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spreadsheets\"/>
    </mc:Choice>
  </mc:AlternateContent>
  <xr:revisionPtr revIDLastSave="0" documentId="13_ncr:1_{1588B8E5-DC79-465F-B106-DD7625D50976}" xr6:coauthVersionLast="47" xr6:coauthVersionMax="47" xr10:uidLastSave="{00000000-0000-0000-0000-000000000000}"/>
  <bookViews>
    <workbookView xWindow="28680" yWindow="-120" windowWidth="29040" windowHeight="15720" activeTab="1" xr2:uid="{4EE585EF-8E26-45A0-A675-50737CC079D8}"/>
  </bookViews>
  <sheets>
    <sheet name="ALL" sheetId="1" r:id="rId1"/>
    <sheet name="Sheet1" sheetId="2" r:id="rId2"/>
    <sheet name="Tests" sheetId="3" r:id="rId3"/>
  </sheets>
  <calcPr calcId="191029"/>
  <pivotCaches>
    <pivotCache cacheId="19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F2922" i="1"/>
  <c r="F2930" i="1"/>
  <c r="F2932" i="1"/>
  <c r="F2940" i="1"/>
  <c r="F2942" i="1"/>
  <c r="F2950" i="1"/>
  <c r="F2952" i="1"/>
  <c r="F2960" i="1"/>
  <c r="F2962" i="1"/>
  <c r="F2970" i="1"/>
  <c r="F2972" i="1"/>
  <c r="F2980" i="1"/>
  <c r="F2982" i="1"/>
  <c r="F2990" i="1"/>
  <c r="F2992" i="1"/>
  <c r="F3000" i="1"/>
  <c r="F3002" i="1"/>
  <c r="F3010" i="1"/>
  <c r="F3012" i="1"/>
  <c r="F3020" i="1"/>
  <c r="F3022" i="1"/>
  <c r="F3030" i="1"/>
  <c r="F3032" i="1"/>
  <c r="F3040" i="1"/>
  <c r="F3042" i="1"/>
  <c r="F3050" i="1"/>
  <c r="F3052" i="1"/>
  <c r="F3060" i="1"/>
  <c r="F3062" i="1"/>
  <c r="F3072" i="1" s="1"/>
  <c r="F3070" i="1"/>
  <c r="F3080" i="1"/>
  <c r="F3090" i="1"/>
  <c r="F3100" i="1"/>
  <c r="F3110" i="1"/>
  <c r="F3120" i="1"/>
  <c r="F3130" i="1"/>
  <c r="F3140" i="1"/>
  <c r="F3150" i="1"/>
  <c r="F3160" i="1"/>
  <c r="F3170" i="1"/>
  <c r="F3180" i="1"/>
  <c r="F3190" i="1"/>
  <c r="F3200" i="1"/>
  <c r="F3210" i="1"/>
  <c r="F3220" i="1"/>
  <c r="F3230" i="1"/>
  <c r="F3240" i="1"/>
  <c r="F3250" i="1"/>
  <c r="F3260" i="1"/>
  <c r="F3270" i="1"/>
  <c r="F3280" i="1"/>
  <c r="F3290" i="1"/>
  <c r="F3300" i="1"/>
  <c r="F3310" i="1"/>
  <c r="F3320" i="1"/>
  <c r="F3330" i="1"/>
  <c r="F3340" i="1"/>
  <c r="G2922" i="1"/>
  <c r="G2930" i="1"/>
  <c r="G2932" i="1"/>
  <c r="G2940" i="1"/>
  <c r="G2942" i="1"/>
  <c r="G2950" i="1"/>
  <c r="G2952" i="1"/>
  <c r="G2960" i="1"/>
  <c r="G2962" i="1"/>
  <c r="G2970" i="1"/>
  <c r="G2972" i="1"/>
  <c r="G2980" i="1"/>
  <c r="G2982" i="1"/>
  <c r="G2990" i="1"/>
  <c r="G2992" i="1"/>
  <c r="G3000" i="1"/>
  <c r="G3002" i="1"/>
  <c r="G3010" i="1"/>
  <c r="G3012" i="1"/>
  <c r="G3020" i="1"/>
  <c r="G3022" i="1"/>
  <c r="G3030" i="1"/>
  <c r="G3032" i="1"/>
  <c r="G3040" i="1"/>
  <c r="G3042" i="1"/>
  <c r="G3050" i="1"/>
  <c r="G3052" i="1"/>
  <c r="G3060" i="1"/>
  <c r="G3062" i="1"/>
  <c r="G3070" i="1"/>
  <c r="G3080" i="1"/>
  <c r="G3090" i="1"/>
  <c r="H2922" i="1"/>
  <c r="H2930" i="1"/>
  <c r="H2932" i="1"/>
  <c r="H2940" i="1"/>
  <c r="H2942" i="1"/>
  <c r="H2950" i="1"/>
  <c r="H2952" i="1"/>
  <c r="H2960" i="1"/>
  <c r="H2962" i="1"/>
  <c r="H2970" i="1"/>
  <c r="H2972" i="1"/>
  <c r="H2980" i="1"/>
  <c r="H2982" i="1"/>
  <c r="H2990" i="1"/>
  <c r="H2992" i="1"/>
  <c r="H3000" i="1"/>
  <c r="H3002" i="1"/>
  <c r="H3010" i="1"/>
  <c r="H3012" i="1"/>
  <c r="H3020" i="1"/>
  <c r="H3022" i="1"/>
  <c r="H3030" i="1"/>
  <c r="H3032" i="1"/>
  <c r="H3040" i="1"/>
  <c r="H3042" i="1"/>
  <c r="H3050" i="1"/>
  <c r="H3052" i="1"/>
  <c r="H3060" i="1"/>
  <c r="H3062" i="1"/>
  <c r="H3070" i="1"/>
  <c r="H3080" i="1"/>
  <c r="H3090" i="1"/>
  <c r="I2922" i="1"/>
  <c r="I2930" i="1"/>
  <c r="I2932" i="1"/>
  <c r="I2940" i="1"/>
  <c r="I2942" i="1"/>
  <c r="I2950" i="1"/>
  <c r="I2952" i="1"/>
  <c r="I2960" i="1"/>
  <c r="I2962" i="1"/>
  <c r="I2970" i="1"/>
  <c r="I2972" i="1"/>
  <c r="I2980" i="1"/>
  <c r="I2982" i="1"/>
  <c r="I2990" i="1"/>
  <c r="I2992" i="1"/>
  <c r="I3000" i="1"/>
  <c r="I3002" i="1"/>
  <c r="I3010" i="1"/>
  <c r="I3012" i="1"/>
  <c r="I3020" i="1"/>
  <c r="I3022" i="1"/>
  <c r="I3030" i="1"/>
  <c r="I3032" i="1"/>
  <c r="I3040" i="1"/>
  <c r="I3042" i="1"/>
  <c r="I3050" i="1"/>
  <c r="I3052" i="1"/>
  <c r="I3060" i="1"/>
  <c r="I3062" i="1"/>
  <c r="I3070" i="1"/>
  <c r="I3080" i="1"/>
  <c r="I3090" i="1"/>
  <c r="G3100" i="1"/>
  <c r="G3110" i="1"/>
  <c r="G3120" i="1"/>
  <c r="G3130" i="1"/>
  <c r="G3140" i="1"/>
  <c r="G3150" i="1"/>
  <c r="G3160" i="1"/>
  <c r="G3170" i="1"/>
  <c r="G3180" i="1"/>
  <c r="G3190" i="1"/>
  <c r="G3200" i="1"/>
  <c r="G3210" i="1"/>
  <c r="G3220" i="1"/>
  <c r="G3230" i="1"/>
  <c r="G3240" i="1"/>
  <c r="G3250" i="1"/>
  <c r="G3260" i="1"/>
  <c r="G3270" i="1"/>
  <c r="G3280" i="1"/>
  <c r="G3290" i="1"/>
  <c r="G3300" i="1"/>
  <c r="G3310" i="1"/>
  <c r="G3320" i="1"/>
  <c r="G3330" i="1"/>
  <c r="G3340" i="1"/>
  <c r="H3100" i="1"/>
  <c r="H3110" i="1"/>
  <c r="H3120" i="1"/>
  <c r="H3130" i="1"/>
  <c r="H3140" i="1"/>
  <c r="H3150" i="1"/>
  <c r="H3160" i="1"/>
  <c r="H3170" i="1"/>
  <c r="H3180" i="1"/>
  <c r="H3190" i="1"/>
  <c r="H3200" i="1"/>
  <c r="H3210" i="1"/>
  <c r="H3220" i="1"/>
  <c r="H3230" i="1"/>
  <c r="H3240" i="1"/>
  <c r="H3250" i="1"/>
  <c r="H3260" i="1"/>
  <c r="H3270" i="1"/>
  <c r="H3280" i="1"/>
  <c r="H3290" i="1"/>
  <c r="H3300" i="1"/>
  <c r="H3310" i="1"/>
  <c r="H3320" i="1"/>
  <c r="H3330" i="1"/>
  <c r="H3340" i="1"/>
  <c r="I3100" i="1"/>
  <c r="I3110" i="1"/>
  <c r="I3120" i="1"/>
  <c r="I3130" i="1"/>
  <c r="I3140" i="1"/>
  <c r="I3150" i="1"/>
  <c r="I3160" i="1"/>
  <c r="I3170" i="1"/>
  <c r="I3180" i="1"/>
  <c r="I3190" i="1"/>
  <c r="I3200" i="1"/>
  <c r="I3210" i="1"/>
  <c r="I3220" i="1"/>
  <c r="I3230" i="1"/>
  <c r="I3240" i="1"/>
  <c r="I3250" i="1"/>
  <c r="I3260" i="1"/>
  <c r="I3270" i="1"/>
  <c r="I3280" i="1"/>
  <c r="I3290" i="1"/>
  <c r="I3300" i="1"/>
  <c r="I3310" i="1"/>
  <c r="I3320" i="1"/>
  <c r="I3330" i="1"/>
  <c r="I3340" i="1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43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H42" i="3"/>
  <c r="I42" i="3"/>
  <c r="H43" i="3"/>
  <c r="I43" i="3"/>
  <c r="H44" i="3"/>
  <c r="I44" i="3"/>
  <c r="H45" i="3"/>
  <c r="I45" i="3"/>
  <c r="H46" i="3"/>
  <c r="I46" i="3"/>
  <c r="H47" i="3"/>
  <c r="I47" i="3"/>
  <c r="H48" i="3"/>
  <c r="I48" i="3"/>
  <c r="H49" i="3"/>
  <c r="I49" i="3"/>
  <c r="H50" i="3"/>
  <c r="I50" i="3"/>
  <c r="H51" i="3"/>
  <c r="I51" i="3"/>
  <c r="H52" i="3"/>
  <c r="I52" i="3"/>
  <c r="H53" i="3"/>
  <c r="I53" i="3"/>
  <c r="H54" i="3"/>
  <c r="I54" i="3"/>
  <c r="H55" i="3"/>
  <c r="I55" i="3"/>
  <c r="H56" i="3"/>
  <c r="I56" i="3"/>
  <c r="H57" i="3"/>
  <c r="I57" i="3"/>
  <c r="H58" i="3"/>
  <c r="I58" i="3"/>
  <c r="H59" i="3"/>
  <c r="I59" i="3"/>
  <c r="H60" i="3"/>
  <c r="I60" i="3"/>
  <c r="H61" i="3"/>
  <c r="I61" i="3"/>
  <c r="H62" i="3"/>
  <c r="I62" i="3"/>
  <c r="H63" i="3"/>
  <c r="I63" i="3"/>
  <c r="H64" i="3"/>
  <c r="I64" i="3"/>
  <c r="H65" i="3"/>
  <c r="I65" i="3"/>
  <c r="I4" i="3"/>
  <c r="H4" i="3"/>
  <c r="F3" i="3"/>
  <c r="M3" i="3"/>
  <c r="L3" i="3"/>
  <c r="K5" i="3"/>
  <c r="K6" i="3"/>
  <c r="K7" i="3"/>
  <c r="K8" i="3"/>
  <c r="K9" i="3"/>
  <c r="K10" i="3"/>
  <c r="K11" i="3"/>
  <c r="K12" i="3"/>
  <c r="K13" i="3"/>
  <c r="K4" i="3"/>
  <c r="H67" i="3"/>
  <c r="I67" i="3"/>
  <c r="H68" i="3"/>
  <c r="I68" i="3"/>
  <c r="H69" i="3"/>
  <c r="I69" i="3"/>
  <c r="H70" i="3"/>
  <c r="I70" i="3"/>
  <c r="H71" i="3"/>
  <c r="I71" i="3"/>
  <c r="H72" i="3"/>
  <c r="I72" i="3"/>
  <c r="H73" i="3"/>
  <c r="I73" i="3"/>
  <c r="H74" i="3"/>
  <c r="I74" i="3"/>
  <c r="H75" i="3"/>
  <c r="I75" i="3"/>
  <c r="H76" i="3"/>
  <c r="I76" i="3"/>
  <c r="H77" i="3"/>
  <c r="I77" i="3"/>
  <c r="H78" i="3"/>
  <c r="I78" i="3"/>
  <c r="H79" i="3"/>
  <c r="I79" i="3"/>
  <c r="H81" i="3"/>
  <c r="I81" i="3"/>
  <c r="H82" i="3"/>
  <c r="I82" i="3"/>
  <c r="H83" i="3"/>
  <c r="I83" i="3"/>
  <c r="H84" i="3"/>
  <c r="I84" i="3"/>
  <c r="H85" i="3"/>
  <c r="I85" i="3"/>
  <c r="H86" i="3"/>
  <c r="I86" i="3"/>
  <c r="H87" i="3"/>
  <c r="I87" i="3"/>
  <c r="H88" i="3"/>
  <c r="I88" i="3"/>
  <c r="H89" i="3"/>
  <c r="I89" i="3"/>
  <c r="H90" i="3"/>
  <c r="I90" i="3"/>
  <c r="H91" i="3"/>
  <c r="I91" i="3"/>
  <c r="H92" i="3"/>
  <c r="I92" i="3"/>
  <c r="H93" i="3"/>
  <c r="I93" i="3"/>
  <c r="H94" i="3"/>
  <c r="I94" i="3"/>
  <c r="H95" i="3"/>
  <c r="I95" i="3"/>
  <c r="H96" i="3"/>
  <c r="I96" i="3"/>
  <c r="H97" i="3"/>
  <c r="I97" i="3"/>
  <c r="H98" i="3"/>
  <c r="I98" i="3"/>
  <c r="H99" i="3"/>
  <c r="I99" i="3"/>
  <c r="H100" i="3"/>
  <c r="I100" i="3"/>
  <c r="H101" i="3"/>
  <c r="I101" i="3"/>
  <c r="H102" i="3"/>
  <c r="I102" i="3"/>
  <c r="H103" i="3"/>
  <c r="I103" i="3"/>
  <c r="H104" i="3"/>
  <c r="I104" i="3"/>
  <c r="H106" i="3"/>
  <c r="I106" i="3"/>
  <c r="H107" i="3"/>
  <c r="I107" i="3"/>
  <c r="H108" i="3"/>
  <c r="I108" i="3"/>
  <c r="H109" i="3"/>
  <c r="I109" i="3"/>
  <c r="H110" i="3"/>
  <c r="I110" i="3"/>
  <c r="H111" i="3"/>
  <c r="I111" i="3"/>
  <c r="H112" i="3"/>
  <c r="I112" i="3"/>
  <c r="H113" i="3"/>
  <c r="I113" i="3"/>
  <c r="H114" i="3"/>
  <c r="I114" i="3"/>
  <c r="H115" i="3"/>
  <c r="I115" i="3"/>
  <c r="H116" i="3"/>
  <c r="I116" i="3"/>
  <c r="H117" i="3"/>
  <c r="I117" i="3"/>
  <c r="H118" i="3"/>
  <c r="I118" i="3"/>
  <c r="H119" i="3"/>
  <c r="I119" i="3"/>
  <c r="H120" i="3"/>
  <c r="I120" i="3"/>
  <c r="H121" i="3"/>
  <c r="I121" i="3"/>
  <c r="H122" i="3"/>
  <c r="I122" i="3"/>
  <c r="H123" i="3"/>
  <c r="I123" i="3"/>
  <c r="H124" i="3"/>
  <c r="I124" i="3"/>
  <c r="H126" i="3"/>
  <c r="I126" i="3"/>
  <c r="H127" i="3"/>
  <c r="I127" i="3"/>
  <c r="H128" i="3"/>
  <c r="I128" i="3"/>
  <c r="H129" i="3"/>
  <c r="I129" i="3"/>
  <c r="H130" i="3"/>
  <c r="I130" i="3"/>
  <c r="H131" i="3"/>
  <c r="I131" i="3"/>
  <c r="H132" i="3"/>
  <c r="I132" i="3"/>
  <c r="H133" i="3"/>
  <c r="I133" i="3"/>
  <c r="H134" i="3"/>
  <c r="I134" i="3"/>
  <c r="H135" i="3"/>
  <c r="I135" i="3"/>
  <c r="H136" i="3"/>
  <c r="I136" i="3"/>
  <c r="H137" i="3"/>
  <c r="I137" i="3"/>
  <c r="H138" i="3"/>
  <c r="I138" i="3"/>
  <c r="H139" i="3"/>
  <c r="I139" i="3"/>
  <c r="H140" i="3"/>
  <c r="I140" i="3"/>
  <c r="H141" i="3"/>
  <c r="I141" i="3"/>
  <c r="H142" i="3"/>
  <c r="I142" i="3"/>
  <c r="H143" i="3"/>
  <c r="I143" i="3"/>
  <c r="H144" i="3"/>
  <c r="I144" i="3"/>
  <c r="H145" i="3"/>
  <c r="I145" i="3"/>
  <c r="H146" i="3"/>
  <c r="I146" i="3"/>
  <c r="H147" i="3"/>
  <c r="I147" i="3"/>
  <c r="H148" i="3"/>
  <c r="I148" i="3"/>
  <c r="H149" i="3"/>
  <c r="I149" i="3"/>
  <c r="H150" i="3"/>
  <c r="I150" i="3"/>
  <c r="H151" i="3"/>
  <c r="I151" i="3"/>
  <c r="H153" i="3"/>
  <c r="I153" i="3"/>
  <c r="H154" i="3"/>
  <c r="I154" i="3"/>
  <c r="H155" i="3"/>
  <c r="I155" i="3"/>
  <c r="H156" i="3"/>
  <c r="I156" i="3"/>
  <c r="H157" i="3"/>
  <c r="I157" i="3"/>
  <c r="H158" i="3"/>
  <c r="I158" i="3"/>
  <c r="H159" i="3"/>
  <c r="I159" i="3"/>
  <c r="H160" i="3"/>
  <c r="I160" i="3"/>
  <c r="H161" i="3"/>
  <c r="I161" i="3"/>
  <c r="H162" i="3"/>
  <c r="I162" i="3"/>
  <c r="H163" i="3"/>
  <c r="I163" i="3"/>
  <c r="H164" i="3"/>
  <c r="I164" i="3"/>
  <c r="H165" i="3"/>
  <c r="I165" i="3"/>
  <c r="H166" i="3"/>
  <c r="I166" i="3"/>
  <c r="H167" i="3"/>
  <c r="I167" i="3"/>
  <c r="H168" i="3"/>
  <c r="I168" i="3"/>
  <c r="H169" i="3"/>
  <c r="I169" i="3"/>
  <c r="H170" i="3"/>
  <c r="I170" i="3"/>
  <c r="H171" i="3"/>
  <c r="I171" i="3"/>
  <c r="H172" i="3"/>
  <c r="I172" i="3"/>
  <c r="H173" i="3"/>
  <c r="I173" i="3"/>
  <c r="H174" i="3"/>
  <c r="I174" i="3"/>
  <c r="H175" i="3"/>
  <c r="I175" i="3"/>
  <c r="H176" i="3"/>
  <c r="I176" i="3"/>
  <c r="H177" i="3"/>
  <c r="I177" i="3"/>
  <c r="H178" i="3"/>
  <c r="I178" i="3"/>
  <c r="G3" i="3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N18" i="2"/>
  <c r="N19" i="2"/>
  <c r="N20" i="2"/>
  <c r="N21" i="2"/>
  <c r="N22" i="2"/>
  <c r="N23" i="2"/>
  <c r="N24" i="2"/>
  <c r="N25" i="2"/>
  <c r="N26" i="2"/>
  <c r="N17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2" i="2"/>
  <c r="M3" i="2"/>
  <c r="M4" i="2"/>
  <c r="M5" i="2"/>
  <c r="N5" i="2" s="1"/>
  <c r="O5" i="2" s="1"/>
  <c r="M6" i="2"/>
  <c r="M7" i="2"/>
  <c r="N7" i="2" s="1"/>
  <c r="O7" i="2" s="1"/>
  <c r="M8" i="2"/>
  <c r="N8" i="2" s="1"/>
  <c r="O8" i="2" s="1"/>
  <c r="M9" i="2"/>
  <c r="M10" i="2"/>
  <c r="M11" i="2"/>
  <c r="M12" i="2"/>
  <c r="F4" i="1"/>
  <c r="F6" i="1"/>
  <c r="F7" i="1"/>
  <c r="F10" i="1"/>
  <c r="F11" i="1"/>
  <c r="F3082" i="1" l="1"/>
  <c r="G3072" i="1"/>
  <c r="S17" i="2"/>
  <c r="S18" i="2"/>
  <c r="V18" i="2"/>
  <c r="V17" i="2"/>
  <c r="F16" i="1"/>
  <c r="F20" i="1"/>
  <c r="F21" i="1"/>
  <c r="G4" i="1"/>
  <c r="G11" i="1"/>
  <c r="F14" i="1"/>
  <c r="F17" i="1"/>
  <c r="G6" i="1"/>
  <c r="G10" i="1"/>
  <c r="G7" i="1"/>
  <c r="F24" i="1"/>
  <c r="F9" i="1"/>
  <c r="N4" i="2"/>
  <c r="O4" i="2" s="1"/>
  <c r="F3" i="1"/>
  <c r="N3" i="2"/>
  <c r="O3" i="2" s="1"/>
  <c r="N12" i="2"/>
  <c r="O12" i="2" s="1"/>
  <c r="N11" i="2"/>
  <c r="O11" i="2" s="1"/>
  <c r="F3092" i="1" l="1"/>
  <c r="G3082" i="1"/>
  <c r="H3072" i="1"/>
  <c r="I3072" i="1"/>
  <c r="I14" i="1"/>
  <c r="H14" i="1"/>
  <c r="S19" i="2"/>
  <c r="G16" i="1"/>
  <c r="F26" i="1"/>
  <c r="G20" i="1"/>
  <c r="F30" i="1"/>
  <c r="G21" i="1"/>
  <c r="F31" i="1"/>
  <c r="H4" i="1"/>
  <c r="I4" i="1"/>
  <c r="I11" i="1"/>
  <c r="H11" i="1"/>
  <c r="G17" i="1"/>
  <c r="F27" i="1"/>
  <c r="I6" i="1"/>
  <c r="H6" i="1"/>
  <c r="I10" i="1"/>
  <c r="H10" i="1"/>
  <c r="I7" i="1"/>
  <c r="H7" i="1"/>
  <c r="F19" i="1"/>
  <c r="G9" i="1"/>
  <c r="F13" i="1"/>
  <c r="G3" i="1"/>
  <c r="G24" i="1"/>
  <c r="F34" i="1"/>
  <c r="F8" i="1"/>
  <c r="N9" i="2"/>
  <c r="O9" i="2" s="1"/>
  <c r="N10" i="2"/>
  <c r="O10" i="2" s="1"/>
  <c r="F5" i="1"/>
  <c r="N6" i="2"/>
  <c r="O6" i="2" s="1"/>
  <c r="F2" i="1"/>
  <c r="G2" i="1" s="1"/>
  <c r="G3092" i="1" l="1"/>
  <c r="F3102" i="1"/>
  <c r="H3082" i="1"/>
  <c r="I3082" i="1"/>
  <c r="H16" i="1"/>
  <c r="I16" i="1"/>
  <c r="G26" i="1"/>
  <c r="F36" i="1"/>
  <c r="H20" i="1"/>
  <c r="I20" i="1"/>
  <c r="G30" i="1"/>
  <c r="F40" i="1"/>
  <c r="I21" i="1"/>
  <c r="H21" i="1"/>
  <c r="G31" i="1"/>
  <c r="F41" i="1"/>
  <c r="H17" i="1"/>
  <c r="I17" i="1"/>
  <c r="F37" i="1"/>
  <c r="G27" i="1"/>
  <c r="G19" i="1"/>
  <c r="F29" i="1"/>
  <c r="I9" i="1"/>
  <c r="H9" i="1"/>
  <c r="G13" i="1"/>
  <c r="F23" i="1"/>
  <c r="H3" i="1"/>
  <c r="I3" i="1"/>
  <c r="F18" i="1"/>
  <c r="G8" i="1"/>
  <c r="F15" i="1"/>
  <c r="G5" i="1"/>
  <c r="I2" i="1"/>
  <c r="H2" i="1"/>
  <c r="H24" i="1"/>
  <c r="I24" i="1"/>
  <c r="F44" i="1"/>
  <c r="G34" i="1"/>
  <c r="F12" i="1"/>
  <c r="H3092" i="1" l="1"/>
  <c r="I3092" i="1"/>
  <c r="F3112" i="1"/>
  <c r="G3102" i="1"/>
  <c r="H26" i="1"/>
  <c r="I26" i="1"/>
  <c r="G36" i="1"/>
  <c r="F46" i="1"/>
  <c r="I30" i="1"/>
  <c r="H30" i="1"/>
  <c r="G40" i="1"/>
  <c r="F50" i="1"/>
  <c r="H31" i="1"/>
  <c r="I31" i="1"/>
  <c r="G41" i="1"/>
  <c r="F51" i="1"/>
  <c r="G37" i="1"/>
  <c r="F47" i="1"/>
  <c r="I27" i="1"/>
  <c r="H27" i="1"/>
  <c r="I19" i="1"/>
  <c r="H19" i="1"/>
  <c r="F39" i="1"/>
  <c r="G29" i="1"/>
  <c r="I13" i="1"/>
  <c r="H13" i="1"/>
  <c r="G23" i="1"/>
  <c r="F33" i="1"/>
  <c r="F28" i="1"/>
  <c r="G18" i="1"/>
  <c r="H8" i="1"/>
  <c r="I8" i="1"/>
  <c r="F25" i="1"/>
  <c r="G15" i="1"/>
  <c r="I5" i="1"/>
  <c r="H5" i="1"/>
  <c r="F22" i="1"/>
  <c r="G12" i="1"/>
  <c r="G44" i="1"/>
  <c r="F54" i="1"/>
  <c r="H34" i="1"/>
  <c r="I34" i="1"/>
  <c r="G3112" i="1" l="1"/>
  <c r="F3122" i="1"/>
  <c r="I3102" i="1"/>
  <c r="H3102" i="1"/>
  <c r="H36" i="1"/>
  <c r="I36" i="1"/>
  <c r="F56" i="1"/>
  <c r="G46" i="1"/>
  <c r="H40" i="1"/>
  <c r="I40" i="1"/>
  <c r="G50" i="1"/>
  <c r="F60" i="1"/>
  <c r="I41" i="1"/>
  <c r="H41" i="1"/>
  <c r="G51" i="1"/>
  <c r="F61" i="1"/>
  <c r="I37" i="1"/>
  <c r="H37" i="1"/>
  <c r="G47" i="1"/>
  <c r="F57" i="1"/>
  <c r="G39" i="1"/>
  <c r="F49" i="1"/>
  <c r="H29" i="1"/>
  <c r="I29" i="1"/>
  <c r="H23" i="1"/>
  <c r="I23" i="1"/>
  <c r="F43" i="1"/>
  <c r="G33" i="1"/>
  <c r="G28" i="1"/>
  <c r="F38" i="1"/>
  <c r="H18" i="1"/>
  <c r="I18" i="1"/>
  <c r="G25" i="1"/>
  <c r="F35" i="1"/>
  <c r="H15" i="1"/>
  <c r="I15" i="1"/>
  <c r="G22" i="1"/>
  <c r="F32" i="1"/>
  <c r="H12" i="1"/>
  <c r="I12" i="1"/>
  <c r="H44" i="1"/>
  <c r="I44" i="1"/>
  <c r="G54" i="1"/>
  <c r="F64" i="1"/>
  <c r="I3112" i="1" l="1"/>
  <c r="H3112" i="1"/>
  <c r="G3122" i="1"/>
  <c r="F3132" i="1"/>
  <c r="G56" i="1"/>
  <c r="F66" i="1"/>
  <c r="I46" i="1"/>
  <c r="H46" i="1"/>
  <c r="H50" i="1"/>
  <c r="I50" i="1"/>
  <c r="F70" i="1"/>
  <c r="G60" i="1"/>
  <c r="I51" i="1"/>
  <c r="H51" i="1"/>
  <c r="G61" i="1"/>
  <c r="F71" i="1"/>
  <c r="H47" i="1"/>
  <c r="I47" i="1"/>
  <c r="F67" i="1"/>
  <c r="G57" i="1"/>
  <c r="H39" i="1"/>
  <c r="I39" i="1"/>
  <c r="G49" i="1"/>
  <c r="F59" i="1"/>
  <c r="G43" i="1"/>
  <c r="F53" i="1"/>
  <c r="I33" i="1"/>
  <c r="H33" i="1"/>
  <c r="H28" i="1"/>
  <c r="I28" i="1"/>
  <c r="F48" i="1"/>
  <c r="G38" i="1"/>
  <c r="I25" i="1"/>
  <c r="H25" i="1"/>
  <c r="F45" i="1"/>
  <c r="G35" i="1"/>
  <c r="H22" i="1"/>
  <c r="I22" i="1"/>
  <c r="G32" i="1"/>
  <c r="F42" i="1"/>
  <c r="H54" i="1"/>
  <c r="I54" i="1"/>
  <c r="G64" i="1"/>
  <c r="F74" i="1"/>
  <c r="I3122" i="1" l="1"/>
  <c r="H3122" i="1"/>
  <c r="G3132" i="1"/>
  <c r="F3142" i="1"/>
  <c r="H56" i="1"/>
  <c r="I56" i="1"/>
  <c r="G66" i="1"/>
  <c r="F76" i="1"/>
  <c r="G70" i="1"/>
  <c r="F80" i="1"/>
  <c r="H60" i="1"/>
  <c r="I60" i="1"/>
  <c r="I61" i="1"/>
  <c r="H61" i="1"/>
  <c r="G71" i="1"/>
  <c r="F81" i="1"/>
  <c r="G67" i="1"/>
  <c r="F77" i="1"/>
  <c r="H57" i="1"/>
  <c r="I57" i="1"/>
  <c r="H49" i="1"/>
  <c r="I49" i="1"/>
  <c r="F69" i="1"/>
  <c r="G59" i="1"/>
  <c r="I43" i="1"/>
  <c r="H43" i="1"/>
  <c r="G53" i="1"/>
  <c r="F63" i="1"/>
  <c r="G48" i="1"/>
  <c r="F58" i="1"/>
  <c r="I38" i="1"/>
  <c r="H38" i="1"/>
  <c r="F55" i="1"/>
  <c r="G45" i="1"/>
  <c r="H35" i="1"/>
  <c r="I35" i="1"/>
  <c r="H32" i="1"/>
  <c r="I32" i="1"/>
  <c r="G42" i="1"/>
  <c r="F52" i="1"/>
  <c r="I64" i="1"/>
  <c r="H64" i="1"/>
  <c r="G74" i="1"/>
  <c r="F84" i="1"/>
  <c r="I3132" i="1" l="1"/>
  <c r="H3132" i="1"/>
  <c r="F3152" i="1"/>
  <c r="G3142" i="1"/>
  <c r="I66" i="1"/>
  <c r="H66" i="1"/>
  <c r="G76" i="1"/>
  <c r="F86" i="1"/>
  <c r="I70" i="1"/>
  <c r="H70" i="1"/>
  <c r="G80" i="1"/>
  <c r="F90" i="1"/>
  <c r="I71" i="1"/>
  <c r="H71" i="1"/>
  <c r="G81" i="1"/>
  <c r="F91" i="1"/>
  <c r="H67" i="1"/>
  <c r="I67" i="1"/>
  <c r="G77" i="1"/>
  <c r="F87" i="1"/>
  <c r="G69" i="1"/>
  <c r="F79" i="1"/>
  <c r="I59" i="1"/>
  <c r="H59" i="1"/>
  <c r="I53" i="1"/>
  <c r="H53" i="1"/>
  <c r="G63" i="1"/>
  <c r="F73" i="1"/>
  <c r="H48" i="1"/>
  <c r="I48" i="1"/>
  <c r="G58" i="1"/>
  <c r="F68" i="1"/>
  <c r="F65" i="1"/>
  <c r="G55" i="1"/>
  <c r="H45" i="1"/>
  <c r="I45" i="1"/>
  <c r="H42" i="1"/>
  <c r="I42" i="1"/>
  <c r="F62" i="1"/>
  <c r="G52" i="1"/>
  <c r="H74" i="1"/>
  <c r="I74" i="1"/>
  <c r="G84" i="1"/>
  <c r="F94" i="1"/>
  <c r="F3162" i="1" l="1"/>
  <c r="G3152" i="1"/>
  <c r="H3142" i="1"/>
  <c r="I3142" i="1"/>
  <c r="H76" i="1"/>
  <c r="I76" i="1"/>
  <c r="G86" i="1"/>
  <c r="F96" i="1"/>
  <c r="H80" i="1"/>
  <c r="I80" i="1"/>
  <c r="G90" i="1"/>
  <c r="F100" i="1"/>
  <c r="I81" i="1"/>
  <c r="H81" i="1"/>
  <c r="G91" i="1"/>
  <c r="F101" i="1"/>
  <c r="I77" i="1"/>
  <c r="H77" i="1"/>
  <c r="G87" i="1"/>
  <c r="F97" i="1"/>
  <c r="I69" i="1"/>
  <c r="H69" i="1"/>
  <c r="G79" i="1"/>
  <c r="F89" i="1"/>
  <c r="H63" i="1"/>
  <c r="I63" i="1"/>
  <c r="G73" i="1"/>
  <c r="F83" i="1"/>
  <c r="H58" i="1"/>
  <c r="I58" i="1"/>
  <c r="G68" i="1"/>
  <c r="F78" i="1"/>
  <c r="F75" i="1"/>
  <c r="G65" i="1"/>
  <c r="H55" i="1"/>
  <c r="I55" i="1"/>
  <c r="G62" i="1"/>
  <c r="F72" i="1"/>
  <c r="H52" i="1"/>
  <c r="I52" i="1"/>
  <c r="H84" i="1"/>
  <c r="I84" i="1"/>
  <c r="G94" i="1"/>
  <c r="F104" i="1"/>
  <c r="F3172" i="1" l="1"/>
  <c r="G3162" i="1"/>
  <c r="I3152" i="1"/>
  <c r="H3152" i="1"/>
  <c r="I86" i="1"/>
  <c r="H86" i="1"/>
  <c r="G96" i="1"/>
  <c r="F106" i="1"/>
  <c r="H90" i="1"/>
  <c r="I90" i="1"/>
  <c r="F110" i="1"/>
  <c r="G100" i="1"/>
  <c r="H91" i="1"/>
  <c r="I91" i="1"/>
  <c r="G101" i="1"/>
  <c r="F111" i="1"/>
  <c r="H87" i="1"/>
  <c r="I87" i="1"/>
  <c r="F107" i="1"/>
  <c r="G97" i="1"/>
  <c r="H79" i="1"/>
  <c r="I79" i="1"/>
  <c r="F99" i="1"/>
  <c r="G89" i="1"/>
  <c r="I73" i="1"/>
  <c r="H73" i="1"/>
  <c r="G83" i="1"/>
  <c r="F93" i="1"/>
  <c r="H68" i="1"/>
  <c r="I68" i="1"/>
  <c r="F88" i="1"/>
  <c r="G78" i="1"/>
  <c r="F85" i="1"/>
  <c r="G75" i="1"/>
  <c r="H65" i="1"/>
  <c r="I65" i="1"/>
  <c r="I62" i="1"/>
  <c r="H62" i="1"/>
  <c r="F82" i="1"/>
  <c r="G72" i="1"/>
  <c r="I94" i="1"/>
  <c r="H94" i="1"/>
  <c r="F114" i="1"/>
  <c r="G104" i="1"/>
  <c r="G3172" i="1" l="1"/>
  <c r="F3182" i="1"/>
  <c r="H3162" i="1"/>
  <c r="I3162" i="1"/>
  <c r="H96" i="1"/>
  <c r="I96" i="1"/>
  <c r="F116" i="1"/>
  <c r="G106" i="1"/>
  <c r="F120" i="1"/>
  <c r="G110" i="1"/>
  <c r="I100" i="1"/>
  <c r="H100" i="1"/>
  <c r="H101" i="1"/>
  <c r="I101" i="1"/>
  <c r="F121" i="1"/>
  <c r="G111" i="1"/>
  <c r="G107" i="1"/>
  <c r="F117" i="1"/>
  <c r="I97" i="1"/>
  <c r="H97" i="1"/>
  <c r="G99" i="1"/>
  <c r="F109" i="1"/>
  <c r="I89" i="1"/>
  <c r="H89" i="1"/>
  <c r="H83" i="1"/>
  <c r="I83" i="1"/>
  <c r="G93" i="1"/>
  <c r="F103" i="1"/>
  <c r="G88" i="1"/>
  <c r="F98" i="1"/>
  <c r="I78" i="1"/>
  <c r="H78" i="1"/>
  <c r="F95" i="1"/>
  <c r="G85" i="1"/>
  <c r="I75" i="1"/>
  <c r="H75" i="1"/>
  <c r="G82" i="1"/>
  <c r="F92" i="1"/>
  <c r="H72" i="1"/>
  <c r="I72" i="1"/>
  <c r="G114" i="1"/>
  <c r="F124" i="1"/>
  <c r="I104" i="1"/>
  <c r="H104" i="1"/>
  <c r="I3172" i="1" l="1"/>
  <c r="H3172" i="1"/>
  <c r="G3182" i="1"/>
  <c r="F3192" i="1"/>
  <c r="G116" i="1"/>
  <c r="F126" i="1"/>
  <c r="I106" i="1"/>
  <c r="H106" i="1"/>
  <c r="F130" i="1"/>
  <c r="G120" i="1"/>
  <c r="H110" i="1"/>
  <c r="I110" i="1"/>
  <c r="G121" i="1"/>
  <c r="F131" i="1"/>
  <c r="I111" i="1"/>
  <c r="H111" i="1"/>
  <c r="I107" i="1"/>
  <c r="H107" i="1"/>
  <c r="G117" i="1"/>
  <c r="F127" i="1"/>
  <c r="I99" i="1"/>
  <c r="H99" i="1"/>
  <c r="G109" i="1"/>
  <c r="F119" i="1"/>
  <c r="I93" i="1"/>
  <c r="H93" i="1"/>
  <c r="G103" i="1"/>
  <c r="F113" i="1"/>
  <c r="H88" i="1"/>
  <c r="I88" i="1"/>
  <c r="G98" i="1"/>
  <c r="F108" i="1"/>
  <c r="G95" i="1"/>
  <c r="F105" i="1"/>
  <c r="H85" i="1"/>
  <c r="I85" i="1"/>
  <c r="H82" i="1"/>
  <c r="I82" i="1"/>
  <c r="G92" i="1"/>
  <c r="F102" i="1"/>
  <c r="I114" i="1"/>
  <c r="H114" i="1"/>
  <c r="G124" i="1"/>
  <c r="F134" i="1"/>
  <c r="H3182" i="1" l="1"/>
  <c r="I3182" i="1"/>
  <c r="G3192" i="1"/>
  <c r="F3202" i="1"/>
  <c r="H116" i="1"/>
  <c r="I116" i="1"/>
  <c r="G126" i="1"/>
  <c r="F136" i="1"/>
  <c r="G130" i="1"/>
  <c r="F140" i="1"/>
  <c r="I120" i="1"/>
  <c r="H120" i="1"/>
  <c r="H121" i="1"/>
  <c r="I121" i="1"/>
  <c r="F141" i="1"/>
  <c r="G131" i="1"/>
  <c r="H117" i="1"/>
  <c r="I117" i="1"/>
  <c r="F137" i="1"/>
  <c r="G127" i="1"/>
  <c r="I109" i="1"/>
  <c r="H109" i="1"/>
  <c r="G119" i="1"/>
  <c r="F129" i="1"/>
  <c r="I103" i="1"/>
  <c r="H103" i="1"/>
  <c r="G113" i="1"/>
  <c r="F123" i="1"/>
  <c r="H98" i="1"/>
  <c r="I98" i="1"/>
  <c r="F118" i="1"/>
  <c r="G108" i="1"/>
  <c r="I95" i="1"/>
  <c r="H95" i="1"/>
  <c r="G105" i="1"/>
  <c r="F115" i="1"/>
  <c r="I92" i="1"/>
  <c r="H92" i="1"/>
  <c r="G102" i="1"/>
  <c r="F112" i="1"/>
  <c r="I124" i="1"/>
  <c r="H124" i="1"/>
  <c r="G134" i="1"/>
  <c r="F144" i="1"/>
  <c r="I3192" i="1" l="1"/>
  <c r="H3192" i="1"/>
  <c r="F3212" i="1"/>
  <c r="G3202" i="1"/>
  <c r="H126" i="1"/>
  <c r="I126" i="1"/>
  <c r="F146" i="1"/>
  <c r="G136" i="1"/>
  <c r="H130" i="1"/>
  <c r="I130" i="1"/>
  <c r="G140" i="1"/>
  <c r="F150" i="1"/>
  <c r="G141" i="1"/>
  <c r="F151" i="1"/>
  <c r="H131" i="1"/>
  <c r="I131" i="1"/>
  <c r="G137" i="1"/>
  <c r="F147" i="1"/>
  <c r="I127" i="1"/>
  <c r="H127" i="1"/>
  <c r="H119" i="1"/>
  <c r="I119" i="1"/>
  <c r="F139" i="1"/>
  <c r="G129" i="1"/>
  <c r="H113" i="1"/>
  <c r="I113" i="1"/>
  <c r="G123" i="1"/>
  <c r="F133" i="1"/>
  <c r="G118" i="1"/>
  <c r="F128" i="1"/>
  <c r="H108" i="1"/>
  <c r="I108" i="1"/>
  <c r="H105" i="1"/>
  <c r="I105" i="1"/>
  <c r="F125" i="1"/>
  <c r="G115" i="1"/>
  <c r="H102" i="1"/>
  <c r="I102" i="1"/>
  <c r="G112" i="1"/>
  <c r="F122" i="1"/>
  <c r="H134" i="1"/>
  <c r="I134" i="1"/>
  <c r="F154" i="1"/>
  <c r="G144" i="1"/>
  <c r="F3222" i="1" l="1"/>
  <c r="G3212" i="1"/>
  <c r="I3202" i="1"/>
  <c r="H3202" i="1"/>
  <c r="G146" i="1"/>
  <c r="F156" i="1"/>
  <c r="H136" i="1"/>
  <c r="I136" i="1"/>
  <c r="H140" i="1"/>
  <c r="I140" i="1"/>
  <c r="F160" i="1"/>
  <c r="G150" i="1"/>
  <c r="I141" i="1"/>
  <c r="H141" i="1"/>
  <c r="G151" i="1"/>
  <c r="F161" i="1"/>
  <c r="H137" i="1"/>
  <c r="I137" i="1"/>
  <c r="G147" i="1"/>
  <c r="F157" i="1"/>
  <c r="G139" i="1"/>
  <c r="F149" i="1"/>
  <c r="H129" i="1"/>
  <c r="I129" i="1"/>
  <c r="H123" i="1"/>
  <c r="I123" i="1"/>
  <c r="F143" i="1"/>
  <c r="G133" i="1"/>
  <c r="I118" i="1"/>
  <c r="H118" i="1"/>
  <c r="G128" i="1"/>
  <c r="F138" i="1"/>
  <c r="F135" i="1"/>
  <c r="G125" i="1"/>
  <c r="I115" i="1"/>
  <c r="H115" i="1"/>
  <c r="H112" i="1"/>
  <c r="I112" i="1"/>
  <c r="G122" i="1"/>
  <c r="F132" i="1"/>
  <c r="G154" i="1"/>
  <c r="F164" i="1"/>
  <c r="H144" i="1"/>
  <c r="I144" i="1"/>
  <c r="G3222" i="1" l="1"/>
  <c r="F3232" i="1"/>
  <c r="H3212" i="1"/>
  <c r="I3212" i="1"/>
  <c r="I146" i="1"/>
  <c r="H146" i="1"/>
  <c r="G156" i="1"/>
  <c r="F166" i="1"/>
  <c r="G160" i="1"/>
  <c r="F170" i="1"/>
  <c r="H150" i="1"/>
  <c r="I150" i="1"/>
  <c r="I151" i="1"/>
  <c r="H151" i="1"/>
  <c r="F171" i="1"/>
  <c r="G161" i="1"/>
  <c r="H147" i="1"/>
  <c r="I147" i="1"/>
  <c r="G157" i="1"/>
  <c r="F167" i="1"/>
  <c r="H139" i="1"/>
  <c r="I139" i="1"/>
  <c r="G149" i="1"/>
  <c r="F159" i="1"/>
  <c r="F153" i="1"/>
  <c r="G143" i="1"/>
  <c r="H133" i="1"/>
  <c r="I133" i="1"/>
  <c r="I128" i="1"/>
  <c r="H128" i="1"/>
  <c r="F148" i="1"/>
  <c r="G138" i="1"/>
  <c r="G135" i="1"/>
  <c r="F145" i="1"/>
  <c r="I125" i="1"/>
  <c r="H125" i="1"/>
  <c r="H122" i="1"/>
  <c r="I122" i="1"/>
  <c r="G132" i="1"/>
  <c r="F142" i="1"/>
  <c r="H154" i="1"/>
  <c r="I154" i="1"/>
  <c r="G164" i="1"/>
  <c r="F174" i="1"/>
  <c r="I3222" i="1" l="1"/>
  <c r="H3222" i="1"/>
  <c r="G3232" i="1"/>
  <c r="F3242" i="1"/>
  <c r="I156" i="1"/>
  <c r="H156" i="1"/>
  <c r="G166" i="1"/>
  <c r="F176" i="1"/>
  <c r="I160" i="1"/>
  <c r="H160" i="1"/>
  <c r="F180" i="1"/>
  <c r="G170" i="1"/>
  <c r="G171" i="1"/>
  <c r="F181" i="1"/>
  <c r="H161" i="1"/>
  <c r="I161" i="1"/>
  <c r="I157" i="1"/>
  <c r="H157" i="1"/>
  <c r="G167" i="1"/>
  <c r="F177" i="1"/>
  <c r="H149" i="1"/>
  <c r="I149" i="1"/>
  <c r="G159" i="1"/>
  <c r="F169" i="1"/>
  <c r="G153" i="1"/>
  <c r="F163" i="1"/>
  <c r="H143" i="1"/>
  <c r="I143" i="1"/>
  <c r="G148" i="1"/>
  <c r="F158" i="1"/>
  <c r="I138" i="1"/>
  <c r="H138" i="1"/>
  <c r="H135" i="1"/>
  <c r="I135" i="1"/>
  <c r="F155" i="1"/>
  <c r="G145" i="1"/>
  <c r="I132" i="1"/>
  <c r="H132" i="1"/>
  <c r="F152" i="1"/>
  <c r="G142" i="1"/>
  <c r="H164" i="1"/>
  <c r="I164" i="1"/>
  <c r="G174" i="1"/>
  <c r="F184" i="1"/>
  <c r="H3232" i="1" l="1"/>
  <c r="I3232" i="1"/>
  <c r="F3252" i="1"/>
  <c r="G3242" i="1"/>
  <c r="I166" i="1"/>
  <c r="H166" i="1"/>
  <c r="F186" i="1"/>
  <c r="G176" i="1"/>
  <c r="G180" i="1"/>
  <c r="F190" i="1"/>
  <c r="I170" i="1"/>
  <c r="H170" i="1"/>
  <c r="H171" i="1"/>
  <c r="I171" i="1"/>
  <c r="F191" i="1"/>
  <c r="G181" i="1"/>
  <c r="H167" i="1"/>
  <c r="I167" i="1"/>
  <c r="G177" i="1"/>
  <c r="F187" i="1"/>
  <c r="I159" i="1"/>
  <c r="H159" i="1"/>
  <c r="G169" i="1"/>
  <c r="F179" i="1"/>
  <c r="I153" i="1"/>
  <c r="H153" i="1"/>
  <c r="F173" i="1"/>
  <c r="G163" i="1"/>
  <c r="I148" i="1"/>
  <c r="H148" i="1"/>
  <c r="G158" i="1"/>
  <c r="F168" i="1"/>
  <c r="G155" i="1"/>
  <c r="F165" i="1"/>
  <c r="I145" i="1"/>
  <c r="H145" i="1"/>
  <c r="G152" i="1"/>
  <c r="F162" i="1"/>
  <c r="H142" i="1"/>
  <c r="I142" i="1"/>
  <c r="H174" i="1"/>
  <c r="I174" i="1"/>
  <c r="F194" i="1"/>
  <c r="G184" i="1"/>
  <c r="G3252" i="1" l="1"/>
  <c r="F3262" i="1"/>
  <c r="I3242" i="1"/>
  <c r="H3242" i="1"/>
  <c r="G186" i="1"/>
  <c r="F196" i="1"/>
  <c r="H176" i="1"/>
  <c r="I176" i="1"/>
  <c r="H180" i="1"/>
  <c r="I180" i="1"/>
  <c r="G190" i="1"/>
  <c r="F200" i="1"/>
  <c r="G191" i="1"/>
  <c r="F201" i="1"/>
  <c r="I181" i="1"/>
  <c r="H181" i="1"/>
  <c r="I177" i="1"/>
  <c r="H177" i="1"/>
  <c r="G187" i="1"/>
  <c r="F197" i="1"/>
  <c r="H169" i="1"/>
  <c r="I169" i="1"/>
  <c r="G179" i="1"/>
  <c r="F189" i="1"/>
  <c r="F183" i="1"/>
  <c r="G173" i="1"/>
  <c r="H163" i="1"/>
  <c r="I163" i="1"/>
  <c r="H158" i="1"/>
  <c r="I158" i="1"/>
  <c r="G168" i="1"/>
  <c r="F178" i="1"/>
  <c r="H155" i="1"/>
  <c r="I155" i="1"/>
  <c r="F175" i="1"/>
  <c r="G165" i="1"/>
  <c r="H152" i="1"/>
  <c r="I152" i="1"/>
  <c r="G162" i="1"/>
  <c r="F172" i="1"/>
  <c r="F204" i="1"/>
  <c r="G194" i="1"/>
  <c r="H184" i="1"/>
  <c r="I184" i="1"/>
  <c r="H3252" i="1" l="1"/>
  <c r="I3252" i="1"/>
  <c r="F3272" i="1"/>
  <c r="G3262" i="1"/>
  <c r="H186" i="1"/>
  <c r="I186" i="1"/>
  <c r="G196" i="1"/>
  <c r="F206" i="1"/>
  <c r="I190" i="1"/>
  <c r="H190" i="1"/>
  <c r="G200" i="1"/>
  <c r="F210" i="1"/>
  <c r="I191" i="1"/>
  <c r="H191" i="1"/>
  <c r="F211" i="1"/>
  <c r="G201" i="1"/>
  <c r="I187" i="1"/>
  <c r="H187" i="1"/>
  <c r="G197" i="1"/>
  <c r="F207" i="1"/>
  <c r="I179" i="1"/>
  <c r="H179" i="1"/>
  <c r="G189" i="1"/>
  <c r="F199" i="1"/>
  <c r="F193" i="1"/>
  <c r="G183" i="1"/>
  <c r="I173" i="1"/>
  <c r="H173" i="1"/>
  <c r="H168" i="1"/>
  <c r="I168" i="1"/>
  <c r="F188" i="1"/>
  <c r="G178" i="1"/>
  <c r="F185" i="1"/>
  <c r="G175" i="1"/>
  <c r="I165" i="1"/>
  <c r="H165" i="1"/>
  <c r="I162" i="1"/>
  <c r="H162" i="1"/>
  <c r="F182" i="1"/>
  <c r="G172" i="1"/>
  <c r="G204" i="1"/>
  <c r="F214" i="1"/>
  <c r="H194" i="1"/>
  <c r="I194" i="1"/>
  <c r="G3272" i="1" l="1"/>
  <c r="F3282" i="1"/>
  <c r="H3262" i="1"/>
  <c r="I3262" i="1"/>
  <c r="H196" i="1"/>
  <c r="I196" i="1"/>
  <c r="G206" i="1"/>
  <c r="F216" i="1"/>
  <c r="H200" i="1"/>
  <c r="I200" i="1"/>
  <c r="G210" i="1"/>
  <c r="F220" i="1"/>
  <c r="G211" i="1"/>
  <c r="F221" i="1"/>
  <c r="I201" i="1"/>
  <c r="H201" i="1"/>
  <c r="H197" i="1"/>
  <c r="I197" i="1"/>
  <c r="G207" i="1"/>
  <c r="F217" i="1"/>
  <c r="H189" i="1"/>
  <c r="I189" i="1"/>
  <c r="G199" i="1"/>
  <c r="F209" i="1"/>
  <c r="G193" i="1"/>
  <c r="F203" i="1"/>
  <c r="I183" i="1"/>
  <c r="H183" i="1"/>
  <c r="F198" i="1"/>
  <c r="G188" i="1"/>
  <c r="H178" i="1"/>
  <c r="I178" i="1"/>
  <c r="F195" i="1"/>
  <c r="G185" i="1"/>
  <c r="H175" i="1"/>
  <c r="I175" i="1"/>
  <c r="G182" i="1"/>
  <c r="F192" i="1"/>
  <c r="I172" i="1"/>
  <c r="H172" i="1"/>
  <c r="I204" i="1"/>
  <c r="H204" i="1"/>
  <c r="G214" i="1"/>
  <c r="F224" i="1"/>
  <c r="H3272" i="1" l="1"/>
  <c r="I3272" i="1"/>
  <c r="F3292" i="1"/>
  <c r="G3282" i="1"/>
  <c r="H206" i="1"/>
  <c r="I206" i="1"/>
  <c r="F226" i="1"/>
  <c r="G216" i="1"/>
  <c r="H210" i="1"/>
  <c r="I210" i="1"/>
  <c r="G220" i="1"/>
  <c r="F230" i="1"/>
  <c r="H211" i="1"/>
  <c r="I211" i="1"/>
  <c r="G221" i="1"/>
  <c r="F231" i="1"/>
  <c r="H207" i="1"/>
  <c r="I207" i="1"/>
  <c r="G217" i="1"/>
  <c r="F227" i="1"/>
  <c r="H199" i="1"/>
  <c r="I199" i="1"/>
  <c r="F219" i="1"/>
  <c r="G209" i="1"/>
  <c r="I193" i="1"/>
  <c r="H193" i="1"/>
  <c r="F213" i="1"/>
  <c r="G203" i="1"/>
  <c r="G198" i="1"/>
  <c r="F208" i="1"/>
  <c r="I188" i="1"/>
  <c r="H188" i="1"/>
  <c r="G195" i="1"/>
  <c r="F205" i="1"/>
  <c r="H185" i="1"/>
  <c r="I185" i="1"/>
  <c r="H182" i="1"/>
  <c r="I182" i="1"/>
  <c r="G192" i="1"/>
  <c r="F202" i="1"/>
  <c r="I214" i="1"/>
  <c r="H214" i="1"/>
  <c r="G224" i="1"/>
  <c r="F234" i="1"/>
  <c r="G3292" i="1" l="1"/>
  <c r="F3302" i="1"/>
  <c r="H3282" i="1"/>
  <c r="I3282" i="1"/>
  <c r="G226" i="1"/>
  <c r="F236" i="1"/>
  <c r="H216" i="1"/>
  <c r="I216" i="1"/>
  <c r="H220" i="1"/>
  <c r="I220" i="1"/>
  <c r="G230" i="1"/>
  <c r="F240" i="1"/>
  <c r="H221" i="1"/>
  <c r="I221" i="1"/>
  <c r="G231" i="1"/>
  <c r="F241" i="1"/>
  <c r="I217" i="1"/>
  <c r="H217" i="1"/>
  <c r="G227" i="1"/>
  <c r="F237" i="1"/>
  <c r="G219" i="1"/>
  <c r="F229" i="1"/>
  <c r="H209" i="1"/>
  <c r="I209" i="1"/>
  <c r="F223" i="1"/>
  <c r="G213" i="1"/>
  <c r="I203" i="1"/>
  <c r="H203" i="1"/>
  <c r="I198" i="1"/>
  <c r="H198" i="1"/>
  <c r="F218" i="1"/>
  <c r="G208" i="1"/>
  <c r="H195" i="1"/>
  <c r="I195" i="1"/>
  <c r="G205" i="1"/>
  <c r="F215" i="1"/>
  <c r="H192" i="1"/>
  <c r="I192" i="1"/>
  <c r="G202" i="1"/>
  <c r="F212" i="1"/>
  <c r="H224" i="1"/>
  <c r="I224" i="1"/>
  <c r="F244" i="1"/>
  <c r="G234" i="1"/>
  <c r="I3292" i="1" l="1"/>
  <c r="H3292" i="1"/>
  <c r="F3312" i="1"/>
  <c r="G3302" i="1"/>
  <c r="H226" i="1"/>
  <c r="I226" i="1"/>
  <c r="G236" i="1"/>
  <c r="F246" i="1"/>
  <c r="I230" i="1"/>
  <c r="H230" i="1"/>
  <c r="F250" i="1"/>
  <c r="G240" i="1"/>
  <c r="I231" i="1"/>
  <c r="H231" i="1"/>
  <c r="G241" i="1"/>
  <c r="F251" i="1"/>
  <c r="H227" i="1"/>
  <c r="I227" i="1"/>
  <c r="G237" i="1"/>
  <c r="F247" i="1"/>
  <c r="H219" i="1"/>
  <c r="I219" i="1"/>
  <c r="G229" i="1"/>
  <c r="F239" i="1"/>
  <c r="G223" i="1"/>
  <c r="F233" i="1"/>
  <c r="H213" i="1"/>
  <c r="I213" i="1"/>
  <c r="F228" i="1"/>
  <c r="G218" i="1"/>
  <c r="H208" i="1"/>
  <c r="I208" i="1"/>
  <c r="H205" i="1"/>
  <c r="I205" i="1"/>
  <c r="F225" i="1"/>
  <c r="G215" i="1"/>
  <c r="I202" i="1"/>
  <c r="H202" i="1"/>
  <c r="G212" i="1"/>
  <c r="F222" i="1"/>
  <c r="F254" i="1"/>
  <c r="G244" i="1"/>
  <c r="I234" i="1"/>
  <c r="H234" i="1"/>
  <c r="G3312" i="1" l="1"/>
  <c r="F3322" i="1"/>
  <c r="I3302" i="1"/>
  <c r="H3302" i="1"/>
  <c r="I236" i="1"/>
  <c r="H236" i="1"/>
  <c r="G246" i="1"/>
  <c r="F256" i="1"/>
  <c r="G250" i="1"/>
  <c r="F260" i="1"/>
  <c r="H240" i="1"/>
  <c r="I240" i="1"/>
  <c r="H241" i="1"/>
  <c r="I241" i="1"/>
  <c r="G251" i="1"/>
  <c r="F261" i="1"/>
  <c r="H237" i="1"/>
  <c r="I237" i="1"/>
  <c r="F257" i="1"/>
  <c r="G247" i="1"/>
  <c r="H229" i="1"/>
  <c r="I229" i="1"/>
  <c r="G239" i="1"/>
  <c r="F249" i="1"/>
  <c r="H223" i="1"/>
  <c r="I223" i="1"/>
  <c r="F243" i="1"/>
  <c r="G233" i="1"/>
  <c r="G228" i="1"/>
  <c r="F238" i="1"/>
  <c r="I218" i="1"/>
  <c r="H218" i="1"/>
  <c r="G225" i="1"/>
  <c r="F235" i="1"/>
  <c r="H215" i="1"/>
  <c r="I215" i="1"/>
  <c r="I212" i="1"/>
  <c r="H212" i="1"/>
  <c r="G222" i="1"/>
  <c r="F232" i="1"/>
  <c r="F264" i="1"/>
  <c r="G254" i="1"/>
  <c r="I244" i="1"/>
  <c r="H244" i="1"/>
  <c r="H3312" i="1" l="1"/>
  <c r="I3312" i="1"/>
  <c r="F3332" i="1"/>
  <c r="G3332" i="1" s="1"/>
  <c r="G3322" i="1"/>
  <c r="I246" i="1"/>
  <c r="H246" i="1"/>
  <c r="F266" i="1"/>
  <c r="G256" i="1"/>
  <c r="I250" i="1"/>
  <c r="H250" i="1"/>
  <c r="G260" i="1"/>
  <c r="F270" i="1"/>
  <c r="H251" i="1"/>
  <c r="I251" i="1"/>
  <c r="F271" i="1"/>
  <c r="G261" i="1"/>
  <c r="G257" i="1"/>
  <c r="F267" i="1"/>
  <c r="I247" i="1"/>
  <c r="H247" i="1"/>
  <c r="H239" i="1"/>
  <c r="I239" i="1"/>
  <c r="G249" i="1"/>
  <c r="F259" i="1"/>
  <c r="F253" i="1"/>
  <c r="G243" i="1"/>
  <c r="H233" i="1"/>
  <c r="I233" i="1"/>
  <c r="H228" i="1"/>
  <c r="I228" i="1"/>
  <c r="G238" i="1"/>
  <c r="F248" i="1"/>
  <c r="H225" i="1"/>
  <c r="I225" i="1"/>
  <c r="F245" i="1"/>
  <c r="G235" i="1"/>
  <c r="H222" i="1"/>
  <c r="I222" i="1"/>
  <c r="G232" i="1"/>
  <c r="F242" i="1"/>
  <c r="F274" i="1"/>
  <c r="G264" i="1"/>
  <c r="H254" i="1"/>
  <c r="I254" i="1"/>
  <c r="I3332" i="1" l="1"/>
  <c r="H3332" i="1"/>
  <c r="I3322" i="1"/>
  <c r="H3322" i="1"/>
  <c r="G266" i="1"/>
  <c r="F276" i="1"/>
  <c r="I256" i="1"/>
  <c r="H256" i="1"/>
  <c r="H260" i="1"/>
  <c r="I260" i="1"/>
  <c r="F280" i="1"/>
  <c r="G270" i="1"/>
  <c r="G271" i="1"/>
  <c r="F281" i="1"/>
  <c r="H261" i="1"/>
  <c r="I261" i="1"/>
  <c r="H257" i="1"/>
  <c r="I257" i="1"/>
  <c r="G267" i="1"/>
  <c r="F277" i="1"/>
  <c r="I249" i="1"/>
  <c r="H249" i="1"/>
  <c r="F269" i="1"/>
  <c r="G259" i="1"/>
  <c r="F263" i="1"/>
  <c r="G253" i="1"/>
  <c r="I243" i="1"/>
  <c r="H243" i="1"/>
  <c r="I238" i="1"/>
  <c r="H238" i="1"/>
  <c r="G248" i="1"/>
  <c r="F258" i="1"/>
  <c r="G245" i="1"/>
  <c r="F255" i="1"/>
  <c r="H235" i="1"/>
  <c r="I235" i="1"/>
  <c r="H232" i="1"/>
  <c r="I232" i="1"/>
  <c r="F252" i="1"/>
  <c r="G242" i="1"/>
  <c r="G274" i="1"/>
  <c r="F284" i="1"/>
  <c r="H264" i="1"/>
  <c r="I264" i="1"/>
  <c r="H266" i="1" l="1"/>
  <c r="I266" i="1"/>
  <c r="G276" i="1"/>
  <c r="F286" i="1"/>
  <c r="G280" i="1"/>
  <c r="F290" i="1"/>
  <c r="I270" i="1"/>
  <c r="H270" i="1"/>
  <c r="I271" i="1"/>
  <c r="H271" i="1"/>
  <c r="F291" i="1"/>
  <c r="G281" i="1"/>
  <c r="I267" i="1"/>
  <c r="H267" i="1"/>
  <c r="G277" i="1"/>
  <c r="F287" i="1"/>
  <c r="G269" i="1"/>
  <c r="F279" i="1"/>
  <c r="I259" i="1"/>
  <c r="H259" i="1"/>
  <c r="F273" i="1"/>
  <c r="G263" i="1"/>
  <c r="I253" i="1"/>
  <c r="H253" i="1"/>
  <c r="I248" i="1"/>
  <c r="H248" i="1"/>
  <c r="G258" i="1"/>
  <c r="F268" i="1"/>
  <c r="H245" i="1"/>
  <c r="I245" i="1"/>
  <c r="F265" i="1"/>
  <c r="G255" i="1"/>
  <c r="G252" i="1"/>
  <c r="F262" i="1"/>
  <c r="I242" i="1"/>
  <c r="H242" i="1"/>
  <c r="H274" i="1"/>
  <c r="I274" i="1"/>
  <c r="G284" i="1"/>
  <c r="F294" i="1"/>
  <c r="H276" i="1" l="1"/>
  <c r="I276" i="1"/>
  <c r="G286" i="1"/>
  <c r="F296" i="1"/>
  <c r="I280" i="1"/>
  <c r="H280" i="1"/>
  <c r="G290" i="1"/>
  <c r="F300" i="1"/>
  <c r="G291" i="1"/>
  <c r="F301" i="1"/>
  <c r="H281" i="1"/>
  <c r="I281" i="1"/>
  <c r="I277" i="1"/>
  <c r="H277" i="1"/>
  <c r="G287" i="1"/>
  <c r="F297" i="1"/>
  <c r="H269" i="1"/>
  <c r="I269" i="1"/>
  <c r="G279" i="1"/>
  <c r="F289" i="1"/>
  <c r="F283" i="1"/>
  <c r="G273" i="1"/>
  <c r="H263" i="1"/>
  <c r="I263" i="1"/>
  <c r="I258" i="1"/>
  <c r="H258" i="1"/>
  <c r="F278" i="1"/>
  <c r="G268" i="1"/>
  <c r="G265" i="1"/>
  <c r="F275" i="1"/>
  <c r="I255" i="1"/>
  <c r="H255" i="1"/>
  <c r="H252" i="1"/>
  <c r="I252" i="1"/>
  <c r="G262" i="1"/>
  <c r="F272" i="1"/>
  <c r="I284" i="1"/>
  <c r="H284" i="1"/>
  <c r="F304" i="1"/>
  <c r="G294" i="1"/>
  <c r="I286" i="1" l="1"/>
  <c r="H286" i="1"/>
  <c r="G296" i="1"/>
  <c r="F306" i="1"/>
  <c r="I290" i="1"/>
  <c r="H290" i="1"/>
  <c r="G300" i="1"/>
  <c r="F310" i="1"/>
  <c r="H291" i="1"/>
  <c r="I291" i="1"/>
  <c r="G301" i="1"/>
  <c r="F311" i="1"/>
  <c r="I287" i="1"/>
  <c r="H287" i="1"/>
  <c r="G297" i="1"/>
  <c r="F307" i="1"/>
  <c r="I279" i="1"/>
  <c r="H279" i="1"/>
  <c r="G289" i="1"/>
  <c r="F299" i="1"/>
  <c r="G283" i="1"/>
  <c r="F293" i="1"/>
  <c r="I273" i="1"/>
  <c r="H273" i="1"/>
  <c r="G278" i="1"/>
  <c r="F288" i="1"/>
  <c r="I268" i="1"/>
  <c r="H268" i="1"/>
  <c r="H265" i="1"/>
  <c r="I265" i="1"/>
  <c r="G275" i="1"/>
  <c r="F285" i="1"/>
  <c r="H262" i="1"/>
  <c r="I262" i="1"/>
  <c r="G272" i="1"/>
  <c r="F282" i="1"/>
  <c r="G304" i="1"/>
  <c r="F314" i="1"/>
  <c r="H294" i="1"/>
  <c r="I294" i="1"/>
  <c r="H296" i="1" l="1"/>
  <c r="I296" i="1"/>
  <c r="G306" i="1"/>
  <c r="F316" i="1"/>
  <c r="H300" i="1"/>
  <c r="I300" i="1"/>
  <c r="G310" i="1"/>
  <c r="F320" i="1"/>
  <c r="H301" i="1"/>
  <c r="I301" i="1"/>
  <c r="G311" i="1"/>
  <c r="F321" i="1"/>
  <c r="H297" i="1"/>
  <c r="I297" i="1"/>
  <c r="G307" i="1"/>
  <c r="F317" i="1"/>
  <c r="I289" i="1"/>
  <c r="H289" i="1"/>
  <c r="G299" i="1"/>
  <c r="F309" i="1"/>
  <c r="I283" i="1"/>
  <c r="H283" i="1"/>
  <c r="F303" i="1"/>
  <c r="G293" i="1"/>
  <c r="I278" i="1"/>
  <c r="H278" i="1"/>
  <c r="F298" i="1"/>
  <c r="G288" i="1"/>
  <c r="I275" i="1"/>
  <c r="H275" i="1"/>
  <c r="F295" i="1"/>
  <c r="G285" i="1"/>
  <c r="I272" i="1"/>
  <c r="H272" i="1"/>
  <c r="G282" i="1"/>
  <c r="F292" i="1"/>
  <c r="H304" i="1"/>
  <c r="I304" i="1"/>
  <c r="F324" i="1"/>
  <c r="G314" i="1"/>
  <c r="H306" i="1" l="1"/>
  <c r="I306" i="1"/>
  <c r="F326" i="1"/>
  <c r="G316" i="1"/>
  <c r="H310" i="1"/>
  <c r="I310" i="1"/>
  <c r="F330" i="1"/>
  <c r="G320" i="1"/>
  <c r="H311" i="1"/>
  <c r="I311" i="1"/>
  <c r="G321" i="1"/>
  <c r="F331" i="1"/>
  <c r="H307" i="1"/>
  <c r="I307" i="1"/>
  <c r="F327" i="1"/>
  <c r="G317" i="1"/>
  <c r="I299" i="1"/>
  <c r="H299" i="1"/>
  <c r="G309" i="1"/>
  <c r="F319" i="1"/>
  <c r="F313" i="1"/>
  <c r="G303" i="1"/>
  <c r="I293" i="1"/>
  <c r="H293" i="1"/>
  <c r="F308" i="1"/>
  <c r="G298" i="1"/>
  <c r="H288" i="1"/>
  <c r="I288" i="1"/>
  <c r="G295" i="1"/>
  <c r="F305" i="1"/>
  <c r="H285" i="1"/>
  <c r="I285" i="1"/>
  <c r="I282" i="1"/>
  <c r="H282" i="1"/>
  <c r="G292" i="1"/>
  <c r="F302" i="1"/>
  <c r="F334" i="1"/>
  <c r="G324" i="1"/>
  <c r="H314" i="1"/>
  <c r="I314" i="1"/>
  <c r="G326" i="1" l="1"/>
  <c r="F336" i="1"/>
  <c r="H316" i="1"/>
  <c r="I316" i="1"/>
  <c r="G330" i="1"/>
  <c r="F340" i="1"/>
  <c r="I320" i="1"/>
  <c r="H320" i="1"/>
  <c r="H321" i="1"/>
  <c r="I321" i="1"/>
  <c r="F341" i="1"/>
  <c r="G331" i="1"/>
  <c r="G327" i="1"/>
  <c r="F337" i="1"/>
  <c r="I317" i="1"/>
  <c r="H317" i="1"/>
  <c r="H309" i="1"/>
  <c r="I309" i="1"/>
  <c r="G319" i="1"/>
  <c r="F329" i="1"/>
  <c r="G313" i="1"/>
  <c r="F323" i="1"/>
  <c r="I303" i="1"/>
  <c r="H303" i="1"/>
  <c r="F318" i="1"/>
  <c r="G308" i="1"/>
  <c r="I298" i="1"/>
  <c r="H298" i="1"/>
  <c r="I295" i="1"/>
  <c r="H295" i="1"/>
  <c r="F315" i="1"/>
  <c r="G305" i="1"/>
  <c r="H292" i="1"/>
  <c r="I292" i="1"/>
  <c r="F312" i="1"/>
  <c r="G302" i="1"/>
  <c r="G334" i="1"/>
  <c r="F344" i="1"/>
  <c r="H324" i="1"/>
  <c r="I324" i="1"/>
  <c r="H326" i="1" l="1"/>
  <c r="I326" i="1"/>
  <c r="G336" i="1"/>
  <c r="F346" i="1"/>
  <c r="H330" i="1"/>
  <c r="I330" i="1"/>
  <c r="F350" i="1"/>
  <c r="G340" i="1"/>
  <c r="G341" i="1"/>
  <c r="F351" i="1"/>
  <c r="H331" i="1"/>
  <c r="I331" i="1"/>
  <c r="I327" i="1"/>
  <c r="H327" i="1"/>
  <c r="G337" i="1"/>
  <c r="F347" i="1"/>
  <c r="H319" i="1"/>
  <c r="I319" i="1"/>
  <c r="F339" i="1"/>
  <c r="G329" i="1"/>
  <c r="I313" i="1"/>
  <c r="H313" i="1"/>
  <c r="F333" i="1"/>
  <c r="G323" i="1"/>
  <c r="G318" i="1"/>
  <c r="F328" i="1"/>
  <c r="H308" i="1"/>
  <c r="I308" i="1"/>
  <c r="G315" i="1"/>
  <c r="F325" i="1"/>
  <c r="I305" i="1"/>
  <c r="H305" i="1"/>
  <c r="G312" i="1"/>
  <c r="F322" i="1"/>
  <c r="H302" i="1"/>
  <c r="I302" i="1"/>
  <c r="H334" i="1"/>
  <c r="I334" i="1"/>
  <c r="G344" i="1"/>
  <c r="F354" i="1"/>
  <c r="H336" i="1" l="1"/>
  <c r="I336" i="1"/>
  <c r="G346" i="1"/>
  <c r="F356" i="1"/>
  <c r="G350" i="1"/>
  <c r="F360" i="1"/>
  <c r="H340" i="1"/>
  <c r="I340" i="1"/>
  <c r="I341" i="1"/>
  <c r="H341" i="1"/>
  <c r="G351" i="1"/>
  <c r="F361" i="1"/>
  <c r="H337" i="1"/>
  <c r="I337" i="1"/>
  <c r="G347" i="1"/>
  <c r="F357" i="1"/>
  <c r="G339" i="1"/>
  <c r="F349" i="1"/>
  <c r="H329" i="1"/>
  <c r="I329" i="1"/>
  <c r="G333" i="1"/>
  <c r="F343" i="1"/>
  <c r="H323" i="1"/>
  <c r="I323" i="1"/>
  <c r="I318" i="1"/>
  <c r="H318" i="1"/>
  <c r="G328" i="1"/>
  <c r="F338" i="1"/>
  <c r="H315" i="1"/>
  <c r="I315" i="1"/>
  <c r="F335" i="1"/>
  <c r="G325" i="1"/>
  <c r="I312" i="1"/>
  <c r="H312" i="1"/>
  <c r="G322" i="1"/>
  <c r="F332" i="1"/>
  <c r="I344" i="1"/>
  <c r="H344" i="1"/>
  <c r="G354" i="1"/>
  <c r="F364" i="1"/>
  <c r="I346" i="1" l="1"/>
  <c r="H346" i="1"/>
  <c r="G356" i="1"/>
  <c r="F366" i="1"/>
  <c r="H350" i="1"/>
  <c r="I350" i="1"/>
  <c r="G360" i="1"/>
  <c r="F370" i="1"/>
  <c r="H351" i="1"/>
  <c r="I351" i="1"/>
  <c r="G361" i="1"/>
  <c r="F371" i="1"/>
  <c r="H347" i="1"/>
  <c r="I347" i="1"/>
  <c r="G357" i="1"/>
  <c r="F367" i="1"/>
  <c r="I339" i="1"/>
  <c r="H339" i="1"/>
  <c r="G349" i="1"/>
  <c r="F359" i="1"/>
  <c r="I333" i="1"/>
  <c r="H333" i="1"/>
  <c r="G343" i="1"/>
  <c r="F353" i="1"/>
  <c r="I328" i="1"/>
  <c r="H328" i="1"/>
  <c r="F348" i="1"/>
  <c r="G338" i="1"/>
  <c r="F345" i="1"/>
  <c r="G335" i="1"/>
  <c r="I325" i="1"/>
  <c r="H325" i="1"/>
  <c r="H322" i="1"/>
  <c r="I322" i="1"/>
  <c r="G332" i="1"/>
  <c r="F342" i="1"/>
  <c r="I354" i="1"/>
  <c r="H354" i="1"/>
  <c r="G364" i="1"/>
  <c r="F374" i="1"/>
  <c r="H356" i="1" l="1"/>
  <c r="I356" i="1"/>
  <c r="G366" i="1"/>
  <c r="F376" i="1"/>
  <c r="I360" i="1"/>
  <c r="H360" i="1"/>
  <c r="G370" i="1"/>
  <c r="F380" i="1"/>
  <c r="I361" i="1"/>
  <c r="H361" i="1"/>
  <c r="G371" i="1"/>
  <c r="F381" i="1"/>
  <c r="H357" i="1"/>
  <c r="I357" i="1"/>
  <c r="G367" i="1"/>
  <c r="F377" i="1"/>
  <c r="I349" i="1"/>
  <c r="H349" i="1"/>
  <c r="G359" i="1"/>
  <c r="F369" i="1"/>
  <c r="I343" i="1"/>
  <c r="H343" i="1"/>
  <c r="G353" i="1"/>
  <c r="F363" i="1"/>
  <c r="G348" i="1"/>
  <c r="F358" i="1"/>
  <c r="H338" i="1"/>
  <c r="I338" i="1"/>
  <c r="G345" i="1"/>
  <c r="F355" i="1"/>
  <c r="I335" i="1"/>
  <c r="H335" i="1"/>
  <c r="H332" i="1"/>
  <c r="I332" i="1"/>
  <c r="F352" i="1"/>
  <c r="G342" i="1"/>
  <c r="I364" i="1"/>
  <c r="H364" i="1"/>
  <c r="F384" i="1"/>
  <c r="G374" i="1"/>
  <c r="I366" i="1" l="1"/>
  <c r="H366" i="1"/>
  <c r="G376" i="1"/>
  <c r="F386" i="1"/>
  <c r="I370" i="1"/>
  <c r="H370" i="1"/>
  <c r="G380" i="1"/>
  <c r="F390" i="1"/>
  <c r="H371" i="1"/>
  <c r="I371" i="1"/>
  <c r="F391" i="1"/>
  <c r="G381" i="1"/>
  <c r="I367" i="1"/>
  <c r="H367" i="1"/>
  <c r="G377" i="1"/>
  <c r="F387" i="1"/>
  <c r="H359" i="1"/>
  <c r="I359" i="1"/>
  <c r="G369" i="1"/>
  <c r="F379" i="1"/>
  <c r="H353" i="1"/>
  <c r="I353" i="1"/>
  <c r="G363" i="1"/>
  <c r="F373" i="1"/>
  <c r="I348" i="1"/>
  <c r="H348" i="1"/>
  <c r="F368" i="1"/>
  <c r="G358" i="1"/>
  <c r="I345" i="1"/>
  <c r="H345" i="1"/>
  <c r="G355" i="1"/>
  <c r="F365" i="1"/>
  <c r="G352" i="1"/>
  <c r="F362" i="1"/>
  <c r="I342" i="1"/>
  <c r="H342" i="1"/>
  <c r="F394" i="1"/>
  <c r="G384" i="1"/>
  <c r="H374" i="1"/>
  <c r="I374" i="1"/>
  <c r="H376" i="1" l="1"/>
  <c r="I376" i="1"/>
  <c r="G386" i="1"/>
  <c r="F396" i="1"/>
  <c r="I380" i="1"/>
  <c r="H380" i="1"/>
  <c r="G390" i="1"/>
  <c r="F400" i="1"/>
  <c r="G391" i="1"/>
  <c r="F401" i="1"/>
  <c r="H381" i="1"/>
  <c r="I381" i="1"/>
  <c r="I377" i="1"/>
  <c r="H377" i="1"/>
  <c r="G387" i="1"/>
  <c r="F397" i="1"/>
  <c r="I369" i="1"/>
  <c r="H369" i="1"/>
  <c r="G379" i="1"/>
  <c r="F389" i="1"/>
  <c r="I363" i="1"/>
  <c r="H363" i="1"/>
  <c r="F383" i="1"/>
  <c r="G373" i="1"/>
  <c r="F378" i="1"/>
  <c r="G368" i="1"/>
  <c r="H358" i="1"/>
  <c r="I358" i="1"/>
  <c r="I355" i="1"/>
  <c r="H355" i="1"/>
  <c r="G365" i="1"/>
  <c r="F375" i="1"/>
  <c r="H352" i="1"/>
  <c r="I352" i="1"/>
  <c r="G362" i="1"/>
  <c r="F372" i="1"/>
  <c r="F404" i="1"/>
  <c r="G394" i="1"/>
  <c r="H384" i="1"/>
  <c r="I384" i="1"/>
  <c r="H386" i="1" l="1"/>
  <c r="I386" i="1"/>
  <c r="G396" i="1"/>
  <c r="F406" i="1"/>
  <c r="H390" i="1"/>
  <c r="I390" i="1"/>
  <c r="F410" i="1"/>
  <c r="G400" i="1"/>
  <c r="H391" i="1"/>
  <c r="I391" i="1"/>
  <c r="G401" i="1"/>
  <c r="F411" i="1"/>
  <c r="H387" i="1"/>
  <c r="I387" i="1"/>
  <c r="F407" i="1"/>
  <c r="G397" i="1"/>
  <c r="H379" i="1"/>
  <c r="I379" i="1"/>
  <c r="G389" i="1"/>
  <c r="F399" i="1"/>
  <c r="F393" i="1"/>
  <c r="G383" i="1"/>
  <c r="H373" i="1"/>
  <c r="I373" i="1"/>
  <c r="G378" i="1"/>
  <c r="F388" i="1"/>
  <c r="H368" i="1"/>
  <c r="I368" i="1"/>
  <c r="H365" i="1"/>
  <c r="I365" i="1"/>
  <c r="F385" i="1"/>
  <c r="G375" i="1"/>
  <c r="H362" i="1"/>
  <c r="I362" i="1"/>
  <c r="G372" i="1"/>
  <c r="F382" i="1"/>
  <c r="G404" i="1"/>
  <c r="F414" i="1"/>
  <c r="H394" i="1"/>
  <c r="I394" i="1"/>
  <c r="H396" i="1" l="1"/>
  <c r="I396" i="1"/>
  <c r="F416" i="1"/>
  <c r="G406" i="1"/>
  <c r="G410" i="1"/>
  <c r="F420" i="1"/>
  <c r="H400" i="1"/>
  <c r="I400" i="1"/>
  <c r="H401" i="1"/>
  <c r="I401" i="1"/>
  <c r="G411" i="1"/>
  <c r="F421" i="1"/>
  <c r="G407" i="1"/>
  <c r="F417" i="1"/>
  <c r="H397" i="1"/>
  <c r="I397" i="1"/>
  <c r="I389" i="1"/>
  <c r="H389" i="1"/>
  <c r="G399" i="1"/>
  <c r="F409" i="1"/>
  <c r="F403" i="1"/>
  <c r="G393" i="1"/>
  <c r="I383" i="1"/>
  <c r="H383" i="1"/>
  <c r="I378" i="1"/>
  <c r="H378" i="1"/>
  <c r="F398" i="1"/>
  <c r="G388" i="1"/>
  <c r="F395" i="1"/>
  <c r="G385" i="1"/>
  <c r="I375" i="1"/>
  <c r="H375" i="1"/>
  <c r="H372" i="1"/>
  <c r="I372" i="1"/>
  <c r="F392" i="1"/>
  <c r="G382" i="1"/>
  <c r="I404" i="1"/>
  <c r="H404" i="1"/>
  <c r="G414" i="1"/>
  <c r="F424" i="1"/>
  <c r="G416" i="1" l="1"/>
  <c r="F426" i="1"/>
  <c r="H406" i="1"/>
  <c r="I406" i="1"/>
  <c r="H410" i="1"/>
  <c r="I410" i="1"/>
  <c r="G420" i="1"/>
  <c r="F430" i="1"/>
  <c r="H411" i="1"/>
  <c r="I411" i="1"/>
  <c r="G421" i="1"/>
  <c r="F431" i="1"/>
  <c r="I407" i="1"/>
  <c r="H407" i="1"/>
  <c r="G417" i="1"/>
  <c r="F427" i="1"/>
  <c r="I399" i="1"/>
  <c r="H399" i="1"/>
  <c r="F419" i="1"/>
  <c r="G409" i="1"/>
  <c r="G403" i="1"/>
  <c r="F413" i="1"/>
  <c r="H393" i="1"/>
  <c r="I393" i="1"/>
  <c r="G398" i="1"/>
  <c r="F408" i="1"/>
  <c r="H388" i="1"/>
  <c r="I388" i="1"/>
  <c r="G395" i="1"/>
  <c r="F405" i="1"/>
  <c r="H385" i="1"/>
  <c r="I385" i="1"/>
  <c r="G392" i="1"/>
  <c r="F402" i="1"/>
  <c r="H382" i="1"/>
  <c r="I382" i="1"/>
  <c r="I414" i="1"/>
  <c r="H414" i="1"/>
  <c r="G424" i="1"/>
  <c r="F434" i="1"/>
  <c r="H416" i="1" l="1"/>
  <c r="I416" i="1"/>
  <c r="G426" i="1"/>
  <c r="F436" i="1"/>
  <c r="H420" i="1"/>
  <c r="I420" i="1"/>
  <c r="G430" i="1"/>
  <c r="F440" i="1"/>
  <c r="I421" i="1"/>
  <c r="H421" i="1"/>
  <c r="G431" i="1"/>
  <c r="F441" i="1"/>
  <c r="H417" i="1"/>
  <c r="I417" i="1"/>
  <c r="G427" i="1"/>
  <c r="F437" i="1"/>
  <c r="G419" i="1"/>
  <c r="F429" i="1"/>
  <c r="H409" i="1"/>
  <c r="I409" i="1"/>
  <c r="H403" i="1"/>
  <c r="I403" i="1"/>
  <c r="G413" i="1"/>
  <c r="F423" i="1"/>
  <c r="I398" i="1"/>
  <c r="H398" i="1"/>
  <c r="F418" i="1"/>
  <c r="G408" i="1"/>
  <c r="I395" i="1"/>
  <c r="H395" i="1"/>
  <c r="F415" i="1"/>
  <c r="G405" i="1"/>
  <c r="I392" i="1"/>
  <c r="H392" i="1"/>
  <c r="G402" i="1"/>
  <c r="F412" i="1"/>
  <c r="I424" i="1"/>
  <c r="H424" i="1"/>
  <c r="G434" i="1"/>
  <c r="F444" i="1"/>
  <c r="I426" i="1" l="1"/>
  <c r="H426" i="1"/>
  <c r="G436" i="1"/>
  <c r="F446" i="1"/>
  <c r="I430" i="1"/>
  <c r="H430" i="1"/>
  <c r="F450" i="1"/>
  <c r="G440" i="1"/>
  <c r="H431" i="1"/>
  <c r="I431" i="1"/>
  <c r="F451" i="1"/>
  <c r="G441" i="1"/>
  <c r="H427" i="1"/>
  <c r="I427" i="1"/>
  <c r="G437" i="1"/>
  <c r="F447" i="1"/>
  <c r="H419" i="1"/>
  <c r="I419" i="1"/>
  <c r="G429" i="1"/>
  <c r="F439" i="1"/>
  <c r="I413" i="1"/>
  <c r="H413" i="1"/>
  <c r="F433" i="1"/>
  <c r="G423" i="1"/>
  <c r="G418" i="1"/>
  <c r="F428" i="1"/>
  <c r="H408" i="1"/>
  <c r="I408" i="1"/>
  <c r="F425" i="1"/>
  <c r="G415" i="1"/>
  <c r="I405" i="1"/>
  <c r="H405" i="1"/>
  <c r="I402" i="1"/>
  <c r="H402" i="1"/>
  <c r="G412" i="1"/>
  <c r="F422" i="1"/>
  <c r="I434" i="1"/>
  <c r="H434" i="1"/>
  <c r="G444" i="1"/>
  <c r="F454" i="1"/>
  <c r="I436" i="1" l="1"/>
  <c r="H436" i="1"/>
  <c r="G446" i="1"/>
  <c r="F456" i="1"/>
  <c r="G450" i="1"/>
  <c r="F460" i="1"/>
  <c r="H440" i="1"/>
  <c r="I440" i="1"/>
  <c r="G451" i="1"/>
  <c r="F461" i="1"/>
  <c r="H441" i="1"/>
  <c r="I441" i="1"/>
  <c r="I437" i="1"/>
  <c r="H437" i="1"/>
  <c r="G447" i="1"/>
  <c r="F457" i="1"/>
  <c r="H429" i="1"/>
  <c r="I429" i="1"/>
  <c r="G439" i="1"/>
  <c r="F449" i="1"/>
  <c r="F443" i="1"/>
  <c r="G433" i="1"/>
  <c r="I423" i="1"/>
  <c r="H423" i="1"/>
  <c r="I418" i="1"/>
  <c r="H418" i="1"/>
  <c r="F438" i="1"/>
  <c r="G428" i="1"/>
  <c r="F435" i="1"/>
  <c r="G425" i="1"/>
  <c r="H415" i="1"/>
  <c r="I415" i="1"/>
  <c r="I412" i="1"/>
  <c r="H412" i="1"/>
  <c r="G422" i="1"/>
  <c r="F432" i="1"/>
  <c r="I444" i="1"/>
  <c r="H444" i="1"/>
  <c r="G454" i="1"/>
  <c r="F464" i="1"/>
  <c r="I446" i="1" l="1"/>
  <c r="H446" i="1"/>
  <c r="G456" i="1"/>
  <c r="F466" i="1"/>
  <c r="I450" i="1"/>
  <c r="H450" i="1"/>
  <c r="F470" i="1"/>
  <c r="G460" i="1"/>
  <c r="H451" i="1"/>
  <c r="I451" i="1"/>
  <c r="G461" i="1"/>
  <c r="F471" i="1"/>
  <c r="I447" i="1"/>
  <c r="H447" i="1"/>
  <c r="G457" i="1"/>
  <c r="F467" i="1"/>
  <c r="H439" i="1"/>
  <c r="I439" i="1"/>
  <c r="F459" i="1"/>
  <c r="G449" i="1"/>
  <c r="F453" i="1"/>
  <c r="G443" i="1"/>
  <c r="I433" i="1"/>
  <c r="H433" i="1"/>
  <c r="F448" i="1"/>
  <c r="G438" i="1"/>
  <c r="H428" i="1"/>
  <c r="I428" i="1"/>
  <c r="F445" i="1"/>
  <c r="G435" i="1"/>
  <c r="H425" i="1"/>
  <c r="I425" i="1"/>
  <c r="H422" i="1"/>
  <c r="I422" i="1"/>
  <c r="F442" i="1"/>
  <c r="G432" i="1"/>
  <c r="I454" i="1"/>
  <c r="H454" i="1"/>
  <c r="G464" i="1"/>
  <c r="F474" i="1"/>
  <c r="H456" i="1" l="1"/>
  <c r="I456" i="1"/>
  <c r="G466" i="1"/>
  <c r="F476" i="1"/>
  <c r="G470" i="1"/>
  <c r="F480" i="1"/>
  <c r="H460" i="1"/>
  <c r="I460" i="1"/>
  <c r="I461" i="1"/>
  <c r="H461" i="1"/>
  <c r="F481" i="1"/>
  <c r="G471" i="1"/>
  <c r="H457" i="1"/>
  <c r="I457" i="1"/>
  <c r="G467" i="1"/>
  <c r="F477" i="1"/>
  <c r="G459" i="1"/>
  <c r="F469" i="1"/>
  <c r="H449" i="1"/>
  <c r="I449" i="1"/>
  <c r="F463" i="1"/>
  <c r="G453" i="1"/>
  <c r="I443" i="1"/>
  <c r="H443" i="1"/>
  <c r="G448" i="1"/>
  <c r="F458" i="1"/>
  <c r="I438" i="1"/>
  <c r="H438" i="1"/>
  <c r="G445" i="1"/>
  <c r="F455" i="1"/>
  <c r="H435" i="1"/>
  <c r="I435" i="1"/>
  <c r="G442" i="1"/>
  <c r="F452" i="1"/>
  <c r="I432" i="1"/>
  <c r="H432" i="1"/>
  <c r="H464" i="1"/>
  <c r="I464" i="1"/>
  <c r="G474" i="1"/>
  <c r="F484" i="1"/>
  <c r="H466" i="1" l="1"/>
  <c r="I466" i="1"/>
  <c r="G476" i="1"/>
  <c r="F486" i="1"/>
  <c r="I470" i="1"/>
  <c r="H470" i="1"/>
  <c r="G480" i="1"/>
  <c r="F490" i="1"/>
  <c r="G481" i="1"/>
  <c r="F491" i="1"/>
  <c r="H471" i="1"/>
  <c r="I471" i="1"/>
  <c r="H467" i="1"/>
  <c r="I467" i="1"/>
  <c r="F487" i="1"/>
  <c r="G477" i="1"/>
  <c r="I459" i="1"/>
  <c r="H459" i="1"/>
  <c r="G469" i="1"/>
  <c r="F479" i="1"/>
  <c r="G463" i="1"/>
  <c r="F473" i="1"/>
  <c r="I453" i="1"/>
  <c r="H453" i="1"/>
  <c r="H448" i="1"/>
  <c r="I448" i="1"/>
  <c r="G458" i="1"/>
  <c r="F468" i="1"/>
  <c r="I445" i="1"/>
  <c r="H445" i="1"/>
  <c r="G455" i="1"/>
  <c r="F465" i="1"/>
  <c r="I442" i="1"/>
  <c r="H442" i="1"/>
  <c r="G452" i="1"/>
  <c r="F462" i="1"/>
  <c r="H474" i="1"/>
  <c r="I474" i="1"/>
  <c r="G484" i="1"/>
  <c r="F494" i="1"/>
  <c r="H476" i="1" l="1"/>
  <c r="I476" i="1"/>
  <c r="G486" i="1"/>
  <c r="F496" i="1"/>
  <c r="H480" i="1"/>
  <c r="I480" i="1"/>
  <c r="F500" i="1"/>
  <c r="G490" i="1"/>
  <c r="H481" i="1"/>
  <c r="I481" i="1"/>
  <c r="G491" i="1"/>
  <c r="F501" i="1"/>
  <c r="G487" i="1"/>
  <c r="F497" i="1"/>
  <c r="H477" i="1"/>
  <c r="I477" i="1"/>
  <c r="H469" i="1"/>
  <c r="I469" i="1"/>
  <c r="G479" i="1"/>
  <c r="F489" i="1"/>
  <c r="H463" i="1"/>
  <c r="I463" i="1"/>
  <c r="F483" i="1"/>
  <c r="G473" i="1"/>
  <c r="I458" i="1"/>
  <c r="H458" i="1"/>
  <c r="F478" i="1"/>
  <c r="G468" i="1"/>
  <c r="H455" i="1"/>
  <c r="I455" i="1"/>
  <c r="F475" i="1"/>
  <c r="G465" i="1"/>
  <c r="H452" i="1"/>
  <c r="I452" i="1"/>
  <c r="F472" i="1"/>
  <c r="G462" i="1"/>
  <c r="I484" i="1"/>
  <c r="H484" i="1"/>
  <c r="F504" i="1"/>
  <c r="G494" i="1"/>
  <c r="I486" i="1" l="1"/>
  <c r="H486" i="1"/>
  <c r="F506" i="1"/>
  <c r="G496" i="1"/>
  <c r="G500" i="1"/>
  <c r="F510" i="1"/>
  <c r="I490" i="1"/>
  <c r="H490" i="1"/>
  <c r="I491" i="1"/>
  <c r="H491" i="1"/>
  <c r="G501" i="1"/>
  <c r="F511" i="1"/>
  <c r="H487" i="1"/>
  <c r="I487" i="1"/>
  <c r="G497" i="1"/>
  <c r="F507" i="1"/>
  <c r="I479" i="1"/>
  <c r="H479" i="1"/>
  <c r="G489" i="1"/>
  <c r="F499" i="1"/>
  <c r="F493" i="1"/>
  <c r="G483" i="1"/>
  <c r="I473" i="1"/>
  <c r="H473" i="1"/>
  <c r="G478" i="1"/>
  <c r="F488" i="1"/>
  <c r="H468" i="1"/>
  <c r="I468" i="1"/>
  <c r="G475" i="1"/>
  <c r="F485" i="1"/>
  <c r="H465" i="1"/>
  <c r="I465" i="1"/>
  <c r="G472" i="1"/>
  <c r="F482" i="1"/>
  <c r="H462" i="1"/>
  <c r="I462" i="1"/>
  <c r="F514" i="1"/>
  <c r="G504" i="1"/>
  <c r="I494" i="1"/>
  <c r="H494" i="1"/>
  <c r="G506" i="1" l="1"/>
  <c r="F516" i="1"/>
  <c r="H496" i="1"/>
  <c r="I496" i="1"/>
  <c r="H500" i="1"/>
  <c r="I500" i="1"/>
  <c r="G510" i="1"/>
  <c r="F520" i="1"/>
  <c r="I501" i="1"/>
  <c r="H501" i="1"/>
  <c r="F521" i="1"/>
  <c r="G511" i="1"/>
  <c r="H497" i="1"/>
  <c r="I497" i="1"/>
  <c r="F517" i="1"/>
  <c r="G507" i="1"/>
  <c r="H489" i="1"/>
  <c r="I489" i="1"/>
  <c r="G499" i="1"/>
  <c r="F509" i="1"/>
  <c r="F503" i="1"/>
  <c r="G493" i="1"/>
  <c r="I483" i="1"/>
  <c r="H483" i="1"/>
  <c r="H478" i="1"/>
  <c r="I478" i="1"/>
  <c r="F498" i="1"/>
  <c r="G488" i="1"/>
  <c r="I475" i="1"/>
  <c r="H475" i="1"/>
  <c r="F495" i="1"/>
  <c r="G485" i="1"/>
  <c r="I472" i="1"/>
  <c r="H472" i="1"/>
  <c r="F492" i="1"/>
  <c r="G482" i="1"/>
  <c r="F524" i="1"/>
  <c r="G514" i="1"/>
  <c r="H504" i="1"/>
  <c r="I504" i="1"/>
  <c r="H506" i="1" l="1"/>
  <c r="I506" i="1"/>
  <c r="G516" i="1"/>
  <c r="F526" i="1"/>
  <c r="H510" i="1"/>
  <c r="I510" i="1"/>
  <c r="G520" i="1"/>
  <c r="F530" i="1"/>
  <c r="G521" i="1"/>
  <c r="F531" i="1"/>
  <c r="I511" i="1"/>
  <c r="H511" i="1"/>
  <c r="G517" i="1"/>
  <c r="F527" i="1"/>
  <c r="H507" i="1"/>
  <c r="I507" i="1"/>
  <c r="H499" i="1"/>
  <c r="I499" i="1"/>
  <c r="F519" i="1"/>
  <c r="G509" i="1"/>
  <c r="F513" i="1"/>
  <c r="G503" i="1"/>
  <c r="I493" i="1"/>
  <c r="H493" i="1"/>
  <c r="F508" i="1"/>
  <c r="G498" i="1"/>
  <c r="I488" i="1"/>
  <c r="H488" i="1"/>
  <c r="F505" i="1"/>
  <c r="G495" i="1"/>
  <c r="H485" i="1"/>
  <c r="I485" i="1"/>
  <c r="G492" i="1"/>
  <c r="F502" i="1"/>
  <c r="I482" i="1"/>
  <c r="H482" i="1"/>
  <c r="G524" i="1"/>
  <c r="F534" i="1"/>
  <c r="I514" i="1"/>
  <c r="H514" i="1"/>
  <c r="H516" i="1" l="1"/>
  <c r="I516" i="1"/>
  <c r="G526" i="1"/>
  <c r="F536" i="1"/>
  <c r="I520" i="1"/>
  <c r="H520" i="1"/>
  <c r="G530" i="1"/>
  <c r="F540" i="1"/>
  <c r="H521" i="1"/>
  <c r="I521" i="1"/>
  <c r="G531" i="1"/>
  <c r="F541" i="1"/>
  <c r="I517" i="1"/>
  <c r="H517" i="1"/>
  <c r="G527" i="1"/>
  <c r="F537" i="1"/>
  <c r="G519" i="1"/>
  <c r="F529" i="1"/>
  <c r="H509" i="1"/>
  <c r="I509" i="1"/>
  <c r="G513" i="1"/>
  <c r="F523" i="1"/>
  <c r="I503" i="1"/>
  <c r="H503" i="1"/>
  <c r="F518" i="1"/>
  <c r="G508" i="1"/>
  <c r="I498" i="1"/>
  <c r="H498" i="1"/>
  <c r="F515" i="1"/>
  <c r="G505" i="1"/>
  <c r="I495" i="1"/>
  <c r="H495" i="1"/>
  <c r="H492" i="1"/>
  <c r="I492" i="1"/>
  <c r="G502" i="1"/>
  <c r="F512" i="1"/>
  <c r="H524" i="1"/>
  <c r="I524" i="1"/>
  <c r="G534" i="1"/>
  <c r="F544" i="1"/>
  <c r="H526" i="1" l="1"/>
  <c r="I526" i="1"/>
  <c r="F546" i="1"/>
  <c r="G536" i="1"/>
  <c r="I530" i="1"/>
  <c r="H530" i="1"/>
  <c r="G540" i="1"/>
  <c r="F550" i="1"/>
  <c r="H531" i="1"/>
  <c r="I531" i="1"/>
  <c r="G541" i="1"/>
  <c r="F551" i="1"/>
  <c r="I527" i="1"/>
  <c r="H527" i="1"/>
  <c r="G537" i="1"/>
  <c r="F547" i="1"/>
  <c r="H519" i="1"/>
  <c r="I519" i="1"/>
  <c r="G529" i="1"/>
  <c r="F539" i="1"/>
  <c r="H513" i="1"/>
  <c r="I513" i="1"/>
  <c r="F533" i="1"/>
  <c r="G523" i="1"/>
  <c r="G518" i="1"/>
  <c r="F528" i="1"/>
  <c r="I508" i="1"/>
  <c r="H508" i="1"/>
  <c r="F525" i="1"/>
  <c r="G515" i="1"/>
  <c r="H505" i="1"/>
  <c r="I505" i="1"/>
  <c r="H502" i="1"/>
  <c r="I502" i="1"/>
  <c r="G512" i="1"/>
  <c r="F522" i="1"/>
  <c r="H534" i="1"/>
  <c r="I534" i="1"/>
  <c r="G544" i="1"/>
  <c r="F554" i="1"/>
  <c r="G546" i="1" l="1"/>
  <c r="F556" i="1"/>
  <c r="H536" i="1"/>
  <c r="I536" i="1"/>
  <c r="H540" i="1"/>
  <c r="I540" i="1"/>
  <c r="G550" i="1"/>
  <c r="F560" i="1"/>
  <c r="I541" i="1"/>
  <c r="H541" i="1"/>
  <c r="G551" i="1"/>
  <c r="F561" i="1"/>
  <c r="I537" i="1"/>
  <c r="H537" i="1"/>
  <c r="G547" i="1"/>
  <c r="F557" i="1"/>
  <c r="I529" i="1"/>
  <c r="H529" i="1"/>
  <c r="G539" i="1"/>
  <c r="F549" i="1"/>
  <c r="G533" i="1"/>
  <c r="F543" i="1"/>
  <c r="I523" i="1"/>
  <c r="H523" i="1"/>
  <c r="I518" i="1"/>
  <c r="H518" i="1"/>
  <c r="F538" i="1"/>
  <c r="G528" i="1"/>
  <c r="F535" i="1"/>
  <c r="G525" i="1"/>
  <c r="I515" i="1"/>
  <c r="H515" i="1"/>
  <c r="I512" i="1"/>
  <c r="H512" i="1"/>
  <c r="F532" i="1"/>
  <c r="G522" i="1"/>
  <c r="H544" i="1"/>
  <c r="I544" i="1"/>
  <c r="F564" i="1"/>
  <c r="G554" i="1"/>
  <c r="I546" i="1" l="1"/>
  <c r="H546" i="1"/>
  <c r="G556" i="1"/>
  <c r="F566" i="1"/>
  <c r="I550" i="1"/>
  <c r="H550" i="1"/>
  <c r="F570" i="1"/>
  <c r="G560" i="1"/>
  <c r="I551" i="1"/>
  <c r="H551" i="1"/>
  <c r="G561" i="1"/>
  <c r="F571" i="1"/>
  <c r="H547" i="1"/>
  <c r="I547" i="1"/>
  <c r="G557" i="1"/>
  <c r="F567" i="1"/>
  <c r="H539" i="1"/>
  <c r="I539" i="1"/>
  <c r="F559" i="1"/>
  <c r="G549" i="1"/>
  <c r="I533" i="1"/>
  <c r="H533" i="1"/>
  <c r="G543" i="1"/>
  <c r="F553" i="1"/>
  <c r="G538" i="1"/>
  <c r="F548" i="1"/>
  <c r="H528" i="1"/>
  <c r="I528" i="1"/>
  <c r="F545" i="1"/>
  <c r="G535" i="1"/>
  <c r="H525" i="1"/>
  <c r="I525" i="1"/>
  <c r="G532" i="1"/>
  <c r="F542" i="1"/>
  <c r="I522" i="1"/>
  <c r="H522" i="1"/>
  <c r="G564" i="1"/>
  <c r="F574" i="1"/>
  <c r="I554" i="1"/>
  <c r="H554" i="1"/>
  <c r="I556" i="1" l="1"/>
  <c r="H556" i="1"/>
  <c r="G566" i="1"/>
  <c r="F576" i="1"/>
  <c r="G570" i="1"/>
  <c r="F580" i="1"/>
  <c r="I560" i="1"/>
  <c r="H560" i="1"/>
  <c r="I561" i="1"/>
  <c r="H561" i="1"/>
  <c r="G571" i="1"/>
  <c r="F581" i="1"/>
  <c r="H557" i="1"/>
  <c r="I557" i="1"/>
  <c r="F577" i="1"/>
  <c r="G567" i="1"/>
  <c r="G559" i="1"/>
  <c r="F569" i="1"/>
  <c r="I549" i="1"/>
  <c r="H549" i="1"/>
  <c r="H543" i="1"/>
  <c r="I543" i="1"/>
  <c r="G553" i="1"/>
  <c r="F563" i="1"/>
  <c r="H538" i="1"/>
  <c r="I538" i="1"/>
  <c r="F558" i="1"/>
  <c r="G548" i="1"/>
  <c r="G545" i="1"/>
  <c r="F555" i="1"/>
  <c r="H535" i="1"/>
  <c r="I535" i="1"/>
  <c r="H532" i="1"/>
  <c r="I532" i="1"/>
  <c r="G542" i="1"/>
  <c r="F552" i="1"/>
  <c r="H564" i="1"/>
  <c r="I564" i="1"/>
  <c r="F584" i="1"/>
  <c r="G574" i="1"/>
  <c r="H566" i="1" l="1"/>
  <c r="I566" i="1"/>
  <c r="G576" i="1"/>
  <c r="F586" i="1"/>
  <c r="I570" i="1"/>
  <c r="H570" i="1"/>
  <c r="F590" i="1"/>
  <c r="G580" i="1"/>
  <c r="H571" i="1"/>
  <c r="I571" i="1"/>
  <c r="G581" i="1"/>
  <c r="F591" i="1"/>
  <c r="G577" i="1"/>
  <c r="F587" i="1"/>
  <c r="I567" i="1"/>
  <c r="H567" i="1"/>
  <c r="H559" i="1"/>
  <c r="I559" i="1"/>
  <c r="F579" i="1"/>
  <c r="G569" i="1"/>
  <c r="I553" i="1"/>
  <c r="H553" i="1"/>
  <c r="G563" i="1"/>
  <c r="F573" i="1"/>
  <c r="F568" i="1"/>
  <c r="G558" i="1"/>
  <c r="H548" i="1"/>
  <c r="I548" i="1"/>
  <c r="H545" i="1"/>
  <c r="I545" i="1"/>
  <c r="F565" i="1"/>
  <c r="G555" i="1"/>
  <c r="I542" i="1"/>
  <c r="H542" i="1"/>
  <c r="G552" i="1"/>
  <c r="F562" i="1"/>
  <c r="G584" i="1"/>
  <c r="F594" i="1"/>
  <c r="H574" i="1"/>
  <c r="I574" i="1"/>
  <c r="H576" i="1" l="1"/>
  <c r="I576" i="1"/>
  <c r="G586" i="1"/>
  <c r="F596" i="1"/>
  <c r="G590" i="1"/>
  <c r="F600" i="1"/>
  <c r="I580" i="1"/>
  <c r="H580" i="1"/>
  <c r="H581" i="1"/>
  <c r="I581" i="1"/>
  <c r="G591" i="1"/>
  <c r="F601" i="1"/>
  <c r="H577" i="1"/>
  <c r="I577" i="1"/>
  <c r="G587" i="1"/>
  <c r="F597" i="1"/>
  <c r="G579" i="1"/>
  <c r="F589" i="1"/>
  <c r="H569" i="1"/>
  <c r="I569" i="1"/>
  <c r="I563" i="1"/>
  <c r="H563" i="1"/>
  <c r="G573" i="1"/>
  <c r="F583" i="1"/>
  <c r="F578" i="1"/>
  <c r="G568" i="1"/>
  <c r="H558" i="1"/>
  <c r="I558" i="1"/>
  <c r="F575" i="1"/>
  <c r="G565" i="1"/>
  <c r="I555" i="1"/>
  <c r="H555" i="1"/>
  <c r="I552" i="1"/>
  <c r="H552" i="1"/>
  <c r="G562" i="1"/>
  <c r="F572" i="1"/>
  <c r="H584" i="1"/>
  <c r="I584" i="1"/>
  <c r="F604" i="1"/>
  <c r="G594" i="1"/>
  <c r="I586" i="1" l="1"/>
  <c r="H586" i="1"/>
  <c r="G596" i="1"/>
  <c r="F606" i="1"/>
  <c r="I590" i="1"/>
  <c r="H590" i="1"/>
  <c r="G600" i="1"/>
  <c r="F610" i="1"/>
  <c r="H591" i="1"/>
  <c r="I591" i="1"/>
  <c r="G601" i="1"/>
  <c r="F611" i="1"/>
  <c r="H587" i="1"/>
  <c r="I587" i="1"/>
  <c r="F607" i="1"/>
  <c r="G597" i="1"/>
  <c r="I579" i="1"/>
  <c r="H579" i="1"/>
  <c r="G589" i="1"/>
  <c r="F599" i="1"/>
  <c r="H573" i="1"/>
  <c r="I573" i="1"/>
  <c r="F593" i="1"/>
  <c r="G583" i="1"/>
  <c r="F588" i="1"/>
  <c r="G578" i="1"/>
  <c r="H568" i="1"/>
  <c r="I568" i="1"/>
  <c r="F585" i="1"/>
  <c r="G575" i="1"/>
  <c r="I565" i="1"/>
  <c r="H565" i="1"/>
  <c r="H562" i="1"/>
  <c r="I562" i="1"/>
  <c r="G572" i="1"/>
  <c r="F582" i="1"/>
  <c r="G604" i="1"/>
  <c r="F614" i="1"/>
  <c r="H594" i="1"/>
  <c r="I594" i="1"/>
  <c r="I596" i="1" l="1"/>
  <c r="H596" i="1"/>
  <c r="G606" i="1"/>
  <c r="F616" i="1"/>
  <c r="I600" i="1"/>
  <c r="H600" i="1"/>
  <c r="G610" i="1"/>
  <c r="F620" i="1"/>
  <c r="H601" i="1"/>
  <c r="I601" i="1"/>
  <c r="F621" i="1"/>
  <c r="G611" i="1"/>
  <c r="G607" i="1"/>
  <c r="F617" i="1"/>
  <c r="H597" i="1"/>
  <c r="I597" i="1"/>
  <c r="I589" i="1"/>
  <c r="H589" i="1"/>
  <c r="G599" i="1"/>
  <c r="F609" i="1"/>
  <c r="G593" i="1"/>
  <c r="F603" i="1"/>
  <c r="I583" i="1"/>
  <c r="H583" i="1"/>
  <c r="F598" i="1"/>
  <c r="G588" i="1"/>
  <c r="I578" i="1"/>
  <c r="H578" i="1"/>
  <c r="F595" i="1"/>
  <c r="G585" i="1"/>
  <c r="H575" i="1"/>
  <c r="I575" i="1"/>
  <c r="I572" i="1"/>
  <c r="H572" i="1"/>
  <c r="G582" i="1"/>
  <c r="F592" i="1"/>
  <c r="I604" i="1"/>
  <c r="H604" i="1"/>
  <c r="G614" i="1"/>
  <c r="F624" i="1"/>
  <c r="H606" i="1" l="1"/>
  <c r="I606" i="1"/>
  <c r="G616" i="1"/>
  <c r="F626" i="1"/>
  <c r="H610" i="1"/>
  <c r="I610" i="1"/>
  <c r="F630" i="1"/>
  <c r="G620" i="1"/>
  <c r="G621" i="1"/>
  <c r="F631" i="1"/>
  <c r="H611" i="1"/>
  <c r="I611" i="1"/>
  <c r="I607" i="1"/>
  <c r="H607" i="1"/>
  <c r="F627" i="1"/>
  <c r="G617" i="1"/>
  <c r="I599" i="1"/>
  <c r="H599" i="1"/>
  <c r="F619" i="1"/>
  <c r="G609" i="1"/>
  <c r="I593" i="1"/>
  <c r="H593" i="1"/>
  <c r="F613" i="1"/>
  <c r="G603" i="1"/>
  <c r="F608" i="1"/>
  <c r="G598" i="1"/>
  <c r="H588" i="1"/>
  <c r="I588" i="1"/>
  <c r="F605" i="1"/>
  <c r="G595" i="1"/>
  <c r="I585" i="1"/>
  <c r="H585" i="1"/>
  <c r="I582" i="1"/>
  <c r="H582" i="1"/>
  <c r="G592" i="1"/>
  <c r="F602" i="1"/>
  <c r="I614" i="1"/>
  <c r="H614" i="1"/>
  <c r="G624" i="1"/>
  <c r="H616" i="1" l="1"/>
  <c r="I616" i="1"/>
  <c r="F634" i="1"/>
  <c r="F644" i="1" s="1"/>
  <c r="G626" i="1"/>
  <c r="G630" i="1"/>
  <c r="I620" i="1"/>
  <c r="H620" i="1"/>
  <c r="H621" i="1"/>
  <c r="I621" i="1"/>
  <c r="G631" i="1"/>
  <c r="G627" i="1"/>
  <c r="H617" i="1"/>
  <c r="I617" i="1"/>
  <c r="G619" i="1"/>
  <c r="F629" i="1"/>
  <c r="F639" i="1" s="1"/>
  <c r="H609" i="1"/>
  <c r="I609" i="1"/>
  <c r="G613" i="1"/>
  <c r="F623" i="1"/>
  <c r="H603" i="1"/>
  <c r="I603" i="1"/>
  <c r="F618" i="1"/>
  <c r="G608" i="1"/>
  <c r="H598" i="1"/>
  <c r="I598" i="1"/>
  <c r="G605" i="1"/>
  <c r="F615" i="1"/>
  <c r="I595" i="1"/>
  <c r="H595" i="1"/>
  <c r="H592" i="1"/>
  <c r="I592" i="1"/>
  <c r="G602" i="1"/>
  <c r="F612" i="1"/>
  <c r="I624" i="1"/>
  <c r="H624" i="1"/>
  <c r="G634" i="1" l="1"/>
  <c r="I626" i="1"/>
  <c r="H626" i="1"/>
  <c r="H630" i="1"/>
  <c r="I630" i="1"/>
  <c r="H631" i="1"/>
  <c r="I631" i="1"/>
  <c r="G639" i="1"/>
  <c r="H627" i="1"/>
  <c r="I627" i="1"/>
  <c r="H619" i="1"/>
  <c r="I619" i="1"/>
  <c r="G629" i="1"/>
  <c r="F637" i="1"/>
  <c r="F647" i="1" s="1"/>
  <c r="I613" i="1"/>
  <c r="H613" i="1"/>
  <c r="F641" i="1"/>
  <c r="F651" i="1" s="1"/>
  <c r="G623" i="1"/>
  <c r="G618" i="1"/>
  <c r="F628" i="1"/>
  <c r="F638" i="1" s="1"/>
  <c r="G638" i="1" s="1"/>
  <c r="H608" i="1"/>
  <c r="I608" i="1"/>
  <c r="I605" i="1"/>
  <c r="H605" i="1"/>
  <c r="F625" i="1"/>
  <c r="F635" i="1" s="1"/>
  <c r="G635" i="1" s="1"/>
  <c r="G615" i="1"/>
  <c r="I602" i="1"/>
  <c r="H602" i="1"/>
  <c r="F622" i="1"/>
  <c r="F632" i="1" s="1"/>
  <c r="G632" i="1" s="1"/>
  <c r="G612" i="1"/>
  <c r="F654" i="1"/>
  <c r="G644" i="1"/>
  <c r="H632" i="1" l="1"/>
  <c r="I632" i="1"/>
  <c r="I634" i="1"/>
  <c r="H634" i="1"/>
  <c r="H638" i="1"/>
  <c r="I638" i="1"/>
  <c r="G651" i="1"/>
  <c r="F661" i="1"/>
  <c r="I639" i="1"/>
  <c r="H639" i="1"/>
  <c r="G647" i="1"/>
  <c r="F657" i="1"/>
  <c r="H635" i="1"/>
  <c r="I635" i="1"/>
  <c r="I629" i="1"/>
  <c r="H629" i="1"/>
  <c r="G637" i="1"/>
  <c r="F649" i="1"/>
  <c r="G641" i="1"/>
  <c r="I623" i="1"/>
  <c r="H623" i="1"/>
  <c r="I618" i="1"/>
  <c r="H618" i="1"/>
  <c r="G628" i="1"/>
  <c r="F636" i="1"/>
  <c r="F646" i="1" s="1"/>
  <c r="G625" i="1"/>
  <c r="F633" i="1"/>
  <c r="F643" i="1" s="1"/>
  <c r="I615" i="1"/>
  <c r="H615" i="1"/>
  <c r="G622" i="1"/>
  <c r="F640" i="1"/>
  <c r="F650" i="1" s="1"/>
  <c r="H612" i="1"/>
  <c r="I612" i="1"/>
  <c r="G654" i="1"/>
  <c r="F664" i="1"/>
  <c r="H644" i="1"/>
  <c r="I644" i="1"/>
  <c r="G646" i="1" l="1"/>
  <c r="H646" i="1" s="1"/>
  <c r="F656" i="1"/>
  <c r="G650" i="1"/>
  <c r="F660" i="1"/>
  <c r="I646" i="1"/>
  <c r="F670" i="1"/>
  <c r="G660" i="1"/>
  <c r="H651" i="1"/>
  <c r="I651" i="1"/>
  <c r="G661" i="1"/>
  <c r="F671" i="1"/>
  <c r="H647" i="1"/>
  <c r="I647" i="1"/>
  <c r="F667" i="1"/>
  <c r="G657" i="1"/>
  <c r="H637" i="1"/>
  <c r="I637" i="1"/>
  <c r="F659" i="1"/>
  <c r="G649" i="1"/>
  <c r="F653" i="1"/>
  <c r="G643" i="1"/>
  <c r="I641" i="1"/>
  <c r="H641" i="1"/>
  <c r="H628" i="1"/>
  <c r="I628" i="1"/>
  <c r="G636" i="1"/>
  <c r="F648" i="1"/>
  <c r="I625" i="1"/>
  <c r="H625" i="1"/>
  <c r="F645" i="1"/>
  <c r="G633" i="1"/>
  <c r="I622" i="1"/>
  <c r="H622" i="1"/>
  <c r="G640" i="1"/>
  <c r="F642" i="1"/>
  <c r="H654" i="1"/>
  <c r="I654" i="1"/>
  <c r="G664" i="1"/>
  <c r="F674" i="1"/>
  <c r="G656" i="1" l="1"/>
  <c r="H656" i="1" s="1"/>
  <c r="F666" i="1"/>
  <c r="I650" i="1"/>
  <c r="H650" i="1"/>
  <c r="I656" i="1"/>
  <c r="G666" i="1"/>
  <c r="F676" i="1"/>
  <c r="G670" i="1"/>
  <c r="F680" i="1"/>
  <c r="I660" i="1"/>
  <c r="H660" i="1"/>
  <c r="I661" i="1"/>
  <c r="H661" i="1"/>
  <c r="F681" i="1"/>
  <c r="G671" i="1"/>
  <c r="G667" i="1"/>
  <c r="F677" i="1"/>
  <c r="I657" i="1"/>
  <c r="H657" i="1"/>
  <c r="F669" i="1"/>
  <c r="G659" i="1"/>
  <c r="H649" i="1"/>
  <c r="I649" i="1"/>
  <c r="G653" i="1"/>
  <c r="F663" i="1"/>
  <c r="I643" i="1"/>
  <c r="H643" i="1"/>
  <c r="H636" i="1"/>
  <c r="I636" i="1"/>
  <c r="G648" i="1"/>
  <c r="F658" i="1"/>
  <c r="F655" i="1"/>
  <c r="G645" i="1"/>
  <c r="I633" i="1"/>
  <c r="H633" i="1"/>
  <c r="H640" i="1"/>
  <c r="I640" i="1"/>
  <c r="G642" i="1"/>
  <c r="F652" i="1"/>
  <c r="H664" i="1"/>
  <c r="I664" i="1"/>
  <c r="F684" i="1"/>
  <c r="G674" i="1"/>
  <c r="H666" i="1" l="1"/>
  <c r="I666" i="1"/>
  <c r="F686" i="1"/>
  <c r="G676" i="1"/>
  <c r="I670" i="1"/>
  <c r="H670" i="1"/>
  <c r="F690" i="1"/>
  <c r="G680" i="1"/>
  <c r="F691" i="1"/>
  <c r="G681" i="1"/>
  <c r="I671" i="1"/>
  <c r="H671" i="1"/>
  <c r="I667" i="1"/>
  <c r="H667" i="1"/>
  <c r="G677" i="1"/>
  <c r="F687" i="1"/>
  <c r="G669" i="1"/>
  <c r="F679" i="1"/>
  <c r="H659" i="1"/>
  <c r="I659" i="1"/>
  <c r="I653" i="1"/>
  <c r="H653" i="1"/>
  <c r="G663" i="1"/>
  <c r="F673" i="1"/>
  <c r="I648" i="1"/>
  <c r="H648" i="1"/>
  <c r="F668" i="1"/>
  <c r="G658" i="1"/>
  <c r="G655" i="1"/>
  <c r="F665" i="1"/>
  <c r="H645" i="1"/>
  <c r="I645" i="1"/>
  <c r="H642" i="1"/>
  <c r="I642" i="1"/>
  <c r="G652" i="1"/>
  <c r="F662" i="1"/>
  <c r="F694" i="1"/>
  <c r="G684" i="1"/>
  <c r="I674" i="1"/>
  <c r="H674" i="1"/>
  <c r="G686" i="1" l="1"/>
  <c r="F696" i="1"/>
  <c r="H676" i="1"/>
  <c r="I676" i="1"/>
  <c r="G690" i="1"/>
  <c r="F700" i="1"/>
  <c r="I680" i="1"/>
  <c r="H680" i="1"/>
  <c r="G691" i="1"/>
  <c r="F701" i="1"/>
  <c r="H681" i="1"/>
  <c r="I681" i="1"/>
  <c r="I677" i="1"/>
  <c r="H677" i="1"/>
  <c r="F697" i="1"/>
  <c r="G687" i="1"/>
  <c r="H669" i="1"/>
  <c r="I669" i="1"/>
  <c r="G679" i="1"/>
  <c r="F689" i="1"/>
  <c r="H663" i="1"/>
  <c r="I663" i="1"/>
  <c r="G673" i="1"/>
  <c r="F683" i="1"/>
  <c r="F678" i="1"/>
  <c r="G668" i="1"/>
  <c r="I658" i="1"/>
  <c r="H658" i="1"/>
  <c r="I655" i="1"/>
  <c r="H655" i="1"/>
  <c r="G665" i="1"/>
  <c r="F675" i="1"/>
  <c r="H652" i="1"/>
  <c r="I652" i="1"/>
  <c r="F672" i="1"/>
  <c r="G662" i="1"/>
  <c r="F704" i="1"/>
  <c r="G694" i="1"/>
  <c r="H684" i="1"/>
  <c r="I684" i="1"/>
  <c r="I686" i="1" l="1"/>
  <c r="H686" i="1"/>
  <c r="F706" i="1"/>
  <c r="G696" i="1"/>
  <c r="I690" i="1"/>
  <c r="H690" i="1"/>
  <c r="G700" i="1"/>
  <c r="F710" i="1"/>
  <c r="I691" i="1"/>
  <c r="H691" i="1"/>
  <c r="F711" i="1"/>
  <c r="G701" i="1"/>
  <c r="G697" i="1"/>
  <c r="F707" i="1"/>
  <c r="I687" i="1"/>
  <c r="H687" i="1"/>
  <c r="H679" i="1"/>
  <c r="I679" i="1"/>
  <c r="G689" i="1"/>
  <c r="F699" i="1"/>
  <c r="H673" i="1"/>
  <c r="I673" i="1"/>
  <c r="G683" i="1"/>
  <c r="F693" i="1"/>
  <c r="F688" i="1"/>
  <c r="G678" i="1"/>
  <c r="I668" i="1"/>
  <c r="H668" i="1"/>
  <c r="H665" i="1"/>
  <c r="I665" i="1"/>
  <c r="F685" i="1"/>
  <c r="G675" i="1"/>
  <c r="G672" i="1"/>
  <c r="F682" i="1"/>
  <c r="H662" i="1"/>
  <c r="I662" i="1"/>
  <c r="F714" i="1"/>
  <c r="G704" i="1"/>
  <c r="I694" i="1"/>
  <c r="H694" i="1"/>
  <c r="G706" i="1" l="1"/>
  <c r="F716" i="1"/>
  <c r="H696" i="1"/>
  <c r="I696" i="1"/>
  <c r="H700" i="1"/>
  <c r="I700" i="1"/>
  <c r="F720" i="1"/>
  <c r="G710" i="1"/>
  <c r="F721" i="1"/>
  <c r="G711" i="1"/>
  <c r="H701" i="1"/>
  <c r="I701" i="1"/>
  <c r="I697" i="1"/>
  <c r="H697" i="1"/>
  <c r="G707" i="1"/>
  <c r="F717" i="1"/>
  <c r="H689" i="1"/>
  <c r="I689" i="1"/>
  <c r="G699" i="1"/>
  <c r="F709" i="1"/>
  <c r="H683" i="1"/>
  <c r="I683" i="1"/>
  <c r="G693" i="1"/>
  <c r="F703" i="1"/>
  <c r="G688" i="1"/>
  <c r="F698" i="1"/>
  <c r="H678" i="1"/>
  <c r="I678" i="1"/>
  <c r="F695" i="1"/>
  <c r="G685" i="1"/>
  <c r="H675" i="1"/>
  <c r="I675" i="1"/>
  <c r="I672" i="1"/>
  <c r="H672" i="1"/>
  <c r="F692" i="1"/>
  <c r="G682" i="1"/>
  <c r="G714" i="1"/>
  <c r="F724" i="1"/>
  <c r="H704" i="1"/>
  <c r="I704" i="1"/>
  <c r="I706" i="1" l="1"/>
  <c r="H706" i="1"/>
  <c r="G716" i="1"/>
  <c r="F726" i="1"/>
  <c r="G720" i="1"/>
  <c r="F730" i="1"/>
  <c r="H710" i="1"/>
  <c r="I710" i="1"/>
  <c r="G721" i="1"/>
  <c r="F731" i="1"/>
  <c r="I711" i="1"/>
  <c r="H711" i="1"/>
  <c r="H707" i="1"/>
  <c r="I707" i="1"/>
  <c r="F727" i="1"/>
  <c r="G717" i="1"/>
  <c r="I699" i="1"/>
  <c r="H699" i="1"/>
  <c r="G709" i="1"/>
  <c r="F719" i="1"/>
  <c r="I693" i="1"/>
  <c r="H693" i="1"/>
  <c r="G703" i="1"/>
  <c r="F713" i="1"/>
  <c r="H688" i="1"/>
  <c r="I688" i="1"/>
  <c r="G698" i="1"/>
  <c r="F708" i="1"/>
  <c r="G695" i="1"/>
  <c r="F705" i="1"/>
  <c r="I685" i="1"/>
  <c r="H685" i="1"/>
  <c r="G692" i="1"/>
  <c r="F702" i="1"/>
  <c r="I682" i="1"/>
  <c r="H682" i="1"/>
  <c r="H714" i="1"/>
  <c r="I714" i="1"/>
  <c r="G724" i="1"/>
  <c r="F734" i="1"/>
  <c r="I716" i="1" l="1"/>
  <c r="H716" i="1"/>
  <c r="G726" i="1"/>
  <c r="F736" i="1"/>
  <c r="I720" i="1"/>
  <c r="H720" i="1"/>
  <c r="G730" i="1"/>
  <c r="F740" i="1"/>
  <c r="H721" i="1"/>
  <c r="I721" i="1"/>
  <c r="G731" i="1"/>
  <c r="F741" i="1"/>
  <c r="G727" i="1"/>
  <c r="F737" i="1"/>
  <c r="I717" i="1"/>
  <c r="H717" i="1"/>
  <c r="H709" i="1"/>
  <c r="I709" i="1"/>
  <c r="G719" i="1"/>
  <c r="F729" i="1"/>
  <c r="I703" i="1"/>
  <c r="H703" i="1"/>
  <c r="F723" i="1"/>
  <c r="G713" i="1"/>
  <c r="I698" i="1"/>
  <c r="H698" i="1"/>
  <c r="G708" i="1"/>
  <c r="F718" i="1"/>
  <c r="I695" i="1"/>
  <c r="H695" i="1"/>
  <c r="F715" i="1"/>
  <c r="G705" i="1"/>
  <c r="H692" i="1"/>
  <c r="I692" i="1"/>
  <c r="G702" i="1"/>
  <c r="F712" i="1"/>
  <c r="I724" i="1"/>
  <c r="H724" i="1"/>
  <c r="F744" i="1"/>
  <c r="G734" i="1"/>
  <c r="I726" i="1" l="1"/>
  <c r="H726" i="1"/>
  <c r="G736" i="1"/>
  <c r="F746" i="1"/>
  <c r="H730" i="1"/>
  <c r="I730" i="1"/>
  <c r="G740" i="1"/>
  <c r="F750" i="1"/>
  <c r="I731" i="1"/>
  <c r="H731" i="1"/>
  <c r="F751" i="1"/>
  <c r="G741" i="1"/>
  <c r="H727" i="1"/>
  <c r="I727" i="1"/>
  <c r="G737" i="1"/>
  <c r="F747" i="1"/>
  <c r="H719" i="1"/>
  <c r="I719" i="1"/>
  <c r="G729" i="1"/>
  <c r="F739" i="1"/>
  <c r="G723" i="1"/>
  <c r="F733" i="1"/>
  <c r="I713" i="1"/>
  <c r="H713" i="1"/>
  <c r="I708" i="1"/>
  <c r="H708" i="1"/>
  <c r="F728" i="1"/>
  <c r="G718" i="1"/>
  <c r="F725" i="1"/>
  <c r="G715" i="1"/>
  <c r="H705" i="1"/>
  <c r="I705" i="1"/>
  <c r="H702" i="1"/>
  <c r="I702" i="1"/>
  <c r="F722" i="1"/>
  <c r="G712" i="1"/>
  <c r="G744" i="1"/>
  <c r="F754" i="1"/>
  <c r="I734" i="1"/>
  <c r="H734" i="1"/>
  <c r="H736" i="1" l="1"/>
  <c r="I736" i="1"/>
  <c r="G746" i="1"/>
  <c r="F756" i="1"/>
  <c r="H740" i="1"/>
  <c r="I740" i="1"/>
  <c r="G750" i="1"/>
  <c r="F760" i="1"/>
  <c r="G751" i="1"/>
  <c r="F761" i="1"/>
  <c r="I741" i="1"/>
  <c r="H741" i="1"/>
  <c r="I737" i="1"/>
  <c r="H737" i="1"/>
  <c r="G747" i="1"/>
  <c r="F757" i="1"/>
  <c r="I729" i="1"/>
  <c r="H729" i="1"/>
  <c r="G739" i="1"/>
  <c r="F749" i="1"/>
  <c r="H723" i="1"/>
  <c r="I723" i="1"/>
  <c r="G733" i="1"/>
  <c r="F743" i="1"/>
  <c r="G728" i="1"/>
  <c r="F738" i="1"/>
  <c r="I718" i="1"/>
  <c r="H718" i="1"/>
  <c r="G725" i="1"/>
  <c r="F735" i="1"/>
  <c r="H715" i="1"/>
  <c r="I715" i="1"/>
  <c r="G722" i="1"/>
  <c r="F732" i="1"/>
  <c r="I712" i="1"/>
  <c r="H712" i="1"/>
  <c r="H744" i="1"/>
  <c r="I744" i="1"/>
  <c r="G754" i="1"/>
  <c r="F764" i="1"/>
  <c r="I746" i="1" l="1"/>
  <c r="H746" i="1"/>
  <c r="F766" i="1"/>
  <c r="G756" i="1"/>
  <c r="H750" i="1"/>
  <c r="I750" i="1"/>
  <c r="G760" i="1"/>
  <c r="F770" i="1"/>
  <c r="I751" i="1"/>
  <c r="H751" i="1"/>
  <c r="G761" i="1"/>
  <c r="F771" i="1"/>
  <c r="H747" i="1"/>
  <c r="I747" i="1"/>
  <c r="G757" i="1"/>
  <c r="F767" i="1"/>
  <c r="H739" i="1"/>
  <c r="I739" i="1"/>
  <c r="F759" i="1"/>
  <c r="G749" i="1"/>
  <c r="I733" i="1"/>
  <c r="H733" i="1"/>
  <c r="F753" i="1"/>
  <c r="G743" i="1"/>
  <c r="H728" i="1"/>
  <c r="I728" i="1"/>
  <c r="F748" i="1"/>
  <c r="G738" i="1"/>
  <c r="H725" i="1"/>
  <c r="I725" i="1"/>
  <c r="F745" i="1"/>
  <c r="G735" i="1"/>
  <c r="H722" i="1"/>
  <c r="I722" i="1"/>
  <c r="G732" i="1"/>
  <c r="F742" i="1"/>
  <c r="I754" i="1"/>
  <c r="H754" i="1"/>
  <c r="F774" i="1"/>
  <c r="G764" i="1"/>
  <c r="G766" i="1" l="1"/>
  <c r="F776" i="1"/>
  <c r="H756" i="1"/>
  <c r="I756" i="1"/>
  <c r="I760" i="1"/>
  <c r="H760" i="1"/>
  <c r="G770" i="1"/>
  <c r="F780" i="1"/>
  <c r="H761" i="1"/>
  <c r="I761" i="1"/>
  <c r="F781" i="1"/>
  <c r="G771" i="1"/>
  <c r="H757" i="1"/>
  <c r="I757" i="1"/>
  <c r="G767" i="1"/>
  <c r="F777" i="1"/>
  <c r="G759" i="1"/>
  <c r="F769" i="1"/>
  <c r="H749" i="1"/>
  <c r="I749" i="1"/>
  <c r="F763" i="1"/>
  <c r="G753" i="1"/>
  <c r="H743" i="1"/>
  <c r="I743" i="1"/>
  <c r="F758" i="1"/>
  <c r="G748" i="1"/>
  <c r="I738" i="1"/>
  <c r="H738" i="1"/>
  <c r="F755" i="1"/>
  <c r="G745" i="1"/>
  <c r="H735" i="1"/>
  <c r="I735" i="1"/>
  <c r="H732" i="1"/>
  <c r="I732" i="1"/>
  <c r="G742" i="1"/>
  <c r="F752" i="1"/>
  <c r="G774" i="1"/>
  <c r="F784" i="1"/>
  <c r="I764" i="1"/>
  <c r="H764" i="1"/>
  <c r="I766" i="1" l="1"/>
  <c r="H766" i="1"/>
  <c r="G776" i="1"/>
  <c r="F786" i="1"/>
  <c r="H770" i="1"/>
  <c r="I770" i="1"/>
  <c r="G780" i="1"/>
  <c r="F790" i="1"/>
  <c r="G781" i="1"/>
  <c r="F791" i="1"/>
  <c r="H771" i="1"/>
  <c r="I771" i="1"/>
  <c r="I767" i="1"/>
  <c r="H767" i="1"/>
  <c r="G777" i="1"/>
  <c r="F787" i="1"/>
  <c r="I759" i="1"/>
  <c r="H759" i="1"/>
  <c r="G769" i="1"/>
  <c r="F779" i="1"/>
  <c r="F773" i="1"/>
  <c r="G763" i="1"/>
  <c r="H753" i="1"/>
  <c r="I753" i="1"/>
  <c r="F768" i="1"/>
  <c r="G758" i="1"/>
  <c r="I748" i="1"/>
  <c r="H748" i="1"/>
  <c r="F765" i="1"/>
  <c r="G755" i="1"/>
  <c r="H745" i="1"/>
  <c r="I745" i="1"/>
  <c r="I742" i="1"/>
  <c r="H742" i="1"/>
  <c r="G752" i="1"/>
  <c r="F762" i="1"/>
  <c r="H774" i="1"/>
  <c r="I774" i="1"/>
  <c r="F794" i="1"/>
  <c r="G784" i="1"/>
  <c r="H776" i="1" l="1"/>
  <c r="I776" i="1"/>
  <c r="G786" i="1"/>
  <c r="F796" i="1"/>
  <c r="H780" i="1"/>
  <c r="I780" i="1"/>
  <c r="G790" i="1"/>
  <c r="F800" i="1"/>
  <c r="H781" i="1"/>
  <c r="I781" i="1"/>
  <c r="F801" i="1"/>
  <c r="G791" i="1"/>
  <c r="H777" i="1"/>
  <c r="I777" i="1"/>
  <c r="G787" i="1"/>
  <c r="F797" i="1"/>
  <c r="I769" i="1"/>
  <c r="H769" i="1"/>
  <c r="G779" i="1"/>
  <c r="F789" i="1"/>
  <c r="F783" i="1"/>
  <c r="G773" i="1"/>
  <c r="H763" i="1"/>
  <c r="I763" i="1"/>
  <c r="G768" i="1"/>
  <c r="F778" i="1"/>
  <c r="I758" i="1"/>
  <c r="H758" i="1"/>
  <c r="G765" i="1"/>
  <c r="F775" i="1"/>
  <c r="I755" i="1"/>
  <c r="H755" i="1"/>
  <c r="H752" i="1"/>
  <c r="I752" i="1"/>
  <c r="G762" i="1"/>
  <c r="F772" i="1"/>
  <c r="G794" i="1"/>
  <c r="F804" i="1"/>
  <c r="I784" i="1"/>
  <c r="H784" i="1"/>
  <c r="H786" i="1" l="1"/>
  <c r="I786" i="1"/>
  <c r="G796" i="1"/>
  <c r="F806" i="1"/>
  <c r="I790" i="1"/>
  <c r="H790" i="1"/>
  <c r="G800" i="1"/>
  <c r="F810" i="1"/>
  <c r="G801" i="1"/>
  <c r="F811" i="1"/>
  <c r="H791" i="1"/>
  <c r="I791" i="1"/>
  <c r="H787" i="1"/>
  <c r="I787" i="1"/>
  <c r="G797" i="1"/>
  <c r="F807" i="1"/>
  <c r="H779" i="1"/>
  <c r="I779" i="1"/>
  <c r="G789" i="1"/>
  <c r="F799" i="1"/>
  <c r="G783" i="1"/>
  <c r="F793" i="1"/>
  <c r="I773" i="1"/>
  <c r="H773" i="1"/>
  <c r="I768" i="1"/>
  <c r="H768" i="1"/>
  <c r="G778" i="1"/>
  <c r="F788" i="1"/>
  <c r="H765" i="1"/>
  <c r="I765" i="1"/>
  <c r="F785" i="1"/>
  <c r="G775" i="1"/>
  <c r="H762" i="1"/>
  <c r="I762" i="1"/>
  <c r="G772" i="1"/>
  <c r="F782" i="1"/>
  <c r="H794" i="1"/>
  <c r="I794" i="1"/>
  <c r="G804" i="1"/>
  <c r="F814" i="1"/>
  <c r="H796" i="1" l="1"/>
  <c r="I796" i="1"/>
  <c r="G806" i="1"/>
  <c r="F816" i="1"/>
  <c r="I800" i="1"/>
  <c r="H800" i="1"/>
  <c r="G810" i="1"/>
  <c r="F820" i="1"/>
  <c r="H801" i="1"/>
  <c r="I801" i="1"/>
  <c r="G811" i="1"/>
  <c r="F821" i="1"/>
  <c r="H797" i="1"/>
  <c r="I797" i="1"/>
  <c r="G807" i="1"/>
  <c r="F817" i="1"/>
  <c r="H789" i="1"/>
  <c r="I789" i="1"/>
  <c r="F809" i="1"/>
  <c r="G799" i="1"/>
  <c r="H783" i="1"/>
  <c r="I783" i="1"/>
  <c r="F803" i="1"/>
  <c r="G793" i="1"/>
  <c r="H778" i="1"/>
  <c r="I778" i="1"/>
  <c r="F798" i="1"/>
  <c r="G788" i="1"/>
  <c r="G785" i="1"/>
  <c r="F795" i="1"/>
  <c r="H775" i="1"/>
  <c r="I775" i="1"/>
  <c r="I772" i="1"/>
  <c r="H772" i="1"/>
  <c r="G782" i="1"/>
  <c r="F792" i="1"/>
  <c r="H804" i="1"/>
  <c r="I804" i="1"/>
  <c r="G814" i="1"/>
  <c r="F824" i="1"/>
  <c r="H806" i="1" l="1"/>
  <c r="I806" i="1"/>
  <c r="G816" i="1"/>
  <c r="F826" i="1"/>
  <c r="I810" i="1"/>
  <c r="H810" i="1"/>
  <c r="G820" i="1"/>
  <c r="F830" i="1"/>
  <c r="H811" i="1"/>
  <c r="I811" i="1"/>
  <c r="F831" i="1"/>
  <c r="G821" i="1"/>
  <c r="H807" i="1"/>
  <c r="I807" i="1"/>
  <c r="G817" i="1"/>
  <c r="F827" i="1"/>
  <c r="G809" i="1"/>
  <c r="F819" i="1"/>
  <c r="H799" i="1"/>
  <c r="I799" i="1"/>
  <c r="F813" i="1"/>
  <c r="G803" i="1"/>
  <c r="I793" i="1"/>
  <c r="H793" i="1"/>
  <c r="F808" i="1"/>
  <c r="G798" i="1"/>
  <c r="I788" i="1"/>
  <c r="H788" i="1"/>
  <c r="H785" i="1"/>
  <c r="I785" i="1"/>
  <c r="F805" i="1"/>
  <c r="G795" i="1"/>
  <c r="H782" i="1"/>
  <c r="I782" i="1"/>
  <c r="G792" i="1"/>
  <c r="F802" i="1"/>
  <c r="I814" i="1"/>
  <c r="H814" i="1"/>
  <c r="F834" i="1"/>
  <c r="G824" i="1"/>
  <c r="I816" i="1" l="1"/>
  <c r="H816" i="1"/>
  <c r="G826" i="1"/>
  <c r="F836" i="1"/>
  <c r="I820" i="1"/>
  <c r="H820" i="1"/>
  <c r="G830" i="1"/>
  <c r="F840" i="1"/>
  <c r="F841" i="1"/>
  <c r="G831" i="1"/>
  <c r="H821" i="1"/>
  <c r="I821" i="1"/>
  <c r="H817" i="1"/>
  <c r="I817" i="1"/>
  <c r="F837" i="1"/>
  <c r="G827" i="1"/>
  <c r="H809" i="1"/>
  <c r="I809" i="1"/>
  <c r="G819" i="1"/>
  <c r="F829" i="1"/>
  <c r="F823" i="1"/>
  <c r="G813" i="1"/>
  <c r="I803" i="1"/>
  <c r="H803" i="1"/>
  <c r="F818" i="1"/>
  <c r="G808" i="1"/>
  <c r="H798" i="1"/>
  <c r="I798" i="1"/>
  <c r="G805" i="1"/>
  <c r="F815" i="1"/>
  <c r="H795" i="1"/>
  <c r="I795" i="1"/>
  <c r="H792" i="1"/>
  <c r="I792" i="1"/>
  <c r="G802" i="1"/>
  <c r="F812" i="1"/>
  <c r="F844" i="1"/>
  <c r="G834" i="1"/>
  <c r="I824" i="1"/>
  <c r="H824" i="1"/>
  <c r="I826" i="1" l="1"/>
  <c r="H826" i="1"/>
  <c r="G836" i="1"/>
  <c r="F846" i="1"/>
  <c r="H830" i="1"/>
  <c r="I830" i="1"/>
  <c r="F850" i="1"/>
  <c r="G840" i="1"/>
  <c r="G841" i="1"/>
  <c r="F851" i="1"/>
  <c r="H831" i="1"/>
  <c r="I831" i="1"/>
  <c r="G837" i="1"/>
  <c r="F847" i="1"/>
  <c r="H827" i="1"/>
  <c r="I827" i="1"/>
  <c r="H819" i="1"/>
  <c r="I819" i="1"/>
  <c r="G829" i="1"/>
  <c r="F839" i="1"/>
  <c r="G823" i="1"/>
  <c r="F833" i="1"/>
  <c r="H813" i="1"/>
  <c r="I813" i="1"/>
  <c r="F828" i="1"/>
  <c r="G818" i="1"/>
  <c r="H808" i="1"/>
  <c r="I808" i="1"/>
  <c r="I805" i="1"/>
  <c r="H805" i="1"/>
  <c r="G815" i="1"/>
  <c r="F825" i="1"/>
  <c r="H802" i="1"/>
  <c r="I802" i="1"/>
  <c r="G812" i="1"/>
  <c r="F822" i="1"/>
  <c r="G844" i="1"/>
  <c r="F854" i="1"/>
  <c r="H834" i="1"/>
  <c r="I834" i="1"/>
  <c r="H836" i="1" l="1"/>
  <c r="I836" i="1"/>
  <c r="G846" i="1"/>
  <c r="F856" i="1"/>
  <c r="G850" i="1"/>
  <c r="F860" i="1"/>
  <c r="I840" i="1"/>
  <c r="H840" i="1"/>
  <c r="I841" i="1"/>
  <c r="H841" i="1"/>
  <c r="G851" i="1"/>
  <c r="F861" i="1"/>
  <c r="H837" i="1"/>
  <c r="I837" i="1"/>
  <c r="G847" i="1"/>
  <c r="F857" i="1"/>
  <c r="I829" i="1"/>
  <c r="H829" i="1"/>
  <c r="G839" i="1"/>
  <c r="F849" i="1"/>
  <c r="I823" i="1"/>
  <c r="H823" i="1"/>
  <c r="F843" i="1"/>
  <c r="G833" i="1"/>
  <c r="G828" i="1"/>
  <c r="F838" i="1"/>
  <c r="H818" i="1"/>
  <c r="I818" i="1"/>
  <c r="H815" i="1"/>
  <c r="I815" i="1"/>
  <c r="G825" i="1"/>
  <c r="F835" i="1"/>
  <c r="H812" i="1"/>
  <c r="I812" i="1"/>
  <c r="G822" i="1"/>
  <c r="F832" i="1"/>
  <c r="I844" i="1"/>
  <c r="H844" i="1"/>
  <c r="G854" i="1"/>
  <c r="F864" i="1"/>
  <c r="H846" i="1" l="1"/>
  <c r="I846" i="1"/>
  <c r="F866" i="1"/>
  <c r="G856" i="1"/>
  <c r="I850" i="1"/>
  <c r="H850" i="1"/>
  <c r="G860" i="1"/>
  <c r="F870" i="1"/>
  <c r="I851" i="1"/>
  <c r="H851" i="1"/>
  <c r="G861" i="1"/>
  <c r="F871" i="1"/>
  <c r="I847" i="1"/>
  <c r="H847" i="1"/>
  <c r="G857" i="1"/>
  <c r="F867" i="1"/>
  <c r="I839" i="1"/>
  <c r="H839" i="1"/>
  <c r="G849" i="1"/>
  <c r="F859" i="1"/>
  <c r="G843" i="1"/>
  <c r="F853" i="1"/>
  <c r="H833" i="1"/>
  <c r="I833" i="1"/>
  <c r="I828" i="1"/>
  <c r="H828" i="1"/>
  <c r="F848" i="1"/>
  <c r="G838" i="1"/>
  <c r="H825" i="1"/>
  <c r="I825" i="1"/>
  <c r="F845" i="1"/>
  <c r="G835" i="1"/>
  <c r="H822" i="1"/>
  <c r="I822" i="1"/>
  <c r="F842" i="1"/>
  <c r="G832" i="1"/>
  <c r="I854" i="1"/>
  <c r="H854" i="1"/>
  <c r="F874" i="1"/>
  <c r="G864" i="1"/>
  <c r="F876" i="1" l="1"/>
  <c r="G866" i="1"/>
  <c r="H856" i="1"/>
  <c r="I856" i="1"/>
  <c r="I860" i="1"/>
  <c r="H860" i="1"/>
  <c r="G870" i="1"/>
  <c r="F880" i="1"/>
  <c r="H861" i="1"/>
  <c r="I861" i="1"/>
  <c r="G871" i="1"/>
  <c r="F881" i="1"/>
  <c r="H857" i="1"/>
  <c r="I857" i="1"/>
  <c r="G867" i="1"/>
  <c r="F877" i="1"/>
  <c r="I849" i="1"/>
  <c r="H849" i="1"/>
  <c r="G859" i="1"/>
  <c r="F869" i="1"/>
  <c r="I843" i="1"/>
  <c r="H843" i="1"/>
  <c r="F863" i="1"/>
  <c r="G853" i="1"/>
  <c r="F858" i="1"/>
  <c r="G848" i="1"/>
  <c r="H838" i="1"/>
  <c r="I838" i="1"/>
  <c r="F855" i="1"/>
  <c r="G845" i="1"/>
  <c r="I835" i="1"/>
  <c r="H835" i="1"/>
  <c r="G842" i="1"/>
  <c r="F852" i="1"/>
  <c r="H832" i="1"/>
  <c r="I832" i="1"/>
  <c r="F884" i="1"/>
  <c r="G874" i="1"/>
  <c r="I864" i="1"/>
  <c r="H864" i="1"/>
  <c r="G876" i="1" l="1"/>
  <c r="F886" i="1"/>
  <c r="H866" i="1"/>
  <c r="I866" i="1"/>
  <c r="H870" i="1"/>
  <c r="I870" i="1"/>
  <c r="G880" i="1"/>
  <c r="F890" i="1"/>
  <c r="H871" i="1"/>
  <c r="I871" i="1"/>
  <c r="G881" i="1"/>
  <c r="F891" i="1"/>
  <c r="H867" i="1"/>
  <c r="I867" i="1"/>
  <c r="G877" i="1"/>
  <c r="F887" i="1"/>
  <c r="I859" i="1"/>
  <c r="H859" i="1"/>
  <c r="G869" i="1"/>
  <c r="F879" i="1"/>
  <c r="G863" i="1"/>
  <c r="F873" i="1"/>
  <c r="I853" i="1"/>
  <c r="H853" i="1"/>
  <c r="F868" i="1"/>
  <c r="G858" i="1"/>
  <c r="I848" i="1"/>
  <c r="H848" i="1"/>
  <c r="F865" i="1"/>
  <c r="G855" i="1"/>
  <c r="I845" i="1"/>
  <c r="H845" i="1"/>
  <c r="I842" i="1"/>
  <c r="H842" i="1"/>
  <c r="G852" i="1"/>
  <c r="F862" i="1"/>
  <c r="G884" i="1"/>
  <c r="F894" i="1"/>
  <c r="H874" i="1"/>
  <c r="I874" i="1"/>
  <c r="H876" i="1" l="1"/>
  <c r="I876" i="1"/>
  <c r="G886" i="1"/>
  <c r="F896" i="1"/>
  <c r="H880" i="1"/>
  <c r="I880" i="1"/>
  <c r="G890" i="1"/>
  <c r="F900" i="1"/>
  <c r="H881" i="1"/>
  <c r="I881" i="1"/>
  <c r="G891" i="1"/>
  <c r="F901" i="1"/>
  <c r="I877" i="1"/>
  <c r="H877" i="1"/>
  <c r="G887" i="1"/>
  <c r="F897" i="1"/>
  <c r="I869" i="1"/>
  <c r="H869" i="1"/>
  <c r="G879" i="1"/>
  <c r="F889" i="1"/>
  <c r="H863" i="1"/>
  <c r="I863" i="1"/>
  <c r="F883" i="1"/>
  <c r="G873" i="1"/>
  <c r="F878" i="1"/>
  <c r="G868" i="1"/>
  <c r="I858" i="1"/>
  <c r="H858" i="1"/>
  <c r="F875" i="1"/>
  <c r="G865" i="1"/>
  <c r="H855" i="1"/>
  <c r="I855" i="1"/>
  <c r="I852" i="1"/>
  <c r="H852" i="1"/>
  <c r="G862" i="1"/>
  <c r="F872" i="1"/>
  <c r="H884" i="1"/>
  <c r="I884" i="1"/>
  <c r="G894" i="1"/>
  <c r="F904" i="1"/>
  <c r="I886" i="1" l="1"/>
  <c r="H886" i="1"/>
  <c r="F906" i="1"/>
  <c r="G896" i="1"/>
  <c r="I890" i="1"/>
  <c r="H890" i="1"/>
  <c r="F910" i="1"/>
  <c r="G900" i="1"/>
  <c r="I891" i="1"/>
  <c r="H891" i="1"/>
  <c r="G901" i="1"/>
  <c r="F911" i="1"/>
  <c r="H887" i="1"/>
  <c r="I887" i="1"/>
  <c r="G897" i="1"/>
  <c r="F907" i="1"/>
  <c r="H879" i="1"/>
  <c r="I879" i="1"/>
  <c r="F899" i="1"/>
  <c r="G889" i="1"/>
  <c r="F893" i="1"/>
  <c r="G883" i="1"/>
  <c r="H873" i="1"/>
  <c r="I873" i="1"/>
  <c r="G878" i="1"/>
  <c r="F888" i="1"/>
  <c r="H868" i="1"/>
  <c r="I868" i="1"/>
  <c r="F885" i="1"/>
  <c r="G875" i="1"/>
  <c r="I865" i="1"/>
  <c r="H865" i="1"/>
  <c r="H862" i="1"/>
  <c r="I862" i="1"/>
  <c r="G872" i="1"/>
  <c r="F882" i="1"/>
  <c r="H894" i="1"/>
  <c r="I894" i="1"/>
  <c r="G904" i="1"/>
  <c r="F914" i="1"/>
  <c r="G906" i="1" l="1"/>
  <c r="F916" i="1"/>
  <c r="H896" i="1"/>
  <c r="I896" i="1"/>
  <c r="F920" i="1"/>
  <c r="G910" i="1"/>
  <c r="I900" i="1"/>
  <c r="H900" i="1"/>
  <c r="H901" i="1"/>
  <c r="I901" i="1"/>
  <c r="G911" i="1"/>
  <c r="F921" i="1"/>
  <c r="H897" i="1"/>
  <c r="I897" i="1"/>
  <c r="G907" i="1"/>
  <c r="F917" i="1"/>
  <c r="G899" i="1"/>
  <c r="F909" i="1"/>
  <c r="H889" i="1"/>
  <c r="I889" i="1"/>
  <c r="F903" i="1"/>
  <c r="G893" i="1"/>
  <c r="H883" i="1"/>
  <c r="I883" i="1"/>
  <c r="H878" i="1"/>
  <c r="I878" i="1"/>
  <c r="F898" i="1"/>
  <c r="G888" i="1"/>
  <c r="G885" i="1"/>
  <c r="F895" i="1"/>
  <c r="I875" i="1"/>
  <c r="H875" i="1"/>
  <c r="H872" i="1"/>
  <c r="I872" i="1"/>
  <c r="G882" i="1"/>
  <c r="F892" i="1"/>
  <c r="I904" i="1"/>
  <c r="H904" i="1"/>
  <c r="F924" i="1"/>
  <c r="G914" i="1"/>
  <c r="H906" i="1" l="1"/>
  <c r="I906" i="1"/>
  <c r="G916" i="1"/>
  <c r="F926" i="1"/>
  <c r="G920" i="1"/>
  <c r="F930" i="1"/>
  <c r="H910" i="1"/>
  <c r="I910" i="1"/>
  <c r="H911" i="1"/>
  <c r="I911" i="1"/>
  <c r="G921" i="1"/>
  <c r="F931" i="1"/>
  <c r="H907" i="1"/>
  <c r="I907" i="1"/>
  <c r="G917" i="1"/>
  <c r="F927" i="1"/>
  <c r="H899" i="1"/>
  <c r="I899" i="1"/>
  <c r="F919" i="1"/>
  <c r="G909" i="1"/>
  <c r="G903" i="1"/>
  <c r="F913" i="1"/>
  <c r="I893" i="1"/>
  <c r="H893" i="1"/>
  <c r="F908" i="1"/>
  <c r="G898" i="1"/>
  <c r="H888" i="1"/>
  <c r="I888" i="1"/>
  <c r="I885" i="1"/>
  <c r="H885" i="1"/>
  <c r="G895" i="1"/>
  <c r="F905" i="1"/>
  <c r="H882" i="1"/>
  <c r="I882" i="1"/>
  <c r="G892" i="1"/>
  <c r="F902" i="1"/>
  <c r="G924" i="1"/>
  <c r="F934" i="1"/>
  <c r="H914" i="1"/>
  <c r="I914" i="1"/>
  <c r="H916" i="1" l="1"/>
  <c r="I916" i="1"/>
  <c r="F936" i="1"/>
  <c r="G926" i="1"/>
  <c r="H920" i="1"/>
  <c r="I920" i="1"/>
  <c r="G930" i="1"/>
  <c r="F940" i="1"/>
  <c r="I921" i="1"/>
  <c r="H921" i="1"/>
  <c r="F941" i="1"/>
  <c r="G931" i="1"/>
  <c r="H917" i="1"/>
  <c r="I917" i="1"/>
  <c r="G927" i="1"/>
  <c r="F937" i="1"/>
  <c r="G919" i="1"/>
  <c r="F929" i="1"/>
  <c r="I909" i="1"/>
  <c r="H909" i="1"/>
  <c r="H903" i="1"/>
  <c r="I903" i="1"/>
  <c r="F923" i="1"/>
  <c r="G913" i="1"/>
  <c r="F918" i="1"/>
  <c r="G908" i="1"/>
  <c r="H898" i="1"/>
  <c r="I898" i="1"/>
  <c r="I895" i="1"/>
  <c r="H895" i="1"/>
  <c r="F915" i="1"/>
  <c r="G905" i="1"/>
  <c r="H892" i="1"/>
  <c r="I892" i="1"/>
  <c r="G902" i="1"/>
  <c r="F912" i="1"/>
  <c r="H924" i="1"/>
  <c r="I924" i="1"/>
  <c r="G934" i="1"/>
  <c r="F944" i="1"/>
  <c r="G936" i="1" l="1"/>
  <c r="F946" i="1"/>
  <c r="I926" i="1"/>
  <c r="H926" i="1"/>
  <c r="H930" i="1"/>
  <c r="I930" i="1"/>
  <c r="F950" i="1"/>
  <c r="G940" i="1"/>
  <c r="G941" i="1"/>
  <c r="F951" i="1"/>
  <c r="I931" i="1"/>
  <c r="H931" i="1"/>
  <c r="H927" i="1"/>
  <c r="I927" i="1"/>
  <c r="G937" i="1"/>
  <c r="F947" i="1"/>
  <c r="I919" i="1"/>
  <c r="H919" i="1"/>
  <c r="F939" i="1"/>
  <c r="G929" i="1"/>
  <c r="F933" i="1"/>
  <c r="G923" i="1"/>
  <c r="I913" i="1"/>
  <c r="H913" i="1"/>
  <c r="G918" i="1"/>
  <c r="F928" i="1"/>
  <c r="I908" i="1"/>
  <c r="H908" i="1"/>
  <c r="G915" i="1"/>
  <c r="F925" i="1"/>
  <c r="H905" i="1"/>
  <c r="I905" i="1"/>
  <c r="H902" i="1"/>
  <c r="I902" i="1"/>
  <c r="G912" i="1"/>
  <c r="F922" i="1"/>
  <c r="H934" i="1"/>
  <c r="I934" i="1"/>
  <c r="G944" i="1"/>
  <c r="F954" i="1"/>
  <c r="I936" i="1" l="1"/>
  <c r="H936" i="1"/>
  <c r="G946" i="1"/>
  <c r="F956" i="1"/>
  <c r="G950" i="1"/>
  <c r="F960" i="1"/>
  <c r="H940" i="1"/>
  <c r="I940" i="1"/>
  <c r="I941" i="1"/>
  <c r="H941" i="1"/>
  <c r="G951" i="1"/>
  <c r="F961" i="1"/>
  <c r="I937" i="1"/>
  <c r="H937" i="1"/>
  <c r="G947" i="1"/>
  <c r="F957" i="1"/>
  <c r="G939" i="1"/>
  <c r="F949" i="1"/>
  <c r="I929" i="1"/>
  <c r="H929" i="1"/>
  <c r="F943" i="1"/>
  <c r="G933" i="1"/>
  <c r="H923" i="1"/>
  <c r="I923" i="1"/>
  <c r="I918" i="1"/>
  <c r="H918" i="1"/>
  <c r="G928" i="1"/>
  <c r="F938" i="1"/>
  <c r="I915" i="1"/>
  <c r="H915" i="1"/>
  <c r="G925" i="1"/>
  <c r="F935" i="1"/>
  <c r="H912" i="1"/>
  <c r="I912" i="1"/>
  <c r="G922" i="1"/>
  <c r="F932" i="1"/>
  <c r="H944" i="1"/>
  <c r="I944" i="1"/>
  <c r="F964" i="1"/>
  <c r="G954" i="1"/>
  <c r="H946" i="1" l="1"/>
  <c r="I946" i="1"/>
  <c r="G956" i="1"/>
  <c r="F966" i="1"/>
  <c r="H950" i="1"/>
  <c r="I950" i="1"/>
  <c r="G960" i="1"/>
  <c r="F970" i="1"/>
  <c r="H951" i="1"/>
  <c r="I951" i="1"/>
  <c r="G961" i="1"/>
  <c r="F971" i="1"/>
  <c r="H947" i="1"/>
  <c r="I947" i="1"/>
  <c r="G957" i="1"/>
  <c r="F967" i="1"/>
  <c r="I939" i="1"/>
  <c r="H939" i="1"/>
  <c r="G949" i="1"/>
  <c r="F959" i="1"/>
  <c r="G943" i="1"/>
  <c r="F953" i="1"/>
  <c r="H933" i="1"/>
  <c r="I933" i="1"/>
  <c r="I928" i="1"/>
  <c r="H928" i="1"/>
  <c r="F948" i="1"/>
  <c r="G938" i="1"/>
  <c r="I925" i="1"/>
  <c r="H925" i="1"/>
  <c r="G935" i="1"/>
  <c r="F945" i="1"/>
  <c r="H922" i="1"/>
  <c r="I922" i="1"/>
  <c r="F942" i="1"/>
  <c r="G932" i="1"/>
  <c r="F974" i="1"/>
  <c r="G964" i="1"/>
  <c r="H954" i="1"/>
  <c r="I954" i="1"/>
  <c r="I956" i="1" l="1"/>
  <c r="H956" i="1"/>
  <c r="G966" i="1"/>
  <c r="F976" i="1"/>
  <c r="H960" i="1"/>
  <c r="I960" i="1"/>
  <c r="G970" i="1"/>
  <c r="F980" i="1"/>
  <c r="I961" i="1"/>
  <c r="H961" i="1"/>
  <c r="F981" i="1"/>
  <c r="G971" i="1"/>
  <c r="I957" i="1"/>
  <c r="H957" i="1"/>
  <c r="F977" i="1"/>
  <c r="G967" i="1"/>
  <c r="H949" i="1"/>
  <c r="I949" i="1"/>
  <c r="F969" i="1"/>
  <c r="G959" i="1"/>
  <c r="I943" i="1"/>
  <c r="H943" i="1"/>
  <c r="F963" i="1"/>
  <c r="G953" i="1"/>
  <c r="G948" i="1"/>
  <c r="F958" i="1"/>
  <c r="I938" i="1"/>
  <c r="H938" i="1"/>
  <c r="H935" i="1"/>
  <c r="I935" i="1"/>
  <c r="F955" i="1"/>
  <c r="G945" i="1"/>
  <c r="G942" i="1"/>
  <c r="F952" i="1"/>
  <c r="I932" i="1"/>
  <c r="H932" i="1"/>
  <c r="F984" i="1"/>
  <c r="G974" i="1"/>
  <c r="I964" i="1"/>
  <c r="H964" i="1"/>
  <c r="H966" i="1" l="1"/>
  <c r="I966" i="1"/>
  <c r="F986" i="1"/>
  <c r="G976" i="1"/>
  <c r="I970" i="1"/>
  <c r="H970" i="1"/>
  <c r="G980" i="1"/>
  <c r="F990" i="1"/>
  <c r="G981" i="1"/>
  <c r="F991" i="1"/>
  <c r="H971" i="1"/>
  <c r="I971" i="1"/>
  <c r="G977" i="1"/>
  <c r="F987" i="1"/>
  <c r="H967" i="1"/>
  <c r="I967" i="1"/>
  <c r="G969" i="1"/>
  <c r="F979" i="1"/>
  <c r="I959" i="1"/>
  <c r="H959" i="1"/>
  <c r="F973" i="1"/>
  <c r="G963" i="1"/>
  <c r="I953" i="1"/>
  <c r="H953" i="1"/>
  <c r="H948" i="1"/>
  <c r="I948" i="1"/>
  <c r="G958" i="1"/>
  <c r="F968" i="1"/>
  <c r="G955" i="1"/>
  <c r="F965" i="1"/>
  <c r="H945" i="1"/>
  <c r="I945" i="1"/>
  <c r="I942" i="1"/>
  <c r="H942" i="1"/>
  <c r="G952" i="1"/>
  <c r="F962" i="1"/>
  <c r="G984" i="1"/>
  <c r="F994" i="1"/>
  <c r="H974" i="1"/>
  <c r="I974" i="1"/>
  <c r="G986" i="1" l="1"/>
  <c r="F996" i="1"/>
  <c r="I976" i="1"/>
  <c r="H976" i="1"/>
  <c r="I980" i="1"/>
  <c r="H980" i="1"/>
  <c r="G990" i="1"/>
  <c r="F1000" i="1"/>
  <c r="H981" i="1"/>
  <c r="I981" i="1"/>
  <c r="G991" i="1"/>
  <c r="F1001" i="1"/>
  <c r="H977" i="1"/>
  <c r="I977" i="1"/>
  <c r="F997" i="1"/>
  <c r="G987" i="1"/>
  <c r="I969" i="1"/>
  <c r="H969" i="1"/>
  <c r="F989" i="1"/>
  <c r="G979" i="1"/>
  <c r="F983" i="1"/>
  <c r="G973" i="1"/>
  <c r="I963" i="1"/>
  <c r="H963" i="1"/>
  <c r="I958" i="1"/>
  <c r="H958" i="1"/>
  <c r="F978" i="1"/>
  <c r="G968" i="1"/>
  <c r="H955" i="1"/>
  <c r="I955" i="1"/>
  <c r="G965" i="1"/>
  <c r="F975" i="1"/>
  <c r="H952" i="1"/>
  <c r="I952" i="1"/>
  <c r="F972" i="1"/>
  <c r="G962" i="1"/>
  <c r="I984" i="1"/>
  <c r="H984" i="1"/>
  <c r="G994" i="1"/>
  <c r="F1004" i="1"/>
  <c r="I986" i="1" l="1"/>
  <c r="H986" i="1"/>
  <c r="G996" i="1"/>
  <c r="F1006" i="1"/>
  <c r="I990" i="1"/>
  <c r="H990" i="1"/>
  <c r="G1000" i="1"/>
  <c r="F1010" i="1"/>
  <c r="H991" i="1"/>
  <c r="I991" i="1"/>
  <c r="G1001" i="1"/>
  <c r="F1011" i="1"/>
  <c r="F1007" i="1"/>
  <c r="G997" i="1"/>
  <c r="H987" i="1"/>
  <c r="I987" i="1"/>
  <c r="G989" i="1"/>
  <c r="F999" i="1"/>
  <c r="I979" i="1"/>
  <c r="H979" i="1"/>
  <c r="F993" i="1"/>
  <c r="G983" i="1"/>
  <c r="I973" i="1"/>
  <c r="H973" i="1"/>
  <c r="F988" i="1"/>
  <c r="G978" i="1"/>
  <c r="H968" i="1"/>
  <c r="I968" i="1"/>
  <c r="H965" i="1"/>
  <c r="I965" i="1"/>
  <c r="F985" i="1"/>
  <c r="G975" i="1"/>
  <c r="G972" i="1"/>
  <c r="F982" i="1"/>
  <c r="H962" i="1"/>
  <c r="I962" i="1"/>
  <c r="H994" i="1"/>
  <c r="I994" i="1"/>
  <c r="F1014" i="1"/>
  <c r="G1004" i="1"/>
  <c r="H996" i="1" l="1"/>
  <c r="I996" i="1"/>
  <c r="G1006" i="1"/>
  <c r="F1016" i="1"/>
  <c r="I1000" i="1"/>
  <c r="H1000" i="1"/>
  <c r="G1010" i="1"/>
  <c r="F1020" i="1"/>
  <c r="H1001" i="1"/>
  <c r="I1001" i="1"/>
  <c r="G1011" i="1"/>
  <c r="F1021" i="1"/>
  <c r="F1017" i="1"/>
  <c r="G1007" i="1"/>
  <c r="H997" i="1"/>
  <c r="I997" i="1"/>
  <c r="H989" i="1"/>
  <c r="I989" i="1"/>
  <c r="G999" i="1"/>
  <c r="F1009" i="1"/>
  <c r="G993" i="1"/>
  <c r="F1003" i="1"/>
  <c r="I983" i="1"/>
  <c r="H983" i="1"/>
  <c r="G988" i="1"/>
  <c r="F998" i="1"/>
  <c r="I978" i="1"/>
  <c r="H978" i="1"/>
  <c r="G985" i="1"/>
  <c r="F995" i="1"/>
  <c r="I975" i="1"/>
  <c r="H975" i="1"/>
  <c r="I972" i="1"/>
  <c r="H972" i="1"/>
  <c r="G982" i="1"/>
  <c r="F992" i="1"/>
  <c r="G1014" i="1"/>
  <c r="F1024" i="1"/>
  <c r="I1014" i="1"/>
  <c r="H1014" i="1"/>
  <c r="H1004" i="1"/>
  <c r="I1004" i="1"/>
  <c r="I1006" i="1" l="1"/>
  <c r="H1006" i="1"/>
  <c r="G1016" i="1"/>
  <c r="F1026" i="1"/>
  <c r="I1010" i="1"/>
  <c r="H1010" i="1"/>
  <c r="G1020" i="1"/>
  <c r="F1030" i="1"/>
  <c r="H1011" i="1"/>
  <c r="I1011" i="1"/>
  <c r="G1021" i="1"/>
  <c r="F1031" i="1"/>
  <c r="F1027" i="1"/>
  <c r="G1017" i="1"/>
  <c r="H1007" i="1"/>
  <c r="I1007" i="1"/>
  <c r="I999" i="1"/>
  <c r="H999" i="1"/>
  <c r="G1009" i="1"/>
  <c r="F1019" i="1"/>
  <c r="I993" i="1"/>
  <c r="H993" i="1"/>
  <c r="G1003" i="1"/>
  <c r="F1013" i="1"/>
  <c r="I988" i="1"/>
  <c r="H988" i="1"/>
  <c r="G998" i="1"/>
  <c r="F1008" i="1"/>
  <c r="I985" i="1"/>
  <c r="H985" i="1"/>
  <c r="G995" i="1"/>
  <c r="F1005" i="1"/>
  <c r="I982" i="1"/>
  <c r="H982" i="1"/>
  <c r="G992" i="1"/>
  <c r="F1002" i="1"/>
  <c r="G1024" i="1"/>
  <c r="F1034" i="1"/>
  <c r="I1016" i="1" l="1"/>
  <c r="H1016" i="1"/>
  <c r="G1026" i="1"/>
  <c r="F1036" i="1"/>
  <c r="H1020" i="1"/>
  <c r="I1020" i="1"/>
  <c r="G1030" i="1"/>
  <c r="F1040" i="1"/>
  <c r="I1021" i="1"/>
  <c r="H1021" i="1"/>
  <c r="F1041" i="1"/>
  <c r="G1031" i="1"/>
  <c r="F1037" i="1"/>
  <c r="G1027" i="1"/>
  <c r="H1017" i="1"/>
  <c r="I1017" i="1"/>
  <c r="H1009" i="1"/>
  <c r="I1009" i="1"/>
  <c r="G1019" i="1"/>
  <c r="F1029" i="1"/>
  <c r="H1003" i="1"/>
  <c r="I1003" i="1"/>
  <c r="F1023" i="1"/>
  <c r="G1013" i="1"/>
  <c r="I998" i="1"/>
  <c r="H998" i="1"/>
  <c r="F1018" i="1"/>
  <c r="G1008" i="1"/>
  <c r="I995" i="1"/>
  <c r="H995" i="1"/>
  <c r="F1015" i="1"/>
  <c r="G1005" i="1"/>
  <c r="H992" i="1"/>
  <c r="I992" i="1"/>
  <c r="G1002" i="1"/>
  <c r="F1012" i="1"/>
  <c r="H1024" i="1"/>
  <c r="I1024" i="1"/>
  <c r="G1034" i="1"/>
  <c r="F1044" i="1"/>
  <c r="I1026" i="1" l="1"/>
  <c r="H1026" i="1"/>
  <c r="G1036" i="1"/>
  <c r="F1046" i="1"/>
  <c r="H1030" i="1"/>
  <c r="I1030" i="1"/>
  <c r="F1050" i="1"/>
  <c r="G1040" i="1"/>
  <c r="F1051" i="1"/>
  <c r="G1041" i="1"/>
  <c r="H1031" i="1"/>
  <c r="I1031" i="1"/>
  <c r="G1037" i="1"/>
  <c r="F1047" i="1"/>
  <c r="I1027" i="1"/>
  <c r="H1027" i="1"/>
  <c r="I1019" i="1"/>
  <c r="H1019" i="1"/>
  <c r="G1029" i="1"/>
  <c r="F1039" i="1"/>
  <c r="G1023" i="1"/>
  <c r="F1033" i="1"/>
  <c r="I1013" i="1"/>
  <c r="H1013" i="1"/>
  <c r="F1028" i="1"/>
  <c r="G1018" i="1"/>
  <c r="H1008" i="1"/>
  <c r="I1008" i="1"/>
  <c r="F1025" i="1"/>
  <c r="G1015" i="1"/>
  <c r="I1005" i="1"/>
  <c r="H1005" i="1"/>
  <c r="I1002" i="1"/>
  <c r="H1002" i="1"/>
  <c r="G1012" i="1"/>
  <c r="F1022" i="1"/>
  <c r="H1034" i="1"/>
  <c r="I1034" i="1"/>
  <c r="G1044" i="1"/>
  <c r="F1054" i="1"/>
  <c r="F10" i="2" a="1"/>
  <c r="G12" i="3" s="1"/>
  <c r="F17" i="2" a="1"/>
  <c r="G19" i="3" s="1"/>
  <c r="H1036" i="1" l="1"/>
  <c r="I1036" i="1"/>
  <c r="F1056" i="1"/>
  <c r="G1046" i="1"/>
  <c r="F1060" i="1"/>
  <c r="G1050" i="1"/>
  <c r="H1040" i="1"/>
  <c r="I1040" i="1"/>
  <c r="F1061" i="1"/>
  <c r="G1051" i="1"/>
  <c r="H1041" i="1"/>
  <c r="I1041" i="1"/>
  <c r="I1037" i="1"/>
  <c r="H1037" i="1"/>
  <c r="G1047" i="1"/>
  <c r="F1057" i="1"/>
  <c r="H1029" i="1"/>
  <c r="I1029" i="1"/>
  <c r="G1039" i="1"/>
  <c r="F1049" i="1"/>
  <c r="I1023" i="1"/>
  <c r="H1023" i="1"/>
  <c r="F1043" i="1"/>
  <c r="G1033" i="1"/>
  <c r="G1028" i="1"/>
  <c r="F1038" i="1"/>
  <c r="I1018" i="1"/>
  <c r="H1018" i="1"/>
  <c r="G1025" i="1"/>
  <c r="F1035" i="1"/>
  <c r="I1015" i="1"/>
  <c r="H1015" i="1"/>
  <c r="I1012" i="1"/>
  <c r="H1012" i="1"/>
  <c r="F1032" i="1"/>
  <c r="G1022" i="1"/>
  <c r="I1044" i="1"/>
  <c r="H1044" i="1"/>
  <c r="F1064" i="1"/>
  <c r="G1054" i="1"/>
  <c r="E40" i="2" a="1"/>
  <c r="F42" i="3" s="1"/>
  <c r="F15" i="2" a="1"/>
  <c r="G17" i="3" s="1"/>
  <c r="G1056" i="1" l="1"/>
  <c r="F1066" i="1"/>
  <c r="H1046" i="1"/>
  <c r="I1046" i="1"/>
  <c r="F1070" i="1"/>
  <c r="G1060" i="1"/>
  <c r="H1050" i="1"/>
  <c r="I1050" i="1"/>
  <c r="F1071" i="1"/>
  <c r="G1061" i="1"/>
  <c r="I1051" i="1"/>
  <c r="H1051" i="1"/>
  <c r="H1047" i="1"/>
  <c r="I1047" i="1"/>
  <c r="F1067" i="1"/>
  <c r="G1057" i="1"/>
  <c r="H1039" i="1"/>
  <c r="I1039" i="1"/>
  <c r="G1049" i="1"/>
  <c r="F1059" i="1"/>
  <c r="G1043" i="1"/>
  <c r="F1053" i="1"/>
  <c r="H1033" i="1"/>
  <c r="I1033" i="1"/>
  <c r="I1028" i="1"/>
  <c r="H1028" i="1"/>
  <c r="F1048" i="1"/>
  <c r="G1038" i="1"/>
  <c r="I1025" i="1"/>
  <c r="H1025" i="1"/>
  <c r="G1035" i="1"/>
  <c r="F1045" i="1"/>
  <c r="G1032" i="1"/>
  <c r="F1042" i="1"/>
  <c r="H1022" i="1"/>
  <c r="I1022" i="1"/>
  <c r="G1064" i="1"/>
  <c r="F1074" i="1"/>
  <c r="H1054" i="1"/>
  <c r="I1054" i="1"/>
  <c r="H1056" i="1" l="1"/>
  <c r="I1056" i="1"/>
  <c r="G1066" i="1"/>
  <c r="F1076" i="1"/>
  <c r="G1070" i="1"/>
  <c r="F1080" i="1"/>
  <c r="H1060" i="1"/>
  <c r="I1060" i="1"/>
  <c r="F1081" i="1"/>
  <c r="G1071" i="1"/>
  <c r="H1061" i="1"/>
  <c r="I1061" i="1"/>
  <c r="G1067" i="1"/>
  <c r="F1077" i="1"/>
  <c r="I1057" i="1"/>
  <c r="H1057" i="1"/>
  <c r="I1049" i="1"/>
  <c r="H1049" i="1"/>
  <c r="F1069" i="1"/>
  <c r="G1059" i="1"/>
  <c r="I1043" i="1"/>
  <c r="H1043" i="1"/>
  <c r="G1053" i="1"/>
  <c r="F1063" i="1"/>
  <c r="G1048" i="1"/>
  <c r="F1058" i="1"/>
  <c r="I1038" i="1"/>
  <c r="H1038" i="1"/>
  <c r="I1035" i="1"/>
  <c r="H1035" i="1"/>
  <c r="G1045" i="1"/>
  <c r="F1055" i="1"/>
  <c r="H1032" i="1"/>
  <c r="I1032" i="1"/>
  <c r="F1052" i="1"/>
  <c r="G1042" i="1"/>
  <c r="I1064" i="1"/>
  <c r="H1064" i="1"/>
  <c r="F1084" i="1"/>
  <c r="G1074" i="1"/>
  <c r="I1066" i="1" l="1"/>
  <c r="H1066" i="1"/>
  <c r="F1086" i="1"/>
  <c r="G1076" i="1"/>
  <c r="H1070" i="1"/>
  <c r="I1070" i="1"/>
  <c r="G1080" i="1"/>
  <c r="F1090" i="1"/>
  <c r="G1081" i="1"/>
  <c r="F1091" i="1"/>
  <c r="H1071" i="1"/>
  <c r="I1071" i="1"/>
  <c r="I1067" i="1"/>
  <c r="H1067" i="1"/>
  <c r="G1077" i="1"/>
  <c r="F1087" i="1"/>
  <c r="G1069" i="1"/>
  <c r="F1079" i="1"/>
  <c r="H1059" i="1"/>
  <c r="I1059" i="1"/>
  <c r="H1053" i="1"/>
  <c r="I1053" i="1"/>
  <c r="F1073" i="1"/>
  <c r="G1063" i="1"/>
  <c r="H1048" i="1"/>
  <c r="I1048" i="1"/>
  <c r="G1058" i="1"/>
  <c r="F1068" i="1"/>
  <c r="H1045" i="1"/>
  <c r="I1045" i="1"/>
  <c r="G1055" i="1"/>
  <c r="F1065" i="1"/>
  <c r="G1052" i="1"/>
  <c r="F1062" i="1"/>
  <c r="H1042" i="1"/>
  <c r="I1042" i="1"/>
  <c r="G1084" i="1"/>
  <c r="F1094" i="1"/>
  <c r="I1074" i="1"/>
  <c r="H1074" i="1"/>
  <c r="G1086" i="1" l="1"/>
  <c r="F1096" i="1"/>
  <c r="I1076" i="1"/>
  <c r="H1076" i="1"/>
  <c r="I1080" i="1"/>
  <c r="H1080" i="1"/>
  <c r="G1090" i="1"/>
  <c r="F1100" i="1"/>
  <c r="H1081" i="1"/>
  <c r="I1081" i="1"/>
  <c r="F1101" i="1"/>
  <c r="G1091" i="1"/>
  <c r="H1077" i="1"/>
  <c r="I1077" i="1"/>
  <c r="F1097" i="1"/>
  <c r="G1087" i="1"/>
  <c r="I1069" i="1"/>
  <c r="H1069" i="1"/>
  <c r="G1079" i="1"/>
  <c r="F1089" i="1"/>
  <c r="G1073" i="1"/>
  <c r="F1083" i="1"/>
  <c r="H1063" i="1"/>
  <c r="I1063" i="1"/>
  <c r="H1058" i="1"/>
  <c r="I1058" i="1"/>
  <c r="G1068" i="1"/>
  <c r="F1078" i="1"/>
  <c r="H1055" i="1"/>
  <c r="I1055" i="1"/>
  <c r="F1075" i="1"/>
  <c r="G1065" i="1"/>
  <c r="I1052" i="1"/>
  <c r="H1052" i="1"/>
  <c r="G1062" i="1"/>
  <c r="F1072" i="1"/>
  <c r="H1084" i="1"/>
  <c r="I1084" i="1"/>
  <c r="G1094" i="1"/>
  <c r="F1104" i="1"/>
  <c r="I1086" i="1" l="1"/>
  <c r="H1086" i="1"/>
  <c r="G1096" i="1"/>
  <c r="F1106" i="1"/>
  <c r="I1090" i="1"/>
  <c r="H1090" i="1"/>
  <c r="G1100" i="1"/>
  <c r="F1110" i="1"/>
  <c r="F1111" i="1"/>
  <c r="G1101" i="1"/>
  <c r="I1091" i="1"/>
  <c r="H1091" i="1"/>
  <c r="G1097" i="1"/>
  <c r="F1107" i="1"/>
  <c r="I1087" i="1"/>
  <c r="H1087" i="1"/>
  <c r="I1079" i="1"/>
  <c r="H1079" i="1"/>
  <c r="F1099" i="1"/>
  <c r="G1089" i="1"/>
  <c r="H1073" i="1"/>
  <c r="I1073" i="1"/>
  <c r="G1083" i="1"/>
  <c r="F1093" i="1"/>
  <c r="I1068" i="1"/>
  <c r="H1068" i="1"/>
  <c r="F1088" i="1"/>
  <c r="G1078" i="1"/>
  <c r="F1085" i="1"/>
  <c r="G1075" i="1"/>
  <c r="H1065" i="1"/>
  <c r="I1065" i="1"/>
  <c r="I1062" i="1"/>
  <c r="H1062" i="1"/>
  <c r="F1082" i="1"/>
  <c r="G1072" i="1"/>
  <c r="I1094" i="1"/>
  <c r="H1094" i="1"/>
  <c r="F1114" i="1"/>
  <c r="G1104" i="1"/>
  <c r="H1096" i="1" l="1"/>
  <c r="I1096" i="1"/>
  <c r="G1106" i="1"/>
  <c r="F1116" i="1"/>
  <c r="H1100" i="1"/>
  <c r="I1100" i="1"/>
  <c r="G1110" i="1"/>
  <c r="F1120" i="1"/>
  <c r="F1121" i="1"/>
  <c r="G1111" i="1"/>
  <c r="I1101" i="1"/>
  <c r="H1101" i="1"/>
  <c r="I1097" i="1"/>
  <c r="H1097" i="1"/>
  <c r="F1117" i="1"/>
  <c r="G1107" i="1"/>
  <c r="G1099" i="1"/>
  <c r="F1109" i="1"/>
  <c r="H1089" i="1"/>
  <c r="I1089" i="1"/>
  <c r="I1083" i="1"/>
  <c r="H1083" i="1"/>
  <c r="G1093" i="1"/>
  <c r="F1103" i="1"/>
  <c r="G1088" i="1"/>
  <c r="F1098" i="1"/>
  <c r="I1078" i="1"/>
  <c r="H1078" i="1"/>
  <c r="G1085" i="1"/>
  <c r="F1095" i="1"/>
  <c r="H1075" i="1"/>
  <c r="I1075" i="1"/>
  <c r="G1082" i="1"/>
  <c r="F1092" i="1"/>
  <c r="H1072" i="1"/>
  <c r="I1072" i="1"/>
  <c r="G1114" i="1"/>
  <c r="F1124" i="1"/>
  <c r="H1104" i="1"/>
  <c r="I1104" i="1"/>
  <c r="H1106" i="1" l="1"/>
  <c r="I1106" i="1"/>
  <c r="F1126" i="1"/>
  <c r="G1116" i="1"/>
  <c r="I1110" i="1"/>
  <c r="H1110" i="1"/>
  <c r="G1120" i="1"/>
  <c r="F1130" i="1"/>
  <c r="G1121" i="1"/>
  <c r="F1131" i="1"/>
  <c r="I1111" i="1"/>
  <c r="H1111" i="1"/>
  <c r="F1127" i="1"/>
  <c r="G1117" i="1"/>
  <c r="I1107" i="1"/>
  <c r="H1107" i="1"/>
  <c r="I1099" i="1"/>
  <c r="H1099" i="1"/>
  <c r="G1109" i="1"/>
  <c r="F1119" i="1"/>
  <c r="H1093" i="1"/>
  <c r="I1093" i="1"/>
  <c r="G1103" i="1"/>
  <c r="F1113" i="1"/>
  <c r="I1088" i="1"/>
  <c r="H1088" i="1"/>
  <c r="F1108" i="1"/>
  <c r="G1098" i="1"/>
  <c r="I1085" i="1"/>
  <c r="H1085" i="1"/>
  <c r="F1105" i="1"/>
  <c r="G1095" i="1"/>
  <c r="H1082" i="1"/>
  <c r="I1082" i="1"/>
  <c r="G1092" i="1"/>
  <c r="F1102" i="1"/>
  <c r="I1114" i="1"/>
  <c r="H1114" i="1"/>
  <c r="G1124" i="1"/>
  <c r="F1134" i="1"/>
  <c r="G1126" i="1" l="1"/>
  <c r="F1136" i="1"/>
  <c r="I1116" i="1"/>
  <c r="H1116" i="1"/>
  <c r="I1120" i="1"/>
  <c r="H1120" i="1"/>
  <c r="G1130" i="1"/>
  <c r="F1140" i="1"/>
  <c r="I1121" i="1"/>
  <c r="H1121" i="1"/>
  <c r="F1141" i="1"/>
  <c r="G1131" i="1"/>
  <c r="G1127" i="1"/>
  <c r="F1137" i="1"/>
  <c r="H1117" i="1"/>
  <c r="I1117" i="1"/>
  <c r="H1109" i="1"/>
  <c r="I1109" i="1"/>
  <c r="G1119" i="1"/>
  <c r="F1129" i="1"/>
  <c r="I1103" i="1"/>
  <c r="H1103" i="1"/>
  <c r="G1113" i="1"/>
  <c r="F1123" i="1"/>
  <c r="G1108" i="1"/>
  <c r="F1118" i="1"/>
  <c r="I1098" i="1"/>
  <c r="H1098" i="1"/>
  <c r="G1105" i="1"/>
  <c r="F1115" i="1"/>
  <c r="H1095" i="1"/>
  <c r="I1095" i="1"/>
  <c r="I1092" i="1"/>
  <c r="H1092" i="1"/>
  <c r="G1102" i="1"/>
  <c r="F1112" i="1"/>
  <c r="H1124" i="1"/>
  <c r="I1124" i="1"/>
  <c r="G1134" i="1"/>
  <c r="F1144" i="1"/>
  <c r="I1126" i="1" l="1"/>
  <c r="H1126" i="1"/>
  <c r="F1146" i="1"/>
  <c r="G1136" i="1"/>
  <c r="H1130" i="1"/>
  <c r="I1130" i="1"/>
  <c r="F1150" i="1"/>
  <c r="G1140" i="1"/>
  <c r="F1151" i="1"/>
  <c r="G1141" i="1"/>
  <c r="H1131" i="1"/>
  <c r="I1131" i="1"/>
  <c r="H1127" i="1"/>
  <c r="I1127" i="1"/>
  <c r="G1137" i="1"/>
  <c r="F1147" i="1"/>
  <c r="I1119" i="1"/>
  <c r="H1119" i="1"/>
  <c r="F1139" i="1"/>
  <c r="G1129" i="1"/>
  <c r="H1113" i="1"/>
  <c r="I1113" i="1"/>
  <c r="G1123" i="1"/>
  <c r="F1133" i="1"/>
  <c r="I1108" i="1"/>
  <c r="H1108" i="1"/>
  <c r="G1118" i="1"/>
  <c r="F1128" i="1"/>
  <c r="H1105" i="1"/>
  <c r="I1105" i="1"/>
  <c r="G1115" i="1"/>
  <c r="F1125" i="1"/>
  <c r="H1102" i="1"/>
  <c r="I1102" i="1"/>
  <c r="G1112" i="1"/>
  <c r="F1122" i="1"/>
  <c r="I1134" i="1"/>
  <c r="H1134" i="1"/>
  <c r="F1154" i="1"/>
  <c r="G1144" i="1"/>
  <c r="G1146" i="1" l="1"/>
  <c r="F1156" i="1"/>
  <c r="H1136" i="1"/>
  <c r="I1136" i="1"/>
  <c r="G1150" i="1"/>
  <c r="F1160" i="1"/>
  <c r="I1140" i="1"/>
  <c r="H1140" i="1"/>
  <c r="F1161" i="1"/>
  <c r="G1151" i="1"/>
  <c r="I1141" i="1"/>
  <c r="H1141" i="1"/>
  <c r="I1137" i="1"/>
  <c r="H1137" i="1"/>
  <c r="G1147" i="1"/>
  <c r="F1157" i="1"/>
  <c r="G1139" i="1"/>
  <c r="F1149" i="1"/>
  <c r="H1129" i="1"/>
  <c r="I1129" i="1"/>
  <c r="I1123" i="1"/>
  <c r="H1123" i="1"/>
  <c r="G1133" i="1"/>
  <c r="F1143" i="1"/>
  <c r="H1118" i="1"/>
  <c r="I1118" i="1"/>
  <c r="G1128" i="1"/>
  <c r="F1138" i="1"/>
  <c r="H1115" i="1"/>
  <c r="I1115" i="1"/>
  <c r="F1135" i="1"/>
  <c r="G1125" i="1"/>
  <c r="I1112" i="1"/>
  <c r="H1112" i="1"/>
  <c r="G1122" i="1"/>
  <c r="F1132" i="1"/>
  <c r="G1154" i="1"/>
  <c r="F1164" i="1"/>
  <c r="H1144" i="1"/>
  <c r="I1144" i="1"/>
  <c r="I1146" i="1" l="1"/>
  <c r="H1146" i="1"/>
  <c r="G1156" i="1"/>
  <c r="F1166" i="1"/>
  <c r="H1150" i="1"/>
  <c r="I1150" i="1"/>
  <c r="G1160" i="1"/>
  <c r="F1170" i="1"/>
  <c r="F1171" i="1"/>
  <c r="G1161" i="1"/>
  <c r="I1151" i="1"/>
  <c r="H1151" i="1"/>
  <c r="H1147" i="1"/>
  <c r="I1147" i="1"/>
  <c r="G1157" i="1"/>
  <c r="F1167" i="1"/>
  <c r="I1139" i="1"/>
  <c r="H1139" i="1"/>
  <c r="G1149" i="1"/>
  <c r="F1159" i="1"/>
  <c r="I1133" i="1"/>
  <c r="H1133" i="1"/>
  <c r="G1143" i="1"/>
  <c r="F1153" i="1"/>
  <c r="I1128" i="1"/>
  <c r="H1128" i="1"/>
  <c r="G1138" i="1"/>
  <c r="F1148" i="1"/>
  <c r="G1135" i="1"/>
  <c r="F1145" i="1"/>
  <c r="H1125" i="1"/>
  <c r="I1125" i="1"/>
  <c r="I1122" i="1"/>
  <c r="H1122" i="1"/>
  <c r="G1132" i="1"/>
  <c r="F1142" i="1"/>
  <c r="I1154" i="1"/>
  <c r="H1154" i="1"/>
  <c r="F1174" i="1"/>
  <c r="G1164" i="1"/>
  <c r="I1156" i="1" l="1"/>
  <c r="H1156" i="1"/>
  <c r="G1166" i="1"/>
  <c r="F1176" i="1"/>
  <c r="I1160" i="1"/>
  <c r="H1160" i="1"/>
  <c r="G1170" i="1"/>
  <c r="F1180" i="1"/>
  <c r="F1181" i="1"/>
  <c r="G1171" i="1"/>
  <c r="H1161" i="1"/>
  <c r="I1161" i="1"/>
  <c r="I1157" i="1"/>
  <c r="H1157" i="1"/>
  <c r="G1167" i="1"/>
  <c r="F1177" i="1"/>
  <c r="H1149" i="1"/>
  <c r="I1149" i="1"/>
  <c r="F1169" i="1"/>
  <c r="G1159" i="1"/>
  <c r="I1143" i="1"/>
  <c r="H1143" i="1"/>
  <c r="F1163" i="1"/>
  <c r="G1153" i="1"/>
  <c r="I1138" i="1"/>
  <c r="H1138" i="1"/>
  <c r="F1158" i="1"/>
  <c r="G1148" i="1"/>
  <c r="H1135" i="1"/>
  <c r="I1135" i="1"/>
  <c r="G1145" i="1"/>
  <c r="F1155" i="1"/>
  <c r="H1132" i="1"/>
  <c r="I1132" i="1"/>
  <c r="G1142" i="1"/>
  <c r="F1152" i="1"/>
  <c r="G1174" i="1"/>
  <c r="F1184" i="1"/>
  <c r="H1164" i="1"/>
  <c r="I1164" i="1"/>
  <c r="I1166" i="1" l="1"/>
  <c r="H1166" i="1"/>
  <c r="G1176" i="1"/>
  <c r="F1186" i="1"/>
  <c r="I1170" i="1"/>
  <c r="H1170" i="1"/>
  <c r="F1190" i="1"/>
  <c r="G1180" i="1"/>
  <c r="F1191" i="1"/>
  <c r="G1181" i="1"/>
  <c r="H1171" i="1"/>
  <c r="I1171" i="1"/>
  <c r="I1167" i="1"/>
  <c r="H1167" i="1"/>
  <c r="F1187" i="1"/>
  <c r="G1177" i="1"/>
  <c r="G1169" i="1"/>
  <c r="F1179" i="1"/>
  <c r="H1159" i="1"/>
  <c r="I1159" i="1"/>
  <c r="G1163" i="1"/>
  <c r="F1173" i="1"/>
  <c r="I1153" i="1"/>
  <c r="H1153" i="1"/>
  <c r="G1158" i="1"/>
  <c r="F1168" i="1"/>
  <c r="H1148" i="1"/>
  <c r="I1148" i="1"/>
  <c r="H1145" i="1"/>
  <c r="I1145" i="1"/>
  <c r="G1155" i="1"/>
  <c r="F1165" i="1"/>
  <c r="H1142" i="1"/>
  <c r="I1142" i="1"/>
  <c r="G1152" i="1"/>
  <c r="F1162" i="1"/>
  <c r="H1174" i="1"/>
  <c r="I1174" i="1"/>
  <c r="G1184" i="1"/>
  <c r="F1194" i="1"/>
  <c r="I1176" i="1" l="1"/>
  <c r="H1176" i="1"/>
  <c r="F1196" i="1"/>
  <c r="G1186" i="1"/>
  <c r="G1190" i="1"/>
  <c r="F1200" i="1"/>
  <c r="I1180" i="1"/>
  <c r="H1180" i="1"/>
  <c r="F1201" i="1"/>
  <c r="G1191" i="1"/>
  <c r="H1181" i="1"/>
  <c r="I1181" i="1"/>
  <c r="G1187" i="1"/>
  <c r="F1197" i="1"/>
  <c r="I1177" i="1"/>
  <c r="H1177" i="1"/>
  <c r="I1169" i="1"/>
  <c r="H1169" i="1"/>
  <c r="G1179" i="1"/>
  <c r="F1189" i="1"/>
  <c r="H1163" i="1"/>
  <c r="I1163" i="1"/>
  <c r="F1183" i="1"/>
  <c r="G1173" i="1"/>
  <c r="I1158" i="1"/>
  <c r="H1158" i="1"/>
  <c r="F1178" i="1"/>
  <c r="G1168" i="1"/>
  <c r="I1155" i="1"/>
  <c r="H1155" i="1"/>
  <c r="G1165" i="1"/>
  <c r="F1175" i="1"/>
  <c r="I1152" i="1"/>
  <c r="H1152" i="1"/>
  <c r="G1162" i="1"/>
  <c r="F1172" i="1"/>
  <c r="I1184" i="1"/>
  <c r="H1184" i="1"/>
  <c r="G1194" i="1"/>
  <c r="F1204" i="1"/>
  <c r="G1196" i="1" l="1"/>
  <c r="F1206" i="1"/>
  <c r="H1186" i="1"/>
  <c r="I1186" i="1"/>
  <c r="I1190" i="1"/>
  <c r="H1190" i="1"/>
  <c r="G1200" i="1"/>
  <c r="F1210" i="1"/>
  <c r="F1211" i="1"/>
  <c r="G1201" i="1"/>
  <c r="H1191" i="1"/>
  <c r="I1191" i="1"/>
  <c r="I1187" i="1"/>
  <c r="H1187" i="1"/>
  <c r="G1197" i="1"/>
  <c r="F1207" i="1"/>
  <c r="H1179" i="1"/>
  <c r="I1179" i="1"/>
  <c r="G1189" i="1"/>
  <c r="F1199" i="1"/>
  <c r="G1183" i="1"/>
  <c r="F1193" i="1"/>
  <c r="I1173" i="1"/>
  <c r="H1173" i="1"/>
  <c r="G1178" i="1"/>
  <c r="F1188" i="1"/>
  <c r="I1168" i="1"/>
  <c r="H1168" i="1"/>
  <c r="H1165" i="1"/>
  <c r="I1165" i="1"/>
  <c r="G1175" i="1"/>
  <c r="F1185" i="1"/>
  <c r="H1162" i="1"/>
  <c r="I1162" i="1"/>
  <c r="G1172" i="1"/>
  <c r="F1182" i="1"/>
  <c r="H1194" i="1"/>
  <c r="I1194" i="1"/>
  <c r="G1204" i="1"/>
  <c r="F1214" i="1"/>
  <c r="G1214" i="1" l="1"/>
  <c r="F1224" i="1"/>
  <c r="I1196" i="1"/>
  <c r="H1196" i="1"/>
  <c r="G1206" i="1"/>
  <c r="F1216" i="1"/>
  <c r="I1200" i="1"/>
  <c r="H1200" i="1"/>
  <c r="G1210" i="1"/>
  <c r="F1220" i="1"/>
  <c r="G1211" i="1"/>
  <c r="F1221" i="1"/>
  <c r="I1201" i="1"/>
  <c r="H1201" i="1"/>
  <c r="I1197" i="1"/>
  <c r="H1197" i="1"/>
  <c r="G1207" i="1"/>
  <c r="F1217" i="1"/>
  <c r="H1189" i="1"/>
  <c r="I1189" i="1"/>
  <c r="G1199" i="1"/>
  <c r="F1209" i="1"/>
  <c r="H1183" i="1"/>
  <c r="I1183" i="1"/>
  <c r="G1193" i="1"/>
  <c r="F1203" i="1"/>
  <c r="I1178" i="1"/>
  <c r="H1178" i="1"/>
  <c r="F1198" i="1"/>
  <c r="G1188" i="1"/>
  <c r="I1175" i="1"/>
  <c r="H1175" i="1"/>
  <c r="G1185" i="1"/>
  <c r="F1195" i="1"/>
  <c r="I1172" i="1"/>
  <c r="H1172" i="1"/>
  <c r="F1192" i="1"/>
  <c r="G1182" i="1"/>
  <c r="H1204" i="1"/>
  <c r="I1204" i="1"/>
  <c r="I1214" i="1" l="1"/>
  <c r="H1214" i="1"/>
  <c r="F1234" i="1"/>
  <c r="G1224" i="1"/>
  <c r="G1216" i="1"/>
  <c r="F1226" i="1"/>
  <c r="G1220" i="1"/>
  <c r="F1230" i="1"/>
  <c r="G1217" i="1"/>
  <c r="F1227" i="1"/>
  <c r="G1221" i="1"/>
  <c r="F1231" i="1"/>
  <c r="H1206" i="1"/>
  <c r="I1206" i="1"/>
  <c r="I1210" i="1"/>
  <c r="H1210" i="1"/>
  <c r="H1211" i="1"/>
  <c r="I1211" i="1"/>
  <c r="H1207" i="1"/>
  <c r="I1207" i="1"/>
  <c r="H1199" i="1"/>
  <c r="I1199" i="1"/>
  <c r="G1209" i="1"/>
  <c r="F1219" i="1"/>
  <c r="I1193" i="1"/>
  <c r="H1193" i="1"/>
  <c r="G1203" i="1"/>
  <c r="F1213" i="1"/>
  <c r="G1198" i="1"/>
  <c r="F1208" i="1"/>
  <c r="I1188" i="1"/>
  <c r="H1188" i="1"/>
  <c r="H1185" i="1"/>
  <c r="I1185" i="1"/>
  <c r="G1195" i="1"/>
  <c r="F1205" i="1"/>
  <c r="E119" i="2" a="1"/>
  <c r="F121" i="3" s="1"/>
  <c r="G1192" i="1"/>
  <c r="F1202" i="1"/>
  <c r="H1182" i="1"/>
  <c r="I1182" i="1"/>
  <c r="I1216" i="1" l="1"/>
  <c r="H1216" i="1"/>
  <c r="I1220" i="1"/>
  <c r="H1220" i="1"/>
  <c r="I1217" i="1"/>
  <c r="H1217" i="1"/>
  <c r="F1244" i="1"/>
  <c r="G1234" i="1"/>
  <c r="H1224" i="1"/>
  <c r="I1224" i="1"/>
  <c r="G1226" i="1"/>
  <c r="F1236" i="1"/>
  <c r="G1230" i="1"/>
  <c r="F1240" i="1"/>
  <c r="F1237" i="1"/>
  <c r="G1227" i="1"/>
  <c r="I1221" i="1"/>
  <c r="G1219" i="1"/>
  <c r="F1229" i="1"/>
  <c r="G1213" i="1"/>
  <c r="F1223" i="1"/>
  <c r="H1221" i="1"/>
  <c r="G1231" i="1"/>
  <c r="F1241" i="1"/>
  <c r="H1209" i="1"/>
  <c r="I1209" i="1"/>
  <c r="H1203" i="1"/>
  <c r="I1203" i="1"/>
  <c r="H1198" i="1"/>
  <c r="I1198" i="1"/>
  <c r="G1208" i="1"/>
  <c r="F1218" i="1"/>
  <c r="I1195" i="1"/>
  <c r="H1195" i="1"/>
  <c r="F1215" i="1"/>
  <c r="G1205" i="1"/>
  <c r="I1192" i="1"/>
  <c r="H1192" i="1"/>
  <c r="G1202" i="1"/>
  <c r="F1212" i="1"/>
  <c r="H1213" i="1" l="1"/>
  <c r="I1213" i="1"/>
  <c r="I1219" i="1"/>
  <c r="H1219" i="1"/>
  <c r="G1244" i="1"/>
  <c r="F1254" i="1"/>
  <c r="H1234" i="1"/>
  <c r="I1234" i="1"/>
  <c r="H1226" i="1"/>
  <c r="I1226" i="1"/>
  <c r="F1246" i="1"/>
  <c r="G1236" i="1"/>
  <c r="H1230" i="1"/>
  <c r="I1230" i="1"/>
  <c r="G1240" i="1"/>
  <c r="F1250" i="1"/>
  <c r="G1237" i="1"/>
  <c r="F1247" i="1"/>
  <c r="I1227" i="1"/>
  <c r="H1227" i="1"/>
  <c r="G1229" i="1"/>
  <c r="F1239" i="1"/>
  <c r="G1223" i="1"/>
  <c r="F1233" i="1"/>
  <c r="G1218" i="1"/>
  <c r="F1228" i="1"/>
  <c r="G1212" i="1"/>
  <c r="F1222" i="1"/>
  <c r="I1231" i="1"/>
  <c r="H1231" i="1"/>
  <c r="G1241" i="1"/>
  <c r="F1251" i="1"/>
  <c r="G1215" i="1"/>
  <c r="F1225" i="1"/>
  <c r="H1208" i="1"/>
  <c r="I1208" i="1"/>
  <c r="H1205" i="1"/>
  <c r="I1205" i="1"/>
  <c r="E121" i="2" a="1"/>
  <c r="F123" i="3" s="1"/>
  <c r="I1202" i="1"/>
  <c r="H1202" i="1"/>
  <c r="I1218" i="1" l="1"/>
  <c r="H1218" i="1"/>
  <c r="I1215" i="1"/>
  <c r="H1215" i="1"/>
  <c r="H1212" i="1"/>
  <c r="I1212" i="1"/>
  <c r="H1244" i="1"/>
  <c r="I1244" i="1"/>
  <c r="G1254" i="1"/>
  <c r="F1264" i="1"/>
  <c r="G1246" i="1"/>
  <c r="F1256" i="1"/>
  <c r="H1236" i="1"/>
  <c r="I1236" i="1"/>
  <c r="H1240" i="1"/>
  <c r="I1240" i="1"/>
  <c r="G1250" i="1"/>
  <c r="F1260" i="1"/>
  <c r="H1237" i="1"/>
  <c r="I1237" i="1"/>
  <c r="G1247" i="1"/>
  <c r="F1257" i="1"/>
  <c r="H1229" i="1"/>
  <c r="I1229" i="1"/>
  <c r="G1239" i="1"/>
  <c r="F1249" i="1"/>
  <c r="I1223" i="1"/>
  <c r="H1223" i="1"/>
  <c r="G1233" i="1"/>
  <c r="F1243" i="1"/>
  <c r="F1238" i="1"/>
  <c r="G1228" i="1"/>
  <c r="F1232" i="1"/>
  <c r="G1222" i="1"/>
  <c r="I1241" i="1"/>
  <c r="H1241" i="1"/>
  <c r="F1261" i="1"/>
  <c r="G1251" i="1"/>
  <c r="G1225" i="1"/>
  <c r="F1235" i="1"/>
  <c r="I1254" i="1" l="1"/>
  <c r="H1254" i="1"/>
  <c r="G1264" i="1"/>
  <c r="F1274" i="1"/>
  <c r="I1246" i="1"/>
  <c r="H1246" i="1"/>
  <c r="F1266" i="1"/>
  <c r="G1256" i="1"/>
  <c r="I1250" i="1"/>
  <c r="H1250" i="1"/>
  <c r="G1260" i="1"/>
  <c r="F1270" i="1"/>
  <c r="H1247" i="1"/>
  <c r="I1247" i="1"/>
  <c r="G1257" i="1"/>
  <c r="F1267" i="1"/>
  <c r="I1239" i="1"/>
  <c r="H1239" i="1"/>
  <c r="G1249" i="1"/>
  <c r="F1259" i="1"/>
  <c r="H1233" i="1"/>
  <c r="I1233" i="1"/>
  <c r="G1243" i="1"/>
  <c r="F1253" i="1"/>
  <c r="F1248" i="1"/>
  <c r="G1238" i="1"/>
  <c r="I1228" i="1"/>
  <c r="H1228" i="1"/>
  <c r="G1232" i="1"/>
  <c r="F1242" i="1"/>
  <c r="I1222" i="1"/>
  <c r="H1222" i="1"/>
  <c r="F1271" i="1"/>
  <c r="G1261" i="1"/>
  <c r="I1251" i="1"/>
  <c r="H1251" i="1"/>
  <c r="I1225" i="1"/>
  <c r="H1225" i="1"/>
  <c r="G1235" i="1"/>
  <c r="F1245" i="1"/>
  <c r="I1264" i="1" l="1"/>
  <c r="H1264" i="1"/>
  <c r="G1274" i="1"/>
  <c r="F1284" i="1"/>
  <c r="F1276" i="1"/>
  <c r="G1266" i="1"/>
  <c r="I1256" i="1"/>
  <c r="H1256" i="1"/>
  <c r="I1260" i="1"/>
  <c r="H1260" i="1"/>
  <c r="F1280" i="1"/>
  <c r="G1270" i="1"/>
  <c r="I1257" i="1"/>
  <c r="H1257" i="1"/>
  <c r="G1267" i="1"/>
  <c r="F1277" i="1"/>
  <c r="I1249" i="1"/>
  <c r="H1249" i="1"/>
  <c r="F1269" i="1"/>
  <c r="G1259" i="1"/>
  <c r="H1243" i="1"/>
  <c r="I1243" i="1"/>
  <c r="F1263" i="1"/>
  <c r="G1253" i="1"/>
  <c r="G1248" i="1"/>
  <c r="F1258" i="1"/>
  <c r="H1238" i="1"/>
  <c r="I1238" i="1"/>
  <c r="H1232" i="1"/>
  <c r="I1232" i="1"/>
  <c r="F1252" i="1"/>
  <c r="G1242" i="1"/>
  <c r="F1281" i="1"/>
  <c r="G1271" i="1"/>
  <c r="I1261" i="1"/>
  <c r="H1261" i="1"/>
  <c r="I1235" i="1"/>
  <c r="H1235" i="1"/>
  <c r="G1245" i="1"/>
  <c r="F1255" i="1"/>
  <c r="I1274" i="1" l="1"/>
  <c r="H1274" i="1"/>
  <c r="F1294" i="1"/>
  <c r="G1284" i="1"/>
  <c r="G1276" i="1"/>
  <c r="F1286" i="1"/>
  <c r="H1266" i="1"/>
  <c r="I1266" i="1"/>
  <c r="G1280" i="1"/>
  <c r="F1290" i="1"/>
  <c r="I1270" i="1"/>
  <c r="H1270" i="1"/>
  <c r="H1267" i="1"/>
  <c r="I1267" i="1"/>
  <c r="G1277" i="1"/>
  <c r="F1287" i="1"/>
  <c r="G1269" i="1"/>
  <c r="F1279" i="1"/>
  <c r="I1259" i="1"/>
  <c r="H1259" i="1"/>
  <c r="G1263" i="1"/>
  <c r="F1273" i="1"/>
  <c r="I1253" i="1"/>
  <c r="H1253" i="1"/>
  <c r="I1248" i="1"/>
  <c r="H1248" i="1"/>
  <c r="F1268" i="1"/>
  <c r="G1258" i="1"/>
  <c r="G1252" i="1"/>
  <c r="F1262" i="1"/>
  <c r="H1242" i="1"/>
  <c r="I1242" i="1"/>
  <c r="F1291" i="1"/>
  <c r="G1281" i="1"/>
  <c r="I1271" i="1"/>
  <c r="H1271" i="1"/>
  <c r="I1245" i="1"/>
  <c r="H1245" i="1"/>
  <c r="G1255" i="1"/>
  <c r="F1265" i="1"/>
  <c r="F1304" i="1" l="1"/>
  <c r="G1294" i="1"/>
  <c r="I1284" i="1"/>
  <c r="H1284" i="1"/>
  <c r="I1276" i="1"/>
  <c r="H1276" i="1"/>
  <c r="G1286" i="1"/>
  <c r="F1296" i="1"/>
  <c r="I1280" i="1"/>
  <c r="H1280" i="1"/>
  <c r="G1290" i="1"/>
  <c r="F1300" i="1"/>
  <c r="I1277" i="1"/>
  <c r="H1277" i="1"/>
  <c r="F1297" i="1"/>
  <c r="G1287" i="1"/>
  <c r="H1269" i="1"/>
  <c r="I1269" i="1"/>
  <c r="G1279" i="1"/>
  <c r="F1289" i="1"/>
  <c r="I1263" i="1"/>
  <c r="H1263" i="1"/>
  <c r="G1273" i="1"/>
  <c r="F1283" i="1"/>
  <c r="F1278" i="1"/>
  <c r="G1268" i="1"/>
  <c r="H1258" i="1"/>
  <c r="I1258" i="1"/>
  <c r="H1252" i="1"/>
  <c r="I1252" i="1"/>
  <c r="F1272" i="1"/>
  <c r="G1262" i="1"/>
  <c r="F1301" i="1"/>
  <c r="G1291" i="1"/>
  <c r="H1281" i="1"/>
  <c r="I1281" i="1"/>
  <c r="I1255" i="1"/>
  <c r="H1255" i="1"/>
  <c r="G1265" i="1"/>
  <c r="F1275" i="1"/>
  <c r="G1304" i="1" l="1"/>
  <c r="F1314" i="1"/>
  <c r="I1294" i="1"/>
  <c r="H1294" i="1"/>
  <c r="I1286" i="1"/>
  <c r="H1286" i="1"/>
  <c r="G1296" i="1"/>
  <c r="F1306" i="1"/>
  <c r="H1290" i="1"/>
  <c r="I1290" i="1"/>
  <c r="G1300" i="1"/>
  <c r="F1310" i="1"/>
  <c r="G1297" i="1"/>
  <c r="F1307" i="1"/>
  <c r="H1287" i="1"/>
  <c r="I1287" i="1"/>
  <c r="I1279" i="1"/>
  <c r="H1279" i="1"/>
  <c r="G1289" i="1"/>
  <c r="F1299" i="1"/>
  <c r="H1273" i="1"/>
  <c r="I1273" i="1"/>
  <c r="F1293" i="1"/>
  <c r="G1283" i="1"/>
  <c r="G1278" i="1"/>
  <c r="F1288" i="1"/>
  <c r="H1268" i="1"/>
  <c r="I1268" i="1"/>
  <c r="G1272" i="1"/>
  <c r="F1282" i="1"/>
  <c r="I1262" i="1"/>
  <c r="H1262" i="1"/>
  <c r="G1301" i="1"/>
  <c r="F1311" i="1"/>
  <c r="H1291" i="1"/>
  <c r="I1291" i="1"/>
  <c r="I1265" i="1"/>
  <c r="H1265" i="1"/>
  <c r="G1275" i="1"/>
  <c r="F1285" i="1"/>
  <c r="H1304" i="1" l="1"/>
  <c r="I1304" i="1"/>
  <c r="G1314" i="1"/>
  <c r="F1324" i="1"/>
  <c r="I1296" i="1"/>
  <c r="H1296" i="1"/>
  <c r="G1306" i="1"/>
  <c r="F1316" i="1"/>
  <c r="H1300" i="1"/>
  <c r="I1300" i="1"/>
  <c r="G1310" i="1"/>
  <c r="F1320" i="1"/>
  <c r="I1297" i="1"/>
  <c r="H1297" i="1"/>
  <c r="F1317" i="1"/>
  <c r="G1307" i="1"/>
  <c r="I1289" i="1"/>
  <c r="H1289" i="1"/>
  <c r="F1309" i="1"/>
  <c r="G1299" i="1"/>
  <c r="F1303" i="1"/>
  <c r="G1293" i="1"/>
  <c r="H1283" i="1"/>
  <c r="I1283" i="1"/>
  <c r="I1278" i="1"/>
  <c r="H1278" i="1"/>
  <c r="G1288" i="1"/>
  <c r="F1298" i="1"/>
  <c r="H1272" i="1"/>
  <c r="I1272" i="1"/>
  <c r="F1292" i="1"/>
  <c r="G1282" i="1"/>
  <c r="H1301" i="1"/>
  <c r="I1301" i="1"/>
  <c r="G1311" i="1"/>
  <c r="F1321" i="1"/>
  <c r="I1275" i="1"/>
  <c r="H1275" i="1"/>
  <c r="G1285" i="1"/>
  <c r="F1295" i="1"/>
  <c r="H1314" i="1" l="1"/>
  <c r="I1314" i="1"/>
  <c r="F1334" i="1"/>
  <c r="G1324" i="1"/>
  <c r="H1306" i="1"/>
  <c r="I1306" i="1"/>
  <c r="G1316" i="1"/>
  <c r="F1326" i="1"/>
  <c r="I1310" i="1"/>
  <c r="H1310" i="1"/>
  <c r="F1330" i="1"/>
  <c r="G1320" i="1"/>
  <c r="F1327" i="1"/>
  <c r="G1317" i="1"/>
  <c r="H1307" i="1"/>
  <c r="I1307" i="1"/>
  <c r="F1319" i="1"/>
  <c r="G1309" i="1"/>
  <c r="I1299" i="1"/>
  <c r="H1299" i="1"/>
  <c r="G1303" i="1"/>
  <c r="F1313" i="1"/>
  <c r="I1293" i="1"/>
  <c r="H1293" i="1"/>
  <c r="I1288" i="1"/>
  <c r="H1288" i="1"/>
  <c r="G1298" i="1"/>
  <c r="F1308" i="1"/>
  <c r="F1302" i="1"/>
  <c r="G1292" i="1"/>
  <c r="I1282" i="1"/>
  <c r="H1282" i="1"/>
  <c r="H1311" i="1"/>
  <c r="I1311" i="1"/>
  <c r="G1321" i="1"/>
  <c r="F1331" i="1"/>
  <c r="F129" i="2" a="1"/>
  <c r="G131" i="3" s="1"/>
  <c r="I1285" i="1"/>
  <c r="H1285" i="1"/>
  <c r="G1295" i="1"/>
  <c r="F1305" i="1"/>
  <c r="G1334" i="1" l="1"/>
  <c r="F1344" i="1"/>
  <c r="H1324" i="1"/>
  <c r="I1324" i="1"/>
  <c r="I1316" i="1"/>
  <c r="H1316" i="1"/>
  <c r="F1336" i="1"/>
  <c r="G1326" i="1"/>
  <c r="G1330" i="1"/>
  <c r="F1340" i="1"/>
  <c r="H1320" i="1"/>
  <c r="I1320" i="1"/>
  <c r="F1337" i="1"/>
  <c r="G1327" i="1"/>
  <c r="I1317" i="1"/>
  <c r="H1317" i="1"/>
  <c r="G1319" i="1"/>
  <c r="F1329" i="1"/>
  <c r="I1309" i="1"/>
  <c r="H1309" i="1"/>
  <c r="H1303" i="1"/>
  <c r="I1303" i="1"/>
  <c r="G1313" i="1"/>
  <c r="F1323" i="1"/>
  <c r="I1298" i="1"/>
  <c r="H1298" i="1"/>
  <c r="F1318" i="1"/>
  <c r="G1308" i="1"/>
  <c r="G1302" i="1"/>
  <c r="F1312" i="1"/>
  <c r="I1292" i="1"/>
  <c r="H1292" i="1"/>
  <c r="H1321" i="1"/>
  <c r="I1321" i="1"/>
  <c r="G1331" i="1"/>
  <c r="F1341" i="1"/>
  <c r="I1295" i="1"/>
  <c r="H1295" i="1"/>
  <c r="G1305" i="1"/>
  <c r="F1315" i="1"/>
  <c r="H1334" i="1" l="1"/>
  <c r="I1334" i="1"/>
  <c r="G1344" i="1"/>
  <c r="F1354" i="1"/>
  <c r="G1336" i="1"/>
  <c r="F1346" i="1"/>
  <c r="H1326" i="1"/>
  <c r="I1326" i="1"/>
  <c r="I1330" i="1"/>
  <c r="H1330" i="1"/>
  <c r="F1350" i="1"/>
  <c r="G1340" i="1"/>
  <c r="G1337" i="1"/>
  <c r="F1347" i="1"/>
  <c r="I1327" i="1"/>
  <c r="H1327" i="1"/>
  <c r="H1319" i="1"/>
  <c r="I1319" i="1"/>
  <c r="G1329" i="1"/>
  <c r="F1339" i="1"/>
  <c r="H1313" i="1"/>
  <c r="I1313" i="1"/>
  <c r="G1323" i="1"/>
  <c r="F1333" i="1"/>
  <c r="F1328" i="1"/>
  <c r="G1318" i="1"/>
  <c r="I1308" i="1"/>
  <c r="H1308" i="1"/>
  <c r="H1302" i="1"/>
  <c r="I1302" i="1"/>
  <c r="G1312" i="1"/>
  <c r="F1322" i="1"/>
  <c r="I1331" i="1"/>
  <c r="H1331" i="1"/>
  <c r="F1351" i="1"/>
  <c r="G1341" i="1"/>
  <c r="I1305" i="1"/>
  <c r="H1305" i="1"/>
  <c r="G1315" i="1"/>
  <c r="F1325" i="1"/>
  <c r="I1344" i="1" l="1"/>
  <c r="H1344" i="1"/>
  <c r="G1354" i="1"/>
  <c r="F1364" i="1"/>
  <c r="I1336" i="1"/>
  <c r="H1336" i="1"/>
  <c r="G1346" i="1"/>
  <c r="F1356" i="1"/>
  <c r="F1360" i="1"/>
  <c r="G1350" i="1"/>
  <c r="H1340" i="1"/>
  <c r="I1340" i="1"/>
  <c r="H1337" i="1"/>
  <c r="I1337" i="1"/>
  <c r="G1347" i="1"/>
  <c r="F1357" i="1"/>
  <c r="H1329" i="1"/>
  <c r="I1329" i="1"/>
  <c r="G1339" i="1"/>
  <c r="F1349" i="1"/>
  <c r="I1323" i="1"/>
  <c r="H1323" i="1"/>
  <c r="G1333" i="1"/>
  <c r="F1343" i="1"/>
  <c r="G1328" i="1"/>
  <c r="F1338" i="1"/>
  <c r="H1318" i="1"/>
  <c r="I1318" i="1"/>
  <c r="H1312" i="1"/>
  <c r="I1312" i="1"/>
  <c r="G1322" i="1"/>
  <c r="F1332" i="1"/>
  <c r="F1361" i="1"/>
  <c r="G1351" i="1"/>
  <c r="H1341" i="1"/>
  <c r="I1341" i="1"/>
  <c r="I1315" i="1"/>
  <c r="H1315" i="1"/>
  <c r="G1325" i="1"/>
  <c r="F1335" i="1"/>
  <c r="I1354" i="1" l="1"/>
  <c r="H1354" i="1"/>
  <c r="F1374" i="1"/>
  <c r="G1364" i="1"/>
  <c r="H1346" i="1"/>
  <c r="I1346" i="1"/>
  <c r="F1366" i="1"/>
  <c r="G1356" i="1"/>
  <c r="G1360" i="1"/>
  <c r="F1370" i="1"/>
  <c r="I1350" i="1"/>
  <c r="H1350" i="1"/>
  <c r="H1347" i="1"/>
  <c r="I1347" i="1"/>
  <c r="G1357" i="1"/>
  <c r="F1367" i="1"/>
  <c r="H1339" i="1"/>
  <c r="I1339" i="1"/>
  <c r="F1359" i="1"/>
  <c r="G1349" i="1"/>
  <c r="I1333" i="1"/>
  <c r="H1333" i="1"/>
  <c r="G1343" i="1"/>
  <c r="F1353" i="1"/>
  <c r="I1328" i="1"/>
  <c r="H1328" i="1"/>
  <c r="F1348" i="1"/>
  <c r="G1338" i="1"/>
  <c r="I1322" i="1"/>
  <c r="H1322" i="1"/>
  <c r="G1332" i="1"/>
  <c r="F1342" i="1"/>
  <c r="F1371" i="1"/>
  <c r="G1361" i="1"/>
  <c r="H1351" i="1"/>
  <c r="I1351" i="1"/>
  <c r="I1325" i="1"/>
  <c r="H1325" i="1"/>
  <c r="G1335" i="1"/>
  <c r="F1345" i="1"/>
  <c r="G1374" i="1" l="1"/>
  <c r="F1384" i="1"/>
  <c r="I1364" i="1"/>
  <c r="H1364" i="1"/>
  <c r="G1366" i="1"/>
  <c r="F1376" i="1"/>
  <c r="I1356" i="1"/>
  <c r="H1356" i="1"/>
  <c r="H1360" i="1"/>
  <c r="I1360" i="1"/>
  <c r="G1370" i="1"/>
  <c r="F1380" i="1"/>
  <c r="H1357" i="1"/>
  <c r="I1357" i="1"/>
  <c r="G1367" i="1"/>
  <c r="F1377" i="1"/>
  <c r="G1359" i="1"/>
  <c r="F1369" i="1"/>
  <c r="I1349" i="1"/>
  <c r="H1349" i="1"/>
  <c r="I1343" i="1"/>
  <c r="H1343" i="1"/>
  <c r="G1353" i="1"/>
  <c r="F1363" i="1"/>
  <c r="F1358" i="1"/>
  <c r="G1348" i="1"/>
  <c r="H1338" i="1"/>
  <c r="I1338" i="1"/>
  <c r="I1332" i="1"/>
  <c r="H1332" i="1"/>
  <c r="G1342" i="1"/>
  <c r="F1352" i="1"/>
  <c r="F1381" i="1"/>
  <c r="G1371" i="1"/>
  <c r="H1361" i="1"/>
  <c r="I1361" i="1"/>
  <c r="I1335" i="1"/>
  <c r="H1335" i="1"/>
  <c r="G1345" i="1"/>
  <c r="F1355" i="1"/>
  <c r="H1374" i="1" l="1"/>
  <c r="I1374" i="1"/>
  <c r="G1384" i="1"/>
  <c r="F1394" i="1"/>
  <c r="H1366" i="1"/>
  <c r="I1366" i="1"/>
  <c r="G1376" i="1"/>
  <c r="F1386" i="1"/>
  <c r="I1370" i="1"/>
  <c r="H1370" i="1"/>
  <c r="G1380" i="1"/>
  <c r="F1390" i="1"/>
  <c r="I1367" i="1"/>
  <c r="H1367" i="1"/>
  <c r="G1377" i="1"/>
  <c r="F1387" i="1"/>
  <c r="I1359" i="1"/>
  <c r="H1359" i="1"/>
  <c r="G1369" i="1"/>
  <c r="F1379" i="1"/>
  <c r="I1353" i="1"/>
  <c r="H1353" i="1"/>
  <c r="G1363" i="1"/>
  <c r="F1373" i="1"/>
  <c r="F1368" i="1"/>
  <c r="G1358" i="1"/>
  <c r="I1348" i="1"/>
  <c r="H1348" i="1"/>
  <c r="H1342" i="1"/>
  <c r="I1342" i="1"/>
  <c r="G1352" i="1"/>
  <c r="F1362" i="1"/>
  <c r="G1381" i="1"/>
  <c r="F1391" i="1"/>
  <c r="I1371" i="1"/>
  <c r="H1371" i="1"/>
  <c r="I1345" i="1"/>
  <c r="H1345" i="1"/>
  <c r="G1355" i="1"/>
  <c r="F1365" i="1"/>
  <c r="I1384" i="1" l="1"/>
  <c r="H1384" i="1"/>
  <c r="G1394" i="1"/>
  <c r="F1404" i="1"/>
  <c r="H1376" i="1"/>
  <c r="I1376" i="1"/>
  <c r="G1386" i="1"/>
  <c r="F1396" i="1"/>
  <c r="H1380" i="1"/>
  <c r="I1380" i="1"/>
  <c r="G1390" i="1"/>
  <c r="F1400" i="1"/>
  <c r="H1377" i="1"/>
  <c r="I1377" i="1"/>
  <c r="F1397" i="1"/>
  <c r="G1387" i="1"/>
  <c r="H1369" i="1"/>
  <c r="I1369" i="1"/>
  <c r="G1379" i="1"/>
  <c r="F1389" i="1"/>
  <c r="H1363" i="1"/>
  <c r="I1363" i="1"/>
  <c r="F1383" i="1"/>
  <c r="G1373" i="1"/>
  <c r="G1368" i="1"/>
  <c r="F1378" i="1"/>
  <c r="H1358" i="1"/>
  <c r="I1358" i="1"/>
  <c r="H1352" i="1"/>
  <c r="I1352" i="1"/>
  <c r="G1362" i="1"/>
  <c r="F1372" i="1"/>
  <c r="H1381" i="1"/>
  <c r="I1381" i="1"/>
  <c r="G1391" i="1"/>
  <c r="F1401" i="1"/>
  <c r="I1355" i="1"/>
  <c r="H1355" i="1"/>
  <c r="G1365" i="1"/>
  <c r="F1375" i="1"/>
  <c r="I1394" i="1" l="1"/>
  <c r="H1394" i="1"/>
  <c r="F1414" i="1"/>
  <c r="G1404" i="1"/>
  <c r="H1386" i="1"/>
  <c r="I1386" i="1"/>
  <c r="G1396" i="1"/>
  <c r="F1406" i="1"/>
  <c r="H1390" i="1"/>
  <c r="I1390" i="1"/>
  <c r="G1400" i="1"/>
  <c r="F1410" i="1"/>
  <c r="G1397" i="1"/>
  <c r="F1407" i="1"/>
  <c r="I1387" i="1"/>
  <c r="H1387" i="1"/>
  <c r="H1379" i="1"/>
  <c r="I1379" i="1"/>
  <c r="F1399" i="1"/>
  <c r="G1389" i="1"/>
  <c r="G1383" i="1"/>
  <c r="F1393" i="1"/>
  <c r="I1373" i="1"/>
  <c r="H1373" i="1"/>
  <c r="I1368" i="1"/>
  <c r="H1368" i="1"/>
  <c r="G1378" i="1"/>
  <c r="F1388" i="1"/>
  <c r="H1362" i="1"/>
  <c r="I1362" i="1"/>
  <c r="G1372" i="1"/>
  <c r="F1382" i="1"/>
  <c r="H1391" i="1"/>
  <c r="I1391" i="1"/>
  <c r="G1401" i="1"/>
  <c r="F1411" i="1"/>
  <c r="I1365" i="1"/>
  <c r="H1365" i="1"/>
  <c r="G1375" i="1"/>
  <c r="F1385" i="1"/>
  <c r="G1414" i="1" l="1"/>
  <c r="F1424" i="1"/>
  <c r="H1404" i="1"/>
  <c r="I1404" i="1"/>
  <c r="I1396" i="1"/>
  <c r="H1396" i="1"/>
  <c r="G1406" i="1"/>
  <c r="F1416" i="1"/>
  <c r="I1400" i="1"/>
  <c r="H1400" i="1"/>
  <c r="G1410" i="1"/>
  <c r="F1420" i="1"/>
  <c r="I1397" i="1"/>
  <c r="H1397" i="1"/>
  <c r="F1417" i="1"/>
  <c r="G1407" i="1"/>
  <c r="G1399" i="1"/>
  <c r="F1409" i="1"/>
  <c r="I1389" i="1"/>
  <c r="H1389" i="1"/>
  <c r="H1383" i="1"/>
  <c r="I1383" i="1"/>
  <c r="G1393" i="1"/>
  <c r="F1403" i="1"/>
  <c r="I1378" i="1"/>
  <c r="H1378" i="1"/>
  <c r="F1398" i="1"/>
  <c r="G1388" i="1"/>
  <c r="I1372" i="1"/>
  <c r="H1372" i="1"/>
  <c r="G1382" i="1"/>
  <c r="F1392" i="1"/>
  <c r="H1401" i="1"/>
  <c r="I1401" i="1"/>
  <c r="G1411" i="1"/>
  <c r="F1421" i="1"/>
  <c r="I1375" i="1"/>
  <c r="H1375" i="1"/>
  <c r="G1385" i="1"/>
  <c r="F1395" i="1"/>
  <c r="H1414" i="1" l="1"/>
  <c r="I1414" i="1"/>
  <c r="G1424" i="1"/>
  <c r="F1434" i="1"/>
  <c r="H1406" i="1"/>
  <c r="I1406" i="1"/>
  <c r="F1426" i="1"/>
  <c r="G1416" i="1"/>
  <c r="H1410" i="1"/>
  <c r="I1410" i="1"/>
  <c r="G1420" i="1"/>
  <c r="F1430" i="1"/>
  <c r="F1427" i="1"/>
  <c r="G1417" i="1"/>
  <c r="I1407" i="1"/>
  <c r="H1407" i="1"/>
  <c r="I1399" i="1"/>
  <c r="H1399" i="1"/>
  <c r="G1409" i="1"/>
  <c r="F1419" i="1"/>
  <c r="I1393" i="1"/>
  <c r="H1393" i="1"/>
  <c r="F1413" i="1"/>
  <c r="G1403" i="1"/>
  <c r="F1408" i="1"/>
  <c r="G1398" i="1"/>
  <c r="I1388" i="1"/>
  <c r="H1388" i="1"/>
  <c r="I1382" i="1"/>
  <c r="H1382" i="1"/>
  <c r="G1392" i="1"/>
  <c r="F1402" i="1"/>
  <c r="I1411" i="1"/>
  <c r="H1411" i="1"/>
  <c r="F1431" i="1"/>
  <c r="G1421" i="1"/>
  <c r="I1385" i="1"/>
  <c r="H1385" i="1"/>
  <c r="G1395" i="1"/>
  <c r="F1405" i="1"/>
  <c r="I1424" i="1" l="1"/>
  <c r="H1424" i="1"/>
  <c r="G1434" i="1"/>
  <c r="F1444" i="1"/>
  <c r="G1426" i="1"/>
  <c r="F1436" i="1"/>
  <c r="I1416" i="1"/>
  <c r="H1416" i="1"/>
  <c r="I1420" i="1"/>
  <c r="H1420" i="1"/>
  <c r="F1440" i="1"/>
  <c r="G1430" i="1"/>
  <c r="G1427" i="1"/>
  <c r="F1437" i="1"/>
  <c r="I1417" i="1"/>
  <c r="H1417" i="1"/>
  <c r="I1409" i="1"/>
  <c r="H1409" i="1"/>
  <c r="G1419" i="1"/>
  <c r="F1429" i="1"/>
  <c r="G1413" i="1"/>
  <c r="F1423" i="1"/>
  <c r="I1403" i="1"/>
  <c r="H1403" i="1"/>
  <c r="G1408" i="1"/>
  <c r="F1418" i="1"/>
  <c r="I1398" i="1"/>
  <c r="H1398" i="1"/>
  <c r="I1392" i="1"/>
  <c r="H1392" i="1"/>
  <c r="G1402" i="1"/>
  <c r="F1412" i="1"/>
  <c r="F1441" i="1"/>
  <c r="G1431" i="1"/>
  <c r="I1421" i="1"/>
  <c r="H1421" i="1"/>
  <c r="I1395" i="1"/>
  <c r="H1395" i="1"/>
  <c r="G1405" i="1"/>
  <c r="F1415" i="1"/>
  <c r="I1434" i="1" l="1"/>
  <c r="H1434" i="1"/>
  <c r="F1454" i="1"/>
  <c r="G1444" i="1"/>
  <c r="H1426" i="1"/>
  <c r="I1426" i="1"/>
  <c r="F1446" i="1"/>
  <c r="G1436" i="1"/>
  <c r="G1440" i="1"/>
  <c r="F1450" i="1"/>
  <c r="H1430" i="1"/>
  <c r="I1430" i="1"/>
  <c r="H1427" i="1"/>
  <c r="I1427" i="1"/>
  <c r="F1447" i="1"/>
  <c r="G1437" i="1"/>
  <c r="H1419" i="1"/>
  <c r="I1419" i="1"/>
  <c r="F1439" i="1"/>
  <c r="G1429" i="1"/>
  <c r="I1413" i="1"/>
  <c r="H1413" i="1"/>
  <c r="F1433" i="1"/>
  <c r="G1423" i="1"/>
  <c r="H1408" i="1"/>
  <c r="I1408" i="1"/>
  <c r="F1428" i="1"/>
  <c r="G1418" i="1"/>
  <c r="H1402" i="1"/>
  <c r="I1402" i="1"/>
  <c r="G1412" i="1"/>
  <c r="F1422" i="1"/>
  <c r="G1441" i="1"/>
  <c r="F1451" i="1"/>
  <c r="H1431" i="1"/>
  <c r="I1431" i="1"/>
  <c r="I1405" i="1"/>
  <c r="H1405" i="1"/>
  <c r="G1415" i="1"/>
  <c r="F1425" i="1"/>
  <c r="F1464" i="1" l="1"/>
  <c r="G1454" i="1"/>
  <c r="I1444" i="1"/>
  <c r="H1444" i="1"/>
  <c r="F1456" i="1"/>
  <c r="G1446" i="1"/>
  <c r="I1436" i="1"/>
  <c r="H1436" i="1"/>
  <c r="I1440" i="1"/>
  <c r="H1440" i="1"/>
  <c r="F1460" i="1"/>
  <c r="G1450" i="1"/>
  <c r="F1457" i="1"/>
  <c r="G1447" i="1"/>
  <c r="H1437" i="1"/>
  <c r="I1437" i="1"/>
  <c r="F1449" i="1"/>
  <c r="G1439" i="1"/>
  <c r="H1429" i="1"/>
  <c r="I1429" i="1"/>
  <c r="G1433" i="1"/>
  <c r="F1443" i="1"/>
  <c r="I1423" i="1"/>
  <c r="H1423" i="1"/>
  <c r="G1428" i="1"/>
  <c r="F1438" i="1"/>
  <c r="H1418" i="1"/>
  <c r="I1418" i="1"/>
  <c r="I1412" i="1"/>
  <c r="H1412" i="1"/>
  <c r="F1432" i="1"/>
  <c r="G1422" i="1"/>
  <c r="I1441" i="1"/>
  <c r="H1441" i="1"/>
  <c r="F1461" i="1"/>
  <c r="G1451" i="1"/>
  <c r="I1415" i="1"/>
  <c r="H1415" i="1"/>
  <c r="G1425" i="1"/>
  <c r="F1435" i="1"/>
  <c r="F1474" i="1" l="1"/>
  <c r="G1464" i="1"/>
  <c r="H1454" i="1"/>
  <c r="I1454" i="1"/>
  <c r="G1456" i="1"/>
  <c r="F1466" i="1"/>
  <c r="I1446" i="1"/>
  <c r="H1446" i="1"/>
  <c r="G1460" i="1"/>
  <c r="F1470" i="1"/>
  <c r="H1450" i="1"/>
  <c r="I1450" i="1"/>
  <c r="G1457" i="1"/>
  <c r="F1467" i="1"/>
  <c r="I1447" i="1"/>
  <c r="H1447" i="1"/>
  <c r="F1459" i="1"/>
  <c r="G1449" i="1"/>
  <c r="H1439" i="1"/>
  <c r="I1439" i="1"/>
  <c r="H1433" i="1"/>
  <c r="I1433" i="1"/>
  <c r="G1443" i="1"/>
  <c r="F1453" i="1"/>
  <c r="H1428" i="1"/>
  <c r="I1428" i="1"/>
  <c r="G1438" i="1"/>
  <c r="F1448" i="1"/>
  <c r="G1432" i="1"/>
  <c r="F1442" i="1"/>
  <c r="I1422" i="1"/>
  <c r="H1422" i="1"/>
  <c r="F1471" i="1"/>
  <c r="G1461" i="1"/>
  <c r="H1451" i="1"/>
  <c r="I1451" i="1"/>
  <c r="I1425" i="1"/>
  <c r="H1425" i="1"/>
  <c r="G1435" i="1"/>
  <c r="F1445" i="1"/>
  <c r="G1474" i="1" l="1"/>
  <c r="F1484" i="1"/>
  <c r="I1464" i="1"/>
  <c r="H1464" i="1"/>
  <c r="I1456" i="1"/>
  <c r="H1456" i="1"/>
  <c r="G1466" i="1"/>
  <c r="F1476" i="1"/>
  <c r="I1460" i="1"/>
  <c r="H1460" i="1"/>
  <c r="G1470" i="1"/>
  <c r="F1480" i="1"/>
  <c r="H1457" i="1"/>
  <c r="I1457" i="1"/>
  <c r="G1467" i="1"/>
  <c r="F1477" i="1"/>
  <c r="G1459" i="1"/>
  <c r="F1469" i="1"/>
  <c r="H1449" i="1"/>
  <c r="I1449" i="1"/>
  <c r="H1443" i="1"/>
  <c r="I1443" i="1"/>
  <c r="G1453" i="1"/>
  <c r="F1463" i="1"/>
  <c r="H1438" i="1"/>
  <c r="I1438" i="1"/>
  <c r="G1448" i="1"/>
  <c r="F1458" i="1"/>
  <c r="I1432" i="1"/>
  <c r="H1432" i="1"/>
  <c r="F1452" i="1"/>
  <c r="G1442" i="1"/>
  <c r="F1481" i="1"/>
  <c r="G1471" i="1"/>
  <c r="H1461" i="1"/>
  <c r="I1461" i="1"/>
  <c r="I1435" i="1"/>
  <c r="H1435" i="1"/>
  <c r="G1445" i="1"/>
  <c r="F1455" i="1"/>
  <c r="I1474" i="1" l="1"/>
  <c r="H1474" i="1"/>
  <c r="G1484" i="1"/>
  <c r="F1494" i="1"/>
  <c r="H1466" i="1"/>
  <c r="I1466" i="1"/>
  <c r="F1486" i="1"/>
  <c r="G1476" i="1"/>
  <c r="I1470" i="1"/>
  <c r="H1470" i="1"/>
  <c r="F1490" i="1"/>
  <c r="G1480" i="1"/>
  <c r="I1467" i="1"/>
  <c r="H1467" i="1"/>
  <c r="F1487" i="1"/>
  <c r="G1477" i="1"/>
  <c r="I1459" i="1"/>
  <c r="H1459" i="1"/>
  <c r="G1469" i="1"/>
  <c r="F1479" i="1"/>
  <c r="I1453" i="1"/>
  <c r="H1453" i="1"/>
  <c r="F1473" i="1"/>
  <c r="G1463" i="1"/>
  <c r="I1448" i="1"/>
  <c r="H1448" i="1"/>
  <c r="G1458" i="1"/>
  <c r="F1468" i="1"/>
  <c r="G1452" i="1"/>
  <c r="F1462" i="1"/>
  <c r="I1442" i="1"/>
  <c r="H1442" i="1"/>
  <c r="F1491" i="1"/>
  <c r="G1481" i="1"/>
  <c r="I1471" i="1"/>
  <c r="H1471" i="1"/>
  <c r="I1445" i="1"/>
  <c r="H1445" i="1"/>
  <c r="G1455" i="1"/>
  <c r="F1465" i="1"/>
  <c r="F145" i="2" a="1"/>
  <c r="G147" i="3" s="1"/>
  <c r="I1484" i="1" l="1"/>
  <c r="H1484" i="1"/>
  <c r="F1504" i="1"/>
  <c r="G1494" i="1"/>
  <c r="G1486" i="1"/>
  <c r="F1496" i="1"/>
  <c r="I1476" i="1"/>
  <c r="H1476" i="1"/>
  <c r="F1500" i="1"/>
  <c r="G1490" i="1"/>
  <c r="H1480" i="1"/>
  <c r="I1480" i="1"/>
  <c r="G1487" i="1"/>
  <c r="F1497" i="1"/>
  <c r="I1477" i="1"/>
  <c r="H1477" i="1"/>
  <c r="H1469" i="1"/>
  <c r="I1469" i="1"/>
  <c r="G1479" i="1"/>
  <c r="F1489" i="1"/>
  <c r="G1473" i="1"/>
  <c r="F1483" i="1"/>
  <c r="I1463" i="1"/>
  <c r="H1463" i="1"/>
  <c r="I1458" i="1"/>
  <c r="H1458" i="1"/>
  <c r="G1468" i="1"/>
  <c r="F1478" i="1"/>
  <c r="I1452" i="1"/>
  <c r="H1452" i="1"/>
  <c r="F1472" i="1"/>
  <c r="G1462" i="1"/>
  <c r="G1491" i="1"/>
  <c r="F1501" i="1"/>
  <c r="I1481" i="1"/>
  <c r="H1481" i="1"/>
  <c r="I1455" i="1"/>
  <c r="H1455" i="1"/>
  <c r="G1465" i="1"/>
  <c r="F1475" i="1"/>
  <c r="I1491" i="1" l="1"/>
  <c r="H1491" i="1"/>
  <c r="F1514" i="1"/>
  <c r="G1504" i="1"/>
  <c r="I1494" i="1"/>
  <c r="H1494" i="1"/>
  <c r="H1486" i="1"/>
  <c r="I1486" i="1"/>
  <c r="F1506" i="1"/>
  <c r="G1496" i="1"/>
  <c r="G1500" i="1"/>
  <c r="F1510" i="1"/>
  <c r="I1490" i="1"/>
  <c r="H1490" i="1"/>
  <c r="I1487" i="1"/>
  <c r="H1487" i="1"/>
  <c r="G1497" i="1"/>
  <c r="F1507" i="1"/>
  <c r="I1479" i="1"/>
  <c r="H1479" i="1"/>
  <c r="F1499" i="1"/>
  <c r="G1489" i="1"/>
  <c r="I1473" i="1"/>
  <c r="H1473" i="1"/>
  <c r="G1483" i="1"/>
  <c r="F1493" i="1"/>
  <c r="H1468" i="1"/>
  <c r="I1468" i="1"/>
  <c r="G1478" i="1"/>
  <c r="F1488" i="1"/>
  <c r="G1472" i="1"/>
  <c r="F1482" i="1"/>
  <c r="I1462" i="1"/>
  <c r="H1462" i="1"/>
  <c r="G1501" i="1"/>
  <c r="F1511" i="1"/>
  <c r="I1465" i="1"/>
  <c r="H1465" i="1"/>
  <c r="G1475" i="1"/>
  <c r="F1485" i="1"/>
  <c r="G1514" i="1" l="1"/>
  <c r="F1524" i="1"/>
  <c r="H1504" i="1"/>
  <c r="I1504" i="1"/>
  <c r="F1516" i="1"/>
  <c r="G1506" i="1"/>
  <c r="I1496" i="1"/>
  <c r="H1496" i="1"/>
  <c r="I1500" i="1"/>
  <c r="H1500" i="1"/>
  <c r="F1520" i="1"/>
  <c r="G1510" i="1"/>
  <c r="H1497" i="1"/>
  <c r="I1497" i="1"/>
  <c r="G1507" i="1"/>
  <c r="F1517" i="1"/>
  <c r="G1499" i="1"/>
  <c r="F1509" i="1"/>
  <c r="I1489" i="1"/>
  <c r="H1489" i="1"/>
  <c r="I1483" i="1"/>
  <c r="H1483" i="1"/>
  <c r="G1493" i="1"/>
  <c r="F1503" i="1"/>
  <c r="H1478" i="1"/>
  <c r="I1478" i="1"/>
  <c r="F1498" i="1"/>
  <c r="G1488" i="1"/>
  <c r="I1472" i="1"/>
  <c r="H1472" i="1"/>
  <c r="F1492" i="1"/>
  <c r="G1482" i="1"/>
  <c r="H1501" i="1"/>
  <c r="I1501" i="1"/>
  <c r="F1521" i="1"/>
  <c r="G1511" i="1"/>
  <c r="G1485" i="1"/>
  <c r="F1495" i="1"/>
  <c r="I1475" i="1"/>
  <c r="H1475" i="1"/>
  <c r="I1485" i="1" l="1"/>
  <c r="H1485" i="1"/>
  <c r="H1514" i="1"/>
  <c r="I1514" i="1"/>
  <c r="F1534" i="1"/>
  <c r="G1524" i="1"/>
  <c r="G1516" i="1"/>
  <c r="F1526" i="1"/>
  <c r="H1506" i="1"/>
  <c r="I1506" i="1"/>
  <c r="G1520" i="1"/>
  <c r="F1530" i="1"/>
  <c r="H1510" i="1"/>
  <c r="I1510" i="1"/>
  <c r="I1507" i="1"/>
  <c r="H1507" i="1"/>
  <c r="F1527" i="1"/>
  <c r="G1517" i="1"/>
  <c r="H1499" i="1"/>
  <c r="I1499" i="1"/>
  <c r="G1509" i="1"/>
  <c r="F1519" i="1"/>
  <c r="I1493" i="1"/>
  <c r="H1493" i="1"/>
  <c r="G1503" i="1"/>
  <c r="F1513" i="1"/>
  <c r="G1498" i="1"/>
  <c r="F1508" i="1"/>
  <c r="H1488" i="1"/>
  <c r="I1488" i="1"/>
  <c r="G1492" i="1"/>
  <c r="F1502" i="1"/>
  <c r="I1482" i="1"/>
  <c r="H1482" i="1"/>
  <c r="F1531" i="1"/>
  <c r="G1521" i="1"/>
  <c r="I1511" i="1"/>
  <c r="H1511" i="1"/>
  <c r="F1505" i="1"/>
  <c r="G1495" i="1"/>
  <c r="E149" i="2" a="1"/>
  <c r="F151" i="3" s="1"/>
  <c r="E150" i="2" l="1" a="1"/>
  <c r="F152" i="3" s="1"/>
  <c r="F1544" i="1"/>
  <c r="G1534" i="1"/>
  <c r="I1524" i="1"/>
  <c r="H1524" i="1"/>
  <c r="I1516" i="1"/>
  <c r="H1516" i="1"/>
  <c r="F1536" i="1"/>
  <c r="G1526" i="1"/>
  <c r="I1520" i="1"/>
  <c r="H1520" i="1"/>
  <c r="F1540" i="1"/>
  <c r="G1530" i="1"/>
  <c r="G1527" i="1"/>
  <c r="F1537" i="1"/>
  <c r="I1517" i="1"/>
  <c r="H1517" i="1"/>
  <c r="I1509" i="1"/>
  <c r="H1509" i="1"/>
  <c r="F1529" i="1"/>
  <c r="G1519" i="1"/>
  <c r="H1503" i="1"/>
  <c r="I1503" i="1"/>
  <c r="G1513" i="1"/>
  <c r="F1523" i="1"/>
  <c r="H1498" i="1"/>
  <c r="I1498" i="1"/>
  <c r="G1508" i="1"/>
  <c r="F1518" i="1"/>
  <c r="I1492" i="1"/>
  <c r="H1492" i="1"/>
  <c r="F1512" i="1"/>
  <c r="G1502" i="1"/>
  <c r="F1541" i="1"/>
  <c r="G1531" i="1"/>
  <c r="I1521" i="1"/>
  <c r="H1521" i="1"/>
  <c r="G1505" i="1"/>
  <c r="F1515" i="1"/>
  <c r="H1495" i="1"/>
  <c r="I1495" i="1"/>
  <c r="G1544" i="1" l="1"/>
  <c r="F1554" i="1"/>
  <c r="I1534" i="1"/>
  <c r="H1534" i="1"/>
  <c r="F1546" i="1"/>
  <c r="G1536" i="1"/>
  <c r="H1526" i="1"/>
  <c r="I1526" i="1"/>
  <c r="F1550" i="1"/>
  <c r="G1540" i="1"/>
  <c r="I1530" i="1"/>
  <c r="H1530" i="1"/>
  <c r="I1527" i="1"/>
  <c r="H1527" i="1"/>
  <c r="G1537" i="1"/>
  <c r="F1547" i="1"/>
  <c r="G1529" i="1"/>
  <c r="F1539" i="1"/>
  <c r="H1519" i="1"/>
  <c r="I1519" i="1"/>
  <c r="I1513" i="1"/>
  <c r="H1513" i="1"/>
  <c r="G1523" i="1"/>
  <c r="F1533" i="1"/>
  <c r="I1508" i="1"/>
  <c r="H1508" i="1"/>
  <c r="F1528" i="1"/>
  <c r="G1518" i="1"/>
  <c r="G1512" i="1"/>
  <c r="F1522" i="1"/>
  <c r="H1502" i="1"/>
  <c r="I1502" i="1"/>
  <c r="F1551" i="1"/>
  <c r="G1541" i="1"/>
  <c r="H1531" i="1"/>
  <c r="I1531" i="1"/>
  <c r="I1505" i="1"/>
  <c r="H1505" i="1"/>
  <c r="F1525" i="1"/>
  <c r="G1515" i="1"/>
  <c r="H1544" i="1" l="1"/>
  <c r="I1544" i="1"/>
  <c r="F1564" i="1"/>
  <c r="G1554" i="1"/>
  <c r="G1546" i="1"/>
  <c r="F1556" i="1"/>
  <c r="I1536" i="1"/>
  <c r="H1536" i="1"/>
  <c r="G1550" i="1"/>
  <c r="F1560" i="1"/>
  <c r="H1540" i="1"/>
  <c r="I1540" i="1"/>
  <c r="H1537" i="1"/>
  <c r="I1537" i="1"/>
  <c r="G1547" i="1"/>
  <c r="F1557" i="1"/>
  <c r="H1529" i="1"/>
  <c r="I1529" i="1"/>
  <c r="F1549" i="1"/>
  <c r="G1539" i="1"/>
  <c r="I1523" i="1"/>
  <c r="H1523" i="1"/>
  <c r="F1543" i="1"/>
  <c r="G1533" i="1"/>
  <c r="F1538" i="1"/>
  <c r="G1528" i="1"/>
  <c r="H1518" i="1"/>
  <c r="I1518" i="1"/>
  <c r="I1512" i="1"/>
  <c r="H1512" i="1"/>
  <c r="G1522" i="1"/>
  <c r="F1532" i="1"/>
  <c r="F1561" i="1"/>
  <c r="G1551" i="1"/>
  <c r="H1541" i="1"/>
  <c r="I1541" i="1"/>
  <c r="G1525" i="1"/>
  <c r="F1535" i="1"/>
  <c r="I1515" i="1"/>
  <c r="H1515" i="1"/>
  <c r="F1574" i="1" l="1"/>
  <c r="G1564" i="1"/>
  <c r="H1554" i="1"/>
  <c r="I1554" i="1"/>
  <c r="I1546" i="1"/>
  <c r="H1546" i="1"/>
  <c r="F1566" i="1"/>
  <c r="G1556" i="1"/>
  <c r="H1550" i="1"/>
  <c r="I1550" i="1"/>
  <c r="F1570" i="1"/>
  <c r="G1560" i="1"/>
  <c r="H1547" i="1"/>
  <c r="I1547" i="1"/>
  <c r="G1557" i="1"/>
  <c r="F1567" i="1"/>
  <c r="F1559" i="1"/>
  <c r="G1549" i="1"/>
  <c r="H1539" i="1"/>
  <c r="I1539" i="1"/>
  <c r="G1543" i="1"/>
  <c r="F1553" i="1"/>
  <c r="I1533" i="1"/>
  <c r="H1533" i="1"/>
  <c r="F1548" i="1"/>
  <c r="G1538" i="1"/>
  <c r="I1528" i="1"/>
  <c r="H1528" i="1"/>
  <c r="H1522" i="1"/>
  <c r="I1522" i="1"/>
  <c r="F1542" i="1"/>
  <c r="G1532" i="1"/>
  <c r="F1571" i="1"/>
  <c r="G1561" i="1"/>
  <c r="I1551" i="1"/>
  <c r="H1551" i="1"/>
  <c r="I1525" i="1"/>
  <c r="H1525" i="1"/>
  <c r="G1535" i="1"/>
  <c r="F1545" i="1"/>
  <c r="F1584" i="1" l="1"/>
  <c r="G1574" i="1"/>
  <c r="I1564" i="1"/>
  <c r="H1564" i="1"/>
  <c r="F1576" i="1"/>
  <c r="G1566" i="1"/>
  <c r="I1556" i="1"/>
  <c r="H1556" i="1"/>
  <c r="F1580" i="1"/>
  <c r="G1570" i="1"/>
  <c r="H1560" i="1"/>
  <c r="I1560" i="1"/>
  <c r="I1557" i="1"/>
  <c r="H1557" i="1"/>
  <c r="G1567" i="1"/>
  <c r="F1577" i="1"/>
  <c r="F1569" i="1"/>
  <c r="G1559" i="1"/>
  <c r="H1549" i="1"/>
  <c r="I1549" i="1"/>
  <c r="H1543" i="1"/>
  <c r="I1543" i="1"/>
  <c r="F1563" i="1"/>
  <c r="G1553" i="1"/>
  <c r="G1548" i="1"/>
  <c r="F1558" i="1"/>
  <c r="I1538" i="1"/>
  <c r="H1538" i="1"/>
  <c r="F1552" i="1"/>
  <c r="G1542" i="1"/>
  <c r="I1532" i="1"/>
  <c r="H1532" i="1"/>
  <c r="F1581" i="1"/>
  <c r="G1571" i="1"/>
  <c r="H1561" i="1"/>
  <c r="I1561" i="1"/>
  <c r="I1535" i="1"/>
  <c r="H1535" i="1"/>
  <c r="F1555" i="1"/>
  <c r="G1545" i="1"/>
  <c r="G1584" i="1" l="1"/>
  <c r="F1594" i="1"/>
  <c r="I1574" i="1"/>
  <c r="H1574" i="1"/>
  <c r="F1586" i="1"/>
  <c r="G1576" i="1"/>
  <c r="H1566" i="1"/>
  <c r="I1566" i="1"/>
  <c r="G1580" i="1"/>
  <c r="F1590" i="1"/>
  <c r="I1570" i="1"/>
  <c r="H1570" i="1"/>
  <c r="I1567" i="1"/>
  <c r="H1567" i="1"/>
  <c r="G1577" i="1"/>
  <c r="F1587" i="1"/>
  <c r="F1579" i="1"/>
  <c r="G1569" i="1"/>
  <c r="H1559" i="1"/>
  <c r="I1559" i="1"/>
  <c r="F1573" i="1"/>
  <c r="G1563" i="1"/>
  <c r="I1553" i="1"/>
  <c r="H1553" i="1"/>
  <c r="I1548" i="1"/>
  <c r="H1548" i="1"/>
  <c r="F1568" i="1"/>
  <c r="G1558" i="1"/>
  <c r="G1552" i="1"/>
  <c r="F1562" i="1"/>
  <c r="H1542" i="1"/>
  <c r="I1542" i="1"/>
  <c r="F1591" i="1"/>
  <c r="G1581" i="1"/>
  <c r="I1571" i="1"/>
  <c r="H1571" i="1"/>
  <c r="F1565" i="1"/>
  <c r="G1555" i="1"/>
  <c r="H1545" i="1"/>
  <c r="I1545" i="1"/>
  <c r="I1584" i="1" l="1"/>
  <c r="H1584" i="1"/>
  <c r="G1594" i="1"/>
  <c r="F1604" i="1"/>
  <c r="G1586" i="1"/>
  <c r="F1596" i="1"/>
  <c r="H1576" i="1"/>
  <c r="I1576" i="1"/>
  <c r="H1580" i="1"/>
  <c r="I1580" i="1"/>
  <c r="F1600" i="1"/>
  <c r="G1590" i="1"/>
  <c r="H1577" i="1"/>
  <c r="I1577" i="1"/>
  <c r="G1587" i="1"/>
  <c r="F1597" i="1"/>
  <c r="G1579" i="1"/>
  <c r="F1589" i="1"/>
  <c r="I1569" i="1"/>
  <c r="H1569" i="1"/>
  <c r="G1573" i="1"/>
  <c r="F1583" i="1"/>
  <c r="H1563" i="1"/>
  <c r="I1563" i="1"/>
  <c r="G1568" i="1"/>
  <c r="F1578" i="1"/>
  <c r="I1558" i="1"/>
  <c r="H1558" i="1"/>
  <c r="I1552" i="1"/>
  <c r="H1552" i="1"/>
  <c r="G1562" i="1"/>
  <c r="F1572" i="1"/>
  <c r="F1601" i="1"/>
  <c r="G1591" i="1"/>
  <c r="I1581" i="1"/>
  <c r="H1581" i="1"/>
  <c r="G1565" i="1"/>
  <c r="F1575" i="1"/>
  <c r="I1555" i="1"/>
  <c r="H1555" i="1"/>
  <c r="I1594" i="1" l="1"/>
  <c r="H1594" i="1"/>
  <c r="G1604" i="1"/>
  <c r="F1614" i="1"/>
  <c r="I1586" i="1"/>
  <c r="H1586" i="1"/>
  <c r="G1596" i="1"/>
  <c r="F1606" i="1"/>
  <c r="G1600" i="1"/>
  <c r="F1610" i="1"/>
  <c r="H1590" i="1"/>
  <c r="I1590" i="1"/>
  <c r="H1587" i="1"/>
  <c r="I1587" i="1"/>
  <c r="F1607" i="1"/>
  <c r="G1597" i="1"/>
  <c r="H1579" i="1"/>
  <c r="I1579" i="1"/>
  <c r="G1589" i="1"/>
  <c r="F1599" i="1"/>
  <c r="I1573" i="1"/>
  <c r="H1573" i="1"/>
  <c r="G1583" i="1"/>
  <c r="F1593" i="1"/>
  <c r="H1568" i="1"/>
  <c r="I1568" i="1"/>
  <c r="G1578" i="1"/>
  <c r="F1588" i="1"/>
  <c r="I1562" i="1"/>
  <c r="H1562" i="1"/>
  <c r="F1582" i="1"/>
  <c r="G1572" i="1"/>
  <c r="F1611" i="1"/>
  <c r="G1601" i="1"/>
  <c r="H1591" i="1"/>
  <c r="I1591" i="1"/>
  <c r="I1565" i="1"/>
  <c r="H1565" i="1"/>
  <c r="G1575" i="1"/>
  <c r="F1585" i="1"/>
  <c r="I1604" i="1" l="1"/>
  <c r="H1604" i="1"/>
  <c r="G1614" i="1"/>
  <c r="F1624" i="1"/>
  <c r="H1596" i="1"/>
  <c r="I1596" i="1"/>
  <c r="G1606" i="1"/>
  <c r="F1616" i="1"/>
  <c r="H1600" i="1"/>
  <c r="I1600" i="1"/>
  <c r="G1610" i="1"/>
  <c r="F1620" i="1"/>
  <c r="G1607" i="1"/>
  <c r="F1617" i="1"/>
  <c r="I1597" i="1"/>
  <c r="H1597" i="1"/>
  <c r="H1589" i="1"/>
  <c r="I1589" i="1"/>
  <c r="G1599" i="1"/>
  <c r="F1609" i="1"/>
  <c r="H1583" i="1"/>
  <c r="I1583" i="1"/>
  <c r="G1593" i="1"/>
  <c r="F1603" i="1"/>
  <c r="I1578" i="1"/>
  <c r="H1578" i="1"/>
  <c r="G1588" i="1"/>
  <c r="F1598" i="1"/>
  <c r="G1582" i="1"/>
  <c r="F1592" i="1"/>
  <c r="H1572" i="1"/>
  <c r="I1572" i="1"/>
  <c r="G1611" i="1"/>
  <c r="F1621" i="1"/>
  <c r="H1601" i="1"/>
  <c r="I1601" i="1"/>
  <c r="I1575" i="1"/>
  <c r="H1575" i="1"/>
  <c r="G1585" i="1"/>
  <c r="F1595" i="1"/>
  <c r="H1614" i="1" l="1"/>
  <c r="I1614" i="1"/>
  <c r="G1624" i="1"/>
  <c r="F1634" i="1"/>
  <c r="H1606" i="1"/>
  <c r="I1606" i="1"/>
  <c r="G1616" i="1"/>
  <c r="F1626" i="1"/>
  <c r="H1610" i="1"/>
  <c r="I1610" i="1"/>
  <c r="F1630" i="1"/>
  <c r="G1620" i="1"/>
  <c r="H1607" i="1"/>
  <c r="I1607" i="1"/>
  <c r="G1617" i="1"/>
  <c r="F1627" i="1"/>
  <c r="I1599" i="1"/>
  <c r="H1599" i="1"/>
  <c r="G1609" i="1"/>
  <c r="F1619" i="1"/>
  <c r="I1593" i="1"/>
  <c r="H1593" i="1"/>
  <c r="G1603" i="1"/>
  <c r="F1613" i="1"/>
  <c r="I1588" i="1"/>
  <c r="H1588" i="1"/>
  <c r="G1598" i="1"/>
  <c r="F1608" i="1"/>
  <c r="H1582" i="1"/>
  <c r="I1582" i="1"/>
  <c r="F1602" i="1"/>
  <c r="G1592" i="1"/>
  <c r="H1611" i="1"/>
  <c r="I1611" i="1"/>
  <c r="G1621" i="1"/>
  <c r="F1631" i="1"/>
  <c r="I1585" i="1"/>
  <c r="H1585" i="1"/>
  <c r="G1595" i="1"/>
  <c r="F1605" i="1"/>
  <c r="H1624" i="1" l="1"/>
  <c r="I1624" i="1"/>
  <c r="F1644" i="1"/>
  <c r="G1634" i="1"/>
  <c r="I1616" i="1"/>
  <c r="H1616" i="1"/>
  <c r="G1626" i="1"/>
  <c r="F1636" i="1"/>
  <c r="F1640" i="1"/>
  <c r="G1630" i="1"/>
  <c r="I1620" i="1"/>
  <c r="H1620" i="1"/>
  <c r="H1617" i="1"/>
  <c r="I1617" i="1"/>
  <c r="F1637" i="1"/>
  <c r="G1627" i="1"/>
  <c r="I1609" i="1"/>
  <c r="H1609" i="1"/>
  <c r="G1619" i="1"/>
  <c r="F1629" i="1"/>
  <c r="I1603" i="1"/>
  <c r="H1603" i="1"/>
  <c r="G1613" i="1"/>
  <c r="F1623" i="1"/>
  <c r="I1598" i="1"/>
  <c r="H1598" i="1"/>
  <c r="G1608" i="1"/>
  <c r="F1618" i="1"/>
  <c r="G1602" i="1"/>
  <c r="F1612" i="1"/>
  <c r="H1592" i="1"/>
  <c r="I1592" i="1"/>
  <c r="H1621" i="1"/>
  <c r="I1621" i="1"/>
  <c r="F1641" i="1"/>
  <c r="G1631" i="1"/>
  <c r="I1595" i="1"/>
  <c r="H1595" i="1"/>
  <c r="G1605" i="1"/>
  <c r="F1615" i="1"/>
  <c r="G1644" i="1" l="1"/>
  <c r="F1654" i="1"/>
  <c r="I1634" i="1"/>
  <c r="H1634" i="1"/>
  <c r="I1626" i="1"/>
  <c r="H1626" i="1"/>
  <c r="F1646" i="1"/>
  <c r="G1636" i="1"/>
  <c r="G1640" i="1"/>
  <c r="F1650" i="1"/>
  <c r="H1630" i="1"/>
  <c r="I1630" i="1"/>
  <c r="G1637" i="1"/>
  <c r="F1647" i="1"/>
  <c r="H1627" i="1"/>
  <c r="I1627" i="1"/>
  <c r="I1619" i="1"/>
  <c r="H1619" i="1"/>
  <c r="F1639" i="1"/>
  <c r="G1629" i="1"/>
  <c r="H1613" i="1"/>
  <c r="I1613" i="1"/>
  <c r="F1633" i="1"/>
  <c r="G1623" i="1"/>
  <c r="I1608" i="1"/>
  <c r="H1608" i="1"/>
  <c r="F1628" i="1"/>
  <c r="G1618" i="1"/>
  <c r="H1602" i="1"/>
  <c r="I1602" i="1"/>
  <c r="F1622" i="1"/>
  <c r="G1612" i="1"/>
  <c r="F1651" i="1"/>
  <c r="G1641" i="1"/>
  <c r="H1631" i="1"/>
  <c r="I1631" i="1"/>
  <c r="I1605" i="1"/>
  <c r="H1605" i="1"/>
  <c r="F1625" i="1"/>
  <c r="G1615" i="1"/>
  <c r="H1644" i="1" l="1"/>
  <c r="I1644" i="1"/>
  <c r="G1654" i="1"/>
  <c r="F1664" i="1"/>
  <c r="G1646" i="1"/>
  <c r="F1656" i="1"/>
  <c r="I1636" i="1"/>
  <c r="H1636" i="1"/>
  <c r="H1640" i="1"/>
  <c r="I1640" i="1"/>
  <c r="F1660" i="1"/>
  <c r="G1650" i="1"/>
  <c r="H1637" i="1"/>
  <c r="I1637" i="1"/>
  <c r="G1647" i="1"/>
  <c r="F1657" i="1"/>
  <c r="F1649" i="1"/>
  <c r="G1639" i="1"/>
  <c r="H1629" i="1"/>
  <c r="I1629" i="1"/>
  <c r="F1643" i="1"/>
  <c r="G1633" i="1"/>
  <c r="I1623" i="1"/>
  <c r="H1623" i="1"/>
  <c r="G1628" i="1"/>
  <c r="F1638" i="1"/>
  <c r="I1618" i="1"/>
  <c r="H1618" i="1"/>
  <c r="G1622" i="1"/>
  <c r="F1632" i="1"/>
  <c r="I1612" i="1"/>
  <c r="H1612" i="1"/>
  <c r="G1651" i="1"/>
  <c r="F1661" i="1"/>
  <c r="H1641" i="1"/>
  <c r="I1641" i="1"/>
  <c r="F1635" i="1"/>
  <c r="G1625" i="1"/>
  <c r="H1615" i="1"/>
  <c r="I1615" i="1"/>
  <c r="I1654" i="1" l="1"/>
  <c r="H1654" i="1"/>
  <c r="G1664" i="1"/>
  <c r="F1674" i="1"/>
  <c r="I1646" i="1"/>
  <c r="H1646" i="1"/>
  <c r="F1666" i="1"/>
  <c r="G1656" i="1"/>
  <c r="G1660" i="1"/>
  <c r="F1670" i="1"/>
  <c r="I1650" i="1"/>
  <c r="H1650" i="1"/>
  <c r="I1647" i="1"/>
  <c r="H1647" i="1"/>
  <c r="F1667" i="1"/>
  <c r="G1657" i="1"/>
  <c r="G1649" i="1"/>
  <c r="F1659" i="1"/>
  <c r="H1639" i="1"/>
  <c r="I1639" i="1"/>
  <c r="F1653" i="1"/>
  <c r="G1643" i="1"/>
  <c r="I1633" i="1"/>
  <c r="H1633" i="1"/>
  <c r="H1628" i="1"/>
  <c r="I1628" i="1"/>
  <c r="F1648" i="1"/>
  <c r="G1638" i="1"/>
  <c r="I1622" i="1"/>
  <c r="H1622" i="1"/>
  <c r="G1632" i="1"/>
  <c r="F1642" i="1"/>
  <c r="I1651" i="1"/>
  <c r="H1651" i="1"/>
  <c r="F1671" i="1"/>
  <c r="G1661" i="1"/>
  <c r="F1645" i="1"/>
  <c r="G1635" i="1"/>
  <c r="I1625" i="1"/>
  <c r="H1625" i="1"/>
  <c r="I1664" i="1" l="1"/>
  <c r="H1664" i="1"/>
  <c r="F1684" i="1"/>
  <c r="G1674" i="1"/>
  <c r="F1676" i="1"/>
  <c r="G1666" i="1"/>
  <c r="H1656" i="1"/>
  <c r="I1656" i="1"/>
  <c r="H1660" i="1"/>
  <c r="I1660" i="1"/>
  <c r="G1670" i="1"/>
  <c r="F1680" i="1"/>
  <c r="G1667" i="1"/>
  <c r="F1677" i="1"/>
  <c r="H1657" i="1"/>
  <c r="I1657" i="1"/>
  <c r="I1649" i="1"/>
  <c r="H1649" i="1"/>
  <c r="G1659" i="1"/>
  <c r="F1669" i="1"/>
  <c r="G1653" i="1"/>
  <c r="F1663" i="1"/>
  <c r="I1643" i="1"/>
  <c r="H1643" i="1"/>
  <c r="F1658" i="1"/>
  <c r="G1648" i="1"/>
  <c r="I1638" i="1"/>
  <c r="H1638" i="1"/>
  <c r="H1632" i="1"/>
  <c r="I1632" i="1"/>
  <c r="F1652" i="1"/>
  <c r="G1642" i="1"/>
  <c r="G1671" i="1"/>
  <c r="F1681" i="1"/>
  <c r="H1661" i="1"/>
  <c r="I1661" i="1"/>
  <c r="G1645" i="1"/>
  <c r="F1655" i="1"/>
  <c r="I1635" i="1"/>
  <c r="H1635" i="1"/>
  <c r="G1684" i="1" l="1"/>
  <c r="F1694" i="1"/>
  <c r="I1674" i="1"/>
  <c r="H1674" i="1"/>
  <c r="G1676" i="1"/>
  <c r="F1686" i="1"/>
  <c r="H1666" i="1"/>
  <c r="I1666" i="1"/>
  <c r="I1670" i="1"/>
  <c r="H1670" i="1"/>
  <c r="F1690" i="1"/>
  <c r="G1680" i="1"/>
  <c r="I1667" i="1"/>
  <c r="H1667" i="1"/>
  <c r="G1677" i="1"/>
  <c r="F1687" i="1"/>
  <c r="H1659" i="1"/>
  <c r="I1659" i="1"/>
  <c r="F1679" i="1"/>
  <c r="G1669" i="1"/>
  <c r="H1653" i="1"/>
  <c r="I1653" i="1"/>
  <c r="F1673" i="1"/>
  <c r="G1663" i="1"/>
  <c r="G1658" i="1"/>
  <c r="F1668" i="1"/>
  <c r="H1648" i="1"/>
  <c r="I1648" i="1"/>
  <c r="G1652" i="1"/>
  <c r="F1662" i="1"/>
  <c r="H1642" i="1"/>
  <c r="I1642" i="1"/>
  <c r="I1671" i="1"/>
  <c r="H1671" i="1"/>
  <c r="F1691" i="1"/>
  <c r="G1681" i="1"/>
  <c r="I1645" i="1"/>
  <c r="H1645" i="1"/>
  <c r="F1665" i="1"/>
  <c r="G1655" i="1"/>
  <c r="I1684" i="1" l="1"/>
  <c r="H1684" i="1"/>
  <c r="F1704" i="1"/>
  <c r="G1694" i="1"/>
  <c r="I1676" i="1"/>
  <c r="H1676" i="1"/>
  <c r="F1696" i="1"/>
  <c r="G1686" i="1"/>
  <c r="G1690" i="1"/>
  <c r="F1700" i="1"/>
  <c r="I1680" i="1"/>
  <c r="H1680" i="1"/>
  <c r="I1677" i="1"/>
  <c r="H1677" i="1"/>
  <c r="G1687" i="1"/>
  <c r="F1697" i="1"/>
  <c r="F1689" i="1"/>
  <c r="G1679" i="1"/>
  <c r="I1669" i="1"/>
  <c r="H1669" i="1"/>
  <c r="G1673" i="1"/>
  <c r="F1683" i="1"/>
  <c r="H1663" i="1"/>
  <c r="I1663" i="1"/>
  <c r="H1658" i="1"/>
  <c r="I1658" i="1"/>
  <c r="G1668" i="1"/>
  <c r="F1678" i="1"/>
  <c r="H1652" i="1"/>
  <c r="I1652" i="1"/>
  <c r="G1662" i="1"/>
  <c r="F1672" i="1"/>
  <c r="F1701" i="1"/>
  <c r="G1691" i="1"/>
  <c r="I1681" i="1"/>
  <c r="H1681" i="1"/>
  <c r="G1665" i="1"/>
  <c r="F1675" i="1"/>
  <c r="I1655" i="1"/>
  <c r="H1655" i="1"/>
  <c r="G1704" i="1" l="1"/>
  <c r="F1714" i="1"/>
  <c r="I1694" i="1"/>
  <c r="H1694" i="1"/>
  <c r="F1706" i="1"/>
  <c r="G1696" i="1"/>
  <c r="I1686" i="1"/>
  <c r="H1686" i="1"/>
  <c r="H1690" i="1"/>
  <c r="I1690" i="1"/>
  <c r="G1700" i="1"/>
  <c r="F1710" i="1"/>
  <c r="I1687" i="1"/>
  <c r="H1687" i="1"/>
  <c r="G1697" i="1"/>
  <c r="F1707" i="1"/>
  <c r="F1699" i="1"/>
  <c r="G1689" i="1"/>
  <c r="I1679" i="1"/>
  <c r="H1679" i="1"/>
  <c r="I1673" i="1"/>
  <c r="H1673" i="1"/>
  <c r="G1683" i="1"/>
  <c r="F1693" i="1"/>
  <c r="H1668" i="1"/>
  <c r="I1668" i="1"/>
  <c r="G1678" i="1"/>
  <c r="F1688" i="1"/>
  <c r="I1662" i="1"/>
  <c r="H1662" i="1"/>
  <c r="G1672" i="1"/>
  <c r="F1682" i="1"/>
  <c r="F1711" i="1"/>
  <c r="G1701" i="1"/>
  <c r="I1691" i="1"/>
  <c r="H1691" i="1"/>
  <c r="I1665" i="1"/>
  <c r="H1665" i="1"/>
  <c r="G1675" i="1"/>
  <c r="F1685" i="1"/>
  <c r="I1704" i="1" l="1"/>
  <c r="H1704" i="1"/>
  <c r="G1714" i="1"/>
  <c r="F1724" i="1"/>
  <c r="G1706" i="1"/>
  <c r="F1716" i="1"/>
  <c r="H1696" i="1"/>
  <c r="I1696" i="1"/>
  <c r="H1700" i="1"/>
  <c r="I1700" i="1"/>
  <c r="G1710" i="1"/>
  <c r="F1720" i="1"/>
  <c r="I1697" i="1"/>
  <c r="H1697" i="1"/>
  <c r="G1707" i="1"/>
  <c r="F1717" i="1"/>
  <c r="F1709" i="1"/>
  <c r="G1699" i="1"/>
  <c r="H1689" i="1"/>
  <c r="I1689" i="1"/>
  <c r="H1683" i="1"/>
  <c r="I1683" i="1"/>
  <c r="G1693" i="1"/>
  <c r="F1703" i="1"/>
  <c r="H1678" i="1"/>
  <c r="I1678" i="1"/>
  <c r="G1688" i="1"/>
  <c r="F1698" i="1"/>
  <c r="I1672" i="1"/>
  <c r="H1672" i="1"/>
  <c r="G1682" i="1"/>
  <c r="F1692" i="1"/>
  <c r="G1711" i="1"/>
  <c r="F1721" i="1"/>
  <c r="I1701" i="1"/>
  <c r="H1701" i="1"/>
  <c r="I1675" i="1"/>
  <c r="H1675" i="1"/>
  <c r="F1695" i="1"/>
  <c r="G1685" i="1"/>
  <c r="I1714" i="1" l="1"/>
  <c r="H1714" i="1"/>
  <c r="G1724" i="1"/>
  <c r="F1734" i="1"/>
  <c r="I1706" i="1"/>
  <c r="H1706" i="1"/>
  <c r="F1726" i="1"/>
  <c r="G1716" i="1"/>
  <c r="H1710" i="1"/>
  <c r="I1710" i="1"/>
  <c r="G1720" i="1"/>
  <c r="F1730" i="1"/>
  <c r="H1707" i="1"/>
  <c r="I1707" i="1"/>
  <c r="F1727" i="1"/>
  <c r="G1717" i="1"/>
  <c r="G1709" i="1"/>
  <c r="F1719" i="1"/>
  <c r="I1699" i="1"/>
  <c r="H1699" i="1"/>
  <c r="H1693" i="1"/>
  <c r="I1693" i="1"/>
  <c r="G1703" i="1"/>
  <c r="F1713" i="1"/>
  <c r="I1688" i="1"/>
  <c r="H1688" i="1"/>
  <c r="G1698" i="1"/>
  <c r="F1708" i="1"/>
  <c r="I1682" i="1"/>
  <c r="H1682" i="1"/>
  <c r="F1702" i="1"/>
  <c r="G1692" i="1"/>
  <c r="I1711" i="1"/>
  <c r="H1711" i="1"/>
  <c r="G1721" i="1"/>
  <c r="F1731" i="1"/>
  <c r="G1695" i="1"/>
  <c r="F1705" i="1"/>
  <c r="H1685" i="1"/>
  <c r="I1685" i="1"/>
  <c r="I1724" i="1" l="1"/>
  <c r="H1724" i="1"/>
  <c r="F1744" i="1"/>
  <c r="G1734" i="1"/>
  <c r="G1726" i="1"/>
  <c r="F1736" i="1"/>
  <c r="H1716" i="1"/>
  <c r="I1716" i="1"/>
  <c r="I1720" i="1"/>
  <c r="H1720" i="1"/>
  <c r="G1730" i="1"/>
  <c r="F1740" i="1"/>
  <c r="G1727" i="1"/>
  <c r="F1737" i="1"/>
  <c r="H1717" i="1"/>
  <c r="I1717" i="1"/>
  <c r="H1709" i="1"/>
  <c r="I1709" i="1"/>
  <c r="F1729" i="1"/>
  <c r="G1719" i="1"/>
  <c r="H1703" i="1"/>
  <c r="I1703" i="1"/>
  <c r="F1723" i="1"/>
  <c r="G1713" i="1"/>
  <c r="H1698" i="1"/>
  <c r="I1698" i="1"/>
  <c r="G1708" i="1"/>
  <c r="F1718" i="1"/>
  <c r="F1712" i="1"/>
  <c r="G1702" i="1"/>
  <c r="H1692" i="1"/>
  <c r="I1692" i="1"/>
  <c r="I1721" i="1"/>
  <c r="H1721" i="1"/>
  <c r="F1741" i="1"/>
  <c r="G1731" i="1"/>
  <c r="H1695" i="1"/>
  <c r="I1695" i="1"/>
  <c r="G1705" i="1"/>
  <c r="F1715" i="1"/>
  <c r="G1744" i="1" l="1"/>
  <c r="F1754" i="1"/>
  <c r="I1734" i="1"/>
  <c r="H1734" i="1"/>
  <c r="I1726" i="1"/>
  <c r="H1726" i="1"/>
  <c r="G1736" i="1"/>
  <c r="F1746" i="1"/>
  <c r="H1730" i="1"/>
  <c r="I1730" i="1"/>
  <c r="F1750" i="1"/>
  <c r="G1740" i="1"/>
  <c r="H1727" i="1"/>
  <c r="I1727" i="1"/>
  <c r="G1737" i="1"/>
  <c r="F1747" i="1"/>
  <c r="G1729" i="1"/>
  <c r="F1739" i="1"/>
  <c r="H1719" i="1"/>
  <c r="I1719" i="1"/>
  <c r="F1733" i="1"/>
  <c r="G1723" i="1"/>
  <c r="H1713" i="1"/>
  <c r="I1713" i="1"/>
  <c r="I1708" i="1"/>
  <c r="H1708" i="1"/>
  <c r="G1718" i="1"/>
  <c r="F1728" i="1"/>
  <c r="G1712" i="1"/>
  <c r="F1722" i="1"/>
  <c r="H1702" i="1"/>
  <c r="I1702" i="1"/>
  <c r="G1741" i="1"/>
  <c r="F1751" i="1"/>
  <c r="I1731" i="1"/>
  <c r="H1731" i="1"/>
  <c r="H1705" i="1"/>
  <c r="I1705" i="1"/>
  <c r="F1725" i="1"/>
  <c r="G1715" i="1"/>
  <c r="G1754" i="1" l="1"/>
  <c r="F1764" i="1"/>
  <c r="H1744" i="1"/>
  <c r="I1744" i="1"/>
  <c r="H1736" i="1"/>
  <c r="I1736" i="1"/>
  <c r="F1756" i="1"/>
  <c r="G1746" i="1"/>
  <c r="F1760" i="1"/>
  <c r="G1750" i="1"/>
  <c r="I1740" i="1"/>
  <c r="H1740" i="1"/>
  <c r="H1737" i="1"/>
  <c r="I1737" i="1"/>
  <c r="G1747" i="1"/>
  <c r="F1757" i="1"/>
  <c r="H1729" i="1"/>
  <c r="I1729" i="1"/>
  <c r="F1749" i="1"/>
  <c r="G1739" i="1"/>
  <c r="G1733" i="1"/>
  <c r="F1743" i="1"/>
  <c r="H1723" i="1"/>
  <c r="I1723" i="1"/>
  <c r="H1718" i="1"/>
  <c r="I1718" i="1"/>
  <c r="G1728" i="1"/>
  <c r="F1738" i="1"/>
  <c r="I1712" i="1"/>
  <c r="H1712" i="1"/>
  <c r="F1732" i="1"/>
  <c r="G1722" i="1"/>
  <c r="I1741" i="1"/>
  <c r="H1741" i="1"/>
  <c r="F1761" i="1"/>
  <c r="G1751" i="1"/>
  <c r="G1725" i="1"/>
  <c r="F1735" i="1"/>
  <c r="I1715" i="1"/>
  <c r="H1715" i="1"/>
  <c r="I1754" i="1" l="1"/>
  <c r="H1754" i="1"/>
  <c r="G1764" i="1"/>
  <c r="F1774" i="1"/>
  <c r="G1756" i="1"/>
  <c r="F1766" i="1"/>
  <c r="G1760" i="1"/>
  <c r="F1770" i="1"/>
  <c r="G1757" i="1"/>
  <c r="F1767" i="1"/>
  <c r="G1761" i="1"/>
  <c r="F1771" i="1"/>
  <c r="H1746" i="1"/>
  <c r="I1746" i="1"/>
  <c r="I1750" i="1"/>
  <c r="H1750" i="1"/>
  <c r="I1747" i="1"/>
  <c r="H1747" i="1"/>
  <c r="G1749" i="1"/>
  <c r="F1759" i="1"/>
  <c r="H1739" i="1"/>
  <c r="I1739" i="1"/>
  <c r="I1733" i="1"/>
  <c r="H1733" i="1"/>
  <c r="F1753" i="1"/>
  <c r="G1743" i="1"/>
  <c r="H1728" i="1"/>
  <c r="I1728" i="1"/>
  <c r="F1748" i="1"/>
  <c r="G1738" i="1"/>
  <c r="G1732" i="1"/>
  <c r="F1742" i="1"/>
  <c r="H1722" i="1"/>
  <c r="I1722" i="1"/>
  <c r="I1751" i="1"/>
  <c r="H1751" i="1"/>
  <c r="I1725" i="1"/>
  <c r="H1725" i="1"/>
  <c r="F1745" i="1"/>
  <c r="G1735" i="1"/>
  <c r="H1760" i="1" l="1"/>
  <c r="I1760" i="1"/>
  <c r="I1757" i="1"/>
  <c r="H1757" i="1"/>
  <c r="H1756" i="1"/>
  <c r="I1756" i="1"/>
  <c r="I1761" i="1"/>
  <c r="H1761" i="1"/>
  <c r="H1764" i="1"/>
  <c r="I1764" i="1"/>
  <c r="G1774" i="1"/>
  <c r="F1784" i="1"/>
  <c r="G1766" i="1"/>
  <c r="F1776" i="1"/>
  <c r="G1770" i="1"/>
  <c r="F1780" i="1"/>
  <c r="G1767" i="1"/>
  <c r="F1777" i="1"/>
  <c r="G1771" i="1"/>
  <c r="F1781" i="1"/>
  <c r="G1759" i="1"/>
  <c r="F1769" i="1"/>
  <c r="G1753" i="1"/>
  <c r="F1763" i="1"/>
  <c r="H1749" i="1"/>
  <c r="I1749" i="1"/>
  <c r="H1743" i="1"/>
  <c r="I1743" i="1"/>
  <c r="F1758" i="1"/>
  <c r="G1748" i="1"/>
  <c r="H1738" i="1"/>
  <c r="I1738" i="1"/>
  <c r="H1732" i="1"/>
  <c r="I1732" i="1"/>
  <c r="F1752" i="1"/>
  <c r="G1742" i="1"/>
  <c r="G1745" i="1"/>
  <c r="F1755" i="1"/>
  <c r="I1735" i="1"/>
  <c r="H1735" i="1"/>
  <c r="I1759" i="1" l="1"/>
  <c r="H1759" i="1"/>
  <c r="H1753" i="1"/>
  <c r="I1753" i="1"/>
  <c r="H1774" i="1"/>
  <c r="I1774" i="1"/>
  <c r="G1784" i="1"/>
  <c r="F1794" i="1"/>
  <c r="H1766" i="1"/>
  <c r="I1766" i="1"/>
  <c r="G1776" i="1"/>
  <c r="F1786" i="1"/>
  <c r="H1770" i="1"/>
  <c r="I1770" i="1"/>
  <c r="G1780" i="1"/>
  <c r="F1790" i="1"/>
  <c r="I1767" i="1"/>
  <c r="H1767" i="1"/>
  <c r="G1777" i="1"/>
  <c r="F1787" i="1"/>
  <c r="H1771" i="1"/>
  <c r="I1771" i="1"/>
  <c r="G1781" i="1"/>
  <c r="F1791" i="1"/>
  <c r="G1769" i="1"/>
  <c r="F1779" i="1"/>
  <c r="G1763" i="1"/>
  <c r="F1773" i="1"/>
  <c r="G1758" i="1"/>
  <c r="F1768" i="1"/>
  <c r="G1752" i="1"/>
  <c r="F1762" i="1"/>
  <c r="G1755" i="1"/>
  <c r="F1765" i="1"/>
  <c r="H1748" i="1"/>
  <c r="I1748" i="1"/>
  <c r="I1742" i="1"/>
  <c r="H1742" i="1"/>
  <c r="H1745" i="1"/>
  <c r="I1745" i="1"/>
  <c r="I1752" i="1" l="1"/>
  <c r="H1752" i="1"/>
  <c r="H1758" i="1"/>
  <c r="I1758" i="1"/>
  <c r="I1755" i="1"/>
  <c r="H1755" i="1"/>
  <c r="I1784" i="1"/>
  <c r="H1784" i="1"/>
  <c r="G1794" i="1"/>
  <c r="F1804" i="1"/>
  <c r="I1776" i="1"/>
  <c r="H1776" i="1"/>
  <c r="G1786" i="1"/>
  <c r="F1796" i="1"/>
  <c r="H1780" i="1"/>
  <c r="I1780" i="1"/>
  <c r="G1790" i="1"/>
  <c r="F1800" i="1"/>
  <c r="H1777" i="1"/>
  <c r="I1777" i="1"/>
  <c r="G1787" i="1"/>
  <c r="F1797" i="1"/>
  <c r="I1781" i="1"/>
  <c r="H1781" i="1"/>
  <c r="G1791" i="1"/>
  <c r="F1801" i="1"/>
  <c r="I1769" i="1"/>
  <c r="H1769" i="1"/>
  <c r="G1779" i="1"/>
  <c r="F1789" i="1"/>
  <c r="I1763" i="1"/>
  <c r="H1763" i="1"/>
  <c r="G1773" i="1"/>
  <c r="F1783" i="1"/>
  <c r="G1768" i="1"/>
  <c r="F1778" i="1"/>
  <c r="G1762" i="1"/>
  <c r="F1772" i="1"/>
  <c r="G1765" i="1"/>
  <c r="F1775" i="1"/>
  <c r="I1794" i="1" l="1"/>
  <c r="H1794" i="1"/>
  <c r="G1804" i="1"/>
  <c r="F1814" i="1"/>
  <c r="H1786" i="1"/>
  <c r="I1786" i="1"/>
  <c r="G1796" i="1"/>
  <c r="F1806" i="1"/>
  <c r="H1790" i="1"/>
  <c r="I1790" i="1"/>
  <c r="G1800" i="1"/>
  <c r="F1810" i="1"/>
  <c r="I1787" i="1"/>
  <c r="H1787" i="1"/>
  <c r="G1797" i="1"/>
  <c r="F1807" i="1"/>
  <c r="I1791" i="1"/>
  <c r="H1791" i="1"/>
  <c r="G1801" i="1"/>
  <c r="F1811" i="1"/>
  <c r="H1779" i="1"/>
  <c r="I1779" i="1"/>
  <c r="G1789" i="1"/>
  <c r="F1799" i="1"/>
  <c r="I1773" i="1"/>
  <c r="H1773" i="1"/>
  <c r="G1783" i="1"/>
  <c r="F1793" i="1"/>
  <c r="H1768" i="1"/>
  <c r="I1768" i="1"/>
  <c r="G1778" i="1"/>
  <c r="F1788" i="1"/>
  <c r="I1762" i="1"/>
  <c r="H1762" i="1"/>
  <c r="G1772" i="1"/>
  <c r="F1782" i="1"/>
  <c r="I1765" i="1"/>
  <c r="H1765" i="1"/>
  <c r="G1775" i="1"/>
  <c r="F1785" i="1"/>
  <c r="I1804" i="1" l="1"/>
  <c r="H1804" i="1"/>
  <c r="G1814" i="1"/>
  <c r="F1824" i="1"/>
  <c r="I1796" i="1"/>
  <c r="H1796" i="1"/>
  <c r="G1806" i="1"/>
  <c r="F1816" i="1"/>
  <c r="I1800" i="1"/>
  <c r="H1800" i="1"/>
  <c r="G1810" i="1"/>
  <c r="F1820" i="1"/>
  <c r="H1797" i="1"/>
  <c r="I1797" i="1"/>
  <c r="G1807" i="1"/>
  <c r="F1817" i="1"/>
  <c r="I1801" i="1"/>
  <c r="H1801" i="1"/>
  <c r="G1811" i="1"/>
  <c r="F1821" i="1"/>
  <c r="I1789" i="1"/>
  <c r="H1789" i="1"/>
  <c r="G1799" i="1"/>
  <c r="F1809" i="1"/>
  <c r="H1783" i="1"/>
  <c r="I1783" i="1"/>
  <c r="G1793" i="1"/>
  <c r="F1803" i="1"/>
  <c r="I1778" i="1"/>
  <c r="H1778" i="1"/>
  <c r="G1788" i="1"/>
  <c r="F1798" i="1"/>
  <c r="I1772" i="1"/>
  <c r="H1772" i="1"/>
  <c r="G1782" i="1"/>
  <c r="F1792" i="1"/>
  <c r="I1775" i="1"/>
  <c r="H1775" i="1"/>
  <c r="G1785" i="1"/>
  <c r="F1795" i="1"/>
  <c r="I1814" i="1" l="1"/>
  <c r="H1814" i="1"/>
  <c r="G1824" i="1"/>
  <c r="F1834" i="1"/>
  <c r="I1806" i="1"/>
  <c r="H1806" i="1"/>
  <c r="G1816" i="1"/>
  <c r="F1826" i="1"/>
  <c r="I1810" i="1"/>
  <c r="H1810" i="1"/>
  <c r="F1830" i="1"/>
  <c r="G1820" i="1"/>
  <c r="I1807" i="1"/>
  <c r="H1807" i="1"/>
  <c r="G1817" i="1"/>
  <c r="F1827" i="1"/>
  <c r="I1811" i="1"/>
  <c r="H1811" i="1"/>
  <c r="G1821" i="1"/>
  <c r="F1831" i="1"/>
  <c r="H1799" i="1"/>
  <c r="I1799" i="1"/>
  <c r="G1809" i="1"/>
  <c r="F1819" i="1"/>
  <c r="H1793" i="1"/>
  <c r="I1793" i="1"/>
  <c r="G1803" i="1"/>
  <c r="F1813" i="1"/>
  <c r="H1788" i="1"/>
  <c r="I1788" i="1"/>
  <c r="G1798" i="1"/>
  <c r="F1808" i="1"/>
  <c r="I1782" i="1"/>
  <c r="H1782" i="1"/>
  <c r="G1792" i="1"/>
  <c r="F1802" i="1"/>
  <c r="I1785" i="1"/>
  <c r="H1785" i="1"/>
  <c r="G1795" i="1"/>
  <c r="F1805" i="1"/>
  <c r="I1824" i="1" l="1"/>
  <c r="H1824" i="1"/>
  <c r="F1844" i="1"/>
  <c r="G1834" i="1"/>
  <c r="I1816" i="1"/>
  <c r="H1816" i="1"/>
  <c r="G1826" i="1"/>
  <c r="F1836" i="1"/>
  <c r="G1830" i="1"/>
  <c r="F1840" i="1"/>
  <c r="I1820" i="1"/>
  <c r="H1820" i="1"/>
  <c r="I1817" i="1"/>
  <c r="H1817" i="1"/>
  <c r="G1827" i="1"/>
  <c r="F1837" i="1"/>
  <c r="I1821" i="1"/>
  <c r="H1821" i="1"/>
  <c r="G1831" i="1"/>
  <c r="F1841" i="1"/>
  <c r="I1809" i="1"/>
  <c r="H1809" i="1"/>
  <c r="G1819" i="1"/>
  <c r="F1829" i="1"/>
  <c r="I1803" i="1"/>
  <c r="H1803" i="1"/>
  <c r="G1813" i="1"/>
  <c r="F1823" i="1"/>
  <c r="I1798" i="1"/>
  <c r="H1798" i="1"/>
  <c r="G1808" i="1"/>
  <c r="F1818" i="1"/>
  <c r="H1792" i="1"/>
  <c r="I1792" i="1"/>
  <c r="G1802" i="1"/>
  <c r="F1812" i="1"/>
  <c r="H1795" i="1"/>
  <c r="I1795" i="1"/>
  <c r="G1805" i="1"/>
  <c r="F1815" i="1"/>
  <c r="G1844" i="1" l="1"/>
  <c r="F1854" i="1"/>
  <c r="H1834" i="1"/>
  <c r="I1834" i="1"/>
  <c r="I1826" i="1"/>
  <c r="H1826" i="1"/>
  <c r="F1846" i="1"/>
  <c r="G1836" i="1"/>
  <c r="I1830" i="1"/>
  <c r="H1830" i="1"/>
  <c r="G1840" i="1"/>
  <c r="F1850" i="1"/>
  <c r="I1827" i="1"/>
  <c r="H1827" i="1"/>
  <c r="F1847" i="1"/>
  <c r="G1837" i="1"/>
  <c r="I1831" i="1"/>
  <c r="H1831" i="1"/>
  <c r="F1851" i="1"/>
  <c r="G1841" i="1"/>
  <c r="I1819" i="1"/>
  <c r="H1819" i="1"/>
  <c r="G1829" i="1"/>
  <c r="F1839" i="1"/>
  <c r="I1813" i="1"/>
  <c r="H1813" i="1"/>
  <c r="G1823" i="1"/>
  <c r="F1833" i="1"/>
  <c r="I1808" i="1"/>
  <c r="H1808" i="1"/>
  <c r="G1818" i="1"/>
  <c r="F1828" i="1"/>
  <c r="H1802" i="1"/>
  <c r="I1802" i="1"/>
  <c r="G1812" i="1"/>
  <c r="F1822" i="1"/>
  <c r="I1805" i="1"/>
  <c r="H1805" i="1"/>
  <c r="G1815" i="1"/>
  <c r="F1825" i="1"/>
  <c r="I1844" i="1" l="1"/>
  <c r="H1844" i="1"/>
  <c r="G1854" i="1"/>
  <c r="F1864" i="1"/>
  <c r="G1846" i="1"/>
  <c r="F1856" i="1"/>
  <c r="H1836" i="1"/>
  <c r="I1836" i="1"/>
  <c r="I1840" i="1"/>
  <c r="H1840" i="1"/>
  <c r="G1850" i="1"/>
  <c r="F1860" i="1"/>
  <c r="G1847" i="1"/>
  <c r="F1857" i="1"/>
  <c r="H1837" i="1"/>
  <c r="I1837" i="1"/>
  <c r="G1851" i="1"/>
  <c r="F1861" i="1"/>
  <c r="I1841" i="1"/>
  <c r="H1841" i="1"/>
  <c r="I1829" i="1"/>
  <c r="H1829" i="1"/>
  <c r="F1849" i="1"/>
  <c r="G1839" i="1"/>
  <c r="I1823" i="1"/>
  <c r="H1823" i="1"/>
  <c r="F1843" i="1"/>
  <c r="G1833" i="1"/>
  <c r="I1818" i="1"/>
  <c r="H1818" i="1"/>
  <c r="G1828" i="1"/>
  <c r="F1838" i="1"/>
  <c r="I1812" i="1"/>
  <c r="H1812" i="1"/>
  <c r="G1822" i="1"/>
  <c r="F1832" i="1"/>
  <c r="I1815" i="1"/>
  <c r="H1815" i="1"/>
  <c r="G1825" i="1"/>
  <c r="F1835" i="1"/>
  <c r="I1854" i="1" l="1"/>
  <c r="H1854" i="1"/>
  <c r="G1864" i="1"/>
  <c r="F1874" i="1"/>
  <c r="I1846" i="1"/>
  <c r="H1846" i="1"/>
  <c r="G1856" i="1"/>
  <c r="F1866" i="1"/>
  <c r="I1850" i="1"/>
  <c r="H1850" i="1"/>
  <c r="G1860" i="1"/>
  <c r="F1870" i="1"/>
  <c r="H1847" i="1"/>
  <c r="I1847" i="1"/>
  <c r="G1857" i="1"/>
  <c r="F1867" i="1"/>
  <c r="H1851" i="1"/>
  <c r="I1851" i="1"/>
  <c r="G1861" i="1"/>
  <c r="F1871" i="1"/>
  <c r="G1849" i="1"/>
  <c r="F1859" i="1"/>
  <c r="H1839" i="1"/>
  <c r="I1839" i="1"/>
  <c r="G1843" i="1"/>
  <c r="F1853" i="1"/>
  <c r="I1833" i="1"/>
  <c r="H1833" i="1"/>
  <c r="I1828" i="1"/>
  <c r="H1828" i="1"/>
  <c r="F1848" i="1"/>
  <c r="G1838" i="1"/>
  <c r="I1822" i="1"/>
  <c r="H1822" i="1"/>
  <c r="G1832" i="1"/>
  <c r="F1842" i="1"/>
  <c r="I1825" i="1"/>
  <c r="H1825" i="1"/>
  <c r="F1845" i="1"/>
  <c r="G1835" i="1"/>
  <c r="I1864" i="1" l="1"/>
  <c r="H1864" i="1"/>
  <c r="G1874" i="1"/>
  <c r="F1884" i="1"/>
  <c r="I1856" i="1"/>
  <c r="H1856" i="1"/>
  <c r="F1876" i="1"/>
  <c r="G1866" i="1"/>
  <c r="H1860" i="1"/>
  <c r="I1860" i="1"/>
  <c r="G1870" i="1"/>
  <c r="F1880" i="1"/>
  <c r="I1857" i="1"/>
  <c r="H1857" i="1"/>
  <c r="G1867" i="1"/>
  <c r="F1877" i="1"/>
  <c r="H1861" i="1"/>
  <c r="I1861" i="1"/>
  <c r="G1871" i="1"/>
  <c r="F1881" i="1"/>
  <c r="I1849" i="1"/>
  <c r="H1849" i="1"/>
  <c r="G1859" i="1"/>
  <c r="F1869" i="1"/>
  <c r="I1843" i="1"/>
  <c r="H1843" i="1"/>
  <c r="G1853" i="1"/>
  <c r="F1863" i="1"/>
  <c r="G1848" i="1"/>
  <c r="F1858" i="1"/>
  <c r="I1838" i="1"/>
  <c r="H1838" i="1"/>
  <c r="I1832" i="1"/>
  <c r="H1832" i="1"/>
  <c r="F1852" i="1"/>
  <c r="G1842" i="1"/>
  <c r="G1845" i="1"/>
  <c r="F1855" i="1"/>
  <c r="I1835" i="1"/>
  <c r="H1835" i="1"/>
  <c r="I1874" i="1" l="1"/>
  <c r="H1874" i="1"/>
  <c r="G1884" i="1"/>
  <c r="F1894" i="1"/>
  <c r="G1876" i="1"/>
  <c r="F1886" i="1"/>
  <c r="I1866" i="1"/>
  <c r="H1866" i="1"/>
  <c r="I1870" i="1"/>
  <c r="H1870" i="1"/>
  <c r="F1890" i="1"/>
  <c r="G1880" i="1"/>
  <c r="I1867" i="1"/>
  <c r="H1867" i="1"/>
  <c r="G1877" i="1"/>
  <c r="F1887" i="1"/>
  <c r="I1871" i="1"/>
  <c r="H1871" i="1"/>
  <c r="G1881" i="1"/>
  <c r="F1891" i="1"/>
  <c r="I1859" i="1"/>
  <c r="H1859" i="1"/>
  <c r="G1869" i="1"/>
  <c r="F1879" i="1"/>
  <c r="H1853" i="1"/>
  <c r="I1853" i="1"/>
  <c r="G1863" i="1"/>
  <c r="F1873" i="1"/>
  <c r="I1848" i="1"/>
  <c r="H1848" i="1"/>
  <c r="G1858" i="1"/>
  <c r="F1868" i="1"/>
  <c r="G1852" i="1"/>
  <c r="F1862" i="1"/>
  <c r="H1842" i="1"/>
  <c r="I1842" i="1"/>
  <c r="I1845" i="1"/>
  <c r="H1845" i="1"/>
  <c r="G1855" i="1"/>
  <c r="F1865" i="1"/>
  <c r="I1884" i="1" l="1"/>
  <c r="H1884" i="1"/>
  <c r="G1894" i="1"/>
  <c r="F1904" i="1"/>
  <c r="I1876" i="1"/>
  <c r="H1876" i="1"/>
  <c r="G1886" i="1"/>
  <c r="F1896" i="1"/>
  <c r="G1890" i="1"/>
  <c r="F1900" i="1"/>
  <c r="I1880" i="1"/>
  <c r="H1880" i="1"/>
  <c r="I1877" i="1"/>
  <c r="H1877" i="1"/>
  <c r="F1897" i="1"/>
  <c r="G1887" i="1"/>
  <c r="I1881" i="1"/>
  <c r="H1881" i="1"/>
  <c r="F1901" i="1"/>
  <c r="G1891" i="1"/>
  <c r="H1869" i="1"/>
  <c r="I1869" i="1"/>
  <c r="G1879" i="1"/>
  <c r="F1889" i="1"/>
  <c r="H1863" i="1"/>
  <c r="I1863" i="1"/>
  <c r="G1873" i="1"/>
  <c r="F1883" i="1"/>
  <c r="I1858" i="1"/>
  <c r="H1858" i="1"/>
  <c r="G1868" i="1"/>
  <c r="F1878" i="1"/>
  <c r="H1852" i="1"/>
  <c r="I1852" i="1"/>
  <c r="G1862" i="1"/>
  <c r="F1872" i="1"/>
  <c r="I1855" i="1"/>
  <c r="H1855" i="1"/>
  <c r="G1865" i="1"/>
  <c r="F1875" i="1"/>
  <c r="I1894" i="1" l="1"/>
  <c r="H1894" i="1"/>
  <c r="F1914" i="1"/>
  <c r="G1904" i="1"/>
  <c r="I1886" i="1"/>
  <c r="H1886" i="1"/>
  <c r="F1906" i="1"/>
  <c r="G1896" i="1"/>
  <c r="I1890" i="1"/>
  <c r="H1890" i="1"/>
  <c r="G1900" i="1"/>
  <c r="F1910" i="1"/>
  <c r="G1897" i="1"/>
  <c r="F1907" i="1"/>
  <c r="I1887" i="1"/>
  <c r="H1887" i="1"/>
  <c r="G1901" i="1"/>
  <c r="F1911" i="1"/>
  <c r="I1891" i="1"/>
  <c r="H1891" i="1"/>
  <c r="I1879" i="1"/>
  <c r="H1879" i="1"/>
  <c r="F1899" i="1"/>
  <c r="G1889" i="1"/>
  <c r="I1873" i="1"/>
  <c r="H1873" i="1"/>
  <c r="F1893" i="1"/>
  <c r="G1883" i="1"/>
  <c r="I1868" i="1"/>
  <c r="H1868" i="1"/>
  <c r="F1888" i="1"/>
  <c r="G1878" i="1"/>
  <c r="H1862" i="1"/>
  <c r="I1862" i="1"/>
  <c r="F1882" i="1"/>
  <c r="G1872" i="1"/>
  <c r="I1865" i="1"/>
  <c r="H1865" i="1"/>
  <c r="G1875" i="1"/>
  <c r="F1885" i="1"/>
  <c r="G1914" i="1" l="1"/>
  <c r="F1924" i="1"/>
  <c r="I1904" i="1"/>
  <c r="H1904" i="1"/>
  <c r="G1906" i="1"/>
  <c r="F1916" i="1"/>
  <c r="I1896" i="1"/>
  <c r="H1896" i="1"/>
  <c r="I1900" i="1"/>
  <c r="H1900" i="1"/>
  <c r="G1910" i="1"/>
  <c r="F1920" i="1"/>
  <c r="I1897" i="1"/>
  <c r="H1897" i="1"/>
  <c r="G1907" i="1"/>
  <c r="F1917" i="1"/>
  <c r="H1901" i="1"/>
  <c r="I1901" i="1"/>
  <c r="G1911" i="1"/>
  <c r="F1921" i="1"/>
  <c r="G1899" i="1"/>
  <c r="F1909" i="1"/>
  <c r="I1889" i="1"/>
  <c r="H1889" i="1"/>
  <c r="G1893" i="1"/>
  <c r="F1903" i="1"/>
  <c r="I1883" i="1"/>
  <c r="H1883" i="1"/>
  <c r="G1888" i="1"/>
  <c r="F1898" i="1"/>
  <c r="I1878" i="1"/>
  <c r="H1878" i="1"/>
  <c r="G1882" i="1"/>
  <c r="F1892" i="1"/>
  <c r="I1872" i="1"/>
  <c r="H1872" i="1"/>
  <c r="H1875" i="1"/>
  <c r="I1875" i="1"/>
  <c r="F1895" i="1"/>
  <c r="G1885" i="1"/>
  <c r="I1914" i="1" l="1"/>
  <c r="H1914" i="1"/>
  <c r="G1924" i="1"/>
  <c r="F1934" i="1"/>
  <c r="I1906" i="1"/>
  <c r="H1906" i="1"/>
  <c r="G1916" i="1"/>
  <c r="F1926" i="1"/>
  <c r="H1910" i="1"/>
  <c r="I1910" i="1"/>
  <c r="G1920" i="1"/>
  <c r="F1930" i="1"/>
  <c r="H1907" i="1"/>
  <c r="I1907" i="1"/>
  <c r="F1927" i="1"/>
  <c r="G1917" i="1"/>
  <c r="H1911" i="1"/>
  <c r="I1911" i="1"/>
  <c r="F1931" i="1"/>
  <c r="G1921" i="1"/>
  <c r="I1899" i="1"/>
  <c r="H1899" i="1"/>
  <c r="G1909" i="1"/>
  <c r="F1919" i="1"/>
  <c r="I1893" i="1"/>
  <c r="H1893" i="1"/>
  <c r="G1903" i="1"/>
  <c r="F1913" i="1"/>
  <c r="I1888" i="1"/>
  <c r="H1888" i="1"/>
  <c r="F1908" i="1"/>
  <c r="G1898" i="1"/>
  <c r="I1882" i="1"/>
  <c r="H1882" i="1"/>
  <c r="G1892" i="1"/>
  <c r="F1902" i="1"/>
  <c r="G1895" i="1"/>
  <c r="F1905" i="1"/>
  <c r="I1885" i="1"/>
  <c r="H1885" i="1"/>
  <c r="I1924" i="1" l="1"/>
  <c r="H1924" i="1"/>
  <c r="G1934" i="1"/>
  <c r="F1944" i="1"/>
  <c r="I1916" i="1"/>
  <c r="H1916" i="1"/>
  <c r="G1926" i="1"/>
  <c r="F1936" i="1"/>
  <c r="H1920" i="1"/>
  <c r="I1920" i="1"/>
  <c r="G1930" i="1"/>
  <c r="F1940" i="1"/>
  <c r="G1927" i="1"/>
  <c r="F1937" i="1"/>
  <c r="H1917" i="1"/>
  <c r="I1917" i="1"/>
  <c r="G1931" i="1"/>
  <c r="F1941" i="1"/>
  <c r="I1921" i="1"/>
  <c r="H1921" i="1"/>
  <c r="I1909" i="1"/>
  <c r="H1909" i="1"/>
  <c r="F1929" i="1"/>
  <c r="G1919" i="1"/>
  <c r="I1903" i="1"/>
  <c r="H1903" i="1"/>
  <c r="F1923" i="1"/>
  <c r="G1913" i="1"/>
  <c r="G1908" i="1"/>
  <c r="F1918" i="1"/>
  <c r="I1898" i="1"/>
  <c r="H1898" i="1"/>
  <c r="I1892" i="1"/>
  <c r="H1892" i="1"/>
  <c r="F1912" i="1"/>
  <c r="G1902" i="1"/>
  <c r="I1895" i="1"/>
  <c r="H1895" i="1"/>
  <c r="G1905" i="1"/>
  <c r="F1915" i="1"/>
  <c r="H1934" i="1" l="1"/>
  <c r="I1934" i="1"/>
  <c r="F1954" i="1"/>
  <c r="G1944" i="1"/>
  <c r="H1926" i="1"/>
  <c r="I1926" i="1"/>
  <c r="F1946" i="1"/>
  <c r="G1936" i="1"/>
  <c r="I1930" i="1"/>
  <c r="H1930" i="1"/>
  <c r="G1940" i="1"/>
  <c r="F1950" i="1"/>
  <c r="H1927" i="1"/>
  <c r="I1927" i="1"/>
  <c r="G1937" i="1"/>
  <c r="F1947" i="1"/>
  <c r="I1931" i="1"/>
  <c r="H1931" i="1"/>
  <c r="G1941" i="1"/>
  <c r="F1951" i="1"/>
  <c r="G1929" i="1"/>
  <c r="F1939" i="1"/>
  <c r="I1919" i="1"/>
  <c r="H1919" i="1"/>
  <c r="G1923" i="1"/>
  <c r="F1933" i="1"/>
  <c r="H1913" i="1"/>
  <c r="I1913" i="1"/>
  <c r="H1908" i="1"/>
  <c r="I1908" i="1"/>
  <c r="G1918" i="1"/>
  <c r="F1928" i="1"/>
  <c r="G1912" i="1"/>
  <c r="F1922" i="1"/>
  <c r="H1902" i="1"/>
  <c r="I1902" i="1"/>
  <c r="I1905" i="1"/>
  <c r="H1905" i="1"/>
  <c r="G1915" i="1"/>
  <c r="F1925" i="1"/>
  <c r="G1954" i="1" l="1"/>
  <c r="F1964" i="1"/>
  <c r="I1944" i="1"/>
  <c r="H1944" i="1"/>
  <c r="F1956" i="1"/>
  <c r="G1946" i="1"/>
  <c r="H1936" i="1"/>
  <c r="I1936" i="1"/>
  <c r="I1940" i="1"/>
  <c r="H1940" i="1"/>
  <c r="F1960" i="1"/>
  <c r="G1950" i="1"/>
  <c r="H1937" i="1"/>
  <c r="I1937" i="1"/>
  <c r="G1947" i="1"/>
  <c r="F1957" i="1"/>
  <c r="I1941" i="1"/>
  <c r="H1941" i="1"/>
  <c r="G1951" i="1"/>
  <c r="F1961" i="1"/>
  <c r="I1929" i="1"/>
  <c r="H1929" i="1"/>
  <c r="G1939" i="1"/>
  <c r="F1949" i="1"/>
  <c r="I1923" i="1"/>
  <c r="H1923" i="1"/>
  <c r="F1943" i="1"/>
  <c r="G1933" i="1"/>
  <c r="H1918" i="1"/>
  <c r="I1918" i="1"/>
  <c r="G1928" i="1"/>
  <c r="F1938" i="1"/>
  <c r="H1912" i="1"/>
  <c r="I1912" i="1"/>
  <c r="F1932" i="1"/>
  <c r="G1922" i="1"/>
  <c r="I1915" i="1"/>
  <c r="H1915" i="1"/>
  <c r="F1935" i="1"/>
  <c r="G1925" i="1"/>
  <c r="I1954" i="1" l="1"/>
  <c r="H1954" i="1"/>
  <c r="F1974" i="1"/>
  <c r="G1964" i="1"/>
  <c r="F1966" i="1"/>
  <c r="G1956" i="1"/>
  <c r="I1946" i="1"/>
  <c r="H1946" i="1"/>
  <c r="F1970" i="1"/>
  <c r="G1960" i="1"/>
  <c r="H1950" i="1"/>
  <c r="I1950" i="1"/>
  <c r="I1947" i="1"/>
  <c r="H1947" i="1"/>
  <c r="F1967" i="1"/>
  <c r="G1957" i="1"/>
  <c r="I1951" i="1"/>
  <c r="H1951" i="1"/>
  <c r="G1961" i="1"/>
  <c r="F1971" i="1"/>
  <c r="I1939" i="1"/>
  <c r="H1939" i="1"/>
  <c r="G1949" i="1"/>
  <c r="F1959" i="1"/>
  <c r="G1943" i="1"/>
  <c r="F1953" i="1"/>
  <c r="I1933" i="1"/>
  <c r="H1933" i="1"/>
  <c r="I1928" i="1"/>
  <c r="H1928" i="1"/>
  <c r="G1938" i="1"/>
  <c r="F1948" i="1"/>
  <c r="F1942" i="1"/>
  <c r="G1932" i="1"/>
  <c r="I1922" i="1"/>
  <c r="H1922" i="1"/>
  <c r="G1935" i="1"/>
  <c r="F1945" i="1"/>
  <c r="I1925" i="1"/>
  <c r="H1925" i="1"/>
  <c r="F1984" i="1" l="1"/>
  <c r="G1974" i="1"/>
  <c r="H1964" i="1"/>
  <c r="I1964" i="1"/>
  <c r="G1966" i="1"/>
  <c r="F1976" i="1"/>
  <c r="H1956" i="1"/>
  <c r="I1956" i="1"/>
  <c r="F1980" i="1"/>
  <c r="G1970" i="1"/>
  <c r="I1960" i="1"/>
  <c r="H1960" i="1"/>
  <c r="F1977" i="1"/>
  <c r="G1967" i="1"/>
  <c r="H1957" i="1"/>
  <c r="I1957" i="1"/>
  <c r="H1961" i="1"/>
  <c r="I1961" i="1"/>
  <c r="G1971" i="1"/>
  <c r="F1981" i="1"/>
  <c r="I1949" i="1"/>
  <c r="H1949" i="1"/>
  <c r="G1959" i="1"/>
  <c r="F1969" i="1"/>
  <c r="I1943" i="1"/>
  <c r="H1943" i="1"/>
  <c r="G1953" i="1"/>
  <c r="F1963" i="1"/>
  <c r="H1938" i="1"/>
  <c r="I1938" i="1"/>
  <c r="G1948" i="1"/>
  <c r="F1958" i="1"/>
  <c r="F1952" i="1"/>
  <c r="G1942" i="1"/>
  <c r="I1932" i="1"/>
  <c r="H1932" i="1"/>
  <c r="H1935" i="1"/>
  <c r="I1935" i="1"/>
  <c r="G1945" i="1"/>
  <c r="F1955" i="1"/>
  <c r="F1994" i="1" l="1"/>
  <c r="G1984" i="1"/>
  <c r="I1974" i="1"/>
  <c r="H1974" i="1"/>
  <c r="H1966" i="1"/>
  <c r="I1966" i="1"/>
  <c r="G1976" i="1"/>
  <c r="F1986" i="1"/>
  <c r="F1990" i="1"/>
  <c r="G1980" i="1"/>
  <c r="I1970" i="1"/>
  <c r="H1970" i="1"/>
  <c r="G1977" i="1"/>
  <c r="F1987" i="1"/>
  <c r="I1967" i="1"/>
  <c r="H1967" i="1"/>
  <c r="I1971" i="1"/>
  <c r="H1971" i="1"/>
  <c r="G1981" i="1"/>
  <c r="F1991" i="1"/>
  <c r="I1959" i="1"/>
  <c r="H1959" i="1"/>
  <c r="G1969" i="1"/>
  <c r="F1979" i="1"/>
  <c r="H1953" i="1"/>
  <c r="I1953" i="1"/>
  <c r="F1973" i="1"/>
  <c r="G1963" i="1"/>
  <c r="I1948" i="1"/>
  <c r="H1948" i="1"/>
  <c r="F1968" i="1"/>
  <c r="G1958" i="1"/>
  <c r="F1962" i="1"/>
  <c r="G1952" i="1"/>
  <c r="H1942" i="1"/>
  <c r="I1942" i="1"/>
  <c r="I1945" i="1"/>
  <c r="H1945" i="1"/>
  <c r="F1965" i="1"/>
  <c r="G1955" i="1"/>
  <c r="G1994" i="1" l="1"/>
  <c r="F2004" i="1"/>
  <c r="I1984" i="1"/>
  <c r="H1984" i="1"/>
  <c r="H1976" i="1"/>
  <c r="I1976" i="1"/>
  <c r="F1996" i="1"/>
  <c r="G1986" i="1"/>
  <c r="G1990" i="1"/>
  <c r="F2000" i="1"/>
  <c r="H1980" i="1"/>
  <c r="I1980" i="1"/>
  <c r="I1977" i="1"/>
  <c r="H1977" i="1"/>
  <c r="F1997" i="1"/>
  <c r="G1987" i="1"/>
  <c r="I1981" i="1"/>
  <c r="H1981" i="1"/>
  <c r="G1991" i="1"/>
  <c r="F2001" i="1"/>
  <c r="I1969" i="1"/>
  <c r="H1969" i="1"/>
  <c r="G1979" i="1"/>
  <c r="F1989" i="1"/>
  <c r="G1973" i="1"/>
  <c r="F1983" i="1"/>
  <c r="H1963" i="1"/>
  <c r="I1963" i="1"/>
  <c r="G1968" i="1"/>
  <c r="F1978" i="1"/>
  <c r="H1958" i="1"/>
  <c r="I1958" i="1"/>
  <c r="G1962" i="1"/>
  <c r="F1972" i="1"/>
  <c r="H1952" i="1"/>
  <c r="I1952" i="1"/>
  <c r="G1965" i="1"/>
  <c r="F1975" i="1"/>
  <c r="I1955" i="1"/>
  <c r="H1955" i="1"/>
  <c r="G2004" i="1" l="1"/>
  <c r="H2004" i="1" s="1"/>
  <c r="F2014" i="1"/>
  <c r="I1994" i="1"/>
  <c r="H1994" i="1"/>
  <c r="I2004" i="1"/>
  <c r="G1996" i="1"/>
  <c r="F2006" i="1"/>
  <c r="H1986" i="1"/>
  <c r="I1986" i="1"/>
  <c r="I1990" i="1"/>
  <c r="H1990" i="1"/>
  <c r="F2010" i="1"/>
  <c r="G2000" i="1"/>
  <c r="G1997" i="1"/>
  <c r="F2007" i="1"/>
  <c r="H1987" i="1"/>
  <c r="I1987" i="1"/>
  <c r="H1991" i="1"/>
  <c r="I1991" i="1"/>
  <c r="F2011" i="1"/>
  <c r="G2001" i="1"/>
  <c r="I1979" i="1"/>
  <c r="H1979" i="1"/>
  <c r="G1989" i="1"/>
  <c r="F1999" i="1"/>
  <c r="I1973" i="1"/>
  <c r="H1973" i="1"/>
  <c r="F1993" i="1"/>
  <c r="G1983" i="1"/>
  <c r="I1968" i="1"/>
  <c r="H1968" i="1"/>
  <c r="G1978" i="1"/>
  <c r="F1988" i="1"/>
  <c r="H1962" i="1"/>
  <c r="I1962" i="1"/>
  <c r="F1982" i="1"/>
  <c r="G1972" i="1"/>
  <c r="I1965" i="1"/>
  <c r="H1965" i="1"/>
  <c r="G1975" i="1"/>
  <c r="F1985" i="1"/>
  <c r="G2014" i="1" l="1"/>
  <c r="F2024" i="1"/>
  <c r="G2006" i="1"/>
  <c r="F2016" i="1"/>
  <c r="G2010" i="1"/>
  <c r="F2020" i="1"/>
  <c r="G2007" i="1"/>
  <c r="F2017" i="1"/>
  <c r="G2011" i="1"/>
  <c r="F2021" i="1"/>
  <c r="H1996" i="1"/>
  <c r="I1996" i="1"/>
  <c r="H2000" i="1"/>
  <c r="I2000" i="1"/>
  <c r="H1997" i="1"/>
  <c r="I1997" i="1"/>
  <c r="H2001" i="1"/>
  <c r="I2001" i="1"/>
  <c r="I1989" i="1"/>
  <c r="H1989" i="1"/>
  <c r="G1999" i="1"/>
  <c r="F2009" i="1"/>
  <c r="G1993" i="1"/>
  <c r="F2003" i="1"/>
  <c r="I1983" i="1"/>
  <c r="H1983" i="1"/>
  <c r="I1978" i="1"/>
  <c r="H1978" i="1"/>
  <c r="F1998" i="1"/>
  <c r="G1988" i="1"/>
  <c r="G1982" i="1"/>
  <c r="F1992" i="1"/>
  <c r="I1972" i="1"/>
  <c r="H1972" i="1"/>
  <c r="I1975" i="1"/>
  <c r="H1975" i="1"/>
  <c r="G1985" i="1"/>
  <c r="F1995" i="1"/>
  <c r="H2006" i="1" l="1"/>
  <c r="I2006" i="1"/>
  <c r="H2010" i="1"/>
  <c r="I2010" i="1"/>
  <c r="H2007" i="1"/>
  <c r="I2007" i="1"/>
  <c r="H2011" i="1"/>
  <c r="I2011" i="1"/>
  <c r="H2014" i="1"/>
  <c r="I2014" i="1"/>
  <c r="G2024" i="1"/>
  <c r="F2034" i="1"/>
  <c r="G2016" i="1"/>
  <c r="F2026" i="1"/>
  <c r="G2020" i="1"/>
  <c r="F2030" i="1"/>
  <c r="G2017" i="1"/>
  <c r="F2027" i="1"/>
  <c r="F2031" i="1"/>
  <c r="G2021" i="1"/>
  <c r="G2009" i="1"/>
  <c r="F2019" i="1"/>
  <c r="G2003" i="1"/>
  <c r="F2013" i="1"/>
  <c r="I1999" i="1"/>
  <c r="H1999" i="1"/>
  <c r="I1993" i="1"/>
  <c r="H1993" i="1"/>
  <c r="G1998" i="1"/>
  <c r="F2008" i="1"/>
  <c r="I1988" i="1"/>
  <c r="H1988" i="1"/>
  <c r="I1982" i="1"/>
  <c r="H1982" i="1"/>
  <c r="G1992" i="1"/>
  <c r="F2002" i="1"/>
  <c r="I1985" i="1"/>
  <c r="H1985" i="1"/>
  <c r="F2005" i="1"/>
  <c r="G1995" i="1"/>
  <c r="I2009" i="1" l="1"/>
  <c r="H2009" i="1"/>
  <c r="I2003" i="1"/>
  <c r="H2003" i="1"/>
  <c r="I2024" i="1"/>
  <c r="H2024" i="1"/>
  <c r="G2034" i="1"/>
  <c r="F2044" i="1"/>
  <c r="H2016" i="1"/>
  <c r="I2016" i="1"/>
  <c r="G2026" i="1"/>
  <c r="F2036" i="1"/>
  <c r="H2020" i="1"/>
  <c r="I2020" i="1"/>
  <c r="G2030" i="1"/>
  <c r="F2040" i="1"/>
  <c r="I2017" i="1"/>
  <c r="H2017" i="1"/>
  <c r="G2027" i="1"/>
  <c r="F2037" i="1"/>
  <c r="G2031" i="1"/>
  <c r="F2041" i="1"/>
  <c r="I2021" i="1"/>
  <c r="H2021" i="1"/>
  <c r="F2029" i="1"/>
  <c r="G2019" i="1"/>
  <c r="F2023" i="1"/>
  <c r="G2013" i="1"/>
  <c r="G2008" i="1"/>
  <c r="F2018" i="1"/>
  <c r="G2002" i="1"/>
  <c r="F2012" i="1"/>
  <c r="G2005" i="1"/>
  <c r="F2015" i="1"/>
  <c r="I1998" i="1"/>
  <c r="H1998" i="1"/>
  <c r="I1992" i="1"/>
  <c r="H1992" i="1"/>
  <c r="I1995" i="1"/>
  <c r="H1995" i="1"/>
  <c r="I2008" i="1" l="1"/>
  <c r="H2008" i="1"/>
  <c r="H2002" i="1"/>
  <c r="I2002" i="1"/>
  <c r="I2005" i="1"/>
  <c r="H2005" i="1"/>
  <c r="I2034" i="1"/>
  <c r="H2034" i="1"/>
  <c r="G2044" i="1"/>
  <c r="F2054" i="1"/>
  <c r="H2026" i="1"/>
  <c r="I2026" i="1"/>
  <c r="G2036" i="1"/>
  <c r="F2046" i="1"/>
  <c r="I2030" i="1"/>
  <c r="H2030" i="1"/>
  <c r="G2040" i="1"/>
  <c r="F2050" i="1"/>
  <c r="H2027" i="1"/>
  <c r="I2027" i="1"/>
  <c r="G2037" i="1"/>
  <c r="F2047" i="1"/>
  <c r="H2031" i="1"/>
  <c r="I2031" i="1"/>
  <c r="G2041" i="1"/>
  <c r="F2051" i="1"/>
  <c r="F2039" i="1"/>
  <c r="G2029" i="1"/>
  <c r="H2019" i="1"/>
  <c r="I2019" i="1"/>
  <c r="G2023" i="1"/>
  <c r="F2033" i="1"/>
  <c r="I2013" i="1"/>
  <c r="H2013" i="1"/>
  <c r="G2018" i="1"/>
  <c r="F2028" i="1"/>
  <c r="G2012" i="1"/>
  <c r="F2022" i="1"/>
  <c r="F2025" i="1"/>
  <c r="G2015" i="1"/>
  <c r="I2044" i="1" l="1"/>
  <c r="H2044" i="1"/>
  <c r="G2054" i="1"/>
  <c r="F2064" i="1"/>
  <c r="I2036" i="1"/>
  <c r="H2036" i="1"/>
  <c r="F2056" i="1"/>
  <c r="G2046" i="1"/>
  <c r="H2040" i="1"/>
  <c r="I2040" i="1"/>
  <c r="F2060" i="1"/>
  <c r="G2050" i="1"/>
  <c r="I2037" i="1"/>
  <c r="H2037" i="1"/>
  <c r="F2057" i="1"/>
  <c r="G2047" i="1"/>
  <c r="H2041" i="1"/>
  <c r="I2041" i="1"/>
  <c r="G2051" i="1"/>
  <c r="F2061" i="1"/>
  <c r="G2039" i="1"/>
  <c r="F2049" i="1"/>
  <c r="I2029" i="1"/>
  <c r="H2029" i="1"/>
  <c r="H2023" i="1"/>
  <c r="I2023" i="1"/>
  <c r="G2033" i="1"/>
  <c r="F2043" i="1"/>
  <c r="I2018" i="1"/>
  <c r="H2018" i="1"/>
  <c r="G2028" i="1"/>
  <c r="F2038" i="1"/>
  <c r="I2012" i="1"/>
  <c r="H2012" i="1"/>
  <c r="G2022" i="1"/>
  <c r="F2032" i="1"/>
  <c r="G2025" i="1"/>
  <c r="F2035" i="1"/>
  <c r="H2015" i="1"/>
  <c r="I2015" i="1"/>
  <c r="H2054" i="1" l="1"/>
  <c r="I2054" i="1"/>
  <c r="G2064" i="1"/>
  <c r="F2074" i="1"/>
  <c r="G2056" i="1"/>
  <c r="F2066" i="1"/>
  <c r="H2046" i="1"/>
  <c r="I2046" i="1"/>
  <c r="G2060" i="1"/>
  <c r="F2070" i="1"/>
  <c r="H2050" i="1"/>
  <c r="I2050" i="1"/>
  <c r="F2067" i="1"/>
  <c r="G2057" i="1"/>
  <c r="H2047" i="1"/>
  <c r="I2047" i="1"/>
  <c r="H2051" i="1"/>
  <c r="I2051" i="1"/>
  <c r="G2061" i="1"/>
  <c r="F2071" i="1"/>
  <c r="H2039" i="1"/>
  <c r="I2039" i="1"/>
  <c r="F2059" i="1"/>
  <c r="G2049" i="1"/>
  <c r="I2033" i="1"/>
  <c r="H2033" i="1"/>
  <c r="G2043" i="1"/>
  <c r="F2053" i="1"/>
  <c r="I2028" i="1"/>
  <c r="H2028" i="1"/>
  <c r="G2038" i="1"/>
  <c r="F2048" i="1"/>
  <c r="I2022" i="1"/>
  <c r="H2022" i="1"/>
  <c r="G2032" i="1"/>
  <c r="F2042" i="1"/>
  <c r="H2025" i="1"/>
  <c r="I2025" i="1"/>
  <c r="G2035" i="1"/>
  <c r="F2045" i="1"/>
  <c r="H2064" i="1" l="1"/>
  <c r="I2064" i="1"/>
  <c r="G2074" i="1"/>
  <c r="F2084" i="1"/>
  <c r="H2056" i="1"/>
  <c r="I2056" i="1"/>
  <c r="F2076" i="1"/>
  <c r="G2066" i="1"/>
  <c r="I2060" i="1"/>
  <c r="H2060" i="1"/>
  <c r="G2070" i="1"/>
  <c r="F2080" i="1"/>
  <c r="F2077" i="1"/>
  <c r="G2067" i="1"/>
  <c r="I2057" i="1"/>
  <c r="H2057" i="1"/>
  <c r="H2061" i="1"/>
  <c r="I2061" i="1"/>
  <c r="G2071" i="1"/>
  <c r="F2081" i="1"/>
  <c r="G2059" i="1"/>
  <c r="F2069" i="1"/>
  <c r="I2049" i="1"/>
  <c r="H2049" i="1"/>
  <c r="H2043" i="1"/>
  <c r="I2043" i="1"/>
  <c r="G2053" i="1"/>
  <c r="F2063" i="1"/>
  <c r="I2038" i="1"/>
  <c r="H2038" i="1"/>
  <c r="G2048" i="1"/>
  <c r="F2058" i="1"/>
  <c r="I2032" i="1"/>
  <c r="H2032" i="1"/>
  <c r="G2042" i="1"/>
  <c r="F2052" i="1"/>
  <c r="I2035" i="1"/>
  <c r="H2035" i="1"/>
  <c r="F2055" i="1"/>
  <c r="G2045" i="1"/>
  <c r="H2074" i="1" l="1"/>
  <c r="I2074" i="1"/>
  <c r="F2094" i="1"/>
  <c r="G2084" i="1"/>
  <c r="G2076" i="1"/>
  <c r="F2086" i="1"/>
  <c r="H2066" i="1"/>
  <c r="I2066" i="1"/>
  <c r="H2070" i="1"/>
  <c r="I2070" i="1"/>
  <c r="G2080" i="1"/>
  <c r="F2090" i="1"/>
  <c r="F2087" i="1"/>
  <c r="G2077" i="1"/>
  <c r="H2067" i="1"/>
  <c r="I2067" i="1"/>
  <c r="I2071" i="1"/>
  <c r="H2071" i="1"/>
  <c r="G2081" i="1"/>
  <c r="F2091" i="1"/>
  <c r="I2059" i="1"/>
  <c r="H2059" i="1"/>
  <c r="F2079" i="1"/>
  <c r="G2069" i="1"/>
  <c r="I2053" i="1"/>
  <c r="H2053" i="1"/>
  <c r="F2073" i="1"/>
  <c r="G2063" i="1"/>
  <c r="I2048" i="1"/>
  <c r="H2048" i="1"/>
  <c r="F2068" i="1"/>
  <c r="G2058" i="1"/>
  <c r="I2042" i="1"/>
  <c r="H2042" i="1"/>
  <c r="G2052" i="1"/>
  <c r="F2062" i="1"/>
  <c r="F2065" i="1"/>
  <c r="G2055" i="1"/>
  <c r="I2045" i="1"/>
  <c r="H2045" i="1"/>
  <c r="G2094" i="1" l="1"/>
  <c r="F2104" i="1"/>
  <c r="I2084" i="1"/>
  <c r="H2084" i="1"/>
  <c r="I2076" i="1"/>
  <c r="H2076" i="1"/>
  <c r="F2096" i="1"/>
  <c r="G2086" i="1"/>
  <c r="H2080" i="1"/>
  <c r="I2080" i="1"/>
  <c r="G2090" i="1"/>
  <c r="F2100" i="1"/>
  <c r="G2087" i="1"/>
  <c r="F2097" i="1"/>
  <c r="I2077" i="1"/>
  <c r="H2077" i="1"/>
  <c r="H2081" i="1"/>
  <c r="I2081" i="1"/>
  <c r="F2101" i="1"/>
  <c r="G2091" i="1"/>
  <c r="G2079" i="1"/>
  <c r="F2089" i="1"/>
  <c r="H2069" i="1"/>
  <c r="I2069" i="1"/>
  <c r="G2073" i="1"/>
  <c r="F2083" i="1"/>
  <c r="H2063" i="1"/>
  <c r="I2063" i="1"/>
  <c r="F2078" i="1"/>
  <c r="G2068" i="1"/>
  <c r="I2058" i="1"/>
  <c r="H2058" i="1"/>
  <c r="H2052" i="1"/>
  <c r="I2052" i="1"/>
  <c r="F2072" i="1"/>
  <c r="G2062" i="1"/>
  <c r="F2075" i="1"/>
  <c r="G2065" i="1"/>
  <c r="H2055" i="1"/>
  <c r="I2055" i="1"/>
  <c r="I2094" i="1" l="1"/>
  <c r="H2094" i="1"/>
  <c r="G2104" i="1"/>
  <c r="F2114" i="1"/>
  <c r="G2096" i="1"/>
  <c r="F2106" i="1"/>
  <c r="H2086" i="1"/>
  <c r="I2086" i="1"/>
  <c r="I2090" i="1"/>
  <c r="H2090" i="1"/>
  <c r="G2100" i="1"/>
  <c r="F2110" i="1"/>
  <c r="I2087" i="1"/>
  <c r="H2087" i="1"/>
  <c r="G2097" i="1"/>
  <c r="F2107" i="1"/>
  <c r="G2101" i="1"/>
  <c r="F2111" i="1"/>
  <c r="H2091" i="1"/>
  <c r="I2091" i="1"/>
  <c r="H2079" i="1"/>
  <c r="I2079" i="1"/>
  <c r="G2089" i="1"/>
  <c r="F2099" i="1"/>
  <c r="I2073" i="1"/>
  <c r="H2073" i="1"/>
  <c r="F2093" i="1"/>
  <c r="G2083" i="1"/>
  <c r="G2078" i="1"/>
  <c r="F2088" i="1"/>
  <c r="H2068" i="1"/>
  <c r="I2068" i="1"/>
  <c r="F2082" i="1"/>
  <c r="G2072" i="1"/>
  <c r="H2062" i="1"/>
  <c r="I2062" i="1"/>
  <c r="F2085" i="1"/>
  <c r="G2075" i="1"/>
  <c r="H2065" i="1"/>
  <c r="I2065" i="1"/>
  <c r="I2104" i="1" l="1"/>
  <c r="H2104" i="1"/>
  <c r="G2114" i="1"/>
  <c r="F2124" i="1"/>
  <c r="H2096" i="1"/>
  <c r="I2096" i="1"/>
  <c r="F2116" i="1"/>
  <c r="G2106" i="1"/>
  <c r="I2100" i="1"/>
  <c r="H2100" i="1"/>
  <c r="G2110" i="1"/>
  <c r="F2120" i="1"/>
  <c r="H2097" i="1"/>
  <c r="I2097" i="1"/>
  <c r="F2117" i="1"/>
  <c r="G2107" i="1"/>
  <c r="H2101" i="1"/>
  <c r="I2101" i="1"/>
  <c r="G2111" i="1"/>
  <c r="F2121" i="1"/>
  <c r="H2089" i="1"/>
  <c r="I2089" i="1"/>
  <c r="F2109" i="1"/>
  <c r="G2099" i="1"/>
  <c r="G2093" i="1"/>
  <c r="F2103" i="1"/>
  <c r="H2083" i="1"/>
  <c r="I2083" i="1"/>
  <c r="I2078" i="1"/>
  <c r="H2078" i="1"/>
  <c r="F2098" i="1"/>
  <c r="G2088" i="1"/>
  <c r="G2082" i="1"/>
  <c r="F2092" i="1"/>
  <c r="H2072" i="1"/>
  <c r="I2072" i="1"/>
  <c r="G2085" i="1"/>
  <c r="F2095" i="1"/>
  <c r="I2075" i="1"/>
  <c r="H2075" i="1"/>
  <c r="H2114" i="1" l="1"/>
  <c r="I2114" i="1"/>
  <c r="G2124" i="1"/>
  <c r="F2134" i="1"/>
  <c r="G2116" i="1"/>
  <c r="F2126" i="1"/>
  <c r="I2106" i="1"/>
  <c r="H2106" i="1"/>
  <c r="H2110" i="1"/>
  <c r="I2110" i="1"/>
  <c r="G2120" i="1"/>
  <c r="F2130" i="1"/>
  <c r="F2127" i="1"/>
  <c r="G2117" i="1"/>
  <c r="I2107" i="1"/>
  <c r="H2107" i="1"/>
  <c r="H2111" i="1"/>
  <c r="I2111" i="1"/>
  <c r="G2121" i="1"/>
  <c r="F2131" i="1"/>
  <c r="F2119" i="1"/>
  <c r="G2109" i="1"/>
  <c r="H2099" i="1"/>
  <c r="I2099" i="1"/>
  <c r="I2093" i="1"/>
  <c r="H2093" i="1"/>
  <c r="G2103" i="1"/>
  <c r="F2113" i="1"/>
  <c r="G2098" i="1"/>
  <c r="F2108" i="1"/>
  <c r="I2088" i="1"/>
  <c r="H2088" i="1"/>
  <c r="I2082" i="1"/>
  <c r="H2082" i="1"/>
  <c r="G2092" i="1"/>
  <c r="F2102" i="1"/>
  <c r="I2085" i="1"/>
  <c r="H2085" i="1"/>
  <c r="G2095" i="1"/>
  <c r="F2105" i="1"/>
  <c r="H2124" i="1" l="1"/>
  <c r="I2124" i="1"/>
  <c r="G2134" i="1"/>
  <c r="F2144" i="1"/>
  <c r="I2116" i="1"/>
  <c r="H2116" i="1"/>
  <c r="G2126" i="1"/>
  <c r="F2136" i="1"/>
  <c r="H2120" i="1"/>
  <c r="I2120" i="1"/>
  <c r="G2130" i="1"/>
  <c r="F2140" i="1"/>
  <c r="G2127" i="1"/>
  <c r="F2137" i="1"/>
  <c r="H2117" i="1"/>
  <c r="I2117" i="1"/>
  <c r="I2121" i="1"/>
  <c r="H2121" i="1"/>
  <c r="F2141" i="1"/>
  <c r="G2131" i="1"/>
  <c r="F2129" i="1"/>
  <c r="G2119" i="1"/>
  <c r="H2109" i="1"/>
  <c r="I2109" i="1"/>
  <c r="H2103" i="1"/>
  <c r="I2103" i="1"/>
  <c r="G2113" i="1"/>
  <c r="F2123" i="1"/>
  <c r="H2098" i="1"/>
  <c r="I2098" i="1"/>
  <c r="F2118" i="1"/>
  <c r="G2108" i="1"/>
  <c r="I2092" i="1"/>
  <c r="H2092" i="1"/>
  <c r="F2112" i="1"/>
  <c r="G2102" i="1"/>
  <c r="I2095" i="1"/>
  <c r="H2095" i="1"/>
  <c r="G2105" i="1"/>
  <c r="F2115" i="1"/>
  <c r="H2134" i="1" l="1"/>
  <c r="I2134" i="1"/>
  <c r="G2144" i="1"/>
  <c r="F2154" i="1"/>
  <c r="I2126" i="1"/>
  <c r="H2126" i="1"/>
  <c r="G2136" i="1"/>
  <c r="F2146" i="1"/>
  <c r="H2130" i="1"/>
  <c r="I2130" i="1"/>
  <c r="G2140" i="1"/>
  <c r="F2150" i="1"/>
  <c r="I2127" i="1"/>
  <c r="H2127" i="1"/>
  <c r="G2137" i="1"/>
  <c r="F2147" i="1"/>
  <c r="F2151" i="1"/>
  <c r="G2141" i="1"/>
  <c r="I2131" i="1"/>
  <c r="H2131" i="1"/>
  <c r="F2139" i="1"/>
  <c r="G2129" i="1"/>
  <c r="I2119" i="1"/>
  <c r="H2119" i="1"/>
  <c r="H2113" i="1"/>
  <c r="I2113" i="1"/>
  <c r="G2123" i="1"/>
  <c r="F2133" i="1"/>
  <c r="G2118" i="1"/>
  <c r="F2128" i="1"/>
  <c r="H2108" i="1"/>
  <c r="I2108" i="1"/>
  <c r="F2122" i="1"/>
  <c r="G2112" i="1"/>
  <c r="I2102" i="1"/>
  <c r="H2102" i="1"/>
  <c r="I2105" i="1"/>
  <c r="H2105" i="1"/>
  <c r="F2125" i="1"/>
  <c r="G2115" i="1"/>
  <c r="I2144" i="1" l="1"/>
  <c r="H2144" i="1"/>
  <c r="G2154" i="1"/>
  <c r="F2164" i="1"/>
  <c r="I2136" i="1"/>
  <c r="H2136" i="1"/>
  <c r="G2146" i="1"/>
  <c r="F2156" i="1"/>
  <c r="I2140" i="1"/>
  <c r="H2140" i="1"/>
  <c r="F2160" i="1"/>
  <c r="G2150" i="1"/>
  <c r="I2137" i="1"/>
  <c r="H2137" i="1"/>
  <c r="G2147" i="1"/>
  <c r="F2157" i="1"/>
  <c r="F2161" i="1"/>
  <c r="G2151" i="1"/>
  <c r="H2141" i="1"/>
  <c r="I2141" i="1"/>
  <c r="F2149" i="1"/>
  <c r="G2139" i="1"/>
  <c r="I2129" i="1"/>
  <c r="H2129" i="1"/>
  <c r="H2123" i="1"/>
  <c r="I2123" i="1"/>
  <c r="G2133" i="1"/>
  <c r="F2143" i="1"/>
  <c r="H2118" i="1"/>
  <c r="I2118" i="1"/>
  <c r="G2128" i="1"/>
  <c r="F2138" i="1"/>
  <c r="G2122" i="1"/>
  <c r="F2132" i="1"/>
  <c r="I2112" i="1"/>
  <c r="H2112" i="1"/>
  <c r="G2125" i="1"/>
  <c r="F2135" i="1"/>
  <c r="I2115" i="1"/>
  <c r="H2115" i="1"/>
  <c r="H2154" i="1" l="1"/>
  <c r="I2154" i="1"/>
  <c r="G2164" i="1"/>
  <c r="F2174" i="1"/>
  <c r="I2146" i="1"/>
  <c r="H2146" i="1"/>
  <c r="G2156" i="1"/>
  <c r="F2166" i="1"/>
  <c r="F2170" i="1"/>
  <c r="G2160" i="1"/>
  <c r="I2150" i="1"/>
  <c r="H2150" i="1"/>
  <c r="I2147" i="1"/>
  <c r="H2147" i="1"/>
  <c r="G2157" i="1"/>
  <c r="F2167" i="1"/>
  <c r="G2161" i="1"/>
  <c r="F2171" i="1"/>
  <c r="H2151" i="1"/>
  <c r="I2151" i="1"/>
  <c r="F2159" i="1"/>
  <c r="G2149" i="1"/>
  <c r="H2139" i="1"/>
  <c r="I2139" i="1"/>
  <c r="H2133" i="1"/>
  <c r="I2133" i="1"/>
  <c r="G2143" i="1"/>
  <c r="F2153" i="1"/>
  <c r="I2128" i="1"/>
  <c r="H2128" i="1"/>
  <c r="G2138" i="1"/>
  <c r="F2148" i="1"/>
  <c r="I2122" i="1"/>
  <c r="H2122" i="1"/>
  <c r="F2142" i="1"/>
  <c r="G2132" i="1"/>
  <c r="I2125" i="1"/>
  <c r="H2125" i="1"/>
  <c r="F2145" i="1"/>
  <c r="G2135" i="1"/>
  <c r="I2164" i="1" l="1"/>
  <c r="H2164" i="1"/>
  <c r="F2184" i="1"/>
  <c r="G2174" i="1"/>
  <c r="I2156" i="1"/>
  <c r="H2156" i="1"/>
  <c r="F2176" i="1"/>
  <c r="G2166" i="1"/>
  <c r="G2170" i="1"/>
  <c r="F2180" i="1"/>
  <c r="I2160" i="1"/>
  <c r="H2160" i="1"/>
  <c r="I2157" i="1"/>
  <c r="H2157" i="1"/>
  <c r="F2177" i="1"/>
  <c r="G2167" i="1"/>
  <c r="I2161" i="1"/>
  <c r="H2161" i="1"/>
  <c r="G2171" i="1"/>
  <c r="F2181" i="1"/>
  <c r="G2159" i="1"/>
  <c r="F2169" i="1"/>
  <c r="I2149" i="1"/>
  <c r="H2149" i="1"/>
  <c r="H2143" i="1"/>
  <c r="I2143" i="1"/>
  <c r="F2163" i="1"/>
  <c r="G2153" i="1"/>
  <c r="I2138" i="1"/>
  <c r="H2138" i="1"/>
  <c r="F2158" i="1"/>
  <c r="G2148" i="1"/>
  <c r="F2152" i="1"/>
  <c r="G2142" i="1"/>
  <c r="H2132" i="1"/>
  <c r="I2132" i="1"/>
  <c r="F2155" i="1"/>
  <c r="G2145" i="1"/>
  <c r="H2135" i="1"/>
  <c r="I2135" i="1"/>
  <c r="G2184" i="1" l="1"/>
  <c r="F2194" i="1"/>
  <c r="I2174" i="1"/>
  <c r="H2174" i="1"/>
  <c r="G2176" i="1"/>
  <c r="F2186" i="1"/>
  <c r="I2166" i="1"/>
  <c r="H2166" i="1"/>
  <c r="I2170" i="1"/>
  <c r="H2170" i="1"/>
  <c r="G2180" i="1"/>
  <c r="F2190" i="1"/>
  <c r="F2187" i="1"/>
  <c r="G2177" i="1"/>
  <c r="I2167" i="1"/>
  <c r="H2167" i="1"/>
  <c r="H2171" i="1"/>
  <c r="I2171" i="1"/>
  <c r="G2181" i="1"/>
  <c r="F2191" i="1"/>
  <c r="H2159" i="1"/>
  <c r="I2159" i="1"/>
  <c r="F2179" i="1"/>
  <c r="G2169" i="1"/>
  <c r="G2163" i="1"/>
  <c r="F2173" i="1"/>
  <c r="I2153" i="1"/>
  <c r="H2153" i="1"/>
  <c r="G2158" i="1"/>
  <c r="F2168" i="1"/>
  <c r="I2148" i="1"/>
  <c r="H2148" i="1"/>
  <c r="G2152" i="1"/>
  <c r="F2162" i="1"/>
  <c r="H2142" i="1"/>
  <c r="I2142" i="1"/>
  <c r="F2165" i="1"/>
  <c r="G2155" i="1"/>
  <c r="I2145" i="1"/>
  <c r="H2145" i="1"/>
  <c r="H2184" i="1" l="1"/>
  <c r="I2184" i="1"/>
  <c r="G2194" i="1"/>
  <c r="F2204" i="1"/>
  <c r="I2176" i="1"/>
  <c r="H2176" i="1"/>
  <c r="F2196" i="1"/>
  <c r="G2186" i="1"/>
  <c r="I2180" i="1"/>
  <c r="H2180" i="1"/>
  <c r="F2200" i="1"/>
  <c r="G2190" i="1"/>
  <c r="F2197" i="1"/>
  <c r="G2187" i="1"/>
  <c r="H2177" i="1"/>
  <c r="I2177" i="1"/>
  <c r="H2181" i="1"/>
  <c r="I2181" i="1"/>
  <c r="G2191" i="1"/>
  <c r="F2201" i="1"/>
  <c r="G2179" i="1"/>
  <c r="F2189" i="1"/>
  <c r="H2169" i="1"/>
  <c r="I2169" i="1"/>
  <c r="H2163" i="1"/>
  <c r="I2163" i="1"/>
  <c r="F2183" i="1"/>
  <c r="G2173" i="1"/>
  <c r="I2158" i="1"/>
  <c r="H2158" i="1"/>
  <c r="F2178" i="1"/>
  <c r="G2168" i="1"/>
  <c r="H2152" i="1"/>
  <c r="I2152" i="1"/>
  <c r="F2172" i="1"/>
  <c r="G2162" i="1"/>
  <c r="F2175" i="1"/>
  <c r="G2165" i="1"/>
  <c r="I2155" i="1"/>
  <c r="H2155" i="1"/>
  <c r="H2194" i="1" l="1"/>
  <c r="I2194" i="1"/>
  <c r="G2204" i="1"/>
  <c r="F2214" i="1"/>
  <c r="G2196" i="1"/>
  <c r="F2206" i="1"/>
  <c r="H2186" i="1"/>
  <c r="I2186" i="1"/>
  <c r="G2200" i="1"/>
  <c r="F2210" i="1"/>
  <c r="I2190" i="1"/>
  <c r="H2190" i="1"/>
  <c r="F2207" i="1"/>
  <c r="G2197" i="1"/>
  <c r="I2187" i="1"/>
  <c r="H2187" i="1"/>
  <c r="H2191" i="1"/>
  <c r="I2191" i="1"/>
  <c r="G2201" i="1"/>
  <c r="F2211" i="1"/>
  <c r="H2179" i="1"/>
  <c r="I2179" i="1"/>
  <c r="F2199" i="1"/>
  <c r="G2189" i="1"/>
  <c r="G2183" i="1"/>
  <c r="F2193" i="1"/>
  <c r="H2173" i="1"/>
  <c r="I2173" i="1"/>
  <c r="G2178" i="1"/>
  <c r="F2188" i="1"/>
  <c r="I2168" i="1"/>
  <c r="H2168" i="1"/>
  <c r="F2182" i="1"/>
  <c r="G2172" i="1"/>
  <c r="I2162" i="1"/>
  <c r="H2162" i="1"/>
  <c r="G2175" i="1"/>
  <c r="F2185" i="1"/>
  <c r="H2165" i="1"/>
  <c r="I2165" i="1"/>
  <c r="H2204" i="1" l="1"/>
  <c r="I2204" i="1"/>
  <c r="G2214" i="1"/>
  <c r="F2224" i="1"/>
  <c r="H2196" i="1"/>
  <c r="I2196" i="1"/>
  <c r="F2216" i="1"/>
  <c r="G2206" i="1"/>
  <c r="H2200" i="1"/>
  <c r="I2200" i="1"/>
  <c r="F2220" i="1"/>
  <c r="G2210" i="1"/>
  <c r="F2217" i="1"/>
  <c r="G2207" i="1"/>
  <c r="I2197" i="1"/>
  <c r="H2197" i="1"/>
  <c r="H2201" i="1"/>
  <c r="I2201" i="1"/>
  <c r="G2211" i="1"/>
  <c r="F2221" i="1"/>
  <c r="G2199" i="1"/>
  <c r="F2209" i="1"/>
  <c r="I2189" i="1"/>
  <c r="H2189" i="1"/>
  <c r="H2183" i="1"/>
  <c r="I2183" i="1"/>
  <c r="F2203" i="1"/>
  <c r="G2193" i="1"/>
  <c r="I2178" i="1"/>
  <c r="H2178" i="1"/>
  <c r="G2188" i="1"/>
  <c r="F2198" i="1"/>
  <c r="F2192" i="1"/>
  <c r="G2182" i="1"/>
  <c r="I2172" i="1"/>
  <c r="H2172" i="1"/>
  <c r="I2175" i="1"/>
  <c r="H2175" i="1"/>
  <c r="F2195" i="1"/>
  <c r="G2185" i="1"/>
  <c r="I2214" i="1" l="1"/>
  <c r="H2214" i="1"/>
  <c r="G2224" i="1"/>
  <c r="F2234" i="1"/>
  <c r="G2216" i="1"/>
  <c r="F2226" i="1"/>
  <c r="I2206" i="1"/>
  <c r="H2206" i="1"/>
  <c r="G2220" i="1"/>
  <c r="F2230" i="1"/>
  <c r="I2210" i="1"/>
  <c r="H2210" i="1"/>
  <c r="G2217" i="1"/>
  <c r="F2227" i="1"/>
  <c r="I2207" i="1"/>
  <c r="H2207" i="1"/>
  <c r="I2211" i="1"/>
  <c r="H2211" i="1"/>
  <c r="G2221" i="1"/>
  <c r="F2231" i="1"/>
  <c r="I2199" i="1"/>
  <c r="H2199" i="1"/>
  <c r="F2219" i="1"/>
  <c r="G2209" i="1"/>
  <c r="F2213" i="1"/>
  <c r="G2203" i="1"/>
  <c r="I2193" i="1"/>
  <c r="H2193" i="1"/>
  <c r="I2188" i="1"/>
  <c r="H2188" i="1"/>
  <c r="F2208" i="1"/>
  <c r="G2198" i="1"/>
  <c r="F2202" i="1"/>
  <c r="G2192" i="1"/>
  <c r="H2182" i="1"/>
  <c r="I2182" i="1"/>
  <c r="G2195" i="1"/>
  <c r="F2205" i="1"/>
  <c r="I2185" i="1"/>
  <c r="H2185" i="1"/>
  <c r="I2224" i="1" l="1"/>
  <c r="H2224" i="1"/>
  <c r="G2234" i="1"/>
  <c r="F2244" i="1"/>
  <c r="I2216" i="1"/>
  <c r="H2216" i="1"/>
  <c r="G2226" i="1"/>
  <c r="F2236" i="1"/>
  <c r="I2220" i="1"/>
  <c r="H2220" i="1"/>
  <c r="G2230" i="1"/>
  <c r="F2240" i="1"/>
  <c r="I2217" i="1"/>
  <c r="H2217" i="1"/>
  <c r="G2227" i="1"/>
  <c r="F2237" i="1"/>
  <c r="I2221" i="1"/>
  <c r="H2221" i="1"/>
  <c r="G2231" i="1"/>
  <c r="F2241" i="1"/>
  <c r="G2219" i="1"/>
  <c r="F2229" i="1"/>
  <c r="I2209" i="1"/>
  <c r="H2209" i="1"/>
  <c r="G2213" i="1"/>
  <c r="F2223" i="1"/>
  <c r="H2203" i="1"/>
  <c r="I2203" i="1"/>
  <c r="F2218" i="1"/>
  <c r="G2208" i="1"/>
  <c r="H2198" i="1"/>
  <c r="I2198" i="1"/>
  <c r="F2212" i="1"/>
  <c r="G2202" i="1"/>
  <c r="H2192" i="1"/>
  <c r="I2192" i="1"/>
  <c r="H2195" i="1"/>
  <c r="I2195" i="1"/>
  <c r="F2215" i="1"/>
  <c r="G2205" i="1"/>
  <c r="I2234" i="1" l="1"/>
  <c r="H2234" i="1"/>
  <c r="G2244" i="1"/>
  <c r="F2254" i="1"/>
  <c r="I2226" i="1"/>
  <c r="H2226" i="1"/>
  <c r="G2236" i="1"/>
  <c r="F2246" i="1"/>
  <c r="I2230" i="1"/>
  <c r="H2230" i="1"/>
  <c r="G2240" i="1"/>
  <c r="F2250" i="1"/>
  <c r="I2227" i="1"/>
  <c r="H2227" i="1"/>
  <c r="G2237" i="1"/>
  <c r="F2247" i="1"/>
  <c r="I2231" i="1"/>
  <c r="H2231" i="1"/>
  <c r="G2241" i="1"/>
  <c r="F2251" i="1"/>
  <c r="I2219" i="1"/>
  <c r="H2219" i="1"/>
  <c r="G2229" i="1"/>
  <c r="F2239" i="1"/>
  <c r="I2213" i="1"/>
  <c r="H2213" i="1"/>
  <c r="G2223" i="1"/>
  <c r="F2233" i="1"/>
  <c r="G2218" i="1"/>
  <c r="F2228" i="1"/>
  <c r="H2208" i="1"/>
  <c r="I2208" i="1"/>
  <c r="G2212" i="1"/>
  <c r="F2222" i="1"/>
  <c r="H2202" i="1"/>
  <c r="I2202" i="1"/>
  <c r="G2215" i="1"/>
  <c r="F2225" i="1"/>
  <c r="H2205" i="1"/>
  <c r="I2205" i="1"/>
  <c r="I2244" i="1" l="1"/>
  <c r="H2244" i="1"/>
  <c r="G2254" i="1"/>
  <c r="F2264" i="1"/>
  <c r="I2236" i="1"/>
  <c r="H2236" i="1"/>
  <c r="G2246" i="1"/>
  <c r="F2256" i="1"/>
  <c r="I2240" i="1"/>
  <c r="H2240" i="1"/>
  <c r="G2250" i="1"/>
  <c r="F2260" i="1"/>
  <c r="I2237" i="1"/>
  <c r="H2237" i="1"/>
  <c r="G2247" i="1"/>
  <c r="F2257" i="1"/>
  <c r="I2241" i="1"/>
  <c r="H2241" i="1"/>
  <c r="G2251" i="1"/>
  <c r="F2261" i="1"/>
  <c r="I2229" i="1"/>
  <c r="H2229" i="1"/>
  <c r="G2239" i="1"/>
  <c r="F2249" i="1"/>
  <c r="I2223" i="1"/>
  <c r="H2223" i="1"/>
  <c r="G2233" i="1"/>
  <c r="F2243" i="1"/>
  <c r="I2218" i="1"/>
  <c r="H2218" i="1"/>
  <c r="G2228" i="1"/>
  <c r="F2238" i="1"/>
  <c r="I2212" i="1"/>
  <c r="H2212" i="1"/>
  <c r="G2222" i="1"/>
  <c r="F2232" i="1"/>
  <c r="I2215" i="1"/>
  <c r="H2215" i="1"/>
  <c r="G2225" i="1"/>
  <c r="F2235" i="1"/>
  <c r="I2254" i="1" l="1"/>
  <c r="H2254" i="1"/>
  <c r="G2264" i="1"/>
  <c r="F2274" i="1"/>
  <c r="I2246" i="1"/>
  <c r="H2246" i="1"/>
  <c r="G2256" i="1"/>
  <c r="F2266" i="1"/>
  <c r="I2250" i="1"/>
  <c r="H2250" i="1"/>
  <c r="G2260" i="1"/>
  <c r="F2270" i="1"/>
  <c r="I2247" i="1"/>
  <c r="H2247" i="1"/>
  <c r="G2257" i="1"/>
  <c r="F2267" i="1"/>
  <c r="I2251" i="1"/>
  <c r="H2251" i="1"/>
  <c r="G2261" i="1"/>
  <c r="F2271" i="1"/>
  <c r="I2239" i="1"/>
  <c r="H2239" i="1"/>
  <c r="G2249" i="1"/>
  <c r="F2259" i="1"/>
  <c r="I2233" i="1"/>
  <c r="H2233" i="1"/>
  <c r="G2243" i="1"/>
  <c r="F2253" i="1"/>
  <c r="I2228" i="1"/>
  <c r="H2228" i="1"/>
  <c r="G2238" i="1"/>
  <c r="F2248" i="1"/>
  <c r="I2222" i="1"/>
  <c r="H2222" i="1"/>
  <c r="G2232" i="1"/>
  <c r="F2242" i="1"/>
  <c r="I2225" i="1"/>
  <c r="H2225" i="1"/>
  <c r="G2235" i="1"/>
  <c r="F2245" i="1"/>
  <c r="I2264" i="1" l="1"/>
  <c r="H2264" i="1"/>
  <c r="G2274" i="1"/>
  <c r="F2284" i="1"/>
  <c r="I2256" i="1"/>
  <c r="H2256" i="1"/>
  <c r="G2266" i="1"/>
  <c r="F2276" i="1"/>
  <c r="I2260" i="1"/>
  <c r="H2260" i="1"/>
  <c r="G2270" i="1"/>
  <c r="F2280" i="1"/>
  <c r="I2257" i="1"/>
  <c r="H2257" i="1"/>
  <c r="G2267" i="1"/>
  <c r="F2277" i="1"/>
  <c r="I2261" i="1"/>
  <c r="H2261" i="1"/>
  <c r="G2271" i="1"/>
  <c r="F2281" i="1"/>
  <c r="I2249" i="1"/>
  <c r="H2249" i="1"/>
  <c r="G2259" i="1"/>
  <c r="F2269" i="1"/>
  <c r="I2243" i="1"/>
  <c r="H2243" i="1"/>
  <c r="G2253" i="1"/>
  <c r="F2263" i="1"/>
  <c r="I2238" i="1"/>
  <c r="H2238" i="1"/>
  <c r="G2248" i="1"/>
  <c r="F2258" i="1"/>
  <c r="I2232" i="1"/>
  <c r="H2232" i="1"/>
  <c r="G2242" i="1"/>
  <c r="F2252" i="1"/>
  <c r="I2235" i="1"/>
  <c r="H2235" i="1"/>
  <c r="G2245" i="1"/>
  <c r="F2255" i="1"/>
  <c r="I2274" i="1" l="1"/>
  <c r="H2274" i="1"/>
  <c r="G2284" i="1"/>
  <c r="F2294" i="1"/>
  <c r="I2266" i="1"/>
  <c r="H2266" i="1"/>
  <c r="G2276" i="1"/>
  <c r="F2286" i="1"/>
  <c r="I2270" i="1"/>
  <c r="H2270" i="1"/>
  <c r="G2280" i="1"/>
  <c r="F2290" i="1"/>
  <c r="I2267" i="1"/>
  <c r="H2267" i="1"/>
  <c r="G2277" i="1"/>
  <c r="F2287" i="1"/>
  <c r="I2271" i="1"/>
  <c r="H2271" i="1"/>
  <c r="G2281" i="1"/>
  <c r="F2291" i="1"/>
  <c r="I2259" i="1"/>
  <c r="H2259" i="1"/>
  <c r="G2269" i="1"/>
  <c r="F2279" i="1"/>
  <c r="I2253" i="1"/>
  <c r="H2253" i="1"/>
  <c r="G2263" i="1"/>
  <c r="F2273" i="1"/>
  <c r="I2248" i="1"/>
  <c r="H2248" i="1"/>
  <c r="G2258" i="1"/>
  <c r="F2268" i="1"/>
  <c r="I2242" i="1"/>
  <c r="H2242" i="1"/>
  <c r="G2252" i="1"/>
  <c r="F2262" i="1"/>
  <c r="I2245" i="1"/>
  <c r="H2245" i="1"/>
  <c r="G2255" i="1"/>
  <c r="F2265" i="1"/>
  <c r="I2284" i="1" l="1"/>
  <c r="H2284" i="1"/>
  <c r="G2294" i="1"/>
  <c r="F2304" i="1"/>
  <c r="I2276" i="1"/>
  <c r="H2276" i="1"/>
  <c r="G2286" i="1"/>
  <c r="F2296" i="1"/>
  <c r="I2280" i="1"/>
  <c r="H2280" i="1"/>
  <c r="G2290" i="1"/>
  <c r="F2300" i="1"/>
  <c r="I2277" i="1"/>
  <c r="H2277" i="1"/>
  <c r="G2287" i="1"/>
  <c r="F2297" i="1"/>
  <c r="I2281" i="1"/>
  <c r="H2281" i="1"/>
  <c r="G2291" i="1"/>
  <c r="F2301" i="1"/>
  <c r="I2269" i="1"/>
  <c r="H2269" i="1"/>
  <c r="G2279" i="1"/>
  <c r="F2289" i="1"/>
  <c r="I2263" i="1"/>
  <c r="H2263" i="1"/>
  <c r="G2273" i="1"/>
  <c r="F2283" i="1"/>
  <c r="I2258" i="1"/>
  <c r="H2258" i="1"/>
  <c r="G2268" i="1"/>
  <c r="F2278" i="1"/>
  <c r="I2252" i="1"/>
  <c r="H2252" i="1"/>
  <c r="G2262" i="1"/>
  <c r="F2272" i="1"/>
  <c r="I2255" i="1"/>
  <c r="H2255" i="1"/>
  <c r="G2265" i="1"/>
  <c r="F2275" i="1"/>
  <c r="I2294" i="1" l="1"/>
  <c r="H2294" i="1"/>
  <c r="G2304" i="1"/>
  <c r="F2314" i="1"/>
  <c r="I2286" i="1"/>
  <c r="H2286" i="1"/>
  <c r="G2296" i="1"/>
  <c r="F2306" i="1"/>
  <c r="I2290" i="1"/>
  <c r="H2290" i="1"/>
  <c r="G2300" i="1"/>
  <c r="F2310" i="1"/>
  <c r="I2287" i="1"/>
  <c r="H2287" i="1"/>
  <c r="G2297" i="1"/>
  <c r="F2307" i="1"/>
  <c r="I2291" i="1"/>
  <c r="H2291" i="1"/>
  <c r="G2301" i="1"/>
  <c r="F2311" i="1"/>
  <c r="I2279" i="1"/>
  <c r="H2279" i="1"/>
  <c r="G2289" i="1"/>
  <c r="F2299" i="1"/>
  <c r="I2273" i="1"/>
  <c r="H2273" i="1"/>
  <c r="G2283" i="1"/>
  <c r="F2293" i="1"/>
  <c r="I2268" i="1"/>
  <c r="H2268" i="1"/>
  <c r="G2278" i="1"/>
  <c r="F2288" i="1"/>
  <c r="I2262" i="1"/>
  <c r="H2262" i="1"/>
  <c r="G2272" i="1"/>
  <c r="F2282" i="1"/>
  <c r="I2265" i="1"/>
  <c r="H2265" i="1"/>
  <c r="G2275" i="1"/>
  <c r="F2285" i="1"/>
  <c r="I2304" i="1" l="1"/>
  <c r="H2304" i="1"/>
  <c r="G2314" i="1"/>
  <c r="F2324" i="1"/>
  <c r="I2296" i="1"/>
  <c r="H2296" i="1"/>
  <c r="G2306" i="1"/>
  <c r="F2316" i="1"/>
  <c r="I2300" i="1"/>
  <c r="H2300" i="1"/>
  <c r="G2310" i="1"/>
  <c r="F2320" i="1"/>
  <c r="I2297" i="1"/>
  <c r="H2297" i="1"/>
  <c r="G2307" i="1"/>
  <c r="F2317" i="1"/>
  <c r="I2301" i="1"/>
  <c r="H2301" i="1"/>
  <c r="G2311" i="1"/>
  <c r="F2321" i="1"/>
  <c r="I2289" i="1"/>
  <c r="H2289" i="1"/>
  <c r="G2299" i="1"/>
  <c r="F2309" i="1"/>
  <c r="I2283" i="1"/>
  <c r="H2283" i="1"/>
  <c r="G2293" i="1"/>
  <c r="F2303" i="1"/>
  <c r="I2278" i="1"/>
  <c r="H2278" i="1"/>
  <c r="G2288" i="1"/>
  <c r="F2298" i="1"/>
  <c r="I2272" i="1"/>
  <c r="H2272" i="1"/>
  <c r="G2282" i="1"/>
  <c r="F2292" i="1"/>
  <c r="I2275" i="1"/>
  <c r="H2275" i="1"/>
  <c r="G2285" i="1"/>
  <c r="F2295" i="1"/>
  <c r="I2314" i="1" l="1"/>
  <c r="H2314" i="1"/>
  <c r="G2324" i="1"/>
  <c r="F2334" i="1"/>
  <c r="I2306" i="1"/>
  <c r="H2306" i="1"/>
  <c r="G2316" i="1"/>
  <c r="F2326" i="1"/>
  <c r="I2310" i="1"/>
  <c r="H2310" i="1"/>
  <c r="G2320" i="1"/>
  <c r="F2330" i="1"/>
  <c r="I2307" i="1"/>
  <c r="H2307" i="1"/>
  <c r="G2317" i="1"/>
  <c r="F2327" i="1"/>
  <c r="I2311" i="1"/>
  <c r="H2311" i="1"/>
  <c r="G2321" i="1"/>
  <c r="F2331" i="1"/>
  <c r="I2299" i="1"/>
  <c r="H2299" i="1"/>
  <c r="G2309" i="1"/>
  <c r="F2319" i="1"/>
  <c r="I2293" i="1"/>
  <c r="H2293" i="1"/>
  <c r="G2303" i="1"/>
  <c r="F2313" i="1"/>
  <c r="I2288" i="1"/>
  <c r="H2288" i="1"/>
  <c r="G2298" i="1"/>
  <c r="F2308" i="1"/>
  <c r="I2282" i="1"/>
  <c r="H2282" i="1"/>
  <c r="G2292" i="1"/>
  <c r="F2302" i="1"/>
  <c r="I2285" i="1"/>
  <c r="H2285" i="1"/>
  <c r="G2295" i="1"/>
  <c r="F2305" i="1"/>
  <c r="I2324" i="1" l="1"/>
  <c r="H2324" i="1"/>
  <c r="G2334" i="1"/>
  <c r="F2344" i="1"/>
  <c r="I2316" i="1"/>
  <c r="H2316" i="1"/>
  <c r="G2326" i="1"/>
  <c r="F2336" i="1"/>
  <c r="I2320" i="1"/>
  <c r="H2320" i="1"/>
  <c r="G2330" i="1"/>
  <c r="F2340" i="1"/>
  <c r="I2317" i="1"/>
  <c r="H2317" i="1"/>
  <c r="G2327" i="1"/>
  <c r="F2337" i="1"/>
  <c r="I2321" i="1"/>
  <c r="H2321" i="1"/>
  <c r="G2331" i="1"/>
  <c r="F2341" i="1"/>
  <c r="I2309" i="1"/>
  <c r="H2309" i="1"/>
  <c r="G2319" i="1"/>
  <c r="F2329" i="1"/>
  <c r="I2303" i="1"/>
  <c r="H2303" i="1"/>
  <c r="G2313" i="1"/>
  <c r="F2323" i="1"/>
  <c r="I2298" i="1"/>
  <c r="H2298" i="1"/>
  <c r="G2308" i="1"/>
  <c r="F2318" i="1"/>
  <c r="I2292" i="1"/>
  <c r="H2292" i="1"/>
  <c r="G2302" i="1"/>
  <c r="F2312" i="1"/>
  <c r="I2295" i="1"/>
  <c r="H2295" i="1"/>
  <c r="G2305" i="1"/>
  <c r="F2315" i="1"/>
  <c r="I2334" i="1" l="1"/>
  <c r="H2334" i="1"/>
  <c r="G2344" i="1"/>
  <c r="F2354" i="1"/>
  <c r="I2326" i="1"/>
  <c r="H2326" i="1"/>
  <c r="G2336" i="1"/>
  <c r="F2346" i="1"/>
  <c r="I2330" i="1"/>
  <c r="H2330" i="1"/>
  <c r="G2340" i="1"/>
  <c r="F2350" i="1"/>
  <c r="I2327" i="1"/>
  <c r="H2327" i="1"/>
  <c r="G2337" i="1"/>
  <c r="F2347" i="1"/>
  <c r="I2331" i="1"/>
  <c r="H2331" i="1"/>
  <c r="G2341" i="1"/>
  <c r="F2351" i="1"/>
  <c r="I2319" i="1"/>
  <c r="H2319" i="1"/>
  <c r="G2329" i="1"/>
  <c r="F2339" i="1"/>
  <c r="I2313" i="1"/>
  <c r="H2313" i="1"/>
  <c r="G2323" i="1"/>
  <c r="F2333" i="1"/>
  <c r="I2308" i="1"/>
  <c r="H2308" i="1"/>
  <c r="G2318" i="1"/>
  <c r="F2328" i="1"/>
  <c r="I2302" i="1"/>
  <c r="H2302" i="1"/>
  <c r="G2312" i="1"/>
  <c r="F2322" i="1"/>
  <c r="I2305" i="1"/>
  <c r="H2305" i="1"/>
  <c r="G2315" i="1"/>
  <c r="F2325" i="1"/>
  <c r="I2344" i="1" l="1"/>
  <c r="H2344" i="1"/>
  <c r="G2354" i="1"/>
  <c r="F2364" i="1"/>
  <c r="I2336" i="1"/>
  <c r="H2336" i="1"/>
  <c r="G2346" i="1"/>
  <c r="F2356" i="1"/>
  <c r="I2340" i="1"/>
  <c r="H2340" i="1"/>
  <c r="G2350" i="1"/>
  <c r="F2360" i="1"/>
  <c r="I2337" i="1"/>
  <c r="H2337" i="1"/>
  <c r="G2347" i="1"/>
  <c r="F2357" i="1"/>
  <c r="I2341" i="1"/>
  <c r="H2341" i="1"/>
  <c r="G2351" i="1"/>
  <c r="F2361" i="1"/>
  <c r="I2329" i="1"/>
  <c r="H2329" i="1"/>
  <c r="G2339" i="1"/>
  <c r="F2349" i="1"/>
  <c r="I2323" i="1"/>
  <c r="H2323" i="1"/>
  <c r="G2333" i="1"/>
  <c r="F2343" i="1"/>
  <c r="I2318" i="1"/>
  <c r="H2318" i="1"/>
  <c r="G2328" i="1"/>
  <c r="F2338" i="1"/>
  <c r="I2312" i="1"/>
  <c r="H2312" i="1"/>
  <c r="G2322" i="1"/>
  <c r="F2332" i="1"/>
  <c r="I2315" i="1"/>
  <c r="H2315" i="1"/>
  <c r="G2325" i="1"/>
  <c r="F2335" i="1"/>
  <c r="I2354" i="1" l="1"/>
  <c r="H2354" i="1"/>
  <c r="G2364" i="1"/>
  <c r="F2374" i="1"/>
  <c r="I2346" i="1"/>
  <c r="H2346" i="1"/>
  <c r="G2356" i="1"/>
  <c r="F2366" i="1"/>
  <c r="I2350" i="1"/>
  <c r="H2350" i="1"/>
  <c r="G2360" i="1"/>
  <c r="F2370" i="1"/>
  <c r="I2347" i="1"/>
  <c r="H2347" i="1"/>
  <c r="G2357" i="1"/>
  <c r="F2367" i="1"/>
  <c r="I2351" i="1"/>
  <c r="H2351" i="1"/>
  <c r="G2361" i="1"/>
  <c r="F2371" i="1"/>
  <c r="I2339" i="1"/>
  <c r="H2339" i="1"/>
  <c r="G2349" i="1"/>
  <c r="F2359" i="1"/>
  <c r="I2333" i="1"/>
  <c r="H2333" i="1"/>
  <c r="G2343" i="1"/>
  <c r="F2353" i="1"/>
  <c r="I2328" i="1"/>
  <c r="H2328" i="1"/>
  <c r="G2338" i="1"/>
  <c r="F2348" i="1"/>
  <c r="I2322" i="1"/>
  <c r="H2322" i="1"/>
  <c r="G2332" i="1"/>
  <c r="F2342" i="1"/>
  <c r="I2325" i="1"/>
  <c r="H2325" i="1"/>
  <c r="G2335" i="1"/>
  <c r="F2345" i="1"/>
  <c r="I2364" i="1" l="1"/>
  <c r="H2364" i="1"/>
  <c r="G2374" i="1"/>
  <c r="F2384" i="1"/>
  <c r="I2356" i="1"/>
  <c r="H2356" i="1"/>
  <c r="G2366" i="1"/>
  <c r="F2376" i="1"/>
  <c r="I2360" i="1"/>
  <c r="H2360" i="1"/>
  <c r="G2370" i="1"/>
  <c r="F2380" i="1"/>
  <c r="I2357" i="1"/>
  <c r="H2357" i="1"/>
  <c r="G2367" i="1"/>
  <c r="F2377" i="1"/>
  <c r="I2361" i="1"/>
  <c r="H2361" i="1"/>
  <c r="G2371" i="1"/>
  <c r="F2381" i="1"/>
  <c r="I2349" i="1"/>
  <c r="H2349" i="1"/>
  <c r="G2359" i="1"/>
  <c r="F2369" i="1"/>
  <c r="I2343" i="1"/>
  <c r="H2343" i="1"/>
  <c r="G2353" i="1"/>
  <c r="F2363" i="1"/>
  <c r="I2338" i="1"/>
  <c r="H2338" i="1"/>
  <c r="G2348" i="1"/>
  <c r="F2358" i="1"/>
  <c r="I2332" i="1"/>
  <c r="H2332" i="1"/>
  <c r="G2342" i="1"/>
  <c r="F2352" i="1"/>
  <c r="I2335" i="1"/>
  <c r="H2335" i="1"/>
  <c r="G2345" i="1"/>
  <c r="F2355" i="1"/>
  <c r="I2374" i="1" l="1"/>
  <c r="H2374" i="1"/>
  <c r="G2384" i="1"/>
  <c r="F2394" i="1"/>
  <c r="I2366" i="1"/>
  <c r="H2366" i="1"/>
  <c r="G2376" i="1"/>
  <c r="F2386" i="1"/>
  <c r="I2370" i="1"/>
  <c r="H2370" i="1"/>
  <c r="G2380" i="1"/>
  <c r="F2390" i="1"/>
  <c r="I2367" i="1"/>
  <c r="H2367" i="1"/>
  <c r="G2377" i="1"/>
  <c r="F2387" i="1"/>
  <c r="I2371" i="1"/>
  <c r="H2371" i="1"/>
  <c r="G2381" i="1"/>
  <c r="F2391" i="1"/>
  <c r="I2359" i="1"/>
  <c r="H2359" i="1"/>
  <c r="G2369" i="1"/>
  <c r="F2379" i="1"/>
  <c r="I2353" i="1"/>
  <c r="H2353" i="1"/>
  <c r="G2363" i="1"/>
  <c r="F2373" i="1"/>
  <c r="I2348" i="1"/>
  <c r="H2348" i="1"/>
  <c r="G2358" i="1"/>
  <c r="F2368" i="1"/>
  <c r="I2342" i="1"/>
  <c r="H2342" i="1"/>
  <c r="G2352" i="1"/>
  <c r="F2362" i="1"/>
  <c r="I2345" i="1"/>
  <c r="H2345" i="1"/>
  <c r="G2355" i="1"/>
  <c r="F2365" i="1"/>
  <c r="I2384" i="1" l="1"/>
  <c r="H2384" i="1"/>
  <c r="G2394" i="1"/>
  <c r="F2404" i="1"/>
  <c r="I2376" i="1"/>
  <c r="H2376" i="1"/>
  <c r="G2386" i="1"/>
  <c r="F2396" i="1"/>
  <c r="I2380" i="1"/>
  <c r="H2380" i="1"/>
  <c r="G2390" i="1"/>
  <c r="F2400" i="1"/>
  <c r="I2377" i="1"/>
  <c r="H2377" i="1"/>
  <c r="G2387" i="1"/>
  <c r="F2397" i="1"/>
  <c r="I2381" i="1"/>
  <c r="H2381" i="1"/>
  <c r="G2391" i="1"/>
  <c r="F2401" i="1"/>
  <c r="I2369" i="1"/>
  <c r="H2369" i="1"/>
  <c r="G2379" i="1"/>
  <c r="F2389" i="1"/>
  <c r="I2363" i="1"/>
  <c r="H2363" i="1"/>
  <c r="G2373" i="1"/>
  <c r="F2383" i="1"/>
  <c r="I2358" i="1"/>
  <c r="H2358" i="1"/>
  <c r="G2368" i="1"/>
  <c r="F2378" i="1"/>
  <c r="I2352" i="1"/>
  <c r="H2352" i="1"/>
  <c r="G2362" i="1"/>
  <c r="F2372" i="1"/>
  <c r="I2355" i="1"/>
  <c r="H2355" i="1"/>
  <c r="G2365" i="1"/>
  <c r="F2375" i="1"/>
  <c r="I2394" i="1" l="1"/>
  <c r="H2394" i="1"/>
  <c r="G2404" i="1"/>
  <c r="F2414" i="1"/>
  <c r="I2386" i="1"/>
  <c r="H2386" i="1"/>
  <c r="G2396" i="1"/>
  <c r="F2406" i="1"/>
  <c r="I2390" i="1"/>
  <c r="H2390" i="1"/>
  <c r="G2400" i="1"/>
  <c r="F2410" i="1"/>
  <c r="I2387" i="1"/>
  <c r="H2387" i="1"/>
  <c r="G2397" i="1"/>
  <c r="F2407" i="1"/>
  <c r="I2391" i="1"/>
  <c r="H2391" i="1"/>
  <c r="G2401" i="1"/>
  <c r="F2411" i="1"/>
  <c r="I2379" i="1"/>
  <c r="H2379" i="1"/>
  <c r="G2389" i="1"/>
  <c r="F2399" i="1"/>
  <c r="I2373" i="1"/>
  <c r="H2373" i="1"/>
  <c r="G2383" i="1"/>
  <c r="F2393" i="1"/>
  <c r="I2368" i="1"/>
  <c r="H2368" i="1"/>
  <c r="G2378" i="1"/>
  <c r="F2388" i="1"/>
  <c r="I2362" i="1"/>
  <c r="H2362" i="1"/>
  <c r="G2372" i="1"/>
  <c r="F2382" i="1"/>
  <c r="I2365" i="1"/>
  <c r="H2365" i="1"/>
  <c r="G2375" i="1"/>
  <c r="F2385" i="1"/>
  <c r="G2414" i="1" l="1"/>
  <c r="H2414" i="1" s="1"/>
  <c r="F2424" i="1"/>
  <c r="I2404" i="1"/>
  <c r="H2404" i="1"/>
  <c r="I2414" i="1"/>
  <c r="I2396" i="1"/>
  <c r="H2396" i="1"/>
  <c r="G2406" i="1"/>
  <c r="F2416" i="1"/>
  <c r="I2400" i="1"/>
  <c r="H2400" i="1"/>
  <c r="G2410" i="1"/>
  <c r="F2420" i="1"/>
  <c r="I2397" i="1"/>
  <c r="H2397" i="1"/>
  <c r="G2407" i="1"/>
  <c r="F2417" i="1"/>
  <c r="I2401" i="1"/>
  <c r="H2401" i="1"/>
  <c r="G2411" i="1"/>
  <c r="F2421" i="1"/>
  <c r="I2389" i="1"/>
  <c r="H2389" i="1"/>
  <c r="G2399" i="1"/>
  <c r="F2409" i="1"/>
  <c r="I2383" i="1"/>
  <c r="H2383" i="1"/>
  <c r="G2393" i="1"/>
  <c r="F2403" i="1"/>
  <c r="I2378" i="1"/>
  <c r="H2378" i="1"/>
  <c r="G2388" i="1"/>
  <c r="F2398" i="1"/>
  <c r="I2372" i="1"/>
  <c r="H2372" i="1"/>
  <c r="G2382" i="1"/>
  <c r="F2392" i="1"/>
  <c r="I2375" i="1"/>
  <c r="H2375" i="1"/>
  <c r="G2385" i="1"/>
  <c r="F2395" i="1"/>
  <c r="G2424" i="1" l="1"/>
  <c r="F2434" i="1"/>
  <c r="G2416" i="1"/>
  <c r="F2426" i="1"/>
  <c r="G2420" i="1"/>
  <c r="F2430" i="1"/>
  <c r="G2417" i="1"/>
  <c r="F2427" i="1"/>
  <c r="G2421" i="1"/>
  <c r="F2431" i="1"/>
  <c r="I2406" i="1"/>
  <c r="H2406" i="1"/>
  <c r="I2410" i="1"/>
  <c r="H2410" i="1"/>
  <c r="I2407" i="1"/>
  <c r="H2407" i="1"/>
  <c r="I2411" i="1"/>
  <c r="H2411" i="1"/>
  <c r="I2399" i="1"/>
  <c r="H2399" i="1"/>
  <c r="G2409" i="1"/>
  <c r="F2419" i="1"/>
  <c r="I2393" i="1"/>
  <c r="H2393" i="1"/>
  <c r="G2403" i="1"/>
  <c r="F2413" i="1"/>
  <c r="I2388" i="1"/>
  <c r="H2388" i="1"/>
  <c r="G2398" i="1"/>
  <c r="F2408" i="1"/>
  <c r="I2382" i="1"/>
  <c r="H2382" i="1"/>
  <c r="G2392" i="1"/>
  <c r="F2402" i="1"/>
  <c r="I2385" i="1"/>
  <c r="H2385" i="1"/>
  <c r="G2395" i="1"/>
  <c r="F2405" i="1"/>
  <c r="I2420" i="1" l="1"/>
  <c r="H2420" i="1"/>
  <c r="I2416" i="1"/>
  <c r="H2416" i="1"/>
  <c r="H2417" i="1"/>
  <c r="I2417" i="1"/>
  <c r="I2421" i="1"/>
  <c r="H2421" i="1"/>
  <c r="I2424" i="1"/>
  <c r="H2424" i="1"/>
  <c r="G2434" i="1"/>
  <c r="F2444" i="1"/>
  <c r="G2426" i="1"/>
  <c r="F2436" i="1"/>
  <c r="G2430" i="1"/>
  <c r="F2440" i="1"/>
  <c r="G2427" i="1"/>
  <c r="F2437" i="1"/>
  <c r="G2431" i="1"/>
  <c r="F2441" i="1"/>
  <c r="G2419" i="1"/>
  <c r="F2429" i="1"/>
  <c r="G2413" i="1"/>
  <c r="F2423" i="1"/>
  <c r="I2409" i="1"/>
  <c r="H2409" i="1"/>
  <c r="I2403" i="1"/>
  <c r="H2403" i="1"/>
  <c r="I2398" i="1"/>
  <c r="H2398" i="1"/>
  <c r="G2408" i="1"/>
  <c r="F2418" i="1"/>
  <c r="I2392" i="1"/>
  <c r="H2392" i="1"/>
  <c r="G2402" i="1"/>
  <c r="F2412" i="1"/>
  <c r="I2395" i="1"/>
  <c r="H2395" i="1"/>
  <c r="G2405" i="1"/>
  <c r="F2415" i="1"/>
  <c r="H2419" i="1" l="1"/>
  <c r="I2419" i="1"/>
  <c r="I2413" i="1"/>
  <c r="H2413" i="1"/>
  <c r="H2434" i="1"/>
  <c r="I2434" i="1"/>
  <c r="G2444" i="1"/>
  <c r="F2454" i="1"/>
  <c r="I2426" i="1"/>
  <c r="H2426" i="1"/>
  <c r="G2436" i="1"/>
  <c r="F2446" i="1"/>
  <c r="H2430" i="1"/>
  <c r="I2430" i="1"/>
  <c r="G2440" i="1"/>
  <c r="F2450" i="1"/>
  <c r="I2427" i="1"/>
  <c r="H2427" i="1"/>
  <c r="G2437" i="1"/>
  <c r="F2447" i="1"/>
  <c r="H2431" i="1"/>
  <c r="I2431" i="1"/>
  <c r="G2441" i="1"/>
  <c r="F2451" i="1"/>
  <c r="G2429" i="1"/>
  <c r="F2439" i="1"/>
  <c r="F2433" i="1"/>
  <c r="G2423" i="1"/>
  <c r="G2418" i="1"/>
  <c r="F2428" i="1"/>
  <c r="G2412" i="1"/>
  <c r="F2422" i="1"/>
  <c r="G2415" i="1"/>
  <c r="F2425" i="1"/>
  <c r="I2408" i="1"/>
  <c r="H2408" i="1"/>
  <c r="I2402" i="1"/>
  <c r="H2402" i="1"/>
  <c r="I2405" i="1"/>
  <c r="H2405" i="1"/>
  <c r="I2418" i="1" l="1"/>
  <c r="H2418" i="1"/>
  <c r="I2412" i="1"/>
  <c r="H2412" i="1"/>
  <c r="I2415" i="1"/>
  <c r="H2415" i="1"/>
  <c r="H2444" i="1"/>
  <c r="I2444" i="1"/>
  <c r="G2454" i="1"/>
  <c r="F2464" i="1"/>
  <c r="H2436" i="1"/>
  <c r="I2436" i="1"/>
  <c r="G2446" i="1"/>
  <c r="F2456" i="1"/>
  <c r="H2440" i="1"/>
  <c r="I2440" i="1"/>
  <c r="G2450" i="1"/>
  <c r="F2460" i="1"/>
  <c r="H2437" i="1"/>
  <c r="I2437" i="1"/>
  <c r="G2447" i="1"/>
  <c r="F2457" i="1"/>
  <c r="I2441" i="1"/>
  <c r="H2441" i="1"/>
  <c r="G2451" i="1"/>
  <c r="F2461" i="1"/>
  <c r="H2429" i="1"/>
  <c r="I2429" i="1"/>
  <c r="G2439" i="1"/>
  <c r="F2449" i="1"/>
  <c r="G2433" i="1"/>
  <c r="F2443" i="1"/>
  <c r="I2423" i="1"/>
  <c r="H2423" i="1"/>
  <c r="G2428" i="1"/>
  <c r="F2438" i="1"/>
  <c r="G2422" i="1"/>
  <c r="F2432" i="1"/>
  <c r="F2435" i="1"/>
  <c r="G2425" i="1"/>
  <c r="I2454" i="1" l="1"/>
  <c r="H2454" i="1"/>
  <c r="G2464" i="1"/>
  <c r="F2474" i="1"/>
  <c r="I2446" i="1"/>
  <c r="H2446" i="1"/>
  <c r="G2456" i="1"/>
  <c r="F2466" i="1"/>
  <c r="H2450" i="1"/>
  <c r="I2450" i="1"/>
  <c r="G2460" i="1"/>
  <c r="F2470" i="1"/>
  <c r="I2447" i="1"/>
  <c r="H2447" i="1"/>
  <c r="G2457" i="1"/>
  <c r="F2467" i="1"/>
  <c r="I2451" i="1"/>
  <c r="H2451" i="1"/>
  <c r="G2461" i="1"/>
  <c r="F2471" i="1"/>
  <c r="H2439" i="1"/>
  <c r="I2439" i="1"/>
  <c r="G2449" i="1"/>
  <c r="F2459" i="1"/>
  <c r="I2433" i="1"/>
  <c r="H2433" i="1"/>
  <c r="G2443" i="1"/>
  <c r="F2453" i="1"/>
  <c r="H2428" i="1"/>
  <c r="I2428" i="1"/>
  <c r="G2438" i="1"/>
  <c r="F2448" i="1"/>
  <c r="I2422" i="1"/>
  <c r="H2422" i="1"/>
  <c r="G2432" i="1"/>
  <c r="F2442" i="1"/>
  <c r="G2435" i="1"/>
  <c r="F2445" i="1"/>
  <c r="I2425" i="1"/>
  <c r="H2425" i="1"/>
  <c r="I2464" i="1" l="1"/>
  <c r="H2464" i="1"/>
  <c r="G2474" i="1"/>
  <c r="F2484" i="1"/>
  <c r="H2456" i="1"/>
  <c r="I2456" i="1"/>
  <c r="G2466" i="1"/>
  <c r="F2476" i="1"/>
  <c r="H2460" i="1"/>
  <c r="I2460" i="1"/>
  <c r="G2470" i="1"/>
  <c r="F2480" i="1"/>
  <c r="I2457" i="1"/>
  <c r="H2457" i="1"/>
  <c r="G2467" i="1"/>
  <c r="F2477" i="1"/>
  <c r="I2461" i="1"/>
  <c r="H2461" i="1"/>
  <c r="G2471" i="1"/>
  <c r="F2481" i="1"/>
  <c r="H2449" i="1"/>
  <c r="I2449" i="1"/>
  <c r="G2459" i="1"/>
  <c r="F2469" i="1"/>
  <c r="H2443" i="1"/>
  <c r="I2443" i="1"/>
  <c r="G2453" i="1"/>
  <c r="F2463" i="1"/>
  <c r="I2438" i="1"/>
  <c r="H2438" i="1"/>
  <c r="G2448" i="1"/>
  <c r="F2458" i="1"/>
  <c r="H2432" i="1"/>
  <c r="I2432" i="1"/>
  <c r="G2442" i="1"/>
  <c r="F2452" i="1"/>
  <c r="H2435" i="1"/>
  <c r="I2435" i="1"/>
  <c r="G2445" i="1"/>
  <c r="F2455" i="1"/>
  <c r="I2474" i="1" l="1"/>
  <c r="H2474" i="1"/>
  <c r="G2484" i="1"/>
  <c r="F2494" i="1"/>
  <c r="H2466" i="1"/>
  <c r="I2466" i="1"/>
  <c r="G2476" i="1"/>
  <c r="F2486" i="1"/>
  <c r="I2470" i="1"/>
  <c r="H2470" i="1"/>
  <c r="G2480" i="1"/>
  <c r="F2490" i="1"/>
  <c r="H2467" i="1"/>
  <c r="I2467" i="1"/>
  <c r="G2477" i="1"/>
  <c r="F2487" i="1"/>
  <c r="I2471" i="1"/>
  <c r="H2471" i="1"/>
  <c r="G2481" i="1"/>
  <c r="F2491" i="1"/>
  <c r="H2459" i="1"/>
  <c r="I2459" i="1"/>
  <c r="G2469" i="1"/>
  <c r="F2479" i="1"/>
  <c r="H2453" i="1"/>
  <c r="I2453" i="1"/>
  <c r="G2463" i="1"/>
  <c r="F2473" i="1"/>
  <c r="I2448" i="1"/>
  <c r="H2448" i="1"/>
  <c r="G2458" i="1"/>
  <c r="F2468" i="1"/>
  <c r="I2442" i="1"/>
  <c r="H2442" i="1"/>
  <c r="G2452" i="1"/>
  <c r="F2462" i="1"/>
  <c r="I2445" i="1"/>
  <c r="H2445" i="1"/>
  <c r="G2455" i="1"/>
  <c r="F2465" i="1"/>
  <c r="H2484" i="1" l="1"/>
  <c r="I2484" i="1"/>
  <c r="G2494" i="1"/>
  <c r="F2504" i="1"/>
  <c r="H2476" i="1"/>
  <c r="I2476" i="1"/>
  <c r="G2486" i="1"/>
  <c r="F2496" i="1"/>
  <c r="I2480" i="1"/>
  <c r="H2480" i="1"/>
  <c r="G2490" i="1"/>
  <c r="F2500" i="1"/>
  <c r="I2477" i="1"/>
  <c r="H2477" i="1"/>
  <c r="G2487" i="1"/>
  <c r="F2497" i="1"/>
  <c r="H2481" i="1"/>
  <c r="I2481" i="1"/>
  <c r="G2491" i="1"/>
  <c r="F2501" i="1"/>
  <c r="H2469" i="1"/>
  <c r="I2469" i="1"/>
  <c r="G2479" i="1"/>
  <c r="F2489" i="1"/>
  <c r="I2463" i="1"/>
  <c r="H2463" i="1"/>
  <c r="G2473" i="1"/>
  <c r="F2483" i="1"/>
  <c r="I2458" i="1"/>
  <c r="H2458" i="1"/>
  <c r="G2468" i="1"/>
  <c r="F2478" i="1"/>
  <c r="H2452" i="1"/>
  <c r="I2452" i="1"/>
  <c r="G2462" i="1"/>
  <c r="F2472" i="1"/>
  <c r="I2455" i="1"/>
  <c r="H2455" i="1"/>
  <c r="G2465" i="1"/>
  <c r="F2475" i="1"/>
  <c r="I2494" i="1" l="1"/>
  <c r="H2494" i="1"/>
  <c r="G2504" i="1"/>
  <c r="F2514" i="1"/>
  <c r="H2486" i="1"/>
  <c r="I2486" i="1"/>
  <c r="G2496" i="1"/>
  <c r="F2506" i="1"/>
  <c r="I2490" i="1"/>
  <c r="H2490" i="1"/>
  <c r="G2500" i="1"/>
  <c r="F2510" i="1"/>
  <c r="I2487" i="1"/>
  <c r="H2487" i="1"/>
  <c r="G2497" i="1"/>
  <c r="F2507" i="1"/>
  <c r="I2491" i="1"/>
  <c r="H2491" i="1"/>
  <c r="G2501" i="1"/>
  <c r="F2511" i="1"/>
  <c r="I2479" i="1"/>
  <c r="H2479" i="1"/>
  <c r="G2489" i="1"/>
  <c r="F2499" i="1"/>
  <c r="I2473" i="1"/>
  <c r="H2473" i="1"/>
  <c r="G2483" i="1"/>
  <c r="F2493" i="1"/>
  <c r="I2468" i="1"/>
  <c r="H2468" i="1"/>
  <c r="G2478" i="1"/>
  <c r="F2488" i="1"/>
  <c r="H2462" i="1"/>
  <c r="I2462" i="1"/>
  <c r="G2472" i="1"/>
  <c r="F2482" i="1"/>
  <c r="I2465" i="1"/>
  <c r="H2465" i="1"/>
  <c r="G2475" i="1"/>
  <c r="F2485" i="1"/>
  <c r="H2504" i="1" l="1"/>
  <c r="I2504" i="1"/>
  <c r="G2514" i="1"/>
  <c r="F2524" i="1"/>
  <c r="I2496" i="1"/>
  <c r="H2496" i="1"/>
  <c r="G2506" i="1"/>
  <c r="F2516" i="1"/>
  <c r="H2500" i="1"/>
  <c r="I2500" i="1"/>
  <c r="G2510" i="1"/>
  <c r="F2520" i="1"/>
  <c r="I2497" i="1"/>
  <c r="H2497" i="1"/>
  <c r="G2507" i="1"/>
  <c r="F2517" i="1"/>
  <c r="I2501" i="1"/>
  <c r="H2501" i="1"/>
  <c r="G2511" i="1"/>
  <c r="F2521" i="1"/>
  <c r="I2489" i="1"/>
  <c r="H2489" i="1"/>
  <c r="G2499" i="1"/>
  <c r="F2509" i="1"/>
  <c r="H2483" i="1"/>
  <c r="I2483" i="1"/>
  <c r="G2493" i="1"/>
  <c r="F2503" i="1"/>
  <c r="H2478" i="1"/>
  <c r="I2478" i="1"/>
  <c r="G2488" i="1"/>
  <c r="F2498" i="1"/>
  <c r="I2472" i="1"/>
  <c r="H2472" i="1"/>
  <c r="G2482" i="1"/>
  <c r="F2492" i="1"/>
  <c r="I2475" i="1"/>
  <c r="H2475" i="1"/>
  <c r="G2485" i="1"/>
  <c r="F2495" i="1"/>
  <c r="I2514" i="1" l="1"/>
  <c r="H2514" i="1"/>
  <c r="G2524" i="1"/>
  <c r="F2534" i="1"/>
  <c r="I2506" i="1"/>
  <c r="H2506" i="1"/>
  <c r="G2516" i="1"/>
  <c r="F2526" i="1"/>
  <c r="H2510" i="1"/>
  <c r="I2510" i="1"/>
  <c r="G2520" i="1"/>
  <c r="F2530" i="1"/>
  <c r="H2507" i="1"/>
  <c r="I2507" i="1"/>
  <c r="G2517" i="1"/>
  <c r="F2527" i="1"/>
  <c r="I2511" i="1"/>
  <c r="H2511" i="1"/>
  <c r="G2521" i="1"/>
  <c r="F2531" i="1"/>
  <c r="I2499" i="1"/>
  <c r="H2499" i="1"/>
  <c r="G2509" i="1"/>
  <c r="F2519" i="1"/>
  <c r="H2493" i="1"/>
  <c r="I2493" i="1"/>
  <c r="G2503" i="1"/>
  <c r="F2513" i="1"/>
  <c r="I2488" i="1"/>
  <c r="H2488" i="1"/>
  <c r="G2498" i="1"/>
  <c r="F2508" i="1"/>
  <c r="F249" i="2" a="1"/>
  <c r="I2482" i="1"/>
  <c r="H2482" i="1"/>
  <c r="G2492" i="1"/>
  <c r="F2502" i="1"/>
  <c r="I2485" i="1"/>
  <c r="H2485" i="1"/>
  <c r="G2495" i="1"/>
  <c r="F2505" i="1"/>
  <c r="H2524" i="1" l="1"/>
  <c r="I2524" i="1"/>
  <c r="G2534" i="1"/>
  <c r="F2544" i="1"/>
  <c r="H2516" i="1"/>
  <c r="I2516" i="1"/>
  <c r="G2526" i="1"/>
  <c r="F2536" i="1"/>
  <c r="H2520" i="1"/>
  <c r="I2520" i="1"/>
  <c r="G2530" i="1"/>
  <c r="F2540" i="1"/>
  <c r="H2517" i="1"/>
  <c r="I2517" i="1"/>
  <c r="G2527" i="1"/>
  <c r="F2537" i="1"/>
  <c r="I2521" i="1"/>
  <c r="H2521" i="1"/>
  <c r="G2531" i="1"/>
  <c r="F2541" i="1"/>
  <c r="I2509" i="1"/>
  <c r="H2509" i="1"/>
  <c r="G2519" i="1"/>
  <c r="F2529" i="1"/>
  <c r="I2503" i="1"/>
  <c r="H2503" i="1"/>
  <c r="G2513" i="1"/>
  <c r="F2523" i="1"/>
  <c r="H2498" i="1"/>
  <c r="I2498" i="1"/>
  <c r="G2508" i="1"/>
  <c r="F2518" i="1"/>
  <c r="I2492" i="1"/>
  <c r="H2492" i="1"/>
  <c r="G2502" i="1"/>
  <c r="F2512" i="1"/>
  <c r="I2495" i="1"/>
  <c r="H2495" i="1"/>
  <c r="G2505" i="1"/>
  <c r="F2515" i="1"/>
  <c r="H2534" i="1" l="1"/>
  <c r="I2534" i="1"/>
  <c r="G2544" i="1"/>
  <c r="F2554" i="1"/>
  <c r="H2526" i="1"/>
  <c r="I2526" i="1"/>
  <c r="G2536" i="1"/>
  <c r="F2546" i="1"/>
  <c r="H2530" i="1"/>
  <c r="I2530" i="1"/>
  <c r="G2540" i="1"/>
  <c r="F2550" i="1"/>
  <c r="H2527" i="1"/>
  <c r="I2527" i="1"/>
  <c r="G2537" i="1"/>
  <c r="F2547" i="1"/>
  <c r="I2531" i="1"/>
  <c r="H2531" i="1"/>
  <c r="G2541" i="1"/>
  <c r="F2551" i="1"/>
  <c r="H2519" i="1"/>
  <c r="I2519" i="1"/>
  <c r="G2529" i="1"/>
  <c r="F2539" i="1"/>
  <c r="H2513" i="1"/>
  <c r="I2513" i="1"/>
  <c r="G2523" i="1"/>
  <c r="F2533" i="1"/>
  <c r="H2508" i="1"/>
  <c r="I2508" i="1"/>
  <c r="G2518" i="1"/>
  <c r="F2528" i="1"/>
  <c r="H2502" i="1"/>
  <c r="I2502" i="1"/>
  <c r="G2512" i="1"/>
  <c r="F2522" i="1"/>
  <c r="I2505" i="1"/>
  <c r="H2505" i="1"/>
  <c r="G2515" i="1"/>
  <c r="F2525" i="1"/>
  <c r="H2544" i="1" l="1"/>
  <c r="I2544" i="1"/>
  <c r="G2554" i="1"/>
  <c r="F2564" i="1"/>
  <c r="H2536" i="1"/>
  <c r="I2536" i="1"/>
  <c r="G2546" i="1"/>
  <c r="F2556" i="1"/>
  <c r="I2540" i="1"/>
  <c r="H2540" i="1"/>
  <c r="G2550" i="1"/>
  <c r="F2560" i="1"/>
  <c r="I2537" i="1"/>
  <c r="H2537" i="1"/>
  <c r="G2547" i="1"/>
  <c r="F2557" i="1"/>
  <c r="I2541" i="1"/>
  <c r="H2541" i="1"/>
  <c r="G2551" i="1"/>
  <c r="F2561" i="1"/>
  <c r="H2529" i="1"/>
  <c r="I2529" i="1"/>
  <c r="G2539" i="1"/>
  <c r="F2549" i="1"/>
  <c r="H2523" i="1"/>
  <c r="I2523" i="1"/>
  <c r="G2533" i="1"/>
  <c r="F2543" i="1"/>
  <c r="I2518" i="1"/>
  <c r="H2518" i="1"/>
  <c r="G2528" i="1"/>
  <c r="F2538" i="1"/>
  <c r="H2512" i="1"/>
  <c r="I2512" i="1"/>
  <c r="G2522" i="1"/>
  <c r="F2532" i="1"/>
  <c r="I2515" i="1"/>
  <c r="H2515" i="1"/>
  <c r="G2525" i="1"/>
  <c r="F2535" i="1"/>
  <c r="H2554" i="1" l="1"/>
  <c r="I2554" i="1"/>
  <c r="G2564" i="1"/>
  <c r="F2574" i="1"/>
  <c r="H2546" i="1"/>
  <c r="I2546" i="1"/>
  <c r="G2556" i="1"/>
  <c r="F2566" i="1"/>
  <c r="I2550" i="1"/>
  <c r="H2550" i="1"/>
  <c r="G2560" i="1"/>
  <c r="F2570" i="1"/>
  <c r="I2547" i="1"/>
  <c r="H2547" i="1"/>
  <c r="G2557" i="1"/>
  <c r="F2567" i="1"/>
  <c r="I2551" i="1"/>
  <c r="H2551" i="1"/>
  <c r="G2561" i="1"/>
  <c r="F2571" i="1"/>
  <c r="I2539" i="1"/>
  <c r="H2539" i="1"/>
  <c r="G2549" i="1"/>
  <c r="F2559" i="1"/>
  <c r="I2533" i="1"/>
  <c r="H2533" i="1"/>
  <c r="G2543" i="1"/>
  <c r="F2553" i="1"/>
  <c r="H2528" i="1"/>
  <c r="I2528" i="1"/>
  <c r="G2538" i="1"/>
  <c r="F2548" i="1"/>
  <c r="I2522" i="1"/>
  <c r="H2522" i="1"/>
  <c r="G2532" i="1"/>
  <c r="F2542" i="1"/>
  <c r="H2525" i="1"/>
  <c r="I2525" i="1"/>
  <c r="G2535" i="1"/>
  <c r="F2545" i="1"/>
  <c r="H2564" i="1" l="1"/>
  <c r="I2564" i="1"/>
  <c r="G2574" i="1"/>
  <c r="F2584" i="1"/>
  <c r="I2556" i="1"/>
  <c r="H2556" i="1"/>
  <c r="G2566" i="1"/>
  <c r="F2576" i="1"/>
  <c r="H2560" i="1"/>
  <c r="I2560" i="1"/>
  <c r="G2570" i="1"/>
  <c r="F2580" i="1"/>
  <c r="I2557" i="1"/>
  <c r="H2557" i="1"/>
  <c r="G2567" i="1"/>
  <c r="F2577" i="1"/>
  <c r="I2561" i="1"/>
  <c r="H2561" i="1"/>
  <c r="G2571" i="1"/>
  <c r="F2581" i="1"/>
  <c r="I2549" i="1"/>
  <c r="H2549" i="1"/>
  <c r="G2559" i="1"/>
  <c r="F2569" i="1"/>
  <c r="H2543" i="1"/>
  <c r="I2543" i="1"/>
  <c r="G2553" i="1"/>
  <c r="F2563" i="1"/>
  <c r="I2538" i="1"/>
  <c r="H2538" i="1"/>
  <c r="G2548" i="1"/>
  <c r="F2558" i="1"/>
  <c r="H2532" i="1"/>
  <c r="I2532" i="1"/>
  <c r="G2542" i="1"/>
  <c r="F2552" i="1"/>
  <c r="H2535" i="1"/>
  <c r="I2535" i="1"/>
  <c r="G2545" i="1"/>
  <c r="F2555" i="1"/>
  <c r="I2574" i="1" l="1"/>
  <c r="H2574" i="1"/>
  <c r="G2584" i="1"/>
  <c r="F2594" i="1"/>
  <c r="H2566" i="1"/>
  <c r="I2566" i="1"/>
  <c r="G2576" i="1"/>
  <c r="F2586" i="1"/>
  <c r="I2570" i="1"/>
  <c r="H2570" i="1"/>
  <c r="G2580" i="1"/>
  <c r="F2590" i="1"/>
  <c r="H2567" i="1"/>
  <c r="I2567" i="1"/>
  <c r="G2577" i="1"/>
  <c r="F2587" i="1"/>
  <c r="I2571" i="1"/>
  <c r="H2571" i="1"/>
  <c r="G2581" i="1"/>
  <c r="F2591" i="1"/>
  <c r="H2559" i="1"/>
  <c r="I2559" i="1"/>
  <c r="G2569" i="1"/>
  <c r="F2579" i="1"/>
  <c r="I2553" i="1"/>
  <c r="H2553" i="1"/>
  <c r="G2563" i="1"/>
  <c r="F2573" i="1"/>
  <c r="I2548" i="1"/>
  <c r="H2548" i="1"/>
  <c r="G2558" i="1"/>
  <c r="F2568" i="1"/>
  <c r="H2542" i="1"/>
  <c r="I2542" i="1"/>
  <c r="G2552" i="1"/>
  <c r="F2562" i="1"/>
  <c r="I2545" i="1"/>
  <c r="H2545" i="1"/>
  <c r="G2555" i="1"/>
  <c r="F2565" i="1"/>
  <c r="I2584" i="1" l="1"/>
  <c r="H2584" i="1"/>
  <c r="G2594" i="1"/>
  <c r="F2604" i="1"/>
  <c r="I2576" i="1"/>
  <c r="H2576" i="1"/>
  <c r="G2586" i="1"/>
  <c r="F2596" i="1"/>
  <c r="H2580" i="1"/>
  <c r="I2580" i="1"/>
  <c r="G2590" i="1"/>
  <c r="F2600" i="1"/>
  <c r="H2577" i="1"/>
  <c r="I2577" i="1"/>
  <c r="G2587" i="1"/>
  <c r="F2597" i="1"/>
  <c r="H2581" i="1"/>
  <c r="I2581" i="1"/>
  <c r="G2591" i="1"/>
  <c r="F2601" i="1"/>
  <c r="H2569" i="1"/>
  <c r="I2569" i="1"/>
  <c r="G2579" i="1"/>
  <c r="F2589" i="1"/>
  <c r="I2563" i="1"/>
  <c r="H2563" i="1"/>
  <c r="G2573" i="1"/>
  <c r="F2583" i="1"/>
  <c r="I2558" i="1"/>
  <c r="H2558" i="1"/>
  <c r="G2568" i="1"/>
  <c r="F2578" i="1"/>
  <c r="I2552" i="1"/>
  <c r="H2552" i="1"/>
  <c r="G2562" i="1"/>
  <c r="F2572" i="1"/>
  <c r="I2555" i="1"/>
  <c r="H2555" i="1"/>
  <c r="G2565" i="1"/>
  <c r="F2575" i="1"/>
  <c r="H2594" i="1" l="1"/>
  <c r="I2594" i="1"/>
  <c r="G2604" i="1"/>
  <c r="F2614" i="1"/>
  <c r="I2586" i="1"/>
  <c r="H2586" i="1"/>
  <c r="G2596" i="1"/>
  <c r="F2606" i="1"/>
  <c r="I2590" i="1"/>
  <c r="H2590" i="1"/>
  <c r="G2600" i="1"/>
  <c r="F2610" i="1"/>
  <c r="I2587" i="1"/>
  <c r="H2587" i="1"/>
  <c r="G2597" i="1"/>
  <c r="F2607" i="1"/>
  <c r="I2591" i="1"/>
  <c r="H2591" i="1"/>
  <c r="G2601" i="1"/>
  <c r="F2611" i="1"/>
  <c r="H2579" i="1"/>
  <c r="I2579" i="1"/>
  <c r="G2589" i="1"/>
  <c r="F2599" i="1"/>
  <c r="I2573" i="1"/>
  <c r="H2573" i="1"/>
  <c r="G2583" i="1"/>
  <c r="F2593" i="1"/>
  <c r="I2568" i="1"/>
  <c r="H2568" i="1"/>
  <c r="G2578" i="1"/>
  <c r="F2588" i="1"/>
  <c r="I2562" i="1"/>
  <c r="H2562" i="1"/>
  <c r="G2572" i="1"/>
  <c r="F2582" i="1"/>
  <c r="H2565" i="1"/>
  <c r="I2565" i="1"/>
  <c r="G2575" i="1"/>
  <c r="F2585" i="1"/>
  <c r="H2604" i="1" l="1"/>
  <c r="I2604" i="1"/>
  <c r="G2614" i="1"/>
  <c r="F2624" i="1"/>
  <c r="H2596" i="1"/>
  <c r="I2596" i="1"/>
  <c r="G2606" i="1"/>
  <c r="F2616" i="1"/>
  <c r="I2600" i="1"/>
  <c r="H2600" i="1"/>
  <c r="G2610" i="1"/>
  <c r="F2620" i="1"/>
  <c r="H2597" i="1"/>
  <c r="I2597" i="1"/>
  <c r="G2607" i="1"/>
  <c r="F2617" i="1"/>
  <c r="I2601" i="1"/>
  <c r="H2601" i="1"/>
  <c r="G2611" i="1"/>
  <c r="F2621" i="1"/>
  <c r="I2589" i="1"/>
  <c r="H2589" i="1"/>
  <c r="G2599" i="1"/>
  <c r="F2609" i="1"/>
  <c r="H2583" i="1"/>
  <c r="I2583" i="1"/>
  <c r="G2593" i="1"/>
  <c r="F2603" i="1"/>
  <c r="H2578" i="1"/>
  <c r="I2578" i="1"/>
  <c r="G2588" i="1"/>
  <c r="F2598" i="1"/>
  <c r="H2572" i="1"/>
  <c r="I2572" i="1"/>
  <c r="G2582" i="1"/>
  <c r="F2592" i="1"/>
  <c r="I2575" i="1"/>
  <c r="H2575" i="1"/>
  <c r="G2585" i="1"/>
  <c r="F2595" i="1"/>
  <c r="H2614" i="1" l="1"/>
  <c r="I2614" i="1"/>
  <c r="G2624" i="1"/>
  <c r="F2634" i="1"/>
  <c r="I2606" i="1"/>
  <c r="H2606" i="1"/>
  <c r="G2616" i="1"/>
  <c r="F2626" i="1"/>
  <c r="I2610" i="1"/>
  <c r="H2610" i="1"/>
  <c r="G2620" i="1"/>
  <c r="F2630" i="1"/>
  <c r="I2607" i="1"/>
  <c r="H2607" i="1"/>
  <c r="G2617" i="1"/>
  <c r="F2627" i="1"/>
  <c r="H2611" i="1"/>
  <c r="I2611" i="1"/>
  <c r="G2621" i="1"/>
  <c r="F2631" i="1"/>
  <c r="H2599" i="1"/>
  <c r="I2599" i="1"/>
  <c r="G2609" i="1"/>
  <c r="F2619" i="1"/>
  <c r="H2593" i="1"/>
  <c r="I2593" i="1"/>
  <c r="G2603" i="1"/>
  <c r="F2613" i="1"/>
  <c r="I2588" i="1"/>
  <c r="H2588" i="1"/>
  <c r="G2598" i="1"/>
  <c r="F2608" i="1"/>
  <c r="I2582" i="1"/>
  <c r="H2582" i="1"/>
  <c r="G2592" i="1"/>
  <c r="F2602" i="1"/>
  <c r="I2585" i="1"/>
  <c r="H2585" i="1"/>
  <c r="G2595" i="1"/>
  <c r="F2605" i="1"/>
  <c r="H2624" i="1" l="1"/>
  <c r="I2624" i="1"/>
  <c r="G2634" i="1"/>
  <c r="F2644" i="1"/>
  <c r="I2616" i="1"/>
  <c r="H2616" i="1"/>
  <c r="G2626" i="1"/>
  <c r="F2636" i="1"/>
  <c r="H2620" i="1"/>
  <c r="I2620" i="1"/>
  <c r="G2630" i="1"/>
  <c r="F2640" i="1"/>
  <c r="I2617" i="1"/>
  <c r="H2617" i="1"/>
  <c r="G2627" i="1"/>
  <c r="F2637" i="1"/>
  <c r="H2621" i="1"/>
  <c r="I2621" i="1"/>
  <c r="G2631" i="1"/>
  <c r="F2641" i="1"/>
  <c r="H2609" i="1"/>
  <c r="I2609" i="1"/>
  <c r="G2619" i="1"/>
  <c r="F2629" i="1"/>
  <c r="I2603" i="1"/>
  <c r="H2603" i="1"/>
  <c r="G2613" i="1"/>
  <c r="F2623" i="1"/>
  <c r="I2598" i="1"/>
  <c r="H2598" i="1"/>
  <c r="G2608" i="1"/>
  <c r="F2618" i="1"/>
  <c r="H2592" i="1"/>
  <c r="I2592" i="1"/>
  <c r="G2602" i="1"/>
  <c r="F2612" i="1"/>
  <c r="I2595" i="1"/>
  <c r="H2595" i="1"/>
  <c r="G2605" i="1"/>
  <c r="F2615" i="1"/>
  <c r="I2634" i="1" l="1"/>
  <c r="H2634" i="1"/>
  <c r="G2644" i="1"/>
  <c r="F2654" i="1"/>
  <c r="H2626" i="1"/>
  <c r="I2626" i="1"/>
  <c r="G2636" i="1"/>
  <c r="F2646" i="1"/>
  <c r="I2630" i="1"/>
  <c r="H2630" i="1"/>
  <c r="G2640" i="1"/>
  <c r="F2650" i="1"/>
  <c r="H2627" i="1"/>
  <c r="I2627" i="1"/>
  <c r="G2637" i="1"/>
  <c r="F2647" i="1"/>
  <c r="I2631" i="1"/>
  <c r="H2631" i="1"/>
  <c r="G2641" i="1"/>
  <c r="F2651" i="1"/>
  <c r="I2619" i="1"/>
  <c r="H2619" i="1"/>
  <c r="G2629" i="1"/>
  <c r="F2639" i="1"/>
  <c r="H2613" i="1"/>
  <c r="I2613" i="1"/>
  <c r="G2623" i="1"/>
  <c r="F2633" i="1"/>
  <c r="H2608" i="1"/>
  <c r="I2608" i="1"/>
  <c r="G2618" i="1"/>
  <c r="F2628" i="1"/>
  <c r="I2602" i="1"/>
  <c r="H2602" i="1"/>
  <c r="G2612" i="1"/>
  <c r="F2622" i="1"/>
  <c r="I2605" i="1"/>
  <c r="H2605" i="1"/>
  <c r="G2615" i="1"/>
  <c r="F2625" i="1"/>
  <c r="I2644" i="1" l="1"/>
  <c r="H2644" i="1"/>
  <c r="F2664" i="1"/>
  <c r="G2654" i="1"/>
  <c r="I2636" i="1"/>
  <c r="H2636" i="1"/>
  <c r="G2646" i="1"/>
  <c r="F2656" i="1"/>
  <c r="H2640" i="1"/>
  <c r="I2640" i="1"/>
  <c r="G2650" i="1"/>
  <c r="F2660" i="1"/>
  <c r="H2637" i="1"/>
  <c r="I2637" i="1"/>
  <c r="G2647" i="1"/>
  <c r="F2657" i="1"/>
  <c r="I2641" i="1"/>
  <c r="H2641" i="1"/>
  <c r="G2651" i="1"/>
  <c r="F2661" i="1"/>
  <c r="H2629" i="1"/>
  <c r="I2629" i="1"/>
  <c r="G2639" i="1"/>
  <c r="F2649" i="1"/>
  <c r="I2623" i="1"/>
  <c r="H2623" i="1"/>
  <c r="G2633" i="1"/>
  <c r="F2643" i="1"/>
  <c r="H2618" i="1"/>
  <c r="I2618" i="1"/>
  <c r="G2628" i="1"/>
  <c r="F2638" i="1"/>
  <c r="H2612" i="1"/>
  <c r="I2612" i="1"/>
  <c r="G2622" i="1"/>
  <c r="F2632" i="1"/>
  <c r="I2615" i="1"/>
  <c r="H2615" i="1"/>
  <c r="G2625" i="1"/>
  <c r="F2635" i="1"/>
  <c r="F2674" i="1" l="1"/>
  <c r="G2664" i="1"/>
  <c r="H2654" i="1"/>
  <c r="I2654" i="1"/>
  <c r="I2646" i="1"/>
  <c r="H2646" i="1"/>
  <c r="G2656" i="1"/>
  <c r="F2666" i="1"/>
  <c r="I2650" i="1"/>
  <c r="H2650" i="1"/>
  <c r="G2660" i="1"/>
  <c r="F2670" i="1"/>
  <c r="H2647" i="1"/>
  <c r="I2647" i="1"/>
  <c r="G2657" i="1"/>
  <c r="F2667" i="1"/>
  <c r="H2651" i="1"/>
  <c r="I2651" i="1"/>
  <c r="G2661" i="1"/>
  <c r="F2671" i="1"/>
  <c r="H2639" i="1"/>
  <c r="I2639" i="1"/>
  <c r="G2649" i="1"/>
  <c r="F2659" i="1"/>
  <c r="I2633" i="1"/>
  <c r="H2633" i="1"/>
  <c r="G2643" i="1"/>
  <c r="F2653" i="1"/>
  <c r="I2628" i="1"/>
  <c r="H2628" i="1"/>
  <c r="G2638" i="1"/>
  <c r="F2648" i="1"/>
  <c r="H2622" i="1"/>
  <c r="I2622" i="1"/>
  <c r="G2632" i="1"/>
  <c r="F2642" i="1"/>
  <c r="I2625" i="1"/>
  <c r="H2625" i="1"/>
  <c r="G2635" i="1"/>
  <c r="F2645" i="1"/>
  <c r="G2674" i="1" l="1"/>
  <c r="F2684" i="1"/>
  <c r="I2664" i="1"/>
  <c r="H2664" i="1"/>
  <c r="I2656" i="1"/>
  <c r="H2656" i="1"/>
  <c r="F2676" i="1"/>
  <c r="G2666" i="1"/>
  <c r="H2660" i="1"/>
  <c r="I2660" i="1"/>
  <c r="F2680" i="1"/>
  <c r="G2670" i="1"/>
  <c r="I2657" i="1"/>
  <c r="H2657" i="1"/>
  <c r="G2667" i="1"/>
  <c r="F2677" i="1"/>
  <c r="H2661" i="1"/>
  <c r="I2661" i="1"/>
  <c r="F2681" i="1"/>
  <c r="G2671" i="1"/>
  <c r="H2649" i="1"/>
  <c r="I2649" i="1"/>
  <c r="F2669" i="1"/>
  <c r="G2659" i="1"/>
  <c r="I2643" i="1"/>
  <c r="H2643" i="1"/>
  <c r="F2663" i="1"/>
  <c r="G2653" i="1"/>
  <c r="I2638" i="1"/>
  <c r="H2638" i="1"/>
  <c r="G2648" i="1"/>
  <c r="F2658" i="1"/>
  <c r="H2632" i="1"/>
  <c r="I2632" i="1"/>
  <c r="G2642" i="1"/>
  <c r="F2652" i="1"/>
  <c r="I2635" i="1"/>
  <c r="H2635" i="1"/>
  <c r="G2645" i="1"/>
  <c r="F2655" i="1"/>
  <c r="I2674" i="1" l="1"/>
  <c r="H2674" i="1"/>
  <c r="F2694" i="1"/>
  <c r="G2684" i="1"/>
  <c r="G2676" i="1"/>
  <c r="F2686" i="1"/>
  <c r="I2666" i="1"/>
  <c r="H2666" i="1"/>
  <c r="F2690" i="1"/>
  <c r="G2680" i="1"/>
  <c r="I2670" i="1"/>
  <c r="H2670" i="1"/>
  <c r="H2667" i="1"/>
  <c r="I2667" i="1"/>
  <c r="G2677" i="1"/>
  <c r="F2687" i="1"/>
  <c r="F2691" i="1"/>
  <c r="G2681" i="1"/>
  <c r="I2671" i="1"/>
  <c r="H2671" i="1"/>
  <c r="F2679" i="1"/>
  <c r="G2669" i="1"/>
  <c r="I2659" i="1"/>
  <c r="H2659" i="1"/>
  <c r="F2673" i="1"/>
  <c r="G2663" i="1"/>
  <c r="I2653" i="1"/>
  <c r="H2653" i="1"/>
  <c r="H2648" i="1"/>
  <c r="I2648" i="1"/>
  <c r="G2658" i="1"/>
  <c r="F2668" i="1"/>
  <c r="H2642" i="1"/>
  <c r="I2642" i="1"/>
  <c r="F2662" i="1"/>
  <c r="G2652" i="1"/>
  <c r="H2645" i="1"/>
  <c r="I2645" i="1"/>
  <c r="G2655" i="1"/>
  <c r="F2665" i="1"/>
  <c r="F2704" i="1" l="1"/>
  <c r="G2694" i="1"/>
  <c r="H2684" i="1"/>
  <c r="I2684" i="1"/>
  <c r="I2676" i="1"/>
  <c r="H2676" i="1"/>
  <c r="F2696" i="1"/>
  <c r="G2686" i="1"/>
  <c r="G2690" i="1"/>
  <c r="F2700" i="1"/>
  <c r="I2680" i="1"/>
  <c r="H2680" i="1"/>
  <c r="H2677" i="1"/>
  <c r="I2677" i="1"/>
  <c r="F2697" i="1"/>
  <c r="G2687" i="1"/>
  <c r="G2691" i="1"/>
  <c r="F2701" i="1"/>
  <c r="I2681" i="1"/>
  <c r="H2681" i="1"/>
  <c r="G2679" i="1"/>
  <c r="F2689" i="1"/>
  <c r="I2669" i="1"/>
  <c r="H2669" i="1"/>
  <c r="G2673" i="1"/>
  <c r="F2683" i="1"/>
  <c r="H2663" i="1"/>
  <c r="I2663" i="1"/>
  <c r="I2658" i="1"/>
  <c r="H2658" i="1"/>
  <c r="G2668" i="1"/>
  <c r="F2678" i="1"/>
  <c r="F2672" i="1"/>
  <c r="G2662" i="1"/>
  <c r="H2652" i="1"/>
  <c r="I2652" i="1"/>
  <c r="I2655" i="1"/>
  <c r="H2655" i="1"/>
  <c r="F2675" i="1"/>
  <c r="G2665" i="1"/>
  <c r="E267" i="2" a="1"/>
  <c r="G2704" i="1" l="1"/>
  <c r="F2714" i="1"/>
  <c r="I2694" i="1"/>
  <c r="H2694" i="1"/>
  <c r="F2706" i="1"/>
  <c r="G2696" i="1"/>
  <c r="H2686" i="1"/>
  <c r="I2686" i="1"/>
  <c r="I2690" i="1"/>
  <c r="H2690" i="1"/>
  <c r="F2710" i="1"/>
  <c r="G2700" i="1"/>
  <c r="F2707" i="1"/>
  <c r="G2697" i="1"/>
  <c r="I2687" i="1"/>
  <c r="H2687" i="1"/>
  <c r="I2691" i="1"/>
  <c r="H2691" i="1"/>
  <c r="G2701" i="1"/>
  <c r="F2711" i="1"/>
  <c r="H2679" i="1"/>
  <c r="I2679" i="1"/>
  <c r="G2689" i="1"/>
  <c r="F2699" i="1"/>
  <c r="H2673" i="1"/>
  <c r="I2673" i="1"/>
  <c r="F2693" i="1"/>
  <c r="G2683" i="1"/>
  <c r="I2668" i="1"/>
  <c r="H2668" i="1"/>
  <c r="G2678" i="1"/>
  <c r="F2688" i="1"/>
  <c r="G2672" i="1"/>
  <c r="F2682" i="1"/>
  <c r="H2662" i="1"/>
  <c r="I2662" i="1"/>
  <c r="F2685" i="1"/>
  <c r="G2675" i="1"/>
  <c r="H2665" i="1"/>
  <c r="I2665" i="1"/>
  <c r="I2704" i="1" l="1"/>
  <c r="H2704" i="1"/>
  <c r="G2714" i="1"/>
  <c r="F2724" i="1"/>
  <c r="G2706" i="1"/>
  <c r="F2716" i="1"/>
  <c r="I2696" i="1"/>
  <c r="H2696" i="1"/>
  <c r="F2720" i="1"/>
  <c r="G2710" i="1"/>
  <c r="I2700" i="1"/>
  <c r="H2700" i="1"/>
  <c r="G2707" i="1"/>
  <c r="F2717" i="1"/>
  <c r="I2697" i="1"/>
  <c r="H2697" i="1"/>
  <c r="I2701" i="1"/>
  <c r="H2701" i="1"/>
  <c r="G2711" i="1"/>
  <c r="F2721" i="1"/>
  <c r="I2689" i="1"/>
  <c r="H2689" i="1"/>
  <c r="G2699" i="1"/>
  <c r="F2709" i="1"/>
  <c r="G2693" i="1"/>
  <c r="F2703" i="1"/>
  <c r="H2683" i="1"/>
  <c r="I2683" i="1"/>
  <c r="H2678" i="1"/>
  <c r="I2678" i="1"/>
  <c r="G2688" i="1"/>
  <c r="F2698" i="1"/>
  <c r="H2672" i="1"/>
  <c r="I2672" i="1"/>
  <c r="F2692" i="1"/>
  <c r="G2682" i="1"/>
  <c r="F2695" i="1"/>
  <c r="G2685" i="1"/>
  <c r="I2675" i="1"/>
  <c r="H2675" i="1"/>
  <c r="I2714" i="1" l="1"/>
  <c r="H2714" i="1"/>
  <c r="G2724" i="1"/>
  <c r="F2734" i="1"/>
  <c r="H2706" i="1"/>
  <c r="I2706" i="1"/>
  <c r="G2716" i="1"/>
  <c r="F2726" i="1"/>
  <c r="F2730" i="1"/>
  <c r="G2720" i="1"/>
  <c r="I2710" i="1"/>
  <c r="H2710" i="1"/>
  <c r="H2707" i="1"/>
  <c r="I2707" i="1"/>
  <c r="G2717" i="1"/>
  <c r="F2727" i="1"/>
  <c r="I2711" i="1"/>
  <c r="H2711" i="1"/>
  <c r="F2731" i="1"/>
  <c r="G2721" i="1"/>
  <c r="I2699" i="1"/>
  <c r="H2699" i="1"/>
  <c r="G2709" i="1"/>
  <c r="F2719" i="1"/>
  <c r="I2693" i="1"/>
  <c r="H2693" i="1"/>
  <c r="G2703" i="1"/>
  <c r="F2713" i="1"/>
  <c r="I2688" i="1"/>
  <c r="H2688" i="1"/>
  <c r="F2708" i="1"/>
  <c r="G2698" i="1"/>
  <c r="F2702" i="1"/>
  <c r="G2692" i="1"/>
  <c r="I2682" i="1"/>
  <c r="H2682" i="1"/>
  <c r="F2705" i="1"/>
  <c r="G2695" i="1"/>
  <c r="H2685" i="1"/>
  <c r="I2685" i="1"/>
  <c r="I2724" i="1" l="1"/>
  <c r="H2724" i="1"/>
  <c r="F2744" i="1"/>
  <c r="G2734" i="1"/>
  <c r="H2716" i="1"/>
  <c r="I2716" i="1"/>
  <c r="F2736" i="1"/>
  <c r="G2726" i="1"/>
  <c r="G2730" i="1"/>
  <c r="F2740" i="1"/>
  <c r="I2720" i="1"/>
  <c r="H2720" i="1"/>
  <c r="H2717" i="1"/>
  <c r="I2717" i="1"/>
  <c r="F2737" i="1"/>
  <c r="G2727" i="1"/>
  <c r="F2741" i="1"/>
  <c r="G2731" i="1"/>
  <c r="I2721" i="1"/>
  <c r="H2721" i="1"/>
  <c r="H2709" i="1"/>
  <c r="I2709" i="1"/>
  <c r="F2729" i="1"/>
  <c r="G2719" i="1"/>
  <c r="H2703" i="1"/>
  <c r="I2703" i="1"/>
  <c r="G2713" i="1"/>
  <c r="F2723" i="1"/>
  <c r="G2708" i="1"/>
  <c r="F2718" i="1"/>
  <c r="H2698" i="1"/>
  <c r="I2698" i="1"/>
  <c r="G2702" i="1"/>
  <c r="F2712" i="1"/>
  <c r="I2692" i="1"/>
  <c r="H2692" i="1"/>
  <c r="G2705" i="1"/>
  <c r="F2715" i="1"/>
  <c r="I2695" i="1"/>
  <c r="H2695" i="1"/>
  <c r="F2754" i="1" l="1"/>
  <c r="G2744" i="1"/>
  <c r="I2734" i="1"/>
  <c r="H2734" i="1"/>
  <c r="G2736" i="1"/>
  <c r="F2746" i="1"/>
  <c r="H2726" i="1"/>
  <c r="I2726" i="1"/>
  <c r="H2730" i="1"/>
  <c r="I2730" i="1"/>
  <c r="G2740" i="1"/>
  <c r="F2750" i="1"/>
  <c r="G2737" i="1"/>
  <c r="F2747" i="1"/>
  <c r="H2727" i="1"/>
  <c r="I2727" i="1"/>
  <c r="G2741" i="1"/>
  <c r="F2751" i="1"/>
  <c r="H2731" i="1"/>
  <c r="I2731" i="1"/>
  <c r="F2739" i="1"/>
  <c r="G2729" i="1"/>
  <c r="I2719" i="1"/>
  <c r="H2719" i="1"/>
  <c r="I2713" i="1"/>
  <c r="H2713" i="1"/>
  <c r="G2723" i="1"/>
  <c r="F2733" i="1"/>
  <c r="I2708" i="1"/>
  <c r="H2708" i="1"/>
  <c r="G2718" i="1"/>
  <c r="F2728" i="1"/>
  <c r="I2702" i="1"/>
  <c r="H2702" i="1"/>
  <c r="G2712" i="1"/>
  <c r="F2722" i="1"/>
  <c r="H2705" i="1"/>
  <c r="I2705" i="1"/>
  <c r="G2715" i="1"/>
  <c r="F2725" i="1"/>
  <c r="G2754" i="1" l="1"/>
  <c r="F2764" i="1"/>
  <c r="I2744" i="1"/>
  <c r="H2744" i="1"/>
  <c r="I2736" i="1"/>
  <c r="H2736" i="1"/>
  <c r="G2746" i="1"/>
  <c r="F2756" i="1"/>
  <c r="I2740" i="1"/>
  <c r="H2740" i="1"/>
  <c r="G2750" i="1"/>
  <c r="F2760" i="1"/>
  <c r="I2737" i="1"/>
  <c r="H2737" i="1"/>
  <c r="F2757" i="1"/>
  <c r="G2747" i="1"/>
  <c r="I2741" i="1"/>
  <c r="H2741" i="1"/>
  <c r="G2751" i="1"/>
  <c r="F2761" i="1"/>
  <c r="G2739" i="1"/>
  <c r="F2749" i="1"/>
  <c r="I2729" i="1"/>
  <c r="H2729" i="1"/>
  <c r="I2723" i="1"/>
  <c r="H2723" i="1"/>
  <c r="G2733" i="1"/>
  <c r="F2743" i="1"/>
  <c r="H2718" i="1"/>
  <c r="I2718" i="1"/>
  <c r="G2728" i="1"/>
  <c r="F2738" i="1"/>
  <c r="I2712" i="1"/>
  <c r="H2712" i="1"/>
  <c r="F2732" i="1"/>
  <c r="G2722" i="1"/>
  <c r="I2715" i="1"/>
  <c r="H2715" i="1"/>
  <c r="F2735" i="1"/>
  <c r="G2725" i="1"/>
  <c r="I2754" i="1" l="1"/>
  <c r="H2754" i="1"/>
  <c r="G2764" i="1"/>
  <c r="F2774" i="1"/>
  <c r="I2746" i="1"/>
  <c r="H2746" i="1"/>
  <c r="G2756" i="1"/>
  <c r="F2766" i="1"/>
  <c r="H2750" i="1"/>
  <c r="I2750" i="1"/>
  <c r="G2760" i="1"/>
  <c r="F2770" i="1"/>
  <c r="G2757" i="1"/>
  <c r="F2767" i="1"/>
  <c r="I2747" i="1"/>
  <c r="H2747" i="1"/>
  <c r="H2751" i="1"/>
  <c r="I2751" i="1"/>
  <c r="G2761" i="1"/>
  <c r="F2771" i="1"/>
  <c r="I2739" i="1"/>
  <c r="H2739" i="1"/>
  <c r="G2749" i="1"/>
  <c r="F2759" i="1"/>
  <c r="H2733" i="1"/>
  <c r="I2733" i="1"/>
  <c r="G2743" i="1"/>
  <c r="F2753" i="1"/>
  <c r="I2728" i="1"/>
  <c r="H2728" i="1"/>
  <c r="G2738" i="1"/>
  <c r="F2748" i="1"/>
  <c r="F2742" i="1"/>
  <c r="G2732" i="1"/>
  <c r="I2722" i="1"/>
  <c r="H2722" i="1"/>
  <c r="G2735" i="1"/>
  <c r="F2745" i="1"/>
  <c r="I2725" i="1"/>
  <c r="H2725" i="1"/>
  <c r="I2764" i="1" l="1"/>
  <c r="H2764" i="1"/>
  <c r="F2784" i="1"/>
  <c r="G2774" i="1"/>
  <c r="H2756" i="1"/>
  <c r="I2756" i="1"/>
  <c r="F2776" i="1"/>
  <c r="G2766" i="1"/>
  <c r="I2760" i="1"/>
  <c r="H2760" i="1"/>
  <c r="G2770" i="1"/>
  <c r="F2780" i="1"/>
  <c r="I2757" i="1"/>
  <c r="H2757" i="1"/>
  <c r="F2777" i="1"/>
  <c r="G2767" i="1"/>
  <c r="I2761" i="1"/>
  <c r="H2761" i="1"/>
  <c r="F2781" i="1"/>
  <c r="G2771" i="1"/>
  <c r="I2749" i="1"/>
  <c r="H2749" i="1"/>
  <c r="G2759" i="1"/>
  <c r="F2769" i="1"/>
  <c r="I2743" i="1"/>
  <c r="H2743" i="1"/>
  <c r="G2753" i="1"/>
  <c r="F2763" i="1"/>
  <c r="I2738" i="1"/>
  <c r="H2738" i="1"/>
  <c r="G2748" i="1"/>
  <c r="F2758" i="1"/>
  <c r="G2742" i="1"/>
  <c r="F2752" i="1"/>
  <c r="I2732" i="1"/>
  <c r="H2732" i="1"/>
  <c r="E274" i="2" a="1"/>
  <c r="H2735" i="1"/>
  <c r="I2735" i="1"/>
  <c r="G2745" i="1"/>
  <c r="F2755" i="1"/>
  <c r="G2784" i="1" l="1"/>
  <c r="F2794" i="1"/>
  <c r="I2774" i="1"/>
  <c r="H2774" i="1"/>
  <c r="G2776" i="1"/>
  <c r="F2786" i="1"/>
  <c r="H2766" i="1"/>
  <c r="I2766" i="1"/>
  <c r="H2770" i="1"/>
  <c r="I2770" i="1"/>
  <c r="G2780" i="1"/>
  <c r="F2790" i="1"/>
  <c r="G2777" i="1"/>
  <c r="F2787" i="1"/>
  <c r="H2767" i="1"/>
  <c r="I2767" i="1"/>
  <c r="G2781" i="1"/>
  <c r="F2791" i="1"/>
  <c r="I2771" i="1"/>
  <c r="H2771" i="1"/>
  <c r="I2759" i="1"/>
  <c r="H2759" i="1"/>
  <c r="G2769" i="1"/>
  <c r="F2779" i="1"/>
  <c r="H2753" i="1"/>
  <c r="I2753" i="1"/>
  <c r="G2763" i="1"/>
  <c r="F2773" i="1"/>
  <c r="I2748" i="1"/>
  <c r="H2748" i="1"/>
  <c r="G2758" i="1"/>
  <c r="F2768" i="1"/>
  <c r="I2742" i="1"/>
  <c r="H2742" i="1"/>
  <c r="F2762" i="1"/>
  <c r="G2752" i="1"/>
  <c r="H2745" i="1"/>
  <c r="I2745" i="1"/>
  <c r="F2765" i="1"/>
  <c r="G2755" i="1"/>
  <c r="I2784" i="1" l="1"/>
  <c r="H2784" i="1"/>
  <c r="G2794" i="1"/>
  <c r="F2804" i="1"/>
  <c r="I2776" i="1"/>
  <c r="H2776" i="1"/>
  <c r="G2786" i="1"/>
  <c r="F2796" i="1"/>
  <c r="I2780" i="1"/>
  <c r="H2780" i="1"/>
  <c r="G2790" i="1"/>
  <c r="F2800" i="1"/>
  <c r="H2777" i="1"/>
  <c r="I2777" i="1"/>
  <c r="G2787" i="1"/>
  <c r="F2797" i="1"/>
  <c r="I2781" i="1"/>
  <c r="H2781" i="1"/>
  <c r="G2791" i="1"/>
  <c r="F2801" i="1"/>
  <c r="I2769" i="1"/>
  <c r="H2769" i="1"/>
  <c r="G2779" i="1"/>
  <c r="F2789" i="1"/>
  <c r="I2763" i="1"/>
  <c r="H2763" i="1"/>
  <c r="G2773" i="1"/>
  <c r="F2783" i="1"/>
  <c r="I2758" i="1"/>
  <c r="H2758" i="1"/>
  <c r="G2768" i="1"/>
  <c r="F2778" i="1"/>
  <c r="G2762" i="1"/>
  <c r="F2772" i="1"/>
  <c r="I2752" i="1"/>
  <c r="H2752" i="1"/>
  <c r="F2775" i="1"/>
  <c r="G2765" i="1"/>
  <c r="I2755" i="1"/>
  <c r="H2755" i="1"/>
  <c r="I2794" i="1" l="1"/>
  <c r="H2794" i="1"/>
  <c r="G2804" i="1"/>
  <c r="F2814" i="1"/>
  <c r="I2786" i="1"/>
  <c r="H2786" i="1"/>
  <c r="F2806" i="1"/>
  <c r="G2796" i="1"/>
  <c r="H2790" i="1"/>
  <c r="I2790" i="1"/>
  <c r="G2800" i="1"/>
  <c r="F2810" i="1"/>
  <c r="I2787" i="1"/>
  <c r="H2787" i="1"/>
  <c r="G2797" i="1"/>
  <c r="F2807" i="1"/>
  <c r="H2791" i="1"/>
  <c r="I2791" i="1"/>
  <c r="F2811" i="1"/>
  <c r="G2801" i="1"/>
  <c r="I2779" i="1"/>
  <c r="H2779" i="1"/>
  <c r="F2799" i="1"/>
  <c r="G2789" i="1"/>
  <c r="I2773" i="1"/>
  <c r="H2773" i="1"/>
  <c r="G2783" i="1"/>
  <c r="F2793" i="1"/>
  <c r="I2768" i="1"/>
  <c r="H2768" i="1"/>
  <c r="F2788" i="1"/>
  <c r="G2778" i="1"/>
  <c r="I2762" i="1"/>
  <c r="H2762" i="1"/>
  <c r="G2772" i="1"/>
  <c r="F2782" i="1"/>
  <c r="F2785" i="1"/>
  <c r="G2775" i="1"/>
  <c r="H2765" i="1"/>
  <c r="I2765" i="1"/>
  <c r="I2804" i="1" l="1"/>
  <c r="H2804" i="1"/>
  <c r="G2814" i="1"/>
  <c r="F2824" i="1"/>
  <c r="G2806" i="1"/>
  <c r="F2816" i="1"/>
  <c r="H2796" i="1"/>
  <c r="I2796" i="1"/>
  <c r="H2800" i="1"/>
  <c r="I2800" i="1"/>
  <c r="G2810" i="1"/>
  <c r="F2820" i="1"/>
  <c r="I2797" i="1"/>
  <c r="H2797" i="1"/>
  <c r="G2807" i="1"/>
  <c r="F2817" i="1"/>
  <c r="G2811" i="1"/>
  <c r="F2821" i="1"/>
  <c r="I2801" i="1"/>
  <c r="H2801" i="1"/>
  <c r="F2809" i="1"/>
  <c r="G2799" i="1"/>
  <c r="H2789" i="1"/>
  <c r="I2789" i="1"/>
  <c r="I2783" i="1"/>
  <c r="H2783" i="1"/>
  <c r="F2803" i="1"/>
  <c r="G2793" i="1"/>
  <c r="G2788" i="1"/>
  <c r="F2798" i="1"/>
  <c r="I2778" i="1"/>
  <c r="H2778" i="1"/>
  <c r="H2772" i="1"/>
  <c r="I2772" i="1"/>
  <c r="F2792" i="1"/>
  <c r="G2782" i="1"/>
  <c r="G2785" i="1"/>
  <c r="F2795" i="1"/>
  <c r="H2775" i="1"/>
  <c r="I2775" i="1"/>
  <c r="I2814" i="1" l="1"/>
  <c r="H2814" i="1"/>
  <c r="G2824" i="1"/>
  <c r="F2834" i="1"/>
  <c r="I2806" i="1"/>
  <c r="H2806" i="1"/>
  <c r="G2816" i="1"/>
  <c r="F2826" i="1"/>
  <c r="I2810" i="1"/>
  <c r="H2810" i="1"/>
  <c r="G2820" i="1"/>
  <c r="F2830" i="1"/>
  <c r="I2807" i="1"/>
  <c r="H2807" i="1"/>
  <c r="G2817" i="1"/>
  <c r="F2827" i="1"/>
  <c r="I2811" i="1"/>
  <c r="H2811" i="1"/>
  <c r="G2821" i="1"/>
  <c r="F2831" i="1"/>
  <c r="G2809" i="1"/>
  <c r="F2819" i="1"/>
  <c r="H2799" i="1"/>
  <c r="I2799" i="1"/>
  <c r="G2803" i="1"/>
  <c r="F2813" i="1"/>
  <c r="I2793" i="1"/>
  <c r="H2793" i="1"/>
  <c r="I2788" i="1"/>
  <c r="H2788" i="1"/>
  <c r="G2798" i="1"/>
  <c r="F2808" i="1"/>
  <c r="F2802" i="1"/>
  <c r="G2792" i="1"/>
  <c r="I2782" i="1"/>
  <c r="H2782" i="1"/>
  <c r="I2785" i="1"/>
  <c r="H2785" i="1"/>
  <c r="F2805" i="1"/>
  <c r="G2795" i="1"/>
  <c r="I2824" i="1" l="1"/>
  <c r="H2824" i="1"/>
  <c r="F2844" i="1"/>
  <c r="G2834" i="1"/>
  <c r="I2816" i="1"/>
  <c r="H2816" i="1"/>
  <c r="G2826" i="1"/>
  <c r="F2836" i="1"/>
  <c r="I2820" i="1"/>
  <c r="H2820" i="1"/>
  <c r="G2830" i="1"/>
  <c r="F2840" i="1"/>
  <c r="I2817" i="1"/>
  <c r="H2817" i="1"/>
  <c r="F2837" i="1"/>
  <c r="G2827" i="1"/>
  <c r="I2821" i="1"/>
  <c r="H2821" i="1"/>
  <c r="G2831" i="1"/>
  <c r="F2841" i="1"/>
  <c r="I2809" i="1"/>
  <c r="H2809" i="1"/>
  <c r="G2819" i="1"/>
  <c r="F2829" i="1"/>
  <c r="I2803" i="1"/>
  <c r="H2803" i="1"/>
  <c r="G2813" i="1"/>
  <c r="F2823" i="1"/>
  <c r="I2798" i="1"/>
  <c r="H2798" i="1"/>
  <c r="G2808" i="1"/>
  <c r="F2818" i="1"/>
  <c r="G2802" i="1"/>
  <c r="F2812" i="1"/>
  <c r="H2792" i="1"/>
  <c r="I2792" i="1"/>
  <c r="F2815" i="1"/>
  <c r="G2805" i="1"/>
  <c r="H2795" i="1"/>
  <c r="I2795" i="1"/>
  <c r="G2844" i="1" l="1"/>
  <c r="F2854" i="1"/>
  <c r="I2834" i="1"/>
  <c r="H2834" i="1"/>
  <c r="I2826" i="1"/>
  <c r="H2826" i="1"/>
  <c r="G2836" i="1"/>
  <c r="F2846" i="1"/>
  <c r="I2830" i="1"/>
  <c r="H2830" i="1"/>
  <c r="G2840" i="1"/>
  <c r="F2850" i="1"/>
  <c r="G2837" i="1"/>
  <c r="F2847" i="1"/>
  <c r="I2827" i="1"/>
  <c r="H2827" i="1"/>
  <c r="I2831" i="1"/>
  <c r="H2831" i="1"/>
  <c r="G2841" i="1"/>
  <c r="F2851" i="1"/>
  <c r="I2819" i="1"/>
  <c r="H2819" i="1"/>
  <c r="G2829" i="1"/>
  <c r="F2839" i="1"/>
  <c r="H2813" i="1"/>
  <c r="I2813" i="1"/>
  <c r="F2833" i="1"/>
  <c r="G2823" i="1"/>
  <c r="I2808" i="1"/>
  <c r="H2808" i="1"/>
  <c r="G2818" i="1"/>
  <c r="F2828" i="1"/>
  <c r="I2802" i="1"/>
  <c r="H2802" i="1"/>
  <c r="G2812" i="1"/>
  <c r="F2822" i="1"/>
  <c r="F2825" i="1"/>
  <c r="G2815" i="1"/>
  <c r="I2805" i="1"/>
  <c r="H2805" i="1"/>
  <c r="H2844" i="1" l="1"/>
  <c r="I2844" i="1"/>
  <c r="G2854" i="1"/>
  <c r="F2864" i="1"/>
  <c r="I2836" i="1"/>
  <c r="H2836" i="1"/>
  <c r="G2846" i="1"/>
  <c r="F2856" i="1"/>
  <c r="H2840" i="1"/>
  <c r="I2840" i="1"/>
  <c r="G2850" i="1"/>
  <c r="F2860" i="1"/>
  <c r="I2837" i="1"/>
  <c r="H2837" i="1"/>
  <c r="G2847" i="1"/>
  <c r="F2857" i="1"/>
  <c r="I2841" i="1"/>
  <c r="H2841" i="1"/>
  <c r="G2851" i="1"/>
  <c r="F2861" i="1"/>
  <c r="I2829" i="1"/>
  <c r="H2829" i="1"/>
  <c r="G2839" i="1"/>
  <c r="F2849" i="1"/>
  <c r="F2843" i="1"/>
  <c r="G2833" i="1"/>
  <c r="H2823" i="1"/>
  <c r="I2823" i="1"/>
  <c r="I2818" i="1"/>
  <c r="H2818" i="1"/>
  <c r="G2828" i="1"/>
  <c r="F2838" i="1"/>
  <c r="I2812" i="1"/>
  <c r="H2812" i="1"/>
  <c r="G2822" i="1"/>
  <c r="F2832" i="1"/>
  <c r="G2825" i="1"/>
  <c r="F2835" i="1"/>
  <c r="I2815" i="1"/>
  <c r="H2815" i="1"/>
  <c r="I2854" i="1" l="1"/>
  <c r="H2854" i="1"/>
  <c r="G2864" i="1"/>
  <c r="F2874" i="1"/>
  <c r="H2846" i="1"/>
  <c r="I2846" i="1"/>
  <c r="F2866" i="1"/>
  <c r="G2856" i="1"/>
  <c r="I2850" i="1"/>
  <c r="H2850" i="1"/>
  <c r="G2860" i="1"/>
  <c r="F2870" i="1"/>
  <c r="I2847" i="1"/>
  <c r="H2847" i="1"/>
  <c r="F2867" i="1"/>
  <c r="G2857" i="1"/>
  <c r="I2851" i="1"/>
  <c r="H2851" i="1"/>
  <c r="G2861" i="1"/>
  <c r="F2871" i="1"/>
  <c r="H2839" i="1"/>
  <c r="I2839" i="1"/>
  <c r="G2849" i="1"/>
  <c r="F2859" i="1"/>
  <c r="F2853" i="1"/>
  <c r="G2843" i="1"/>
  <c r="I2833" i="1"/>
  <c r="H2833" i="1"/>
  <c r="I2828" i="1"/>
  <c r="H2828" i="1"/>
  <c r="G2838" i="1"/>
  <c r="F2848" i="1"/>
  <c r="I2822" i="1"/>
  <c r="H2822" i="1"/>
  <c r="G2832" i="1"/>
  <c r="F2842" i="1"/>
  <c r="I2825" i="1"/>
  <c r="H2825" i="1"/>
  <c r="G2835" i="1"/>
  <c r="F2845" i="1"/>
  <c r="I2864" i="1" l="1"/>
  <c r="H2864" i="1"/>
  <c r="G2874" i="1"/>
  <c r="F2884" i="1"/>
  <c r="G2866" i="1"/>
  <c r="F2876" i="1"/>
  <c r="I2856" i="1"/>
  <c r="H2856" i="1"/>
  <c r="I2860" i="1"/>
  <c r="H2860" i="1"/>
  <c r="F2880" i="1"/>
  <c r="G2870" i="1"/>
  <c r="G2867" i="1"/>
  <c r="F2877" i="1"/>
  <c r="H2857" i="1"/>
  <c r="I2857" i="1"/>
  <c r="H2861" i="1"/>
  <c r="I2861" i="1"/>
  <c r="G2871" i="1"/>
  <c r="F2881" i="1"/>
  <c r="I2849" i="1"/>
  <c r="H2849" i="1"/>
  <c r="F2869" i="1"/>
  <c r="G2859" i="1"/>
  <c r="F2863" i="1"/>
  <c r="G2853" i="1"/>
  <c r="H2843" i="1"/>
  <c r="I2843" i="1"/>
  <c r="H2838" i="1"/>
  <c r="I2838" i="1"/>
  <c r="G2848" i="1"/>
  <c r="F2858" i="1"/>
  <c r="I2832" i="1"/>
  <c r="H2832" i="1"/>
  <c r="G2842" i="1"/>
  <c r="F2852" i="1"/>
  <c r="I2835" i="1"/>
  <c r="H2835" i="1"/>
  <c r="G2845" i="1"/>
  <c r="F2855" i="1"/>
  <c r="I2874" i="1" l="1"/>
  <c r="H2874" i="1"/>
  <c r="F2894" i="1"/>
  <c r="G2884" i="1"/>
  <c r="H2866" i="1"/>
  <c r="I2866" i="1"/>
  <c r="F2886" i="1"/>
  <c r="G2876" i="1"/>
  <c r="G2880" i="1"/>
  <c r="F2890" i="1"/>
  <c r="I2870" i="1"/>
  <c r="H2870" i="1"/>
  <c r="I2867" i="1"/>
  <c r="H2867" i="1"/>
  <c r="G2877" i="1"/>
  <c r="F2887" i="1"/>
  <c r="I2871" i="1"/>
  <c r="H2871" i="1"/>
  <c r="G2881" i="1"/>
  <c r="F2891" i="1"/>
  <c r="G2869" i="1"/>
  <c r="F2879" i="1"/>
  <c r="H2859" i="1"/>
  <c r="I2859" i="1"/>
  <c r="G2863" i="1"/>
  <c r="F2873" i="1"/>
  <c r="I2853" i="1"/>
  <c r="H2853" i="1"/>
  <c r="H2848" i="1"/>
  <c r="I2848" i="1"/>
  <c r="G2858" i="1"/>
  <c r="F2868" i="1"/>
  <c r="H2842" i="1"/>
  <c r="I2842" i="1"/>
  <c r="G2852" i="1"/>
  <c r="F2862" i="1"/>
  <c r="H2845" i="1"/>
  <c r="I2845" i="1"/>
  <c r="G2855" i="1"/>
  <c r="F2865" i="1"/>
  <c r="G2894" i="1" l="1"/>
  <c r="F2904" i="1"/>
  <c r="I2884" i="1"/>
  <c r="H2884" i="1"/>
  <c r="G2886" i="1"/>
  <c r="F2896" i="1"/>
  <c r="I2876" i="1"/>
  <c r="H2876" i="1"/>
  <c r="I2880" i="1"/>
  <c r="H2880" i="1"/>
  <c r="G2890" i="1"/>
  <c r="F2900" i="1"/>
  <c r="I2877" i="1"/>
  <c r="H2877" i="1"/>
  <c r="F2897" i="1"/>
  <c r="G2887" i="1"/>
  <c r="H2881" i="1"/>
  <c r="I2881" i="1"/>
  <c r="F2901" i="1"/>
  <c r="G2891" i="1"/>
  <c r="I2869" i="1"/>
  <c r="H2869" i="1"/>
  <c r="G2879" i="1"/>
  <c r="F2889" i="1"/>
  <c r="I2863" i="1"/>
  <c r="H2863" i="1"/>
  <c r="G2873" i="1"/>
  <c r="F2883" i="1"/>
  <c r="I2858" i="1"/>
  <c r="H2858" i="1"/>
  <c r="G2868" i="1"/>
  <c r="F2878" i="1"/>
  <c r="H2852" i="1"/>
  <c r="I2852" i="1"/>
  <c r="G2862" i="1"/>
  <c r="F2872" i="1"/>
  <c r="H2855" i="1"/>
  <c r="I2855" i="1"/>
  <c r="G2865" i="1"/>
  <c r="F2875" i="1"/>
  <c r="I2894" i="1" l="1"/>
  <c r="H2894" i="1"/>
  <c r="G2904" i="1"/>
  <c r="F2914" i="1"/>
  <c r="H2886" i="1"/>
  <c r="I2886" i="1"/>
  <c r="G2896" i="1"/>
  <c r="F2906" i="1"/>
  <c r="I2890" i="1"/>
  <c r="H2890" i="1"/>
  <c r="G2900" i="1"/>
  <c r="F2910" i="1"/>
  <c r="G2897" i="1"/>
  <c r="F2907" i="1"/>
  <c r="I2887" i="1"/>
  <c r="H2887" i="1"/>
  <c r="G2901" i="1"/>
  <c r="F2911" i="1"/>
  <c r="I2891" i="1"/>
  <c r="H2891" i="1"/>
  <c r="I2879" i="1"/>
  <c r="H2879" i="1"/>
  <c r="F2899" i="1"/>
  <c r="G2889" i="1"/>
  <c r="I2873" i="1"/>
  <c r="H2873" i="1"/>
  <c r="F2893" i="1"/>
  <c r="G2883" i="1"/>
  <c r="H2868" i="1"/>
  <c r="I2868" i="1"/>
  <c r="F2888" i="1"/>
  <c r="G2878" i="1"/>
  <c r="I2862" i="1"/>
  <c r="H2862" i="1"/>
  <c r="F2882" i="1"/>
  <c r="G2872" i="1"/>
  <c r="I2865" i="1"/>
  <c r="H2865" i="1"/>
  <c r="F2885" i="1"/>
  <c r="G2875" i="1"/>
  <c r="G2914" i="1" l="1"/>
  <c r="F2924" i="1"/>
  <c r="E216" i="2" a="1"/>
  <c r="I2904" i="1"/>
  <c r="H2904" i="1"/>
  <c r="I2914" i="1"/>
  <c r="H2914" i="1"/>
  <c r="H2896" i="1"/>
  <c r="I2896" i="1"/>
  <c r="F2916" i="1"/>
  <c r="G2906" i="1"/>
  <c r="I2900" i="1"/>
  <c r="H2900" i="1"/>
  <c r="G2910" i="1"/>
  <c r="F2920" i="1"/>
  <c r="G2920" i="1" s="1"/>
  <c r="I2897" i="1"/>
  <c r="H2897" i="1"/>
  <c r="G2907" i="1"/>
  <c r="F2917" i="1"/>
  <c r="H2901" i="1"/>
  <c r="I2901" i="1"/>
  <c r="G2911" i="1"/>
  <c r="F2921" i="1"/>
  <c r="G2899" i="1"/>
  <c r="F2909" i="1"/>
  <c r="I2889" i="1"/>
  <c r="H2889" i="1"/>
  <c r="F2903" i="1"/>
  <c r="G2893" i="1"/>
  <c r="H2883" i="1"/>
  <c r="I2883" i="1"/>
  <c r="G2888" i="1"/>
  <c r="F2898" i="1"/>
  <c r="H2878" i="1"/>
  <c r="I2878" i="1"/>
  <c r="G2882" i="1"/>
  <c r="F2892" i="1"/>
  <c r="I2872" i="1"/>
  <c r="H2872" i="1"/>
  <c r="G2885" i="1"/>
  <c r="F2895" i="1"/>
  <c r="H2875" i="1"/>
  <c r="I2875" i="1"/>
  <c r="G2924" i="1" l="1"/>
  <c r="F2934" i="1"/>
  <c r="G2916" i="1"/>
  <c r="F2926" i="1"/>
  <c r="G2917" i="1"/>
  <c r="F2927" i="1"/>
  <c r="G2921" i="1"/>
  <c r="F2931" i="1"/>
  <c r="I2916" i="1"/>
  <c r="H2916" i="1"/>
  <c r="I2906" i="1"/>
  <c r="H2906" i="1"/>
  <c r="I2910" i="1"/>
  <c r="H2910" i="1"/>
  <c r="H2920" i="1"/>
  <c r="I2920" i="1"/>
  <c r="H2907" i="1"/>
  <c r="I2907" i="1"/>
  <c r="I2911" i="1"/>
  <c r="H2911" i="1"/>
  <c r="I2899" i="1"/>
  <c r="H2899" i="1"/>
  <c r="G2909" i="1"/>
  <c r="F2919" i="1"/>
  <c r="F2913" i="1"/>
  <c r="G2903" i="1"/>
  <c r="I2893" i="1"/>
  <c r="H2893" i="1"/>
  <c r="H2888" i="1"/>
  <c r="I2888" i="1"/>
  <c r="G2898" i="1"/>
  <c r="F2908" i="1"/>
  <c r="I2882" i="1"/>
  <c r="H2882" i="1"/>
  <c r="G2892" i="1"/>
  <c r="F2902" i="1"/>
  <c r="I2885" i="1"/>
  <c r="H2885" i="1"/>
  <c r="G2895" i="1"/>
  <c r="F2905" i="1"/>
  <c r="G2919" i="1" l="1"/>
  <c r="F2929" i="1"/>
  <c r="I2917" i="1"/>
  <c r="H2917" i="1"/>
  <c r="I2921" i="1"/>
  <c r="H2921" i="1"/>
  <c r="I2924" i="1"/>
  <c r="H2924" i="1"/>
  <c r="G2934" i="1"/>
  <c r="F2944" i="1"/>
  <c r="G2926" i="1"/>
  <c r="F2936" i="1"/>
  <c r="G2927" i="1"/>
  <c r="F2937" i="1"/>
  <c r="G2913" i="1"/>
  <c r="F2923" i="1"/>
  <c r="G2931" i="1"/>
  <c r="F2941" i="1"/>
  <c r="E187" i="2" a="1"/>
  <c r="E17" i="2" a="1"/>
  <c r="F19" i="3" s="1"/>
  <c r="I2909" i="1"/>
  <c r="H2909" i="1"/>
  <c r="I2913" i="1"/>
  <c r="H2913" i="1"/>
  <c r="H2903" i="1"/>
  <c r="I2903" i="1"/>
  <c r="I2898" i="1"/>
  <c r="H2898" i="1"/>
  <c r="G2908" i="1"/>
  <c r="F2918" i="1"/>
  <c r="I2892" i="1"/>
  <c r="H2892" i="1"/>
  <c r="G2902" i="1"/>
  <c r="F2912" i="1"/>
  <c r="G2912" i="1" s="1"/>
  <c r="I2895" i="1"/>
  <c r="H2895" i="1"/>
  <c r="G2905" i="1"/>
  <c r="F2915" i="1"/>
  <c r="H2919" i="1" l="1"/>
  <c r="I2919" i="1"/>
  <c r="G2929" i="1"/>
  <c r="F2939" i="1"/>
  <c r="I2934" i="1"/>
  <c r="H2934" i="1"/>
  <c r="G2944" i="1"/>
  <c r="F2954" i="1"/>
  <c r="I2926" i="1"/>
  <c r="H2926" i="1"/>
  <c r="G2936" i="1"/>
  <c r="F2946" i="1"/>
  <c r="G2918" i="1"/>
  <c r="F2928" i="1"/>
  <c r="H2927" i="1"/>
  <c r="I2927" i="1"/>
  <c r="G2937" i="1"/>
  <c r="F2947" i="1"/>
  <c r="G2923" i="1"/>
  <c r="F2933" i="1"/>
  <c r="I2931" i="1"/>
  <c r="H2931" i="1"/>
  <c r="G2941" i="1"/>
  <c r="F2951" i="1"/>
  <c r="G2915" i="1"/>
  <c r="F2925" i="1"/>
  <c r="F143" i="2" a="1"/>
  <c r="G145" i="3" s="1"/>
  <c r="F139" i="2" a="1"/>
  <c r="G141" i="3" s="1"/>
  <c r="F134" i="2" a="1"/>
  <c r="G136" i="3" s="1"/>
  <c r="F144" i="2" a="1"/>
  <c r="G146" i="3" s="1"/>
  <c r="F135" i="2" a="1"/>
  <c r="G137" i="3" s="1"/>
  <c r="F142" i="2" a="1"/>
  <c r="G144" i="3" s="1"/>
  <c r="E237" i="2" a="1"/>
  <c r="E103" i="2" a="1"/>
  <c r="F105" i="3" s="1"/>
  <c r="E228" i="2" a="1"/>
  <c r="E74" i="2" a="1"/>
  <c r="F76" i="3" s="1"/>
  <c r="E257" i="2" a="1"/>
  <c r="E81" i="2" a="1"/>
  <c r="F83" i="3" s="1"/>
  <c r="E58" i="2" a="1"/>
  <c r="F60" i="3" s="1"/>
  <c r="F152" i="2" a="1"/>
  <c r="G154" i="3" s="1"/>
  <c r="F25" i="2" a="1"/>
  <c r="G27" i="3" s="1"/>
  <c r="F276" i="2" a="1"/>
  <c r="E160" i="2" a="1"/>
  <c r="F162" i="3" s="1"/>
  <c r="E61" i="2" a="1"/>
  <c r="F63" i="3" s="1"/>
  <c r="E124" i="2" a="1"/>
  <c r="F126" i="3" s="1"/>
  <c r="H2908" i="1"/>
  <c r="I2908" i="1"/>
  <c r="H2918" i="1"/>
  <c r="I2918" i="1"/>
  <c r="I2902" i="1"/>
  <c r="H2902" i="1"/>
  <c r="I2912" i="1"/>
  <c r="H2912" i="1"/>
  <c r="I2905" i="1"/>
  <c r="H2905" i="1"/>
  <c r="I2929" i="1" l="1"/>
  <c r="H2929" i="1"/>
  <c r="G2939" i="1"/>
  <c r="F2949" i="1"/>
  <c r="I2944" i="1"/>
  <c r="H2944" i="1"/>
  <c r="G2954" i="1"/>
  <c r="F2964" i="1"/>
  <c r="I2936" i="1"/>
  <c r="H2936" i="1"/>
  <c r="G2946" i="1"/>
  <c r="F2956" i="1"/>
  <c r="G2928" i="1"/>
  <c r="F2938" i="1"/>
  <c r="I2937" i="1"/>
  <c r="H2937" i="1"/>
  <c r="G2947" i="1"/>
  <c r="F2957" i="1"/>
  <c r="H2923" i="1"/>
  <c r="I2923" i="1"/>
  <c r="G2933" i="1"/>
  <c r="F2943" i="1"/>
  <c r="I2941" i="1"/>
  <c r="H2941" i="1"/>
  <c r="F2961" i="1"/>
  <c r="G2951" i="1"/>
  <c r="H2915" i="1"/>
  <c r="I2915" i="1"/>
  <c r="G2925" i="1"/>
  <c r="F2935" i="1"/>
  <c r="E260" i="2" a="1"/>
  <c r="F61" i="2" a="1"/>
  <c r="G63" i="3" s="1"/>
  <c r="F36" i="2" a="1"/>
  <c r="G38" i="3" s="1"/>
  <c r="F7" i="2" a="1"/>
  <c r="G9" i="3" s="1"/>
  <c r="F51" i="2" a="1"/>
  <c r="G53" i="3" s="1"/>
  <c r="F62" i="2" a="1"/>
  <c r="G64" i="3" s="1"/>
  <c r="F59" i="2" a="1"/>
  <c r="G61" i="3" s="1"/>
  <c r="F50" i="2" a="1"/>
  <c r="G52" i="3" s="1"/>
  <c r="F12" i="2" a="1"/>
  <c r="G14" i="3" s="1"/>
  <c r="F54" i="2" a="1"/>
  <c r="G56" i="3" s="1"/>
  <c r="F100" i="2" a="1"/>
  <c r="G102" i="3" s="1"/>
  <c r="E259" i="2" a="1"/>
  <c r="E26" i="2" a="1"/>
  <c r="F28" i="3" s="1"/>
  <c r="E110" i="2" a="1"/>
  <c r="F112" i="3" s="1"/>
  <c r="E30" i="2" a="1"/>
  <c r="F32" i="3" s="1"/>
  <c r="E219" i="2" a="1"/>
  <c r="E241" i="2" a="1"/>
  <c r="E221" i="2" a="1"/>
  <c r="E207" i="2" a="1"/>
  <c r="E214" i="2" a="1"/>
  <c r="E123" i="2" a="1"/>
  <c r="F125" i="3" s="1"/>
  <c r="E215" i="2" a="1"/>
  <c r="E66" i="2" a="1"/>
  <c r="F68" i="3" s="1"/>
  <c r="E242" i="2" a="1"/>
  <c r="E220" i="2" a="1"/>
  <c r="E254" i="2" a="1"/>
  <c r="E33" i="2" a="1"/>
  <c r="F35" i="3" s="1"/>
  <c r="E262" i="2" a="1"/>
  <c r="E34" i="2" a="1"/>
  <c r="F36" i="3" s="1"/>
  <c r="E155" i="2" a="1"/>
  <c r="F157" i="3" s="1"/>
  <c r="E6" i="2" a="1"/>
  <c r="F8" i="3" s="1"/>
  <c r="E70" i="2" a="1"/>
  <c r="F72" i="3" s="1"/>
  <c r="E69" i="2" a="1"/>
  <c r="F71" i="3" s="1"/>
  <c r="E23" i="2" a="1"/>
  <c r="F25" i="3" s="1"/>
  <c r="E20" i="2" a="1"/>
  <c r="F22" i="3" s="1"/>
  <c r="E29" i="2" a="1"/>
  <c r="F31" i="3" s="1"/>
  <c r="E253" i="2" a="1"/>
  <c r="E45" i="2" a="1"/>
  <c r="F47" i="3" s="1"/>
  <c r="E136" i="2" a="1"/>
  <c r="F138" i="3" s="1"/>
  <c r="E205" i="2" a="1"/>
  <c r="E225" i="2" a="1"/>
  <c r="E293" i="2" a="1"/>
  <c r="I2939" i="1" l="1"/>
  <c r="H2939" i="1"/>
  <c r="G2949" i="1"/>
  <c r="F2959" i="1"/>
  <c r="I2954" i="1"/>
  <c r="H2954" i="1"/>
  <c r="F2974" i="1"/>
  <c r="G2964" i="1"/>
  <c r="I2946" i="1"/>
  <c r="H2946" i="1"/>
  <c r="G2956" i="1"/>
  <c r="F2966" i="1"/>
  <c r="I2928" i="1"/>
  <c r="H2928" i="1"/>
  <c r="G2938" i="1"/>
  <c r="F2948" i="1"/>
  <c r="I2947" i="1"/>
  <c r="H2947" i="1"/>
  <c r="G2957" i="1"/>
  <c r="F2967" i="1"/>
  <c r="H2933" i="1"/>
  <c r="I2933" i="1"/>
  <c r="G2943" i="1"/>
  <c r="F2953" i="1"/>
  <c r="F2971" i="1"/>
  <c r="G2961" i="1"/>
  <c r="I2951" i="1"/>
  <c r="H2951" i="1"/>
  <c r="I2925" i="1"/>
  <c r="H2925" i="1"/>
  <c r="G2935" i="1"/>
  <c r="F2945" i="1"/>
  <c r="I2949" i="1" l="1"/>
  <c r="H2949" i="1"/>
  <c r="G2959" i="1"/>
  <c r="F2969" i="1"/>
  <c r="F2984" i="1"/>
  <c r="G2974" i="1"/>
  <c r="I2964" i="1"/>
  <c r="H2964" i="1"/>
  <c r="I2956" i="1"/>
  <c r="H2956" i="1"/>
  <c r="G2966" i="1"/>
  <c r="F2976" i="1"/>
  <c r="I2938" i="1"/>
  <c r="H2938" i="1"/>
  <c r="G2948" i="1"/>
  <c r="F2958" i="1"/>
  <c r="I2957" i="1"/>
  <c r="H2957" i="1"/>
  <c r="F2977" i="1"/>
  <c r="G2967" i="1"/>
  <c r="I2943" i="1"/>
  <c r="H2943" i="1"/>
  <c r="F2963" i="1"/>
  <c r="G2953" i="1"/>
  <c r="F2981" i="1"/>
  <c r="G2971" i="1"/>
  <c r="I2961" i="1"/>
  <c r="H2961" i="1"/>
  <c r="I2935" i="1"/>
  <c r="H2935" i="1"/>
  <c r="G2945" i="1"/>
  <c r="F2955" i="1"/>
  <c r="I2959" i="1" l="1"/>
  <c r="H2959" i="1"/>
  <c r="G2969" i="1"/>
  <c r="F2979" i="1"/>
  <c r="F2994" i="1"/>
  <c r="G2984" i="1"/>
  <c r="I2974" i="1"/>
  <c r="H2974" i="1"/>
  <c r="H2966" i="1"/>
  <c r="I2966" i="1"/>
  <c r="G2976" i="1"/>
  <c r="F2986" i="1"/>
  <c r="I2948" i="1"/>
  <c r="H2948" i="1"/>
  <c r="G2958" i="1"/>
  <c r="F2968" i="1"/>
  <c r="G2977" i="1"/>
  <c r="F2987" i="1"/>
  <c r="I2967" i="1"/>
  <c r="H2967" i="1"/>
  <c r="F2973" i="1"/>
  <c r="G2963" i="1"/>
  <c r="I2953" i="1"/>
  <c r="H2953" i="1"/>
  <c r="G2981" i="1"/>
  <c r="F2991" i="1"/>
  <c r="I2971" i="1"/>
  <c r="H2971" i="1"/>
  <c r="I2945" i="1"/>
  <c r="H2945" i="1"/>
  <c r="G2955" i="1"/>
  <c r="F2965" i="1"/>
  <c r="I2969" i="1" l="1"/>
  <c r="H2969" i="1"/>
  <c r="G2979" i="1"/>
  <c r="F2989" i="1"/>
  <c r="F3004" i="1"/>
  <c r="G2994" i="1"/>
  <c r="I2984" i="1"/>
  <c r="H2984" i="1"/>
  <c r="H2976" i="1"/>
  <c r="I2976" i="1"/>
  <c r="G2986" i="1"/>
  <c r="F2996" i="1"/>
  <c r="I2958" i="1"/>
  <c r="H2958" i="1"/>
  <c r="G2968" i="1"/>
  <c r="F2978" i="1"/>
  <c r="I2977" i="1"/>
  <c r="H2977" i="1"/>
  <c r="F2997" i="1"/>
  <c r="G2987" i="1"/>
  <c r="G2973" i="1"/>
  <c r="F2983" i="1"/>
  <c r="I2963" i="1"/>
  <c r="H2963" i="1"/>
  <c r="I2981" i="1"/>
  <c r="H2981" i="1"/>
  <c r="F3001" i="1"/>
  <c r="G2991" i="1"/>
  <c r="I2955" i="1"/>
  <c r="H2955" i="1"/>
  <c r="G2965" i="1"/>
  <c r="F2975" i="1"/>
  <c r="I2979" i="1" l="1"/>
  <c r="H2979" i="1"/>
  <c r="G2989" i="1"/>
  <c r="F2999" i="1"/>
  <c r="F3014" i="1"/>
  <c r="G3004" i="1"/>
  <c r="I2994" i="1"/>
  <c r="H2994" i="1"/>
  <c r="I2986" i="1"/>
  <c r="H2986" i="1"/>
  <c r="G2996" i="1"/>
  <c r="F3006" i="1"/>
  <c r="I2968" i="1"/>
  <c r="H2968" i="1"/>
  <c r="G2978" i="1"/>
  <c r="F2988" i="1"/>
  <c r="F3007" i="1"/>
  <c r="G2997" i="1"/>
  <c r="I2987" i="1"/>
  <c r="H2987" i="1"/>
  <c r="I2973" i="1"/>
  <c r="H2973" i="1"/>
  <c r="G2983" i="1"/>
  <c r="F2993" i="1"/>
  <c r="G3001" i="1"/>
  <c r="F3011" i="1"/>
  <c r="I2991" i="1"/>
  <c r="H2991" i="1"/>
  <c r="I2965" i="1"/>
  <c r="H2965" i="1"/>
  <c r="G2975" i="1"/>
  <c r="F2985" i="1"/>
  <c r="I2989" i="1" l="1"/>
  <c r="H2989" i="1"/>
  <c r="G2999" i="1"/>
  <c r="F3009" i="1"/>
  <c r="G3014" i="1"/>
  <c r="F3024" i="1"/>
  <c r="I3004" i="1"/>
  <c r="H3004" i="1"/>
  <c r="I2996" i="1"/>
  <c r="H2996" i="1"/>
  <c r="G3006" i="1"/>
  <c r="F3016" i="1"/>
  <c r="I2978" i="1"/>
  <c r="H2978" i="1"/>
  <c r="G2988" i="1"/>
  <c r="F2998" i="1"/>
  <c r="F3017" i="1"/>
  <c r="G3007" i="1"/>
  <c r="H2997" i="1"/>
  <c r="I2997" i="1"/>
  <c r="H2983" i="1"/>
  <c r="I2983" i="1"/>
  <c r="G2993" i="1"/>
  <c r="F3003" i="1"/>
  <c r="I3001" i="1"/>
  <c r="H3001" i="1"/>
  <c r="F3021" i="1"/>
  <c r="G3011" i="1"/>
  <c r="I2975" i="1"/>
  <c r="H2975" i="1"/>
  <c r="G2985" i="1"/>
  <c r="F2995" i="1"/>
  <c r="I2999" i="1" l="1"/>
  <c r="H2999" i="1"/>
  <c r="G3009" i="1"/>
  <c r="F3019" i="1"/>
  <c r="I3014" i="1"/>
  <c r="H3014" i="1"/>
  <c r="G3024" i="1"/>
  <c r="F3034" i="1"/>
  <c r="I3006" i="1"/>
  <c r="H3006" i="1"/>
  <c r="G3016" i="1"/>
  <c r="F3026" i="1"/>
  <c r="I2988" i="1"/>
  <c r="H2988" i="1"/>
  <c r="G2998" i="1"/>
  <c r="F3008" i="1"/>
  <c r="G3017" i="1"/>
  <c r="F3027" i="1"/>
  <c r="I3007" i="1"/>
  <c r="H3007" i="1"/>
  <c r="H2993" i="1"/>
  <c r="I2993" i="1"/>
  <c r="G3003" i="1"/>
  <c r="F3013" i="1"/>
  <c r="F3031" i="1"/>
  <c r="G3021" i="1"/>
  <c r="I3011" i="1"/>
  <c r="H3011" i="1"/>
  <c r="I2985" i="1"/>
  <c r="H2985" i="1"/>
  <c r="G2995" i="1"/>
  <c r="F3005" i="1"/>
  <c r="I3009" i="1" l="1"/>
  <c r="H3009" i="1"/>
  <c r="G3019" i="1"/>
  <c r="F3029" i="1"/>
  <c r="I3024" i="1"/>
  <c r="H3024" i="1"/>
  <c r="G3034" i="1"/>
  <c r="F3044" i="1"/>
  <c r="I3016" i="1"/>
  <c r="H3016" i="1"/>
  <c r="G3026" i="1"/>
  <c r="F3036" i="1"/>
  <c r="I2998" i="1"/>
  <c r="H2998" i="1"/>
  <c r="G3008" i="1"/>
  <c r="F3018" i="1"/>
  <c r="H3017" i="1"/>
  <c r="I3017" i="1"/>
  <c r="G3027" i="1"/>
  <c r="F3037" i="1"/>
  <c r="H3003" i="1"/>
  <c r="I3003" i="1"/>
  <c r="G3013" i="1"/>
  <c r="F3023" i="1"/>
  <c r="G3031" i="1"/>
  <c r="F3041" i="1"/>
  <c r="I3021" i="1"/>
  <c r="H3021" i="1"/>
  <c r="F301" i="2" a="1"/>
  <c r="I2995" i="1"/>
  <c r="H2995" i="1"/>
  <c r="G3005" i="1"/>
  <c r="F3015" i="1"/>
  <c r="I3019" i="1" l="1"/>
  <c r="H3019" i="1"/>
  <c r="G3029" i="1"/>
  <c r="F3039" i="1"/>
  <c r="I3034" i="1"/>
  <c r="H3034" i="1"/>
  <c r="F3054" i="1"/>
  <c r="G3044" i="1"/>
  <c r="I3026" i="1"/>
  <c r="H3026" i="1"/>
  <c r="G3036" i="1"/>
  <c r="F3046" i="1"/>
  <c r="H3008" i="1"/>
  <c r="I3008" i="1"/>
  <c r="G3018" i="1"/>
  <c r="F3028" i="1"/>
  <c r="I3027" i="1"/>
  <c r="H3027" i="1"/>
  <c r="F3047" i="1"/>
  <c r="G3037" i="1"/>
  <c r="I3013" i="1"/>
  <c r="H3013" i="1"/>
  <c r="G3023" i="1"/>
  <c r="F3033" i="1"/>
  <c r="I3031" i="1"/>
  <c r="H3031" i="1"/>
  <c r="G3041" i="1"/>
  <c r="F3051" i="1"/>
  <c r="I3005" i="1"/>
  <c r="H3005" i="1"/>
  <c r="G3015" i="1"/>
  <c r="F3025" i="1"/>
  <c r="I3029" i="1" l="1"/>
  <c r="H3029" i="1"/>
  <c r="G3039" i="1"/>
  <c r="F3049" i="1"/>
  <c r="G3054" i="1"/>
  <c r="F3064" i="1"/>
  <c r="I3044" i="1"/>
  <c r="H3044" i="1"/>
  <c r="I3036" i="1"/>
  <c r="H3036" i="1"/>
  <c r="G3046" i="1"/>
  <c r="F3056" i="1"/>
  <c r="I3018" i="1"/>
  <c r="H3018" i="1"/>
  <c r="G3028" i="1"/>
  <c r="F3038" i="1"/>
  <c r="F3057" i="1"/>
  <c r="G3047" i="1"/>
  <c r="H3037" i="1"/>
  <c r="I3037" i="1"/>
  <c r="I3023" i="1"/>
  <c r="H3023" i="1"/>
  <c r="F3043" i="1"/>
  <c r="G3033" i="1"/>
  <c r="I3041" i="1"/>
  <c r="H3041" i="1"/>
  <c r="G3051" i="1"/>
  <c r="F3061" i="1"/>
  <c r="I3015" i="1"/>
  <c r="H3015" i="1"/>
  <c r="G3025" i="1"/>
  <c r="F3035" i="1"/>
  <c r="I3039" i="1" l="1"/>
  <c r="H3039" i="1"/>
  <c r="G3049" i="1"/>
  <c r="F3059" i="1"/>
  <c r="I3054" i="1"/>
  <c r="H3054" i="1"/>
  <c r="G3064" i="1"/>
  <c r="F3074" i="1"/>
  <c r="I3046" i="1"/>
  <c r="H3046" i="1"/>
  <c r="G3056" i="1"/>
  <c r="F3066" i="1"/>
  <c r="I3028" i="1"/>
  <c r="H3028" i="1"/>
  <c r="G3038" i="1"/>
  <c r="F3048" i="1"/>
  <c r="F3067" i="1"/>
  <c r="G3057" i="1"/>
  <c r="I3047" i="1"/>
  <c r="H3047" i="1"/>
  <c r="F3053" i="1"/>
  <c r="G3043" i="1"/>
  <c r="H3033" i="1"/>
  <c r="I3033" i="1"/>
  <c r="I3051" i="1"/>
  <c r="H3051" i="1"/>
  <c r="G3061" i="1"/>
  <c r="F3071" i="1"/>
  <c r="I3025" i="1"/>
  <c r="H3025" i="1"/>
  <c r="G3035" i="1"/>
  <c r="F3045" i="1"/>
  <c r="I3049" i="1" l="1"/>
  <c r="H3049" i="1"/>
  <c r="G3059" i="1"/>
  <c r="F3069" i="1"/>
  <c r="H3064" i="1"/>
  <c r="I3064" i="1"/>
  <c r="G3074" i="1"/>
  <c r="F3084" i="1"/>
  <c r="I3056" i="1"/>
  <c r="H3056" i="1"/>
  <c r="G3066" i="1"/>
  <c r="F3076" i="1"/>
  <c r="H3038" i="1"/>
  <c r="I3038" i="1"/>
  <c r="G3048" i="1"/>
  <c r="F3058" i="1"/>
  <c r="G3067" i="1"/>
  <c r="F3077" i="1"/>
  <c r="I3057" i="1"/>
  <c r="H3057" i="1"/>
  <c r="G3053" i="1"/>
  <c r="F3063" i="1"/>
  <c r="H3043" i="1"/>
  <c r="I3043" i="1"/>
  <c r="I3061" i="1"/>
  <c r="H3061" i="1"/>
  <c r="G3071" i="1"/>
  <c r="F3081" i="1"/>
  <c r="I3035" i="1"/>
  <c r="H3035" i="1"/>
  <c r="G3045" i="1"/>
  <c r="F3055" i="1"/>
  <c r="I3059" i="1" l="1"/>
  <c r="H3059" i="1"/>
  <c r="G3069" i="1"/>
  <c r="F3079" i="1"/>
  <c r="I3074" i="1"/>
  <c r="H3074" i="1"/>
  <c r="G3084" i="1"/>
  <c r="F3094" i="1"/>
  <c r="I3066" i="1"/>
  <c r="H3066" i="1"/>
  <c r="G3076" i="1"/>
  <c r="F3086" i="1"/>
  <c r="H3048" i="1"/>
  <c r="I3048" i="1"/>
  <c r="G3058" i="1"/>
  <c r="F3068" i="1"/>
  <c r="H3067" i="1"/>
  <c r="I3067" i="1"/>
  <c r="F3087" i="1"/>
  <c r="G3077" i="1"/>
  <c r="I3053" i="1"/>
  <c r="H3053" i="1"/>
  <c r="F3073" i="1"/>
  <c r="G3063" i="1"/>
  <c r="I3071" i="1"/>
  <c r="H3071" i="1"/>
  <c r="G3081" i="1"/>
  <c r="F3091" i="1"/>
  <c r="I3045" i="1"/>
  <c r="H3045" i="1"/>
  <c r="G3055" i="1"/>
  <c r="F3065" i="1"/>
  <c r="I3069" i="1" l="1"/>
  <c r="H3069" i="1"/>
  <c r="G3079" i="1"/>
  <c r="F3089" i="1"/>
  <c r="I3084" i="1"/>
  <c r="H3084" i="1"/>
  <c r="G3094" i="1"/>
  <c r="F3104" i="1"/>
  <c r="I3076" i="1"/>
  <c r="H3076" i="1"/>
  <c r="G3086" i="1"/>
  <c r="F3096" i="1"/>
  <c r="I3058" i="1"/>
  <c r="H3058" i="1"/>
  <c r="G3068" i="1"/>
  <c r="F3078" i="1"/>
  <c r="G3087" i="1"/>
  <c r="F3097" i="1"/>
  <c r="I3077" i="1"/>
  <c r="H3077" i="1"/>
  <c r="F3083" i="1"/>
  <c r="G3073" i="1"/>
  <c r="H3063" i="1"/>
  <c r="I3063" i="1"/>
  <c r="I3081" i="1"/>
  <c r="H3081" i="1"/>
  <c r="G3091" i="1"/>
  <c r="F3101" i="1"/>
  <c r="I3055" i="1"/>
  <c r="H3055" i="1"/>
  <c r="G3065" i="1"/>
  <c r="F3075" i="1"/>
  <c r="I3079" i="1" l="1"/>
  <c r="H3079" i="1"/>
  <c r="G3089" i="1"/>
  <c r="F3099" i="1"/>
  <c r="H3094" i="1"/>
  <c r="I3094" i="1"/>
  <c r="G3104" i="1"/>
  <c r="F3114" i="1"/>
  <c r="I3086" i="1"/>
  <c r="H3086" i="1"/>
  <c r="G3096" i="1"/>
  <c r="F3106" i="1"/>
  <c r="I3068" i="1"/>
  <c r="H3068" i="1"/>
  <c r="G3078" i="1"/>
  <c r="F3088" i="1"/>
  <c r="I3087" i="1"/>
  <c r="H3087" i="1"/>
  <c r="G3097" i="1"/>
  <c r="F3107" i="1"/>
  <c r="F3093" i="1"/>
  <c r="G3083" i="1"/>
  <c r="I3073" i="1"/>
  <c r="H3073" i="1"/>
  <c r="I3091" i="1"/>
  <c r="H3091" i="1"/>
  <c r="G3101" i="1"/>
  <c r="F3111" i="1"/>
  <c r="E308" i="2" a="1"/>
  <c r="H3065" i="1"/>
  <c r="I3065" i="1"/>
  <c r="G3075" i="1"/>
  <c r="F3085" i="1"/>
  <c r="I3089" i="1" l="1"/>
  <c r="H3089" i="1"/>
  <c r="G3099" i="1"/>
  <c r="F3109" i="1"/>
  <c r="I3104" i="1"/>
  <c r="H3104" i="1"/>
  <c r="F3124" i="1"/>
  <c r="G3114" i="1"/>
  <c r="H3096" i="1"/>
  <c r="I3096" i="1"/>
  <c r="G3106" i="1"/>
  <c r="F3116" i="1"/>
  <c r="I3078" i="1"/>
  <c r="H3078" i="1"/>
  <c r="G3088" i="1"/>
  <c r="F3098" i="1"/>
  <c r="H3097" i="1"/>
  <c r="I3097" i="1"/>
  <c r="G3107" i="1"/>
  <c r="F3117" i="1"/>
  <c r="F3103" i="1"/>
  <c r="G3093" i="1"/>
  <c r="H3083" i="1"/>
  <c r="I3083" i="1"/>
  <c r="I3101" i="1"/>
  <c r="H3101" i="1"/>
  <c r="G3111" i="1"/>
  <c r="F3121" i="1"/>
  <c r="I3075" i="1"/>
  <c r="H3075" i="1"/>
  <c r="G3085" i="1"/>
  <c r="F3095" i="1"/>
  <c r="I3099" i="1" l="1"/>
  <c r="H3099" i="1"/>
  <c r="G3109" i="1"/>
  <c r="F3119" i="1"/>
  <c r="G3124" i="1"/>
  <c r="F3134" i="1"/>
  <c r="H3114" i="1"/>
  <c r="I3114" i="1"/>
  <c r="H3106" i="1"/>
  <c r="I3106" i="1"/>
  <c r="G3116" i="1"/>
  <c r="F3126" i="1"/>
  <c r="I3088" i="1"/>
  <c r="H3088" i="1"/>
  <c r="G3098" i="1"/>
  <c r="F3108" i="1"/>
  <c r="I3107" i="1"/>
  <c r="H3107" i="1"/>
  <c r="F3127" i="1"/>
  <c r="G3117" i="1"/>
  <c r="G3103" i="1"/>
  <c r="F3113" i="1"/>
  <c r="I3093" i="1"/>
  <c r="H3093" i="1"/>
  <c r="H3111" i="1"/>
  <c r="I3111" i="1"/>
  <c r="G3121" i="1"/>
  <c r="F3131" i="1"/>
  <c r="H3085" i="1"/>
  <c r="I3085" i="1"/>
  <c r="G3095" i="1"/>
  <c r="F3105" i="1"/>
  <c r="I3109" i="1" l="1"/>
  <c r="H3109" i="1"/>
  <c r="G3119" i="1"/>
  <c r="F3129" i="1"/>
  <c r="H3124" i="1"/>
  <c r="I3124" i="1"/>
  <c r="F3144" i="1"/>
  <c r="G3134" i="1"/>
  <c r="I3116" i="1"/>
  <c r="H3116" i="1"/>
  <c r="G3126" i="1"/>
  <c r="F3136" i="1"/>
  <c r="I3098" i="1"/>
  <c r="H3098" i="1"/>
  <c r="G3108" i="1"/>
  <c r="F3118" i="1"/>
  <c r="G3127" i="1"/>
  <c r="F3137" i="1"/>
  <c r="H3117" i="1"/>
  <c r="I3117" i="1"/>
  <c r="I3103" i="1"/>
  <c r="H3103" i="1"/>
  <c r="F3123" i="1"/>
  <c r="G3113" i="1"/>
  <c r="I3121" i="1"/>
  <c r="H3121" i="1"/>
  <c r="F3141" i="1"/>
  <c r="G3131" i="1"/>
  <c r="H3095" i="1"/>
  <c r="I3095" i="1"/>
  <c r="F3115" i="1"/>
  <c r="G3105" i="1"/>
  <c r="I3119" i="1" l="1"/>
  <c r="H3119" i="1"/>
  <c r="G3129" i="1"/>
  <c r="F3139" i="1"/>
  <c r="F3154" i="1"/>
  <c r="G3144" i="1"/>
  <c r="H3134" i="1"/>
  <c r="I3134" i="1"/>
  <c r="H3126" i="1"/>
  <c r="I3126" i="1"/>
  <c r="G3136" i="1"/>
  <c r="F3146" i="1"/>
  <c r="H3108" i="1"/>
  <c r="I3108" i="1"/>
  <c r="G3118" i="1"/>
  <c r="F3128" i="1"/>
  <c r="I3127" i="1"/>
  <c r="H3127" i="1"/>
  <c r="G3137" i="1"/>
  <c r="F3147" i="1"/>
  <c r="F3133" i="1"/>
  <c r="G3123" i="1"/>
  <c r="H3113" i="1"/>
  <c r="I3113" i="1"/>
  <c r="F3151" i="1"/>
  <c r="G3141" i="1"/>
  <c r="I3131" i="1"/>
  <c r="H3131" i="1"/>
  <c r="F3125" i="1"/>
  <c r="G3115" i="1"/>
  <c r="H3105" i="1"/>
  <c r="I3105" i="1"/>
  <c r="H3129" i="1" l="1"/>
  <c r="I3129" i="1"/>
  <c r="G3139" i="1"/>
  <c r="F3149" i="1"/>
  <c r="F3164" i="1"/>
  <c r="G3154" i="1"/>
  <c r="I3144" i="1"/>
  <c r="H3144" i="1"/>
  <c r="H3136" i="1"/>
  <c r="I3136" i="1"/>
  <c r="G3146" i="1"/>
  <c r="F3156" i="1"/>
  <c r="H3118" i="1"/>
  <c r="I3118" i="1"/>
  <c r="G3128" i="1"/>
  <c r="F3138" i="1"/>
  <c r="I3137" i="1"/>
  <c r="H3137" i="1"/>
  <c r="F3157" i="1"/>
  <c r="G3147" i="1"/>
  <c r="F3143" i="1"/>
  <c r="G3133" i="1"/>
  <c r="H3123" i="1"/>
  <c r="I3123" i="1"/>
  <c r="F3161" i="1"/>
  <c r="G3151" i="1"/>
  <c r="H3141" i="1"/>
  <c r="I3141" i="1"/>
  <c r="F3135" i="1"/>
  <c r="G3125" i="1"/>
  <c r="H3115" i="1"/>
  <c r="I3115" i="1"/>
  <c r="I3139" i="1" l="1"/>
  <c r="H3139" i="1"/>
  <c r="G3149" i="1"/>
  <c r="F3159" i="1"/>
  <c r="F3174" i="1"/>
  <c r="G3164" i="1"/>
  <c r="H3154" i="1"/>
  <c r="I3154" i="1"/>
  <c r="I3146" i="1"/>
  <c r="H3146" i="1"/>
  <c r="G3156" i="1"/>
  <c r="F3166" i="1"/>
  <c r="H3128" i="1"/>
  <c r="I3128" i="1"/>
  <c r="G3138" i="1"/>
  <c r="F3148" i="1"/>
  <c r="G3157" i="1"/>
  <c r="F3167" i="1"/>
  <c r="I3147" i="1"/>
  <c r="H3147" i="1"/>
  <c r="G3143" i="1"/>
  <c r="F3153" i="1"/>
  <c r="H3133" i="1"/>
  <c r="I3133" i="1"/>
  <c r="G3161" i="1"/>
  <c r="F3171" i="1"/>
  <c r="H3151" i="1"/>
  <c r="I3151" i="1"/>
  <c r="F3145" i="1"/>
  <c r="G3135" i="1"/>
  <c r="I3125" i="1"/>
  <c r="H3125" i="1"/>
  <c r="I3149" i="1" l="1"/>
  <c r="H3149" i="1"/>
  <c r="G3159" i="1"/>
  <c r="F3169" i="1"/>
  <c r="F3184" i="1"/>
  <c r="G3174" i="1"/>
  <c r="I3164" i="1"/>
  <c r="H3164" i="1"/>
  <c r="H3156" i="1"/>
  <c r="I3156" i="1"/>
  <c r="G3166" i="1"/>
  <c r="F3176" i="1"/>
  <c r="I3138" i="1"/>
  <c r="H3138" i="1"/>
  <c r="G3148" i="1"/>
  <c r="F3158" i="1"/>
  <c r="I3157" i="1"/>
  <c r="H3157" i="1"/>
  <c r="F3177" i="1"/>
  <c r="G3167" i="1"/>
  <c r="I3143" i="1"/>
  <c r="H3143" i="1"/>
  <c r="F3163" i="1"/>
  <c r="G3153" i="1"/>
  <c r="H3161" i="1"/>
  <c r="I3161" i="1"/>
  <c r="F3181" i="1"/>
  <c r="G3171" i="1"/>
  <c r="F315" i="2" a="1"/>
  <c r="G3145" i="1"/>
  <c r="F3155" i="1"/>
  <c r="I3135" i="1"/>
  <c r="H3135" i="1"/>
  <c r="H3159" i="1" l="1"/>
  <c r="I3159" i="1"/>
  <c r="G3169" i="1"/>
  <c r="F3179" i="1"/>
  <c r="G3184" i="1"/>
  <c r="F3194" i="1"/>
  <c r="I3174" i="1"/>
  <c r="H3174" i="1"/>
  <c r="I3166" i="1"/>
  <c r="H3166" i="1"/>
  <c r="G3176" i="1"/>
  <c r="F3186" i="1"/>
  <c r="H3148" i="1"/>
  <c r="I3148" i="1"/>
  <c r="G3158" i="1"/>
  <c r="F3168" i="1"/>
  <c r="F3187" i="1"/>
  <c r="G3177" i="1"/>
  <c r="I3167" i="1"/>
  <c r="H3167" i="1"/>
  <c r="F3173" i="1"/>
  <c r="G3163" i="1"/>
  <c r="H3153" i="1"/>
  <c r="I3153" i="1"/>
  <c r="G3181" i="1"/>
  <c r="F3191" i="1"/>
  <c r="H3171" i="1"/>
  <c r="I3171" i="1"/>
  <c r="I3145" i="1"/>
  <c r="H3145" i="1"/>
  <c r="G3155" i="1"/>
  <c r="F3165" i="1"/>
  <c r="I3169" i="1" l="1"/>
  <c r="H3169" i="1"/>
  <c r="G3179" i="1"/>
  <c r="F3189" i="1"/>
  <c r="H3184" i="1"/>
  <c r="I3184" i="1"/>
  <c r="G3194" i="1"/>
  <c r="F3204" i="1"/>
  <c r="I3176" i="1"/>
  <c r="H3176" i="1"/>
  <c r="G3186" i="1"/>
  <c r="F3196" i="1"/>
  <c r="H3158" i="1"/>
  <c r="I3158" i="1"/>
  <c r="G3168" i="1"/>
  <c r="F3178" i="1"/>
  <c r="G3187" i="1"/>
  <c r="F3197" i="1"/>
  <c r="I3177" i="1"/>
  <c r="H3177" i="1"/>
  <c r="G3173" i="1"/>
  <c r="F3183" i="1"/>
  <c r="I3163" i="1"/>
  <c r="H3163" i="1"/>
  <c r="H3181" i="1"/>
  <c r="I3181" i="1"/>
  <c r="G3191" i="1"/>
  <c r="F3201" i="1"/>
  <c r="F317" i="2" a="1"/>
  <c r="I3155" i="1"/>
  <c r="H3155" i="1"/>
  <c r="G3165" i="1"/>
  <c r="F3175" i="1"/>
  <c r="H3179" i="1" l="1"/>
  <c r="I3179" i="1"/>
  <c r="G3189" i="1"/>
  <c r="F3199" i="1"/>
  <c r="H3194" i="1"/>
  <c r="I3194" i="1"/>
  <c r="G3204" i="1"/>
  <c r="F3214" i="1"/>
  <c r="I3186" i="1"/>
  <c r="H3186" i="1"/>
  <c r="G3196" i="1"/>
  <c r="F3206" i="1"/>
  <c r="I3168" i="1"/>
  <c r="H3168" i="1"/>
  <c r="G3178" i="1"/>
  <c r="F3188" i="1"/>
  <c r="H3187" i="1"/>
  <c r="I3187" i="1"/>
  <c r="F3207" i="1"/>
  <c r="G3197" i="1"/>
  <c r="I3173" i="1"/>
  <c r="H3173" i="1"/>
  <c r="G3183" i="1"/>
  <c r="F3193" i="1"/>
  <c r="H3191" i="1"/>
  <c r="I3191" i="1"/>
  <c r="F3211" i="1"/>
  <c r="G3201" i="1"/>
  <c r="F319" i="2" a="1"/>
  <c r="I3165" i="1"/>
  <c r="H3165" i="1"/>
  <c r="F3185" i="1"/>
  <c r="G3175" i="1"/>
  <c r="H3189" i="1" l="1"/>
  <c r="I3189" i="1"/>
  <c r="G3199" i="1"/>
  <c r="F3209" i="1"/>
  <c r="H3204" i="1"/>
  <c r="I3204" i="1"/>
  <c r="G3214" i="1"/>
  <c r="F3224" i="1"/>
  <c r="H3196" i="1"/>
  <c r="I3196" i="1"/>
  <c r="G3206" i="1"/>
  <c r="F3216" i="1"/>
  <c r="H3178" i="1"/>
  <c r="I3178" i="1"/>
  <c r="G3188" i="1"/>
  <c r="F3198" i="1"/>
  <c r="G3207" i="1"/>
  <c r="F3217" i="1"/>
  <c r="H3197" i="1"/>
  <c r="I3197" i="1"/>
  <c r="I3183" i="1"/>
  <c r="H3183" i="1"/>
  <c r="F3203" i="1"/>
  <c r="G3193" i="1"/>
  <c r="G3211" i="1"/>
  <c r="F3221" i="1"/>
  <c r="H3201" i="1"/>
  <c r="I3201" i="1"/>
  <c r="G3185" i="1"/>
  <c r="F3195" i="1"/>
  <c r="H3175" i="1"/>
  <c r="I3175" i="1"/>
  <c r="I3199" i="1" l="1"/>
  <c r="H3199" i="1"/>
  <c r="G3209" i="1"/>
  <c r="F3219" i="1"/>
  <c r="H3214" i="1"/>
  <c r="I3214" i="1"/>
  <c r="F3234" i="1"/>
  <c r="G3224" i="1"/>
  <c r="H3206" i="1"/>
  <c r="I3206" i="1"/>
  <c r="G3216" i="1"/>
  <c r="F3226" i="1"/>
  <c r="I3188" i="1"/>
  <c r="H3188" i="1"/>
  <c r="G3198" i="1"/>
  <c r="F3208" i="1"/>
  <c r="H3207" i="1"/>
  <c r="I3207" i="1"/>
  <c r="F3227" i="1"/>
  <c r="G3217" i="1"/>
  <c r="G3203" i="1"/>
  <c r="F3213" i="1"/>
  <c r="H3193" i="1"/>
  <c r="I3193" i="1"/>
  <c r="H3211" i="1"/>
  <c r="I3211" i="1"/>
  <c r="F3231" i="1"/>
  <c r="G3221" i="1"/>
  <c r="H3185" i="1"/>
  <c r="I3185" i="1"/>
  <c r="F3205" i="1"/>
  <c r="G3195" i="1"/>
  <c r="H3209" i="1" l="1"/>
  <c r="I3209" i="1"/>
  <c r="G3219" i="1"/>
  <c r="F3229" i="1"/>
  <c r="F3244" i="1"/>
  <c r="G3234" i="1"/>
  <c r="H3224" i="1"/>
  <c r="I3224" i="1"/>
  <c r="I3216" i="1"/>
  <c r="H3216" i="1"/>
  <c r="G3226" i="1"/>
  <c r="F3236" i="1"/>
  <c r="I3198" i="1"/>
  <c r="H3198" i="1"/>
  <c r="G3208" i="1"/>
  <c r="F3218" i="1"/>
  <c r="G3227" i="1"/>
  <c r="F3237" i="1"/>
  <c r="H3217" i="1"/>
  <c r="I3217" i="1"/>
  <c r="I3203" i="1"/>
  <c r="H3203" i="1"/>
  <c r="F3223" i="1"/>
  <c r="G3213" i="1"/>
  <c r="G3231" i="1"/>
  <c r="F3241" i="1"/>
  <c r="I3221" i="1"/>
  <c r="H3221" i="1"/>
  <c r="F321" i="2" a="1"/>
  <c r="F3215" i="1"/>
  <c r="G3205" i="1"/>
  <c r="I3195" i="1"/>
  <c r="H3195" i="1"/>
  <c r="H3219" i="1" l="1"/>
  <c r="I3219" i="1"/>
  <c r="G3229" i="1"/>
  <c r="F3239" i="1"/>
  <c r="F3254" i="1"/>
  <c r="G3244" i="1"/>
  <c r="H3234" i="1"/>
  <c r="I3234" i="1"/>
  <c r="I3226" i="1"/>
  <c r="H3226" i="1"/>
  <c r="G3236" i="1"/>
  <c r="F3246" i="1"/>
  <c r="I3208" i="1"/>
  <c r="H3208" i="1"/>
  <c r="G3218" i="1"/>
  <c r="F3228" i="1"/>
  <c r="H3227" i="1"/>
  <c r="I3227" i="1"/>
  <c r="G3237" i="1"/>
  <c r="F3247" i="1"/>
  <c r="F3233" i="1"/>
  <c r="G3223" i="1"/>
  <c r="H3213" i="1"/>
  <c r="I3213" i="1"/>
  <c r="I3231" i="1"/>
  <c r="H3231" i="1"/>
  <c r="G3241" i="1"/>
  <c r="F3251" i="1"/>
  <c r="F322" i="2" a="1"/>
  <c r="G3215" i="1"/>
  <c r="F3225" i="1"/>
  <c r="I3205" i="1"/>
  <c r="H3205" i="1"/>
  <c r="H3229" i="1" l="1"/>
  <c r="I3229" i="1"/>
  <c r="G3239" i="1"/>
  <c r="F3249" i="1"/>
  <c r="G3254" i="1"/>
  <c r="F3264" i="1"/>
  <c r="I3244" i="1"/>
  <c r="H3244" i="1"/>
  <c r="H3236" i="1"/>
  <c r="I3236" i="1"/>
  <c r="G3246" i="1"/>
  <c r="F3256" i="1"/>
  <c r="H3218" i="1"/>
  <c r="I3218" i="1"/>
  <c r="G3228" i="1"/>
  <c r="F3238" i="1"/>
  <c r="H3237" i="1"/>
  <c r="I3237" i="1"/>
  <c r="G3247" i="1"/>
  <c r="F3257" i="1"/>
  <c r="F3243" i="1"/>
  <c r="G3233" i="1"/>
  <c r="H3223" i="1"/>
  <c r="I3223" i="1"/>
  <c r="H3241" i="1"/>
  <c r="I3241" i="1"/>
  <c r="G3251" i="1"/>
  <c r="F3261" i="1"/>
  <c r="H3215" i="1"/>
  <c r="I3215" i="1"/>
  <c r="G3225" i="1"/>
  <c r="F3235" i="1"/>
  <c r="H3239" i="1" l="1"/>
  <c r="I3239" i="1"/>
  <c r="G3249" i="1"/>
  <c r="F3259" i="1"/>
  <c r="I3254" i="1"/>
  <c r="H3254" i="1"/>
  <c r="G3264" i="1"/>
  <c r="F3274" i="1"/>
  <c r="I3246" i="1"/>
  <c r="H3246" i="1"/>
  <c r="G3256" i="1"/>
  <c r="F3266" i="1"/>
  <c r="H3228" i="1"/>
  <c r="I3228" i="1"/>
  <c r="G3238" i="1"/>
  <c r="F3248" i="1"/>
  <c r="H3247" i="1"/>
  <c r="I3247" i="1"/>
  <c r="F3267" i="1"/>
  <c r="G3257" i="1"/>
  <c r="G3243" i="1"/>
  <c r="F3253" i="1"/>
  <c r="H3233" i="1"/>
  <c r="I3233" i="1"/>
  <c r="I3251" i="1"/>
  <c r="H3251" i="1"/>
  <c r="G3261" i="1"/>
  <c r="F3271" i="1"/>
  <c r="F324" i="2" a="1"/>
  <c r="I3225" i="1"/>
  <c r="H3225" i="1"/>
  <c r="F3245" i="1"/>
  <c r="G3235" i="1"/>
  <c r="I3249" i="1" l="1"/>
  <c r="H3249" i="1"/>
  <c r="G3259" i="1"/>
  <c r="F3269" i="1"/>
  <c r="I3264" i="1"/>
  <c r="H3264" i="1"/>
  <c r="F3284" i="1"/>
  <c r="G3274" i="1"/>
  <c r="I3256" i="1"/>
  <c r="H3256" i="1"/>
  <c r="G3266" i="1"/>
  <c r="F3276" i="1"/>
  <c r="I3238" i="1"/>
  <c r="H3238" i="1"/>
  <c r="G3248" i="1"/>
  <c r="F3258" i="1"/>
  <c r="F3277" i="1"/>
  <c r="G3267" i="1"/>
  <c r="I3257" i="1"/>
  <c r="H3257" i="1"/>
  <c r="H3243" i="1"/>
  <c r="I3243" i="1"/>
  <c r="G3253" i="1"/>
  <c r="F3263" i="1"/>
  <c r="H3261" i="1"/>
  <c r="I3261" i="1"/>
  <c r="G3271" i="1"/>
  <c r="F3281" i="1"/>
  <c r="F3255" i="1"/>
  <c r="G3245" i="1"/>
  <c r="H3235" i="1"/>
  <c r="I3235" i="1"/>
  <c r="H3259" i="1" l="1"/>
  <c r="I3259" i="1"/>
  <c r="G3269" i="1"/>
  <c r="F3279" i="1"/>
  <c r="F3294" i="1"/>
  <c r="G3284" i="1"/>
  <c r="H3274" i="1"/>
  <c r="I3274" i="1"/>
  <c r="H3266" i="1"/>
  <c r="I3266" i="1"/>
  <c r="G3276" i="1"/>
  <c r="F3286" i="1"/>
  <c r="I3248" i="1"/>
  <c r="H3248" i="1"/>
  <c r="G3258" i="1"/>
  <c r="F3268" i="1"/>
  <c r="G3277" i="1"/>
  <c r="F3287" i="1"/>
  <c r="H3267" i="1"/>
  <c r="I3267" i="1"/>
  <c r="H3253" i="1"/>
  <c r="I3253" i="1"/>
  <c r="F3273" i="1"/>
  <c r="G3263" i="1"/>
  <c r="I3271" i="1"/>
  <c r="H3271" i="1"/>
  <c r="F3291" i="1"/>
  <c r="G3281" i="1"/>
  <c r="G3255" i="1"/>
  <c r="F3265" i="1"/>
  <c r="I3245" i="1"/>
  <c r="H3245" i="1"/>
  <c r="I3269" i="1" l="1"/>
  <c r="H3269" i="1"/>
  <c r="G3279" i="1"/>
  <c r="F3289" i="1"/>
  <c r="G3294" i="1"/>
  <c r="F3304" i="1"/>
  <c r="H3284" i="1"/>
  <c r="I3284" i="1"/>
  <c r="I3276" i="1"/>
  <c r="H3276" i="1"/>
  <c r="G3286" i="1"/>
  <c r="F3296" i="1"/>
  <c r="I3258" i="1"/>
  <c r="H3258" i="1"/>
  <c r="G3268" i="1"/>
  <c r="F3278" i="1"/>
  <c r="H3277" i="1"/>
  <c r="I3277" i="1"/>
  <c r="F3297" i="1"/>
  <c r="G3287" i="1"/>
  <c r="F3283" i="1"/>
  <c r="G3273" i="1"/>
  <c r="I3263" i="1"/>
  <c r="H3263" i="1"/>
  <c r="F3301" i="1"/>
  <c r="G3291" i="1"/>
  <c r="I3281" i="1"/>
  <c r="H3281" i="1"/>
  <c r="F327" i="2" a="1"/>
  <c r="I3255" i="1"/>
  <c r="H3255" i="1"/>
  <c r="F3275" i="1"/>
  <c r="G3265" i="1"/>
  <c r="I3279" i="1" l="1"/>
  <c r="H3279" i="1"/>
  <c r="G3289" i="1"/>
  <c r="F3299" i="1"/>
  <c r="H3294" i="1"/>
  <c r="I3294" i="1"/>
  <c r="F3314" i="1"/>
  <c r="G3304" i="1"/>
  <c r="I3286" i="1"/>
  <c r="H3286" i="1"/>
  <c r="G3296" i="1"/>
  <c r="F3306" i="1"/>
  <c r="H3268" i="1"/>
  <c r="I3268" i="1"/>
  <c r="G3278" i="1"/>
  <c r="F3288" i="1"/>
  <c r="G3297" i="1"/>
  <c r="F3307" i="1"/>
  <c r="H3287" i="1"/>
  <c r="I3287" i="1"/>
  <c r="G3283" i="1"/>
  <c r="F3293" i="1"/>
  <c r="I3273" i="1"/>
  <c r="H3273" i="1"/>
  <c r="F3311" i="1"/>
  <c r="G3301" i="1"/>
  <c r="I3291" i="1"/>
  <c r="H3291" i="1"/>
  <c r="F328" i="2" a="1"/>
  <c r="F3285" i="1"/>
  <c r="G3275" i="1"/>
  <c r="H3265" i="1"/>
  <c r="I3265" i="1"/>
  <c r="H3289" i="1" l="1"/>
  <c r="I3289" i="1"/>
  <c r="G3299" i="1"/>
  <c r="F3309" i="1"/>
  <c r="F3324" i="1"/>
  <c r="G3314" i="1"/>
  <c r="I3304" i="1"/>
  <c r="H3304" i="1"/>
  <c r="I3296" i="1"/>
  <c r="H3296" i="1"/>
  <c r="G3306" i="1"/>
  <c r="F3316" i="1"/>
  <c r="I3278" i="1"/>
  <c r="H3278" i="1"/>
  <c r="G3288" i="1"/>
  <c r="F3298" i="1"/>
  <c r="H3297" i="1"/>
  <c r="I3297" i="1"/>
  <c r="G3307" i="1"/>
  <c r="F3317" i="1"/>
  <c r="I3283" i="1"/>
  <c r="H3283" i="1"/>
  <c r="G3293" i="1"/>
  <c r="F3303" i="1"/>
  <c r="G3311" i="1"/>
  <c r="F3321" i="1"/>
  <c r="H3301" i="1"/>
  <c r="I3301" i="1"/>
  <c r="G3285" i="1"/>
  <c r="F3295" i="1"/>
  <c r="H3275" i="1"/>
  <c r="I3275" i="1"/>
  <c r="I3299" i="1" l="1"/>
  <c r="H3299" i="1"/>
  <c r="G3309" i="1"/>
  <c r="F3319" i="1"/>
  <c r="G3324" i="1"/>
  <c r="F3334" i="1"/>
  <c r="G3334" i="1" s="1"/>
  <c r="I3314" i="1"/>
  <c r="H3314" i="1"/>
  <c r="H3306" i="1"/>
  <c r="I3306" i="1"/>
  <c r="G3316" i="1"/>
  <c r="F3326" i="1"/>
  <c r="I3288" i="1"/>
  <c r="H3288" i="1"/>
  <c r="G3298" i="1"/>
  <c r="F3308" i="1"/>
  <c r="I3307" i="1"/>
  <c r="H3307" i="1"/>
  <c r="G3317" i="1"/>
  <c r="F3327" i="1"/>
  <c r="I3293" i="1"/>
  <c r="H3293" i="1"/>
  <c r="F3313" i="1"/>
  <c r="G3303" i="1"/>
  <c r="I3311" i="1"/>
  <c r="H3311" i="1"/>
  <c r="F3331" i="1"/>
  <c r="G3321" i="1"/>
  <c r="F329" i="2" a="1"/>
  <c r="I3285" i="1"/>
  <c r="H3285" i="1"/>
  <c r="F3305" i="1"/>
  <c r="G3295" i="1"/>
  <c r="I3309" i="1" l="1"/>
  <c r="H3309" i="1"/>
  <c r="G3319" i="1"/>
  <c r="F3329" i="1"/>
  <c r="H3324" i="1"/>
  <c r="I3324" i="1"/>
  <c r="H3334" i="1"/>
  <c r="I3334" i="1"/>
  <c r="H3316" i="1"/>
  <c r="I3316" i="1"/>
  <c r="G3326" i="1"/>
  <c r="F3336" i="1"/>
  <c r="G3336" i="1" s="1"/>
  <c r="I3298" i="1"/>
  <c r="H3298" i="1"/>
  <c r="G3308" i="1"/>
  <c r="F3318" i="1"/>
  <c r="I3317" i="1"/>
  <c r="H3317" i="1"/>
  <c r="F3337" i="1"/>
  <c r="G3337" i="1" s="1"/>
  <c r="G3327" i="1"/>
  <c r="F3323" i="1"/>
  <c r="G3313" i="1"/>
  <c r="I3303" i="1"/>
  <c r="H3303" i="1"/>
  <c r="F3341" i="1"/>
  <c r="G3341" i="1" s="1"/>
  <c r="G3331" i="1"/>
  <c r="H3321" i="1"/>
  <c r="I3321" i="1"/>
  <c r="F3315" i="1"/>
  <c r="G3305" i="1"/>
  <c r="H3295" i="1"/>
  <c r="I3295" i="1"/>
  <c r="I3319" i="1" l="1"/>
  <c r="H3319" i="1"/>
  <c r="G3329" i="1"/>
  <c r="F3339" i="1"/>
  <c r="G3339" i="1" s="1"/>
  <c r="E329" i="2" a="1"/>
  <c r="E94" i="2" a="1"/>
  <c r="F96" i="3" s="1"/>
  <c r="I3326" i="1"/>
  <c r="H3326" i="1"/>
  <c r="H3336" i="1"/>
  <c r="I3336" i="1"/>
  <c r="I3308" i="1"/>
  <c r="H3308" i="1"/>
  <c r="G3318" i="1"/>
  <c r="F3328" i="1"/>
  <c r="I3337" i="1"/>
  <c r="H3337" i="1"/>
  <c r="I3327" i="1"/>
  <c r="H3327" i="1"/>
  <c r="G3323" i="1"/>
  <c r="F3333" i="1"/>
  <c r="G3333" i="1" s="1"/>
  <c r="I3313" i="1"/>
  <c r="H3313" i="1"/>
  <c r="I3341" i="1"/>
  <c r="H3341" i="1"/>
  <c r="I3331" i="1"/>
  <c r="H3331" i="1"/>
  <c r="F333" i="2" a="1"/>
  <c r="F3325" i="1"/>
  <c r="G3315" i="1"/>
  <c r="H3305" i="1"/>
  <c r="I3305" i="1"/>
  <c r="H3329" i="1" l="1"/>
  <c r="E305" i="2" s="1" a="1"/>
  <c r="I3329" i="1"/>
  <c r="H3339" i="1"/>
  <c r="I3339" i="1"/>
  <c r="E322" i="2" a="1"/>
  <c r="E229" i="2" a="1"/>
  <c r="E90" i="2" a="1"/>
  <c r="F92" i="3" s="1"/>
  <c r="E95" i="2" a="1"/>
  <c r="F97" i="3" s="1"/>
  <c r="E59" i="2" a="1"/>
  <c r="F61" i="3" s="1"/>
  <c r="E303" i="2" a="1"/>
  <c r="H3318" i="1"/>
  <c r="I3318" i="1"/>
  <c r="G3328" i="1"/>
  <c r="F3338" i="1"/>
  <c r="G3338" i="1" s="1"/>
  <c r="F40" i="2" a="1"/>
  <c r="G42" i="3" s="1"/>
  <c r="F3" i="2" a="1"/>
  <c r="G5" i="3" s="1"/>
  <c r="H3323" i="1"/>
  <c r="E270" i="2" s="1" a="1"/>
  <c r="I3323" i="1"/>
  <c r="I3333" i="1"/>
  <c r="H3333" i="1"/>
  <c r="E333" i="2" a="1"/>
  <c r="F3335" i="1"/>
  <c r="G3335" i="1" s="1"/>
  <c r="G3325" i="1"/>
  <c r="H3315" i="1"/>
  <c r="I3315" i="1"/>
  <c r="E235" i="2" l="1" a="1"/>
  <c r="F300" i="2" a="1"/>
  <c r="F158" i="2" a="1"/>
  <c r="G160" i="3" s="1"/>
  <c r="F56" i="2" a="1"/>
  <c r="G58" i="3" s="1"/>
  <c r="F313" i="2" a="1"/>
  <c r="F148" i="2" a="1"/>
  <c r="G150" i="3" s="1"/>
  <c r="F138" i="2" a="1"/>
  <c r="G140" i="3" s="1"/>
  <c r="F153" i="2" a="1"/>
  <c r="G155" i="3" s="1"/>
  <c r="F166" i="2" a="1"/>
  <c r="G168" i="3" s="1"/>
  <c r="F281" i="2" a="1"/>
  <c r="F287" i="2" a="1"/>
  <c r="F146" i="2" a="1"/>
  <c r="G148" i="3" s="1"/>
  <c r="F168" i="2" a="1"/>
  <c r="G170" i="3" s="1"/>
  <c r="F179" i="2" a="1"/>
  <c r="F299" i="2" a="1"/>
  <c r="F326" i="2" a="1"/>
  <c r="F221" i="2" a="1"/>
  <c r="F182" i="2" a="1"/>
  <c r="F69" i="2" a="1"/>
  <c r="G71" i="3" s="1"/>
  <c r="F199" i="2" a="1"/>
  <c r="F155" i="2" a="1"/>
  <c r="G157" i="3" s="1"/>
  <c r="F305" i="2" a="1"/>
  <c r="F270" i="2" a="1"/>
  <c r="F283" i="2" a="1"/>
  <c r="F309" i="2" a="1"/>
  <c r="F295" i="2" a="1"/>
  <c r="F156" i="2" a="1"/>
  <c r="G158" i="3" s="1"/>
  <c r="F157" i="2" a="1"/>
  <c r="G159" i="3" s="1"/>
  <c r="F304" i="2" a="1"/>
  <c r="F150" i="2" a="1"/>
  <c r="G152" i="3" s="1"/>
  <c r="F163" i="2" a="1"/>
  <c r="G165" i="3" s="1"/>
  <c r="F334" i="2" a="1"/>
  <c r="F81" i="2" a="1"/>
  <c r="G83" i="3" s="1"/>
  <c r="E276" i="2" a="1"/>
  <c r="E252" i="2" a="1"/>
  <c r="F86" i="2" a="1"/>
  <c r="G88" i="3" s="1"/>
  <c r="F93" i="2" a="1"/>
  <c r="G95" i="3" s="1"/>
  <c r="F8" i="2" a="1"/>
  <c r="G10" i="3" s="1"/>
  <c r="F52" i="2" a="1"/>
  <c r="G54" i="3" s="1"/>
  <c r="E125" i="2" a="1"/>
  <c r="F127" i="3" s="1"/>
  <c r="E264" i="2" a="1"/>
  <c r="E263" i="2" a="1"/>
  <c r="E143" i="2" a="1"/>
  <c r="F145" i="3" s="1"/>
  <c r="E328" i="2" a="1"/>
  <c r="E331" i="2" a="1"/>
  <c r="F84" i="2" a="1"/>
  <c r="G86" i="3" s="1"/>
  <c r="E199" i="2" a="1"/>
  <c r="E273" i="2" a="1"/>
  <c r="E210" i="2" a="1"/>
  <c r="E181" i="2" a="1"/>
  <c r="E182" i="2" a="1"/>
  <c r="E318" i="2" a="1"/>
  <c r="E317" i="2" a="1"/>
  <c r="E306" i="2" a="1"/>
  <c r="E312" i="2" a="1"/>
  <c r="E230" i="2" a="1"/>
  <c r="E245" i="2" a="1"/>
  <c r="E314" i="2" a="1"/>
  <c r="E172" i="2" a="1"/>
  <c r="F174" i="3" s="1"/>
  <c r="E288" i="2" a="1"/>
  <c r="E231" i="2" a="1"/>
  <c r="E176" i="2" a="1"/>
  <c r="F178" i="3" s="1"/>
  <c r="E278" i="2" a="1"/>
  <c r="E227" i="2" a="1"/>
  <c r="E193" i="2" a="1"/>
  <c r="E301" i="2" a="1"/>
  <c r="E272" i="2" a="1"/>
  <c r="E122" i="2" a="1"/>
  <c r="F124" i="3" s="1"/>
  <c r="E282" i="2" a="1"/>
  <c r="E107" i="2" a="1"/>
  <c r="F109" i="3" s="1"/>
  <c r="E289" i="2" a="1"/>
  <c r="E105" i="2" a="1"/>
  <c r="F107" i="3" s="1"/>
  <c r="E144" i="2" a="1"/>
  <c r="F146" i="3" s="1"/>
  <c r="E299" i="2" a="1"/>
  <c r="E202" i="2" a="1"/>
  <c r="E250" i="2" a="1"/>
  <c r="E275" i="2" a="1"/>
  <c r="E311" i="2" a="1"/>
  <c r="E177" i="2" a="1"/>
  <c r="F179" i="3" s="1"/>
  <c r="E325" i="2" a="1"/>
  <c r="E287" i="2" a="1"/>
  <c r="E330" i="2" a="1"/>
  <c r="E174" i="2" a="1"/>
  <c r="F176" i="3" s="1"/>
  <c r="E290" i="2" a="1"/>
  <c r="E4" i="2" a="1"/>
  <c r="F6" i="3" s="1"/>
  <c r="E10" i="2" a="1"/>
  <c r="F12" i="3" s="1"/>
  <c r="E41" i="2" a="1"/>
  <c r="F43" i="3" s="1"/>
  <c r="E43" i="2" a="1"/>
  <c r="F45" i="3" s="1"/>
  <c r="E14" i="2" a="1"/>
  <c r="F16" i="3" s="1"/>
  <c r="E9" i="2" a="1"/>
  <c r="F11" i="3" s="1"/>
  <c r="E224" i="2" a="1"/>
  <c r="E130" i="2" a="1"/>
  <c r="F132" i="3" s="1"/>
  <c r="E3" i="2" a="1"/>
  <c r="F5" i="3" s="1"/>
  <c r="E277" i="2" a="1"/>
  <c r="E71" i="2" a="1"/>
  <c r="F73" i="3" s="1"/>
  <c r="E326" i="2" a="1"/>
  <c r="E86" i="2" a="1"/>
  <c r="F88" i="3" s="1"/>
  <c r="E64" i="2" a="1"/>
  <c r="F66" i="3" s="1"/>
  <c r="E112" i="2" a="1"/>
  <c r="F114" i="3" s="1"/>
  <c r="E159" i="2" a="1"/>
  <c r="F161" i="3" s="1"/>
  <c r="F38" i="2" a="1"/>
  <c r="G40" i="3" s="1"/>
  <c r="F35" i="2" a="1"/>
  <c r="G37" i="3" s="1"/>
  <c r="H3328" i="1"/>
  <c r="I3328" i="1"/>
  <c r="I3338" i="1"/>
  <c r="H3338" i="1"/>
  <c r="E232" i="2" a="1"/>
  <c r="E138" i="2" a="1"/>
  <c r="F140" i="3" s="1"/>
  <c r="E164" i="2" a="1"/>
  <c r="F166" i="3" s="1"/>
  <c r="E15" i="2" a="1"/>
  <c r="F17" i="3" s="1"/>
  <c r="E65" i="2" a="1"/>
  <c r="F67" i="3" s="1"/>
  <c r="E239" i="2" a="1"/>
  <c r="E42" i="2" a="1"/>
  <c r="F44" i="3" s="1"/>
  <c r="E12" i="2" a="1"/>
  <c r="F14" i="3" s="1"/>
  <c r="E60" i="2" a="1"/>
  <c r="F62" i="3" s="1"/>
  <c r="E63" i="2" a="1"/>
  <c r="F65" i="3" s="1"/>
  <c r="E251" i="2" a="1"/>
  <c r="E91" i="2" a="1"/>
  <c r="F93" i="3" s="1"/>
  <c r="E146" i="2" a="1"/>
  <c r="F148" i="3" s="1"/>
  <c r="E165" i="2" a="1"/>
  <c r="F167" i="3" s="1"/>
  <c r="F289" i="2" a="1"/>
  <c r="F268" i="2" a="1"/>
  <c r="F216" i="2" a="1"/>
  <c r="F213" i="2" a="1"/>
  <c r="F288" i="2" a="1"/>
  <c r="F266" i="2" a="1"/>
  <c r="F208" i="2" a="1"/>
  <c r="F236" i="2" a="1"/>
  <c r="F190" i="2" a="1"/>
  <c r="F187" i="2" a="1"/>
  <c r="F205" i="2" a="1"/>
  <c r="F116" i="2" a="1"/>
  <c r="G118" i="3" s="1"/>
  <c r="F228" i="2" a="1"/>
  <c r="F105" i="2" a="1"/>
  <c r="G107" i="3" s="1"/>
  <c r="F118" i="2" a="1"/>
  <c r="G120" i="3" s="1"/>
  <c r="F279" i="2" a="1"/>
  <c r="F175" i="2" a="1"/>
  <c r="G177" i="3" s="1"/>
  <c r="F280" i="2" a="1"/>
  <c r="F261" i="2" a="1"/>
  <c r="F178" i="2" a="1"/>
  <c r="G180" i="3" s="1"/>
  <c r="F255" i="2" a="1"/>
  <c r="F123" i="2" a="1"/>
  <c r="G125" i="3" s="1"/>
  <c r="F214" i="2" a="1"/>
  <c r="I3335" i="1"/>
  <c r="H3335" i="1"/>
  <c r="I3325" i="1"/>
  <c r="H3325" i="1"/>
  <c r="E35" i="2" l="1" a="1"/>
  <c r="F37" i="3" s="1"/>
  <c r="E46" i="2" a="1"/>
  <c r="F48" i="3" s="1"/>
  <c r="E240" i="2" a="1"/>
  <c r="E27" i="2" a="1"/>
  <c r="F29" i="3" s="1"/>
  <c r="E25" i="2" a="1"/>
  <c r="F27" i="3" s="1"/>
  <c r="E247" i="2" a="1"/>
  <c r="E258" i="2" a="1"/>
  <c r="E332" i="2" a="1"/>
  <c r="E2" i="2" a="1"/>
  <c r="F4" i="3" s="1"/>
  <c r="E24" i="2" a="1"/>
  <c r="F26" i="3" s="1"/>
  <c r="E5" i="2" a="1"/>
  <c r="F7" i="3" s="1"/>
  <c r="E236" i="2" a="1"/>
  <c r="E44" i="2" a="1"/>
  <c r="F46" i="3" s="1"/>
  <c r="E80" i="2" a="1"/>
  <c r="F82" i="3" s="1"/>
  <c r="F311" i="2" a="1"/>
  <c r="F220" i="2" a="1"/>
  <c r="F303" i="2" a="1"/>
  <c r="F164" i="2" a="1"/>
  <c r="G166" i="3" s="1"/>
  <c r="F271" i="2" a="1"/>
  <c r="F173" i="2" a="1"/>
  <c r="G175" i="3" s="1"/>
  <c r="F133" i="2" a="1"/>
  <c r="G135" i="3" s="1"/>
  <c r="F63" i="2" a="1"/>
  <c r="G65" i="3" s="1"/>
  <c r="F259" i="2" a="1"/>
  <c r="F162" i="2" a="1"/>
  <c r="G164" i="3" s="1"/>
  <c r="F194" i="2" a="1"/>
  <c r="F308" i="2" a="1"/>
  <c r="F154" i="2" a="1"/>
  <c r="G156" i="3" s="1"/>
  <c r="F136" i="2" a="1"/>
  <c r="G138" i="3" s="1"/>
  <c r="F307" i="2" a="1"/>
  <c r="F161" i="2" a="1"/>
  <c r="G163" i="3" s="1"/>
  <c r="F130" i="2" a="1"/>
  <c r="G132" i="3" s="1"/>
  <c r="F159" i="2" a="1"/>
  <c r="G161" i="3" s="1"/>
  <c r="F160" i="2" a="1"/>
  <c r="G162" i="3" s="1"/>
  <c r="F265" i="2" a="1"/>
  <c r="F296" i="2" a="1"/>
  <c r="F47" i="2" a="1"/>
  <c r="G49" i="3" s="1"/>
  <c r="F306" i="2" a="1"/>
  <c r="F325" i="2" a="1"/>
  <c r="F302" i="2" a="1"/>
  <c r="F219" i="2" a="1"/>
  <c r="F200" i="2" a="1"/>
  <c r="F65" i="2" a="1"/>
  <c r="G67" i="3" s="1"/>
  <c r="F197" i="2" a="1"/>
  <c r="F202" i="2" a="1"/>
  <c r="F198" i="2" a="1"/>
  <c r="F201" i="2" a="1"/>
  <c r="F58" i="2" a="1"/>
  <c r="G60" i="3" s="1"/>
  <c r="F131" i="2" a="1"/>
  <c r="G133" i="3" s="1"/>
  <c r="F186" i="2" a="1"/>
  <c r="F320" i="2" a="1"/>
  <c r="F229" i="2" a="1"/>
  <c r="F180" i="2" a="1"/>
  <c r="F195" i="2" a="1"/>
  <c r="F263" i="2" a="1"/>
  <c r="F215" i="2" a="1"/>
  <c r="F297" i="2" a="1"/>
  <c r="F110" i="2" a="1"/>
  <c r="G112" i="3" s="1"/>
  <c r="F171" i="2" a="1"/>
  <c r="G173" i="3" s="1"/>
  <c r="F286" i="2" a="1"/>
  <c r="F185" i="2" a="1"/>
  <c r="F210" i="2" a="1"/>
  <c r="F106" i="2" a="1"/>
  <c r="G108" i="3" s="1"/>
  <c r="F251" i="2" a="1"/>
  <c r="F204" i="2" a="1"/>
  <c r="F188" i="2" a="1"/>
  <c r="F104" i="2" a="1"/>
  <c r="G106" i="3" s="1"/>
  <c r="F147" i="2" a="1"/>
  <c r="G149" i="3" s="1"/>
  <c r="F141" i="2" a="1"/>
  <c r="G143" i="3" s="1"/>
  <c r="F169" i="2" a="1"/>
  <c r="G171" i="3" s="1"/>
  <c r="E195" i="2" a="1"/>
  <c r="E142" i="2" a="1"/>
  <c r="F144" i="3" s="1"/>
  <c r="E31" i="2" a="1"/>
  <c r="F33" i="3" s="1"/>
  <c r="E170" i="2" a="1"/>
  <c r="F172" i="3" s="1"/>
  <c r="E127" i="2" a="1"/>
  <c r="F129" i="3" s="1"/>
  <c r="E51" i="2" a="1"/>
  <c r="F53" i="3" s="1"/>
  <c r="E108" i="2" a="1"/>
  <c r="F110" i="3" s="1"/>
  <c r="E140" i="2" a="1"/>
  <c r="F142" i="3" s="1"/>
  <c r="E67" i="2" a="1"/>
  <c r="F69" i="3" s="1"/>
  <c r="E78" i="2" a="1"/>
  <c r="F80" i="3" s="1"/>
  <c r="E7" i="2" a="1"/>
  <c r="F9" i="3" s="1"/>
  <c r="E104" i="2" a="1"/>
  <c r="F106" i="3" s="1"/>
  <c r="E154" i="2" a="1"/>
  <c r="F156" i="3" s="1"/>
  <c r="F6" i="2" a="1"/>
  <c r="G8" i="3" s="1"/>
  <c r="F57" i="2" a="1"/>
  <c r="G59" i="3" s="1"/>
  <c r="F20" i="2" a="1"/>
  <c r="G22" i="3" s="1"/>
  <c r="F72" i="2" a="1"/>
  <c r="G74" i="3" s="1"/>
  <c r="F53" i="2" a="1"/>
  <c r="G55" i="3" s="1"/>
  <c r="F46" i="2" a="1"/>
  <c r="G48" i="3" s="1"/>
  <c r="F101" i="2" a="1"/>
  <c r="G103" i="3" s="1"/>
  <c r="F83" i="2" a="1"/>
  <c r="G85" i="3" s="1"/>
  <c r="F23" i="2" a="1"/>
  <c r="G25" i="3" s="1"/>
  <c r="F92" i="2" a="1"/>
  <c r="G94" i="3" s="1"/>
  <c r="F99" i="2" a="1"/>
  <c r="G101" i="3" s="1"/>
  <c r="F79" i="2" a="1"/>
  <c r="G81" i="3" s="1"/>
  <c r="F95" i="2" a="1"/>
  <c r="G97" i="3" s="1"/>
  <c r="F74" i="2" a="1"/>
  <c r="G76" i="3" s="1"/>
  <c r="F88" i="2" a="1"/>
  <c r="G90" i="3" s="1"/>
  <c r="F41" i="2" a="1"/>
  <c r="G43" i="3" s="1"/>
  <c r="F43" i="2" a="1"/>
  <c r="G45" i="3" s="1"/>
  <c r="F75" i="2" a="1"/>
  <c r="G77" i="3" s="1"/>
  <c r="F78" i="2" a="1"/>
  <c r="G80" i="3" s="1"/>
  <c r="F5" i="2" a="1"/>
  <c r="G7" i="3" s="1"/>
  <c r="F91" i="2" a="1"/>
  <c r="G93" i="3" s="1"/>
  <c r="F77" i="2" a="1"/>
  <c r="G79" i="3" s="1"/>
  <c r="F60" i="2" a="1"/>
  <c r="G62" i="3" s="1"/>
  <c r="F90" i="2" a="1"/>
  <c r="G92" i="3" s="1"/>
  <c r="F42" i="2" a="1"/>
  <c r="G44" i="3" s="1"/>
  <c r="F55" i="2" a="1"/>
  <c r="G57" i="3" s="1"/>
  <c r="F2" i="2" a="1"/>
  <c r="G4" i="3" s="1"/>
  <c r="F82" i="2" a="1"/>
  <c r="G84" i="3" s="1"/>
  <c r="F94" i="2" a="1"/>
  <c r="G96" i="3" s="1"/>
  <c r="F18" i="2" a="1"/>
  <c r="G20" i="3" s="1"/>
  <c r="F293" i="2" a="1"/>
  <c r="F16" i="2" a="1"/>
  <c r="G18" i="3" s="1"/>
  <c r="F73" i="2" a="1"/>
  <c r="G75" i="3" s="1"/>
  <c r="F115" i="2" a="1"/>
  <c r="G117" i="3" s="1"/>
  <c r="F28" i="2" a="1"/>
  <c r="G30" i="3" s="1"/>
  <c r="F98" i="2" a="1"/>
  <c r="G100" i="3" s="1"/>
  <c r="F21" i="2" a="1"/>
  <c r="G23" i="3" s="1"/>
  <c r="F80" i="2" a="1"/>
  <c r="G82" i="3" s="1"/>
  <c r="F103" i="2" a="1"/>
  <c r="G105" i="3" s="1"/>
  <c r="F96" i="2" a="1"/>
  <c r="G98" i="3" s="1"/>
  <c r="F11" i="2" a="1"/>
  <c r="G13" i="3" s="1"/>
  <c r="F87" i="2" a="1"/>
  <c r="G89" i="3" s="1"/>
  <c r="F24" i="2" a="1"/>
  <c r="G26" i="3" s="1"/>
  <c r="F85" i="2" a="1"/>
  <c r="G87" i="3" s="1"/>
  <c r="F70" i="2" a="1"/>
  <c r="G72" i="3" s="1"/>
  <c r="F9" i="2" a="1"/>
  <c r="G11" i="3" s="1"/>
  <c r="F71" i="2" a="1"/>
  <c r="G73" i="3" s="1"/>
  <c r="F102" i="2" a="1"/>
  <c r="G104" i="3" s="1"/>
  <c r="F37" i="2" a="1"/>
  <c r="G39" i="3" s="1"/>
  <c r="F68" i="2" a="1"/>
  <c r="G70" i="3" s="1"/>
  <c r="F26" i="2" a="1"/>
  <c r="G28" i="3" s="1"/>
  <c r="F97" i="2" a="1"/>
  <c r="G99" i="3" s="1"/>
  <c r="F29" i="2" a="1"/>
  <c r="G31" i="3" s="1"/>
  <c r="E294" i="2" a="1"/>
  <c r="E151" i="2" a="1"/>
  <c r="F153" i="3" s="1"/>
  <c r="E313" i="2" a="1"/>
  <c r="E319" i="2" a="1"/>
  <c r="E315" i="2" a="1"/>
  <c r="E166" i="2" a="1"/>
  <c r="F168" i="3" s="1"/>
  <c r="E201" i="2" a="1"/>
  <c r="E158" i="2" a="1"/>
  <c r="F160" i="3" s="1"/>
  <c r="E255" i="2" a="1"/>
  <c r="E265" i="2" a="1"/>
  <c r="E198" i="2" a="1"/>
  <c r="E324" i="2" a="1"/>
  <c r="E194" i="2" a="1"/>
  <c r="E321" i="2" a="1"/>
  <c r="E192" i="2" a="1"/>
  <c r="E188" i="2" a="1"/>
  <c r="E316" i="2" a="1"/>
  <c r="E323" i="2" a="1"/>
  <c r="E133" i="2" a="1"/>
  <c r="F135" i="3" s="1"/>
  <c r="E200" i="2" a="1"/>
  <c r="E204" i="2" a="1"/>
  <c r="E296" i="2" a="1"/>
  <c r="E196" i="2" a="1"/>
  <c r="E283" i="2" a="1"/>
  <c r="E134" i="2" a="1"/>
  <c r="F136" i="3" s="1"/>
  <c r="E280" i="2" a="1"/>
  <c r="E327" i="2" a="1"/>
  <c r="E300" i="2" a="1"/>
  <c r="E292" i="2" a="1"/>
  <c r="E197" i="2" a="1"/>
  <c r="E256" i="2" a="1"/>
  <c r="E167" i="2" a="1"/>
  <c r="F169" i="3" s="1"/>
  <c r="E285" i="2" a="1"/>
  <c r="E171" i="2" a="1"/>
  <c r="F173" i="3" s="1"/>
  <c r="E126" i="2" a="1"/>
  <c r="F128" i="3" s="1"/>
  <c r="E297" i="2" a="1"/>
  <c r="F257" i="2" a="1"/>
  <c r="F107" i="2" a="1"/>
  <c r="G109" i="3" s="1"/>
  <c r="F312" i="2" a="1"/>
  <c r="F48" i="2" a="1"/>
  <c r="G50" i="3" s="1"/>
  <c r="F330" i="2" a="1"/>
  <c r="F277" i="2" a="1"/>
  <c r="F119" i="2" a="1"/>
  <c r="G121" i="3" s="1"/>
  <c r="E286" i="2" a="1"/>
  <c r="E156" i="2" a="1"/>
  <c r="F158" i="3" s="1"/>
  <c r="E168" i="2" a="1"/>
  <c r="F170" i="3" s="1"/>
  <c r="E85" i="2" a="1"/>
  <c r="F87" i="3" s="1"/>
  <c r="E310" i="2" a="1"/>
  <c r="E222" i="2" a="1"/>
  <c r="E137" i="2" a="1"/>
  <c r="F139" i="3" s="1"/>
  <c r="E212" i="2" a="1"/>
  <c r="E49" i="2" a="1"/>
  <c r="F51" i="3" s="1"/>
  <c r="E243" i="2" a="1"/>
  <c r="E218" i="2" a="1"/>
  <c r="E8" i="2" a="1"/>
  <c r="F10" i="3" s="1"/>
  <c r="E223" i="2" a="1"/>
  <c r="E208" i="2" a="1"/>
  <c r="E304" i="2" a="1"/>
  <c r="E190" i="2" a="1"/>
  <c r="E284" i="2" a="1"/>
  <c r="E132" i="2" a="1"/>
  <c r="F134" i="3" s="1"/>
  <c r="E183" i="2" a="1"/>
  <c r="E309" i="2" a="1"/>
  <c r="E217" i="2" a="1"/>
  <c r="E16" i="2" a="1"/>
  <c r="F18" i="3" s="1"/>
  <c r="E302" i="2" a="1"/>
  <c r="E13" i="2" a="1"/>
  <c r="F15" i="3" s="1"/>
  <c r="E18" i="2" a="1"/>
  <c r="F20" i="3" s="1"/>
  <c r="E93" i="2" a="1"/>
  <c r="F95" i="3" s="1"/>
  <c r="E129" i="2" a="1"/>
  <c r="F131" i="3" s="1"/>
  <c r="E203" i="2" a="1"/>
  <c r="E184" i="2" a="1"/>
  <c r="E211" i="2" a="1"/>
  <c r="E89" i="2" a="1"/>
  <c r="F91" i="3" s="1"/>
  <c r="E291" i="2" a="1"/>
  <c r="E148" i="2" a="1"/>
  <c r="F150" i="3" s="1"/>
  <c r="E249" i="2" a="1"/>
  <c r="E173" i="2" a="1"/>
  <c r="F175" i="3" s="1"/>
  <c r="E186" i="2" a="1"/>
  <c r="E131" i="2" a="1"/>
  <c r="F133" i="3" s="1"/>
  <c r="E11" i="2" a="1"/>
  <c r="F13" i="3" s="1"/>
  <c r="E36" i="2" a="1"/>
  <c r="F38" i="3" s="1"/>
  <c r="E152" i="2" a="1"/>
  <c r="F154" i="3" s="1"/>
  <c r="E145" i="2" a="1"/>
  <c r="F147" i="3" s="1"/>
  <c r="E47" i="2" a="1"/>
  <c r="F49" i="3" s="1"/>
  <c r="E298" i="2" a="1"/>
  <c r="E106" i="2" a="1"/>
  <c r="F108" i="3" s="1"/>
  <c r="E295" i="2" a="1"/>
  <c r="E32" i="2" a="1"/>
  <c r="F34" i="3" s="1"/>
  <c r="E175" i="2" a="1"/>
  <c r="F177" i="3" s="1"/>
  <c r="E141" i="2" a="1"/>
  <c r="F143" i="3" s="1"/>
  <c r="E191" i="2" a="1"/>
  <c r="E109" i="2" a="1"/>
  <c r="F111" i="3" s="1"/>
  <c r="E161" i="2" a="1"/>
  <c r="F163" i="3" s="1"/>
  <c r="E320" i="2" a="1"/>
  <c r="E209" i="2" a="1"/>
  <c r="E75" i="2" a="1"/>
  <c r="F77" i="3" s="1"/>
  <c r="E96" i="2" a="1"/>
  <c r="F98" i="3" s="1"/>
  <c r="E185" i="2" a="1"/>
  <c r="E139" i="2" a="1"/>
  <c r="F141" i="3" s="1"/>
  <c r="E111" i="2" a="1"/>
  <c r="F113" i="3" s="1"/>
  <c r="E169" i="2" a="1"/>
  <c r="F171" i="3" s="1"/>
  <c r="E307" i="2" a="1"/>
  <c r="E147" i="2" a="1"/>
  <c r="F149" i="3" s="1"/>
  <c r="E163" i="2" a="1"/>
  <c r="F165" i="3" s="1"/>
  <c r="E102" i="2" a="1"/>
  <c r="F104" i="3" s="1"/>
  <c r="E50" i="2" a="1"/>
  <c r="F52" i="3" s="1"/>
  <c r="E180" i="2" a="1"/>
  <c r="E234" i="2" a="1"/>
  <c r="E246" i="2" a="1"/>
  <c r="E56" i="2" a="1"/>
  <c r="F58" i="3" s="1"/>
  <c r="E268" i="2" a="1"/>
  <c r="E189" i="2" a="1"/>
  <c r="E179" i="2" a="1"/>
  <c r="E266" i="2" a="1"/>
  <c r="E97" i="2" a="1"/>
  <c r="F99" i="3" s="1"/>
  <c r="E79" i="2" a="1"/>
  <c r="F81" i="3" s="1"/>
  <c r="E76" i="2" a="1"/>
  <c r="F78" i="3" s="1"/>
  <c r="E28" i="2" a="1"/>
  <c r="F30" i="3" s="1"/>
  <c r="E48" i="2" a="1"/>
  <c r="F50" i="3" s="1"/>
  <c r="E279" i="2" a="1"/>
  <c r="E135" i="2" a="1"/>
  <c r="F137" i="3" s="1"/>
  <c r="F33" i="2" a="1"/>
  <c r="G35" i="3" s="1"/>
  <c r="F64" i="2" a="1"/>
  <c r="G66" i="3" s="1"/>
  <c r="F331" i="2" a="1"/>
  <c r="F222" i="2" a="1"/>
  <c r="F294" i="2" a="1"/>
  <c r="F332" i="2" a="1"/>
  <c r="F314" i="2" a="1"/>
  <c r="F316" i="2" a="1"/>
  <c r="F49" i="2" a="1"/>
  <c r="G51" i="3" s="1"/>
  <c r="F30" i="2" a="1"/>
  <c r="G32" i="3" s="1"/>
  <c r="F39" i="2" a="1"/>
  <c r="G41" i="3" s="1"/>
  <c r="F45" i="2" a="1"/>
  <c r="G47" i="3" s="1"/>
  <c r="F318" i="2" a="1"/>
  <c r="F13" i="2" a="1"/>
  <c r="G15" i="3" s="1"/>
  <c r="F14" i="2" a="1"/>
  <c r="G16" i="3" s="1"/>
  <c r="F323" i="2" a="1"/>
  <c r="E83" i="2" a="1"/>
  <c r="F85" i="3" s="1"/>
  <c r="E335" i="2" a="1"/>
  <c r="E113" i="2" a="1"/>
  <c r="F115" i="3" s="1"/>
  <c r="E157" i="2" a="1"/>
  <c r="F159" i="3" s="1"/>
  <c r="F126" i="2" a="1"/>
  <c r="G128" i="3" s="1"/>
  <c r="F112" i="2" a="1"/>
  <c r="G114" i="3" s="1"/>
  <c r="F252" i="2" a="1"/>
  <c r="F151" i="2" a="1"/>
  <c r="G153" i="3" s="1"/>
  <c r="F4" i="2" a="1"/>
  <c r="F233" i="2" a="1"/>
  <c r="F262" i="2" a="1"/>
  <c r="F196" i="2" a="1"/>
  <c r="F230" i="2" a="1"/>
  <c r="F176" i="2" a="1"/>
  <c r="G178" i="3" s="1"/>
  <c r="F247" i="2" a="1"/>
  <c r="F109" i="2" a="1"/>
  <c r="G111" i="3" s="1"/>
  <c r="F218" i="2" a="1"/>
  <c r="F239" i="2" a="1"/>
  <c r="F226" i="2" a="1"/>
  <c r="F244" i="2" a="1"/>
  <c r="F149" i="2" a="1"/>
  <c r="G151" i="3" s="1"/>
  <c r="F298" i="2" a="1"/>
  <c r="F181" i="2" a="1"/>
  <c r="F127" i="2" a="1"/>
  <c r="G129" i="3" s="1"/>
  <c r="F242" i="2" a="1"/>
  <c r="F174" i="2" a="1"/>
  <c r="G176" i="3" s="1"/>
  <c r="F234" i="2" a="1"/>
  <c r="F291" i="2" a="1"/>
  <c r="F31" i="2" a="1"/>
  <c r="G33" i="3" s="1"/>
  <c r="F267" i="2" a="1"/>
  <c r="F282" i="2" a="1"/>
  <c r="F292" i="2" a="1"/>
  <c r="F260" i="2" a="1"/>
  <c r="F117" i="2" a="1"/>
  <c r="G119" i="3" s="1"/>
  <c r="F250" i="2" a="1"/>
  <c r="F254" i="2" a="1"/>
  <c r="F32" i="2" a="1"/>
  <c r="G34" i="3" s="1"/>
  <c r="F269" i="2" a="1"/>
  <c r="F243" i="2" a="1"/>
  <c r="F19" i="2" a="1"/>
  <c r="G21" i="3" s="1"/>
  <c r="F258" i="2" a="1"/>
  <c r="F241" i="2" a="1"/>
  <c r="F310" i="2" a="1"/>
  <c r="F231" i="2" a="1"/>
  <c r="F274" i="2" a="1"/>
  <c r="F206" i="2" a="1"/>
  <c r="F66" i="2" a="1"/>
  <c r="G68" i="3" s="1"/>
  <c r="F184" i="2" a="1"/>
  <c r="F137" i="2" a="1"/>
  <c r="G139" i="3" s="1"/>
  <c r="F113" i="2" a="1"/>
  <c r="G115" i="3" s="1"/>
  <c r="F89" i="2" a="1"/>
  <c r="G91" i="3" s="1"/>
  <c r="F275" i="2" a="1"/>
  <c r="F290" i="2" a="1"/>
  <c r="F273" i="2" a="1"/>
  <c r="F124" i="2" a="1"/>
  <c r="G126" i="3" s="1"/>
  <c r="F170" i="2" a="1"/>
  <c r="G172" i="3" s="1"/>
  <c r="F246" i="2" a="1"/>
  <c r="F128" i="2" a="1"/>
  <c r="G130" i="3" s="1"/>
  <c r="F193" i="2" a="1"/>
  <c r="F111" i="2" a="1"/>
  <c r="G113" i="3" s="1"/>
  <c r="F189" i="2" a="1"/>
  <c r="F192" i="2" a="1"/>
  <c r="F34" i="2" a="1"/>
  <c r="G36" i="3" s="1"/>
  <c r="F245" i="2" a="1"/>
  <c r="F224" i="2" a="1"/>
  <c r="F121" i="2" a="1"/>
  <c r="G123" i="3" s="1"/>
  <c r="F120" i="2" a="1"/>
  <c r="G122" i="3" s="1"/>
  <c r="F122" i="2" a="1"/>
  <c r="G124" i="3" s="1"/>
  <c r="F225" i="2" a="1"/>
  <c r="F44" i="2" a="1"/>
  <c r="G46" i="3" s="1"/>
  <c r="F284" i="2" a="1"/>
  <c r="F177" i="2" a="1"/>
  <c r="G179" i="3" s="1"/>
  <c r="F240" i="2" a="1"/>
  <c r="F167" i="2" a="1"/>
  <c r="G169" i="3" s="1"/>
  <c r="F203" i="2" a="1"/>
  <c r="F253" i="2" a="1"/>
  <c r="F285" i="2" a="1"/>
  <c r="F22" i="2" a="1"/>
  <c r="G24" i="3" s="1"/>
  <c r="F232" i="2" a="1"/>
  <c r="F183" i="2" a="1"/>
  <c r="F238" i="2" a="1"/>
  <c r="F248" i="2" a="1"/>
  <c r="F264" i="2" a="1"/>
  <c r="F132" i="2" a="1"/>
  <c r="G134" i="3" s="1"/>
  <c r="F191" i="2" a="1"/>
  <c r="F256" i="2" a="1"/>
  <c r="F140" i="2" a="1"/>
  <c r="G142" i="3" s="1"/>
  <c r="F217" i="2" a="1"/>
  <c r="F211" i="2" a="1"/>
  <c r="F235" i="2" a="1"/>
  <c r="F27" i="2" a="1"/>
  <c r="G29" i="3" s="1"/>
  <c r="F125" i="2" a="1"/>
  <c r="G127" i="3" s="1"/>
  <c r="F165" i="2" a="1"/>
  <c r="G167" i="3" s="1"/>
  <c r="F108" i="2" a="1"/>
  <c r="G110" i="3" s="1"/>
  <c r="F67" i="2" a="1"/>
  <c r="G69" i="3" s="1"/>
  <c r="F209" i="2" a="1"/>
  <c r="F227" i="2" a="1"/>
  <c r="F207" i="2" a="1"/>
  <c r="F223" i="2" a="1"/>
  <c r="F272" i="2" a="1"/>
  <c r="F237" i="2" a="1"/>
  <c r="F76" i="2" a="1"/>
  <c r="G78" i="3" s="1"/>
  <c r="F335" i="2" a="1"/>
  <c r="F114" i="2" a="1"/>
  <c r="G116" i="3" s="1"/>
  <c r="F278" i="2" a="1"/>
  <c r="F172" i="2" a="1"/>
  <c r="G174" i="3" s="1"/>
  <c r="F212" i="2" a="1"/>
  <c r="E162" i="2" a="1"/>
  <c r="F164" i="3" s="1"/>
  <c r="E269" i="2" a="1"/>
  <c r="E53" i="2" a="1"/>
  <c r="F55" i="3" s="1"/>
  <c r="E271" i="2" a="1"/>
  <c r="E261" i="2" a="1"/>
  <c r="E87" i="2" a="1"/>
  <c r="F89" i="3" s="1"/>
  <c r="E72" i="2" a="1"/>
  <c r="F74" i="3" s="1"/>
  <c r="E98" i="2" a="1"/>
  <c r="F100" i="3" s="1"/>
  <c r="E116" i="2" a="1"/>
  <c r="F118" i="3" s="1"/>
  <c r="E238" i="2" a="1"/>
  <c r="E54" i="2" a="1"/>
  <c r="F56" i="3" s="1"/>
  <c r="E19" i="2" a="1"/>
  <c r="E178" i="2" a="1"/>
  <c r="F180" i="3" s="1"/>
  <c r="E88" i="2" a="1"/>
  <c r="F90" i="3" s="1"/>
  <c r="E99" i="2" a="1"/>
  <c r="F101" i="3" s="1"/>
  <c r="E77" i="2" a="1"/>
  <c r="F79" i="3" s="1"/>
  <c r="E281" i="2" a="1"/>
  <c r="E62" i="2" a="1"/>
  <c r="F64" i="3" s="1"/>
  <c r="E206" i="2" a="1"/>
  <c r="E21" i="2" a="1"/>
  <c r="F23" i="3" s="1"/>
  <c r="E118" i="2" a="1"/>
  <c r="F120" i="3" s="1"/>
  <c r="E55" i="2" a="1"/>
  <c r="F57" i="3" s="1"/>
  <c r="E114" i="2" a="1"/>
  <c r="F116" i="3" s="1"/>
  <c r="E52" i="2" a="1"/>
  <c r="F54" i="3" s="1"/>
  <c r="E128" i="2" a="1"/>
  <c r="F130" i="3" s="1"/>
  <c r="E22" i="2" a="1"/>
  <c r="F24" i="3" s="1"/>
  <c r="E37" i="2" a="1"/>
  <c r="F39" i="3" s="1"/>
  <c r="E233" i="2" a="1"/>
  <c r="E57" i="2" a="1"/>
  <c r="F59" i="3" s="1"/>
  <c r="E84" i="2" a="1"/>
  <c r="F86" i="3" s="1"/>
  <c r="E101" i="2" a="1"/>
  <c r="F103" i="3" s="1"/>
  <c r="E244" i="2" a="1"/>
  <c r="E153" i="2" a="1"/>
  <c r="F155" i="3" s="1"/>
  <c r="E117" i="2" a="1"/>
  <c r="F119" i="3" s="1"/>
  <c r="E213" i="2" a="1"/>
  <c r="E73" i="2" a="1"/>
  <c r="F75" i="3" s="1"/>
  <c r="E38" i="2" a="1"/>
  <c r="F40" i="3" s="1"/>
  <c r="E100" i="2" a="1"/>
  <c r="F102" i="3" s="1"/>
  <c r="E226" i="2" a="1"/>
  <c r="E39" i="2" a="1"/>
  <c r="F41" i="3" s="1"/>
  <c r="E115" i="2" a="1"/>
  <c r="F117" i="3" s="1"/>
  <c r="E82" i="2" a="1"/>
  <c r="F84" i="3" s="1"/>
  <c r="E248" i="2" a="1"/>
  <c r="E68" i="2" a="1"/>
  <c r="F70" i="3" s="1"/>
  <c r="E334" i="2" a="1"/>
  <c r="E120" i="2" a="1"/>
  <c r="F122" i="3" s="1"/>
  <c r="E92" i="2" a="1"/>
  <c r="F94" i="3" s="1"/>
  <c r="G6" i="3" l="1"/>
  <c r="J4" i="2"/>
  <c r="J8" i="2"/>
  <c r="J12" i="2"/>
  <c r="J6" i="2"/>
  <c r="J10" i="2"/>
  <c r="J5" i="2"/>
  <c r="J11" i="2"/>
  <c r="J9" i="2"/>
  <c r="J3" i="2"/>
  <c r="J7" i="2"/>
  <c r="F21" i="3"/>
  <c r="I9" i="2"/>
  <c r="I3" i="2"/>
  <c r="I4" i="2"/>
  <c r="I5" i="2"/>
  <c r="I6" i="2"/>
  <c r="I12" i="2"/>
  <c r="I10" i="2"/>
  <c r="I7" i="2"/>
  <c r="I11" i="2"/>
  <c r="I8" i="2"/>
  <c r="J13" i="2" l="1"/>
  <c r="L12" i="3"/>
  <c r="L5" i="3"/>
  <c r="L8" i="3"/>
  <c r="L6" i="3"/>
  <c r="L10" i="3"/>
  <c r="L9" i="3"/>
  <c r="L7" i="3"/>
  <c r="L11" i="3"/>
  <c r="L13" i="3"/>
  <c r="L4" i="3"/>
  <c r="M11" i="3"/>
  <c r="M4" i="3"/>
  <c r="M9" i="3"/>
  <c r="M7" i="3"/>
  <c r="M12" i="3"/>
  <c r="M10" i="3"/>
  <c r="N10" i="3" s="1"/>
  <c r="M5" i="3"/>
  <c r="M8" i="3"/>
  <c r="M6" i="3"/>
  <c r="M13" i="3"/>
  <c r="K9" i="2"/>
  <c r="P9" i="2" s="1"/>
  <c r="P23" i="2"/>
  <c r="Q23" i="2" s="1"/>
  <c r="P17" i="2"/>
  <c r="I13" i="2"/>
  <c r="K3" i="2"/>
  <c r="K4" i="2"/>
  <c r="P4" i="2" s="1"/>
  <c r="P18" i="2"/>
  <c r="Q18" i="2" s="1"/>
  <c r="K5" i="2"/>
  <c r="P5" i="2" s="1"/>
  <c r="P19" i="2"/>
  <c r="Q19" i="2" s="1"/>
  <c r="K6" i="2"/>
  <c r="P6" i="2" s="1"/>
  <c r="P20" i="2"/>
  <c r="Q20" i="2" s="1"/>
  <c r="K12" i="2"/>
  <c r="P12" i="2" s="1"/>
  <c r="P26" i="2"/>
  <c r="Q26" i="2" s="1"/>
  <c r="K10" i="2"/>
  <c r="P10" i="2" s="1"/>
  <c r="P24" i="2"/>
  <c r="Q24" i="2" s="1"/>
  <c r="K7" i="2"/>
  <c r="P7" i="2" s="1"/>
  <c r="P21" i="2"/>
  <c r="Q21" i="2" s="1"/>
  <c r="K11" i="2"/>
  <c r="P11" i="2" s="1"/>
  <c r="P25" i="2"/>
  <c r="Q25" i="2" s="1"/>
  <c r="K8" i="2"/>
  <c r="P8" i="2" s="1"/>
  <c r="P22" i="2"/>
  <c r="Q22" i="2" s="1"/>
  <c r="N9" i="3" l="1"/>
  <c r="N5" i="3"/>
  <c r="N7" i="3"/>
  <c r="N8" i="3"/>
  <c r="N13" i="3"/>
  <c r="N6" i="3"/>
  <c r="N12" i="3"/>
  <c r="N4" i="3"/>
  <c r="N11" i="3"/>
  <c r="Q17" i="2"/>
  <c r="Q27" i="2" s="1"/>
  <c r="P27" i="2"/>
  <c r="P3" i="2"/>
  <c r="K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<sst xmlns="http://schemas.openxmlformats.org/spreadsheetml/2006/main" count="7413" uniqueCount="378">
  <si>
    <t>my_fi_name</t>
  </si>
  <si>
    <t>price_mkt_bid</t>
  </si>
  <si>
    <t>price_mkt_ask</t>
  </si>
  <si>
    <t>time</t>
  </si>
  <si>
    <t>ARKB</t>
  </si>
  <si>
    <t>2026-06-10_11-53-43</t>
  </si>
  <si>
    <t>BITB</t>
  </si>
  <si>
    <t>BRRR</t>
  </si>
  <si>
    <t>BTC</t>
  </si>
  <si>
    <t>BTCW</t>
  </si>
  <si>
    <t>EZBC</t>
  </si>
  <si>
    <t>FBTC</t>
  </si>
  <si>
    <t>GBTC</t>
  </si>
  <si>
    <t>HODL</t>
  </si>
  <si>
    <t>IBIT</t>
  </si>
  <si>
    <t>2026-06-10_12-08-43</t>
  </si>
  <si>
    <t>2026-06-10_12-23-43</t>
  </si>
  <si>
    <t>2026-06-10_12-38-43</t>
  </si>
  <si>
    <t>2026-06-10_12-53-43</t>
  </si>
  <si>
    <t>2026-06-10_13-08-43</t>
  </si>
  <si>
    <t>2026-06-10_13-23-43</t>
  </si>
  <si>
    <t>2026-06-10_13-38-43</t>
  </si>
  <si>
    <t>2026-06-10_13-53-43</t>
  </si>
  <si>
    <t>2026-06-10_14-08-43</t>
  </si>
  <si>
    <t>2026-06-10_14-23-43</t>
  </si>
  <si>
    <t>2026-06-10_14-38-43</t>
  </si>
  <si>
    <t>2026-06-10_14-53-43</t>
  </si>
  <si>
    <t>2026-06-10_15-08-43</t>
  </si>
  <si>
    <t>2026-06-10_15-23-43</t>
  </si>
  <si>
    <t>2026-06-10_15-38-43</t>
  </si>
  <si>
    <t>2026-06-10_15-53-43</t>
  </si>
  <si>
    <t>scalar</t>
  </si>
  <si>
    <t>unit bid</t>
  </si>
  <si>
    <t>unit ask</t>
  </si>
  <si>
    <t>Row Labels</t>
  </si>
  <si>
    <t>Max of unit bid</t>
  </si>
  <si>
    <t>Min of unit ask</t>
  </si>
  <si>
    <t>hit bid</t>
  </si>
  <si>
    <t>lift ask</t>
  </si>
  <si>
    <t>net</t>
  </si>
  <si>
    <t>diff</t>
  </si>
  <si>
    <t>price</t>
  </si>
  <si>
    <t>$ diff</t>
  </si>
  <si>
    <t>bid name</t>
  </si>
  <si>
    <t>ask name</t>
  </si>
  <si>
    <t>adj</t>
  </si>
  <si>
    <t>adj scalar</t>
  </si>
  <si>
    <t>% diff</t>
  </si>
  <si>
    <t>2026-06-11_09-32-32</t>
  </si>
  <si>
    <t>2026-06-11_09-47-32</t>
  </si>
  <si>
    <t>2026-06-11_10-25-57</t>
  </si>
  <si>
    <t>2026-06-11_10-40-57</t>
  </si>
  <si>
    <t>2026-06-11_10-55-57</t>
  </si>
  <si>
    <t>2026-06-11_11-10-57</t>
  </si>
  <si>
    <t>2026-06-11_11-25-57</t>
  </si>
  <si>
    <t>2026-06-11_11-40-57</t>
  </si>
  <si>
    <t>2026-06-11_11-55-57</t>
  </si>
  <si>
    <t>2026-06-11_12-10-57</t>
  </si>
  <si>
    <t>2026-06-11_12-25-57</t>
  </si>
  <si>
    <t>2026-06-11_12-40-57</t>
  </si>
  <si>
    <t>2026-06-11_12-55-57</t>
  </si>
  <si>
    <t>2026-06-11_13-10-57</t>
  </si>
  <si>
    <t>2026-06-11_13-25-57</t>
  </si>
  <si>
    <t>2026-06-11_13-40-57</t>
  </si>
  <si>
    <t>2026-06-11_13-55-57</t>
  </si>
  <si>
    <t>2026-06-11_14-10-57</t>
  </si>
  <si>
    <t>2026-06-11_14-25-57</t>
  </si>
  <si>
    <t>2026-06-11_14-40-57</t>
  </si>
  <si>
    <t>2026-06-11_14-55-57</t>
  </si>
  <si>
    <t>2026-06-11_15-10-57</t>
  </si>
  <si>
    <t>2026-06-11_15-25-57</t>
  </si>
  <si>
    <t>2026-06-11_15-40-57</t>
  </si>
  <si>
    <t>2026-06-11_15-55-57</t>
  </si>
  <si>
    <t>2026-06-12_09-38-50</t>
  </si>
  <si>
    <t>2026-06-12_09-53-15</t>
  </si>
  <si>
    <t>2026-06-12_10-13-43</t>
  </si>
  <si>
    <t>2026-06-12_11-42-48</t>
  </si>
  <si>
    <t>2026-06-12_11-45-28</t>
  </si>
  <si>
    <t>2026-06-12_12-00-28</t>
  </si>
  <si>
    <t>2026-06-12_12-15-28</t>
  </si>
  <si>
    <t>2026-06-12_12-30-28</t>
  </si>
  <si>
    <t>2026-06-12_12-45-28</t>
  </si>
  <si>
    <t>2026-06-12_13-00-28</t>
  </si>
  <si>
    <t>2026-06-12_13-15-28</t>
  </si>
  <si>
    <t>2026-06-12_13-30-28</t>
  </si>
  <si>
    <t>2026-06-12_13-45-28</t>
  </si>
  <si>
    <t>2026-06-12_14-00-28</t>
  </si>
  <si>
    <t>2026-06-12_14-15-28</t>
  </si>
  <si>
    <t>2026-06-12_14-30-28</t>
  </si>
  <si>
    <t>2026-06-12_14-45-28</t>
  </si>
  <si>
    <t>2026-06-12_15-00-28</t>
  </si>
  <si>
    <t>2026-06-12_15-15-28</t>
  </si>
  <si>
    <t>2026-06-12_15-30-28</t>
  </si>
  <si>
    <t>2026-06-12_15-45-28</t>
  </si>
  <si>
    <t>2026-06-15_12-35-12</t>
  </si>
  <si>
    <t>2026-06-15_12-50-12</t>
  </si>
  <si>
    <t>2026-06-15_13-05-12</t>
  </si>
  <si>
    <t>2026-06-15_13-20-12</t>
  </si>
  <si>
    <t>2026-06-15_13-35-12</t>
  </si>
  <si>
    <t>2026-06-15_13-50-12</t>
  </si>
  <si>
    <t>2026-06-15_14-05-12</t>
  </si>
  <si>
    <t>2026-06-15_14-20-12</t>
  </si>
  <si>
    <t>2026-06-15_14-35-12</t>
  </si>
  <si>
    <t>2026-06-15_14-50-12</t>
  </si>
  <si>
    <t>2026-06-15_15-05-12</t>
  </si>
  <si>
    <t>2026-06-15_15-20-12</t>
  </si>
  <si>
    <t>2026-06-15_15-35-12</t>
  </si>
  <si>
    <t>2026-06-15_15-50-13</t>
  </si>
  <si>
    <t>2026-06-16_09-49-36</t>
  </si>
  <si>
    <t>2026-06-16_10-04-32</t>
  </si>
  <si>
    <t>2026-06-16_10-26-35</t>
  </si>
  <si>
    <t>2026-06-16_11-08-41</t>
  </si>
  <si>
    <t>2026-06-16_11-22-27</t>
  </si>
  <si>
    <t>2026-06-16_11-36-13</t>
  </si>
  <si>
    <t>2026-06-16_11-49-59</t>
  </si>
  <si>
    <t>2026-06-16_12-03-46</t>
  </si>
  <si>
    <t>2026-06-16_12-17-32</t>
  </si>
  <si>
    <t>2026-06-16_12-31-18</t>
  </si>
  <si>
    <t>2026-06-16_12-45-03</t>
  </si>
  <si>
    <t>2026-06-16_12-58-49</t>
  </si>
  <si>
    <t>2026-06-16_13-12-33</t>
  </si>
  <si>
    <t>2026-06-16_13-26-18</t>
  </si>
  <si>
    <t>2026-06-16_13-40-03</t>
  </si>
  <si>
    <t>2026-06-16_13-53-55</t>
  </si>
  <si>
    <t>2026-06-16_14-07-39</t>
  </si>
  <si>
    <t>2026-06-16_14-21-25</t>
  </si>
  <si>
    <t>2026-06-16_14-35-10</t>
  </si>
  <si>
    <t>2026-06-16_14-48-56</t>
  </si>
  <si>
    <t>2026-06-16_15-02-43</t>
  </si>
  <si>
    <t>2026-06-16_15-16-28</t>
  </si>
  <si>
    <t>2026-06-16_15-30-13</t>
  </si>
  <si>
    <t>2026-06-16_15-43-58</t>
  </si>
  <si>
    <t>2026-06-16_15-57-42</t>
  </si>
  <si>
    <t>chg in net</t>
  </si>
  <si>
    <t>2026-06-17_11-54-44</t>
  </si>
  <si>
    <t>2026-06-17_12-09-44</t>
  </si>
  <si>
    <t>2026-06-17_12-12-30</t>
  </si>
  <si>
    <t>2026-06-17_12-27-30</t>
  </si>
  <si>
    <t>2026-06-17_12-42-30</t>
  </si>
  <si>
    <t>2026-06-17_12-57-30</t>
  </si>
  <si>
    <t>2026-06-17_13-12-30</t>
  </si>
  <si>
    <t>2026-06-17_13-27-30</t>
  </si>
  <si>
    <t>2026-06-17_13-42-30</t>
  </si>
  <si>
    <t>2026-06-17_13-57-30</t>
  </si>
  <si>
    <t>2026-06-17_14-12-30</t>
  </si>
  <si>
    <t>2026-06-17_14-27-30</t>
  </si>
  <si>
    <t>2026-06-17_14-42-30</t>
  </si>
  <si>
    <t>2026-06-17_14-57-25</t>
  </si>
  <si>
    <t>2026-06-17_15-12-25</t>
  </si>
  <si>
    <t>2026-06-17_15-27-26</t>
  </si>
  <si>
    <t>2026-06-17_15-42-26</t>
  </si>
  <si>
    <t>2026-06-17_15-57-26</t>
  </si>
  <si>
    <t>2026-06-17_16-12-26</t>
  </si>
  <si>
    <t>2026-06-17_16-27-26</t>
  </si>
  <si>
    <t>Commissions</t>
  </si>
  <si>
    <t>Revenues</t>
  </si>
  <si>
    <t>Positive Pct</t>
  </si>
  <si>
    <t>Trades</t>
  </si>
  <si>
    <t>Positive Trades</t>
  </si>
  <si>
    <t>2026-06-18_09-21-25</t>
  </si>
  <si>
    <t>2026-06-18_09-36-25</t>
  </si>
  <si>
    <t>2026-06-18_09-51-25</t>
  </si>
  <si>
    <t>2026-06-18_10-06-25</t>
  </si>
  <si>
    <t>2026-06-18_10-21-25</t>
  </si>
  <si>
    <t>2026-06-18_10-36-25</t>
  </si>
  <si>
    <t>2026-06-18_10-51-25</t>
  </si>
  <si>
    <t>2026-06-18_11-06-25</t>
  </si>
  <si>
    <t>2026-06-18_11-21-25</t>
  </si>
  <si>
    <t>2026-06-18_11-36-25</t>
  </si>
  <si>
    <t>2026-06-18_11-51-25</t>
  </si>
  <si>
    <t>2026-06-18_12-06-25</t>
  </si>
  <si>
    <t>2026-06-18_12-21-25</t>
  </si>
  <si>
    <t>2026-06-18_12-36-25</t>
  </si>
  <si>
    <t>2026-06-18_12-51-25</t>
  </si>
  <si>
    <t>2026-06-18_13-06-25</t>
  </si>
  <si>
    <t>2026-06-18_13-21-25</t>
  </si>
  <si>
    <t>2026-06-18_13-36-25</t>
  </si>
  <si>
    <t>2026-06-18_13-51-25</t>
  </si>
  <si>
    <t>2026-06-18_14-06-25</t>
  </si>
  <si>
    <t>2026-06-18_14-21-25</t>
  </si>
  <si>
    <t>2026-06-18_14-36-25</t>
  </si>
  <si>
    <t>2026-06-18_14-51-25</t>
  </si>
  <si>
    <t>2026-06-18_15-06-25</t>
  </si>
  <si>
    <t>2026-06-18_15-21-25</t>
  </si>
  <si>
    <t>2026-06-18_15-36-25</t>
  </si>
  <si>
    <t>2026-06-18_15-51-25</t>
  </si>
  <si>
    <t>2026-06-22_09-17-08</t>
  </si>
  <si>
    <t>2026-06-22_09-32-08</t>
  </si>
  <si>
    <t>2026-06-22_09-47-08</t>
  </si>
  <si>
    <t>2026-06-22_10-02-08</t>
  </si>
  <si>
    <t>2026-06-22_10-17-08</t>
  </si>
  <si>
    <t>2026-06-22_10-32-08</t>
  </si>
  <si>
    <t>2026-06-22_10-47-08</t>
  </si>
  <si>
    <t>2026-06-22_11-02-08</t>
  </si>
  <si>
    <t>2026-06-22_11-17-08</t>
  </si>
  <si>
    <t>2026-06-22_11-32-08</t>
  </si>
  <si>
    <t>2026-06-22_11-47-09</t>
  </si>
  <si>
    <t>2026-06-22_12-02-09</t>
  </si>
  <si>
    <t>2026-06-22_12-17-09</t>
  </si>
  <si>
    <t>2026-06-22_12-32-09</t>
  </si>
  <si>
    <t>2026-06-22_12-47-09</t>
  </si>
  <si>
    <t>2026-06-22_13-02-09</t>
  </si>
  <si>
    <t>2026-06-22_13-17-09</t>
  </si>
  <si>
    <t>2026-06-22_13-32-09</t>
  </si>
  <si>
    <t>2026-06-22_13-47-09</t>
  </si>
  <si>
    <t>2026-06-22_14-02-09</t>
  </si>
  <si>
    <t>2026-06-22_14-17-09</t>
  </si>
  <si>
    <t>2026-06-22_14-32-09</t>
  </si>
  <si>
    <t>2026-06-22_14-47-09</t>
  </si>
  <si>
    <t>2026-06-22_15-02-09</t>
  </si>
  <si>
    <t>2026-06-22_15-17-09</t>
  </si>
  <si>
    <t>2026-06-22_15-32-09</t>
  </si>
  <si>
    <t>2026-06-22_15-47-09</t>
  </si>
  <si>
    <t>Sum of unit bid</t>
  </si>
  <si>
    <t>Sum of unit ask</t>
  </si>
  <si>
    <t>Sum of price_mkt_bid</t>
  </si>
  <si>
    <t>Sum of price_mkt_ask</t>
  </si>
  <si>
    <t>sell buy</t>
  </si>
  <si>
    <t>buy sell</t>
  </si>
  <si>
    <t>total</t>
  </si>
  <si>
    <t>2026-06-23_09-50-20</t>
  </si>
  <si>
    <t>2026-06-23_10-05-20</t>
  </si>
  <si>
    <t>2026-06-23_10-22-51</t>
  </si>
  <si>
    <t>2026-06-23_10-37-51</t>
  </si>
  <si>
    <t>2026-06-23_10-52-51</t>
  </si>
  <si>
    <t>2026-06-23_11-07-51</t>
  </si>
  <si>
    <t>2026-06-23_11-22-51</t>
  </si>
  <si>
    <t>2026-06-23_11-37-51</t>
  </si>
  <si>
    <t>2026-06-23_11-52-51</t>
  </si>
  <si>
    <t>2026-06-23_12-07-51</t>
  </si>
  <si>
    <t>2026-06-23_12-22-51</t>
  </si>
  <si>
    <t>2026-06-23_12-37-51</t>
  </si>
  <si>
    <t>2026-06-23_12-52-51</t>
  </si>
  <si>
    <t>2026-06-23_13-07-51</t>
  </si>
  <si>
    <t>2026-06-23_13-22-51</t>
  </si>
  <si>
    <t>2026-06-23_13-37-51</t>
  </si>
  <si>
    <t>2026-06-23_13-52-51</t>
  </si>
  <si>
    <t>2026-06-23_14-07-51</t>
  </si>
  <si>
    <t>2026-06-23_14-22-51</t>
  </si>
  <si>
    <t>2026-06-23_14-37-51</t>
  </si>
  <si>
    <t>2026-06-23_14-52-51</t>
  </si>
  <si>
    <t>2026-06-23_15-07-51</t>
  </si>
  <si>
    <t>2026-06-23_15-22-51</t>
  </si>
  <si>
    <t>2026-06-23_15-37-51</t>
  </si>
  <si>
    <t>2026-06-23_15-52-51</t>
  </si>
  <si>
    <t>2026-06-24_11-06-22</t>
  </si>
  <si>
    <t>2026-06-24_11-21-22</t>
  </si>
  <si>
    <t>2026-06-24_11-36-22</t>
  </si>
  <si>
    <t>2026-06-24_11-51-22</t>
  </si>
  <si>
    <t>2026-06-24_12-06-22</t>
  </si>
  <si>
    <t>2026-06-24_12-21-22</t>
  </si>
  <si>
    <t>2026-06-24_12-36-22</t>
  </si>
  <si>
    <t>2026-06-24_12-51-22</t>
  </si>
  <si>
    <t>2026-06-24_13-06-22</t>
  </si>
  <si>
    <t>2026-06-24_13-21-22</t>
  </si>
  <si>
    <t>2026-06-24_13-36-22</t>
  </si>
  <si>
    <t>2026-06-24_13-51-22</t>
  </si>
  <si>
    <t>2026-06-24_14-06-22</t>
  </si>
  <si>
    <t>2026-06-24_14-21-22</t>
  </si>
  <si>
    <t>2026-06-24_14-36-22</t>
  </si>
  <si>
    <t>2026-06-24_14-51-22</t>
  </si>
  <si>
    <t>2026-06-24_15-06-22</t>
  </si>
  <si>
    <t>2026-06-24_15-21-22</t>
  </si>
  <si>
    <t>2026-06-24_15-36-22</t>
  </si>
  <si>
    <t>2026-06-24_15-51-22</t>
  </si>
  <si>
    <t>2026-06-25_09-43-55</t>
  </si>
  <si>
    <t>2026-06-25_10-21-12</t>
  </si>
  <si>
    <t>2026-06-25_10-36-12</t>
  </si>
  <si>
    <t>2026-06-25_10-51-15</t>
  </si>
  <si>
    <t>2026-06-25_11-06-15</t>
  </si>
  <si>
    <t>2026-06-25_11-21-15</t>
  </si>
  <si>
    <t>2026-06-25_11-36-15</t>
  </si>
  <si>
    <t>2026-06-25_11-51-15</t>
  </si>
  <si>
    <t>2026-06-25_12-06-15</t>
  </si>
  <si>
    <t>2026-06-25_12-21-15</t>
  </si>
  <si>
    <t>2026-06-25_12-36-15</t>
  </si>
  <si>
    <t>2026-06-25_12-51-15</t>
  </si>
  <si>
    <t>2026-06-25_13-03-28</t>
  </si>
  <si>
    <t>2026-06-25_13-18-28</t>
  </si>
  <si>
    <t>2026-06-25_13-33-28</t>
  </si>
  <si>
    <t>2026-06-25_13-48-28</t>
  </si>
  <si>
    <t>2026-06-25_14-03-28</t>
  </si>
  <si>
    <t>2026-06-25_15-02-41</t>
  </si>
  <si>
    <t>2026-06-25_15-17-41</t>
  </si>
  <si>
    <t>2026-06-25_15-32-41</t>
  </si>
  <si>
    <t>2026-06-25_15-47-41</t>
  </si>
  <si>
    <t>2026-06-26_10-36-19</t>
  </si>
  <si>
    <t>2026-06-26_10-50-53</t>
  </si>
  <si>
    <t>2026-06-26_10-55-23</t>
  </si>
  <si>
    <t>2026-06-26_11-10-23</t>
  </si>
  <si>
    <t>2026-06-26_11-25-23</t>
  </si>
  <si>
    <t>2026-06-26_11-40-23</t>
  </si>
  <si>
    <t>2026-06-26_11-55-23</t>
  </si>
  <si>
    <t>2026-06-26_12-10-23</t>
  </si>
  <si>
    <t>2026-06-26_12-25-23</t>
  </si>
  <si>
    <t>2026-06-26_12-40-23</t>
  </si>
  <si>
    <t>2026-06-26_12-55-23</t>
  </si>
  <si>
    <t>2026-06-26_13-10-23</t>
  </si>
  <si>
    <t>2026-06-26_13-25-23</t>
  </si>
  <si>
    <t>2026-06-26_13-40-23</t>
  </si>
  <si>
    <t>2026-06-26_13-55-23</t>
  </si>
  <si>
    <t>2026-06-26_14-10-23</t>
  </si>
  <si>
    <t>2026-06-26_14-25-23</t>
  </si>
  <si>
    <t>2026-06-26_14-44-31</t>
  </si>
  <si>
    <t>2026-06-26_14-59-31</t>
  </si>
  <si>
    <t>2026-06-26_15-14-31</t>
  </si>
  <si>
    <t>2026-06-26_15-29-31</t>
  </si>
  <si>
    <t>2026-06-26_15-44-31</t>
  </si>
  <si>
    <t>2026-06-26_15-59-31</t>
  </si>
  <si>
    <t>2026-06-29_10-52-18</t>
  </si>
  <si>
    <t>2026-06-29_10-59-48</t>
  </si>
  <si>
    <t>2026-06-29_11-14-48</t>
  </si>
  <si>
    <t>2026-06-29_11-29-48</t>
  </si>
  <si>
    <t>2026-06-29_11-44-48</t>
  </si>
  <si>
    <t>2026-06-29_11-59-48</t>
  </si>
  <si>
    <t>2026-06-29_12-14-48</t>
  </si>
  <si>
    <t>2026-06-29_12-29-48</t>
  </si>
  <si>
    <t>2026-06-29_12-44-48</t>
  </si>
  <si>
    <t>2026-06-29_13-55-10</t>
  </si>
  <si>
    <t>2026-06-29_13-56-15</t>
  </si>
  <si>
    <t>2026-06-29_15-13-03</t>
  </si>
  <si>
    <t>2026-06-29_15-28-03</t>
  </si>
  <si>
    <t>2026-06-29_15-43-03</t>
  </si>
  <si>
    <t>2026-06-29_15-58-03</t>
  </si>
  <si>
    <t>2026-06-30_09-35-35</t>
  </si>
  <si>
    <t>2026-06-30_09-50-35</t>
  </si>
  <si>
    <t>2026-06-30_10-05-35</t>
  </si>
  <si>
    <t>2026-06-30_10-20-35</t>
  </si>
  <si>
    <t>2026-06-30_10-35-35</t>
  </si>
  <si>
    <t>2026-06-30_10-50-35</t>
  </si>
  <si>
    <t>2026-06-30_11-05-35</t>
  </si>
  <si>
    <t>2026-06-30_11-20-35</t>
  </si>
  <si>
    <t>2026-06-30_11-35-35</t>
  </si>
  <si>
    <t>2026-06-30_15-15-58</t>
  </si>
  <si>
    <t>2026-06-30_15-30-58</t>
  </si>
  <si>
    <t>2026-06-30_15-45-58</t>
  </si>
  <si>
    <t>2026-07-02_09-45-42</t>
  </si>
  <si>
    <t>2026-07-02_10-00-42</t>
  </si>
  <si>
    <t>2026-07-02_10-15-42</t>
  </si>
  <si>
    <t>2026-07-02_10-30-42</t>
  </si>
  <si>
    <t>2026-07-02_10-45-42</t>
  </si>
  <si>
    <t>2026-07-02_11-00-42</t>
  </si>
  <si>
    <t>2026-07-02_11-15-42</t>
  </si>
  <si>
    <t>2026-07-02_11-42-59</t>
  </si>
  <si>
    <t>2026-07-02_11-57-59</t>
  </si>
  <si>
    <t>2026-07-02_12-12-59</t>
  </si>
  <si>
    <t>2026-07-02_12-27-59</t>
  </si>
  <si>
    <t>2026-07-02_12-42-59</t>
  </si>
  <si>
    <t>2026-07-02_12-57-59</t>
  </si>
  <si>
    <t>2026-07-02_13-12-59</t>
  </si>
  <si>
    <t>2026-07-02_13-27-59</t>
  </si>
  <si>
    <t>2026-07-02_13-42-59</t>
  </si>
  <si>
    <t>2026-07-02_13-57-59</t>
  </si>
  <si>
    <t>2026-07-02_14-12-59</t>
  </si>
  <si>
    <t>2026-07-02_14-27-59</t>
  </si>
  <si>
    <t>2026-07-02_14-42-59</t>
  </si>
  <si>
    <t>2026-07-02_14-57-59</t>
  </si>
  <si>
    <t>2026-07-02_15-12-59</t>
  </si>
  <si>
    <t>2026-07-02_15-27-59</t>
  </si>
  <si>
    <t>2026-07-02_15-42-59</t>
  </si>
  <si>
    <t>2026-07-02_15-57-59</t>
  </si>
  <si>
    <t>2026-07-01_10-10-52</t>
  </si>
  <si>
    <t>2026-07-01_10-25-52</t>
  </si>
  <si>
    <t>2026-07-01_10-40-52</t>
  </si>
  <si>
    <t>2026-07-01_10-55-52</t>
  </si>
  <si>
    <t>2026-07-01_11-06-25</t>
  </si>
  <si>
    <t>2026-07-01_11-21-25</t>
  </si>
  <si>
    <t>2026-07-01_11-36-25</t>
  </si>
  <si>
    <t>2026-07-01_11-51-25</t>
  </si>
  <si>
    <t>2026-07-01_12-06-25</t>
  </si>
  <si>
    <t>2026-07-01_12-21-25</t>
  </si>
  <si>
    <t>2026-07-01_12-36-25</t>
  </si>
  <si>
    <t>2026-07-01_12-51-25</t>
  </si>
  <si>
    <t>2026-07-01_13-06-25</t>
  </si>
  <si>
    <t>2026-07-01_13-21-25</t>
  </si>
  <si>
    <t>2026-07-01_15-21-31</t>
  </si>
  <si>
    <t>2026-07-01_15-48-04</t>
  </si>
  <si>
    <t>2026-07-01_15-48-47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</si>
</sst>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_(* #,##0.0000_);_(* \(#,##0.0000\);_(* &quot;-&quot;??_);_(@_)"/>
    <numFmt numFmtId="166" formatCode="0.0000%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u/>
      <sz val="11"/>
      <color theme="0" tint="-0.49998474074526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u/>
      <sz val="11"/>
      <color theme="0" tint="-0.499984740745262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44" fontId="0" fillId="0" borderId="0" xfId="2" applyFont="1"/>
    <xf numFmtId="0" fontId="0" fillId="0" borderId="0" xfId="0" applyAlignment="1">
      <alignment horizontal="right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6" fillId="0" borderId="0" xfId="0" applyFont="1"/>
    <xf numFmtId="165" fontId="0" fillId="0" borderId="0" xfId="1" applyNumberFormat="1" applyFont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33" borderId="0" xfId="1" applyNumberFormat="1" applyFont="1" applyFill="1"/>
    <xf numFmtId="0" fontId="0" fillId="0" borderId="0" xfId="0" quotePrefix="1" applyAlignment="1">
      <alignment horizontal="center"/>
    </xf>
    <xf numFmtId="44" fontId="14" fillId="0" borderId="0" xfId="2" applyFont="1"/>
    <xf numFmtId="0" fontId="0" fillId="0" borderId="10" xfId="0" applyBorder="1"/>
    <xf numFmtId="0" fontId="19" fillId="0" borderId="11" xfId="0" applyFont="1" applyBorder="1" applyAlignment="1">
      <alignment horizontal="right"/>
    </xf>
    <xf numFmtId="44" fontId="19" fillId="0" borderId="11" xfId="2" applyFont="1" applyBorder="1" applyAlignment="1">
      <alignment horizontal="right"/>
    </xf>
    <xf numFmtId="0" fontId="19" fillId="0" borderId="12" xfId="0" applyFont="1" applyBorder="1" applyAlignment="1">
      <alignment horizontal="right"/>
    </xf>
    <xf numFmtId="0" fontId="16" fillId="0" borderId="13" xfId="0" applyFont="1" applyBorder="1"/>
    <xf numFmtId="44" fontId="0" fillId="0" borderId="0" xfId="2" applyFont="1" applyBorder="1"/>
    <xf numFmtId="166" fontId="0" fillId="0" borderId="14" xfId="44" applyNumberFormat="1" applyFont="1" applyBorder="1"/>
    <xf numFmtId="0" fontId="18" fillId="0" borderId="0" xfId="0" applyFont="1"/>
    <xf numFmtId="0" fontId="16" fillId="0" borderId="15" xfId="0" applyFont="1" applyBorder="1"/>
    <xf numFmtId="0" fontId="0" fillId="0" borderId="16" xfId="0" applyBorder="1"/>
    <xf numFmtId="164" fontId="0" fillId="0" borderId="16" xfId="0" applyNumberFormat="1" applyBorder="1"/>
    <xf numFmtId="44" fontId="0" fillId="0" borderId="16" xfId="2" applyFont="1" applyBorder="1"/>
    <xf numFmtId="0" fontId="0" fillId="0" borderId="17" xfId="0" applyBorder="1"/>
    <xf numFmtId="0" fontId="21" fillId="0" borderId="10" xfId="0" applyFont="1" applyBorder="1"/>
    <xf numFmtId="0" fontId="22" fillId="0" borderId="11" xfId="0" applyFont="1" applyBorder="1" applyAlignment="1">
      <alignment horizontal="right"/>
    </xf>
    <xf numFmtId="44" fontId="22" fillId="0" borderId="11" xfId="2" applyFont="1" applyBorder="1" applyAlignment="1">
      <alignment horizontal="right"/>
    </xf>
    <xf numFmtId="0" fontId="22" fillId="0" borderId="12" xfId="0" applyFont="1" applyBorder="1" applyAlignment="1">
      <alignment horizontal="right"/>
    </xf>
    <xf numFmtId="0" fontId="23" fillId="0" borderId="13" xfId="0" applyFont="1" applyBorder="1"/>
    <xf numFmtId="0" fontId="21" fillId="0" borderId="0" xfId="0" applyFont="1"/>
    <xf numFmtId="164" fontId="21" fillId="33" borderId="0" xfId="0" applyNumberFormat="1" applyFont="1" applyFill="1"/>
    <xf numFmtId="44" fontId="21" fillId="0" borderId="0" xfId="2" applyFont="1" applyBorder="1"/>
    <xf numFmtId="166" fontId="21" fillId="0" borderId="14" xfId="44" applyNumberFormat="1" applyFont="1" applyBorder="1"/>
    <xf numFmtId="0" fontId="24" fillId="0" borderId="0" xfId="0" applyFont="1"/>
    <xf numFmtId="0" fontId="23" fillId="0" borderId="15" xfId="0" applyFont="1" applyBorder="1"/>
    <xf numFmtId="0" fontId="21" fillId="0" borderId="16" xfId="0" applyFont="1" applyBorder="1"/>
    <xf numFmtId="164" fontId="21" fillId="0" borderId="16" xfId="0" applyNumberFormat="1" applyFont="1" applyBorder="1"/>
    <xf numFmtId="44" fontId="21" fillId="0" borderId="16" xfId="2" applyFont="1" applyBorder="1"/>
    <xf numFmtId="0" fontId="21" fillId="0" borderId="17" xfId="0" applyFont="1" applyBorder="1"/>
    <xf numFmtId="0" fontId="19" fillId="0" borderId="10" xfId="0" applyFont="1" applyBorder="1"/>
    <xf numFmtId="0" fontId="0" fillId="0" borderId="11" xfId="0" applyBorder="1"/>
    <xf numFmtId="0" fontId="19" fillId="0" borderId="11" xfId="0" applyFont="1" applyBorder="1"/>
    <xf numFmtId="44" fontId="0" fillId="0" borderId="11" xfId="2" applyFont="1" applyBorder="1"/>
    <xf numFmtId="0" fontId="0" fillId="0" borderId="12" xfId="0" applyBorder="1"/>
    <xf numFmtId="44" fontId="0" fillId="0" borderId="13" xfId="2" applyFont="1" applyBorder="1"/>
    <xf numFmtId="44" fontId="0" fillId="34" borderId="14" xfId="2" applyFont="1" applyFill="1" applyBorder="1"/>
    <xf numFmtId="9" fontId="0" fillId="0" borderId="0" xfId="44" applyFont="1" applyBorder="1"/>
    <xf numFmtId="0" fontId="0" fillId="0" borderId="14" xfId="0" applyBorder="1"/>
    <xf numFmtId="44" fontId="20" fillId="0" borderId="0" xfId="0" applyNumberFormat="1" applyFont="1"/>
    <xf numFmtId="44" fontId="0" fillId="0" borderId="15" xfId="2" applyFont="1" applyBorder="1"/>
    <xf numFmtId="44" fontId="0" fillId="0" borderId="16" xfId="0" applyNumberFormat="1" applyBorder="1"/>
    <xf numFmtId="0" fontId="18" fillId="0" borderId="0" xfId="0" applyFont="1" applyAlignment="1">
      <alignment horizontal="center"/>
    </xf>
    <xf numFmtId="44" fontId="18" fillId="0" borderId="0" xfId="2" applyFont="1" applyAlignment="1">
      <alignment horizontal="center"/>
    </xf>
    <xf numFmtId="2" fontId="0" fillId="33" borderId="0" xfId="0" applyNumberFormat="1" applyFill="1"/>
    <xf numFmtId="0" fontId="21" fillId="35" borderId="0" xfId="0" applyFont="1" applyFill="1"/>
    <xf numFmtId="0" fontId="24" fillId="35" borderId="0" xfId="0" applyFont="1" applyFill="1"/>
    <xf numFmtId="0" fontId="21" fillId="36" borderId="0" xfId="0" applyFont="1" applyFill="1"/>
    <xf numFmtId="0" fontId="0" fillId="36" borderId="0" xfId="0" applyFill="1"/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44" builtinId="5"/>
    <cellStyle name="Title" xfId="3" builtinId="15" customBuiltin="1"/>
    <cellStyle name="Total" xfId="19" builtinId="25" customBuiltin="1"/>
    <cellStyle name="Warning Text" xfId="16" builtinId="11" customBuiltin="1"/>
  </cellStyles>
  <dxfs count="16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_(* #,##0.0000_);_(* \(#,##0.0000\);_(* &quot;-&quot;??_);_(@_)"/>
    </dxf>
    <dxf>
      <numFmt numFmtId="165" formatCode="_(* #,##0.0000_);_(* \(#,##0.0000\);_(* &quot;-&quot;??_);_(@_)"/>
    </dxf>
    <dxf>
      <numFmt numFmtId="165" formatCode="_(* #,##0.0000_);_(* \(#,##0.0000\);_(* &quot;-&quot;??_);_(@_)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Sheet1!$H$3:$H$12</c:f>
              <c:strCache>
                <c:ptCount val="10"/>
                <c:pt idx="0">
                  <c:v>ARKB</c:v>
                </c:pt>
                <c:pt idx="1">
                  <c:v>BITB</c:v>
                </c:pt>
                <c:pt idx="2">
                  <c:v>BRRR</c:v>
                </c:pt>
                <c:pt idx="3">
                  <c:v>BTC</c:v>
                </c:pt>
                <c:pt idx="4">
                  <c:v>BTCW</c:v>
                </c:pt>
                <c:pt idx="5">
                  <c:v>EZBC</c:v>
                </c:pt>
                <c:pt idx="6">
                  <c:v>FBTC</c:v>
                </c:pt>
                <c:pt idx="7">
                  <c:v>GBTC</c:v>
                </c:pt>
                <c:pt idx="8">
                  <c:v>HODL</c:v>
                </c:pt>
                <c:pt idx="9">
                  <c:v>IBIT</c:v>
                </c:pt>
              </c:strCache>
            </c:strRef>
          </c:cat>
          <c:val>
            <c:numRef>
              <c:f>Sheet1!$I$3:$I$12</c:f>
              <c:numCache>
                <c:formatCode>General</c:formatCode>
                <c:ptCount val="10"/>
                <c:pt idx="0">
                  <c:v>-32</c:v>
                </c:pt>
                <c:pt idx="1">
                  <c:v>-33</c:v>
                </c:pt>
                <c:pt idx="2">
                  <c:v>-32</c:v>
                </c:pt>
                <c:pt idx="3">
                  <c:v>-36</c:v>
                </c:pt>
                <c:pt idx="4">
                  <c:v>-6</c:v>
                </c:pt>
                <c:pt idx="5">
                  <c:v>-4</c:v>
                </c:pt>
                <c:pt idx="6">
                  <c:v>-60</c:v>
                </c:pt>
                <c:pt idx="7">
                  <c:v>-68</c:v>
                </c:pt>
                <c:pt idx="8">
                  <c:v>-14</c:v>
                </c:pt>
                <c:pt idx="9">
                  <c:v>-49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3-4716-A3FB-F9FECB842214}"/>
            </c:ext>
          </c:extLst>
        </c:ser>
        <c:ser>
          <c:idx val="1"/>
          <c:order val="1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Sheet1!$H$3:$H$12</c:f>
              <c:strCache>
                <c:ptCount val="10"/>
                <c:pt idx="0">
                  <c:v>ARKB</c:v>
                </c:pt>
                <c:pt idx="1">
                  <c:v>BITB</c:v>
                </c:pt>
                <c:pt idx="2">
                  <c:v>BRRR</c:v>
                </c:pt>
                <c:pt idx="3">
                  <c:v>BTC</c:v>
                </c:pt>
                <c:pt idx="4">
                  <c:v>BTCW</c:v>
                </c:pt>
                <c:pt idx="5">
                  <c:v>EZBC</c:v>
                </c:pt>
                <c:pt idx="6">
                  <c:v>FBTC</c:v>
                </c:pt>
                <c:pt idx="7">
                  <c:v>GBTC</c:v>
                </c:pt>
                <c:pt idx="8">
                  <c:v>HODL</c:v>
                </c:pt>
                <c:pt idx="9">
                  <c:v>IBIT</c:v>
                </c:pt>
              </c:strCache>
            </c:strRef>
          </c:cat>
          <c:val>
            <c:numRef>
              <c:f>Sheet1!$J$3:$J$12</c:f>
              <c:numCache>
                <c:formatCode>General</c:formatCode>
                <c:ptCount val="10"/>
                <c:pt idx="0">
                  <c:v>20</c:v>
                </c:pt>
                <c:pt idx="1">
                  <c:v>18</c:v>
                </c:pt>
                <c:pt idx="2">
                  <c:v>15</c:v>
                </c:pt>
                <c:pt idx="3">
                  <c:v>12</c:v>
                </c:pt>
                <c:pt idx="4">
                  <c:v>0</c:v>
                </c:pt>
                <c:pt idx="5">
                  <c:v>11</c:v>
                </c:pt>
                <c:pt idx="6">
                  <c:v>61</c:v>
                </c:pt>
                <c:pt idx="7">
                  <c:v>80</c:v>
                </c:pt>
                <c:pt idx="8">
                  <c:v>20</c:v>
                </c:pt>
                <c:pt idx="9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3-4716-A3FB-F9FECB842214}"/>
            </c:ext>
          </c:extLst>
        </c:ser>
        <c:ser>
          <c:idx val="2"/>
          <c:order val="2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Sheet1!$H$3:$H$12</c:f>
              <c:strCache>
                <c:ptCount val="10"/>
                <c:pt idx="0">
                  <c:v>ARKB</c:v>
                </c:pt>
                <c:pt idx="1">
                  <c:v>BITB</c:v>
                </c:pt>
                <c:pt idx="2">
                  <c:v>BRRR</c:v>
                </c:pt>
                <c:pt idx="3">
                  <c:v>BTC</c:v>
                </c:pt>
                <c:pt idx="4">
                  <c:v>BTCW</c:v>
                </c:pt>
                <c:pt idx="5">
                  <c:v>EZBC</c:v>
                </c:pt>
                <c:pt idx="6">
                  <c:v>FBTC</c:v>
                </c:pt>
                <c:pt idx="7">
                  <c:v>GBTC</c:v>
                </c:pt>
                <c:pt idx="8">
                  <c:v>HODL</c:v>
                </c:pt>
                <c:pt idx="9">
                  <c:v>IBIT</c:v>
                </c:pt>
              </c:strCache>
            </c:strRef>
          </c:cat>
          <c:val>
            <c:numRef>
              <c:f>Sheet1!$K$3:$K$12</c:f>
              <c:numCache>
                <c:formatCode>General</c:formatCode>
                <c:ptCount val="10"/>
                <c:pt idx="0">
                  <c:v>-12</c:v>
                </c:pt>
                <c:pt idx="1">
                  <c:v>-15</c:v>
                </c:pt>
                <c:pt idx="2">
                  <c:v>-17</c:v>
                </c:pt>
                <c:pt idx="3">
                  <c:v>-24</c:v>
                </c:pt>
                <c:pt idx="4">
                  <c:v>-6</c:v>
                </c:pt>
                <c:pt idx="5">
                  <c:v>7</c:v>
                </c:pt>
                <c:pt idx="6">
                  <c:v>1</c:v>
                </c:pt>
                <c:pt idx="7">
                  <c:v>12</c:v>
                </c:pt>
                <c:pt idx="8">
                  <c:v>6</c:v>
                </c:pt>
                <c:pt idx="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3-4716-A3FB-F9FECB842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167520"/>
        <c:axId val="756151200"/>
      </c:barChart>
      <c:catAx>
        <c:axId val="75616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151200"/>
        <c:crosses val="autoZero"/>
        <c:auto val="1"/>
        <c:lblAlgn val="ctr"/>
        <c:lblOffset val="100"/>
        <c:noMultiLvlLbl val="0"/>
      </c:catAx>
      <c:valAx>
        <c:axId val="75615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16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13</xdr:row>
      <xdr:rowOff>104774</xdr:rowOff>
    </xdr:from>
    <xdr:to>
      <xdr:col>12</xdr:col>
      <xdr:colOff>9525</xdr:colOff>
      <xdr:row>26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CF4757-D704-5EA8-F977-6FA7A8E4F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Hyland" refreshedDate="46207.550003009259" createdVersion="8" refreshedVersion="8" minRefreshableVersion="3" recordCount="3340" xr:uid="{E068F6D9-8ED8-4172-8721-D947D942BC8B}">
  <cacheSource type="worksheet">
    <worksheetSource name="Table1"/>
  </cacheSource>
  <cacheFields count="9">
    <cacheField name="my_fi_name" numFmtId="0">
      <sharedItems count="10">
        <s v="ARKB"/>
        <s v="BITB"/>
        <s v="BRRR"/>
        <s v="BTC"/>
        <s v="BTCW"/>
        <s v="EZBC"/>
        <s v="FBTC"/>
        <s v="GBTC"/>
        <s v="HODL"/>
        <s v="IBIT"/>
      </sharedItems>
    </cacheField>
    <cacheField name="price_mkt_bid" numFmtId="44">
      <sharedItems containsSemiMixedTypes="0" containsString="0" containsNumber="1" minValue="16.38" maxValue="70.95"/>
    </cacheField>
    <cacheField name="price_mkt_ask" numFmtId="44">
      <sharedItems containsSemiMixedTypes="0" containsString="0" containsNumber="1" minValue="16.39" maxValue="71.069999999999993"/>
    </cacheField>
    <cacheField name="time" numFmtId="0">
      <sharedItems count="335">
        <s v="2026-06-10_11-53-43"/>
        <s v="2026-06-10_12-08-43"/>
        <s v="2026-06-10_12-23-43"/>
        <s v="2026-06-10_12-38-43"/>
        <s v="2026-06-10_12-53-43"/>
        <s v="2026-06-10_13-08-43"/>
        <s v="2026-06-10_13-23-43"/>
        <s v="2026-06-10_13-38-43"/>
        <s v="2026-06-10_13-53-43"/>
        <s v="2026-06-10_14-08-43"/>
        <s v="2026-06-10_14-23-43"/>
        <s v="2026-06-10_14-38-43"/>
        <s v="2026-06-10_14-53-43"/>
        <s v="2026-06-10_15-08-43"/>
        <s v="2026-06-10_15-23-43"/>
        <s v="2026-06-10_15-38-43"/>
        <s v="2026-06-10_15-53-43"/>
        <s v="2026-06-11_09-32-32"/>
        <s v="2026-06-11_09-47-32"/>
        <s v="2026-06-11_10-25-57"/>
        <s v="2026-06-11_10-40-57"/>
        <s v="2026-06-11_10-55-57"/>
        <s v="2026-06-11_11-10-57"/>
        <s v="2026-06-11_11-25-57"/>
        <s v="2026-06-11_11-40-57"/>
        <s v="2026-06-11_11-55-57"/>
        <s v="2026-06-11_12-10-57"/>
        <s v="2026-06-11_12-25-57"/>
        <s v="2026-06-11_12-40-57"/>
        <s v="2026-06-11_12-55-57"/>
        <s v="2026-06-11_13-10-57"/>
        <s v="2026-06-11_13-25-57"/>
        <s v="2026-06-11_13-40-57"/>
        <s v="2026-06-11_13-55-57"/>
        <s v="2026-06-11_14-10-57"/>
        <s v="2026-06-11_14-25-57"/>
        <s v="2026-06-11_14-40-57"/>
        <s v="2026-06-11_14-55-57"/>
        <s v="2026-06-11_15-10-57"/>
        <s v="2026-06-11_15-25-57"/>
        <s v="2026-06-11_15-40-57"/>
        <s v="2026-06-11_15-55-57"/>
        <s v="2026-06-12_09-38-50"/>
        <s v="2026-06-12_09-53-15"/>
        <s v="2026-06-12_10-13-43"/>
        <s v="2026-06-12_11-42-48"/>
        <s v="2026-06-12_11-45-28"/>
        <s v="2026-06-12_12-00-28"/>
        <s v="2026-06-12_12-15-28"/>
        <s v="2026-06-12_12-30-28"/>
        <s v="2026-06-12_12-45-28"/>
        <s v="2026-06-12_13-00-28"/>
        <s v="2026-06-12_13-15-28"/>
        <s v="2026-06-12_13-30-28"/>
        <s v="2026-06-12_13-45-28"/>
        <s v="2026-06-12_14-00-28"/>
        <s v="2026-06-12_14-15-28"/>
        <s v="2026-06-12_14-30-28"/>
        <s v="2026-06-12_14-45-28"/>
        <s v="2026-06-12_15-00-28"/>
        <s v="2026-06-12_15-15-28"/>
        <s v="2026-06-12_15-30-28"/>
        <s v="2026-06-12_15-45-28"/>
        <s v="2026-06-15_12-35-12"/>
        <s v="2026-06-15_12-50-12"/>
        <s v="2026-06-15_13-05-12"/>
        <s v="2026-06-15_13-20-12"/>
        <s v="2026-06-15_13-35-12"/>
        <s v="2026-06-15_13-50-12"/>
        <s v="2026-06-15_14-05-12"/>
        <s v="2026-06-15_14-20-12"/>
        <s v="2026-06-15_14-35-12"/>
        <s v="2026-06-15_14-50-12"/>
        <s v="2026-06-15_15-05-12"/>
        <s v="2026-06-15_15-20-12"/>
        <s v="2026-06-15_15-35-12"/>
        <s v="2026-06-15_15-50-13"/>
        <s v="2026-06-16_09-49-36"/>
        <s v="2026-06-16_10-04-32"/>
        <s v="2026-06-16_10-26-35"/>
        <s v="2026-06-16_11-08-41"/>
        <s v="2026-06-16_11-22-27"/>
        <s v="2026-06-16_11-36-13"/>
        <s v="2026-06-16_11-49-59"/>
        <s v="2026-06-16_12-03-46"/>
        <s v="2026-06-16_12-17-32"/>
        <s v="2026-06-16_12-31-18"/>
        <s v="2026-06-16_12-45-03"/>
        <s v="2026-06-16_12-58-49"/>
        <s v="2026-06-16_13-12-33"/>
        <s v="2026-06-16_13-26-18"/>
        <s v="2026-06-16_13-40-03"/>
        <s v="2026-06-16_13-53-55"/>
        <s v="2026-06-16_14-07-39"/>
        <s v="2026-06-16_14-21-25"/>
        <s v="2026-06-16_14-35-10"/>
        <s v="2026-06-16_14-48-56"/>
        <s v="2026-06-16_15-02-43"/>
        <s v="2026-06-16_15-16-28"/>
        <s v="2026-06-16_15-30-13"/>
        <s v="2026-06-16_15-43-58"/>
        <s v="2026-06-16_15-57-42"/>
        <s v="2026-06-17_11-54-44"/>
        <s v="2026-06-17_12-09-44"/>
        <s v="2026-06-17_12-12-30"/>
        <s v="2026-06-17_12-27-30"/>
        <s v="2026-06-17_12-42-30"/>
        <s v="2026-06-17_12-57-30"/>
        <s v="2026-06-17_13-12-30"/>
        <s v="2026-06-17_13-27-30"/>
        <s v="2026-06-17_13-42-30"/>
        <s v="2026-06-17_13-57-30"/>
        <s v="2026-06-17_14-12-30"/>
        <s v="2026-06-17_14-27-30"/>
        <s v="2026-06-17_14-42-30"/>
        <s v="2026-06-17_14-57-25"/>
        <s v="2026-06-17_15-12-25"/>
        <s v="2026-06-17_15-27-26"/>
        <s v="2026-06-17_15-42-26"/>
        <s v="2026-06-17_15-57-26"/>
        <s v="2026-06-17_16-12-26"/>
        <s v="2026-06-17_16-27-26"/>
        <s v="2026-06-18_09-21-25"/>
        <s v="2026-06-18_09-36-25"/>
        <s v="2026-06-18_09-51-25"/>
        <s v="2026-06-18_10-06-25"/>
        <s v="2026-06-18_10-21-25"/>
        <s v="2026-06-18_10-36-25"/>
        <s v="2026-06-18_10-51-25"/>
        <s v="2026-06-18_11-06-25"/>
        <s v="2026-06-18_11-21-25"/>
        <s v="2026-06-18_11-36-25"/>
        <s v="2026-06-18_11-51-25"/>
        <s v="2026-06-18_12-06-25"/>
        <s v="2026-06-18_12-21-25"/>
        <s v="2026-06-18_12-36-25"/>
        <s v="2026-06-18_12-51-25"/>
        <s v="2026-06-18_13-06-25"/>
        <s v="2026-06-18_13-21-25"/>
        <s v="2026-06-18_13-36-25"/>
        <s v="2026-06-18_13-51-25"/>
        <s v="2026-06-18_14-06-25"/>
        <s v="2026-06-18_14-21-25"/>
        <s v="2026-06-18_14-36-25"/>
        <s v="2026-06-18_14-51-25"/>
        <s v="2026-06-18_15-06-25"/>
        <s v="2026-06-18_15-21-25"/>
        <s v="2026-06-18_15-36-25"/>
        <s v="2026-06-18_15-51-25"/>
        <s v="2026-06-22_09-17-08"/>
        <s v="2026-06-22_09-32-08"/>
        <s v="2026-06-22_09-47-08"/>
        <s v="2026-06-22_10-02-08"/>
        <s v="2026-06-22_10-17-08"/>
        <s v="2026-06-22_10-32-08"/>
        <s v="2026-06-22_10-47-08"/>
        <s v="2026-06-22_11-02-08"/>
        <s v="2026-06-22_11-17-08"/>
        <s v="2026-06-22_11-32-08"/>
        <s v="2026-06-22_11-47-09"/>
        <s v="2026-06-22_12-02-09"/>
        <s v="2026-06-22_12-17-09"/>
        <s v="2026-06-22_12-32-09"/>
        <s v="2026-06-22_12-47-09"/>
        <s v="2026-06-22_13-02-09"/>
        <s v="2026-06-22_13-17-09"/>
        <s v="2026-06-22_13-32-09"/>
        <s v="2026-06-22_13-47-09"/>
        <s v="2026-06-22_14-02-09"/>
        <s v="2026-06-22_14-17-09"/>
        <s v="2026-06-22_14-32-09"/>
        <s v="2026-06-22_14-47-09"/>
        <s v="2026-06-22_15-02-09"/>
        <s v="2026-06-22_15-17-09"/>
        <s v="2026-06-22_15-32-09"/>
        <s v="2026-06-22_15-47-09"/>
        <s v="2026-06-23_09-50-20"/>
        <s v="2026-06-23_10-05-20"/>
        <s v="2026-06-23_10-22-51"/>
        <s v="2026-06-23_10-37-51"/>
        <s v="2026-06-23_10-52-51"/>
        <s v="2026-06-23_11-07-51"/>
        <s v="2026-06-23_11-22-51"/>
        <s v="2026-06-23_11-37-51"/>
        <s v="2026-06-23_11-52-51"/>
        <s v="2026-06-23_12-07-51"/>
        <s v="2026-06-23_12-22-51"/>
        <s v="2026-06-23_12-37-51"/>
        <s v="2026-06-23_12-52-51"/>
        <s v="2026-06-23_13-07-51"/>
        <s v="2026-06-23_13-22-51"/>
        <s v="2026-06-23_13-37-51"/>
        <s v="2026-06-23_13-52-51"/>
        <s v="2026-06-23_14-07-51"/>
        <s v="2026-06-23_14-22-51"/>
        <s v="2026-06-23_14-37-51"/>
        <s v="2026-06-23_14-52-51"/>
        <s v="2026-06-23_15-07-51"/>
        <s v="2026-06-23_15-22-51"/>
        <s v="2026-06-23_15-37-51"/>
        <s v="2026-06-23_15-52-51"/>
        <s v="2026-06-24_11-06-22"/>
        <s v="2026-06-24_11-21-22"/>
        <s v="2026-06-24_11-36-22"/>
        <s v="2026-06-24_11-51-22"/>
        <s v="2026-06-24_12-06-22"/>
        <s v="2026-06-24_12-21-22"/>
        <s v="2026-06-24_12-36-22"/>
        <s v="2026-06-24_12-51-22"/>
        <s v="2026-06-24_13-06-22"/>
        <s v="2026-06-24_13-21-22"/>
        <s v="2026-06-24_13-36-22"/>
        <s v="2026-06-24_13-51-22"/>
        <s v="2026-06-24_14-06-22"/>
        <s v="2026-06-24_14-21-22"/>
        <s v="2026-06-24_14-36-22"/>
        <s v="2026-06-24_14-51-22"/>
        <s v="2026-06-24_15-06-22"/>
        <s v="2026-06-24_15-21-22"/>
        <s v="2026-06-24_15-36-22"/>
        <s v="2026-06-24_15-51-22"/>
        <s v="2026-06-25_09-43-55"/>
        <s v="2026-06-25_10-21-12"/>
        <s v="2026-06-25_10-36-12"/>
        <s v="2026-06-25_10-51-15"/>
        <s v="2026-06-25_11-06-15"/>
        <s v="2026-06-25_11-21-15"/>
        <s v="2026-06-25_11-36-15"/>
        <s v="2026-06-25_11-51-15"/>
        <s v="2026-06-25_12-06-15"/>
        <s v="2026-06-25_12-21-15"/>
        <s v="2026-06-25_12-36-15"/>
        <s v="2026-06-25_12-51-15"/>
        <s v="2026-06-25_13-03-28"/>
        <s v="2026-06-25_13-18-28"/>
        <s v="2026-06-25_13-33-28"/>
        <s v="2026-06-25_13-48-28"/>
        <s v="2026-06-25_14-03-28"/>
        <s v="2026-06-25_15-02-41"/>
        <s v="2026-06-25_15-17-41"/>
        <s v="2026-06-25_15-32-41"/>
        <s v="2026-06-25_15-47-41"/>
        <s v="2026-06-26_10-36-19"/>
        <s v="2026-06-26_10-50-53"/>
        <s v="2026-06-26_10-55-23"/>
        <s v="2026-06-26_11-10-23"/>
        <s v="2026-06-26_11-25-23"/>
        <s v="2026-06-26_11-40-23"/>
        <s v="2026-06-26_11-55-23"/>
        <s v="2026-06-26_12-10-23"/>
        <s v="2026-06-26_12-25-23"/>
        <s v="2026-06-26_12-40-23"/>
        <s v="2026-06-26_12-55-23"/>
        <s v="2026-06-26_13-10-23"/>
        <s v="2026-06-26_13-25-23"/>
        <s v="2026-06-26_13-40-23"/>
        <s v="2026-06-26_13-55-23"/>
        <s v="2026-06-26_14-10-23"/>
        <s v="2026-06-26_14-25-23"/>
        <s v="2026-06-26_14-44-31"/>
        <s v="2026-06-26_14-59-31"/>
        <s v="2026-06-26_15-14-31"/>
        <s v="2026-06-26_15-29-31"/>
        <s v="2026-06-26_15-44-31"/>
        <s v="2026-06-26_15-59-31"/>
        <s v="2026-06-29_10-52-18"/>
        <s v="2026-06-29_10-59-48"/>
        <s v="2026-06-29_11-14-48"/>
        <s v="2026-06-29_11-29-48"/>
        <s v="2026-06-29_11-44-48"/>
        <s v="2026-06-29_11-59-48"/>
        <s v="2026-06-29_12-14-48"/>
        <s v="2026-06-29_12-29-48"/>
        <s v="2026-06-29_12-44-48"/>
        <s v="2026-06-29_13-55-10"/>
        <s v="2026-06-29_13-56-15"/>
        <s v="2026-06-29_15-13-03"/>
        <s v="2026-06-29_15-28-03"/>
        <s v="2026-06-29_15-43-03"/>
        <s v="2026-06-29_15-58-03"/>
        <s v="2026-06-30_09-35-35"/>
        <s v="2026-06-30_09-50-35"/>
        <s v="2026-06-30_10-05-35"/>
        <s v="2026-06-30_10-20-35"/>
        <s v="2026-06-30_10-35-35"/>
        <s v="2026-06-30_10-50-35"/>
        <s v="2026-06-30_11-05-35"/>
        <s v="2026-06-30_11-20-35"/>
        <s v="2026-06-30_11-35-35"/>
        <s v="2026-06-30_15-15-58"/>
        <s v="2026-06-30_15-30-58"/>
        <s v="2026-06-30_15-45-58"/>
        <s v="2026-07-01_10-10-52"/>
        <s v="2026-07-01_10-25-52"/>
        <s v="2026-07-01_10-40-52"/>
        <s v="2026-07-01_10-55-52"/>
        <s v="2026-07-01_11-06-25"/>
        <s v="2026-07-01_11-21-25"/>
        <s v="2026-07-01_11-36-25"/>
        <s v="2026-07-01_11-51-25"/>
        <s v="2026-07-01_12-06-25"/>
        <s v="2026-07-01_12-21-25"/>
        <s v="2026-07-01_12-36-25"/>
        <s v="2026-07-01_12-51-25"/>
        <s v="2026-07-01_13-06-25"/>
        <s v="2026-07-01_13-21-25"/>
        <s v="2026-07-01_15-21-31"/>
        <s v="2026-07-01_15-48-04"/>
        <s v="2026-07-01_15-48-47"/>
        <s v="2026-07-02_09-45-42"/>
        <s v="2026-07-02_10-00-42"/>
        <s v="2026-07-02_10-15-42"/>
        <s v="2026-07-02_10-30-42"/>
        <s v="2026-07-02_10-45-42"/>
        <s v="2026-07-02_11-00-42"/>
        <s v="2026-07-02_11-15-42"/>
        <s v="2026-07-02_11-42-59"/>
        <s v="2026-07-02_11-57-59"/>
        <s v="2026-07-02_12-12-59"/>
        <s v="2026-07-02_12-27-59"/>
        <s v="2026-07-02_12-42-59"/>
        <s v="2026-07-02_12-57-59"/>
        <s v="2026-07-02_13-12-59"/>
        <s v="2026-07-02_13-27-59"/>
        <s v="2026-07-02_13-42-59"/>
        <s v="2026-07-02_13-57-59"/>
        <s v="2026-07-02_14-12-59"/>
        <s v="2026-07-02_14-27-59"/>
        <s v="2026-07-02_14-42-59"/>
        <s v="2026-07-02_14-57-59"/>
        <s v="2026-07-02_15-12-59"/>
        <s v="2026-07-02_15-27-59"/>
        <s v="2026-07-02_15-42-59"/>
        <s v="2026-07-02_15-57-59"/>
        <s v="2026-06-10_16-08-43" u="1"/>
      </sharedItems>
    </cacheField>
    <cacheField name="scalar" numFmtId="165">
      <sharedItems containsSemiMixedTypes="0" containsString="0" containsNumber="1" minValue="946.05840000000001" maxValue="3546.9023999999999"/>
    </cacheField>
    <cacheField name="adj" numFmtId="165">
      <sharedItems containsSemiMixedTypes="0" containsString="0" containsNumber="1" minValue="-0.2" maxValue="0.2"/>
    </cacheField>
    <cacheField name="adj scalar" numFmtId="165">
      <sharedItems containsSemiMixedTypes="0" containsString="0" containsNumber="1" minValue="946.05840000000001" maxValue="3546.9023999999999"/>
    </cacheField>
    <cacheField name="unit bid" numFmtId="44">
      <sharedItems containsSemiMixedTypes="0" containsString="0" containsNumber="1" minValue="58048.658340000002" maxValue="67179.553815000007"/>
    </cacheField>
    <cacheField name="unit ask" numFmtId="44">
      <sharedItems containsSemiMixedTypes="0" containsString="0" containsNumber="1" minValue="58115.522812000003" maxValue="67238.680263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0">
  <r>
    <x v="0"/>
    <n v="20.73"/>
    <n v="20.74"/>
    <x v="0"/>
    <n v="3014.7411999999999"/>
    <n v="0"/>
    <n v="3014.7411999999999"/>
    <n v="62495.585076000003"/>
    <n v="62525.732487999994"/>
  </r>
  <r>
    <x v="1"/>
    <n v="33.93"/>
    <n v="33.94"/>
    <x v="0"/>
    <n v="1841.9992999999999"/>
    <n v="-0.1"/>
    <n v="1841.8993"/>
    <n v="62495.643249000001"/>
    <n v="62514.062242"/>
  </r>
  <r>
    <x v="2"/>
    <n v="17.62"/>
    <n v="17.63"/>
    <x v="0"/>
    <n v="3546.2948999999999"/>
    <n v="0"/>
    <n v="3546.2948999999999"/>
    <n v="62485.716138000003"/>
    <n v="62521.179086999997"/>
  </r>
  <r>
    <x v="3"/>
    <n v="27.64"/>
    <n v="27.65"/>
    <x v="0"/>
    <n v="2261.23"/>
    <n v="-0.2"/>
    <n v="2261.0300000000002"/>
    <n v="62494.869200000008"/>
    <n v="62517.479500000001"/>
  </r>
  <r>
    <x v="4"/>
    <n v="66.06"/>
    <n v="66.17"/>
    <x v="0"/>
    <n v="946.05840000000001"/>
    <n v="0"/>
    <n v="946.05840000000001"/>
    <n v="62496.617904000006"/>
    <n v="62600.684328000003"/>
  </r>
  <r>
    <x v="5"/>
    <n v="36.119999999999997"/>
    <n v="36.14"/>
    <x v="0"/>
    <n v="1730.0098"/>
    <n v="0.2"/>
    <n v="1730.2098000000001"/>
    <n v="62495.177975999999"/>
    <n v="62529.782172000007"/>
  </r>
  <r>
    <x v="6"/>
    <n v="54.41"/>
    <n v="54.42"/>
    <x v="0"/>
    <n v="1148.7583999999999"/>
    <n v="0.05"/>
    <n v="1148.8083999999999"/>
    <n v="62506.665043999987"/>
    <n v="62518.153127999998"/>
  </r>
  <r>
    <x v="7"/>
    <n v="48.51"/>
    <n v="48.52"/>
    <x v="0"/>
    <n v="1288.3256000000001"/>
    <n v="0"/>
    <n v="1288.3256000000001"/>
    <n v="62496.674856000005"/>
    <n v="62509.558112000013"/>
  </r>
  <r>
    <x v="8"/>
    <n v="17.670000000000002"/>
    <n v="17.68"/>
    <x v="0"/>
    <n v="3535.8029000000001"/>
    <n v="0"/>
    <n v="3535.8029000000001"/>
    <n v="62477.637243000012"/>
    <n v="62512.995272"/>
  </r>
  <r>
    <x v="9"/>
    <n v="35.409999999999997"/>
    <n v="35.42"/>
    <x v="0"/>
    <n v="1764.9141"/>
    <n v="0.2"/>
    <n v="1765.1141"/>
    <n v="62502.690280999996"/>
    <n v="62520.341422000005"/>
  </r>
  <r>
    <x v="0"/>
    <n v="20.68"/>
    <n v="20.69"/>
    <x v="1"/>
    <n v="3014.7411999999999"/>
    <n v="0"/>
    <n v="3014.7411999999999"/>
    <n v="62344.848015999996"/>
    <n v="62374.995428000002"/>
  </r>
  <r>
    <x v="1"/>
    <n v="33.86"/>
    <n v="33.869999999999997"/>
    <x v="1"/>
    <n v="1841.9992999999999"/>
    <n v="-0.1"/>
    <n v="1841.8993"/>
    <n v="62366.710297999998"/>
    <n v="62385.129290999997"/>
  </r>
  <r>
    <x v="2"/>
    <n v="17.579999999999998"/>
    <n v="17.59"/>
    <x v="1"/>
    <n v="3546.2948999999999"/>
    <n v="0"/>
    <n v="3546.2948999999999"/>
    <n v="62343.864341999993"/>
    <n v="62379.327290999994"/>
  </r>
  <r>
    <x v="3"/>
    <n v="27.58"/>
    <n v="27.59"/>
    <x v="1"/>
    <n v="2261.23"/>
    <n v="-0.2"/>
    <n v="2261.0300000000002"/>
    <n v="62359.207399999999"/>
    <n v="62381.817700000007"/>
  </r>
  <r>
    <x v="4"/>
    <n v="65.92"/>
    <n v="66.03"/>
    <x v="1"/>
    <n v="946.05840000000001"/>
    <n v="0"/>
    <n v="946.05840000000001"/>
    <n v="62364.169728000001"/>
    <n v="62468.236152000005"/>
  </r>
  <r>
    <x v="5"/>
    <n v="36.03"/>
    <n v="36.049999999999997"/>
    <x v="1"/>
    <n v="1730.0098"/>
    <n v="0.2"/>
    <n v="1730.2098000000001"/>
    <n v="62339.459094000005"/>
    <n v="62374.063289999998"/>
  </r>
  <r>
    <x v="6"/>
    <n v="54.29"/>
    <n v="54.3"/>
    <x v="1"/>
    <n v="1148.7583999999999"/>
    <n v="0.05"/>
    <n v="1148.8083999999999"/>
    <n v="62368.808035999995"/>
    <n v="62380.296119999992"/>
  </r>
  <r>
    <x v="7"/>
    <n v="48.4"/>
    <n v="48.41"/>
    <x v="1"/>
    <n v="1288.3256000000001"/>
    <n v="0"/>
    <n v="1288.3256000000001"/>
    <n v="62354.959040000002"/>
    <n v="62367.842296000003"/>
  </r>
  <r>
    <x v="8"/>
    <n v="17.63"/>
    <n v="17.64"/>
    <x v="1"/>
    <n v="3535.8029000000001"/>
    <n v="0"/>
    <n v="3535.8029000000001"/>
    <n v="62336.205127000001"/>
    <n v="62371.563156000004"/>
  </r>
  <r>
    <x v="9"/>
    <n v="35.33"/>
    <n v="35.340000000000003"/>
    <x v="1"/>
    <n v="1764.9141"/>
    <n v="0.2"/>
    <n v="1765.1141"/>
    <n v="62361.481153000001"/>
    <n v="62379.132294000003"/>
  </r>
  <r>
    <x v="0"/>
    <n v="20.64"/>
    <n v="20.65"/>
    <x v="2"/>
    <n v="3014.7411999999999"/>
    <n v="0"/>
    <n v="3014.7411999999999"/>
    <n v="62224.258368000003"/>
    <n v="62254.405779999994"/>
  </r>
  <r>
    <x v="1"/>
    <n v="33.79"/>
    <n v="33.799999999999997"/>
    <x v="2"/>
    <n v="1841.9992999999999"/>
    <n v="-0.1"/>
    <n v="1841.8993"/>
    <n v="62237.777347000003"/>
    <n v="62256.196339999995"/>
  </r>
  <r>
    <x v="2"/>
    <n v="17.54"/>
    <n v="17.55"/>
    <x v="2"/>
    <n v="3546.2948999999999"/>
    <n v="0"/>
    <n v="3546.2948999999999"/>
    <n v="62202.012545999998"/>
    <n v="62237.475494999999"/>
  </r>
  <r>
    <x v="3"/>
    <n v="27.52"/>
    <n v="27.53"/>
    <x v="2"/>
    <n v="2261.23"/>
    <n v="-0.2"/>
    <n v="2261.0300000000002"/>
    <n v="62223.545600000005"/>
    <n v="62246.155900000005"/>
  </r>
  <r>
    <x v="4"/>
    <n v="65.78"/>
    <n v="65.87"/>
    <x v="2"/>
    <n v="946.05840000000001"/>
    <n v="0"/>
    <n v="946.05840000000001"/>
    <n v="62231.721552000003"/>
    <n v="62316.866808000006"/>
  </r>
  <r>
    <x v="5"/>
    <n v="35.96"/>
    <n v="35.979999999999997"/>
    <x v="2"/>
    <n v="1730.0098"/>
    <n v="0.2"/>
    <n v="1730.2098000000001"/>
    <n v="62218.344408000004"/>
    <n v="62252.948603999997"/>
  </r>
  <r>
    <x v="6"/>
    <n v="54.18"/>
    <n v="54.19"/>
    <x v="2"/>
    <n v="1148.7583999999999"/>
    <n v="0.05"/>
    <n v="1148.8083999999999"/>
    <n v="62242.439111999993"/>
    <n v="62253.92719599999"/>
  </r>
  <r>
    <x v="7"/>
    <n v="48.3"/>
    <n v="48.31"/>
    <x v="2"/>
    <n v="1288.3256000000001"/>
    <n v="0"/>
    <n v="1288.3256000000001"/>
    <n v="62226.126479999999"/>
    <n v="62239.009736000007"/>
  </r>
  <r>
    <x v="8"/>
    <n v="17.600000000000001"/>
    <n v="17.61"/>
    <x v="2"/>
    <n v="3535.8029000000001"/>
    <n v="0"/>
    <n v="3535.8029000000001"/>
    <n v="62230.131040000007"/>
    <n v="62265.489069000003"/>
  </r>
  <r>
    <x v="9"/>
    <n v="35.25"/>
    <n v="35.26"/>
    <x v="2"/>
    <n v="1764.9141"/>
    <n v="0.2"/>
    <n v="1765.1141"/>
    <n v="62220.272024999998"/>
    <n v="62237.923165999993"/>
  </r>
  <r>
    <x v="0"/>
    <n v="20.66"/>
    <n v="20.67"/>
    <x v="3"/>
    <n v="3014.7411999999999"/>
    <n v="0"/>
    <n v="3014.7411999999999"/>
    <n v="62284.553191999999"/>
    <n v="62314.700604000005"/>
  </r>
  <r>
    <x v="1"/>
    <n v="33.81"/>
    <n v="33.82"/>
    <x v="3"/>
    <n v="1841.9992999999999"/>
    <n v="-0.1"/>
    <n v="1841.8993"/>
    <n v="62274.615333000009"/>
    <n v="62293.034326000001"/>
  </r>
  <r>
    <x v="2"/>
    <n v="17.559999999999999"/>
    <n v="17.57"/>
    <x v="3"/>
    <n v="3546.2948999999999"/>
    <n v="0"/>
    <n v="3546.2948999999999"/>
    <n v="62272.938443999992"/>
    <n v="62308.401393"/>
  </r>
  <r>
    <x v="3"/>
    <n v="27.54"/>
    <n v="27.55"/>
    <x v="3"/>
    <n v="2261.23"/>
    <n v="-0.2"/>
    <n v="2261.0300000000002"/>
    <n v="62268.766200000005"/>
    <n v="62291.376500000006"/>
  </r>
  <r>
    <x v="4"/>
    <n v="65.819999999999993"/>
    <n v="65.89"/>
    <x v="3"/>
    <n v="946.05840000000001"/>
    <n v="0"/>
    <n v="946.05840000000001"/>
    <n v="62269.563887999997"/>
    <n v="62335.787976"/>
  </r>
  <r>
    <x v="5"/>
    <n v="35.99"/>
    <n v="36.01"/>
    <x v="3"/>
    <n v="1730.0098"/>
    <n v="0.2"/>
    <n v="1730.2098000000001"/>
    <n v="62270.250702000005"/>
    <n v="62304.854897999998"/>
  </r>
  <r>
    <x v="6"/>
    <n v="54.22"/>
    <n v="54.23"/>
    <x v="3"/>
    <n v="1148.7583999999999"/>
    <n v="0.05"/>
    <n v="1148.8083999999999"/>
    <n v="62288.391447999995"/>
    <n v="62299.879531999992"/>
  </r>
  <r>
    <x v="7"/>
    <n v="48.33"/>
    <n v="48.34"/>
    <x v="3"/>
    <n v="1288.3256000000001"/>
    <n v="0"/>
    <n v="1288.3256000000001"/>
    <n v="62264.776248000002"/>
    <n v="62277.65950400001"/>
  </r>
  <r>
    <x v="8"/>
    <n v="17.61"/>
    <n v="17.62"/>
    <x v="3"/>
    <n v="3535.8029000000001"/>
    <n v="0"/>
    <n v="3535.8029000000001"/>
    <n v="62265.489069000003"/>
    <n v="62300.847098000006"/>
  </r>
  <r>
    <x v="9"/>
    <n v="35.28"/>
    <n v="35.29"/>
    <x v="3"/>
    <n v="1764.9141"/>
    <n v="0.2"/>
    <n v="1765.1141"/>
    <n v="62273.225448000005"/>
    <n v="62290.876589"/>
  </r>
  <r>
    <x v="0"/>
    <n v="20.59"/>
    <n v="20.6"/>
    <x v="4"/>
    <n v="3014.7411999999999"/>
    <n v="0"/>
    <n v="3014.7411999999999"/>
    <n v="62073.521307999996"/>
    <n v="62103.668720000001"/>
  </r>
  <r>
    <x v="1"/>
    <n v="33.700000000000003"/>
    <n v="33.71"/>
    <x v="4"/>
    <n v="1841.9992999999999"/>
    <n v="-0.1"/>
    <n v="1841.8993"/>
    <n v="62072.006410000009"/>
    <n v="62090.425403000001"/>
  </r>
  <r>
    <x v="2"/>
    <n v="17.5"/>
    <n v="17.510000000000002"/>
    <x v="4"/>
    <n v="3546.2948999999999"/>
    <n v="0"/>
    <n v="3546.2948999999999"/>
    <n v="62060.160749999995"/>
    <n v="62095.623699000003"/>
  </r>
  <r>
    <x v="3"/>
    <n v="27.45"/>
    <n v="27.46"/>
    <x v="4"/>
    <n v="2261.23"/>
    <n v="-0.2"/>
    <n v="2261.0300000000002"/>
    <n v="62065.273500000003"/>
    <n v="62087.883800000011"/>
  </r>
  <r>
    <x v="4"/>
    <n v="65.62"/>
    <n v="65.7"/>
    <x v="4"/>
    <n v="946.05840000000001"/>
    <n v="0"/>
    <n v="946.05840000000001"/>
    <n v="62080.352208000004"/>
    <n v="62156.03688"/>
  </r>
  <r>
    <x v="5"/>
    <n v="35.869999999999997"/>
    <n v="35.89"/>
    <x v="4"/>
    <n v="1730.0098"/>
    <n v="0.2"/>
    <n v="1730.2098000000001"/>
    <n v="62062.625525999996"/>
    <n v="62097.229722000004"/>
  </r>
  <r>
    <x v="6"/>
    <n v="54.04"/>
    <n v="54.05"/>
    <x v="4"/>
    <n v="1148.7583999999999"/>
    <n v="0.05"/>
    <n v="1148.8083999999999"/>
    <n v="62081.605935999993"/>
    <n v="62093.09401999999"/>
  </r>
  <r>
    <x v="7"/>
    <n v="48.17"/>
    <n v="48.18"/>
    <x v="4"/>
    <n v="1288.3256000000001"/>
    <n v="0"/>
    <n v="1288.3256000000001"/>
    <n v="62058.644152000008"/>
    <n v="62071.527408000009"/>
  </r>
  <r>
    <x v="8"/>
    <n v="17.55"/>
    <n v="17.559999999999999"/>
    <x v="4"/>
    <n v="3535.8029000000001"/>
    <n v="0"/>
    <n v="3535.8029000000001"/>
    <n v="62053.340895000008"/>
    <n v="62088.698923999997"/>
  </r>
  <r>
    <x v="9"/>
    <n v="35.17"/>
    <n v="35.18"/>
    <x v="4"/>
    <n v="1764.9141"/>
    <n v="0.2"/>
    <n v="1765.1141"/>
    <n v="62079.062897000003"/>
    <n v="62096.714037999998"/>
  </r>
  <r>
    <x v="0"/>
    <n v="20.6"/>
    <n v="20.6"/>
    <x v="5"/>
    <n v="3014.7411999999999"/>
    <n v="0"/>
    <n v="3014.7411999999999"/>
    <n v="62103.668720000001"/>
    <n v="62103.668720000001"/>
  </r>
  <r>
    <x v="1"/>
    <n v="33.72"/>
    <n v="33.729999999999997"/>
    <x v="5"/>
    <n v="1841.9992999999999"/>
    <n v="-0.1"/>
    <n v="1841.8993"/>
    <n v="62108.844396"/>
    <n v="62127.263388999992"/>
  </r>
  <r>
    <x v="2"/>
    <n v="17.510000000000002"/>
    <n v="17.52"/>
    <x v="5"/>
    <n v="3546.2948999999999"/>
    <n v="0"/>
    <n v="3546.2948999999999"/>
    <n v="62095.623699000003"/>
    <n v="62131.086647999997"/>
  </r>
  <r>
    <x v="3"/>
    <n v="27.47"/>
    <n v="27.48"/>
    <x v="5"/>
    <n v="2261.23"/>
    <n v="-0.2"/>
    <n v="2261.0300000000002"/>
    <n v="62110.494100000004"/>
    <n v="62133.104400000004"/>
  </r>
  <r>
    <x v="4"/>
    <n v="65.64"/>
    <n v="65.72"/>
    <x v="5"/>
    <n v="946.05840000000001"/>
    <n v="0"/>
    <n v="946.05840000000001"/>
    <n v="62099.273375999997"/>
    <n v="62174.958048"/>
  </r>
  <r>
    <x v="5"/>
    <n v="35.89"/>
    <n v="35.909999999999997"/>
    <x v="5"/>
    <n v="1730.0098"/>
    <n v="0.2"/>
    <n v="1730.2098000000001"/>
    <n v="62097.229722000004"/>
    <n v="62131.833917999997"/>
  </r>
  <r>
    <x v="6"/>
    <n v="54.07"/>
    <n v="54.08"/>
    <x v="5"/>
    <n v="1148.7583999999999"/>
    <n v="0.05"/>
    <n v="1148.8083999999999"/>
    <n v="62116.070187999998"/>
    <n v="62127.558271999995"/>
  </r>
  <r>
    <x v="7"/>
    <n v="48.2"/>
    <n v="48.21"/>
    <x v="5"/>
    <n v="1288.3256000000001"/>
    <n v="0"/>
    <n v="1288.3256000000001"/>
    <n v="62097.293920000011"/>
    <n v="62110.177176000005"/>
  </r>
  <r>
    <x v="8"/>
    <n v="17.559999999999999"/>
    <n v="17.57"/>
    <x v="5"/>
    <n v="3535.8029000000001"/>
    <n v="0"/>
    <n v="3535.8029000000001"/>
    <n v="62088.698923999997"/>
    <n v="62124.056953000007"/>
  </r>
  <r>
    <x v="9"/>
    <n v="35.19"/>
    <n v="35.200000000000003"/>
    <x v="5"/>
    <n v="1764.9141"/>
    <n v="0.2"/>
    <n v="1765.1141"/>
    <n v="62114.365178999993"/>
    <n v="62132.016320000002"/>
  </r>
  <r>
    <x v="0"/>
    <n v="20.56"/>
    <n v="20.57"/>
    <x v="6"/>
    <n v="3014.7411999999999"/>
    <n v="0"/>
    <n v="3014.7411999999999"/>
    <n v="61983.079071999993"/>
    <n v="62013.226483999999"/>
  </r>
  <r>
    <x v="1"/>
    <n v="33.67"/>
    <n v="33.68"/>
    <x v="6"/>
    <n v="1841.9992999999999"/>
    <n v="-0.1"/>
    <n v="1841.8993"/>
    <n v="62016.749431000004"/>
    <n v="62035.168424000003"/>
  </r>
  <r>
    <x v="2"/>
    <n v="17.48"/>
    <n v="17.489999999999998"/>
    <x v="6"/>
    <n v="3546.2948999999999"/>
    <n v="0"/>
    <n v="3546.2948999999999"/>
    <n v="61989.234852000001"/>
    <n v="62024.697800999995"/>
  </r>
  <r>
    <x v="3"/>
    <n v="27.42"/>
    <n v="27.43"/>
    <x v="6"/>
    <n v="2261.23"/>
    <n v="-0.2"/>
    <n v="2261.0300000000002"/>
    <n v="61997.442600000009"/>
    <n v="62020.052900000002"/>
  </r>
  <r>
    <x v="4"/>
    <n v="65.540000000000006"/>
    <n v="65.61"/>
    <x v="6"/>
    <n v="946.05840000000001"/>
    <n v="0"/>
    <n v="946.05840000000001"/>
    <n v="62004.667536000008"/>
    <n v="62070.891623999996"/>
  </r>
  <r>
    <x v="5"/>
    <n v="35.83"/>
    <n v="35.85"/>
    <x v="6"/>
    <n v="1730.0098"/>
    <n v="0.2"/>
    <n v="1730.2098000000001"/>
    <n v="61993.417134000003"/>
    <n v="62028.021330000003"/>
  </r>
  <r>
    <x v="6"/>
    <n v="53.98"/>
    <n v="53.99"/>
    <x v="6"/>
    <n v="1148.7583999999999"/>
    <n v="0.05"/>
    <n v="1148.8083999999999"/>
    <n v="62012.677431999989"/>
    <n v="62024.165515999994"/>
  </r>
  <r>
    <x v="7"/>
    <n v="48.11"/>
    <n v="48.12"/>
    <x v="6"/>
    <n v="1288.3256000000001"/>
    <n v="0"/>
    <n v="1288.3256000000001"/>
    <n v="61981.344616000002"/>
    <n v="61994.227872000003"/>
  </r>
  <r>
    <x v="8"/>
    <n v="17.53"/>
    <n v="17.54"/>
    <x v="6"/>
    <n v="3535.8029000000001"/>
    <n v="0"/>
    <n v="3535.8029000000001"/>
    <n v="61982.624837000003"/>
    <n v="62017.982865999998"/>
  </r>
  <r>
    <x v="9"/>
    <n v="35.130000000000003"/>
    <n v="35.14"/>
    <x v="6"/>
    <n v="1764.9141"/>
    <n v="0.2"/>
    <n v="1765.1141"/>
    <n v="62008.458333000002"/>
    <n v="62026.109474000004"/>
  </r>
  <r>
    <x v="0"/>
    <n v="20.45"/>
    <n v="20.46"/>
    <x v="7"/>
    <n v="3014.7411999999999"/>
    <n v="0"/>
    <n v="3014.7411999999999"/>
    <n v="61651.457539999996"/>
    <n v="61681.604952000002"/>
  </r>
  <r>
    <x v="1"/>
    <n v="33.479999999999997"/>
    <n v="33.49"/>
    <x v="7"/>
    <n v="1841.9992999999999"/>
    <n v="-0.1"/>
    <n v="1841.8993"/>
    <n v="61666.788563999995"/>
    <n v="61685.207557000002"/>
  </r>
  <r>
    <x v="2"/>
    <n v="17.38"/>
    <n v="17.39"/>
    <x v="7"/>
    <n v="3546.2948999999999"/>
    <n v="0"/>
    <n v="3546.2948999999999"/>
    <n v="61634.605361999995"/>
    <n v="61670.068311000003"/>
  </r>
  <r>
    <x v="3"/>
    <n v="27.27"/>
    <n v="27.28"/>
    <x v="7"/>
    <n v="2261.23"/>
    <n v="-0.2"/>
    <n v="2261.0300000000002"/>
    <n v="61658.288100000005"/>
    <n v="61680.898400000005"/>
  </r>
  <r>
    <x v="4"/>
    <n v="65.150000000000006"/>
    <n v="65.25"/>
    <x v="7"/>
    <n v="946.05840000000001"/>
    <n v="0"/>
    <n v="946.05840000000001"/>
    <n v="61635.704760000008"/>
    <n v="61730.310599999997"/>
  </r>
  <r>
    <x v="5"/>
    <n v="35.619999999999997"/>
    <n v="35.65"/>
    <x v="7"/>
    <n v="1730.0098"/>
    <n v="0.2"/>
    <n v="1730.2098000000001"/>
    <n v="61630.073076000001"/>
    <n v="61681.979370000001"/>
  </r>
  <r>
    <x v="6"/>
    <n v="53.68"/>
    <n v="53.69"/>
    <x v="7"/>
    <n v="1148.7583999999999"/>
    <n v="0.05"/>
    <n v="1148.8083999999999"/>
    <n v="61668.034911999996"/>
    <n v="61679.522995999992"/>
  </r>
  <r>
    <x v="7"/>
    <n v="47.85"/>
    <n v="47.86"/>
    <x v="7"/>
    <n v="1288.3256000000001"/>
    <n v="0"/>
    <n v="1288.3256000000001"/>
    <n v="61646.379960000006"/>
    <n v="61659.263216000007"/>
  </r>
  <r>
    <x v="8"/>
    <n v="17.43"/>
    <n v="17.440000000000001"/>
    <x v="7"/>
    <n v="3535.8029000000001"/>
    <n v="0"/>
    <n v="3535.8029000000001"/>
    <n v="61629.044547000005"/>
    <n v="61664.402576000008"/>
  </r>
  <r>
    <x v="9"/>
    <n v="34.93"/>
    <n v="34.94"/>
    <x v="7"/>
    <n v="1764.9141"/>
    <n v="0.2"/>
    <n v="1765.1141"/>
    <n v="61655.435512999997"/>
    <n v="61673.086653999999"/>
  </r>
  <r>
    <x v="0"/>
    <n v="20.49"/>
    <n v="20.5"/>
    <x v="8"/>
    <n v="3014.7411999999999"/>
    <n v="0"/>
    <n v="3014.7411999999999"/>
    <n v="61772.047187999997"/>
    <n v="61802.194599999995"/>
  </r>
  <r>
    <x v="1"/>
    <n v="33.54"/>
    <n v="33.549999999999997"/>
    <x v="8"/>
    <n v="1841.9992999999999"/>
    <n v="-0.1"/>
    <n v="1841.8993"/>
    <n v="61777.302521999998"/>
    <n v="61795.721514999997"/>
  </r>
  <r>
    <x v="2"/>
    <n v="17.420000000000002"/>
    <n v="17.43"/>
    <x v="8"/>
    <n v="3546.2948999999999"/>
    <n v="0"/>
    <n v="3546.2948999999999"/>
    <n v="61776.457158000005"/>
    <n v="61811.920106999998"/>
  </r>
  <r>
    <x v="3"/>
    <n v="27.32"/>
    <n v="27.33"/>
    <x v="8"/>
    <n v="2261.23"/>
    <n v="-0.2"/>
    <n v="2261.0300000000002"/>
    <n v="61771.339600000007"/>
    <n v="61793.9499"/>
  </r>
  <r>
    <x v="4"/>
    <n v="65.290000000000006"/>
    <n v="65.37"/>
    <x v="8"/>
    <n v="946.05840000000001"/>
    <n v="0"/>
    <n v="946.05840000000001"/>
    <n v="61768.152936000006"/>
    <n v="61843.837608000002"/>
  </r>
  <r>
    <x v="5"/>
    <n v="35.700000000000003"/>
    <n v="35.71"/>
    <x v="8"/>
    <n v="1730.0098"/>
    <n v="0.2"/>
    <n v="1730.2098000000001"/>
    <n v="61768.489860000009"/>
    <n v="61785.791958000002"/>
  </r>
  <r>
    <x v="6"/>
    <n v="53.78"/>
    <n v="53.79"/>
    <x v="8"/>
    <n v="1148.7583999999999"/>
    <n v="0.05"/>
    <n v="1148.8083999999999"/>
    <n v="61782.915751999994"/>
    <n v="61794.40383599999"/>
  </r>
  <r>
    <x v="7"/>
    <n v="47.94"/>
    <n v="47.95"/>
    <x v="8"/>
    <n v="1288.3256000000001"/>
    <n v="0"/>
    <n v="1288.3256000000001"/>
    <n v="61762.329264"/>
    <n v="61775.212520000008"/>
  </r>
  <r>
    <x v="8"/>
    <n v="17.46"/>
    <n v="17.47"/>
    <x v="8"/>
    <n v="3535.8029000000001"/>
    <n v="0"/>
    <n v="3535.8029000000001"/>
    <n v="61735.118634000006"/>
    <n v="61770.476663000001"/>
  </r>
  <r>
    <x v="9"/>
    <n v="35"/>
    <n v="35.01"/>
    <x v="8"/>
    <n v="1764.9141"/>
    <n v="0.2"/>
    <n v="1765.1141"/>
    <n v="61778.993499999997"/>
    <n v="61796.644640999999"/>
  </r>
  <r>
    <x v="0"/>
    <n v="20.55"/>
    <n v="20.56"/>
    <x v="9"/>
    <n v="3014.7411999999999"/>
    <n v="0"/>
    <n v="3014.7411999999999"/>
    <n v="61952.931660000002"/>
    <n v="61983.079071999993"/>
  </r>
  <r>
    <x v="1"/>
    <n v="33.65"/>
    <n v="33.659999999999997"/>
    <x v="9"/>
    <n v="1841.9992999999999"/>
    <n v="-0.1"/>
    <n v="1841.8993"/>
    <n v="61979.911444999998"/>
    <n v="61998.330437999997"/>
  </r>
  <r>
    <x v="2"/>
    <n v="17.47"/>
    <n v="17.48"/>
    <x v="9"/>
    <n v="3546.2948999999999"/>
    <n v="0"/>
    <n v="3546.2948999999999"/>
    <n v="61953.771902999993"/>
    <n v="61989.234852000001"/>
  </r>
  <r>
    <x v="3"/>
    <n v="27.41"/>
    <n v="27.42"/>
    <x v="9"/>
    <n v="2261.23"/>
    <n v="-0.2"/>
    <n v="2261.0300000000002"/>
    <n v="61974.832300000009"/>
    <n v="61997.442600000009"/>
  </r>
  <r>
    <x v="4"/>
    <n v="65.48"/>
    <n v="65.569999999999993"/>
    <x v="9"/>
    <n v="946.05840000000001"/>
    <n v="0"/>
    <n v="946.05840000000001"/>
    <n v="61947.904032000006"/>
    <n v="62033.049287999995"/>
  </r>
  <r>
    <x v="5"/>
    <n v="35.81"/>
    <n v="35.83"/>
    <x v="9"/>
    <n v="1730.0098"/>
    <n v="0.2"/>
    <n v="1730.2098000000001"/>
    <n v="61958.81293800001"/>
    <n v="61993.417134000003"/>
  </r>
  <r>
    <x v="6"/>
    <n v="53.95"/>
    <n v="53.96"/>
    <x v="9"/>
    <n v="1148.7583999999999"/>
    <n v="0.05"/>
    <n v="1148.8083999999999"/>
    <n v="61978.213179999999"/>
    <n v="61989.701263999996"/>
  </r>
  <r>
    <x v="7"/>
    <n v="48.09"/>
    <n v="48.1"/>
    <x v="9"/>
    <n v="1288.3256000000001"/>
    <n v="0"/>
    <n v="1288.3256000000001"/>
    <n v="61955.578104000007"/>
    <n v="61968.461360000008"/>
  </r>
  <r>
    <x v="8"/>
    <n v="17.52"/>
    <n v="17.53"/>
    <x v="9"/>
    <n v="3535.8029000000001"/>
    <n v="0"/>
    <n v="3535.8029000000001"/>
    <n v="61947.266808"/>
    <n v="61982.624837000003"/>
  </r>
  <r>
    <x v="9"/>
    <n v="35.11"/>
    <n v="35.119999999999997"/>
    <x v="9"/>
    <n v="1764.9141"/>
    <n v="0.2"/>
    <n v="1765.1141"/>
    <n v="61973.156050999998"/>
    <n v="61990.807191999993"/>
  </r>
  <r>
    <x v="0"/>
    <n v="20.51"/>
    <n v="20.52"/>
    <x v="10"/>
    <n v="3014.7411999999999"/>
    <n v="0"/>
    <n v="3014.7411999999999"/>
    <n v="61832.342012000001"/>
    <n v="61862.489423999999"/>
  </r>
  <r>
    <x v="1"/>
    <n v="33.590000000000003"/>
    <n v="33.6"/>
    <x v="10"/>
    <n v="1841.9992999999999"/>
    <n v="-0.1"/>
    <n v="1841.8993"/>
    <n v="61869.397487000009"/>
    <n v="61887.816480000001"/>
  </r>
  <r>
    <x v="2"/>
    <n v="17.440000000000001"/>
    <n v="17.45"/>
    <x v="10"/>
    <n v="3546.2948999999999"/>
    <n v="0"/>
    <n v="3546.2948999999999"/>
    <n v="61847.383055999999"/>
    <n v="61882.846004999992"/>
  </r>
  <r>
    <x v="3"/>
    <n v="27.36"/>
    <n v="27.37"/>
    <x v="10"/>
    <n v="2261.23"/>
    <n v="-0.2"/>
    <n v="2261.0300000000002"/>
    <n v="61861.780800000008"/>
    <n v="61884.391100000008"/>
  </r>
  <r>
    <x v="4"/>
    <n v="65.37"/>
    <n v="65.47"/>
    <x v="10"/>
    <n v="946.05840000000001"/>
    <n v="0"/>
    <n v="946.05840000000001"/>
    <n v="61843.837608000002"/>
    <n v="61938.443447999998"/>
  </r>
  <r>
    <x v="5"/>
    <n v="35.75"/>
    <n v="35.770000000000003"/>
    <x v="10"/>
    <n v="1730.0098"/>
    <n v="0.2"/>
    <n v="1730.2098000000001"/>
    <n v="61855.000350000002"/>
    <n v="61889.60454600001"/>
  </r>
  <r>
    <x v="6"/>
    <n v="53.86"/>
    <n v="53.87"/>
    <x v="10"/>
    <n v="1148.7583999999999"/>
    <n v="0.05"/>
    <n v="1148.8083999999999"/>
    <n v="61874.82042399999"/>
    <n v="61886.308507999995"/>
  </r>
  <r>
    <x v="7"/>
    <n v="48.01"/>
    <n v="48.02"/>
    <x v="10"/>
    <n v="1288.3256000000001"/>
    <n v="0"/>
    <n v="1288.3256000000001"/>
    <n v="61852.512056000007"/>
    <n v="61865.395312000008"/>
  </r>
  <r>
    <x v="8"/>
    <n v="17.489999999999998"/>
    <n v="17.5"/>
    <x v="10"/>
    <n v="3535.8029000000001"/>
    <n v="0"/>
    <n v="3535.8029000000001"/>
    <n v="61841.192720999999"/>
    <n v="61876.550750000002"/>
  </r>
  <r>
    <x v="9"/>
    <n v="35.049999999999997"/>
    <n v="35.06"/>
    <x v="10"/>
    <n v="1764.9141"/>
    <n v="0.2"/>
    <n v="1765.1141"/>
    <n v="61867.249204999993"/>
    <n v="61884.900346000002"/>
  </r>
  <r>
    <x v="0"/>
    <n v="20.47"/>
    <n v="20.48"/>
    <x v="11"/>
    <n v="3014.7411999999999"/>
    <n v="0"/>
    <n v="3014.7411999999999"/>
    <n v="61711.752363999993"/>
    <n v="61741.899775999998"/>
  </r>
  <r>
    <x v="1"/>
    <n v="33.520000000000003"/>
    <n v="33.520000000000003"/>
    <x v="11"/>
    <n v="1841.9992999999999"/>
    <n v="-0.1"/>
    <n v="1841.8993"/>
    <n v="61740.464536000007"/>
    <n v="61740.464536000007"/>
  </r>
  <r>
    <x v="2"/>
    <n v="17.399999999999999"/>
    <n v="17.41"/>
    <x v="11"/>
    <n v="3546.2948999999999"/>
    <n v="0"/>
    <n v="3546.2948999999999"/>
    <n v="61705.531259999996"/>
    <n v="61740.994208999997"/>
  </r>
  <r>
    <x v="3"/>
    <n v="27.29"/>
    <n v="27.3"/>
    <x v="11"/>
    <n v="2261.23"/>
    <n v="-0.2"/>
    <n v="2261.0300000000002"/>
    <n v="61703.508700000006"/>
    <n v="61726.119000000006"/>
  </r>
  <r>
    <x v="4"/>
    <n v="65.23"/>
    <n v="65.31"/>
    <x v="11"/>
    <n v="946.05840000000001"/>
    <n v="0"/>
    <n v="946.05840000000001"/>
    <n v="61711.389432000004"/>
    <n v="61787.074103999999"/>
  </r>
  <r>
    <x v="5"/>
    <n v="35.67"/>
    <n v="35.68"/>
    <x v="11"/>
    <n v="1730.0098"/>
    <n v="0.2"/>
    <n v="1730.2098000000001"/>
    <n v="61716.583566000008"/>
    <n v="61733.885664000001"/>
  </r>
  <r>
    <x v="6"/>
    <n v="53.74"/>
    <n v="53.75"/>
    <x v="11"/>
    <n v="1148.7583999999999"/>
    <n v="0.05"/>
    <n v="1148.8083999999999"/>
    <n v="61736.963415999999"/>
    <n v="61748.451499999996"/>
  </r>
  <r>
    <x v="7"/>
    <n v="47.9"/>
    <n v="47.91"/>
    <x v="11"/>
    <n v="1288.3256000000001"/>
    <n v="0"/>
    <n v="1288.3256000000001"/>
    <n v="61710.796240000003"/>
    <n v="61723.679496000004"/>
  </r>
  <r>
    <x v="8"/>
    <n v="17.45"/>
    <n v="17.46"/>
    <x v="11"/>
    <n v="3535.8029000000001"/>
    <n v="0"/>
    <n v="3535.8029000000001"/>
    <n v="61699.760605000003"/>
    <n v="61735.118634000006"/>
  </r>
  <r>
    <x v="9"/>
    <n v="34.97"/>
    <n v="34.979999999999997"/>
    <x v="11"/>
    <n v="1764.9141"/>
    <n v="0.2"/>
    <n v="1765.1141"/>
    <n v="61726.040076999998"/>
    <n v="61743.691217999993"/>
  </r>
  <r>
    <x v="0"/>
    <n v="20.47"/>
    <n v="20.48"/>
    <x v="12"/>
    <n v="3014.7411999999999"/>
    <n v="0"/>
    <n v="3014.7411999999999"/>
    <n v="61711.752363999993"/>
    <n v="61741.899775999998"/>
  </r>
  <r>
    <x v="1"/>
    <n v="33.51"/>
    <n v="33.520000000000003"/>
    <x v="12"/>
    <n v="1841.9992999999999"/>
    <n v="-0.1"/>
    <n v="1841.8993"/>
    <n v="61722.045543"/>
    <n v="61740.464536000007"/>
  </r>
  <r>
    <x v="2"/>
    <n v="17.399999999999999"/>
    <n v="17.41"/>
    <x v="12"/>
    <n v="3546.2948999999999"/>
    <n v="0"/>
    <n v="3546.2948999999999"/>
    <n v="61705.531259999996"/>
    <n v="61740.994208999997"/>
  </r>
  <r>
    <x v="3"/>
    <n v="27.29"/>
    <n v="27.3"/>
    <x v="12"/>
    <n v="2261.23"/>
    <n v="-0.2"/>
    <n v="2261.0300000000002"/>
    <n v="61703.508700000006"/>
    <n v="61726.119000000006"/>
  </r>
  <r>
    <x v="4"/>
    <n v="65.22"/>
    <n v="65.33"/>
    <x v="12"/>
    <n v="946.05840000000001"/>
    <n v="0"/>
    <n v="946.05840000000001"/>
    <n v="61701.928847999996"/>
    <n v="61805.995272"/>
  </r>
  <r>
    <x v="5"/>
    <n v="35.67"/>
    <n v="35.68"/>
    <x v="12"/>
    <n v="1730.0098"/>
    <n v="0.2"/>
    <n v="1730.2098000000001"/>
    <n v="61716.583566000008"/>
    <n v="61733.885664000001"/>
  </r>
  <r>
    <x v="6"/>
    <n v="53.73"/>
    <n v="53.74"/>
    <x v="12"/>
    <n v="1148.7583999999999"/>
    <n v="0.05"/>
    <n v="1148.8083999999999"/>
    <n v="61725.475331999987"/>
    <n v="61736.963415999999"/>
  </r>
  <r>
    <x v="7"/>
    <n v="47.89"/>
    <n v="47.91"/>
    <x v="12"/>
    <n v="1288.3256000000001"/>
    <n v="0"/>
    <n v="1288.3256000000001"/>
    <n v="61697.91298400001"/>
    <n v="61723.679496000004"/>
  </r>
  <r>
    <x v="8"/>
    <n v="17.45"/>
    <n v="17.46"/>
    <x v="12"/>
    <n v="3535.8029000000001"/>
    <n v="0"/>
    <n v="3535.8029000000001"/>
    <n v="61699.760605000003"/>
    <n v="61735.118634000006"/>
  </r>
  <r>
    <x v="9"/>
    <n v="34.97"/>
    <n v="34.979999999999997"/>
    <x v="12"/>
    <n v="1764.9141"/>
    <n v="0.2"/>
    <n v="1765.1141"/>
    <n v="61726.040076999998"/>
    <n v="61743.691217999993"/>
  </r>
  <r>
    <x v="0"/>
    <n v="20.51"/>
    <n v="20.52"/>
    <x v="13"/>
    <n v="3014.7411999999999"/>
    <n v="0"/>
    <n v="3014.7411999999999"/>
    <n v="61832.342012000001"/>
    <n v="61862.489423999999"/>
  </r>
  <r>
    <x v="1"/>
    <n v="33.58"/>
    <n v="33.590000000000003"/>
    <x v="13"/>
    <n v="1841.9992999999999"/>
    <n v="-0.1"/>
    <n v="1841.8993"/>
    <n v="61850.978493999995"/>
    <n v="61869.397487000009"/>
  </r>
  <r>
    <x v="2"/>
    <n v="17.440000000000001"/>
    <n v="17.45"/>
    <x v="13"/>
    <n v="3546.2948999999999"/>
    <n v="0"/>
    <n v="3546.2948999999999"/>
    <n v="61847.383055999999"/>
    <n v="61882.846004999992"/>
  </r>
  <r>
    <x v="3"/>
    <n v="27.35"/>
    <n v="27.36"/>
    <x v="13"/>
    <n v="2261.23"/>
    <n v="-0.2"/>
    <n v="2261.0300000000002"/>
    <n v="61839.170500000007"/>
    <n v="61861.780800000008"/>
  </r>
  <r>
    <x v="4"/>
    <n v="65.37"/>
    <n v="65.44"/>
    <x v="13"/>
    <n v="946.05840000000001"/>
    <n v="0"/>
    <n v="946.05840000000001"/>
    <n v="61843.837608000002"/>
    <n v="61910.061695999997"/>
  </r>
  <r>
    <x v="5"/>
    <n v="35.74"/>
    <n v="35.75"/>
    <x v="13"/>
    <n v="1730.0098"/>
    <n v="0.2"/>
    <n v="1730.2098000000001"/>
    <n v="61837.698252000009"/>
    <n v="61855.000350000002"/>
  </r>
  <r>
    <x v="6"/>
    <n v="53.84"/>
    <n v="53.85"/>
    <x v="13"/>
    <n v="1148.7583999999999"/>
    <n v="0.05"/>
    <n v="1148.8083999999999"/>
    <n v="61851.844255999997"/>
    <n v="61863.332339999994"/>
  </r>
  <r>
    <x v="7"/>
    <n v="48"/>
    <n v="48.01"/>
    <x v="13"/>
    <n v="1288.3256000000001"/>
    <n v="0"/>
    <n v="1288.3256000000001"/>
    <n v="61839.628800000006"/>
    <n v="61852.512056000007"/>
  </r>
  <r>
    <x v="8"/>
    <n v="17.48"/>
    <n v="17.489999999999998"/>
    <x v="13"/>
    <n v="3535.8029000000001"/>
    <n v="0"/>
    <n v="3535.8029000000001"/>
    <n v="61805.834692000004"/>
    <n v="61841.192720999999"/>
  </r>
  <r>
    <x v="9"/>
    <n v="35.04"/>
    <n v="35.049999999999997"/>
    <x v="13"/>
    <n v="1764.9141"/>
    <n v="0.2"/>
    <n v="1765.1141"/>
    <n v="61849.598063999998"/>
    <n v="61867.249204999993"/>
  </r>
  <r>
    <x v="0"/>
    <n v="20.43"/>
    <n v="20.440000000000001"/>
    <x v="14"/>
    <n v="3014.7411999999999"/>
    <n v="0"/>
    <n v="3014.7411999999999"/>
    <n v="61591.162715999999"/>
    <n v="61621.310128000005"/>
  </r>
  <r>
    <x v="1"/>
    <n v="33.46"/>
    <n v="33.47"/>
    <x v="14"/>
    <n v="1841.9992999999999"/>
    <n v="-0.1"/>
    <n v="1841.8993"/>
    <n v="61629.950578000004"/>
    <n v="61648.369570999996"/>
  </r>
  <r>
    <x v="2"/>
    <n v="17.37"/>
    <n v="17.38"/>
    <x v="14"/>
    <n v="3546.2948999999999"/>
    <n v="0"/>
    <n v="3546.2948999999999"/>
    <n v="61599.142413000001"/>
    <n v="61634.605361999995"/>
  </r>
  <r>
    <x v="3"/>
    <n v="27.25"/>
    <n v="27.26"/>
    <x v="14"/>
    <n v="2261.23"/>
    <n v="-0.2"/>
    <n v="2261.0300000000002"/>
    <n v="61613.067500000005"/>
    <n v="61635.677800000012"/>
  </r>
  <r>
    <x v="4"/>
    <n v="65.12"/>
    <n v="65.19"/>
    <x v="14"/>
    <n v="946.05840000000001"/>
    <n v="0"/>
    <n v="946.05840000000001"/>
    <n v="61607.323008000007"/>
    <n v="61673.547095999995"/>
  </r>
  <r>
    <x v="5"/>
    <n v="35.61"/>
    <n v="35.619999999999997"/>
    <x v="14"/>
    <n v="1730.0098"/>
    <n v="0.2"/>
    <n v="1730.2098000000001"/>
    <n v="61612.770978"/>
    <n v="61630.073076000001"/>
  </r>
  <r>
    <x v="6"/>
    <n v="53.65"/>
    <n v="53.66"/>
    <x v="14"/>
    <n v="1148.7583999999999"/>
    <n v="0.05"/>
    <n v="1148.8083999999999"/>
    <n v="61633.57065999999"/>
    <n v="61645.058743999987"/>
  </r>
  <r>
    <x v="7"/>
    <n v="47.82"/>
    <n v="47.83"/>
    <x v="14"/>
    <n v="1288.3256000000001"/>
    <n v="0"/>
    <n v="1288.3256000000001"/>
    <n v="61607.730192000003"/>
    <n v="61620.613448000004"/>
  </r>
  <r>
    <x v="8"/>
    <n v="17.420000000000002"/>
    <n v="17.43"/>
    <x v="14"/>
    <n v="3535.8029000000001"/>
    <n v="0"/>
    <n v="3535.8029000000001"/>
    <n v="61593.68651800001"/>
    <n v="61629.044547000005"/>
  </r>
  <r>
    <x v="9"/>
    <n v="34.909999999999997"/>
    <n v="34.92"/>
    <x v="14"/>
    <n v="1764.9141"/>
    <n v="0.2"/>
    <n v="1765.1141"/>
    <n v="61620.133230999993"/>
    <n v="61637.784372000002"/>
  </r>
  <r>
    <x v="0"/>
    <n v="20.53"/>
    <n v="20.54"/>
    <x v="15"/>
    <n v="3014.7411999999999"/>
    <n v="0"/>
    <n v="3014.7411999999999"/>
    <n v="61892.636836000005"/>
    <n v="61922.784247999996"/>
  </r>
  <r>
    <x v="1"/>
    <n v="33.619999999999997"/>
    <n v="33.630000000000003"/>
    <x v="15"/>
    <n v="1841.9992999999999"/>
    <n v="-0.1"/>
    <n v="1841.8993"/>
    <n v="61924.654466"/>
    <n v="61943.073459000007"/>
  </r>
  <r>
    <x v="2"/>
    <n v="17.46"/>
    <n v="17.47"/>
    <x v="15"/>
    <n v="3546.2948999999999"/>
    <n v="0"/>
    <n v="3546.2948999999999"/>
    <n v="61918.308954"/>
    <n v="61953.771902999993"/>
  </r>
  <r>
    <x v="3"/>
    <n v="27.38"/>
    <n v="27.39"/>
    <x v="15"/>
    <n v="2261.23"/>
    <n v="-0.2"/>
    <n v="2261.0300000000002"/>
    <n v="61907.001400000001"/>
    <n v="61929.611700000009"/>
  </r>
  <r>
    <x v="4"/>
    <n v="65.459999999999994"/>
    <n v="65.52"/>
    <x v="15"/>
    <n v="946.05840000000001"/>
    <n v="0"/>
    <n v="946.05840000000001"/>
    <n v="61928.982863999998"/>
    <n v="61985.746368"/>
  </r>
  <r>
    <x v="5"/>
    <n v="35.78"/>
    <n v="35.799999999999997"/>
    <x v="15"/>
    <n v="1730.0098"/>
    <n v="0.2"/>
    <n v="1730.2098000000001"/>
    <n v="61906.906644000002"/>
    <n v="61941.510839999995"/>
  </r>
  <r>
    <x v="6"/>
    <n v="53.9"/>
    <n v="53.91"/>
    <x v="15"/>
    <n v="1148.7583999999999"/>
    <n v="0.05"/>
    <n v="1148.8083999999999"/>
    <n v="61920.772759999993"/>
    <n v="61932.260843999989"/>
  </r>
  <r>
    <x v="7"/>
    <n v="48.05"/>
    <n v="48.06"/>
    <x v="15"/>
    <n v="1288.3256000000001"/>
    <n v="0"/>
    <n v="1288.3256000000001"/>
    <n v="61904.045080000004"/>
    <n v="61916.928336000012"/>
  </r>
  <r>
    <x v="8"/>
    <n v="17.5"/>
    <n v="17.510000000000002"/>
    <x v="15"/>
    <n v="3535.8029000000001"/>
    <n v="0"/>
    <n v="3535.8029000000001"/>
    <n v="61876.550750000002"/>
    <n v="61911.908779000005"/>
  </r>
  <r>
    <x v="9"/>
    <n v="35.08"/>
    <n v="35.090000000000003"/>
    <x v="15"/>
    <n v="1764.9141"/>
    <n v="0.2"/>
    <n v="1765.1141"/>
    <n v="61920.202627999999"/>
    <n v="61937.853769000008"/>
  </r>
  <r>
    <x v="0"/>
    <n v="20.54"/>
    <n v="20.55"/>
    <x v="16"/>
    <n v="3014.7411999999999"/>
    <n v="0"/>
    <n v="3014.7411999999999"/>
    <n v="61922.784247999996"/>
    <n v="61952.931660000002"/>
  </r>
  <r>
    <x v="1"/>
    <n v="33.630000000000003"/>
    <n v="33.64"/>
    <x v="16"/>
    <n v="1841.9992999999999"/>
    <n v="-0.1"/>
    <n v="1841.8993"/>
    <n v="61943.073459000007"/>
    <n v="61961.492452000006"/>
  </r>
  <r>
    <x v="2"/>
    <n v="17.46"/>
    <n v="17.47"/>
    <x v="16"/>
    <n v="3546.2948999999999"/>
    <n v="0"/>
    <n v="3546.2948999999999"/>
    <n v="61918.308954"/>
    <n v="61953.771902999993"/>
  </r>
  <r>
    <x v="3"/>
    <n v="27.39"/>
    <n v="27.4"/>
    <x v="16"/>
    <n v="2261.23"/>
    <n v="-0.2"/>
    <n v="2261.0300000000002"/>
    <n v="61929.611700000009"/>
    <n v="61952.222000000002"/>
  </r>
  <r>
    <x v="4"/>
    <n v="65.45"/>
    <n v="65.540000000000006"/>
    <x v="16"/>
    <n v="946.05840000000001"/>
    <n v="0"/>
    <n v="946.05840000000001"/>
    <n v="61919.522280000005"/>
    <n v="62004.667536000008"/>
  </r>
  <r>
    <x v="5"/>
    <n v="35.79"/>
    <n v="35.799999999999997"/>
    <x v="16"/>
    <n v="1730.0098"/>
    <n v="0.2"/>
    <n v="1730.2098000000001"/>
    <n v="61924.208742000003"/>
    <n v="61941.510839999995"/>
  </r>
  <r>
    <x v="6"/>
    <n v="53.92"/>
    <n v="53.93"/>
    <x v="16"/>
    <n v="1148.7583999999999"/>
    <n v="0.05"/>
    <n v="1148.8083999999999"/>
    <n v="61943.748927999994"/>
    <n v="61955.237011999991"/>
  </r>
  <r>
    <x v="7"/>
    <n v="48.06"/>
    <n v="48.07"/>
    <x v="16"/>
    <n v="1288.3256000000001"/>
    <n v="0"/>
    <n v="1288.3256000000001"/>
    <n v="61916.928336000012"/>
    <n v="61929.811592000005"/>
  </r>
  <r>
    <x v="8"/>
    <n v="17.510000000000002"/>
    <n v="17.52"/>
    <x v="16"/>
    <n v="3535.8029000000001"/>
    <n v="0"/>
    <n v="3535.8029000000001"/>
    <n v="61911.908779000005"/>
    <n v="61947.266808"/>
  </r>
  <r>
    <x v="9"/>
    <n v="35.090000000000003"/>
    <n v="35.1"/>
    <x v="16"/>
    <n v="1764.9141"/>
    <n v="0.2"/>
    <n v="1765.1141"/>
    <n v="61937.853769000008"/>
    <n v="61955.504910000003"/>
  </r>
  <r>
    <x v="0"/>
    <n v="20.76"/>
    <n v="20.77"/>
    <x v="17"/>
    <n v="3014.7584999999999"/>
    <n v="0"/>
    <n v="3014.7584999999999"/>
    <n v="62586.386460000002"/>
    <n v="62616.534045"/>
  </r>
  <r>
    <x v="1"/>
    <n v="33.979999999999997"/>
    <n v="33.99"/>
    <x v="17"/>
    <n v="1841.7701"/>
    <n v="-0.1"/>
    <n v="1841.6701"/>
    <n v="62579.949997999996"/>
    <n v="62598.366699000006"/>
  </r>
  <r>
    <x v="2"/>
    <n v="17.649999999999999"/>
    <n v="17.66"/>
    <x v="17"/>
    <n v="3546.3191999999999"/>
    <n v="0"/>
    <n v="3546.3191999999999"/>
    <n v="62592.533879999995"/>
    <n v="62627.997071999998"/>
  </r>
  <r>
    <x v="3"/>
    <n v="27.69"/>
    <n v="27.7"/>
    <x v="17"/>
    <n v="2261.2093"/>
    <n v="-0.2"/>
    <n v="2261.0093000000002"/>
    <n v="62607.347517000009"/>
    <n v="62629.957610000005"/>
  </r>
  <r>
    <x v="4"/>
    <n v="66.150000000000006"/>
    <n v="66.260000000000005"/>
    <x v="17"/>
    <n v="946.06489999999997"/>
    <n v="0"/>
    <n v="946.06489999999997"/>
    <n v="62582.193135000001"/>
    <n v="62686.260274"/>
  </r>
  <r>
    <x v="5"/>
    <n v="36.17"/>
    <n v="36.18"/>
    <x v="17"/>
    <n v="1730.0188000000001"/>
    <n v="0.2"/>
    <n v="1730.2188000000001"/>
    <n v="62582.013996000009"/>
    <n v="62599.316184000003"/>
  </r>
  <r>
    <x v="6"/>
    <n v="54.48"/>
    <n v="54.49"/>
    <x v="17"/>
    <n v="1148.7663"/>
    <n v="0.05"/>
    <n v="1148.8163"/>
    <n v="62587.512023999996"/>
    <n v="62599.000186999998"/>
  </r>
  <r>
    <x v="7"/>
    <n v="48.57"/>
    <n v="48.59"/>
    <x v="17"/>
    <n v="1288.3785"/>
    <n v="0"/>
    <n v="1288.3785"/>
    <n v="62576.543745000003"/>
    <n v="62602.311315000006"/>
  </r>
  <r>
    <x v="8"/>
    <n v="17.7"/>
    <n v="17.71"/>
    <x v="17"/>
    <n v="3535.8029000000001"/>
    <n v="0"/>
    <n v="3535.8029000000001"/>
    <n v="62583.711329999998"/>
    <n v="62619.069359000008"/>
  </r>
  <r>
    <x v="9"/>
    <n v="35.450000000000003"/>
    <n v="35.46"/>
    <x v="17"/>
    <n v="1764.9262000000001"/>
    <n v="0.2"/>
    <n v="1765.1262000000002"/>
    <n v="62573.723790000011"/>
    <n v="62591.37505200001"/>
  </r>
  <r>
    <x v="0"/>
    <n v="20.88"/>
    <n v="20.89"/>
    <x v="18"/>
    <n v="3014.7584999999999"/>
    <n v="0"/>
    <n v="3014.7584999999999"/>
    <n v="62948.157479999994"/>
    <n v="62978.305065"/>
  </r>
  <r>
    <x v="1"/>
    <n v="34.19"/>
    <n v="34.200000000000003"/>
    <x v="18"/>
    <n v="1841.7701"/>
    <n v="-0.1"/>
    <n v="1841.6701"/>
    <n v="62966.700719"/>
    <n v="62985.11742000001"/>
  </r>
  <r>
    <x v="2"/>
    <n v="17.760000000000002"/>
    <n v="17.77"/>
    <x v="18"/>
    <n v="3546.3191999999999"/>
    <n v="0"/>
    <n v="3546.3191999999999"/>
    <n v="62982.628992000005"/>
    <n v="63018.092183999994"/>
  </r>
  <r>
    <x v="3"/>
    <n v="27.85"/>
    <n v="27.86"/>
    <x v="18"/>
    <n v="2261.2093"/>
    <n v="-0.2"/>
    <n v="2261.0093000000002"/>
    <n v="62969.109005000006"/>
    <n v="62991.719098000001"/>
  </r>
  <r>
    <x v="4"/>
    <n v="66.53"/>
    <n v="66.64"/>
    <x v="18"/>
    <n v="946.06489999999997"/>
    <n v="0"/>
    <n v="946.06489999999997"/>
    <n v="62941.697797000001"/>
    <n v="63045.764936"/>
  </r>
  <r>
    <x v="5"/>
    <n v="36.39"/>
    <n v="36.409999999999997"/>
    <x v="18"/>
    <n v="1730.0188000000001"/>
    <n v="0.2"/>
    <n v="1730.2188000000001"/>
    <n v="62962.662132000005"/>
    <n v="62997.266508000001"/>
  </r>
  <r>
    <x v="6"/>
    <n v="54.82"/>
    <n v="54.83"/>
    <x v="18"/>
    <n v="1148.7663"/>
    <n v="0.05"/>
    <n v="1148.8163"/>
    <n v="62978.109565999999"/>
    <n v="62989.597728999994"/>
  </r>
  <r>
    <x v="7"/>
    <n v="48.87"/>
    <n v="48.88"/>
    <x v="18"/>
    <n v="1288.3785"/>
    <n v="0"/>
    <n v="1288.3785"/>
    <n v="62963.057294999999"/>
    <n v="62975.941080000004"/>
  </r>
  <r>
    <x v="8"/>
    <n v="17.809999999999999"/>
    <n v="17.82"/>
    <x v="18"/>
    <n v="3535.8029000000001"/>
    <n v="0"/>
    <n v="3535.8029000000001"/>
    <n v="62972.649648999999"/>
    <n v="63008.007678000002"/>
  </r>
  <r>
    <x v="9"/>
    <n v="35.68"/>
    <n v="35.69"/>
    <x v="18"/>
    <n v="1764.9262000000001"/>
    <n v="0.2"/>
    <n v="1765.1262000000002"/>
    <n v="62979.702816000005"/>
    <n v="62997.354078000004"/>
  </r>
  <r>
    <x v="0"/>
    <n v="20.87"/>
    <n v="20.88"/>
    <x v="19"/>
    <n v="3014.7584999999999"/>
    <n v="0"/>
    <n v="3014.7584999999999"/>
    <n v="62918.009895000003"/>
    <n v="62948.157479999994"/>
  </r>
  <r>
    <x v="1"/>
    <n v="34.159999999999997"/>
    <n v="34.17"/>
    <x v="19"/>
    <n v="1841.7701"/>
    <n v="-0.1"/>
    <n v="1841.6701"/>
    <n v="62911.450615999995"/>
    <n v="62929.867317000004"/>
  </r>
  <r>
    <x v="2"/>
    <n v="17.739999999999998"/>
    <n v="17.75"/>
    <x v="19"/>
    <n v="3546.3191999999999"/>
    <n v="0"/>
    <n v="3546.3191999999999"/>
    <n v="62911.702607999992"/>
    <n v="62947.165799999995"/>
  </r>
  <r>
    <x v="3"/>
    <n v="27.83"/>
    <n v="27.84"/>
    <x v="19"/>
    <n v="2261.2093"/>
    <n v="-0.2"/>
    <n v="2261.0093000000002"/>
    <n v="62923.888819"/>
    <n v="62946.498912000003"/>
  </r>
  <r>
    <x v="4"/>
    <n v="66.510000000000005"/>
    <n v="66.66"/>
    <x v="19"/>
    <n v="946.06489999999997"/>
    <n v="0"/>
    <n v="946.06489999999997"/>
    <n v="62922.776499"/>
    <n v="63064.686233999993"/>
  </r>
  <r>
    <x v="5"/>
    <n v="36.36"/>
    <n v="36.380000000000003"/>
    <x v="19"/>
    <n v="1730.0188000000001"/>
    <n v="0.2"/>
    <n v="1730.2188000000001"/>
    <n v="62910.755568"/>
    <n v="62945.359944000011"/>
  </r>
  <r>
    <x v="6"/>
    <n v="54.77"/>
    <n v="54.78"/>
    <x v="19"/>
    <n v="1148.7663"/>
    <n v="0.05"/>
    <n v="1148.8163"/>
    <n v="62920.668751000005"/>
    <n v="62932.156913999999"/>
  </r>
  <r>
    <x v="7"/>
    <n v="48.83"/>
    <n v="48.84"/>
    <x v="19"/>
    <n v="1288.3785"/>
    <n v="0"/>
    <n v="1288.3785"/>
    <n v="62911.522154999999"/>
    <n v="62924.405940000004"/>
  </r>
  <r>
    <x v="8"/>
    <n v="17.79"/>
    <n v="17.8"/>
    <x v="19"/>
    <n v="3535.8029000000001"/>
    <n v="0"/>
    <n v="3535.8029000000001"/>
    <n v="62901.933591000001"/>
    <n v="62937.291620000004"/>
  </r>
  <r>
    <x v="9"/>
    <n v="35.65"/>
    <n v="35.659999999999997"/>
    <x v="19"/>
    <n v="1764.9262000000001"/>
    <n v="0.2"/>
    <n v="1765.1262000000002"/>
    <n v="62926.749030000006"/>
    <n v="62944.400291999998"/>
  </r>
  <r>
    <x v="0"/>
    <n v="20.84"/>
    <n v="20.85"/>
    <x v="20"/>
    <n v="3014.7584999999999"/>
    <n v="0"/>
    <n v="3014.7584999999999"/>
    <n v="62827.567139999999"/>
    <n v="62857.714725000005"/>
  </r>
  <r>
    <x v="1"/>
    <n v="34.119999999999997"/>
    <n v="34.130000000000003"/>
    <x v="20"/>
    <n v="1841.7701"/>
    <n v="-0.1"/>
    <n v="1841.6701"/>
    <n v="62837.783811999994"/>
    <n v="62856.200513000003"/>
  </r>
  <r>
    <x v="2"/>
    <n v="17.72"/>
    <n v="17.73"/>
    <x v="20"/>
    <n v="3546.3191999999999"/>
    <n v="0"/>
    <n v="3546.3191999999999"/>
    <n v="62840.776223999994"/>
    <n v="62876.239415999997"/>
  </r>
  <r>
    <x v="3"/>
    <n v="27.8"/>
    <n v="27.81"/>
    <x v="20"/>
    <n v="2261.2093"/>
    <n v="-0.2"/>
    <n v="2261.0093000000002"/>
    <n v="62856.058540000005"/>
    <n v="62878.668633000001"/>
  </r>
  <r>
    <x v="4"/>
    <n v="66.400000000000006"/>
    <n v="66.5"/>
    <x v="20"/>
    <n v="946.06489999999997"/>
    <n v="0"/>
    <n v="946.06489999999997"/>
    <n v="62818.709360000001"/>
    <n v="62913.315849999999"/>
  </r>
  <r>
    <x v="5"/>
    <n v="36.32"/>
    <n v="36.33"/>
    <x v="20"/>
    <n v="1730.0188000000001"/>
    <n v="0.2"/>
    <n v="1730.2188000000001"/>
    <n v="62841.546816000002"/>
    <n v="62858.849004000003"/>
  </r>
  <r>
    <x v="6"/>
    <n v="54.71"/>
    <n v="54.72"/>
    <x v="20"/>
    <n v="1148.7663"/>
    <n v="0.05"/>
    <n v="1148.8163"/>
    <n v="62851.739773000001"/>
    <n v="62863.227935999996"/>
  </r>
  <r>
    <x v="7"/>
    <n v="48.77"/>
    <n v="48.78"/>
    <x v="20"/>
    <n v="1288.3785"/>
    <n v="0"/>
    <n v="1288.3785"/>
    <n v="62834.219445000002"/>
    <n v="62847.103230000001"/>
  </r>
  <r>
    <x v="8"/>
    <n v="17.77"/>
    <n v="17.78"/>
    <x v="20"/>
    <n v="3535.8029000000001"/>
    <n v="0"/>
    <n v="3535.8029000000001"/>
    <n v="62831.217533000003"/>
    <n v="62866.575562000005"/>
  </r>
  <r>
    <x v="9"/>
    <n v="35.6"/>
    <n v="35.61"/>
    <x v="20"/>
    <n v="1764.9262000000001"/>
    <n v="0.2"/>
    <n v="1765.1262000000002"/>
    <n v="62838.492720000009"/>
    <n v="62856.143982000001"/>
  </r>
  <r>
    <x v="0"/>
    <n v="20.83"/>
    <n v="20.84"/>
    <x v="21"/>
    <n v="3014.7584999999999"/>
    <n v="0"/>
    <n v="3014.7584999999999"/>
    <n v="62797.419554999993"/>
    <n v="62827.567139999999"/>
  </r>
  <r>
    <x v="1"/>
    <n v="34.1"/>
    <n v="34.11"/>
    <x v="21"/>
    <n v="1841.7701"/>
    <n v="-0.1"/>
    <n v="1841.6701"/>
    <n v="62800.950410000005"/>
    <n v="62819.367111"/>
  </r>
  <r>
    <x v="2"/>
    <n v="17.71"/>
    <n v="17.72"/>
    <x v="21"/>
    <n v="3546.3191999999999"/>
    <n v="0"/>
    <n v="3546.3191999999999"/>
    <n v="62805.313031999998"/>
    <n v="62840.776223999994"/>
  </r>
  <r>
    <x v="3"/>
    <n v="27.77"/>
    <n v="27.78"/>
    <x v="21"/>
    <n v="2261.2093"/>
    <n v="-0.2"/>
    <n v="2261.0093000000002"/>
    <n v="62788.228261000004"/>
    <n v="62810.838354000007"/>
  </r>
  <r>
    <x v="4"/>
    <n v="66.38"/>
    <n v="66.48"/>
    <x v="21"/>
    <n v="946.06489999999997"/>
    <n v="0"/>
    <n v="946.06489999999997"/>
    <n v="62799.788061999992"/>
    <n v="62894.394551999998"/>
  </r>
  <r>
    <x v="5"/>
    <n v="36.29"/>
    <n v="36.31"/>
    <x v="21"/>
    <n v="1730.0188000000001"/>
    <n v="0.2"/>
    <n v="1730.2188000000001"/>
    <n v="62789.640252000005"/>
    <n v="62824.244628000008"/>
  </r>
  <r>
    <x v="6"/>
    <n v="54.67"/>
    <n v="54.68"/>
    <x v="21"/>
    <n v="1148.7663"/>
    <n v="0.05"/>
    <n v="1148.8163"/>
    <n v="62805.787121000001"/>
    <n v="62817.275283999996"/>
  </r>
  <r>
    <x v="7"/>
    <n v="48.73"/>
    <n v="48.74"/>
    <x v="21"/>
    <n v="1288.3785"/>
    <n v="0"/>
    <n v="1288.3785"/>
    <n v="62782.684304999995"/>
    <n v="62795.568090000001"/>
  </r>
  <r>
    <x v="8"/>
    <n v="17.760000000000002"/>
    <n v="17.77"/>
    <x v="21"/>
    <n v="3535.8029000000001"/>
    <n v="0"/>
    <n v="3535.8029000000001"/>
    <n v="62795.859504000007"/>
    <n v="62831.217533000003"/>
  </r>
  <r>
    <x v="9"/>
    <n v="35.58"/>
    <n v="35.590000000000003"/>
    <x v="21"/>
    <n v="1764.9262000000001"/>
    <n v="0.2"/>
    <n v="1765.1262000000002"/>
    <n v="62803.190196000003"/>
    <n v="62820.84145800001"/>
  </r>
  <r>
    <x v="0"/>
    <n v="20.78"/>
    <n v="20.79"/>
    <x v="22"/>
    <n v="3014.7584999999999"/>
    <n v="0"/>
    <n v="3014.7584999999999"/>
    <n v="62646.681629999999"/>
    <n v="62676.829214999998"/>
  </r>
  <r>
    <x v="1"/>
    <n v="34.020000000000003"/>
    <n v="34.03"/>
    <x v="22"/>
    <n v="1841.7701"/>
    <n v="-0.1"/>
    <n v="1841.6701"/>
    <n v="62653.616802000004"/>
    <n v="62672.033503000006"/>
  </r>
  <r>
    <x v="2"/>
    <n v="17.66"/>
    <n v="17.670000000000002"/>
    <x v="22"/>
    <n v="3546.3191999999999"/>
    <n v="0"/>
    <n v="3546.3191999999999"/>
    <n v="62627.997071999998"/>
    <n v="62663.460264000001"/>
  </r>
  <r>
    <x v="3"/>
    <n v="27.71"/>
    <n v="27.72"/>
    <x v="22"/>
    <n v="2261.2093"/>
    <n v="-0.2"/>
    <n v="2261.0093000000002"/>
    <n v="62652.567703000008"/>
    <n v="62675.177796000004"/>
  </r>
  <r>
    <x v="4"/>
    <n v="66.209999999999994"/>
    <n v="66.31"/>
    <x v="22"/>
    <n v="946.06489999999997"/>
    <n v="0"/>
    <n v="946.06489999999997"/>
    <n v="62638.95702899999"/>
    <n v="62733.563519000003"/>
  </r>
  <r>
    <x v="5"/>
    <n v="36.21"/>
    <n v="36.22"/>
    <x v="22"/>
    <n v="1730.0188000000001"/>
    <n v="0.2"/>
    <n v="1730.2188000000001"/>
    <n v="62651.222748000007"/>
    <n v="62668.524936000002"/>
  </r>
  <r>
    <x v="6"/>
    <n v="54.55"/>
    <n v="54.56"/>
    <x v="22"/>
    <n v="1148.7663"/>
    <n v="0.05"/>
    <n v="1148.8163"/>
    <n v="62667.929164999994"/>
    <n v="62679.417328000003"/>
  </r>
  <r>
    <x v="7"/>
    <n v="48.62"/>
    <n v="48.63"/>
    <x v="22"/>
    <n v="1288.3785"/>
    <n v="0"/>
    <n v="1288.3785"/>
    <n v="62640.962670000001"/>
    <n v="62653.846455000006"/>
  </r>
  <r>
    <x v="8"/>
    <n v="17.72"/>
    <n v="17.73"/>
    <x v="22"/>
    <n v="3535.8029000000001"/>
    <n v="0"/>
    <n v="3535.8029000000001"/>
    <n v="62654.427387999996"/>
    <n v="62689.785417000006"/>
  </r>
  <r>
    <x v="9"/>
    <n v="35.5"/>
    <n v="35.51"/>
    <x v="22"/>
    <n v="1764.9262000000001"/>
    <n v="0.2"/>
    <n v="1765.1262000000002"/>
    <n v="62661.980100000008"/>
    <n v="62679.631362"/>
  </r>
  <r>
    <x v="0"/>
    <n v="20.79"/>
    <n v="20.8"/>
    <x v="23"/>
    <n v="3014.7584999999999"/>
    <n v="0"/>
    <n v="3014.7584999999999"/>
    <n v="62676.829214999998"/>
    <n v="62706.976799999997"/>
  </r>
  <r>
    <x v="1"/>
    <n v="34.03"/>
    <n v="34.04"/>
    <x v="23"/>
    <n v="1841.7701"/>
    <n v="-0.1"/>
    <n v="1841.6701"/>
    <n v="62672.033503000006"/>
    <n v="62690.450204000001"/>
  </r>
  <r>
    <x v="2"/>
    <n v="17.670000000000002"/>
    <n v="17.68"/>
    <x v="23"/>
    <n v="3546.3191999999999"/>
    <n v="0"/>
    <n v="3546.3191999999999"/>
    <n v="62663.460264000001"/>
    <n v="62698.923455999997"/>
  </r>
  <r>
    <x v="3"/>
    <n v="27.72"/>
    <n v="27.73"/>
    <x v="23"/>
    <n v="2261.2093"/>
    <n v="-0.2"/>
    <n v="2261.0093000000002"/>
    <n v="62675.177796000004"/>
    <n v="62697.787889000007"/>
  </r>
  <r>
    <x v="4"/>
    <n v="66.239999999999995"/>
    <n v="66.349999999999994"/>
    <x v="23"/>
    <n v="946.06489999999997"/>
    <n v="0"/>
    <n v="946.06489999999997"/>
    <n v="62667.338975999992"/>
    <n v="62771.406114999991"/>
  </r>
  <r>
    <x v="5"/>
    <n v="36.22"/>
    <n v="36.24"/>
    <x v="23"/>
    <n v="1730.0188000000001"/>
    <n v="0.2"/>
    <n v="1730.2188000000001"/>
    <n v="62668.524936000002"/>
    <n v="62703.129312000005"/>
  </r>
  <r>
    <x v="6"/>
    <n v="54.57"/>
    <n v="54.58"/>
    <x v="23"/>
    <n v="1148.7663"/>
    <n v="0.05"/>
    <n v="1148.8163"/>
    <n v="62690.905490999998"/>
    <n v="62702.393653999992"/>
  </r>
  <r>
    <x v="7"/>
    <n v="48.64"/>
    <n v="48.66"/>
    <x v="23"/>
    <n v="1288.3785"/>
    <n v="0"/>
    <n v="1288.3785"/>
    <n v="62666.730240000004"/>
    <n v="62692.497809999993"/>
  </r>
  <r>
    <x v="8"/>
    <n v="17.72"/>
    <n v="17.73"/>
    <x v="23"/>
    <n v="3535.8029000000001"/>
    <n v="0"/>
    <n v="3535.8029000000001"/>
    <n v="62654.427387999996"/>
    <n v="62689.785417000006"/>
  </r>
  <r>
    <x v="9"/>
    <n v="35.51"/>
    <n v="35.520000000000003"/>
    <x v="23"/>
    <n v="1764.9262000000001"/>
    <n v="0.2"/>
    <n v="1765.1262000000002"/>
    <n v="62679.631362"/>
    <n v="62697.282624000014"/>
  </r>
  <r>
    <x v="0"/>
    <n v="20.83"/>
    <n v="20.84"/>
    <x v="24"/>
    <n v="3014.7584999999999"/>
    <n v="0"/>
    <n v="3014.7584999999999"/>
    <n v="62797.419554999993"/>
    <n v="62827.567139999999"/>
  </r>
  <r>
    <x v="1"/>
    <n v="34.090000000000003"/>
    <n v="34.1"/>
    <x v="24"/>
    <n v="1841.7701"/>
    <n v="-0.1"/>
    <n v="1841.6701"/>
    <n v="62782.53370900001"/>
    <n v="62800.950410000005"/>
  </r>
  <r>
    <x v="2"/>
    <n v="17.7"/>
    <n v="17.71"/>
    <x v="24"/>
    <n v="3546.3191999999999"/>
    <n v="0"/>
    <n v="3546.3191999999999"/>
    <n v="62769.849839999995"/>
    <n v="62805.313031999998"/>
  </r>
  <r>
    <x v="3"/>
    <n v="27.77"/>
    <n v="27.78"/>
    <x v="24"/>
    <n v="2261.2093"/>
    <n v="-0.2"/>
    <n v="2261.0093000000002"/>
    <n v="62788.228261000004"/>
    <n v="62810.838354000007"/>
  </r>
  <r>
    <x v="4"/>
    <n v="66.349999999999994"/>
    <n v="66.459999999999994"/>
    <x v="24"/>
    <n v="946.06489999999997"/>
    <n v="0"/>
    <n v="946.06489999999997"/>
    <n v="62771.406114999991"/>
    <n v="62875.47325399999"/>
  </r>
  <r>
    <x v="5"/>
    <n v="36.29"/>
    <n v="36.299999999999997"/>
    <x v="24"/>
    <n v="1730.0188000000001"/>
    <n v="0.2"/>
    <n v="1730.2188000000001"/>
    <n v="62789.640252000005"/>
    <n v="62806.942439999999"/>
  </r>
  <r>
    <x v="6"/>
    <n v="54.65"/>
    <n v="54.66"/>
    <x v="24"/>
    <n v="1148.7663"/>
    <n v="0.05"/>
    <n v="1148.8163"/>
    <n v="62782.810794999998"/>
    <n v="62794.298957999992"/>
  </r>
  <r>
    <x v="7"/>
    <n v="48.72"/>
    <n v="48.73"/>
    <x v="24"/>
    <n v="1288.3785"/>
    <n v="0"/>
    <n v="1288.3785"/>
    <n v="62769.800519999997"/>
    <n v="62782.684304999995"/>
  </r>
  <r>
    <x v="8"/>
    <n v="17.760000000000002"/>
    <n v="17.77"/>
    <x v="24"/>
    <n v="3535.8029000000001"/>
    <n v="0"/>
    <n v="3535.8029000000001"/>
    <n v="62795.859504000007"/>
    <n v="62831.217533000003"/>
  </r>
  <r>
    <x v="9"/>
    <n v="35.57"/>
    <n v="35.58"/>
    <x v="24"/>
    <n v="1764.9262000000001"/>
    <n v="0.2"/>
    <n v="1765.1262000000002"/>
    <n v="62785.538934000004"/>
    <n v="62803.190196000003"/>
  </r>
  <r>
    <x v="0"/>
    <n v="20.75"/>
    <n v="20.76"/>
    <x v="25"/>
    <n v="3014.7584999999999"/>
    <n v="0"/>
    <n v="3014.7584999999999"/>
    <n v="62556.238874999995"/>
    <n v="62586.386460000002"/>
  </r>
  <r>
    <x v="1"/>
    <n v="33.97"/>
    <n v="33.979999999999997"/>
    <x v="25"/>
    <n v="1841.7701"/>
    <n v="-0.1"/>
    <n v="1841.6701"/>
    <n v="62561.533297000002"/>
    <n v="62579.949997999996"/>
  </r>
  <r>
    <x v="2"/>
    <n v="17.64"/>
    <n v="17.649999999999999"/>
    <x v="25"/>
    <n v="3546.3191999999999"/>
    <n v="0"/>
    <n v="3546.3191999999999"/>
    <n v="62557.070688"/>
    <n v="62592.533879999995"/>
  </r>
  <r>
    <x v="3"/>
    <n v="27.67"/>
    <n v="27.68"/>
    <x v="25"/>
    <n v="2261.2093"/>
    <n v="-0.2"/>
    <n v="2261.0093000000002"/>
    <n v="62562.127331000011"/>
    <n v="62584.737424000006"/>
  </r>
  <r>
    <x v="4"/>
    <n v="66.099999999999994"/>
    <n v="66.209999999999994"/>
    <x v="25"/>
    <n v="946.06489999999997"/>
    <n v="0"/>
    <n v="946.06489999999997"/>
    <n v="62534.889889999991"/>
    <n v="62638.95702899999"/>
  </r>
  <r>
    <x v="5"/>
    <n v="36.15"/>
    <n v="36.17"/>
    <x v="25"/>
    <n v="1730.0188000000001"/>
    <n v="0.2"/>
    <n v="1730.2188000000001"/>
    <n v="62547.409619999999"/>
    <n v="62582.013996000009"/>
  </r>
  <r>
    <x v="6"/>
    <n v="54.47"/>
    <n v="54.48"/>
    <x v="25"/>
    <n v="1148.7663"/>
    <n v="0.05"/>
    <n v="1148.8163"/>
    <n v="62576.023860999994"/>
    <n v="62587.512023999996"/>
  </r>
  <r>
    <x v="7"/>
    <n v="48.55"/>
    <n v="48.56"/>
    <x v="25"/>
    <n v="1288.3785"/>
    <n v="0"/>
    <n v="1288.3785"/>
    <n v="62550.776174999999"/>
    <n v="62563.659960000005"/>
  </r>
  <r>
    <x v="8"/>
    <n v="17.690000000000001"/>
    <n v="17.7"/>
    <x v="25"/>
    <n v="3535.8029000000001"/>
    <n v="0"/>
    <n v="3535.8029000000001"/>
    <n v="62548.35330100001"/>
    <n v="62583.711329999998"/>
  </r>
  <r>
    <x v="9"/>
    <n v="35.44"/>
    <n v="35.450000000000003"/>
    <x v="25"/>
    <n v="1764.9262000000001"/>
    <n v="0.2"/>
    <n v="1765.1262000000002"/>
    <n v="62556.072528000004"/>
    <n v="62573.723790000011"/>
  </r>
  <r>
    <x v="0"/>
    <n v="20.78"/>
    <n v="20.79"/>
    <x v="26"/>
    <n v="3014.7584999999999"/>
    <n v="0"/>
    <n v="3014.7584999999999"/>
    <n v="62646.681629999999"/>
    <n v="62676.829214999998"/>
  </r>
  <r>
    <x v="1"/>
    <n v="34.01"/>
    <n v="34.020000000000003"/>
    <x v="26"/>
    <n v="1841.7701"/>
    <n v="-0.1"/>
    <n v="1841.6701"/>
    <n v="62635.200100999995"/>
    <n v="62653.616802000004"/>
  </r>
  <r>
    <x v="2"/>
    <n v="17.66"/>
    <n v="17.670000000000002"/>
    <x v="26"/>
    <n v="3546.3191999999999"/>
    <n v="0"/>
    <n v="3546.3191999999999"/>
    <n v="62627.997071999998"/>
    <n v="62663.460264000001"/>
  </r>
  <r>
    <x v="3"/>
    <n v="27.71"/>
    <n v="27.72"/>
    <x v="26"/>
    <n v="2261.2093"/>
    <n v="-0.2"/>
    <n v="2261.0093000000002"/>
    <n v="62652.567703000008"/>
    <n v="62675.177796000004"/>
  </r>
  <r>
    <x v="4"/>
    <n v="66.22"/>
    <n v="66.34"/>
    <x v="26"/>
    <n v="946.06489999999997"/>
    <n v="0"/>
    <n v="946.06489999999997"/>
    <n v="62648.417677999998"/>
    <n v="62761.945465999997"/>
  </r>
  <r>
    <x v="5"/>
    <n v="36.21"/>
    <n v="36.22"/>
    <x v="26"/>
    <n v="1730.0188000000001"/>
    <n v="0.2"/>
    <n v="1730.2188000000001"/>
    <n v="62651.222748000007"/>
    <n v="62668.524936000002"/>
  </r>
  <r>
    <x v="6"/>
    <n v="54.54"/>
    <n v="54.55"/>
    <x v="26"/>
    <n v="1148.7663"/>
    <n v="0.05"/>
    <n v="1148.8163"/>
    <n v="62656.441002"/>
    <n v="62667.929164999994"/>
  </r>
  <r>
    <x v="7"/>
    <n v="48.62"/>
    <n v="48.63"/>
    <x v="26"/>
    <n v="1288.3785"/>
    <n v="0"/>
    <n v="1288.3785"/>
    <n v="62640.962670000001"/>
    <n v="62653.846455000006"/>
  </r>
  <r>
    <x v="8"/>
    <n v="17.72"/>
    <n v="17.73"/>
    <x v="26"/>
    <n v="3535.8029000000001"/>
    <n v="0"/>
    <n v="3535.8029000000001"/>
    <n v="62654.427387999996"/>
    <n v="62689.785417000006"/>
  </r>
  <r>
    <x v="9"/>
    <n v="35.49"/>
    <n v="35.5"/>
    <x v="26"/>
    <n v="1764.9262000000001"/>
    <n v="0.2"/>
    <n v="1765.1262000000002"/>
    <n v="62644.328838000009"/>
    <n v="62661.980100000008"/>
  </r>
  <r>
    <x v="0"/>
    <n v="20.72"/>
    <n v="20.73"/>
    <x v="27"/>
    <n v="3014.7584999999999"/>
    <n v="0"/>
    <n v="3014.7584999999999"/>
    <n v="62465.796119999992"/>
    <n v="62495.943704999998"/>
  </r>
  <r>
    <x v="1"/>
    <n v="33.92"/>
    <n v="33.93"/>
    <x v="27"/>
    <n v="1841.7701"/>
    <n v="-0.1"/>
    <n v="1841.6701"/>
    <n v="62469.449792000007"/>
    <n v="62487.866493000001"/>
  </r>
  <r>
    <x v="2"/>
    <n v="17.62"/>
    <n v="17.63"/>
    <x v="27"/>
    <n v="3546.3191999999999"/>
    <n v="0"/>
    <n v="3546.3191999999999"/>
    <n v="62486.144304000001"/>
    <n v="62521.607495999997"/>
  </r>
  <r>
    <x v="3"/>
    <n v="27.63"/>
    <n v="27.64"/>
    <x v="27"/>
    <n v="2261.2093"/>
    <n v="-0.2"/>
    <n v="2261.0093000000002"/>
    <n v="62471.686958999999"/>
    <n v="62494.297052000009"/>
  </r>
  <r>
    <x v="4"/>
    <n v="66.040000000000006"/>
    <n v="66.12"/>
    <x v="27"/>
    <n v="946.06489999999997"/>
    <n v="0"/>
    <n v="946.06489999999997"/>
    <n v="62478.125996000002"/>
    <n v="62553.811188"/>
  </r>
  <r>
    <x v="5"/>
    <n v="36.1"/>
    <n v="36.119999999999997"/>
    <x v="27"/>
    <n v="1730.0188000000001"/>
    <n v="0.2"/>
    <n v="1730.2188000000001"/>
    <n v="62460.898680000006"/>
    <n v="62495.503056000001"/>
  </r>
  <r>
    <x v="6"/>
    <n v="54.39"/>
    <n v="54.4"/>
    <x v="27"/>
    <n v="1148.7663"/>
    <n v="0.05"/>
    <n v="1148.8163"/>
    <n v="62484.118557000002"/>
    <n v="62495.606719999996"/>
  </r>
  <r>
    <x v="7"/>
    <n v="48.49"/>
    <n v="48.5"/>
    <x v="27"/>
    <n v="1288.3785"/>
    <n v="0"/>
    <n v="1288.3785"/>
    <n v="62473.473465000003"/>
    <n v="62486.357250000001"/>
  </r>
  <r>
    <x v="8"/>
    <n v="17.670000000000002"/>
    <n v="17.68"/>
    <x v="27"/>
    <n v="3535.8029000000001"/>
    <n v="0"/>
    <n v="3535.8029000000001"/>
    <n v="62477.637243000012"/>
    <n v="62512.995272"/>
  </r>
  <r>
    <x v="9"/>
    <n v="35.4"/>
    <n v="35.409999999999997"/>
    <x v="27"/>
    <n v="1764.9262000000001"/>
    <n v="0.2"/>
    <n v="1765.1262000000002"/>
    <n v="62485.467479999999"/>
    <n v="62503.118741999999"/>
  </r>
  <r>
    <x v="0"/>
    <n v="20.77"/>
    <n v="20.78"/>
    <x v="28"/>
    <n v="3014.7584999999999"/>
    <n v="0"/>
    <n v="3014.7584999999999"/>
    <n v="62616.534045"/>
    <n v="62646.681629999999"/>
  </r>
  <r>
    <x v="1"/>
    <n v="33.99"/>
    <n v="34"/>
    <x v="28"/>
    <n v="1841.7701"/>
    <n v="-0.1"/>
    <n v="1841.6701"/>
    <n v="62598.366699000006"/>
    <n v="62616.7834"/>
  </r>
  <r>
    <x v="2"/>
    <n v="17.649999999999999"/>
    <n v="17.66"/>
    <x v="28"/>
    <n v="3546.3191999999999"/>
    <n v="0"/>
    <n v="3546.3191999999999"/>
    <n v="62592.533879999995"/>
    <n v="62627.997071999998"/>
  </r>
  <r>
    <x v="3"/>
    <n v="27.69"/>
    <n v="27.7"/>
    <x v="28"/>
    <n v="2261.2093"/>
    <n v="-0.2"/>
    <n v="2261.0093000000002"/>
    <n v="62607.347517000009"/>
    <n v="62629.957610000005"/>
  </r>
  <r>
    <x v="4"/>
    <n v="66.180000000000007"/>
    <n v="66.260000000000005"/>
    <x v="28"/>
    <n v="946.06489999999997"/>
    <n v="0"/>
    <n v="946.06489999999997"/>
    <n v="62610.575082000003"/>
    <n v="62686.260274"/>
  </r>
  <r>
    <x v="5"/>
    <n v="36.18"/>
    <n v="36.19"/>
    <x v="28"/>
    <n v="1730.0188000000001"/>
    <n v="0.2"/>
    <n v="1730.2188000000001"/>
    <n v="62599.316184000003"/>
    <n v="62616.618371999997"/>
  </r>
  <r>
    <x v="6"/>
    <n v="54.5"/>
    <n v="54.51"/>
    <x v="28"/>
    <n v="1148.7663"/>
    <n v="0.05"/>
    <n v="1148.8163"/>
    <n v="62610.48835"/>
    <n v="62621.976512999994"/>
  </r>
  <r>
    <x v="7"/>
    <n v="48.59"/>
    <n v="48.6"/>
    <x v="28"/>
    <n v="1288.3785"/>
    <n v="0"/>
    <n v="1288.3785"/>
    <n v="62602.311315000006"/>
    <n v="62615.195100000004"/>
  </r>
  <r>
    <x v="8"/>
    <n v="17.7"/>
    <n v="17.71"/>
    <x v="28"/>
    <n v="3535.8029000000001"/>
    <n v="0"/>
    <n v="3535.8029000000001"/>
    <n v="62583.711329999998"/>
    <n v="62619.069359000008"/>
  </r>
  <r>
    <x v="9"/>
    <n v="35.47"/>
    <n v="35.479999999999997"/>
    <x v="28"/>
    <n v="1764.9262000000001"/>
    <n v="0.2"/>
    <n v="1765.1262000000002"/>
    <n v="62609.026314000002"/>
    <n v="62626.677576000002"/>
  </r>
  <r>
    <x v="0"/>
    <n v="20.73"/>
    <n v="20.74"/>
    <x v="29"/>
    <n v="3014.7584999999999"/>
    <n v="0"/>
    <n v="3014.7584999999999"/>
    <n v="62495.943704999998"/>
    <n v="62526.091289999997"/>
  </r>
  <r>
    <x v="1"/>
    <n v="33.93"/>
    <n v="33.94"/>
    <x v="29"/>
    <n v="1841.7701"/>
    <n v="-0.1"/>
    <n v="1841.6701"/>
    <n v="62487.866493000001"/>
    <n v="62506.283193999996"/>
  </r>
  <r>
    <x v="2"/>
    <n v="17.62"/>
    <n v="17.63"/>
    <x v="29"/>
    <n v="3546.3191999999999"/>
    <n v="0"/>
    <n v="3546.3191999999999"/>
    <n v="62486.144304000001"/>
    <n v="62521.607495999997"/>
  </r>
  <r>
    <x v="3"/>
    <n v="27.64"/>
    <n v="27.65"/>
    <x v="29"/>
    <n v="2261.2093"/>
    <n v="-0.2"/>
    <n v="2261.0093000000002"/>
    <n v="62494.297052000009"/>
    <n v="62516.907145000005"/>
  </r>
  <r>
    <x v="4"/>
    <n v="66.040000000000006"/>
    <n v="66.150000000000006"/>
    <x v="29"/>
    <n v="946.06489999999997"/>
    <n v="0"/>
    <n v="946.06489999999997"/>
    <n v="62478.125996000002"/>
    <n v="62582.193135000001"/>
  </r>
  <r>
    <x v="5"/>
    <n v="36.11"/>
    <n v="36.130000000000003"/>
    <x v="29"/>
    <n v="1730.0188000000001"/>
    <n v="0.2"/>
    <n v="1730.2188000000001"/>
    <n v="62478.200868"/>
    <n v="62512.80524400001"/>
  </r>
  <r>
    <x v="6"/>
    <n v="54.4"/>
    <n v="54.41"/>
    <x v="29"/>
    <n v="1148.7663"/>
    <n v="0.05"/>
    <n v="1148.8163"/>
    <n v="62495.606719999996"/>
    <n v="62507.094882999991"/>
  </r>
  <r>
    <x v="7"/>
    <n v="48.51"/>
    <n v="48.52"/>
    <x v="29"/>
    <n v="1288.3785"/>
    <n v="0"/>
    <n v="1288.3785"/>
    <n v="62499.241034999999"/>
    <n v="62512.124820000005"/>
  </r>
  <r>
    <x v="8"/>
    <n v="17.670000000000002"/>
    <n v="17.68"/>
    <x v="29"/>
    <n v="3535.8029000000001"/>
    <n v="0"/>
    <n v="3535.8029000000001"/>
    <n v="62477.637243000012"/>
    <n v="62512.995272"/>
  </r>
  <r>
    <x v="9"/>
    <n v="35.4"/>
    <n v="35.409999999999997"/>
    <x v="29"/>
    <n v="1764.9262000000001"/>
    <n v="0.2"/>
    <n v="1765.1262000000002"/>
    <n v="62485.467479999999"/>
    <n v="62503.118741999999"/>
  </r>
  <r>
    <x v="0"/>
    <n v="20.72"/>
    <n v="20.73"/>
    <x v="30"/>
    <n v="3014.7584999999999"/>
    <n v="0"/>
    <n v="3014.7584999999999"/>
    <n v="62465.796119999992"/>
    <n v="62495.943704999998"/>
  </r>
  <r>
    <x v="1"/>
    <n v="33.92"/>
    <n v="33.92"/>
    <x v="30"/>
    <n v="1841.7701"/>
    <n v="-0.1"/>
    <n v="1841.6701"/>
    <n v="62469.449792000007"/>
    <n v="62469.449792000007"/>
  </r>
  <r>
    <x v="2"/>
    <n v="17.61"/>
    <n v="17.62"/>
    <x v="30"/>
    <n v="3546.3191999999999"/>
    <n v="0"/>
    <n v="3546.3191999999999"/>
    <n v="62450.681111999998"/>
    <n v="62486.144304000001"/>
  </r>
  <r>
    <x v="3"/>
    <n v="27.63"/>
    <n v="27.64"/>
    <x v="30"/>
    <n v="2261.2093"/>
    <n v="-0.2"/>
    <n v="2261.0093000000002"/>
    <n v="62471.686958999999"/>
    <n v="62494.297052000009"/>
  </r>
  <r>
    <x v="4"/>
    <n v="66"/>
    <n v="66.099999999999994"/>
    <x v="30"/>
    <n v="946.06489999999997"/>
    <n v="0"/>
    <n v="946.06489999999997"/>
    <n v="62440.2834"/>
    <n v="62534.889889999991"/>
  </r>
  <r>
    <x v="5"/>
    <n v="36.090000000000003"/>
    <n v="36.11"/>
    <x v="30"/>
    <n v="1730.0188000000001"/>
    <n v="0.2"/>
    <n v="1730.2188000000001"/>
    <n v="62443.596492000011"/>
    <n v="62478.200868"/>
  </r>
  <r>
    <x v="6"/>
    <n v="54.37"/>
    <n v="54.38"/>
    <x v="30"/>
    <n v="1148.7663"/>
    <n v="0.05"/>
    <n v="1148.8163"/>
    <n v="62461.142230999998"/>
    <n v="62472.630394"/>
  </r>
  <r>
    <x v="7"/>
    <n v="48.47"/>
    <n v="48.48"/>
    <x v="30"/>
    <n v="1288.3785"/>
    <n v="0"/>
    <n v="1288.3785"/>
    <n v="62447.705894999999"/>
    <n v="62460.589679999997"/>
  </r>
  <r>
    <x v="8"/>
    <n v="17.670000000000002"/>
    <n v="17.68"/>
    <x v="30"/>
    <n v="3535.8029000000001"/>
    <n v="0"/>
    <n v="3535.8029000000001"/>
    <n v="62477.637243000012"/>
    <n v="62512.995272"/>
  </r>
  <r>
    <x v="9"/>
    <n v="35.380000000000003"/>
    <n v="35.39"/>
    <x v="30"/>
    <n v="1764.9262000000001"/>
    <n v="0.2"/>
    <n v="1765.1262000000002"/>
    <n v="62450.164956000008"/>
    <n v="62467.816218000007"/>
  </r>
  <r>
    <x v="0"/>
    <n v="20.66"/>
    <n v="20.67"/>
    <x v="31"/>
    <n v="3014.7584999999999"/>
    <n v="0"/>
    <n v="3014.7584999999999"/>
    <n v="62284.910609999999"/>
    <n v="62315.058195000005"/>
  </r>
  <r>
    <x v="1"/>
    <n v="33.82"/>
    <n v="33.83"/>
    <x v="31"/>
    <n v="1841.7701"/>
    <n v="-0.1"/>
    <n v="1841.6701"/>
    <n v="62285.282782000002"/>
    <n v="62303.699482999997"/>
  </r>
  <r>
    <x v="2"/>
    <n v="17.559999999999999"/>
    <n v="17.57"/>
    <x v="31"/>
    <n v="3546.3191999999999"/>
    <n v="0"/>
    <n v="3546.3191999999999"/>
    <n v="62273.365151999991"/>
    <n v="62308.828344000001"/>
  </r>
  <r>
    <x v="3"/>
    <n v="27.55"/>
    <n v="27.56"/>
    <x v="31"/>
    <n v="2261.2093"/>
    <n v="-0.2"/>
    <n v="2261.0093000000002"/>
    <n v="62290.806215000004"/>
    <n v="62313.416308"/>
  </r>
  <r>
    <x v="4"/>
    <n v="65.819999999999993"/>
    <n v="65.930000000000007"/>
    <x v="31"/>
    <n v="946.06489999999997"/>
    <n v="0"/>
    <n v="946.06489999999997"/>
    <n v="62269.99171799999"/>
    <n v="62374.058857000004"/>
  </r>
  <r>
    <x v="5"/>
    <n v="36"/>
    <n v="36.01"/>
    <x v="31"/>
    <n v="1730.0188000000001"/>
    <n v="0.2"/>
    <n v="1730.2188000000001"/>
    <n v="62287.876800000005"/>
    <n v="62305.178988"/>
  </r>
  <r>
    <x v="6"/>
    <n v="54.23"/>
    <n v="54.24"/>
    <x v="31"/>
    <n v="1148.7663"/>
    <n v="0.05"/>
    <n v="1148.8163"/>
    <n v="62300.307948999995"/>
    <n v="62311.796111999996"/>
  </r>
  <r>
    <x v="7"/>
    <n v="48.35"/>
    <n v="48.36"/>
    <x v="31"/>
    <n v="1288.3785"/>
    <n v="0"/>
    <n v="1288.3785"/>
    <n v="62293.100475000007"/>
    <n v="62305.984259999997"/>
  </r>
  <r>
    <x v="8"/>
    <n v="17.62"/>
    <n v="17.63"/>
    <x v="31"/>
    <n v="3535.8029000000001"/>
    <n v="0"/>
    <n v="3535.8029000000001"/>
    <n v="62300.847098000006"/>
    <n v="62336.205127000001"/>
  </r>
  <r>
    <x v="9"/>
    <n v="35.29"/>
    <n v="35.299999999999997"/>
    <x v="31"/>
    <n v="1764.9262000000001"/>
    <n v="0.2"/>
    <n v="1765.1262000000002"/>
    <n v="62291.303598000006"/>
    <n v="62308.954859999998"/>
  </r>
  <r>
    <x v="0"/>
    <n v="20.98"/>
    <n v="20.99"/>
    <x v="32"/>
    <n v="3014.7584999999999"/>
    <n v="0"/>
    <n v="3014.7584999999999"/>
    <n v="63249.633329999997"/>
    <n v="63279.780914999996"/>
  </r>
  <r>
    <x v="1"/>
    <n v="34.340000000000003"/>
    <n v="34.35"/>
    <x v="32"/>
    <n v="1841.7701"/>
    <n v="-0.1"/>
    <n v="1841.6701"/>
    <n v="63242.951234000007"/>
    <n v="63261.367935000002"/>
  </r>
  <r>
    <x v="2"/>
    <n v="17.829999999999998"/>
    <n v="17.84"/>
    <x v="32"/>
    <n v="3546.3191999999999"/>
    <n v="0"/>
    <n v="3546.3191999999999"/>
    <n v="63230.871335999989"/>
    <n v="63266.334527999999"/>
  </r>
  <r>
    <x v="3"/>
    <n v="27.97"/>
    <n v="27.98"/>
    <x v="32"/>
    <n v="2261.2093"/>
    <n v="-0.2"/>
    <n v="2261.0093000000002"/>
    <n v="63240.430121000005"/>
    <n v="63263.040214000008"/>
  </r>
  <r>
    <x v="4"/>
    <n v="66.849999999999994"/>
    <n v="66.97"/>
    <x v="32"/>
    <n v="946.06489999999997"/>
    <n v="0"/>
    <n v="946.06489999999997"/>
    <n v="63244.438564999989"/>
    <n v="63357.966352999996"/>
  </r>
  <r>
    <x v="5"/>
    <n v="36.54"/>
    <n v="36.57"/>
    <x v="32"/>
    <n v="1730.0188000000001"/>
    <n v="0.2"/>
    <n v="1730.2188000000001"/>
    <n v="63222.194952000005"/>
    <n v="63274.101516000002"/>
  </r>
  <r>
    <x v="6"/>
    <n v="55.06"/>
    <n v="55.07"/>
    <x v="32"/>
    <n v="1148.7663"/>
    <n v="0.05"/>
    <n v="1148.8163"/>
    <n v="63253.825477999999"/>
    <n v="63265.313641000001"/>
  </r>
  <r>
    <x v="7"/>
    <n v="49.09"/>
    <n v="49.1"/>
    <x v="32"/>
    <n v="1288.3785"/>
    <n v="0"/>
    <n v="1288.3785"/>
    <n v="63246.500565000009"/>
    <n v="63259.38435"/>
  </r>
  <r>
    <x v="8"/>
    <n v="17.89"/>
    <n v="17.899999999999999"/>
    <x v="32"/>
    <n v="3535.8029000000001"/>
    <n v="0"/>
    <n v="3535.8029000000001"/>
    <n v="63255.513881000006"/>
    <n v="63290.871909999994"/>
  </r>
  <r>
    <x v="9"/>
    <n v="35.83"/>
    <n v="35.840000000000003"/>
    <x v="32"/>
    <n v="1764.9262000000001"/>
    <n v="0.2"/>
    <n v="1765.1262000000002"/>
    <n v="63244.471746000003"/>
    <n v="63262.12300800001"/>
  </r>
  <r>
    <x v="0"/>
    <n v="21.02"/>
    <n v="21.03"/>
    <x v="33"/>
    <n v="3014.7584999999999"/>
    <n v="0"/>
    <n v="3014.7584999999999"/>
    <n v="63370.223669999999"/>
    <n v="63400.371254999998"/>
  </r>
  <r>
    <x v="1"/>
    <n v="34.409999999999997"/>
    <n v="34.42"/>
    <x v="33"/>
    <n v="1841.7701"/>
    <n v="-0.1"/>
    <n v="1841.6701"/>
    <n v="63371.868140999992"/>
    <n v="63390.284842000008"/>
  </r>
  <r>
    <x v="2"/>
    <n v="17.87"/>
    <n v="17.88"/>
    <x v="33"/>
    <n v="3546.3191999999999"/>
    <n v="0"/>
    <n v="3546.3191999999999"/>
    <n v="63372.724104000001"/>
    <n v="63408.187295999996"/>
  </r>
  <r>
    <x v="3"/>
    <n v="28.03"/>
    <n v="28.04"/>
    <x v="33"/>
    <n v="2261.2093"/>
    <n v="-0.2"/>
    <n v="2261.0093000000002"/>
    <n v="63376.090679000008"/>
    <n v="63398.700772000004"/>
  </r>
  <r>
    <x v="4"/>
    <n v="66.989999999999995"/>
    <n v="67.12"/>
    <x v="33"/>
    <n v="946.06489999999997"/>
    <n v="0"/>
    <n v="946.06489999999997"/>
    <n v="63376.88765099999"/>
    <n v="63499.876088000005"/>
  </r>
  <r>
    <x v="5"/>
    <n v="36.619999999999997"/>
    <n v="36.64"/>
    <x v="33"/>
    <n v="1730.0188000000001"/>
    <n v="0.2"/>
    <n v="1730.2188000000001"/>
    <n v="63360.612456000003"/>
    <n v="63395.216832000006"/>
  </r>
  <r>
    <x v="6"/>
    <n v="55.18"/>
    <n v="55.19"/>
    <x v="33"/>
    <n v="1148.7663"/>
    <n v="0.05"/>
    <n v="1148.8163"/>
    <n v="63391.683433999999"/>
    <n v="63403.171596999993"/>
  </r>
  <r>
    <x v="7"/>
    <n v="49.19"/>
    <n v="49.2"/>
    <x v="33"/>
    <n v="1288.3785"/>
    <n v="0"/>
    <n v="1288.3785"/>
    <n v="63375.338414999998"/>
    <n v="63388.222200000004"/>
  </r>
  <r>
    <x v="8"/>
    <n v="17.920000000000002"/>
    <n v="17.93"/>
    <x v="33"/>
    <n v="3535.8029000000001"/>
    <n v="0"/>
    <n v="3535.8029000000001"/>
    <n v="63361.587968000007"/>
    <n v="63396.945997000003"/>
  </r>
  <r>
    <x v="9"/>
    <n v="35.909999999999997"/>
    <n v="35.92"/>
    <x v="33"/>
    <n v="1764.9262000000001"/>
    <n v="0.2"/>
    <n v="1765.1262000000002"/>
    <n v="63385.681841999998"/>
    <n v="63403.333104000012"/>
  </r>
  <r>
    <x v="0"/>
    <n v="20.98"/>
    <n v="20.99"/>
    <x v="34"/>
    <n v="3014.7584999999999"/>
    <n v="0"/>
    <n v="3014.7584999999999"/>
    <n v="63249.633329999997"/>
    <n v="63279.780914999996"/>
  </r>
  <r>
    <x v="1"/>
    <n v="34.36"/>
    <n v="34.369999999999997"/>
    <x v="34"/>
    <n v="1841.7701"/>
    <n v="-0.1"/>
    <n v="1841.6701"/>
    <n v="63279.784636000004"/>
    <n v="63298.201336999999"/>
  </r>
  <r>
    <x v="2"/>
    <n v="17.84"/>
    <n v="17.850000000000001"/>
    <x v="34"/>
    <n v="3546.3191999999999"/>
    <n v="0"/>
    <n v="3546.3191999999999"/>
    <n v="63266.334527999999"/>
    <n v="63301.797720000002"/>
  </r>
  <r>
    <x v="3"/>
    <n v="27.99"/>
    <n v="28"/>
    <x v="34"/>
    <n v="2261.2093"/>
    <n v="-0.2"/>
    <n v="2261.0093000000002"/>
    <n v="63285.650307000004"/>
    <n v="63308.260400000006"/>
  </r>
  <r>
    <x v="4"/>
    <n v="66.86"/>
    <n v="67"/>
    <x v="34"/>
    <n v="946.06489999999997"/>
    <n v="0"/>
    <n v="946.06489999999997"/>
    <n v="63253.899213999997"/>
    <n v="63386.348299999998"/>
  </r>
  <r>
    <x v="5"/>
    <n v="36.56"/>
    <n v="36.58"/>
    <x v="34"/>
    <n v="1730.0188000000001"/>
    <n v="0.2"/>
    <n v="1730.2188000000001"/>
    <n v="63256.799328000008"/>
    <n v="63291.403704000004"/>
  </r>
  <r>
    <x v="6"/>
    <n v="55.09"/>
    <n v="55.1"/>
    <x v="34"/>
    <n v="1148.7663"/>
    <n v="0.05"/>
    <n v="1148.8163"/>
    <n v="63288.289967000004"/>
    <n v="63299.778129999999"/>
  </r>
  <r>
    <x v="7"/>
    <n v="49.11"/>
    <n v="49.12"/>
    <x v="34"/>
    <n v="1288.3785"/>
    <n v="0"/>
    <n v="1288.3785"/>
    <n v="63272.268134999998"/>
    <n v="63285.151919999997"/>
  </r>
  <r>
    <x v="8"/>
    <n v="17.89"/>
    <n v="17.899999999999999"/>
    <x v="34"/>
    <n v="3535.8029000000001"/>
    <n v="0"/>
    <n v="3535.8029000000001"/>
    <n v="63255.513881000006"/>
    <n v="63290.871909999994"/>
  </r>
  <r>
    <x v="9"/>
    <n v="35.85"/>
    <n v="35.86"/>
    <x v="34"/>
    <n v="1764.9262000000001"/>
    <n v="0.2"/>
    <n v="1765.1262000000002"/>
    <n v="63279.774270000009"/>
    <n v="63297.425532000001"/>
  </r>
  <r>
    <x v="0"/>
    <n v="21.01"/>
    <n v="21.02"/>
    <x v="35"/>
    <n v="3014.7584999999999"/>
    <n v="0"/>
    <n v="3014.7584999999999"/>
    <n v="63340.076085000001"/>
    <n v="63370.223669999999"/>
  </r>
  <r>
    <x v="1"/>
    <n v="34.4"/>
    <n v="34.409999999999997"/>
    <x v="35"/>
    <n v="1841.7701"/>
    <n v="-0.1"/>
    <n v="1841.6701"/>
    <n v="63353.451439999997"/>
    <n v="63371.868140999992"/>
  </r>
  <r>
    <x v="2"/>
    <n v="17.87"/>
    <n v="17.88"/>
    <x v="35"/>
    <n v="3546.3191999999999"/>
    <n v="0"/>
    <n v="3546.3191999999999"/>
    <n v="63372.724104000001"/>
    <n v="63408.187295999996"/>
  </r>
  <r>
    <x v="3"/>
    <n v="28.03"/>
    <n v="28.04"/>
    <x v="35"/>
    <n v="2261.2093"/>
    <n v="-0.2"/>
    <n v="2261.0093000000002"/>
    <n v="63376.090679000008"/>
    <n v="63398.700772000004"/>
  </r>
  <r>
    <x v="4"/>
    <n v="66.92"/>
    <n v="67.06"/>
    <x v="35"/>
    <n v="946.06489999999997"/>
    <n v="0"/>
    <n v="946.06489999999997"/>
    <n v="63310.663108000001"/>
    <n v="63443.112194000001"/>
  </r>
  <r>
    <x v="5"/>
    <n v="36.619999999999997"/>
    <n v="36.630000000000003"/>
    <x v="35"/>
    <n v="1730.0188000000001"/>
    <n v="0.2"/>
    <n v="1730.2188000000001"/>
    <n v="63360.612456000003"/>
    <n v="63377.914644000011"/>
  </r>
  <r>
    <x v="6"/>
    <n v="55.16"/>
    <n v="55.17"/>
    <x v="35"/>
    <n v="1148.7663"/>
    <n v="0.05"/>
    <n v="1148.8163"/>
    <n v="63368.707107999995"/>
    <n v="63380.195270999997"/>
  </r>
  <r>
    <x v="7"/>
    <n v="49.17"/>
    <n v="49.18"/>
    <x v="35"/>
    <n v="1288.3785"/>
    <n v="0"/>
    <n v="1288.3785"/>
    <n v="63349.570845000002"/>
    <n v="63362.45463"/>
  </r>
  <r>
    <x v="8"/>
    <n v="17.920000000000002"/>
    <n v="17.93"/>
    <x v="35"/>
    <n v="3535.8029000000001"/>
    <n v="0"/>
    <n v="3535.8029000000001"/>
    <n v="63361.587968000007"/>
    <n v="63396.945997000003"/>
  </r>
  <r>
    <x v="9"/>
    <n v="35.9"/>
    <n v="35.909999999999997"/>
    <x v="35"/>
    <n v="1764.9262000000001"/>
    <n v="0.2"/>
    <n v="1765.1262000000002"/>
    <n v="63368.030580000006"/>
    <n v="63385.681841999998"/>
  </r>
  <r>
    <x v="0"/>
    <n v="21.03"/>
    <n v="21.04"/>
    <x v="36"/>
    <n v="3014.7584999999999"/>
    <n v="0"/>
    <n v="3014.7584999999999"/>
    <n v="63400.371254999998"/>
    <n v="63430.518839999997"/>
  </r>
  <r>
    <x v="1"/>
    <n v="34.43"/>
    <n v="34.44"/>
    <x v="36"/>
    <n v="1841.7701"/>
    <n v="-0.1"/>
    <n v="1841.6701"/>
    <n v="63408.701543000003"/>
    <n v="63427.118243999998"/>
  </r>
  <r>
    <x v="2"/>
    <n v="17.88"/>
    <n v="17.89"/>
    <x v="36"/>
    <n v="3546.3191999999999"/>
    <n v="0"/>
    <n v="3546.3191999999999"/>
    <n v="63408.187295999996"/>
    <n v="63443.650487999999"/>
  </r>
  <r>
    <x v="3"/>
    <n v="28.05"/>
    <n v="28.06"/>
    <x v="36"/>
    <n v="2261.2093"/>
    <n v="-0.2"/>
    <n v="2261.0093000000002"/>
    <n v="63421.310865000007"/>
    <n v="63443.920958000002"/>
  </r>
  <r>
    <x v="4"/>
    <n v="67.03"/>
    <n v="67.14"/>
    <x v="36"/>
    <n v="946.06489999999997"/>
    <n v="0"/>
    <n v="946.06489999999997"/>
    <n v="63414.730247"/>
    <n v="63518.797385999998"/>
  </r>
  <r>
    <x v="5"/>
    <n v="36.65"/>
    <n v="36.659999999999997"/>
    <x v="36"/>
    <n v="1730.0188000000001"/>
    <n v="0.2"/>
    <n v="1730.2188000000001"/>
    <n v="63412.51902"/>
    <n v="63429.821208000001"/>
  </r>
  <r>
    <x v="6"/>
    <n v="55.21"/>
    <n v="55.22"/>
    <x v="36"/>
    <n v="1148.7663"/>
    <n v="0.05"/>
    <n v="1148.8163"/>
    <n v="63426.147922999997"/>
    <n v="63437.636085999999"/>
  </r>
  <r>
    <x v="7"/>
    <n v="49.22"/>
    <n v="49.23"/>
    <x v="36"/>
    <n v="1288.3785"/>
    <n v="0"/>
    <n v="1288.3785"/>
    <n v="63413.98977"/>
    <n v="63426.873554999998"/>
  </r>
  <r>
    <x v="8"/>
    <n v="17.93"/>
    <n v="17.940000000000001"/>
    <x v="36"/>
    <n v="3535.8029000000001"/>
    <n v="0"/>
    <n v="3535.8029000000001"/>
    <n v="63396.945997000003"/>
    <n v="63432.304026000005"/>
  </r>
  <r>
    <x v="9"/>
    <n v="35.93"/>
    <n v="35.94"/>
    <x v="36"/>
    <n v="1764.9262000000001"/>
    <n v="0.2"/>
    <n v="1765.1262000000002"/>
    <n v="63420.984366000004"/>
    <n v="63438.635628000004"/>
  </r>
  <r>
    <x v="0"/>
    <n v="21.03"/>
    <n v="21.04"/>
    <x v="37"/>
    <n v="3014.7584999999999"/>
    <n v="0"/>
    <n v="3014.7584999999999"/>
    <n v="63400.371254999998"/>
    <n v="63430.518839999997"/>
  </r>
  <r>
    <x v="1"/>
    <n v="34.43"/>
    <n v="34.44"/>
    <x v="37"/>
    <n v="1841.7701"/>
    <n v="-0.1"/>
    <n v="1841.6701"/>
    <n v="63408.701543000003"/>
    <n v="63427.118243999998"/>
  </r>
  <r>
    <x v="2"/>
    <n v="17.88"/>
    <n v="17.89"/>
    <x v="37"/>
    <n v="3546.3191999999999"/>
    <n v="0"/>
    <n v="3546.3191999999999"/>
    <n v="63408.187295999996"/>
    <n v="63443.650487999999"/>
  </r>
  <r>
    <x v="3"/>
    <n v="28.05"/>
    <n v="28.06"/>
    <x v="37"/>
    <n v="2261.2093"/>
    <n v="-0.2"/>
    <n v="2261.0093000000002"/>
    <n v="63421.310865000007"/>
    <n v="63443.920958000002"/>
  </r>
  <r>
    <x v="4"/>
    <n v="67.010000000000005"/>
    <n v="67.150000000000006"/>
    <x v="37"/>
    <n v="946.06489999999997"/>
    <n v="0"/>
    <n v="946.06489999999997"/>
    <n v="63395.808949000006"/>
    <n v="63528.258035000006"/>
  </r>
  <r>
    <x v="5"/>
    <n v="36.64"/>
    <n v="36.65"/>
    <x v="37"/>
    <n v="1730.0188000000001"/>
    <n v="0.2"/>
    <n v="1730.2188000000001"/>
    <n v="63395.216832000006"/>
    <n v="63412.51902"/>
  </r>
  <r>
    <x v="6"/>
    <n v="55.21"/>
    <n v="55.22"/>
    <x v="37"/>
    <n v="1148.7663"/>
    <n v="0.05"/>
    <n v="1148.8163"/>
    <n v="63426.147922999997"/>
    <n v="63437.636085999999"/>
  </r>
  <r>
    <x v="7"/>
    <n v="49.21"/>
    <n v="49.22"/>
    <x v="37"/>
    <n v="1288.3785"/>
    <n v="0"/>
    <n v="1288.3785"/>
    <n v="63401.105985000002"/>
    <n v="63413.98977"/>
  </r>
  <r>
    <x v="8"/>
    <n v="17.93"/>
    <n v="17.940000000000001"/>
    <x v="37"/>
    <n v="3535.8029000000001"/>
    <n v="0"/>
    <n v="3535.8029000000001"/>
    <n v="63396.945997000003"/>
    <n v="63432.304026000005"/>
  </r>
  <r>
    <x v="9"/>
    <n v="35.92"/>
    <n v="35.93"/>
    <x v="37"/>
    <n v="1764.9262000000001"/>
    <n v="0.2"/>
    <n v="1765.1262000000002"/>
    <n v="63403.333104000012"/>
    <n v="63420.984366000004"/>
  </r>
  <r>
    <x v="0"/>
    <n v="21.02"/>
    <n v="21.03"/>
    <x v="38"/>
    <n v="3014.7584999999999"/>
    <n v="0"/>
    <n v="3014.7584999999999"/>
    <n v="63370.223669999999"/>
    <n v="63400.371254999998"/>
  </r>
  <r>
    <x v="1"/>
    <n v="34.409999999999997"/>
    <n v="34.42"/>
    <x v="38"/>
    <n v="1841.7701"/>
    <n v="-0.1"/>
    <n v="1841.6701"/>
    <n v="63371.868140999992"/>
    <n v="63390.284842000008"/>
  </r>
  <r>
    <x v="2"/>
    <n v="17.87"/>
    <n v="17.88"/>
    <x v="38"/>
    <n v="3546.3191999999999"/>
    <n v="0"/>
    <n v="3546.3191999999999"/>
    <n v="63372.724104000001"/>
    <n v="63408.187295999996"/>
  </r>
  <r>
    <x v="3"/>
    <n v="28.03"/>
    <n v="28.04"/>
    <x v="38"/>
    <n v="2261.2093"/>
    <n v="-0.2"/>
    <n v="2261.0093000000002"/>
    <n v="63376.090679000008"/>
    <n v="63398.700772000004"/>
  </r>
  <r>
    <x v="4"/>
    <n v="66.98"/>
    <n v="67.09"/>
    <x v="38"/>
    <n v="946.06489999999997"/>
    <n v="0"/>
    <n v="946.06489999999997"/>
    <n v="63367.427002000004"/>
    <n v="63471.494141000003"/>
  </r>
  <r>
    <x v="5"/>
    <n v="36.630000000000003"/>
    <n v="36.64"/>
    <x v="38"/>
    <n v="1730.0188000000001"/>
    <n v="0.2"/>
    <n v="1730.2188000000001"/>
    <n v="63377.914644000011"/>
    <n v="63395.216832000006"/>
  </r>
  <r>
    <x v="6"/>
    <n v="55.18"/>
    <n v="55.19"/>
    <x v="38"/>
    <n v="1148.7663"/>
    <n v="0.05"/>
    <n v="1148.8163"/>
    <n v="63391.683433999999"/>
    <n v="63403.171596999993"/>
  </r>
  <r>
    <x v="7"/>
    <n v="49.19"/>
    <n v="49.2"/>
    <x v="38"/>
    <n v="1288.3785"/>
    <n v="0"/>
    <n v="1288.3785"/>
    <n v="63375.338414999998"/>
    <n v="63388.222200000004"/>
  </r>
  <r>
    <x v="8"/>
    <n v="17.93"/>
    <n v="17.940000000000001"/>
    <x v="38"/>
    <n v="3535.8029000000001"/>
    <n v="0"/>
    <n v="3535.8029000000001"/>
    <n v="63396.945997000003"/>
    <n v="63432.304026000005"/>
  </r>
  <r>
    <x v="9"/>
    <n v="35.909999999999997"/>
    <n v="35.92"/>
    <x v="38"/>
    <n v="1764.9262000000001"/>
    <n v="0.2"/>
    <n v="1765.1262000000002"/>
    <n v="63385.681841999998"/>
    <n v="63403.333104000012"/>
  </r>
  <r>
    <x v="0"/>
    <n v="21.09"/>
    <n v="21.1"/>
    <x v="39"/>
    <n v="3014.7584999999999"/>
    <n v="0"/>
    <n v="3014.7584999999999"/>
    <n v="63581.256764999998"/>
    <n v="63611.404350000004"/>
  </r>
  <r>
    <x v="1"/>
    <n v="34.53"/>
    <n v="34.54"/>
    <x v="39"/>
    <n v="1841.7701"/>
    <n v="-0.1"/>
    <n v="1841.6701"/>
    <n v="63592.868553"/>
    <n v="63611.285254000002"/>
  </r>
  <r>
    <x v="2"/>
    <n v="17.93"/>
    <n v="17.940000000000001"/>
    <x v="39"/>
    <n v="3546.3191999999999"/>
    <n v="0"/>
    <n v="3546.3191999999999"/>
    <n v="63585.503255999996"/>
    <n v="63620.966448000006"/>
  </r>
  <r>
    <x v="3"/>
    <n v="28.12"/>
    <n v="28.13"/>
    <x v="39"/>
    <n v="2261.2093"/>
    <n v="-0.2"/>
    <n v="2261.0093000000002"/>
    <n v="63579.581516000006"/>
    <n v="63602.191609000001"/>
  </r>
  <r>
    <x v="4"/>
    <n v="67.180000000000007"/>
    <n v="67.290000000000006"/>
    <x v="39"/>
    <n v="946.06489999999997"/>
    <n v="0"/>
    <n v="946.06489999999997"/>
    <n v="63556.639982000001"/>
    <n v="63660.707121000007"/>
  </r>
  <r>
    <x v="5"/>
    <n v="36.75"/>
    <n v="36.76"/>
    <x v="39"/>
    <n v="1730.0188000000001"/>
    <n v="0.2"/>
    <n v="1730.2188000000001"/>
    <n v="63585.540900000007"/>
    <n v="63602.843088000001"/>
  </r>
  <r>
    <x v="6"/>
    <n v="55.36"/>
    <n v="55.37"/>
    <x v="39"/>
    <n v="1148.7663"/>
    <n v="0.05"/>
    <n v="1148.8163"/>
    <n v="63598.470367999995"/>
    <n v="63609.958530999997"/>
  </r>
  <r>
    <x v="7"/>
    <n v="49.35"/>
    <n v="49.36"/>
    <x v="39"/>
    <n v="1288.3785"/>
    <n v="0"/>
    <n v="1288.3785"/>
    <n v="63581.478975000005"/>
    <n v="63594.362760000004"/>
  </r>
  <r>
    <x v="8"/>
    <n v="17.98"/>
    <n v="17.989999999999998"/>
    <x v="39"/>
    <n v="3535.8029000000001"/>
    <n v="0"/>
    <n v="3535.8029000000001"/>
    <n v="63573.736142000002"/>
    <n v="63609.094170999997"/>
  </r>
  <r>
    <x v="9"/>
    <n v="36.03"/>
    <n v="36.04"/>
    <x v="39"/>
    <n v="1764.9262000000001"/>
    <n v="0.2"/>
    <n v="1765.1262000000002"/>
    <n v="63597.496986000006"/>
    <n v="63615.148248000005"/>
  </r>
  <r>
    <x v="0"/>
    <n v="21.12"/>
    <n v="21.13"/>
    <x v="40"/>
    <n v="3014.7584999999999"/>
    <n v="0"/>
    <n v="3014.7584999999999"/>
    <n v="63671.699520000002"/>
    <n v="63701.847104999993"/>
  </r>
  <r>
    <x v="1"/>
    <n v="34.58"/>
    <n v="34.590000000000003"/>
    <x v="40"/>
    <n v="1841.7701"/>
    <n v="-0.1"/>
    <n v="1841.6701"/>
    <n v="63684.952057999995"/>
    <n v="63703.368759000005"/>
  </r>
  <r>
    <x v="2"/>
    <n v="17.95"/>
    <n v="17.96"/>
    <x v="40"/>
    <n v="3546.3191999999999"/>
    <n v="0"/>
    <n v="3546.3191999999999"/>
    <n v="63656.429639999995"/>
    <n v="63691.892832000005"/>
  </r>
  <r>
    <x v="3"/>
    <n v="28.16"/>
    <n v="28.17"/>
    <x v="40"/>
    <n v="2261.2093"/>
    <n v="-0.2"/>
    <n v="2261.0093000000002"/>
    <n v="63670.021888000003"/>
    <n v="63692.631981000006"/>
  </r>
  <r>
    <x v="4"/>
    <n v="67.27"/>
    <n v="67.39"/>
    <x v="40"/>
    <n v="946.06489999999997"/>
    <n v="0"/>
    <n v="946.06489999999997"/>
    <n v="63641.785822999991"/>
    <n v="63755.313610999998"/>
  </r>
  <r>
    <x v="5"/>
    <n v="36.799999999999997"/>
    <n v="36.82"/>
    <x v="40"/>
    <n v="1730.0188000000001"/>
    <n v="0.2"/>
    <n v="1730.2188000000001"/>
    <n v="63672.05184"/>
    <n v="63706.656216000003"/>
  </r>
  <r>
    <x v="6"/>
    <n v="55.44"/>
    <n v="55.45"/>
    <x v="40"/>
    <n v="1148.7663"/>
    <n v="0.05"/>
    <n v="1148.8163"/>
    <n v="63690.375671999995"/>
    <n v="63701.863835000004"/>
  </r>
  <r>
    <x v="7"/>
    <n v="49.42"/>
    <n v="49.43"/>
    <x v="40"/>
    <n v="1288.3785"/>
    <n v="0"/>
    <n v="1288.3785"/>
    <n v="63671.665470000007"/>
    <n v="63684.549254999998"/>
  </r>
  <r>
    <x v="8"/>
    <n v="18.010000000000002"/>
    <n v="18.02"/>
    <x v="40"/>
    <n v="3535.8029000000001"/>
    <n v="0"/>
    <n v="3535.8029000000001"/>
    <n v="63679.81022900001"/>
    <n v="63715.168257999998"/>
  </r>
  <r>
    <x v="9"/>
    <n v="36.08"/>
    <n v="36.090000000000003"/>
    <x v="40"/>
    <n v="1764.9262000000001"/>
    <n v="0.2"/>
    <n v="1765.1262000000002"/>
    <n v="63685.753296000003"/>
    <n v="63703.404558000009"/>
  </r>
  <r>
    <x v="0"/>
    <n v="21.09"/>
    <n v="21.1"/>
    <x v="41"/>
    <n v="3014.7584999999999"/>
    <n v="0"/>
    <n v="3014.7584999999999"/>
    <n v="63581.256764999998"/>
    <n v="63611.404350000004"/>
  </r>
  <r>
    <x v="1"/>
    <n v="34.54"/>
    <n v="34.54"/>
    <x v="41"/>
    <n v="1841.7701"/>
    <n v="-0.1"/>
    <n v="1841.6701"/>
    <n v="63611.285254000002"/>
    <n v="63611.285254000002"/>
  </r>
  <r>
    <x v="2"/>
    <n v="17.93"/>
    <n v="17.940000000000001"/>
    <x v="41"/>
    <n v="3546.3191999999999"/>
    <n v="0"/>
    <n v="3546.3191999999999"/>
    <n v="63585.503255999996"/>
    <n v="63620.966448000006"/>
  </r>
  <r>
    <x v="3"/>
    <n v="28.13"/>
    <n v="28.14"/>
    <x v="41"/>
    <n v="2261.2093"/>
    <n v="-0.2"/>
    <n v="2261.0093000000002"/>
    <n v="63602.191609000001"/>
    <n v="63624.801702000004"/>
  </r>
  <r>
    <x v="4"/>
    <n v="67.19"/>
    <n v="67.31"/>
    <x v="41"/>
    <n v="946.06489999999997"/>
    <n v="0"/>
    <n v="946.06489999999997"/>
    <n v="63566.100630999994"/>
    <n v="63679.628419000001"/>
  </r>
  <r>
    <x v="5"/>
    <n v="36.76"/>
    <n v="36.770000000000003"/>
    <x v="41"/>
    <n v="1730.0188000000001"/>
    <n v="0.2"/>
    <n v="1730.2188000000001"/>
    <n v="63602.843088000001"/>
    <n v="63620.14527600001"/>
  </r>
  <r>
    <x v="6"/>
    <n v="55.37"/>
    <n v="55.38"/>
    <x v="41"/>
    <n v="1148.7663"/>
    <n v="0.05"/>
    <n v="1148.8163"/>
    <n v="63609.958530999997"/>
    <n v="63621.446693999998"/>
  </r>
  <r>
    <x v="7"/>
    <n v="49.36"/>
    <n v="49.37"/>
    <x v="41"/>
    <n v="1288.3785"/>
    <n v="0"/>
    <n v="1288.3785"/>
    <n v="63594.362760000004"/>
    <n v="63607.246545000002"/>
  </r>
  <r>
    <x v="8"/>
    <n v="17.989999999999998"/>
    <n v="18"/>
    <x v="41"/>
    <n v="3535.8029000000001"/>
    <n v="0"/>
    <n v="3535.8029000000001"/>
    <n v="63609.094170999997"/>
    <n v="63644.4522"/>
  </r>
  <r>
    <x v="9"/>
    <n v="36.04"/>
    <n v="36.049999999999997"/>
    <x v="41"/>
    <n v="1764.9262000000001"/>
    <n v="0.2"/>
    <n v="1765.1262000000002"/>
    <n v="63615.148248000005"/>
    <n v="63632.799509999997"/>
  </r>
  <r>
    <x v="0"/>
    <n v="20.98"/>
    <n v="20.99"/>
    <x v="42"/>
    <n v="3014.8103999999998"/>
    <n v="0"/>
    <n v="3014.8103999999998"/>
    <n v="63250.722192000001"/>
    <n v="63280.870295999994"/>
  </r>
  <r>
    <x v="1"/>
    <n v="34.35"/>
    <n v="34.36"/>
    <x v="42"/>
    <n v="1842.0397"/>
    <n v="-0.1"/>
    <n v="1841.9397000000001"/>
    <n v="63270.628695000007"/>
    <n v="63289.048092000005"/>
  </r>
  <r>
    <x v="2"/>
    <n v="17.84"/>
    <n v="17.850000000000001"/>
    <x v="42"/>
    <n v="3546.3921"/>
    <n v="0"/>
    <n v="3546.3921"/>
    <n v="63267.635064000002"/>
    <n v="63303.098985000004"/>
  </r>
  <r>
    <x v="3"/>
    <n v="27.98"/>
    <n v="27.99"/>
    <x v="42"/>
    <n v="2261.2671999999998"/>
    <n v="-0.2"/>
    <n v="2261.0672"/>
    <n v="63264.660256000003"/>
    <n v="63287.270927999998"/>
  </r>
  <r>
    <x v="4"/>
    <n v="66.819999999999993"/>
    <n v="66.959999999999994"/>
    <x v="42"/>
    <n v="946.08439999999996"/>
    <n v="0"/>
    <n v="946.08439999999996"/>
    <n v="63217.359607999992"/>
    <n v="63349.811423999992"/>
  </r>
  <r>
    <x v="5"/>
    <n v="36.56"/>
    <n v="36.58"/>
    <x v="42"/>
    <n v="1730.0458000000001"/>
    <n v="0.2"/>
    <n v="1730.2458000000001"/>
    <n v="63257.786448000006"/>
    <n v="63292.391364000003"/>
  </r>
  <r>
    <x v="6"/>
    <n v="55.08"/>
    <n v="55.09"/>
    <x v="42"/>
    <n v="1148.79"/>
    <n v="0.05"/>
    <n v="1148.8399999999999"/>
    <n v="63278.107199999991"/>
    <n v="63289.595600000001"/>
  </r>
  <r>
    <x v="7"/>
    <n v="49.1"/>
    <n v="49.11"/>
    <x v="42"/>
    <n v="1288.5375000000001"/>
    <n v="0"/>
    <n v="1288.5375000000001"/>
    <n v="63267.191250000011"/>
    <n v="63280.076625000009"/>
  </r>
  <r>
    <x v="8"/>
    <n v="17.89"/>
    <n v="17.899999999999999"/>
    <x v="42"/>
    <n v="3535.8029000000001"/>
    <n v="0"/>
    <n v="3535.8029000000001"/>
    <n v="63255.513881000006"/>
    <n v="63290.871909999994"/>
  </r>
  <r>
    <x v="9"/>
    <n v="35.840000000000003"/>
    <n v="35.85"/>
    <x v="42"/>
    <n v="1764.9625000000001"/>
    <n v="0.2"/>
    <n v="1765.1625000000001"/>
    <n v="63263.424000000014"/>
    <n v="63281.075625000005"/>
  </r>
  <r>
    <x v="0"/>
    <n v="20.95"/>
    <n v="20.96"/>
    <x v="43"/>
    <n v="3014.8103999999998"/>
    <n v="0"/>
    <n v="3014.8103999999998"/>
    <n v="63160.277879999994"/>
    <n v="63190.425984000001"/>
  </r>
  <r>
    <x v="1"/>
    <n v="34.299999999999997"/>
    <n v="34.31"/>
    <x v="43"/>
    <n v="1842.0397"/>
    <n v="-0.1"/>
    <n v="1841.9397000000001"/>
    <n v="63178.531709999996"/>
    <n v="63196.951107000008"/>
  </r>
  <r>
    <x v="2"/>
    <n v="17.809999999999999"/>
    <n v="17.82"/>
    <x v="43"/>
    <n v="3546.3921"/>
    <n v="0"/>
    <n v="3546.3921"/>
    <n v="63161.243300999995"/>
    <n v="63196.707222000005"/>
  </r>
  <r>
    <x v="3"/>
    <n v="27.94"/>
    <n v="27.95"/>
    <x v="43"/>
    <n v="2261.2671999999998"/>
    <n v="-0.2"/>
    <n v="2261.0672"/>
    <n v="63174.217568"/>
    <n v="63196.828239999995"/>
  </r>
  <r>
    <x v="4"/>
    <n v="66.739999999999995"/>
    <n v="66.86"/>
    <x v="43"/>
    <n v="946.08439999999996"/>
    <n v="0"/>
    <n v="946.08439999999996"/>
    <n v="63141.67285599999"/>
    <n v="63255.202983999996"/>
  </r>
  <r>
    <x v="5"/>
    <n v="36.51"/>
    <n v="36.520000000000003"/>
    <x v="43"/>
    <n v="1730.0458000000001"/>
    <n v="0.2"/>
    <n v="1730.2458000000001"/>
    <n v="63171.274158"/>
    <n v="63188.576616000013"/>
  </r>
  <r>
    <x v="6"/>
    <n v="55"/>
    <n v="55.01"/>
    <x v="43"/>
    <n v="1148.79"/>
    <n v="0.05"/>
    <n v="1148.8399999999999"/>
    <n v="63186.2"/>
    <n v="63197.688399999992"/>
  </r>
  <r>
    <x v="7"/>
    <n v="49.03"/>
    <n v="49.04"/>
    <x v="43"/>
    <n v="1288.5375000000001"/>
    <n v="0"/>
    <n v="1288.5375000000001"/>
    <n v="63176.99362500001"/>
    <n v="63189.879000000008"/>
  </r>
  <r>
    <x v="8"/>
    <n v="17.87"/>
    <n v="17.88"/>
    <x v="43"/>
    <n v="3535.8029000000001"/>
    <n v="0"/>
    <n v="3535.8029000000001"/>
    <n v="63184.797823000008"/>
    <n v="63220.155851999996"/>
  </r>
  <r>
    <x v="9"/>
    <n v="35.79"/>
    <n v="35.799999999999997"/>
    <x v="43"/>
    <n v="1764.9625000000001"/>
    <n v="0.2"/>
    <n v="1765.1625000000001"/>
    <n v="63175.165875000006"/>
    <n v="63192.817499999997"/>
  </r>
  <r>
    <x v="0"/>
    <n v="21"/>
    <n v="21.01"/>
    <x v="44"/>
    <n v="3014.8103999999998"/>
    <n v="0"/>
    <n v="3014.8103999999998"/>
    <n v="63311.018399999994"/>
    <n v="63341.166504000001"/>
  </r>
  <r>
    <x v="1"/>
    <n v="34.369999999999997"/>
    <n v="34.380000000000003"/>
    <x v="44"/>
    <n v="1842.0397"/>
    <n v="-0.1"/>
    <n v="1841.9397000000001"/>
    <n v="63307.467489000002"/>
    <n v="63325.886886000008"/>
  </r>
  <r>
    <x v="2"/>
    <n v="17.850000000000001"/>
    <n v="17.86"/>
    <x v="44"/>
    <n v="3546.3921"/>
    <n v="0"/>
    <n v="3546.3921"/>
    <n v="63303.098985000004"/>
    <n v="63338.562905999999"/>
  </r>
  <r>
    <x v="3"/>
    <n v="28"/>
    <n v="28.01"/>
    <x v="44"/>
    <n v="2261.2671999999998"/>
    <n v="-0.2"/>
    <n v="2261.0672"/>
    <n v="63309.881600000001"/>
    <n v="63332.492272000003"/>
  </r>
  <r>
    <x v="4"/>
    <n v="66.91"/>
    <n v="67.02"/>
    <x v="44"/>
    <n v="946.08439999999996"/>
    <n v="0"/>
    <n v="946.08439999999996"/>
    <n v="63302.507203999994"/>
    <n v="63406.576487999992"/>
  </r>
  <r>
    <x v="5"/>
    <n v="36.58"/>
    <n v="36.61"/>
    <x v="44"/>
    <n v="1730.0458000000001"/>
    <n v="0.2"/>
    <n v="1730.2458000000001"/>
    <n v="63292.391364000003"/>
    <n v="63344.298738000005"/>
  </r>
  <r>
    <x v="6"/>
    <n v="55.12"/>
    <n v="55.13"/>
    <x v="44"/>
    <n v="1148.79"/>
    <n v="0.05"/>
    <n v="1148.8399999999999"/>
    <n v="63324.060799999992"/>
    <n v="63335.549200000001"/>
  </r>
  <r>
    <x v="7"/>
    <n v="49.13"/>
    <n v="49.14"/>
    <x v="44"/>
    <n v="1288.5375000000001"/>
    <n v="0"/>
    <n v="1288.5375000000001"/>
    <n v="63305.847375000012"/>
    <n v="63318.73275000001"/>
  </r>
  <r>
    <x v="8"/>
    <n v="17.899999999999999"/>
    <n v="17.91"/>
    <x v="44"/>
    <n v="3535.8029000000001"/>
    <n v="0"/>
    <n v="3535.8029000000001"/>
    <n v="63290.871909999994"/>
    <n v="63326.229939000004"/>
  </r>
  <r>
    <x v="9"/>
    <n v="35.869999999999997"/>
    <n v="35.880000000000003"/>
    <x v="44"/>
    <n v="1764.9625000000001"/>
    <n v="0.2"/>
    <n v="1765.1625000000001"/>
    <n v="63316.378875000002"/>
    <n v="63334.030500000008"/>
  </r>
  <r>
    <x v="0"/>
    <n v="21.16"/>
    <n v="21.17"/>
    <x v="45"/>
    <n v="3014.8103999999998"/>
    <n v="0"/>
    <n v="3014.8103999999998"/>
    <n v="63793.388063999999"/>
    <n v="63823.536167999999"/>
  </r>
  <r>
    <x v="1"/>
    <n v="34.64"/>
    <n v="34.65"/>
    <x v="45"/>
    <n v="1842.0397"/>
    <n v="-0.1"/>
    <n v="1841.9397000000001"/>
    <n v="63804.791208000002"/>
    <n v="63823.210605"/>
  </r>
  <r>
    <x v="2"/>
    <n v="17.989999999999998"/>
    <n v="18"/>
    <x v="45"/>
    <n v="3546.3921"/>
    <n v="0"/>
    <n v="3546.3921"/>
    <n v="63799.593878999993"/>
    <n v="63835.057800000002"/>
  </r>
  <r>
    <x v="3"/>
    <n v="28.22"/>
    <n v="28.23"/>
    <x v="45"/>
    <n v="2261.2671999999998"/>
    <n v="-0.2"/>
    <n v="2261.0672"/>
    <n v="63807.316383999998"/>
    <n v="63829.927056"/>
  </r>
  <r>
    <x v="4"/>
    <n v="67.400000000000006"/>
    <n v="67.5"/>
    <x v="45"/>
    <n v="946.08439999999996"/>
    <n v="0"/>
    <n v="946.08439999999996"/>
    <n v="63766.088560000004"/>
    <n v="63860.697"/>
  </r>
  <r>
    <x v="5"/>
    <n v="36.86"/>
    <n v="36.89"/>
    <x v="45"/>
    <n v="1730.0458000000001"/>
    <n v="0.2"/>
    <n v="1730.2458000000001"/>
    <n v="63776.860188000006"/>
    <n v="63828.767562000008"/>
  </r>
  <r>
    <x v="6"/>
    <n v="55.54"/>
    <n v="55.55"/>
    <x v="45"/>
    <n v="1148.79"/>
    <n v="0.05"/>
    <n v="1148.8399999999999"/>
    <n v="63806.573599999996"/>
    <n v="63818.061999999991"/>
  </r>
  <r>
    <x v="7"/>
    <n v="49.52"/>
    <n v="49.53"/>
    <x v="45"/>
    <n v="1288.5375000000001"/>
    <n v="0"/>
    <n v="1288.5375000000001"/>
    <n v="63808.377000000008"/>
    <n v="63821.262375000006"/>
  </r>
  <r>
    <x v="8"/>
    <n v="18.04"/>
    <n v="18.05"/>
    <x v="45"/>
    <n v="3535.8029000000001"/>
    <n v="0"/>
    <n v="3535.8029000000001"/>
    <n v="63785.884315999996"/>
    <n v="63821.242345000006"/>
  </r>
  <r>
    <x v="9"/>
    <n v="36.15"/>
    <n v="36.159999999999997"/>
    <x v="45"/>
    <n v="1764.9625000000001"/>
    <n v="0.2"/>
    <n v="1765.1625000000001"/>
    <n v="63810.624374999999"/>
    <n v="63828.275999999998"/>
  </r>
  <r>
    <x v="0"/>
    <n v="21.18"/>
    <n v="21.19"/>
    <x v="46"/>
    <n v="3014.8103999999998"/>
    <n v="0"/>
    <n v="3014.8103999999998"/>
    <n v="63853.684271999999"/>
    <n v="63883.832375999998"/>
  </r>
  <r>
    <x v="1"/>
    <n v="34.67"/>
    <n v="34.68"/>
    <x v="46"/>
    <n v="1842.0397"/>
    <n v="-0.1"/>
    <n v="1841.9397000000001"/>
    <n v="63860.04939900001"/>
    <n v="63878.468796000001"/>
  </r>
  <r>
    <x v="2"/>
    <n v="18.010000000000002"/>
    <n v="18.02"/>
    <x v="46"/>
    <n v="3546.3921"/>
    <n v="0"/>
    <n v="3546.3921"/>
    <n v="63870.521721000005"/>
    <n v="63905.985642"/>
  </r>
  <r>
    <x v="3"/>
    <n v="28.25"/>
    <n v="28.26"/>
    <x v="46"/>
    <n v="2261.2671999999998"/>
    <n v="-0.2"/>
    <n v="2261.0672"/>
    <n v="63875.148399999998"/>
    <n v="63897.759072000001"/>
  </r>
  <r>
    <x v="4"/>
    <n v="67.45"/>
    <n v="67.569999999999993"/>
    <x v="46"/>
    <n v="946.08439999999996"/>
    <n v="0"/>
    <n v="946.08439999999996"/>
    <n v="63813.392780000002"/>
    <n v="63926.922907999993"/>
  </r>
  <r>
    <x v="5"/>
    <n v="36.909999999999997"/>
    <n v="36.92"/>
    <x v="46"/>
    <n v="1730.0458000000001"/>
    <n v="0.2"/>
    <n v="1730.2458000000001"/>
    <n v="63863.372477999997"/>
    <n v="63880.67493600001"/>
  </r>
  <r>
    <x v="6"/>
    <n v="55.6"/>
    <n v="55.61"/>
    <x v="46"/>
    <n v="1148.79"/>
    <n v="0.05"/>
    <n v="1148.8399999999999"/>
    <n v="63875.503999999994"/>
    <n v="63886.992399999996"/>
  </r>
  <r>
    <x v="7"/>
    <n v="49.57"/>
    <n v="49.58"/>
    <x v="46"/>
    <n v="1288.5375000000001"/>
    <n v="0"/>
    <n v="1288.5375000000001"/>
    <n v="63872.803875000005"/>
    <n v="63885.689250000003"/>
  </r>
  <r>
    <x v="8"/>
    <n v="18.059999999999999"/>
    <n v="18.07"/>
    <x v="46"/>
    <n v="3535.8029000000001"/>
    <n v="0"/>
    <n v="3535.8029000000001"/>
    <n v="63856.600374000001"/>
    <n v="63891.958403000004"/>
  </r>
  <r>
    <x v="9"/>
    <n v="36.19"/>
    <n v="36.200000000000003"/>
    <x v="46"/>
    <n v="1764.9625000000001"/>
    <n v="0.2"/>
    <n v="1765.1625000000001"/>
    <n v="63881.230875000001"/>
    <n v="63898.882500000007"/>
  </r>
  <r>
    <x v="0"/>
    <n v="21.09"/>
    <n v="21.1"/>
    <x v="47"/>
    <n v="3014.8103999999998"/>
    <n v="0"/>
    <n v="3014.8103999999998"/>
    <n v="63582.351336"/>
    <n v="63612.49944"/>
  </r>
  <r>
    <x v="1"/>
    <n v="34.53"/>
    <n v="34.54"/>
    <x v="47"/>
    <n v="1842.0397"/>
    <n v="-0.1"/>
    <n v="1841.9397000000001"/>
    <n v="63602.177841000004"/>
    <n v="63620.597238000002"/>
  </r>
  <r>
    <x v="2"/>
    <n v="17.93"/>
    <n v="17.940000000000001"/>
    <x v="47"/>
    <n v="3546.3921"/>
    <n v="0"/>
    <n v="3546.3921"/>
    <n v="63586.810353000001"/>
    <n v="63622.274274000003"/>
  </r>
  <r>
    <x v="3"/>
    <n v="28.12"/>
    <n v="28.13"/>
    <x v="47"/>
    <n v="2261.2671999999998"/>
    <n v="-0.2"/>
    <n v="2261.0672"/>
    <n v="63581.209664000002"/>
    <n v="63603.820335999997"/>
  </r>
  <r>
    <x v="4"/>
    <n v="67.16"/>
    <n v="67.290000000000006"/>
    <x v="47"/>
    <n v="946.08439999999996"/>
    <n v="0"/>
    <n v="946.08439999999996"/>
    <n v="63539.028303999992"/>
    <n v="63662.019276000006"/>
  </r>
  <r>
    <x v="5"/>
    <n v="36.74"/>
    <n v="36.76"/>
    <x v="47"/>
    <n v="1730.0458000000001"/>
    <n v="0.2"/>
    <n v="1730.2458000000001"/>
    <n v="63569.230692000012"/>
    <n v="63603.835608000001"/>
  </r>
  <r>
    <x v="6"/>
    <n v="55.36"/>
    <n v="55.37"/>
    <x v="47"/>
    <n v="1148.79"/>
    <n v="0.05"/>
    <n v="1148.8399999999999"/>
    <n v="63599.782399999996"/>
    <n v="63611.270799999991"/>
  </r>
  <r>
    <x v="7"/>
    <n v="49.35"/>
    <n v="49.36"/>
    <x v="47"/>
    <n v="1288.5375000000001"/>
    <n v="0"/>
    <n v="1288.5375000000001"/>
    <n v="63589.325625000005"/>
    <n v="63602.211000000003"/>
  </r>
  <r>
    <x v="8"/>
    <n v="17.98"/>
    <n v="17.989999999999998"/>
    <x v="47"/>
    <n v="3535.8029000000001"/>
    <n v="0"/>
    <n v="3535.8029000000001"/>
    <n v="63573.736142000002"/>
    <n v="63609.094170999997"/>
  </r>
  <r>
    <x v="9"/>
    <n v="36.03"/>
    <n v="36.04"/>
    <x v="47"/>
    <n v="1764.9625000000001"/>
    <n v="0.2"/>
    <n v="1765.1625000000001"/>
    <n v="63598.804875000009"/>
    <n v="63616.4565"/>
  </r>
  <r>
    <x v="0"/>
    <n v="21.18"/>
    <n v="21.19"/>
    <x v="48"/>
    <n v="3014.8103999999998"/>
    <n v="0"/>
    <n v="3014.8103999999998"/>
    <n v="63853.684271999999"/>
    <n v="63883.832375999998"/>
  </r>
  <r>
    <x v="1"/>
    <n v="34.68"/>
    <n v="34.69"/>
    <x v="48"/>
    <n v="1842.0397"/>
    <n v="-0.1"/>
    <n v="1841.9397000000001"/>
    <n v="63878.468796000001"/>
    <n v="63896.888192999999"/>
  </r>
  <r>
    <x v="2"/>
    <n v="18.010000000000002"/>
    <n v="18.02"/>
    <x v="48"/>
    <n v="3546.3921"/>
    <n v="0"/>
    <n v="3546.3921"/>
    <n v="63870.521721000005"/>
    <n v="63905.985642"/>
  </r>
  <r>
    <x v="3"/>
    <n v="28.25"/>
    <n v="28.26"/>
    <x v="48"/>
    <n v="2261.2671999999998"/>
    <n v="-0.2"/>
    <n v="2261.0672"/>
    <n v="63875.148399999998"/>
    <n v="63897.759072000001"/>
  </r>
  <r>
    <x v="4"/>
    <n v="67.45"/>
    <n v="67.59"/>
    <x v="48"/>
    <n v="946.08439999999996"/>
    <n v="0"/>
    <n v="946.08439999999996"/>
    <n v="63813.392780000002"/>
    <n v="63945.844596000003"/>
  </r>
  <r>
    <x v="5"/>
    <n v="36.909999999999997"/>
    <n v="36.93"/>
    <x v="48"/>
    <n v="1730.0458000000001"/>
    <n v="0.2"/>
    <n v="1730.2458000000001"/>
    <n v="63863.372477999997"/>
    <n v="63897.977394000001"/>
  </r>
  <r>
    <x v="6"/>
    <n v="55.6"/>
    <n v="55.61"/>
    <x v="48"/>
    <n v="1148.79"/>
    <n v="0.05"/>
    <n v="1148.8399999999999"/>
    <n v="63875.503999999994"/>
    <n v="63886.992399999996"/>
  </r>
  <r>
    <x v="7"/>
    <n v="49.57"/>
    <n v="49.58"/>
    <x v="48"/>
    <n v="1288.5375000000001"/>
    <n v="0"/>
    <n v="1288.5375000000001"/>
    <n v="63872.803875000005"/>
    <n v="63885.689250000003"/>
  </r>
  <r>
    <x v="8"/>
    <n v="18.059999999999999"/>
    <n v="18.07"/>
    <x v="48"/>
    <n v="3535.8029000000001"/>
    <n v="0"/>
    <n v="3535.8029000000001"/>
    <n v="63856.600374000001"/>
    <n v="63891.958403000004"/>
  </r>
  <r>
    <x v="9"/>
    <n v="36.19"/>
    <n v="36.200000000000003"/>
    <x v="48"/>
    <n v="1764.9625000000001"/>
    <n v="0.2"/>
    <n v="1765.1625000000001"/>
    <n v="63881.230875000001"/>
    <n v="63898.882500000007"/>
  </r>
  <r>
    <x v="0"/>
    <n v="21.17"/>
    <n v="21.18"/>
    <x v="49"/>
    <n v="3014.8103999999998"/>
    <n v="0"/>
    <n v="3014.8103999999998"/>
    <n v="63823.536167999999"/>
    <n v="63853.684271999999"/>
  </r>
  <r>
    <x v="1"/>
    <n v="34.659999999999997"/>
    <n v="34.67"/>
    <x v="49"/>
    <n v="1842.0397"/>
    <n v="-0.1"/>
    <n v="1841.9397000000001"/>
    <n v="63841.630001999998"/>
    <n v="63860.04939900001"/>
  </r>
  <r>
    <x v="2"/>
    <n v="18"/>
    <n v="18.010000000000002"/>
    <x v="49"/>
    <n v="3546.3921"/>
    <n v="0"/>
    <n v="3546.3921"/>
    <n v="63835.057800000002"/>
    <n v="63870.521721000005"/>
  </r>
  <r>
    <x v="3"/>
    <n v="28.24"/>
    <n v="28.25"/>
    <x v="49"/>
    <n v="2261.2671999999998"/>
    <n v="-0.2"/>
    <n v="2261.0672"/>
    <n v="63852.537727999996"/>
    <n v="63875.148399999998"/>
  </r>
  <r>
    <x v="4"/>
    <n v="67.47"/>
    <n v="67.56"/>
    <x v="49"/>
    <n v="946.08439999999996"/>
    <n v="0"/>
    <n v="946.08439999999996"/>
    <n v="63832.314467999997"/>
    <n v="63917.462063999999"/>
  </r>
  <r>
    <x v="5"/>
    <n v="36.89"/>
    <n v="36.909999999999997"/>
    <x v="49"/>
    <n v="1730.0458000000001"/>
    <n v="0.2"/>
    <n v="1730.2458000000001"/>
    <n v="63828.767562000008"/>
    <n v="63863.372477999997"/>
  </r>
  <r>
    <x v="6"/>
    <n v="55.58"/>
    <n v="55.59"/>
    <x v="49"/>
    <n v="1148.79"/>
    <n v="0.05"/>
    <n v="1148.8399999999999"/>
    <n v="63852.527199999997"/>
    <n v="63864.015599999999"/>
  </r>
  <r>
    <x v="7"/>
    <n v="49.55"/>
    <n v="49.56"/>
    <x v="49"/>
    <n v="1288.5375000000001"/>
    <n v="0"/>
    <n v="1288.5375000000001"/>
    <n v="63847.033125000002"/>
    <n v="63859.918500000007"/>
  </r>
  <r>
    <x v="8"/>
    <n v="18.05"/>
    <n v="18.059999999999999"/>
    <x v="49"/>
    <n v="3535.8029000000001"/>
    <n v="0"/>
    <n v="3535.8029000000001"/>
    <n v="63821.242345000006"/>
    <n v="63856.600374000001"/>
  </r>
  <r>
    <x v="9"/>
    <n v="36.18"/>
    <n v="36.19"/>
    <x v="49"/>
    <n v="1764.9625000000001"/>
    <n v="0.2"/>
    <n v="1765.1625000000001"/>
    <n v="63863.579250000003"/>
    <n v="63881.230875000001"/>
  </r>
  <r>
    <x v="0"/>
    <n v="21.16"/>
    <n v="21.17"/>
    <x v="50"/>
    <n v="3014.8103999999998"/>
    <n v="0"/>
    <n v="3014.8103999999998"/>
    <n v="63793.388063999999"/>
    <n v="63823.536167999999"/>
  </r>
  <r>
    <x v="1"/>
    <n v="34.64"/>
    <n v="34.65"/>
    <x v="50"/>
    <n v="1842.0397"/>
    <n v="-0.1"/>
    <n v="1841.9397000000001"/>
    <n v="63804.791208000002"/>
    <n v="63823.210605"/>
  </r>
  <r>
    <x v="2"/>
    <n v="17.989999999999998"/>
    <n v="18"/>
    <x v="50"/>
    <n v="3546.3921"/>
    <n v="0"/>
    <n v="3546.3921"/>
    <n v="63799.593878999993"/>
    <n v="63835.057800000002"/>
  </r>
  <r>
    <x v="3"/>
    <n v="28.22"/>
    <n v="28.23"/>
    <x v="50"/>
    <n v="2261.2671999999998"/>
    <n v="-0.2"/>
    <n v="2261.0672"/>
    <n v="63807.316383999998"/>
    <n v="63829.927056"/>
  </r>
  <r>
    <x v="4"/>
    <n v="67.42"/>
    <n v="67.52"/>
    <x v="50"/>
    <n v="946.08439999999996"/>
    <n v="0"/>
    <n v="946.08439999999996"/>
    <n v="63785.010247999999"/>
    <n v="63879.618687999995"/>
  </r>
  <r>
    <x v="5"/>
    <n v="36.869999999999997"/>
    <n v="36.89"/>
    <x v="50"/>
    <n v="1730.0458000000001"/>
    <n v="0.2"/>
    <n v="1730.2458000000001"/>
    <n v="63794.162646000004"/>
    <n v="63828.767562000008"/>
  </r>
  <r>
    <x v="6"/>
    <n v="55.55"/>
    <n v="55.56"/>
    <x v="50"/>
    <n v="1148.79"/>
    <n v="0.05"/>
    <n v="1148.8399999999999"/>
    <n v="63818.061999999991"/>
    <n v="63829.5504"/>
  </r>
  <r>
    <x v="7"/>
    <n v="49.52"/>
    <n v="49.53"/>
    <x v="50"/>
    <n v="1288.5375000000001"/>
    <n v="0"/>
    <n v="1288.5375000000001"/>
    <n v="63808.377000000008"/>
    <n v="63821.262375000006"/>
  </r>
  <r>
    <x v="8"/>
    <n v="18.04"/>
    <n v="18.05"/>
    <x v="50"/>
    <n v="3535.8029000000001"/>
    <n v="0"/>
    <n v="3535.8029000000001"/>
    <n v="63785.884315999996"/>
    <n v="63821.242345000006"/>
  </r>
  <r>
    <x v="9"/>
    <n v="36.159999999999997"/>
    <n v="36.17"/>
    <x v="50"/>
    <n v="1764.9625000000001"/>
    <n v="0.2"/>
    <n v="1765.1625000000001"/>
    <n v="63828.275999999998"/>
    <n v="63845.927625000011"/>
  </r>
  <r>
    <x v="0"/>
    <n v="21.2"/>
    <n v="21.21"/>
    <x v="51"/>
    <n v="3014.8103999999998"/>
    <n v="0"/>
    <n v="3014.8103999999998"/>
    <n v="63913.980479999991"/>
    <n v="63944.128583999998"/>
  </r>
  <r>
    <x v="1"/>
    <n v="34.71"/>
    <n v="34.72"/>
    <x v="51"/>
    <n v="1842.0397"/>
    <n v="-0.1"/>
    <n v="1841.9397000000001"/>
    <n v="63933.726987000009"/>
    <n v="63952.146384"/>
  </r>
  <r>
    <x v="2"/>
    <n v="18.02"/>
    <n v="18.03"/>
    <x v="51"/>
    <n v="3546.3921"/>
    <n v="0"/>
    <n v="3546.3921"/>
    <n v="63905.985642"/>
    <n v="63941.449563000002"/>
  </r>
  <r>
    <x v="3"/>
    <n v="28.27"/>
    <n v="28.28"/>
    <x v="51"/>
    <n v="2261.2671999999998"/>
    <n v="-0.2"/>
    <n v="2261.0672"/>
    <n v="63920.369743999996"/>
    <n v="63942.980415999999"/>
  </r>
  <r>
    <x v="4"/>
    <n v="67.55"/>
    <n v="67.650000000000006"/>
    <x v="51"/>
    <n v="946.08439999999996"/>
    <n v="0"/>
    <n v="946.08439999999996"/>
    <n v="63908.001219999991"/>
    <n v="64002.609660000002"/>
  </r>
  <r>
    <x v="5"/>
    <n v="36.94"/>
    <n v="36.96"/>
    <x v="51"/>
    <n v="1730.0458000000001"/>
    <n v="0.2"/>
    <n v="1730.2458000000001"/>
    <n v="63915.279852"/>
    <n v="63949.884768000004"/>
  </r>
  <r>
    <x v="6"/>
    <n v="55.66"/>
    <n v="55.67"/>
    <x v="51"/>
    <n v="1148.79"/>
    <n v="0.05"/>
    <n v="1148.8399999999999"/>
    <n v="63944.434399999991"/>
    <n v="63955.9228"/>
  </r>
  <r>
    <x v="7"/>
    <n v="49.61"/>
    <n v="49.62"/>
    <x v="51"/>
    <n v="1288.5375000000001"/>
    <n v="0"/>
    <n v="1288.5375000000001"/>
    <n v="63924.345375000004"/>
    <n v="63937.230750000002"/>
  </r>
  <r>
    <x v="8"/>
    <n v="18.079999999999998"/>
    <n v="18.09"/>
    <x v="51"/>
    <n v="3535.8029000000001"/>
    <n v="0"/>
    <n v="3535.8029000000001"/>
    <n v="63927.316432"/>
    <n v="63962.674461000002"/>
  </r>
  <r>
    <x v="9"/>
    <n v="36.229999999999997"/>
    <n v="36.24"/>
    <x v="51"/>
    <n v="1764.9625000000001"/>
    <n v="0.2"/>
    <n v="1765.1625000000001"/>
    <n v="63951.837375000003"/>
    <n v="63969.489000000009"/>
  </r>
  <r>
    <x v="0"/>
    <n v="21.17"/>
    <n v="21.18"/>
    <x v="52"/>
    <n v="3014.8103999999998"/>
    <n v="0"/>
    <n v="3014.8103999999998"/>
    <n v="63823.536167999999"/>
    <n v="63853.684271999999"/>
  </r>
  <r>
    <x v="1"/>
    <n v="34.659999999999997"/>
    <n v="34.67"/>
    <x v="52"/>
    <n v="1842.0397"/>
    <n v="-0.1"/>
    <n v="1841.9397000000001"/>
    <n v="63841.630001999998"/>
    <n v="63860.04939900001"/>
  </r>
  <r>
    <x v="2"/>
    <n v="18"/>
    <n v="18.010000000000002"/>
    <x v="52"/>
    <n v="3546.3921"/>
    <n v="0"/>
    <n v="3546.3921"/>
    <n v="63835.057800000002"/>
    <n v="63870.521721000005"/>
  </r>
  <r>
    <x v="3"/>
    <n v="28.24"/>
    <n v="28.25"/>
    <x v="52"/>
    <n v="2261.2671999999998"/>
    <n v="-0.2"/>
    <n v="2261.0672"/>
    <n v="63852.537727999996"/>
    <n v="63875.148399999998"/>
  </r>
  <r>
    <x v="4"/>
    <n v="67.459999999999994"/>
    <n v="67.56"/>
    <x v="52"/>
    <n v="946.08439999999996"/>
    <n v="0"/>
    <n v="946.08439999999996"/>
    <n v="63822.853623999988"/>
    <n v="63917.462063999999"/>
  </r>
  <r>
    <x v="5"/>
    <n v="36.89"/>
    <n v="36.909999999999997"/>
    <x v="52"/>
    <n v="1730.0458000000001"/>
    <n v="0.2"/>
    <n v="1730.2458000000001"/>
    <n v="63828.767562000008"/>
    <n v="63863.372477999997"/>
  </r>
  <r>
    <x v="6"/>
    <n v="55.58"/>
    <n v="55.59"/>
    <x v="52"/>
    <n v="1148.79"/>
    <n v="0.05"/>
    <n v="1148.8399999999999"/>
    <n v="63852.527199999997"/>
    <n v="63864.015599999999"/>
  </r>
  <r>
    <x v="7"/>
    <n v="49.54"/>
    <n v="49.56"/>
    <x v="52"/>
    <n v="1288.5375000000001"/>
    <n v="0"/>
    <n v="1288.5375000000001"/>
    <n v="63834.147750000004"/>
    <n v="63859.918500000007"/>
  </r>
  <r>
    <x v="8"/>
    <n v="18.05"/>
    <n v="18.059999999999999"/>
    <x v="52"/>
    <n v="3535.8029000000001"/>
    <n v="0"/>
    <n v="3535.8029000000001"/>
    <n v="63821.242345000006"/>
    <n v="63856.600374000001"/>
  </r>
  <r>
    <x v="9"/>
    <n v="36.18"/>
    <n v="36.19"/>
    <x v="52"/>
    <n v="1764.9625000000001"/>
    <n v="0.2"/>
    <n v="1765.1625000000001"/>
    <n v="63863.579250000003"/>
    <n v="63881.230875000001"/>
  </r>
  <r>
    <x v="0"/>
    <n v="21.16"/>
    <n v="21.17"/>
    <x v="53"/>
    <n v="3014.8103999999998"/>
    <n v="0"/>
    <n v="3014.8103999999998"/>
    <n v="63793.388063999999"/>
    <n v="63823.536167999999"/>
  </r>
  <r>
    <x v="1"/>
    <n v="34.630000000000003"/>
    <n v="34.64"/>
    <x v="53"/>
    <n v="1842.0397"/>
    <n v="-0.1"/>
    <n v="1841.9397000000001"/>
    <n v="63786.371811000012"/>
    <n v="63804.791208000002"/>
  </r>
  <r>
    <x v="2"/>
    <n v="17.989999999999998"/>
    <n v="18"/>
    <x v="53"/>
    <n v="3546.3921"/>
    <n v="0"/>
    <n v="3546.3921"/>
    <n v="63799.593878999993"/>
    <n v="63835.057800000002"/>
  </r>
  <r>
    <x v="3"/>
    <n v="28.21"/>
    <n v="28.22"/>
    <x v="53"/>
    <n v="2261.2671999999998"/>
    <n v="-0.2"/>
    <n v="2261.0672"/>
    <n v="63784.705712000003"/>
    <n v="63807.316383999998"/>
  </r>
  <r>
    <x v="4"/>
    <n v="67.41"/>
    <n v="67.510000000000005"/>
    <x v="53"/>
    <n v="946.08439999999996"/>
    <n v="0"/>
    <n v="946.08439999999996"/>
    <n v="63775.549403999998"/>
    <n v="63870.157844000001"/>
  </r>
  <r>
    <x v="5"/>
    <n v="36.86"/>
    <n v="36.880000000000003"/>
    <x v="53"/>
    <n v="1730.0458000000001"/>
    <n v="0.2"/>
    <n v="1730.2458000000001"/>
    <n v="63776.860188000006"/>
    <n v="63811.46510400001"/>
  </r>
  <r>
    <x v="6"/>
    <n v="55.53"/>
    <n v="55.54"/>
    <x v="53"/>
    <n v="1148.79"/>
    <n v="0.05"/>
    <n v="1148.8399999999999"/>
    <n v="63795.085199999994"/>
    <n v="63806.573599999996"/>
  </r>
  <r>
    <x v="7"/>
    <n v="49.5"/>
    <n v="49.51"/>
    <x v="53"/>
    <n v="1288.5375000000001"/>
    <n v="0"/>
    <n v="1288.5375000000001"/>
    <n v="63782.606250000004"/>
    <n v="63795.491625000002"/>
  </r>
  <r>
    <x v="8"/>
    <n v="18.04"/>
    <n v="18.05"/>
    <x v="53"/>
    <n v="3535.8029000000001"/>
    <n v="0"/>
    <n v="3535.8029000000001"/>
    <n v="63785.884315999996"/>
    <n v="63821.242345000006"/>
  </r>
  <r>
    <x v="9"/>
    <n v="36.15"/>
    <n v="36.159999999999997"/>
    <x v="53"/>
    <n v="1764.9625000000001"/>
    <n v="0.2"/>
    <n v="1765.1625000000001"/>
    <n v="63810.624374999999"/>
    <n v="63828.275999999998"/>
  </r>
  <r>
    <x v="0"/>
    <n v="21.16"/>
    <n v="21.17"/>
    <x v="54"/>
    <n v="3014.8103999999998"/>
    <n v="0"/>
    <n v="3014.8103999999998"/>
    <n v="63793.388063999999"/>
    <n v="63823.536167999999"/>
  </r>
  <r>
    <x v="1"/>
    <n v="34.64"/>
    <n v="34.65"/>
    <x v="54"/>
    <n v="1842.0397"/>
    <n v="-0.1"/>
    <n v="1841.9397000000001"/>
    <n v="63804.791208000002"/>
    <n v="63823.210605"/>
  </r>
  <r>
    <x v="2"/>
    <n v="17.989999999999998"/>
    <n v="18"/>
    <x v="54"/>
    <n v="3546.3921"/>
    <n v="0"/>
    <n v="3546.3921"/>
    <n v="63799.593878999993"/>
    <n v="63835.057800000002"/>
  </r>
  <r>
    <x v="3"/>
    <n v="28.22"/>
    <n v="28.23"/>
    <x v="54"/>
    <n v="2261.2671999999998"/>
    <n v="-0.2"/>
    <n v="2261.0672"/>
    <n v="63807.316383999998"/>
    <n v="63829.927056"/>
  </r>
  <r>
    <x v="4"/>
    <n v="67.42"/>
    <n v="67.489999999999995"/>
    <x v="54"/>
    <n v="946.08439999999996"/>
    <n v="0"/>
    <n v="946.08439999999996"/>
    <n v="63785.010247999999"/>
    <n v="63851.236155999992"/>
  </r>
  <r>
    <x v="5"/>
    <n v="36.869999999999997"/>
    <n v="36.89"/>
    <x v="54"/>
    <n v="1730.0458000000001"/>
    <n v="0.2"/>
    <n v="1730.2458000000001"/>
    <n v="63794.162646000004"/>
    <n v="63828.767562000008"/>
  </r>
  <r>
    <x v="6"/>
    <n v="55.54"/>
    <n v="55.55"/>
    <x v="54"/>
    <n v="1148.79"/>
    <n v="0.05"/>
    <n v="1148.8399999999999"/>
    <n v="63806.573599999996"/>
    <n v="63818.061999999991"/>
  </r>
  <r>
    <x v="7"/>
    <n v="49.52"/>
    <n v="49.53"/>
    <x v="54"/>
    <n v="1288.5375000000001"/>
    <n v="0"/>
    <n v="1288.5375000000001"/>
    <n v="63808.377000000008"/>
    <n v="63821.262375000006"/>
  </r>
  <r>
    <x v="8"/>
    <n v="18.04"/>
    <n v="18.05"/>
    <x v="54"/>
    <n v="3535.8029000000001"/>
    <n v="0"/>
    <n v="3535.8029000000001"/>
    <n v="63785.884315999996"/>
    <n v="63821.242345000006"/>
  </r>
  <r>
    <x v="9"/>
    <n v="36.15"/>
    <n v="36.159999999999997"/>
    <x v="54"/>
    <n v="1764.9625000000001"/>
    <n v="0.2"/>
    <n v="1765.1625000000001"/>
    <n v="63810.624374999999"/>
    <n v="63828.275999999998"/>
  </r>
  <r>
    <x v="0"/>
    <n v="21.17"/>
    <n v="21.18"/>
    <x v="55"/>
    <n v="3014.8103999999998"/>
    <n v="0"/>
    <n v="3014.8103999999998"/>
    <n v="63823.536167999999"/>
    <n v="63853.684271999999"/>
  </r>
  <r>
    <x v="1"/>
    <n v="34.65"/>
    <n v="34.659999999999997"/>
    <x v="55"/>
    <n v="1842.0397"/>
    <n v="-0.1"/>
    <n v="1841.9397000000001"/>
    <n v="63823.210605"/>
    <n v="63841.630001999998"/>
  </r>
  <r>
    <x v="2"/>
    <n v="18"/>
    <n v="18.010000000000002"/>
    <x v="55"/>
    <n v="3546.3921"/>
    <n v="0"/>
    <n v="3546.3921"/>
    <n v="63835.057800000002"/>
    <n v="63870.521721000005"/>
  </r>
  <r>
    <x v="3"/>
    <n v="28.23"/>
    <n v="28.24"/>
    <x v="55"/>
    <n v="2261.2671999999998"/>
    <n v="-0.2"/>
    <n v="2261.0672"/>
    <n v="63829.927056"/>
    <n v="63852.537727999996"/>
  </r>
  <r>
    <x v="4"/>
    <n v="67.44"/>
    <n v="67.540000000000006"/>
    <x v="55"/>
    <n v="946.08439999999996"/>
    <n v="0"/>
    <n v="946.08439999999996"/>
    <n v="63803.931935999994"/>
    <n v="63898.540376000004"/>
  </r>
  <r>
    <x v="5"/>
    <n v="36.880000000000003"/>
    <n v="36.9"/>
    <x v="55"/>
    <n v="1730.0458000000001"/>
    <n v="0.2"/>
    <n v="1730.2458000000001"/>
    <n v="63811.46510400001"/>
    <n v="63846.070020000006"/>
  </r>
  <r>
    <x v="6"/>
    <n v="55.56"/>
    <n v="55.57"/>
    <x v="55"/>
    <n v="1148.79"/>
    <n v="0.05"/>
    <n v="1148.8399999999999"/>
    <n v="63829.5504"/>
    <n v="63841.038799999995"/>
  </r>
  <r>
    <x v="7"/>
    <n v="49.53"/>
    <n v="49.54"/>
    <x v="55"/>
    <n v="1288.5375000000001"/>
    <n v="0"/>
    <n v="1288.5375000000001"/>
    <n v="63821.262375000006"/>
    <n v="63834.147750000004"/>
  </r>
  <r>
    <x v="8"/>
    <n v="18.05"/>
    <n v="18.059999999999999"/>
    <x v="55"/>
    <n v="3535.8029000000001"/>
    <n v="0"/>
    <n v="3535.8029000000001"/>
    <n v="63821.242345000006"/>
    <n v="63856.600374000001"/>
  </r>
  <r>
    <x v="9"/>
    <n v="36.17"/>
    <n v="36.18"/>
    <x v="55"/>
    <n v="1764.9625000000001"/>
    <n v="0.2"/>
    <n v="1765.1625000000001"/>
    <n v="63845.927625000011"/>
    <n v="63863.579250000003"/>
  </r>
  <r>
    <x v="0"/>
    <n v="21.15"/>
    <n v="21.16"/>
    <x v="56"/>
    <n v="3014.8103999999998"/>
    <n v="0"/>
    <n v="3014.8103999999998"/>
    <n v="63763.239959999992"/>
    <n v="63793.388063999999"/>
  </r>
  <r>
    <x v="1"/>
    <n v="34.630000000000003"/>
    <n v="34.64"/>
    <x v="56"/>
    <n v="1842.0397"/>
    <n v="-0.1"/>
    <n v="1841.9397000000001"/>
    <n v="63786.371811000012"/>
    <n v="63804.791208000002"/>
  </r>
  <r>
    <x v="2"/>
    <n v="17.989999999999998"/>
    <n v="18"/>
    <x v="56"/>
    <n v="3546.3921"/>
    <n v="0"/>
    <n v="3546.3921"/>
    <n v="63799.593878999993"/>
    <n v="63835.057800000002"/>
  </r>
  <r>
    <x v="3"/>
    <n v="28.21"/>
    <n v="28.22"/>
    <x v="56"/>
    <n v="2261.2671999999998"/>
    <n v="-0.2"/>
    <n v="2261.0672"/>
    <n v="63784.705712000003"/>
    <n v="63807.316383999998"/>
  </r>
  <r>
    <x v="4"/>
    <n v="67.39"/>
    <n v="67.489999999999995"/>
    <x v="56"/>
    <n v="946.08439999999996"/>
    <n v="0"/>
    <n v="946.08439999999996"/>
    <n v="63756.627715999995"/>
    <n v="63851.236155999992"/>
  </r>
  <r>
    <x v="5"/>
    <n v="36.86"/>
    <n v="36.880000000000003"/>
    <x v="56"/>
    <n v="1730.0458000000001"/>
    <n v="0.2"/>
    <n v="1730.2458000000001"/>
    <n v="63776.860188000006"/>
    <n v="63811.46510400001"/>
  </r>
  <r>
    <x v="6"/>
    <n v="55.52"/>
    <n v="55.53"/>
    <x v="56"/>
    <n v="1148.79"/>
    <n v="0.05"/>
    <n v="1148.8399999999999"/>
    <n v="63783.596799999999"/>
    <n v="63795.085199999994"/>
  </r>
  <r>
    <x v="7"/>
    <n v="49.5"/>
    <n v="49.51"/>
    <x v="56"/>
    <n v="1288.5375000000001"/>
    <n v="0"/>
    <n v="1288.5375000000001"/>
    <n v="63782.606250000004"/>
    <n v="63795.491625000002"/>
  </r>
  <r>
    <x v="8"/>
    <n v="18.04"/>
    <n v="18.05"/>
    <x v="56"/>
    <n v="3535.8029000000001"/>
    <n v="0"/>
    <n v="3535.8029000000001"/>
    <n v="63785.884315999996"/>
    <n v="63821.242345000006"/>
  </r>
  <r>
    <x v="9"/>
    <n v="36.14"/>
    <n v="36.15"/>
    <x v="56"/>
    <n v="1764.9625000000001"/>
    <n v="0.2"/>
    <n v="1765.1625000000001"/>
    <n v="63792.972750000008"/>
    <n v="63810.624374999999"/>
  </r>
  <r>
    <x v="0"/>
    <n v="21.13"/>
    <n v="21.14"/>
    <x v="57"/>
    <n v="3014.8103999999998"/>
    <n v="0"/>
    <n v="3014.8103999999998"/>
    <n v="63702.943751999992"/>
    <n v="63733.091855999999"/>
  </r>
  <r>
    <x v="1"/>
    <n v="34.6"/>
    <n v="34.61"/>
    <x v="57"/>
    <n v="1842.0397"/>
    <n v="-0.1"/>
    <n v="1841.9397000000001"/>
    <n v="63731.113620000004"/>
    <n v="63749.533017000002"/>
  </r>
  <r>
    <x v="2"/>
    <n v="17.97"/>
    <n v="17.98"/>
    <x v="57"/>
    <n v="3546.3921"/>
    <n v="0"/>
    <n v="3546.3921"/>
    <n v="63728.666036999995"/>
    <n v="63764.129958000005"/>
  </r>
  <r>
    <x v="3"/>
    <n v="28.18"/>
    <n v="28.19"/>
    <x v="57"/>
    <n v="2261.2671999999998"/>
    <n v="-0.2"/>
    <n v="2261.0672"/>
    <n v="63716.873695999995"/>
    <n v="63739.484368000005"/>
  </r>
  <r>
    <x v="4"/>
    <n v="67.34"/>
    <n v="67.45"/>
    <x v="57"/>
    <n v="946.08439999999996"/>
    <n v="0"/>
    <n v="946.08439999999996"/>
    <n v="63709.323495999997"/>
    <n v="63813.392780000002"/>
  </r>
  <r>
    <x v="5"/>
    <n v="36.83"/>
    <n v="36.85"/>
    <x v="57"/>
    <n v="1730.0458000000001"/>
    <n v="0.2"/>
    <n v="1730.2458000000001"/>
    <n v="63724.952814000004"/>
    <n v="63759.557730000008"/>
  </r>
  <r>
    <x v="6"/>
    <n v="55.47"/>
    <n v="55.48"/>
    <x v="57"/>
    <n v="1148.79"/>
    <n v="0.05"/>
    <n v="1148.8399999999999"/>
    <n v="63726.154799999997"/>
    <n v="63737.643199999991"/>
  </r>
  <r>
    <x v="7"/>
    <n v="49.46"/>
    <n v="49.47"/>
    <x v="57"/>
    <n v="1288.5375000000001"/>
    <n v="0"/>
    <n v="1288.5375000000001"/>
    <n v="63731.064750000005"/>
    <n v="63743.950125000003"/>
  </r>
  <r>
    <x v="8"/>
    <n v="18.02"/>
    <n v="18.03"/>
    <x v="57"/>
    <n v="3535.8029000000001"/>
    <n v="0"/>
    <n v="3535.8029000000001"/>
    <n v="63715.168257999998"/>
    <n v="63750.526287000008"/>
  </r>
  <r>
    <x v="9"/>
    <n v="36.11"/>
    <n v="36.119999999999997"/>
    <x v="57"/>
    <n v="1764.9625000000001"/>
    <n v="0.2"/>
    <n v="1765.1625000000001"/>
    <n v="63740.017875000005"/>
    <n v="63757.669500000004"/>
  </r>
  <r>
    <x v="0"/>
    <n v="21.17"/>
    <n v="21.18"/>
    <x v="58"/>
    <n v="3014.8103999999998"/>
    <n v="0"/>
    <n v="3014.8103999999998"/>
    <n v="63823.536167999999"/>
    <n v="63853.684271999999"/>
  </r>
  <r>
    <x v="1"/>
    <n v="34.64"/>
    <n v="34.65"/>
    <x v="58"/>
    <n v="1842.0397"/>
    <n v="-0.1"/>
    <n v="1841.9397000000001"/>
    <n v="63804.791208000002"/>
    <n v="63823.210605"/>
  </r>
  <r>
    <x v="2"/>
    <n v="18"/>
    <n v="18.010000000000002"/>
    <x v="58"/>
    <n v="3546.3921"/>
    <n v="0"/>
    <n v="3546.3921"/>
    <n v="63835.057800000002"/>
    <n v="63870.521721000005"/>
  </r>
  <r>
    <x v="3"/>
    <n v="28.23"/>
    <n v="28.24"/>
    <x v="58"/>
    <n v="2261.2671999999998"/>
    <n v="-0.2"/>
    <n v="2261.0672"/>
    <n v="63829.927056"/>
    <n v="63852.537727999996"/>
  </r>
  <r>
    <x v="4"/>
    <n v="67.45"/>
    <n v="67.55"/>
    <x v="58"/>
    <n v="946.08439999999996"/>
    <n v="0"/>
    <n v="946.08439999999996"/>
    <n v="63813.392780000002"/>
    <n v="63908.001219999991"/>
  </r>
  <r>
    <x v="5"/>
    <n v="36.880000000000003"/>
    <n v="36.9"/>
    <x v="58"/>
    <n v="1730.0458000000001"/>
    <n v="0.2"/>
    <n v="1730.2458000000001"/>
    <n v="63811.46510400001"/>
    <n v="63846.070020000006"/>
  </r>
  <r>
    <x v="6"/>
    <n v="55.56"/>
    <n v="55.57"/>
    <x v="58"/>
    <n v="1148.79"/>
    <n v="0.05"/>
    <n v="1148.8399999999999"/>
    <n v="63829.5504"/>
    <n v="63841.038799999995"/>
  </r>
  <r>
    <x v="7"/>
    <n v="49.52"/>
    <n v="49.53"/>
    <x v="58"/>
    <n v="1288.5375000000001"/>
    <n v="0"/>
    <n v="1288.5375000000001"/>
    <n v="63808.377000000008"/>
    <n v="63821.262375000006"/>
  </r>
  <r>
    <x v="8"/>
    <n v="18.05"/>
    <n v="18.059999999999999"/>
    <x v="58"/>
    <n v="3535.8029000000001"/>
    <n v="0"/>
    <n v="3535.8029000000001"/>
    <n v="63821.242345000006"/>
    <n v="63856.600374000001"/>
  </r>
  <r>
    <x v="9"/>
    <n v="36.17"/>
    <n v="36.18"/>
    <x v="58"/>
    <n v="1764.9625000000001"/>
    <n v="0.2"/>
    <n v="1765.1625000000001"/>
    <n v="63845.927625000011"/>
    <n v="63863.579250000003"/>
  </r>
  <r>
    <x v="0"/>
    <n v="21.1"/>
    <n v="21.11"/>
    <x v="59"/>
    <n v="3014.8103999999998"/>
    <n v="0"/>
    <n v="3014.8103999999998"/>
    <n v="63612.49944"/>
    <n v="63642.647543999992"/>
  </r>
  <r>
    <x v="1"/>
    <n v="34.549999999999997"/>
    <n v="34.56"/>
    <x v="59"/>
    <n v="1842.0397"/>
    <n v="-0.1"/>
    <n v="1841.9397000000001"/>
    <n v="63639.016635"/>
    <n v="63657.436032000005"/>
  </r>
  <r>
    <x v="2"/>
    <n v="17.95"/>
    <n v="17.96"/>
    <x v="59"/>
    <n v="3546.3921"/>
    <n v="0"/>
    <n v="3546.3921"/>
    <n v="63657.738194999998"/>
    <n v="63693.202116"/>
  </r>
  <r>
    <x v="3"/>
    <n v="28.15"/>
    <n v="28.16"/>
    <x v="59"/>
    <n v="2261.2671999999998"/>
    <n v="-0.2"/>
    <n v="2261.0672"/>
    <n v="63649.041679999995"/>
    <n v="63671.652351999997"/>
  </r>
  <r>
    <x v="4"/>
    <n v="67.260000000000005"/>
    <n v="67.36"/>
    <x v="59"/>
    <n v="946.08439999999996"/>
    <n v="0"/>
    <n v="946.08439999999996"/>
    <n v="63633.636744000003"/>
    <n v="63728.245183999999"/>
  </r>
  <r>
    <x v="5"/>
    <n v="36.78"/>
    <n v="36.79"/>
    <x v="59"/>
    <n v="1730.0458000000001"/>
    <n v="0.2"/>
    <n v="1730.2458000000001"/>
    <n v="63638.440524000005"/>
    <n v="63655.742982000003"/>
  </r>
  <r>
    <x v="6"/>
    <n v="55.41"/>
    <n v="55.42"/>
    <x v="59"/>
    <n v="1148.79"/>
    <n v="0.05"/>
    <n v="1148.8399999999999"/>
    <n v="63657.224399999992"/>
    <n v="63668.712799999994"/>
  </r>
  <r>
    <x v="7"/>
    <n v="49.39"/>
    <n v="49.4"/>
    <x v="59"/>
    <n v="1288.5375000000001"/>
    <n v="0"/>
    <n v="1288.5375000000001"/>
    <n v="63640.867125000004"/>
    <n v="63653.752500000002"/>
  </r>
  <r>
    <x v="8"/>
    <n v="18"/>
    <n v="18.010000000000002"/>
    <x v="59"/>
    <n v="3535.8029000000001"/>
    <n v="0"/>
    <n v="3535.8029000000001"/>
    <n v="63644.4522"/>
    <n v="63679.81022900001"/>
  </r>
  <r>
    <x v="9"/>
    <n v="36.06"/>
    <n v="36.07"/>
    <x v="59"/>
    <n v="1764.9625000000001"/>
    <n v="0.2"/>
    <n v="1765.1625000000001"/>
    <n v="63651.759750000012"/>
    <n v="63669.411375000003"/>
  </r>
  <r>
    <x v="0"/>
    <n v="21.11"/>
    <n v="21.12"/>
    <x v="60"/>
    <n v="3014.8103999999998"/>
    <n v="0"/>
    <n v="3014.8103999999998"/>
    <n v="63642.647543999992"/>
    <n v="63672.795647999999"/>
  </r>
  <r>
    <x v="1"/>
    <n v="34.56"/>
    <n v="34.57"/>
    <x v="60"/>
    <n v="1842.0397"/>
    <n v="-0.1"/>
    <n v="1841.9397000000001"/>
    <n v="63657.436032000005"/>
    <n v="63675.855429000003"/>
  </r>
  <r>
    <x v="2"/>
    <n v="17.95"/>
    <n v="17.96"/>
    <x v="60"/>
    <n v="3546.3921"/>
    <n v="0"/>
    <n v="3546.3921"/>
    <n v="63657.738194999998"/>
    <n v="63693.202116"/>
  </r>
  <r>
    <x v="3"/>
    <n v="28.16"/>
    <n v="28.17"/>
    <x v="60"/>
    <n v="2261.2671999999998"/>
    <n v="-0.2"/>
    <n v="2261.0672"/>
    <n v="63671.652351999997"/>
    <n v="63694.263024"/>
  </r>
  <r>
    <x v="4"/>
    <n v="67.27"/>
    <n v="67.37"/>
    <x v="60"/>
    <n v="946.08439999999996"/>
    <n v="0"/>
    <n v="946.08439999999996"/>
    <n v="63643.097587999997"/>
    <n v="63737.706028000001"/>
  </r>
  <r>
    <x v="5"/>
    <n v="36.79"/>
    <n v="36.81"/>
    <x v="60"/>
    <n v="1730.0458000000001"/>
    <n v="0.2"/>
    <n v="1730.2458000000001"/>
    <n v="63655.742982000003"/>
    <n v="63690.347898000007"/>
  </r>
  <r>
    <x v="6"/>
    <n v="55.42"/>
    <n v="55.43"/>
    <x v="60"/>
    <n v="1148.79"/>
    <n v="0.05"/>
    <n v="1148.8399999999999"/>
    <n v="63668.712799999994"/>
    <n v="63680.201199999996"/>
  </r>
  <r>
    <x v="7"/>
    <n v="49.41"/>
    <n v="49.42"/>
    <x v="60"/>
    <n v="1288.5375000000001"/>
    <n v="0"/>
    <n v="1288.5375000000001"/>
    <n v="63666.637875"/>
    <n v="63679.523250000006"/>
  </r>
  <r>
    <x v="8"/>
    <n v="18"/>
    <n v="18.010000000000002"/>
    <x v="60"/>
    <n v="3535.8029000000001"/>
    <n v="0"/>
    <n v="3535.8029000000001"/>
    <n v="63644.4522"/>
    <n v="63679.81022900001"/>
  </r>
  <r>
    <x v="9"/>
    <n v="36.07"/>
    <n v="36.08"/>
    <x v="60"/>
    <n v="1764.9625000000001"/>
    <n v="0.2"/>
    <n v="1765.1625000000001"/>
    <n v="63669.411375000003"/>
    <n v="63687.063000000002"/>
  </r>
  <r>
    <x v="0"/>
    <n v="21.12"/>
    <n v="21.13"/>
    <x v="61"/>
    <n v="3014.8103999999998"/>
    <n v="0"/>
    <n v="3014.8103999999998"/>
    <n v="63672.795647999999"/>
    <n v="63702.943751999992"/>
  </r>
  <r>
    <x v="1"/>
    <n v="34.57"/>
    <n v="34.58"/>
    <x v="61"/>
    <n v="1842.0397"/>
    <n v="-0.1"/>
    <n v="1841.9397000000001"/>
    <n v="63675.855429000003"/>
    <n v="63694.274826000001"/>
  </r>
  <r>
    <x v="2"/>
    <n v="17.96"/>
    <n v="17.97"/>
    <x v="61"/>
    <n v="3546.3921"/>
    <n v="0"/>
    <n v="3546.3921"/>
    <n v="63693.202116"/>
    <n v="63728.666036999995"/>
  </r>
  <r>
    <x v="3"/>
    <n v="28.17"/>
    <n v="28.17"/>
    <x v="61"/>
    <n v="2261.2671999999998"/>
    <n v="-0.2"/>
    <n v="2261.0672"/>
    <n v="63694.263024"/>
    <n v="63694.263024"/>
  </r>
  <r>
    <x v="4"/>
    <n v="67.3"/>
    <n v="67.38"/>
    <x v="61"/>
    <n v="946.08439999999996"/>
    <n v="0"/>
    <n v="946.08439999999996"/>
    <n v="63671.480119999993"/>
    <n v="63747.166871999994"/>
  </r>
  <r>
    <x v="5"/>
    <n v="36.799999999999997"/>
    <n v="36.82"/>
    <x v="61"/>
    <n v="1730.0458000000001"/>
    <n v="0.2"/>
    <n v="1730.2458000000001"/>
    <n v="63673.045440000002"/>
    <n v="63707.650356000006"/>
  </r>
  <r>
    <x v="6"/>
    <n v="55.43"/>
    <n v="55.44"/>
    <x v="61"/>
    <n v="1148.79"/>
    <n v="0.05"/>
    <n v="1148.8399999999999"/>
    <n v="63680.201199999996"/>
    <n v="63691.689599999991"/>
  </r>
  <r>
    <x v="7"/>
    <n v="49.42"/>
    <n v="49.43"/>
    <x v="61"/>
    <n v="1288.5375000000001"/>
    <n v="0"/>
    <n v="1288.5375000000001"/>
    <n v="63679.523250000006"/>
    <n v="63692.408625000004"/>
  </r>
  <r>
    <x v="8"/>
    <n v="18.010000000000002"/>
    <n v="18.02"/>
    <x v="61"/>
    <n v="3535.8029000000001"/>
    <n v="0"/>
    <n v="3535.8029000000001"/>
    <n v="63679.81022900001"/>
    <n v="63715.168257999998"/>
  </r>
  <r>
    <x v="9"/>
    <n v="36.08"/>
    <n v="36.090000000000003"/>
    <x v="61"/>
    <n v="1764.9625000000001"/>
    <n v="0.2"/>
    <n v="1765.1625000000001"/>
    <n v="63687.063000000002"/>
    <n v="63704.714625000008"/>
  </r>
  <r>
    <x v="0"/>
    <n v="21.1"/>
    <n v="21.11"/>
    <x v="62"/>
    <n v="3014.8103999999998"/>
    <n v="0"/>
    <n v="3014.8103999999998"/>
    <n v="63612.49944"/>
    <n v="63642.647543999992"/>
  </r>
  <r>
    <x v="1"/>
    <n v="34.54"/>
    <n v="34.549999999999997"/>
    <x v="62"/>
    <n v="1842.0397"/>
    <n v="-0.1"/>
    <n v="1841.9397000000001"/>
    <n v="63620.597238000002"/>
    <n v="63639.016635"/>
  </r>
  <r>
    <x v="2"/>
    <n v="17.940000000000001"/>
    <n v="17.95"/>
    <x v="62"/>
    <n v="3546.3921"/>
    <n v="0"/>
    <n v="3546.3921"/>
    <n v="63622.274274000003"/>
    <n v="63657.738194999998"/>
  </r>
  <r>
    <x v="3"/>
    <n v="28.14"/>
    <n v="28.15"/>
    <x v="62"/>
    <n v="2261.2671999999998"/>
    <n v="-0.2"/>
    <n v="2261.0672"/>
    <n v="63626.431008"/>
    <n v="63649.041679999995"/>
  </r>
  <r>
    <x v="4"/>
    <n v="67.23"/>
    <n v="67.319999999999993"/>
    <x v="62"/>
    <n v="946.08439999999996"/>
    <n v="0"/>
    <n v="946.08439999999996"/>
    <n v="63605.254212"/>
    <n v="63690.401807999988"/>
  </r>
  <r>
    <x v="5"/>
    <n v="36.76"/>
    <n v="36.78"/>
    <x v="62"/>
    <n v="1730.0458000000001"/>
    <n v="0.2"/>
    <n v="1730.2458000000001"/>
    <n v="63603.835608000001"/>
    <n v="63638.440524000005"/>
  </r>
  <r>
    <x v="6"/>
    <n v="55.39"/>
    <n v="55.4"/>
    <x v="62"/>
    <n v="1148.79"/>
    <n v="0.05"/>
    <n v="1148.8399999999999"/>
    <n v="63634.247599999995"/>
    <n v="63645.735999999997"/>
  </r>
  <r>
    <x v="7"/>
    <n v="49.38"/>
    <n v="49.39"/>
    <x v="62"/>
    <n v="1288.5375000000001"/>
    <n v="0"/>
    <n v="1288.5375000000001"/>
    <n v="63627.981750000014"/>
    <n v="63640.867125000004"/>
  </r>
  <r>
    <x v="8"/>
    <n v="17.989999999999998"/>
    <n v="18"/>
    <x v="62"/>
    <n v="3535.8029000000001"/>
    <n v="0"/>
    <n v="3535.8029000000001"/>
    <n v="63609.094170999997"/>
    <n v="63644.4522"/>
  </r>
  <r>
    <x v="9"/>
    <n v="36.049999999999997"/>
    <n v="36.06"/>
    <x v="62"/>
    <n v="1764.9625000000001"/>
    <n v="0.2"/>
    <n v="1765.1625000000001"/>
    <n v="63634.108124999999"/>
    <n v="63651.759750000012"/>
  </r>
  <r>
    <x v="2"/>
    <n v="18.940000000000001"/>
    <n v="18.95"/>
    <x v="63"/>
    <n v="3546.4164000000001"/>
    <n v="0"/>
    <n v="3546.4164000000001"/>
    <n v="67169.126616000009"/>
    <n v="67204.590779999999"/>
  </r>
  <r>
    <x v="3"/>
    <n v="29.71"/>
    <n v="29.72"/>
    <x v="63"/>
    <n v="2261.2764999999999"/>
    <n v="-0.1"/>
    <n v="2261.1765"/>
    <n v="67179.553815000007"/>
    <n v="67202.165580000001"/>
  </r>
  <r>
    <x v="4"/>
    <n v="70.95"/>
    <n v="71.069999999999993"/>
    <x v="63"/>
    <n v="946.09090000000003"/>
    <n v="0"/>
    <n v="946.09090000000003"/>
    <n v="67125.149355000001"/>
    <n v="67238.680263000002"/>
  </r>
  <r>
    <x v="5"/>
    <n v="38.81"/>
    <n v="38.840000000000003"/>
    <x v="63"/>
    <n v="1730.0548000000001"/>
    <n v="-0.2"/>
    <n v="1729.8548000000001"/>
    <n v="67135.664788000009"/>
    <n v="67187.560432000013"/>
  </r>
  <r>
    <x v="6"/>
    <n v="58.47"/>
    <n v="58.48"/>
    <x v="63"/>
    <n v="1148.7979"/>
    <n v="0"/>
    <n v="1148.7979"/>
    <n v="67170.213212999995"/>
    <n v="67181.701191999993"/>
  </r>
  <r>
    <x v="7"/>
    <n v="52.12"/>
    <n v="52.13"/>
    <x v="63"/>
    <n v="1288.6904999999999"/>
    <n v="0.2"/>
    <n v="1288.8905"/>
    <n v="67176.972859999994"/>
    <n v="67189.861765000009"/>
  </r>
  <r>
    <x v="8"/>
    <n v="18.989999999999998"/>
    <n v="19"/>
    <x v="63"/>
    <n v="3535.8029000000001"/>
    <n v="0.05"/>
    <n v="3535.8529000000003"/>
    <n v="67145.846571000002"/>
    <n v="67181.205100000006"/>
  </r>
  <r>
    <x v="9"/>
    <n v="38.06"/>
    <n v="38.07"/>
    <x v="63"/>
    <n v="1764.8746000000001"/>
    <n v="0"/>
    <n v="1764.8746000000001"/>
    <n v="67171.127276000014"/>
    <n v="67188.776022000005"/>
  </r>
  <r>
    <x v="0"/>
    <n v="22.27"/>
    <n v="22.28"/>
    <x v="64"/>
    <n v="3014.8276999999998"/>
    <n v="0"/>
    <n v="3014.8276999999998"/>
    <n v="67140.212878999999"/>
    <n v="67170.361155999999"/>
  </r>
  <r>
    <x v="1"/>
    <n v="36.44"/>
    <n v="36.450000000000003"/>
    <x v="64"/>
    <n v="1842.0498"/>
    <n v="0.2"/>
    <n v="1842.2498000000001"/>
    <n v="67131.582712000003"/>
    <n v="67150.005210000003"/>
  </r>
  <r>
    <x v="0"/>
    <n v="22.25"/>
    <n v="22.26"/>
    <x v="64"/>
    <n v="3014.8276999999998"/>
    <n v="0"/>
    <n v="3014.8276999999998"/>
    <n v="67079.916324999998"/>
    <n v="67110.064601999999"/>
  </r>
  <r>
    <x v="1"/>
    <n v="36.409999999999997"/>
    <n v="36.42"/>
    <x v="64"/>
    <n v="1842.0498"/>
    <n v="-0.1"/>
    <n v="1841.9498000000001"/>
    <n v="67065.392217999994"/>
    <n v="67083.811716000011"/>
  </r>
  <r>
    <x v="2"/>
    <n v="18.91"/>
    <n v="18.920000000000002"/>
    <x v="64"/>
    <n v="3546.4164000000001"/>
    <n v="0"/>
    <n v="3546.4164000000001"/>
    <n v="67062.734123999995"/>
    <n v="67098.198288000014"/>
  </r>
  <r>
    <x v="3"/>
    <n v="29.67"/>
    <n v="29.68"/>
    <x v="64"/>
    <n v="2261.2764999999999"/>
    <n v="-0.2"/>
    <n v="2261.0765000000001"/>
    <n v="67086.139755000011"/>
    <n v="67108.750520000001"/>
  </r>
  <r>
    <x v="4"/>
    <n v="70.84"/>
    <n v="70.959999999999994"/>
    <x v="64"/>
    <n v="946.09090000000003"/>
    <n v="0"/>
    <n v="946.09090000000003"/>
    <n v="67021.079356000002"/>
    <n v="67134.610264000003"/>
  </r>
  <r>
    <x v="5"/>
    <n v="38.75"/>
    <n v="38.78"/>
    <x v="64"/>
    <n v="1730.0548000000001"/>
    <n v="0.2"/>
    <n v="1730.2548000000002"/>
    <n v="67047.373500000002"/>
    <n v="67099.281144000008"/>
  </r>
  <r>
    <x v="6"/>
    <n v="58.39"/>
    <n v="58.4"/>
    <x v="64"/>
    <n v="1148.7979"/>
    <n v="0.05"/>
    <n v="1148.8479"/>
    <n v="67081.228881000003"/>
    <n v="67092.717359999995"/>
  </r>
  <r>
    <x v="7"/>
    <n v="52.05"/>
    <n v="52.06"/>
    <x v="64"/>
    <n v="1288.5905"/>
    <n v="0"/>
    <n v="1288.5905"/>
    <n v="67071.135524999991"/>
    <n v="67084.021430000008"/>
  </r>
  <r>
    <x v="8"/>
    <n v="18.97"/>
    <n v="18.98"/>
    <x v="64"/>
    <n v="3535.8029000000001"/>
    <n v="0"/>
    <n v="3535.8029000000001"/>
    <n v="67074.181012999994"/>
    <n v="67109.539042000004"/>
  </r>
  <r>
    <x v="9"/>
    <n v="38"/>
    <n v="38.01"/>
    <x v="64"/>
    <n v="1764.9746"/>
    <n v="0.2"/>
    <n v="1765.1746000000001"/>
    <n v="67076.6348"/>
    <n v="67094.286546000003"/>
  </r>
  <r>
    <x v="0"/>
    <n v="22.17"/>
    <n v="22.18"/>
    <x v="65"/>
    <n v="3014.8276999999998"/>
    <n v="0"/>
    <n v="3014.8276999999998"/>
    <n v="66838.730108999996"/>
    <n v="66868.878385999997"/>
  </r>
  <r>
    <x v="1"/>
    <n v="36.29"/>
    <n v="36.299999999999997"/>
    <x v="65"/>
    <n v="1842.0498"/>
    <n v="-0.1"/>
    <n v="1841.9498000000001"/>
    <n v="66844.358242000002"/>
    <n v="66862.777740000005"/>
  </r>
  <r>
    <x v="2"/>
    <n v="18.850000000000001"/>
    <n v="18.86"/>
    <x v="65"/>
    <n v="3546.4164000000001"/>
    <n v="0"/>
    <n v="3546.4164000000001"/>
    <n v="66849.949140000012"/>
    <n v="66885.413304000002"/>
  </r>
  <r>
    <x v="3"/>
    <n v="29.57"/>
    <n v="29.58"/>
    <x v="65"/>
    <n v="2261.2764999999999"/>
    <n v="-0.2"/>
    <n v="2261.0765000000001"/>
    <n v="66860.032105000006"/>
    <n v="66882.642869999996"/>
  </r>
  <r>
    <x v="4"/>
    <n v="70.61"/>
    <n v="70.72"/>
    <x v="65"/>
    <n v="946.09090000000003"/>
    <n v="0"/>
    <n v="946.09090000000003"/>
    <n v="66803.478449000002"/>
    <n v="66907.548448000001"/>
  </r>
  <r>
    <x v="5"/>
    <n v="38.619999999999997"/>
    <n v="38.65"/>
    <x v="65"/>
    <n v="1730.0548000000001"/>
    <n v="0.2"/>
    <n v="1730.2548000000002"/>
    <n v="66822.440375999999"/>
    <n v="66874.348020000005"/>
  </r>
  <r>
    <x v="6"/>
    <n v="58.19"/>
    <n v="58.2"/>
    <x v="65"/>
    <n v="1148.7979"/>
    <n v="0.05"/>
    <n v="1148.8479"/>
    <n v="66851.459300999995"/>
    <n v="66862.947780000002"/>
  </r>
  <r>
    <x v="7"/>
    <n v="51.87"/>
    <n v="51.88"/>
    <x v="65"/>
    <n v="1288.5905"/>
    <n v="0"/>
    <n v="1288.5905"/>
    <n v="66839.189234999998"/>
    <n v="66852.075140000001"/>
  </r>
  <r>
    <x v="8"/>
    <n v="18.899999999999999"/>
    <n v="18.91"/>
    <x v="65"/>
    <n v="3535.8029000000001"/>
    <n v="0"/>
    <n v="3535.8029000000001"/>
    <n v="66826.674809999997"/>
    <n v="66862.032839000007"/>
  </r>
  <r>
    <x v="9"/>
    <n v="37.869999999999997"/>
    <n v="37.880000000000003"/>
    <x v="65"/>
    <n v="1764.9746"/>
    <n v="0.2"/>
    <n v="1765.1746000000001"/>
    <n v="66847.162102000002"/>
    <n v="66864.813848000005"/>
  </r>
  <r>
    <x v="0"/>
    <n v="22.16"/>
    <n v="22.17"/>
    <x v="66"/>
    <n v="3014.8276999999998"/>
    <n v="0"/>
    <n v="3014.8276999999998"/>
    <n v="66808.581831999996"/>
    <n v="66838.730108999996"/>
  </r>
  <r>
    <x v="1"/>
    <n v="36.270000000000003"/>
    <n v="36.28"/>
    <x v="66"/>
    <n v="1842.0498"/>
    <n v="-0.1"/>
    <n v="1841.9498000000001"/>
    <n v="66807.519246000011"/>
    <n v="66825.938743999999"/>
  </r>
  <r>
    <x v="2"/>
    <n v="18.84"/>
    <n v="18.850000000000001"/>
    <x v="66"/>
    <n v="3546.4164000000001"/>
    <n v="0"/>
    <n v="3546.4164000000001"/>
    <n v="66814.484976000007"/>
    <n v="66849.949140000012"/>
  </r>
  <r>
    <x v="3"/>
    <n v="29.55"/>
    <n v="29.56"/>
    <x v="66"/>
    <n v="2261.2764999999999"/>
    <n v="-0.2"/>
    <n v="2261.0765000000001"/>
    <n v="66814.81057500001"/>
    <n v="66837.421340000001"/>
  </r>
  <r>
    <x v="4"/>
    <n v="70.58"/>
    <n v="70.7"/>
    <x v="66"/>
    <n v="946.09090000000003"/>
    <n v="0"/>
    <n v="946.09090000000003"/>
    <n v="66775.095721999998"/>
    <n v="66888.626629999999"/>
  </r>
  <r>
    <x v="5"/>
    <n v="38.6"/>
    <n v="38.630000000000003"/>
    <x v="66"/>
    <n v="1730.0548000000001"/>
    <n v="0.2"/>
    <n v="1730.2548000000002"/>
    <n v="66787.835280000014"/>
    <n v="66839.742924000006"/>
  </r>
  <r>
    <x v="6"/>
    <n v="58.16"/>
    <n v="58.17"/>
    <x v="66"/>
    <n v="1148.7979"/>
    <n v="0.05"/>
    <n v="1148.8479"/>
    <n v="66816.993863999989"/>
    <n v="66828.482342999996"/>
  </r>
  <r>
    <x v="7"/>
    <n v="51.84"/>
    <n v="51.85"/>
    <x v="66"/>
    <n v="1288.5905"/>
    <n v="0"/>
    <n v="1288.5905"/>
    <n v="66800.531520000004"/>
    <n v="66813.417425000007"/>
  </r>
  <r>
    <x v="8"/>
    <n v="18.89"/>
    <n v="18.899999999999999"/>
    <x v="66"/>
    <n v="3535.8029000000001"/>
    <n v="0"/>
    <n v="3535.8029000000001"/>
    <n v="66791.316781000001"/>
    <n v="66826.674809999997"/>
  </r>
  <r>
    <x v="9"/>
    <n v="37.85"/>
    <n v="37.86"/>
    <x v="66"/>
    <n v="1764.9746"/>
    <n v="0.2"/>
    <n v="1765.1746000000001"/>
    <n v="66811.85861000001"/>
    <n v="66829.510355999999"/>
  </r>
  <r>
    <x v="0"/>
    <n v="22.13"/>
    <n v="22.14"/>
    <x v="67"/>
    <n v="3014.8276999999998"/>
    <n v="0"/>
    <n v="3014.8276999999998"/>
    <n v="66718.137000999996"/>
    <n v="66748.285277999996"/>
  </r>
  <r>
    <x v="1"/>
    <n v="36.22"/>
    <n v="36.229999999999997"/>
    <x v="67"/>
    <n v="1842.0498"/>
    <n v="-0.1"/>
    <n v="1841.9498000000001"/>
    <n v="66715.421755999996"/>
    <n v="66733.841253999999"/>
  </r>
  <r>
    <x v="2"/>
    <n v="18.82"/>
    <n v="18.829999999999998"/>
    <x v="67"/>
    <n v="3546.4164000000001"/>
    <n v="0"/>
    <n v="3546.4164000000001"/>
    <n v="66743.556647999998"/>
    <n v="66779.020812000002"/>
  </r>
  <r>
    <x v="3"/>
    <n v="29.51"/>
    <n v="29.52"/>
    <x v="67"/>
    <n v="2261.2764999999999"/>
    <n v="-0.2"/>
    <n v="2261.0765000000001"/>
    <n v="66724.367515000005"/>
    <n v="66746.978279999996"/>
  </r>
  <r>
    <x v="4"/>
    <n v="70.47"/>
    <n v="70.599999999999994"/>
    <x v="67"/>
    <n v="946.09090000000003"/>
    <n v="0"/>
    <n v="946.09090000000003"/>
    <n v="66671.025722999999"/>
    <n v="66794.017540000001"/>
  </r>
  <r>
    <x v="5"/>
    <n v="38.549999999999997"/>
    <n v="38.58"/>
    <x v="67"/>
    <n v="1730.0548000000001"/>
    <n v="0.2"/>
    <n v="1730.2548000000002"/>
    <n v="66701.322540000008"/>
    <n v="66753.230184"/>
  </r>
  <r>
    <x v="6"/>
    <n v="58.07"/>
    <n v="58.08"/>
    <x v="67"/>
    <n v="1148.7979"/>
    <n v="0.05"/>
    <n v="1148.8479"/>
    <n v="66713.597553"/>
    <n v="66725.086031999992"/>
  </r>
  <r>
    <x v="7"/>
    <n v="51.77"/>
    <n v="51.78"/>
    <x v="67"/>
    <n v="1288.5905"/>
    <n v="0"/>
    <n v="1288.5905"/>
    <n v="66710.330184999999"/>
    <n v="66723.216090000002"/>
  </r>
  <r>
    <x v="8"/>
    <n v="18.87"/>
    <n v="18.88"/>
    <x v="67"/>
    <n v="3535.8029000000001"/>
    <n v="0"/>
    <n v="3535.8029000000001"/>
    <n v="66720.60072300001"/>
    <n v="66755.958752000006"/>
  </r>
  <r>
    <x v="9"/>
    <n v="37.81"/>
    <n v="37.82"/>
    <x v="67"/>
    <n v="1764.9746"/>
    <n v="0.2"/>
    <n v="1765.1746000000001"/>
    <n v="66741.251626000012"/>
    <n v="66758.903372000001"/>
  </r>
  <r>
    <x v="0"/>
    <n v="22.18"/>
    <n v="22.19"/>
    <x v="68"/>
    <n v="3014.8276999999998"/>
    <n v="0"/>
    <n v="3014.8276999999998"/>
    <n v="66868.878385999997"/>
    <n v="66899.026662999997"/>
  </r>
  <r>
    <x v="1"/>
    <n v="36.299999999999997"/>
    <n v="36.31"/>
    <x v="68"/>
    <n v="1842.0498"/>
    <n v="-0.1"/>
    <n v="1841.9498000000001"/>
    <n v="66862.777740000005"/>
    <n v="66881.197238000008"/>
  </r>
  <r>
    <x v="2"/>
    <n v="18.86"/>
    <n v="18.87"/>
    <x v="68"/>
    <n v="3546.4164000000001"/>
    <n v="0"/>
    <n v="3546.4164000000001"/>
    <n v="66885.413304000002"/>
    <n v="66920.877468000006"/>
  </r>
  <r>
    <x v="3"/>
    <n v="29.57"/>
    <n v="29.58"/>
    <x v="68"/>
    <n v="2261.2764999999999"/>
    <n v="-0.2"/>
    <n v="2261.0765000000001"/>
    <n v="66860.032105000006"/>
    <n v="66882.642869999996"/>
  </r>
  <r>
    <x v="4"/>
    <n v="70.64"/>
    <n v="70.75"/>
    <x v="68"/>
    <n v="946.09090000000003"/>
    <n v="0"/>
    <n v="946.09090000000003"/>
    <n v="66831.861176000006"/>
    <n v="66935.931175000005"/>
  </r>
  <r>
    <x v="5"/>
    <n v="38.64"/>
    <n v="38.659999999999997"/>
    <x v="68"/>
    <n v="1730.0548000000001"/>
    <n v="0.2"/>
    <n v="1730.2548000000002"/>
    <n v="66857.045472000013"/>
    <n v="66891.650567999997"/>
  </r>
  <r>
    <x v="6"/>
    <n v="58.2"/>
    <n v="58.21"/>
    <x v="68"/>
    <n v="1148.7979"/>
    <n v="0.05"/>
    <n v="1148.8479"/>
    <n v="66862.947780000002"/>
    <n v="66874.436258999995"/>
  </r>
  <r>
    <x v="7"/>
    <n v="51.88"/>
    <n v="51.89"/>
    <x v="68"/>
    <n v="1288.5905"/>
    <n v="0"/>
    <n v="1288.5905"/>
    <n v="66852.075140000001"/>
    <n v="66864.961045000004"/>
  </r>
  <r>
    <x v="8"/>
    <n v="18.91"/>
    <n v="18.920000000000002"/>
    <x v="68"/>
    <n v="3535.8029000000001"/>
    <n v="0"/>
    <n v="3535.8029000000001"/>
    <n v="66862.032839000007"/>
    <n v="66897.390868000002"/>
  </r>
  <r>
    <x v="9"/>
    <n v="37.89"/>
    <n v="37.9"/>
    <x v="68"/>
    <n v="1764.9746"/>
    <n v="0.2"/>
    <n v="1765.1746000000001"/>
    <n v="66882.465594000008"/>
    <n v="66900.117339999997"/>
  </r>
  <r>
    <x v="0"/>
    <n v="22.14"/>
    <n v="22.15"/>
    <x v="69"/>
    <n v="3014.8276999999998"/>
    <n v="0"/>
    <n v="3014.8276999999998"/>
    <n v="66748.285277999996"/>
    <n v="66778.433554999996"/>
  </r>
  <r>
    <x v="1"/>
    <n v="36.24"/>
    <n v="36.25"/>
    <x v="69"/>
    <n v="1842.0498"/>
    <n v="-0.1"/>
    <n v="1841.9498000000001"/>
    <n v="66752.260752000002"/>
    <n v="66770.680250000005"/>
  </r>
  <r>
    <x v="2"/>
    <n v="18.82"/>
    <n v="18.829999999999998"/>
    <x v="69"/>
    <n v="3546.4164000000001"/>
    <n v="0"/>
    <n v="3546.4164000000001"/>
    <n v="66743.556647999998"/>
    <n v="66779.020812000002"/>
  </r>
  <r>
    <x v="3"/>
    <n v="29.52"/>
    <n v="29.53"/>
    <x v="69"/>
    <n v="2261.2764999999999"/>
    <n v="-0.2"/>
    <n v="2261.0765000000001"/>
    <n v="66746.978279999996"/>
    <n v="66769.589045000001"/>
  </r>
  <r>
    <x v="4"/>
    <n v="70.540000000000006"/>
    <n v="70.650000000000006"/>
    <x v="69"/>
    <n v="946.09090000000003"/>
    <n v="0"/>
    <n v="946.09090000000003"/>
    <n v="66737.252086000008"/>
    <n v="66841.322085000007"/>
  </r>
  <r>
    <x v="5"/>
    <n v="38.58"/>
    <n v="38.6"/>
    <x v="69"/>
    <n v="1730.0548000000001"/>
    <n v="0.2"/>
    <n v="1730.2548000000002"/>
    <n v="66753.230184"/>
    <n v="66787.835280000014"/>
  </r>
  <r>
    <x v="6"/>
    <n v="58.1"/>
    <n v="58.11"/>
    <x v="69"/>
    <n v="1148.7979"/>
    <n v="0.05"/>
    <n v="1148.8479"/>
    <n v="66748.062990000006"/>
    <n v="66759.551468999998"/>
  </r>
  <r>
    <x v="7"/>
    <n v="51.79"/>
    <n v="51.8"/>
    <x v="69"/>
    <n v="1288.5905"/>
    <n v="0"/>
    <n v="1288.5905"/>
    <n v="66736.101995000005"/>
    <n v="66748.987899999993"/>
  </r>
  <r>
    <x v="8"/>
    <n v="18.87"/>
    <n v="18.88"/>
    <x v="69"/>
    <n v="3535.8029000000001"/>
    <n v="0"/>
    <n v="3535.8029000000001"/>
    <n v="66720.60072300001"/>
    <n v="66755.958752000006"/>
  </r>
  <r>
    <x v="9"/>
    <n v="37.82"/>
    <n v="37.83"/>
    <x v="69"/>
    <n v="1764.9746"/>
    <n v="0.2"/>
    <n v="1765.1746000000001"/>
    <n v="66758.903372000001"/>
    <n v="66776.555118000004"/>
  </r>
  <r>
    <x v="0"/>
    <n v="22.15"/>
    <n v="22.16"/>
    <x v="70"/>
    <n v="3014.8276999999998"/>
    <n v="0"/>
    <n v="3014.8276999999998"/>
    <n v="66778.433554999996"/>
    <n v="66808.581831999996"/>
  </r>
  <r>
    <x v="1"/>
    <n v="36.26"/>
    <n v="36.270000000000003"/>
    <x v="70"/>
    <n v="1842.0498"/>
    <n v="-0.1"/>
    <n v="1841.9498000000001"/>
    <n v="66789.099747999993"/>
    <n v="66807.519246000011"/>
  </r>
  <r>
    <x v="2"/>
    <n v="18.829999999999998"/>
    <n v="18.84"/>
    <x v="70"/>
    <n v="3546.4164000000001"/>
    <n v="0"/>
    <n v="3546.4164000000001"/>
    <n v="66779.020812000002"/>
    <n v="66814.484976000007"/>
  </r>
  <r>
    <x v="3"/>
    <n v="29.54"/>
    <n v="29.55"/>
    <x v="70"/>
    <n v="2261.2764999999999"/>
    <n v="-0.2"/>
    <n v="2261.0765000000001"/>
    <n v="66792.199810000006"/>
    <n v="66814.81057500001"/>
  </r>
  <r>
    <x v="4"/>
    <n v="70.56"/>
    <n v="70.66"/>
    <x v="70"/>
    <n v="946.09090000000003"/>
    <n v="0"/>
    <n v="946.09090000000003"/>
    <n v="66756.17390400001"/>
    <n v="66850.782993999994"/>
  </r>
  <r>
    <x v="5"/>
    <n v="38.590000000000003"/>
    <n v="38.619999999999997"/>
    <x v="70"/>
    <n v="1730.0548000000001"/>
    <n v="0.2"/>
    <n v="1730.2548000000002"/>
    <n v="66770.532732000007"/>
    <n v="66822.440375999999"/>
  </r>
  <r>
    <x v="6"/>
    <n v="58.13"/>
    <n v="58.14"/>
    <x v="70"/>
    <n v="1148.7979"/>
    <n v="0.05"/>
    <n v="1148.8479"/>
    <n v="66782.528426999997"/>
    <n v="66794.016906000004"/>
  </r>
  <r>
    <x v="7"/>
    <n v="51.82"/>
    <n v="51.83"/>
    <x v="70"/>
    <n v="1288.5905"/>
    <n v="0"/>
    <n v="1288.5905"/>
    <n v="66774.759709999998"/>
    <n v="66787.645615000001"/>
  </r>
  <r>
    <x v="8"/>
    <n v="18.89"/>
    <n v="18.899999999999999"/>
    <x v="70"/>
    <n v="3535.8029000000001"/>
    <n v="0"/>
    <n v="3535.8029000000001"/>
    <n v="66791.316781000001"/>
    <n v="66826.674809999997"/>
  </r>
  <r>
    <x v="9"/>
    <n v="37.840000000000003"/>
    <n v="37.85"/>
    <x v="70"/>
    <n v="1764.9746"/>
    <n v="0.2"/>
    <n v="1765.1746000000001"/>
    <n v="66794.206864000007"/>
    <n v="66811.85861000001"/>
  </r>
  <r>
    <x v="0"/>
    <n v="22.15"/>
    <n v="22.16"/>
    <x v="71"/>
    <n v="3014.8276999999998"/>
    <n v="0"/>
    <n v="3014.8276999999998"/>
    <n v="66778.433554999996"/>
    <n v="66808.581831999996"/>
  </r>
  <r>
    <x v="1"/>
    <n v="36.26"/>
    <n v="36.270000000000003"/>
    <x v="71"/>
    <n v="1842.0498"/>
    <n v="-0.1"/>
    <n v="1841.9498000000001"/>
    <n v="66789.099747999993"/>
    <n v="66807.519246000011"/>
  </r>
  <r>
    <x v="2"/>
    <n v="18.829999999999998"/>
    <n v="18.84"/>
    <x v="71"/>
    <n v="3546.4164000000001"/>
    <n v="0"/>
    <n v="3546.4164000000001"/>
    <n v="66779.020812000002"/>
    <n v="66814.484976000007"/>
  </r>
  <r>
    <x v="3"/>
    <n v="29.54"/>
    <n v="29.55"/>
    <x v="71"/>
    <n v="2261.2764999999999"/>
    <n v="-0.2"/>
    <n v="2261.0765000000001"/>
    <n v="66792.199810000006"/>
    <n v="66814.81057500001"/>
  </r>
  <r>
    <x v="4"/>
    <n v="70.569999999999993"/>
    <n v="70.680000000000007"/>
    <x v="71"/>
    <n v="946.09090000000003"/>
    <n v="0"/>
    <n v="946.09090000000003"/>
    <n v="66765.634812999997"/>
    <n v="66869.704812000011"/>
  </r>
  <r>
    <x v="5"/>
    <n v="38.58"/>
    <n v="38.61"/>
    <x v="71"/>
    <n v="1730.0548000000001"/>
    <n v="0.2"/>
    <n v="1730.2548000000002"/>
    <n v="66753.230184"/>
    <n v="66805.137828000006"/>
  </r>
  <r>
    <x v="6"/>
    <n v="58.12"/>
    <n v="58.13"/>
    <x v="71"/>
    <n v="1148.7979"/>
    <n v="0.05"/>
    <n v="1148.8479"/>
    <n v="66771.039947999991"/>
    <n v="66782.528426999997"/>
  </r>
  <r>
    <x v="7"/>
    <n v="51.81"/>
    <n v="51.82"/>
    <x v="71"/>
    <n v="1288.5905"/>
    <n v="0"/>
    <n v="1288.5905"/>
    <n v="66761.87380500001"/>
    <n v="66774.759709999998"/>
  </r>
  <r>
    <x v="8"/>
    <n v="18.88"/>
    <n v="18.89"/>
    <x v="71"/>
    <n v="3535.8029000000001"/>
    <n v="0"/>
    <n v="3535.8029000000001"/>
    <n v="66755.958752000006"/>
    <n v="66791.316781000001"/>
  </r>
  <r>
    <x v="9"/>
    <n v="37.840000000000003"/>
    <n v="37.85"/>
    <x v="71"/>
    <n v="1764.9746"/>
    <n v="0.2"/>
    <n v="1765.1746000000001"/>
    <n v="66794.206864000007"/>
    <n v="66811.85861000001"/>
  </r>
  <r>
    <x v="0"/>
    <n v="22.18"/>
    <n v="22.19"/>
    <x v="72"/>
    <n v="3014.8276999999998"/>
    <n v="0"/>
    <n v="3014.8276999999998"/>
    <n v="66868.878385999997"/>
    <n v="66899.026662999997"/>
  </r>
  <r>
    <x v="1"/>
    <n v="36.299999999999997"/>
    <n v="36.31"/>
    <x v="72"/>
    <n v="1842.0498"/>
    <n v="-0.1"/>
    <n v="1841.9498000000001"/>
    <n v="66862.777740000005"/>
    <n v="66881.197238000008"/>
  </r>
  <r>
    <x v="2"/>
    <n v="18.86"/>
    <n v="18.87"/>
    <x v="72"/>
    <n v="3546.4164000000001"/>
    <n v="0"/>
    <n v="3546.4164000000001"/>
    <n v="66885.413304000002"/>
    <n v="66920.877468000006"/>
  </r>
  <r>
    <x v="3"/>
    <n v="29.57"/>
    <n v="29.58"/>
    <x v="72"/>
    <n v="2261.2764999999999"/>
    <n v="-0.2"/>
    <n v="2261.0765000000001"/>
    <n v="66860.032105000006"/>
    <n v="66882.642869999996"/>
  </r>
  <r>
    <x v="4"/>
    <n v="70.64"/>
    <n v="70.77"/>
    <x v="72"/>
    <n v="946.09090000000003"/>
    <n v="0"/>
    <n v="946.09090000000003"/>
    <n v="66831.861176000006"/>
    <n v="66954.852992999993"/>
  </r>
  <r>
    <x v="5"/>
    <n v="38.64"/>
    <n v="38.659999999999997"/>
    <x v="72"/>
    <n v="1730.0548000000001"/>
    <n v="0.2"/>
    <n v="1730.2548000000002"/>
    <n v="66857.045472000013"/>
    <n v="66891.650567999997"/>
  </r>
  <r>
    <x v="6"/>
    <n v="58.2"/>
    <n v="58.21"/>
    <x v="72"/>
    <n v="1148.7979"/>
    <n v="0.05"/>
    <n v="1148.8479"/>
    <n v="66862.947780000002"/>
    <n v="66874.436258999995"/>
  </r>
  <r>
    <x v="7"/>
    <n v="51.88"/>
    <n v="51.89"/>
    <x v="72"/>
    <n v="1288.5905"/>
    <n v="0"/>
    <n v="1288.5905"/>
    <n v="66852.075140000001"/>
    <n v="66864.961045000004"/>
  </r>
  <r>
    <x v="8"/>
    <n v="18.91"/>
    <n v="18.920000000000002"/>
    <x v="72"/>
    <n v="3535.8029000000001"/>
    <n v="0"/>
    <n v="3535.8029000000001"/>
    <n v="66862.032839000007"/>
    <n v="66897.390868000002"/>
  </r>
  <r>
    <x v="9"/>
    <n v="37.880000000000003"/>
    <n v="37.89"/>
    <x v="72"/>
    <n v="1764.9746"/>
    <n v="0.2"/>
    <n v="1765.1746000000001"/>
    <n v="66864.813848000005"/>
    <n v="66882.465594000008"/>
  </r>
  <r>
    <x v="0"/>
    <n v="22.15"/>
    <n v="22.16"/>
    <x v="73"/>
    <n v="3014.8276999999998"/>
    <n v="0"/>
    <n v="3014.8276999999998"/>
    <n v="66778.433554999996"/>
    <n v="66808.581831999996"/>
  </r>
  <r>
    <x v="1"/>
    <n v="36.26"/>
    <n v="36.270000000000003"/>
    <x v="73"/>
    <n v="1842.0498"/>
    <n v="-0.1"/>
    <n v="1841.9498000000001"/>
    <n v="66789.099747999993"/>
    <n v="66807.519246000011"/>
  </r>
  <r>
    <x v="2"/>
    <n v="18.829999999999998"/>
    <n v="18.84"/>
    <x v="73"/>
    <n v="3546.4164000000001"/>
    <n v="0"/>
    <n v="3546.4164000000001"/>
    <n v="66779.020812000002"/>
    <n v="66814.484976000007"/>
  </r>
  <r>
    <x v="3"/>
    <n v="29.54"/>
    <n v="29.55"/>
    <x v="73"/>
    <n v="2261.2764999999999"/>
    <n v="-0.2"/>
    <n v="2261.0765000000001"/>
    <n v="66792.199810000006"/>
    <n v="66814.81057500001"/>
  </r>
  <r>
    <x v="4"/>
    <n v="70.569999999999993"/>
    <n v="70.680000000000007"/>
    <x v="73"/>
    <n v="946.09090000000003"/>
    <n v="0"/>
    <n v="946.09090000000003"/>
    <n v="66765.634812999997"/>
    <n v="66869.704812000011"/>
  </r>
  <r>
    <x v="5"/>
    <n v="38.590000000000003"/>
    <n v="38.619999999999997"/>
    <x v="73"/>
    <n v="1730.0548000000001"/>
    <n v="0.2"/>
    <n v="1730.2548000000002"/>
    <n v="66770.532732000007"/>
    <n v="66822.440375999999"/>
  </r>
  <r>
    <x v="6"/>
    <n v="58.14"/>
    <n v="58.15"/>
    <x v="73"/>
    <n v="1148.7979"/>
    <n v="0.05"/>
    <n v="1148.8479"/>
    <n v="66794.016906000004"/>
    <n v="66805.505384999997"/>
  </r>
  <r>
    <x v="7"/>
    <n v="51.83"/>
    <n v="51.84"/>
    <x v="73"/>
    <n v="1288.5905"/>
    <n v="0"/>
    <n v="1288.5905"/>
    <n v="66787.645615000001"/>
    <n v="66800.531520000004"/>
  </r>
  <r>
    <x v="8"/>
    <n v="18.89"/>
    <n v="18.899999999999999"/>
    <x v="73"/>
    <n v="3535.8029000000001"/>
    <n v="0"/>
    <n v="3535.8029000000001"/>
    <n v="66791.316781000001"/>
    <n v="66826.674809999997"/>
  </r>
  <r>
    <x v="9"/>
    <n v="37.840000000000003"/>
    <n v="37.85"/>
    <x v="73"/>
    <n v="1764.9746"/>
    <n v="0.2"/>
    <n v="1765.1746000000001"/>
    <n v="66794.206864000007"/>
    <n v="66811.85861000001"/>
  </r>
  <r>
    <x v="0"/>
    <n v="22.04"/>
    <n v="22.05"/>
    <x v="74"/>
    <n v="3014.8276999999998"/>
    <n v="0"/>
    <n v="3014.8276999999998"/>
    <n v="66446.802507999993"/>
    <n v="66476.950784999994"/>
  </r>
  <r>
    <x v="1"/>
    <n v="36.08"/>
    <n v="36.090000000000003"/>
    <x v="74"/>
    <n v="1842.0498"/>
    <n v="-0.1"/>
    <n v="1841.9498000000001"/>
    <n v="66457.548783999999"/>
    <n v="66475.968282000016"/>
  </r>
  <r>
    <x v="2"/>
    <n v="18.739999999999998"/>
    <n v="18.75"/>
    <x v="74"/>
    <n v="3546.4164000000001"/>
    <n v="0"/>
    <n v="3546.4164000000001"/>
    <n v="66459.843335999991"/>
    <n v="66495.307499999995"/>
  </r>
  <r>
    <x v="3"/>
    <n v="29.4"/>
    <n v="29.41"/>
    <x v="74"/>
    <n v="2261.2764999999999"/>
    <n v="-0.2"/>
    <n v="2261.0765000000001"/>
    <n v="66475.649099999995"/>
    <n v="66498.259865"/>
  </r>
  <r>
    <x v="4"/>
    <n v="70.19"/>
    <n v="70.31"/>
    <x v="74"/>
    <n v="946.09090000000003"/>
    <n v="0"/>
    <n v="946.09090000000003"/>
    <n v="66406.120271000007"/>
    <n v="66519.651179000008"/>
  </r>
  <r>
    <x v="5"/>
    <n v="38.4"/>
    <n v="38.43"/>
    <x v="74"/>
    <n v="1730.0548000000001"/>
    <n v="0.2"/>
    <n v="1730.2548000000002"/>
    <n v="66441.784320000006"/>
    <n v="66493.691964000012"/>
  </r>
  <r>
    <x v="6"/>
    <n v="57.86"/>
    <n v="57.87"/>
    <x v="74"/>
    <n v="1148.7979"/>
    <n v="0.05"/>
    <n v="1148.8479"/>
    <n v="66472.339494"/>
    <n v="66483.827972999992"/>
  </r>
  <r>
    <x v="7"/>
    <n v="51.57"/>
    <n v="51.58"/>
    <x v="74"/>
    <n v="1288.5905"/>
    <n v="0"/>
    <n v="1288.5905"/>
    <n v="66452.612085000001"/>
    <n v="66465.497990000003"/>
  </r>
  <r>
    <x v="8"/>
    <n v="18.79"/>
    <n v="18.8"/>
    <x v="74"/>
    <n v="3535.8029000000001"/>
    <n v="0"/>
    <n v="3535.8029000000001"/>
    <n v="66437.736491000003"/>
    <n v="66473.094519999999"/>
  </r>
  <r>
    <x v="9"/>
    <n v="37.65"/>
    <n v="37.659999999999997"/>
    <x v="74"/>
    <n v="1764.9746"/>
    <n v="0.2"/>
    <n v="1765.1746000000001"/>
    <n v="66458.823690000005"/>
    <n v="66476.475435999993"/>
  </r>
  <r>
    <x v="0"/>
    <n v="22.1"/>
    <n v="22.11"/>
    <x v="75"/>
    <n v="3014.8276999999998"/>
    <n v="0"/>
    <n v="3014.8276999999998"/>
    <n v="66627.692169999995"/>
    <n v="66657.840446999995"/>
  </r>
  <r>
    <x v="1"/>
    <n v="36.17"/>
    <n v="36.18"/>
    <x v="75"/>
    <n v="1842.0498"/>
    <n v="-0.1"/>
    <n v="1841.9498000000001"/>
    <n v="66623.324266000011"/>
    <n v="66641.743763999999"/>
  </r>
  <r>
    <x v="2"/>
    <n v="18.79"/>
    <n v="18.8"/>
    <x v="75"/>
    <n v="3546.4164000000001"/>
    <n v="0"/>
    <n v="3546.4164000000001"/>
    <n v="66637.164155999999"/>
    <n v="66672.628320000003"/>
  </r>
  <r>
    <x v="3"/>
    <n v="29.47"/>
    <n v="29.48"/>
    <x v="75"/>
    <n v="2261.2764999999999"/>
    <n v="-0.2"/>
    <n v="2261.0765000000001"/>
    <n v="66633.924455"/>
    <n v="66656.535220000005"/>
  </r>
  <r>
    <x v="4"/>
    <n v="70.38"/>
    <n v="70.5"/>
    <x v="75"/>
    <n v="946.09090000000003"/>
    <n v="0"/>
    <n v="946.09090000000003"/>
    <n v="66585.877542000002"/>
    <n v="66699.408450000003"/>
  </r>
  <r>
    <x v="5"/>
    <n v="38.5"/>
    <n v="38.53"/>
    <x v="75"/>
    <n v="1730.0548000000001"/>
    <n v="0.2"/>
    <n v="1730.2548000000002"/>
    <n v="66614.809800000003"/>
    <n v="66666.717444000009"/>
  </r>
  <r>
    <x v="6"/>
    <n v="58"/>
    <n v="58.01"/>
    <x v="75"/>
    <n v="1148.7979"/>
    <n v="0.05"/>
    <n v="1148.8479"/>
    <n v="66633.178199999995"/>
    <n v="66644.666679000002"/>
  </r>
  <r>
    <x v="7"/>
    <n v="51.7"/>
    <n v="51.71"/>
    <x v="75"/>
    <n v="1288.5905"/>
    <n v="0"/>
    <n v="1288.5905"/>
    <n v="66620.128850000008"/>
    <n v="66633.014754999997"/>
  </r>
  <r>
    <x v="8"/>
    <n v="18.84"/>
    <n v="18.850000000000001"/>
    <x v="75"/>
    <n v="3535.8029000000001"/>
    <n v="0"/>
    <n v="3535.8029000000001"/>
    <n v="66614.526635999995"/>
    <n v="66649.884665000005"/>
  </r>
  <r>
    <x v="9"/>
    <n v="37.75"/>
    <n v="37.76"/>
    <x v="75"/>
    <n v="1764.9746"/>
    <n v="0.2"/>
    <n v="1765.1746000000001"/>
    <n v="66635.341150000007"/>
    <n v="66652.992895999996"/>
  </r>
  <r>
    <x v="0"/>
    <n v="22.07"/>
    <n v="22.08"/>
    <x v="76"/>
    <n v="3014.8276999999998"/>
    <n v="0"/>
    <n v="3014.8276999999998"/>
    <n v="66537.247338999994"/>
    <n v="66567.395615999994"/>
  </r>
  <r>
    <x v="1"/>
    <n v="36.130000000000003"/>
    <n v="36.14"/>
    <x v="76"/>
    <n v="1842.0498"/>
    <n v="-0.1"/>
    <n v="1841.9498000000001"/>
    <n v="66549.646274000013"/>
    <n v="66568.065772000002"/>
  </r>
  <r>
    <x v="2"/>
    <n v="18.77"/>
    <n v="18.78"/>
    <x v="76"/>
    <n v="3546.4164000000001"/>
    <n v="0"/>
    <n v="3546.4164000000001"/>
    <n v="66566.235828000004"/>
    <n v="66601.699992000009"/>
  </r>
  <r>
    <x v="3"/>
    <n v="29.44"/>
    <n v="29.45"/>
    <x v="76"/>
    <n v="2261.2764999999999"/>
    <n v="-0.2"/>
    <n v="2261.0765000000001"/>
    <n v="66566.09216"/>
    <n v="66588.702925000005"/>
  </r>
  <r>
    <x v="4"/>
    <n v="70.260000000000005"/>
    <n v="70.42"/>
    <x v="76"/>
    <n v="946.09090000000003"/>
    <n v="0"/>
    <n v="946.09090000000003"/>
    <n v="66472.346634000001"/>
    <n v="66623.721178000007"/>
  </r>
  <r>
    <x v="5"/>
    <n v="38.46"/>
    <n v="38.479999999999997"/>
    <x v="76"/>
    <n v="1730.0548000000001"/>
    <n v="0.2"/>
    <n v="1730.2548000000002"/>
    <n v="66545.599608000004"/>
    <n v="66580.204704000003"/>
  </r>
  <r>
    <x v="6"/>
    <n v="57.93"/>
    <n v="57.94"/>
    <x v="76"/>
    <n v="1148.7979"/>
    <n v="0.05"/>
    <n v="1148.8479"/>
    <n v="66552.758847000005"/>
    <n v="66564.247325999997"/>
  </r>
  <r>
    <x v="7"/>
    <n v="51.64"/>
    <n v="51.65"/>
    <x v="76"/>
    <n v="1288.5905"/>
    <n v="0"/>
    <n v="1288.5905"/>
    <n v="66542.813420000006"/>
    <n v="66555.699324999994"/>
  </r>
  <r>
    <x v="8"/>
    <n v="18.82"/>
    <n v="18.829999999999998"/>
    <x v="76"/>
    <n v="3535.8029000000001"/>
    <n v="0"/>
    <n v="3535.8029000000001"/>
    <n v="66543.810578000004"/>
    <n v="66579.168607"/>
  </r>
  <r>
    <x v="9"/>
    <n v="37.71"/>
    <n v="37.72"/>
    <x v="76"/>
    <n v="1764.9746"/>
    <n v="0.2"/>
    <n v="1765.1746000000001"/>
    <n v="66564.734166000009"/>
    <n v="66582.385911999998"/>
  </r>
  <r>
    <x v="0"/>
    <n v="21.93"/>
    <n v="21.94"/>
    <x v="77"/>
    <n v="3014.8449999999998"/>
    <n v="0"/>
    <n v="3014.8449999999998"/>
    <n v="66115.55085"/>
    <n v="66145.699299999993"/>
  </r>
  <r>
    <x v="1"/>
    <n v="35.9"/>
    <n v="35.909999999999997"/>
    <x v="77"/>
    <n v="1842.0599"/>
    <n v="-0.1"/>
    <n v="1841.9599000000001"/>
    <n v="66126.360409999994"/>
    <n v="66144.780008999995"/>
  </r>
  <r>
    <x v="2"/>
    <n v="18.649999999999999"/>
    <n v="18.66"/>
    <x v="77"/>
    <n v="3546.4407000000001"/>
    <n v="0"/>
    <n v="3546.4407000000001"/>
    <n v="66141.119055000003"/>
    <n v="66176.58346200001"/>
  </r>
  <r>
    <x v="3"/>
    <n v="29.25"/>
    <n v="29.26"/>
    <x v="77"/>
    <n v="2261.2858000000001"/>
    <n v="-0.2"/>
    <n v="2261.0858000000003"/>
    <n v="66136.759650000007"/>
    <n v="66159.370508000007"/>
  </r>
  <r>
    <x v="4"/>
    <n v="69.83"/>
    <n v="69.95"/>
    <x v="77"/>
    <n v="946.09739999999999"/>
    <n v="0"/>
    <n v="946.09739999999999"/>
    <n v="66065.981442000004"/>
    <n v="66179.513130000007"/>
  </r>
  <r>
    <x v="5"/>
    <n v="38.21"/>
    <n v="38.229999999999997"/>
    <x v="77"/>
    <n v="1730.0638000000001"/>
    <n v="0.2"/>
    <n v="1730.2638000000002"/>
    <n v="66113.379798000009"/>
    <n v="66147.985073999997"/>
  </r>
  <r>
    <x v="6"/>
    <n v="57.57"/>
    <n v="57.58"/>
    <x v="77"/>
    <n v="1148.8058000000001"/>
    <n v="0.05"/>
    <n v="1148.8558"/>
    <n v="66139.628406000003"/>
    <n v="66151.116964000001"/>
  </r>
  <r>
    <x v="7"/>
    <n v="51.31"/>
    <n v="51.32"/>
    <x v="77"/>
    <n v="1288.6435000000001"/>
    <n v="0"/>
    <n v="1288.6435000000001"/>
    <n v="66120.297985000012"/>
    <n v="66133.184420000005"/>
  </r>
  <r>
    <x v="8"/>
    <n v="18.7"/>
    <n v="18.71"/>
    <x v="77"/>
    <n v="3535.8029000000001"/>
    <n v="0"/>
    <n v="3535.8029000000001"/>
    <n v="66119.514230000001"/>
    <n v="66154.872259000011"/>
  </r>
  <r>
    <x v="9"/>
    <n v="37.47"/>
    <n v="37.479999999999997"/>
    <x v="77"/>
    <n v="1764.9866999999999"/>
    <n v="0.2"/>
    <n v="1765.1867"/>
    <n v="66141.545648999992"/>
    <n v="66159.197516"/>
  </r>
  <r>
    <x v="0"/>
    <n v="21.94"/>
    <n v="21.95"/>
    <x v="78"/>
    <n v="3014.8449999999998"/>
    <n v="0"/>
    <n v="3014.8449999999998"/>
    <n v="66145.699299999993"/>
    <n v="66175.847749999986"/>
  </r>
  <r>
    <x v="1"/>
    <n v="35.909999999999997"/>
    <n v="35.92"/>
    <x v="78"/>
    <n v="1842.0599"/>
    <n v="-0.1"/>
    <n v="1841.9599000000001"/>
    <n v="66144.780008999995"/>
    <n v="66163.19960800001"/>
  </r>
  <r>
    <x v="2"/>
    <n v="18.649999999999999"/>
    <n v="18.66"/>
    <x v="78"/>
    <n v="3546.4407000000001"/>
    <n v="0"/>
    <n v="3546.4407000000001"/>
    <n v="66141.119055000003"/>
    <n v="66176.58346200001"/>
  </r>
  <r>
    <x v="3"/>
    <n v="29.25"/>
    <n v="29.26"/>
    <x v="78"/>
    <n v="2261.2858000000001"/>
    <n v="-0.2"/>
    <n v="2261.0858000000003"/>
    <n v="66136.759650000007"/>
    <n v="66159.370508000007"/>
  </r>
  <r>
    <x v="4"/>
    <n v="69.89"/>
    <n v="69.989999999999995"/>
    <x v="78"/>
    <n v="946.09739999999999"/>
    <n v="0"/>
    <n v="946.09739999999999"/>
    <n v="66122.747285999998"/>
    <n v="66217.357025999998"/>
  </r>
  <r>
    <x v="5"/>
    <n v="38.21"/>
    <n v="38.26"/>
    <x v="78"/>
    <n v="1730.0638000000001"/>
    <n v="0.2"/>
    <n v="1730.2638000000002"/>
    <n v="66113.379798000009"/>
    <n v="66199.892988000007"/>
  </r>
  <r>
    <x v="6"/>
    <n v="57.59"/>
    <n v="57.6"/>
    <x v="78"/>
    <n v="1148.8058000000001"/>
    <n v="0.05"/>
    <n v="1148.8558"/>
    <n v="66162.605522000013"/>
    <n v="66174.09408000001"/>
  </r>
  <r>
    <x v="7"/>
    <n v="51.32"/>
    <n v="51.33"/>
    <x v="78"/>
    <n v="1288.6435000000001"/>
    <n v="0"/>
    <n v="1288.6435000000001"/>
    <n v="66133.184420000005"/>
    <n v="66146.070854999998"/>
  </r>
  <r>
    <x v="8"/>
    <n v="18.7"/>
    <n v="18.71"/>
    <x v="78"/>
    <n v="3535.8029000000001"/>
    <n v="0"/>
    <n v="3535.8029000000001"/>
    <n v="66119.514230000001"/>
    <n v="66154.872259000011"/>
  </r>
  <r>
    <x v="9"/>
    <n v="37.479999999999997"/>
    <n v="37.49"/>
    <x v="78"/>
    <n v="1764.9866999999999"/>
    <n v="0.2"/>
    <n v="1765.1867"/>
    <n v="66159.197516"/>
    <n v="66176.849383000008"/>
  </r>
  <r>
    <x v="0"/>
    <n v="21.76"/>
    <n v="21.77"/>
    <x v="79"/>
    <n v="3014.8449999999998"/>
    <n v="0"/>
    <n v="3014.8449999999998"/>
    <n v="65603.027199999997"/>
    <n v="65633.17564999999"/>
  </r>
  <r>
    <x v="1"/>
    <n v="35.630000000000003"/>
    <n v="35.64"/>
    <x v="79"/>
    <n v="1842.0599"/>
    <n v="-0.1"/>
    <n v="1841.9599000000001"/>
    <n v="65629.031237000003"/>
    <n v="65647.450836000004"/>
  </r>
  <r>
    <x v="2"/>
    <n v="18.510000000000002"/>
    <n v="18.52"/>
    <x v="79"/>
    <n v="3546.4407000000001"/>
    <n v="0"/>
    <n v="3546.4407000000001"/>
    <n v="65644.61735700001"/>
    <n v="65680.081764000002"/>
  </r>
  <r>
    <x v="3"/>
    <n v="29.02"/>
    <n v="29.03"/>
    <x v="79"/>
    <n v="2261.2858000000001"/>
    <n v="-0.2"/>
    <n v="2261.0858000000003"/>
    <n v="65616.709916000007"/>
    <n v="65639.320774000007"/>
  </r>
  <r>
    <x v="4"/>
    <n v="69.34"/>
    <n v="69.44"/>
    <x v="79"/>
    <n v="946.09739999999999"/>
    <n v="0"/>
    <n v="946.09739999999999"/>
    <n v="65602.393716000006"/>
    <n v="65697.003455999991"/>
  </r>
  <r>
    <x v="5"/>
    <n v="37.909999999999997"/>
    <n v="37.950000000000003"/>
    <x v="79"/>
    <n v="1730.0638000000001"/>
    <n v="0.2"/>
    <n v="1730.2638000000002"/>
    <n v="65594.300658000007"/>
    <n v="65663.511210000011"/>
  </r>
  <r>
    <x v="6"/>
    <n v="57.13"/>
    <n v="57.14"/>
    <x v="79"/>
    <n v="1148.8058000000001"/>
    <n v="0.05"/>
    <n v="1148.8558"/>
    <n v="65634.131854000007"/>
    <n v="65645.620412000004"/>
  </r>
  <r>
    <x v="7"/>
    <n v="50.92"/>
    <n v="50.93"/>
    <x v="79"/>
    <n v="1288.6435000000001"/>
    <n v="0"/>
    <n v="1288.6435000000001"/>
    <n v="65617.727020000006"/>
    <n v="65630.613455000013"/>
  </r>
  <r>
    <x v="8"/>
    <n v="18.559999999999999"/>
    <n v="18.57"/>
    <x v="79"/>
    <n v="3535.8029000000001"/>
    <n v="0"/>
    <n v="3535.8029000000001"/>
    <n v="65624.501823999992"/>
    <n v="65659.859853000002"/>
  </r>
  <r>
    <x v="9"/>
    <n v="37.18"/>
    <n v="37.19"/>
    <x v="79"/>
    <n v="1764.9866999999999"/>
    <n v="0.2"/>
    <n v="1765.1867"/>
    <n v="65629.641506"/>
    <n v="65647.293372999993"/>
  </r>
  <r>
    <x v="0"/>
    <n v="21.8"/>
    <n v="21.81"/>
    <x v="80"/>
    <n v="3014.8449999999998"/>
    <n v="0"/>
    <n v="3014.8449999999998"/>
    <n v="65723.620999999999"/>
    <n v="65753.769449999993"/>
  </r>
  <r>
    <x v="1"/>
    <n v="35.69"/>
    <n v="35.700000000000003"/>
    <x v="80"/>
    <n v="1842.0599"/>
    <n v="-0.1"/>
    <n v="1841.9599000000001"/>
    <n v="65739.548830999993"/>
    <n v="65757.968430000008"/>
  </r>
  <r>
    <x v="2"/>
    <n v="18.53"/>
    <n v="18.54"/>
    <x v="80"/>
    <n v="3546.4407000000001"/>
    <n v="0"/>
    <n v="3546.4407000000001"/>
    <n v="65715.546171000009"/>
    <n v="65751.010578000001"/>
  </r>
  <r>
    <x v="3"/>
    <n v="29.08"/>
    <n v="29.09"/>
    <x v="80"/>
    <n v="2261.2858000000001"/>
    <n v="-0.2"/>
    <n v="2261.0858000000003"/>
    <n v="65752.375064000007"/>
    <n v="65774.985922000007"/>
  </r>
  <r>
    <x v="4"/>
    <n v="69.48"/>
    <n v="69.55"/>
    <x v="80"/>
    <n v="946.09739999999999"/>
    <n v="0"/>
    <n v="946.09739999999999"/>
    <n v="65734.847351999997"/>
    <n v="65801.074169999993"/>
  </r>
  <r>
    <x v="5"/>
    <n v="37.979999999999997"/>
    <n v="38.01"/>
    <x v="80"/>
    <n v="1730.0638000000001"/>
    <n v="0.2"/>
    <n v="1730.2638000000002"/>
    <n v="65715.419124000007"/>
    <n v="65767.327038000003"/>
  </r>
  <r>
    <x v="6"/>
    <n v="57.23"/>
    <n v="57.24"/>
    <x v="80"/>
    <n v="1148.8058000000001"/>
    <n v="0.05"/>
    <n v="1148.8558"/>
    <n v="65749.017433999994"/>
    <n v="65760.505992000006"/>
  </r>
  <r>
    <x v="7"/>
    <n v="51"/>
    <n v="51.01"/>
    <x v="80"/>
    <n v="1288.6435000000001"/>
    <n v="0"/>
    <n v="1288.6435000000001"/>
    <n v="65720.818500000008"/>
    <n v="65733.704935000002"/>
  </r>
  <r>
    <x v="8"/>
    <n v="18.59"/>
    <n v="18.600000000000001"/>
    <x v="80"/>
    <n v="3535.8029000000001"/>
    <n v="0"/>
    <n v="3535.8029000000001"/>
    <n v="65730.575911000007"/>
    <n v="65765.933940000003"/>
  </r>
  <r>
    <x v="9"/>
    <n v="37.24"/>
    <n v="37.25"/>
    <x v="80"/>
    <n v="1764.9866999999999"/>
    <n v="0.2"/>
    <n v="1765.1867"/>
    <n v="65735.552708000003"/>
    <n v="65753.204574999996"/>
  </r>
  <r>
    <x v="0"/>
    <n v="21.78"/>
    <n v="21.79"/>
    <x v="81"/>
    <n v="3014.8449999999998"/>
    <n v="0"/>
    <n v="3014.8449999999998"/>
    <n v="65663.324099999998"/>
    <n v="65693.472549999991"/>
  </r>
  <r>
    <x v="1"/>
    <n v="35.65"/>
    <n v="35.659999999999997"/>
    <x v="81"/>
    <n v="1842.0599"/>
    <n v="-0.1"/>
    <n v="1841.9599000000001"/>
    <n v="65665.870435000004"/>
    <n v="65684.290033999991"/>
  </r>
  <r>
    <x v="2"/>
    <n v="18.52"/>
    <n v="18.53"/>
    <x v="81"/>
    <n v="3546.4407000000001"/>
    <n v="0"/>
    <n v="3546.4407000000001"/>
    <n v="65680.081764000002"/>
    <n v="65715.546171000009"/>
  </r>
  <r>
    <x v="3"/>
    <n v="29.05"/>
    <n v="29.06"/>
    <x v="81"/>
    <n v="2261.2858000000001"/>
    <n v="-0.2"/>
    <n v="2261.0858000000003"/>
    <n v="65684.542490000007"/>
    <n v="65707.153348000007"/>
  </r>
  <r>
    <x v="4"/>
    <n v="69.41"/>
    <n v="69.510000000000005"/>
    <x v="81"/>
    <n v="946.09739999999999"/>
    <n v="0"/>
    <n v="946.09739999999999"/>
    <n v="65668.620534000001"/>
    <n v="65763.230274000001"/>
  </r>
  <r>
    <x v="5"/>
    <n v="37.94"/>
    <n v="37.97"/>
    <x v="81"/>
    <n v="1730.0638000000001"/>
    <n v="0.2"/>
    <n v="1730.2638000000002"/>
    <n v="65646.208572000003"/>
    <n v="65698.116485999999"/>
  </r>
  <r>
    <x v="6"/>
    <n v="57.17"/>
    <n v="57.18"/>
    <x v="81"/>
    <n v="1148.8058000000001"/>
    <n v="0.05"/>
    <n v="1148.8558"/>
    <n v="65680.08608600001"/>
    <n v="65691.574644000008"/>
  </r>
  <r>
    <x v="7"/>
    <n v="50.95"/>
    <n v="50.96"/>
    <x v="81"/>
    <n v="1288.6435000000001"/>
    <n v="0"/>
    <n v="1288.6435000000001"/>
    <n v="65656.386325000014"/>
    <n v="65669.272760000007"/>
  </r>
  <r>
    <x v="8"/>
    <n v="18.57"/>
    <n v="18.579999999999998"/>
    <x v="81"/>
    <n v="3535.8029000000001"/>
    <n v="0"/>
    <n v="3535.8029000000001"/>
    <n v="65659.859853000002"/>
    <n v="65695.217881999997"/>
  </r>
  <r>
    <x v="9"/>
    <n v="37.21"/>
    <n v="37.22"/>
    <x v="81"/>
    <n v="1764.9866999999999"/>
    <n v="0.2"/>
    <n v="1765.1867"/>
    <n v="65682.597106999994"/>
    <n v="65700.248974000002"/>
  </r>
  <r>
    <x v="0"/>
    <n v="21.86"/>
    <n v="21.87"/>
    <x v="82"/>
    <n v="3014.8449999999998"/>
    <n v="0"/>
    <n v="3014.8449999999998"/>
    <n v="65904.511699999988"/>
    <n v="65934.660149999996"/>
  </r>
  <r>
    <x v="1"/>
    <n v="35.78"/>
    <n v="35.79"/>
    <x v="82"/>
    <n v="1842.0599"/>
    <n v="-0.1"/>
    <n v="1841.9599000000001"/>
    <n v="65905.325221999999"/>
    <n v="65923.744821"/>
  </r>
  <r>
    <x v="2"/>
    <n v="18.579999999999998"/>
    <n v="18.59"/>
    <x v="82"/>
    <n v="3546.4407000000001"/>
    <n v="0"/>
    <n v="3546.4407000000001"/>
    <n v="65892.868205999999"/>
    <n v="65928.332613000006"/>
  </r>
  <r>
    <x v="3"/>
    <n v="29.15"/>
    <n v="29.16"/>
    <x v="82"/>
    <n v="2261.2858000000001"/>
    <n v="-0.2"/>
    <n v="2261.0858000000003"/>
    <n v="65910.651070000007"/>
    <n v="65933.261928000007"/>
  </r>
  <r>
    <x v="4"/>
    <n v="69.650000000000006"/>
    <n v="69.739999999999995"/>
    <x v="82"/>
    <n v="946.09739999999999"/>
    <n v="0"/>
    <n v="946.09739999999999"/>
    <n v="65895.683910000007"/>
    <n v="65980.832675999991"/>
  </r>
  <r>
    <x v="5"/>
    <n v="38.08"/>
    <n v="38.11"/>
    <x v="82"/>
    <n v="1730.0638000000001"/>
    <n v="0.2"/>
    <n v="1730.2638000000002"/>
    <n v="65888.445504000003"/>
    <n v="65940.353417999999"/>
  </r>
  <r>
    <x v="6"/>
    <n v="57.37"/>
    <n v="57.38"/>
    <x v="82"/>
    <n v="1148.8058000000001"/>
    <n v="0.05"/>
    <n v="1148.8558"/>
    <n v="65909.857246"/>
    <n v="65921.345804000011"/>
  </r>
  <r>
    <x v="7"/>
    <n v="51.13"/>
    <n v="51.14"/>
    <x v="82"/>
    <n v="1288.6435000000001"/>
    <n v="0"/>
    <n v="1288.6435000000001"/>
    <n v="65888.342155000006"/>
    <n v="65901.228590000013"/>
  </r>
  <r>
    <x v="8"/>
    <n v="18.64"/>
    <n v="18.649999999999999"/>
    <x v="82"/>
    <n v="3535.8029000000001"/>
    <n v="0"/>
    <n v="3535.8029000000001"/>
    <n v="65907.366055999999"/>
    <n v="65942.724084999994"/>
  </r>
  <r>
    <x v="9"/>
    <n v="37.340000000000003"/>
    <n v="37.35"/>
    <x v="82"/>
    <n v="1764.9866999999999"/>
    <n v="0.2"/>
    <n v="1765.1867"/>
    <n v="65912.071378000008"/>
    <n v="65929.723245000001"/>
  </r>
  <r>
    <x v="0"/>
    <n v="21.81"/>
    <n v="21.82"/>
    <x v="83"/>
    <n v="3014.8449999999998"/>
    <n v="0"/>
    <n v="3014.8449999999998"/>
    <n v="65753.769449999993"/>
    <n v="65783.9179"/>
  </r>
  <r>
    <x v="1"/>
    <n v="35.700000000000003"/>
    <n v="35.71"/>
    <x v="83"/>
    <n v="1842.0599"/>
    <n v="-0.1"/>
    <n v="1841.9599000000001"/>
    <n v="65757.968430000008"/>
    <n v="65776.388029000009"/>
  </r>
  <r>
    <x v="2"/>
    <n v="18.54"/>
    <n v="18.55"/>
    <x v="83"/>
    <n v="3546.4407000000001"/>
    <n v="0"/>
    <n v="3546.4407000000001"/>
    <n v="65751.010578000001"/>
    <n v="65786.474985000008"/>
  </r>
  <r>
    <x v="3"/>
    <n v="29.08"/>
    <n v="29.09"/>
    <x v="83"/>
    <n v="2261.2858000000001"/>
    <n v="-0.2"/>
    <n v="2261.0858000000003"/>
    <n v="65752.375064000007"/>
    <n v="65774.985922000007"/>
  </r>
  <r>
    <x v="4"/>
    <n v="69.489999999999995"/>
    <n v="69.55"/>
    <x v="83"/>
    <n v="946.09739999999999"/>
    <n v="0"/>
    <n v="946.09739999999999"/>
    <n v="65744.308325999998"/>
    <n v="65801.074169999993"/>
  </r>
  <r>
    <x v="5"/>
    <n v="37.99"/>
    <n v="38.020000000000003"/>
    <x v="83"/>
    <n v="1730.0638000000001"/>
    <n v="0.2"/>
    <n v="1730.2638000000002"/>
    <n v="65732.721762000016"/>
    <n v="65784.629676000011"/>
  </r>
  <r>
    <x v="6"/>
    <n v="57.24"/>
    <n v="57.25"/>
    <x v="83"/>
    <n v="1148.8058000000001"/>
    <n v="0.05"/>
    <n v="1148.8558"/>
    <n v="65760.505992000006"/>
    <n v="65771.994550000003"/>
  </r>
  <r>
    <x v="7"/>
    <n v="51.01"/>
    <n v="51.02"/>
    <x v="83"/>
    <n v="1288.6435000000001"/>
    <n v="0"/>
    <n v="1288.6435000000001"/>
    <n v="65733.704935000002"/>
    <n v="65746.591370000009"/>
  </r>
  <r>
    <x v="8"/>
    <n v="18.59"/>
    <n v="18.600000000000001"/>
    <x v="83"/>
    <n v="3535.8029000000001"/>
    <n v="0"/>
    <n v="3535.8029000000001"/>
    <n v="65730.575911000007"/>
    <n v="65765.933940000003"/>
  </r>
  <r>
    <x v="9"/>
    <n v="37.25"/>
    <n v="37.26"/>
    <x v="83"/>
    <n v="1764.9866999999999"/>
    <n v="0.2"/>
    <n v="1765.1867"/>
    <n v="65753.204574999996"/>
    <n v="65770.856441999989"/>
  </r>
  <r>
    <x v="0"/>
    <n v="21.84"/>
    <n v="21.85"/>
    <x v="84"/>
    <n v="3014.8449999999998"/>
    <n v="0"/>
    <n v="3014.8449999999998"/>
    <n v="65844.214800000002"/>
    <n v="65874.363249999995"/>
  </r>
  <r>
    <x v="1"/>
    <n v="35.76"/>
    <n v="35.770000000000003"/>
    <x v="84"/>
    <n v="1842.0599"/>
    <n v="-0.1"/>
    <n v="1841.9599000000001"/>
    <n v="65868.486023999998"/>
    <n v="65886.905623000013"/>
  </r>
  <r>
    <x v="2"/>
    <n v="18.57"/>
    <n v="18.579999999999998"/>
    <x v="84"/>
    <n v="3546.4407000000001"/>
    <n v="0"/>
    <n v="3546.4407000000001"/>
    <n v="65857.403799000007"/>
    <n v="65892.868205999999"/>
  </r>
  <r>
    <x v="3"/>
    <n v="29.13"/>
    <n v="29.14"/>
    <x v="84"/>
    <n v="2261.2858000000001"/>
    <n v="-0.2"/>
    <n v="2261.0858000000003"/>
    <n v="65865.429354000007"/>
    <n v="65888.040212000007"/>
  </r>
  <r>
    <x v="4"/>
    <n v="69.62"/>
    <n v="69.67"/>
    <x v="84"/>
    <n v="946.09739999999999"/>
    <n v="0"/>
    <n v="946.09739999999999"/>
    <n v="65867.300988000003"/>
    <n v="65914.605857999995"/>
  </r>
  <r>
    <x v="5"/>
    <n v="38.049999999999997"/>
    <n v="38.08"/>
    <x v="84"/>
    <n v="1730.0638000000001"/>
    <n v="0.2"/>
    <n v="1730.2638000000002"/>
    <n v="65836.537590000007"/>
    <n v="65888.445504000003"/>
  </r>
  <r>
    <x v="6"/>
    <n v="57.34"/>
    <n v="57.35"/>
    <x v="84"/>
    <n v="1148.8058000000001"/>
    <n v="0.05"/>
    <n v="1148.8558"/>
    <n v="65875.391572000008"/>
    <n v="65886.880130000005"/>
  </r>
  <r>
    <x v="7"/>
    <n v="51.1"/>
    <n v="51.11"/>
    <x v="84"/>
    <n v="1288.6435000000001"/>
    <n v="0"/>
    <n v="1288.6435000000001"/>
    <n v="65849.682850000012"/>
    <n v="65862.569285000005"/>
  </r>
  <r>
    <x v="8"/>
    <n v="18.62"/>
    <n v="18.63"/>
    <x v="84"/>
    <n v="3535.8029000000001"/>
    <n v="0"/>
    <n v="3535.8029000000001"/>
    <n v="65836.649998000008"/>
    <n v="65872.008027000003"/>
  </r>
  <r>
    <x v="9"/>
    <n v="37.32"/>
    <n v="37.33"/>
    <x v="84"/>
    <n v="1764.9866999999999"/>
    <n v="0.2"/>
    <n v="1765.1867"/>
    <n v="65876.767643999992"/>
    <n v="65894.419511"/>
  </r>
  <r>
    <x v="0"/>
    <n v="21.78"/>
    <n v="21.79"/>
    <x v="85"/>
    <n v="3014.8449999999998"/>
    <n v="0"/>
    <n v="3014.8449999999998"/>
    <n v="65663.324099999998"/>
    <n v="65693.472549999991"/>
  </r>
  <r>
    <x v="1"/>
    <n v="35.659999999999997"/>
    <n v="35.67"/>
    <x v="85"/>
    <n v="1842.0599"/>
    <n v="-0.1"/>
    <n v="1841.9599000000001"/>
    <n v="65684.290033999991"/>
    <n v="65702.709633000006"/>
  </r>
  <r>
    <x v="2"/>
    <n v="18.52"/>
    <n v="18.53"/>
    <x v="85"/>
    <n v="3546.4407000000001"/>
    <n v="0"/>
    <n v="3546.4407000000001"/>
    <n v="65680.081764000002"/>
    <n v="65715.546171000009"/>
  </r>
  <r>
    <x v="3"/>
    <n v="29.05"/>
    <n v="29.06"/>
    <x v="85"/>
    <n v="2261.2858000000001"/>
    <n v="-0.2"/>
    <n v="2261.0858000000003"/>
    <n v="65684.542490000007"/>
    <n v="65707.153348000007"/>
  </r>
  <r>
    <x v="4"/>
    <n v="69.42"/>
    <n v="69.489999999999995"/>
    <x v="85"/>
    <n v="946.09739999999999"/>
    <n v="0"/>
    <n v="946.09739999999999"/>
    <n v="65678.081508000003"/>
    <n v="65744.308325999998"/>
  </r>
  <r>
    <x v="5"/>
    <n v="37.94"/>
    <n v="37.979999999999997"/>
    <x v="85"/>
    <n v="1730.0638000000001"/>
    <n v="0.2"/>
    <n v="1730.2638000000002"/>
    <n v="65646.208572000003"/>
    <n v="65715.419124000007"/>
  </r>
  <r>
    <x v="6"/>
    <n v="57.17"/>
    <n v="57.18"/>
    <x v="85"/>
    <n v="1148.8058000000001"/>
    <n v="0.05"/>
    <n v="1148.8558"/>
    <n v="65680.08608600001"/>
    <n v="65691.574644000008"/>
  </r>
  <r>
    <x v="7"/>
    <n v="50.95"/>
    <n v="50.96"/>
    <x v="85"/>
    <n v="1288.6435000000001"/>
    <n v="0"/>
    <n v="1288.6435000000001"/>
    <n v="65656.386325000014"/>
    <n v="65669.272760000007"/>
  </r>
  <r>
    <x v="8"/>
    <n v="18.57"/>
    <n v="18.579999999999998"/>
    <x v="85"/>
    <n v="3535.8029000000001"/>
    <n v="0"/>
    <n v="3535.8029000000001"/>
    <n v="65659.859853000002"/>
    <n v="65695.217881999997"/>
  </r>
  <r>
    <x v="9"/>
    <n v="37.21"/>
    <n v="37.22"/>
    <x v="85"/>
    <n v="1764.9866999999999"/>
    <n v="0.2"/>
    <n v="1765.1867"/>
    <n v="65682.597106999994"/>
    <n v="65700.248974000002"/>
  </r>
  <r>
    <x v="0"/>
    <n v="21.78"/>
    <n v="21.79"/>
    <x v="86"/>
    <n v="3014.8449999999998"/>
    <n v="0"/>
    <n v="3014.8449999999998"/>
    <n v="65663.324099999998"/>
    <n v="65693.472549999991"/>
  </r>
  <r>
    <x v="1"/>
    <n v="35.65"/>
    <n v="35.659999999999997"/>
    <x v="86"/>
    <n v="1842.0599"/>
    <n v="-0.1"/>
    <n v="1841.9599000000001"/>
    <n v="65665.870435000004"/>
    <n v="65684.290033999991"/>
  </r>
  <r>
    <x v="2"/>
    <n v="18.510000000000002"/>
    <n v="18.52"/>
    <x v="86"/>
    <n v="3546.4407000000001"/>
    <n v="0"/>
    <n v="3546.4407000000001"/>
    <n v="65644.61735700001"/>
    <n v="65680.081764000002"/>
  </r>
  <r>
    <x v="3"/>
    <n v="29.05"/>
    <n v="29.06"/>
    <x v="86"/>
    <n v="2261.2858000000001"/>
    <n v="-0.2"/>
    <n v="2261.0858000000003"/>
    <n v="65684.542490000007"/>
    <n v="65707.153348000007"/>
  </r>
  <r>
    <x v="4"/>
    <n v="69.41"/>
    <n v="69.5"/>
    <x v="86"/>
    <n v="946.09739999999999"/>
    <n v="0"/>
    <n v="946.09739999999999"/>
    <n v="65668.620534000001"/>
    <n v="65753.7693"/>
  </r>
  <r>
    <x v="5"/>
    <n v="37.94"/>
    <n v="37.97"/>
    <x v="86"/>
    <n v="1730.0638000000001"/>
    <n v="0.2"/>
    <n v="1730.2638000000002"/>
    <n v="65646.208572000003"/>
    <n v="65698.116485999999"/>
  </r>
  <r>
    <x v="6"/>
    <n v="57.17"/>
    <n v="57.18"/>
    <x v="86"/>
    <n v="1148.8058000000001"/>
    <n v="0.05"/>
    <n v="1148.8558"/>
    <n v="65680.08608600001"/>
    <n v="65691.574644000008"/>
  </r>
  <r>
    <x v="7"/>
    <n v="50.95"/>
    <n v="50.96"/>
    <x v="86"/>
    <n v="1288.6435000000001"/>
    <n v="0"/>
    <n v="1288.6435000000001"/>
    <n v="65656.386325000014"/>
    <n v="65669.272760000007"/>
  </r>
  <r>
    <x v="8"/>
    <n v="18.57"/>
    <n v="18.579999999999998"/>
    <x v="86"/>
    <n v="3535.8029000000001"/>
    <n v="0"/>
    <n v="3535.8029000000001"/>
    <n v="65659.859853000002"/>
    <n v="65695.217881999997"/>
  </r>
  <r>
    <x v="9"/>
    <n v="37.21"/>
    <n v="37.22"/>
    <x v="86"/>
    <n v="1764.9866999999999"/>
    <n v="0.2"/>
    <n v="1765.1867"/>
    <n v="65682.597106999994"/>
    <n v="65700.248974000002"/>
  </r>
  <r>
    <x v="0"/>
    <n v="21.81"/>
    <n v="21.82"/>
    <x v="87"/>
    <n v="3014.8449999999998"/>
    <n v="0"/>
    <n v="3014.8449999999998"/>
    <n v="65753.769449999993"/>
    <n v="65783.9179"/>
  </r>
  <r>
    <x v="1"/>
    <n v="35.700000000000003"/>
    <n v="35.71"/>
    <x v="87"/>
    <n v="1842.0599"/>
    <n v="-0.1"/>
    <n v="1841.9599000000001"/>
    <n v="65757.968430000008"/>
    <n v="65776.388029000009"/>
  </r>
  <r>
    <x v="2"/>
    <n v="18.54"/>
    <n v="18.55"/>
    <x v="87"/>
    <n v="3546.4407000000001"/>
    <n v="0"/>
    <n v="3546.4407000000001"/>
    <n v="65751.010578000001"/>
    <n v="65786.474985000008"/>
  </r>
  <r>
    <x v="3"/>
    <n v="29.08"/>
    <n v="29.09"/>
    <x v="87"/>
    <n v="2261.2858000000001"/>
    <n v="-0.2"/>
    <n v="2261.0858000000003"/>
    <n v="65752.375064000007"/>
    <n v="65774.985922000007"/>
  </r>
  <r>
    <x v="4"/>
    <n v="69.5"/>
    <n v="69.56"/>
    <x v="87"/>
    <n v="946.09739999999999"/>
    <n v="0"/>
    <n v="946.09739999999999"/>
    <n v="65753.7693"/>
    <n v="65810.535144000009"/>
  </r>
  <r>
    <x v="5"/>
    <n v="37.99"/>
    <n v="38.020000000000003"/>
    <x v="87"/>
    <n v="1730.0638000000001"/>
    <n v="0.2"/>
    <n v="1730.2638000000002"/>
    <n v="65732.721762000016"/>
    <n v="65784.629676000011"/>
  </r>
  <r>
    <x v="6"/>
    <n v="57.24"/>
    <n v="57.25"/>
    <x v="87"/>
    <n v="1148.8058000000001"/>
    <n v="0.05"/>
    <n v="1148.8558"/>
    <n v="65760.505992000006"/>
    <n v="65771.994550000003"/>
  </r>
  <r>
    <x v="7"/>
    <n v="51.02"/>
    <n v="51.03"/>
    <x v="87"/>
    <n v="1288.6435000000001"/>
    <n v="0"/>
    <n v="1288.6435000000001"/>
    <n v="65746.591370000009"/>
    <n v="65759.477805000002"/>
  </r>
  <r>
    <x v="8"/>
    <n v="18.59"/>
    <n v="18.600000000000001"/>
    <x v="87"/>
    <n v="3535.8029000000001"/>
    <n v="0"/>
    <n v="3535.8029000000001"/>
    <n v="65730.575911000007"/>
    <n v="65765.933940000003"/>
  </r>
  <r>
    <x v="9"/>
    <n v="37.25"/>
    <n v="37.26"/>
    <x v="87"/>
    <n v="1764.9866999999999"/>
    <n v="0.2"/>
    <n v="1765.1867"/>
    <n v="65753.204574999996"/>
    <n v="65770.856441999989"/>
  </r>
  <r>
    <x v="0"/>
    <n v="21.79"/>
    <n v="21.8"/>
    <x v="88"/>
    <n v="3014.8449999999998"/>
    <n v="0"/>
    <n v="3014.8449999999998"/>
    <n v="65693.472549999991"/>
    <n v="65723.620999999999"/>
  </r>
  <r>
    <x v="1"/>
    <n v="35.67"/>
    <n v="35.68"/>
    <x v="88"/>
    <n v="1842.0599"/>
    <n v="-0.1"/>
    <n v="1841.9599000000001"/>
    <n v="65702.709633000006"/>
    <n v="65721.129232000007"/>
  </r>
  <r>
    <x v="2"/>
    <n v="18.53"/>
    <n v="18.54"/>
    <x v="88"/>
    <n v="3546.4407000000001"/>
    <n v="0"/>
    <n v="3546.4407000000001"/>
    <n v="65715.546171000009"/>
    <n v="65751.010578000001"/>
  </r>
  <r>
    <x v="3"/>
    <n v="29.06"/>
    <n v="29.07"/>
    <x v="88"/>
    <n v="2261.2858000000001"/>
    <n v="-0.2"/>
    <n v="2261.0858000000003"/>
    <n v="65707.153348000007"/>
    <n v="65729.764206000007"/>
  </r>
  <r>
    <x v="4"/>
    <n v="69.459999999999994"/>
    <n v="69.52"/>
    <x v="88"/>
    <n v="946.09739999999999"/>
    <n v="0"/>
    <n v="946.09739999999999"/>
    <n v="65715.925403999994"/>
    <n v="65772.691248000003"/>
  </r>
  <r>
    <x v="5"/>
    <n v="37.97"/>
    <n v="38"/>
    <x v="88"/>
    <n v="1730.0638000000001"/>
    <n v="0.2"/>
    <n v="1730.2638000000002"/>
    <n v="65698.116485999999"/>
    <n v="65750.024400000009"/>
  </r>
  <r>
    <x v="6"/>
    <n v="57.2"/>
    <n v="57.21"/>
    <x v="88"/>
    <n v="1148.8058000000001"/>
    <n v="0.05"/>
    <n v="1148.8558"/>
    <n v="65714.551760000002"/>
    <n v="65726.040317999999"/>
  </r>
  <r>
    <x v="7"/>
    <n v="50.98"/>
    <n v="50.99"/>
    <x v="88"/>
    <n v="1288.6435000000001"/>
    <n v="0"/>
    <n v="1288.6435000000001"/>
    <n v="65695.045630000008"/>
    <n v="65707.932065000015"/>
  </r>
  <r>
    <x v="8"/>
    <n v="18.579999999999998"/>
    <n v="18.59"/>
    <x v="88"/>
    <n v="3535.8029000000001"/>
    <n v="0"/>
    <n v="3535.8029000000001"/>
    <n v="65695.217881999997"/>
    <n v="65730.575911000007"/>
  </r>
  <r>
    <x v="9"/>
    <n v="37.229999999999997"/>
    <n v="37.24"/>
    <x v="88"/>
    <n v="1764.9866999999999"/>
    <n v="0.2"/>
    <n v="1765.1867"/>
    <n v="65717.900840999995"/>
    <n v="65735.552708000003"/>
  </r>
  <r>
    <x v="0"/>
    <n v="21.8"/>
    <n v="21.81"/>
    <x v="89"/>
    <n v="3014.8449999999998"/>
    <n v="0"/>
    <n v="3014.8449999999998"/>
    <n v="65723.620999999999"/>
    <n v="65753.769449999993"/>
  </r>
  <r>
    <x v="1"/>
    <n v="35.69"/>
    <n v="35.700000000000003"/>
    <x v="89"/>
    <n v="1842.0599"/>
    <n v="-0.1"/>
    <n v="1841.9599000000001"/>
    <n v="65739.548830999993"/>
    <n v="65757.968430000008"/>
  </r>
  <r>
    <x v="2"/>
    <n v="18.54"/>
    <n v="18.55"/>
    <x v="89"/>
    <n v="3546.4407000000001"/>
    <n v="0"/>
    <n v="3546.4407000000001"/>
    <n v="65751.010578000001"/>
    <n v="65786.474985000008"/>
  </r>
  <r>
    <x v="3"/>
    <n v="29.08"/>
    <n v="29.09"/>
    <x v="89"/>
    <n v="2261.2858000000001"/>
    <n v="-0.2"/>
    <n v="2261.0858000000003"/>
    <n v="65752.375064000007"/>
    <n v="65774.985922000007"/>
  </r>
  <r>
    <x v="4"/>
    <n v="69.5"/>
    <n v="69.55"/>
    <x v="89"/>
    <n v="946.09739999999999"/>
    <n v="0"/>
    <n v="946.09739999999999"/>
    <n v="65753.7693"/>
    <n v="65801.074169999993"/>
  </r>
  <r>
    <x v="5"/>
    <n v="37.99"/>
    <n v="38.01"/>
    <x v="89"/>
    <n v="1730.0638000000001"/>
    <n v="0.2"/>
    <n v="1730.2638000000002"/>
    <n v="65732.721762000016"/>
    <n v="65767.327038000003"/>
  </r>
  <r>
    <x v="6"/>
    <n v="57.23"/>
    <n v="57.24"/>
    <x v="89"/>
    <n v="1148.8058000000001"/>
    <n v="0.05"/>
    <n v="1148.8558"/>
    <n v="65749.017433999994"/>
    <n v="65760.505992000006"/>
  </r>
  <r>
    <x v="7"/>
    <n v="51"/>
    <n v="51.01"/>
    <x v="89"/>
    <n v="1288.6435000000001"/>
    <n v="0"/>
    <n v="1288.6435000000001"/>
    <n v="65720.818500000008"/>
    <n v="65733.704935000002"/>
  </r>
  <r>
    <x v="8"/>
    <n v="18.59"/>
    <n v="18.600000000000001"/>
    <x v="89"/>
    <n v="3535.8029000000001"/>
    <n v="0"/>
    <n v="3535.8029000000001"/>
    <n v="65730.575911000007"/>
    <n v="65765.933940000003"/>
  </r>
  <r>
    <x v="9"/>
    <n v="37.24"/>
    <n v="37.25"/>
    <x v="89"/>
    <n v="1764.9866999999999"/>
    <n v="0.2"/>
    <n v="1765.1867"/>
    <n v="65735.552708000003"/>
    <n v="65753.204574999996"/>
  </r>
  <r>
    <x v="0"/>
    <n v="21.79"/>
    <n v="21.8"/>
    <x v="90"/>
    <n v="3014.8449999999998"/>
    <n v="0"/>
    <n v="3014.8449999999998"/>
    <n v="65693.472549999991"/>
    <n v="65723.620999999999"/>
  </r>
  <r>
    <x v="1"/>
    <n v="35.67"/>
    <n v="35.68"/>
    <x v="90"/>
    <n v="1842.0599"/>
    <n v="-0.1"/>
    <n v="1841.9599000000001"/>
    <n v="65702.709633000006"/>
    <n v="65721.129232000007"/>
  </r>
  <r>
    <x v="2"/>
    <n v="18.52"/>
    <n v="18.53"/>
    <x v="90"/>
    <n v="3546.4407000000001"/>
    <n v="0"/>
    <n v="3546.4407000000001"/>
    <n v="65680.081764000002"/>
    <n v="65715.546171000009"/>
  </r>
  <r>
    <x v="3"/>
    <n v="29.06"/>
    <n v="29.07"/>
    <x v="90"/>
    <n v="2261.2858000000001"/>
    <n v="-0.2"/>
    <n v="2261.0858000000003"/>
    <n v="65707.153348000007"/>
    <n v="65729.764206000007"/>
  </r>
  <r>
    <x v="4"/>
    <n v="69.44"/>
    <n v="69.5"/>
    <x v="90"/>
    <n v="946.09739999999999"/>
    <n v="0"/>
    <n v="946.09739999999999"/>
    <n v="65697.003455999991"/>
    <n v="65753.7693"/>
  </r>
  <r>
    <x v="5"/>
    <n v="37.96"/>
    <n v="37.99"/>
    <x v="90"/>
    <n v="1730.0638000000001"/>
    <n v="0.2"/>
    <n v="1730.2638000000002"/>
    <n v="65680.813848000005"/>
    <n v="65732.721762000016"/>
  </r>
  <r>
    <x v="6"/>
    <n v="57.19"/>
    <n v="57.2"/>
    <x v="90"/>
    <n v="1148.8058000000001"/>
    <n v="0.05"/>
    <n v="1148.8558"/>
    <n v="65703.063202000005"/>
    <n v="65714.551760000002"/>
  </r>
  <r>
    <x v="7"/>
    <n v="50.97"/>
    <n v="50.98"/>
    <x v="90"/>
    <n v="1288.6435000000001"/>
    <n v="0"/>
    <n v="1288.6435000000001"/>
    <n v="65682.159195"/>
    <n v="65695.045630000008"/>
  </r>
  <r>
    <x v="8"/>
    <n v="18.579999999999998"/>
    <n v="18.59"/>
    <x v="90"/>
    <n v="3535.8029000000001"/>
    <n v="0"/>
    <n v="3535.8029000000001"/>
    <n v="65695.217881999997"/>
    <n v="65730.575911000007"/>
  </r>
  <r>
    <x v="9"/>
    <n v="37.22"/>
    <n v="37.229999999999997"/>
    <x v="90"/>
    <n v="1764.9866999999999"/>
    <n v="0.2"/>
    <n v="1765.1867"/>
    <n v="65700.248974000002"/>
    <n v="65717.900840999995"/>
  </r>
  <r>
    <x v="0"/>
    <n v="21.77"/>
    <n v="21.78"/>
    <x v="91"/>
    <n v="3014.8449999999998"/>
    <n v="0"/>
    <n v="3014.8449999999998"/>
    <n v="65633.17564999999"/>
    <n v="65663.324099999998"/>
  </r>
  <r>
    <x v="1"/>
    <n v="35.65"/>
    <n v="35.659999999999997"/>
    <x v="91"/>
    <n v="1842.0599"/>
    <n v="-0.1"/>
    <n v="1841.9599000000001"/>
    <n v="65665.870435000004"/>
    <n v="65684.290033999991"/>
  </r>
  <r>
    <x v="2"/>
    <n v="18.510000000000002"/>
    <n v="18.52"/>
    <x v="91"/>
    <n v="3546.4407000000001"/>
    <n v="0"/>
    <n v="3546.4407000000001"/>
    <n v="65644.61735700001"/>
    <n v="65680.081764000002"/>
  </r>
  <r>
    <x v="3"/>
    <n v="29.04"/>
    <n v="29.05"/>
    <x v="91"/>
    <n v="2261.2858000000001"/>
    <n v="-0.2"/>
    <n v="2261.0858000000003"/>
    <n v="65661.931632000007"/>
    <n v="65684.542490000007"/>
  </r>
  <r>
    <x v="4"/>
    <n v="69.400000000000006"/>
    <n v="69.47"/>
    <x v="91"/>
    <n v="946.09739999999999"/>
    <n v="0"/>
    <n v="946.09739999999999"/>
    <n v="65659.15956"/>
    <n v="65725.386377999996"/>
  </r>
  <r>
    <x v="5"/>
    <n v="37.94"/>
    <n v="37.97"/>
    <x v="91"/>
    <n v="1730.0638000000001"/>
    <n v="0.2"/>
    <n v="1730.2638000000002"/>
    <n v="65646.208572000003"/>
    <n v="65698.116485999999"/>
  </r>
  <r>
    <x v="6"/>
    <n v="57.16"/>
    <n v="57.17"/>
    <x v="91"/>
    <n v="1148.8058000000001"/>
    <n v="0.05"/>
    <n v="1148.8558"/>
    <n v="65668.597527999998"/>
    <n v="65680.08608600001"/>
  </r>
  <r>
    <x v="7"/>
    <n v="50.94"/>
    <n v="50.95"/>
    <x v="91"/>
    <n v="1288.6435000000001"/>
    <n v="0"/>
    <n v="1288.6435000000001"/>
    <n v="65643.499890000006"/>
    <n v="65656.386325000014"/>
  </r>
  <r>
    <x v="8"/>
    <n v="18.57"/>
    <n v="18.579999999999998"/>
    <x v="91"/>
    <n v="3535.8029000000001"/>
    <n v="0"/>
    <n v="3535.8029000000001"/>
    <n v="65659.859853000002"/>
    <n v="65695.217881999997"/>
  </r>
  <r>
    <x v="9"/>
    <n v="37.200000000000003"/>
    <n v="37.21"/>
    <x v="91"/>
    <n v="1764.9866999999999"/>
    <n v="0.2"/>
    <n v="1765.1867"/>
    <n v="65664.945240000001"/>
    <n v="65682.597106999994"/>
  </r>
  <r>
    <x v="0"/>
    <n v="21.86"/>
    <n v="21.87"/>
    <x v="92"/>
    <n v="3014.8449999999998"/>
    <n v="0"/>
    <n v="3014.8449999999998"/>
    <n v="65904.511699999988"/>
    <n v="65934.660149999996"/>
  </r>
  <r>
    <x v="1"/>
    <n v="35.78"/>
    <n v="35.79"/>
    <x v="92"/>
    <n v="1842.0599"/>
    <n v="-0.1"/>
    <n v="1841.9599000000001"/>
    <n v="65905.325221999999"/>
    <n v="65923.744821"/>
  </r>
  <r>
    <x v="2"/>
    <n v="18.59"/>
    <n v="18.600000000000001"/>
    <x v="92"/>
    <n v="3546.4407000000001"/>
    <n v="0"/>
    <n v="3546.4407000000001"/>
    <n v="65928.332613000006"/>
    <n v="65963.797020000013"/>
  </r>
  <r>
    <x v="3"/>
    <n v="29.15"/>
    <n v="29.16"/>
    <x v="92"/>
    <n v="2261.2858000000001"/>
    <n v="-0.2"/>
    <n v="2261.0858000000003"/>
    <n v="65910.651070000007"/>
    <n v="65933.261928000007"/>
  </r>
  <r>
    <x v="4"/>
    <n v="69.680000000000007"/>
    <n v="69.739999999999995"/>
    <x v="92"/>
    <n v="946.09739999999999"/>
    <n v="0"/>
    <n v="946.09739999999999"/>
    <n v="65924.066832000011"/>
    <n v="65980.832675999991"/>
  </r>
  <r>
    <x v="5"/>
    <n v="38.090000000000003"/>
    <n v="38.11"/>
    <x v="92"/>
    <n v="1730.0638000000001"/>
    <n v="0.2"/>
    <n v="1730.2638000000002"/>
    <n v="65905.748142000011"/>
    <n v="65940.353417999999"/>
  </r>
  <r>
    <x v="6"/>
    <n v="57.38"/>
    <n v="57.39"/>
    <x v="92"/>
    <n v="1148.8058000000001"/>
    <n v="0.05"/>
    <n v="1148.8558"/>
    <n v="65921.345804000011"/>
    <n v="65932.834362000009"/>
  </r>
  <r>
    <x v="7"/>
    <n v="51.14"/>
    <n v="51.15"/>
    <x v="92"/>
    <n v="1288.6435000000001"/>
    <n v="0"/>
    <n v="1288.6435000000001"/>
    <n v="65901.228590000013"/>
    <n v="65914.115025000006"/>
  </r>
  <r>
    <x v="8"/>
    <n v="18.64"/>
    <n v="18.649999999999999"/>
    <x v="92"/>
    <n v="3535.8029000000001"/>
    <n v="0"/>
    <n v="3535.8029000000001"/>
    <n v="65907.366055999999"/>
    <n v="65942.724084999994"/>
  </r>
  <r>
    <x v="9"/>
    <n v="37.35"/>
    <n v="37.36"/>
    <x v="92"/>
    <n v="1764.9866999999999"/>
    <n v="0.2"/>
    <n v="1765.1867"/>
    <n v="65929.723245000001"/>
    <n v="65947.375111999994"/>
  </r>
  <r>
    <x v="0"/>
    <n v="21.9"/>
    <n v="21.91"/>
    <x v="93"/>
    <n v="3014.8449999999998"/>
    <n v="0"/>
    <n v="3014.8449999999998"/>
    <n v="66025.105499999991"/>
    <n v="66055.253949999998"/>
  </r>
  <r>
    <x v="1"/>
    <n v="35.840000000000003"/>
    <n v="35.85"/>
    <x v="93"/>
    <n v="1842.0599"/>
    <n v="-0.1"/>
    <n v="1841.9599000000001"/>
    <n v="66015.842816000004"/>
    <n v="66034.262415000005"/>
  </r>
  <r>
    <x v="2"/>
    <n v="18.62"/>
    <n v="18.63"/>
    <x v="93"/>
    <n v="3546.4407000000001"/>
    <n v="0"/>
    <n v="3546.4407000000001"/>
    <n v="66034.725834000012"/>
    <n v="66070.190241000004"/>
  </r>
  <r>
    <x v="3"/>
    <n v="29.2"/>
    <n v="29.21"/>
    <x v="93"/>
    <n v="2261.2858000000001"/>
    <n v="-0.2"/>
    <n v="2261.0858000000003"/>
    <n v="66023.705360000007"/>
    <n v="66046.316218000007"/>
  </r>
  <r>
    <x v="4"/>
    <n v="69.790000000000006"/>
    <n v="69.849999999999994"/>
    <x v="93"/>
    <n v="946.09739999999999"/>
    <n v="0"/>
    <n v="946.09739999999999"/>
    <n v="66028.137546000013"/>
    <n v="66084.903389999992"/>
  </r>
  <r>
    <x v="5"/>
    <n v="38.15"/>
    <n v="38.17"/>
    <x v="93"/>
    <n v="1730.0638000000001"/>
    <n v="0.2"/>
    <n v="1730.2638000000002"/>
    <n v="66009.563970000003"/>
    <n v="66044.169246000005"/>
  </r>
  <r>
    <x v="6"/>
    <n v="57.47"/>
    <n v="57.48"/>
    <x v="93"/>
    <n v="1148.8058000000001"/>
    <n v="0.05"/>
    <n v="1148.8558"/>
    <n v="66024.742826000002"/>
    <n v="66036.231383999999"/>
  </r>
  <r>
    <x v="7"/>
    <n v="51.22"/>
    <n v="51.23"/>
    <x v="93"/>
    <n v="1288.6435000000001"/>
    <n v="0"/>
    <n v="1288.6435000000001"/>
    <n v="66004.320070000002"/>
    <n v="66017.206505000009"/>
  </r>
  <r>
    <x v="8"/>
    <n v="18.670000000000002"/>
    <n v="18.68"/>
    <x v="93"/>
    <n v="3535.8029000000001"/>
    <n v="0"/>
    <n v="3535.8029000000001"/>
    <n v="66013.440143000014"/>
    <n v="66048.798171999995"/>
  </r>
  <r>
    <x v="9"/>
    <n v="37.409999999999997"/>
    <n v="37.42"/>
    <x v="93"/>
    <n v="1764.9866999999999"/>
    <n v="0.2"/>
    <n v="1765.1867"/>
    <n v="66035.634446999989"/>
    <n v="66053.286313999997"/>
  </r>
  <r>
    <x v="0"/>
    <n v="21.86"/>
    <n v="21.87"/>
    <x v="94"/>
    <n v="3014.8449999999998"/>
    <n v="0"/>
    <n v="3014.8449999999998"/>
    <n v="65904.511699999988"/>
    <n v="65934.660149999996"/>
  </r>
  <r>
    <x v="1"/>
    <n v="35.79"/>
    <n v="35.799999999999997"/>
    <x v="94"/>
    <n v="1842.0599"/>
    <n v="-0.1"/>
    <n v="1841.9599000000001"/>
    <n v="65923.744821"/>
    <n v="65942.164420000001"/>
  </r>
  <r>
    <x v="2"/>
    <n v="18.59"/>
    <n v="18.600000000000001"/>
    <x v="94"/>
    <n v="3546.4407000000001"/>
    <n v="0"/>
    <n v="3546.4407000000001"/>
    <n v="65928.332613000006"/>
    <n v="65963.797020000013"/>
  </r>
  <r>
    <x v="3"/>
    <n v="29.16"/>
    <n v="29.17"/>
    <x v="94"/>
    <n v="2261.2858000000001"/>
    <n v="-0.2"/>
    <n v="2261.0858000000003"/>
    <n v="65933.261928000007"/>
    <n v="65955.872786000007"/>
  </r>
  <r>
    <x v="4"/>
    <n v="69.69"/>
    <n v="69.739999999999995"/>
    <x v="94"/>
    <n v="946.09739999999999"/>
    <n v="0"/>
    <n v="946.09739999999999"/>
    <n v="65933.527805999998"/>
    <n v="65980.832675999991"/>
  </r>
  <r>
    <x v="5"/>
    <n v="38.090000000000003"/>
    <n v="38.119999999999997"/>
    <x v="94"/>
    <n v="1730.0638000000001"/>
    <n v="0.2"/>
    <n v="1730.2638000000002"/>
    <n v="65905.748142000011"/>
    <n v="65957.656056000007"/>
  </r>
  <r>
    <x v="6"/>
    <n v="57.4"/>
    <n v="57.41"/>
    <x v="94"/>
    <n v="1148.8058000000001"/>
    <n v="0.05"/>
    <n v="1148.8558"/>
    <n v="65944.322920000006"/>
    <n v="65955.811478000003"/>
  </r>
  <r>
    <x v="7"/>
    <n v="51.15"/>
    <n v="51.16"/>
    <x v="94"/>
    <n v="1288.6435000000001"/>
    <n v="0"/>
    <n v="1288.6435000000001"/>
    <n v="65914.115025000006"/>
    <n v="65927.001459999999"/>
  </r>
  <r>
    <x v="8"/>
    <n v="18.64"/>
    <n v="18.649999999999999"/>
    <x v="94"/>
    <n v="3535.8029000000001"/>
    <n v="0"/>
    <n v="3535.8029000000001"/>
    <n v="65907.366055999999"/>
    <n v="65942.724084999994"/>
  </r>
  <r>
    <x v="9"/>
    <n v="37.35"/>
    <n v="37.36"/>
    <x v="94"/>
    <n v="1764.9866999999999"/>
    <n v="0.2"/>
    <n v="1765.1867"/>
    <n v="65929.723245000001"/>
    <n v="65947.375111999994"/>
  </r>
  <r>
    <x v="0"/>
    <n v="21.83"/>
    <n v="21.84"/>
    <x v="95"/>
    <n v="3014.8449999999998"/>
    <n v="0"/>
    <n v="3014.8449999999998"/>
    <n v="65814.066349999994"/>
    <n v="65844.214800000002"/>
  </r>
  <r>
    <x v="1"/>
    <n v="35.74"/>
    <n v="35.75"/>
    <x v="95"/>
    <n v="1842.0599"/>
    <n v="-0.1"/>
    <n v="1841.9599000000001"/>
    <n v="65831.646826000011"/>
    <n v="65850.066424999997"/>
  </r>
  <r>
    <x v="2"/>
    <n v="18.559999999999999"/>
    <n v="18.57"/>
    <x v="95"/>
    <n v="3546.4407000000001"/>
    <n v="0"/>
    <n v="3546.4407000000001"/>
    <n v="65821.939392"/>
    <n v="65857.403799000007"/>
  </r>
  <r>
    <x v="3"/>
    <n v="29.12"/>
    <n v="29.13"/>
    <x v="95"/>
    <n v="2261.2858000000001"/>
    <n v="-0.2"/>
    <n v="2261.0858000000003"/>
    <n v="65842.818496000007"/>
    <n v="65865.429354000007"/>
  </r>
  <r>
    <x v="4"/>
    <n v="69.599999999999994"/>
    <n v="69.650000000000006"/>
    <x v="95"/>
    <n v="946.09739999999999"/>
    <n v="0"/>
    <n v="946.09739999999999"/>
    <n v="65848.37904"/>
    <n v="65895.683910000007"/>
  </r>
  <r>
    <x v="5"/>
    <n v="38.04"/>
    <n v="38.07"/>
    <x v="95"/>
    <n v="1730.0638000000001"/>
    <n v="0.2"/>
    <n v="1730.2638000000002"/>
    <n v="65819.234951999999"/>
    <n v="65871.142866000009"/>
  </r>
  <r>
    <x v="6"/>
    <n v="57.31"/>
    <n v="57.32"/>
    <x v="95"/>
    <n v="1148.8058000000001"/>
    <n v="0.05"/>
    <n v="1148.8558"/>
    <n v="65840.925898000001"/>
    <n v="65852.414455999999"/>
  </r>
  <r>
    <x v="7"/>
    <n v="51.08"/>
    <n v="51.09"/>
    <x v="95"/>
    <n v="1288.6435000000001"/>
    <n v="0"/>
    <n v="1288.6435000000001"/>
    <n v="65823.909980000011"/>
    <n v="65836.796415000004"/>
  </r>
  <r>
    <x v="8"/>
    <n v="18.62"/>
    <n v="18.63"/>
    <x v="95"/>
    <n v="3535.8029000000001"/>
    <n v="0"/>
    <n v="3535.8029000000001"/>
    <n v="65836.649998000008"/>
    <n v="65872.008027000003"/>
  </r>
  <r>
    <x v="9"/>
    <n v="37.299999999999997"/>
    <n v="37.31"/>
    <x v="95"/>
    <n v="1764.9866999999999"/>
    <n v="0.2"/>
    <n v="1765.1867"/>
    <n v="65841.463909999991"/>
    <n v="65859.115776999999"/>
  </r>
  <r>
    <x v="0"/>
    <n v="21.83"/>
    <n v="21.84"/>
    <x v="96"/>
    <n v="3014.8449999999998"/>
    <n v="0"/>
    <n v="3014.8449999999998"/>
    <n v="65814.066349999994"/>
    <n v="65844.214800000002"/>
  </r>
  <r>
    <x v="1"/>
    <n v="35.74"/>
    <n v="35.75"/>
    <x v="96"/>
    <n v="1842.0599"/>
    <n v="-0.1"/>
    <n v="1841.9599000000001"/>
    <n v="65831.646826000011"/>
    <n v="65850.066424999997"/>
  </r>
  <r>
    <x v="2"/>
    <n v="18.559999999999999"/>
    <n v="18.57"/>
    <x v="96"/>
    <n v="3546.4407000000001"/>
    <n v="0"/>
    <n v="3546.4407000000001"/>
    <n v="65821.939392"/>
    <n v="65857.403799000007"/>
  </r>
  <r>
    <x v="3"/>
    <n v="29.12"/>
    <n v="29.13"/>
    <x v="96"/>
    <n v="2261.2858000000001"/>
    <n v="-0.2"/>
    <n v="2261.0858000000003"/>
    <n v="65842.818496000007"/>
    <n v="65865.429354000007"/>
  </r>
  <r>
    <x v="4"/>
    <n v="69.569999999999993"/>
    <n v="69.63"/>
    <x v="96"/>
    <n v="946.09739999999999"/>
    <n v="0"/>
    <n v="946.09739999999999"/>
    <n v="65819.996117999995"/>
    <n v="65876.76196199999"/>
  </r>
  <r>
    <x v="5"/>
    <n v="38.03"/>
    <n v="38.06"/>
    <x v="96"/>
    <n v="1730.0638000000001"/>
    <n v="0.2"/>
    <n v="1730.2638000000002"/>
    <n v="65801.932314000005"/>
    <n v="65853.840228000015"/>
  </r>
  <r>
    <x v="6"/>
    <n v="57.3"/>
    <n v="57.31"/>
    <x v="96"/>
    <n v="1148.8058000000001"/>
    <n v="0.05"/>
    <n v="1148.8558"/>
    <n v="65829.437340000004"/>
    <n v="65840.925898000001"/>
  </r>
  <r>
    <x v="7"/>
    <n v="51.07"/>
    <n v="51.08"/>
    <x v="96"/>
    <n v="1288.6435000000001"/>
    <n v="0"/>
    <n v="1288.6435000000001"/>
    <n v="65811.023545000004"/>
    <n v="65823.909980000011"/>
  </r>
  <r>
    <x v="8"/>
    <n v="18.62"/>
    <n v="18.63"/>
    <x v="96"/>
    <n v="3535.8029000000001"/>
    <n v="0"/>
    <n v="3535.8029000000001"/>
    <n v="65836.649998000008"/>
    <n v="65872.008027000003"/>
  </r>
  <r>
    <x v="9"/>
    <n v="37.29"/>
    <n v="37.299999999999997"/>
    <x v="96"/>
    <n v="1764.9866999999999"/>
    <n v="0.2"/>
    <n v="1765.1867"/>
    <n v="65823.812042999998"/>
    <n v="65841.463909999991"/>
  </r>
  <r>
    <x v="0"/>
    <n v="21.77"/>
    <n v="21.78"/>
    <x v="97"/>
    <n v="3014.8449999999998"/>
    <n v="0"/>
    <n v="3014.8449999999998"/>
    <n v="65633.17564999999"/>
    <n v="65663.324099999998"/>
  </r>
  <r>
    <x v="1"/>
    <n v="35.630000000000003"/>
    <n v="35.64"/>
    <x v="97"/>
    <n v="1842.0599"/>
    <n v="-0.1"/>
    <n v="1841.9599000000001"/>
    <n v="65629.031237000003"/>
    <n v="65647.450836000004"/>
  </r>
  <r>
    <x v="2"/>
    <n v="18.5"/>
    <n v="18.510000000000002"/>
    <x v="97"/>
    <n v="3546.4407000000001"/>
    <n v="0"/>
    <n v="3546.4407000000001"/>
    <n v="65609.152950000003"/>
    <n v="65644.61735700001"/>
  </r>
  <r>
    <x v="3"/>
    <n v="29.03"/>
    <n v="29.04"/>
    <x v="97"/>
    <n v="2261.2858000000001"/>
    <n v="-0.2"/>
    <n v="2261.0858000000003"/>
    <n v="65639.320774000007"/>
    <n v="65661.931632000007"/>
  </r>
  <r>
    <x v="4"/>
    <n v="69.37"/>
    <n v="69.45"/>
    <x v="97"/>
    <n v="946.09739999999999"/>
    <n v="0"/>
    <n v="946.09739999999999"/>
    <n v="65630.77663800001"/>
    <n v="65706.464430000007"/>
  </r>
  <r>
    <x v="5"/>
    <n v="37.92"/>
    <n v="37.94"/>
    <x v="97"/>
    <n v="1730.0638000000001"/>
    <n v="0.2"/>
    <n v="1730.2638000000002"/>
    <n v="65611.603296000016"/>
    <n v="65646.208572000003"/>
  </r>
  <r>
    <x v="6"/>
    <n v="57.13"/>
    <n v="57.14"/>
    <x v="97"/>
    <n v="1148.8058000000001"/>
    <n v="0.05"/>
    <n v="1148.8558"/>
    <n v="65634.131854000007"/>
    <n v="65645.620412000004"/>
  </r>
  <r>
    <x v="7"/>
    <n v="50.91"/>
    <n v="50.92"/>
    <x v="97"/>
    <n v="1288.6435000000001"/>
    <n v="0"/>
    <n v="1288.6435000000001"/>
    <n v="65604.840584999998"/>
    <n v="65617.727020000006"/>
  </r>
  <r>
    <x v="8"/>
    <n v="18.559999999999999"/>
    <n v="18.57"/>
    <x v="97"/>
    <n v="3535.8029000000001"/>
    <n v="0"/>
    <n v="3535.8029000000001"/>
    <n v="65624.501823999992"/>
    <n v="65659.859853000002"/>
  </r>
  <r>
    <x v="9"/>
    <n v="37.18"/>
    <n v="37.19"/>
    <x v="97"/>
    <n v="1764.9866999999999"/>
    <n v="0.2"/>
    <n v="1765.1867"/>
    <n v="65629.641506"/>
    <n v="65647.293372999993"/>
  </r>
  <r>
    <x v="0"/>
    <n v="21.72"/>
    <n v="21.73"/>
    <x v="98"/>
    <n v="3014.8449999999998"/>
    <n v="0"/>
    <n v="3014.8449999999998"/>
    <n v="65482.433399999994"/>
    <n v="65512.581849999995"/>
  </r>
  <r>
    <x v="1"/>
    <n v="35.57"/>
    <n v="35.58"/>
    <x v="98"/>
    <n v="1842.0599"/>
    <n v="-0.1"/>
    <n v="1841.9599000000001"/>
    <n v="65518.513643000006"/>
    <n v="65536.933241999999"/>
  </r>
  <r>
    <x v="2"/>
    <n v="18.47"/>
    <n v="18.48"/>
    <x v="98"/>
    <n v="3546.4407000000001"/>
    <n v="0"/>
    <n v="3546.4407000000001"/>
    <n v="65502.759728999998"/>
    <n v="65538.224136000004"/>
  </r>
  <r>
    <x v="3"/>
    <n v="28.98"/>
    <n v="28.99"/>
    <x v="98"/>
    <n v="2261.2858000000001"/>
    <n v="-0.2"/>
    <n v="2261.0858000000003"/>
    <n v="65526.266484000007"/>
    <n v="65548.877342000007"/>
  </r>
  <r>
    <x v="4"/>
    <n v="69.22"/>
    <n v="69.319999999999993"/>
    <x v="98"/>
    <n v="946.09739999999999"/>
    <n v="0"/>
    <n v="946.09739999999999"/>
    <n v="65488.862027999996"/>
    <n v="65583.471767999989"/>
  </r>
  <r>
    <x v="5"/>
    <n v="37.85"/>
    <n v="37.880000000000003"/>
    <x v="98"/>
    <n v="1730.0638000000001"/>
    <n v="0.2"/>
    <n v="1730.2638000000002"/>
    <n v="65490.484830000009"/>
    <n v="65542.392744000012"/>
  </r>
  <r>
    <x v="6"/>
    <n v="57.04"/>
    <n v="57.05"/>
    <x v="98"/>
    <n v="1148.8058000000001"/>
    <n v="0.05"/>
    <n v="1148.8558"/>
    <n v="65530.734832000002"/>
    <n v="65542.223389999999"/>
  </r>
  <r>
    <x v="7"/>
    <n v="50.83"/>
    <n v="50.84"/>
    <x v="98"/>
    <n v="1288.6435000000001"/>
    <n v="0"/>
    <n v="1288.6435000000001"/>
    <n v="65501.749105000003"/>
    <n v="65514.63554000001"/>
  </r>
  <r>
    <x v="8"/>
    <n v="18.52"/>
    <n v="18.53"/>
    <x v="98"/>
    <n v="3535.8029000000001"/>
    <n v="0"/>
    <n v="3535.8029000000001"/>
    <n v="65483.069708000003"/>
    <n v="65518.427737000005"/>
  </r>
  <r>
    <x v="9"/>
    <n v="37.11"/>
    <n v="37.119999999999997"/>
    <x v="98"/>
    <n v="1764.9866999999999"/>
    <n v="0.2"/>
    <n v="1765.1867"/>
    <n v="65506.078436999996"/>
    <n v="65523.730303999997"/>
  </r>
  <r>
    <x v="0"/>
    <n v="21.77"/>
    <n v="21.78"/>
    <x v="99"/>
    <n v="3014.8449999999998"/>
    <n v="0"/>
    <n v="3014.8449999999998"/>
    <n v="65633.17564999999"/>
    <n v="65663.324099999998"/>
  </r>
  <r>
    <x v="1"/>
    <n v="35.630000000000003"/>
    <n v="35.64"/>
    <x v="99"/>
    <n v="1842.0599"/>
    <n v="-0.1"/>
    <n v="1841.9599000000001"/>
    <n v="65629.031237000003"/>
    <n v="65647.450836000004"/>
  </r>
  <r>
    <x v="2"/>
    <n v="18.510000000000002"/>
    <n v="18.52"/>
    <x v="99"/>
    <n v="3546.4407000000001"/>
    <n v="0"/>
    <n v="3546.4407000000001"/>
    <n v="65644.61735700001"/>
    <n v="65680.081764000002"/>
  </r>
  <r>
    <x v="3"/>
    <n v="29.03"/>
    <n v="29.04"/>
    <x v="99"/>
    <n v="2261.2858000000001"/>
    <n v="-0.2"/>
    <n v="2261.0858000000003"/>
    <n v="65639.320774000007"/>
    <n v="65661.931632000007"/>
  </r>
  <r>
    <x v="4"/>
    <n v="69.38"/>
    <n v="69.45"/>
    <x v="99"/>
    <n v="946.09739999999999"/>
    <n v="0"/>
    <n v="946.09739999999999"/>
    <n v="65640.237611999997"/>
    <n v="65706.464430000007"/>
  </r>
  <r>
    <x v="5"/>
    <n v="37.93"/>
    <n v="37.950000000000003"/>
    <x v="99"/>
    <n v="1730.0638000000001"/>
    <n v="0.2"/>
    <n v="1730.2638000000002"/>
    <n v="65628.905934000009"/>
    <n v="65663.511210000011"/>
  </r>
  <r>
    <x v="6"/>
    <n v="57.13"/>
    <n v="57.14"/>
    <x v="99"/>
    <n v="1148.8058000000001"/>
    <n v="0.05"/>
    <n v="1148.8558"/>
    <n v="65634.131854000007"/>
    <n v="65645.620412000004"/>
  </r>
  <r>
    <x v="7"/>
    <n v="50.92"/>
    <n v="50.93"/>
    <x v="99"/>
    <n v="1288.6435000000001"/>
    <n v="0"/>
    <n v="1288.6435000000001"/>
    <n v="65617.727020000006"/>
    <n v="65630.613455000013"/>
  </r>
  <r>
    <x v="8"/>
    <n v="18.559999999999999"/>
    <n v="18.57"/>
    <x v="99"/>
    <n v="3535.8029000000001"/>
    <n v="0"/>
    <n v="3535.8029000000001"/>
    <n v="65624.501823999992"/>
    <n v="65659.859853000002"/>
  </r>
  <r>
    <x v="9"/>
    <n v="37.19"/>
    <n v="37.200000000000003"/>
    <x v="99"/>
    <n v="1764.9866999999999"/>
    <n v="0.2"/>
    <n v="1765.1867"/>
    <n v="65647.293372999993"/>
    <n v="65664.945240000001"/>
  </r>
  <r>
    <x v="0"/>
    <n v="21.74"/>
    <n v="21.75"/>
    <x v="100"/>
    <n v="3014.8449999999998"/>
    <n v="0"/>
    <n v="3014.8449999999998"/>
    <n v="65542.730299999996"/>
    <n v="65572.878749999989"/>
  </r>
  <r>
    <x v="1"/>
    <n v="35.6"/>
    <n v="35.61"/>
    <x v="100"/>
    <n v="1842.0599"/>
    <n v="-0.1"/>
    <n v="1841.9599000000001"/>
    <n v="65573.772440000001"/>
    <n v="65592.192039000001"/>
  </r>
  <r>
    <x v="2"/>
    <n v="18.489999999999998"/>
    <n v="18.5"/>
    <x v="100"/>
    <n v="3546.4407000000001"/>
    <n v="0"/>
    <n v="3546.4407000000001"/>
    <n v="65573.688542999997"/>
    <n v="65609.152950000003"/>
  </r>
  <r>
    <x v="3"/>
    <n v="29"/>
    <n v="29.01"/>
    <x v="100"/>
    <n v="2261.2858000000001"/>
    <n v="-0.2"/>
    <n v="2261.0858000000003"/>
    <n v="65571.488200000007"/>
    <n v="65594.099058000007"/>
  </r>
  <r>
    <x v="4"/>
    <n v="69.31"/>
    <n v="69.38"/>
    <x v="100"/>
    <n v="946.09739999999999"/>
    <n v="0"/>
    <n v="946.09739999999999"/>
    <n v="65574.010794000002"/>
    <n v="65640.237611999997"/>
  </r>
  <r>
    <x v="5"/>
    <n v="37.89"/>
    <n v="37.909999999999997"/>
    <x v="100"/>
    <n v="1730.0638000000001"/>
    <n v="0.2"/>
    <n v="1730.2638000000002"/>
    <n v="65559.695382000005"/>
    <n v="65594.300658000007"/>
  </r>
  <r>
    <x v="6"/>
    <n v="57.08"/>
    <n v="57.09"/>
    <x v="100"/>
    <n v="1148.8058000000001"/>
    <n v="0.05"/>
    <n v="1148.8558"/>
    <n v="65576.689064000006"/>
    <n v="65588.177622000003"/>
  </r>
  <r>
    <x v="7"/>
    <n v="50.87"/>
    <n v="50.88"/>
    <x v="100"/>
    <n v="1288.6435000000001"/>
    <n v="0"/>
    <n v="1288.6435000000001"/>
    <n v="65553.294844999997"/>
    <n v="65566.181280000004"/>
  </r>
  <r>
    <x v="8"/>
    <n v="18.54"/>
    <n v="18.55"/>
    <x v="100"/>
    <n v="3535.8029000000001"/>
    <n v="0"/>
    <n v="3535.8029000000001"/>
    <n v="65553.785766000001"/>
    <n v="65589.143795000011"/>
  </r>
  <r>
    <x v="9"/>
    <n v="37.15"/>
    <n v="37.159999999999997"/>
    <x v="100"/>
    <n v="1764.9866999999999"/>
    <n v="0.2"/>
    <n v="1765.1867"/>
    <n v="65576.685904999991"/>
    <n v="65594.337771999999"/>
  </r>
  <r>
    <x v="0"/>
    <n v="21.73"/>
    <n v="21.74"/>
    <x v="101"/>
    <n v="3014.8449999999998"/>
    <n v="0"/>
    <n v="3014.8449999999998"/>
    <n v="65512.581849999995"/>
    <n v="65542.730299999996"/>
  </r>
  <r>
    <x v="1"/>
    <n v="35.57"/>
    <n v="35.58"/>
    <x v="101"/>
    <n v="1842.0599"/>
    <n v="-0.1"/>
    <n v="1841.9599000000001"/>
    <n v="65518.513643000006"/>
    <n v="65536.933241999999"/>
  </r>
  <r>
    <x v="2"/>
    <n v="18.48"/>
    <n v="18.489999999999998"/>
    <x v="101"/>
    <n v="3546.4407000000001"/>
    <n v="0"/>
    <n v="3546.4407000000001"/>
    <n v="65538.224136000004"/>
    <n v="65573.688542999997"/>
  </r>
  <r>
    <x v="3"/>
    <n v="28.98"/>
    <n v="28.99"/>
    <x v="101"/>
    <n v="2261.2858000000001"/>
    <n v="-0.2"/>
    <n v="2261.0858000000003"/>
    <n v="65526.266484000007"/>
    <n v="65548.877342000007"/>
  </r>
  <r>
    <x v="4"/>
    <n v="69.25"/>
    <n v="69.319999999999993"/>
    <x v="101"/>
    <n v="946.09739999999999"/>
    <n v="0"/>
    <n v="946.09739999999999"/>
    <n v="65517.24495"/>
    <n v="65583.471767999989"/>
  </r>
  <r>
    <x v="5"/>
    <n v="37.85"/>
    <n v="37.880000000000003"/>
    <x v="101"/>
    <n v="1730.0638000000001"/>
    <n v="0.2"/>
    <n v="1730.2638000000002"/>
    <n v="65490.484830000009"/>
    <n v="65542.392744000012"/>
  </r>
  <r>
    <x v="6"/>
    <n v="57.04"/>
    <n v="57.05"/>
    <x v="101"/>
    <n v="1148.8058000000001"/>
    <n v="0.05"/>
    <n v="1148.8558"/>
    <n v="65530.734832000002"/>
    <n v="65542.223389999999"/>
  </r>
  <r>
    <x v="7"/>
    <n v="50.83"/>
    <n v="50.84"/>
    <x v="101"/>
    <n v="1288.6435000000001"/>
    <n v="0"/>
    <n v="1288.6435000000001"/>
    <n v="65501.749105000003"/>
    <n v="65514.63554000001"/>
  </r>
  <r>
    <x v="8"/>
    <n v="18.53"/>
    <n v="18.54"/>
    <x v="101"/>
    <n v="3535.8029000000001"/>
    <n v="0"/>
    <n v="3535.8029000000001"/>
    <n v="65518.427737000005"/>
    <n v="65553.785766000001"/>
  </r>
  <r>
    <x v="9"/>
    <n v="37.119999999999997"/>
    <n v="37.130000000000003"/>
    <x v="101"/>
    <n v="1764.9866999999999"/>
    <n v="0.2"/>
    <n v="1765.1867"/>
    <n v="65523.730303999997"/>
    <n v="65541.382171000005"/>
  </r>
  <r>
    <x v="0"/>
    <n v="21.77"/>
    <n v="21.78"/>
    <x v="102"/>
    <n v="3014.8622999999998"/>
    <n v="0"/>
    <n v="3014.8622999999998"/>
    <n v="65633.552270999993"/>
    <n v="65663.700893999994"/>
  </r>
  <r>
    <x v="1"/>
    <n v="35.630000000000003"/>
    <n v="35.64"/>
    <x v="102"/>
    <n v="1842.07"/>
    <n v="-0.1"/>
    <n v="1841.97"/>
    <n v="65629.391100000008"/>
    <n v="65647.810800000007"/>
  </r>
  <r>
    <x v="2"/>
    <n v="18.510000000000002"/>
    <n v="18.52"/>
    <x v="102"/>
    <n v="3546.4650000000001"/>
    <n v="0"/>
    <n v="3546.4650000000001"/>
    <n v="65645.067150000003"/>
    <n v="65680.531799999997"/>
  </r>
  <r>
    <x v="3"/>
    <n v="29.03"/>
    <n v="29.04"/>
    <x v="102"/>
    <n v="2261.2950999999998"/>
    <n v="-0.2"/>
    <n v="2261.0951"/>
    <n v="65639.590752999997"/>
    <n v="65662.201703999992"/>
  </r>
  <r>
    <x v="4"/>
    <n v="69.38"/>
    <n v="69.489999999999995"/>
    <x v="102"/>
    <n v="946.10389999999995"/>
    <n v="0"/>
    <n v="946.10389999999995"/>
    <n v="65640.688581999988"/>
    <n v="65744.760010999991"/>
  </r>
  <r>
    <x v="5"/>
    <n v="37.92"/>
    <n v="37.950000000000003"/>
    <x v="102"/>
    <n v="1730.0728000000001"/>
    <n v="0.2"/>
    <n v="1730.2728000000002"/>
    <n v="65611.944576000009"/>
    <n v="65663.852760000009"/>
  </r>
  <r>
    <x v="6"/>
    <n v="57.13"/>
    <n v="57.14"/>
    <x v="102"/>
    <n v="1148.8136999999999"/>
    <n v="0.05"/>
    <n v="1148.8636999999999"/>
    <n v="65634.583180999995"/>
    <n v="65646.071817999997"/>
  </r>
  <r>
    <x v="7"/>
    <n v="50.93"/>
    <n v="50.95"/>
    <x v="102"/>
    <n v="1288.6965"/>
    <n v="0"/>
    <n v="1288.6965"/>
    <n v="65633.312745000003"/>
    <n v="65659.086674999999"/>
  </r>
  <r>
    <x v="8"/>
    <n v="18.559999999999999"/>
    <n v="18.57"/>
    <x v="102"/>
    <n v="3535.8029000000001"/>
    <n v="0"/>
    <n v="3535.8029000000001"/>
    <n v="65624.501823999992"/>
    <n v="65659.859853000002"/>
  </r>
  <r>
    <x v="9"/>
    <n v="37.18"/>
    <n v="37.19"/>
    <x v="102"/>
    <n v="1764.9988000000001"/>
    <n v="0.2"/>
    <n v="1765.1988000000001"/>
    <n v="65630.091383999999"/>
    <n v="65647.743371999997"/>
  </r>
  <r>
    <x v="0"/>
    <n v="21.81"/>
    <n v="21.82"/>
    <x v="103"/>
    <n v="3014.8622999999998"/>
    <n v="0"/>
    <n v="3014.8622999999998"/>
    <n v="65754.146762999997"/>
    <n v="65784.295385999998"/>
  </r>
  <r>
    <x v="1"/>
    <n v="35.700000000000003"/>
    <n v="35.71"/>
    <x v="103"/>
    <n v="1842.07"/>
    <n v="-0.1"/>
    <n v="1841.97"/>
    <n v="65758.329000000012"/>
    <n v="65776.748699999996"/>
  </r>
  <r>
    <x v="2"/>
    <n v="18.54"/>
    <n v="18.55"/>
    <x v="103"/>
    <n v="3546.4650000000001"/>
    <n v="0"/>
    <n v="3546.4650000000001"/>
    <n v="65751.4611"/>
    <n v="65786.925750000009"/>
  </r>
  <r>
    <x v="3"/>
    <n v="29.08"/>
    <n v="29.09"/>
    <x v="103"/>
    <n v="2261.2950999999998"/>
    <n v="-0.2"/>
    <n v="2261.0951"/>
    <n v="65752.645508000001"/>
    <n v="65775.256458999997"/>
  </r>
  <r>
    <x v="4"/>
    <n v="69.510000000000005"/>
    <n v="69.59"/>
    <x v="103"/>
    <n v="946.10389999999995"/>
    <n v="0"/>
    <n v="946.10389999999995"/>
    <n v="65763.682088999994"/>
    <n v="65839.370400999993"/>
  </r>
  <r>
    <x v="5"/>
    <n v="38"/>
    <n v="38.020000000000003"/>
    <x v="103"/>
    <n v="1730.0728000000001"/>
    <n v="0.2"/>
    <n v="1730.2728000000002"/>
    <n v="65750.366400000014"/>
    <n v="65784.971856000018"/>
  </r>
  <r>
    <x v="6"/>
    <n v="57.24"/>
    <n v="57.25"/>
    <x v="103"/>
    <n v="1148.8136999999999"/>
    <n v="0.05"/>
    <n v="1148.8636999999999"/>
    <n v="65760.95818799999"/>
    <n v="65772.446824999992"/>
  </r>
  <r>
    <x v="7"/>
    <n v="51.03"/>
    <n v="51.04"/>
    <x v="103"/>
    <n v="1288.6965"/>
    <n v="0"/>
    <n v="1288.6965"/>
    <n v="65762.182394999996"/>
    <n v="65775.069359999994"/>
  </r>
  <r>
    <x v="8"/>
    <n v="18.59"/>
    <n v="18.600000000000001"/>
    <x v="103"/>
    <n v="3535.8029000000001"/>
    <n v="0"/>
    <n v="3535.8029000000001"/>
    <n v="65730.575911000007"/>
    <n v="65765.933940000003"/>
  </r>
  <r>
    <x v="9"/>
    <n v="37.25"/>
    <n v="37.26"/>
    <x v="103"/>
    <n v="1764.9988000000001"/>
    <n v="0.2"/>
    <n v="1765.1988000000001"/>
    <n v="65753.655299999999"/>
    <n v="65771.307287999996"/>
  </r>
  <r>
    <x v="0"/>
    <n v="21.79"/>
    <n v="21.8"/>
    <x v="104"/>
    <n v="3014.8622999999998"/>
    <n v="0"/>
    <n v="3014.8622999999998"/>
    <n v="65693.849516999995"/>
    <n v="65723.998139999996"/>
  </r>
  <r>
    <x v="1"/>
    <n v="35.67"/>
    <n v="35.68"/>
    <x v="104"/>
    <n v="1842.07"/>
    <n v="-0.1"/>
    <n v="1841.97"/>
    <n v="65703.069900000002"/>
    <n v="65721.489600000001"/>
  </r>
  <r>
    <x v="2"/>
    <n v="18.53"/>
    <n v="18.54"/>
    <x v="104"/>
    <n v="3546.4650000000001"/>
    <n v="0"/>
    <n v="3546.4650000000001"/>
    <n v="65715.996450000006"/>
    <n v="65751.4611"/>
  </r>
  <r>
    <x v="3"/>
    <n v="29.06"/>
    <n v="29.07"/>
    <x v="104"/>
    <n v="2261.2950999999998"/>
    <n v="-0.2"/>
    <n v="2261.0951"/>
    <n v="65707.423605999997"/>
    <n v="65730.034557000006"/>
  </r>
  <r>
    <x v="4"/>
    <n v="69.45"/>
    <n v="69.540000000000006"/>
    <x v="104"/>
    <n v="946.10389999999995"/>
    <n v="0"/>
    <n v="946.10389999999995"/>
    <n v="65706.915854999999"/>
    <n v="65792.065205999999"/>
  </r>
  <r>
    <x v="5"/>
    <n v="37.97"/>
    <n v="37.99"/>
    <x v="104"/>
    <n v="1730.0728000000001"/>
    <n v="0.2"/>
    <n v="1730.2728000000002"/>
    <n v="65698.458215999999"/>
    <n v="65733.063672000004"/>
  </r>
  <r>
    <x v="6"/>
    <n v="57.19"/>
    <n v="57.21"/>
    <x v="104"/>
    <n v="1148.8136999999999"/>
    <n v="0.05"/>
    <n v="1148.8636999999999"/>
    <n v="65703.515002999993"/>
    <n v="65726.492276999998"/>
  </r>
  <r>
    <x v="7"/>
    <n v="50.98"/>
    <n v="51"/>
    <x v="104"/>
    <n v="1288.6965"/>
    <n v="0"/>
    <n v="1288.6965"/>
    <n v="65697.747569999992"/>
    <n v="65723.521500000003"/>
  </r>
  <r>
    <x v="8"/>
    <n v="18.579999999999998"/>
    <n v="18.59"/>
    <x v="104"/>
    <n v="3535.8029000000001"/>
    <n v="0"/>
    <n v="3535.8029000000001"/>
    <n v="65695.217881999997"/>
    <n v="65730.575911000007"/>
  </r>
  <r>
    <x v="9"/>
    <n v="37.22"/>
    <n v="37.229999999999997"/>
    <x v="104"/>
    <n v="1764.9988000000001"/>
    <n v="0.2"/>
    <n v="1765.1988000000001"/>
    <n v="65700.699336000005"/>
    <n v="65718.351324000003"/>
  </r>
  <r>
    <x v="0"/>
    <n v="21.93"/>
    <n v="21.94"/>
    <x v="105"/>
    <n v="3014.8622999999998"/>
    <n v="0"/>
    <n v="3014.8622999999998"/>
    <n v="66115.930238999994"/>
    <n v="66146.078861999995"/>
  </r>
  <r>
    <x v="1"/>
    <n v="35.89"/>
    <n v="35.9"/>
    <x v="105"/>
    <n v="1842.07"/>
    <n v="-0.1"/>
    <n v="1841.97"/>
    <n v="66108.3033"/>
    <n v="66126.722999999998"/>
  </r>
  <r>
    <x v="2"/>
    <n v="18.64"/>
    <n v="18.649999999999999"/>
    <x v="105"/>
    <n v="3546.4650000000001"/>
    <n v="0"/>
    <n v="3546.4650000000001"/>
    <n v="66106.107600000003"/>
    <n v="66141.572249999997"/>
  </r>
  <r>
    <x v="3"/>
    <n v="29.24"/>
    <n v="29.25"/>
    <x v="105"/>
    <n v="2261.2950999999998"/>
    <n v="-0.2"/>
    <n v="2261.0951"/>
    <n v="66114.420723999996"/>
    <n v="66137.031675000006"/>
  </r>
  <r>
    <x v="4"/>
    <n v="69.87"/>
    <n v="69.98"/>
    <x v="105"/>
    <n v="946.10389999999995"/>
    <n v="0"/>
    <n v="946.10389999999995"/>
    <n v="66104.279492999995"/>
    <n v="66208.350921999998"/>
  </r>
  <r>
    <x v="5"/>
    <n v="38.200000000000003"/>
    <n v="38.229999999999997"/>
    <x v="105"/>
    <n v="1730.0728000000001"/>
    <n v="0.2"/>
    <n v="1730.2728000000002"/>
    <n v="66096.420960000018"/>
    <n v="66148.329144000003"/>
  </r>
  <r>
    <x v="6"/>
    <n v="57.55"/>
    <n v="57.57"/>
    <x v="105"/>
    <n v="1148.8136999999999"/>
    <n v="0.05"/>
    <n v="1148.8636999999999"/>
    <n v="66117.105934999985"/>
    <n v="66140.083208999989"/>
  </r>
  <r>
    <x v="7"/>
    <n v="51.31"/>
    <n v="51.32"/>
    <x v="105"/>
    <n v="1288.6965"/>
    <n v="0"/>
    <n v="1288.6965"/>
    <n v="66123.017415000009"/>
    <n v="66135.904380000007"/>
  </r>
  <r>
    <x v="8"/>
    <n v="18.7"/>
    <n v="18.71"/>
    <x v="105"/>
    <n v="3535.8029000000001"/>
    <n v="0"/>
    <n v="3535.8029000000001"/>
    <n v="66119.514230000001"/>
    <n v="66154.872259000011"/>
  </r>
  <r>
    <x v="9"/>
    <n v="37.46"/>
    <n v="37.47"/>
    <x v="105"/>
    <n v="1764.9988000000001"/>
    <n v="0.2"/>
    <n v="1765.1988000000001"/>
    <n v="66124.347048000011"/>
    <n v="66141.999036000008"/>
  </r>
  <r>
    <x v="0"/>
    <n v="21.87"/>
    <n v="21.88"/>
    <x v="106"/>
    <n v="3014.8622999999998"/>
    <n v="0"/>
    <n v="3014.8622999999998"/>
    <n v="65935.038501000003"/>
    <n v="65965.187123999989"/>
  </r>
  <r>
    <x v="1"/>
    <n v="35.79"/>
    <n v="35.799999999999997"/>
    <x v="106"/>
    <n v="1842.07"/>
    <n v="-0.1"/>
    <n v="1841.97"/>
    <n v="65924.106299999999"/>
    <n v="65942.525999999998"/>
  </r>
  <r>
    <x v="2"/>
    <n v="18.59"/>
    <n v="18.600000000000001"/>
    <x v="106"/>
    <n v="3546.4650000000001"/>
    <n v="0"/>
    <n v="3546.4650000000001"/>
    <n v="65928.784350000002"/>
    <n v="65964.249000000011"/>
  </r>
  <r>
    <x v="3"/>
    <n v="29.16"/>
    <n v="29.17"/>
    <x v="106"/>
    <n v="2261.2950999999998"/>
    <n v="-0.2"/>
    <n v="2261.0951"/>
    <n v="65933.533116000006"/>
    <n v="65956.144067000001"/>
  </r>
  <r>
    <x v="4"/>
    <n v="69.69"/>
    <n v="69.760000000000005"/>
    <x v="106"/>
    <n v="946.10389999999995"/>
    <n v="0"/>
    <n v="946.10389999999995"/>
    <n v="65933.980790999994"/>
    <n v="66000.208064000006"/>
  </r>
  <r>
    <x v="5"/>
    <n v="38.090000000000003"/>
    <n v="38.119999999999997"/>
    <x v="106"/>
    <n v="1730.0728000000001"/>
    <n v="0.2"/>
    <n v="1730.2728000000002"/>
    <n v="65906.090952000013"/>
    <n v="65957.999135999999"/>
  </r>
  <r>
    <x v="6"/>
    <n v="57.39"/>
    <n v="57.4"/>
    <x v="106"/>
    <n v="1148.8136999999999"/>
    <n v="0.05"/>
    <n v="1148.8636999999999"/>
    <n v="65933.287742999993"/>
    <n v="65944.776379999996"/>
  </r>
  <r>
    <x v="7"/>
    <n v="51.15"/>
    <n v="51.17"/>
    <x v="106"/>
    <n v="1288.6965"/>
    <n v="0"/>
    <n v="1288.6965"/>
    <n v="65916.825975"/>
    <n v="65942.59990500001"/>
  </r>
  <r>
    <x v="8"/>
    <n v="18.64"/>
    <n v="18.649999999999999"/>
    <x v="106"/>
    <n v="3535.8029000000001"/>
    <n v="0"/>
    <n v="3535.8029000000001"/>
    <n v="65907.366055999999"/>
    <n v="65942.724084999994"/>
  </r>
  <r>
    <x v="9"/>
    <n v="37.35"/>
    <n v="37.36"/>
    <x v="106"/>
    <n v="1764.9988000000001"/>
    <n v="0.2"/>
    <n v="1765.1988000000001"/>
    <n v="65930.175180000006"/>
    <n v="65947.827168000003"/>
  </r>
  <r>
    <x v="0"/>
    <n v="21.84"/>
    <n v="21.85"/>
    <x v="107"/>
    <n v="3014.8622999999998"/>
    <n v="0"/>
    <n v="3014.8622999999998"/>
    <n v="65844.592632"/>
    <n v="65874.741255000001"/>
  </r>
  <r>
    <x v="1"/>
    <n v="35.74"/>
    <n v="35.75"/>
    <x v="107"/>
    <n v="1842.07"/>
    <n v="-0.1"/>
    <n v="1841.97"/>
    <n v="65832.007800000007"/>
    <n v="65850.427500000005"/>
  </r>
  <r>
    <x v="2"/>
    <n v="18.559999999999999"/>
    <n v="18.57"/>
    <x v="107"/>
    <n v="3546.4650000000001"/>
    <n v="0"/>
    <n v="3546.4650000000001"/>
    <n v="65822.390400000004"/>
    <n v="65857.855049999998"/>
  </r>
  <r>
    <x v="3"/>
    <n v="29.12"/>
    <n v="29.13"/>
    <x v="107"/>
    <n v="2261.2950999999998"/>
    <n v="-0.2"/>
    <n v="2261.0951"/>
    <n v="65843.089311999996"/>
    <n v="65865.700262999992"/>
  </r>
  <r>
    <x v="4"/>
    <n v="69.59"/>
    <n v="69.7"/>
    <x v="107"/>
    <n v="946.10389999999995"/>
    <n v="0"/>
    <n v="946.10389999999995"/>
    <n v="65839.370400999993"/>
    <n v="65943.441829999996"/>
  </r>
  <r>
    <x v="5"/>
    <n v="38.03"/>
    <n v="38.07"/>
    <x v="107"/>
    <n v="1730.0728000000001"/>
    <n v="0.2"/>
    <n v="1730.2728000000002"/>
    <n v="65802.274584000013"/>
    <n v="65871.485496000008"/>
  </r>
  <r>
    <x v="6"/>
    <n v="57.3"/>
    <n v="57.32"/>
    <x v="107"/>
    <n v="1148.8136999999999"/>
    <n v="0.05"/>
    <n v="1148.8636999999999"/>
    <n v="65829.890009999988"/>
    <n v="65852.867283999993"/>
  </r>
  <r>
    <x v="7"/>
    <n v="51.09"/>
    <n v="51.1"/>
    <x v="107"/>
    <n v="1288.6965"/>
    <n v="0"/>
    <n v="1288.6965"/>
    <n v="65839.504184999998"/>
    <n v="65852.391149999996"/>
  </r>
  <r>
    <x v="8"/>
    <n v="18.62"/>
    <n v="18.63"/>
    <x v="107"/>
    <n v="3535.8029000000001"/>
    <n v="0"/>
    <n v="3535.8029000000001"/>
    <n v="65836.649998000008"/>
    <n v="65872.008027000003"/>
  </r>
  <r>
    <x v="9"/>
    <n v="37.29"/>
    <n v="37.299999999999997"/>
    <x v="107"/>
    <n v="1764.9988000000001"/>
    <n v="0.2"/>
    <n v="1765.1988000000001"/>
    <n v="65824.263252000004"/>
    <n v="65841.915240000002"/>
  </r>
  <r>
    <x v="0"/>
    <n v="21.85"/>
    <n v="21.86"/>
    <x v="108"/>
    <n v="3014.8622999999998"/>
    <n v="0"/>
    <n v="3014.8622999999998"/>
    <n v="65874.741255000001"/>
    <n v="65904.889877999987"/>
  </r>
  <r>
    <x v="1"/>
    <n v="35.76"/>
    <n v="35.770000000000003"/>
    <x v="108"/>
    <n v="1842.07"/>
    <n v="-0.1"/>
    <n v="1841.97"/>
    <n v="65868.847200000004"/>
    <n v="65887.266900000002"/>
  </r>
  <r>
    <x v="2"/>
    <n v="18.57"/>
    <n v="18.579999999999998"/>
    <x v="108"/>
    <n v="3546.4650000000001"/>
    <n v="0"/>
    <n v="3546.4650000000001"/>
    <n v="65857.855049999998"/>
    <n v="65893.319699999993"/>
  </r>
  <r>
    <x v="3"/>
    <n v="29.13"/>
    <n v="29.14"/>
    <x v="108"/>
    <n v="2261.2950999999998"/>
    <n v="-0.2"/>
    <n v="2261.0951"/>
    <n v="65865.700262999992"/>
    <n v="65888.311214000001"/>
  </r>
  <r>
    <x v="4"/>
    <n v="69.62"/>
    <n v="69.75"/>
    <x v="108"/>
    <n v="946.10389999999995"/>
    <n v="0"/>
    <n v="946.10389999999995"/>
    <n v="65867.753517999998"/>
    <n v="65990.74702499999"/>
  </r>
  <r>
    <x v="5"/>
    <n v="38.049999999999997"/>
    <n v="38.090000000000003"/>
    <x v="108"/>
    <n v="1730.0728000000001"/>
    <n v="0.2"/>
    <n v="1730.2728000000002"/>
    <n v="65836.880040000004"/>
    <n v="65906.090952000013"/>
  </r>
  <r>
    <x v="6"/>
    <n v="57.34"/>
    <n v="57.35"/>
    <x v="108"/>
    <n v="1148.8136999999999"/>
    <n v="0.05"/>
    <n v="1148.8636999999999"/>
    <n v="65875.844557999997"/>
    <n v="65887.333194999999"/>
  </r>
  <r>
    <x v="7"/>
    <n v="51.11"/>
    <n v="51.12"/>
    <x v="108"/>
    <n v="1288.6965"/>
    <n v="0"/>
    <n v="1288.6965"/>
    <n v="65865.278114999994"/>
    <n v="65878.165079999992"/>
  </r>
  <r>
    <x v="8"/>
    <n v="18.62"/>
    <n v="18.63"/>
    <x v="108"/>
    <n v="3535.8029000000001"/>
    <n v="0"/>
    <n v="3535.8029000000001"/>
    <n v="65836.649998000008"/>
    <n v="65872.008027000003"/>
  </r>
  <r>
    <x v="9"/>
    <n v="37.31"/>
    <n v="37.32"/>
    <x v="108"/>
    <n v="1764.9988000000001"/>
    <n v="0.2"/>
    <n v="1765.1988000000001"/>
    <n v="65859.567228000014"/>
    <n v="65877.219215999998"/>
  </r>
  <r>
    <x v="0"/>
    <n v="21.85"/>
    <n v="21.86"/>
    <x v="109"/>
    <n v="3014.8622999999998"/>
    <n v="0"/>
    <n v="3014.8622999999998"/>
    <n v="65874.741255000001"/>
    <n v="65904.889877999987"/>
  </r>
  <r>
    <x v="1"/>
    <n v="35.770000000000003"/>
    <n v="35.78"/>
    <x v="109"/>
    <n v="1842.07"/>
    <n v="-0.1"/>
    <n v="1841.97"/>
    <n v="65887.266900000002"/>
    <n v="65905.686600000001"/>
  </r>
  <r>
    <x v="2"/>
    <n v="18.579999999999998"/>
    <n v="18.59"/>
    <x v="109"/>
    <n v="3546.4650000000001"/>
    <n v="0"/>
    <n v="3546.4650000000001"/>
    <n v="65893.319699999993"/>
    <n v="65928.784350000002"/>
  </r>
  <r>
    <x v="3"/>
    <n v="29.14"/>
    <n v="29.15"/>
    <x v="109"/>
    <n v="2261.2950999999998"/>
    <n v="-0.2"/>
    <n v="2261.0951"/>
    <n v="65888.311214000001"/>
    <n v="65910.922164999996"/>
  </r>
  <r>
    <x v="4"/>
    <n v="69.64"/>
    <n v="69.77"/>
    <x v="109"/>
    <n v="946.10389999999995"/>
    <n v="0"/>
    <n v="946.10389999999995"/>
    <n v="65886.675596000001"/>
    <n v="66009.669102999993"/>
  </r>
  <r>
    <x v="5"/>
    <n v="38.07"/>
    <n v="38.1"/>
    <x v="109"/>
    <n v="1730.0728000000001"/>
    <n v="0.2"/>
    <n v="1730.2728000000002"/>
    <n v="65871.485496000008"/>
    <n v="65923.393680000008"/>
  </r>
  <r>
    <x v="6"/>
    <n v="57.36"/>
    <n v="57.37"/>
    <x v="109"/>
    <n v="1148.8136999999999"/>
    <n v="0.05"/>
    <n v="1148.8636999999999"/>
    <n v="65898.821831999987"/>
    <n v="65910.310468999989"/>
  </r>
  <r>
    <x v="7"/>
    <n v="51.12"/>
    <n v="51.13"/>
    <x v="109"/>
    <n v="1288.6965"/>
    <n v="0"/>
    <n v="1288.6965"/>
    <n v="65878.165079999992"/>
    <n v="65891.052045000004"/>
  </r>
  <r>
    <x v="8"/>
    <n v="18.63"/>
    <n v="18.64"/>
    <x v="109"/>
    <n v="3535.8029000000001"/>
    <n v="0"/>
    <n v="3535.8029000000001"/>
    <n v="65872.008027000003"/>
    <n v="65907.366055999999"/>
  </r>
  <r>
    <x v="9"/>
    <n v="37.32"/>
    <n v="37.33"/>
    <x v="109"/>
    <n v="1764.9988000000001"/>
    <n v="0.2"/>
    <n v="1765.1988000000001"/>
    <n v="65877.219215999998"/>
    <n v="65894.871203999995"/>
  </r>
  <r>
    <x v="0"/>
    <n v="21.82"/>
    <n v="21.83"/>
    <x v="110"/>
    <n v="3014.8622999999998"/>
    <n v="0"/>
    <n v="3014.8622999999998"/>
    <n v="65784.295385999998"/>
    <n v="65814.444008999984"/>
  </r>
  <r>
    <x v="1"/>
    <n v="35.72"/>
    <n v="35.729999999999997"/>
    <x v="110"/>
    <n v="1842.07"/>
    <n v="-0.1"/>
    <n v="1841.97"/>
    <n v="65795.168399999995"/>
    <n v="65813.588099999994"/>
  </r>
  <r>
    <x v="2"/>
    <n v="18.55"/>
    <n v="18.559999999999999"/>
    <x v="110"/>
    <n v="3546.4650000000001"/>
    <n v="0"/>
    <n v="3546.4650000000001"/>
    <n v="65786.925750000009"/>
    <n v="65822.390400000004"/>
  </r>
  <r>
    <x v="3"/>
    <n v="29.1"/>
    <n v="29.11"/>
    <x v="110"/>
    <n v="2261.2950999999998"/>
    <n v="-0.2"/>
    <n v="2261.0951"/>
    <n v="65797.867410000006"/>
    <n v="65820.478361000001"/>
  </r>
  <r>
    <x v="4"/>
    <n v="69.540000000000006"/>
    <n v="69.680000000000007"/>
    <x v="110"/>
    <n v="946.10389999999995"/>
    <n v="0"/>
    <n v="946.10389999999995"/>
    <n v="65792.065205999999"/>
    <n v="65924.519752000007"/>
  </r>
  <r>
    <x v="5"/>
    <n v="38.01"/>
    <n v="38.049999999999997"/>
    <x v="110"/>
    <n v="1730.0728000000001"/>
    <n v="0.2"/>
    <n v="1730.2728000000002"/>
    <n v="65767.669128000009"/>
    <n v="65836.880040000004"/>
  </r>
  <r>
    <x v="6"/>
    <n v="57.27"/>
    <n v="57.29"/>
    <x v="110"/>
    <n v="1148.8136999999999"/>
    <n v="0.05"/>
    <n v="1148.8636999999999"/>
    <n v="65795.424098999996"/>
    <n v="65818.401372999986"/>
  </r>
  <r>
    <x v="7"/>
    <n v="51.06"/>
    <n v="51.07"/>
    <x v="110"/>
    <n v="1288.6965"/>
    <n v="0"/>
    <n v="1288.6965"/>
    <n v="65800.843290000004"/>
    <n v="65813.730255000002"/>
  </r>
  <r>
    <x v="8"/>
    <n v="18.61"/>
    <n v="18.62"/>
    <x v="110"/>
    <n v="3535.8029000000001"/>
    <n v="0"/>
    <n v="3535.8029000000001"/>
    <n v="65801.291968999998"/>
    <n v="65836.649998000008"/>
  </r>
  <r>
    <x v="9"/>
    <n v="37.270000000000003"/>
    <n v="37.28"/>
    <x v="110"/>
    <n v="1764.9988000000001"/>
    <n v="0.2"/>
    <n v="1765.1988000000001"/>
    <n v="65788.959276000009"/>
    <n v="65806.611264000006"/>
  </r>
  <r>
    <x v="0"/>
    <n v="21.89"/>
    <n v="21.9"/>
    <x v="111"/>
    <n v="3014.8622999999998"/>
    <n v="0"/>
    <n v="3014.8622999999998"/>
    <n v="65995.33574699999"/>
    <n v="66025.484369999991"/>
  </r>
  <r>
    <x v="1"/>
    <n v="35.82"/>
    <n v="35.83"/>
    <x v="111"/>
    <n v="1842.07"/>
    <n v="-0.1"/>
    <n v="1841.97"/>
    <n v="65979.365399999995"/>
    <n v="65997.785099999994"/>
  </r>
  <r>
    <x v="2"/>
    <n v="18.600000000000001"/>
    <n v="18.61"/>
    <x v="111"/>
    <n v="3546.4650000000001"/>
    <n v="0"/>
    <n v="3546.4650000000001"/>
    <n v="65964.249000000011"/>
    <n v="65999.713650000005"/>
  </r>
  <r>
    <x v="3"/>
    <n v="29.19"/>
    <n v="29.2"/>
    <x v="111"/>
    <n v="2261.2950999999998"/>
    <n v="-0.2"/>
    <n v="2261.0951"/>
    <n v="66001.365969000006"/>
    <n v="66023.976920000001"/>
  </r>
  <r>
    <x v="4"/>
    <n v="69.75"/>
    <n v="69.849999999999994"/>
    <x v="111"/>
    <n v="946.10389999999995"/>
    <n v="0"/>
    <n v="946.10389999999995"/>
    <n v="65990.74702499999"/>
    <n v="66085.357414999991"/>
  </r>
  <r>
    <x v="5"/>
    <n v="38.130000000000003"/>
    <n v="38.15"/>
    <x v="111"/>
    <n v="1730.0728000000001"/>
    <n v="0.2"/>
    <n v="1730.2728000000002"/>
    <n v="65975.301864000008"/>
    <n v="66009.907319999998"/>
  </r>
  <r>
    <x v="6"/>
    <n v="57.44"/>
    <n v="57.46"/>
    <x v="111"/>
    <n v="1148.8136999999999"/>
    <n v="0.05"/>
    <n v="1148.8636999999999"/>
    <n v="65990.73092799999"/>
    <n v="66013.708201999994"/>
  </r>
  <r>
    <x v="7"/>
    <n v="51.21"/>
    <n v="51.22"/>
    <x v="111"/>
    <n v="1288.6965"/>
    <n v="0"/>
    <n v="1288.6965"/>
    <n v="65994.147765000002"/>
    <n v="66007.034729999999"/>
  </r>
  <r>
    <x v="8"/>
    <n v="18.66"/>
    <n v="18.670000000000002"/>
    <x v="111"/>
    <n v="3535.8029000000001"/>
    <n v="0"/>
    <n v="3535.8029000000001"/>
    <n v="65978.082114000004"/>
    <n v="66013.440143000014"/>
  </r>
  <r>
    <x v="9"/>
    <n v="37.380000000000003"/>
    <n v="37.39"/>
    <x v="111"/>
    <n v="1764.9988000000001"/>
    <n v="0.2"/>
    <n v="1765.1988000000001"/>
    <n v="65983.131144000014"/>
    <n v="66000.783132000011"/>
  </r>
  <r>
    <x v="0"/>
    <n v="21.66"/>
    <n v="21.67"/>
    <x v="112"/>
    <n v="3014.8622999999998"/>
    <n v="0"/>
    <n v="3014.8622999999998"/>
    <n v="65301.917417999997"/>
    <n v="65332.066040999998"/>
  </r>
  <r>
    <x v="1"/>
    <n v="35.46"/>
    <n v="35.47"/>
    <x v="112"/>
    <n v="1842.07"/>
    <n v="-0.1"/>
    <n v="1841.97"/>
    <n v="65316.256200000003"/>
    <n v="65334.675900000002"/>
  </r>
  <r>
    <x v="2"/>
    <n v="18.41"/>
    <n v="18.420000000000002"/>
    <x v="112"/>
    <n v="3546.4650000000001"/>
    <n v="0"/>
    <n v="3546.4650000000001"/>
    <n v="65290.42065"/>
    <n v="65325.885300000009"/>
  </r>
  <r>
    <x v="3"/>
    <n v="28.89"/>
    <n v="28.9"/>
    <x v="112"/>
    <n v="2261.2950999999998"/>
    <n v="-0.2"/>
    <n v="2261.0951"/>
    <n v="65323.037439"/>
    <n v="65345.648389999995"/>
  </r>
  <r>
    <x v="4"/>
    <n v="69.03"/>
    <n v="69.150000000000006"/>
    <x v="112"/>
    <n v="946.10389999999995"/>
    <n v="0"/>
    <n v="946.10389999999995"/>
    <n v="65309.552216999997"/>
    <n v="65423.084685000002"/>
  </r>
  <r>
    <x v="5"/>
    <n v="37.729999999999997"/>
    <n v="37.770000000000003"/>
    <x v="112"/>
    <n v="1730.0728000000001"/>
    <n v="0.2"/>
    <n v="1730.2728000000002"/>
    <n v="65283.192744"/>
    <n v="65352.40365600001"/>
  </r>
  <r>
    <x v="6"/>
    <n v="56.86"/>
    <n v="56.87"/>
    <x v="112"/>
    <n v="1148.8136999999999"/>
    <n v="0.05"/>
    <n v="1148.8636999999999"/>
    <n v="65324.389981999993"/>
    <n v="65335.878618999988"/>
  </r>
  <r>
    <x v="7"/>
    <n v="50.68"/>
    <n v="50.7"/>
    <x v="112"/>
    <n v="1288.6965"/>
    <n v="0"/>
    <n v="1288.6965"/>
    <n v="65311.138619999998"/>
    <n v="65336.912550000001"/>
  </r>
  <r>
    <x v="8"/>
    <n v="18.47"/>
    <n v="18.48"/>
    <x v="112"/>
    <n v="3535.8029000000001"/>
    <n v="0"/>
    <n v="3535.8029000000001"/>
    <n v="65306.279562999996"/>
    <n v="65341.637592000006"/>
  </r>
  <r>
    <x v="9"/>
    <n v="37"/>
    <n v="37.01"/>
    <x v="112"/>
    <n v="1764.9988000000001"/>
    <n v="0.2"/>
    <n v="1765.1988000000001"/>
    <n v="65312.355600000003"/>
    <n v="65330.007588"/>
  </r>
  <r>
    <x v="0"/>
    <n v="21.66"/>
    <n v="21.67"/>
    <x v="113"/>
    <n v="3014.8622999999998"/>
    <n v="0"/>
    <n v="3014.8622999999998"/>
    <n v="65301.917417999997"/>
    <n v="65332.066040999998"/>
  </r>
  <r>
    <x v="1"/>
    <n v="35.44"/>
    <n v="35.450000000000003"/>
    <x v="113"/>
    <n v="1842.07"/>
    <n v="-0.1"/>
    <n v="1841.97"/>
    <n v="65279.416799999999"/>
    <n v="65297.836500000005"/>
  </r>
  <r>
    <x v="2"/>
    <n v="18.41"/>
    <n v="18.420000000000002"/>
    <x v="113"/>
    <n v="3546.4650000000001"/>
    <n v="0"/>
    <n v="3546.4650000000001"/>
    <n v="65290.42065"/>
    <n v="65325.885300000009"/>
  </r>
  <r>
    <x v="3"/>
    <n v="28.88"/>
    <n v="28.89"/>
    <x v="113"/>
    <n v="2261.2950999999998"/>
    <n v="-0.2"/>
    <n v="2261.0951"/>
    <n v="65300.426487999997"/>
    <n v="65323.037439"/>
  </r>
  <r>
    <x v="4"/>
    <n v="69.010000000000005"/>
    <n v="69.12"/>
    <x v="113"/>
    <n v="946.10389999999995"/>
    <n v="0"/>
    <n v="946.10389999999995"/>
    <n v="65290.630139000001"/>
    <n v="65394.701568000004"/>
  </r>
  <r>
    <x v="5"/>
    <n v="37.72"/>
    <n v="37.75"/>
    <x v="113"/>
    <n v="1730.0728000000001"/>
    <n v="0.2"/>
    <n v="1730.2728000000002"/>
    <n v="65265.890016000005"/>
    <n v="65317.798200000005"/>
  </r>
  <r>
    <x v="6"/>
    <n v="56.83"/>
    <n v="56.84"/>
    <x v="113"/>
    <n v="1148.8136999999999"/>
    <n v="0.05"/>
    <n v="1148.8636999999999"/>
    <n v="65289.924070999994"/>
    <n v="65301.412707999996"/>
  </r>
  <r>
    <x v="7"/>
    <n v="50.66"/>
    <n v="50.67"/>
    <x v="113"/>
    <n v="1288.6965"/>
    <n v="0"/>
    <n v="1288.6965"/>
    <n v="65285.364689999995"/>
    <n v="65298.251655"/>
  </r>
  <r>
    <x v="8"/>
    <n v="18.46"/>
    <n v="18.47"/>
    <x v="113"/>
    <n v="3535.8029000000001"/>
    <n v="0"/>
    <n v="3535.8029000000001"/>
    <n v="65270.921534000008"/>
    <n v="65306.279562999996"/>
  </r>
  <r>
    <x v="9"/>
    <n v="36.99"/>
    <n v="37"/>
    <x v="113"/>
    <n v="1764.9988000000001"/>
    <n v="0.2"/>
    <n v="1765.1988000000001"/>
    <n v="65294.703612000005"/>
    <n v="65312.355600000003"/>
  </r>
  <r>
    <x v="0"/>
    <n v="21.76"/>
    <n v="21.77"/>
    <x v="114"/>
    <n v="3014.8622999999998"/>
    <n v="0"/>
    <n v="3014.8622999999998"/>
    <n v="65603.403648000007"/>
    <n v="65633.552270999993"/>
  </r>
  <r>
    <x v="1"/>
    <n v="35.619999999999997"/>
    <n v="35.630000000000003"/>
    <x v="114"/>
    <n v="1842.07"/>
    <n v="-0.1"/>
    <n v="1841.97"/>
    <n v="65610.971399999995"/>
    <n v="65629.391100000008"/>
  </r>
  <r>
    <x v="2"/>
    <n v="18.5"/>
    <n v="18.510000000000002"/>
    <x v="114"/>
    <n v="3546.4650000000001"/>
    <n v="0"/>
    <n v="3546.4650000000001"/>
    <n v="65609.602500000008"/>
    <n v="65645.067150000003"/>
  </r>
  <r>
    <x v="3"/>
    <n v="29.02"/>
    <n v="29.03"/>
    <x v="114"/>
    <n v="2261.2950999999998"/>
    <n v="-0.2"/>
    <n v="2261.0951"/>
    <n v="65616.979802000002"/>
    <n v="65639.590752999997"/>
  </r>
  <r>
    <x v="4"/>
    <n v="69.34"/>
    <n v="69.459999999999994"/>
    <x v="114"/>
    <n v="946.10389999999995"/>
    <n v="0"/>
    <n v="946.10389999999995"/>
    <n v="65602.844425999996"/>
    <n v="65716.376893999986"/>
  </r>
  <r>
    <x v="5"/>
    <n v="37.9"/>
    <n v="37.950000000000003"/>
    <x v="114"/>
    <n v="1730.0728000000001"/>
    <n v="0.2"/>
    <n v="1730.2728000000002"/>
    <n v="65577.339120000004"/>
    <n v="65663.852760000009"/>
  </r>
  <r>
    <x v="6"/>
    <n v="57.12"/>
    <n v="57.13"/>
    <x v="114"/>
    <n v="1148.8136999999999"/>
    <n v="0.05"/>
    <n v="1148.8636999999999"/>
    <n v="65623.094543999992"/>
    <n v="65634.583180999995"/>
  </r>
  <r>
    <x v="7"/>
    <n v="50.91"/>
    <n v="50.92"/>
    <x v="114"/>
    <n v="1288.6965"/>
    <n v="0"/>
    <n v="1288.6965"/>
    <n v="65607.538814999993"/>
    <n v="65620.425780000005"/>
  </r>
  <r>
    <x v="8"/>
    <n v="18.55"/>
    <n v="18.559999999999999"/>
    <x v="114"/>
    <n v="3535.8029000000001"/>
    <n v="0"/>
    <n v="3535.8029000000001"/>
    <n v="65589.143795000011"/>
    <n v="65624.501823999992"/>
  </r>
  <r>
    <x v="9"/>
    <n v="37.17"/>
    <n v="37.18"/>
    <x v="114"/>
    <n v="1764.9988000000001"/>
    <n v="0.2"/>
    <n v="1765.1988000000001"/>
    <n v="65612.439396000002"/>
    <n v="65630.091383999999"/>
  </r>
  <r>
    <x v="0"/>
    <n v="21.75"/>
    <n v="21.76"/>
    <x v="115"/>
    <n v="3014.8622999999998"/>
    <n v="0"/>
    <n v="3014.8622999999998"/>
    <n v="65573.255024999991"/>
    <n v="65603.403648000007"/>
  </r>
  <r>
    <x v="1"/>
    <n v="35.61"/>
    <n v="35.619999999999997"/>
    <x v="115"/>
    <n v="1842.07"/>
    <n v="-0.1"/>
    <n v="1841.97"/>
    <n v="65592.551699999996"/>
    <n v="65610.971399999995"/>
  </r>
  <r>
    <x v="2"/>
    <n v="18.489999999999998"/>
    <n v="18.5"/>
    <x v="115"/>
    <n v="3546.4650000000001"/>
    <n v="0"/>
    <n v="3546.4650000000001"/>
    <n v="65574.137849999999"/>
    <n v="65609.602500000008"/>
  </r>
  <r>
    <x v="3"/>
    <n v="29.01"/>
    <n v="29.02"/>
    <x v="115"/>
    <n v="2261.2950999999998"/>
    <n v="-0.2"/>
    <n v="2261.0951"/>
    <n v="65594.368851000007"/>
    <n v="65616.979802000002"/>
  </r>
  <r>
    <x v="4"/>
    <n v="69.319999999999993"/>
    <n v="69.44"/>
    <x v="115"/>
    <n v="946.10389999999995"/>
    <n v="0"/>
    <n v="946.10389999999995"/>
    <n v="65583.922347999993"/>
    <n v="65697.454815999998"/>
  </r>
  <r>
    <x v="5"/>
    <n v="37.89"/>
    <n v="37.92"/>
    <x v="115"/>
    <n v="1730.0728000000001"/>
    <n v="0.2"/>
    <n v="1730.2728000000002"/>
    <n v="65560.036392000009"/>
    <n v="65611.944576000009"/>
  </r>
  <r>
    <x v="6"/>
    <n v="57.09"/>
    <n v="57.11"/>
    <x v="115"/>
    <n v="1148.8136999999999"/>
    <n v="0.05"/>
    <n v="1148.8636999999999"/>
    <n v="65588.628633"/>
    <n v="65611.60590699999"/>
  </r>
  <r>
    <x v="7"/>
    <n v="50.9"/>
    <n v="50.91"/>
    <x v="115"/>
    <n v="1288.6965"/>
    <n v="0"/>
    <n v="1288.6965"/>
    <n v="65594.651849999995"/>
    <n v="65607.538814999993"/>
  </r>
  <r>
    <x v="8"/>
    <n v="18.54"/>
    <n v="18.55"/>
    <x v="115"/>
    <n v="3535.8029000000001"/>
    <n v="0"/>
    <n v="3535.8029000000001"/>
    <n v="65553.785766000001"/>
    <n v="65589.143795000011"/>
  </r>
  <r>
    <x v="9"/>
    <n v="37.15"/>
    <n v="37.159999999999997"/>
    <x v="115"/>
    <n v="1764.9988000000001"/>
    <n v="0.2"/>
    <n v="1765.1988000000001"/>
    <n v="65577.135420000006"/>
    <n v="65594.787408000004"/>
  </r>
  <r>
    <x v="0"/>
    <n v="21.57"/>
    <n v="21.58"/>
    <x v="116"/>
    <n v="3014.8622999999998"/>
    <n v="0"/>
    <n v="3014.8622999999998"/>
    <n v="65030.579810999996"/>
    <n v="65060.72843399999"/>
  </r>
  <r>
    <x v="1"/>
    <n v="35.31"/>
    <n v="35.32"/>
    <x v="116"/>
    <n v="1842.07"/>
    <n v="-0.1"/>
    <n v="1841.97"/>
    <n v="65039.960700000003"/>
    <n v="65058.380400000002"/>
  </r>
  <r>
    <x v="2"/>
    <n v="18.34"/>
    <n v="18.350000000000001"/>
    <x v="116"/>
    <n v="3546.4650000000001"/>
    <n v="0"/>
    <n v="3546.4650000000001"/>
    <n v="65042.168100000003"/>
    <n v="65077.632750000004"/>
  </r>
  <r>
    <x v="3"/>
    <n v="28.77"/>
    <n v="28.78"/>
    <x v="116"/>
    <n v="2261.2950999999998"/>
    <n v="-0.2"/>
    <n v="2261.0951"/>
    <n v="65051.706027"/>
    <n v="65074.316978000003"/>
  </r>
  <r>
    <x v="4"/>
    <n v="68.73"/>
    <n v="68.84"/>
    <x v="116"/>
    <n v="946.10389999999995"/>
    <n v="0"/>
    <n v="946.10389999999995"/>
    <n v="65025.721046999999"/>
    <n v="65129.792476000002"/>
  </r>
  <r>
    <x v="5"/>
    <n v="37.58"/>
    <n v="37.6"/>
    <x v="116"/>
    <n v="1730.0728000000001"/>
    <n v="0.2"/>
    <n v="1730.2728000000002"/>
    <n v="65023.651824000008"/>
    <n v="65058.257280000013"/>
  </r>
  <r>
    <x v="6"/>
    <n v="56.63"/>
    <n v="56.64"/>
    <x v="116"/>
    <n v="1148.8136999999999"/>
    <n v="0.05"/>
    <n v="1148.8636999999999"/>
    <n v="65060.151330999994"/>
    <n v="65071.639967999996"/>
  </r>
  <r>
    <x v="7"/>
    <n v="50.47"/>
    <n v="50.48"/>
    <x v="116"/>
    <n v="1288.6965"/>
    <n v="0"/>
    <n v="1288.6965"/>
    <n v="65040.512354999999"/>
    <n v="65053.399319999997"/>
  </r>
  <r>
    <x v="8"/>
    <n v="18.39"/>
    <n v="18.399999999999999"/>
    <x v="116"/>
    <n v="3535.8029000000001"/>
    <n v="0"/>
    <n v="3535.8029000000001"/>
    <n v="65023.415331000004"/>
    <n v="65058.773359999999"/>
  </r>
  <r>
    <x v="9"/>
    <n v="36.840000000000003"/>
    <n v="36.85"/>
    <x v="116"/>
    <n v="1764.9988000000001"/>
    <n v="0.2"/>
    <n v="1765.1988000000001"/>
    <n v="65029.923792000009"/>
    <n v="65047.575780000006"/>
  </r>
  <r>
    <x v="0"/>
    <n v="21.48"/>
    <n v="21.49"/>
    <x v="117"/>
    <n v="3014.8622999999998"/>
    <n v="0"/>
    <n v="3014.8622999999998"/>
    <n v="64759.242203999995"/>
    <n v="64789.390826999988"/>
  </r>
  <r>
    <x v="1"/>
    <n v="35.159999999999997"/>
    <n v="35.17"/>
    <x v="117"/>
    <n v="1842.07"/>
    <n v="-0.1"/>
    <n v="1841.97"/>
    <n v="64763.665199999996"/>
    <n v="64782.084900000002"/>
  </r>
  <r>
    <x v="2"/>
    <n v="18.260000000000002"/>
    <n v="18.27"/>
    <x v="117"/>
    <n v="3546.4650000000001"/>
    <n v="0"/>
    <n v="3546.4650000000001"/>
    <n v="64758.450900000011"/>
    <n v="64793.915549999998"/>
  </r>
  <r>
    <x v="3"/>
    <n v="28.64"/>
    <n v="28.65"/>
    <x v="117"/>
    <n v="2261.2950999999998"/>
    <n v="-0.2"/>
    <n v="2261.0951"/>
    <n v="64757.763663999998"/>
    <n v="64780.374614999993"/>
  </r>
  <r>
    <x v="4"/>
    <n v="68.45"/>
    <n v="68.53"/>
    <x v="117"/>
    <n v="946.10389999999995"/>
    <n v="0"/>
    <n v="946.10389999999995"/>
    <n v="64760.811954999997"/>
    <n v="64836.500266999996"/>
  </r>
  <r>
    <x v="5"/>
    <n v="37.42"/>
    <n v="37.450000000000003"/>
    <x v="117"/>
    <n v="1730.0728000000001"/>
    <n v="0.2"/>
    <n v="1730.2728000000002"/>
    <n v="64746.808176000013"/>
    <n v="64798.716360000013"/>
  </r>
  <r>
    <x v="6"/>
    <n v="56.38"/>
    <n v="56.39"/>
    <x v="117"/>
    <n v="1148.8136999999999"/>
    <n v="0.05"/>
    <n v="1148.8636999999999"/>
    <n v="64772.935405999997"/>
    <n v="64784.424042999992"/>
  </r>
  <r>
    <x v="7"/>
    <n v="50.25"/>
    <n v="50.27"/>
    <x v="117"/>
    <n v="1288.6965"/>
    <n v="0"/>
    <n v="1288.6965"/>
    <n v="64756.999125000002"/>
    <n v="64782.773055000005"/>
  </r>
  <r>
    <x v="8"/>
    <n v="18.32"/>
    <n v="18.329999999999998"/>
    <x v="117"/>
    <n v="3535.8029000000001"/>
    <n v="0"/>
    <n v="3535.8029000000001"/>
    <n v="64775.909128000007"/>
    <n v="64811.267156999995"/>
  </r>
  <r>
    <x v="9"/>
    <n v="36.69"/>
    <n v="36.700000000000003"/>
    <x v="117"/>
    <n v="1764.9988000000001"/>
    <n v="0.2"/>
    <n v="1765.1988000000001"/>
    <n v="64765.143971999998"/>
    <n v="64782.79596000001"/>
  </r>
  <r>
    <x v="0"/>
    <n v="21.27"/>
    <n v="21.28"/>
    <x v="118"/>
    <n v="3014.8622999999998"/>
    <n v="0"/>
    <n v="3014.8622999999998"/>
    <n v="64126.121120999996"/>
    <n v="64156.269743999997"/>
  </r>
  <r>
    <x v="1"/>
    <n v="34.82"/>
    <n v="34.83"/>
    <x v="118"/>
    <n v="1842.07"/>
    <n v="-0.1"/>
    <n v="1841.97"/>
    <n v="64137.395400000001"/>
    <n v="64155.8151"/>
  </r>
  <r>
    <x v="2"/>
    <n v="18.079999999999998"/>
    <n v="18.09"/>
    <x v="118"/>
    <n v="3546.4650000000001"/>
    <n v="0"/>
    <n v="3546.4650000000001"/>
    <n v="64120.087199999994"/>
    <n v="64155.551850000003"/>
  </r>
  <r>
    <x v="3"/>
    <n v="28.37"/>
    <n v="28.38"/>
    <x v="118"/>
    <n v="2261.2950999999998"/>
    <n v="-0.2"/>
    <n v="2261.0951"/>
    <n v="64147.267986999999"/>
    <n v="64169.878937999994"/>
  </r>
  <r>
    <x v="4"/>
    <n v="67.78"/>
    <n v="67.89"/>
    <x v="118"/>
    <n v="946.10389999999995"/>
    <n v="0"/>
    <n v="946.10389999999995"/>
    <n v="64126.922341999998"/>
    <n v="64230.993770999994"/>
  </r>
  <r>
    <x v="5"/>
    <n v="37.04"/>
    <n v="37.090000000000003"/>
    <x v="118"/>
    <n v="1730.0728000000001"/>
    <n v="0.2"/>
    <n v="1730.2728000000002"/>
    <n v="64089.304512000002"/>
    <n v="64175.818152000014"/>
  </r>
  <r>
    <x v="6"/>
    <n v="55.84"/>
    <n v="55.85"/>
    <x v="118"/>
    <n v="1148.8136999999999"/>
    <n v="0.05"/>
    <n v="1148.8636999999999"/>
    <n v="64152.549007999995"/>
    <n v="64164.037644999997"/>
  </r>
  <r>
    <x v="7"/>
    <n v="49.77"/>
    <n v="49.78"/>
    <x v="118"/>
    <n v="1288.6965"/>
    <n v="0"/>
    <n v="1288.6965"/>
    <n v="64138.424805000002"/>
    <n v="64151.31177"/>
  </r>
  <r>
    <x v="8"/>
    <n v="18.14"/>
    <n v="18.149999999999999"/>
    <x v="118"/>
    <n v="3535.8029000000001"/>
    <n v="0"/>
    <n v="3535.8029000000001"/>
    <n v="64139.464606000001"/>
    <n v="64174.822634999997"/>
  </r>
  <r>
    <x v="9"/>
    <n v="36.33"/>
    <n v="36.340000000000003"/>
    <x v="118"/>
    <n v="1764.9988000000001"/>
    <n v="0.2"/>
    <n v="1765.1988000000001"/>
    <n v="64129.672404000004"/>
    <n v="64147.32439200001"/>
  </r>
  <r>
    <x v="0"/>
    <n v="21.26"/>
    <n v="21.27"/>
    <x v="119"/>
    <n v="3014.8622999999998"/>
    <n v="0"/>
    <n v="3014.8622999999998"/>
    <n v="64095.972498000003"/>
    <n v="64126.121120999996"/>
  </r>
  <r>
    <x v="1"/>
    <n v="34.799999999999997"/>
    <n v="34.81"/>
    <x v="119"/>
    <n v="1842.07"/>
    <n v="-0.1"/>
    <n v="1841.97"/>
    <n v="64100.555999999997"/>
    <n v="64118.975700000003"/>
  </r>
  <r>
    <x v="2"/>
    <n v="18.07"/>
    <n v="18.079999999999998"/>
    <x v="119"/>
    <n v="3546.4650000000001"/>
    <n v="0"/>
    <n v="3546.4650000000001"/>
    <n v="64084.62255"/>
    <n v="64120.087199999994"/>
  </r>
  <r>
    <x v="3"/>
    <n v="28.35"/>
    <n v="28.36"/>
    <x v="119"/>
    <n v="2261.2950999999998"/>
    <n v="-0.2"/>
    <n v="2261.0951"/>
    <n v="64102.046085000002"/>
    <n v="64124.657035999997"/>
  </r>
  <r>
    <x v="4"/>
    <n v="67.790000000000006"/>
    <n v="67.83"/>
    <x v="119"/>
    <n v="946.10389999999995"/>
    <n v="0"/>
    <n v="946.10389999999995"/>
    <n v="64136.383381"/>
    <n v="64174.227536999999"/>
  </r>
  <r>
    <x v="5"/>
    <n v="37.04"/>
    <n v="37.06"/>
    <x v="119"/>
    <n v="1730.0728000000001"/>
    <n v="0.2"/>
    <n v="1730.2728000000002"/>
    <n v="64089.304512000002"/>
    <n v="64123.909968000014"/>
  </r>
  <r>
    <x v="6"/>
    <n v="55.81"/>
    <n v="55.82"/>
    <x v="119"/>
    <n v="1148.8136999999999"/>
    <n v="0.05"/>
    <n v="1148.8636999999999"/>
    <n v="64118.083096999995"/>
    <n v="64129.57173399999"/>
  </r>
  <r>
    <x v="7"/>
    <n v="49.75"/>
    <n v="49.76"/>
    <x v="119"/>
    <n v="1288.6965"/>
    <n v="0"/>
    <n v="1288.6965"/>
    <n v="64112.650874999999"/>
    <n v="64125.537839999997"/>
  </r>
  <r>
    <x v="8"/>
    <n v="18.13"/>
    <n v="18.14"/>
    <x v="119"/>
    <n v="3535.8029000000001"/>
    <n v="0"/>
    <n v="3535.8029000000001"/>
    <n v="64104.106576999999"/>
    <n v="64139.464606000001"/>
  </r>
  <r>
    <x v="9"/>
    <n v="36.31"/>
    <n v="36.32"/>
    <x v="119"/>
    <n v="1764.9988000000001"/>
    <n v="0.2"/>
    <n v="1765.1988000000001"/>
    <n v="64094.368428000009"/>
    <n v="64112.020416000007"/>
  </r>
  <r>
    <x v="0"/>
    <n v="21.31"/>
    <n v="21.32"/>
    <x v="120"/>
    <n v="3014.8622999999998"/>
    <n v="0"/>
    <n v="3014.8622999999998"/>
    <n v="64246.715612999993"/>
    <n v="64276.864235999994"/>
  </r>
  <r>
    <x v="1"/>
    <n v="34.880000000000003"/>
    <n v="34.9"/>
    <x v="120"/>
    <n v="1842.07"/>
    <n v="-0.1"/>
    <n v="1841.97"/>
    <n v="64247.913600000007"/>
    <n v="64284.752999999997"/>
  </r>
  <r>
    <x v="2"/>
    <n v="18.100000000000001"/>
    <n v="18.13"/>
    <x v="120"/>
    <n v="3546.4650000000001"/>
    <n v="0"/>
    <n v="3546.4650000000001"/>
    <n v="64191.016500000005"/>
    <n v="64297.410449999996"/>
  </r>
  <r>
    <x v="3"/>
    <n v="28.41"/>
    <n v="28.43"/>
    <x v="120"/>
    <n v="2261.2950999999998"/>
    <n v="-0.2"/>
    <n v="2261.0951"/>
    <n v="64237.711791000002"/>
    <n v="64282.933692999999"/>
  </r>
  <r>
    <x v="4"/>
    <n v="67.61"/>
    <n v="70.05"/>
    <x v="120"/>
    <n v="946.10389999999995"/>
    <n v="0"/>
    <n v="946.10389999999995"/>
    <n v="63966.084679"/>
    <n v="66274.578194999995"/>
  </r>
  <r>
    <x v="5"/>
    <n v="37.049999999999997"/>
    <n v="37.32"/>
    <x v="120"/>
    <n v="1730.0728000000001"/>
    <n v="0.2"/>
    <n v="1730.2728000000002"/>
    <n v="64106.607240000005"/>
    <n v="64573.780896000011"/>
  </r>
  <r>
    <x v="6"/>
    <n v="55.93"/>
    <n v="55.96"/>
    <x v="120"/>
    <n v="1148.8136999999999"/>
    <n v="0.05"/>
    <n v="1148.8636999999999"/>
    <n v="64255.946740999992"/>
    <n v="64290.412651999992"/>
  </r>
  <r>
    <x v="7"/>
    <n v="49.87"/>
    <n v="49.88"/>
    <x v="120"/>
    <n v="1288.6965"/>
    <n v="0"/>
    <n v="1288.6965"/>
    <n v="64267.294454999996"/>
    <n v="64280.181420000001"/>
  </r>
  <r>
    <x v="8"/>
    <n v="18.16"/>
    <n v="18.190000000000001"/>
    <x v="120"/>
    <n v="3535.8029000000001"/>
    <n v="0"/>
    <n v="3535.8029000000001"/>
    <n v="64210.180664"/>
    <n v="64316.254751000008"/>
  </r>
  <r>
    <x v="9"/>
    <n v="36.39"/>
    <n v="36.4"/>
    <x v="120"/>
    <n v="1764.9988000000001"/>
    <n v="0.2"/>
    <n v="1765.1988000000001"/>
    <n v="64235.584332000006"/>
    <n v="64253.236320000004"/>
  </r>
  <r>
    <x v="0"/>
    <n v="21.35"/>
    <n v="21.36"/>
    <x v="121"/>
    <n v="3014.8622999999998"/>
    <n v="0"/>
    <n v="3014.8622999999998"/>
    <n v="64367.310104999997"/>
    <n v="64397.458727999991"/>
  </r>
  <r>
    <x v="1"/>
    <n v="34.93"/>
    <n v="34.96"/>
    <x v="121"/>
    <n v="1842.07"/>
    <n v="-0.1"/>
    <n v="1841.97"/>
    <n v="64340.0121"/>
    <n v="64395.271200000003"/>
  </r>
  <r>
    <x v="2"/>
    <n v="18.14"/>
    <n v="18.170000000000002"/>
    <x v="121"/>
    <n v="3546.4650000000001"/>
    <n v="0"/>
    <n v="3546.4650000000001"/>
    <n v="64332.875100000005"/>
    <n v="64439.26905000001"/>
  </r>
  <r>
    <x v="3"/>
    <n v="28.45"/>
    <n v="28.48"/>
    <x v="121"/>
    <n v="2261.2950999999998"/>
    <n v="-0.2"/>
    <n v="2261.0951"/>
    <n v="64328.155594999997"/>
    <n v="64395.988448000004"/>
  </r>
  <r>
    <x v="4"/>
    <n v="67.64"/>
    <n v="70.05"/>
    <x v="121"/>
    <n v="946.10389999999995"/>
    <n v="0"/>
    <n v="946.10389999999995"/>
    <n v="63994.467795999997"/>
    <n v="66274.578194999995"/>
  </r>
  <r>
    <x v="5"/>
    <n v="37.03"/>
    <n v="37.26"/>
    <x v="121"/>
    <n v="1730.0728000000001"/>
    <n v="0.2"/>
    <n v="1730.2728000000002"/>
    <n v="64072.001784000007"/>
    <n v="64469.964528000004"/>
  </r>
  <r>
    <x v="6"/>
    <n v="56.02"/>
    <n v="56.06"/>
    <x v="121"/>
    <n v="1148.8136999999999"/>
    <n v="0.05"/>
    <n v="1148.8636999999999"/>
    <n v="64359.344473999998"/>
    <n v="64405.299021999999"/>
  </r>
  <r>
    <x v="7"/>
    <n v="49.92"/>
    <n v="49.97"/>
    <x v="121"/>
    <n v="1288.6965"/>
    <n v="0"/>
    <n v="1288.6965"/>
    <n v="64331.72928"/>
    <n v="64396.164104999996"/>
  </r>
  <r>
    <x v="8"/>
    <n v="18.190000000000001"/>
    <n v="18.21"/>
    <x v="121"/>
    <n v="3535.8029000000001"/>
    <n v="0"/>
    <n v="3535.8029000000001"/>
    <n v="64316.254751000008"/>
    <n v="64386.970809000006"/>
  </r>
  <r>
    <x v="9"/>
    <n v="36.46"/>
    <n v="36.47"/>
    <x v="121"/>
    <n v="1764.9988000000001"/>
    <n v="0.2"/>
    <n v="1765.1988000000001"/>
    <n v="64359.148248000005"/>
    <n v="64376.800236000003"/>
  </r>
  <r>
    <x v="0"/>
    <n v="21.34"/>
    <n v="21.35"/>
    <x v="122"/>
    <n v="3014.9315000000001"/>
    <n v="0"/>
    <n v="3014.9315000000001"/>
    <n v="64338.638210000005"/>
    <n v="64368.787525000007"/>
  </r>
  <r>
    <x v="1"/>
    <n v="34.92"/>
    <n v="34.94"/>
    <x v="122"/>
    <n v="1842.1104"/>
    <n v="-0.1"/>
    <n v="1842.0104000000001"/>
    <n v="64323.00316800001"/>
    <n v="64359.843375999997"/>
  </r>
  <r>
    <x v="2"/>
    <n v="18.14"/>
    <n v="18.149999999999999"/>
    <x v="122"/>
    <n v="3546.5621999999998"/>
    <n v="0"/>
    <n v="3546.5621999999998"/>
    <n v="64334.638308000001"/>
    <n v="64370.10392999999"/>
  </r>
  <r>
    <x v="3"/>
    <n v="28.45"/>
    <n v="28.47"/>
    <x v="122"/>
    <n v="2261.3323"/>
    <n v="-0.2"/>
    <n v="2261.1323000000002"/>
    <n v="64329.213935000007"/>
    <n v="64374.436581000002"/>
  </r>
  <r>
    <x v="4"/>
    <n v="67.66"/>
    <n v="68.36"/>
    <x v="122"/>
    <n v="946.12990000000002"/>
    <n v="0"/>
    <n v="946.12990000000002"/>
    <n v="64015.149033999995"/>
    <n v="64677.439963999997"/>
  </r>
  <r>
    <x v="5"/>
    <n v="37.17"/>
    <n v="37.200000000000003"/>
    <x v="122"/>
    <n v="1730.1088000000002"/>
    <n v="0.2"/>
    <n v="1730.3088000000002"/>
    <n v="64315.578096000012"/>
    <n v="64367.487360000014"/>
  </r>
  <r>
    <x v="6"/>
    <n v="55.98"/>
    <n v="56.02"/>
    <x v="122"/>
    <n v="1148.8453"/>
    <n v="0.05"/>
    <n v="1148.8952999999999"/>
    <n v="64315.158893999993"/>
    <n v="64361.114706"/>
  </r>
  <r>
    <x v="7"/>
    <n v="49.9"/>
    <n v="49.93"/>
    <x v="122"/>
    <n v="1288.9085"/>
    <n v="0"/>
    <n v="1288.9085"/>
    <n v="64316.534149999999"/>
    <n v="64355.201405"/>
  </r>
  <r>
    <x v="8"/>
    <n v="18.190000000000001"/>
    <n v="18.2"/>
    <x v="122"/>
    <n v="3535.8029000000001"/>
    <n v="0"/>
    <n v="3535.8029000000001"/>
    <n v="64316.254751000008"/>
    <n v="64351.612780000003"/>
  </r>
  <r>
    <x v="9"/>
    <n v="36.44"/>
    <n v="36.44"/>
    <x v="122"/>
    <n v="1765.0472"/>
    <n v="0.2"/>
    <n v="1765.2472"/>
    <n v="64325.607967999997"/>
    <n v="64325.607967999997"/>
  </r>
  <r>
    <x v="0"/>
    <n v="21.22"/>
    <n v="21.23"/>
    <x v="123"/>
    <n v="3014.9315000000001"/>
    <n v="0"/>
    <n v="3014.9315000000001"/>
    <n v="63976.846429999998"/>
    <n v="64006.995745000007"/>
  </r>
  <r>
    <x v="1"/>
    <n v="34.729999999999997"/>
    <n v="34.74"/>
    <x v="123"/>
    <n v="1842.1104"/>
    <n v="-0.1"/>
    <n v="1842.0104000000001"/>
    <n v="63973.021192"/>
    <n v="63991.441296000005"/>
  </r>
  <r>
    <x v="2"/>
    <n v="18.04"/>
    <n v="18.05"/>
    <x v="123"/>
    <n v="3546.5621999999998"/>
    <n v="0"/>
    <n v="3546.5621999999998"/>
    <n v="63979.982087999997"/>
    <n v="64015.44771"/>
  </r>
  <r>
    <x v="3"/>
    <n v="28.29"/>
    <n v="28.3"/>
    <x v="123"/>
    <n v="2261.3323"/>
    <n v="-0.2"/>
    <n v="2261.1323000000002"/>
    <n v="63967.432767000006"/>
    <n v="63990.04409000001"/>
  </r>
  <r>
    <x v="4"/>
    <n v="67.61"/>
    <n v="67.680000000000007"/>
    <x v="123"/>
    <n v="946.12990000000002"/>
    <n v="0"/>
    <n v="946.12990000000002"/>
    <n v="63967.842538999997"/>
    <n v="64034.071632000007"/>
  </r>
  <r>
    <x v="5"/>
    <n v="36.979999999999997"/>
    <n v="36.99"/>
    <x v="123"/>
    <n v="1730.1088000000002"/>
    <n v="0.2"/>
    <n v="1730.3088000000002"/>
    <n v="63986.819424000001"/>
    <n v="64004.122512000009"/>
  </r>
  <r>
    <x v="6"/>
    <n v="55.69"/>
    <n v="55.71"/>
    <x v="123"/>
    <n v="1148.8453"/>
    <n v="0.05"/>
    <n v="1148.8952999999999"/>
    <n v="63981.979256999992"/>
    <n v="64004.957162999999"/>
  </r>
  <r>
    <x v="7"/>
    <n v="49.65"/>
    <n v="49.66"/>
    <x v="123"/>
    <n v="1288.9085"/>
    <n v="0"/>
    <n v="1288.9085"/>
    <n v="63994.307025000002"/>
    <n v="64007.196109999997"/>
  </r>
  <r>
    <x v="8"/>
    <n v="18.09"/>
    <n v="18.100000000000001"/>
    <x v="123"/>
    <n v="3535.8029000000001"/>
    <n v="0"/>
    <n v="3535.8029000000001"/>
    <n v="63962.674461000002"/>
    <n v="63998.032490000005"/>
  </r>
  <r>
    <x v="9"/>
    <n v="36.24"/>
    <n v="36.25"/>
    <x v="123"/>
    <n v="1765.0472"/>
    <n v="0.2"/>
    <n v="1765.2472"/>
    <n v="63972.558528000001"/>
    <n v="63990.211000000003"/>
  </r>
  <r>
    <x v="0"/>
    <n v="21.24"/>
    <n v="21.25"/>
    <x v="124"/>
    <n v="3014.9315000000001"/>
    <n v="0"/>
    <n v="3014.9315000000001"/>
    <n v="64037.145059999995"/>
    <n v="64067.294375000005"/>
  </r>
  <r>
    <x v="1"/>
    <n v="34.770000000000003"/>
    <n v="34.78"/>
    <x v="124"/>
    <n v="1842.1104"/>
    <n v="-0.1"/>
    <n v="1842.0104000000001"/>
    <n v="64046.70160800001"/>
    <n v="64065.121712000007"/>
  </r>
  <r>
    <x v="2"/>
    <n v="18.05"/>
    <n v="18.059999999999999"/>
    <x v="124"/>
    <n v="3546.5621999999998"/>
    <n v="0"/>
    <n v="3546.5621999999998"/>
    <n v="64015.44771"/>
    <n v="64050.913331999989"/>
  </r>
  <r>
    <x v="3"/>
    <n v="28.32"/>
    <n v="28.33"/>
    <x v="124"/>
    <n v="2261.3323"/>
    <n v="-0.2"/>
    <n v="2261.1323000000002"/>
    <n v="64035.266736000005"/>
    <n v="64057.878059000002"/>
  </r>
  <r>
    <x v="4"/>
    <n v="67.67"/>
    <n v="67.77"/>
    <x v="124"/>
    <n v="946.12990000000002"/>
    <n v="0"/>
    <n v="946.12990000000002"/>
    <n v="64024.610333000004"/>
    <n v="64119.223322999998"/>
  </r>
  <r>
    <x v="5"/>
    <n v="37.01"/>
    <n v="37.04"/>
    <x v="124"/>
    <n v="1730.1088000000002"/>
    <n v="0.2"/>
    <n v="1730.3088000000002"/>
    <n v="64038.728688000003"/>
    <n v="64090.637952000005"/>
  </r>
  <r>
    <x v="6"/>
    <n v="55.75"/>
    <n v="55.76"/>
    <x v="124"/>
    <n v="1148.8453"/>
    <n v="0.05"/>
    <n v="1148.8952999999999"/>
    <n v="64050.912974999992"/>
    <n v="64062.401927999992"/>
  </r>
  <r>
    <x v="7"/>
    <n v="49.7"/>
    <n v="49.71"/>
    <x v="124"/>
    <n v="1288.9085"/>
    <n v="0"/>
    <n v="1288.9085"/>
    <n v="64058.752450000007"/>
    <n v="64071.641535000002"/>
  </r>
  <r>
    <x v="8"/>
    <n v="18.11"/>
    <n v="18.12"/>
    <x v="124"/>
    <n v="3535.8029000000001"/>
    <n v="0"/>
    <n v="3535.8029000000001"/>
    <n v="64033.390519"/>
    <n v="64068.748548000003"/>
  </r>
  <r>
    <x v="9"/>
    <n v="36.270000000000003"/>
    <n v="36.28"/>
    <x v="124"/>
    <n v="1765.0472"/>
    <n v="0.2"/>
    <n v="1765.2472"/>
    <n v="64025.515944000006"/>
    <n v="64043.168416"/>
  </r>
  <r>
    <x v="0"/>
    <n v="21.18"/>
    <n v="21.19"/>
    <x v="125"/>
    <n v="3014.9315000000001"/>
    <n v="0"/>
    <n v="3014.9315000000001"/>
    <n v="63856.249170000003"/>
    <n v="63886.398485000005"/>
  </r>
  <r>
    <x v="1"/>
    <n v="34.67"/>
    <n v="34.68"/>
    <x v="125"/>
    <n v="1842.1104"/>
    <n v="-0.1"/>
    <n v="1842.0104000000001"/>
    <n v="63862.50056800001"/>
    <n v="63880.920672"/>
  </r>
  <r>
    <x v="2"/>
    <n v="18.010000000000002"/>
    <n v="18.02"/>
    <x v="125"/>
    <n v="3546.5621999999998"/>
    <n v="0"/>
    <n v="3546.5621999999998"/>
    <n v="63873.585222000002"/>
    <n v="63909.050843999998"/>
  </r>
  <r>
    <x v="3"/>
    <n v="28.25"/>
    <n v="28.26"/>
    <x v="125"/>
    <n v="2261.3323"/>
    <n v="-0.2"/>
    <n v="2261.1323000000002"/>
    <n v="63876.987475000009"/>
    <n v="63899.598798000006"/>
  </r>
  <r>
    <x v="4"/>
    <n v="67.45"/>
    <n v="67.56"/>
    <x v="125"/>
    <n v="946.12990000000002"/>
    <n v="0"/>
    <n v="946.12990000000002"/>
    <n v="63816.461755000004"/>
    <n v="63920.536044"/>
  </r>
  <r>
    <x v="5"/>
    <n v="36.909999999999997"/>
    <n v="36.93"/>
    <x v="125"/>
    <n v="1730.1088000000002"/>
    <n v="0.2"/>
    <n v="1730.3088000000002"/>
    <n v="63865.697808000004"/>
    <n v="63900.303984000006"/>
  </r>
  <r>
    <x v="6"/>
    <n v="55.59"/>
    <n v="55.6"/>
    <x v="125"/>
    <n v="1148.8453"/>
    <n v="0.05"/>
    <n v="1148.8952999999999"/>
    <n v="63867.089726999999"/>
    <n v="63878.578679999999"/>
  </r>
  <r>
    <x v="7"/>
    <n v="49.56"/>
    <n v="49.57"/>
    <x v="125"/>
    <n v="1288.9085"/>
    <n v="0"/>
    <n v="1288.9085"/>
    <n v="63878.305260000001"/>
    <n v="63891.194345000004"/>
  </r>
  <r>
    <x v="8"/>
    <n v="18.059999999999999"/>
    <n v="18.07"/>
    <x v="125"/>
    <n v="3535.8029000000001"/>
    <n v="0"/>
    <n v="3535.8029000000001"/>
    <n v="63856.600374000001"/>
    <n v="63891.958403000004"/>
  </r>
  <r>
    <x v="9"/>
    <n v="36.17"/>
    <n v="36.18"/>
    <x v="125"/>
    <n v="1765.0472"/>
    <n v="0.2"/>
    <n v="1765.2472"/>
    <n v="63848.991224000005"/>
    <n v="63866.643695999999"/>
  </r>
  <r>
    <x v="0"/>
    <n v="21.2"/>
    <n v="21.21"/>
    <x v="126"/>
    <n v="3014.9315000000001"/>
    <n v="0"/>
    <n v="3014.9315000000001"/>
    <n v="63916.5478"/>
    <n v="63946.697115000003"/>
  </r>
  <r>
    <x v="1"/>
    <n v="34.69"/>
    <n v="34.700000000000003"/>
    <x v="126"/>
    <n v="1842.1104"/>
    <n v="-0.1"/>
    <n v="1842.0104000000001"/>
    <n v="63899.340775999997"/>
    <n v="63917.760880000009"/>
  </r>
  <r>
    <x v="2"/>
    <n v="18.02"/>
    <n v="18.03"/>
    <x v="126"/>
    <n v="3546.5621999999998"/>
    <n v="0"/>
    <n v="3546.5621999999998"/>
    <n v="63909.050843999998"/>
    <n v="63944.516466000001"/>
  </r>
  <r>
    <x v="3"/>
    <n v="28.27"/>
    <n v="28.28"/>
    <x v="126"/>
    <n v="2261.3323"/>
    <n v="-0.2"/>
    <n v="2261.1323000000002"/>
    <n v="63922.210121000004"/>
    <n v="63944.821444000008"/>
  </r>
  <r>
    <x v="4"/>
    <n v="67.53"/>
    <n v="67.62"/>
    <x v="126"/>
    <n v="946.12990000000002"/>
    <n v="0"/>
    <n v="946.12990000000002"/>
    <n v="63892.152147000001"/>
    <n v="63977.303838000007"/>
  </r>
  <r>
    <x v="5"/>
    <n v="36.93"/>
    <n v="36.96"/>
    <x v="126"/>
    <n v="1730.1088000000002"/>
    <n v="0.2"/>
    <n v="1730.3088000000002"/>
    <n v="63900.303984000006"/>
    <n v="63952.213248000007"/>
  </r>
  <r>
    <x v="6"/>
    <n v="55.63"/>
    <n v="55.64"/>
    <x v="126"/>
    <n v="1148.8453"/>
    <n v="0.05"/>
    <n v="1148.8952999999999"/>
    <n v="63913.045538999999"/>
    <n v="63924.534491999999"/>
  </r>
  <r>
    <x v="7"/>
    <n v="49.58"/>
    <n v="49.59"/>
    <x v="126"/>
    <n v="1288.9085"/>
    <n v="0"/>
    <n v="1288.9085"/>
    <n v="63904.083429999999"/>
    <n v="63916.972515000001"/>
  </r>
  <r>
    <x v="8"/>
    <n v="18.07"/>
    <n v="18.079999999999998"/>
    <x v="126"/>
    <n v="3535.8029000000001"/>
    <n v="0"/>
    <n v="3535.8029000000001"/>
    <n v="63891.958403000004"/>
    <n v="63927.316432"/>
  </r>
  <r>
    <x v="9"/>
    <n v="36.200000000000003"/>
    <n v="36.21"/>
    <x v="126"/>
    <n v="1765.0472"/>
    <n v="0.2"/>
    <n v="1765.2472"/>
    <n v="63901.948640000002"/>
    <n v="63919.601112000004"/>
  </r>
  <r>
    <x v="0"/>
    <n v="21.16"/>
    <n v="21.17"/>
    <x v="127"/>
    <n v="3014.9315000000001"/>
    <n v="0"/>
    <n v="3014.9315000000001"/>
    <n v="63795.950540000005"/>
    <n v="63826.099855000008"/>
  </r>
  <r>
    <x v="1"/>
    <n v="34.64"/>
    <n v="34.65"/>
    <x v="127"/>
    <n v="1842.1104"/>
    <n v="-0.1"/>
    <n v="1842.0104000000001"/>
    <n v="63807.240256000005"/>
    <n v="63825.660360000002"/>
  </r>
  <r>
    <x v="2"/>
    <n v="17.98"/>
    <n v="17.989999999999998"/>
    <x v="127"/>
    <n v="3546.5621999999998"/>
    <n v="0"/>
    <n v="3546.5621999999998"/>
    <n v="63767.188355999999"/>
    <n v="63802.653977999995"/>
  </r>
  <r>
    <x v="3"/>
    <n v="28.21"/>
    <n v="28.22"/>
    <x v="127"/>
    <n v="2261.3323"/>
    <n v="-0.2"/>
    <n v="2261.1323000000002"/>
    <n v="63786.542183000005"/>
    <n v="63809.153506000002"/>
  </r>
  <r>
    <x v="4"/>
    <n v="67.400000000000006"/>
    <n v="67.5"/>
    <x v="127"/>
    <n v="946.12990000000002"/>
    <n v="0"/>
    <n v="946.12990000000002"/>
    <n v="63769.155260000007"/>
    <n v="63863.768250000001"/>
  </r>
  <r>
    <x v="5"/>
    <n v="36.86"/>
    <n v="36.880000000000003"/>
    <x v="127"/>
    <n v="1730.1088000000002"/>
    <n v="0.2"/>
    <n v="1730.3088000000002"/>
    <n v="63779.182368000009"/>
    <n v="63813.78854400001"/>
  </r>
  <r>
    <x v="6"/>
    <n v="55.52"/>
    <n v="55.53"/>
    <x v="127"/>
    <n v="1148.8453"/>
    <n v="0.05"/>
    <n v="1148.8952999999999"/>
    <n v="63786.667055999998"/>
    <n v="63798.156008999998"/>
  </r>
  <r>
    <x v="7"/>
    <n v="49.5"/>
    <n v="49.51"/>
    <x v="127"/>
    <n v="1288.9085"/>
    <n v="0"/>
    <n v="1288.9085"/>
    <n v="63800.97075"/>
    <n v="63813.859834999996"/>
  </r>
  <r>
    <x v="8"/>
    <n v="18.03"/>
    <n v="18.04"/>
    <x v="127"/>
    <n v="3535.8029000000001"/>
    <n v="0"/>
    <n v="3535.8029000000001"/>
    <n v="63750.526287000008"/>
    <n v="63785.884315999996"/>
  </r>
  <r>
    <x v="9"/>
    <n v="36.14"/>
    <n v="36.15"/>
    <x v="127"/>
    <n v="1765.0472"/>
    <n v="0.2"/>
    <n v="1765.2472"/>
    <n v="63796.033808"/>
    <n v="63813.686280000002"/>
  </r>
  <r>
    <x v="0"/>
    <n v="21.15"/>
    <n v="21.16"/>
    <x v="128"/>
    <n v="3014.9315000000001"/>
    <n v="0"/>
    <n v="3014.9315000000001"/>
    <n v="63765.801224999996"/>
    <n v="63795.950540000005"/>
  </r>
  <r>
    <x v="1"/>
    <n v="34.619999999999997"/>
    <n v="34.630000000000003"/>
    <x v="128"/>
    <n v="1842.1104"/>
    <n v="-0.1"/>
    <n v="1842.0104000000001"/>
    <n v="63770.400047999996"/>
    <n v="63788.820152000008"/>
  </r>
  <r>
    <x v="2"/>
    <n v="17.98"/>
    <n v="17.989999999999998"/>
    <x v="128"/>
    <n v="3546.5621999999998"/>
    <n v="0"/>
    <n v="3546.5621999999998"/>
    <n v="63767.188355999999"/>
    <n v="63802.653977999995"/>
  </r>
  <r>
    <x v="3"/>
    <n v="28.2"/>
    <n v="28.21"/>
    <x v="128"/>
    <n v="2261.3323"/>
    <n v="-0.2"/>
    <n v="2261.1323000000002"/>
    <n v="63763.930860000008"/>
    <n v="63786.542183000005"/>
  </r>
  <r>
    <x v="4"/>
    <n v="67.400000000000006"/>
    <n v="67.47"/>
    <x v="128"/>
    <n v="946.12990000000002"/>
    <n v="0"/>
    <n v="946.12990000000002"/>
    <n v="63769.155260000007"/>
    <n v="63835.384353000001"/>
  </r>
  <r>
    <x v="5"/>
    <n v="36.85"/>
    <n v="36.869999999999997"/>
    <x v="128"/>
    <n v="1730.1088000000002"/>
    <n v="0.2"/>
    <n v="1730.3088000000002"/>
    <n v="63761.879280000008"/>
    <n v="63796.485456000002"/>
  </r>
  <r>
    <x v="6"/>
    <n v="55.49"/>
    <n v="55.5"/>
    <x v="128"/>
    <n v="1148.8453"/>
    <n v="0.05"/>
    <n v="1148.8952999999999"/>
    <n v="63752.200196999998"/>
    <n v="63763.689149999998"/>
  </r>
  <r>
    <x v="7"/>
    <n v="49.47"/>
    <n v="49.48"/>
    <x v="128"/>
    <n v="1288.9085"/>
    <n v="0"/>
    <n v="1288.9085"/>
    <n v="63762.303495"/>
    <n v="63775.192579999995"/>
  </r>
  <r>
    <x v="8"/>
    <n v="18.03"/>
    <n v="18.04"/>
    <x v="128"/>
    <n v="3535.8029000000001"/>
    <n v="0"/>
    <n v="3535.8029000000001"/>
    <n v="63750.526287000008"/>
    <n v="63785.884315999996"/>
  </r>
  <r>
    <x v="9"/>
    <n v="36.119999999999997"/>
    <n v="36.130000000000003"/>
    <x v="128"/>
    <n v="1765.0472"/>
    <n v="0.2"/>
    <n v="1765.2472"/>
    <n v="63760.728863999997"/>
    <n v="63778.381336000006"/>
  </r>
  <r>
    <x v="0"/>
    <n v="21.08"/>
    <n v="21.09"/>
    <x v="129"/>
    <n v="3014.9315000000001"/>
    <n v="0"/>
    <n v="3014.9315000000001"/>
    <n v="63554.756020000001"/>
    <n v="63584.905335000003"/>
  </r>
  <r>
    <x v="1"/>
    <n v="34.51"/>
    <n v="34.51"/>
    <x v="129"/>
    <n v="1842.1104"/>
    <n v="-0.1"/>
    <n v="1842.0104000000001"/>
    <n v="63567.778903999999"/>
    <n v="63567.778903999999"/>
  </r>
  <r>
    <x v="2"/>
    <n v="17.920000000000002"/>
    <n v="17.93"/>
    <x v="129"/>
    <n v="3546.5621999999998"/>
    <n v="0"/>
    <n v="3546.5621999999998"/>
    <n v="63554.394624"/>
    <n v="63589.860245999997"/>
  </r>
  <r>
    <x v="3"/>
    <n v="28.11"/>
    <n v="28.12"/>
    <x v="129"/>
    <n v="2261.3323"/>
    <n v="-0.2"/>
    <n v="2261.1323000000002"/>
    <n v="63560.428953000002"/>
    <n v="63583.040276000007"/>
  </r>
  <r>
    <x v="4"/>
    <n v="67.13"/>
    <n v="67.239999999999995"/>
    <x v="129"/>
    <n v="946.12990000000002"/>
    <n v="0"/>
    <n v="946.12990000000002"/>
    <n v="63513.700186999995"/>
    <n v="63617.774475999999"/>
  </r>
  <r>
    <x v="5"/>
    <n v="36.729999999999997"/>
    <n v="36.75"/>
    <x v="129"/>
    <n v="1730.1088000000002"/>
    <n v="0.2"/>
    <n v="1730.3088000000002"/>
    <n v="63554.242224000001"/>
    <n v="63588.84840000001"/>
  </r>
  <r>
    <x v="6"/>
    <n v="55.31"/>
    <n v="55.32"/>
    <x v="129"/>
    <n v="1148.8453"/>
    <n v="0.05"/>
    <n v="1148.8952999999999"/>
    <n v="63545.399042999998"/>
    <n v="63556.887995999998"/>
  </r>
  <r>
    <x v="7"/>
    <n v="49.32"/>
    <n v="49.33"/>
    <x v="129"/>
    <n v="1288.9085"/>
    <n v="0"/>
    <n v="1288.9085"/>
    <n v="63568.967219999999"/>
    <n v="63581.856305000001"/>
  </r>
  <r>
    <x v="8"/>
    <n v="17.97"/>
    <n v="17.98"/>
    <x v="129"/>
    <n v="3535.8029000000001"/>
    <n v="0"/>
    <n v="3535.8029000000001"/>
    <n v="63538.378112999999"/>
    <n v="63573.736142000002"/>
  </r>
  <r>
    <x v="9"/>
    <n v="36"/>
    <n v="36.01"/>
    <x v="129"/>
    <n v="1765.0472"/>
    <n v="0.2"/>
    <n v="1765.2472"/>
    <n v="63548.8992"/>
    <n v="63566.551671999994"/>
  </r>
  <r>
    <x v="0"/>
    <n v="20.99"/>
    <n v="21"/>
    <x v="130"/>
    <n v="3014.9315000000001"/>
    <n v="0"/>
    <n v="3014.9315000000001"/>
    <n v="63283.412185000001"/>
    <n v="63313.561500000003"/>
  </r>
  <r>
    <x v="1"/>
    <n v="34.369999999999997"/>
    <n v="34.380000000000003"/>
    <x v="130"/>
    <n v="1842.1104"/>
    <n v="-0.1"/>
    <n v="1842.0104000000001"/>
    <n v="63309.897447999996"/>
    <n v="63328.317552000008"/>
  </r>
  <r>
    <x v="2"/>
    <n v="17.84"/>
    <n v="17.850000000000001"/>
    <x v="130"/>
    <n v="3546.5621999999998"/>
    <n v="0"/>
    <n v="3546.5621999999998"/>
    <n v="63270.669647999996"/>
    <n v="63306.135269999999"/>
  </r>
  <r>
    <x v="3"/>
    <n v="27.99"/>
    <n v="28"/>
    <x v="130"/>
    <n v="2261.3323"/>
    <n v="-0.2"/>
    <n v="2261.1323000000002"/>
    <n v="63289.093077000005"/>
    <n v="63311.704400000002"/>
  </r>
  <r>
    <x v="4"/>
    <n v="66.89"/>
    <n v="66.98"/>
    <x v="130"/>
    <n v="946.12990000000002"/>
    <n v="0"/>
    <n v="946.12990000000002"/>
    <n v="63286.629011000005"/>
    <n v="63371.780702000004"/>
  </r>
  <r>
    <x v="5"/>
    <n v="36.57"/>
    <n v="36.61"/>
    <x v="130"/>
    <n v="1730.1088000000002"/>
    <n v="0.2"/>
    <n v="1730.3088000000002"/>
    <n v="63277.392816000007"/>
    <n v="63346.605168000009"/>
  </r>
  <r>
    <x v="6"/>
    <n v="55.09"/>
    <n v="55.1"/>
    <x v="130"/>
    <n v="1148.8453"/>
    <n v="0.05"/>
    <n v="1148.8952999999999"/>
    <n v="63292.642076999997"/>
    <n v="63304.131029999997"/>
  </r>
  <r>
    <x v="7"/>
    <n v="49.12"/>
    <n v="49.13"/>
    <x v="130"/>
    <n v="1288.9085"/>
    <n v="0"/>
    <n v="1288.9085"/>
    <n v="63311.185519999999"/>
    <n v="63324.074605000002"/>
  </r>
  <r>
    <x v="8"/>
    <n v="17.899999999999999"/>
    <n v="17.91"/>
    <x v="130"/>
    <n v="3535.8029000000001"/>
    <n v="0"/>
    <n v="3535.8029000000001"/>
    <n v="63290.871909999994"/>
    <n v="63326.229939000004"/>
  </r>
  <r>
    <x v="9"/>
    <n v="35.85"/>
    <n v="35.86"/>
    <x v="130"/>
    <n v="1765.0472"/>
    <n v="0.2"/>
    <n v="1765.2472"/>
    <n v="63284.112120000005"/>
    <n v="63301.764592"/>
  </r>
  <r>
    <x v="0"/>
    <n v="20.92"/>
    <n v="20.93"/>
    <x v="131"/>
    <n v="3014.9315000000001"/>
    <n v="0"/>
    <n v="3014.9315000000001"/>
    <n v="63072.366980000006"/>
    <n v="63102.516295000001"/>
  </r>
  <r>
    <x v="1"/>
    <n v="34.24"/>
    <n v="34.25"/>
    <x v="131"/>
    <n v="1842.1104"/>
    <n v="-0.1"/>
    <n v="1842.0104000000001"/>
    <n v="63070.436096000005"/>
    <n v="63088.856200000002"/>
  </r>
  <r>
    <x v="2"/>
    <n v="17.78"/>
    <n v="17.79"/>
    <x v="131"/>
    <n v="3546.5621999999998"/>
    <n v="0"/>
    <n v="3546.5621999999998"/>
    <n v="63057.875916000005"/>
    <n v="63093.341537999993"/>
  </r>
  <r>
    <x v="3"/>
    <n v="27.9"/>
    <n v="27.91"/>
    <x v="131"/>
    <n v="2261.3323"/>
    <n v="-0.2"/>
    <n v="2261.1323000000002"/>
    <n v="63085.59117"/>
    <n v="63108.202493000004"/>
  </r>
  <r>
    <x v="4"/>
    <n v="66.66"/>
    <n v="66.73"/>
    <x v="131"/>
    <n v="946.12990000000002"/>
    <n v="0"/>
    <n v="946.12990000000002"/>
    <n v="63069.019133999995"/>
    <n v="63135.248227000004"/>
  </r>
  <r>
    <x v="5"/>
    <n v="36.450000000000003"/>
    <n v="36.479999999999997"/>
    <x v="131"/>
    <n v="1730.1088000000002"/>
    <n v="0.2"/>
    <n v="1730.3088000000002"/>
    <n v="63069.755760000015"/>
    <n v="63121.665024000002"/>
  </r>
  <r>
    <x v="6"/>
    <n v="54.9"/>
    <n v="54.91"/>
    <x v="131"/>
    <n v="1148.8453"/>
    <n v="0.05"/>
    <n v="1148.8952999999999"/>
    <n v="63074.351969999996"/>
    <n v="63085.840922999989"/>
  </r>
  <r>
    <x v="7"/>
    <n v="48.95"/>
    <n v="48.96"/>
    <x v="131"/>
    <n v="1288.9085"/>
    <n v="0"/>
    <n v="1288.9085"/>
    <n v="63092.071075000007"/>
    <n v="63104.960160000002"/>
  </r>
  <r>
    <x v="8"/>
    <n v="17.84"/>
    <n v="17.850000000000001"/>
    <x v="131"/>
    <n v="3535.8029000000001"/>
    <n v="0"/>
    <n v="3535.8029000000001"/>
    <n v="63078.723736"/>
    <n v="63114.08176500001"/>
  </r>
  <r>
    <x v="9"/>
    <n v="35.729999999999997"/>
    <n v="35.74"/>
    <x v="131"/>
    <n v="1765.0472"/>
    <n v="0.2"/>
    <n v="1765.2472"/>
    <n v="63072.282455999994"/>
    <n v="63089.934928000002"/>
  </r>
  <r>
    <x v="0"/>
    <n v="20.74"/>
    <n v="20.75"/>
    <x v="132"/>
    <n v="3014.9315000000001"/>
    <n v="0"/>
    <n v="3014.9315000000001"/>
    <n v="62529.67931"/>
    <n v="62559.828625000002"/>
  </r>
  <r>
    <x v="1"/>
    <n v="33.94"/>
    <n v="33.950000000000003"/>
    <x v="132"/>
    <n v="1842.1104"/>
    <n v="-0.1"/>
    <n v="1842.0104000000001"/>
    <n v="62517.832975999998"/>
    <n v="62536.25308000001"/>
  </r>
  <r>
    <x v="2"/>
    <n v="17.62"/>
    <n v="17.63"/>
    <x v="132"/>
    <n v="3546.5621999999998"/>
    <n v="0"/>
    <n v="3546.5621999999998"/>
    <n v="62490.425964000002"/>
    <n v="62525.891585999991"/>
  </r>
  <r>
    <x v="3"/>
    <n v="27.65"/>
    <n v="27.66"/>
    <x v="132"/>
    <n v="2261.3323"/>
    <n v="-0.2"/>
    <n v="2261.1323000000002"/>
    <n v="62520.308095"/>
    <n v="62542.919418000005"/>
  </r>
  <r>
    <x v="4"/>
    <n v="66.06"/>
    <n v="66.16"/>
    <x v="132"/>
    <n v="946.12990000000002"/>
    <n v="0"/>
    <n v="946.12990000000002"/>
    <n v="62501.341194000001"/>
    <n v="62595.954183999995"/>
  </r>
  <r>
    <x v="5"/>
    <n v="36.130000000000003"/>
    <n v="36.17"/>
    <x v="132"/>
    <n v="1730.1088000000002"/>
    <n v="0.2"/>
    <n v="1730.3088000000002"/>
    <n v="62516.056944000011"/>
    <n v="62585.269296000013"/>
  </r>
  <r>
    <x v="6"/>
    <n v="54.41"/>
    <n v="54.43"/>
    <x v="132"/>
    <n v="1148.8453"/>
    <n v="0.05"/>
    <n v="1148.8952999999999"/>
    <n v="62511.393272999994"/>
    <n v="62534.371178999994"/>
  </r>
  <r>
    <x v="7"/>
    <n v="48.53"/>
    <n v="48.54"/>
    <x v="132"/>
    <n v="1288.9085"/>
    <n v="0"/>
    <n v="1288.9085"/>
    <n v="62550.729505000003"/>
    <n v="62563.618589999998"/>
  </r>
  <r>
    <x v="8"/>
    <n v="17.68"/>
    <n v="17.690000000000001"/>
    <x v="132"/>
    <n v="3535.8029000000001"/>
    <n v="0"/>
    <n v="3535.8029000000001"/>
    <n v="62512.995272"/>
    <n v="62548.35330100001"/>
  </r>
  <r>
    <x v="9"/>
    <n v="35.42"/>
    <n v="35.43"/>
    <x v="132"/>
    <n v="1765.0472"/>
    <n v="0.2"/>
    <n v="1765.2472"/>
    <n v="62525.055824000003"/>
    <n v="62542.708295999997"/>
  </r>
  <r>
    <x v="0"/>
    <n v="20.75"/>
    <n v="20.76"/>
    <x v="133"/>
    <n v="3014.9315000000001"/>
    <n v="0"/>
    <n v="3014.9315000000001"/>
    <n v="62559.828625000002"/>
    <n v="62589.977940000004"/>
  </r>
  <r>
    <x v="1"/>
    <n v="33.96"/>
    <n v="33.97"/>
    <x v="133"/>
    <n v="1842.1104"/>
    <n v="-0.1"/>
    <n v="1842.0104000000001"/>
    <n v="62554.673184000007"/>
    <n v="62573.093288000004"/>
  </r>
  <r>
    <x v="2"/>
    <n v="17.63"/>
    <n v="17.64"/>
    <x v="133"/>
    <n v="3546.5621999999998"/>
    <n v="0"/>
    <n v="3546.5621999999998"/>
    <n v="62525.891585999991"/>
    <n v="62561.357208000001"/>
  </r>
  <r>
    <x v="3"/>
    <n v="27.67"/>
    <n v="27.68"/>
    <x v="133"/>
    <n v="2261.3323"/>
    <n v="-0.2"/>
    <n v="2261.1323000000002"/>
    <n v="62565.53074100001"/>
    <n v="62588.142064000007"/>
  </r>
  <r>
    <x v="4"/>
    <n v="66.12"/>
    <n v="66.19"/>
    <x v="133"/>
    <n v="946.12990000000002"/>
    <n v="0"/>
    <n v="946.12990000000002"/>
    <n v="62558.108988000007"/>
    <n v="62624.338081000002"/>
  </r>
  <r>
    <x v="5"/>
    <n v="36.15"/>
    <n v="36.18"/>
    <x v="133"/>
    <n v="1730.1088000000002"/>
    <n v="0.2"/>
    <n v="1730.3088000000002"/>
    <n v="62550.663120000005"/>
    <n v="62602.572384000006"/>
  </r>
  <r>
    <x v="6"/>
    <n v="54.45"/>
    <n v="54.46"/>
    <x v="133"/>
    <n v="1148.8453"/>
    <n v="0.05"/>
    <n v="1148.8952999999999"/>
    <n v="62557.349085000002"/>
    <n v="62568.838037999994"/>
  </r>
  <r>
    <x v="7"/>
    <n v="48.54"/>
    <n v="48.55"/>
    <x v="133"/>
    <n v="1288.9085"/>
    <n v="0"/>
    <n v="1288.9085"/>
    <n v="62563.618589999998"/>
    <n v="62576.507674999993"/>
  </r>
  <r>
    <x v="8"/>
    <n v="17.690000000000001"/>
    <n v="17.7"/>
    <x v="133"/>
    <n v="3535.8029000000001"/>
    <n v="0"/>
    <n v="3535.8029000000001"/>
    <n v="62548.35330100001"/>
    <n v="62583.711329999998"/>
  </r>
  <r>
    <x v="9"/>
    <n v="35.44"/>
    <n v="35.450000000000003"/>
    <x v="133"/>
    <n v="1765.0472"/>
    <n v="0.2"/>
    <n v="1765.2472"/>
    <n v="62560.360767999999"/>
    <n v="62578.013240000007"/>
  </r>
  <r>
    <x v="0"/>
    <n v="20.77"/>
    <n v="20.78"/>
    <x v="134"/>
    <n v="3014.9315000000001"/>
    <n v="0"/>
    <n v="3014.9315000000001"/>
    <n v="62620.127254999999"/>
    <n v="62650.276570000009"/>
  </r>
  <r>
    <x v="1"/>
    <n v="33.99"/>
    <n v="34"/>
    <x v="134"/>
    <n v="1842.1104"/>
    <n v="-0.1"/>
    <n v="1842.0104000000001"/>
    <n v="62609.933496000005"/>
    <n v="62628.353600000002"/>
  </r>
  <r>
    <x v="2"/>
    <n v="17.649999999999999"/>
    <n v="17.66"/>
    <x v="134"/>
    <n v="3546.5621999999998"/>
    <n v="0"/>
    <n v="3546.5621999999998"/>
    <n v="62596.82282999999"/>
    <n v="62632.288452000001"/>
  </r>
  <r>
    <x v="3"/>
    <n v="27.69"/>
    <n v="27.7"/>
    <x v="134"/>
    <n v="2261.3323"/>
    <n v="-0.2"/>
    <n v="2261.1323000000002"/>
    <n v="62610.753387000012"/>
    <n v="62633.364710000002"/>
  </r>
  <r>
    <x v="4"/>
    <n v="66.17"/>
    <n v="66.239999999999995"/>
    <x v="134"/>
    <n v="946.12990000000002"/>
    <n v="0"/>
    <n v="946.12990000000002"/>
    <n v="62605.415483000004"/>
    <n v="62671.644575999999"/>
  </r>
  <r>
    <x v="5"/>
    <n v="36.18"/>
    <n v="36.21"/>
    <x v="134"/>
    <n v="1730.1088000000002"/>
    <n v="0.2"/>
    <n v="1730.3088000000002"/>
    <n v="62602.572384000006"/>
    <n v="62654.481648000008"/>
  </r>
  <r>
    <x v="6"/>
    <n v="54.49"/>
    <n v="54.5"/>
    <x v="134"/>
    <n v="1148.8453"/>
    <n v="0.05"/>
    <n v="1148.8952999999999"/>
    <n v="62603.304896999995"/>
    <n v="62614.793849999995"/>
  </r>
  <r>
    <x v="7"/>
    <n v="48.58"/>
    <n v="48.59"/>
    <x v="134"/>
    <n v="1288.9085"/>
    <n v="0"/>
    <n v="1288.9085"/>
    <n v="62615.174930000001"/>
    <n v="62628.064015000004"/>
  </r>
  <r>
    <x v="8"/>
    <n v="17.71"/>
    <n v="17.72"/>
    <x v="134"/>
    <n v="3535.8029000000001"/>
    <n v="0"/>
    <n v="3535.8029000000001"/>
    <n v="62619.069359000008"/>
    <n v="62654.427387999996"/>
  </r>
  <r>
    <x v="9"/>
    <n v="35.47"/>
    <n v="35.479999999999997"/>
    <x v="134"/>
    <n v="1765.0472"/>
    <n v="0.2"/>
    <n v="1765.2472"/>
    <n v="62613.318183999996"/>
    <n v="62630.970655999998"/>
  </r>
  <r>
    <x v="0"/>
    <n v="20.74"/>
    <n v="20.75"/>
    <x v="135"/>
    <n v="3014.9315000000001"/>
    <n v="0"/>
    <n v="3014.9315000000001"/>
    <n v="62529.67931"/>
    <n v="62559.828625000002"/>
  </r>
  <r>
    <x v="1"/>
    <n v="33.96"/>
    <n v="33.97"/>
    <x v="135"/>
    <n v="1842.1104"/>
    <n v="-0.1"/>
    <n v="1842.0104000000001"/>
    <n v="62554.673184000007"/>
    <n v="62573.093288000004"/>
  </r>
  <r>
    <x v="2"/>
    <n v="17.63"/>
    <n v="17.64"/>
    <x v="135"/>
    <n v="3546.5621999999998"/>
    <n v="0"/>
    <n v="3546.5621999999998"/>
    <n v="62525.891585999991"/>
    <n v="62561.357208000001"/>
  </r>
  <r>
    <x v="3"/>
    <n v="27.66"/>
    <n v="27.67"/>
    <x v="135"/>
    <n v="2261.3323"/>
    <n v="-0.2"/>
    <n v="2261.1323000000002"/>
    <n v="62542.919418000005"/>
    <n v="62565.53074100001"/>
  </r>
  <r>
    <x v="4"/>
    <n v="66.099999999999994"/>
    <n v="66.17"/>
    <x v="135"/>
    <n v="946.12990000000002"/>
    <n v="0"/>
    <n v="946.12990000000002"/>
    <n v="62539.186389999995"/>
    <n v="62605.415483000004"/>
  </r>
  <r>
    <x v="5"/>
    <n v="36.15"/>
    <n v="36.17"/>
    <x v="135"/>
    <n v="1730.1088000000002"/>
    <n v="0.2"/>
    <n v="1730.3088000000002"/>
    <n v="62550.663120000005"/>
    <n v="62585.269296000013"/>
  </r>
  <r>
    <x v="6"/>
    <n v="54.44"/>
    <n v="54.45"/>
    <x v="135"/>
    <n v="1148.8453"/>
    <n v="0.05"/>
    <n v="1148.8952999999999"/>
    <n v="62545.860131999994"/>
    <n v="62557.349085000002"/>
  </r>
  <r>
    <x v="7"/>
    <n v="48.53"/>
    <n v="48.54"/>
    <x v="135"/>
    <n v="1288.9085"/>
    <n v="0"/>
    <n v="1288.9085"/>
    <n v="62550.729505000003"/>
    <n v="62563.618589999998"/>
  </r>
  <r>
    <x v="8"/>
    <n v="17.690000000000001"/>
    <n v="17.7"/>
    <x v="135"/>
    <n v="3535.8029000000001"/>
    <n v="0"/>
    <n v="3535.8029000000001"/>
    <n v="62548.35330100001"/>
    <n v="62583.711329999998"/>
  </r>
  <r>
    <x v="9"/>
    <n v="35.43"/>
    <n v="35.44"/>
    <x v="135"/>
    <n v="1765.0472"/>
    <n v="0.2"/>
    <n v="1765.2472"/>
    <n v="62542.708295999997"/>
    <n v="62560.360767999999"/>
  </r>
  <r>
    <x v="0"/>
    <n v="20.76"/>
    <n v="20.77"/>
    <x v="136"/>
    <n v="3014.9315000000001"/>
    <n v="0"/>
    <n v="3014.9315000000001"/>
    <n v="62589.977940000004"/>
    <n v="62620.127254999999"/>
  </r>
  <r>
    <x v="1"/>
    <n v="33.979999999999997"/>
    <n v="33.99"/>
    <x v="136"/>
    <n v="1842.1104"/>
    <n v="-0.1"/>
    <n v="1842.0104000000001"/>
    <n v="62591.513392000001"/>
    <n v="62609.933496000005"/>
  </r>
  <r>
    <x v="2"/>
    <n v="17.64"/>
    <n v="17.649999999999999"/>
    <x v="136"/>
    <n v="3546.5621999999998"/>
    <n v="0"/>
    <n v="3546.5621999999998"/>
    <n v="62561.357208000001"/>
    <n v="62596.82282999999"/>
  </r>
  <r>
    <x v="3"/>
    <n v="27.68"/>
    <n v="27.69"/>
    <x v="136"/>
    <n v="2261.3323"/>
    <n v="-0.2"/>
    <n v="2261.1323000000002"/>
    <n v="62588.142064000007"/>
    <n v="62610.753387000012"/>
  </r>
  <r>
    <x v="4"/>
    <n v="66.150000000000006"/>
    <n v="66.22"/>
    <x v="136"/>
    <n v="946.12990000000002"/>
    <n v="0"/>
    <n v="946.12990000000002"/>
    <n v="62586.492885000007"/>
    <n v="62652.721978000001"/>
  </r>
  <r>
    <x v="5"/>
    <n v="36.17"/>
    <n v="36.19"/>
    <x v="136"/>
    <n v="1730.1088000000002"/>
    <n v="0.2"/>
    <n v="1730.3088000000002"/>
    <n v="62585.269296000013"/>
    <n v="62619.875472000007"/>
  </r>
  <r>
    <x v="6"/>
    <n v="54.46"/>
    <n v="54.47"/>
    <x v="136"/>
    <n v="1148.8453"/>
    <n v="0.05"/>
    <n v="1148.8952999999999"/>
    <n v="62568.838037999994"/>
    <n v="62580.326990999994"/>
  </r>
  <r>
    <x v="7"/>
    <n v="48.56"/>
    <n v="48.57"/>
    <x v="136"/>
    <n v="1288.9085"/>
    <n v="0"/>
    <n v="1288.9085"/>
    <n v="62589.396760000003"/>
    <n v="62602.285844999999"/>
  </r>
  <r>
    <x v="8"/>
    <n v="17.7"/>
    <n v="17.71"/>
    <x v="136"/>
    <n v="3535.8029000000001"/>
    <n v="0"/>
    <n v="3535.8029000000001"/>
    <n v="62583.711329999998"/>
    <n v="62619.069359000008"/>
  </r>
  <r>
    <x v="9"/>
    <n v="35.450000000000003"/>
    <n v="35.46"/>
    <x v="136"/>
    <n v="1765.0472"/>
    <n v="0.2"/>
    <n v="1765.2472"/>
    <n v="62578.013240000007"/>
    <n v="62595.665712000002"/>
  </r>
  <r>
    <x v="0"/>
    <n v="20.73"/>
    <n v="20.74"/>
    <x v="137"/>
    <n v="3014.9315000000001"/>
    <n v="0"/>
    <n v="3014.9315000000001"/>
    <n v="62499.529995000004"/>
    <n v="62529.67931"/>
  </r>
  <r>
    <x v="1"/>
    <n v="33.92"/>
    <n v="33.93"/>
    <x v="137"/>
    <n v="1842.1104"/>
    <n v="-0.1"/>
    <n v="1842.0104000000001"/>
    <n v="62480.992768000004"/>
    <n v="62499.412872000001"/>
  </r>
  <r>
    <x v="2"/>
    <n v="17.61"/>
    <n v="17.62"/>
    <x v="137"/>
    <n v="3546.5621999999998"/>
    <n v="0"/>
    <n v="3546.5621999999998"/>
    <n v="62454.960341999998"/>
    <n v="62490.425964000002"/>
  </r>
  <r>
    <x v="3"/>
    <n v="27.64"/>
    <n v="27.65"/>
    <x v="137"/>
    <n v="2261.3323"/>
    <n v="-0.2"/>
    <n v="2261.1323000000002"/>
    <n v="62497.69677200001"/>
    <n v="62520.308095"/>
  </r>
  <r>
    <x v="4"/>
    <n v="66.040000000000006"/>
    <n v="66.11"/>
    <x v="137"/>
    <n v="946.12990000000002"/>
    <n v="0"/>
    <n v="946.12990000000002"/>
    <n v="62482.41859600001"/>
    <n v="62548.647688999998"/>
  </r>
  <r>
    <x v="5"/>
    <n v="36.11"/>
    <n v="36.14"/>
    <x v="137"/>
    <n v="1730.1088000000002"/>
    <n v="0.2"/>
    <n v="1730.3088000000002"/>
    <n v="62481.45076800001"/>
    <n v="62533.360032000011"/>
  </r>
  <r>
    <x v="6"/>
    <n v="54.39"/>
    <n v="54.4"/>
    <x v="137"/>
    <n v="1148.8453"/>
    <n v="0.05"/>
    <n v="1148.8952999999999"/>
    <n v="62488.415366999994"/>
    <n v="62499.904319999994"/>
  </r>
  <r>
    <x v="7"/>
    <n v="48.49"/>
    <n v="48.5"/>
    <x v="137"/>
    <n v="1288.9085"/>
    <n v="0"/>
    <n v="1288.9085"/>
    <n v="62499.173165"/>
    <n v="62512.062250000003"/>
  </r>
  <r>
    <x v="8"/>
    <n v="17.670000000000002"/>
    <n v="17.68"/>
    <x v="137"/>
    <n v="3535.8029000000001"/>
    <n v="0"/>
    <n v="3535.8029000000001"/>
    <n v="62477.637243000012"/>
    <n v="62512.995272"/>
  </r>
  <r>
    <x v="9"/>
    <n v="35.4"/>
    <n v="35.409999999999997"/>
    <x v="137"/>
    <n v="1765.0472"/>
    <n v="0.2"/>
    <n v="1765.2472"/>
    <n v="62489.75088"/>
    <n v="62507.403351999994"/>
  </r>
  <r>
    <x v="0"/>
    <n v="20.73"/>
    <n v="20.74"/>
    <x v="138"/>
    <n v="3014.9315000000001"/>
    <n v="0"/>
    <n v="3014.9315000000001"/>
    <n v="62499.529995000004"/>
    <n v="62529.67931"/>
  </r>
  <r>
    <x v="1"/>
    <n v="33.94"/>
    <n v="33.950000000000003"/>
    <x v="138"/>
    <n v="1842.1104"/>
    <n v="-0.1"/>
    <n v="1842.0104000000001"/>
    <n v="62517.832975999998"/>
    <n v="62536.25308000001"/>
  </r>
  <r>
    <x v="2"/>
    <n v="17.62"/>
    <n v="17.63"/>
    <x v="138"/>
    <n v="3546.5621999999998"/>
    <n v="0"/>
    <n v="3546.5621999999998"/>
    <n v="62490.425964000002"/>
    <n v="62525.891585999991"/>
  </r>
  <r>
    <x v="3"/>
    <n v="27.65"/>
    <n v="27.66"/>
    <x v="138"/>
    <n v="2261.3323"/>
    <n v="-0.2"/>
    <n v="2261.1323000000002"/>
    <n v="62520.308095"/>
    <n v="62542.919418000005"/>
  </r>
  <r>
    <x v="4"/>
    <n v="66.069999999999993"/>
    <n v="66.13"/>
    <x v="138"/>
    <n v="946.12990000000002"/>
    <n v="0"/>
    <n v="946.12990000000002"/>
    <n v="62510.802492999996"/>
    <n v="62567.570286999995"/>
  </r>
  <r>
    <x v="5"/>
    <n v="36.130000000000003"/>
    <n v="36.14"/>
    <x v="138"/>
    <n v="1730.1088000000002"/>
    <n v="0.2"/>
    <n v="1730.3088000000002"/>
    <n v="62516.056944000011"/>
    <n v="62533.360032000011"/>
  </r>
  <r>
    <x v="6"/>
    <n v="54.42"/>
    <n v="54.43"/>
    <x v="138"/>
    <n v="1148.8453"/>
    <n v="0.05"/>
    <n v="1148.8952999999999"/>
    <n v="62522.882225999994"/>
    <n v="62534.371178999994"/>
  </r>
  <r>
    <x v="7"/>
    <n v="48.5"/>
    <n v="48.51"/>
    <x v="138"/>
    <n v="1288.9085"/>
    <n v="0"/>
    <n v="1288.9085"/>
    <n v="62512.062250000003"/>
    <n v="62524.951334999998"/>
  </r>
  <r>
    <x v="8"/>
    <n v="17.68"/>
    <n v="17.690000000000001"/>
    <x v="138"/>
    <n v="3535.8029000000001"/>
    <n v="0"/>
    <n v="3535.8029000000001"/>
    <n v="62512.995272"/>
    <n v="62548.35330100001"/>
  </r>
  <r>
    <x v="9"/>
    <n v="35.409999999999997"/>
    <n v="35.42"/>
    <x v="138"/>
    <n v="1765.0472"/>
    <n v="0.2"/>
    <n v="1765.2472"/>
    <n v="62507.403351999994"/>
    <n v="62525.055824000003"/>
  </r>
  <r>
    <x v="0"/>
    <n v="20.76"/>
    <n v="20.77"/>
    <x v="139"/>
    <n v="3014.9315000000001"/>
    <n v="0"/>
    <n v="3014.9315000000001"/>
    <n v="62589.977940000004"/>
    <n v="62620.127254999999"/>
  </r>
  <r>
    <x v="1"/>
    <n v="33.979999999999997"/>
    <n v="33.99"/>
    <x v="139"/>
    <n v="1842.1104"/>
    <n v="-0.1"/>
    <n v="1842.0104000000001"/>
    <n v="62591.513392000001"/>
    <n v="62609.933496000005"/>
  </r>
  <r>
    <x v="2"/>
    <n v="17.64"/>
    <n v="17.649999999999999"/>
    <x v="139"/>
    <n v="3546.5621999999998"/>
    <n v="0"/>
    <n v="3546.5621999999998"/>
    <n v="62561.357208000001"/>
    <n v="62596.82282999999"/>
  </r>
  <r>
    <x v="3"/>
    <n v="27.68"/>
    <n v="27.69"/>
    <x v="139"/>
    <n v="2261.3323"/>
    <n v="-0.2"/>
    <n v="2261.1323000000002"/>
    <n v="62588.142064000007"/>
    <n v="62610.753387000012"/>
  </r>
  <r>
    <x v="4"/>
    <n v="66.150000000000006"/>
    <n v="66.209999999999994"/>
    <x v="139"/>
    <n v="946.12990000000002"/>
    <n v="0"/>
    <n v="946.12990000000002"/>
    <n v="62586.492885000007"/>
    <n v="62643.260678999999"/>
  </r>
  <r>
    <x v="5"/>
    <n v="36.17"/>
    <n v="36.19"/>
    <x v="139"/>
    <n v="1730.1088000000002"/>
    <n v="0.2"/>
    <n v="1730.3088000000002"/>
    <n v="62585.269296000013"/>
    <n v="62619.875472000007"/>
  </r>
  <r>
    <x v="6"/>
    <n v="54.48"/>
    <n v="54.49"/>
    <x v="139"/>
    <n v="1148.8453"/>
    <n v="0.05"/>
    <n v="1148.8952999999999"/>
    <n v="62591.815943999994"/>
    <n v="62603.304896999995"/>
  </r>
  <r>
    <x v="7"/>
    <n v="48.56"/>
    <n v="48.57"/>
    <x v="139"/>
    <n v="1288.9085"/>
    <n v="0"/>
    <n v="1288.9085"/>
    <n v="62589.396760000003"/>
    <n v="62602.285844999999"/>
  </r>
  <r>
    <x v="8"/>
    <n v="17.7"/>
    <n v="17.71"/>
    <x v="139"/>
    <n v="3535.8029000000001"/>
    <n v="0"/>
    <n v="3535.8029000000001"/>
    <n v="62583.711329999998"/>
    <n v="62619.069359000008"/>
  </r>
  <r>
    <x v="9"/>
    <n v="35.450000000000003"/>
    <n v="35.46"/>
    <x v="139"/>
    <n v="1765.0472"/>
    <n v="0.2"/>
    <n v="1765.2472"/>
    <n v="62578.013240000007"/>
    <n v="62595.665712000002"/>
  </r>
  <r>
    <x v="0"/>
    <n v="20.76"/>
    <n v="20.77"/>
    <x v="140"/>
    <n v="3014.9315000000001"/>
    <n v="0"/>
    <n v="3014.9315000000001"/>
    <n v="62589.977940000004"/>
    <n v="62620.127254999999"/>
  </r>
  <r>
    <x v="1"/>
    <n v="33.99"/>
    <n v="34"/>
    <x v="140"/>
    <n v="1842.1104"/>
    <n v="-0.1"/>
    <n v="1842.0104000000001"/>
    <n v="62609.933496000005"/>
    <n v="62628.353600000002"/>
  </r>
  <r>
    <x v="2"/>
    <n v="17.64"/>
    <n v="17.649999999999999"/>
    <x v="140"/>
    <n v="3546.5621999999998"/>
    <n v="0"/>
    <n v="3546.5621999999998"/>
    <n v="62561.357208000001"/>
    <n v="62596.82282999999"/>
  </r>
  <r>
    <x v="3"/>
    <n v="27.69"/>
    <n v="27.7"/>
    <x v="140"/>
    <n v="2261.3323"/>
    <n v="-0.2"/>
    <n v="2261.1323000000002"/>
    <n v="62610.753387000012"/>
    <n v="62633.364710000002"/>
  </r>
  <r>
    <x v="4"/>
    <n v="66.150000000000006"/>
    <n v="66.23"/>
    <x v="140"/>
    <n v="946.12990000000002"/>
    <n v="0"/>
    <n v="946.12990000000002"/>
    <n v="62586.492885000007"/>
    <n v="62662.183277000004"/>
  </r>
  <r>
    <x v="5"/>
    <n v="36.18"/>
    <n v="36.200000000000003"/>
    <x v="140"/>
    <n v="1730.1088000000002"/>
    <n v="0.2"/>
    <n v="1730.3088000000002"/>
    <n v="62602.572384000006"/>
    <n v="62637.178560000015"/>
  </r>
  <r>
    <x v="6"/>
    <n v="54.5"/>
    <n v="54.51"/>
    <x v="140"/>
    <n v="1148.8453"/>
    <n v="0.05"/>
    <n v="1148.8952999999999"/>
    <n v="62614.793849999995"/>
    <n v="62626.282802999995"/>
  </r>
  <r>
    <x v="7"/>
    <n v="48.58"/>
    <n v="48.59"/>
    <x v="140"/>
    <n v="1288.9085"/>
    <n v="0"/>
    <n v="1288.9085"/>
    <n v="62615.174930000001"/>
    <n v="62628.064015000004"/>
  </r>
  <r>
    <x v="8"/>
    <n v="17.7"/>
    <n v="17.71"/>
    <x v="140"/>
    <n v="3535.8029000000001"/>
    <n v="0"/>
    <n v="3535.8029000000001"/>
    <n v="62583.711329999998"/>
    <n v="62619.069359000008"/>
  </r>
  <r>
    <x v="9"/>
    <n v="35.46"/>
    <n v="35.47"/>
    <x v="140"/>
    <n v="1765.0472"/>
    <n v="0.2"/>
    <n v="1765.2472"/>
    <n v="62595.665712000002"/>
    <n v="62613.318183999996"/>
  </r>
  <r>
    <x v="0"/>
    <n v="20.76"/>
    <n v="20.77"/>
    <x v="141"/>
    <n v="3014.9315000000001"/>
    <n v="0"/>
    <n v="3014.9315000000001"/>
    <n v="62589.977940000004"/>
    <n v="62620.127254999999"/>
  </r>
  <r>
    <x v="1"/>
    <n v="33.99"/>
    <n v="34"/>
    <x v="141"/>
    <n v="1842.1104"/>
    <n v="-0.1"/>
    <n v="1842.0104000000001"/>
    <n v="62609.933496000005"/>
    <n v="62628.353600000002"/>
  </r>
  <r>
    <x v="2"/>
    <n v="17.64"/>
    <n v="17.649999999999999"/>
    <x v="141"/>
    <n v="3546.5621999999998"/>
    <n v="0"/>
    <n v="3546.5621999999998"/>
    <n v="62561.357208000001"/>
    <n v="62596.82282999999"/>
  </r>
  <r>
    <x v="3"/>
    <n v="27.69"/>
    <n v="27.7"/>
    <x v="141"/>
    <n v="2261.3323"/>
    <n v="-0.2"/>
    <n v="2261.1323000000002"/>
    <n v="62610.753387000012"/>
    <n v="62633.364710000002"/>
  </r>
  <r>
    <x v="4"/>
    <n v="66.150000000000006"/>
    <n v="66.22"/>
    <x v="141"/>
    <n v="946.12990000000002"/>
    <n v="0"/>
    <n v="946.12990000000002"/>
    <n v="62586.492885000007"/>
    <n v="62652.721978000001"/>
  </r>
  <r>
    <x v="5"/>
    <n v="36.18"/>
    <n v="36.200000000000003"/>
    <x v="141"/>
    <n v="1730.1088000000002"/>
    <n v="0.2"/>
    <n v="1730.3088000000002"/>
    <n v="62602.572384000006"/>
    <n v="62637.178560000015"/>
  </r>
  <r>
    <x v="6"/>
    <n v="54.5"/>
    <n v="54.51"/>
    <x v="141"/>
    <n v="1148.8453"/>
    <n v="0.05"/>
    <n v="1148.8952999999999"/>
    <n v="62614.793849999995"/>
    <n v="62626.282802999995"/>
  </r>
  <r>
    <x v="7"/>
    <n v="48.58"/>
    <n v="48.59"/>
    <x v="141"/>
    <n v="1288.9085"/>
    <n v="0"/>
    <n v="1288.9085"/>
    <n v="62615.174930000001"/>
    <n v="62628.064015000004"/>
  </r>
  <r>
    <x v="8"/>
    <n v="17.7"/>
    <n v="17.71"/>
    <x v="141"/>
    <n v="3535.8029000000001"/>
    <n v="0"/>
    <n v="3535.8029000000001"/>
    <n v="62583.711329999998"/>
    <n v="62619.069359000008"/>
  </r>
  <r>
    <x v="9"/>
    <n v="35.46"/>
    <n v="35.47"/>
    <x v="141"/>
    <n v="1765.0472"/>
    <n v="0.2"/>
    <n v="1765.2472"/>
    <n v="62595.665712000002"/>
    <n v="62613.318183999996"/>
  </r>
  <r>
    <x v="0"/>
    <n v="20.83"/>
    <n v="20.84"/>
    <x v="142"/>
    <n v="3014.9315000000001"/>
    <n v="0"/>
    <n v="3014.9315000000001"/>
    <n v="62801.023144999999"/>
    <n v="62831.172460000002"/>
  </r>
  <r>
    <x v="1"/>
    <n v="34.1"/>
    <n v="34.11"/>
    <x v="142"/>
    <n v="1842.1104"/>
    <n v="-0.1"/>
    <n v="1842.0104000000001"/>
    <n v="62812.554640000009"/>
    <n v="62830.974744000006"/>
  </r>
  <r>
    <x v="2"/>
    <n v="17.7"/>
    <n v="17.71"/>
    <x v="142"/>
    <n v="3546.5621999999998"/>
    <n v="0"/>
    <n v="3546.5621999999998"/>
    <n v="62774.150939999992"/>
    <n v="62809.616562000003"/>
  </r>
  <r>
    <x v="3"/>
    <n v="27.78"/>
    <n v="27.79"/>
    <x v="142"/>
    <n v="2261.3323"/>
    <n v="-0.2"/>
    <n v="2261.1323000000002"/>
    <n v="62814.25529400001"/>
    <n v="62836.866617000007"/>
  </r>
  <r>
    <x v="4"/>
    <n v="66.38"/>
    <n v="66.45"/>
    <x v="142"/>
    <n v="946.12990000000002"/>
    <n v="0"/>
    <n v="946.12990000000002"/>
    <n v="62804.102761999995"/>
    <n v="62870.331855000004"/>
  </r>
  <r>
    <x v="5"/>
    <n v="36.299999999999997"/>
    <n v="36.32"/>
    <x v="142"/>
    <n v="1730.1088000000002"/>
    <n v="0.2"/>
    <n v="1730.3088000000002"/>
    <n v="62810.209440000006"/>
    <n v="62844.815616000007"/>
  </r>
  <r>
    <x v="6"/>
    <n v="54.67"/>
    <n v="54.68"/>
    <x v="142"/>
    <n v="1148.8453"/>
    <n v="0.05"/>
    <n v="1148.8952999999999"/>
    <n v="62810.106050999995"/>
    <n v="62821.595003999995"/>
  </r>
  <r>
    <x v="7"/>
    <n v="48.74"/>
    <n v="48.75"/>
    <x v="142"/>
    <n v="1288.9085"/>
    <n v="0"/>
    <n v="1288.9085"/>
    <n v="62821.400290000005"/>
    <n v="62834.289375"/>
  </r>
  <r>
    <x v="8"/>
    <n v="17.760000000000002"/>
    <n v="17.77"/>
    <x v="142"/>
    <n v="3535.8029000000001"/>
    <n v="0"/>
    <n v="3535.8029000000001"/>
    <n v="62795.859504000007"/>
    <n v="62831.217533000003"/>
  </r>
  <r>
    <x v="9"/>
    <n v="35.58"/>
    <n v="35.590000000000003"/>
    <x v="142"/>
    <n v="1765.0472"/>
    <n v="0.2"/>
    <n v="1765.2472"/>
    <n v="62807.495375999999"/>
    <n v="62825.147848000008"/>
  </r>
  <r>
    <x v="0"/>
    <n v="20.8"/>
    <n v="20.81"/>
    <x v="143"/>
    <n v="3014.9315000000001"/>
    <n v="0"/>
    <n v="3014.9315000000001"/>
    <n v="62710.575200000007"/>
    <n v="62740.724515000002"/>
  </r>
  <r>
    <x v="1"/>
    <n v="34.049999999999997"/>
    <n v="34.06"/>
    <x v="143"/>
    <n v="1842.1104"/>
    <n v="-0.1"/>
    <n v="1842.0104000000001"/>
    <n v="62720.454120000002"/>
    <n v="62738.874224000007"/>
  </r>
  <r>
    <x v="2"/>
    <n v="17.68"/>
    <n v="17.690000000000001"/>
    <x v="143"/>
    <n v="3546.5621999999998"/>
    <n v="0"/>
    <n v="3546.5621999999998"/>
    <n v="62703.219695999993"/>
    <n v="62738.685318000003"/>
  </r>
  <r>
    <x v="3"/>
    <n v="27.74"/>
    <n v="27.75"/>
    <x v="143"/>
    <n v="2261.3323"/>
    <n v="-0.2"/>
    <n v="2261.1323000000002"/>
    <n v="62723.810002000006"/>
    <n v="62746.421325000003"/>
  </r>
  <r>
    <x v="4"/>
    <n v="66.28"/>
    <n v="66.349999999999994"/>
    <x v="143"/>
    <n v="946.12990000000002"/>
    <n v="0"/>
    <n v="946.12990000000002"/>
    <n v="62709.489772000001"/>
    <n v="62775.718864999995"/>
  </r>
  <r>
    <x v="5"/>
    <n v="36.24"/>
    <n v="36.270000000000003"/>
    <x v="143"/>
    <n v="1730.1088000000002"/>
    <n v="0.2"/>
    <n v="1730.3088000000002"/>
    <n v="62706.39091200001"/>
    <n v="62758.300176000012"/>
  </r>
  <r>
    <x v="6"/>
    <n v="54.59"/>
    <n v="54.6"/>
    <x v="143"/>
    <n v="1148.8453"/>
    <n v="0.05"/>
    <n v="1148.8952999999999"/>
    <n v="62718.194427000002"/>
    <n v="62729.683379999995"/>
  </r>
  <r>
    <x v="7"/>
    <n v="48.66"/>
    <n v="48.67"/>
    <x v="143"/>
    <n v="1288.9085"/>
    <n v="0"/>
    <n v="1288.9085"/>
    <n v="62718.287609999999"/>
    <n v="62731.176695000002"/>
  </r>
  <r>
    <x v="8"/>
    <n v="17.73"/>
    <n v="17.739999999999998"/>
    <x v="143"/>
    <n v="3535.8029000000001"/>
    <n v="0"/>
    <n v="3535.8029000000001"/>
    <n v="62689.785417000006"/>
    <n v="62725.143445999995"/>
  </r>
  <r>
    <x v="9"/>
    <n v="35.53"/>
    <n v="35.54"/>
    <x v="143"/>
    <n v="1765.0472"/>
    <n v="0.2"/>
    <n v="1765.2472"/>
    <n v="62719.233016000006"/>
    <n v="62736.885488"/>
  </r>
  <r>
    <x v="0"/>
    <n v="20.81"/>
    <n v="20.82"/>
    <x v="144"/>
    <n v="3014.9315000000001"/>
    <n v="0"/>
    <n v="3014.9315000000001"/>
    <n v="62740.724515000002"/>
    <n v="62770.873830000004"/>
  </r>
  <r>
    <x v="1"/>
    <n v="34.06"/>
    <n v="34.07"/>
    <x v="144"/>
    <n v="1842.1104"/>
    <n v="-0.1"/>
    <n v="1842.0104000000001"/>
    <n v="62738.874224000007"/>
    <n v="62757.294328000004"/>
  </r>
  <r>
    <x v="2"/>
    <n v="17.68"/>
    <n v="17.690000000000001"/>
    <x v="144"/>
    <n v="3546.5621999999998"/>
    <n v="0"/>
    <n v="3546.5621999999998"/>
    <n v="62703.219695999993"/>
    <n v="62738.685318000003"/>
  </r>
  <r>
    <x v="3"/>
    <n v="27.75"/>
    <n v="27.76"/>
    <x v="144"/>
    <n v="2261.3323"/>
    <n v="-0.2"/>
    <n v="2261.1323000000002"/>
    <n v="62746.421325000003"/>
    <n v="62769.032648000008"/>
  </r>
  <r>
    <x v="4"/>
    <n v="66.31"/>
    <n v="66.37"/>
    <x v="144"/>
    <n v="946.12990000000002"/>
    <n v="0"/>
    <n v="946.12990000000002"/>
    <n v="62737.873669000001"/>
    <n v="62794.641463000007"/>
  </r>
  <r>
    <x v="5"/>
    <n v="36.26"/>
    <n v="36.28"/>
    <x v="144"/>
    <n v="1730.1088000000002"/>
    <n v="0.2"/>
    <n v="1730.3088000000002"/>
    <n v="62740.997088000004"/>
    <n v="62775.603264000012"/>
  </r>
  <r>
    <x v="6"/>
    <n v="54.6"/>
    <n v="54.61"/>
    <x v="144"/>
    <n v="1148.8453"/>
    <n v="0.05"/>
    <n v="1148.8952999999999"/>
    <n v="62729.683379999995"/>
    <n v="62741.172332999995"/>
  </r>
  <r>
    <x v="7"/>
    <n v="48.68"/>
    <n v="48.68"/>
    <x v="144"/>
    <n v="1288.9085"/>
    <n v="0"/>
    <n v="1288.9085"/>
    <n v="62744.065779999997"/>
    <n v="62744.065779999997"/>
  </r>
  <r>
    <x v="8"/>
    <n v="17.739999999999998"/>
    <n v="17.75"/>
    <x v="144"/>
    <n v="3535.8029000000001"/>
    <n v="0"/>
    <n v="3535.8029000000001"/>
    <n v="62725.143445999995"/>
    <n v="62760.501475000005"/>
  </r>
  <r>
    <x v="9"/>
    <n v="35.54"/>
    <n v="35.549999999999997"/>
    <x v="144"/>
    <n v="1765.0472"/>
    <n v="0.2"/>
    <n v="1765.2472"/>
    <n v="62736.885488"/>
    <n v="62754.537959999994"/>
  </r>
  <r>
    <x v="0"/>
    <n v="20.76"/>
    <n v="20.77"/>
    <x v="145"/>
    <n v="3014.9315000000001"/>
    <n v="0"/>
    <n v="3014.9315000000001"/>
    <n v="62589.977940000004"/>
    <n v="62620.127254999999"/>
  </r>
  <r>
    <x v="1"/>
    <n v="33.979999999999997"/>
    <n v="33.99"/>
    <x v="145"/>
    <n v="1842.1104"/>
    <n v="-0.1"/>
    <n v="1842.0104000000001"/>
    <n v="62591.513392000001"/>
    <n v="62609.933496000005"/>
  </r>
  <r>
    <x v="2"/>
    <n v="17.64"/>
    <n v="17.649999999999999"/>
    <x v="145"/>
    <n v="3546.5621999999998"/>
    <n v="0"/>
    <n v="3546.5621999999998"/>
    <n v="62561.357208000001"/>
    <n v="62596.82282999999"/>
  </r>
  <r>
    <x v="3"/>
    <n v="27.68"/>
    <n v="27.69"/>
    <x v="145"/>
    <n v="2261.3323"/>
    <n v="-0.2"/>
    <n v="2261.1323000000002"/>
    <n v="62588.142064000007"/>
    <n v="62610.753387000012"/>
  </r>
  <r>
    <x v="4"/>
    <n v="66.14"/>
    <n v="66.209999999999994"/>
    <x v="145"/>
    <n v="946.12990000000002"/>
    <n v="0"/>
    <n v="946.12990000000002"/>
    <n v="62577.031586000005"/>
    <n v="62643.260678999999"/>
  </r>
  <r>
    <x v="5"/>
    <n v="36.17"/>
    <n v="36.19"/>
    <x v="145"/>
    <n v="1730.1088000000002"/>
    <n v="0.2"/>
    <n v="1730.3088000000002"/>
    <n v="62585.269296000013"/>
    <n v="62619.875472000007"/>
  </r>
  <r>
    <x v="6"/>
    <n v="54.48"/>
    <n v="54.49"/>
    <x v="145"/>
    <n v="1148.8453"/>
    <n v="0.05"/>
    <n v="1148.8952999999999"/>
    <n v="62591.815943999994"/>
    <n v="62603.304896999995"/>
  </r>
  <r>
    <x v="7"/>
    <n v="48.56"/>
    <n v="48.57"/>
    <x v="145"/>
    <n v="1288.9085"/>
    <n v="0"/>
    <n v="1288.9085"/>
    <n v="62589.396760000003"/>
    <n v="62602.285844999999"/>
  </r>
  <r>
    <x v="8"/>
    <n v="17.7"/>
    <n v="17.71"/>
    <x v="145"/>
    <n v="3535.8029000000001"/>
    <n v="0"/>
    <n v="3535.8029000000001"/>
    <n v="62583.711329999998"/>
    <n v="62619.069359000008"/>
  </r>
  <r>
    <x v="9"/>
    <n v="35.450000000000003"/>
    <n v="35.46"/>
    <x v="145"/>
    <n v="1765.0472"/>
    <n v="0.2"/>
    <n v="1765.2472"/>
    <n v="62578.013240000007"/>
    <n v="62595.665712000002"/>
  </r>
  <r>
    <x v="0"/>
    <n v="20.78"/>
    <n v="20.79"/>
    <x v="146"/>
    <n v="3014.9315000000001"/>
    <n v="0"/>
    <n v="3014.9315000000001"/>
    <n v="62650.276570000009"/>
    <n v="62680.425884999997"/>
  </r>
  <r>
    <x v="1"/>
    <n v="34.020000000000003"/>
    <n v="34.03"/>
    <x v="146"/>
    <n v="1842.1104"/>
    <n v="-0.1"/>
    <n v="1842.0104000000001"/>
    <n v="62665.193808000011"/>
    <n v="62683.613912000008"/>
  </r>
  <r>
    <x v="2"/>
    <n v="17.66"/>
    <n v="17.670000000000002"/>
    <x v="146"/>
    <n v="3546.5621999999998"/>
    <n v="0"/>
    <n v="3546.5621999999998"/>
    <n v="62632.288452000001"/>
    <n v="62667.754074000004"/>
  </r>
  <r>
    <x v="3"/>
    <n v="27.71"/>
    <n v="27.72"/>
    <x v="146"/>
    <n v="2261.3323"/>
    <n v="-0.2"/>
    <n v="2261.1323000000002"/>
    <n v="62655.976033000006"/>
    <n v="62678.587356000004"/>
  </r>
  <r>
    <x v="4"/>
    <n v="66.22"/>
    <n v="66.28"/>
    <x v="146"/>
    <n v="946.12990000000002"/>
    <n v="0"/>
    <n v="946.12990000000002"/>
    <n v="62652.721978000001"/>
    <n v="62709.489772000001"/>
  </r>
  <r>
    <x v="5"/>
    <n v="36.21"/>
    <n v="36.229999999999997"/>
    <x v="146"/>
    <n v="1730.1088000000002"/>
    <n v="0.2"/>
    <n v="1730.3088000000002"/>
    <n v="62654.481648000008"/>
    <n v="62689.087824000002"/>
  </r>
  <r>
    <x v="6"/>
    <n v="54.53"/>
    <n v="54.54"/>
    <x v="146"/>
    <n v="1148.8453"/>
    <n v="0.05"/>
    <n v="1148.8952999999999"/>
    <n v="62649.260708999995"/>
    <n v="62660.749661999995"/>
  </r>
  <r>
    <x v="7"/>
    <n v="48.61"/>
    <n v="48.62"/>
    <x v="146"/>
    <n v="1288.9085"/>
    <n v="0"/>
    <n v="1288.9085"/>
    <n v="62653.842185000001"/>
    <n v="62666.731269999997"/>
  </r>
  <r>
    <x v="8"/>
    <n v="17.72"/>
    <n v="17.73"/>
    <x v="146"/>
    <n v="3535.8029000000001"/>
    <n v="0"/>
    <n v="3535.8029000000001"/>
    <n v="62654.427387999996"/>
    <n v="62689.785417000006"/>
  </r>
  <r>
    <x v="9"/>
    <n v="35.49"/>
    <n v="35.5"/>
    <x v="146"/>
    <n v="1765.0472"/>
    <n v="0.2"/>
    <n v="1765.2472"/>
    <n v="62648.623128000007"/>
    <n v="62666.275600000001"/>
  </r>
  <r>
    <x v="0"/>
    <n v="20.81"/>
    <n v="20.82"/>
    <x v="147"/>
    <n v="3014.9315000000001"/>
    <n v="0"/>
    <n v="3014.9315000000001"/>
    <n v="62740.724515000002"/>
    <n v="62770.873830000004"/>
  </r>
  <r>
    <x v="1"/>
    <n v="34.06"/>
    <n v="34.07"/>
    <x v="147"/>
    <n v="1842.1104"/>
    <n v="-0.1"/>
    <n v="1842.0104000000001"/>
    <n v="62738.874224000007"/>
    <n v="62757.294328000004"/>
  </r>
  <r>
    <x v="2"/>
    <n v="17.690000000000001"/>
    <n v="17.7"/>
    <x v="147"/>
    <n v="3546.5621999999998"/>
    <n v="0"/>
    <n v="3546.5621999999998"/>
    <n v="62738.685318000003"/>
    <n v="62774.150939999992"/>
  </r>
  <r>
    <x v="3"/>
    <n v="27.75"/>
    <n v="27.76"/>
    <x v="147"/>
    <n v="2261.3323"/>
    <n v="-0.2"/>
    <n v="2261.1323000000002"/>
    <n v="62746.421325000003"/>
    <n v="62769.032648000008"/>
  </r>
  <r>
    <x v="4"/>
    <n v="66.319999999999993"/>
    <n v="66.38"/>
    <x v="147"/>
    <n v="946.12990000000002"/>
    <n v="0"/>
    <n v="946.12990000000002"/>
    <n v="62747.334967999996"/>
    <n v="62804.102761999995"/>
  </r>
  <r>
    <x v="5"/>
    <n v="36.26"/>
    <n v="36.28"/>
    <x v="147"/>
    <n v="1730.1088000000002"/>
    <n v="0.2"/>
    <n v="1730.3088000000002"/>
    <n v="62740.997088000004"/>
    <n v="62775.603264000012"/>
  </r>
  <r>
    <x v="6"/>
    <n v="54.61"/>
    <n v="54.62"/>
    <x v="147"/>
    <n v="1148.8453"/>
    <n v="0.05"/>
    <n v="1148.8952999999999"/>
    <n v="62741.172332999995"/>
    <n v="62752.661285999995"/>
  </r>
  <r>
    <x v="7"/>
    <n v="48.68"/>
    <n v="48.69"/>
    <x v="147"/>
    <n v="1288.9085"/>
    <n v="0"/>
    <n v="1288.9085"/>
    <n v="62744.065779999997"/>
    <n v="62756.954865"/>
  </r>
  <r>
    <x v="8"/>
    <n v="17.75"/>
    <n v="17.760000000000002"/>
    <x v="147"/>
    <n v="3535.8029000000001"/>
    <n v="0"/>
    <n v="3535.8029000000001"/>
    <n v="62760.501475000005"/>
    <n v="62795.859504000007"/>
  </r>
  <r>
    <x v="9"/>
    <n v="35.54"/>
    <n v="35.549999999999997"/>
    <x v="147"/>
    <n v="1765.0472"/>
    <n v="0.2"/>
    <n v="1765.2472"/>
    <n v="62736.885488"/>
    <n v="62754.537959999994"/>
  </r>
  <r>
    <x v="0"/>
    <n v="20.86"/>
    <n v="20.87"/>
    <x v="148"/>
    <n v="3014.9315000000001"/>
    <n v="0"/>
    <n v="3014.9315000000001"/>
    <n v="62891.471089999999"/>
    <n v="62921.620405000009"/>
  </r>
  <r>
    <x v="1"/>
    <n v="34.14"/>
    <n v="34.15"/>
    <x v="148"/>
    <n v="1842.1104"/>
    <n v="-0.1"/>
    <n v="1842.0104000000001"/>
    <n v="62886.235056000005"/>
    <n v="62904.655160000002"/>
  </r>
  <r>
    <x v="2"/>
    <n v="17.72"/>
    <n v="17.73"/>
    <x v="148"/>
    <n v="3546.5621999999998"/>
    <n v="0"/>
    <n v="3546.5621999999998"/>
    <n v="62845.082183999992"/>
    <n v="62880.547806000002"/>
  </r>
  <r>
    <x v="3"/>
    <n v="27.81"/>
    <n v="27.82"/>
    <x v="148"/>
    <n v="2261.3323"/>
    <n v="-0.2"/>
    <n v="2261.1323000000002"/>
    <n v="62882.089263000002"/>
    <n v="62904.700586000006"/>
  </r>
  <r>
    <x v="4"/>
    <n v="66.41"/>
    <n v="66.510000000000005"/>
    <x v="148"/>
    <n v="946.12990000000002"/>
    <n v="0"/>
    <n v="946.12990000000002"/>
    <n v="62832.486658999995"/>
    <n v="62927.099649000003"/>
  </r>
  <r>
    <x v="5"/>
    <n v="36.340000000000003"/>
    <n v="36.36"/>
    <x v="148"/>
    <n v="1730.1088000000002"/>
    <n v="0.2"/>
    <n v="1730.3088000000002"/>
    <n v="62879.421792000016"/>
    <n v="62914.027968000009"/>
  </r>
  <r>
    <x v="6"/>
    <n v="54.72"/>
    <n v="54.73"/>
    <x v="148"/>
    <n v="1148.8453"/>
    <n v="0.05"/>
    <n v="1148.8952999999999"/>
    <n v="62867.550815999995"/>
    <n v="62879.039768999988"/>
  </r>
  <r>
    <x v="7"/>
    <n v="48.78"/>
    <n v="48.79"/>
    <x v="148"/>
    <n v="1288.9085"/>
    <n v="0"/>
    <n v="1288.9085"/>
    <n v="62872.956630000001"/>
    <n v="62885.845714999996"/>
  </r>
  <r>
    <x v="8"/>
    <n v="17.79"/>
    <n v="17.8"/>
    <x v="148"/>
    <n v="3535.8029000000001"/>
    <n v="0"/>
    <n v="3535.8029000000001"/>
    <n v="62901.933591000001"/>
    <n v="62937.291620000004"/>
  </r>
  <r>
    <x v="9"/>
    <n v="35.619999999999997"/>
    <n v="35.630000000000003"/>
    <x v="148"/>
    <n v="1765.0472"/>
    <n v="0.2"/>
    <n v="1765.2472"/>
    <n v="62878.105263999998"/>
    <n v="62895.757736000007"/>
  </r>
  <r>
    <x v="0"/>
    <n v="21.56"/>
    <n v="21.58"/>
    <x v="149"/>
    <n v="3014.9488000000001"/>
    <n v="0"/>
    <n v="3014.9488000000001"/>
    <n v="65002.296128000002"/>
    <n v="65062.595104"/>
  </r>
  <r>
    <x v="1"/>
    <n v="35.29"/>
    <n v="35.33"/>
    <x v="149"/>
    <n v="1842.1205"/>
    <n v="-0.1"/>
    <n v="1842.0205000000001"/>
    <n v="65004.903445000004"/>
    <n v="65078.584264999998"/>
  </r>
  <r>
    <x v="2"/>
    <n v="18.32"/>
    <n v="18.350000000000001"/>
    <x v="149"/>
    <n v="3546.5864999999999"/>
    <n v="0"/>
    <n v="3546.5864999999999"/>
    <n v="64973.464679999997"/>
    <n v="65079.862274999999"/>
  </r>
  <r>
    <x v="3"/>
    <n v="28.75"/>
    <n v="28.8"/>
    <x v="149"/>
    <n v="2261.3416000000002"/>
    <n v="-0.2"/>
    <n v="2261.1416000000004"/>
    <n v="65007.821000000011"/>
    <n v="65120.87808000001"/>
  </r>
  <r>
    <x v="4"/>
    <n v="68.540000000000006"/>
    <n v="69.099999999999994"/>
    <x v="149"/>
    <n v="946.13639999999998"/>
    <n v="0"/>
    <n v="946.13639999999998"/>
    <n v="64848.188856000008"/>
    <n v="65378.025239999995"/>
  </r>
  <r>
    <x v="5"/>
    <n v="37.56"/>
    <n v="37.659999999999997"/>
    <x v="149"/>
    <n v="1730.1178"/>
    <n v="0.2"/>
    <n v="1730.3178"/>
    <n v="64990.736568000008"/>
    <n v="65163.768347999998"/>
  </r>
  <r>
    <x v="6"/>
    <n v="56.59"/>
    <n v="56.62"/>
    <x v="149"/>
    <n v="1148.8532"/>
    <n v="0.05"/>
    <n v="1148.9032"/>
    <n v="65016.432088000001"/>
    <n v="65050.899183999994"/>
  </r>
  <r>
    <x v="7"/>
    <n v="50.45"/>
    <n v="50.48"/>
    <x v="149"/>
    <n v="1288.9615000000001"/>
    <n v="0"/>
    <n v="1288.9615000000001"/>
    <n v="65028.107675000007"/>
    <n v="65066.776519999999"/>
  </r>
  <r>
    <x v="8"/>
    <n v="18.38"/>
    <n v="18.41"/>
    <x v="149"/>
    <n v="3535.8029000000001"/>
    <n v="0"/>
    <n v="3535.8029000000001"/>
    <n v="64988.057302000001"/>
    <n v="65094.131389000002"/>
  </r>
  <r>
    <x v="9"/>
    <n v="36.840000000000003"/>
    <n v="36.85"/>
    <x v="149"/>
    <n v="1765.0592999999999"/>
    <n v="0.2"/>
    <n v="1765.2592999999999"/>
    <n v="65032.152612000005"/>
    <n v="65049.805204999997"/>
  </r>
  <r>
    <x v="0"/>
    <n v="21.56"/>
    <n v="21.57"/>
    <x v="150"/>
    <n v="3014.9488000000001"/>
    <n v="0"/>
    <n v="3014.9488000000001"/>
    <n v="65002.296128000002"/>
    <n v="65032.445616000005"/>
  </r>
  <r>
    <x v="1"/>
    <n v="35.29"/>
    <n v="35.299999999999997"/>
    <x v="150"/>
    <n v="1842.1205"/>
    <n v="-0.1"/>
    <n v="1842.0205000000001"/>
    <n v="65004.903445000004"/>
    <n v="65023.323649999998"/>
  </r>
  <r>
    <x v="2"/>
    <n v="18.329999999999998"/>
    <n v="18.34"/>
    <x v="150"/>
    <n v="3546.5864999999999"/>
    <n v="0"/>
    <n v="3546.5864999999999"/>
    <n v="65008.930544999988"/>
    <n v="65044.396409999994"/>
  </r>
  <r>
    <x v="3"/>
    <n v="28.76"/>
    <n v="28.76"/>
    <x v="150"/>
    <n v="2261.3416000000002"/>
    <n v="-0.2"/>
    <n v="2261.1416000000004"/>
    <n v="65030.432416000018"/>
    <n v="65030.432416000018"/>
  </r>
  <r>
    <x v="4"/>
    <n v="68.7"/>
    <n v="68.84"/>
    <x v="150"/>
    <n v="946.13639999999998"/>
    <n v="0"/>
    <n v="946.13639999999998"/>
    <n v="64999.570680000004"/>
    <n v="65132.029776000003"/>
  </r>
  <r>
    <x v="5"/>
    <n v="37.56"/>
    <n v="37.590000000000003"/>
    <x v="150"/>
    <n v="1730.1178"/>
    <n v="0.2"/>
    <n v="1730.3178"/>
    <n v="64990.736568000008"/>
    <n v="65042.646102000006"/>
  </r>
  <r>
    <x v="6"/>
    <n v="56.59"/>
    <n v="56.6"/>
    <x v="150"/>
    <n v="1148.8532"/>
    <n v="0.05"/>
    <n v="1148.9032"/>
    <n v="65016.432088000001"/>
    <n v="65027.921119999999"/>
  </r>
  <r>
    <x v="7"/>
    <n v="50.44"/>
    <n v="50.45"/>
    <x v="150"/>
    <n v="1288.9615000000001"/>
    <n v="0"/>
    <n v="1288.9615000000001"/>
    <n v="65015.218059999999"/>
    <n v="65028.107675000007"/>
  </r>
  <r>
    <x v="8"/>
    <n v="18.38"/>
    <n v="18.39"/>
    <x v="150"/>
    <n v="3535.8029000000001"/>
    <n v="0"/>
    <n v="3535.8029000000001"/>
    <n v="64988.057302000001"/>
    <n v="65023.415331000004"/>
  </r>
  <r>
    <x v="9"/>
    <n v="36.83"/>
    <n v="36.840000000000003"/>
    <x v="150"/>
    <n v="1765.0592999999999"/>
    <n v="0.2"/>
    <n v="1765.2592999999999"/>
    <n v="65014.500018999992"/>
    <n v="65032.152612000005"/>
  </r>
  <r>
    <x v="0"/>
    <n v="21.68"/>
    <n v="21.69"/>
    <x v="151"/>
    <n v="3014.9488000000001"/>
    <n v="0"/>
    <n v="3014.9488000000001"/>
    <n v="65364.089983999998"/>
    <n v="65394.239472000008"/>
  </r>
  <r>
    <x v="1"/>
    <n v="35.5"/>
    <n v="35.51"/>
    <x v="151"/>
    <n v="1842.1205"/>
    <n v="-0.1"/>
    <n v="1842.0205000000001"/>
    <n v="65391.727750000005"/>
    <n v="65410.147955"/>
  </r>
  <r>
    <x v="2"/>
    <n v="18.43"/>
    <n v="18.440000000000001"/>
    <x v="151"/>
    <n v="3546.5864999999999"/>
    <n v="0"/>
    <n v="3546.5864999999999"/>
    <n v="65363.589195"/>
    <n v="65399.055060000006"/>
  </r>
  <r>
    <x v="3"/>
    <n v="28.92"/>
    <n v="28.93"/>
    <x v="151"/>
    <n v="2261.3416000000002"/>
    <n v="-0.2"/>
    <n v="2261.1416000000004"/>
    <n v="65392.215072000014"/>
    <n v="65414.826488000013"/>
  </r>
  <r>
    <x v="4"/>
    <n v="69.069999999999993"/>
    <n v="69.2"/>
    <x v="151"/>
    <n v="946.13639999999998"/>
    <n v="0"/>
    <n v="946.13639999999998"/>
    <n v="65349.641147999995"/>
    <n v="65472.638879999999"/>
  </r>
  <r>
    <x v="5"/>
    <n v="37.78"/>
    <n v="37.799999999999997"/>
    <x v="151"/>
    <n v="1730.1178"/>
    <n v="0.2"/>
    <n v="1730.3178"/>
    <n v="65371.406484000006"/>
    <n v="65406.012839999996"/>
  </r>
  <r>
    <x v="6"/>
    <n v="56.9"/>
    <n v="56.91"/>
    <x v="151"/>
    <n v="1148.8532"/>
    <n v="0.05"/>
    <n v="1148.9032"/>
    <n v="65372.592079999995"/>
    <n v="65384.081111999993"/>
  </r>
  <r>
    <x v="7"/>
    <n v="50.73"/>
    <n v="50.74"/>
    <x v="151"/>
    <n v="1288.9615000000001"/>
    <n v="0"/>
    <n v="1288.9615000000001"/>
    <n v="65389.016895000001"/>
    <n v="65401.906510000008"/>
  </r>
  <r>
    <x v="8"/>
    <n v="18.489999999999998"/>
    <n v="18.5"/>
    <x v="151"/>
    <n v="3535.8029000000001"/>
    <n v="0"/>
    <n v="3535.8029000000001"/>
    <n v="65376.995620999995"/>
    <n v="65412.353650000005"/>
  </r>
  <r>
    <x v="9"/>
    <n v="37.04"/>
    <n v="37.049999999999997"/>
    <x v="151"/>
    <n v="1765.0592999999999"/>
    <n v="0.2"/>
    <n v="1765.2592999999999"/>
    <n v="65385.204471999998"/>
    <n v="65402.857064999989"/>
  </r>
  <r>
    <x v="0"/>
    <n v="21.68"/>
    <n v="21.69"/>
    <x v="152"/>
    <n v="3014.9488000000001"/>
    <n v="0"/>
    <n v="3014.9488000000001"/>
    <n v="65364.089983999998"/>
    <n v="65394.239472000008"/>
  </r>
  <r>
    <x v="1"/>
    <n v="35.49"/>
    <n v="35.5"/>
    <x v="152"/>
    <n v="1842.1205"/>
    <n v="-0.1"/>
    <n v="1842.0205000000001"/>
    <n v="65373.307545000003"/>
    <n v="65391.727750000005"/>
  </r>
  <r>
    <x v="2"/>
    <n v="18.43"/>
    <n v="18.440000000000001"/>
    <x v="152"/>
    <n v="3546.5864999999999"/>
    <n v="0"/>
    <n v="3546.5864999999999"/>
    <n v="65363.589195"/>
    <n v="65399.055060000006"/>
  </r>
  <r>
    <x v="3"/>
    <n v="28.91"/>
    <n v="28.92"/>
    <x v="152"/>
    <n v="2261.3416000000002"/>
    <n v="-0.2"/>
    <n v="2261.1416000000004"/>
    <n v="65369.603656000014"/>
    <n v="65392.215072000014"/>
  </r>
  <r>
    <x v="4"/>
    <n v="69.09"/>
    <n v="69.209999999999994"/>
    <x v="152"/>
    <n v="946.13639999999998"/>
    <n v="0"/>
    <n v="946.13639999999998"/>
    <n v="65368.563876"/>
    <n v="65482.100243999994"/>
  </r>
  <r>
    <x v="5"/>
    <n v="37.78"/>
    <n v="37.81"/>
    <x v="152"/>
    <n v="1730.1178"/>
    <n v="0.2"/>
    <n v="1730.3178"/>
    <n v="65371.406484000006"/>
    <n v="65423.316018000005"/>
  </r>
  <r>
    <x v="6"/>
    <n v="56.89"/>
    <n v="56.9"/>
    <x v="152"/>
    <n v="1148.8532"/>
    <n v="0.05"/>
    <n v="1148.9032"/>
    <n v="65361.103047999997"/>
    <n v="65372.592079999995"/>
  </r>
  <r>
    <x v="7"/>
    <n v="50.72"/>
    <n v="50.73"/>
    <x v="152"/>
    <n v="1288.9615000000001"/>
    <n v="0"/>
    <n v="1288.9615000000001"/>
    <n v="65376.127280000008"/>
    <n v="65389.016895000001"/>
  </r>
  <r>
    <x v="8"/>
    <n v="18.489999999999998"/>
    <n v="18.5"/>
    <x v="152"/>
    <n v="3535.8029000000001"/>
    <n v="0"/>
    <n v="3535.8029000000001"/>
    <n v="65376.995620999995"/>
    <n v="65412.353650000005"/>
  </r>
  <r>
    <x v="9"/>
    <n v="37.04"/>
    <n v="37.049999999999997"/>
    <x v="152"/>
    <n v="1765.0592999999999"/>
    <n v="0.2"/>
    <n v="1765.2592999999999"/>
    <n v="65385.204471999998"/>
    <n v="65402.857064999989"/>
  </r>
  <r>
    <x v="0"/>
    <n v="21.61"/>
    <n v="21.62"/>
    <x v="153"/>
    <n v="3014.9488000000001"/>
    <n v="0"/>
    <n v="3014.9488000000001"/>
    <n v="65153.043568000001"/>
    <n v="65183.193056000004"/>
  </r>
  <r>
    <x v="1"/>
    <n v="35.369999999999997"/>
    <n v="35.380000000000003"/>
    <x v="153"/>
    <n v="1842.1205"/>
    <n v="-0.1"/>
    <n v="1842.0205000000001"/>
    <n v="65152.265084999999"/>
    <n v="65170.685290000009"/>
  </r>
  <r>
    <x v="2"/>
    <n v="18.37"/>
    <n v="18.38"/>
    <x v="153"/>
    <n v="3546.5864999999999"/>
    <n v="0"/>
    <n v="3546.5864999999999"/>
    <n v="65150.794005000003"/>
    <n v="65186.259869999994"/>
  </r>
  <r>
    <x v="3"/>
    <n v="28.81"/>
    <n v="28.82"/>
    <x v="153"/>
    <n v="2261.3416000000002"/>
    <n v="-0.2"/>
    <n v="2261.1416000000004"/>
    <n v="65143.489496000009"/>
    <n v="65166.100912000009"/>
  </r>
  <r>
    <x v="4"/>
    <n v="68.87"/>
    <n v="69"/>
    <x v="153"/>
    <n v="946.13639999999998"/>
    <n v="0"/>
    <n v="946.13639999999998"/>
    <n v="65160.413868000003"/>
    <n v="65283.411599999999"/>
  </r>
  <r>
    <x v="5"/>
    <n v="37.65"/>
    <n v="37.67"/>
    <x v="153"/>
    <n v="1730.1178"/>
    <n v="0.2"/>
    <n v="1730.3178"/>
    <n v="65146.465169999996"/>
    <n v="65181.071526000007"/>
  </r>
  <r>
    <x v="6"/>
    <n v="56.7"/>
    <n v="56.71"/>
    <x v="153"/>
    <n v="1148.8532"/>
    <n v="0.05"/>
    <n v="1148.9032"/>
    <n v="65142.811440000005"/>
    <n v="65154.300472000003"/>
  </r>
  <r>
    <x v="7"/>
    <n v="50.54"/>
    <n v="50.55"/>
    <x v="153"/>
    <n v="1288.9615000000001"/>
    <n v="0"/>
    <n v="1288.9615000000001"/>
    <n v="65144.114210000007"/>
    <n v="65157.003825"/>
  </r>
  <r>
    <x v="8"/>
    <n v="18.420000000000002"/>
    <n v="18.43"/>
    <x v="153"/>
    <n v="3535.8029000000001"/>
    <n v="0"/>
    <n v="3535.8029000000001"/>
    <n v="65129.489418000012"/>
    <n v="65164.847447"/>
  </r>
  <r>
    <x v="9"/>
    <n v="36.909999999999997"/>
    <n v="36.92"/>
    <x v="153"/>
    <n v="1765.0592999999999"/>
    <n v="0.2"/>
    <n v="1765.2592999999999"/>
    <n v="65155.72076299999"/>
    <n v="65173.373356000004"/>
  </r>
  <r>
    <x v="0"/>
    <n v="21.5"/>
    <n v="21.51"/>
    <x v="154"/>
    <n v="3014.9488000000001"/>
    <n v="0"/>
    <n v="3014.9488000000001"/>
    <n v="64821.3992"/>
    <n v="64851.54868800001"/>
  </r>
  <r>
    <x v="1"/>
    <n v="35.200000000000003"/>
    <n v="35.21"/>
    <x v="154"/>
    <n v="1842.1205"/>
    <n v="-0.1"/>
    <n v="1842.0205000000001"/>
    <n v="64839.121600000006"/>
    <n v="64857.541805000008"/>
  </r>
  <r>
    <x v="2"/>
    <n v="18.27"/>
    <n v="18.28"/>
    <x v="154"/>
    <n v="3546.5864999999999"/>
    <n v="0"/>
    <n v="3546.5864999999999"/>
    <n v="64796.135354999999"/>
    <n v="64831.601220000004"/>
  </r>
  <r>
    <x v="3"/>
    <n v="28.67"/>
    <n v="28.68"/>
    <x v="154"/>
    <n v="2261.3416000000002"/>
    <n v="-0.2"/>
    <n v="2261.1416000000004"/>
    <n v="64826.929672000013"/>
    <n v="64849.541088000013"/>
  </r>
  <r>
    <x v="4"/>
    <n v="68.489999999999995"/>
    <n v="68.599999999999994"/>
    <x v="154"/>
    <n v="946.13639999999998"/>
    <n v="0"/>
    <n v="946.13639999999998"/>
    <n v="64800.882035999995"/>
    <n v="64904.957039999994"/>
  </r>
  <r>
    <x v="5"/>
    <n v="37.46"/>
    <n v="37.49"/>
    <x v="154"/>
    <n v="1730.1178"/>
    <n v="0.2"/>
    <n v="1730.3178"/>
    <n v="64817.704788000003"/>
    <n v="64869.614322000001"/>
  </r>
  <r>
    <x v="6"/>
    <n v="56.42"/>
    <n v="56.43"/>
    <x v="154"/>
    <n v="1148.8532"/>
    <n v="0.05"/>
    <n v="1148.9032"/>
    <n v="64821.118543999997"/>
    <n v="64832.607575999995"/>
  </r>
  <r>
    <x v="7"/>
    <n v="50.3"/>
    <n v="50.31"/>
    <x v="154"/>
    <n v="1288.9615000000001"/>
    <n v="0"/>
    <n v="1288.9615000000001"/>
    <n v="64834.763449999999"/>
    <n v="64847.653065000006"/>
  </r>
  <r>
    <x v="8"/>
    <n v="18.329999999999998"/>
    <n v="18.34"/>
    <x v="154"/>
    <n v="3535.8029000000001"/>
    <n v="0"/>
    <n v="3535.8029000000001"/>
    <n v="64811.267156999995"/>
    <n v="64846.625186000005"/>
  </r>
  <r>
    <x v="9"/>
    <n v="36.729999999999997"/>
    <n v="36.74"/>
    <x v="154"/>
    <n v="1765.0592999999999"/>
    <n v="0.2"/>
    <n v="1765.2592999999999"/>
    <n v="64837.974088999996"/>
    <n v="64855.626682000002"/>
  </r>
  <r>
    <x v="0"/>
    <n v="21.51"/>
    <n v="21.52"/>
    <x v="155"/>
    <n v="3014.9488000000001"/>
    <n v="0"/>
    <n v="3014.9488000000001"/>
    <n v="64851.54868800001"/>
    <n v="64881.698175999998"/>
  </r>
  <r>
    <x v="1"/>
    <n v="35.21"/>
    <n v="35.22"/>
    <x v="155"/>
    <n v="1842.1205"/>
    <n v="-0.1"/>
    <n v="1842.0205000000001"/>
    <n v="64857.541805000008"/>
    <n v="64875.962010000003"/>
  </r>
  <r>
    <x v="2"/>
    <n v="18.28"/>
    <n v="18.29"/>
    <x v="155"/>
    <n v="3546.5864999999999"/>
    <n v="0"/>
    <n v="3546.5864999999999"/>
    <n v="64831.601220000004"/>
    <n v="64867.067084999995"/>
  </r>
  <r>
    <x v="3"/>
    <n v="28.68"/>
    <n v="28.69"/>
    <x v="155"/>
    <n v="2261.3416000000002"/>
    <n v="-0.2"/>
    <n v="2261.1416000000004"/>
    <n v="64849.541088000013"/>
    <n v="64872.152504000012"/>
  </r>
  <r>
    <x v="4"/>
    <n v="68.510000000000005"/>
    <n v="68.650000000000006"/>
    <x v="155"/>
    <n v="946.13639999999998"/>
    <n v="0"/>
    <n v="946.13639999999998"/>
    <n v="64819.804764"/>
    <n v="64952.263860000006"/>
  </r>
  <r>
    <x v="5"/>
    <n v="37.49"/>
    <n v="37.51"/>
    <x v="155"/>
    <n v="1730.1178"/>
    <n v="0.2"/>
    <n v="1730.3178"/>
    <n v="64869.614322000001"/>
    <n v="64904.220677999998"/>
  </r>
  <r>
    <x v="6"/>
    <n v="56.45"/>
    <n v="56.46"/>
    <x v="155"/>
    <n v="1148.8532"/>
    <n v="0.05"/>
    <n v="1148.9032"/>
    <n v="64855.585640000005"/>
    <n v="64867.074672000002"/>
  </r>
  <r>
    <x v="7"/>
    <n v="50.32"/>
    <n v="50.33"/>
    <x v="155"/>
    <n v="1288.9615000000001"/>
    <n v="0"/>
    <n v="1288.9615000000001"/>
    <n v="64860.542680000006"/>
    <n v="64873.432295000006"/>
  </r>
  <r>
    <x v="8"/>
    <n v="18.34"/>
    <n v="18.350000000000001"/>
    <x v="155"/>
    <n v="3535.8029000000001"/>
    <n v="0"/>
    <n v="3535.8029000000001"/>
    <n v="64846.625186000005"/>
    <n v="64881.983215000007"/>
  </r>
  <r>
    <x v="9"/>
    <n v="36.74"/>
    <n v="36.75"/>
    <x v="155"/>
    <n v="1765.0592999999999"/>
    <n v="0.2"/>
    <n v="1765.2592999999999"/>
    <n v="64855.626682000002"/>
    <n v="64873.279275000001"/>
  </r>
  <r>
    <x v="0"/>
    <n v="21.55"/>
    <n v="21.56"/>
    <x v="156"/>
    <n v="3014.9488000000001"/>
    <n v="0"/>
    <n v="3014.9488000000001"/>
    <n v="64972.146640000006"/>
    <n v="65002.296128000002"/>
  </r>
  <r>
    <x v="1"/>
    <n v="35.28"/>
    <n v="35.29"/>
    <x v="156"/>
    <n v="1842.1205"/>
    <n v="-0.1"/>
    <n v="1842.0205000000001"/>
    <n v="64986.483240000009"/>
    <n v="65004.903445000004"/>
  </r>
  <r>
    <x v="2"/>
    <n v="18.32"/>
    <n v="18.329999999999998"/>
    <x v="156"/>
    <n v="3546.5864999999999"/>
    <n v="0"/>
    <n v="3546.5864999999999"/>
    <n v="64973.464679999997"/>
    <n v="65008.930544999988"/>
  </r>
  <r>
    <x v="3"/>
    <n v="28.74"/>
    <n v="28.75"/>
    <x v="156"/>
    <n v="2261.3416000000002"/>
    <n v="-0.2"/>
    <n v="2261.1416000000004"/>
    <n v="64985.209584000004"/>
    <n v="65007.821000000011"/>
  </r>
  <r>
    <x v="4"/>
    <n v="68.63"/>
    <n v="68.760000000000005"/>
    <x v="156"/>
    <n v="946.13639999999998"/>
    <n v="0"/>
    <n v="946.13639999999998"/>
    <n v="64933.341131999994"/>
    <n v="65056.338864000005"/>
  </r>
  <r>
    <x v="5"/>
    <n v="37.56"/>
    <n v="37.58"/>
    <x v="156"/>
    <n v="1730.1178"/>
    <n v="0.2"/>
    <n v="1730.3178"/>
    <n v="64990.736568000008"/>
    <n v="65025.342923999997"/>
  </r>
  <r>
    <x v="6"/>
    <n v="56.56"/>
    <n v="56.57"/>
    <x v="156"/>
    <n v="1148.8532"/>
    <n v="0.05"/>
    <n v="1148.9032"/>
    <n v="64981.964992000001"/>
    <n v="64993.454023999999"/>
  </r>
  <r>
    <x v="7"/>
    <n v="50.43"/>
    <n v="50.44"/>
    <x v="156"/>
    <n v="1288.9615000000001"/>
    <n v="0"/>
    <n v="1288.9615000000001"/>
    <n v="65002.328445000006"/>
    <n v="65015.218059999999"/>
  </r>
  <r>
    <x v="8"/>
    <n v="18.38"/>
    <n v="18.39"/>
    <x v="156"/>
    <n v="3535.8029000000001"/>
    <n v="0"/>
    <n v="3535.8029000000001"/>
    <n v="64988.057302000001"/>
    <n v="65023.415331000004"/>
  </r>
  <r>
    <x v="9"/>
    <n v="36.82"/>
    <n v="36.83"/>
    <x v="156"/>
    <n v="1765.0592999999999"/>
    <n v="0.2"/>
    <n v="1765.2592999999999"/>
    <n v="64996.847426"/>
    <n v="65014.500018999992"/>
  </r>
  <r>
    <x v="0"/>
    <n v="21.54"/>
    <n v="21.55"/>
    <x v="157"/>
    <n v="3014.9488000000001"/>
    <n v="0"/>
    <n v="3014.9488000000001"/>
    <n v="64941.997152000004"/>
    <n v="64972.146640000006"/>
  </r>
  <r>
    <x v="1"/>
    <n v="35.26"/>
    <n v="35.270000000000003"/>
    <x v="157"/>
    <n v="1842.1205"/>
    <n v="-0.1"/>
    <n v="1842.0205000000001"/>
    <n v="64949.642829999997"/>
    <n v="64968.063035000006"/>
  </r>
  <r>
    <x v="2"/>
    <n v="18.309999999999999"/>
    <n v="18.32"/>
    <x v="157"/>
    <n v="3546.5864999999999"/>
    <n v="0"/>
    <n v="3546.5864999999999"/>
    <n v="64937.998814999992"/>
    <n v="64973.464679999997"/>
  </r>
  <r>
    <x v="3"/>
    <n v="28.73"/>
    <n v="28.74"/>
    <x v="157"/>
    <n v="2261.3416000000002"/>
    <n v="-0.2"/>
    <n v="2261.1416000000004"/>
    <n v="64962.598168000011"/>
    <n v="64985.209584000004"/>
  </r>
  <r>
    <x v="4"/>
    <n v="68.61"/>
    <n v="68.73"/>
    <x v="157"/>
    <n v="946.13639999999998"/>
    <n v="0"/>
    <n v="946.13639999999998"/>
    <n v="64914.418403999996"/>
    <n v="65027.954772000005"/>
  </r>
  <r>
    <x v="5"/>
    <n v="37.54"/>
    <n v="37.56"/>
    <x v="157"/>
    <n v="1730.1178"/>
    <n v="0.2"/>
    <n v="1730.3178"/>
    <n v="64956.130211999996"/>
    <n v="64990.736568000008"/>
  </r>
  <r>
    <x v="6"/>
    <n v="56.53"/>
    <n v="56.54"/>
    <x v="157"/>
    <n v="1148.8532"/>
    <n v="0.05"/>
    <n v="1148.9032"/>
    <n v="64947.497896000001"/>
    <n v="64958.986927999998"/>
  </r>
  <r>
    <x v="7"/>
    <n v="50.4"/>
    <n v="50.41"/>
    <x v="157"/>
    <n v="1288.9615000000001"/>
    <n v="0"/>
    <n v="1288.9615000000001"/>
    <n v="64963.659600000006"/>
    <n v="64976.549214999999"/>
  </r>
  <r>
    <x v="8"/>
    <n v="18.37"/>
    <n v="18.38"/>
    <x v="157"/>
    <n v="3535.8029000000001"/>
    <n v="0"/>
    <n v="3535.8029000000001"/>
    <n v="64952.699273000006"/>
    <n v="64988.057302000001"/>
  </r>
  <r>
    <x v="9"/>
    <n v="36.799999999999997"/>
    <n v="36.81"/>
    <x v="157"/>
    <n v="1765.0592999999999"/>
    <n v="0.2"/>
    <n v="1765.2592999999999"/>
    <n v="64961.542239999995"/>
    <n v="64979.194833000001"/>
  </r>
  <r>
    <x v="0"/>
    <n v="21.54"/>
    <n v="21.55"/>
    <x v="158"/>
    <n v="3014.9488000000001"/>
    <n v="0"/>
    <n v="3014.9488000000001"/>
    <n v="64941.997152000004"/>
    <n v="64972.146640000006"/>
  </r>
  <r>
    <x v="1"/>
    <n v="35.270000000000003"/>
    <n v="35.28"/>
    <x v="158"/>
    <n v="1842.1205"/>
    <n v="-0.1"/>
    <n v="1842.0205000000001"/>
    <n v="64968.063035000006"/>
    <n v="64986.483240000009"/>
  </r>
  <r>
    <x v="2"/>
    <n v="18.32"/>
    <n v="18.329999999999998"/>
    <x v="158"/>
    <n v="3546.5864999999999"/>
    <n v="0"/>
    <n v="3546.5864999999999"/>
    <n v="64973.464679999997"/>
    <n v="65008.930544999988"/>
  </r>
  <r>
    <x v="3"/>
    <n v="28.73"/>
    <n v="28.74"/>
    <x v="158"/>
    <n v="2261.3416000000002"/>
    <n v="-0.2"/>
    <n v="2261.1416000000004"/>
    <n v="64962.598168000011"/>
    <n v="64985.209584000004"/>
  </r>
  <r>
    <x v="4"/>
    <n v="68.63"/>
    <n v="68.75"/>
    <x v="158"/>
    <n v="946.13639999999998"/>
    <n v="0"/>
    <n v="946.13639999999998"/>
    <n v="64933.341131999994"/>
    <n v="65046.877499999995"/>
  </r>
  <r>
    <x v="5"/>
    <n v="37.53"/>
    <n v="37.56"/>
    <x v="158"/>
    <n v="1730.1178"/>
    <n v="0.2"/>
    <n v="1730.3178"/>
    <n v="64938.827034000002"/>
    <n v="64990.736568000008"/>
  </r>
  <r>
    <x v="6"/>
    <n v="56.53"/>
    <n v="56.55"/>
    <x v="158"/>
    <n v="1148.8532"/>
    <n v="0.05"/>
    <n v="1148.9032"/>
    <n v="64947.497896000001"/>
    <n v="64970.475959999996"/>
  </r>
  <r>
    <x v="7"/>
    <n v="50.4"/>
    <n v="50.41"/>
    <x v="158"/>
    <n v="1288.9615000000001"/>
    <n v="0"/>
    <n v="1288.9615000000001"/>
    <n v="64963.659600000006"/>
    <n v="64976.549214999999"/>
  </r>
  <r>
    <x v="8"/>
    <n v="18.37"/>
    <n v="18.38"/>
    <x v="158"/>
    <n v="3535.8029000000001"/>
    <n v="0"/>
    <n v="3535.8029000000001"/>
    <n v="64952.699273000006"/>
    <n v="64988.057302000001"/>
  </r>
  <r>
    <x v="9"/>
    <n v="36.799999999999997"/>
    <n v="36.81"/>
    <x v="158"/>
    <n v="1765.0592999999999"/>
    <n v="0.2"/>
    <n v="1765.2592999999999"/>
    <n v="64961.542239999995"/>
    <n v="64979.194833000001"/>
  </r>
  <r>
    <x v="0"/>
    <n v="21.54"/>
    <n v="21.55"/>
    <x v="159"/>
    <n v="3014.9488000000001"/>
    <n v="0"/>
    <n v="3014.9488000000001"/>
    <n v="64941.997152000004"/>
    <n v="64972.146640000006"/>
  </r>
  <r>
    <x v="1"/>
    <n v="35.26"/>
    <n v="35.270000000000003"/>
    <x v="159"/>
    <n v="1842.1205"/>
    <n v="-0.1"/>
    <n v="1842.0205000000001"/>
    <n v="64949.642829999997"/>
    <n v="64968.063035000006"/>
  </r>
  <r>
    <x v="2"/>
    <n v="18.309999999999999"/>
    <n v="18.32"/>
    <x v="159"/>
    <n v="3546.5864999999999"/>
    <n v="0"/>
    <n v="3546.5864999999999"/>
    <n v="64937.998814999992"/>
    <n v="64973.464679999997"/>
  </r>
  <r>
    <x v="3"/>
    <n v="28.73"/>
    <n v="28.74"/>
    <x v="159"/>
    <n v="2261.3416000000002"/>
    <n v="-0.2"/>
    <n v="2261.1416000000004"/>
    <n v="64962.598168000011"/>
    <n v="64985.209584000004"/>
  </r>
  <r>
    <x v="4"/>
    <n v="68.63"/>
    <n v="68.760000000000005"/>
    <x v="159"/>
    <n v="946.13639999999998"/>
    <n v="0"/>
    <n v="946.13639999999998"/>
    <n v="64933.341131999994"/>
    <n v="65056.338864000005"/>
  </r>
  <r>
    <x v="5"/>
    <n v="37.53"/>
    <n v="37.56"/>
    <x v="159"/>
    <n v="1730.1178"/>
    <n v="0.2"/>
    <n v="1730.3178"/>
    <n v="64938.827034000002"/>
    <n v="64990.736568000008"/>
  </r>
  <r>
    <x v="6"/>
    <n v="56.52"/>
    <n v="56.53"/>
    <x v="159"/>
    <n v="1148.8532"/>
    <n v="0.05"/>
    <n v="1148.9032"/>
    <n v="64936.008864000003"/>
    <n v="64947.497896000001"/>
  </r>
  <r>
    <x v="7"/>
    <n v="50.39"/>
    <n v="50.4"/>
    <x v="159"/>
    <n v="1288.9615000000001"/>
    <n v="0"/>
    <n v="1288.9615000000001"/>
    <n v="64950.769985000006"/>
    <n v="64963.659600000006"/>
  </r>
  <r>
    <x v="8"/>
    <n v="18.37"/>
    <n v="18.38"/>
    <x v="159"/>
    <n v="3535.8029000000001"/>
    <n v="0"/>
    <n v="3535.8029000000001"/>
    <n v="64952.699273000006"/>
    <n v="64988.057302000001"/>
  </r>
  <r>
    <x v="9"/>
    <n v="36.79"/>
    <n v="36.799999999999997"/>
    <x v="159"/>
    <n v="1765.0592999999999"/>
    <n v="0.2"/>
    <n v="1765.2592999999999"/>
    <n v="64943.889646999996"/>
    <n v="64961.542239999995"/>
  </r>
  <r>
    <x v="0"/>
    <n v="21.45"/>
    <n v="21.46"/>
    <x v="160"/>
    <n v="3014.9488000000001"/>
    <n v="0"/>
    <n v="3014.9488000000001"/>
    <n v="64670.651760000001"/>
    <n v="64700.801248000003"/>
  </r>
  <r>
    <x v="1"/>
    <n v="35.11"/>
    <n v="35.119999999999997"/>
    <x v="160"/>
    <n v="1842.1205"/>
    <n v="-0.1"/>
    <n v="1842.0205000000001"/>
    <n v="64673.339755000001"/>
    <n v="64691.759959999996"/>
  </r>
  <r>
    <x v="2"/>
    <n v="18.23"/>
    <n v="18.239999999999998"/>
    <x v="160"/>
    <n v="3546.5864999999999"/>
    <n v="0"/>
    <n v="3546.5864999999999"/>
    <n v="64654.271894999998"/>
    <n v="64689.737759999989"/>
  </r>
  <r>
    <x v="3"/>
    <n v="28.61"/>
    <n v="28.62"/>
    <x v="160"/>
    <n v="2261.3416000000002"/>
    <n v="-0.2"/>
    <n v="2261.1416000000004"/>
    <n v="64691.261176000007"/>
    <n v="64713.872592000014"/>
  </r>
  <r>
    <x v="4"/>
    <n v="68.33"/>
    <n v="68.45"/>
    <x v="160"/>
    <n v="946.13639999999998"/>
    <n v="0"/>
    <n v="946.13639999999998"/>
    <n v="64649.500211999999"/>
    <n v="64763.03658"/>
  </r>
  <r>
    <x v="5"/>
    <n v="37.39"/>
    <n v="37.4"/>
    <x v="160"/>
    <n v="1730.1178"/>
    <n v="0.2"/>
    <n v="1730.3178"/>
    <n v="64696.582542000004"/>
    <n v="64713.885719999998"/>
  </r>
  <r>
    <x v="6"/>
    <n v="56.29"/>
    <n v="56.3"/>
    <x v="160"/>
    <n v="1148.8532"/>
    <n v="0.05"/>
    <n v="1148.9032"/>
    <n v="64671.761127999998"/>
    <n v="64683.250159999996"/>
  </r>
  <r>
    <x v="7"/>
    <n v="50.18"/>
    <n v="50.19"/>
    <x v="160"/>
    <n v="1288.9615000000001"/>
    <n v="0"/>
    <n v="1288.9615000000001"/>
    <n v="64680.088070000005"/>
    <n v="64692.977685000005"/>
  </r>
  <r>
    <x v="8"/>
    <n v="18.29"/>
    <n v="18.3"/>
    <x v="160"/>
    <n v="3535.8029000000001"/>
    <n v="0"/>
    <n v="3535.8029000000001"/>
    <n v="64669.835040999998"/>
    <n v="64705.193070000008"/>
  </r>
  <r>
    <x v="9"/>
    <n v="36.64"/>
    <n v="36.65"/>
    <x v="160"/>
    <n v="1765.0592999999999"/>
    <n v="0.2"/>
    <n v="1765.2592999999999"/>
    <n v="64679.100751999998"/>
    <n v="64696.753344999997"/>
  </r>
  <r>
    <x v="0"/>
    <n v="21.42"/>
    <n v="21.43"/>
    <x v="161"/>
    <n v="3014.9488000000001"/>
    <n v="0"/>
    <n v="3014.9488000000001"/>
    <n v="64580.203296000007"/>
    <n v="64610.352784000002"/>
  </r>
  <r>
    <x v="1"/>
    <n v="35.06"/>
    <n v="35.07"/>
    <x v="161"/>
    <n v="1842.1205"/>
    <n v="-0.1"/>
    <n v="1842.0205000000001"/>
    <n v="64581.238730000005"/>
    <n v="64599.658935000007"/>
  </r>
  <r>
    <x v="2"/>
    <n v="18.21"/>
    <n v="18.22"/>
    <x v="161"/>
    <n v="3546.5864999999999"/>
    <n v="0"/>
    <n v="3546.5864999999999"/>
    <n v="64583.340165000001"/>
    <n v="64618.806029999992"/>
  </r>
  <r>
    <x v="3"/>
    <n v="28.56"/>
    <n v="28.57"/>
    <x v="161"/>
    <n v="2261.3416000000002"/>
    <n v="-0.2"/>
    <n v="2261.1416000000004"/>
    <n v="64578.204096000009"/>
    <n v="64600.815512000008"/>
  </r>
  <r>
    <x v="4"/>
    <n v="68.209999999999994"/>
    <n v="68.31"/>
    <x v="161"/>
    <n v="946.13639999999998"/>
    <n v="0"/>
    <n v="946.13639999999998"/>
    <n v="64535.963843999991"/>
    <n v="64630.577484000001"/>
  </r>
  <r>
    <x v="5"/>
    <n v="37.31"/>
    <n v="37.340000000000003"/>
    <x v="161"/>
    <n v="1730.1178"/>
    <n v="0.2"/>
    <n v="1730.3178"/>
    <n v="64558.157118000003"/>
    <n v="64610.066652000009"/>
  </r>
  <r>
    <x v="6"/>
    <n v="56.2"/>
    <n v="56.21"/>
    <x v="161"/>
    <n v="1148.8532"/>
    <n v="0.05"/>
    <n v="1148.9032"/>
    <n v="64568.359840000005"/>
    <n v="64579.848872000002"/>
  </r>
  <r>
    <x v="7"/>
    <n v="50.1"/>
    <n v="50.11"/>
    <x v="161"/>
    <n v="1288.9615000000001"/>
    <n v="0"/>
    <n v="1288.9615000000001"/>
    <n v="64576.971150000005"/>
    <n v="64589.860765000005"/>
  </r>
  <r>
    <x v="8"/>
    <n v="18.260000000000002"/>
    <n v="18.27"/>
    <x v="161"/>
    <n v="3535.8029000000001"/>
    <n v="0"/>
    <n v="3535.8029000000001"/>
    <n v="64563.760954000005"/>
    <n v="64599.118983"/>
  </r>
  <r>
    <x v="9"/>
    <n v="36.58"/>
    <n v="36.590000000000003"/>
    <x v="161"/>
    <n v="1765.0592999999999"/>
    <n v="0.2"/>
    <n v="1765.2592999999999"/>
    <n v="64573.185193999998"/>
    <n v="64590.837787000004"/>
  </r>
  <r>
    <x v="0"/>
    <n v="21.42"/>
    <n v="21.43"/>
    <x v="162"/>
    <n v="3014.9488000000001"/>
    <n v="0"/>
    <n v="3014.9488000000001"/>
    <n v="64580.203296000007"/>
    <n v="64610.352784000002"/>
  </r>
  <r>
    <x v="1"/>
    <n v="35.06"/>
    <n v="35.07"/>
    <x v="162"/>
    <n v="1842.1205"/>
    <n v="-0.1"/>
    <n v="1842.0205000000001"/>
    <n v="64581.238730000005"/>
    <n v="64599.658935000007"/>
  </r>
  <r>
    <x v="2"/>
    <n v="18.21"/>
    <n v="18.22"/>
    <x v="162"/>
    <n v="3546.5864999999999"/>
    <n v="0"/>
    <n v="3546.5864999999999"/>
    <n v="64583.340165000001"/>
    <n v="64618.806029999992"/>
  </r>
  <r>
    <x v="3"/>
    <n v="28.56"/>
    <n v="28.57"/>
    <x v="162"/>
    <n v="2261.3416000000002"/>
    <n v="-0.2"/>
    <n v="2261.1416000000004"/>
    <n v="64578.204096000009"/>
    <n v="64600.815512000008"/>
  </r>
  <r>
    <x v="4"/>
    <n v="68.23"/>
    <n v="68.36"/>
    <x v="162"/>
    <n v="946.13639999999998"/>
    <n v="0"/>
    <n v="946.13639999999998"/>
    <n v="64554.886572000003"/>
    <n v="64677.884303999999"/>
  </r>
  <r>
    <x v="5"/>
    <n v="37.32"/>
    <n v="37.35"/>
    <x v="162"/>
    <n v="1730.1178"/>
    <n v="0.2"/>
    <n v="1730.3178"/>
    <n v="64575.460296000005"/>
    <n v="64627.369830000003"/>
  </r>
  <r>
    <x v="6"/>
    <n v="56.21"/>
    <n v="56.22"/>
    <x v="162"/>
    <n v="1148.8532"/>
    <n v="0.05"/>
    <n v="1148.9032"/>
    <n v="64579.848872000002"/>
    <n v="64591.337904"/>
  </r>
  <r>
    <x v="7"/>
    <n v="50.1"/>
    <n v="50.11"/>
    <x v="162"/>
    <n v="1288.9615000000001"/>
    <n v="0"/>
    <n v="1288.9615000000001"/>
    <n v="64576.971150000005"/>
    <n v="64589.860765000005"/>
  </r>
  <r>
    <x v="8"/>
    <n v="18.260000000000002"/>
    <n v="18.27"/>
    <x v="162"/>
    <n v="3535.8029000000001"/>
    <n v="0"/>
    <n v="3535.8029000000001"/>
    <n v="64563.760954000005"/>
    <n v="64599.118983"/>
  </r>
  <r>
    <x v="9"/>
    <n v="36.58"/>
    <n v="36.590000000000003"/>
    <x v="162"/>
    <n v="1765.0592999999999"/>
    <n v="0.2"/>
    <n v="1765.2592999999999"/>
    <n v="64573.185193999998"/>
    <n v="64590.837787000004"/>
  </r>
  <r>
    <x v="0"/>
    <n v="21.39"/>
    <n v="21.4"/>
    <x v="163"/>
    <n v="3014.9488000000001"/>
    <n v="0"/>
    <n v="3014.9488000000001"/>
    <n v="64489.754832000006"/>
    <n v="64519.904320000001"/>
  </r>
  <r>
    <x v="1"/>
    <n v="35.01"/>
    <n v="35.020000000000003"/>
    <x v="163"/>
    <n v="1842.1205"/>
    <n v="-0.1"/>
    <n v="1842.0205000000001"/>
    <n v="64489.137705000001"/>
    <n v="64507.55791000001"/>
  </r>
  <r>
    <x v="2"/>
    <n v="18.18"/>
    <n v="18.190000000000001"/>
    <x v="163"/>
    <n v="3546.5864999999999"/>
    <n v="0"/>
    <n v="3546.5864999999999"/>
    <n v="64476.942569999999"/>
    <n v="64512.408435000005"/>
  </r>
  <r>
    <x v="3"/>
    <n v="28.52"/>
    <n v="28.53"/>
    <x v="163"/>
    <n v="2261.3416000000002"/>
    <n v="-0.2"/>
    <n v="2261.1416000000004"/>
    <n v="64487.75843200001"/>
    <n v="64510.369848000017"/>
  </r>
  <r>
    <x v="4"/>
    <n v="68.11"/>
    <n v="68.22"/>
    <x v="163"/>
    <n v="946.13639999999998"/>
    <n v="0"/>
    <n v="946.13639999999998"/>
    <n v="64441.350203999995"/>
    <n v="64545.425208000001"/>
  </r>
  <r>
    <x v="5"/>
    <n v="37.26"/>
    <n v="37.29"/>
    <x v="163"/>
    <n v="1730.1178"/>
    <n v="0.2"/>
    <n v="1730.3178"/>
    <n v="64471.641228"/>
    <n v="64523.550761999999"/>
  </r>
  <r>
    <x v="6"/>
    <n v="56.12"/>
    <n v="56.13"/>
    <x v="163"/>
    <n v="1148.8532"/>
    <n v="0.05"/>
    <n v="1148.9032"/>
    <n v="64476.447583999994"/>
    <n v="64487.936615999999"/>
  </r>
  <r>
    <x v="7"/>
    <n v="50.03"/>
    <n v="50.04"/>
    <x v="163"/>
    <n v="1288.9615000000001"/>
    <n v="0"/>
    <n v="1288.9615000000001"/>
    <n v="64486.743845000005"/>
    <n v="64499.633460000005"/>
  </r>
  <r>
    <x v="8"/>
    <n v="18.23"/>
    <n v="18.239999999999998"/>
    <x v="163"/>
    <n v="3535.8029000000001"/>
    <n v="0"/>
    <n v="3535.8029000000001"/>
    <n v="64457.686867000004"/>
    <n v="64493.044895999999"/>
  </r>
  <r>
    <x v="9"/>
    <n v="36.520000000000003"/>
    <n v="36.53"/>
    <x v="163"/>
    <n v="1765.0592999999999"/>
    <n v="0.2"/>
    <n v="1765.2592999999999"/>
    <n v="64467.269636000005"/>
    <n v="64484.922229000003"/>
  </r>
  <r>
    <x v="0"/>
    <n v="21.42"/>
    <n v="21.43"/>
    <x v="164"/>
    <n v="3014.9488000000001"/>
    <n v="0"/>
    <n v="3014.9488000000001"/>
    <n v="64580.203296000007"/>
    <n v="64610.352784000002"/>
  </r>
  <r>
    <x v="1"/>
    <n v="35.06"/>
    <n v="35.07"/>
    <x v="164"/>
    <n v="1842.1205"/>
    <n v="-0.1"/>
    <n v="1842.0205000000001"/>
    <n v="64581.238730000005"/>
    <n v="64599.658935000007"/>
  </r>
  <r>
    <x v="2"/>
    <n v="18.21"/>
    <n v="18.22"/>
    <x v="164"/>
    <n v="3546.5864999999999"/>
    <n v="0"/>
    <n v="3546.5864999999999"/>
    <n v="64583.340165000001"/>
    <n v="64618.806029999992"/>
  </r>
  <r>
    <x v="3"/>
    <n v="28.56"/>
    <n v="28.57"/>
    <x v="164"/>
    <n v="2261.3416000000002"/>
    <n v="-0.2"/>
    <n v="2261.1416000000004"/>
    <n v="64578.204096000009"/>
    <n v="64600.815512000008"/>
  </r>
  <r>
    <x v="4"/>
    <n v="68.239999999999995"/>
    <n v="68.38"/>
    <x v="164"/>
    <n v="946.13639999999998"/>
    <n v="0"/>
    <n v="946.13639999999998"/>
    <n v="64564.347935999991"/>
    <n v="64696.807031999997"/>
  </r>
  <r>
    <x v="5"/>
    <n v="37.32"/>
    <n v="37.35"/>
    <x v="164"/>
    <n v="1730.1178"/>
    <n v="0.2"/>
    <n v="1730.3178"/>
    <n v="64575.460296000005"/>
    <n v="64627.369830000003"/>
  </r>
  <r>
    <x v="6"/>
    <n v="56.2"/>
    <n v="56.21"/>
    <x v="164"/>
    <n v="1148.8532"/>
    <n v="0.05"/>
    <n v="1148.9032"/>
    <n v="64568.359840000005"/>
    <n v="64579.848872000002"/>
  </r>
  <r>
    <x v="7"/>
    <n v="50.11"/>
    <n v="50.12"/>
    <x v="164"/>
    <n v="1288.9615000000001"/>
    <n v="0"/>
    <n v="1288.9615000000001"/>
    <n v="64589.860765000005"/>
    <n v="64602.750380000005"/>
  </r>
  <r>
    <x v="8"/>
    <n v="18.260000000000002"/>
    <n v="18.27"/>
    <x v="164"/>
    <n v="3535.8029000000001"/>
    <n v="0"/>
    <n v="3535.8029000000001"/>
    <n v="64563.760954000005"/>
    <n v="64599.118983"/>
  </r>
  <r>
    <x v="9"/>
    <n v="36.58"/>
    <n v="36.590000000000003"/>
    <x v="164"/>
    <n v="1765.0592999999999"/>
    <n v="0.2"/>
    <n v="1765.2592999999999"/>
    <n v="64573.185193999998"/>
    <n v="64590.837787000004"/>
  </r>
  <r>
    <x v="0"/>
    <n v="21.42"/>
    <n v="21.43"/>
    <x v="165"/>
    <n v="3014.9488000000001"/>
    <n v="0"/>
    <n v="3014.9488000000001"/>
    <n v="64580.203296000007"/>
    <n v="64610.352784000002"/>
  </r>
  <r>
    <x v="1"/>
    <n v="35.06"/>
    <n v="35.07"/>
    <x v="165"/>
    <n v="1842.1205"/>
    <n v="-0.1"/>
    <n v="1842.0205000000001"/>
    <n v="64581.238730000005"/>
    <n v="64599.658935000007"/>
  </r>
  <r>
    <x v="2"/>
    <n v="18.21"/>
    <n v="18.22"/>
    <x v="165"/>
    <n v="3546.5864999999999"/>
    <n v="0"/>
    <n v="3546.5864999999999"/>
    <n v="64583.340165000001"/>
    <n v="64618.806029999992"/>
  </r>
  <r>
    <x v="3"/>
    <n v="28.56"/>
    <n v="28.57"/>
    <x v="165"/>
    <n v="2261.3416000000002"/>
    <n v="-0.2"/>
    <n v="2261.1416000000004"/>
    <n v="64578.204096000009"/>
    <n v="64600.815512000008"/>
  </r>
  <r>
    <x v="4"/>
    <n v="68.22"/>
    <n v="68.34"/>
    <x v="165"/>
    <n v="946.13639999999998"/>
    <n v="0"/>
    <n v="946.13639999999998"/>
    <n v="64545.425208000001"/>
    <n v="64658.961576000002"/>
  </r>
  <r>
    <x v="5"/>
    <n v="37.32"/>
    <n v="37.35"/>
    <x v="165"/>
    <n v="1730.1178"/>
    <n v="0.2"/>
    <n v="1730.3178"/>
    <n v="64575.460296000005"/>
    <n v="64627.369830000003"/>
  </r>
  <r>
    <x v="6"/>
    <n v="56.21"/>
    <n v="56.22"/>
    <x v="165"/>
    <n v="1148.8532"/>
    <n v="0.05"/>
    <n v="1148.9032"/>
    <n v="64579.848872000002"/>
    <n v="64591.337904"/>
  </r>
  <r>
    <x v="7"/>
    <n v="50.11"/>
    <n v="50.12"/>
    <x v="165"/>
    <n v="1288.9615000000001"/>
    <n v="0"/>
    <n v="1288.9615000000001"/>
    <n v="64589.860765000005"/>
    <n v="64602.750380000005"/>
  </r>
  <r>
    <x v="8"/>
    <n v="18.260000000000002"/>
    <n v="18.27"/>
    <x v="165"/>
    <n v="3535.8029000000001"/>
    <n v="0"/>
    <n v="3535.8029000000001"/>
    <n v="64563.760954000005"/>
    <n v="64599.118983"/>
  </r>
  <r>
    <x v="9"/>
    <n v="36.58"/>
    <n v="36.590000000000003"/>
    <x v="165"/>
    <n v="1765.0592999999999"/>
    <n v="0.2"/>
    <n v="1765.2592999999999"/>
    <n v="64573.185193999998"/>
    <n v="64590.837787000004"/>
  </r>
  <r>
    <x v="0"/>
    <n v="21.34"/>
    <n v="21.35"/>
    <x v="166"/>
    <n v="3014.9488000000001"/>
    <n v="0"/>
    <n v="3014.9488000000001"/>
    <n v="64339.007392"/>
    <n v="64369.15688000001"/>
  </r>
  <r>
    <x v="1"/>
    <n v="34.93"/>
    <n v="34.94"/>
    <x v="166"/>
    <n v="1842.1205"/>
    <n v="-0.1"/>
    <n v="1842.0205000000001"/>
    <n v="64341.776065000005"/>
    <n v="64360.19627"/>
  </r>
  <r>
    <x v="2"/>
    <n v="18.14"/>
    <n v="18.149999999999999"/>
    <x v="166"/>
    <n v="3546.5864999999999"/>
    <n v="0"/>
    <n v="3546.5864999999999"/>
    <n v="64335.079109999999"/>
    <n v="64370.54497499999"/>
  </r>
  <r>
    <x v="3"/>
    <n v="28.45"/>
    <n v="28.46"/>
    <x v="166"/>
    <n v="2261.3416000000002"/>
    <n v="-0.2"/>
    <n v="2261.1416000000004"/>
    <n v="64329.478520000011"/>
    <n v="64352.089936000011"/>
  </r>
  <r>
    <x v="4"/>
    <n v="67.97"/>
    <n v="68.09"/>
    <x v="166"/>
    <n v="946.13639999999998"/>
    <n v="0"/>
    <n v="946.13639999999998"/>
    <n v="64308.891107999996"/>
    <n v="64422.427476000004"/>
  </r>
  <r>
    <x v="5"/>
    <n v="37.18"/>
    <n v="37.200000000000003"/>
    <x v="166"/>
    <n v="1730.1178"/>
    <n v="0.2"/>
    <n v="1730.3178"/>
    <n v="64333.215803999999"/>
    <n v="64367.822160000003"/>
  </r>
  <r>
    <x v="6"/>
    <n v="55.99"/>
    <n v="56"/>
    <x v="166"/>
    <n v="1148.8532"/>
    <n v="0.05"/>
    <n v="1148.9032"/>
    <n v="64327.090168000002"/>
    <n v="64338.5792"/>
  </r>
  <r>
    <x v="7"/>
    <n v="49.91"/>
    <n v="49.92"/>
    <x v="166"/>
    <n v="1288.9615000000001"/>
    <n v="0"/>
    <n v="1288.9615000000001"/>
    <n v="64332.068465000004"/>
    <n v="64344.958080000011"/>
  </r>
  <r>
    <x v="8"/>
    <n v="18.190000000000001"/>
    <n v="18.2"/>
    <x v="166"/>
    <n v="3535.8029000000001"/>
    <n v="0"/>
    <n v="3535.8029000000001"/>
    <n v="64316.254751000008"/>
    <n v="64351.612780000003"/>
  </r>
  <r>
    <x v="9"/>
    <n v="36.44"/>
    <n v="36.450000000000003"/>
    <x v="166"/>
    <n v="1765.0592999999999"/>
    <n v="0.2"/>
    <n v="1765.2592999999999"/>
    <n v="64326.048891999992"/>
    <n v="64343.701485000005"/>
  </r>
  <r>
    <x v="0"/>
    <n v="21.36"/>
    <n v="21.37"/>
    <x v="167"/>
    <n v="3014.9488000000001"/>
    <n v="0"/>
    <n v="3014.9488000000001"/>
    <n v="64399.306367999998"/>
    <n v="64429.455856000008"/>
  </r>
  <r>
    <x v="1"/>
    <n v="34.97"/>
    <n v="34.979999999999997"/>
    <x v="167"/>
    <n v="1842.1205"/>
    <n v="-0.1"/>
    <n v="1842.0205000000001"/>
    <n v="64415.456885"/>
    <n v="64433.877089999994"/>
  </r>
  <r>
    <x v="2"/>
    <n v="18.16"/>
    <n v="18.170000000000002"/>
    <x v="167"/>
    <n v="3546.5864999999999"/>
    <n v="0"/>
    <n v="3546.5864999999999"/>
    <n v="64406.010839999995"/>
    <n v="64441.476705000001"/>
  </r>
  <r>
    <x v="3"/>
    <n v="28.49"/>
    <n v="28.5"/>
    <x v="167"/>
    <n v="2261.3416000000002"/>
    <n v="-0.2"/>
    <n v="2261.1416000000004"/>
    <n v="64419.92418400001"/>
    <n v="64442.53560000001"/>
  </r>
  <r>
    <x v="4"/>
    <n v="68.040000000000006"/>
    <n v="68.12"/>
    <x v="167"/>
    <n v="946.13639999999998"/>
    <n v="0"/>
    <n v="946.13639999999998"/>
    <n v="64375.120656000006"/>
    <n v="64450.811568000005"/>
  </r>
  <r>
    <x v="5"/>
    <n v="37.229999999999997"/>
    <n v="37.25"/>
    <x v="167"/>
    <n v="1730.1178"/>
    <n v="0.2"/>
    <n v="1730.3178"/>
    <n v="64419.731693999995"/>
    <n v="64454.338049999998"/>
  </r>
  <r>
    <x v="6"/>
    <n v="56.07"/>
    <n v="56.08"/>
    <x v="167"/>
    <n v="1148.8532"/>
    <n v="0.05"/>
    <n v="1148.9032"/>
    <n v="64419.002423999998"/>
    <n v="64430.491455999996"/>
  </r>
  <r>
    <x v="7"/>
    <n v="49.98"/>
    <n v="49.99"/>
    <x v="167"/>
    <n v="1288.9615000000001"/>
    <n v="0"/>
    <n v="1288.9615000000001"/>
    <n v="64422.295770000004"/>
    <n v="64435.185385000012"/>
  </r>
  <r>
    <x v="8"/>
    <n v="18.21"/>
    <n v="18.22"/>
    <x v="167"/>
    <n v="3535.8029000000001"/>
    <n v="0"/>
    <n v="3535.8029000000001"/>
    <n v="64386.970809000006"/>
    <n v="64422.328838000001"/>
  </r>
  <r>
    <x v="9"/>
    <n v="36.479999999999997"/>
    <n v="36.49"/>
    <x v="167"/>
    <n v="1765.0592999999999"/>
    <n v="0.2"/>
    <n v="1765.2592999999999"/>
    <n v="64396.659263999994"/>
    <n v="64414.311857000001"/>
  </r>
  <r>
    <x v="0"/>
    <n v="21.4"/>
    <n v="21.41"/>
    <x v="168"/>
    <n v="3014.9488000000001"/>
    <n v="0"/>
    <n v="3014.9488000000001"/>
    <n v="64519.904320000001"/>
    <n v="64550.053808000004"/>
  </r>
  <r>
    <x v="1"/>
    <n v="35.03"/>
    <n v="35.04"/>
    <x v="168"/>
    <n v="1842.1205"/>
    <n v="-0.1"/>
    <n v="1842.0205000000001"/>
    <n v="64525.978115000005"/>
    <n v="64544.39832"/>
  </r>
  <r>
    <x v="2"/>
    <n v="18.190000000000001"/>
    <n v="18.2"/>
    <x v="168"/>
    <n v="3546.5864999999999"/>
    <n v="0"/>
    <n v="3546.5864999999999"/>
    <n v="64512.408435000005"/>
    <n v="64547.874299999996"/>
  </r>
  <r>
    <x v="3"/>
    <n v="28.54"/>
    <n v="28.55"/>
    <x v="168"/>
    <n v="2261.3416000000002"/>
    <n v="-0.2"/>
    <n v="2261.1416000000004"/>
    <n v="64532.981264000009"/>
    <n v="64555.592680000009"/>
  </r>
  <r>
    <x v="4"/>
    <n v="68.209999999999994"/>
    <n v="68.319999999999993"/>
    <x v="168"/>
    <n v="946.13639999999998"/>
    <n v="0"/>
    <n v="946.13639999999998"/>
    <n v="64535.963843999991"/>
    <n v="64640.038847999989"/>
  </r>
  <r>
    <x v="5"/>
    <n v="37.299999999999997"/>
    <n v="37.32"/>
    <x v="168"/>
    <n v="1730.1178"/>
    <n v="0.2"/>
    <n v="1730.3178"/>
    <n v="64540.853939999994"/>
    <n v="64575.460296000005"/>
  </r>
  <r>
    <x v="6"/>
    <n v="56.17"/>
    <n v="56.18"/>
    <x v="168"/>
    <n v="1148.8532"/>
    <n v="0.05"/>
    <n v="1148.9032"/>
    <n v="64533.892743999997"/>
    <n v="64545.381775999995"/>
  </r>
  <r>
    <x v="7"/>
    <n v="50.07"/>
    <n v="50.08"/>
    <x v="168"/>
    <n v="1288.9615000000001"/>
    <n v="0"/>
    <n v="1288.9615000000001"/>
    <n v="64538.302305000005"/>
    <n v="64551.191920000005"/>
  </r>
  <r>
    <x v="8"/>
    <n v="18.25"/>
    <n v="18.260000000000002"/>
    <x v="168"/>
    <n v="3535.8029000000001"/>
    <n v="0"/>
    <n v="3535.8029000000001"/>
    <n v="64528.402925000002"/>
    <n v="64563.760954000005"/>
  </r>
  <r>
    <x v="9"/>
    <n v="36.549999999999997"/>
    <n v="36.56"/>
    <x v="168"/>
    <n v="1765.0592999999999"/>
    <n v="0.2"/>
    <n v="1765.2592999999999"/>
    <n v="64520.227414999994"/>
    <n v="64537.880008"/>
  </r>
  <r>
    <x v="0"/>
    <n v="21.44"/>
    <n v="21.45"/>
    <x v="169"/>
    <n v="3014.9488000000001"/>
    <n v="0"/>
    <n v="3014.9488000000001"/>
    <n v="64640.502272000005"/>
    <n v="64670.651760000001"/>
  </r>
  <r>
    <x v="1"/>
    <n v="35.090000000000003"/>
    <n v="35.1"/>
    <x v="169"/>
    <n v="1842.1205"/>
    <n v="-0.1"/>
    <n v="1842.0205000000001"/>
    <n v="64636.499345000011"/>
    <n v="64654.919550000006"/>
  </r>
  <r>
    <x v="2"/>
    <n v="18.22"/>
    <n v="18.23"/>
    <x v="169"/>
    <n v="3546.5864999999999"/>
    <n v="0"/>
    <n v="3546.5864999999999"/>
    <n v="64618.806029999992"/>
    <n v="64654.271894999998"/>
  </r>
  <r>
    <x v="3"/>
    <n v="28.58"/>
    <n v="28.59"/>
    <x v="169"/>
    <n v="2261.3416000000002"/>
    <n v="-0.2"/>
    <n v="2261.1416000000004"/>
    <n v="64623.426928000008"/>
    <n v="64646.038344000008"/>
  </r>
  <r>
    <x v="4"/>
    <n v="68.28"/>
    <n v="68.37"/>
    <x v="169"/>
    <n v="946.13639999999998"/>
    <n v="0"/>
    <n v="946.13639999999998"/>
    <n v="64602.193392000001"/>
    <n v="64687.345668000002"/>
  </r>
  <r>
    <x v="5"/>
    <n v="37.340000000000003"/>
    <n v="37.369999999999997"/>
    <x v="169"/>
    <n v="1730.1178"/>
    <n v="0.2"/>
    <n v="1730.3178"/>
    <n v="64610.066652000009"/>
    <n v="64661.976186"/>
  </r>
  <r>
    <x v="6"/>
    <n v="56.25"/>
    <n v="56.26"/>
    <x v="169"/>
    <n v="1148.8532"/>
    <n v="0.05"/>
    <n v="1148.9032"/>
    <n v="64625.805"/>
    <n v="64637.294031999998"/>
  </r>
  <r>
    <x v="7"/>
    <n v="50.15"/>
    <n v="50.16"/>
    <x v="169"/>
    <n v="1288.9615000000001"/>
    <n v="0"/>
    <n v="1288.9615000000001"/>
    <n v="64641.419225000005"/>
    <n v="64654.308839999998"/>
  </r>
  <r>
    <x v="8"/>
    <n v="18.27"/>
    <n v="18.28"/>
    <x v="169"/>
    <n v="3535.8029000000001"/>
    <n v="0"/>
    <n v="3535.8029000000001"/>
    <n v="64599.118983"/>
    <n v="64634.477012000003"/>
  </r>
  <r>
    <x v="9"/>
    <n v="36.6"/>
    <n v="36.61"/>
    <x v="169"/>
    <n v="1765.0592999999999"/>
    <n v="0.2"/>
    <n v="1765.2592999999999"/>
    <n v="64608.490380000003"/>
    <n v="64626.142972999995"/>
  </r>
  <r>
    <x v="0"/>
    <n v="21.4"/>
    <n v="21.41"/>
    <x v="170"/>
    <n v="3014.9488000000001"/>
    <n v="0"/>
    <n v="3014.9488000000001"/>
    <n v="64519.904320000001"/>
    <n v="64550.053808000004"/>
  </r>
  <r>
    <x v="1"/>
    <n v="35.03"/>
    <n v="35.04"/>
    <x v="170"/>
    <n v="1842.1205"/>
    <n v="-0.1"/>
    <n v="1842.0205000000001"/>
    <n v="64525.978115000005"/>
    <n v="64544.39832"/>
  </r>
  <r>
    <x v="2"/>
    <n v="18.190000000000001"/>
    <n v="18.2"/>
    <x v="170"/>
    <n v="3546.5864999999999"/>
    <n v="0"/>
    <n v="3546.5864999999999"/>
    <n v="64512.408435000005"/>
    <n v="64547.874299999996"/>
  </r>
  <r>
    <x v="3"/>
    <n v="28.54"/>
    <n v="28.55"/>
    <x v="170"/>
    <n v="2261.3416000000002"/>
    <n v="-0.2"/>
    <n v="2261.1416000000004"/>
    <n v="64532.981264000009"/>
    <n v="64555.592680000009"/>
  </r>
  <r>
    <x v="4"/>
    <n v="68.180000000000007"/>
    <n v="68.28"/>
    <x v="170"/>
    <n v="946.13639999999998"/>
    <n v="0"/>
    <n v="946.13639999999998"/>
    <n v="64507.579752000005"/>
    <n v="64602.193392000001"/>
  </r>
  <r>
    <x v="5"/>
    <n v="37.299999999999997"/>
    <n v="37.32"/>
    <x v="170"/>
    <n v="1730.1178"/>
    <n v="0.2"/>
    <n v="1730.3178"/>
    <n v="64540.853939999994"/>
    <n v="64575.460296000005"/>
  </r>
  <r>
    <x v="6"/>
    <n v="56.17"/>
    <n v="56.18"/>
    <x v="170"/>
    <n v="1148.8532"/>
    <n v="0.05"/>
    <n v="1148.9032"/>
    <n v="64533.892743999997"/>
    <n v="64545.381775999995"/>
  </r>
  <r>
    <x v="7"/>
    <n v="50.07"/>
    <n v="50.08"/>
    <x v="170"/>
    <n v="1288.9615000000001"/>
    <n v="0"/>
    <n v="1288.9615000000001"/>
    <n v="64538.302305000005"/>
    <n v="64551.191920000005"/>
  </r>
  <r>
    <x v="8"/>
    <n v="18.25"/>
    <n v="18.260000000000002"/>
    <x v="170"/>
    <n v="3535.8029000000001"/>
    <n v="0"/>
    <n v="3535.8029000000001"/>
    <n v="64528.402925000002"/>
    <n v="64563.760954000005"/>
  </r>
  <r>
    <x v="9"/>
    <n v="36.549999999999997"/>
    <n v="36.56"/>
    <x v="170"/>
    <n v="1765.0592999999999"/>
    <n v="0.2"/>
    <n v="1765.2592999999999"/>
    <n v="64520.227414999994"/>
    <n v="64537.880008"/>
  </r>
  <r>
    <x v="0"/>
    <n v="21.33"/>
    <n v="21.34"/>
    <x v="171"/>
    <n v="3014.9488000000001"/>
    <n v="0"/>
    <n v="3014.9488000000001"/>
    <n v="64308.857903999997"/>
    <n v="64339.007392"/>
  </r>
  <r>
    <x v="1"/>
    <n v="34.92"/>
    <n v="34.93"/>
    <x v="171"/>
    <n v="1842.1205"/>
    <n v="-0.1"/>
    <n v="1842.0205000000001"/>
    <n v="64323.355860000003"/>
    <n v="64341.776065000005"/>
  </r>
  <r>
    <x v="2"/>
    <n v="18.13"/>
    <n v="18.14"/>
    <x v="171"/>
    <n v="3546.5864999999999"/>
    <n v="0"/>
    <n v="3546.5864999999999"/>
    <n v="64299.613244999993"/>
    <n v="64335.079109999999"/>
  </r>
  <r>
    <x v="3"/>
    <n v="28.44"/>
    <n v="28.45"/>
    <x v="171"/>
    <n v="2261.3416000000002"/>
    <n v="-0.2"/>
    <n v="2261.1416000000004"/>
    <n v="64306.867104000012"/>
    <n v="64329.478520000011"/>
  </r>
  <r>
    <x v="4"/>
    <n v="67.930000000000007"/>
    <n v="68.069999999999993"/>
    <x v="171"/>
    <n v="946.13639999999998"/>
    <n v="0"/>
    <n v="946.13639999999998"/>
    <n v="64271.045652000008"/>
    <n v="64403.504747999992"/>
  </r>
  <r>
    <x v="5"/>
    <n v="37.159999999999997"/>
    <n v="37.19"/>
    <x v="171"/>
    <n v="1730.1178"/>
    <n v="0.2"/>
    <n v="1730.3178"/>
    <n v="64298.609447999996"/>
    <n v="64350.518981999994"/>
  </r>
  <r>
    <x v="6"/>
    <n v="55.98"/>
    <n v="55.99"/>
    <x v="171"/>
    <n v="1148.8532"/>
    <n v="0.05"/>
    <n v="1148.9032"/>
    <n v="64315.601135999997"/>
    <n v="64327.090168000002"/>
  </r>
  <r>
    <x v="7"/>
    <n v="49.9"/>
    <n v="49.91"/>
    <x v="171"/>
    <n v="1288.9615000000001"/>
    <n v="0"/>
    <n v="1288.9615000000001"/>
    <n v="64319.178850000004"/>
    <n v="64332.068465000004"/>
  </r>
  <r>
    <x v="8"/>
    <n v="18.190000000000001"/>
    <n v="18.2"/>
    <x v="171"/>
    <n v="3535.8029000000001"/>
    <n v="0"/>
    <n v="3535.8029000000001"/>
    <n v="64316.254751000008"/>
    <n v="64351.612780000003"/>
  </r>
  <r>
    <x v="9"/>
    <n v="36.43"/>
    <n v="36.44"/>
    <x v="171"/>
    <n v="1765.0592999999999"/>
    <n v="0.2"/>
    <n v="1765.2592999999999"/>
    <n v="64308.396299"/>
    <n v="64326.048891999992"/>
  </r>
  <r>
    <x v="0"/>
    <n v="21.31"/>
    <n v="21.32"/>
    <x v="172"/>
    <n v="3014.9488000000001"/>
    <n v="0"/>
    <n v="3014.9488000000001"/>
    <n v="64248.558927999999"/>
    <n v="64278.708416000001"/>
  </r>
  <r>
    <x v="1"/>
    <n v="34.89"/>
    <n v="34.9"/>
    <x v="172"/>
    <n v="1842.1205"/>
    <n v="-0.1"/>
    <n v="1842.0205000000001"/>
    <n v="64268.095245000004"/>
    <n v="64286.515449999999"/>
  </r>
  <r>
    <x v="2"/>
    <n v="18.12"/>
    <n v="18.13"/>
    <x v="172"/>
    <n v="3546.5864999999999"/>
    <n v="0"/>
    <n v="3546.5864999999999"/>
    <n v="64264.147380000002"/>
    <n v="64299.613244999993"/>
  </r>
  <r>
    <x v="3"/>
    <n v="28.42"/>
    <n v="28.43"/>
    <x v="172"/>
    <n v="2261.3416000000002"/>
    <n v="-0.2"/>
    <n v="2261.1416000000004"/>
    <n v="64261.644272000012"/>
    <n v="64284.255688000012"/>
  </r>
  <r>
    <x v="4"/>
    <n v="67.900000000000006"/>
    <n v="68"/>
    <x v="172"/>
    <n v="946.13639999999998"/>
    <n v="0"/>
    <n v="946.13639999999998"/>
    <n v="64242.66156"/>
    <n v="64337.275199999996"/>
  </r>
  <r>
    <x v="5"/>
    <n v="37.14"/>
    <n v="37.17"/>
    <x v="172"/>
    <n v="1730.1178"/>
    <n v="0.2"/>
    <n v="1730.3178"/>
    <n v="64264.003091999999"/>
    <n v="64315.912626000005"/>
  </r>
  <r>
    <x v="6"/>
    <n v="55.94"/>
    <n v="55.95"/>
    <x v="172"/>
    <n v="1148.8532"/>
    <n v="0.05"/>
    <n v="1148.9032"/>
    <n v="64269.645007999992"/>
    <n v="64281.134040000004"/>
  </r>
  <r>
    <x v="7"/>
    <n v="49.86"/>
    <n v="49.88"/>
    <x v="172"/>
    <n v="1288.9615000000001"/>
    <n v="0"/>
    <n v="1288.9615000000001"/>
    <n v="64267.620390000004"/>
    <n v="64293.399620000011"/>
  </r>
  <r>
    <x v="8"/>
    <n v="18.170000000000002"/>
    <n v="18.18"/>
    <x v="172"/>
    <n v="3535.8029000000001"/>
    <n v="0"/>
    <n v="3535.8029000000001"/>
    <n v="64245.53869300001"/>
    <n v="64280.896722000005"/>
  </r>
  <r>
    <x v="9"/>
    <n v="36.4"/>
    <n v="36.409999999999997"/>
    <x v="172"/>
    <n v="1765.0592999999999"/>
    <n v="0.2"/>
    <n v="1765.2592999999999"/>
    <n v="64255.438519999996"/>
    <n v="64273.091112999995"/>
  </r>
  <r>
    <x v="0"/>
    <n v="21.31"/>
    <n v="21.32"/>
    <x v="173"/>
    <n v="3014.9488000000001"/>
    <n v="0"/>
    <n v="3014.9488000000001"/>
    <n v="64248.558927999999"/>
    <n v="64278.708416000001"/>
  </r>
  <r>
    <x v="1"/>
    <n v="34.9"/>
    <n v="34.909999999999997"/>
    <x v="173"/>
    <n v="1842.1205"/>
    <n v="-0.1"/>
    <n v="1842.0205000000001"/>
    <n v="64286.515449999999"/>
    <n v="64304.935654999994"/>
  </r>
  <r>
    <x v="2"/>
    <n v="18.12"/>
    <n v="18.13"/>
    <x v="173"/>
    <n v="3546.5864999999999"/>
    <n v="0"/>
    <n v="3546.5864999999999"/>
    <n v="64264.147380000002"/>
    <n v="64299.613244999993"/>
  </r>
  <r>
    <x v="3"/>
    <n v="28.43"/>
    <n v="28.44"/>
    <x v="173"/>
    <n v="2261.3416000000002"/>
    <n v="-0.2"/>
    <n v="2261.1416000000004"/>
    <n v="64284.255688000012"/>
    <n v="64306.867104000012"/>
  </r>
  <r>
    <x v="4"/>
    <n v="67.900000000000006"/>
    <n v="68.03"/>
    <x v="173"/>
    <n v="946.13639999999998"/>
    <n v="0"/>
    <n v="946.13639999999998"/>
    <n v="64242.66156"/>
    <n v="64365.659291999997"/>
  </r>
  <r>
    <x v="5"/>
    <n v="37.14"/>
    <n v="37.17"/>
    <x v="173"/>
    <n v="1730.1178"/>
    <n v="0.2"/>
    <n v="1730.3178"/>
    <n v="64264.003091999999"/>
    <n v="64315.912626000005"/>
  </r>
  <r>
    <x v="6"/>
    <n v="55.95"/>
    <n v="55.96"/>
    <x v="173"/>
    <n v="1148.8532"/>
    <n v="0.05"/>
    <n v="1148.9032"/>
    <n v="64281.134040000004"/>
    <n v="64292.623072000002"/>
  </r>
  <r>
    <x v="7"/>
    <n v="49.87"/>
    <n v="49.88"/>
    <x v="173"/>
    <n v="1288.9615000000001"/>
    <n v="0"/>
    <n v="1288.9615000000001"/>
    <n v="64280.510005000004"/>
    <n v="64293.399620000011"/>
  </r>
  <r>
    <x v="8"/>
    <n v="18.170000000000002"/>
    <n v="18.18"/>
    <x v="173"/>
    <n v="3535.8029000000001"/>
    <n v="0"/>
    <n v="3535.8029000000001"/>
    <n v="64245.53869300001"/>
    <n v="64280.896722000005"/>
  </r>
  <r>
    <x v="9"/>
    <n v="36.4"/>
    <n v="36.409999999999997"/>
    <x v="173"/>
    <n v="1765.0592999999999"/>
    <n v="0.2"/>
    <n v="1765.2592999999999"/>
    <n v="64255.438519999996"/>
    <n v="64273.091112999995"/>
  </r>
  <r>
    <x v="0"/>
    <n v="21.31"/>
    <n v="21.32"/>
    <x v="174"/>
    <n v="3014.9488000000001"/>
    <n v="0"/>
    <n v="3014.9488000000001"/>
    <n v="64248.558927999999"/>
    <n v="64278.708416000001"/>
  </r>
  <r>
    <x v="1"/>
    <n v="34.89"/>
    <n v="34.9"/>
    <x v="174"/>
    <n v="1842.1205"/>
    <n v="-0.1"/>
    <n v="1842.0205000000001"/>
    <n v="64268.095245000004"/>
    <n v="64286.515449999999"/>
  </r>
  <r>
    <x v="2"/>
    <n v="18.12"/>
    <n v="18.13"/>
    <x v="174"/>
    <n v="3546.5864999999999"/>
    <n v="0"/>
    <n v="3546.5864999999999"/>
    <n v="64264.147380000002"/>
    <n v="64299.613244999993"/>
  </r>
  <r>
    <x v="3"/>
    <n v="28.42"/>
    <n v="28.43"/>
    <x v="174"/>
    <n v="2261.3416000000002"/>
    <n v="-0.2"/>
    <n v="2261.1416000000004"/>
    <n v="64261.644272000012"/>
    <n v="64284.255688000012"/>
  </r>
  <r>
    <x v="4"/>
    <n v="67.89"/>
    <n v="68"/>
    <x v="174"/>
    <n v="946.13639999999998"/>
    <n v="0"/>
    <n v="946.13639999999998"/>
    <n v="64233.200195999998"/>
    <n v="64337.275199999996"/>
  </r>
  <r>
    <x v="5"/>
    <n v="37.14"/>
    <n v="37.159999999999997"/>
    <x v="174"/>
    <n v="1730.1178"/>
    <n v="0.2"/>
    <n v="1730.3178"/>
    <n v="64264.003091999999"/>
    <n v="64298.609447999996"/>
  </r>
  <r>
    <x v="6"/>
    <n v="55.93"/>
    <n v="55.94"/>
    <x v="174"/>
    <n v="1148.8532"/>
    <n v="0.05"/>
    <n v="1148.9032"/>
    <n v="64258.155975999995"/>
    <n v="64269.645007999992"/>
  </r>
  <r>
    <x v="7"/>
    <n v="49.86"/>
    <n v="49.87"/>
    <x v="174"/>
    <n v="1288.9615000000001"/>
    <n v="0"/>
    <n v="1288.9615000000001"/>
    <n v="64267.620390000004"/>
    <n v="64280.510005000004"/>
  </r>
  <r>
    <x v="8"/>
    <n v="18.170000000000002"/>
    <n v="18.18"/>
    <x v="174"/>
    <n v="3535.8029000000001"/>
    <n v="0"/>
    <n v="3535.8029000000001"/>
    <n v="64245.53869300001"/>
    <n v="64280.896722000005"/>
  </r>
  <r>
    <x v="9"/>
    <n v="36.4"/>
    <n v="36.409999999999997"/>
    <x v="174"/>
    <n v="1765.0592999999999"/>
    <n v="0.2"/>
    <n v="1765.2592999999999"/>
    <n v="64255.438519999996"/>
    <n v="64273.091112999995"/>
  </r>
  <r>
    <x v="0"/>
    <n v="21.31"/>
    <n v="21.32"/>
    <x v="175"/>
    <n v="3014.9488000000001"/>
    <n v="0"/>
    <n v="3014.9488000000001"/>
    <n v="64248.558927999999"/>
    <n v="64278.708416000001"/>
  </r>
  <r>
    <x v="1"/>
    <n v="34.89"/>
    <n v="34.9"/>
    <x v="175"/>
    <n v="1842.1205"/>
    <n v="-0.1"/>
    <n v="1842.0205000000001"/>
    <n v="64268.095245000004"/>
    <n v="64286.515449999999"/>
  </r>
  <r>
    <x v="2"/>
    <n v="18.12"/>
    <n v="18.13"/>
    <x v="175"/>
    <n v="3546.5864999999999"/>
    <n v="0"/>
    <n v="3546.5864999999999"/>
    <n v="64264.147380000002"/>
    <n v="64299.613244999993"/>
  </r>
  <r>
    <x v="3"/>
    <n v="28.42"/>
    <n v="28.43"/>
    <x v="175"/>
    <n v="2261.3416000000002"/>
    <n v="-0.2"/>
    <n v="2261.1416000000004"/>
    <n v="64261.644272000012"/>
    <n v="64284.255688000012"/>
  </r>
  <r>
    <x v="4"/>
    <n v="67.88"/>
    <n v="67.97"/>
    <x v="175"/>
    <n v="946.13639999999998"/>
    <n v="0"/>
    <n v="946.13639999999998"/>
    <n v="64223.738831999995"/>
    <n v="64308.891107999996"/>
  </r>
  <r>
    <x v="5"/>
    <n v="37.130000000000003"/>
    <n v="37.15"/>
    <x v="175"/>
    <n v="1730.1178"/>
    <n v="0.2"/>
    <n v="1730.3178"/>
    <n v="64246.699914000004"/>
    <n v="64281.306270000001"/>
  </r>
  <r>
    <x v="6"/>
    <n v="55.92"/>
    <n v="55.93"/>
    <x v="175"/>
    <n v="1148.8532"/>
    <n v="0.05"/>
    <n v="1148.9032"/>
    <n v="64246.666943999997"/>
    <n v="64258.155975999995"/>
  </r>
  <r>
    <x v="7"/>
    <n v="49.86"/>
    <n v="49.87"/>
    <x v="175"/>
    <n v="1288.9615000000001"/>
    <n v="0"/>
    <n v="1288.9615000000001"/>
    <n v="64267.620390000004"/>
    <n v="64280.510005000004"/>
  </r>
  <r>
    <x v="8"/>
    <n v="18.170000000000002"/>
    <n v="18.18"/>
    <x v="175"/>
    <n v="3535.8029000000001"/>
    <n v="0"/>
    <n v="3535.8029000000001"/>
    <n v="64245.53869300001"/>
    <n v="64280.896722000005"/>
  </r>
  <r>
    <x v="9"/>
    <n v="36.39"/>
    <n v="36.4"/>
    <x v="175"/>
    <n v="1765.0592999999999"/>
    <n v="0.2"/>
    <n v="1765.2592999999999"/>
    <n v="64237.785926999997"/>
    <n v="64255.438519999996"/>
  </r>
  <r>
    <x v="0"/>
    <n v="20.68"/>
    <n v="20.69"/>
    <x v="176"/>
    <n v="3014.9661000000001"/>
    <n v="0"/>
    <n v="3014.9661000000001"/>
    <n v="62349.498948"/>
    <n v="62379.648609000003"/>
  </r>
  <r>
    <x v="1"/>
    <n v="33.85"/>
    <n v="33.86"/>
    <x v="176"/>
    <n v="1842.1306"/>
    <n v="-0.1"/>
    <n v="1842.0306"/>
    <n v="62352.735810000006"/>
    <n v="62371.156115999998"/>
  </r>
  <r>
    <x v="2"/>
    <n v="17.579999999999998"/>
    <n v="17.59"/>
    <x v="176"/>
    <n v="3546.6107999999999"/>
    <n v="0"/>
    <n v="3546.6107999999999"/>
    <n v="62349.417863999995"/>
    <n v="62384.883971999996"/>
  </r>
  <r>
    <x v="3"/>
    <n v="27.58"/>
    <n v="27.58"/>
    <x v="176"/>
    <n v="2261.3508999999999"/>
    <n v="-0.2"/>
    <n v="2261.1509000000001"/>
    <n v="62362.541821999999"/>
    <n v="62362.541821999999"/>
  </r>
  <r>
    <x v="4"/>
    <n v="65.83"/>
    <n v="65.95"/>
    <x v="176"/>
    <n v="946.14290000000005"/>
    <n v="0"/>
    <n v="946.14290000000005"/>
    <n v="62284.587106999999"/>
    <n v="62398.12425500001"/>
  </r>
  <r>
    <x v="5"/>
    <n v="36.03"/>
    <n v="36.04"/>
    <x v="176"/>
    <n v="1730.1268"/>
    <n v="0.2"/>
    <n v="1730.3268"/>
    <n v="62343.674604000007"/>
    <n v="62360.977872000003"/>
  </r>
  <r>
    <x v="6"/>
    <n v="54.27"/>
    <n v="54.28"/>
    <x v="176"/>
    <n v="1148.8611000000001"/>
    <n v="0.05"/>
    <n v="1148.9111"/>
    <n v="62351.405397000002"/>
    <n v="62362.894508000005"/>
  </r>
  <r>
    <x v="7"/>
    <n v="48.37"/>
    <n v="48.38"/>
    <x v="176"/>
    <n v="1289.0145"/>
    <n v="0"/>
    <n v="1289.0145"/>
    <n v="62349.631364999994"/>
    <n v="62362.521510000006"/>
  </r>
  <r>
    <x v="8"/>
    <n v="17.63"/>
    <n v="17.64"/>
    <x v="176"/>
    <n v="3535.8029000000001"/>
    <n v="0"/>
    <n v="3535.8029000000001"/>
    <n v="62336.205127000001"/>
    <n v="62371.563156000004"/>
  </r>
  <r>
    <x v="9"/>
    <n v="35.31"/>
    <n v="35.32"/>
    <x v="176"/>
    <n v="1765.0714"/>
    <n v="0.2"/>
    <n v="1765.2714000000001"/>
    <n v="62331.733134000009"/>
    <n v="62349.385848000005"/>
  </r>
  <r>
    <x v="0"/>
    <n v="20.7"/>
    <n v="20.71"/>
    <x v="177"/>
    <n v="3014.9661000000001"/>
    <n v="0"/>
    <n v="3014.9661000000001"/>
    <n v="62409.798269999999"/>
    <n v="62439.947931000002"/>
  </r>
  <r>
    <x v="1"/>
    <n v="33.89"/>
    <n v="33.9"/>
    <x v="177"/>
    <n v="1842.1306"/>
    <n v="-0.1"/>
    <n v="1842.0306"/>
    <n v="62426.417034000006"/>
    <n v="62444.837339999998"/>
  </r>
  <r>
    <x v="2"/>
    <n v="17.600000000000001"/>
    <n v="17.61"/>
    <x v="177"/>
    <n v="3546.6107999999999"/>
    <n v="0"/>
    <n v="3546.6107999999999"/>
    <n v="62420.350080000004"/>
    <n v="62455.816187999997"/>
  </r>
  <r>
    <x v="3"/>
    <n v="27.61"/>
    <n v="27.62"/>
    <x v="177"/>
    <n v="2261.3508999999999"/>
    <n v="-0.2"/>
    <n v="2261.1509000000001"/>
    <n v="62430.376348999998"/>
    <n v="62452.987858000008"/>
  </r>
  <r>
    <x v="4"/>
    <n v="65.95"/>
    <n v="66.06"/>
    <x v="177"/>
    <n v="946.14290000000005"/>
    <n v="0"/>
    <n v="946.14290000000005"/>
    <n v="62398.12425500001"/>
    <n v="62502.199974000003"/>
  </r>
  <r>
    <x v="5"/>
    <n v="36.06"/>
    <n v="36.090000000000003"/>
    <x v="177"/>
    <n v="1730.1268"/>
    <n v="0.2"/>
    <n v="1730.3268"/>
    <n v="62395.584408000002"/>
    <n v="62447.494212000005"/>
  </r>
  <r>
    <x v="6"/>
    <n v="54.33"/>
    <n v="54.34"/>
    <x v="177"/>
    <n v="1148.8611000000001"/>
    <n v="0.05"/>
    <n v="1148.9111"/>
    <n v="62420.340063000003"/>
    <n v="62431.829174000006"/>
  </r>
  <r>
    <x v="7"/>
    <n v="48.43"/>
    <n v="48.44"/>
    <x v="177"/>
    <n v="1289.0145"/>
    <n v="0"/>
    <n v="1289.0145"/>
    <n v="62426.972235000001"/>
    <n v="62439.862379999999"/>
  </r>
  <r>
    <x v="8"/>
    <n v="17.649999999999999"/>
    <n v="17.66"/>
    <x v="177"/>
    <n v="3535.8029000000001"/>
    <n v="0"/>
    <n v="3535.8029000000001"/>
    <n v="62406.921184999999"/>
    <n v="62442.279214000002"/>
  </r>
  <r>
    <x v="9"/>
    <n v="35.36"/>
    <n v="35.369999999999997"/>
    <x v="177"/>
    <n v="1765.0714"/>
    <n v="0.2"/>
    <n v="1765.2714000000001"/>
    <n v="62419.996704000005"/>
    <n v="62437.649418000001"/>
  </r>
  <r>
    <x v="0"/>
    <n v="20.73"/>
    <n v="20.74"/>
    <x v="178"/>
    <n v="3014.9661000000001"/>
    <n v="0"/>
    <n v="3014.9661000000001"/>
    <n v="62500.247253000001"/>
    <n v="62530.396913999997"/>
  </r>
  <r>
    <x v="1"/>
    <n v="33.94"/>
    <n v="33.950000000000003"/>
    <x v="178"/>
    <n v="1842.1306"/>
    <n v="-0.1"/>
    <n v="1842.0306"/>
    <n v="62518.518563999998"/>
    <n v="62536.938870000005"/>
  </r>
  <r>
    <x v="2"/>
    <n v="17.63"/>
    <n v="17.64"/>
    <x v="178"/>
    <n v="3546.6107999999999"/>
    <n v="0"/>
    <n v="3546.6107999999999"/>
    <n v="62526.748403999998"/>
    <n v="62562.214511999999"/>
  </r>
  <r>
    <x v="3"/>
    <n v="27.65"/>
    <n v="27.66"/>
    <x v="178"/>
    <n v="2261.3508999999999"/>
    <n v="-0.2"/>
    <n v="2261.1509000000001"/>
    <n v="62520.822384999999"/>
    <n v="62543.433894000002"/>
  </r>
  <r>
    <x v="4"/>
    <n v="66.03"/>
    <n v="66.150000000000006"/>
    <x v="178"/>
    <n v="946.14290000000005"/>
    <n v="0"/>
    <n v="946.14290000000005"/>
    <n v="62473.815687000002"/>
    <n v="62587.352835000012"/>
  </r>
  <r>
    <x v="5"/>
    <n v="36.119999999999997"/>
    <n v="36.14"/>
    <x v="178"/>
    <n v="1730.1268"/>
    <n v="0.2"/>
    <n v="1730.3268"/>
    <n v="62499.404016"/>
    <n v="62534.010552"/>
  </r>
  <r>
    <x v="6"/>
    <n v="54.42"/>
    <n v="54.43"/>
    <x v="178"/>
    <n v="1148.8611000000001"/>
    <n v="0.05"/>
    <n v="1148.9111"/>
    <n v="62523.742062000005"/>
    <n v="62535.231173"/>
  </r>
  <r>
    <x v="7"/>
    <n v="48.5"/>
    <n v="48.51"/>
    <x v="178"/>
    <n v="1289.0145"/>
    <n v="0"/>
    <n v="1289.0145"/>
    <n v="62517.203249999999"/>
    <n v="62530.093394999996"/>
  </r>
  <r>
    <x v="8"/>
    <n v="17.68"/>
    <n v="17.690000000000001"/>
    <x v="178"/>
    <n v="3535.8029000000001"/>
    <n v="0"/>
    <n v="3535.8029000000001"/>
    <n v="62512.995272"/>
    <n v="62548.35330100001"/>
  </r>
  <r>
    <x v="9"/>
    <n v="35.409999999999997"/>
    <n v="35.42"/>
    <x v="178"/>
    <n v="1765.0714"/>
    <n v="0.2"/>
    <n v="1765.2714000000001"/>
    <n v="62508.260274"/>
    <n v="62525.912988000004"/>
  </r>
  <r>
    <x v="0"/>
    <n v="20.78"/>
    <n v="20.78"/>
    <x v="179"/>
    <n v="3014.9661000000001"/>
    <n v="0"/>
    <n v="3014.9661000000001"/>
    <n v="62650.995558000002"/>
    <n v="62650.995558000002"/>
  </r>
  <r>
    <x v="1"/>
    <n v="34.01"/>
    <n v="34.020000000000003"/>
    <x v="179"/>
    <n v="1842.1306"/>
    <n v="-0.1"/>
    <n v="1842.0306"/>
    <n v="62647.460705999998"/>
    <n v="62665.881012000005"/>
  </r>
  <r>
    <x v="2"/>
    <n v="17.66"/>
    <n v="17.670000000000002"/>
    <x v="179"/>
    <n v="3546.6107999999999"/>
    <n v="0"/>
    <n v="3546.6107999999999"/>
    <n v="62633.146728"/>
    <n v="62668.612836000008"/>
  </r>
  <r>
    <x v="3"/>
    <n v="27.7"/>
    <n v="27.71"/>
    <x v="179"/>
    <n v="2261.3508999999999"/>
    <n v="-0.2"/>
    <n v="2261.1509000000001"/>
    <n v="62633.879930000003"/>
    <n v="62656.491439000005"/>
  </r>
  <r>
    <x v="4"/>
    <n v="66.150000000000006"/>
    <n v="66.260000000000005"/>
    <x v="179"/>
    <n v="946.14290000000005"/>
    <n v="0"/>
    <n v="946.14290000000005"/>
    <n v="62587.352835000012"/>
    <n v="62691.428554000006"/>
  </r>
  <r>
    <x v="5"/>
    <n v="36.19"/>
    <n v="36.21"/>
    <x v="179"/>
    <n v="1730.1268"/>
    <n v="0.2"/>
    <n v="1730.3268"/>
    <n v="62620.526891999994"/>
    <n v="62655.133428000001"/>
  </r>
  <r>
    <x v="6"/>
    <n v="54.52"/>
    <n v="54.53"/>
    <x v="179"/>
    <n v="1148.8611000000001"/>
    <n v="0.05"/>
    <n v="1148.9111"/>
    <n v="62638.633172000009"/>
    <n v="62650.122283000004"/>
  </r>
  <r>
    <x v="7"/>
    <n v="48.61"/>
    <n v="48.62"/>
    <x v="179"/>
    <n v="1289.0145"/>
    <n v="0"/>
    <n v="1289.0145"/>
    <n v="62658.994845000001"/>
    <n v="62671.884989999999"/>
  </r>
  <r>
    <x v="8"/>
    <n v="17.71"/>
    <n v="17.72"/>
    <x v="179"/>
    <n v="3535.8029000000001"/>
    <n v="0"/>
    <n v="3535.8029000000001"/>
    <n v="62619.069359000008"/>
    <n v="62654.427387999996"/>
  </r>
  <r>
    <x v="9"/>
    <n v="35.479999999999997"/>
    <n v="35.49"/>
    <x v="179"/>
    <n v="1765.0714"/>
    <n v="0.2"/>
    <n v="1765.2714000000001"/>
    <n v="62631.829271999995"/>
    <n v="62649.481986000006"/>
  </r>
  <r>
    <x v="0"/>
    <n v="20.72"/>
    <n v="20.73"/>
    <x v="180"/>
    <n v="3014.9661000000001"/>
    <n v="0"/>
    <n v="3014.9661000000001"/>
    <n v="62470.097591999998"/>
    <n v="62500.247253000001"/>
  </r>
  <r>
    <x v="1"/>
    <n v="33.909999999999997"/>
    <n v="33.92"/>
    <x v="180"/>
    <n v="1842.1306"/>
    <n v="-0.1"/>
    <n v="1842.0306"/>
    <n v="62463.257645999998"/>
    <n v="62481.677952000005"/>
  </r>
  <r>
    <x v="2"/>
    <n v="17.61"/>
    <n v="17.62"/>
    <x v="180"/>
    <n v="3546.6107999999999"/>
    <n v="0"/>
    <n v="3546.6107999999999"/>
    <n v="62455.816187999997"/>
    <n v="62491.282296000005"/>
  </r>
  <r>
    <x v="3"/>
    <n v="27.62"/>
    <n v="27.63"/>
    <x v="180"/>
    <n v="2261.3508999999999"/>
    <n v="-0.2"/>
    <n v="2261.1509000000001"/>
    <n v="62452.987858000008"/>
    <n v="62475.599367000003"/>
  </r>
  <r>
    <x v="4"/>
    <n v="65.97"/>
    <n v="66.08"/>
    <x v="180"/>
    <n v="946.14290000000005"/>
    <n v="0"/>
    <n v="946.14290000000005"/>
    <n v="62417.047113000001"/>
    <n v="62521.122832000001"/>
  </r>
  <r>
    <x v="5"/>
    <n v="36.08"/>
    <n v="36.11"/>
    <x v="180"/>
    <n v="1730.1268"/>
    <n v="0.2"/>
    <n v="1730.3268"/>
    <n v="62430.190944000002"/>
    <n v="62482.100748000004"/>
  </r>
  <r>
    <x v="6"/>
    <n v="54.36"/>
    <n v="54.37"/>
    <x v="180"/>
    <n v="1148.8611000000001"/>
    <n v="0.05"/>
    <n v="1148.9111"/>
    <n v="62454.807396000004"/>
    <n v="62466.296506999999"/>
  </r>
  <r>
    <x v="7"/>
    <n v="48.46"/>
    <n v="48.47"/>
    <x v="180"/>
    <n v="1289.0145"/>
    <n v="0"/>
    <n v="1289.0145"/>
    <n v="62465.642670000001"/>
    <n v="62478.532814999999"/>
  </r>
  <r>
    <x v="8"/>
    <n v="17.66"/>
    <n v="17.670000000000002"/>
    <x v="180"/>
    <n v="3535.8029000000001"/>
    <n v="0"/>
    <n v="3535.8029000000001"/>
    <n v="62442.279214000002"/>
    <n v="62477.637243000012"/>
  </r>
  <r>
    <x v="9"/>
    <n v="35.380000000000003"/>
    <n v="35.39"/>
    <x v="180"/>
    <n v="1765.0714"/>
    <n v="0.2"/>
    <n v="1765.2714000000001"/>
    <n v="62455.302132000004"/>
    <n v="62472.954846000001"/>
  </r>
  <r>
    <x v="0"/>
    <n v="20.67"/>
    <n v="20.68"/>
    <x v="181"/>
    <n v="3014.9661000000001"/>
    <n v="0"/>
    <n v="3014.9661000000001"/>
    <n v="62319.349287000005"/>
    <n v="62349.498948"/>
  </r>
  <r>
    <x v="1"/>
    <n v="33.840000000000003"/>
    <n v="33.840000000000003"/>
    <x v="181"/>
    <n v="1842.1306"/>
    <n v="-0.1"/>
    <n v="1842.0306"/>
    <n v="62334.315504000006"/>
    <n v="62334.315504000006"/>
  </r>
  <r>
    <x v="2"/>
    <n v="17.57"/>
    <n v="17.579999999999998"/>
    <x v="181"/>
    <n v="3546.6107999999999"/>
    <n v="0"/>
    <n v="3546.6107999999999"/>
    <n v="62313.951756000002"/>
    <n v="62349.417863999995"/>
  </r>
  <r>
    <x v="3"/>
    <n v="27.56"/>
    <n v="27.57"/>
    <x v="181"/>
    <n v="2261.3508999999999"/>
    <n v="-0.2"/>
    <n v="2261.1509000000001"/>
    <n v="62317.318804000002"/>
    <n v="62339.930313000004"/>
  </r>
  <r>
    <x v="4"/>
    <n v="65.77"/>
    <n v="65.88"/>
    <x v="181"/>
    <n v="946.14290000000005"/>
    <n v="0"/>
    <n v="946.14290000000005"/>
    <n v="62227.818532999998"/>
    <n v="62331.894251999998"/>
  </r>
  <r>
    <x v="5"/>
    <n v="36"/>
    <n v="36.03"/>
    <x v="181"/>
    <n v="1730.1268"/>
    <n v="0.2"/>
    <n v="1730.3268"/>
    <n v="62291.764800000004"/>
    <n v="62343.674604000007"/>
  </r>
  <r>
    <x v="6"/>
    <n v="54.24"/>
    <n v="54.25"/>
    <x v="181"/>
    <n v="1148.8611000000001"/>
    <n v="0.05"/>
    <n v="1148.9111"/>
    <n v="62316.938064000002"/>
    <n v="62328.427175000004"/>
  </r>
  <r>
    <x v="7"/>
    <n v="48.35"/>
    <n v="48.36"/>
    <x v="181"/>
    <n v="1289.0145"/>
    <n v="0"/>
    <n v="1289.0145"/>
    <n v="62323.851074999999"/>
    <n v="62336.741219999996"/>
  </r>
  <r>
    <x v="8"/>
    <n v="17.62"/>
    <n v="17.63"/>
    <x v="181"/>
    <n v="3535.8029000000001"/>
    <n v="0"/>
    <n v="3535.8029000000001"/>
    <n v="62300.847098000006"/>
    <n v="62336.205127000001"/>
  </r>
  <r>
    <x v="9"/>
    <n v="35.299999999999997"/>
    <n v="35.31"/>
    <x v="181"/>
    <n v="1765.0714"/>
    <n v="0.2"/>
    <n v="1765.2714000000001"/>
    <n v="62314.080419999998"/>
    <n v="62331.733134000009"/>
  </r>
  <r>
    <x v="0"/>
    <n v="20.62"/>
    <n v="20.63"/>
    <x v="182"/>
    <n v="3014.9661000000001"/>
    <n v="0"/>
    <n v="3014.9661000000001"/>
    <n v="62168.600982000004"/>
    <n v="62198.750642999999"/>
  </r>
  <r>
    <x v="1"/>
    <n v="33.76"/>
    <n v="33.770000000000003"/>
    <x v="182"/>
    <n v="1842.1306"/>
    <n v="-0.1"/>
    <n v="1842.0306"/>
    <n v="62186.953055999998"/>
    <n v="62205.373362000006"/>
  </r>
  <r>
    <x v="2"/>
    <n v="17.53"/>
    <n v="17.54"/>
    <x v="182"/>
    <n v="3546.6107999999999"/>
    <n v="0"/>
    <n v="3546.6107999999999"/>
    <n v="62172.087324"/>
    <n v="62207.553431999993"/>
  </r>
  <r>
    <x v="3"/>
    <n v="27.5"/>
    <n v="27.51"/>
    <x v="182"/>
    <n v="2261.3508999999999"/>
    <n v="-0.2"/>
    <n v="2261.1509000000001"/>
    <n v="62181.649750000004"/>
    <n v="62204.261259000006"/>
  </r>
  <r>
    <x v="4"/>
    <n v="65.69"/>
    <n v="65.78"/>
    <x v="182"/>
    <n v="946.14290000000005"/>
    <n v="0"/>
    <n v="946.14290000000005"/>
    <n v="62152.127100999998"/>
    <n v="62237.279962000008"/>
  </r>
  <r>
    <x v="5"/>
    <n v="35.92"/>
    <n v="35.950000000000003"/>
    <x v="182"/>
    <n v="1730.1268"/>
    <n v="0.2"/>
    <n v="1730.3268"/>
    <n v="62153.338656000007"/>
    <n v="62205.24846000001"/>
  </r>
  <r>
    <x v="6"/>
    <n v="54.12"/>
    <n v="54.13"/>
    <x v="182"/>
    <n v="1148.8611000000001"/>
    <n v="0.05"/>
    <n v="1148.9111"/>
    <n v="62179.068732"/>
    <n v="62190.557843000002"/>
  </r>
  <r>
    <x v="7"/>
    <n v="48.24"/>
    <n v="48.25"/>
    <x v="182"/>
    <n v="1289.0145"/>
    <n v="0"/>
    <n v="1289.0145"/>
    <n v="62182.059480000004"/>
    <n v="62194.949625000001"/>
  </r>
  <r>
    <x v="8"/>
    <n v="17.579999999999998"/>
    <n v="17.59"/>
    <x v="182"/>
    <n v="3535.8029000000001"/>
    <n v="0"/>
    <n v="3535.8029000000001"/>
    <n v="62159.414981999995"/>
    <n v="62194.773011000005"/>
  </r>
  <r>
    <x v="9"/>
    <n v="35.22"/>
    <n v="35.229999999999997"/>
    <x v="182"/>
    <n v="1765.0714"/>
    <n v="0.2"/>
    <n v="1765.2714000000001"/>
    <n v="62172.858708"/>
    <n v="62190.511421999996"/>
  </r>
  <r>
    <x v="0"/>
    <n v="20.66"/>
    <n v="20.67"/>
    <x v="183"/>
    <n v="3014.9661000000001"/>
    <n v="0"/>
    <n v="3014.9661000000001"/>
    <n v="62289.199626000001"/>
    <n v="62319.349287000005"/>
  </r>
  <r>
    <x v="1"/>
    <n v="33.82"/>
    <n v="33.83"/>
    <x v="183"/>
    <n v="1842.1306"/>
    <n v="-0.1"/>
    <n v="1842.0306"/>
    <n v="62297.474892000006"/>
    <n v="62315.895197999998"/>
  </r>
  <r>
    <x v="2"/>
    <n v="17.559999999999999"/>
    <n v="17.57"/>
    <x v="183"/>
    <n v="3546.6107999999999"/>
    <n v="0"/>
    <n v="3546.6107999999999"/>
    <n v="62278.485647999994"/>
    <n v="62313.951756000002"/>
  </r>
  <r>
    <x v="3"/>
    <n v="27.55"/>
    <n v="27.56"/>
    <x v="183"/>
    <n v="2261.3508999999999"/>
    <n v="-0.2"/>
    <n v="2261.1509000000001"/>
    <n v="62294.707295000007"/>
    <n v="62317.318804000002"/>
  </r>
  <r>
    <x v="4"/>
    <n v="65.81"/>
    <n v="65.91"/>
    <x v="183"/>
    <n v="946.14290000000005"/>
    <n v="0"/>
    <n v="946.14290000000005"/>
    <n v="62265.664249000009"/>
    <n v="62360.278538999999"/>
  </r>
  <r>
    <x v="5"/>
    <n v="35.99"/>
    <n v="36.020000000000003"/>
    <x v="183"/>
    <n v="1730.1268"/>
    <n v="0.2"/>
    <n v="1730.3268"/>
    <n v="62274.461532000008"/>
    <n v="62326.371336000004"/>
  </r>
  <r>
    <x v="6"/>
    <n v="54.22"/>
    <n v="54.23"/>
    <x v="183"/>
    <n v="1148.8611000000001"/>
    <n v="0.05"/>
    <n v="1148.9111"/>
    <n v="62293.959842000004"/>
    <n v="62305.448952999999"/>
  </r>
  <r>
    <x v="7"/>
    <n v="48.33"/>
    <n v="48.34"/>
    <x v="183"/>
    <n v="1289.0145"/>
    <n v="0"/>
    <n v="1289.0145"/>
    <n v="62298.070784999996"/>
    <n v="62310.960930000001"/>
  </r>
  <r>
    <x v="8"/>
    <n v="17.62"/>
    <n v="17.63"/>
    <x v="183"/>
    <n v="3535.8029000000001"/>
    <n v="0"/>
    <n v="3535.8029000000001"/>
    <n v="62300.847098000006"/>
    <n v="62336.205127000001"/>
  </r>
  <r>
    <x v="9"/>
    <n v="35.28"/>
    <n v="35.29"/>
    <x v="183"/>
    <n v="1765.0714"/>
    <n v="0.2"/>
    <n v="1765.2714000000001"/>
    <n v="62278.774992000006"/>
    <n v="62296.427706000002"/>
  </r>
  <r>
    <x v="0"/>
    <n v="20.64"/>
    <n v="20.65"/>
    <x v="184"/>
    <n v="3014.9661000000001"/>
    <n v="0"/>
    <n v="3014.9661000000001"/>
    <n v="62228.900304000003"/>
    <n v="62259.049964999998"/>
  </r>
  <r>
    <x v="1"/>
    <n v="33.79"/>
    <n v="33.799999999999997"/>
    <x v="184"/>
    <n v="1842.1306"/>
    <n v="-0.1"/>
    <n v="1842.0306"/>
    <n v="62242.213973999998"/>
    <n v="62260.634279999998"/>
  </r>
  <r>
    <x v="2"/>
    <n v="17.55"/>
    <n v="17.55"/>
    <x v="184"/>
    <n v="3546.6107999999999"/>
    <n v="0"/>
    <n v="3546.6107999999999"/>
    <n v="62243.019540000001"/>
    <n v="62243.019540000001"/>
  </r>
  <r>
    <x v="3"/>
    <n v="27.52"/>
    <n v="27.53"/>
    <x v="184"/>
    <n v="2261.3508999999999"/>
    <n v="-0.2"/>
    <n v="2261.1509000000001"/>
    <n v="62226.872768000001"/>
    <n v="62249.484277000003"/>
  </r>
  <r>
    <x v="4"/>
    <n v="65.680000000000007"/>
    <n v="65.81"/>
    <x v="184"/>
    <n v="946.14290000000005"/>
    <n v="0"/>
    <n v="946.14290000000005"/>
    <n v="62142.66567200001"/>
    <n v="62265.664249000009"/>
  </r>
  <r>
    <x v="5"/>
    <n v="35.950000000000003"/>
    <n v="35.979999999999997"/>
    <x v="184"/>
    <n v="1730.1268"/>
    <n v="0.2"/>
    <n v="1730.3268"/>
    <n v="62205.24846000001"/>
    <n v="62257.158263999998"/>
  </r>
  <r>
    <x v="6"/>
    <n v="54.16"/>
    <n v="54.17"/>
    <x v="184"/>
    <n v="1148.8611000000001"/>
    <n v="0.05"/>
    <n v="1148.9111"/>
    <n v="62225.025175999996"/>
    <n v="62236.514287000005"/>
  </r>
  <r>
    <x v="7"/>
    <n v="48.28"/>
    <n v="48.29"/>
    <x v="184"/>
    <n v="1289.0145"/>
    <n v="0"/>
    <n v="1289.0145"/>
    <n v="62233.620060000001"/>
    <n v="62246.510204999999"/>
  </r>
  <r>
    <x v="8"/>
    <n v="17.600000000000001"/>
    <n v="17.61"/>
    <x v="184"/>
    <n v="3535.8029000000001"/>
    <n v="0"/>
    <n v="3535.8029000000001"/>
    <n v="62230.131040000007"/>
    <n v="62265.489069000003"/>
  </r>
  <r>
    <x v="9"/>
    <n v="35.25"/>
    <n v="35.26"/>
    <x v="184"/>
    <n v="1765.0714"/>
    <n v="0.2"/>
    <n v="1765.2714000000001"/>
    <n v="62225.816850000003"/>
    <n v="62243.469563999999"/>
  </r>
  <r>
    <x v="0"/>
    <n v="20.77"/>
    <n v="20.78"/>
    <x v="185"/>
    <n v="3014.9661000000001"/>
    <n v="0"/>
    <n v="3014.9661000000001"/>
    <n v="62620.845896999999"/>
    <n v="62650.995558000002"/>
  </r>
  <r>
    <x v="1"/>
    <n v="34"/>
    <n v="34.01"/>
    <x v="185"/>
    <n v="1842.1306"/>
    <n v="-0.1"/>
    <n v="1842.0306"/>
    <n v="62629.040399999998"/>
    <n v="62647.460705999998"/>
  </r>
  <r>
    <x v="2"/>
    <n v="17.66"/>
    <n v="17.66"/>
    <x v="185"/>
    <n v="3546.6107999999999"/>
    <n v="0"/>
    <n v="3546.6107999999999"/>
    <n v="62633.146728"/>
    <n v="62633.146728"/>
  </r>
  <r>
    <x v="3"/>
    <n v="27.69"/>
    <n v="27.7"/>
    <x v="185"/>
    <n v="2261.3508999999999"/>
    <n v="-0.2"/>
    <n v="2261.1509000000001"/>
    <n v="62611.268421000008"/>
    <n v="62633.879930000003"/>
  </r>
  <r>
    <x v="4"/>
    <n v="66.14"/>
    <n v="66.239999999999995"/>
    <x v="185"/>
    <n v="946.14290000000005"/>
    <n v="0"/>
    <n v="946.14290000000005"/>
    <n v="62577.891406000002"/>
    <n v="62672.505696"/>
  </r>
  <r>
    <x v="5"/>
    <n v="36.159999999999997"/>
    <n v="36.200000000000003"/>
    <x v="185"/>
    <n v="1730.1268"/>
    <n v="0.2"/>
    <n v="1730.3268"/>
    <n v="62568.617087999999"/>
    <n v="62637.830160000005"/>
  </r>
  <r>
    <x v="6"/>
    <n v="54.49"/>
    <n v="54.5"/>
    <x v="185"/>
    <n v="1148.8611000000001"/>
    <n v="0.05"/>
    <n v="1148.9111"/>
    <n v="62604.165839000001"/>
    <n v="62615.654950000004"/>
  </r>
  <r>
    <x v="7"/>
    <n v="48.58"/>
    <n v="48.59"/>
    <x v="185"/>
    <n v="1289.0145"/>
    <n v="0"/>
    <n v="1289.0145"/>
    <n v="62620.324410000001"/>
    <n v="62633.214555000006"/>
  </r>
  <r>
    <x v="8"/>
    <n v="17.71"/>
    <n v="17.72"/>
    <x v="185"/>
    <n v="3535.8029000000001"/>
    <n v="0"/>
    <n v="3535.8029000000001"/>
    <n v="62619.069359000008"/>
    <n v="62654.427387999996"/>
  </r>
  <r>
    <x v="9"/>
    <n v="35.46"/>
    <n v="35.47"/>
    <x v="185"/>
    <n v="1765.0714"/>
    <n v="0.2"/>
    <n v="1765.2714000000001"/>
    <n v="62596.523844000003"/>
    <n v="62614.176557999999"/>
  </r>
  <r>
    <x v="0"/>
    <n v="20.73"/>
    <n v="20.74"/>
    <x v="186"/>
    <n v="3014.9661000000001"/>
    <n v="0"/>
    <n v="3014.9661000000001"/>
    <n v="62500.247253000001"/>
    <n v="62530.396913999997"/>
  </r>
  <r>
    <x v="1"/>
    <n v="33.93"/>
    <n v="33.94"/>
    <x v="186"/>
    <n v="1842.1306"/>
    <n v="-0.1"/>
    <n v="1842.0306"/>
    <n v="62500.098257999998"/>
    <n v="62518.518563999998"/>
  </r>
  <r>
    <x v="2"/>
    <n v="17.62"/>
    <n v="17.63"/>
    <x v="186"/>
    <n v="3546.6107999999999"/>
    <n v="0"/>
    <n v="3546.6107999999999"/>
    <n v="62491.282296000005"/>
    <n v="62526.748403999998"/>
  </r>
  <r>
    <x v="3"/>
    <n v="27.64"/>
    <n v="27.65"/>
    <x v="186"/>
    <n v="2261.3508999999999"/>
    <n v="-0.2"/>
    <n v="2261.1509000000001"/>
    <n v="62498.210876000005"/>
    <n v="62520.822384999999"/>
  </r>
  <r>
    <x v="4"/>
    <n v="66.010000000000005"/>
    <n v="66.14"/>
    <x v="186"/>
    <n v="946.14290000000005"/>
    <n v="0"/>
    <n v="946.14290000000005"/>
    <n v="62454.892829000011"/>
    <n v="62577.891406000002"/>
  </r>
  <r>
    <x v="5"/>
    <n v="36.1"/>
    <n v="36.130000000000003"/>
    <x v="186"/>
    <n v="1730.1268"/>
    <n v="0.2"/>
    <n v="1730.3268"/>
    <n v="62464.797480000001"/>
    <n v="62516.707284000004"/>
  </r>
  <r>
    <x v="6"/>
    <n v="54.39"/>
    <n v="54.4"/>
    <x v="186"/>
    <n v="1148.8611000000001"/>
    <n v="0.05"/>
    <n v="1148.9111"/>
    <n v="62489.274729000004"/>
    <n v="62500.76384"/>
  </r>
  <r>
    <x v="7"/>
    <n v="48.49"/>
    <n v="48.5"/>
    <x v="186"/>
    <n v="1289.0145"/>
    <n v="0"/>
    <n v="1289.0145"/>
    <n v="62504.313105000001"/>
    <n v="62517.203249999999"/>
  </r>
  <r>
    <x v="8"/>
    <n v="17.670000000000002"/>
    <n v="17.68"/>
    <x v="186"/>
    <n v="3535.8029000000001"/>
    <n v="0"/>
    <n v="3535.8029000000001"/>
    <n v="62477.637243000012"/>
    <n v="62512.995272"/>
  </r>
  <r>
    <x v="9"/>
    <n v="35.39"/>
    <n v="35.4"/>
    <x v="186"/>
    <n v="1765.0714"/>
    <n v="0.2"/>
    <n v="1765.2714000000001"/>
    <n v="62472.954846000001"/>
    <n v="62490.607560000004"/>
  </r>
  <r>
    <x v="0"/>
    <n v="20.73"/>
    <n v="20.74"/>
    <x v="187"/>
    <n v="3014.9661000000001"/>
    <n v="0"/>
    <n v="3014.9661000000001"/>
    <n v="62500.247253000001"/>
    <n v="62530.396913999997"/>
  </r>
  <r>
    <x v="1"/>
    <n v="33.94"/>
    <n v="33.950000000000003"/>
    <x v="187"/>
    <n v="1842.1306"/>
    <n v="-0.1"/>
    <n v="1842.0306"/>
    <n v="62518.518563999998"/>
    <n v="62536.938870000005"/>
  </r>
  <r>
    <x v="2"/>
    <n v="17.62"/>
    <n v="17.63"/>
    <x v="187"/>
    <n v="3546.6107999999999"/>
    <n v="0"/>
    <n v="3546.6107999999999"/>
    <n v="62491.282296000005"/>
    <n v="62526.748403999998"/>
  </r>
  <r>
    <x v="3"/>
    <n v="27.65"/>
    <n v="27.66"/>
    <x v="187"/>
    <n v="2261.3508999999999"/>
    <n v="-0.2"/>
    <n v="2261.1509000000001"/>
    <n v="62520.822384999999"/>
    <n v="62543.433894000002"/>
  </r>
  <r>
    <x v="4"/>
    <n v="66.040000000000006"/>
    <n v="66.16"/>
    <x v="187"/>
    <n v="946.14290000000005"/>
    <n v="0"/>
    <n v="946.14290000000005"/>
    <n v="62483.277116000012"/>
    <n v="62596.814264000001"/>
  </r>
  <r>
    <x v="5"/>
    <n v="36.11"/>
    <n v="36.14"/>
    <x v="187"/>
    <n v="1730.1268"/>
    <n v="0.2"/>
    <n v="1730.3268"/>
    <n v="62482.100748000004"/>
    <n v="62534.010552"/>
  </r>
  <r>
    <x v="6"/>
    <n v="54.41"/>
    <n v="54.42"/>
    <x v="187"/>
    <n v="1148.8611000000001"/>
    <n v="0.05"/>
    <n v="1148.9111"/>
    <n v="62512.252950999995"/>
    <n v="62523.742062000005"/>
  </r>
  <r>
    <x v="7"/>
    <n v="48.5"/>
    <n v="48.51"/>
    <x v="187"/>
    <n v="1289.0145"/>
    <n v="0"/>
    <n v="1289.0145"/>
    <n v="62517.203249999999"/>
    <n v="62530.093394999996"/>
  </r>
  <r>
    <x v="8"/>
    <n v="17.68"/>
    <n v="17.690000000000001"/>
    <x v="187"/>
    <n v="3535.8029000000001"/>
    <n v="0"/>
    <n v="3535.8029000000001"/>
    <n v="62512.995272"/>
    <n v="62548.35330100001"/>
  </r>
  <r>
    <x v="9"/>
    <n v="35.4"/>
    <n v="35.409999999999997"/>
    <x v="187"/>
    <n v="1765.0714"/>
    <n v="0.2"/>
    <n v="1765.2714000000001"/>
    <n v="62490.607560000004"/>
    <n v="62508.260274"/>
  </r>
  <r>
    <x v="0"/>
    <n v="20.71"/>
    <n v="20.72"/>
    <x v="188"/>
    <n v="3014.9661000000001"/>
    <n v="0"/>
    <n v="3014.9661000000001"/>
    <n v="62439.947931000002"/>
    <n v="62470.097591999998"/>
  </r>
  <r>
    <x v="1"/>
    <n v="33.9"/>
    <n v="33.909999999999997"/>
    <x v="188"/>
    <n v="1842.1306"/>
    <n v="-0.1"/>
    <n v="1842.0306"/>
    <n v="62444.837339999998"/>
    <n v="62463.257645999998"/>
  </r>
  <r>
    <x v="2"/>
    <n v="17.600000000000001"/>
    <n v="17.61"/>
    <x v="188"/>
    <n v="3546.6107999999999"/>
    <n v="0"/>
    <n v="3546.6107999999999"/>
    <n v="62420.350080000004"/>
    <n v="62455.816187999997"/>
  </r>
  <r>
    <x v="3"/>
    <n v="27.61"/>
    <n v="27.62"/>
    <x v="188"/>
    <n v="2261.3508999999999"/>
    <n v="-0.2"/>
    <n v="2261.1509000000001"/>
    <n v="62430.376348999998"/>
    <n v="62452.987858000008"/>
  </r>
  <r>
    <x v="4"/>
    <n v="65.95"/>
    <n v="66.05"/>
    <x v="188"/>
    <n v="946.14290000000005"/>
    <n v="0"/>
    <n v="946.14290000000005"/>
    <n v="62398.12425500001"/>
    <n v="62492.738545"/>
  </r>
  <r>
    <x v="5"/>
    <n v="36.07"/>
    <n v="36.090000000000003"/>
    <x v="188"/>
    <n v="1730.1268"/>
    <n v="0.2"/>
    <n v="1730.3268"/>
    <n v="62412.887676000006"/>
    <n v="62447.494212000005"/>
  </r>
  <r>
    <x v="6"/>
    <n v="54.34"/>
    <n v="54.35"/>
    <x v="188"/>
    <n v="1148.8611000000001"/>
    <n v="0.05"/>
    <n v="1148.9111"/>
    <n v="62431.829174000006"/>
    <n v="62443.318285000001"/>
  </r>
  <r>
    <x v="7"/>
    <n v="48.44"/>
    <n v="48.45"/>
    <x v="188"/>
    <n v="1289.0145"/>
    <n v="0"/>
    <n v="1289.0145"/>
    <n v="62439.862379999999"/>
    <n v="62452.752525000004"/>
  </r>
  <r>
    <x v="8"/>
    <n v="17.649999999999999"/>
    <n v="17.66"/>
    <x v="188"/>
    <n v="3535.8029000000001"/>
    <n v="0"/>
    <n v="3535.8029000000001"/>
    <n v="62406.921184999999"/>
    <n v="62442.279214000002"/>
  </r>
  <r>
    <x v="9"/>
    <n v="35.36"/>
    <n v="35.369999999999997"/>
    <x v="188"/>
    <n v="1765.0714"/>
    <n v="0.2"/>
    <n v="1765.2714000000001"/>
    <n v="62419.996704000005"/>
    <n v="62437.649418000001"/>
  </r>
  <r>
    <x v="0"/>
    <n v="20.68"/>
    <n v="20.69"/>
    <x v="189"/>
    <n v="3014.9661000000001"/>
    <n v="0"/>
    <n v="3014.9661000000001"/>
    <n v="62349.498948"/>
    <n v="62379.648609000003"/>
  </r>
  <r>
    <x v="1"/>
    <n v="33.85"/>
    <n v="33.86"/>
    <x v="189"/>
    <n v="1842.1306"/>
    <n v="-0.1"/>
    <n v="1842.0306"/>
    <n v="62352.735810000006"/>
    <n v="62371.156115999998"/>
  </r>
  <r>
    <x v="2"/>
    <n v="17.579999999999998"/>
    <n v="17.59"/>
    <x v="189"/>
    <n v="3546.6107999999999"/>
    <n v="0"/>
    <n v="3546.6107999999999"/>
    <n v="62349.417863999995"/>
    <n v="62384.883971999996"/>
  </r>
  <r>
    <x v="3"/>
    <n v="27.58"/>
    <n v="27.59"/>
    <x v="189"/>
    <n v="2261.3508999999999"/>
    <n v="-0.2"/>
    <n v="2261.1509000000001"/>
    <n v="62362.541821999999"/>
    <n v="62385.153331000001"/>
  </r>
  <r>
    <x v="4"/>
    <n v="65.86"/>
    <n v="65.98"/>
    <x v="189"/>
    <n v="946.14290000000005"/>
    <n v="0"/>
    <n v="946.14290000000005"/>
    <n v="62312.971394"/>
    <n v="62426.50854200001"/>
  </r>
  <r>
    <x v="5"/>
    <n v="36.020000000000003"/>
    <n v="36.049999999999997"/>
    <x v="189"/>
    <n v="1730.1268"/>
    <n v="0.2"/>
    <n v="1730.3268"/>
    <n v="62326.371336000004"/>
    <n v="62378.281139999999"/>
  </r>
  <r>
    <x v="6"/>
    <n v="54.27"/>
    <n v="54.28"/>
    <x v="189"/>
    <n v="1148.8611000000001"/>
    <n v="0.05"/>
    <n v="1148.9111"/>
    <n v="62351.405397000002"/>
    <n v="62362.894508000005"/>
  </r>
  <r>
    <x v="7"/>
    <n v="48.38"/>
    <n v="48.39"/>
    <x v="189"/>
    <n v="1289.0145"/>
    <n v="0"/>
    <n v="1289.0145"/>
    <n v="62362.521510000006"/>
    <n v="62375.411655000004"/>
  </r>
  <r>
    <x v="8"/>
    <n v="17.63"/>
    <n v="17.64"/>
    <x v="189"/>
    <n v="3535.8029000000001"/>
    <n v="0"/>
    <n v="3535.8029000000001"/>
    <n v="62336.205127000001"/>
    <n v="62371.563156000004"/>
  </r>
  <r>
    <x v="9"/>
    <n v="35.32"/>
    <n v="35.33"/>
    <x v="189"/>
    <n v="1765.0714"/>
    <n v="0.2"/>
    <n v="1765.2714000000001"/>
    <n v="62349.385848000005"/>
    <n v="62367.038562000002"/>
  </r>
  <r>
    <x v="0"/>
    <n v="20.73"/>
    <n v="20.74"/>
    <x v="190"/>
    <n v="3014.9661000000001"/>
    <n v="0"/>
    <n v="3014.9661000000001"/>
    <n v="62500.247253000001"/>
    <n v="62530.396913999997"/>
  </r>
  <r>
    <x v="1"/>
    <n v="33.93"/>
    <n v="33.94"/>
    <x v="190"/>
    <n v="1842.1306"/>
    <n v="-0.1"/>
    <n v="1842.0306"/>
    <n v="62500.098257999998"/>
    <n v="62518.518563999998"/>
  </r>
  <r>
    <x v="2"/>
    <n v="17.62"/>
    <n v="17.63"/>
    <x v="190"/>
    <n v="3546.6107999999999"/>
    <n v="0"/>
    <n v="3546.6107999999999"/>
    <n v="62491.282296000005"/>
    <n v="62526.748403999998"/>
  </r>
  <r>
    <x v="3"/>
    <n v="27.64"/>
    <n v="27.65"/>
    <x v="190"/>
    <n v="2261.3508999999999"/>
    <n v="-0.2"/>
    <n v="2261.1509000000001"/>
    <n v="62498.210876000005"/>
    <n v="62520.822384999999"/>
  </r>
  <r>
    <x v="4"/>
    <n v="66.010000000000005"/>
    <n v="66.13"/>
    <x v="190"/>
    <n v="946.14290000000005"/>
    <n v="0"/>
    <n v="946.14290000000005"/>
    <n v="62454.892829000011"/>
    <n v="62568.429977"/>
  </r>
  <r>
    <x v="5"/>
    <n v="36.11"/>
    <n v="36.130000000000003"/>
    <x v="190"/>
    <n v="1730.1268"/>
    <n v="0.2"/>
    <n v="1730.3268"/>
    <n v="62482.100748000004"/>
    <n v="62516.707284000004"/>
  </r>
  <r>
    <x v="6"/>
    <n v="54.4"/>
    <n v="54.41"/>
    <x v="190"/>
    <n v="1148.8611000000001"/>
    <n v="0.05"/>
    <n v="1148.9111"/>
    <n v="62500.76384"/>
    <n v="62512.252950999995"/>
  </r>
  <r>
    <x v="7"/>
    <n v="48.49"/>
    <n v="48.5"/>
    <x v="190"/>
    <n v="1289.0145"/>
    <n v="0"/>
    <n v="1289.0145"/>
    <n v="62504.313105000001"/>
    <n v="62517.203249999999"/>
  </r>
  <r>
    <x v="8"/>
    <n v="17.670000000000002"/>
    <n v="17.68"/>
    <x v="190"/>
    <n v="3535.8029000000001"/>
    <n v="0"/>
    <n v="3535.8029000000001"/>
    <n v="62477.637243000012"/>
    <n v="62512.995272"/>
  </r>
  <r>
    <x v="9"/>
    <n v="35.4"/>
    <n v="35.409999999999997"/>
    <x v="190"/>
    <n v="1765.0714"/>
    <n v="0.2"/>
    <n v="1765.2714000000001"/>
    <n v="62490.607560000004"/>
    <n v="62508.260274"/>
  </r>
  <r>
    <x v="0"/>
    <n v="20.75"/>
    <n v="20.76"/>
    <x v="191"/>
    <n v="3014.9661000000001"/>
    <n v="0"/>
    <n v="3014.9661000000001"/>
    <n v="62560.546575"/>
    <n v="62590.696236000003"/>
  </r>
  <r>
    <x v="1"/>
    <n v="33.97"/>
    <n v="33.979999999999997"/>
    <x v="191"/>
    <n v="1842.1306"/>
    <n v="-0.1"/>
    <n v="1842.0306"/>
    <n v="62573.779481999998"/>
    <n v="62592.199787999998"/>
  </r>
  <r>
    <x v="2"/>
    <n v="17.64"/>
    <n v="17.649999999999999"/>
    <x v="191"/>
    <n v="3546.6107999999999"/>
    <n v="0"/>
    <n v="3546.6107999999999"/>
    <n v="62562.214511999999"/>
    <n v="62597.680619999992"/>
  </r>
  <r>
    <x v="3"/>
    <n v="27.67"/>
    <n v="27.68"/>
    <x v="191"/>
    <n v="2261.3508999999999"/>
    <n v="-0.2"/>
    <n v="2261.1509000000001"/>
    <n v="62566.045403000004"/>
    <n v="62588.656911999999"/>
  </r>
  <r>
    <x v="4"/>
    <n v="66.069999999999993"/>
    <n v="66.2"/>
    <x v="191"/>
    <n v="946.14290000000005"/>
    <n v="0"/>
    <n v="946.14290000000005"/>
    <n v="62511.661402999998"/>
    <n v="62634.659980000004"/>
  </r>
  <r>
    <x v="5"/>
    <n v="36.15"/>
    <n v="36.159999999999997"/>
    <x v="191"/>
    <n v="1730.1268"/>
    <n v="0.2"/>
    <n v="1730.3268"/>
    <n v="62551.313819999996"/>
    <n v="62568.617087999999"/>
  </r>
  <r>
    <x v="6"/>
    <n v="54.46"/>
    <n v="54.47"/>
    <x v="191"/>
    <n v="1148.8611000000001"/>
    <n v="0.05"/>
    <n v="1148.9111"/>
    <n v="62569.698506000001"/>
    <n v="62581.187617000003"/>
  </r>
  <r>
    <x v="7"/>
    <n v="48.55"/>
    <n v="48.56"/>
    <x v="191"/>
    <n v="1289.0145"/>
    <n v="0"/>
    <n v="1289.0145"/>
    <n v="62581.653974999994"/>
    <n v="62594.544120000006"/>
  </r>
  <r>
    <x v="8"/>
    <n v="17.690000000000001"/>
    <n v="17.7"/>
    <x v="191"/>
    <n v="3535.8029000000001"/>
    <n v="0"/>
    <n v="3535.8029000000001"/>
    <n v="62548.35330100001"/>
    <n v="62583.711329999998"/>
  </r>
  <r>
    <x v="9"/>
    <n v="35.43"/>
    <n v="35.44"/>
    <x v="191"/>
    <n v="1765.0714"/>
    <n v="0.2"/>
    <n v="1765.2714000000001"/>
    <n v="62543.565702"/>
    <n v="62561.218415999996"/>
  </r>
  <r>
    <x v="0"/>
    <n v="20.69"/>
    <n v="20.7"/>
    <x v="192"/>
    <n v="3014.9661000000001"/>
    <n v="0"/>
    <n v="3014.9661000000001"/>
    <n v="62379.648609000003"/>
    <n v="62409.798269999999"/>
  </r>
  <r>
    <x v="1"/>
    <n v="33.869999999999997"/>
    <n v="33.880000000000003"/>
    <x v="192"/>
    <n v="1842.1306"/>
    <n v="-0.1"/>
    <n v="1842.0306"/>
    <n v="62389.576421999998"/>
    <n v="62407.996728000006"/>
  </r>
  <r>
    <x v="2"/>
    <n v="17.59"/>
    <n v="17.600000000000001"/>
    <x v="192"/>
    <n v="3546.6107999999999"/>
    <n v="0"/>
    <n v="3546.6107999999999"/>
    <n v="62384.883971999996"/>
    <n v="62420.350080000004"/>
  </r>
  <r>
    <x v="3"/>
    <n v="27.59"/>
    <n v="27.6"/>
    <x v="192"/>
    <n v="2261.3508999999999"/>
    <n v="-0.2"/>
    <n v="2261.1509000000001"/>
    <n v="62385.153331000001"/>
    <n v="62407.764840000003"/>
  </r>
  <r>
    <x v="4"/>
    <n v="65.900000000000006"/>
    <n v="66.02"/>
    <x v="192"/>
    <n v="946.14290000000005"/>
    <n v="0"/>
    <n v="946.14290000000005"/>
    <n v="62350.817110000011"/>
    <n v="62464.354257999999"/>
  </r>
  <r>
    <x v="5"/>
    <n v="36.04"/>
    <n v="36.07"/>
    <x v="192"/>
    <n v="1730.1268"/>
    <n v="0.2"/>
    <n v="1730.3268"/>
    <n v="62360.977872000003"/>
    <n v="62412.887676000006"/>
  </r>
  <r>
    <x v="6"/>
    <n v="54.3"/>
    <n v="54.31"/>
    <x v="192"/>
    <n v="1148.8611000000001"/>
    <n v="0.05"/>
    <n v="1148.9111"/>
    <n v="62385.872729999995"/>
    <n v="62397.361841000005"/>
  </r>
  <r>
    <x v="7"/>
    <n v="48.41"/>
    <n v="48.42"/>
    <x v="192"/>
    <n v="1289.0145"/>
    <n v="0"/>
    <n v="1289.0145"/>
    <n v="62401.191944999999"/>
    <n v="62414.082090000004"/>
  </r>
  <r>
    <x v="8"/>
    <n v="17.64"/>
    <n v="17.649999999999999"/>
    <x v="192"/>
    <n v="3535.8029000000001"/>
    <n v="0"/>
    <n v="3535.8029000000001"/>
    <n v="62371.563156000004"/>
    <n v="62406.921184999999"/>
  </r>
  <r>
    <x v="9"/>
    <n v="35.340000000000003"/>
    <n v="35.35"/>
    <x v="192"/>
    <n v="1765.0714"/>
    <n v="0.2"/>
    <n v="1765.2714000000001"/>
    <n v="62384.691276000012"/>
    <n v="62402.343990000008"/>
  </r>
  <r>
    <x v="0"/>
    <n v="20.63"/>
    <n v="20.64"/>
    <x v="193"/>
    <n v="3014.9661000000001"/>
    <n v="0"/>
    <n v="3014.9661000000001"/>
    <n v="62198.750642999999"/>
    <n v="62228.900304000003"/>
  </r>
  <r>
    <x v="1"/>
    <n v="33.76"/>
    <n v="33.770000000000003"/>
    <x v="193"/>
    <n v="1842.1306"/>
    <n v="-0.1"/>
    <n v="1842.0306"/>
    <n v="62186.953055999998"/>
    <n v="62205.373362000006"/>
  </r>
  <r>
    <x v="2"/>
    <n v="17.53"/>
    <n v="17.54"/>
    <x v="193"/>
    <n v="3546.6107999999999"/>
    <n v="0"/>
    <n v="3546.6107999999999"/>
    <n v="62172.087324"/>
    <n v="62207.553431999993"/>
  </r>
  <r>
    <x v="3"/>
    <n v="27.51"/>
    <n v="27.52"/>
    <x v="193"/>
    <n v="2261.3508999999999"/>
    <n v="-0.2"/>
    <n v="2261.1509000000001"/>
    <n v="62204.261259000006"/>
    <n v="62226.872768000001"/>
  </r>
  <r>
    <x v="4"/>
    <n v="65.69"/>
    <n v="65.819999999999993"/>
    <x v="193"/>
    <n v="946.14290000000005"/>
    <n v="0"/>
    <n v="946.14290000000005"/>
    <n v="62152.127100999998"/>
    <n v="62275.125677999997"/>
  </r>
  <r>
    <x v="5"/>
    <n v="35.93"/>
    <n v="35.96"/>
    <x v="193"/>
    <n v="1730.1268"/>
    <n v="0.2"/>
    <n v="1730.3268"/>
    <n v="62170.641924000003"/>
    <n v="62222.551728000006"/>
  </r>
  <r>
    <x v="6"/>
    <n v="54.13"/>
    <n v="54.14"/>
    <x v="193"/>
    <n v="1148.8611000000001"/>
    <n v="0.05"/>
    <n v="1148.9111"/>
    <n v="62190.557843000002"/>
    <n v="62202.046954000005"/>
  </r>
  <r>
    <x v="7"/>
    <n v="48.26"/>
    <n v="48.27"/>
    <x v="193"/>
    <n v="1289.0145"/>
    <n v="0"/>
    <n v="1289.0145"/>
    <n v="62207.839769999999"/>
    <n v="62220.729915000004"/>
  </r>
  <r>
    <x v="8"/>
    <n v="17.579999999999998"/>
    <n v="17.59"/>
    <x v="193"/>
    <n v="3535.8029000000001"/>
    <n v="0"/>
    <n v="3535.8029000000001"/>
    <n v="62159.414981999995"/>
    <n v="62194.773011000005"/>
  </r>
  <r>
    <x v="9"/>
    <n v="35.22"/>
    <n v="35.229999999999997"/>
    <x v="193"/>
    <n v="1765.0714"/>
    <n v="0.2"/>
    <n v="1765.2714000000001"/>
    <n v="62172.858708"/>
    <n v="62190.511421999996"/>
  </r>
  <r>
    <x v="0"/>
    <n v="20.66"/>
    <n v="20.67"/>
    <x v="194"/>
    <n v="3014.9661000000001"/>
    <n v="0"/>
    <n v="3014.9661000000001"/>
    <n v="62289.199626000001"/>
    <n v="62319.349287000005"/>
  </r>
  <r>
    <x v="1"/>
    <n v="33.81"/>
    <n v="33.82"/>
    <x v="194"/>
    <n v="1842.1306"/>
    <n v="-0.1"/>
    <n v="1842.0306"/>
    <n v="62279.054586000006"/>
    <n v="62297.474892000006"/>
  </r>
  <r>
    <x v="2"/>
    <n v="17.559999999999999"/>
    <n v="17.57"/>
    <x v="194"/>
    <n v="3546.6107999999999"/>
    <n v="0"/>
    <n v="3546.6107999999999"/>
    <n v="62278.485647999994"/>
    <n v="62313.951756000002"/>
  </r>
  <r>
    <x v="3"/>
    <n v="27.54"/>
    <n v="27.55"/>
    <x v="194"/>
    <n v="2261.3508999999999"/>
    <n v="-0.2"/>
    <n v="2261.1509000000001"/>
    <n v="62272.095785999998"/>
    <n v="62294.707295000007"/>
  </r>
  <r>
    <x v="4"/>
    <n v="65.77"/>
    <n v="65.88"/>
    <x v="194"/>
    <n v="946.14290000000005"/>
    <n v="0"/>
    <n v="946.14290000000005"/>
    <n v="62227.818532999998"/>
    <n v="62331.894251999998"/>
  </r>
  <r>
    <x v="5"/>
    <n v="35.979999999999997"/>
    <n v="36"/>
    <x v="194"/>
    <n v="1730.1268"/>
    <n v="0.2"/>
    <n v="1730.3268"/>
    <n v="62257.158263999998"/>
    <n v="62291.764800000004"/>
  </r>
  <r>
    <x v="6"/>
    <n v="54.21"/>
    <n v="54.22"/>
    <x v="194"/>
    <n v="1148.8611000000001"/>
    <n v="0.05"/>
    <n v="1148.9111"/>
    <n v="62282.470731000001"/>
    <n v="62293.959842000004"/>
  </r>
  <r>
    <x v="7"/>
    <n v="48.33"/>
    <n v="48.34"/>
    <x v="194"/>
    <n v="1289.0145"/>
    <n v="0"/>
    <n v="1289.0145"/>
    <n v="62298.070784999996"/>
    <n v="62310.960930000001"/>
  </r>
  <r>
    <x v="8"/>
    <n v="17.61"/>
    <n v="17.62"/>
    <x v="194"/>
    <n v="3535.8029000000001"/>
    <n v="0"/>
    <n v="3535.8029000000001"/>
    <n v="62265.489069000003"/>
    <n v="62300.847098000006"/>
  </r>
  <r>
    <x v="9"/>
    <n v="35.270000000000003"/>
    <n v="35.28"/>
    <x v="194"/>
    <n v="1765.0714"/>
    <n v="0.2"/>
    <n v="1765.2714000000001"/>
    <n v="62261.12227800001"/>
    <n v="62278.774992000006"/>
  </r>
  <r>
    <x v="0"/>
    <n v="20.64"/>
    <n v="20.65"/>
    <x v="195"/>
    <n v="3014.9661000000001"/>
    <n v="0"/>
    <n v="3014.9661000000001"/>
    <n v="62228.900304000003"/>
    <n v="62259.049964999998"/>
  </r>
  <r>
    <x v="1"/>
    <n v="33.78"/>
    <n v="33.79"/>
    <x v="195"/>
    <n v="1842.1306"/>
    <n v="-0.1"/>
    <n v="1842.0306"/>
    <n v="62223.793668000006"/>
    <n v="62242.213973999998"/>
  </r>
  <r>
    <x v="2"/>
    <n v="17.54"/>
    <n v="17.55"/>
    <x v="195"/>
    <n v="3546.6107999999999"/>
    <n v="0"/>
    <n v="3546.6107999999999"/>
    <n v="62207.553431999993"/>
    <n v="62243.019540000001"/>
  </r>
  <r>
    <x v="3"/>
    <n v="27.51"/>
    <n v="27.52"/>
    <x v="195"/>
    <n v="2261.3508999999999"/>
    <n v="-0.2"/>
    <n v="2261.1509000000001"/>
    <n v="62204.261259000006"/>
    <n v="62226.872768000001"/>
  </r>
  <r>
    <x v="4"/>
    <n v="65.7"/>
    <n v="65.83"/>
    <x v="195"/>
    <n v="946.14290000000005"/>
    <n v="0"/>
    <n v="946.14290000000005"/>
    <n v="62161.588530000008"/>
    <n v="62284.587106999999"/>
  </r>
  <r>
    <x v="5"/>
    <n v="35.94"/>
    <n v="35.96"/>
    <x v="195"/>
    <n v="1730.1268"/>
    <n v="0.2"/>
    <n v="1730.3268"/>
    <n v="62187.945191999999"/>
    <n v="62222.551728000006"/>
  </r>
  <r>
    <x v="6"/>
    <n v="54.15"/>
    <n v="54.16"/>
    <x v="195"/>
    <n v="1148.8611000000001"/>
    <n v="0.05"/>
    <n v="1148.9111"/>
    <n v="62213.536065"/>
    <n v="62225.025175999996"/>
  </r>
  <r>
    <x v="7"/>
    <n v="48.28"/>
    <n v="48.29"/>
    <x v="195"/>
    <n v="1289.0145"/>
    <n v="0"/>
    <n v="1289.0145"/>
    <n v="62233.620060000001"/>
    <n v="62246.510204999999"/>
  </r>
  <r>
    <x v="8"/>
    <n v="17.59"/>
    <n v="17.600000000000001"/>
    <x v="195"/>
    <n v="3535.8029000000001"/>
    <n v="0"/>
    <n v="3535.8029000000001"/>
    <n v="62194.773011000005"/>
    <n v="62230.131040000007"/>
  </r>
  <r>
    <x v="9"/>
    <n v="35.24"/>
    <n v="35.25"/>
    <x v="195"/>
    <n v="1765.0714"/>
    <n v="0.2"/>
    <n v="1765.2714000000001"/>
    <n v="62208.164136000007"/>
    <n v="62225.816850000003"/>
  </r>
  <r>
    <x v="0"/>
    <n v="20.64"/>
    <n v="20.65"/>
    <x v="196"/>
    <n v="3014.9661000000001"/>
    <n v="0"/>
    <n v="3014.9661000000001"/>
    <n v="62228.900304000003"/>
    <n v="62259.049964999998"/>
  </r>
  <r>
    <x v="1"/>
    <n v="33.78"/>
    <n v="33.79"/>
    <x v="196"/>
    <n v="1842.1306"/>
    <n v="-0.1"/>
    <n v="1842.0306"/>
    <n v="62223.793668000006"/>
    <n v="62242.213973999998"/>
  </r>
  <r>
    <x v="2"/>
    <n v="17.54"/>
    <n v="17.55"/>
    <x v="196"/>
    <n v="3546.6107999999999"/>
    <n v="0"/>
    <n v="3546.6107999999999"/>
    <n v="62207.553431999993"/>
    <n v="62243.019540000001"/>
  </r>
  <r>
    <x v="3"/>
    <n v="27.51"/>
    <n v="27.52"/>
    <x v="196"/>
    <n v="2261.3508999999999"/>
    <n v="-0.2"/>
    <n v="2261.1509000000001"/>
    <n v="62204.261259000006"/>
    <n v="62226.872768000001"/>
  </r>
  <r>
    <x v="4"/>
    <n v="65.7"/>
    <n v="65.83"/>
    <x v="196"/>
    <n v="946.14290000000005"/>
    <n v="0"/>
    <n v="946.14290000000005"/>
    <n v="62161.588530000008"/>
    <n v="62284.587106999999"/>
  </r>
  <r>
    <x v="5"/>
    <n v="35.94"/>
    <n v="35.96"/>
    <x v="196"/>
    <n v="1730.1268"/>
    <n v="0.2"/>
    <n v="1730.3268"/>
    <n v="62187.945191999999"/>
    <n v="62222.551728000006"/>
  </r>
  <r>
    <x v="6"/>
    <n v="54.15"/>
    <n v="54.16"/>
    <x v="196"/>
    <n v="1148.8611000000001"/>
    <n v="0.05"/>
    <n v="1148.9111"/>
    <n v="62213.536065"/>
    <n v="62225.025175999996"/>
  </r>
  <r>
    <x v="7"/>
    <n v="48.28"/>
    <n v="48.29"/>
    <x v="196"/>
    <n v="1289.0145"/>
    <n v="0"/>
    <n v="1289.0145"/>
    <n v="62233.620060000001"/>
    <n v="62246.510204999999"/>
  </r>
  <r>
    <x v="8"/>
    <n v="17.59"/>
    <n v="17.600000000000001"/>
    <x v="196"/>
    <n v="3535.8029000000001"/>
    <n v="0"/>
    <n v="3535.8029000000001"/>
    <n v="62194.773011000005"/>
    <n v="62230.131040000007"/>
  </r>
  <r>
    <x v="9"/>
    <n v="35.24"/>
    <n v="35.25"/>
    <x v="196"/>
    <n v="1765.0714"/>
    <n v="0.2"/>
    <n v="1765.2714000000001"/>
    <n v="62208.164136000007"/>
    <n v="62225.816850000003"/>
  </r>
  <r>
    <x v="0"/>
    <n v="20.64"/>
    <n v="20.65"/>
    <x v="197"/>
    <n v="3014.9661000000001"/>
    <n v="0"/>
    <n v="3014.9661000000001"/>
    <n v="62228.900304000003"/>
    <n v="62259.049964999998"/>
  </r>
  <r>
    <x v="1"/>
    <n v="33.78"/>
    <n v="33.79"/>
    <x v="197"/>
    <n v="1842.1306"/>
    <n v="-0.1"/>
    <n v="1842.0306"/>
    <n v="62223.793668000006"/>
    <n v="62242.213973999998"/>
  </r>
  <r>
    <x v="2"/>
    <n v="17.54"/>
    <n v="17.55"/>
    <x v="197"/>
    <n v="3546.6107999999999"/>
    <n v="0"/>
    <n v="3546.6107999999999"/>
    <n v="62207.553431999993"/>
    <n v="62243.019540000001"/>
  </r>
  <r>
    <x v="3"/>
    <n v="27.51"/>
    <n v="27.52"/>
    <x v="197"/>
    <n v="2261.3508999999999"/>
    <n v="-0.2"/>
    <n v="2261.1509000000001"/>
    <n v="62204.261259000006"/>
    <n v="62226.872768000001"/>
  </r>
  <r>
    <x v="4"/>
    <n v="65.7"/>
    <n v="65.83"/>
    <x v="197"/>
    <n v="946.14290000000005"/>
    <n v="0"/>
    <n v="946.14290000000005"/>
    <n v="62161.588530000008"/>
    <n v="62284.587106999999"/>
  </r>
  <r>
    <x v="5"/>
    <n v="35.94"/>
    <n v="35.96"/>
    <x v="197"/>
    <n v="1730.1268"/>
    <n v="0.2"/>
    <n v="1730.3268"/>
    <n v="62187.945191999999"/>
    <n v="62222.551728000006"/>
  </r>
  <r>
    <x v="6"/>
    <n v="54.15"/>
    <n v="54.16"/>
    <x v="197"/>
    <n v="1148.8611000000001"/>
    <n v="0.05"/>
    <n v="1148.9111"/>
    <n v="62213.536065"/>
    <n v="62225.025175999996"/>
  </r>
  <r>
    <x v="7"/>
    <n v="48.28"/>
    <n v="48.29"/>
    <x v="197"/>
    <n v="1289.0145"/>
    <n v="0"/>
    <n v="1289.0145"/>
    <n v="62233.620060000001"/>
    <n v="62246.510204999999"/>
  </r>
  <r>
    <x v="8"/>
    <n v="17.59"/>
    <n v="17.600000000000001"/>
    <x v="197"/>
    <n v="3535.8029000000001"/>
    <n v="0"/>
    <n v="3535.8029000000001"/>
    <n v="62194.773011000005"/>
    <n v="62230.131040000007"/>
  </r>
  <r>
    <x v="9"/>
    <n v="35.24"/>
    <n v="35.25"/>
    <x v="197"/>
    <n v="1765.0714"/>
    <n v="0.2"/>
    <n v="1765.2714000000001"/>
    <n v="62208.164136000007"/>
    <n v="62225.816850000003"/>
  </r>
  <r>
    <x v="0"/>
    <n v="20.64"/>
    <n v="20.65"/>
    <x v="198"/>
    <n v="3014.9661000000001"/>
    <n v="0"/>
    <n v="3014.9661000000001"/>
    <n v="62228.900304000003"/>
    <n v="62259.049964999998"/>
  </r>
  <r>
    <x v="1"/>
    <n v="33.78"/>
    <n v="33.79"/>
    <x v="198"/>
    <n v="1842.1306"/>
    <n v="-0.1"/>
    <n v="1842.0306"/>
    <n v="62223.793668000006"/>
    <n v="62242.213973999998"/>
  </r>
  <r>
    <x v="2"/>
    <n v="17.54"/>
    <n v="17.55"/>
    <x v="198"/>
    <n v="3546.6107999999999"/>
    <n v="0"/>
    <n v="3546.6107999999999"/>
    <n v="62207.553431999993"/>
    <n v="62243.019540000001"/>
  </r>
  <r>
    <x v="3"/>
    <n v="27.51"/>
    <n v="27.52"/>
    <x v="198"/>
    <n v="2261.3508999999999"/>
    <n v="-0.2"/>
    <n v="2261.1509000000001"/>
    <n v="62204.261259000006"/>
    <n v="62226.872768000001"/>
  </r>
  <r>
    <x v="4"/>
    <n v="65.7"/>
    <n v="65.83"/>
    <x v="198"/>
    <n v="946.14290000000005"/>
    <n v="0"/>
    <n v="946.14290000000005"/>
    <n v="62161.588530000008"/>
    <n v="62284.587106999999"/>
  </r>
  <r>
    <x v="5"/>
    <n v="35.94"/>
    <n v="35.96"/>
    <x v="198"/>
    <n v="1730.1268"/>
    <n v="0.2"/>
    <n v="1730.3268"/>
    <n v="62187.945191999999"/>
    <n v="62222.551728000006"/>
  </r>
  <r>
    <x v="6"/>
    <n v="54.15"/>
    <n v="54.16"/>
    <x v="198"/>
    <n v="1148.8611000000001"/>
    <n v="0.05"/>
    <n v="1148.9111"/>
    <n v="62213.536065"/>
    <n v="62225.025175999996"/>
  </r>
  <r>
    <x v="7"/>
    <n v="48.28"/>
    <n v="48.29"/>
    <x v="198"/>
    <n v="1289.0145"/>
    <n v="0"/>
    <n v="1289.0145"/>
    <n v="62233.620060000001"/>
    <n v="62246.510204999999"/>
  </r>
  <r>
    <x v="8"/>
    <n v="17.59"/>
    <n v="17.600000000000001"/>
    <x v="198"/>
    <n v="3535.8029000000001"/>
    <n v="0"/>
    <n v="3535.8029000000001"/>
    <n v="62194.773011000005"/>
    <n v="62230.131040000007"/>
  </r>
  <r>
    <x v="9"/>
    <n v="35.24"/>
    <n v="35.25"/>
    <x v="198"/>
    <n v="1765.0714"/>
    <n v="0.2"/>
    <n v="1765.2714000000001"/>
    <n v="62208.164136000007"/>
    <n v="62225.816850000003"/>
  </r>
  <r>
    <x v="0"/>
    <n v="20.64"/>
    <n v="20.65"/>
    <x v="199"/>
    <n v="3014.9661000000001"/>
    <n v="0"/>
    <n v="3014.9661000000001"/>
    <n v="62228.900304000003"/>
    <n v="62259.049964999998"/>
  </r>
  <r>
    <x v="1"/>
    <n v="33.78"/>
    <n v="33.79"/>
    <x v="199"/>
    <n v="1842.1306"/>
    <n v="-0.1"/>
    <n v="1842.0306"/>
    <n v="62223.793668000006"/>
    <n v="62242.213973999998"/>
  </r>
  <r>
    <x v="2"/>
    <n v="17.54"/>
    <n v="17.55"/>
    <x v="199"/>
    <n v="3546.6107999999999"/>
    <n v="0"/>
    <n v="3546.6107999999999"/>
    <n v="62207.553431999993"/>
    <n v="62243.019540000001"/>
  </r>
  <r>
    <x v="3"/>
    <n v="27.51"/>
    <n v="27.52"/>
    <x v="199"/>
    <n v="2261.3508999999999"/>
    <n v="-0.2"/>
    <n v="2261.1509000000001"/>
    <n v="62204.261259000006"/>
    <n v="62226.872768000001"/>
  </r>
  <r>
    <x v="4"/>
    <n v="65.7"/>
    <n v="65.83"/>
    <x v="199"/>
    <n v="946.14290000000005"/>
    <n v="0"/>
    <n v="946.14290000000005"/>
    <n v="62161.588530000008"/>
    <n v="62284.587106999999"/>
  </r>
  <r>
    <x v="5"/>
    <n v="35.94"/>
    <n v="35.96"/>
    <x v="199"/>
    <n v="1730.1268"/>
    <n v="0.2"/>
    <n v="1730.3268"/>
    <n v="62187.945191999999"/>
    <n v="62222.551728000006"/>
  </r>
  <r>
    <x v="6"/>
    <n v="54.15"/>
    <n v="54.16"/>
    <x v="199"/>
    <n v="1148.8611000000001"/>
    <n v="0.05"/>
    <n v="1148.9111"/>
    <n v="62213.536065"/>
    <n v="62225.025175999996"/>
  </r>
  <r>
    <x v="7"/>
    <n v="48.28"/>
    <n v="48.29"/>
    <x v="199"/>
    <n v="1289.0145"/>
    <n v="0"/>
    <n v="1289.0145"/>
    <n v="62233.620060000001"/>
    <n v="62246.510204999999"/>
  </r>
  <r>
    <x v="8"/>
    <n v="17.59"/>
    <n v="17.600000000000001"/>
    <x v="199"/>
    <n v="3535.8029000000001"/>
    <n v="0"/>
    <n v="3535.8029000000001"/>
    <n v="62194.773011000005"/>
    <n v="62230.131040000007"/>
  </r>
  <r>
    <x v="9"/>
    <n v="35.24"/>
    <n v="35.25"/>
    <x v="199"/>
    <n v="1765.0714"/>
    <n v="0.2"/>
    <n v="1765.2714000000001"/>
    <n v="62208.164136000007"/>
    <n v="62225.816850000003"/>
  </r>
  <r>
    <x v="0"/>
    <n v="20.64"/>
    <n v="20.65"/>
    <x v="200"/>
    <n v="3014.9661000000001"/>
    <n v="0"/>
    <n v="3014.9661000000001"/>
    <n v="62228.900304000003"/>
    <n v="62259.049964999998"/>
  </r>
  <r>
    <x v="1"/>
    <n v="33.78"/>
    <n v="33.79"/>
    <x v="200"/>
    <n v="1842.1306"/>
    <n v="-0.1"/>
    <n v="1842.0306"/>
    <n v="62223.793668000006"/>
    <n v="62242.213973999998"/>
  </r>
  <r>
    <x v="2"/>
    <n v="17.54"/>
    <n v="17.55"/>
    <x v="200"/>
    <n v="3546.6107999999999"/>
    <n v="0"/>
    <n v="3546.6107999999999"/>
    <n v="62207.553431999993"/>
    <n v="62243.019540000001"/>
  </r>
  <r>
    <x v="3"/>
    <n v="27.51"/>
    <n v="27.52"/>
    <x v="200"/>
    <n v="2261.3508999999999"/>
    <n v="-0.2"/>
    <n v="2261.1509000000001"/>
    <n v="62204.261259000006"/>
    <n v="62226.872768000001"/>
  </r>
  <r>
    <x v="4"/>
    <n v="65.7"/>
    <n v="65.83"/>
    <x v="200"/>
    <n v="946.14290000000005"/>
    <n v="0"/>
    <n v="946.14290000000005"/>
    <n v="62161.588530000008"/>
    <n v="62284.587106999999"/>
  </r>
  <r>
    <x v="5"/>
    <n v="35.94"/>
    <n v="35.96"/>
    <x v="200"/>
    <n v="1730.1268"/>
    <n v="0.2"/>
    <n v="1730.3268"/>
    <n v="62187.945191999999"/>
    <n v="62222.551728000006"/>
  </r>
  <r>
    <x v="6"/>
    <n v="54.15"/>
    <n v="54.16"/>
    <x v="200"/>
    <n v="1148.8611000000001"/>
    <n v="0.05"/>
    <n v="1148.9111"/>
    <n v="62213.536065"/>
    <n v="62225.025175999996"/>
  </r>
  <r>
    <x v="7"/>
    <n v="48.28"/>
    <n v="48.29"/>
    <x v="200"/>
    <n v="1289.0145"/>
    <n v="0"/>
    <n v="1289.0145"/>
    <n v="62233.620060000001"/>
    <n v="62246.510204999999"/>
  </r>
  <r>
    <x v="8"/>
    <n v="17.59"/>
    <n v="17.600000000000001"/>
    <x v="200"/>
    <n v="3535.8029000000001"/>
    <n v="0"/>
    <n v="3535.8029000000001"/>
    <n v="62194.773011000005"/>
    <n v="62230.131040000007"/>
  </r>
  <r>
    <x v="9"/>
    <n v="35.24"/>
    <n v="35.25"/>
    <x v="200"/>
    <n v="1765.0714"/>
    <n v="0.2"/>
    <n v="1765.2714000000001"/>
    <n v="62208.164136000007"/>
    <n v="62225.816850000003"/>
  </r>
  <r>
    <x v="0"/>
    <n v="20.18"/>
    <n v="20.190000000000001"/>
    <x v="201"/>
    <n v="3014.9834000000001"/>
    <n v="0"/>
    <n v="3014.9834000000001"/>
    <n v="60842.365012000002"/>
    <n v="60872.514846000005"/>
  </r>
  <r>
    <x v="1"/>
    <n v="33.03"/>
    <n v="33.04"/>
    <x v="201"/>
    <n v="1842.1406999999999"/>
    <n v="-0.1"/>
    <n v="1842.0407"/>
    <n v="60842.604321000006"/>
    <n v="60861.024727999997"/>
  </r>
  <r>
    <x v="2"/>
    <n v="17.149999999999999"/>
    <n v="17.16"/>
    <x v="201"/>
    <n v="3546.6351"/>
    <n v="0"/>
    <n v="3546.6351"/>
    <n v="60824.791964999997"/>
    <n v="60860.258315999999"/>
  </r>
  <r>
    <x v="3"/>
    <n v="26.9"/>
    <n v="26.91"/>
    <x v="201"/>
    <n v="2261.3602000000001"/>
    <n v="-0.2"/>
    <n v="2261.1602000000003"/>
    <n v="60825.20938"/>
    <n v="60847.820982000005"/>
  </r>
  <r>
    <x v="4"/>
    <n v="64.27"/>
    <n v="64.37"/>
    <x v="201"/>
    <n v="946.14940000000001"/>
    <n v="0"/>
    <n v="946.14940000000001"/>
    <n v="60809.021937999998"/>
    <n v="60903.636878000005"/>
  </r>
  <r>
    <x v="5"/>
    <n v="35.15"/>
    <n v="35.17"/>
    <x v="201"/>
    <n v="1730.1358"/>
    <n v="0.2"/>
    <n v="1730.3358000000001"/>
    <n v="60821.303370000001"/>
    <n v="60855.910086000004"/>
  </r>
  <r>
    <x v="6"/>
    <n v="52.96"/>
    <n v="52.97"/>
    <x v="201"/>
    <n v="1148.8689999999999"/>
    <n v="0.05"/>
    <n v="1148.9189999999999"/>
    <n v="60846.750239999994"/>
    <n v="60858.239429999994"/>
  </r>
  <r>
    <x v="7"/>
    <n v="47.2"/>
    <n v="47.21"/>
    <x v="201"/>
    <n v="1289.0675000000001"/>
    <n v="0"/>
    <n v="1289.0675000000001"/>
    <n v="60843.986000000012"/>
    <n v="60856.876675000007"/>
  </r>
  <r>
    <x v="8"/>
    <n v="17.2"/>
    <n v="17.21"/>
    <x v="201"/>
    <n v="3535.8029000000001"/>
    <n v="0"/>
    <n v="3535.8029000000001"/>
    <n v="60815.809880000001"/>
    <n v="60851.167909000003"/>
  </r>
  <r>
    <x v="9"/>
    <n v="34.46"/>
    <n v="34.47"/>
    <x v="201"/>
    <n v="1765.0835"/>
    <n v="0.2"/>
    <n v="1765.2835"/>
    <n v="60831.669410000002"/>
    <n v="60849.322244999996"/>
  </r>
  <r>
    <x v="0"/>
    <n v="20.2"/>
    <n v="20.21"/>
    <x v="202"/>
    <n v="3014.9834000000001"/>
    <n v="0"/>
    <n v="3014.9834000000001"/>
    <n v="60902.664680000002"/>
    <n v="60932.814514000005"/>
  </r>
  <r>
    <x v="1"/>
    <n v="33.07"/>
    <n v="33.08"/>
    <x v="202"/>
    <n v="1842.1406999999999"/>
    <n v="-0.1"/>
    <n v="1842.0407"/>
    <n v="60916.285949000005"/>
    <n v="60934.706355999995"/>
  </r>
  <r>
    <x v="2"/>
    <n v="17.170000000000002"/>
    <n v="17.18"/>
    <x v="202"/>
    <n v="3546.6351"/>
    <n v="0"/>
    <n v="3546.6351"/>
    <n v="60895.724667000002"/>
    <n v="60931.191017999998"/>
  </r>
  <r>
    <x v="3"/>
    <n v="26.94"/>
    <n v="26.95"/>
    <x v="202"/>
    <n v="2261.3602000000001"/>
    <n v="-0.2"/>
    <n v="2261.1602000000003"/>
    <n v="60915.655788000011"/>
    <n v="60938.267390000008"/>
  </r>
  <r>
    <x v="4"/>
    <n v="64.33"/>
    <n v="64.42"/>
    <x v="202"/>
    <n v="946.14940000000001"/>
    <n v="0"/>
    <n v="946.14940000000001"/>
    <n v="60865.790902000001"/>
    <n v="60950.944348000005"/>
  </r>
  <r>
    <x v="5"/>
    <n v="35.18"/>
    <n v="35.21"/>
    <x v="202"/>
    <n v="1730.1358"/>
    <n v="0.2"/>
    <n v="1730.3358000000001"/>
    <n v="60873.213444000001"/>
    <n v="60925.123518"/>
  </r>
  <r>
    <x v="6"/>
    <n v="53.01"/>
    <n v="53.02"/>
    <x v="202"/>
    <n v="1148.8689999999999"/>
    <n v="0.05"/>
    <n v="1148.9189999999999"/>
    <n v="60904.196189999988"/>
    <n v="60915.685379999995"/>
  </r>
  <r>
    <x v="7"/>
    <n v="47.26"/>
    <n v="47.27"/>
    <x v="202"/>
    <n v="1289.0675000000001"/>
    <n v="0"/>
    <n v="1289.0675000000001"/>
    <n v="60921.330050000004"/>
    <n v="60934.220725000006"/>
  </r>
  <r>
    <x v="8"/>
    <n v="17.22"/>
    <n v="17.23"/>
    <x v="202"/>
    <n v="3535.8029000000001"/>
    <n v="0"/>
    <n v="3535.8029000000001"/>
    <n v="60886.525937999999"/>
    <n v="60921.883967000002"/>
  </r>
  <r>
    <x v="9"/>
    <n v="34.5"/>
    <n v="34.51"/>
    <x v="202"/>
    <n v="1765.0835"/>
    <n v="0.2"/>
    <n v="1765.2835"/>
    <n v="60902.280749999998"/>
    <n v="60919.933584999999"/>
  </r>
  <r>
    <x v="0"/>
    <n v="20.11"/>
    <n v="20.12"/>
    <x v="203"/>
    <n v="3014.9834000000001"/>
    <n v="0"/>
    <n v="3014.9834000000001"/>
    <n v="60631.316174"/>
    <n v="60661.466008000003"/>
  </r>
  <r>
    <x v="1"/>
    <n v="32.909999999999997"/>
    <n v="32.92"/>
    <x v="203"/>
    <n v="1842.1406999999999"/>
    <n v="-0.1"/>
    <n v="1842.0407"/>
    <n v="60621.559436999996"/>
    <n v="60639.979844000001"/>
  </r>
  <r>
    <x v="2"/>
    <n v="17.09"/>
    <n v="17.100000000000001"/>
    <x v="203"/>
    <n v="3546.6351"/>
    <n v="0"/>
    <n v="3546.6351"/>
    <n v="60611.993859000002"/>
    <n v="60647.460210000005"/>
  </r>
  <r>
    <x v="3"/>
    <n v="26.81"/>
    <n v="26.82"/>
    <x v="203"/>
    <n v="2261.3602000000001"/>
    <n v="-0.2"/>
    <n v="2261.1602000000003"/>
    <n v="60621.704962000003"/>
    <n v="60644.316564000008"/>
  </r>
  <r>
    <x v="4"/>
    <n v="64.02"/>
    <n v="64.14"/>
    <x v="203"/>
    <n v="946.14940000000001"/>
    <n v="0"/>
    <n v="946.14940000000001"/>
    <n v="60572.484587999999"/>
    <n v="60686.022516000005"/>
  </r>
  <r>
    <x v="5"/>
    <n v="35.020000000000003"/>
    <n v="35.04"/>
    <x v="203"/>
    <n v="1730.1358"/>
    <n v="0.2"/>
    <n v="1730.3358000000001"/>
    <n v="60596.359716000006"/>
    <n v="60630.966432000001"/>
  </r>
  <r>
    <x v="6"/>
    <n v="52.76"/>
    <n v="52.77"/>
    <x v="203"/>
    <n v="1148.8689999999999"/>
    <n v="0.05"/>
    <n v="1148.9189999999999"/>
    <n v="60616.966439999989"/>
    <n v="60628.455629999997"/>
  </r>
  <r>
    <x v="7"/>
    <n v="47.03"/>
    <n v="47.04"/>
    <x v="203"/>
    <n v="1289.0675000000001"/>
    <n v="0"/>
    <n v="1289.0675000000001"/>
    <n v="60624.844525000008"/>
    <n v="60637.735200000003"/>
  </r>
  <r>
    <x v="8"/>
    <n v="17.14"/>
    <n v="17.149999999999999"/>
    <x v="203"/>
    <n v="3535.8029000000001"/>
    <n v="0"/>
    <n v="3535.8029000000001"/>
    <n v="60603.661706000006"/>
    <n v="60639.019734999994"/>
  </r>
  <r>
    <x v="9"/>
    <n v="34.33"/>
    <n v="34.340000000000003"/>
    <x v="203"/>
    <n v="1765.0835"/>
    <n v="0.2"/>
    <n v="1765.2835"/>
    <n v="60602.182554999999"/>
    <n v="60619.835390000007"/>
  </r>
  <r>
    <x v="0"/>
    <n v="20.02"/>
    <n v="20.03"/>
    <x v="204"/>
    <n v="3014.9834000000001"/>
    <n v="0"/>
    <n v="3014.9834000000001"/>
    <n v="60359.967667999998"/>
    <n v="60390.117502000008"/>
  </r>
  <r>
    <x v="1"/>
    <n v="32.770000000000003"/>
    <n v="32.78"/>
    <x v="204"/>
    <n v="1842.1406999999999"/>
    <n v="-0.1"/>
    <n v="1842.0407"/>
    <n v="60363.673739000005"/>
    <n v="60382.094146000003"/>
  </r>
  <r>
    <x v="2"/>
    <n v="17.02"/>
    <n v="17.03"/>
    <x v="204"/>
    <n v="3546.6351"/>
    <n v="0"/>
    <n v="3546.6351"/>
    <n v="60363.729401999997"/>
    <n v="60399.195753"/>
  </r>
  <r>
    <x v="3"/>
    <n v="26.7"/>
    <n v="26.71"/>
    <x v="204"/>
    <n v="2261.3602000000001"/>
    <n v="-0.2"/>
    <n v="2261.1602000000003"/>
    <n v="60372.977340000005"/>
    <n v="60395.588942000009"/>
  </r>
  <r>
    <x v="4"/>
    <n v="63.76"/>
    <n v="63.88"/>
    <x v="204"/>
    <n v="946.14940000000001"/>
    <n v="0"/>
    <n v="946.14940000000001"/>
    <n v="60326.485743999998"/>
    <n v="60440.023672000003"/>
  </r>
  <r>
    <x v="5"/>
    <n v="34.880000000000003"/>
    <n v="34.9"/>
    <x v="204"/>
    <n v="1730.1358"/>
    <n v="0.2"/>
    <n v="1730.3358000000001"/>
    <n v="60354.112704000006"/>
    <n v="60388.719420000001"/>
  </r>
  <r>
    <x v="6"/>
    <n v="52.54"/>
    <n v="52.55"/>
    <x v="204"/>
    <n v="1148.8689999999999"/>
    <n v="0.05"/>
    <n v="1148.9189999999999"/>
    <n v="60364.204259999991"/>
    <n v="60375.693449999992"/>
  </r>
  <r>
    <x v="7"/>
    <n v="46.83"/>
    <n v="46.84"/>
    <x v="204"/>
    <n v="1289.0675000000001"/>
    <n v="0"/>
    <n v="1289.0675000000001"/>
    <n v="60367.031025000004"/>
    <n v="60379.921700000006"/>
  </r>
  <r>
    <x v="8"/>
    <n v="17.07"/>
    <n v="17.079999999999998"/>
    <x v="204"/>
    <n v="3535.8029000000001"/>
    <n v="0"/>
    <n v="3535.8029000000001"/>
    <n v="60356.155503000002"/>
    <n v="60391.513531999997"/>
  </r>
  <r>
    <x v="9"/>
    <n v="34.19"/>
    <n v="34.200000000000003"/>
    <x v="204"/>
    <n v="1765.0835"/>
    <n v="0.2"/>
    <n v="1765.2835"/>
    <n v="60355.042864999996"/>
    <n v="60372.695700000004"/>
  </r>
  <r>
    <x v="0"/>
    <n v="19.97"/>
    <n v="19.98"/>
    <x v="205"/>
    <n v="3014.9834000000001"/>
    <n v="0"/>
    <n v="3014.9834000000001"/>
    <n v="60209.218497999995"/>
    <n v="60239.368332000005"/>
  </r>
  <r>
    <x v="1"/>
    <n v="32.68"/>
    <n v="32.69"/>
    <x v="205"/>
    <n v="1842.1406999999999"/>
    <n v="-0.1"/>
    <n v="1842.0407"/>
    <n v="60197.890076000003"/>
    <n v="60216.310482999994"/>
  </r>
  <r>
    <x v="2"/>
    <n v="16.97"/>
    <n v="16.98"/>
    <x v="205"/>
    <n v="3546.6351"/>
    <n v="0"/>
    <n v="3546.6351"/>
    <n v="60186.397646999998"/>
    <n v="60221.863998000001"/>
  </r>
  <r>
    <x v="3"/>
    <n v="26.62"/>
    <n v="26.63"/>
    <x v="205"/>
    <n v="2261.3602000000001"/>
    <n v="-0.2"/>
    <n v="2261.1602000000003"/>
    <n v="60192.084524000013"/>
    <n v="60214.696126000003"/>
  </r>
  <r>
    <x v="4"/>
    <n v="63.56"/>
    <n v="63.65"/>
    <x v="205"/>
    <n v="946.14940000000001"/>
    <n v="0"/>
    <n v="946.14940000000001"/>
    <n v="60137.255864000006"/>
    <n v="60222.409310000003"/>
  </r>
  <r>
    <x v="5"/>
    <n v="34.770000000000003"/>
    <n v="34.799999999999997"/>
    <x v="205"/>
    <n v="1730.1358"/>
    <n v="0.2"/>
    <n v="1730.3358000000001"/>
    <n v="60163.775766000006"/>
    <n v="60215.685839999998"/>
  </r>
  <r>
    <x v="6"/>
    <n v="52.38"/>
    <n v="52.39"/>
    <x v="205"/>
    <n v="1148.8689999999999"/>
    <n v="0.05"/>
    <n v="1148.9189999999999"/>
    <n v="60180.377219999995"/>
    <n v="60191.866409999995"/>
  </r>
  <r>
    <x v="7"/>
    <n v="46.69"/>
    <n v="46.7"/>
    <x v="205"/>
    <n v="1289.0675000000001"/>
    <n v="0"/>
    <n v="1289.0675000000001"/>
    <n v="60186.561575"/>
    <n v="60199.452250000009"/>
  </r>
  <r>
    <x v="8"/>
    <n v="17.02"/>
    <n v="17.03"/>
    <x v="205"/>
    <n v="3535.8029000000001"/>
    <n v="0"/>
    <n v="3535.8029000000001"/>
    <n v="60179.365358000003"/>
    <n v="60214.723387000005"/>
  </r>
  <r>
    <x v="9"/>
    <n v="34.08"/>
    <n v="34.090000000000003"/>
    <x v="205"/>
    <n v="1765.0835"/>
    <n v="0.2"/>
    <n v="1765.2835"/>
    <n v="60160.861679999995"/>
    <n v="60178.514515000003"/>
  </r>
  <r>
    <x v="0"/>
    <n v="20.03"/>
    <n v="20.04"/>
    <x v="206"/>
    <n v="3014.9834000000001"/>
    <n v="0"/>
    <n v="3014.9834000000001"/>
    <n v="60390.117502000008"/>
    <n v="60420.267335999997"/>
  </r>
  <r>
    <x v="1"/>
    <n v="32.79"/>
    <n v="32.799999999999997"/>
    <x v="206"/>
    <n v="1842.1406999999999"/>
    <n v="-0.1"/>
    <n v="1842.0407"/>
    <n v="60400.514553000001"/>
    <n v="60418.934959999999"/>
  </r>
  <r>
    <x v="2"/>
    <n v="17.03"/>
    <n v="17.04"/>
    <x v="206"/>
    <n v="3546.6351"/>
    <n v="0"/>
    <n v="3546.6351"/>
    <n v="60399.195753"/>
    <n v="60434.662103999995"/>
  </r>
  <r>
    <x v="3"/>
    <n v="26.71"/>
    <n v="26.72"/>
    <x v="206"/>
    <n v="2261.3602000000001"/>
    <n v="-0.2"/>
    <n v="2261.1602000000003"/>
    <n v="60395.588942000009"/>
    <n v="60418.200544000007"/>
  </r>
  <r>
    <x v="4"/>
    <n v="63.79"/>
    <n v="63.89"/>
    <x v="206"/>
    <n v="946.14940000000001"/>
    <n v="0"/>
    <n v="946.14940000000001"/>
    <n v="60354.870225999999"/>
    <n v="60449.485165999999"/>
  </r>
  <r>
    <x v="5"/>
    <n v="34.89"/>
    <n v="34.909999999999997"/>
    <x v="206"/>
    <n v="1730.1358"/>
    <n v="0.2"/>
    <n v="1730.3358000000001"/>
    <n v="60371.416062000004"/>
    <n v="60406.022777999999"/>
  </r>
  <r>
    <x v="6"/>
    <n v="52.56"/>
    <n v="52.57"/>
    <x v="206"/>
    <n v="1148.8689999999999"/>
    <n v="0.05"/>
    <n v="1148.9189999999999"/>
    <n v="60387.182639999999"/>
    <n v="60398.671829999992"/>
  </r>
  <r>
    <x v="7"/>
    <n v="46.85"/>
    <n v="46.86"/>
    <x v="206"/>
    <n v="1289.0675000000001"/>
    <n v="0"/>
    <n v="1289.0675000000001"/>
    <n v="60392.812375000009"/>
    <n v="60405.703050000004"/>
  </r>
  <r>
    <x v="8"/>
    <n v="17.079999999999998"/>
    <n v="17.09"/>
    <x v="206"/>
    <n v="3535.8029000000001"/>
    <n v="0"/>
    <n v="3535.8029000000001"/>
    <n v="60391.513531999997"/>
    <n v="60426.871561"/>
  </r>
  <r>
    <x v="9"/>
    <n v="34.200000000000003"/>
    <n v="34.21"/>
    <x v="206"/>
    <n v="1765.0835"/>
    <n v="0.2"/>
    <n v="1765.2835"/>
    <n v="60372.695700000004"/>
    <n v="60390.348535000005"/>
  </r>
  <r>
    <x v="0"/>
    <n v="20.02"/>
    <n v="20.03"/>
    <x v="207"/>
    <n v="3014.9834000000001"/>
    <n v="0"/>
    <n v="3014.9834000000001"/>
    <n v="60359.967667999998"/>
    <n v="60390.117502000008"/>
  </r>
  <r>
    <x v="1"/>
    <n v="32.770000000000003"/>
    <n v="32.78"/>
    <x v="207"/>
    <n v="1842.1406999999999"/>
    <n v="-0.1"/>
    <n v="1842.0407"/>
    <n v="60363.673739000005"/>
    <n v="60382.094146000003"/>
  </r>
  <r>
    <x v="2"/>
    <n v="17.02"/>
    <n v="17.03"/>
    <x v="207"/>
    <n v="3546.6351"/>
    <n v="0"/>
    <n v="3546.6351"/>
    <n v="60363.729401999997"/>
    <n v="60399.195753"/>
  </r>
  <r>
    <x v="3"/>
    <n v="26.7"/>
    <n v="26.71"/>
    <x v="207"/>
    <n v="2261.3602000000001"/>
    <n v="-0.2"/>
    <n v="2261.1602000000003"/>
    <n v="60372.977340000005"/>
    <n v="60395.588942000009"/>
  </r>
  <r>
    <x v="4"/>
    <n v="63.76"/>
    <n v="63.87"/>
    <x v="207"/>
    <n v="946.14940000000001"/>
    <n v="0"/>
    <n v="946.14940000000001"/>
    <n v="60326.485743999998"/>
    <n v="60430.562178"/>
  </r>
  <r>
    <x v="5"/>
    <n v="34.869999999999997"/>
    <n v="34.89"/>
    <x v="207"/>
    <n v="1730.1358"/>
    <n v="0.2"/>
    <n v="1730.3358000000001"/>
    <n v="60336.809345999995"/>
    <n v="60371.416062000004"/>
  </r>
  <r>
    <x v="6"/>
    <n v="52.54"/>
    <n v="52.55"/>
    <x v="207"/>
    <n v="1148.8689999999999"/>
    <n v="0.05"/>
    <n v="1148.9189999999999"/>
    <n v="60364.204259999991"/>
    <n v="60375.693449999992"/>
  </r>
  <r>
    <x v="7"/>
    <n v="46.82"/>
    <n v="46.83"/>
    <x v="207"/>
    <n v="1289.0675000000001"/>
    <n v="0"/>
    <n v="1289.0675000000001"/>
    <n v="60354.140350000009"/>
    <n v="60367.031025000004"/>
  </r>
  <r>
    <x v="8"/>
    <n v="17.07"/>
    <n v="17.079999999999998"/>
    <x v="207"/>
    <n v="3535.8029000000001"/>
    <n v="0"/>
    <n v="3535.8029000000001"/>
    <n v="60356.155503000002"/>
    <n v="60391.513531999997"/>
  </r>
  <r>
    <x v="9"/>
    <n v="34.18"/>
    <n v="34.19"/>
    <x v="207"/>
    <n v="1765.0835"/>
    <n v="0.2"/>
    <n v="1765.2835"/>
    <n v="60337.390030000002"/>
    <n v="60355.042864999996"/>
  </r>
  <r>
    <x v="0"/>
    <n v="19.77"/>
    <n v="19.78"/>
    <x v="208"/>
    <n v="3014.9834000000001"/>
    <n v="0"/>
    <n v="3014.9834000000001"/>
    <n v="59606.221817999998"/>
    <n v="59636.371652000002"/>
  </r>
  <r>
    <x v="1"/>
    <n v="32.36"/>
    <n v="32.369999999999997"/>
    <x v="208"/>
    <n v="1842.1406999999999"/>
    <n v="-0.1"/>
    <n v="1842.0407"/>
    <n v="59608.437052000001"/>
    <n v="59626.857458999999"/>
  </r>
  <r>
    <x v="2"/>
    <n v="16.8"/>
    <n v="16.809999999999999"/>
    <x v="208"/>
    <n v="3546.6351"/>
    <n v="0"/>
    <n v="3546.6351"/>
    <n v="59583.469680000002"/>
    <n v="59618.936030999997"/>
  </r>
  <r>
    <x v="3"/>
    <n v="26.36"/>
    <n v="26.37"/>
    <x v="208"/>
    <n v="2261.3602000000001"/>
    <n v="-0.2"/>
    <n v="2261.1602000000003"/>
    <n v="59604.182872000005"/>
    <n v="59626.794474000009"/>
  </r>
  <r>
    <x v="4"/>
    <n v="62.99"/>
    <n v="63.1"/>
    <x v="208"/>
    <n v="946.14940000000001"/>
    <n v="0"/>
    <n v="946.14940000000001"/>
    <n v="59597.950706000003"/>
    <n v="59702.027140000006"/>
  </r>
  <r>
    <x v="5"/>
    <n v="34.43"/>
    <n v="34.47"/>
    <x v="208"/>
    <n v="1730.1358"/>
    <n v="0.2"/>
    <n v="1730.3358000000001"/>
    <n v="59575.461594"/>
    <n v="59644.675025999997"/>
  </r>
  <r>
    <x v="6"/>
    <n v="51.89"/>
    <n v="51.9"/>
    <x v="208"/>
    <n v="1148.8689999999999"/>
    <n v="0.05"/>
    <n v="1148.9189999999999"/>
    <n v="59617.406909999991"/>
    <n v="59628.896099999991"/>
  </r>
  <r>
    <x v="7"/>
    <n v="46.25"/>
    <n v="46.26"/>
    <x v="208"/>
    <n v="1289.0675000000001"/>
    <n v="0"/>
    <n v="1289.0675000000001"/>
    <n v="59619.371875000004"/>
    <n v="59632.262549999999"/>
  </r>
  <r>
    <x v="8"/>
    <n v="16.86"/>
    <n v="16.87"/>
    <x v="208"/>
    <n v="3535.8029000000001"/>
    <n v="0"/>
    <n v="3535.8029000000001"/>
    <n v="59613.636894000003"/>
    <n v="59648.994923000006"/>
  </r>
  <r>
    <x v="9"/>
    <n v="33.76"/>
    <n v="33.770000000000003"/>
    <x v="208"/>
    <n v="1765.0835"/>
    <n v="0.2"/>
    <n v="1765.2835"/>
    <n v="59595.970959999999"/>
    <n v="59613.623795000007"/>
  </r>
  <r>
    <x v="0"/>
    <n v="19.829999999999998"/>
    <n v="19.84"/>
    <x v="209"/>
    <n v="3014.9834000000001"/>
    <n v="0"/>
    <n v="3014.9834000000001"/>
    <n v="59787.120821999997"/>
    <n v="59817.270656000001"/>
  </r>
  <r>
    <x v="1"/>
    <n v="32.46"/>
    <n v="32.47"/>
    <x v="209"/>
    <n v="1842.1406999999999"/>
    <n v="-0.1"/>
    <n v="1842.0407"/>
    <n v="59792.641122000001"/>
    <n v="59811.061528999999"/>
  </r>
  <r>
    <x v="2"/>
    <n v="16.850000000000001"/>
    <n v="16.86"/>
    <x v="209"/>
    <n v="3546.6351"/>
    <n v="0"/>
    <n v="3546.6351"/>
    <n v="59760.801435000001"/>
    <n v="59796.267785999997"/>
  </r>
  <r>
    <x v="3"/>
    <n v="26.43"/>
    <n v="26.44"/>
    <x v="209"/>
    <n v="2261.3602000000001"/>
    <n v="-0.2"/>
    <n v="2261.1602000000003"/>
    <n v="59762.464086000007"/>
    <n v="59785.075688000012"/>
  </r>
  <r>
    <x v="4"/>
    <n v="63.15"/>
    <n v="63.26"/>
    <x v="209"/>
    <n v="946.14940000000001"/>
    <n v="0"/>
    <n v="946.14940000000001"/>
    <n v="59749.334609999998"/>
    <n v="59853.411044"/>
  </r>
  <r>
    <x v="5"/>
    <n v="34.53"/>
    <n v="34.56"/>
    <x v="209"/>
    <n v="1730.1358"/>
    <n v="0.2"/>
    <n v="1730.3358000000001"/>
    <n v="59748.495174000003"/>
    <n v="59800.405248000003"/>
  </r>
  <r>
    <x v="6"/>
    <n v="52.03"/>
    <n v="52.04"/>
    <x v="209"/>
    <n v="1148.8689999999999"/>
    <n v="0.05"/>
    <n v="1148.9189999999999"/>
    <n v="59778.255569999994"/>
    <n v="59789.744759999994"/>
  </r>
  <r>
    <x v="7"/>
    <n v="46.38"/>
    <n v="46.39"/>
    <x v="209"/>
    <n v="1289.0675000000001"/>
    <n v="0"/>
    <n v="1289.0675000000001"/>
    <n v="59786.950650000006"/>
    <n v="59799.841325000009"/>
  </r>
  <r>
    <x v="8"/>
    <n v="16.899999999999999"/>
    <n v="16.91"/>
    <x v="209"/>
    <n v="3535.8029000000001"/>
    <n v="0"/>
    <n v="3535.8029000000001"/>
    <n v="59755.069009999999"/>
    <n v="59790.427039000002"/>
  </r>
  <r>
    <x v="9"/>
    <n v="33.85"/>
    <n v="33.86"/>
    <x v="209"/>
    <n v="1765.0835"/>
    <n v="0.2"/>
    <n v="1765.2835"/>
    <n v="59754.846475000006"/>
    <n v="59772.499309999999"/>
  </r>
  <r>
    <x v="0"/>
    <n v="19.68"/>
    <n v="19.690000000000001"/>
    <x v="210"/>
    <n v="3014.9834000000001"/>
    <n v="0"/>
    <n v="3014.9834000000001"/>
    <n v="59334.873312000003"/>
    <n v="59365.023146000007"/>
  </r>
  <r>
    <x v="1"/>
    <n v="32.22"/>
    <n v="32.229999999999997"/>
    <x v="210"/>
    <n v="1842.1406999999999"/>
    <n v="-0.1"/>
    <n v="1842.0407"/>
    <n v="59350.551353999996"/>
    <n v="59368.971760999993"/>
  </r>
  <r>
    <x v="2"/>
    <n v="16.73"/>
    <n v="16.739999999999998"/>
    <x v="210"/>
    <n v="3546.6351"/>
    <n v="0"/>
    <n v="3546.6351"/>
    <n v="59335.205223000004"/>
    <n v="59370.671573999993"/>
  </r>
  <r>
    <x v="3"/>
    <n v="26.24"/>
    <n v="26.25"/>
    <x v="210"/>
    <n v="2261.3602000000001"/>
    <n v="-0.2"/>
    <n v="2261.1602000000003"/>
    <n v="59332.843648000002"/>
    <n v="59355.455250000006"/>
  </r>
  <r>
    <x v="4"/>
    <n v="62.66"/>
    <n v="62.73"/>
    <x v="210"/>
    <n v="946.14940000000001"/>
    <n v="0"/>
    <n v="946.14940000000001"/>
    <n v="59285.721403999996"/>
    <n v="59351.951861999994"/>
  </r>
  <r>
    <x v="5"/>
    <n v="34.270000000000003"/>
    <n v="34.29"/>
    <x v="210"/>
    <n v="1730.1358"/>
    <n v="0.2"/>
    <n v="1730.3358000000001"/>
    <n v="59298.607866000006"/>
    <n v="59333.214582000001"/>
  </r>
  <r>
    <x v="6"/>
    <n v="51.65"/>
    <n v="51.66"/>
    <x v="210"/>
    <n v="1148.8689999999999"/>
    <n v="0.05"/>
    <n v="1148.9189999999999"/>
    <n v="59341.666349999992"/>
    <n v="59353.155539999992"/>
  </r>
  <r>
    <x v="7"/>
    <n v="46.04"/>
    <n v="46.05"/>
    <x v="210"/>
    <n v="1289.0675000000001"/>
    <n v="0"/>
    <n v="1289.0675000000001"/>
    <n v="59348.667700000005"/>
    <n v="59361.558375000001"/>
  </r>
  <r>
    <x v="8"/>
    <n v="16.78"/>
    <n v="16.79"/>
    <x v="210"/>
    <n v="3535.8029000000001"/>
    <n v="0"/>
    <n v="3535.8029000000001"/>
    <n v="59330.772662000003"/>
    <n v="59366.130690999998"/>
  </r>
  <r>
    <x v="9"/>
    <n v="33.6"/>
    <n v="33.61"/>
    <x v="210"/>
    <n v="1765.0835"/>
    <n v="0.2"/>
    <n v="1765.2835"/>
    <n v="59313.525600000001"/>
    <n v="59331.178435000002"/>
  </r>
  <r>
    <x v="0"/>
    <n v="19.71"/>
    <n v="19.72"/>
    <x v="211"/>
    <n v="3014.9834000000001"/>
    <n v="0"/>
    <n v="3014.9834000000001"/>
    <n v="59425.322814000006"/>
    <n v="59455.472647999995"/>
  </r>
  <r>
    <x v="1"/>
    <n v="32.270000000000003"/>
    <n v="32.28"/>
    <x v="211"/>
    <n v="1842.1406999999999"/>
    <n v="-0.1"/>
    <n v="1842.0407"/>
    <n v="59442.653389000006"/>
    <n v="59461.073796000004"/>
  </r>
  <r>
    <x v="2"/>
    <n v="16.760000000000002"/>
    <n v="16.77"/>
    <x v="211"/>
    <n v="3546.6351"/>
    <n v="0"/>
    <n v="3546.6351"/>
    <n v="59441.604276000005"/>
    <n v="59477.070627000001"/>
  </r>
  <r>
    <x v="3"/>
    <n v="26.29"/>
    <n v="26.3"/>
    <x v="211"/>
    <n v="2261.3602000000001"/>
    <n v="-0.2"/>
    <n v="2261.1602000000003"/>
    <n v="59445.901658000002"/>
    <n v="59468.513260000007"/>
  </r>
  <r>
    <x v="4"/>
    <n v="62.77"/>
    <n v="62.9"/>
    <x v="211"/>
    <n v="946.14940000000001"/>
    <n v="0"/>
    <n v="946.14940000000001"/>
    <n v="59389.797838000006"/>
    <n v="59512.797259999999"/>
  </r>
  <r>
    <x v="5"/>
    <n v="34.33"/>
    <n v="34.36"/>
    <x v="211"/>
    <n v="1730.1358"/>
    <n v="0.2"/>
    <n v="1730.3358000000001"/>
    <n v="59402.428013999997"/>
    <n v="59454.338088000004"/>
  </r>
  <r>
    <x v="6"/>
    <n v="51.73"/>
    <n v="51.74"/>
    <x v="211"/>
    <n v="1148.8689999999999"/>
    <n v="0.05"/>
    <n v="1148.9189999999999"/>
    <n v="59433.579869999987"/>
    <n v="59445.069059999994"/>
  </r>
  <r>
    <x v="7"/>
    <n v="46.11"/>
    <n v="46.12"/>
    <x v="211"/>
    <n v="1289.0675000000001"/>
    <n v="0"/>
    <n v="1289.0675000000001"/>
    <n v="59438.902425000007"/>
    <n v="59451.793100000003"/>
  </r>
  <r>
    <x v="8"/>
    <n v="16.809999999999999"/>
    <n v="16.82"/>
    <x v="211"/>
    <n v="3535.8029000000001"/>
    <n v="0"/>
    <n v="3535.8029000000001"/>
    <n v="59436.846748999997"/>
    <n v="59472.204778000007"/>
  </r>
  <r>
    <x v="9"/>
    <n v="33.659999999999997"/>
    <n v="33.67"/>
    <x v="211"/>
    <n v="1765.0835"/>
    <n v="0.2"/>
    <n v="1765.2835"/>
    <n v="59419.442609999991"/>
    <n v="59437.095445000006"/>
  </r>
  <r>
    <x v="0"/>
    <n v="19.68"/>
    <n v="19.690000000000001"/>
    <x v="212"/>
    <n v="3014.9834000000001"/>
    <n v="0"/>
    <n v="3014.9834000000001"/>
    <n v="59334.873312000003"/>
    <n v="59365.023146000007"/>
  </r>
  <r>
    <x v="1"/>
    <n v="32.200000000000003"/>
    <n v="32.21"/>
    <x v="212"/>
    <n v="1842.1406999999999"/>
    <n v="-0.1"/>
    <n v="1842.0407"/>
    <n v="59313.710540000007"/>
    <n v="59332.130947000005"/>
  </r>
  <r>
    <x v="2"/>
    <n v="16.72"/>
    <n v="16.73"/>
    <x v="212"/>
    <n v="3546.6351"/>
    <n v="0"/>
    <n v="3546.6351"/>
    <n v="59299.738871999994"/>
    <n v="59335.205223000004"/>
  </r>
  <r>
    <x v="3"/>
    <n v="26.23"/>
    <n v="26.24"/>
    <x v="212"/>
    <n v="2261.3602000000001"/>
    <n v="-0.2"/>
    <n v="2261.1602000000003"/>
    <n v="59310.232046000005"/>
    <n v="59332.843648000002"/>
  </r>
  <r>
    <x v="4"/>
    <n v="62.64"/>
    <n v="62.73"/>
    <x v="212"/>
    <n v="946.14940000000001"/>
    <n v="0"/>
    <n v="946.14940000000001"/>
    <n v="59266.798415999998"/>
    <n v="59351.951861999994"/>
  </r>
  <r>
    <x v="5"/>
    <n v="34.270000000000003"/>
    <n v="34.29"/>
    <x v="212"/>
    <n v="1730.1358"/>
    <n v="0.2"/>
    <n v="1730.3358000000001"/>
    <n v="59298.607866000006"/>
    <n v="59333.214582000001"/>
  </r>
  <r>
    <x v="6"/>
    <n v="51.62"/>
    <n v="51.63"/>
    <x v="212"/>
    <n v="1148.8689999999999"/>
    <n v="0.05"/>
    <n v="1148.9189999999999"/>
    <n v="59307.198779999992"/>
    <n v="59318.687969999999"/>
  </r>
  <r>
    <x v="7"/>
    <n v="46.01"/>
    <n v="46.02"/>
    <x v="212"/>
    <n v="1289.0675000000001"/>
    <n v="0"/>
    <n v="1289.0675000000001"/>
    <n v="59309.995675000006"/>
    <n v="59322.886350000008"/>
  </r>
  <r>
    <x v="8"/>
    <n v="16.77"/>
    <n v="16.78"/>
    <x v="212"/>
    <n v="3535.8029000000001"/>
    <n v="0"/>
    <n v="3535.8029000000001"/>
    <n v="59295.414633"/>
    <n v="59330.772662000003"/>
  </r>
  <r>
    <x v="9"/>
    <n v="33.590000000000003"/>
    <n v="33.6"/>
    <x v="212"/>
    <n v="1765.0835"/>
    <n v="0.2"/>
    <n v="1765.2835"/>
    <n v="59295.872765000007"/>
    <n v="59313.525600000001"/>
  </r>
  <r>
    <x v="0"/>
    <n v="19.690000000000001"/>
    <n v="19.7"/>
    <x v="213"/>
    <n v="3014.9834000000001"/>
    <n v="0"/>
    <n v="3014.9834000000001"/>
    <n v="59365.023146000007"/>
    <n v="59395.172979999996"/>
  </r>
  <r>
    <x v="1"/>
    <n v="32.22"/>
    <n v="32.229999999999997"/>
    <x v="213"/>
    <n v="1842.1406999999999"/>
    <n v="-0.1"/>
    <n v="1842.0407"/>
    <n v="59350.551353999996"/>
    <n v="59368.971760999993"/>
  </r>
  <r>
    <x v="2"/>
    <n v="16.73"/>
    <n v="16.739999999999998"/>
    <x v="213"/>
    <n v="3546.6351"/>
    <n v="0"/>
    <n v="3546.6351"/>
    <n v="59335.205223000004"/>
    <n v="59370.671573999993"/>
  </r>
  <r>
    <x v="3"/>
    <n v="26.24"/>
    <n v="26.25"/>
    <x v="213"/>
    <n v="2261.3602000000001"/>
    <n v="-0.2"/>
    <n v="2261.1602000000003"/>
    <n v="59332.843648000002"/>
    <n v="59355.455250000006"/>
  </r>
  <r>
    <x v="4"/>
    <n v="62.65"/>
    <n v="62.78"/>
    <x v="213"/>
    <n v="946.14940000000001"/>
    <n v="0"/>
    <n v="946.14940000000001"/>
    <n v="59276.259910000001"/>
    <n v="59399.259332000001"/>
  </r>
  <r>
    <x v="5"/>
    <n v="34.270000000000003"/>
    <n v="34.299999999999997"/>
    <x v="213"/>
    <n v="1730.1358"/>
    <n v="0.2"/>
    <n v="1730.3358000000001"/>
    <n v="59298.607866000006"/>
    <n v="59350.517939999998"/>
  </r>
  <r>
    <x v="6"/>
    <n v="51.65"/>
    <n v="51.66"/>
    <x v="213"/>
    <n v="1148.8689999999999"/>
    <n v="0.05"/>
    <n v="1148.9189999999999"/>
    <n v="59341.666349999992"/>
    <n v="59353.155539999992"/>
  </r>
  <r>
    <x v="7"/>
    <n v="46.04"/>
    <n v="46.05"/>
    <x v="213"/>
    <n v="1289.0675000000001"/>
    <n v="0"/>
    <n v="1289.0675000000001"/>
    <n v="59348.667700000005"/>
    <n v="59361.558375000001"/>
  </r>
  <r>
    <x v="8"/>
    <n v="16.78"/>
    <n v="16.79"/>
    <x v="213"/>
    <n v="3535.8029000000001"/>
    <n v="0"/>
    <n v="3535.8029000000001"/>
    <n v="59330.772662000003"/>
    <n v="59366.130690999998"/>
  </r>
  <r>
    <x v="9"/>
    <n v="33.61"/>
    <n v="33.619999999999997"/>
    <x v="213"/>
    <n v="1765.0835"/>
    <n v="0.2"/>
    <n v="1765.2835"/>
    <n v="59331.178435000002"/>
    <n v="59348.831269999995"/>
  </r>
  <r>
    <x v="0"/>
    <n v="19.82"/>
    <n v="19.829999999999998"/>
    <x v="214"/>
    <n v="3014.9834000000001"/>
    <n v="0"/>
    <n v="3014.9834000000001"/>
    <n v="59756.970988000001"/>
    <n v="59787.120821999997"/>
  </r>
  <r>
    <x v="1"/>
    <n v="32.44"/>
    <n v="32.450000000000003"/>
    <x v="214"/>
    <n v="1842.1406999999999"/>
    <n v="-0.1"/>
    <n v="1842.0407"/>
    <n v="59755.800307999998"/>
    <n v="59774.220715000003"/>
  </r>
  <r>
    <x v="2"/>
    <n v="16.850000000000001"/>
    <n v="16.86"/>
    <x v="214"/>
    <n v="3546.6351"/>
    <n v="0"/>
    <n v="3546.6351"/>
    <n v="59760.801435000001"/>
    <n v="59796.267785999997"/>
  </r>
  <r>
    <x v="3"/>
    <n v="26.42"/>
    <n v="26.43"/>
    <x v="214"/>
    <n v="2261.3602000000001"/>
    <n v="-0.2"/>
    <n v="2261.1602000000003"/>
    <n v="59739.85248400001"/>
    <n v="59762.464086000007"/>
  </r>
  <r>
    <x v="4"/>
    <n v="63.08"/>
    <n v="63.16"/>
    <x v="214"/>
    <n v="946.14940000000001"/>
    <n v="0"/>
    <n v="946.14940000000001"/>
    <n v="59683.104152"/>
    <n v="59758.796104000001"/>
  </r>
  <r>
    <x v="5"/>
    <n v="34.51"/>
    <n v="34.54"/>
    <x v="214"/>
    <n v="1730.1358"/>
    <n v="0.2"/>
    <n v="1730.3358000000001"/>
    <n v="59713.888458000001"/>
    <n v="59765.798532000001"/>
  </r>
  <r>
    <x v="6"/>
    <n v="51.99"/>
    <n v="52"/>
    <x v="214"/>
    <n v="1148.8689999999999"/>
    <n v="0.05"/>
    <n v="1148.9189999999999"/>
    <n v="59732.298809999993"/>
    <n v="59743.787999999993"/>
  </r>
  <r>
    <x v="7"/>
    <n v="46.34"/>
    <n v="46.35"/>
    <x v="214"/>
    <n v="1289.0675000000001"/>
    <n v="0"/>
    <n v="1289.0675000000001"/>
    <n v="59735.387950000011"/>
    <n v="59748.278625000006"/>
  </r>
  <r>
    <x v="8"/>
    <n v="16.89"/>
    <n v="16.899999999999999"/>
    <x v="214"/>
    <n v="3535.8029000000001"/>
    <n v="0"/>
    <n v="3535.8029000000001"/>
    <n v="59719.710981000004"/>
    <n v="59755.069009999999"/>
  </r>
  <r>
    <x v="9"/>
    <n v="33.83"/>
    <n v="33.840000000000003"/>
    <x v="214"/>
    <n v="1765.0835"/>
    <n v="0.2"/>
    <n v="1765.2835"/>
    <n v="59719.540804999997"/>
    <n v="59737.193640000005"/>
  </r>
  <r>
    <x v="0"/>
    <n v="19.739999999999998"/>
    <n v="19.75"/>
    <x v="215"/>
    <n v="3014.9834000000001"/>
    <n v="0"/>
    <n v="3014.9834000000001"/>
    <n v="59515.772315999995"/>
    <n v="59545.922149999999"/>
  </r>
  <r>
    <x v="1"/>
    <n v="32.31"/>
    <n v="32.32"/>
    <x v="215"/>
    <n v="1842.1406999999999"/>
    <n v="-0.1"/>
    <n v="1842.0407"/>
    <n v="59516.335017000005"/>
    <n v="59534.755424000003"/>
  </r>
  <r>
    <x v="2"/>
    <n v="16.78"/>
    <n v="16.79"/>
    <x v="215"/>
    <n v="3546.6351"/>
    <n v="0"/>
    <n v="3546.6351"/>
    <n v="59512.536978000004"/>
    <n v="59548.003328999999"/>
  </r>
  <r>
    <x v="3"/>
    <n v="26.31"/>
    <n v="26.32"/>
    <x v="215"/>
    <n v="2261.3602000000001"/>
    <n v="-0.2"/>
    <n v="2261.1602000000003"/>
    <n v="59491.124862000004"/>
    <n v="59513.736464000009"/>
  </r>
  <r>
    <x v="4"/>
    <n v="62.84"/>
    <n v="62.96"/>
    <x v="215"/>
    <n v="946.14940000000001"/>
    <n v="0"/>
    <n v="946.14940000000001"/>
    <n v="59456.028296000004"/>
    <n v="59569.566224000002"/>
  </r>
  <r>
    <x v="5"/>
    <n v="34.369999999999997"/>
    <n v="34.4"/>
    <x v="215"/>
    <n v="1730.1358"/>
    <n v="0.2"/>
    <n v="1730.3358000000001"/>
    <n v="59471.641445999994"/>
    <n v="59523.551520000001"/>
  </r>
  <r>
    <x v="6"/>
    <n v="51.78"/>
    <n v="51.79"/>
    <x v="215"/>
    <n v="1148.8689999999999"/>
    <n v="0.05"/>
    <n v="1148.9189999999999"/>
    <n v="59491.025819999995"/>
    <n v="59502.515009999996"/>
  </r>
  <r>
    <x v="7"/>
    <n v="46.16"/>
    <n v="46.17"/>
    <x v="215"/>
    <n v="1289.0675000000001"/>
    <n v="0"/>
    <n v="1289.0675000000001"/>
    <n v="59503.355799999998"/>
    <n v="59516.246475000007"/>
  </r>
  <r>
    <x v="8"/>
    <n v="16.82"/>
    <n v="16.829999999999998"/>
    <x v="215"/>
    <n v="3535.8029000000001"/>
    <n v="0"/>
    <n v="3535.8029000000001"/>
    <n v="59472.204778000007"/>
    <n v="59507.562806999995"/>
  </r>
  <r>
    <x v="9"/>
    <n v="33.69"/>
    <n v="33.700000000000003"/>
    <x v="215"/>
    <n v="1765.0835"/>
    <n v="0.2"/>
    <n v="1765.2835"/>
    <n v="59472.401114999993"/>
    <n v="59490.053950000009"/>
  </r>
  <r>
    <x v="0"/>
    <n v="19.68"/>
    <n v="19.690000000000001"/>
    <x v="216"/>
    <n v="3014.9834000000001"/>
    <n v="0"/>
    <n v="3014.9834000000001"/>
    <n v="59334.873312000003"/>
    <n v="59365.023146000007"/>
  </r>
  <r>
    <x v="1"/>
    <n v="32.22"/>
    <n v="32.229999999999997"/>
    <x v="216"/>
    <n v="1842.1406999999999"/>
    <n v="-0.1"/>
    <n v="1842.0407"/>
    <n v="59350.551353999996"/>
    <n v="59368.971760999993"/>
  </r>
  <r>
    <x v="2"/>
    <n v="16.73"/>
    <n v="16.739999999999998"/>
    <x v="216"/>
    <n v="3546.6351"/>
    <n v="0"/>
    <n v="3546.6351"/>
    <n v="59335.205223000004"/>
    <n v="59370.671573999993"/>
  </r>
  <r>
    <x v="3"/>
    <n v="26.24"/>
    <n v="26.25"/>
    <x v="216"/>
    <n v="2261.3602000000001"/>
    <n v="-0.2"/>
    <n v="2261.1602000000003"/>
    <n v="59332.843648000002"/>
    <n v="59355.455250000006"/>
  </r>
  <r>
    <x v="4"/>
    <n v="62.65"/>
    <n v="62.76"/>
    <x v="216"/>
    <n v="946.14940000000001"/>
    <n v="0"/>
    <n v="946.14940000000001"/>
    <n v="59276.259910000001"/>
    <n v="59380.336343999996"/>
  </r>
  <r>
    <x v="5"/>
    <n v="34.270000000000003"/>
    <n v="34.29"/>
    <x v="216"/>
    <n v="1730.1358"/>
    <n v="0.2"/>
    <n v="1730.3358000000001"/>
    <n v="59298.607866000006"/>
    <n v="59333.214582000001"/>
  </r>
  <r>
    <x v="6"/>
    <n v="51.63"/>
    <n v="51.64"/>
    <x v="216"/>
    <n v="1148.8689999999999"/>
    <n v="0.05"/>
    <n v="1148.9189999999999"/>
    <n v="59318.687969999999"/>
    <n v="59330.177159999992"/>
  </r>
  <r>
    <x v="7"/>
    <n v="46.03"/>
    <n v="46.04"/>
    <x v="216"/>
    <n v="1289.0675000000001"/>
    <n v="0"/>
    <n v="1289.0675000000001"/>
    <n v="59335.777025000003"/>
    <n v="59348.667700000005"/>
  </r>
  <r>
    <x v="8"/>
    <n v="16.77"/>
    <n v="16.78"/>
    <x v="216"/>
    <n v="3535.8029000000001"/>
    <n v="0"/>
    <n v="3535.8029000000001"/>
    <n v="59295.414633"/>
    <n v="59330.772662000003"/>
  </r>
  <r>
    <x v="9"/>
    <n v="33.6"/>
    <n v="33.61"/>
    <x v="216"/>
    <n v="1765.0835"/>
    <n v="0.2"/>
    <n v="1765.2835"/>
    <n v="59313.525600000001"/>
    <n v="59331.178435000002"/>
  </r>
  <r>
    <x v="0"/>
    <n v="19.75"/>
    <n v="19.760000000000002"/>
    <x v="217"/>
    <n v="3014.9834000000001"/>
    <n v="0"/>
    <n v="3014.9834000000001"/>
    <n v="59545.922149999999"/>
    <n v="59576.071984000009"/>
  </r>
  <r>
    <x v="1"/>
    <n v="32.32"/>
    <n v="32.33"/>
    <x v="217"/>
    <n v="1842.1406999999999"/>
    <n v="-0.1"/>
    <n v="1842.0407"/>
    <n v="59534.755424000003"/>
    <n v="59553.175831"/>
  </r>
  <r>
    <x v="2"/>
    <n v="16.78"/>
    <n v="16.79"/>
    <x v="217"/>
    <n v="3546.6351"/>
    <n v="0"/>
    <n v="3546.6351"/>
    <n v="59512.536978000004"/>
    <n v="59548.003328999999"/>
  </r>
  <r>
    <x v="3"/>
    <n v="26.32"/>
    <n v="26.33"/>
    <x v="217"/>
    <n v="2261.3602000000001"/>
    <n v="-0.2"/>
    <n v="2261.1602000000003"/>
    <n v="59513.736464000009"/>
    <n v="59536.348066000006"/>
  </r>
  <r>
    <x v="4"/>
    <n v="62.87"/>
    <n v="62.96"/>
    <x v="217"/>
    <n v="946.14940000000001"/>
    <n v="0"/>
    <n v="946.14940000000001"/>
    <n v="59484.412777999998"/>
    <n v="59569.566224000002"/>
  </r>
  <r>
    <x v="5"/>
    <n v="34.39"/>
    <n v="34.4"/>
    <x v="217"/>
    <n v="1730.1358"/>
    <n v="0.2"/>
    <n v="1730.3358000000001"/>
    <n v="59506.248162000004"/>
    <n v="59523.551520000001"/>
  </r>
  <r>
    <x v="6"/>
    <n v="51.8"/>
    <n v="51.81"/>
    <x v="217"/>
    <n v="1148.8689999999999"/>
    <n v="0.05"/>
    <n v="1148.9189999999999"/>
    <n v="59514.004199999988"/>
    <n v="59525.493389999996"/>
  </r>
  <r>
    <x v="7"/>
    <n v="46.18"/>
    <n v="46.19"/>
    <x v="217"/>
    <n v="1289.0675000000001"/>
    <n v="0"/>
    <n v="1289.0675000000001"/>
    <n v="59529.137150000002"/>
    <n v="59542.027825000005"/>
  </r>
  <r>
    <x v="8"/>
    <n v="16.829999999999998"/>
    <n v="16.84"/>
    <x v="217"/>
    <n v="3535.8029000000001"/>
    <n v="0"/>
    <n v="3535.8029000000001"/>
    <n v="59507.562806999995"/>
    <n v="59542.920836000005"/>
  </r>
  <r>
    <x v="9"/>
    <n v="33.71"/>
    <n v="33.72"/>
    <x v="217"/>
    <n v="1765.0835"/>
    <n v="0.2"/>
    <n v="1765.2835"/>
    <n v="59507.706785000002"/>
    <n v="59525.359619999996"/>
  </r>
  <r>
    <x v="0"/>
    <n v="19.75"/>
    <n v="19.760000000000002"/>
    <x v="218"/>
    <n v="3014.9834000000001"/>
    <n v="0"/>
    <n v="3014.9834000000001"/>
    <n v="59545.922149999999"/>
    <n v="59576.071984000009"/>
  </r>
  <r>
    <x v="1"/>
    <n v="32.31"/>
    <n v="32.32"/>
    <x v="218"/>
    <n v="1842.1406999999999"/>
    <n v="-0.1"/>
    <n v="1842.0407"/>
    <n v="59516.335017000005"/>
    <n v="59534.755424000003"/>
  </r>
  <r>
    <x v="2"/>
    <n v="16.78"/>
    <n v="16.79"/>
    <x v="218"/>
    <n v="3546.6351"/>
    <n v="0"/>
    <n v="3546.6351"/>
    <n v="59512.536978000004"/>
    <n v="59548.003328999999"/>
  </r>
  <r>
    <x v="3"/>
    <n v="26.32"/>
    <n v="26.33"/>
    <x v="218"/>
    <n v="2261.3602000000001"/>
    <n v="-0.2"/>
    <n v="2261.1602000000003"/>
    <n v="59513.736464000009"/>
    <n v="59536.348066000006"/>
  </r>
  <r>
    <x v="4"/>
    <n v="62.85"/>
    <n v="62.98"/>
    <x v="218"/>
    <n v="946.14940000000001"/>
    <n v="0"/>
    <n v="946.14940000000001"/>
    <n v="59465.48979"/>
    <n v="59588.489212"/>
  </r>
  <r>
    <x v="5"/>
    <n v="34.380000000000003"/>
    <n v="34.4"/>
    <x v="218"/>
    <n v="1730.1358"/>
    <n v="0.2"/>
    <n v="1730.3358000000001"/>
    <n v="59488.944804000006"/>
    <n v="59523.551520000001"/>
  </r>
  <r>
    <x v="6"/>
    <n v="51.78"/>
    <n v="51.79"/>
    <x v="218"/>
    <n v="1148.8689999999999"/>
    <n v="0.05"/>
    <n v="1148.9189999999999"/>
    <n v="59491.025819999995"/>
    <n v="59502.515009999996"/>
  </r>
  <r>
    <x v="7"/>
    <n v="46.16"/>
    <n v="46.17"/>
    <x v="218"/>
    <n v="1289.0675000000001"/>
    <n v="0"/>
    <n v="1289.0675000000001"/>
    <n v="59503.355799999998"/>
    <n v="59516.246475000007"/>
  </r>
  <r>
    <x v="8"/>
    <n v="16.829999999999998"/>
    <n v="16.84"/>
    <x v="218"/>
    <n v="3535.8029000000001"/>
    <n v="0"/>
    <n v="3535.8029000000001"/>
    <n v="59507.562806999995"/>
    <n v="59542.920836000005"/>
  </r>
  <r>
    <x v="9"/>
    <n v="33.700000000000003"/>
    <n v="33.71"/>
    <x v="218"/>
    <n v="1765.0835"/>
    <n v="0.2"/>
    <n v="1765.2835"/>
    <n v="59490.053950000009"/>
    <n v="59507.706785000002"/>
  </r>
  <r>
    <x v="0"/>
    <n v="19.829999999999998"/>
    <n v="19.84"/>
    <x v="219"/>
    <n v="3014.9834000000001"/>
    <n v="0"/>
    <n v="3014.9834000000001"/>
    <n v="59787.120821999997"/>
    <n v="59817.270656000001"/>
  </r>
  <r>
    <x v="1"/>
    <n v="32.450000000000003"/>
    <n v="32.46"/>
    <x v="219"/>
    <n v="1842.1406999999999"/>
    <n v="-0.1"/>
    <n v="1842.0407"/>
    <n v="59774.220715000003"/>
    <n v="59792.641122000001"/>
  </r>
  <r>
    <x v="2"/>
    <n v="16.850000000000001"/>
    <n v="16.86"/>
    <x v="219"/>
    <n v="3546.6351"/>
    <n v="0"/>
    <n v="3546.6351"/>
    <n v="59760.801435000001"/>
    <n v="59796.267785999997"/>
  </r>
  <r>
    <x v="3"/>
    <n v="26.43"/>
    <n v="26.44"/>
    <x v="219"/>
    <n v="2261.3602000000001"/>
    <n v="-0.2"/>
    <n v="2261.1602000000003"/>
    <n v="59762.464086000007"/>
    <n v="59785.075688000012"/>
  </r>
  <r>
    <x v="4"/>
    <n v="63.13"/>
    <n v="63.22"/>
    <x v="219"/>
    <n v="946.14940000000001"/>
    <n v="0"/>
    <n v="946.14940000000001"/>
    <n v="59730.411622000007"/>
    <n v="59815.565067999996"/>
  </r>
  <r>
    <x v="5"/>
    <n v="34.520000000000003"/>
    <n v="34.54"/>
    <x v="219"/>
    <n v="1730.1358"/>
    <n v="0.2"/>
    <n v="1730.3358000000001"/>
    <n v="59731.191816000006"/>
    <n v="59765.798532000001"/>
  </r>
  <r>
    <x v="6"/>
    <n v="52"/>
    <n v="52.01"/>
    <x v="219"/>
    <n v="1148.8689999999999"/>
    <n v="0.05"/>
    <n v="1148.9189999999999"/>
    <n v="59743.787999999993"/>
    <n v="59755.277189999993"/>
  </r>
  <r>
    <x v="7"/>
    <n v="46.35"/>
    <n v="46.36"/>
    <x v="219"/>
    <n v="1289.0675000000001"/>
    <n v="0"/>
    <n v="1289.0675000000001"/>
    <n v="59748.278625000006"/>
    <n v="59761.169300000001"/>
  </r>
  <r>
    <x v="8"/>
    <n v="16.899999999999999"/>
    <n v="16.91"/>
    <x v="219"/>
    <n v="3535.8029000000001"/>
    <n v="0"/>
    <n v="3535.8029000000001"/>
    <n v="59755.069009999999"/>
    <n v="59790.427039000002"/>
  </r>
  <r>
    <x v="9"/>
    <n v="33.85"/>
    <n v="33.86"/>
    <x v="219"/>
    <n v="1765.0835"/>
    <n v="0.2"/>
    <n v="1765.2835"/>
    <n v="59754.846475000006"/>
    <n v="59772.499309999999"/>
  </r>
  <r>
    <x v="0"/>
    <n v="19.829999999999998"/>
    <n v="19.84"/>
    <x v="220"/>
    <n v="3014.9834000000001"/>
    <n v="0"/>
    <n v="3014.9834000000001"/>
    <n v="59787.120821999997"/>
    <n v="59817.270656000001"/>
  </r>
  <r>
    <x v="1"/>
    <n v="32.46"/>
    <n v="32.47"/>
    <x v="220"/>
    <n v="1842.1406999999999"/>
    <n v="-0.1"/>
    <n v="1842.0407"/>
    <n v="59792.641122000001"/>
    <n v="59811.061528999999"/>
  </r>
  <r>
    <x v="2"/>
    <n v="16.850000000000001"/>
    <n v="16.86"/>
    <x v="220"/>
    <n v="3546.6351"/>
    <n v="0"/>
    <n v="3546.6351"/>
    <n v="59760.801435000001"/>
    <n v="59796.267785999997"/>
  </r>
  <r>
    <x v="3"/>
    <n v="26.44"/>
    <n v="26.45"/>
    <x v="220"/>
    <n v="2261.3602000000001"/>
    <n v="-0.2"/>
    <n v="2261.1602000000003"/>
    <n v="59785.075688000012"/>
    <n v="59807.687290000002"/>
  </r>
  <r>
    <x v="4"/>
    <n v="63.13"/>
    <n v="63.22"/>
    <x v="220"/>
    <n v="946.14940000000001"/>
    <n v="0"/>
    <n v="946.14940000000001"/>
    <n v="59730.411622000007"/>
    <n v="59815.565067999996"/>
  </r>
  <r>
    <x v="5"/>
    <n v="34.53"/>
    <n v="34.549999999999997"/>
    <x v="220"/>
    <n v="1730.1358"/>
    <n v="0.2"/>
    <n v="1730.3358000000001"/>
    <n v="59748.495174000003"/>
    <n v="59783.101889999998"/>
  </r>
  <r>
    <x v="6"/>
    <n v="52.03"/>
    <n v="52.04"/>
    <x v="220"/>
    <n v="1148.8689999999999"/>
    <n v="0.05"/>
    <n v="1148.9189999999999"/>
    <n v="59778.255569999994"/>
    <n v="59789.744759999994"/>
  </r>
  <r>
    <x v="7"/>
    <n v="46.37"/>
    <n v="46.38"/>
    <x v="220"/>
    <n v="1289.0675000000001"/>
    <n v="0"/>
    <n v="1289.0675000000001"/>
    <n v="59774.059975000004"/>
    <n v="59786.950650000006"/>
  </r>
  <r>
    <x v="8"/>
    <n v="16.899999999999999"/>
    <n v="16.91"/>
    <x v="220"/>
    <n v="3535.8029000000001"/>
    <n v="0"/>
    <n v="3535.8029000000001"/>
    <n v="59755.069009999999"/>
    <n v="59790.427039000002"/>
  </r>
  <r>
    <x v="9"/>
    <n v="33.86"/>
    <n v="33.869999999999997"/>
    <x v="220"/>
    <n v="1765.0835"/>
    <n v="0.2"/>
    <n v="1765.2835"/>
    <n v="59772.499309999999"/>
    <n v="59790.152144999993"/>
  </r>
  <r>
    <x v="0"/>
    <n v="19.95"/>
    <n v="19.96"/>
    <x v="221"/>
    <n v="3015.0007000000001"/>
    <n v="0"/>
    <n v="3015.0007000000001"/>
    <n v="60149.263964999998"/>
    <n v="60179.413972000002"/>
  </r>
  <r>
    <x v="1"/>
    <n v="32.659999999999997"/>
    <n v="32.67"/>
    <x v="221"/>
    <n v="1842.1507999999999"/>
    <n v="-0.1"/>
    <n v="1842.0508"/>
    <n v="60161.379127999993"/>
    <n v="60179.799636000003"/>
  </r>
  <r>
    <x v="2"/>
    <n v="16.95"/>
    <n v="16.96"/>
    <x v="221"/>
    <n v="3546.6594"/>
    <n v="0"/>
    <n v="3546.6594"/>
    <n v="60115.876830000001"/>
    <n v="60151.343424000006"/>
  </r>
  <r>
    <x v="3"/>
    <n v="26.6"/>
    <n v="26.61"/>
    <x v="221"/>
    <n v="2261.3694999999998"/>
    <n v="-0.2"/>
    <n v="2261.1695"/>
    <n v="60147.108700000004"/>
    <n v="60169.720394999997"/>
  </r>
  <r>
    <x v="4"/>
    <n v="63.47"/>
    <n v="63.6"/>
    <x v="221"/>
    <n v="946.15589999999997"/>
    <n v="0"/>
    <n v="946.15589999999997"/>
    <n v="60052.514972999998"/>
    <n v="60175.515240000001"/>
  </r>
  <r>
    <x v="5"/>
    <n v="34.729999999999997"/>
    <n v="34.770000000000003"/>
    <x v="221"/>
    <n v="1730.1448"/>
    <n v="0.2"/>
    <n v="1730.3448000000001"/>
    <n v="60094.874903999997"/>
    <n v="60164.088696000006"/>
  </r>
  <r>
    <x v="6"/>
    <n v="52.34"/>
    <n v="52.35"/>
    <x v="221"/>
    <n v="1148.8769"/>
    <n v="0.05"/>
    <n v="1148.9268999999999"/>
    <n v="60134.833945999999"/>
    <n v="60146.323214999997"/>
  </r>
  <r>
    <x v="7"/>
    <n v="46.66"/>
    <n v="46.67"/>
    <x v="221"/>
    <n v="1289.1205"/>
    <n v="0"/>
    <n v="1289.1205"/>
    <n v="60150.362529999999"/>
    <n v="60163.253734999998"/>
  </r>
  <r>
    <x v="8"/>
    <n v="17"/>
    <n v="17.010000000000002"/>
    <x v="221"/>
    <n v="3535.8029000000001"/>
    <n v="0"/>
    <n v="3535.8029000000001"/>
    <n v="60108.649300000005"/>
    <n v="60144.007329000007"/>
  </r>
  <r>
    <x v="9"/>
    <n v="34.06"/>
    <n v="34.07"/>
    <x v="221"/>
    <n v="1765.0956000000001"/>
    <n v="0.2"/>
    <n v="1765.2956000000001"/>
    <n v="60125.96813600001"/>
    <n v="60143.621092000009"/>
  </r>
  <r>
    <x v="0"/>
    <n v="19.690000000000001"/>
    <n v="19.7"/>
    <x v="222"/>
    <n v="3015.0007000000001"/>
    <n v="0"/>
    <n v="3015.0007000000001"/>
    <n v="59365.363783000008"/>
    <n v="59395.513789999997"/>
  </r>
  <r>
    <x v="1"/>
    <n v="32.229999999999997"/>
    <n v="32.24"/>
    <x v="222"/>
    <n v="1842.1507999999999"/>
    <n v="-0.1"/>
    <n v="1842.0508"/>
    <n v="59369.297283999993"/>
    <n v="59387.717792000003"/>
  </r>
  <r>
    <x v="2"/>
    <n v="16.739999999999998"/>
    <n v="16.75"/>
    <x v="222"/>
    <n v="3546.6594"/>
    <n v="0"/>
    <n v="3546.6594"/>
    <n v="59371.078355999998"/>
    <n v="59406.544950000003"/>
  </r>
  <r>
    <x v="3"/>
    <n v="26.24"/>
    <n v="26.25"/>
    <x v="222"/>
    <n v="2261.3694999999998"/>
    <n v="-0.2"/>
    <n v="2261.1695"/>
    <n v="59333.087679999997"/>
    <n v="59355.699374999997"/>
  </r>
  <r>
    <x v="4"/>
    <n v="62.64"/>
    <n v="62.8"/>
    <x v="222"/>
    <n v="946.15589999999997"/>
    <n v="0"/>
    <n v="946.15589999999997"/>
    <n v="59267.205576"/>
    <n v="59418.590519999998"/>
  </r>
  <r>
    <x v="5"/>
    <n v="34.28"/>
    <n v="34.31"/>
    <x v="222"/>
    <n v="1730.1448"/>
    <n v="0.2"/>
    <n v="1730.3448000000001"/>
    <n v="59316.219744000002"/>
    <n v="59368.130088000005"/>
  </r>
  <r>
    <x v="6"/>
    <n v="51.66"/>
    <n v="51.67"/>
    <x v="222"/>
    <n v="1148.8769"/>
    <n v="0.05"/>
    <n v="1148.9268999999999"/>
    <n v="59353.56365399999"/>
    <n v="59365.052922999996"/>
  </r>
  <r>
    <x v="7"/>
    <n v="46.03"/>
    <n v="46.05"/>
    <x v="222"/>
    <n v="1289.1205"/>
    <n v="0"/>
    <n v="1289.1205"/>
    <n v="59338.216614999998"/>
    <n v="59363.999024999997"/>
  </r>
  <r>
    <x v="8"/>
    <n v="16.78"/>
    <n v="16.79"/>
    <x v="222"/>
    <n v="3535.8029000000001"/>
    <n v="0"/>
    <n v="3535.8029000000001"/>
    <n v="59330.772662000003"/>
    <n v="59366.130690999998"/>
  </r>
  <r>
    <x v="9"/>
    <n v="33.61"/>
    <n v="33.619999999999997"/>
    <x v="222"/>
    <n v="1765.0956000000001"/>
    <n v="0.2"/>
    <n v="1765.2956000000001"/>
    <n v="59331.585116000002"/>
    <n v="59349.238072"/>
  </r>
  <r>
    <x v="0"/>
    <n v="19.809999999999999"/>
    <n v="19.82"/>
    <x v="223"/>
    <n v="3015.0007000000001"/>
    <n v="0"/>
    <n v="3015.0007000000001"/>
    <n v="59727.163866999996"/>
    <n v="59757.313873999999"/>
  </r>
  <r>
    <x v="1"/>
    <n v="32.42"/>
    <n v="32.43"/>
    <x v="223"/>
    <n v="1842.1507999999999"/>
    <n v="-0.1"/>
    <n v="1842.0508"/>
    <n v="59719.286936000004"/>
    <n v="59737.707444"/>
  </r>
  <r>
    <x v="2"/>
    <n v="16.84"/>
    <n v="16.850000000000001"/>
    <x v="223"/>
    <n v="3546.6594"/>
    <n v="0"/>
    <n v="3546.6594"/>
    <n v="59725.744295999997"/>
    <n v="59761.210890000002"/>
  </r>
  <r>
    <x v="3"/>
    <n v="26.41"/>
    <n v="26.42"/>
    <x v="223"/>
    <n v="2261.3694999999998"/>
    <n v="-0.2"/>
    <n v="2261.1695"/>
    <n v="59717.486494999997"/>
    <n v="59740.098190000004"/>
  </r>
  <r>
    <x v="4"/>
    <n v="63.01"/>
    <n v="63.2"/>
    <x v="223"/>
    <n v="946.15589999999997"/>
    <n v="0"/>
    <n v="946.15589999999997"/>
    <n v="59617.283258999996"/>
    <n v="59797.052880000003"/>
  </r>
  <r>
    <x v="5"/>
    <n v="34.46"/>
    <n v="34.53"/>
    <x v="223"/>
    <n v="1730.1448"/>
    <n v="0.2"/>
    <n v="1730.3448000000001"/>
    <n v="59627.681808000001"/>
    <n v="59748.805944000007"/>
  </r>
  <r>
    <x v="6"/>
    <n v="51.97"/>
    <n v="51.98"/>
    <x v="223"/>
    <n v="1148.8769"/>
    <n v="0.05"/>
    <n v="1148.9268999999999"/>
    <n v="59709.730992999997"/>
    <n v="59721.220261999995"/>
  </r>
  <r>
    <x v="7"/>
    <n v="46.32"/>
    <n v="46.33"/>
    <x v="223"/>
    <n v="1289.1205"/>
    <n v="0"/>
    <n v="1289.1205"/>
    <n v="59712.061560000002"/>
    <n v="59724.952764999995"/>
  </r>
  <r>
    <x v="8"/>
    <n v="16.88"/>
    <n v="16.89"/>
    <x v="223"/>
    <n v="3535.8029000000001"/>
    <n v="0"/>
    <n v="3535.8029000000001"/>
    <n v="59684.352952000001"/>
    <n v="59719.710981000004"/>
  </r>
  <r>
    <x v="9"/>
    <n v="33.82"/>
    <n v="33.83"/>
    <x v="223"/>
    <n v="1765.0956000000001"/>
    <n v="0.2"/>
    <n v="1765.2956000000001"/>
    <n v="59702.297192000005"/>
    <n v="59719.950148000004"/>
  </r>
  <r>
    <x v="0"/>
    <n v="19.71"/>
    <n v="19.72"/>
    <x v="224"/>
    <n v="3015.0007000000001"/>
    <n v="0"/>
    <n v="3015.0007000000001"/>
    <n v="59425.663797000001"/>
    <n v="59455.813803999998"/>
  </r>
  <r>
    <x v="1"/>
    <n v="32.26"/>
    <n v="32.270000000000003"/>
    <x v="224"/>
    <n v="1842.1507999999999"/>
    <n v="-0.1"/>
    <n v="1842.0508"/>
    <n v="59424.558807999994"/>
    <n v="59442.979316000004"/>
  </r>
  <r>
    <x v="2"/>
    <n v="16.75"/>
    <n v="16.760000000000002"/>
    <x v="224"/>
    <n v="3546.6594"/>
    <n v="0"/>
    <n v="3546.6594"/>
    <n v="59406.544950000003"/>
    <n v="59442.011544000008"/>
  </r>
  <r>
    <x v="3"/>
    <n v="26.28"/>
    <n v="26.29"/>
    <x v="224"/>
    <n v="2261.3694999999998"/>
    <n v="-0.2"/>
    <n v="2261.1695"/>
    <n v="59423.534460000003"/>
    <n v="59446.146154999995"/>
  </r>
  <r>
    <x v="4"/>
    <n v="62.74"/>
    <n v="62.87"/>
    <x v="224"/>
    <n v="946.15589999999997"/>
    <n v="0"/>
    <n v="946.15589999999997"/>
    <n v="59361.821166000002"/>
    <n v="59484.821432999997"/>
  </r>
  <r>
    <x v="5"/>
    <n v="34.32"/>
    <n v="34.35"/>
    <x v="224"/>
    <n v="1730.1448"/>
    <n v="0.2"/>
    <n v="1730.3448000000001"/>
    <n v="59385.433536000004"/>
    <n v="59437.343880000008"/>
  </r>
  <r>
    <x v="6"/>
    <n v="51.71"/>
    <n v="51.72"/>
    <x v="224"/>
    <n v="1148.8769"/>
    <n v="0.05"/>
    <n v="1148.9268999999999"/>
    <n v="59411.009998999994"/>
    <n v="59422.499267999992"/>
  </r>
  <r>
    <x v="7"/>
    <n v="46.09"/>
    <n v="46.1"/>
    <x v="224"/>
    <n v="1289.1205"/>
    <n v="0"/>
    <n v="1289.1205"/>
    <n v="59415.563845000004"/>
    <n v="59428.455050000004"/>
  </r>
  <r>
    <x v="8"/>
    <n v="16.8"/>
    <n v="16.809999999999999"/>
    <x v="224"/>
    <n v="3535.8029000000001"/>
    <n v="0"/>
    <n v="3535.8029000000001"/>
    <n v="59401.488720000001"/>
    <n v="59436.846748999997"/>
  </r>
  <r>
    <x v="9"/>
    <n v="33.64"/>
    <n v="33.65"/>
    <x v="224"/>
    <n v="1765.0956000000001"/>
    <n v="0.2"/>
    <n v="1765.2956000000001"/>
    <n v="59384.543984000004"/>
    <n v="59402.196940000002"/>
  </r>
  <r>
    <x v="0"/>
    <n v="19.600000000000001"/>
    <n v="19.61"/>
    <x v="225"/>
    <n v="3015.0007000000001"/>
    <n v="0"/>
    <n v="3015.0007000000001"/>
    <n v="59094.013720000003"/>
    <n v="59124.163726999999"/>
  </r>
  <r>
    <x v="1"/>
    <n v="32.08"/>
    <n v="32.090000000000003"/>
    <x v="225"/>
    <n v="1842.1507999999999"/>
    <n v="-0.1"/>
    <n v="1842.0508"/>
    <n v="59092.989663999993"/>
    <n v="59111.410172000004"/>
  </r>
  <r>
    <x v="2"/>
    <n v="16.66"/>
    <n v="16.670000000000002"/>
    <x v="225"/>
    <n v="3546.6594"/>
    <n v="0"/>
    <n v="3546.6594"/>
    <n v="59087.345604000002"/>
    <n v="59122.812198000007"/>
  </r>
  <r>
    <x v="3"/>
    <n v="26.13"/>
    <n v="26.14"/>
    <x v="225"/>
    <n v="2261.3694999999998"/>
    <n v="-0.2"/>
    <n v="2261.1695"/>
    <n v="59084.359034999994"/>
    <n v="59106.970730000001"/>
  </r>
  <r>
    <x v="4"/>
    <n v="62.43"/>
    <n v="62.54"/>
    <x v="225"/>
    <n v="946.15589999999997"/>
    <n v="0"/>
    <n v="946.15589999999997"/>
    <n v="59068.512836999995"/>
    <n v="59172.589985999999"/>
  </r>
  <r>
    <x v="5"/>
    <n v="34.130000000000003"/>
    <n v="34.17"/>
    <x v="225"/>
    <n v="1730.1448"/>
    <n v="0.2"/>
    <n v="1730.3448000000001"/>
    <n v="59056.668024000006"/>
    <n v="59125.881816000008"/>
  </r>
  <r>
    <x v="6"/>
    <n v="51.43"/>
    <n v="51.44"/>
    <x v="225"/>
    <n v="1148.8769"/>
    <n v="0.05"/>
    <n v="1148.9268999999999"/>
    <n v="59089.310466999996"/>
    <n v="59100.799735999994"/>
  </r>
  <r>
    <x v="7"/>
    <n v="45.84"/>
    <n v="45.85"/>
    <x v="225"/>
    <n v="1289.1205"/>
    <n v="0"/>
    <n v="1289.1205"/>
    <n v="59093.283720000007"/>
    <n v="59106.174924999999"/>
  </r>
  <r>
    <x v="8"/>
    <n v="16.71"/>
    <n v="16.72"/>
    <x v="225"/>
    <n v="3535.8029000000001"/>
    <n v="0"/>
    <n v="3535.8029000000001"/>
    <n v="59083.266459000006"/>
    <n v="59118.624488000001"/>
  </r>
  <r>
    <x v="9"/>
    <n v="33.46"/>
    <n v="33.47"/>
    <x v="225"/>
    <n v="1765.0956000000001"/>
    <n v="0.2"/>
    <n v="1765.2956000000001"/>
    <n v="59066.790776000009"/>
    <n v="59084.443732"/>
  </r>
  <r>
    <x v="0"/>
    <n v="19.59"/>
    <n v="19.600000000000001"/>
    <x v="226"/>
    <n v="3015.0007000000001"/>
    <n v="0"/>
    <n v="3015.0007000000001"/>
    <n v="59063.863712999999"/>
    <n v="59094.013720000003"/>
  </r>
  <r>
    <x v="1"/>
    <n v="32.07"/>
    <n v="32.08"/>
    <x v="226"/>
    <n v="1842.1507999999999"/>
    <n v="-0.1"/>
    <n v="1842.0508"/>
    <n v="59074.569155999998"/>
    <n v="59092.989663999993"/>
  </r>
  <r>
    <x v="2"/>
    <n v="16.66"/>
    <n v="16.670000000000002"/>
    <x v="226"/>
    <n v="3546.6594"/>
    <n v="0"/>
    <n v="3546.6594"/>
    <n v="59087.345604000002"/>
    <n v="59122.812198000007"/>
  </r>
  <r>
    <x v="3"/>
    <n v="26.12"/>
    <n v="26.13"/>
    <x v="226"/>
    <n v="2261.3694999999998"/>
    <n v="-0.2"/>
    <n v="2261.1695"/>
    <n v="59061.747340000002"/>
    <n v="59084.359034999994"/>
  </r>
  <r>
    <x v="4"/>
    <n v="62.34"/>
    <n v="62.48"/>
    <x v="226"/>
    <n v="946.15589999999997"/>
    <n v="0"/>
    <n v="946.15589999999997"/>
    <n v="58983.358806000004"/>
    <n v="59115.820631999995"/>
  </r>
  <r>
    <x v="5"/>
    <n v="34.11"/>
    <n v="34.15"/>
    <x v="226"/>
    <n v="1730.1448"/>
    <n v="0.2"/>
    <n v="1730.3448000000001"/>
    <n v="59022.061128000001"/>
    <n v="59091.274920000003"/>
  </r>
  <r>
    <x v="6"/>
    <n v="51.4"/>
    <n v="51.41"/>
    <x v="226"/>
    <n v="1148.8769"/>
    <n v="0.05"/>
    <n v="1148.9268999999999"/>
    <n v="59054.842659999995"/>
    <n v="59066.331928999993"/>
  </r>
  <r>
    <x v="7"/>
    <n v="45.82"/>
    <n v="45.83"/>
    <x v="226"/>
    <n v="1289.1205"/>
    <n v="0"/>
    <n v="1289.1205"/>
    <n v="59067.50131"/>
    <n v="59080.392515"/>
  </r>
  <r>
    <x v="8"/>
    <n v="16.7"/>
    <n v="16.71"/>
    <x v="226"/>
    <n v="3535.8029000000001"/>
    <n v="0"/>
    <n v="3535.8029000000001"/>
    <n v="59047.908430000003"/>
    <n v="59083.266459000006"/>
  </r>
  <r>
    <x v="9"/>
    <n v="33.44"/>
    <n v="33.450000000000003"/>
    <x v="226"/>
    <n v="1765.0956000000001"/>
    <n v="0.2"/>
    <n v="1765.2956000000001"/>
    <n v="59031.484863999998"/>
    <n v="59049.137820000011"/>
  </r>
  <r>
    <x v="0"/>
    <n v="19.66"/>
    <n v="19.670000000000002"/>
    <x v="227"/>
    <n v="3015.0007000000001"/>
    <n v="0"/>
    <n v="3015.0007000000001"/>
    <n v="59274.913762000004"/>
    <n v="59305.063769000008"/>
  </r>
  <r>
    <x v="1"/>
    <n v="32.17"/>
    <n v="32.18"/>
    <x v="227"/>
    <n v="1842.1507999999999"/>
    <n v="-0.1"/>
    <n v="1842.0508"/>
    <n v="59258.774236000005"/>
    <n v="59277.194744"/>
  </r>
  <r>
    <x v="2"/>
    <n v="16.71"/>
    <n v="16.72"/>
    <x v="227"/>
    <n v="3546.6594"/>
    <n v="0"/>
    <n v="3546.6594"/>
    <n v="59264.678574000005"/>
    <n v="59300.145167999995"/>
  </r>
  <r>
    <x v="3"/>
    <n v="26.21"/>
    <n v="26.22"/>
    <x v="227"/>
    <n v="2261.3694999999998"/>
    <n v="-0.2"/>
    <n v="2261.1695"/>
    <n v="59265.252594999998"/>
    <n v="59287.864289999998"/>
  </r>
  <r>
    <x v="4"/>
    <n v="62.57"/>
    <n v="62.67"/>
    <x v="227"/>
    <n v="946.15589999999997"/>
    <n v="0"/>
    <n v="946.15589999999997"/>
    <n v="59200.974663000001"/>
    <n v="59295.590253000002"/>
  </r>
  <r>
    <x v="5"/>
    <n v="34.229999999999997"/>
    <n v="34.26"/>
    <x v="227"/>
    <n v="1730.1448"/>
    <n v="0.2"/>
    <n v="1730.3448000000001"/>
    <n v="59229.702504000001"/>
    <n v="59281.612847999997"/>
  </r>
  <r>
    <x v="6"/>
    <n v="51.57"/>
    <n v="51.58"/>
    <x v="227"/>
    <n v="1148.8769"/>
    <n v="0.05"/>
    <n v="1148.9268999999999"/>
    <n v="59250.160232999995"/>
    <n v="59261.649501999993"/>
  </r>
  <r>
    <x v="7"/>
    <n v="45.98"/>
    <n v="45.99"/>
    <x v="227"/>
    <n v="1289.1205"/>
    <n v="0"/>
    <n v="1289.1205"/>
    <n v="59273.760589999998"/>
    <n v="59286.651795000005"/>
  </r>
  <r>
    <x v="8"/>
    <n v="16.760000000000002"/>
    <n v="16.77"/>
    <x v="227"/>
    <n v="3535.8029000000001"/>
    <n v="0"/>
    <n v="3535.8029000000001"/>
    <n v="59260.056604000005"/>
    <n v="59295.414633"/>
  </r>
  <r>
    <x v="9"/>
    <n v="33.549999999999997"/>
    <n v="33.56"/>
    <x v="227"/>
    <n v="1765.0956000000001"/>
    <n v="0.2"/>
    <n v="1765.2956000000001"/>
    <n v="59225.667379999999"/>
    <n v="59243.320336000012"/>
  </r>
  <r>
    <x v="0"/>
    <n v="19.649999999999999"/>
    <n v="19.66"/>
    <x v="228"/>
    <n v="3015.0007000000001"/>
    <n v="0"/>
    <n v="3015.0007000000001"/>
    <n v="59244.763755"/>
    <n v="59274.913762000004"/>
  </r>
  <r>
    <x v="1"/>
    <n v="32.17"/>
    <n v="32.18"/>
    <x v="228"/>
    <n v="1842.1507999999999"/>
    <n v="-0.1"/>
    <n v="1842.0508"/>
    <n v="59258.774236000005"/>
    <n v="59277.194744"/>
  </r>
  <r>
    <x v="2"/>
    <n v="16.71"/>
    <n v="16.72"/>
    <x v="228"/>
    <n v="3546.6594"/>
    <n v="0"/>
    <n v="3546.6594"/>
    <n v="59264.678574000005"/>
    <n v="59300.145167999995"/>
  </r>
  <r>
    <x v="3"/>
    <n v="26.2"/>
    <n v="26.21"/>
    <x v="228"/>
    <n v="2261.3694999999998"/>
    <n v="-0.2"/>
    <n v="2261.1695"/>
    <n v="59242.640899999999"/>
    <n v="59265.252594999998"/>
  </r>
  <r>
    <x v="4"/>
    <n v="62.54"/>
    <n v="62.65"/>
    <x v="228"/>
    <n v="946.15589999999997"/>
    <n v="0"/>
    <n v="946.15589999999997"/>
    <n v="59172.589985999999"/>
    <n v="59276.667134999996"/>
  </r>
  <r>
    <x v="5"/>
    <n v="34.229999999999997"/>
    <n v="34.25"/>
    <x v="228"/>
    <n v="1730.1448"/>
    <n v="0.2"/>
    <n v="1730.3448000000001"/>
    <n v="59229.702504000001"/>
    <n v="59264.309400000006"/>
  </r>
  <r>
    <x v="6"/>
    <n v="51.57"/>
    <n v="51.58"/>
    <x v="228"/>
    <n v="1148.8769"/>
    <n v="0.05"/>
    <n v="1148.9268999999999"/>
    <n v="59250.160232999995"/>
    <n v="59261.649501999993"/>
  </r>
  <r>
    <x v="7"/>
    <n v="45.97"/>
    <n v="45.98"/>
    <x v="228"/>
    <n v="1289.1205"/>
    <n v="0"/>
    <n v="1289.1205"/>
    <n v="59260.869384999998"/>
    <n v="59273.760589999998"/>
  </r>
  <r>
    <x v="8"/>
    <n v="16.760000000000002"/>
    <n v="16.77"/>
    <x v="228"/>
    <n v="3535.8029000000001"/>
    <n v="0"/>
    <n v="3535.8029000000001"/>
    <n v="59260.056604000005"/>
    <n v="59295.414633"/>
  </r>
  <r>
    <x v="9"/>
    <n v="33.549999999999997"/>
    <n v="33.56"/>
    <x v="228"/>
    <n v="1765.0956000000001"/>
    <n v="0.2"/>
    <n v="1765.2956000000001"/>
    <n v="59225.667379999999"/>
    <n v="59243.320336000012"/>
  </r>
  <r>
    <x v="0"/>
    <n v="19.68"/>
    <n v="19.690000000000001"/>
    <x v="229"/>
    <n v="3015.0007000000001"/>
    <n v="0"/>
    <n v="3015.0007000000001"/>
    <n v="59335.213775999997"/>
    <n v="59365.363783000008"/>
  </r>
  <r>
    <x v="1"/>
    <n v="32.21"/>
    <n v="32.22"/>
    <x v="229"/>
    <n v="1842.1507999999999"/>
    <n v="-0.1"/>
    <n v="1842.0508"/>
    <n v="59332.456268000002"/>
    <n v="59350.876775999997"/>
  </r>
  <r>
    <x v="2"/>
    <n v="16.73"/>
    <n v="16.739999999999998"/>
    <x v="229"/>
    <n v="3546.6594"/>
    <n v="0"/>
    <n v="3546.6594"/>
    <n v="59335.611762"/>
    <n v="59371.078355999998"/>
  </r>
  <r>
    <x v="3"/>
    <n v="26.24"/>
    <n v="26.25"/>
    <x v="229"/>
    <n v="2261.3694999999998"/>
    <n v="-0.2"/>
    <n v="2261.1695"/>
    <n v="59333.087679999997"/>
    <n v="59355.699374999997"/>
  </r>
  <r>
    <x v="4"/>
    <n v="62.64"/>
    <n v="62.79"/>
    <x v="229"/>
    <n v="946.15589999999997"/>
    <n v="0"/>
    <n v="946.15589999999997"/>
    <n v="59267.205576"/>
    <n v="59409.128960999995"/>
  </r>
  <r>
    <x v="5"/>
    <n v="34.270000000000003"/>
    <n v="34.299999999999997"/>
    <x v="229"/>
    <n v="1730.1448"/>
    <n v="0.2"/>
    <n v="1730.3448000000001"/>
    <n v="59298.91629600001"/>
    <n v="59350.826639999999"/>
  </r>
  <r>
    <x v="6"/>
    <n v="51.64"/>
    <n v="51.65"/>
    <x v="229"/>
    <n v="1148.8769"/>
    <n v="0.05"/>
    <n v="1148.9268999999999"/>
    <n v="59330.585115999995"/>
    <n v="59342.074384999993"/>
  </r>
  <r>
    <x v="7"/>
    <n v="46.03"/>
    <n v="46.04"/>
    <x v="229"/>
    <n v="1289.1205"/>
    <n v="0"/>
    <n v="1289.1205"/>
    <n v="59338.216614999998"/>
    <n v="59351.107819999997"/>
  </r>
  <r>
    <x v="8"/>
    <n v="16.78"/>
    <n v="16.79"/>
    <x v="229"/>
    <n v="3535.8029000000001"/>
    <n v="0"/>
    <n v="3535.8029000000001"/>
    <n v="59330.772662000003"/>
    <n v="59366.130690999998"/>
  </r>
  <r>
    <x v="9"/>
    <n v="33.590000000000003"/>
    <n v="33.6"/>
    <x v="229"/>
    <n v="1765.0956000000001"/>
    <n v="0.2"/>
    <n v="1765.2956000000001"/>
    <n v="59296.279204000013"/>
    <n v="59313.932160000004"/>
  </r>
  <r>
    <x v="0"/>
    <n v="19.77"/>
    <n v="19.78"/>
    <x v="230"/>
    <n v="3015.0007000000001"/>
    <n v="0"/>
    <n v="3015.0007000000001"/>
    <n v="59606.563839000002"/>
    <n v="59636.713846000006"/>
  </r>
  <r>
    <x v="1"/>
    <n v="32.369999999999997"/>
    <n v="32.380000000000003"/>
    <x v="230"/>
    <n v="1842.1507999999999"/>
    <n v="-0.1"/>
    <n v="1842.0508"/>
    <n v="59627.184395999997"/>
    <n v="59645.604904000007"/>
  </r>
  <r>
    <x v="2"/>
    <n v="16.8"/>
    <n v="16.809999999999999"/>
    <x v="230"/>
    <n v="3546.6594"/>
    <n v="0"/>
    <n v="3546.6594"/>
    <n v="59583.877919999999"/>
    <n v="59619.344513999997"/>
  </r>
  <r>
    <x v="3"/>
    <n v="26.36"/>
    <n v="26.37"/>
    <x v="230"/>
    <n v="2261.3694999999998"/>
    <n v="-0.2"/>
    <n v="2261.1695"/>
    <n v="59604.428019999999"/>
    <n v="59627.039714999999"/>
  </r>
  <r>
    <x v="4"/>
    <n v="62.94"/>
    <n v="63.07"/>
    <x v="230"/>
    <n v="946.15589999999997"/>
    <n v="0"/>
    <n v="946.15589999999997"/>
    <n v="59551.052345999997"/>
    <n v="59674.052613"/>
  </r>
  <r>
    <x v="5"/>
    <n v="34.43"/>
    <n v="34.46"/>
    <x v="230"/>
    <n v="1730.1448"/>
    <n v="0.2"/>
    <n v="1730.3448000000001"/>
    <n v="59575.771464000005"/>
    <n v="59627.681808000001"/>
  </r>
  <r>
    <x v="6"/>
    <n v="51.87"/>
    <n v="51.88"/>
    <x v="230"/>
    <n v="1148.8769"/>
    <n v="0.05"/>
    <n v="1148.9268999999999"/>
    <n v="59594.838302999997"/>
    <n v="59606.327572000002"/>
  </r>
  <r>
    <x v="7"/>
    <n v="46.23"/>
    <n v="46.24"/>
    <x v="230"/>
    <n v="1289.1205"/>
    <n v="0"/>
    <n v="1289.1205"/>
    <n v="59596.040714999996"/>
    <n v="59608.931920000003"/>
  </r>
  <r>
    <x v="8"/>
    <n v="16.86"/>
    <n v="16.87"/>
    <x v="230"/>
    <n v="3535.8029000000001"/>
    <n v="0"/>
    <n v="3535.8029000000001"/>
    <n v="59613.636894000003"/>
    <n v="59648.994923000006"/>
  </r>
  <r>
    <x v="9"/>
    <n v="33.75"/>
    <n v="33.76"/>
    <x v="230"/>
    <n v="1765.0956000000001"/>
    <n v="0.2"/>
    <n v="1765.2956000000001"/>
    <n v="59578.726500000004"/>
    <n v="59596.379456000002"/>
  </r>
  <r>
    <x v="0"/>
    <n v="19.68"/>
    <n v="19.690000000000001"/>
    <x v="231"/>
    <n v="3015.0007000000001"/>
    <n v="0"/>
    <n v="3015.0007000000001"/>
    <n v="59335.213775999997"/>
    <n v="59365.363783000008"/>
  </r>
  <r>
    <x v="1"/>
    <n v="32.22"/>
    <n v="32.229999999999997"/>
    <x v="231"/>
    <n v="1842.1507999999999"/>
    <n v="-0.1"/>
    <n v="1842.0508"/>
    <n v="59350.876775999997"/>
    <n v="59369.297283999993"/>
  </r>
  <r>
    <x v="2"/>
    <n v="16.73"/>
    <n v="16.739999999999998"/>
    <x v="231"/>
    <n v="3546.6594"/>
    <n v="0"/>
    <n v="3546.6594"/>
    <n v="59335.611762"/>
    <n v="59371.078355999998"/>
  </r>
  <r>
    <x v="3"/>
    <n v="26.25"/>
    <n v="26.26"/>
    <x v="231"/>
    <n v="2261.3694999999998"/>
    <n v="-0.2"/>
    <n v="2261.1695"/>
    <n v="59355.699374999997"/>
    <n v="59378.311070000003"/>
  </r>
  <r>
    <x v="4"/>
    <n v="62.65"/>
    <n v="62.74"/>
    <x v="231"/>
    <n v="946.15589999999997"/>
    <n v="0"/>
    <n v="946.15589999999997"/>
    <n v="59276.667134999996"/>
    <n v="59361.821166000002"/>
  </r>
  <r>
    <x v="5"/>
    <n v="34.28"/>
    <n v="34.31"/>
    <x v="231"/>
    <n v="1730.1448"/>
    <n v="0.2"/>
    <n v="1730.3448000000001"/>
    <n v="59316.219744000002"/>
    <n v="59368.130088000005"/>
  </r>
  <r>
    <x v="6"/>
    <n v="51.65"/>
    <n v="51.66"/>
    <x v="231"/>
    <n v="1148.8769"/>
    <n v="0.05"/>
    <n v="1148.9268999999999"/>
    <n v="59342.074384999993"/>
    <n v="59353.56365399999"/>
  </r>
  <r>
    <x v="7"/>
    <n v="46.03"/>
    <n v="46.04"/>
    <x v="231"/>
    <n v="1289.1205"/>
    <n v="0"/>
    <n v="1289.1205"/>
    <n v="59338.216614999998"/>
    <n v="59351.107819999997"/>
  </r>
  <r>
    <x v="8"/>
    <n v="16.78"/>
    <n v="16.79"/>
    <x v="231"/>
    <n v="3535.8029000000001"/>
    <n v="0"/>
    <n v="3535.8029000000001"/>
    <n v="59330.772662000003"/>
    <n v="59366.130690999998"/>
  </r>
  <r>
    <x v="9"/>
    <n v="33.6"/>
    <n v="33.61"/>
    <x v="231"/>
    <n v="1765.0956000000001"/>
    <n v="0.2"/>
    <n v="1765.2956000000001"/>
    <n v="59313.932160000004"/>
    <n v="59331.585116000002"/>
  </r>
  <r>
    <x v="0"/>
    <n v="19.64"/>
    <n v="19.649999999999999"/>
    <x v="232"/>
    <n v="3015.0007000000001"/>
    <n v="0"/>
    <n v="3015.0007000000001"/>
    <n v="59214.613748000003"/>
    <n v="59244.763755"/>
  </r>
  <r>
    <x v="1"/>
    <n v="32.15"/>
    <n v="32.159999999999997"/>
    <x v="232"/>
    <n v="1842.1507999999999"/>
    <n v="-0.1"/>
    <n v="1842.0508"/>
    <n v="59221.933219999999"/>
    <n v="59240.353727999995"/>
  </r>
  <r>
    <x v="2"/>
    <n v="16.690000000000001"/>
    <n v="16.7"/>
    <x v="232"/>
    <n v="3546.6594"/>
    <n v="0"/>
    <n v="3546.6594"/>
    <n v="59193.745386000002"/>
    <n v="59229.21198"/>
  </r>
  <r>
    <x v="3"/>
    <n v="26.19"/>
    <n v="26.2"/>
    <x v="232"/>
    <n v="2261.3694999999998"/>
    <n v="-0.2"/>
    <n v="2261.1695"/>
    <n v="59220.029204999999"/>
    <n v="59242.640899999999"/>
  </r>
  <r>
    <x v="4"/>
    <n v="62.51"/>
    <n v="62.63"/>
    <x v="232"/>
    <n v="946.15589999999997"/>
    <n v="0"/>
    <n v="946.15589999999997"/>
    <n v="59144.205308999997"/>
    <n v="59257.744016999997"/>
  </r>
  <r>
    <x v="5"/>
    <n v="34.21"/>
    <n v="34.24"/>
    <x v="232"/>
    <n v="1730.1448"/>
    <n v="0.2"/>
    <n v="1730.3448000000001"/>
    <n v="59195.095608000003"/>
    <n v="59247.005952000007"/>
  </r>
  <r>
    <x v="6"/>
    <n v="51.54"/>
    <n v="51.55"/>
    <x v="232"/>
    <n v="1148.8769"/>
    <n v="0.05"/>
    <n v="1148.9268999999999"/>
    <n v="59215.692425999994"/>
    <n v="59227.181694999992"/>
  </r>
  <r>
    <x v="7"/>
    <n v="45.94"/>
    <n v="45.95"/>
    <x v="232"/>
    <n v="1289.1205"/>
    <n v="0"/>
    <n v="1289.1205"/>
    <n v="59222.195769999998"/>
    <n v="59235.086975000006"/>
  </r>
  <r>
    <x v="8"/>
    <n v="16.739999999999998"/>
    <n v="16.75"/>
    <x v="232"/>
    <n v="3535.8029000000001"/>
    <n v="0"/>
    <n v="3535.8029000000001"/>
    <n v="59189.340545999999"/>
    <n v="59224.698575000002"/>
  </r>
  <r>
    <x v="9"/>
    <n v="33.53"/>
    <n v="33.54"/>
    <x v="232"/>
    <n v="1765.0956000000001"/>
    <n v="0.2"/>
    <n v="1765.2956000000001"/>
    <n v="59190.36146800001"/>
    <n v="59208.014424000001"/>
  </r>
  <r>
    <x v="0"/>
    <n v="19.600000000000001"/>
    <n v="19.61"/>
    <x v="233"/>
    <n v="3015.0007000000001"/>
    <n v="0"/>
    <n v="3015.0007000000001"/>
    <n v="59094.013720000003"/>
    <n v="59124.163726999999"/>
  </r>
  <r>
    <x v="1"/>
    <n v="32.08"/>
    <n v="32.090000000000003"/>
    <x v="233"/>
    <n v="1842.1507999999999"/>
    <n v="-0.1"/>
    <n v="1842.0508"/>
    <n v="59092.989663999993"/>
    <n v="59111.410172000004"/>
  </r>
  <r>
    <x v="2"/>
    <n v="16.66"/>
    <n v="16.670000000000002"/>
    <x v="233"/>
    <n v="3546.6594"/>
    <n v="0"/>
    <n v="3546.6594"/>
    <n v="59087.345604000002"/>
    <n v="59122.812198000007"/>
  </r>
  <r>
    <x v="3"/>
    <n v="26.13"/>
    <n v="26.14"/>
    <x v="233"/>
    <n v="2261.3694999999998"/>
    <n v="-0.2"/>
    <n v="2261.1695"/>
    <n v="59084.359034999994"/>
    <n v="59106.970730000001"/>
  </r>
  <r>
    <x v="4"/>
    <n v="62.38"/>
    <n v="62.5"/>
    <x v="233"/>
    <n v="946.15589999999997"/>
    <n v="0"/>
    <n v="946.15589999999997"/>
    <n v="59021.205042000001"/>
    <n v="59134.743750000001"/>
  </r>
  <r>
    <x v="5"/>
    <n v="34.14"/>
    <n v="34.159999999999997"/>
    <x v="233"/>
    <n v="1730.1448"/>
    <n v="0.2"/>
    <n v="1730.3448000000001"/>
    <n v="59073.971472000005"/>
    <n v="59108.578367999995"/>
  </r>
  <r>
    <x v="6"/>
    <n v="51.44"/>
    <n v="51.45"/>
    <x v="233"/>
    <n v="1148.8769"/>
    <n v="0.05"/>
    <n v="1148.9268999999999"/>
    <n v="59100.799735999994"/>
    <n v="59112.289004999999"/>
  </r>
  <r>
    <x v="7"/>
    <n v="45.84"/>
    <n v="45.85"/>
    <x v="233"/>
    <n v="1289.1205"/>
    <n v="0"/>
    <n v="1289.1205"/>
    <n v="59093.283720000007"/>
    <n v="59106.174924999999"/>
  </r>
  <r>
    <x v="8"/>
    <n v="16.71"/>
    <n v="16.72"/>
    <x v="233"/>
    <n v="3535.8029000000001"/>
    <n v="0"/>
    <n v="3535.8029000000001"/>
    <n v="59083.266459000006"/>
    <n v="59118.624488000001"/>
  </r>
  <r>
    <x v="9"/>
    <n v="33.46"/>
    <n v="33.47"/>
    <x v="233"/>
    <n v="1765.0956000000001"/>
    <n v="0.2"/>
    <n v="1765.2956000000001"/>
    <n v="59066.790776000009"/>
    <n v="59084.443732"/>
  </r>
  <r>
    <x v="0"/>
    <n v="19.7"/>
    <n v="19.71"/>
    <x v="234"/>
    <n v="3015.0007000000001"/>
    <n v="0"/>
    <n v="3015.0007000000001"/>
    <n v="59395.513789999997"/>
    <n v="59425.663797000001"/>
  </r>
  <r>
    <x v="1"/>
    <n v="32.24"/>
    <n v="32.25"/>
    <x v="234"/>
    <n v="1842.1507999999999"/>
    <n v="-0.1"/>
    <n v="1842.0508"/>
    <n v="59387.717792000003"/>
    <n v="59406.138299999999"/>
  </r>
  <r>
    <x v="2"/>
    <n v="16.739999999999998"/>
    <n v="16.75"/>
    <x v="234"/>
    <n v="3546.6594"/>
    <n v="0"/>
    <n v="3546.6594"/>
    <n v="59371.078355999998"/>
    <n v="59406.544950000003"/>
  </r>
  <r>
    <x v="3"/>
    <n v="26.26"/>
    <n v="26.27"/>
    <x v="234"/>
    <n v="2261.3694999999998"/>
    <n v="-0.2"/>
    <n v="2261.1695"/>
    <n v="59378.311070000003"/>
    <n v="59400.922764999996"/>
  </r>
  <r>
    <x v="4"/>
    <n v="62.69"/>
    <n v="62.81"/>
    <x v="234"/>
    <n v="946.15589999999997"/>
    <n v="0"/>
    <n v="946.15589999999997"/>
    <n v="59314.513370999994"/>
    <n v="59428.052079000001"/>
  </r>
  <r>
    <x v="5"/>
    <n v="34.31"/>
    <n v="34.340000000000003"/>
    <x v="234"/>
    <n v="1730.1448"/>
    <n v="0.2"/>
    <n v="1730.3448000000001"/>
    <n v="59368.130088000005"/>
    <n v="59420.040432000009"/>
  </r>
  <r>
    <x v="6"/>
    <n v="51.7"/>
    <n v="51.71"/>
    <x v="234"/>
    <n v="1148.8769"/>
    <n v="0.05"/>
    <n v="1148.9268999999999"/>
    <n v="59399.520729999997"/>
    <n v="59411.009998999994"/>
  </r>
  <r>
    <x v="7"/>
    <n v="46.06"/>
    <n v="46.07"/>
    <x v="234"/>
    <n v="1289.1205"/>
    <n v="0"/>
    <n v="1289.1205"/>
    <n v="59376.890230000005"/>
    <n v="59389.781434999997"/>
  </r>
  <r>
    <x v="8"/>
    <n v="16.79"/>
    <n v="16.8"/>
    <x v="234"/>
    <n v="3535.8029000000001"/>
    <n v="0"/>
    <n v="3535.8029000000001"/>
    <n v="59366.130690999998"/>
    <n v="59401.488720000001"/>
  </r>
  <r>
    <x v="9"/>
    <n v="33.619999999999997"/>
    <n v="33.630000000000003"/>
    <x v="234"/>
    <n v="1765.0956000000001"/>
    <n v="0.2"/>
    <n v="1765.2956000000001"/>
    <n v="59349.238072"/>
    <n v="59366.891028000013"/>
  </r>
  <r>
    <x v="0"/>
    <n v="19.7"/>
    <n v="19.71"/>
    <x v="235"/>
    <n v="3015.0007000000001"/>
    <n v="0"/>
    <n v="3015.0007000000001"/>
    <n v="59395.513789999997"/>
    <n v="59425.663797000001"/>
  </r>
  <r>
    <x v="1"/>
    <n v="32.24"/>
    <n v="32.25"/>
    <x v="235"/>
    <n v="1842.1507999999999"/>
    <n v="-0.1"/>
    <n v="1842.0508"/>
    <n v="59387.717792000003"/>
    <n v="59406.138299999999"/>
  </r>
  <r>
    <x v="2"/>
    <n v="16.75"/>
    <n v="16.760000000000002"/>
    <x v="235"/>
    <n v="3546.6594"/>
    <n v="0"/>
    <n v="3546.6594"/>
    <n v="59406.544950000003"/>
    <n v="59442.011544000008"/>
  </r>
  <r>
    <x v="3"/>
    <n v="26.26"/>
    <n v="26.27"/>
    <x v="235"/>
    <n v="2261.3694999999998"/>
    <n v="-0.2"/>
    <n v="2261.1695"/>
    <n v="59378.311070000003"/>
    <n v="59400.922764999996"/>
  </r>
  <r>
    <x v="4"/>
    <n v="62.68"/>
    <n v="62.82"/>
    <x v="235"/>
    <n v="946.15589999999997"/>
    <n v="0"/>
    <n v="946.15589999999997"/>
    <n v="59305.051811999998"/>
    <n v="59437.513637999997"/>
  </r>
  <r>
    <x v="5"/>
    <n v="34.32"/>
    <n v="34.340000000000003"/>
    <x v="235"/>
    <n v="1730.1448"/>
    <n v="0.2"/>
    <n v="1730.3448000000001"/>
    <n v="59385.433536000004"/>
    <n v="59420.040432000009"/>
  </r>
  <r>
    <x v="6"/>
    <n v="51.7"/>
    <n v="51.71"/>
    <x v="235"/>
    <n v="1148.8769"/>
    <n v="0.05"/>
    <n v="1148.9268999999999"/>
    <n v="59399.520729999997"/>
    <n v="59411.009998999994"/>
  </r>
  <r>
    <x v="7"/>
    <n v="46.06"/>
    <n v="46.07"/>
    <x v="235"/>
    <n v="1289.1205"/>
    <n v="0"/>
    <n v="1289.1205"/>
    <n v="59376.890230000005"/>
    <n v="59389.781434999997"/>
  </r>
  <r>
    <x v="8"/>
    <n v="16.79"/>
    <n v="16.8"/>
    <x v="235"/>
    <n v="3535.8029000000001"/>
    <n v="0"/>
    <n v="3535.8029000000001"/>
    <n v="59366.130690999998"/>
    <n v="59401.488720000001"/>
  </r>
  <r>
    <x v="9"/>
    <n v="33.619999999999997"/>
    <n v="33.630000000000003"/>
    <x v="235"/>
    <n v="1765.0956000000001"/>
    <n v="0.2"/>
    <n v="1765.2956000000001"/>
    <n v="59349.238072"/>
    <n v="59366.891028000013"/>
  </r>
  <r>
    <x v="0"/>
    <n v="19.690000000000001"/>
    <n v="19.7"/>
    <x v="236"/>
    <n v="3015.0007000000001"/>
    <n v="0"/>
    <n v="3015.0007000000001"/>
    <n v="59365.363783000008"/>
    <n v="59395.513789999997"/>
  </r>
  <r>
    <x v="1"/>
    <n v="32.229999999999997"/>
    <n v="32.24"/>
    <x v="236"/>
    <n v="1842.1507999999999"/>
    <n v="-0.1"/>
    <n v="1842.0508"/>
    <n v="59369.297283999993"/>
    <n v="59387.717792000003"/>
  </r>
  <r>
    <x v="2"/>
    <n v="16.739999999999998"/>
    <n v="16.75"/>
    <x v="236"/>
    <n v="3546.6594"/>
    <n v="0"/>
    <n v="3546.6594"/>
    <n v="59371.078355999998"/>
    <n v="59406.544950000003"/>
  </r>
  <r>
    <x v="3"/>
    <n v="26.26"/>
    <n v="26.27"/>
    <x v="236"/>
    <n v="2261.3694999999998"/>
    <n v="-0.2"/>
    <n v="2261.1695"/>
    <n v="59378.311070000003"/>
    <n v="59400.922764999996"/>
  </r>
  <r>
    <x v="4"/>
    <n v="62.69"/>
    <n v="62.8"/>
    <x v="236"/>
    <n v="946.15589999999997"/>
    <n v="0"/>
    <n v="946.15589999999997"/>
    <n v="59314.513370999994"/>
    <n v="59418.590519999998"/>
  </r>
  <r>
    <x v="5"/>
    <n v="34.28"/>
    <n v="34.33"/>
    <x v="236"/>
    <n v="1730.1448"/>
    <n v="0.2"/>
    <n v="1730.3448000000001"/>
    <n v="59316.219744000002"/>
    <n v="59402.736984000003"/>
  </r>
  <r>
    <x v="6"/>
    <n v="51.68"/>
    <n v="51.69"/>
    <x v="236"/>
    <n v="1148.8769"/>
    <n v="0.05"/>
    <n v="1148.9268999999999"/>
    <n v="59376.542191999994"/>
    <n v="59388.031460999991"/>
  </r>
  <r>
    <x v="7"/>
    <n v="46.04"/>
    <n v="46.05"/>
    <x v="236"/>
    <n v="1289.1205"/>
    <n v="0"/>
    <n v="1289.1205"/>
    <n v="59351.107819999997"/>
    <n v="59363.999024999997"/>
  </r>
  <r>
    <x v="8"/>
    <n v="16.79"/>
    <n v="16.8"/>
    <x v="236"/>
    <n v="3535.8029000000001"/>
    <n v="0"/>
    <n v="3535.8029000000001"/>
    <n v="59366.130690999998"/>
    <n v="59401.488720000001"/>
  </r>
  <r>
    <x v="9"/>
    <n v="33.61"/>
    <n v="33.619999999999997"/>
    <x v="236"/>
    <n v="1765.0956000000001"/>
    <n v="0.2"/>
    <n v="1765.2956000000001"/>
    <n v="59331.585116000002"/>
    <n v="59349.238072"/>
  </r>
  <r>
    <x v="0"/>
    <n v="19.72"/>
    <n v="19.73"/>
    <x v="237"/>
    <n v="3015.0007000000001"/>
    <n v="0"/>
    <n v="3015.0007000000001"/>
    <n v="59455.813803999998"/>
    <n v="59485.963811000001"/>
  </r>
  <r>
    <x v="1"/>
    <n v="32.29"/>
    <n v="32.299999999999997"/>
    <x v="237"/>
    <n v="1842.1507999999999"/>
    <n v="-0.1"/>
    <n v="1842.0508"/>
    <n v="59479.820331999996"/>
    <n v="59498.240839999991"/>
  </r>
  <r>
    <x v="2"/>
    <n v="16.77"/>
    <n v="16.78"/>
    <x v="237"/>
    <n v="3546.6594"/>
    <n v="0"/>
    <n v="3546.6594"/>
    <n v="59477.478137999999"/>
    <n v="59512.944732000004"/>
  </r>
  <r>
    <x v="3"/>
    <n v="26.3"/>
    <n v="26.31"/>
    <x v="237"/>
    <n v="2261.3694999999998"/>
    <n v="-0.2"/>
    <n v="2261.1695"/>
    <n v="59468.757850000002"/>
    <n v="59491.369544999994"/>
  </r>
  <r>
    <x v="4"/>
    <n v="62.8"/>
    <n v="62.92"/>
    <x v="237"/>
    <n v="946.15589999999997"/>
    <n v="0"/>
    <n v="946.15589999999997"/>
    <n v="59418.590519999998"/>
    <n v="59532.129227999998"/>
  </r>
  <r>
    <x v="5"/>
    <n v="34.35"/>
    <n v="34.4"/>
    <x v="237"/>
    <n v="1730.1448"/>
    <n v="0.2"/>
    <n v="1730.3448000000001"/>
    <n v="59437.343880000008"/>
    <n v="59523.861120000001"/>
  </r>
  <r>
    <x v="6"/>
    <n v="51.76"/>
    <n v="51.77"/>
    <x v="237"/>
    <n v="1148.8769"/>
    <n v="0.05"/>
    <n v="1148.9268999999999"/>
    <n v="59468.456343999991"/>
    <n v="59479.945613000004"/>
  </r>
  <r>
    <x v="7"/>
    <n v="46.11"/>
    <n v="46.12"/>
    <x v="237"/>
    <n v="1289.1205"/>
    <n v="0"/>
    <n v="1289.1205"/>
    <n v="59441.346254999997"/>
    <n v="59454.237459999997"/>
  </r>
  <r>
    <x v="8"/>
    <n v="16.82"/>
    <n v="16.829999999999998"/>
    <x v="237"/>
    <n v="3535.8029000000001"/>
    <n v="0"/>
    <n v="3535.8029000000001"/>
    <n v="59472.204778000007"/>
    <n v="59507.562806999995"/>
  </r>
  <r>
    <x v="9"/>
    <n v="33.67"/>
    <n v="33.68"/>
    <x v="237"/>
    <n v="1765.0956000000001"/>
    <n v="0.2"/>
    <n v="1765.2956000000001"/>
    <n v="59437.502852000005"/>
    <n v="59455.155808000003"/>
  </r>
  <r>
    <x v="0"/>
    <n v="19.739999999999998"/>
    <n v="19.75"/>
    <x v="238"/>
    <n v="3015.0007000000001"/>
    <n v="0"/>
    <n v="3015.0007000000001"/>
    <n v="59516.113817999998"/>
    <n v="59546.263825000002"/>
  </r>
  <r>
    <x v="1"/>
    <n v="32.31"/>
    <n v="32.32"/>
    <x v="238"/>
    <n v="1842.1507999999999"/>
    <n v="-0.1"/>
    <n v="1842.0508"/>
    <n v="59516.661348000001"/>
    <n v="59535.081855999997"/>
  </r>
  <r>
    <x v="2"/>
    <n v="16.78"/>
    <n v="16.79"/>
    <x v="238"/>
    <n v="3546.6594"/>
    <n v="0"/>
    <n v="3546.6594"/>
    <n v="59512.944732000004"/>
    <n v="59548.411325999994"/>
  </r>
  <r>
    <x v="3"/>
    <n v="26.32"/>
    <n v="26.33"/>
    <x v="238"/>
    <n v="2261.3694999999998"/>
    <n v="-0.2"/>
    <n v="2261.1695"/>
    <n v="59513.981240000001"/>
    <n v="59536.592934999993"/>
  </r>
  <r>
    <x v="4"/>
    <n v="62.84"/>
    <n v="62.98"/>
    <x v="238"/>
    <n v="946.15589999999997"/>
    <n v="0"/>
    <n v="946.15589999999997"/>
    <n v="59456.436756000003"/>
    <n v="59588.898581999994"/>
  </r>
  <r>
    <x v="5"/>
    <n v="34.380000000000003"/>
    <n v="34.409999999999997"/>
    <x v="238"/>
    <n v="1730.1448"/>
    <n v="0.2"/>
    <n v="1730.3448000000001"/>
    <n v="59489.254224000004"/>
    <n v="59541.164568"/>
  </r>
  <r>
    <x v="6"/>
    <n v="51.81"/>
    <n v="51.82"/>
    <x v="238"/>
    <n v="1148.8769"/>
    <n v="0.05"/>
    <n v="1148.9268999999999"/>
    <n v="59525.902689000002"/>
    <n v="59537.391958"/>
  </r>
  <r>
    <x v="7"/>
    <n v="46.15"/>
    <n v="46.16"/>
    <x v="238"/>
    <n v="1289.1205"/>
    <n v="0"/>
    <n v="1289.1205"/>
    <n v="59492.911074999996"/>
    <n v="59505.802279999996"/>
  </r>
  <r>
    <x v="8"/>
    <n v="16.829999999999998"/>
    <n v="16.84"/>
    <x v="238"/>
    <n v="3535.8029000000001"/>
    <n v="0"/>
    <n v="3535.8029000000001"/>
    <n v="59507.562806999995"/>
    <n v="59542.920836000005"/>
  </r>
  <r>
    <x v="9"/>
    <n v="33.69"/>
    <n v="33.700000000000003"/>
    <x v="238"/>
    <n v="1765.0956000000001"/>
    <n v="0.2"/>
    <n v="1765.2956000000001"/>
    <n v="59472.808764000001"/>
    <n v="59490.461720000007"/>
  </r>
  <r>
    <x v="0"/>
    <n v="19.61"/>
    <n v="19.62"/>
    <x v="239"/>
    <n v="3015.0007000000001"/>
    <n v="0"/>
    <n v="3015.0007000000001"/>
    <n v="59124.163726999999"/>
    <n v="59154.313734000003"/>
  </r>
  <r>
    <x v="1"/>
    <n v="32.090000000000003"/>
    <n v="32.1"/>
    <x v="239"/>
    <n v="1842.1507999999999"/>
    <n v="-0.1"/>
    <n v="1842.0508"/>
    <n v="59111.410172000004"/>
    <n v="59129.830679999999"/>
  </r>
  <r>
    <x v="2"/>
    <n v="16.66"/>
    <n v="16.670000000000002"/>
    <x v="239"/>
    <n v="3546.6594"/>
    <n v="0"/>
    <n v="3546.6594"/>
    <n v="59087.345604000002"/>
    <n v="59122.812198000007"/>
  </r>
  <r>
    <x v="3"/>
    <n v="26.14"/>
    <n v="26.15"/>
    <x v="239"/>
    <n v="2261.3694999999998"/>
    <n v="-0.2"/>
    <n v="2261.1695"/>
    <n v="59106.970730000001"/>
    <n v="59129.582424999993"/>
  </r>
  <r>
    <x v="4"/>
    <n v="62.42"/>
    <n v="62.53"/>
    <x v="239"/>
    <n v="946.15589999999997"/>
    <n v="0"/>
    <n v="946.15589999999997"/>
    <n v="59059.051277999999"/>
    <n v="59163.128426999996"/>
  </r>
  <r>
    <x v="5"/>
    <n v="34.14"/>
    <n v="34.17"/>
    <x v="239"/>
    <n v="1730.1448"/>
    <n v="0.2"/>
    <n v="1730.3448000000001"/>
    <n v="59073.971472000005"/>
    <n v="59125.881816000008"/>
  </r>
  <r>
    <x v="6"/>
    <n v="51.45"/>
    <n v="51.46"/>
    <x v="239"/>
    <n v="1148.8769"/>
    <n v="0.05"/>
    <n v="1148.9268999999999"/>
    <n v="59112.289004999999"/>
    <n v="59123.778273999997"/>
  </r>
  <r>
    <x v="7"/>
    <n v="45.85"/>
    <n v="45.86"/>
    <x v="239"/>
    <n v="1289.1205"/>
    <n v="0"/>
    <n v="1289.1205"/>
    <n v="59106.174924999999"/>
    <n v="59119.066129999999"/>
  </r>
  <r>
    <x v="8"/>
    <n v="16.71"/>
    <n v="16.72"/>
    <x v="239"/>
    <n v="3535.8029000000001"/>
    <n v="0"/>
    <n v="3535.8029000000001"/>
    <n v="59083.266459000006"/>
    <n v="59118.624488000001"/>
  </r>
  <r>
    <x v="9"/>
    <n v="33.46"/>
    <n v="33.47"/>
    <x v="239"/>
    <n v="1765.0956000000001"/>
    <n v="0.2"/>
    <n v="1765.2956000000001"/>
    <n v="59066.790776000009"/>
    <n v="59084.443732"/>
  </r>
  <r>
    <x v="0"/>
    <n v="19.64"/>
    <n v="19.649999999999999"/>
    <x v="240"/>
    <n v="3015.0007000000001"/>
    <n v="0"/>
    <n v="3015.0007000000001"/>
    <n v="59214.613748000003"/>
    <n v="59244.763755"/>
  </r>
  <r>
    <x v="1"/>
    <n v="32.14"/>
    <n v="32.15"/>
    <x v="240"/>
    <n v="1842.1507999999999"/>
    <n v="-0.1"/>
    <n v="1842.0508"/>
    <n v="59203.512712000003"/>
    <n v="59221.933219999999"/>
  </r>
  <r>
    <x v="2"/>
    <n v="16.690000000000001"/>
    <n v="16.7"/>
    <x v="240"/>
    <n v="3546.6594"/>
    <n v="0"/>
    <n v="3546.6594"/>
    <n v="59193.745386000002"/>
    <n v="59229.21198"/>
  </r>
  <r>
    <x v="3"/>
    <n v="26.18"/>
    <n v="26.19"/>
    <x v="240"/>
    <n v="2261.3694999999998"/>
    <n v="-0.2"/>
    <n v="2261.1695"/>
    <n v="59197.417509999999"/>
    <n v="59220.029204999999"/>
  </r>
  <r>
    <x v="4"/>
    <n v="62.53"/>
    <n v="62.63"/>
    <x v="240"/>
    <n v="946.15589999999997"/>
    <n v="0"/>
    <n v="946.15589999999997"/>
    <n v="59163.128426999996"/>
    <n v="59257.744016999997"/>
  </r>
  <r>
    <x v="5"/>
    <n v="34.200000000000003"/>
    <n v="34.229999999999997"/>
    <x v="240"/>
    <n v="1730.1448"/>
    <n v="0.2"/>
    <n v="1730.3448000000001"/>
    <n v="59177.792160000005"/>
    <n v="59229.702504000001"/>
  </r>
  <r>
    <x v="6"/>
    <n v="51.52"/>
    <n v="51.53"/>
    <x v="240"/>
    <n v="1148.8769"/>
    <n v="0.05"/>
    <n v="1148.9268999999999"/>
    <n v="59192.713887999998"/>
    <n v="59204.203156999996"/>
  </r>
  <r>
    <x v="7"/>
    <n v="45.92"/>
    <n v="45.93"/>
    <x v="240"/>
    <n v="1289.1205"/>
    <n v="0"/>
    <n v="1289.1205"/>
    <n v="59196.413359999999"/>
    <n v="59209.304564999999"/>
  </r>
  <r>
    <x v="8"/>
    <n v="16.739999999999998"/>
    <n v="16.75"/>
    <x v="240"/>
    <n v="3535.8029000000001"/>
    <n v="0"/>
    <n v="3535.8029000000001"/>
    <n v="59189.340545999999"/>
    <n v="59224.698575000002"/>
  </r>
  <r>
    <x v="9"/>
    <n v="33.51"/>
    <n v="33.520000000000003"/>
    <x v="240"/>
    <n v="1765.0956000000001"/>
    <n v="0.2"/>
    <n v="1765.2956000000001"/>
    <n v="59155.055555999999"/>
    <n v="59172.708512000012"/>
  </r>
  <r>
    <x v="0"/>
    <n v="19.600000000000001"/>
    <n v="19.61"/>
    <x v="241"/>
    <n v="3015.0007000000001"/>
    <n v="0"/>
    <n v="3015.0007000000001"/>
    <n v="59094.013720000003"/>
    <n v="59124.163726999999"/>
  </r>
  <r>
    <x v="1"/>
    <n v="32.08"/>
    <n v="32.090000000000003"/>
    <x v="241"/>
    <n v="1842.1507999999999"/>
    <n v="-0.1"/>
    <n v="1842.0508"/>
    <n v="59092.989663999993"/>
    <n v="59111.410172000004"/>
  </r>
  <r>
    <x v="2"/>
    <n v="16.66"/>
    <n v="16.670000000000002"/>
    <x v="241"/>
    <n v="3546.6594"/>
    <n v="0"/>
    <n v="3546.6594"/>
    <n v="59087.345604000002"/>
    <n v="59122.812198000007"/>
  </r>
  <r>
    <x v="3"/>
    <n v="26.13"/>
    <n v="26.14"/>
    <x v="241"/>
    <n v="2261.3694999999998"/>
    <n v="-0.2"/>
    <n v="2261.1695"/>
    <n v="59084.359034999994"/>
    <n v="59106.970730000001"/>
  </r>
  <r>
    <x v="4"/>
    <n v="62.4"/>
    <n v="62.5"/>
    <x v="241"/>
    <n v="946.15589999999997"/>
    <n v="0"/>
    <n v="946.15589999999997"/>
    <n v="59040.12816"/>
    <n v="59134.743750000001"/>
  </r>
  <r>
    <x v="5"/>
    <n v="34.130000000000003"/>
    <n v="34.15"/>
    <x v="241"/>
    <n v="1730.1448"/>
    <n v="0.2"/>
    <n v="1730.3448000000001"/>
    <n v="59056.668024000006"/>
    <n v="59091.274920000003"/>
  </r>
  <r>
    <x v="6"/>
    <n v="51.43"/>
    <n v="51.44"/>
    <x v="241"/>
    <n v="1148.8769"/>
    <n v="0.05"/>
    <n v="1148.9268999999999"/>
    <n v="59089.310466999996"/>
    <n v="59100.799735999994"/>
  </r>
  <r>
    <x v="7"/>
    <n v="45.83"/>
    <n v="45.84"/>
    <x v="241"/>
    <n v="1289.1205"/>
    <n v="0"/>
    <n v="1289.1205"/>
    <n v="59080.392515"/>
    <n v="59093.283720000007"/>
  </r>
  <r>
    <x v="8"/>
    <n v="16.71"/>
    <n v="16.72"/>
    <x v="241"/>
    <n v="3535.8029000000001"/>
    <n v="0"/>
    <n v="3535.8029000000001"/>
    <n v="59083.266459000006"/>
    <n v="59118.624488000001"/>
  </r>
  <r>
    <x v="9"/>
    <n v="33.44"/>
    <n v="33.450000000000003"/>
    <x v="241"/>
    <n v="1765.0956000000001"/>
    <n v="0.2"/>
    <n v="1765.2956000000001"/>
    <n v="59031.484863999998"/>
    <n v="59049.137820000011"/>
  </r>
  <r>
    <x v="0"/>
    <n v="19.79"/>
    <n v="19.8"/>
    <x v="242"/>
    <n v="3015.0526"/>
    <n v="0"/>
    <n v="3015.0526"/>
    <n v="59667.890953999995"/>
    <n v="59698.04148"/>
  </r>
  <r>
    <x v="1"/>
    <n v="32.39"/>
    <n v="32.4"/>
    <x v="242"/>
    <n v="1842.1811"/>
    <n v="-0.1"/>
    <n v="1842.0811000000001"/>
    <n v="59665.006829000005"/>
    <n v="59683.427640000002"/>
  </r>
  <r>
    <x v="2"/>
    <n v="16.82"/>
    <n v="16.829999999999998"/>
    <x v="242"/>
    <n v="3546.7323000000001"/>
    <n v="0"/>
    <n v="3546.7323000000001"/>
    <n v="59656.037286000006"/>
    <n v="59691.504608999996"/>
  </r>
  <r>
    <x v="3"/>
    <n v="26.39"/>
    <n v="26.4"/>
    <x v="242"/>
    <n v="2261.3973999999998"/>
    <n v="-0.2"/>
    <n v="2261.1974"/>
    <n v="59672.999386000003"/>
    <n v="59695.611359999995"/>
  </r>
  <r>
    <x v="4"/>
    <n v="63.01"/>
    <n v="63.08"/>
    <x v="242"/>
    <n v="946.17539999999997"/>
    <n v="0"/>
    <n v="946.17539999999997"/>
    <n v="59618.511953999994"/>
    <n v="59684.744231999997"/>
  </r>
  <r>
    <x v="5"/>
    <n v="34.479999999999997"/>
    <n v="34.5"/>
    <x v="242"/>
    <n v="1730.1718000000001"/>
    <n v="0.2"/>
    <n v="1730.3718000000001"/>
    <n v="59663.219663999997"/>
    <n v="59697.827100000002"/>
  </r>
  <r>
    <x v="6"/>
    <n v="51.94"/>
    <n v="51.95"/>
    <x v="242"/>
    <n v="1148.9005999999999"/>
    <n v="0.05"/>
    <n v="1148.9505999999999"/>
    <n v="59676.494163999989"/>
    <n v="59687.983670000001"/>
  </r>
  <r>
    <x v="7"/>
    <n v="46.28"/>
    <n v="46.29"/>
    <x v="242"/>
    <n v="1289.2795000000001"/>
    <n v="0"/>
    <n v="1289.2795000000001"/>
    <n v="59667.855260000004"/>
    <n v="59680.748055000004"/>
  </r>
  <r>
    <x v="8"/>
    <n v="16.87"/>
    <n v="16.88"/>
    <x v="242"/>
    <n v="3535.8029000000001"/>
    <n v="0"/>
    <n v="3535.8029000000001"/>
    <n v="59648.994923000006"/>
    <n v="59684.352952000001"/>
  </r>
  <r>
    <x v="9"/>
    <n v="33.78"/>
    <n v="33.79"/>
    <x v="242"/>
    <n v="1765.1319000000001"/>
    <n v="0.2"/>
    <n v="1765.3319000000001"/>
    <n v="59632.911582000008"/>
    <n v="59650.564901000005"/>
  </r>
  <r>
    <x v="0"/>
    <n v="19.78"/>
    <n v="19.79"/>
    <x v="243"/>
    <n v="3015.0526"/>
    <n v="0"/>
    <n v="3015.0526"/>
    <n v="59637.740428000005"/>
    <n v="59667.890953999995"/>
  </r>
  <r>
    <x v="1"/>
    <n v="32.380000000000003"/>
    <n v="32.39"/>
    <x v="243"/>
    <n v="1842.1811"/>
    <n v="-0.1"/>
    <n v="1842.0811000000001"/>
    <n v="59646.586018000009"/>
    <n v="59665.006829000005"/>
  </r>
  <r>
    <x v="2"/>
    <n v="16.82"/>
    <n v="16.829999999999998"/>
    <x v="243"/>
    <n v="3546.7323000000001"/>
    <n v="0"/>
    <n v="3546.7323000000001"/>
    <n v="59656.037286000006"/>
    <n v="59691.504608999996"/>
  </r>
  <r>
    <x v="3"/>
    <n v="26.37"/>
    <n v="26.38"/>
    <x v="243"/>
    <n v="2261.3973999999998"/>
    <n v="-0.2"/>
    <n v="2261.1974"/>
    <n v="59627.775438000004"/>
    <n v="59650.387411999996"/>
  </r>
  <r>
    <x v="4"/>
    <n v="62.97"/>
    <n v="63.05"/>
    <x v="243"/>
    <n v="946.17539999999997"/>
    <n v="0"/>
    <n v="946.17539999999997"/>
    <n v="59580.664937999994"/>
    <n v="59656.358969999994"/>
  </r>
  <r>
    <x v="5"/>
    <n v="34.46"/>
    <n v="34.479999999999997"/>
    <x v="243"/>
    <n v="1730.1718000000001"/>
    <n v="0.2"/>
    <n v="1730.3718000000001"/>
    <n v="59628.612228000005"/>
    <n v="59663.219663999997"/>
  </r>
  <r>
    <x v="6"/>
    <n v="51.92"/>
    <n v="51.93"/>
    <x v="243"/>
    <n v="1148.9005999999999"/>
    <n v="0.05"/>
    <n v="1148.9505999999999"/>
    <n v="59653.515152"/>
    <n v="59665.004657999991"/>
  </r>
  <r>
    <x v="7"/>
    <n v="46.27"/>
    <n v="46.28"/>
    <x v="243"/>
    <n v="1289.2795000000001"/>
    <n v="0"/>
    <n v="1289.2795000000001"/>
    <n v="59654.962465000011"/>
    <n v="59667.855260000004"/>
  </r>
  <r>
    <x v="8"/>
    <n v="16.86"/>
    <n v="16.87"/>
    <x v="243"/>
    <n v="3535.8029000000001"/>
    <n v="0"/>
    <n v="3535.8029000000001"/>
    <n v="59613.636894000003"/>
    <n v="59648.994923000006"/>
  </r>
  <r>
    <x v="9"/>
    <n v="33.770000000000003"/>
    <n v="33.78"/>
    <x v="243"/>
    <n v="1765.1319000000001"/>
    <n v="0.2"/>
    <n v="1765.3319000000001"/>
    <n v="59615.258263000011"/>
    <n v="59632.911582000008"/>
  </r>
  <r>
    <x v="0"/>
    <n v="19.7"/>
    <n v="19.71"/>
    <x v="244"/>
    <n v="3015.0526"/>
    <n v="0"/>
    <n v="3015.0526"/>
    <n v="59396.536219999995"/>
    <n v="59426.686745999999"/>
  </r>
  <r>
    <x v="1"/>
    <n v="32.24"/>
    <n v="32.25"/>
    <x v="244"/>
    <n v="1842.1811"/>
    <n v="-0.1"/>
    <n v="1842.0811000000001"/>
    <n v="59388.69466400001"/>
    <n v="59407.115475000006"/>
  </r>
  <r>
    <x v="2"/>
    <n v="16.75"/>
    <n v="16.760000000000002"/>
    <x v="244"/>
    <n v="3546.7323000000001"/>
    <n v="0"/>
    <n v="3546.7323000000001"/>
    <n v="59407.766025000004"/>
    <n v="59443.233348000009"/>
  </r>
  <r>
    <x v="3"/>
    <n v="26.27"/>
    <n v="26.28"/>
    <x v="244"/>
    <n v="2261.3973999999998"/>
    <n v="-0.2"/>
    <n v="2261.1974"/>
    <n v="59401.655698000002"/>
    <n v="59424.267672000002"/>
  </r>
  <r>
    <x v="4"/>
    <n v="62.72"/>
    <n v="62.79"/>
    <x v="244"/>
    <n v="946.17539999999997"/>
    <n v="0"/>
    <n v="946.17539999999997"/>
    <n v="59344.121088"/>
    <n v="59410.353365999996"/>
  </r>
  <r>
    <x v="5"/>
    <n v="34.31"/>
    <n v="34.340000000000003"/>
    <x v="244"/>
    <n v="1730.1718000000001"/>
    <n v="0.2"/>
    <n v="1730.3718000000001"/>
    <n v="59369.056458000006"/>
    <n v="59420.967612000008"/>
  </r>
  <r>
    <x v="6"/>
    <n v="51.7"/>
    <n v="51.71"/>
    <x v="244"/>
    <n v="1148.9005999999999"/>
    <n v="0.05"/>
    <n v="1148.9505999999999"/>
    <n v="59400.746019999999"/>
    <n v="59412.235525999997"/>
  </r>
  <r>
    <x v="7"/>
    <n v="46.07"/>
    <n v="46.08"/>
    <x v="244"/>
    <n v="1289.2795000000001"/>
    <n v="0"/>
    <n v="1289.2795000000001"/>
    <n v="59397.106565000002"/>
    <n v="59409.999360000002"/>
  </r>
  <r>
    <x v="8"/>
    <n v="16.79"/>
    <n v="16.8"/>
    <x v="244"/>
    <n v="3535.8029000000001"/>
    <n v="0"/>
    <n v="3535.8029000000001"/>
    <n v="59366.130690999998"/>
    <n v="59401.488720000001"/>
  </r>
  <r>
    <x v="9"/>
    <n v="33.630000000000003"/>
    <n v="33.64"/>
    <x v="244"/>
    <n v="1765.1319000000001"/>
    <n v="0.2"/>
    <n v="1765.3319000000001"/>
    <n v="59368.111797000012"/>
    <n v="59385.765116000002"/>
  </r>
  <r>
    <x v="0"/>
    <n v="19.86"/>
    <n v="19.87"/>
    <x v="245"/>
    <n v="3015.0526"/>
    <n v="0"/>
    <n v="3015.0526"/>
    <n v="59878.944636"/>
    <n v="59909.095162000005"/>
  </r>
  <r>
    <x v="1"/>
    <n v="32.51"/>
    <n v="32.520000000000003"/>
    <x v="245"/>
    <n v="1842.1811"/>
    <n v="-0.1"/>
    <n v="1842.0811000000001"/>
    <n v="59886.056560999998"/>
    <n v="59904.477372000008"/>
  </r>
  <r>
    <x v="2"/>
    <n v="16.88"/>
    <n v="16.89"/>
    <x v="245"/>
    <n v="3546.7323000000001"/>
    <n v="0"/>
    <n v="3546.7323000000001"/>
    <n v="59868.841223999996"/>
    <n v="59904.308547000001"/>
  </r>
  <r>
    <x v="3"/>
    <n v="26.48"/>
    <n v="26.49"/>
    <x v="245"/>
    <n v="2261.3973999999998"/>
    <n v="-0.2"/>
    <n v="2261.1974"/>
    <n v="59876.507151999998"/>
    <n v="59899.119125999998"/>
  </r>
  <r>
    <x v="4"/>
    <n v="63.24"/>
    <n v="63.37"/>
    <x v="245"/>
    <n v="946.17539999999997"/>
    <n v="0"/>
    <n v="946.17539999999997"/>
    <n v="59836.132296000003"/>
    <n v="59959.135097999999"/>
  </r>
  <r>
    <x v="5"/>
    <n v="34.6"/>
    <n v="34.619999999999997"/>
    <x v="245"/>
    <n v="1730.1718000000001"/>
    <n v="0.2"/>
    <n v="1730.3718000000001"/>
    <n v="59870.864280000009"/>
    <n v="59905.471716"/>
  </r>
  <r>
    <x v="6"/>
    <n v="52.13"/>
    <n v="52.14"/>
    <x v="245"/>
    <n v="1148.9005999999999"/>
    <n v="0.05"/>
    <n v="1148.9505999999999"/>
    <n v="59894.794777999996"/>
    <n v="59906.284283999994"/>
  </r>
  <r>
    <x v="7"/>
    <n v="46.45"/>
    <n v="46.46"/>
    <x v="245"/>
    <n v="1289.2795000000001"/>
    <n v="0"/>
    <n v="1289.2795000000001"/>
    <n v="59887.032775000007"/>
    <n v="59899.925570000007"/>
  </r>
  <r>
    <x v="8"/>
    <n v="16.93"/>
    <n v="16.940000000000001"/>
    <x v="245"/>
    <n v="3535.8029000000001"/>
    <n v="0"/>
    <n v="3535.8029000000001"/>
    <n v="59861.143097"/>
    <n v="59896.50112600001"/>
  </r>
  <r>
    <x v="9"/>
    <n v="33.909999999999997"/>
    <n v="33.92"/>
    <x v="245"/>
    <n v="1765.1319000000001"/>
    <n v="0.2"/>
    <n v="1765.3319000000001"/>
    <n v="59862.404729000002"/>
    <n v="59880.058048000006"/>
  </r>
  <r>
    <x v="0"/>
    <n v="19.91"/>
    <n v="19.920000000000002"/>
    <x v="246"/>
    <n v="3015.0526"/>
    <n v="0"/>
    <n v="3015.0526"/>
    <n v="60029.697266000003"/>
    <n v="60059.847792000008"/>
  </r>
  <r>
    <x v="1"/>
    <n v="32.590000000000003"/>
    <n v="32.6"/>
    <x v="246"/>
    <n v="1842.1811"/>
    <n v="-0.1"/>
    <n v="1842.0811000000001"/>
    <n v="60033.423049000012"/>
    <n v="60051.843860000008"/>
  </r>
  <r>
    <x v="2"/>
    <n v="16.920000000000002"/>
    <n v="16.93"/>
    <x v="246"/>
    <n v="3546.7323000000001"/>
    <n v="0"/>
    <n v="3546.7323000000001"/>
    <n v="60010.710516000006"/>
    <n v="60046.177839000004"/>
  </r>
  <r>
    <x v="3"/>
    <n v="26.55"/>
    <n v="26.56"/>
    <x v="246"/>
    <n v="2261.3973999999998"/>
    <n v="-0.2"/>
    <n v="2261.1974"/>
    <n v="60034.790970000002"/>
    <n v="60057.402943999994"/>
  </r>
  <r>
    <x v="4"/>
    <n v="63.39"/>
    <n v="63.52"/>
    <x v="246"/>
    <n v="946.17539999999997"/>
    <n v="0"/>
    <n v="946.17539999999997"/>
    <n v="59978.058605999999"/>
    <n v="60101.061408000001"/>
  </r>
  <r>
    <x v="5"/>
    <n v="34.68"/>
    <n v="34.71"/>
    <x v="246"/>
    <n v="1730.1718000000001"/>
    <n v="0.2"/>
    <n v="1730.3718000000001"/>
    <n v="60009.294024000003"/>
    <n v="60061.205178000004"/>
  </r>
  <r>
    <x v="6"/>
    <n v="52.25"/>
    <n v="52.26"/>
    <x v="246"/>
    <n v="1148.9005999999999"/>
    <n v="0.05"/>
    <n v="1148.9505999999999"/>
    <n v="60032.668849999995"/>
    <n v="60044.158355999993"/>
  </r>
  <r>
    <x v="7"/>
    <n v="46.56"/>
    <n v="46.57"/>
    <x v="246"/>
    <n v="1289.2795000000001"/>
    <n v="0"/>
    <n v="1289.2795000000001"/>
    <n v="60028.853520000004"/>
    <n v="60041.746315000004"/>
  </r>
  <r>
    <x v="8"/>
    <n v="16.97"/>
    <n v="16.98"/>
    <x v="246"/>
    <n v="3535.8029000000001"/>
    <n v="0"/>
    <n v="3535.8029000000001"/>
    <n v="60002.575212999996"/>
    <n v="60037.933242000006"/>
  </r>
  <r>
    <x v="9"/>
    <n v="33.99"/>
    <n v="34"/>
    <x v="246"/>
    <n v="1765.1319000000001"/>
    <n v="0.2"/>
    <n v="1765.3319000000001"/>
    <n v="60003.631281000009"/>
    <n v="60021.284600000006"/>
  </r>
  <r>
    <x v="0"/>
    <n v="20.02"/>
    <n v="20.03"/>
    <x v="247"/>
    <n v="3015.0526"/>
    <n v="0"/>
    <n v="3015.0526"/>
    <n v="60361.353051999999"/>
    <n v="60391.503578000003"/>
  </r>
  <r>
    <x v="1"/>
    <n v="32.78"/>
    <n v="32.79"/>
    <x v="247"/>
    <n v="1842.1811"/>
    <n v="-0.1"/>
    <n v="1842.0811000000001"/>
    <n v="60383.418458000007"/>
    <n v="60401.839269000004"/>
  </r>
  <r>
    <x v="2"/>
    <n v="17.02"/>
    <n v="17.03"/>
    <x v="247"/>
    <n v="3546.7323000000001"/>
    <n v="0"/>
    <n v="3546.7323000000001"/>
    <n v="60365.383746"/>
    <n v="60400.851069000004"/>
  </r>
  <r>
    <x v="3"/>
    <n v="26.7"/>
    <n v="26.71"/>
    <x v="247"/>
    <n v="2261.3973999999998"/>
    <n v="-0.2"/>
    <n v="2261.1974"/>
    <n v="60373.970580000001"/>
    <n v="60396.582554000001"/>
  </r>
  <r>
    <x v="4"/>
    <n v="63.74"/>
    <n v="63.82"/>
    <x v="247"/>
    <n v="946.17539999999997"/>
    <n v="0"/>
    <n v="946.17539999999997"/>
    <n v="60309.219996"/>
    <n v="60384.914027999999"/>
  </r>
  <r>
    <x v="5"/>
    <n v="34.880000000000003"/>
    <n v="34.9"/>
    <x v="247"/>
    <n v="1730.1718000000001"/>
    <n v="0.2"/>
    <n v="1730.3718000000001"/>
    <n v="60355.368384000009"/>
    <n v="60389.97582"/>
  </r>
  <r>
    <x v="6"/>
    <n v="52.54"/>
    <n v="52.55"/>
    <x v="247"/>
    <n v="1148.9005999999999"/>
    <n v="0.05"/>
    <n v="1148.9505999999999"/>
    <n v="60365.864523999997"/>
    <n v="60377.354029999988"/>
  </r>
  <r>
    <x v="7"/>
    <n v="46.82"/>
    <n v="46.83"/>
    <x v="247"/>
    <n v="1289.2795000000001"/>
    <n v="0"/>
    <n v="1289.2795000000001"/>
    <n v="60364.066190000005"/>
    <n v="60376.958985000005"/>
  </r>
  <r>
    <x v="8"/>
    <n v="17.059999999999999"/>
    <n v="17.07"/>
    <x v="247"/>
    <n v="3535.8029000000001"/>
    <n v="0"/>
    <n v="3535.8029000000001"/>
    <n v="60320.797473999999"/>
    <n v="60356.155503000002"/>
  </r>
  <r>
    <x v="9"/>
    <n v="34.19"/>
    <n v="34.200000000000003"/>
    <x v="247"/>
    <n v="1765.1319000000001"/>
    <n v="0.2"/>
    <n v="1765.3319000000001"/>
    <n v="60356.697660999998"/>
    <n v="60374.35098000001"/>
  </r>
  <r>
    <x v="0"/>
    <n v="19.96"/>
    <n v="19.97"/>
    <x v="248"/>
    <n v="3015.0526"/>
    <n v="0"/>
    <n v="3015.0526"/>
    <n v="60180.449896000006"/>
    <n v="60210.600421999996"/>
  </r>
  <r>
    <x v="1"/>
    <n v="32.67"/>
    <n v="32.68"/>
    <x v="248"/>
    <n v="1842.1811"/>
    <n v="-0.1"/>
    <n v="1842.0811000000001"/>
    <n v="60180.789537000004"/>
    <n v="60199.210348000001"/>
  </r>
  <r>
    <x v="2"/>
    <n v="16.96"/>
    <n v="16.97"/>
    <x v="248"/>
    <n v="3546.7323000000001"/>
    <n v="0"/>
    <n v="3546.7323000000001"/>
    <n v="60152.579808000002"/>
    <n v="60188.047130999999"/>
  </r>
  <r>
    <x v="3"/>
    <n v="26.61"/>
    <n v="26.62"/>
    <x v="248"/>
    <n v="2261.3973999999998"/>
    <n v="-0.2"/>
    <n v="2261.1974"/>
    <n v="60170.462813999999"/>
    <n v="60193.074788000005"/>
  </r>
  <r>
    <x v="4"/>
    <n v="63.56"/>
    <n v="63.62"/>
    <x v="248"/>
    <n v="946.17539999999997"/>
    <n v="0"/>
    <n v="946.17539999999997"/>
    <n v="60138.908424000001"/>
    <n v="60195.678947999993"/>
  </r>
  <r>
    <x v="5"/>
    <n v="34.770000000000003"/>
    <n v="34.799999999999997"/>
    <x v="248"/>
    <n v="1730.1718000000001"/>
    <n v="0.2"/>
    <n v="1730.3718000000001"/>
    <n v="60165.027486000006"/>
    <n v="60216.93864"/>
  </r>
  <r>
    <x v="6"/>
    <n v="52.38"/>
    <n v="52.39"/>
    <x v="248"/>
    <n v="1148.9005999999999"/>
    <n v="0.05"/>
    <n v="1148.9505999999999"/>
    <n v="60182.032427999999"/>
    <n v="60193.521933999997"/>
  </r>
  <r>
    <x v="7"/>
    <n v="46.68"/>
    <n v="46.69"/>
    <x v="248"/>
    <n v="1289.2795000000001"/>
    <n v="0"/>
    <n v="1289.2795000000001"/>
    <n v="60183.567060000001"/>
    <n v="60196.459855000001"/>
  </r>
  <r>
    <x v="8"/>
    <n v="17.010000000000002"/>
    <n v="17.02"/>
    <x v="248"/>
    <n v="3535.8029000000001"/>
    <n v="0"/>
    <n v="3535.8029000000001"/>
    <n v="60144.007329000007"/>
    <n v="60179.365358000003"/>
  </r>
  <r>
    <x v="9"/>
    <n v="34.08"/>
    <n v="34.090000000000003"/>
    <x v="248"/>
    <n v="1765.1319000000001"/>
    <n v="0.2"/>
    <n v="1765.3319000000001"/>
    <n v="60162.511151999999"/>
    <n v="60180.164471000011"/>
  </r>
  <r>
    <x v="0"/>
    <n v="19.95"/>
    <n v="19.96"/>
    <x v="249"/>
    <n v="3015.0526"/>
    <n v="0"/>
    <n v="3015.0526"/>
    <n v="60150.299370000001"/>
    <n v="60180.449896000006"/>
  </r>
  <r>
    <x v="1"/>
    <n v="32.65"/>
    <n v="32.659999999999997"/>
    <x v="249"/>
    <n v="1842.1811"/>
    <n v="-0.1"/>
    <n v="1842.0811000000001"/>
    <n v="60143.947915000004"/>
    <n v="60162.368726000001"/>
  </r>
  <r>
    <x v="2"/>
    <n v="16.95"/>
    <n v="16.96"/>
    <x v="249"/>
    <n v="3546.7323000000001"/>
    <n v="0"/>
    <n v="3546.7323000000001"/>
    <n v="60117.112484999998"/>
    <n v="60152.579808000002"/>
  </r>
  <r>
    <x v="3"/>
    <n v="26.6"/>
    <n v="26.61"/>
    <x v="249"/>
    <n v="2261.3973999999998"/>
    <n v="-0.2"/>
    <n v="2261.1974"/>
    <n v="60147.850840000006"/>
    <n v="60170.462813999999"/>
  </r>
  <r>
    <x v="4"/>
    <n v="63.51"/>
    <n v="63.59"/>
    <x v="249"/>
    <n v="946.17539999999997"/>
    <n v="0"/>
    <n v="946.17539999999997"/>
    <n v="60091.599653999998"/>
    <n v="60167.293686000005"/>
  </r>
  <r>
    <x v="5"/>
    <n v="34.75"/>
    <n v="34.78"/>
    <x v="249"/>
    <n v="1730.1718000000001"/>
    <n v="0.2"/>
    <n v="1730.3718000000001"/>
    <n v="60130.420050000001"/>
    <n v="60182.331204000009"/>
  </r>
  <r>
    <x v="6"/>
    <n v="52.35"/>
    <n v="52.36"/>
    <x v="249"/>
    <n v="1148.9005999999999"/>
    <n v="0.05"/>
    <n v="1148.9505999999999"/>
    <n v="60147.563909999997"/>
    <n v="60159.053415999995"/>
  </r>
  <r>
    <x v="7"/>
    <n v="46.65"/>
    <n v="46.66"/>
    <x v="249"/>
    <n v="1289.2795000000001"/>
    <n v="0"/>
    <n v="1289.2795000000001"/>
    <n v="60144.888675000002"/>
    <n v="60157.781470000002"/>
  </r>
  <r>
    <x v="8"/>
    <n v="17"/>
    <n v="17.010000000000002"/>
    <x v="249"/>
    <n v="3535.8029000000001"/>
    <n v="0"/>
    <n v="3535.8029000000001"/>
    <n v="60108.649300000005"/>
    <n v="60144.007329000007"/>
  </r>
  <r>
    <x v="9"/>
    <n v="34.06"/>
    <n v="34.07"/>
    <x v="249"/>
    <n v="1765.1319000000001"/>
    <n v="0.2"/>
    <n v="1765.3319000000001"/>
    <n v="60127.204514000012"/>
    <n v="60144.857833000002"/>
  </r>
  <r>
    <x v="0"/>
    <n v="19.88"/>
    <n v="19.89"/>
    <x v="250"/>
    <n v="3015.0526"/>
    <n v="0"/>
    <n v="3015.0526"/>
    <n v="59939.245687999995"/>
    <n v="59969.396214"/>
  </r>
  <r>
    <x v="1"/>
    <n v="32.54"/>
    <n v="32.549999999999997"/>
    <x v="250"/>
    <n v="1842.1811"/>
    <n v="-0.1"/>
    <n v="1842.0811000000001"/>
    <n v="59941.318994000001"/>
    <n v="59959.739804999997"/>
  </r>
  <r>
    <x v="2"/>
    <n v="16.899999999999999"/>
    <n v="16.91"/>
    <x v="250"/>
    <n v="3546.7323000000001"/>
    <n v="0"/>
    <n v="3546.7323000000001"/>
    <n v="59939.775869999998"/>
    <n v="59975.243193000002"/>
  </r>
  <r>
    <x v="3"/>
    <n v="26.51"/>
    <n v="26.52"/>
    <x v="250"/>
    <n v="2261.3973999999998"/>
    <n v="-0.2"/>
    <n v="2261.1974"/>
    <n v="59944.343074000004"/>
    <n v="59966.955047999996"/>
  </r>
  <r>
    <x v="4"/>
    <n v="63.28"/>
    <n v="63.41"/>
    <x v="250"/>
    <n v="946.17539999999997"/>
    <n v="0"/>
    <n v="946.17539999999997"/>
    <n v="59873.979311999996"/>
    <n v="59996.982113999991"/>
  </r>
  <r>
    <x v="5"/>
    <n v="34.619999999999997"/>
    <n v="34.659999999999997"/>
    <x v="250"/>
    <n v="1730.1718000000001"/>
    <n v="0.2"/>
    <n v="1730.3718000000001"/>
    <n v="59905.471716"/>
    <n v="59974.686587999997"/>
  </r>
  <r>
    <x v="6"/>
    <n v="52.17"/>
    <n v="52.18"/>
    <x v="250"/>
    <n v="1148.9005999999999"/>
    <n v="0.05"/>
    <n v="1148.9505999999999"/>
    <n v="59940.752801999995"/>
    <n v="59952.242307999993"/>
  </r>
  <r>
    <x v="7"/>
    <n v="46.5"/>
    <n v="46.51"/>
    <x v="250"/>
    <n v="1289.2795000000001"/>
    <n v="0"/>
    <n v="1289.2795000000001"/>
    <n v="59951.496750000006"/>
    <n v="59964.389545000005"/>
  </r>
  <r>
    <x v="8"/>
    <n v="16.95"/>
    <n v="16.96"/>
    <x v="250"/>
    <n v="3535.8029000000001"/>
    <n v="0"/>
    <n v="3535.8029000000001"/>
    <n v="59931.859154999998"/>
    <n v="59967.217184000008"/>
  </r>
  <r>
    <x v="9"/>
    <n v="33.950000000000003"/>
    <n v="33.96"/>
    <x v="250"/>
    <n v="1765.1319000000001"/>
    <n v="0.2"/>
    <n v="1765.3319000000001"/>
    <n v="59933.018005000013"/>
    <n v="59950.671324000003"/>
  </r>
  <r>
    <x v="0"/>
    <n v="19.96"/>
    <n v="19.97"/>
    <x v="251"/>
    <n v="3015.0526"/>
    <n v="0"/>
    <n v="3015.0526"/>
    <n v="60180.449896000006"/>
    <n v="60210.600421999996"/>
  </r>
  <r>
    <x v="1"/>
    <n v="32.659999999999997"/>
    <n v="32.67"/>
    <x v="251"/>
    <n v="1842.1811"/>
    <n v="-0.1"/>
    <n v="1842.0811000000001"/>
    <n v="60162.368726000001"/>
    <n v="60180.789537000004"/>
  </r>
  <r>
    <x v="2"/>
    <n v="16.96"/>
    <n v="16.97"/>
    <x v="251"/>
    <n v="3546.7323000000001"/>
    <n v="0"/>
    <n v="3546.7323000000001"/>
    <n v="60152.579808000002"/>
    <n v="60188.047130999999"/>
  </r>
  <r>
    <x v="3"/>
    <n v="26.61"/>
    <n v="26.62"/>
    <x v="251"/>
    <n v="2261.3973999999998"/>
    <n v="-0.2"/>
    <n v="2261.1974"/>
    <n v="60170.462813999999"/>
    <n v="60193.074788000005"/>
  </r>
  <r>
    <x v="4"/>
    <n v="63.52"/>
    <n v="63.62"/>
    <x v="251"/>
    <n v="946.17539999999997"/>
    <n v="0"/>
    <n v="946.17539999999997"/>
    <n v="60101.061408000001"/>
    <n v="60195.678947999993"/>
  </r>
  <r>
    <x v="5"/>
    <n v="34.770000000000003"/>
    <n v="34.79"/>
    <x v="251"/>
    <n v="1730.1718000000001"/>
    <n v="0.2"/>
    <n v="1730.3718000000001"/>
    <n v="60165.027486000006"/>
    <n v="60199.634922000005"/>
  </r>
  <r>
    <x v="6"/>
    <n v="52.37"/>
    <n v="52.38"/>
    <x v="251"/>
    <n v="1148.9005999999999"/>
    <n v="0.05"/>
    <n v="1148.9505999999999"/>
    <n v="60170.542921999993"/>
    <n v="60182.032427999999"/>
  </r>
  <r>
    <x v="7"/>
    <n v="46.67"/>
    <n v="46.68"/>
    <x v="251"/>
    <n v="1289.2795000000001"/>
    <n v="0"/>
    <n v="1289.2795000000001"/>
    <n v="60170.674265000009"/>
    <n v="60183.567060000001"/>
  </r>
  <r>
    <x v="8"/>
    <n v="17.010000000000002"/>
    <n v="17.02"/>
    <x v="251"/>
    <n v="3535.8029000000001"/>
    <n v="0"/>
    <n v="3535.8029000000001"/>
    <n v="60144.007329000007"/>
    <n v="60179.365358000003"/>
  </r>
  <r>
    <x v="9"/>
    <n v="34.08"/>
    <n v="34.090000000000003"/>
    <x v="251"/>
    <n v="1765.1319000000001"/>
    <n v="0.2"/>
    <n v="1765.3319000000001"/>
    <n v="60162.511151999999"/>
    <n v="60180.164471000011"/>
  </r>
  <r>
    <x v="0"/>
    <n v="19.91"/>
    <n v="19.920000000000002"/>
    <x v="252"/>
    <n v="3015.0526"/>
    <n v="0"/>
    <n v="3015.0526"/>
    <n v="60029.697266000003"/>
    <n v="60059.847792000008"/>
  </r>
  <r>
    <x v="1"/>
    <n v="32.57"/>
    <n v="32.58"/>
    <x v="252"/>
    <n v="1842.1811"/>
    <n v="-0.1"/>
    <n v="1842.0811000000001"/>
    <n v="59996.581427000005"/>
    <n v="60015.002238000001"/>
  </r>
  <r>
    <x v="2"/>
    <n v="16.91"/>
    <n v="16.920000000000002"/>
    <x v="252"/>
    <n v="3546.7323000000001"/>
    <n v="0"/>
    <n v="3546.7323000000001"/>
    <n v="59975.243193000002"/>
    <n v="60010.710516000006"/>
  </r>
  <r>
    <x v="3"/>
    <n v="26.54"/>
    <n v="26.55"/>
    <x v="252"/>
    <n v="2261.3973999999998"/>
    <n v="-0.2"/>
    <n v="2261.1974"/>
    <n v="60012.178995999995"/>
    <n v="60034.790970000002"/>
  </r>
  <r>
    <x v="4"/>
    <n v="63.37"/>
    <n v="63.47"/>
    <x v="252"/>
    <n v="946.17539999999997"/>
    <n v="0"/>
    <n v="946.17539999999997"/>
    <n v="59959.135097999999"/>
    <n v="60053.752637999998"/>
  </r>
  <r>
    <x v="5"/>
    <n v="34.67"/>
    <n v="34.69"/>
    <x v="252"/>
    <n v="1730.1718000000001"/>
    <n v="0.2"/>
    <n v="1730.3718000000001"/>
    <n v="59991.990306000007"/>
    <n v="60026.597741999998"/>
  </r>
  <r>
    <x v="6"/>
    <n v="52.22"/>
    <n v="52.23"/>
    <x v="252"/>
    <n v="1148.9005999999999"/>
    <n v="0.05"/>
    <n v="1148.9505999999999"/>
    <n v="59998.200331999993"/>
    <n v="60009.689837999991"/>
  </r>
  <r>
    <x v="7"/>
    <n v="46.54"/>
    <n v="46.55"/>
    <x v="252"/>
    <n v="1289.2795000000001"/>
    <n v="0"/>
    <n v="1289.2795000000001"/>
    <n v="60003.067930000005"/>
    <n v="60015.960725000004"/>
  </r>
  <r>
    <x v="8"/>
    <n v="16.97"/>
    <n v="16.98"/>
    <x v="252"/>
    <n v="3535.8029000000001"/>
    <n v="0"/>
    <n v="3535.8029000000001"/>
    <n v="60002.575212999996"/>
    <n v="60037.933242000006"/>
  </r>
  <r>
    <x v="9"/>
    <n v="33.979999999999997"/>
    <n v="33.99"/>
    <x v="252"/>
    <n v="1765.1319000000001"/>
    <n v="0.2"/>
    <n v="1765.3319000000001"/>
    <n v="59985.977961999997"/>
    <n v="60003.631281000009"/>
  </r>
  <r>
    <x v="0"/>
    <n v="19.95"/>
    <n v="19.96"/>
    <x v="253"/>
    <n v="3015.0526"/>
    <n v="0"/>
    <n v="3015.0526"/>
    <n v="60150.299370000001"/>
    <n v="60180.449896000006"/>
  </r>
  <r>
    <x v="1"/>
    <n v="32.65"/>
    <n v="32.659999999999997"/>
    <x v="253"/>
    <n v="1842.1811"/>
    <n v="-0.1"/>
    <n v="1842.0811000000001"/>
    <n v="60143.947915000004"/>
    <n v="60162.368726000001"/>
  </r>
  <r>
    <x v="2"/>
    <n v="16.95"/>
    <n v="16.96"/>
    <x v="253"/>
    <n v="3546.7323000000001"/>
    <n v="0"/>
    <n v="3546.7323000000001"/>
    <n v="60117.112484999998"/>
    <n v="60152.579808000002"/>
  </r>
  <r>
    <x v="3"/>
    <n v="26.6"/>
    <n v="26.61"/>
    <x v="253"/>
    <n v="2261.3973999999998"/>
    <n v="-0.2"/>
    <n v="2261.1974"/>
    <n v="60147.850840000006"/>
    <n v="60170.462813999999"/>
  </r>
  <r>
    <x v="4"/>
    <n v="63.48"/>
    <n v="63.6"/>
    <x v="253"/>
    <n v="946.17539999999997"/>
    <n v="0"/>
    <n v="946.17539999999997"/>
    <n v="60063.214391999994"/>
    <n v="60176.755440000001"/>
  </r>
  <r>
    <x v="5"/>
    <n v="34.75"/>
    <n v="34.78"/>
    <x v="253"/>
    <n v="1730.1718000000001"/>
    <n v="0.2"/>
    <n v="1730.3718000000001"/>
    <n v="60130.420050000001"/>
    <n v="60182.331204000009"/>
  </r>
  <r>
    <x v="6"/>
    <n v="52.36"/>
    <n v="52.37"/>
    <x v="253"/>
    <n v="1148.9005999999999"/>
    <n v="0.05"/>
    <n v="1148.9505999999999"/>
    <n v="60159.053415999995"/>
    <n v="60170.542921999993"/>
  </r>
  <r>
    <x v="7"/>
    <n v="46.66"/>
    <n v="46.67"/>
    <x v="253"/>
    <n v="1289.2795000000001"/>
    <n v="0"/>
    <n v="1289.2795000000001"/>
    <n v="60157.781470000002"/>
    <n v="60170.674265000009"/>
  </r>
  <r>
    <x v="8"/>
    <n v="17.010000000000002"/>
    <n v="17.02"/>
    <x v="253"/>
    <n v="3535.8029000000001"/>
    <n v="0"/>
    <n v="3535.8029000000001"/>
    <n v="60144.007329000007"/>
    <n v="60179.365358000003"/>
  </r>
  <r>
    <x v="9"/>
    <n v="34.06"/>
    <n v="34.07"/>
    <x v="253"/>
    <n v="1765.1319000000001"/>
    <n v="0.2"/>
    <n v="1765.3319000000001"/>
    <n v="60127.204514000012"/>
    <n v="60144.857833000002"/>
  </r>
  <r>
    <x v="0"/>
    <n v="19.899999999999999"/>
    <n v="19.91"/>
    <x v="254"/>
    <n v="3015.0526"/>
    <n v="0"/>
    <n v="3015.0526"/>
    <n v="59999.546739999998"/>
    <n v="60029.697266000003"/>
  </r>
  <r>
    <x v="1"/>
    <n v="32.56"/>
    <n v="32.57"/>
    <x v="254"/>
    <n v="1842.1811"/>
    <n v="-0.1"/>
    <n v="1842.0811000000001"/>
    <n v="59978.160616000008"/>
    <n v="59996.581427000005"/>
  </r>
  <r>
    <x v="2"/>
    <n v="16.91"/>
    <n v="16.920000000000002"/>
    <x v="254"/>
    <n v="3546.7323000000001"/>
    <n v="0"/>
    <n v="3546.7323000000001"/>
    <n v="59975.243193000002"/>
    <n v="60010.710516000006"/>
  </r>
  <r>
    <x v="3"/>
    <n v="26.53"/>
    <n v="26.54"/>
    <x v="254"/>
    <n v="2261.3973999999998"/>
    <n v="-0.2"/>
    <n v="2261.1974"/>
    <n v="59989.567022000003"/>
    <n v="60012.178995999995"/>
  </r>
  <r>
    <x v="4"/>
    <n v="63.37"/>
    <n v="63.47"/>
    <x v="254"/>
    <n v="946.17539999999997"/>
    <n v="0"/>
    <n v="946.17539999999997"/>
    <n v="59959.135097999999"/>
    <n v="60053.752637999998"/>
  </r>
  <r>
    <x v="5"/>
    <n v="34.67"/>
    <n v="34.69"/>
    <x v="254"/>
    <n v="1730.1718000000001"/>
    <n v="0.2"/>
    <n v="1730.3718000000001"/>
    <n v="59991.990306000007"/>
    <n v="60026.597741999998"/>
  </r>
  <r>
    <x v="6"/>
    <n v="52.22"/>
    <n v="52.23"/>
    <x v="254"/>
    <n v="1148.9005999999999"/>
    <n v="0.05"/>
    <n v="1148.9505999999999"/>
    <n v="59998.200331999993"/>
    <n v="60009.689837999991"/>
  </r>
  <r>
    <x v="7"/>
    <n v="46.54"/>
    <n v="46.55"/>
    <x v="254"/>
    <n v="1289.2795000000001"/>
    <n v="0"/>
    <n v="1289.2795000000001"/>
    <n v="60003.067930000005"/>
    <n v="60015.960725000004"/>
  </r>
  <r>
    <x v="8"/>
    <n v="16.96"/>
    <n v="16.97"/>
    <x v="254"/>
    <n v="3535.8029000000001"/>
    <n v="0"/>
    <n v="3535.8029000000001"/>
    <n v="59967.217184000008"/>
    <n v="60002.575212999996"/>
  </r>
  <r>
    <x v="9"/>
    <n v="33.979999999999997"/>
    <n v="33.99"/>
    <x v="254"/>
    <n v="1765.1319000000001"/>
    <n v="0.2"/>
    <n v="1765.3319000000001"/>
    <n v="59985.977961999997"/>
    <n v="60003.631281000009"/>
  </r>
  <r>
    <x v="0"/>
    <n v="19.86"/>
    <n v="19.87"/>
    <x v="255"/>
    <n v="3015.0526"/>
    <n v="0"/>
    <n v="3015.0526"/>
    <n v="59878.944636"/>
    <n v="59909.095162000005"/>
  </r>
  <r>
    <x v="1"/>
    <n v="32.5"/>
    <n v="32.51"/>
    <x v="255"/>
    <n v="1842.1811"/>
    <n v="-0.1"/>
    <n v="1842.0811000000001"/>
    <n v="59867.635750000001"/>
    <n v="59886.056560999998"/>
  </r>
  <r>
    <x v="2"/>
    <n v="16.89"/>
    <n v="16.899999999999999"/>
    <x v="255"/>
    <n v="3546.7323000000001"/>
    <n v="0"/>
    <n v="3546.7323000000001"/>
    <n v="59904.308547000001"/>
    <n v="59939.775869999998"/>
  </r>
  <r>
    <x v="3"/>
    <n v="26.48"/>
    <n v="26.49"/>
    <x v="255"/>
    <n v="2261.3973999999998"/>
    <n v="-0.2"/>
    <n v="2261.1974"/>
    <n v="59876.507151999998"/>
    <n v="59899.119125999998"/>
  </r>
  <r>
    <x v="4"/>
    <n v="63.26"/>
    <n v="63.32"/>
    <x v="255"/>
    <n v="946.17539999999997"/>
    <n v="0"/>
    <n v="946.17539999999997"/>
    <n v="59855.055803999996"/>
    <n v="59911.826327999996"/>
  </r>
  <r>
    <x v="5"/>
    <n v="34.6"/>
    <n v="34.619999999999997"/>
    <x v="255"/>
    <n v="1730.1718000000001"/>
    <n v="0.2"/>
    <n v="1730.3718000000001"/>
    <n v="59870.864280000009"/>
    <n v="59905.471716"/>
  </r>
  <r>
    <x v="6"/>
    <n v="52.12"/>
    <n v="52.13"/>
    <x v="255"/>
    <n v="1148.9005999999999"/>
    <n v="0.05"/>
    <n v="1148.9505999999999"/>
    <n v="59883.305271999991"/>
    <n v="59894.794777999996"/>
  </r>
  <r>
    <x v="7"/>
    <n v="46.45"/>
    <n v="46.46"/>
    <x v="255"/>
    <n v="1289.2795000000001"/>
    <n v="0"/>
    <n v="1289.2795000000001"/>
    <n v="59887.032775000007"/>
    <n v="59899.925570000007"/>
  </r>
  <r>
    <x v="8"/>
    <n v="16.93"/>
    <n v="16.940000000000001"/>
    <x v="255"/>
    <n v="3535.8029000000001"/>
    <n v="0"/>
    <n v="3535.8029000000001"/>
    <n v="59861.143097"/>
    <n v="59896.50112600001"/>
  </r>
  <r>
    <x v="9"/>
    <n v="33.92"/>
    <n v="33.93"/>
    <x v="255"/>
    <n v="1765.1319000000001"/>
    <n v="0.2"/>
    <n v="1765.3319000000001"/>
    <n v="59880.058048000006"/>
    <n v="59897.711367000004"/>
  </r>
  <r>
    <x v="0"/>
    <n v="19.87"/>
    <n v="19.88"/>
    <x v="256"/>
    <n v="3015.0526"/>
    <n v="0"/>
    <n v="3015.0526"/>
    <n v="59909.095162000005"/>
    <n v="59939.245687999995"/>
  </r>
  <r>
    <x v="1"/>
    <n v="32.53"/>
    <n v="32.54"/>
    <x v="256"/>
    <n v="1842.1811"/>
    <n v="-0.1"/>
    <n v="1842.0811000000001"/>
    <n v="59922.898183000005"/>
    <n v="59941.318994000001"/>
  </r>
  <r>
    <x v="2"/>
    <n v="16.89"/>
    <n v="16.899999999999999"/>
    <x v="256"/>
    <n v="3546.7323000000001"/>
    <n v="0"/>
    <n v="3546.7323000000001"/>
    <n v="59904.308547000001"/>
    <n v="59939.775869999998"/>
  </r>
  <r>
    <x v="3"/>
    <n v="26.5"/>
    <n v="26.51"/>
    <x v="256"/>
    <n v="2261.3973999999998"/>
    <n v="-0.2"/>
    <n v="2261.1974"/>
    <n v="59921.731099999997"/>
    <n v="59944.343074000004"/>
  </r>
  <r>
    <x v="4"/>
    <n v="63.3"/>
    <n v="63.35"/>
    <x v="256"/>
    <n v="946.17539999999997"/>
    <n v="0"/>
    <n v="946.17539999999997"/>
    <n v="59892.902819999996"/>
    <n v="59940.211589999999"/>
  </r>
  <r>
    <x v="5"/>
    <n v="34.619999999999997"/>
    <n v="34.64"/>
    <x v="256"/>
    <n v="1730.1718000000001"/>
    <n v="0.2"/>
    <n v="1730.3718000000001"/>
    <n v="59905.471716"/>
    <n v="59940.079152000006"/>
  </r>
  <r>
    <x v="6"/>
    <n v="52.16"/>
    <n v="52.17"/>
    <x v="256"/>
    <n v="1148.9005999999999"/>
    <n v="0.05"/>
    <n v="1148.9505999999999"/>
    <n v="59929.26329599999"/>
    <n v="59940.752801999995"/>
  </r>
  <r>
    <x v="7"/>
    <n v="46.48"/>
    <n v="46.49"/>
    <x v="256"/>
    <n v="1289.2795000000001"/>
    <n v="0"/>
    <n v="1289.2795000000001"/>
    <n v="59925.711159999999"/>
    <n v="59938.603955000006"/>
  </r>
  <r>
    <x v="8"/>
    <n v="16.940000000000001"/>
    <n v="16.95"/>
    <x v="256"/>
    <n v="3535.8029000000001"/>
    <n v="0"/>
    <n v="3535.8029000000001"/>
    <n v="59896.50112600001"/>
    <n v="59931.859154999998"/>
  </r>
  <r>
    <x v="9"/>
    <n v="33.94"/>
    <n v="33.950000000000003"/>
    <x v="256"/>
    <n v="1765.1319000000001"/>
    <n v="0.2"/>
    <n v="1765.3319000000001"/>
    <n v="59915.364686000001"/>
    <n v="59933.018005000013"/>
  </r>
  <r>
    <x v="0"/>
    <n v="19.899999999999999"/>
    <n v="19.91"/>
    <x v="257"/>
    <n v="3015.0526"/>
    <n v="0"/>
    <n v="3015.0526"/>
    <n v="59999.546739999998"/>
    <n v="60029.697266000003"/>
  </r>
  <r>
    <x v="1"/>
    <n v="32.56"/>
    <n v="32.57"/>
    <x v="257"/>
    <n v="1842.1811"/>
    <n v="-0.1"/>
    <n v="1842.0811000000001"/>
    <n v="59978.160616000008"/>
    <n v="59996.581427000005"/>
  </r>
  <r>
    <x v="2"/>
    <n v="16.91"/>
    <n v="16.920000000000002"/>
    <x v="257"/>
    <n v="3546.7323000000001"/>
    <n v="0"/>
    <n v="3546.7323000000001"/>
    <n v="59975.243193000002"/>
    <n v="60010.710516000006"/>
  </r>
  <r>
    <x v="3"/>
    <n v="26.53"/>
    <n v="26.54"/>
    <x v="257"/>
    <n v="2261.3973999999998"/>
    <n v="-0.2"/>
    <n v="2261.1974"/>
    <n v="59989.567022000003"/>
    <n v="60012.178995999995"/>
  </r>
  <r>
    <x v="4"/>
    <n v="63.37"/>
    <n v="63.43"/>
    <x v="257"/>
    <n v="946.17539999999997"/>
    <n v="0"/>
    <n v="946.17539999999997"/>
    <n v="59959.135097999999"/>
    <n v="60015.905621999998"/>
  </r>
  <r>
    <x v="5"/>
    <n v="34.659999999999997"/>
    <n v="34.68"/>
    <x v="257"/>
    <n v="1730.1718000000001"/>
    <n v="0.2"/>
    <n v="1730.3718000000001"/>
    <n v="59974.686587999997"/>
    <n v="60009.294024000003"/>
  </r>
  <r>
    <x v="6"/>
    <n v="52.21"/>
    <n v="52.22"/>
    <x v="257"/>
    <n v="1148.9005999999999"/>
    <n v="0.05"/>
    <n v="1148.9505999999999"/>
    <n v="59986.710825999995"/>
    <n v="59998.200331999993"/>
  </r>
  <r>
    <x v="7"/>
    <n v="46.53"/>
    <n v="46.54"/>
    <x v="257"/>
    <n v="1289.2795000000001"/>
    <n v="0"/>
    <n v="1289.2795000000001"/>
    <n v="59990.175135000005"/>
    <n v="60003.067930000005"/>
  </r>
  <r>
    <x v="8"/>
    <n v="16.96"/>
    <n v="16.97"/>
    <x v="257"/>
    <n v="3535.8029000000001"/>
    <n v="0"/>
    <n v="3535.8029000000001"/>
    <n v="59967.217184000008"/>
    <n v="60002.575212999996"/>
  </r>
  <r>
    <x v="9"/>
    <n v="33.979999999999997"/>
    <n v="33.99"/>
    <x v="257"/>
    <n v="1765.1319000000001"/>
    <n v="0.2"/>
    <n v="1765.3319000000001"/>
    <n v="59985.977961999997"/>
    <n v="60003.631281000009"/>
  </r>
  <r>
    <x v="0"/>
    <n v="19.88"/>
    <n v="19.89"/>
    <x v="258"/>
    <n v="3015.0526"/>
    <n v="0"/>
    <n v="3015.0526"/>
    <n v="59939.245687999995"/>
    <n v="59969.396214"/>
  </r>
  <r>
    <x v="1"/>
    <n v="32.53"/>
    <n v="32.54"/>
    <x v="258"/>
    <n v="1842.1811"/>
    <n v="-0.1"/>
    <n v="1842.0811000000001"/>
    <n v="59922.898183000005"/>
    <n v="59941.318994000001"/>
  </r>
  <r>
    <x v="2"/>
    <n v="16.899999999999999"/>
    <n v="16.91"/>
    <x v="258"/>
    <n v="3546.7323000000001"/>
    <n v="0"/>
    <n v="3546.7323000000001"/>
    <n v="59939.775869999998"/>
    <n v="59975.243193000002"/>
  </r>
  <r>
    <x v="3"/>
    <n v="26.5"/>
    <n v="26.51"/>
    <x v="258"/>
    <n v="2261.3973999999998"/>
    <n v="-0.2"/>
    <n v="2261.1974"/>
    <n v="59921.731099999997"/>
    <n v="59944.343074000004"/>
  </r>
  <r>
    <x v="4"/>
    <n v="63.28"/>
    <n v="63.36"/>
    <x v="258"/>
    <n v="946.17539999999997"/>
    <n v="0"/>
    <n v="946.17539999999997"/>
    <n v="59873.979311999996"/>
    <n v="59949.673343999995"/>
  </r>
  <r>
    <x v="5"/>
    <n v="34.619999999999997"/>
    <n v="34.65"/>
    <x v="258"/>
    <n v="1730.1718000000001"/>
    <n v="0.2"/>
    <n v="1730.3718000000001"/>
    <n v="59905.471716"/>
    <n v="59957.382870000001"/>
  </r>
  <r>
    <x v="6"/>
    <n v="52.16"/>
    <n v="52.17"/>
    <x v="258"/>
    <n v="1148.9005999999999"/>
    <n v="0.05"/>
    <n v="1148.9505999999999"/>
    <n v="59929.26329599999"/>
    <n v="59940.752801999995"/>
  </r>
  <r>
    <x v="7"/>
    <n v="46.48"/>
    <n v="46.49"/>
    <x v="258"/>
    <n v="1289.2795000000001"/>
    <n v="0"/>
    <n v="1289.2795000000001"/>
    <n v="59925.711159999999"/>
    <n v="59938.603955000006"/>
  </r>
  <r>
    <x v="8"/>
    <n v="16.940000000000001"/>
    <n v="16.95"/>
    <x v="258"/>
    <n v="3535.8029000000001"/>
    <n v="0"/>
    <n v="3535.8029000000001"/>
    <n v="59896.50112600001"/>
    <n v="59931.859154999998"/>
  </r>
  <r>
    <x v="9"/>
    <n v="33.94"/>
    <n v="33.950000000000003"/>
    <x v="258"/>
    <n v="1765.1319000000001"/>
    <n v="0.2"/>
    <n v="1765.3319000000001"/>
    <n v="59915.364686000001"/>
    <n v="59933.018005000013"/>
  </r>
  <r>
    <x v="0"/>
    <n v="19.809999999999999"/>
    <n v="19.82"/>
    <x v="259"/>
    <n v="3015.0526"/>
    <n v="0"/>
    <n v="3015.0526"/>
    <n v="59728.192005999997"/>
    <n v="59758.342532000002"/>
  </r>
  <r>
    <x v="1"/>
    <n v="32.42"/>
    <n v="32.43"/>
    <x v="259"/>
    <n v="1842.1811"/>
    <n v="-0.1"/>
    <n v="1842.0811000000001"/>
    <n v="59720.269262000009"/>
    <n v="59738.690073000005"/>
  </r>
  <r>
    <x v="2"/>
    <n v="16.84"/>
    <n v="16.850000000000001"/>
    <x v="259"/>
    <n v="3546.7323000000001"/>
    <n v="0"/>
    <n v="3546.7323000000001"/>
    <n v="59726.971932"/>
    <n v="59762.439255000005"/>
  </r>
  <r>
    <x v="3"/>
    <n v="26.42"/>
    <n v="26.43"/>
    <x v="259"/>
    <n v="2261.3973999999998"/>
    <n v="-0.2"/>
    <n v="2261.1974"/>
    <n v="59740.835308000002"/>
    <n v="59763.447282000001"/>
  </r>
  <r>
    <x v="4"/>
    <n v="63.09"/>
    <n v="63.15"/>
    <x v="259"/>
    <n v="946.17539999999997"/>
    <n v="0"/>
    <n v="946.17539999999997"/>
    <n v="59694.205986000001"/>
    <n v="59750.976509999993"/>
  </r>
  <r>
    <x v="5"/>
    <n v="34.51"/>
    <n v="34.53"/>
    <x v="259"/>
    <n v="1730.1718000000001"/>
    <n v="0.2"/>
    <n v="1730.3718000000001"/>
    <n v="59715.130817999998"/>
    <n v="59749.738254000004"/>
  </r>
  <r>
    <x v="6"/>
    <n v="51.99"/>
    <n v="52"/>
    <x v="259"/>
    <n v="1148.9005999999999"/>
    <n v="0.05"/>
    <n v="1148.9505999999999"/>
    <n v="59733.941693999994"/>
    <n v="59745.431199999992"/>
  </r>
  <r>
    <x v="7"/>
    <n v="46.33"/>
    <n v="46.34"/>
    <x v="259"/>
    <n v="1289.2795000000001"/>
    <n v="0"/>
    <n v="1289.2795000000001"/>
    <n v="59732.319235000003"/>
    <n v="59745.21203000001"/>
  </r>
  <r>
    <x v="8"/>
    <n v="16.89"/>
    <n v="16.899999999999999"/>
    <x v="259"/>
    <n v="3535.8029000000001"/>
    <n v="0"/>
    <n v="3535.8029000000001"/>
    <n v="59719.710981000004"/>
    <n v="59755.069009999999"/>
  </r>
  <r>
    <x v="9"/>
    <n v="33.83"/>
    <n v="33.840000000000003"/>
    <x v="259"/>
    <n v="1765.1319000000001"/>
    <n v="0.2"/>
    <n v="1765.3319000000001"/>
    <n v="59721.178177000002"/>
    <n v="59738.831496000013"/>
  </r>
  <r>
    <x v="0"/>
    <n v="19.739999999999998"/>
    <n v="19.75"/>
    <x v="260"/>
    <n v="3015.0526"/>
    <n v="0"/>
    <n v="3015.0526"/>
    <n v="59517.138323999992"/>
    <n v="59547.288849999997"/>
  </r>
  <r>
    <x v="1"/>
    <n v="32.32"/>
    <n v="32.33"/>
    <x v="260"/>
    <n v="1842.1811"/>
    <n v="-0.1"/>
    <n v="1842.0811000000001"/>
    <n v="59536.061152000002"/>
    <n v="59554.481962999998"/>
  </r>
  <r>
    <x v="2"/>
    <n v="16.79"/>
    <n v="16.8"/>
    <x v="260"/>
    <n v="3546.7323000000001"/>
    <n v="0"/>
    <n v="3546.7323000000001"/>
    <n v="59549.635317"/>
    <n v="59585.102640000005"/>
  </r>
  <r>
    <x v="3"/>
    <n v="26.33"/>
    <n v="26.34"/>
    <x v="260"/>
    <n v="2261.3973999999998"/>
    <n v="-0.2"/>
    <n v="2261.1974"/>
    <n v="59537.327541999999"/>
    <n v="59559.939515999999"/>
  </r>
  <r>
    <x v="4"/>
    <n v="62.86"/>
    <n v="62.93"/>
    <x v="260"/>
    <n v="946.17539999999997"/>
    <n v="0"/>
    <n v="946.17539999999997"/>
    <n v="59476.585643999999"/>
    <n v="59542.817921999995"/>
  </r>
  <r>
    <x v="5"/>
    <n v="34.4"/>
    <n v="34.42"/>
    <x v="260"/>
    <n v="1730.1718000000001"/>
    <n v="0.2"/>
    <n v="1730.3718000000001"/>
    <n v="59524.789920000003"/>
    <n v="59559.397356000009"/>
  </r>
  <r>
    <x v="6"/>
    <n v="51.83"/>
    <n v="51.84"/>
    <x v="260"/>
    <n v="1148.9005999999999"/>
    <n v="0.05"/>
    <n v="1148.9505999999999"/>
    <n v="59550.109597999995"/>
    <n v="59561.599104000001"/>
  </r>
  <r>
    <x v="7"/>
    <n v="46.18"/>
    <n v="46.19"/>
    <x v="260"/>
    <n v="1289.2795000000001"/>
    <n v="0"/>
    <n v="1289.2795000000001"/>
    <n v="59538.927310000006"/>
    <n v="59551.820104999999"/>
  </r>
  <r>
    <x v="8"/>
    <n v="16.829999999999998"/>
    <n v="16.84"/>
    <x v="260"/>
    <n v="3535.8029000000001"/>
    <n v="0"/>
    <n v="3535.8029000000001"/>
    <n v="59507.562806999995"/>
    <n v="59542.920836000005"/>
  </r>
  <r>
    <x v="9"/>
    <n v="33.71"/>
    <n v="33.72"/>
    <x v="260"/>
    <n v="1765.1319000000001"/>
    <n v="0.2"/>
    <n v="1765.3319000000001"/>
    <n v="59509.338349000005"/>
    <n v="59526.991668000002"/>
  </r>
  <r>
    <x v="0"/>
    <n v="19.88"/>
    <n v="19.89"/>
    <x v="261"/>
    <n v="3015.0526"/>
    <n v="0"/>
    <n v="3015.0526"/>
    <n v="59939.245687999995"/>
    <n v="59969.396214"/>
  </r>
  <r>
    <x v="1"/>
    <n v="32.53"/>
    <n v="32.54"/>
    <x v="261"/>
    <n v="1842.1811"/>
    <n v="-0.1"/>
    <n v="1842.0811000000001"/>
    <n v="59922.898183000005"/>
    <n v="59941.318994000001"/>
  </r>
  <r>
    <x v="2"/>
    <n v="16.899999999999999"/>
    <n v="16.91"/>
    <x v="261"/>
    <n v="3546.7323000000001"/>
    <n v="0"/>
    <n v="3546.7323000000001"/>
    <n v="59939.775869999998"/>
    <n v="59975.243193000002"/>
  </r>
  <r>
    <x v="3"/>
    <n v="26.5"/>
    <n v="26.51"/>
    <x v="261"/>
    <n v="2261.3973999999998"/>
    <n v="-0.2"/>
    <n v="2261.1974"/>
    <n v="59921.731099999997"/>
    <n v="59944.343074000004"/>
  </r>
  <r>
    <x v="4"/>
    <n v="63.29"/>
    <n v="63.36"/>
    <x v="261"/>
    <n v="946.17539999999997"/>
    <n v="0"/>
    <n v="946.17539999999997"/>
    <n v="59883.441065999999"/>
    <n v="59949.673343999995"/>
  </r>
  <r>
    <x v="5"/>
    <n v="34.630000000000003"/>
    <n v="34.65"/>
    <x v="261"/>
    <n v="1730.1718000000001"/>
    <n v="0.2"/>
    <n v="1730.3718000000001"/>
    <n v="59922.77543400001"/>
    <n v="59957.382870000001"/>
  </r>
  <r>
    <x v="6"/>
    <n v="52.17"/>
    <n v="52.18"/>
    <x v="261"/>
    <n v="1148.9005999999999"/>
    <n v="0.05"/>
    <n v="1148.9505999999999"/>
    <n v="59940.752801999995"/>
    <n v="59952.242307999993"/>
  </r>
  <r>
    <x v="7"/>
    <n v="46.49"/>
    <n v="46.5"/>
    <x v="261"/>
    <n v="1289.2795000000001"/>
    <n v="0"/>
    <n v="1289.2795000000001"/>
    <n v="59938.603955000006"/>
    <n v="59951.496750000006"/>
  </r>
  <r>
    <x v="8"/>
    <n v="16.95"/>
    <n v="16.96"/>
    <x v="261"/>
    <n v="3535.8029000000001"/>
    <n v="0"/>
    <n v="3535.8029000000001"/>
    <n v="59931.859154999998"/>
    <n v="59967.217184000008"/>
  </r>
  <r>
    <x v="9"/>
    <n v="33.94"/>
    <n v="33.950000000000003"/>
    <x v="261"/>
    <n v="1765.1319000000001"/>
    <n v="0.2"/>
    <n v="1765.3319000000001"/>
    <n v="59915.364686000001"/>
    <n v="59933.018005000013"/>
  </r>
  <r>
    <x v="0"/>
    <n v="19.84"/>
    <n v="19.850000000000001"/>
    <x v="262"/>
    <n v="3015.0526"/>
    <n v="0"/>
    <n v="3015.0526"/>
    <n v="59818.643583999998"/>
    <n v="59848.794110000003"/>
  </r>
  <r>
    <x v="1"/>
    <n v="32.47"/>
    <n v="32.479999999999997"/>
    <x v="262"/>
    <n v="1842.1811"/>
    <n v="-0.1"/>
    <n v="1842.0811000000001"/>
    <n v="59812.373316999998"/>
    <n v="59830.794127999994"/>
  </r>
  <r>
    <x v="2"/>
    <n v="16.87"/>
    <n v="16.88"/>
    <x v="262"/>
    <n v="3546.7323000000001"/>
    <n v="0"/>
    <n v="3546.7323000000001"/>
    <n v="59833.373901000006"/>
    <n v="59868.841223999996"/>
  </r>
  <r>
    <x v="3"/>
    <n v="26.46"/>
    <n v="26.47"/>
    <x v="262"/>
    <n v="2261.3973999999998"/>
    <n v="-0.2"/>
    <n v="2261.1974"/>
    <n v="59831.283203999999"/>
    <n v="59853.895177999999"/>
  </r>
  <r>
    <x v="4"/>
    <n v="63.19"/>
    <n v="63.28"/>
    <x v="262"/>
    <n v="946.17539999999997"/>
    <n v="0"/>
    <n v="946.17539999999997"/>
    <n v="59788.823525999993"/>
    <n v="59873.979311999996"/>
  </r>
  <r>
    <x v="5"/>
    <n v="34.56"/>
    <n v="34.590000000000003"/>
    <x v="262"/>
    <n v="1730.1718000000001"/>
    <n v="0.2"/>
    <n v="1730.3718000000001"/>
    <n v="59801.649408000005"/>
    <n v="59853.560562000013"/>
  </r>
  <r>
    <x v="6"/>
    <n v="52.07"/>
    <n v="52.08"/>
    <x v="262"/>
    <n v="1148.9005999999999"/>
    <n v="0.05"/>
    <n v="1148.9505999999999"/>
    <n v="59825.857741999993"/>
    <n v="59837.347247999991"/>
  </r>
  <r>
    <x v="7"/>
    <n v="46.41"/>
    <n v="46.42"/>
    <x v="262"/>
    <n v="1289.2795000000001"/>
    <n v="0"/>
    <n v="1289.2795000000001"/>
    <n v="59835.461595000001"/>
    <n v="59848.354390000008"/>
  </r>
  <r>
    <x v="8"/>
    <n v="16.91"/>
    <n v="16.920000000000002"/>
    <x v="262"/>
    <n v="3535.8029000000001"/>
    <n v="0"/>
    <n v="3535.8029000000001"/>
    <n v="59790.427039000002"/>
    <n v="59825.785068000012"/>
  </r>
  <r>
    <x v="9"/>
    <n v="33.880000000000003"/>
    <n v="33.89"/>
    <x v="262"/>
    <n v="1765.1319000000001"/>
    <n v="0.2"/>
    <n v="1765.3319000000001"/>
    <n v="59809.44477200001"/>
    <n v="59827.098091000007"/>
  </r>
  <r>
    <x v="0"/>
    <n v="19.829999999999998"/>
    <n v="19.84"/>
    <x v="263"/>
    <n v="3015.0526"/>
    <n v="0"/>
    <n v="3015.0526"/>
    <n v="59788.493057999993"/>
    <n v="59818.643583999998"/>
  </r>
  <r>
    <x v="1"/>
    <n v="32.46"/>
    <n v="32.47"/>
    <x v="263"/>
    <n v="1842.1811"/>
    <n v="-0.1"/>
    <n v="1842.0811000000001"/>
    <n v="59793.952506000001"/>
    <n v="59812.373316999998"/>
  </r>
  <r>
    <x v="2"/>
    <n v="16.86"/>
    <n v="16.87"/>
    <x v="263"/>
    <n v="3546.7323000000001"/>
    <n v="0"/>
    <n v="3546.7323000000001"/>
    <n v="59797.906578000002"/>
    <n v="59833.373901000006"/>
  </r>
  <r>
    <x v="3"/>
    <n v="26.44"/>
    <n v="26.45"/>
    <x v="263"/>
    <n v="2261.3973999999998"/>
    <n v="-0.2"/>
    <n v="2261.1974"/>
    <n v="59786.059256"/>
    <n v="59808.67123"/>
  </r>
  <r>
    <x v="4"/>
    <n v="63.17"/>
    <n v="63.28"/>
    <x v="263"/>
    <n v="946.17539999999997"/>
    <n v="0"/>
    <n v="946.17539999999997"/>
    <n v="59769.900018"/>
    <n v="59873.979311999996"/>
  </r>
  <r>
    <x v="5"/>
    <n v="34.56"/>
    <n v="34.57"/>
    <x v="263"/>
    <n v="1730.1718000000001"/>
    <n v="0.2"/>
    <n v="1730.3718000000001"/>
    <n v="59801.649408000005"/>
    <n v="59818.953126000008"/>
  </r>
  <r>
    <x v="6"/>
    <n v="52.04"/>
    <n v="52.05"/>
    <x v="263"/>
    <n v="1148.9005999999999"/>
    <n v="0.05"/>
    <n v="1148.9505999999999"/>
    <n v="59791.389223999991"/>
    <n v="59802.878729999989"/>
  </r>
  <r>
    <x v="7"/>
    <n v="46.39"/>
    <n v="46.4"/>
    <x v="263"/>
    <n v="1289.2795000000001"/>
    <n v="0"/>
    <n v="1289.2795000000001"/>
    <n v="59809.676005000008"/>
    <n v="59822.568800000001"/>
  </r>
  <r>
    <x v="8"/>
    <n v="16.91"/>
    <n v="16.920000000000002"/>
    <x v="263"/>
    <n v="3535.8029000000001"/>
    <n v="0"/>
    <n v="3535.8029000000001"/>
    <n v="59790.427039000002"/>
    <n v="59825.785068000012"/>
  </r>
  <r>
    <x v="9"/>
    <n v="33.869999999999997"/>
    <n v="33.880000000000003"/>
    <x v="263"/>
    <n v="1765.1319000000001"/>
    <n v="0.2"/>
    <n v="1765.3319000000001"/>
    <n v="59791.791452999998"/>
    <n v="59809.44477200001"/>
  </r>
  <r>
    <x v="0"/>
    <n v="19.82"/>
    <n v="19.829999999999998"/>
    <x v="264"/>
    <n v="3015.0526"/>
    <n v="0"/>
    <n v="3015.0526"/>
    <n v="59758.342532000002"/>
    <n v="59788.493057999993"/>
  </r>
  <r>
    <x v="1"/>
    <n v="32.43"/>
    <n v="32.44"/>
    <x v="264"/>
    <n v="1842.1811"/>
    <n v="-0.1"/>
    <n v="1842.0811000000001"/>
    <n v="59738.690073000005"/>
    <n v="59757.110884000002"/>
  </r>
  <r>
    <x v="2"/>
    <n v="16.850000000000001"/>
    <n v="16.86"/>
    <x v="264"/>
    <n v="3546.7323000000001"/>
    <n v="0"/>
    <n v="3546.7323000000001"/>
    <n v="59762.439255000005"/>
    <n v="59797.906578000002"/>
  </r>
  <r>
    <x v="3"/>
    <n v="26.43"/>
    <n v="26.44"/>
    <x v="264"/>
    <n v="2261.3973999999998"/>
    <n v="-0.2"/>
    <n v="2261.1974"/>
    <n v="59763.447282000001"/>
    <n v="59786.059256"/>
  </r>
  <r>
    <x v="4"/>
    <n v="63.11"/>
    <n v="63.21"/>
    <x v="264"/>
    <n v="946.17539999999997"/>
    <n v="0"/>
    <n v="946.17539999999997"/>
    <n v="59713.129494000001"/>
    <n v="59807.747034"/>
  </r>
  <r>
    <x v="5"/>
    <n v="34.520000000000003"/>
    <n v="34.549999999999997"/>
    <x v="264"/>
    <n v="1730.1718000000001"/>
    <n v="0.2"/>
    <n v="1730.3718000000001"/>
    <n v="59732.434536000008"/>
    <n v="59784.345690000002"/>
  </r>
  <r>
    <x v="6"/>
    <n v="52"/>
    <n v="52.01"/>
    <x v="264"/>
    <n v="1148.9005999999999"/>
    <n v="0.05"/>
    <n v="1148.9505999999999"/>
    <n v="59745.431199999992"/>
    <n v="59756.92070599999"/>
  </r>
  <r>
    <x v="7"/>
    <n v="46.35"/>
    <n v="46.36"/>
    <x v="264"/>
    <n v="1289.2795000000001"/>
    <n v="0"/>
    <n v="1289.2795000000001"/>
    <n v="59758.104825000009"/>
    <n v="59770.997620000002"/>
  </r>
  <r>
    <x v="8"/>
    <n v="16.899999999999999"/>
    <n v="16.91"/>
    <x v="264"/>
    <n v="3535.8029000000001"/>
    <n v="0"/>
    <n v="3535.8029000000001"/>
    <n v="59755.069009999999"/>
    <n v="59790.427039000002"/>
  </r>
  <r>
    <x v="9"/>
    <n v="33.840000000000003"/>
    <n v="33.85"/>
    <x v="264"/>
    <n v="1765.1319000000001"/>
    <n v="0.2"/>
    <n v="1765.3319000000001"/>
    <n v="59738.831496000013"/>
    <n v="59756.484815000003"/>
  </r>
  <r>
    <x v="0"/>
    <n v="19.649999999999999"/>
    <n v="19.66"/>
    <x v="265"/>
    <n v="3015.0699"/>
    <n v="0"/>
    <n v="3015.0699"/>
    <n v="59246.123534999992"/>
    <n v="59276.274233999997"/>
  </r>
  <r>
    <x v="1"/>
    <n v="32.15"/>
    <n v="32.159999999999997"/>
    <x v="265"/>
    <n v="1842.1912"/>
    <n v="-0.1"/>
    <n v="1842.0912000000001"/>
    <n v="59223.232080000002"/>
    <n v="59241.652991999996"/>
  </r>
  <r>
    <x v="2"/>
    <n v="16.7"/>
    <n v="16.71"/>
    <x v="265"/>
    <n v="3546.7566000000002"/>
    <n v="0"/>
    <n v="3546.7566000000002"/>
    <n v="59230.835220000001"/>
    <n v="59266.302786000007"/>
  </r>
  <r>
    <x v="3"/>
    <n v="26.2"/>
    <n v="26.21"/>
    <x v="265"/>
    <n v="2261.4067"/>
    <n v="-0.2"/>
    <n v="2261.2067000000002"/>
    <n v="59243.615540000006"/>
    <n v="59266.227607000008"/>
  </r>
  <r>
    <x v="4"/>
    <n v="62.54"/>
    <n v="62.65"/>
    <x v="265"/>
    <n v="946.18190000000004"/>
    <n v="0"/>
    <n v="946.18190000000004"/>
    <n v="59174.216026000002"/>
    <n v="59278.296034999999"/>
  </r>
  <r>
    <x v="5"/>
    <n v="34.229999999999997"/>
    <n v="34.25"/>
    <x v="265"/>
    <n v="1730.1808000000001"/>
    <n v="0.2"/>
    <n v="1730.3808000000001"/>
    <n v="59230.934783999997"/>
    <n v="59265.542400000006"/>
  </r>
  <r>
    <x v="6"/>
    <n v="51.56"/>
    <n v="51.57"/>
    <x v="265"/>
    <n v="1148.9085"/>
    <n v="0.05"/>
    <n v="1148.9585"/>
    <n v="59240.300260000004"/>
    <n v="59251.789844999999"/>
  </r>
  <r>
    <x v="7"/>
    <n v="45.95"/>
    <n v="45.96"/>
    <x v="265"/>
    <n v="1289.3325"/>
    <n v="0"/>
    <n v="1289.3325"/>
    <n v="59244.828375000005"/>
    <n v="59257.721700000002"/>
  </r>
  <r>
    <x v="8"/>
    <n v="16.760000000000002"/>
    <n v="16.77"/>
    <x v="265"/>
    <n v="3535.8029000000001"/>
    <n v="0"/>
    <n v="3535.8029000000001"/>
    <n v="59260.056604000005"/>
    <n v="59295.414633"/>
  </r>
  <r>
    <x v="9"/>
    <n v="33.549999999999997"/>
    <n v="33.56"/>
    <x v="265"/>
    <n v="1765.144"/>
    <n v="0.2"/>
    <n v="1765.3440000000001"/>
    <n v="59227.2912"/>
    <n v="59244.944640000009"/>
  </r>
  <r>
    <x v="0"/>
    <n v="19.68"/>
    <n v="19.690000000000001"/>
    <x v="266"/>
    <n v="3015.0699"/>
    <n v="0"/>
    <n v="3015.0699"/>
    <n v="59336.575632"/>
    <n v="59366.726331000005"/>
  </r>
  <r>
    <x v="1"/>
    <n v="32.21"/>
    <n v="32.22"/>
    <x v="266"/>
    <n v="1842.1912"/>
    <n v="-0.1"/>
    <n v="1842.0912000000001"/>
    <n v="59333.757552000003"/>
    <n v="59352.178463999997"/>
  </r>
  <r>
    <x v="2"/>
    <n v="16.73"/>
    <n v="16.739999999999998"/>
    <x v="266"/>
    <n v="3546.7566000000002"/>
    <n v="0"/>
    <n v="3546.7566000000002"/>
    <n v="59337.237918000006"/>
    <n v="59372.705483999998"/>
  </r>
  <r>
    <x v="3"/>
    <n v="26.24"/>
    <n v="26.25"/>
    <x v="266"/>
    <n v="2261.4067"/>
    <n v="-0.2"/>
    <n v="2261.2067000000002"/>
    <n v="59334.063807999999"/>
    <n v="59356.675875000008"/>
  </r>
  <r>
    <x v="4"/>
    <n v="62.61"/>
    <n v="62.74"/>
    <x v="266"/>
    <n v="946.18190000000004"/>
    <n v="0"/>
    <n v="946.18190000000004"/>
    <n v="59240.448758999999"/>
    <n v="59363.452406000004"/>
  </r>
  <r>
    <x v="5"/>
    <n v="34.28"/>
    <n v="34.299999999999997"/>
    <x v="266"/>
    <n v="1730.1808000000001"/>
    <n v="0.2"/>
    <n v="1730.3808000000001"/>
    <n v="59317.453824000004"/>
    <n v="59352.061439999998"/>
  </r>
  <r>
    <x v="6"/>
    <n v="51.64"/>
    <n v="51.65"/>
    <x v="266"/>
    <n v="1148.9085"/>
    <n v="0.05"/>
    <n v="1148.9585"/>
    <n v="59332.216939999998"/>
    <n v="59343.706524999994"/>
  </r>
  <r>
    <x v="7"/>
    <n v="46.02"/>
    <n v="46.03"/>
    <x v="266"/>
    <n v="1289.3325"/>
    <n v="0"/>
    <n v="1289.3325"/>
    <n v="59335.08165"/>
    <n v="59347.974974999997"/>
  </r>
  <r>
    <x v="8"/>
    <n v="16.78"/>
    <n v="16.79"/>
    <x v="266"/>
    <n v="3535.8029000000001"/>
    <n v="0"/>
    <n v="3535.8029000000001"/>
    <n v="59330.772662000003"/>
    <n v="59366.130690999998"/>
  </r>
  <r>
    <x v="9"/>
    <n v="33.6"/>
    <n v="33.61"/>
    <x v="266"/>
    <n v="1765.144"/>
    <n v="0.2"/>
    <n v="1765.3440000000001"/>
    <n v="59315.558400000002"/>
    <n v="59333.211840000004"/>
  </r>
  <r>
    <x v="0"/>
    <n v="19.61"/>
    <n v="19.62"/>
    <x v="267"/>
    <n v="3015.0699"/>
    <n v="0"/>
    <n v="3015.0699"/>
    <n v="59125.520739"/>
    <n v="59155.671438000005"/>
  </r>
  <r>
    <x v="1"/>
    <n v="32.1"/>
    <n v="32.11"/>
    <x v="267"/>
    <n v="1842.1912"/>
    <n v="-0.1"/>
    <n v="1842.0912000000001"/>
    <n v="59131.127520000002"/>
    <n v="59149.548432000003"/>
  </r>
  <r>
    <x v="2"/>
    <n v="16.670000000000002"/>
    <n v="16.68"/>
    <x v="267"/>
    <n v="3546.7566000000002"/>
    <n v="0"/>
    <n v="3546.7566000000002"/>
    <n v="59124.43252200001"/>
    <n v="59159.900088000002"/>
  </r>
  <r>
    <x v="3"/>
    <n v="26.15"/>
    <n v="26.16"/>
    <x v="267"/>
    <n v="2261.4067"/>
    <n v="-0.2"/>
    <n v="2261.2067000000002"/>
    <n v="59130.555205000004"/>
    <n v="59153.167272000006"/>
  </r>
  <r>
    <x v="4"/>
    <n v="62.43"/>
    <n v="62.53"/>
    <x v="267"/>
    <n v="946.18190000000004"/>
    <n v="0"/>
    <n v="946.18190000000004"/>
    <n v="59070.136017000004"/>
    <n v="59164.754207000005"/>
  </r>
  <r>
    <x v="5"/>
    <n v="34.159999999999997"/>
    <n v="34.19"/>
    <x v="267"/>
    <n v="1730.1808000000001"/>
    <n v="0.2"/>
    <n v="1730.3808000000001"/>
    <n v="59109.808127999997"/>
    <n v="59161.719552000002"/>
  </r>
  <r>
    <x v="6"/>
    <n v="51.46"/>
    <n v="51.47"/>
    <x v="267"/>
    <n v="1148.9085"/>
    <n v="0.05"/>
    <n v="1148.9585"/>
    <n v="59125.404409999996"/>
    <n v="59136.893994999999"/>
  </r>
  <r>
    <x v="7"/>
    <n v="45.86"/>
    <n v="45.87"/>
    <x v="267"/>
    <n v="1289.3325"/>
    <n v="0"/>
    <n v="1289.3325"/>
    <n v="59128.78845"/>
    <n v="59141.681774999997"/>
  </r>
  <r>
    <x v="8"/>
    <n v="16.72"/>
    <n v="16.73"/>
    <x v="267"/>
    <n v="3535.8029000000001"/>
    <n v="0"/>
    <n v="3535.8029000000001"/>
    <n v="59118.624488000001"/>
    <n v="59153.982517000004"/>
  </r>
  <r>
    <x v="9"/>
    <n v="33.479999999999997"/>
    <n v="33.49"/>
    <x v="267"/>
    <n v="1765.144"/>
    <n v="0.2"/>
    <n v="1765.3440000000001"/>
    <n v="59103.717119999994"/>
    <n v="59121.370560000003"/>
  </r>
  <r>
    <x v="0"/>
    <n v="19.690000000000001"/>
    <n v="19.7"/>
    <x v="268"/>
    <n v="3015.0699"/>
    <n v="0"/>
    <n v="3015.0699"/>
    <n v="59366.726331000005"/>
    <n v="59396.877029999996"/>
  </r>
  <r>
    <x v="1"/>
    <n v="32.229999999999997"/>
    <n v="32.24"/>
    <x v="268"/>
    <n v="1842.1912"/>
    <n v="-0.1"/>
    <n v="1842.0912000000001"/>
    <n v="59370.599375999998"/>
    <n v="59389.020288000007"/>
  </r>
  <r>
    <x v="2"/>
    <n v="16.739999999999998"/>
    <n v="16.75"/>
    <x v="268"/>
    <n v="3546.7566000000002"/>
    <n v="0"/>
    <n v="3546.7566000000002"/>
    <n v="59372.705483999998"/>
    <n v="59408.173050000005"/>
  </r>
  <r>
    <x v="3"/>
    <n v="26.25"/>
    <n v="26.26"/>
    <x v="268"/>
    <n v="2261.4067"/>
    <n v="-0.2"/>
    <n v="2261.2067000000002"/>
    <n v="59356.675875000008"/>
    <n v="59379.28794200001"/>
  </r>
  <r>
    <x v="4"/>
    <n v="62.67"/>
    <n v="62.78"/>
    <x v="268"/>
    <n v="946.18190000000004"/>
    <n v="0"/>
    <n v="946.18190000000004"/>
    <n v="59297.219673000007"/>
    <n v="59401.299682000004"/>
  </r>
  <r>
    <x v="5"/>
    <n v="34.31"/>
    <n v="34.32"/>
    <x v="268"/>
    <n v="1730.1808000000001"/>
    <n v="0.2"/>
    <n v="1730.3808000000001"/>
    <n v="59369.365248000009"/>
    <n v="59386.669056000006"/>
  </r>
  <r>
    <x v="6"/>
    <n v="51.67"/>
    <n v="51.67"/>
    <x v="268"/>
    <n v="1148.9085"/>
    <n v="0.05"/>
    <n v="1148.9585"/>
    <n v="59366.685695"/>
    <n v="59366.685695"/>
  </r>
  <r>
    <x v="7"/>
    <n v="46.05"/>
    <n v="46.06"/>
    <x v="268"/>
    <n v="1289.3325"/>
    <n v="0"/>
    <n v="1289.3325"/>
    <n v="59373.761624999992"/>
    <n v="59386.654950000004"/>
  </r>
  <r>
    <x v="8"/>
    <n v="16.79"/>
    <n v="16.8"/>
    <x v="268"/>
    <n v="3535.8029000000001"/>
    <n v="0"/>
    <n v="3535.8029000000001"/>
    <n v="59366.130690999998"/>
    <n v="59401.488720000001"/>
  </r>
  <r>
    <x v="9"/>
    <n v="33.630000000000003"/>
    <n v="33.64"/>
    <x v="268"/>
    <n v="1765.144"/>
    <n v="0.2"/>
    <n v="1765.3440000000001"/>
    <n v="59368.518720000007"/>
    <n v="59386.172160000002"/>
  </r>
  <r>
    <x v="0"/>
    <n v="19.8"/>
    <n v="19.809999999999999"/>
    <x v="269"/>
    <n v="3015.0699"/>
    <n v="0"/>
    <n v="3015.0699"/>
    <n v="59698.384020000005"/>
    <n v="59728.534718999996"/>
  </r>
  <r>
    <x v="1"/>
    <n v="32.4"/>
    <n v="32.409999999999997"/>
    <x v="269"/>
    <n v="1842.1912"/>
    <n v="-0.1"/>
    <n v="1842.0912000000001"/>
    <n v="59683.75488"/>
    <n v="59702.175791999995"/>
  </r>
  <r>
    <x v="2"/>
    <n v="16.829999999999998"/>
    <n v="16.84"/>
    <x v="269"/>
    <n v="3546.7566000000002"/>
    <n v="0"/>
    <n v="3546.7566000000002"/>
    <n v="59691.913578"/>
    <n v="59727.381143999999"/>
  </r>
  <r>
    <x v="3"/>
    <n v="26.4"/>
    <n v="26.41"/>
    <x v="269"/>
    <n v="2261.4067"/>
    <n v="-0.2"/>
    <n v="2261.2067000000002"/>
    <n v="59695.856879999999"/>
    <n v="59718.468947000008"/>
  </r>
  <r>
    <x v="4"/>
    <n v="63.05"/>
    <n v="63.13"/>
    <x v="269"/>
    <n v="946.18190000000004"/>
    <n v="0"/>
    <n v="946.18190000000004"/>
    <n v="59656.768794999996"/>
    <n v="59732.463347000004"/>
  </r>
  <r>
    <x v="5"/>
    <n v="34.5"/>
    <n v="34.520000000000003"/>
    <x v="269"/>
    <n v="1730.1808000000001"/>
    <n v="0.2"/>
    <n v="1730.3808000000001"/>
    <n v="59698.137600000002"/>
    <n v="59732.74521600001"/>
  </r>
  <r>
    <x v="6"/>
    <n v="51.95"/>
    <n v="51.96"/>
    <x v="269"/>
    <n v="1148.9085"/>
    <n v="0.05"/>
    <n v="1148.9585"/>
    <n v="59688.394075000004"/>
    <n v="59699.88366"/>
  </r>
  <r>
    <x v="7"/>
    <n v="46.3"/>
    <n v="46.31"/>
    <x v="269"/>
    <n v="1289.3325"/>
    <n v="0"/>
    <n v="1289.3325"/>
    <n v="59696.094749999997"/>
    <n v="59708.988075000001"/>
  </r>
  <r>
    <x v="8"/>
    <n v="16.88"/>
    <n v="16.89"/>
    <x v="269"/>
    <n v="3535.8029000000001"/>
    <n v="0"/>
    <n v="3535.8029000000001"/>
    <n v="59684.352952000001"/>
    <n v="59719.710981000004"/>
  </r>
  <r>
    <x v="9"/>
    <n v="33.81"/>
    <n v="33.82"/>
    <x v="269"/>
    <n v="1765.144"/>
    <n v="0.2"/>
    <n v="1765.3440000000001"/>
    <n v="59686.280640000004"/>
    <n v="59703.934079999999"/>
  </r>
  <r>
    <x v="0"/>
    <n v="19.8"/>
    <n v="19.809999999999999"/>
    <x v="270"/>
    <n v="3015.0699"/>
    <n v="0"/>
    <n v="3015.0699"/>
    <n v="59698.384020000005"/>
    <n v="59728.534718999996"/>
  </r>
  <r>
    <x v="1"/>
    <n v="32.4"/>
    <n v="32.409999999999997"/>
    <x v="270"/>
    <n v="1842.1912"/>
    <n v="-0.1"/>
    <n v="1842.0912000000001"/>
    <n v="59683.75488"/>
    <n v="59702.175791999995"/>
  </r>
  <r>
    <x v="2"/>
    <n v="16.829999999999998"/>
    <n v="16.84"/>
    <x v="270"/>
    <n v="3546.7566000000002"/>
    <n v="0"/>
    <n v="3546.7566000000002"/>
    <n v="59691.913578"/>
    <n v="59727.381143999999"/>
  </r>
  <r>
    <x v="3"/>
    <n v="26.39"/>
    <n v="26.4"/>
    <x v="270"/>
    <n v="2261.4067"/>
    <n v="-0.2"/>
    <n v="2261.2067000000002"/>
    <n v="59673.244813000005"/>
    <n v="59695.856879999999"/>
  </r>
  <r>
    <x v="4"/>
    <n v="63.03"/>
    <n v="63.14"/>
    <x v="270"/>
    <n v="946.18190000000004"/>
    <n v="0"/>
    <n v="946.18190000000004"/>
    <n v="59637.845157000003"/>
    <n v="59741.925166000001"/>
  </r>
  <r>
    <x v="5"/>
    <n v="34.49"/>
    <n v="34.51"/>
    <x v="270"/>
    <n v="1730.1808000000001"/>
    <n v="0.2"/>
    <n v="1730.3808000000001"/>
    <n v="59680.833792000005"/>
    <n v="59715.441407999999"/>
  </r>
  <r>
    <x v="6"/>
    <n v="51.96"/>
    <n v="51.97"/>
    <x v="270"/>
    <n v="1148.9085"/>
    <n v="0.05"/>
    <n v="1148.9585"/>
    <n v="59699.88366"/>
    <n v="59711.373244999995"/>
  </r>
  <r>
    <x v="7"/>
    <n v="46.3"/>
    <n v="46.31"/>
    <x v="270"/>
    <n v="1289.3325"/>
    <n v="0"/>
    <n v="1289.3325"/>
    <n v="59696.094749999997"/>
    <n v="59708.988075000001"/>
  </r>
  <r>
    <x v="8"/>
    <n v="16.88"/>
    <n v="16.89"/>
    <x v="270"/>
    <n v="3535.8029000000001"/>
    <n v="0"/>
    <n v="3535.8029000000001"/>
    <n v="59684.352952000001"/>
    <n v="59719.710981000004"/>
  </r>
  <r>
    <x v="9"/>
    <n v="33.81"/>
    <n v="33.82"/>
    <x v="270"/>
    <n v="1765.144"/>
    <n v="0.2"/>
    <n v="1765.3440000000001"/>
    <n v="59686.280640000004"/>
    <n v="59703.934079999999"/>
  </r>
  <r>
    <x v="0"/>
    <n v="19.77"/>
    <n v="19.78"/>
    <x v="271"/>
    <n v="3015.0699"/>
    <n v="0"/>
    <n v="3015.0699"/>
    <n v="59607.931922999996"/>
    <n v="59638.082622000002"/>
  </r>
  <r>
    <x v="1"/>
    <n v="32.36"/>
    <n v="32.369999999999997"/>
    <x v="271"/>
    <n v="1842.1912"/>
    <n v="-0.1"/>
    <n v="1842.0912000000001"/>
    <n v="59610.071232000002"/>
    <n v="59628.492143999996"/>
  </r>
  <r>
    <x v="2"/>
    <n v="16.8"/>
    <n v="16.809999999999999"/>
    <x v="271"/>
    <n v="3546.7566000000002"/>
    <n v="0"/>
    <n v="3546.7566000000002"/>
    <n v="59585.510880000002"/>
    <n v="59620.978446000001"/>
  </r>
  <r>
    <x v="3"/>
    <n v="26.36"/>
    <n v="26.37"/>
    <x v="271"/>
    <n v="2261.4067"/>
    <n v="-0.2"/>
    <n v="2261.2067000000002"/>
    <n v="59605.408612000007"/>
    <n v="59628.020679000008"/>
  </r>
  <r>
    <x v="4"/>
    <n v="62.94"/>
    <n v="63.04"/>
    <x v="271"/>
    <n v="946.18190000000004"/>
    <n v="0"/>
    <n v="946.18190000000004"/>
    <n v="59552.688785999999"/>
    <n v="59647.306976"/>
  </r>
  <r>
    <x v="5"/>
    <n v="34.44"/>
    <n v="34.46"/>
    <x v="271"/>
    <n v="1730.1808000000001"/>
    <n v="0.2"/>
    <n v="1730.3808000000001"/>
    <n v="59594.314751999998"/>
    <n v="59628.922368000007"/>
  </r>
  <r>
    <x v="6"/>
    <n v="51.88"/>
    <n v="51.89"/>
    <x v="271"/>
    <n v="1148.9085"/>
    <n v="0.05"/>
    <n v="1148.9585"/>
    <n v="59607.966979999997"/>
    <n v="59619.456565"/>
  </r>
  <r>
    <x v="7"/>
    <n v="46.24"/>
    <n v="46.25"/>
    <x v="271"/>
    <n v="1289.3325"/>
    <n v="0"/>
    <n v="1289.3325"/>
    <n v="59618.734799999998"/>
    <n v="59631.628124999996"/>
  </r>
  <r>
    <x v="8"/>
    <n v="16.86"/>
    <n v="16.87"/>
    <x v="271"/>
    <n v="3535.8029000000001"/>
    <n v="0"/>
    <n v="3535.8029000000001"/>
    <n v="59613.636894000003"/>
    <n v="59648.994923000006"/>
  </r>
  <r>
    <x v="9"/>
    <n v="33.76"/>
    <n v="33.770000000000003"/>
    <x v="271"/>
    <n v="1765.144"/>
    <n v="0.2"/>
    <n v="1765.3440000000001"/>
    <n v="59598.013439999995"/>
    <n v="59615.666880000004"/>
  </r>
  <r>
    <x v="0"/>
    <n v="19.73"/>
    <n v="19.739999999999998"/>
    <x v="272"/>
    <n v="3015.0699"/>
    <n v="0"/>
    <n v="3015.0699"/>
    <n v="59487.329126999997"/>
    <n v="59517.479825999995"/>
  </r>
  <r>
    <x v="1"/>
    <n v="32.299999999999997"/>
    <n v="32.31"/>
    <x v="272"/>
    <n v="1842.1912"/>
    <n v="-0.1"/>
    <n v="1842.0912000000001"/>
    <n v="59499.545759999994"/>
    <n v="59517.96667200001"/>
  </r>
  <r>
    <x v="2"/>
    <n v="16.77"/>
    <n v="16.78"/>
    <x v="272"/>
    <n v="3546.7566000000002"/>
    <n v="0"/>
    <n v="3546.7566000000002"/>
    <n v="59479.108182000004"/>
    <n v="59514.57574800001"/>
  </r>
  <r>
    <x v="3"/>
    <n v="26.31"/>
    <n v="26.32"/>
    <x v="272"/>
    <n v="2261.4067"/>
    <n v="-0.2"/>
    <n v="2261.2067000000002"/>
    <n v="59492.348277000005"/>
    <n v="59514.960344000006"/>
  </r>
  <r>
    <x v="4"/>
    <n v="62.8"/>
    <n v="62.91"/>
    <x v="272"/>
    <n v="946.18190000000004"/>
    <n v="0"/>
    <n v="946.18190000000004"/>
    <n v="59420.223319999997"/>
    <n v="59524.303329000002"/>
  </r>
  <r>
    <x v="5"/>
    <n v="34.380000000000003"/>
    <n v="34.4"/>
    <x v="272"/>
    <n v="1730.1808000000001"/>
    <n v="0.2"/>
    <n v="1730.3808000000001"/>
    <n v="59490.49190400001"/>
    <n v="59525.099520000003"/>
  </r>
  <r>
    <x v="6"/>
    <n v="51.79"/>
    <n v="51.8"/>
    <x v="272"/>
    <n v="1148.9085"/>
    <n v="0.05"/>
    <n v="1148.9585"/>
    <n v="59504.560715"/>
    <n v="59516.050299999995"/>
  </r>
  <r>
    <x v="7"/>
    <n v="46.15"/>
    <n v="46.16"/>
    <x v="272"/>
    <n v="1289.3325"/>
    <n v="0"/>
    <n v="1289.3325"/>
    <n v="59502.694874999994"/>
    <n v="59515.588199999998"/>
  </r>
  <r>
    <x v="8"/>
    <n v="16.829999999999998"/>
    <n v="16.84"/>
    <x v="272"/>
    <n v="3535.8029000000001"/>
    <n v="0"/>
    <n v="3535.8029000000001"/>
    <n v="59507.562806999995"/>
    <n v="59542.920836000005"/>
  </r>
  <r>
    <x v="9"/>
    <n v="33.700000000000003"/>
    <n v="33.71"/>
    <x v="272"/>
    <n v="1765.144"/>
    <n v="0.2"/>
    <n v="1765.3440000000001"/>
    <n v="59492.092800000006"/>
    <n v="59509.74624"/>
  </r>
  <r>
    <x v="0"/>
    <n v="19.82"/>
    <n v="19.829999999999998"/>
    <x v="273"/>
    <n v="3015.0699"/>
    <n v="0"/>
    <n v="3015.0699"/>
    <n v="59758.685418000001"/>
    <n v="59788.836116999992"/>
  </r>
  <r>
    <x v="1"/>
    <n v="32.44"/>
    <n v="32.450000000000003"/>
    <x v="273"/>
    <n v="1842.1912"/>
    <n v="-0.1"/>
    <n v="1842.0912000000001"/>
    <n v="59757.438527999999"/>
    <n v="59775.859440000007"/>
  </r>
  <r>
    <x v="2"/>
    <n v="16.850000000000001"/>
    <n v="16.86"/>
    <x v="273"/>
    <n v="3546.7566000000002"/>
    <n v="0"/>
    <n v="3546.7566000000002"/>
    <n v="59762.848710000006"/>
    <n v="59798.316275999998"/>
  </r>
  <r>
    <x v="3"/>
    <n v="26.43"/>
    <n v="26.44"/>
    <x v="273"/>
    <n v="2261.4067"/>
    <n v="-0.2"/>
    <n v="2261.2067000000002"/>
    <n v="59763.693081000005"/>
    <n v="59786.305148000007"/>
  </r>
  <r>
    <x v="4"/>
    <n v="63.09"/>
    <n v="63.19"/>
    <x v="273"/>
    <n v="946.18190000000004"/>
    <n v="0"/>
    <n v="946.18190000000004"/>
    <n v="59694.616071000004"/>
    <n v="59789.234260999998"/>
  </r>
  <r>
    <x v="5"/>
    <n v="34.53"/>
    <n v="34.56"/>
    <x v="273"/>
    <n v="1730.1808000000001"/>
    <n v="0.2"/>
    <n v="1730.3808000000001"/>
    <n v="59750.049024000007"/>
    <n v="59801.960448000005"/>
  </r>
  <r>
    <x v="6"/>
    <n v="52.02"/>
    <n v="52.03"/>
    <x v="273"/>
    <n v="1148.9085"/>
    <n v="0.05"/>
    <n v="1148.9585"/>
    <n v="59768.821170000003"/>
    <n v="59780.310754999999"/>
  </r>
  <r>
    <x v="7"/>
    <n v="46.36"/>
    <n v="46.37"/>
    <x v="273"/>
    <n v="1289.3325"/>
    <n v="0"/>
    <n v="1289.3325"/>
    <n v="59773.454700000002"/>
    <n v="59786.348024999999"/>
  </r>
  <r>
    <x v="8"/>
    <n v="16.899999999999999"/>
    <n v="16.91"/>
    <x v="273"/>
    <n v="3535.8029000000001"/>
    <n v="0"/>
    <n v="3535.8029000000001"/>
    <n v="59755.069009999999"/>
    <n v="59790.427039000002"/>
  </r>
  <r>
    <x v="9"/>
    <n v="33.85"/>
    <n v="33.86"/>
    <x v="273"/>
    <n v="1765.144"/>
    <n v="0.2"/>
    <n v="1765.3440000000001"/>
    <n v="59756.894400000005"/>
    <n v="59774.547839999999"/>
  </r>
  <r>
    <x v="0"/>
    <n v="20.03"/>
    <n v="20.04"/>
    <x v="274"/>
    <n v="3015.0699"/>
    <n v="0"/>
    <n v="3015.0699"/>
    <n v="60391.850097000002"/>
    <n v="60422.000796"/>
  </r>
  <r>
    <x v="1"/>
    <n v="32.78"/>
    <n v="32.79"/>
    <x v="274"/>
    <n v="1842.1912"/>
    <n v="-0.1"/>
    <n v="1842.0912000000001"/>
    <n v="60383.749536000003"/>
    <n v="60402.170448000004"/>
  </r>
  <r>
    <x v="2"/>
    <n v="17.02"/>
    <n v="17.03"/>
    <x v="274"/>
    <n v="3546.7566000000002"/>
    <n v="0"/>
    <n v="3546.7566000000002"/>
    <n v="60365.797332000002"/>
    <n v="60401.264898000009"/>
  </r>
  <r>
    <x v="3"/>
    <n v="26.71"/>
    <n v="26.72"/>
    <x v="274"/>
    <n v="2261.4067"/>
    <n v="-0.2"/>
    <n v="2261.2067000000002"/>
    <n v="60396.830957000006"/>
    <n v="60419.443024"/>
  </r>
  <r>
    <x v="4"/>
    <n v="63.77"/>
    <n v="63.9"/>
    <x v="274"/>
    <n v="946.18190000000004"/>
    <n v="0"/>
    <n v="946.18190000000004"/>
    <n v="60338.019763000004"/>
    <n v="60461.023410000002"/>
  </r>
  <r>
    <x v="5"/>
    <n v="34.9"/>
    <n v="34.92"/>
    <x v="274"/>
    <n v="1730.1808000000001"/>
    <n v="0.2"/>
    <n v="1730.3808000000001"/>
    <n v="60390.289920000003"/>
    <n v="60424.897536000011"/>
  </r>
  <r>
    <x v="6"/>
    <n v="52.57"/>
    <n v="52.58"/>
    <x v="274"/>
    <n v="1148.9085"/>
    <n v="0.05"/>
    <n v="1148.9585"/>
    <n v="60400.748345"/>
    <n v="60412.237929999996"/>
  </r>
  <r>
    <x v="7"/>
    <n v="46.85"/>
    <n v="46.86"/>
    <x v="274"/>
    <n v="1289.3325"/>
    <n v="0"/>
    <n v="1289.3325"/>
    <n v="60405.227625"/>
    <n v="60418.120949999997"/>
  </r>
  <r>
    <x v="8"/>
    <n v="17.079999999999998"/>
    <n v="17.09"/>
    <x v="274"/>
    <n v="3535.8029000000001"/>
    <n v="0"/>
    <n v="3535.8029000000001"/>
    <n v="60391.513531999997"/>
    <n v="60426.871561"/>
  </r>
  <r>
    <x v="9"/>
    <n v="34.21"/>
    <n v="34.22"/>
    <x v="274"/>
    <n v="1765.144"/>
    <n v="0.2"/>
    <n v="1765.3440000000001"/>
    <n v="60392.418240000006"/>
    <n v="60410.071680000001"/>
  </r>
  <r>
    <x v="0"/>
    <n v="20.03"/>
    <n v="20.04"/>
    <x v="275"/>
    <n v="3015.0699"/>
    <n v="0"/>
    <n v="3015.0699"/>
    <n v="60391.850097000002"/>
    <n v="60422.000796"/>
  </r>
  <r>
    <x v="1"/>
    <n v="32.799999999999997"/>
    <n v="32.81"/>
    <x v="275"/>
    <n v="1842.1912"/>
    <n v="-0.1"/>
    <n v="1842.0912000000001"/>
    <n v="60420.591359999999"/>
    <n v="60439.012272000007"/>
  </r>
  <r>
    <x v="2"/>
    <n v="17.03"/>
    <n v="17.04"/>
    <x v="275"/>
    <n v="3546.7566000000002"/>
    <n v="0"/>
    <n v="3546.7566000000002"/>
    <n v="60401.264898000009"/>
    <n v="60436.732464000001"/>
  </r>
  <r>
    <x v="3"/>
    <n v="26.71"/>
    <n v="26.72"/>
    <x v="275"/>
    <n v="2261.4067"/>
    <n v="-0.2"/>
    <n v="2261.2067000000002"/>
    <n v="60396.830957000006"/>
    <n v="60419.443024"/>
  </r>
  <r>
    <x v="4"/>
    <n v="63.77"/>
    <n v="63.9"/>
    <x v="275"/>
    <n v="946.18190000000004"/>
    <n v="0"/>
    <n v="946.18190000000004"/>
    <n v="60338.019763000004"/>
    <n v="60461.023410000002"/>
  </r>
  <r>
    <x v="5"/>
    <n v="34.909999999999997"/>
    <n v="34.93"/>
    <x v="275"/>
    <n v="1730.1808000000001"/>
    <n v="0.2"/>
    <n v="1730.3808000000001"/>
    <n v="60407.593728"/>
    <n v="60442.201344000001"/>
  </r>
  <r>
    <x v="6"/>
    <n v="52.59"/>
    <n v="52.6"/>
    <x v="275"/>
    <n v="1148.9085"/>
    <n v="0.05"/>
    <n v="1148.9585"/>
    <n v="60423.727514999999"/>
    <n v="60435.217100000002"/>
  </r>
  <r>
    <x v="7"/>
    <n v="46.86"/>
    <n v="46.87"/>
    <x v="275"/>
    <n v="1289.3325"/>
    <n v="0"/>
    <n v="1289.3325"/>
    <n v="60418.120949999997"/>
    <n v="60431.014274999994"/>
  </r>
  <r>
    <x v="8"/>
    <n v="17.079999999999998"/>
    <n v="17.09"/>
    <x v="275"/>
    <n v="3535.8029000000001"/>
    <n v="0"/>
    <n v="3535.8029000000001"/>
    <n v="60391.513531999997"/>
    <n v="60426.871561"/>
  </r>
  <r>
    <x v="9"/>
    <n v="34.22"/>
    <n v="34.229999999999997"/>
    <x v="275"/>
    <n v="1765.144"/>
    <n v="0.2"/>
    <n v="1765.3440000000001"/>
    <n v="60410.071680000001"/>
    <n v="60427.725119999996"/>
  </r>
  <r>
    <x v="0"/>
    <n v="19.93"/>
    <n v="19.940000000000001"/>
    <x v="276"/>
    <n v="3015.0699"/>
    <n v="0"/>
    <n v="3015.0699"/>
    <n v="60090.343107000001"/>
    <n v="60120.493806000006"/>
  </r>
  <r>
    <x v="1"/>
    <n v="32.630000000000003"/>
    <n v="32.64"/>
    <x v="276"/>
    <n v="1842.1912"/>
    <n v="-0.1"/>
    <n v="1842.0912000000001"/>
    <n v="60107.435856000004"/>
    <n v="60125.856768000005"/>
  </r>
  <r>
    <x v="2"/>
    <n v="16.940000000000001"/>
    <n v="16.95"/>
    <x v="276"/>
    <n v="3546.7566000000002"/>
    <n v="0"/>
    <n v="3546.7566000000002"/>
    <n v="60082.056804000007"/>
    <n v="60117.524369999999"/>
  </r>
  <r>
    <x v="3"/>
    <n v="26.58"/>
    <n v="26.59"/>
    <x v="276"/>
    <n v="2261.4067"/>
    <n v="-0.2"/>
    <n v="2261.2067000000002"/>
    <n v="60102.874086000003"/>
    <n v="60125.486153000005"/>
  </r>
  <r>
    <x v="4"/>
    <n v="63.46"/>
    <n v="63.56"/>
    <x v="276"/>
    <n v="946.18190000000004"/>
    <n v="0"/>
    <n v="946.18190000000004"/>
    <n v="60044.703374000004"/>
    <n v="60139.321564000005"/>
  </r>
  <r>
    <x v="5"/>
    <n v="34.729999999999997"/>
    <n v="34.75"/>
    <x v="276"/>
    <n v="1730.1808000000001"/>
    <n v="0.2"/>
    <n v="1730.3808000000001"/>
    <n v="60096.125183999997"/>
    <n v="60130.732800000005"/>
  </r>
  <r>
    <x v="6"/>
    <n v="52.31"/>
    <n v="52.32"/>
    <x v="276"/>
    <n v="1148.9085"/>
    <n v="0.05"/>
    <n v="1148.9585"/>
    <n v="60102.019135000002"/>
    <n v="60113.508719999998"/>
  </r>
  <r>
    <x v="7"/>
    <n v="46.62"/>
    <n v="46.64"/>
    <x v="276"/>
    <n v="1289.3325"/>
    <n v="0"/>
    <n v="1289.3325"/>
    <n v="60108.681149999997"/>
    <n v="60134.467799999999"/>
  </r>
  <r>
    <x v="8"/>
    <n v="17"/>
    <n v="17.010000000000002"/>
    <x v="276"/>
    <n v="3535.8029000000001"/>
    <n v="0"/>
    <n v="3535.8029000000001"/>
    <n v="60108.649300000005"/>
    <n v="60144.007329000007"/>
  </r>
  <r>
    <x v="9"/>
    <n v="34.04"/>
    <n v="34.049999999999997"/>
    <x v="276"/>
    <n v="1765.144"/>
    <n v="0.2"/>
    <n v="1765.3440000000001"/>
    <n v="60092.309760000004"/>
    <n v="60109.963199999998"/>
  </r>
  <r>
    <x v="0"/>
    <n v="20.010000000000002"/>
    <n v="20.02"/>
    <x v="277"/>
    <n v="3015.0699"/>
    <n v="0"/>
    <n v="3015.0699"/>
    <n v="60331.548699000006"/>
    <n v="60361.699397999997"/>
  </r>
  <r>
    <x v="1"/>
    <n v="32.75"/>
    <n v="32.76"/>
    <x v="277"/>
    <n v="1842.1912"/>
    <n v="-0.1"/>
    <n v="1842.0912000000001"/>
    <n v="60328.486799999999"/>
    <n v="60346.907712"/>
  </r>
  <r>
    <x v="2"/>
    <n v="17"/>
    <n v="17.010000000000002"/>
    <x v="277"/>
    <n v="3546.7566000000002"/>
    <n v="0"/>
    <n v="3546.7566000000002"/>
    <n v="60294.862200000003"/>
    <n v="60330.32976600001"/>
  </r>
  <r>
    <x v="3"/>
    <n v="26.68"/>
    <n v="26.69"/>
    <x v="277"/>
    <n v="2261.4067"/>
    <n v="-0.2"/>
    <n v="2261.2067000000002"/>
    <n v="60328.994756000007"/>
    <n v="60351.606823000009"/>
  </r>
  <r>
    <x v="4"/>
    <n v="63.66"/>
    <n v="63.79"/>
    <x v="277"/>
    <n v="946.18190000000004"/>
    <n v="0"/>
    <n v="946.18190000000004"/>
    <n v="60233.939753999999"/>
    <n v="60356.943401000004"/>
  </r>
  <r>
    <x v="5"/>
    <n v="34.85"/>
    <n v="34.880000000000003"/>
    <x v="277"/>
    <n v="1730.1808000000001"/>
    <n v="0.2"/>
    <n v="1730.3808000000001"/>
    <n v="60303.770880000004"/>
    <n v="60355.682304000009"/>
  </r>
  <r>
    <x v="6"/>
    <n v="52.5"/>
    <n v="52.51"/>
    <x v="277"/>
    <n v="1148.9085"/>
    <n v="0.05"/>
    <n v="1148.9585"/>
    <n v="60320.321250000001"/>
    <n v="60331.810834999997"/>
  </r>
  <r>
    <x v="7"/>
    <n v="46.79"/>
    <n v="46.8"/>
    <x v="277"/>
    <n v="1289.3325"/>
    <n v="0"/>
    <n v="1289.3325"/>
    <n v="60327.867675000001"/>
    <n v="60340.760999999999"/>
  </r>
  <r>
    <x v="8"/>
    <n v="17.059999999999999"/>
    <n v="17.07"/>
    <x v="277"/>
    <n v="3535.8029000000001"/>
    <n v="0"/>
    <n v="3535.8029000000001"/>
    <n v="60320.797473999999"/>
    <n v="60356.155503000002"/>
  </r>
  <r>
    <x v="9"/>
    <n v="34.159999999999997"/>
    <n v="34.17"/>
    <x v="277"/>
    <n v="1765.144"/>
    <n v="0.2"/>
    <n v="1765.3440000000001"/>
    <n v="60304.151039999997"/>
    <n v="60321.804480000006"/>
  </r>
  <r>
    <x v="0"/>
    <n v="19.989999999999998"/>
    <n v="20"/>
    <x v="278"/>
    <n v="3015.0699"/>
    <n v="0"/>
    <n v="3015.0699"/>
    <n v="60271.247300999996"/>
    <n v="60301.398000000001"/>
  </r>
  <r>
    <x v="1"/>
    <n v="32.72"/>
    <n v="32.729999999999997"/>
    <x v="278"/>
    <n v="1842.1912"/>
    <n v="-0.1"/>
    <n v="1842.0912000000001"/>
    <n v="60273.224064000002"/>
    <n v="60291.644975999996"/>
  </r>
  <r>
    <x v="2"/>
    <n v="16.989999999999998"/>
    <n v="17"/>
    <x v="278"/>
    <n v="3546.7566000000002"/>
    <n v="0"/>
    <n v="3546.7566000000002"/>
    <n v="60259.394633999997"/>
    <n v="60294.862200000003"/>
  </r>
  <r>
    <x v="3"/>
    <n v="26.66"/>
    <n v="26.67"/>
    <x v="278"/>
    <n v="2261.4067"/>
    <n v="-0.2"/>
    <n v="2261.2067000000002"/>
    <n v="60283.770622000004"/>
    <n v="60306.382689000005"/>
  </r>
  <r>
    <x v="4"/>
    <n v="63.63"/>
    <n v="63.74"/>
    <x v="278"/>
    <n v="946.18190000000004"/>
    <n v="0"/>
    <n v="946.18190000000004"/>
    <n v="60205.554297000002"/>
    <n v="60309.634306000007"/>
  </r>
  <r>
    <x v="5"/>
    <n v="34.83"/>
    <n v="34.85"/>
    <x v="278"/>
    <n v="1730.1808000000001"/>
    <n v="0.2"/>
    <n v="1730.3808000000001"/>
    <n v="60269.163264000003"/>
    <n v="60303.770880000004"/>
  </r>
  <r>
    <x v="6"/>
    <n v="52.47"/>
    <n v="52.48"/>
    <x v="278"/>
    <n v="1148.9085"/>
    <n v="0.05"/>
    <n v="1148.9585"/>
    <n v="60285.852494999999"/>
    <n v="60297.342079999995"/>
  </r>
  <r>
    <x v="7"/>
    <n v="46.76"/>
    <n v="46.77"/>
    <x v="278"/>
    <n v="1289.3325"/>
    <n v="0"/>
    <n v="1289.3325"/>
    <n v="60289.187699999995"/>
    <n v="60302.081025000007"/>
  </r>
  <r>
    <x v="8"/>
    <n v="17.05"/>
    <n v="17.059999999999999"/>
    <x v="278"/>
    <n v="3535.8029000000001"/>
    <n v="0"/>
    <n v="3535.8029000000001"/>
    <n v="60285.439445000004"/>
    <n v="60320.797473999999"/>
  </r>
  <r>
    <x v="9"/>
    <n v="34.14"/>
    <n v="34.15"/>
    <x v="278"/>
    <n v="1765.144"/>
    <n v="0.2"/>
    <n v="1765.3440000000001"/>
    <n v="60268.844160000001"/>
    <n v="60286.497600000002"/>
  </r>
  <r>
    <x v="0"/>
    <n v="20.010000000000002"/>
    <n v="20.02"/>
    <x v="279"/>
    <n v="3015.0699"/>
    <n v="0"/>
    <n v="3015.0699"/>
    <n v="60331.548699000006"/>
    <n v="60361.699397999997"/>
  </r>
  <r>
    <x v="1"/>
    <n v="32.76"/>
    <n v="32.770000000000003"/>
    <x v="279"/>
    <n v="1842.1912"/>
    <n v="-0.1"/>
    <n v="1842.0912000000001"/>
    <n v="60346.907712"/>
    <n v="60365.328624000009"/>
  </r>
  <r>
    <x v="2"/>
    <n v="17.010000000000002"/>
    <n v="17.02"/>
    <x v="279"/>
    <n v="3546.7566000000002"/>
    <n v="0"/>
    <n v="3546.7566000000002"/>
    <n v="60330.32976600001"/>
    <n v="60365.797332000002"/>
  </r>
  <r>
    <x v="3"/>
    <n v="26.69"/>
    <n v="26.7"/>
    <x v="279"/>
    <n v="2261.4067"/>
    <n v="-0.2"/>
    <n v="2261.2067000000002"/>
    <n v="60351.606823000009"/>
    <n v="60374.218890000004"/>
  </r>
  <r>
    <x v="4"/>
    <n v="63.71"/>
    <n v="63.81"/>
    <x v="279"/>
    <n v="946.18190000000004"/>
    <n v="0"/>
    <n v="946.18190000000004"/>
    <n v="60281.248849000003"/>
    <n v="60375.867039000004"/>
  </r>
  <r>
    <x v="5"/>
    <n v="34.869999999999997"/>
    <n v="34.880000000000003"/>
    <x v="279"/>
    <n v="1730.1808000000001"/>
    <n v="0.2"/>
    <n v="1730.3808000000001"/>
    <n v="60338.378495999998"/>
    <n v="60355.682304000009"/>
  </r>
  <r>
    <x v="6"/>
    <n v="52.52"/>
    <n v="52.53"/>
    <x v="279"/>
    <n v="1148.9085"/>
    <n v="0.05"/>
    <n v="1148.9585"/>
    <n v="60343.30042"/>
    <n v="60354.790005000003"/>
  </r>
  <r>
    <x v="7"/>
    <n v="46.8"/>
    <n v="46.81"/>
    <x v="279"/>
    <n v="1289.3325"/>
    <n v="0"/>
    <n v="1289.3325"/>
    <n v="60340.760999999999"/>
    <n v="60353.654325000003"/>
  </r>
  <r>
    <x v="8"/>
    <n v="17.07"/>
    <n v="17.079999999999998"/>
    <x v="279"/>
    <n v="3535.8029000000001"/>
    <n v="0"/>
    <n v="3535.8029000000001"/>
    <n v="60356.155503000002"/>
    <n v="60391.513531999997"/>
  </r>
  <r>
    <x v="9"/>
    <n v="34.18"/>
    <n v="34.19"/>
    <x v="279"/>
    <n v="1765.144"/>
    <n v="0.2"/>
    <n v="1765.3440000000001"/>
    <n v="60339.457920000001"/>
    <n v="60357.111359999995"/>
  </r>
  <r>
    <x v="0"/>
    <n v="19.29"/>
    <n v="19.3"/>
    <x v="280"/>
    <n v="3015.0871999999999"/>
    <n v="0"/>
    <n v="3015.0871999999999"/>
    <n v="58161.032087999993"/>
    <n v="58191.182959999998"/>
  </r>
  <r>
    <x v="1"/>
    <n v="31.57"/>
    <n v="31.58"/>
    <x v="280"/>
    <n v="1842.2012999999999"/>
    <n v="-0.1"/>
    <n v="1842.1013"/>
    <n v="58155.138040999998"/>
    <n v="58173.559053999998"/>
  </r>
  <r>
    <x v="2"/>
    <n v="16.39"/>
    <n v="16.399999999999999"/>
    <x v="280"/>
    <n v="3546.7809000000002"/>
    <n v="0"/>
    <n v="3546.7809000000002"/>
    <n v="58131.738951000007"/>
    <n v="58167.206760000001"/>
  </r>
  <r>
    <x v="3"/>
    <n v="25.72"/>
    <n v="25.73"/>
    <x v="280"/>
    <n v="2261.4160000000002"/>
    <n v="-0.2"/>
    <n v="2261.2160000000003"/>
    <n v="58158.475520000007"/>
    <n v="58181.087680000011"/>
  </r>
  <r>
    <x v="4"/>
    <n v="61.42"/>
    <n v="61.54"/>
    <x v="280"/>
    <n v="946.1884"/>
    <n v="0"/>
    <n v="946.1884"/>
    <n v="58114.891528"/>
    <n v="58228.434135999996"/>
  </r>
  <r>
    <x v="5"/>
    <n v="33.61"/>
    <n v="33.619999999999997"/>
    <x v="280"/>
    <n v="1730.1898000000001"/>
    <n v="0.2"/>
    <n v="1730.3898000000002"/>
    <n v="58158.401178000007"/>
    <n v="58175.705075999998"/>
  </r>
  <r>
    <x v="6"/>
    <n v="50.62"/>
    <n v="50.63"/>
    <x v="280"/>
    <n v="1148.9164000000001"/>
    <n v="0.05"/>
    <n v="1148.9664"/>
    <n v="58160.679167999995"/>
    <n v="58172.168832000003"/>
  </r>
  <r>
    <x v="7"/>
    <n v="45.11"/>
    <n v="45.12"/>
    <x v="280"/>
    <n v="1289.3855000000001"/>
    <n v="0"/>
    <n v="1289.3855000000001"/>
    <n v="58164.179905000005"/>
    <n v="58177.073759999999"/>
  </r>
  <r>
    <x v="8"/>
    <n v="16.45"/>
    <n v="16.46"/>
    <x v="280"/>
    <n v="3535.8029000000001"/>
    <n v="0"/>
    <n v="3535.8029000000001"/>
    <n v="58163.957705000001"/>
    <n v="58199.315734000003"/>
  </r>
  <r>
    <x v="9"/>
    <n v="32.94"/>
    <n v="32.950000000000003"/>
    <x v="280"/>
    <n v="1765.1560999999999"/>
    <n v="0.2"/>
    <n v="1765.3561"/>
    <n v="58150.829933999994"/>
    <n v="58168.483495"/>
  </r>
  <r>
    <x v="0"/>
    <n v="19.38"/>
    <n v="19.39"/>
    <x v="281"/>
    <n v="3015.0871999999999"/>
    <n v="0"/>
    <n v="3015.0871999999999"/>
    <n v="58432.389935999992"/>
    <n v="58462.540807999998"/>
  </r>
  <r>
    <x v="1"/>
    <n v="31.72"/>
    <n v="31.73"/>
    <x v="281"/>
    <n v="1842.2012999999999"/>
    <n v="-0.1"/>
    <n v="1842.1013"/>
    <n v="58431.453236000001"/>
    <n v="58449.874249"/>
  </r>
  <r>
    <x v="2"/>
    <n v="16.47"/>
    <n v="16.48"/>
    <x v="281"/>
    <n v="3546.7809000000002"/>
    <n v="0"/>
    <n v="3546.7809000000002"/>
    <n v="58415.481422999997"/>
    <n v="58450.949232000006"/>
  </r>
  <r>
    <x v="3"/>
    <n v="25.84"/>
    <n v="25.85"/>
    <x v="281"/>
    <n v="2261.4160000000002"/>
    <n v="-0.2"/>
    <n v="2261.2160000000003"/>
    <n v="58429.821440000007"/>
    <n v="58452.433600000011"/>
  </r>
  <r>
    <x v="4"/>
    <n v="61.7"/>
    <n v="61.81"/>
    <x v="281"/>
    <n v="946.1884"/>
    <n v="0"/>
    <n v="946.1884"/>
    <n v="58379.824280000001"/>
    <n v="58483.905004"/>
  </r>
  <r>
    <x v="5"/>
    <n v="33.76"/>
    <n v="33.79"/>
    <x v="281"/>
    <n v="1730.1898000000001"/>
    <n v="0.2"/>
    <n v="1730.3898000000002"/>
    <n v="58417.959648000004"/>
    <n v="58469.871342000006"/>
  </r>
  <r>
    <x v="6"/>
    <n v="50.85"/>
    <n v="50.86"/>
    <x v="281"/>
    <n v="1148.9164000000001"/>
    <n v="0.05"/>
    <n v="1148.9664"/>
    <n v="58424.941440000002"/>
    <n v="58436.431104000003"/>
  </r>
  <r>
    <x v="7"/>
    <n v="45.33"/>
    <n v="45.34"/>
    <x v="281"/>
    <n v="1289.3855000000001"/>
    <n v="0"/>
    <n v="1289.3855000000001"/>
    <n v="58447.844714999999"/>
    <n v="58460.738570000009"/>
  </r>
  <r>
    <x v="8"/>
    <n v="16.53"/>
    <n v="16.54"/>
    <x v="281"/>
    <n v="3535.8029000000001"/>
    <n v="0"/>
    <n v="3535.8029000000001"/>
    <n v="58446.821937000008"/>
    <n v="58482.179965999996"/>
  </r>
  <r>
    <x v="9"/>
    <n v="33.1"/>
    <n v="33.11"/>
    <x v="281"/>
    <n v="1765.1560999999999"/>
    <n v="0.2"/>
    <n v="1765.3561"/>
    <n v="58433.286910000003"/>
    <n v="58450.940470999994"/>
  </r>
  <r>
    <x v="0"/>
    <n v="19.52"/>
    <n v="19.53"/>
    <x v="282"/>
    <n v="3015.0871999999999"/>
    <n v="0"/>
    <n v="3015.0871999999999"/>
    <n v="58854.502143999998"/>
    <n v="58884.653016000004"/>
  </r>
  <r>
    <x v="1"/>
    <n v="31.96"/>
    <n v="31.97"/>
    <x v="282"/>
    <n v="1842.2012999999999"/>
    <n v="-0.1"/>
    <n v="1842.1013"/>
    <n v="58873.557548000004"/>
    <n v="58891.978560999996"/>
  </r>
  <r>
    <x v="2"/>
    <n v="16.59"/>
    <n v="16.600000000000001"/>
    <x v="282"/>
    <n v="3546.7809000000002"/>
    <n v="0"/>
    <n v="3546.7809000000002"/>
    <n v="58841.095131000002"/>
    <n v="58876.562940000011"/>
  </r>
  <r>
    <x v="3"/>
    <n v="26.03"/>
    <n v="26.04"/>
    <x v="282"/>
    <n v="2261.4160000000002"/>
    <n v="-0.2"/>
    <n v="2261.2160000000003"/>
    <n v="58859.452480000014"/>
    <n v="58882.064640000004"/>
  </r>
  <r>
    <x v="4"/>
    <n v="62.16"/>
    <n v="62.25"/>
    <x v="282"/>
    <n v="946.1884"/>
    <n v="0"/>
    <n v="946.1884"/>
    <n v="58815.070943999999"/>
    <n v="58900.227899999998"/>
  </r>
  <r>
    <x v="5"/>
    <n v="34.01"/>
    <n v="34.04"/>
    <x v="282"/>
    <n v="1730.1898000000001"/>
    <n v="0.2"/>
    <n v="1730.3898000000002"/>
    <n v="58850.557098000005"/>
    <n v="58902.468792000007"/>
  </r>
  <r>
    <x v="6"/>
    <n v="51.23"/>
    <n v="51.24"/>
    <x v="282"/>
    <n v="1148.9164000000001"/>
    <n v="0.05"/>
    <n v="1148.9664"/>
    <n v="58861.548671999997"/>
    <n v="58873.038336000005"/>
  </r>
  <r>
    <x v="7"/>
    <n v="45.66"/>
    <n v="45.67"/>
    <x v="282"/>
    <n v="1289.3855000000001"/>
    <n v="0"/>
    <n v="1289.3855000000001"/>
    <n v="58873.341930000002"/>
    <n v="58886.235785000004"/>
  </r>
  <r>
    <x v="8"/>
    <n v="16.649999999999999"/>
    <n v="16.66"/>
    <x v="282"/>
    <n v="3535.8029000000001"/>
    <n v="0"/>
    <n v="3535.8029000000001"/>
    <n v="58871.118284999997"/>
    <n v="58906.476314"/>
  </r>
  <r>
    <x v="9"/>
    <n v="33.340000000000003"/>
    <n v="33.35"/>
    <x v="282"/>
    <n v="1765.1560999999999"/>
    <n v="0.2"/>
    <n v="1765.3561"/>
    <n v="58856.972374000004"/>
    <n v="58874.625935000004"/>
  </r>
  <r>
    <x v="0"/>
    <n v="19.510000000000002"/>
    <n v="19.52"/>
    <x v="283"/>
    <n v="3015.0871999999999"/>
    <n v="0"/>
    <n v="3015.0871999999999"/>
    <n v="58824.351272000007"/>
    <n v="58854.502143999998"/>
  </r>
  <r>
    <x v="1"/>
    <n v="31.93"/>
    <n v="31.94"/>
    <x v="283"/>
    <n v="1842.2012999999999"/>
    <n v="-0.1"/>
    <n v="1842.1013"/>
    <n v="58818.294508999999"/>
    <n v="58836.715522000006"/>
  </r>
  <r>
    <x v="2"/>
    <n v="16.579999999999998"/>
    <n v="16.59"/>
    <x v="283"/>
    <n v="3546.7809000000002"/>
    <n v="0"/>
    <n v="3546.7809000000002"/>
    <n v="58805.627322"/>
    <n v="58841.095131000002"/>
  </r>
  <r>
    <x v="3"/>
    <n v="26.01"/>
    <n v="26.02"/>
    <x v="283"/>
    <n v="2261.4160000000002"/>
    <n v="-0.2"/>
    <n v="2261.2160000000003"/>
    <n v="58814.228160000013"/>
    <n v="58836.84032000001"/>
  </r>
  <r>
    <x v="4"/>
    <n v="62.1"/>
    <n v="62.21"/>
    <x v="283"/>
    <n v="946.1884"/>
    <n v="0"/>
    <n v="946.1884"/>
    <n v="58758.299640000005"/>
    <n v="58862.380364000004"/>
  </r>
  <r>
    <x v="5"/>
    <n v="33.99"/>
    <n v="34.01"/>
    <x v="283"/>
    <n v="1730.1898000000001"/>
    <n v="0.2"/>
    <n v="1730.3898000000002"/>
    <n v="58815.949302000008"/>
    <n v="58850.557098000005"/>
  </r>
  <r>
    <x v="6"/>
    <n v="51.2"/>
    <n v="51.21"/>
    <x v="283"/>
    <n v="1148.9164000000001"/>
    <n v="0.05"/>
    <n v="1148.9664"/>
    <n v="58827.079680000003"/>
    <n v="58838.569344000003"/>
  </r>
  <r>
    <x v="7"/>
    <n v="45.63"/>
    <n v="45.64"/>
    <x v="283"/>
    <n v="1289.3855000000001"/>
    <n v="0"/>
    <n v="1289.3855000000001"/>
    <n v="58834.660365000011"/>
    <n v="58847.554220000005"/>
  </r>
  <r>
    <x v="8"/>
    <n v="16.63"/>
    <n v="16.64"/>
    <x v="283"/>
    <n v="3535.8029000000001"/>
    <n v="0"/>
    <n v="3535.8029000000001"/>
    <n v="58800.402226999999"/>
    <n v="58835.760256000001"/>
  </r>
  <r>
    <x v="9"/>
    <n v="33.31"/>
    <n v="33.32"/>
    <x v="283"/>
    <n v="1765.1560999999999"/>
    <n v="0.2"/>
    <n v="1765.3561"/>
    <n v="58804.011691"/>
    <n v="58821.665251999999"/>
  </r>
  <r>
    <x v="0"/>
    <n v="19.52"/>
    <n v="19.53"/>
    <x v="284"/>
    <n v="3015.0871999999999"/>
    <n v="0"/>
    <n v="3015.0871999999999"/>
    <n v="58854.502143999998"/>
    <n v="58884.653016000004"/>
  </r>
  <r>
    <x v="1"/>
    <n v="31.96"/>
    <n v="31.97"/>
    <x v="284"/>
    <n v="1842.2012999999999"/>
    <n v="-0.1"/>
    <n v="1842.1013"/>
    <n v="58873.557548000004"/>
    <n v="58891.978560999996"/>
  </r>
  <r>
    <x v="2"/>
    <n v="16.59"/>
    <n v="16.600000000000001"/>
    <x v="284"/>
    <n v="3546.7809000000002"/>
    <n v="0"/>
    <n v="3546.7809000000002"/>
    <n v="58841.095131000002"/>
    <n v="58876.562940000011"/>
  </r>
  <r>
    <x v="3"/>
    <n v="26.03"/>
    <n v="26.04"/>
    <x v="284"/>
    <n v="2261.4160000000002"/>
    <n v="-0.2"/>
    <n v="2261.2160000000003"/>
    <n v="58859.452480000014"/>
    <n v="58882.064640000004"/>
  </r>
  <r>
    <x v="4"/>
    <n v="62.13"/>
    <n v="62.25"/>
    <x v="284"/>
    <n v="946.1884"/>
    <n v="0"/>
    <n v="946.1884"/>
    <n v="58786.685292000002"/>
    <n v="58900.227899999998"/>
  </r>
  <r>
    <x v="5"/>
    <n v="34.01"/>
    <n v="34.03"/>
    <x v="284"/>
    <n v="1730.1898000000001"/>
    <n v="0.2"/>
    <n v="1730.3898000000002"/>
    <n v="58850.557098000005"/>
    <n v="58885.164894000009"/>
  </r>
  <r>
    <x v="6"/>
    <n v="51.23"/>
    <n v="51.24"/>
    <x v="284"/>
    <n v="1148.9164000000001"/>
    <n v="0.05"/>
    <n v="1148.9664"/>
    <n v="58861.548671999997"/>
    <n v="58873.038336000005"/>
  </r>
  <r>
    <x v="7"/>
    <n v="45.66"/>
    <n v="45.67"/>
    <x v="284"/>
    <n v="1289.3855000000001"/>
    <n v="0"/>
    <n v="1289.3855000000001"/>
    <n v="58873.341930000002"/>
    <n v="58886.235785000004"/>
  </r>
  <r>
    <x v="8"/>
    <n v="16.649999999999999"/>
    <n v="16.66"/>
    <x v="284"/>
    <n v="3535.8029000000001"/>
    <n v="0"/>
    <n v="3535.8029000000001"/>
    <n v="58871.118284999997"/>
    <n v="58906.476314"/>
  </r>
  <r>
    <x v="9"/>
    <n v="33.340000000000003"/>
    <n v="33.35"/>
    <x v="284"/>
    <n v="1765.1560999999999"/>
    <n v="0.2"/>
    <n v="1765.3561"/>
    <n v="58856.972374000004"/>
    <n v="58874.625935000004"/>
  </r>
  <r>
    <x v="0"/>
    <n v="19.399999999999999"/>
    <n v="19.41"/>
    <x v="285"/>
    <n v="3015.0871999999999"/>
    <n v="0"/>
    <n v="3015.0871999999999"/>
    <n v="58492.691679999996"/>
    <n v="58522.842552000002"/>
  </r>
  <r>
    <x v="1"/>
    <n v="31.76"/>
    <n v="31.77"/>
    <x v="285"/>
    <n v="1842.2012999999999"/>
    <n v="-0.1"/>
    <n v="1842.1013"/>
    <n v="58505.137288000005"/>
    <n v="58523.558300999997"/>
  </r>
  <r>
    <x v="2"/>
    <n v="16.5"/>
    <n v="16.510000000000002"/>
    <x v="285"/>
    <n v="3546.7809000000002"/>
    <n v="0"/>
    <n v="3546.7809000000002"/>
    <n v="58521.884850000002"/>
    <n v="58557.352659000011"/>
  </r>
  <r>
    <x v="3"/>
    <n v="25.88"/>
    <n v="25.89"/>
    <x v="285"/>
    <n v="2261.4160000000002"/>
    <n v="-0.2"/>
    <n v="2261.2160000000003"/>
    <n v="58520.270080000009"/>
    <n v="58542.882240000014"/>
  </r>
  <r>
    <x v="4"/>
    <n v="61.79"/>
    <n v="61.92"/>
    <x v="285"/>
    <n v="946.1884"/>
    <n v="0"/>
    <n v="946.1884"/>
    <n v="58464.981236"/>
    <n v="58587.985728"/>
  </r>
  <r>
    <x v="5"/>
    <n v="33.799999999999997"/>
    <n v="33.840000000000003"/>
    <x v="285"/>
    <n v="1730.1898000000001"/>
    <n v="0.2"/>
    <n v="1730.3898000000002"/>
    <n v="58487.175239999997"/>
    <n v="58556.390832000012"/>
  </r>
  <r>
    <x v="6"/>
    <n v="50.92"/>
    <n v="50.93"/>
    <x v="285"/>
    <n v="1148.9164000000001"/>
    <n v="0.05"/>
    <n v="1148.9664"/>
    <n v="58505.369087999999"/>
    <n v="58516.858752"/>
  </r>
  <r>
    <x v="7"/>
    <n v="45.39"/>
    <n v="45.4"/>
    <x v="285"/>
    <n v="1289.3855000000001"/>
    <n v="0"/>
    <n v="1289.3855000000001"/>
    <n v="58525.207845000004"/>
    <n v="58538.101699999999"/>
  </r>
  <r>
    <x v="8"/>
    <n v="16.55"/>
    <n v="16.559999999999999"/>
    <x v="285"/>
    <n v="3535.8029000000001"/>
    <n v="0"/>
    <n v="3535.8029000000001"/>
    <n v="58517.537995000006"/>
    <n v="58552.896023999994"/>
  </r>
  <r>
    <x v="9"/>
    <n v="33.14"/>
    <n v="33.15"/>
    <x v="285"/>
    <n v="1765.1560999999999"/>
    <n v="0.2"/>
    <n v="1765.3561"/>
    <n v="58503.901153999999"/>
    <n v="58521.554714999998"/>
  </r>
  <r>
    <x v="0"/>
    <n v="19.27"/>
    <n v="19.28"/>
    <x v="286"/>
    <n v="3015.0871999999999"/>
    <n v="0"/>
    <n v="3015.0871999999999"/>
    <n v="58100.730343999996"/>
    <n v="58130.881216000002"/>
  </r>
  <r>
    <x v="1"/>
    <n v="31.55"/>
    <n v="31.56"/>
    <x v="286"/>
    <n v="1842.2012999999999"/>
    <n v="-0.1"/>
    <n v="1842.1013"/>
    <n v="58118.296015"/>
    <n v="58136.717027999999"/>
  </r>
  <r>
    <x v="2"/>
    <n v="16.38"/>
    <n v="16.39"/>
    <x v="286"/>
    <n v="3546.7809000000002"/>
    <n v="0"/>
    <n v="3546.7809000000002"/>
    <n v="58096.271141999998"/>
    <n v="58131.738951000007"/>
  </r>
  <r>
    <x v="3"/>
    <n v="25.7"/>
    <n v="25.71"/>
    <x v="286"/>
    <n v="2261.4160000000002"/>
    <n v="-0.2"/>
    <n v="2261.2160000000003"/>
    <n v="58113.251200000006"/>
    <n v="58135.86336000001"/>
  </r>
  <r>
    <x v="4"/>
    <n v="61.35"/>
    <n v="61.49"/>
    <x v="286"/>
    <n v="946.1884"/>
    <n v="0"/>
    <n v="946.1884"/>
    <n v="58048.658340000002"/>
    <n v="58181.124715999998"/>
  </r>
  <r>
    <x v="5"/>
    <n v="33.58"/>
    <n v="33.590000000000003"/>
    <x v="286"/>
    <n v="1730.1898000000001"/>
    <n v="0.2"/>
    <n v="1730.3898000000002"/>
    <n v="58106.489484000005"/>
    <n v="58123.793382000011"/>
  </r>
  <r>
    <x v="6"/>
    <n v="50.58"/>
    <n v="50.59"/>
    <x v="286"/>
    <n v="1148.9164000000001"/>
    <n v="0.05"/>
    <n v="1148.9664"/>
    <n v="58114.720512"/>
    <n v="58126.210176000008"/>
  </r>
  <r>
    <x v="7"/>
    <n v="45.08"/>
    <n v="45.09"/>
    <x v="286"/>
    <n v="1289.3855000000001"/>
    <n v="0"/>
    <n v="1289.3855000000001"/>
    <n v="58125.498340000006"/>
    <n v="58138.392195000008"/>
  </r>
  <r>
    <x v="8"/>
    <n v="16.440000000000001"/>
    <n v="16.45"/>
    <x v="286"/>
    <n v="3535.8029000000001"/>
    <n v="0"/>
    <n v="3535.8029000000001"/>
    <n v="58128.599676000005"/>
    <n v="58163.957705000001"/>
  </r>
  <r>
    <x v="9"/>
    <n v="32.909999999999997"/>
    <n v="32.92"/>
    <x v="286"/>
    <n v="1765.1560999999999"/>
    <n v="0.2"/>
    <n v="1765.3561"/>
    <n v="58097.869250999996"/>
    <n v="58115.522812000003"/>
  </r>
  <r>
    <x v="0"/>
    <n v="19.329999999999998"/>
    <n v="19.34"/>
    <x v="287"/>
    <n v="3015.0871999999999"/>
    <n v="0"/>
    <n v="3015.0871999999999"/>
    <n v="58281.635575999993"/>
    <n v="58311.786447999999"/>
  </r>
  <r>
    <x v="1"/>
    <n v="31.64"/>
    <n v="31.65"/>
    <x v="287"/>
    <n v="1842.2012999999999"/>
    <n v="-0.1"/>
    <n v="1842.1013"/>
    <n v="58284.085132"/>
    <n v="58302.506144999999"/>
  </r>
  <r>
    <x v="2"/>
    <n v="16.43"/>
    <n v="16.440000000000001"/>
    <x v="287"/>
    <n v="3546.7809000000002"/>
    <n v="0"/>
    <n v="3546.7809000000002"/>
    <n v="58273.610187000006"/>
    <n v="58309.077996000007"/>
  </r>
  <r>
    <x v="3"/>
    <n v="25.77"/>
    <n v="25.78"/>
    <x v="287"/>
    <n v="2261.4160000000002"/>
    <n v="-0.2"/>
    <n v="2261.2160000000003"/>
    <n v="58271.536320000007"/>
    <n v="58294.148480000011"/>
  </r>
  <r>
    <x v="4"/>
    <n v="61.53"/>
    <n v="61.63"/>
    <x v="287"/>
    <n v="946.1884"/>
    <n v="0"/>
    <n v="946.1884"/>
    <n v="58218.972252"/>
    <n v="58313.591092000002"/>
  </r>
  <r>
    <x v="5"/>
    <n v="33.67"/>
    <n v="33.69"/>
    <x v="287"/>
    <n v="1730.1898000000001"/>
    <n v="0.2"/>
    <n v="1730.3898000000002"/>
    <n v="58262.224566000004"/>
    <n v="58296.832362000001"/>
  </r>
  <r>
    <x v="6"/>
    <n v="50.71"/>
    <n v="50.72"/>
    <x v="287"/>
    <n v="1148.9164000000001"/>
    <n v="0.05"/>
    <n v="1148.9664"/>
    <n v="58264.086144000001"/>
    <n v="58275.575808000001"/>
  </r>
  <r>
    <x v="7"/>
    <n v="45.21"/>
    <n v="45.22"/>
    <x v="287"/>
    <n v="1289.3855000000001"/>
    <n v="0"/>
    <n v="1289.3855000000001"/>
    <n v="58293.118455000003"/>
    <n v="58306.012310000006"/>
  </r>
  <r>
    <x v="8"/>
    <n v="16.48"/>
    <n v="16.489999999999998"/>
    <x v="287"/>
    <n v="3535.8029000000001"/>
    <n v="0"/>
    <n v="3535.8029000000001"/>
    <n v="58270.031792000002"/>
    <n v="58305.389820999997"/>
  </r>
  <r>
    <x v="9"/>
    <n v="33"/>
    <n v="33.01"/>
    <x v="287"/>
    <n v="1765.1560999999999"/>
    <n v="0.2"/>
    <n v="1765.3561"/>
    <n v="58256.751299999996"/>
    <n v="58274.404860999995"/>
  </r>
  <r>
    <x v="0"/>
    <n v="19.34"/>
    <n v="19.350000000000001"/>
    <x v="288"/>
    <n v="3015.0871999999999"/>
    <n v="0"/>
    <n v="3015.0871999999999"/>
    <n v="58311.786447999999"/>
    <n v="58341.937320000005"/>
  </r>
  <r>
    <x v="1"/>
    <n v="31.66"/>
    <n v="31.67"/>
    <x v="288"/>
    <n v="1842.2012999999999"/>
    <n v="-0.1"/>
    <n v="1842.1013"/>
    <n v="58320.927157999999"/>
    <n v="58339.348171000005"/>
  </r>
  <r>
    <x v="2"/>
    <n v="16.440000000000001"/>
    <n v="16.45"/>
    <x v="288"/>
    <n v="3546.7809000000002"/>
    <n v="0"/>
    <n v="3546.7809000000002"/>
    <n v="58309.077996000007"/>
    <n v="58344.545805000002"/>
  </r>
  <r>
    <x v="3"/>
    <n v="25.79"/>
    <n v="25.8"/>
    <x v="288"/>
    <n v="2261.4160000000002"/>
    <n v="-0.2"/>
    <n v="2261.2160000000003"/>
    <n v="58316.760640000008"/>
    <n v="58339.372800000012"/>
  </r>
  <r>
    <x v="4"/>
    <n v="61.57"/>
    <n v="61.65"/>
    <x v="288"/>
    <n v="946.1884"/>
    <n v="0"/>
    <n v="946.1884"/>
    <n v="58256.819788000001"/>
    <n v="58332.514859999996"/>
  </r>
  <r>
    <x v="5"/>
    <n v="33.69"/>
    <n v="33.72"/>
    <x v="288"/>
    <n v="1730.1898000000001"/>
    <n v="0.2"/>
    <n v="1730.3898000000002"/>
    <n v="58296.832362000001"/>
    <n v="58348.744056000003"/>
  </r>
  <r>
    <x v="6"/>
    <n v="50.76"/>
    <n v="50.77"/>
    <x v="288"/>
    <n v="1148.9164000000001"/>
    <n v="0.05"/>
    <n v="1148.9664"/>
    <n v="58321.534463999997"/>
    <n v="58333.024128000005"/>
  </r>
  <r>
    <x v="7"/>
    <n v="45.24"/>
    <n v="45.25"/>
    <x v="288"/>
    <n v="1289.3855000000001"/>
    <n v="0"/>
    <n v="1289.3855000000001"/>
    <n v="58331.80002000001"/>
    <n v="58344.693875000004"/>
  </r>
  <r>
    <x v="8"/>
    <n v="16.489999999999998"/>
    <n v="16.5"/>
    <x v="288"/>
    <n v="3535.8029000000001"/>
    <n v="0"/>
    <n v="3535.8029000000001"/>
    <n v="58305.389820999997"/>
    <n v="58340.74785"/>
  </r>
  <r>
    <x v="9"/>
    <n v="33.03"/>
    <n v="33.04"/>
    <x v="288"/>
    <n v="1765.1560999999999"/>
    <n v="0.2"/>
    <n v="1765.3561"/>
    <n v="58309.711983000001"/>
    <n v="58327.365544"/>
  </r>
  <r>
    <x v="0"/>
    <n v="19.399999999999999"/>
    <n v="19.41"/>
    <x v="289"/>
    <n v="3015.0871999999999"/>
    <n v="0"/>
    <n v="3015.0871999999999"/>
    <n v="58492.691679999996"/>
    <n v="58522.842552000002"/>
  </r>
  <r>
    <x v="1"/>
    <n v="31.76"/>
    <n v="31.77"/>
    <x v="289"/>
    <n v="1842.2012999999999"/>
    <n v="-0.1"/>
    <n v="1842.1013"/>
    <n v="58505.137288000005"/>
    <n v="58523.558300999997"/>
  </r>
  <r>
    <x v="2"/>
    <n v="16.489999999999998"/>
    <n v="16.5"/>
    <x v="289"/>
    <n v="3546.7809000000002"/>
    <n v="0"/>
    <n v="3546.7809000000002"/>
    <n v="58486.417041000001"/>
    <n v="58521.884850000002"/>
  </r>
  <r>
    <x v="3"/>
    <n v="25.87"/>
    <n v="25.88"/>
    <x v="289"/>
    <n v="2261.4160000000002"/>
    <n v="-0.2"/>
    <n v="2261.2160000000003"/>
    <n v="58497.657920000012"/>
    <n v="58520.270080000009"/>
  </r>
  <r>
    <x v="4"/>
    <n v="61.77"/>
    <n v="61.88"/>
    <x v="289"/>
    <n v="946.1884"/>
    <n v="0"/>
    <n v="946.1884"/>
    <n v="58446.057468000006"/>
    <n v="58550.138192000006"/>
  </r>
  <r>
    <x v="5"/>
    <n v="33.799999999999997"/>
    <n v="33.82"/>
    <x v="289"/>
    <n v="1730.1898000000001"/>
    <n v="0.2"/>
    <n v="1730.3898000000002"/>
    <n v="58487.175239999997"/>
    <n v="58521.783036000008"/>
  </r>
  <r>
    <x v="6"/>
    <n v="50.91"/>
    <n v="50.92"/>
    <x v="289"/>
    <n v="1148.9164000000001"/>
    <n v="0.05"/>
    <n v="1148.9664"/>
    <n v="58493.879423999999"/>
    <n v="58505.369087999999"/>
  </r>
  <r>
    <x v="7"/>
    <n v="45.37"/>
    <n v="45.38"/>
    <x v="289"/>
    <n v="1289.3855000000001"/>
    <n v="0"/>
    <n v="1289.3855000000001"/>
    <n v="58499.420135"/>
    <n v="58512.31399000001"/>
  </r>
  <r>
    <x v="8"/>
    <n v="16.54"/>
    <n v="16.55"/>
    <x v="289"/>
    <n v="3535.8029000000001"/>
    <n v="0"/>
    <n v="3535.8029000000001"/>
    <n v="58482.179965999996"/>
    <n v="58517.537995000006"/>
  </r>
  <r>
    <x v="9"/>
    <n v="33.130000000000003"/>
    <n v="33.14"/>
    <x v="289"/>
    <n v="1765.1560999999999"/>
    <n v="0.2"/>
    <n v="1765.3561"/>
    <n v="58486.247593"/>
    <n v="58503.901153999999"/>
  </r>
  <r>
    <x v="0"/>
    <n v="19.43"/>
    <n v="19.440000000000001"/>
    <x v="290"/>
    <n v="3015.0871999999999"/>
    <n v="0"/>
    <n v="3015.0871999999999"/>
    <n v="58583.144295999999"/>
    <n v="58613.295168000004"/>
  </r>
  <r>
    <x v="1"/>
    <n v="31.81"/>
    <n v="31.82"/>
    <x v="290"/>
    <n v="1842.2012999999999"/>
    <n v="-0.1"/>
    <n v="1842.1013"/>
    <n v="58597.242353000001"/>
    <n v="58615.663366000001"/>
  </r>
  <r>
    <x v="2"/>
    <n v="16.52"/>
    <n v="16.53"/>
    <x v="290"/>
    <n v="3546.7809000000002"/>
    <n v="0"/>
    <n v="3546.7809000000002"/>
    <n v="58592.820468000005"/>
    <n v="58628.288277000007"/>
  </r>
  <r>
    <x v="3"/>
    <n v="25.91"/>
    <n v="25.92"/>
    <x v="290"/>
    <n v="2261.4160000000002"/>
    <n v="-0.2"/>
    <n v="2261.2160000000003"/>
    <n v="58588.106560000007"/>
    <n v="58610.718720000012"/>
  </r>
  <r>
    <x v="4"/>
    <n v="61.85"/>
    <n v="61.95"/>
    <x v="290"/>
    <n v="946.1884"/>
    <n v="0"/>
    <n v="946.1884"/>
    <n v="58521.752540000001"/>
    <n v="58616.371380000004"/>
  </r>
  <r>
    <x v="5"/>
    <n v="33.85"/>
    <n v="33.880000000000003"/>
    <x v="290"/>
    <n v="1730.1898000000001"/>
    <n v="0.2"/>
    <n v="1730.3898000000002"/>
    <n v="58573.69473000001"/>
    <n v="58625.606424000012"/>
  </r>
  <r>
    <x v="6"/>
    <n v="51"/>
    <n v="51.01"/>
    <x v="290"/>
    <n v="1148.9164000000001"/>
    <n v="0.05"/>
    <n v="1148.9664"/>
    <n v="58597.286400000005"/>
    <n v="58608.776063999998"/>
  </r>
  <r>
    <x v="7"/>
    <n v="45.45"/>
    <n v="45.46"/>
    <x v="290"/>
    <n v="1289.3855000000001"/>
    <n v="0"/>
    <n v="1289.3855000000001"/>
    <n v="58602.57097500001"/>
    <n v="58615.464830000004"/>
  </r>
  <r>
    <x v="8"/>
    <n v="16.57"/>
    <n v="16.579999999999998"/>
    <x v="290"/>
    <n v="3535.8029000000001"/>
    <n v="0"/>
    <n v="3535.8029000000001"/>
    <n v="58588.254053000004"/>
    <n v="58623.612082"/>
  </r>
  <r>
    <x v="9"/>
    <n v="33.19"/>
    <n v="33.200000000000003"/>
    <x v="290"/>
    <n v="1765.1560999999999"/>
    <n v="0.2"/>
    <n v="1765.3561"/>
    <n v="58592.168958999995"/>
    <n v="58609.822520000002"/>
  </r>
  <r>
    <x v="0"/>
    <n v="19.440000000000001"/>
    <n v="19.45"/>
    <x v="291"/>
    <n v="3015.0871999999999"/>
    <n v="0"/>
    <n v="3015.0871999999999"/>
    <n v="58613.295168000004"/>
    <n v="58643.446039999995"/>
  </r>
  <r>
    <x v="1"/>
    <n v="31.82"/>
    <n v="31.83"/>
    <x v="291"/>
    <n v="1842.2012999999999"/>
    <n v="-0.1"/>
    <n v="1842.1013"/>
    <n v="58615.663366000001"/>
    <n v="58634.084379"/>
  </r>
  <r>
    <x v="2"/>
    <n v="16.53"/>
    <n v="16.54"/>
    <x v="291"/>
    <n v="3546.7809000000002"/>
    <n v="0"/>
    <n v="3546.7809000000002"/>
    <n v="58628.288277000007"/>
    <n v="58663.756086000001"/>
  </r>
  <r>
    <x v="3"/>
    <n v="25.92"/>
    <n v="25.93"/>
    <x v="291"/>
    <n v="2261.4160000000002"/>
    <n v="-0.2"/>
    <n v="2261.2160000000003"/>
    <n v="58610.718720000012"/>
    <n v="58633.330880000009"/>
  </r>
  <r>
    <x v="4"/>
    <n v="61.91"/>
    <n v="62.02"/>
    <x v="291"/>
    <n v="946.1884"/>
    <n v="0"/>
    <n v="946.1884"/>
    <n v="58578.523843999996"/>
    <n v="58682.604568000002"/>
  </r>
  <r>
    <x v="5"/>
    <n v="33.869999999999997"/>
    <n v="33.89"/>
    <x v="291"/>
    <n v="1730.1898000000001"/>
    <n v="0.2"/>
    <n v="1730.3898000000002"/>
    <n v="58608.302525999999"/>
    <n v="58642.910322000003"/>
  </r>
  <r>
    <x v="6"/>
    <n v="51.02"/>
    <n v="51.03"/>
    <x v="291"/>
    <n v="1148.9164000000001"/>
    <n v="0.05"/>
    <n v="1148.9664"/>
    <n v="58620.265728000006"/>
    <n v="58631.755391999999"/>
  </r>
  <r>
    <x v="7"/>
    <n v="45.46"/>
    <n v="45.47"/>
    <x v="291"/>
    <n v="1289.3855000000001"/>
    <n v="0"/>
    <n v="1289.3855000000001"/>
    <n v="58615.464830000004"/>
    <n v="58628.358684999999"/>
  </r>
  <r>
    <x v="8"/>
    <n v="16.579999999999998"/>
    <n v="16.59"/>
    <x v="291"/>
    <n v="3535.8029000000001"/>
    <n v="0"/>
    <n v="3535.8029000000001"/>
    <n v="58623.612082"/>
    <n v="58658.970111000002"/>
  </r>
  <r>
    <x v="9"/>
    <n v="33.21"/>
    <n v="33.22"/>
    <x v="291"/>
    <n v="1765.1560999999999"/>
    <n v="0.2"/>
    <n v="1765.3561"/>
    <n v="58627.476081000001"/>
    <n v="58645.129642"/>
  </r>
  <r>
    <x v="0"/>
    <n v="19.77"/>
    <n v="19.78"/>
    <x v="292"/>
    <n v="3015.1044999999999"/>
    <n v="0"/>
    <n v="3015.1044999999999"/>
    <n v="59608.615964999997"/>
    <n v="59638.767010000003"/>
  </r>
  <r>
    <x v="1"/>
    <n v="32.36"/>
    <n v="32.369999999999997"/>
    <x v="292"/>
    <n v="1842.2113999999999"/>
    <n v="-0.1"/>
    <n v="1842.1114"/>
    <n v="59610.724904000002"/>
    <n v="59629.146017999992"/>
  </r>
  <r>
    <x v="2"/>
    <n v="16.809999999999999"/>
    <n v="16.82"/>
    <x v="292"/>
    <n v="3546.8051999999998"/>
    <n v="0"/>
    <n v="3546.8051999999998"/>
    <n v="59621.795411999992"/>
    <n v="59657.263463999996"/>
  </r>
  <r>
    <x v="3"/>
    <n v="26.36"/>
    <n v="26.37"/>
    <x v="292"/>
    <n v="2261.4252999999999"/>
    <n v="-0.2"/>
    <n v="2261.2253000000001"/>
    <n v="59605.898908000003"/>
    <n v="59628.511161000002"/>
  </r>
  <r>
    <x v="4"/>
    <n v="62.94"/>
    <n v="63.07"/>
    <x v="292"/>
    <n v="946.19489999999996"/>
    <n v="0"/>
    <n v="946.19489999999996"/>
    <n v="59553.507005999993"/>
    <n v="59676.512342999995"/>
  </r>
  <r>
    <x v="5"/>
    <n v="34.46"/>
    <n v="34.47"/>
    <x v="292"/>
    <n v="1730.1987999999999"/>
    <n v="0.2"/>
    <n v="1730.3987999999999"/>
    <n v="59629.542648000002"/>
    <n v="59646.846635999995"/>
  </r>
  <r>
    <x v="6"/>
    <n v="51.89"/>
    <n v="51.9"/>
    <x v="292"/>
    <n v="1148.9242999999999"/>
    <n v="0.05"/>
    <n v="1148.9742999999999"/>
    <n v="59620.27642699999"/>
    <n v="59631.766169999988"/>
  </r>
  <r>
    <x v="7"/>
    <n v="46.25"/>
    <n v="46.26"/>
    <x v="292"/>
    <n v="1289.4385000000002"/>
    <n v="0"/>
    <n v="1289.4385000000002"/>
    <n v="59636.530625000007"/>
    <n v="59649.425010000006"/>
  </r>
  <r>
    <x v="8"/>
    <n v="16.86"/>
    <n v="16.87"/>
    <x v="292"/>
    <n v="3535.8029000000001"/>
    <n v="0"/>
    <n v="3535.8029000000001"/>
    <n v="59613.636894000003"/>
    <n v="59648.994923000006"/>
  </r>
  <r>
    <x v="9"/>
    <n v="33.78"/>
    <n v="33.79"/>
    <x v="292"/>
    <n v="1765.1682000000001"/>
    <n v="0.2"/>
    <n v="1765.3682000000001"/>
    <n v="59634.137796000003"/>
    <n v="59651.791477999999"/>
  </r>
  <r>
    <x v="0"/>
    <n v="19.850000000000001"/>
    <n v="19.86"/>
    <x v="293"/>
    <n v="3015.1044999999999"/>
    <n v="0"/>
    <n v="3015.1044999999999"/>
    <n v="59849.824325000001"/>
    <n v="59879.97537"/>
  </r>
  <r>
    <x v="1"/>
    <n v="32.49"/>
    <n v="32.5"/>
    <x v="293"/>
    <n v="1842.2113999999999"/>
    <n v="-0.1"/>
    <n v="1842.1114"/>
    <n v="59850.199386"/>
    <n v="59868.620499999997"/>
  </r>
  <r>
    <x v="2"/>
    <n v="16.87"/>
    <n v="16.88"/>
    <x v="293"/>
    <n v="3546.8051999999998"/>
    <n v="0"/>
    <n v="3546.8051999999998"/>
    <n v="59834.603724000001"/>
    <n v="59870.07177599999"/>
  </r>
  <r>
    <x v="3"/>
    <n v="26.47"/>
    <n v="26.48"/>
    <x v="293"/>
    <n v="2261.4252999999999"/>
    <n v="-0.2"/>
    <n v="2261.2253000000001"/>
    <n v="59854.633690999995"/>
    <n v="59877.245944000002"/>
  </r>
  <r>
    <x v="4"/>
    <n v="63.21"/>
    <n v="63.29"/>
    <x v="293"/>
    <n v="946.19489999999996"/>
    <n v="0"/>
    <n v="946.19489999999996"/>
    <n v="59808.979629000001"/>
    <n v="59884.675220999998"/>
  </r>
  <r>
    <x v="5"/>
    <n v="34.590000000000003"/>
    <n v="34.61"/>
    <x v="293"/>
    <n v="1730.1987999999999"/>
    <n v="0.2"/>
    <n v="1730.3987999999999"/>
    <n v="59854.494492000005"/>
    <n v="59889.102467999997"/>
  </r>
  <r>
    <x v="6"/>
    <n v="52.09"/>
    <n v="52.1"/>
    <x v="293"/>
    <n v="1148.9242999999999"/>
    <n v="0.05"/>
    <n v="1148.9742999999999"/>
    <n v="59850.071286999999"/>
    <n v="59861.561029999997"/>
  </r>
  <r>
    <x v="7"/>
    <n v="46.42"/>
    <n v="46.43"/>
    <x v="293"/>
    <n v="1289.4385000000002"/>
    <n v="0"/>
    <n v="1289.4385000000002"/>
    <n v="59855.735170000014"/>
    <n v="59868.629555000007"/>
  </r>
  <r>
    <x v="8"/>
    <n v="16.93"/>
    <n v="16.940000000000001"/>
    <x v="293"/>
    <n v="3535.8029000000001"/>
    <n v="0"/>
    <n v="3535.8029000000001"/>
    <n v="59861.143097"/>
    <n v="59896.50112600001"/>
  </r>
  <r>
    <x v="9"/>
    <n v="33.909999999999997"/>
    <n v="33.92"/>
    <x v="293"/>
    <n v="1765.1682000000001"/>
    <n v="0.2"/>
    <n v="1765.3682000000001"/>
    <n v="59863.635662000001"/>
    <n v="59881.289344000004"/>
  </r>
  <r>
    <x v="0"/>
    <n v="19.760000000000002"/>
    <n v="19.77"/>
    <x v="294"/>
    <n v="3015.1044999999999"/>
    <n v="0"/>
    <n v="3015.1044999999999"/>
    <n v="59578.464920000006"/>
    <n v="59608.615964999997"/>
  </r>
  <r>
    <x v="1"/>
    <n v="32.35"/>
    <n v="32.36"/>
    <x v="294"/>
    <n v="1842.2113999999999"/>
    <n v="-0.1"/>
    <n v="1842.1114"/>
    <n v="59592.303790000005"/>
    <n v="59610.724904000002"/>
  </r>
  <r>
    <x v="2"/>
    <n v="16.8"/>
    <n v="16.809999999999999"/>
    <x v="294"/>
    <n v="3546.8051999999998"/>
    <n v="0"/>
    <n v="3546.8051999999998"/>
    <n v="59586.327359999996"/>
    <n v="59621.795411999992"/>
  </r>
  <r>
    <x v="3"/>
    <n v="26.35"/>
    <n v="26.36"/>
    <x v="294"/>
    <n v="2261.4252999999999"/>
    <n v="-0.2"/>
    <n v="2261.2253000000001"/>
    <n v="59583.286655000004"/>
    <n v="59605.898908000003"/>
  </r>
  <r>
    <x v="4"/>
    <n v="62.93"/>
    <n v="63.02"/>
    <x v="294"/>
    <n v="946.19489999999996"/>
    <n v="0"/>
    <n v="946.19489999999996"/>
    <n v="59544.045056999996"/>
    <n v="59629.202598000003"/>
  </r>
  <r>
    <x v="5"/>
    <n v="34.44"/>
    <n v="34.46"/>
    <x v="294"/>
    <n v="1730.1987999999999"/>
    <n v="0.2"/>
    <n v="1730.3987999999999"/>
    <n v="59594.934671999996"/>
    <n v="59629.542648000002"/>
  </r>
  <r>
    <x v="6"/>
    <n v="51.86"/>
    <n v="51.87"/>
    <x v="294"/>
    <n v="1148.9242999999999"/>
    <n v="0.05"/>
    <n v="1148.9742999999999"/>
    <n v="59585.807197999995"/>
    <n v="59597.296940999993"/>
  </r>
  <r>
    <x v="7"/>
    <n v="46.22"/>
    <n v="46.23"/>
    <x v="294"/>
    <n v="1289.4385000000002"/>
    <n v="0"/>
    <n v="1289.4385000000002"/>
    <n v="59597.847470000008"/>
    <n v="59610.741855000007"/>
  </r>
  <r>
    <x v="8"/>
    <n v="16.850000000000001"/>
    <n v="16.86"/>
    <x v="294"/>
    <n v="3535.8029000000001"/>
    <n v="0"/>
    <n v="3535.8029000000001"/>
    <n v="59578.278865000007"/>
    <n v="59613.636894000003"/>
  </r>
  <r>
    <x v="9"/>
    <n v="33.76"/>
    <n v="33.770000000000003"/>
    <x v="294"/>
    <n v="1765.1682000000001"/>
    <n v="0.2"/>
    <n v="1765.3682000000001"/>
    <n v="59598.830432000002"/>
    <n v="59616.484114000006"/>
  </r>
  <r>
    <x v="0"/>
    <n v="19.72"/>
    <n v="19.73"/>
    <x v="295"/>
    <n v="3015.1044999999999"/>
    <n v="0"/>
    <n v="3015.1044999999999"/>
    <n v="59457.860739999996"/>
    <n v="59488.011785000002"/>
  </r>
  <r>
    <x v="1"/>
    <n v="32.28"/>
    <n v="32.29"/>
    <x v="295"/>
    <n v="1842.2113999999999"/>
    <n v="-0.1"/>
    <n v="1842.1114"/>
    <n v="59463.355992000004"/>
    <n v="59481.777106000001"/>
  </r>
  <r>
    <x v="2"/>
    <n v="16.760000000000002"/>
    <n v="16.77"/>
    <x v="295"/>
    <n v="3546.8051999999998"/>
    <n v="0"/>
    <n v="3546.8051999999998"/>
    <n v="59444.455152000002"/>
    <n v="59479.923203999992"/>
  </r>
  <r>
    <x v="3"/>
    <n v="26.3"/>
    <n v="26.31"/>
    <x v="295"/>
    <n v="2261.4252999999999"/>
    <n v="-0.2"/>
    <n v="2261.2253000000001"/>
    <n v="59470.22539"/>
    <n v="59492.837642999999"/>
  </r>
  <r>
    <x v="4"/>
    <n v="62.8"/>
    <n v="62.92"/>
    <x v="295"/>
    <n v="946.19489999999996"/>
    <n v="0"/>
    <n v="946.19489999999996"/>
    <n v="59421.039719999993"/>
    <n v="59534.583107999999"/>
  </r>
  <r>
    <x v="5"/>
    <n v="34.369999999999997"/>
    <n v="34.39"/>
    <x v="295"/>
    <n v="1730.1987999999999"/>
    <n v="0.2"/>
    <n v="1730.3987999999999"/>
    <n v="59473.806755999991"/>
    <n v="59508.414731999997"/>
  </r>
  <r>
    <x v="6"/>
    <n v="51.77"/>
    <n v="51.78"/>
    <x v="295"/>
    <n v="1148.9242999999999"/>
    <n v="0.05"/>
    <n v="1148.9742999999999"/>
    <n v="59482.399510999996"/>
    <n v="59493.889253999994"/>
  </r>
  <r>
    <x v="7"/>
    <n v="46.13"/>
    <n v="46.14"/>
    <x v="295"/>
    <n v="1289.4385000000002"/>
    <n v="0"/>
    <n v="1289.4385000000002"/>
    <n v="59481.798005000011"/>
    <n v="59494.692390000011"/>
  </r>
  <r>
    <x v="8"/>
    <n v="16.82"/>
    <n v="16.829999999999998"/>
    <x v="295"/>
    <n v="3535.8029000000001"/>
    <n v="0"/>
    <n v="3535.8029000000001"/>
    <n v="59472.204778000007"/>
    <n v="59507.562806999995"/>
  </r>
  <r>
    <x v="9"/>
    <n v="33.68"/>
    <n v="33.69"/>
    <x v="295"/>
    <n v="1765.1682000000001"/>
    <n v="0.2"/>
    <n v="1765.3682000000001"/>
    <n v="59457.600976000002"/>
    <n v="59475.254657999998"/>
  </r>
  <r>
    <x v="0"/>
    <n v="19.850000000000001"/>
    <n v="19.86"/>
    <x v="296"/>
    <n v="3015.1044999999999"/>
    <n v="0"/>
    <n v="3015.1044999999999"/>
    <n v="59849.824325000001"/>
    <n v="59879.97537"/>
  </r>
  <r>
    <x v="1"/>
    <n v="32.49"/>
    <n v="32.5"/>
    <x v="296"/>
    <n v="1842.2113999999999"/>
    <n v="-0.1"/>
    <n v="1842.1114"/>
    <n v="59850.199386"/>
    <n v="59868.620499999997"/>
  </r>
  <r>
    <x v="2"/>
    <n v="16.87"/>
    <n v="16.88"/>
    <x v="296"/>
    <n v="3546.8051999999998"/>
    <n v="0"/>
    <n v="3546.8051999999998"/>
    <n v="59834.603724000001"/>
    <n v="59870.07177599999"/>
  </r>
  <r>
    <x v="3"/>
    <n v="26.47"/>
    <n v="26.48"/>
    <x v="296"/>
    <n v="2261.4252999999999"/>
    <n v="-0.2"/>
    <n v="2261.2253000000001"/>
    <n v="59854.633690999995"/>
    <n v="59877.245944000002"/>
  </r>
  <r>
    <x v="4"/>
    <n v="63.17"/>
    <n v="63.28"/>
    <x v="296"/>
    <n v="946.19489999999996"/>
    <n v="0"/>
    <n v="946.19489999999996"/>
    <n v="59771.131832999999"/>
    <n v="59875.213272000001"/>
  </r>
  <r>
    <x v="5"/>
    <n v="34.58"/>
    <n v="34.61"/>
    <x v="296"/>
    <n v="1730.1987999999999"/>
    <n v="0.2"/>
    <n v="1730.3987999999999"/>
    <n v="59837.190503999998"/>
    <n v="59889.102467999997"/>
  </r>
  <r>
    <x v="6"/>
    <n v="52.09"/>
    <n v="52.1"/>
    <x v="296"/>
    <n v="1148.9242999999999"/>
    <n v="0.05"/>
    <n v="1148.9742999999999"/>
    <n v="59850.071286999999"/>
    <n v="59861.561029999997"/>
  </r>
  <r>
    <x v="7"/>
    <n v="46.42"/>
    <n v="46.43"/>
    <x v="296"/>
    <n v="1289.4385000000002"/>
    <n v="0"/>
    <n v="1289.4385000000002"/>
    <n v="59855.735170000014"/>
    <n v="59868.629555000007"/>
  </r>
  <r>
    <x v="8"/>
    <n v="16.920000000000002"/>
    <n v="16.93"/>
    <x v="296"/>
    <n v="3535.8029000000001"/>
    <n v="0"/>
    <n v="3535.8029000000001"/>
    <n v="59825.785068000012"/>
    <n v="59861.143097"/>
  </r>
  <r>
    <x v="9"/>
    <n v="33.9"/>
    <n v="33.909999999999997"/>
    <x v="296"/>
    <n v="1765.1682000000001"/>
    <n v="0.2"/>
    <n v="1765.3682000000001"/>
    <n v="59845.981980000004"/>
    <n v="59863.635662000001"/>
  </r>
  <r>
    <x v="0"/>
    <n v="19.89"/>
    <n v="19.899999999999999"/>
    <x v="297"/>
    <n v="3015.1044999999999"/>
    <n v="0"/>
    <n v="3015.1044999999999"/>
    <n v="59970.428505000003"/>
    <n v="60000.579549999995"/>
  </r>
  <r>
    <x v="1"/>
    <n v="32.56"/>
    <n v="32.57"/>
    <x v="297"/>
    <n v="1842.2113999999999"/>
    <n v="-0.1"/>
    <n v="1842.1114"/>
    <n v="59979.147184000001"/>
    <n v="59997.568297999998"/>
  </r>
  <r>
    <x v="2"/>
    <n v="16.91"/>
    <n v="16.920000000000002"/>
    <x v="297"/>
    <n v="3546.8051999999998"/>
    <n v="0"/>
    <n v="3546.8051999999998"/>
    <n v="59976.475931999994"/>
    <n v="60011.943984000005"/>
  </r>
  <r>
    <x v="3"/>
    <n v="26.52"/>
    <n v="26.53"/>
    <x v="297"/>
    <n v="2261.4252999999999"/>
    <n v="-0.2"/>
    <n v="2261.2253000000001"/>
    <n v="59967.694955999999"/>
    <n v="59990.307209000006"/>
  </r>
  <r>
    <x v="4"/>
    <n v="63.29"/>
    <n v="63.41"/>
    <x v="297"/>
    <n v="946.19489999999996"/>
    <n v="0"/>
    <n v="946.19489999999996"/>
    <n v="59884.675220999998"/>
    <n v="59998.218608999996"/>
  </r>
  <r>
    <x v="5"/>
    <n v="34.65"/>
    <n v="34.68"/>
    <x v="297"/>
    <n v="1730.1987999999999"/>
    <n v="0.2"/>
    <n v="1730.3987999999999"/>
    <n v="59958.318419999996"/>
    <n v="60010.230383999995"/>
  </r>
  <r>
    <x v="6"/>
    <n v="52.19"/>
    <n v="52.2"/>
    <x v="297"/>
    <n v="1148.9242999999999"/>
    <n v="0.05"/>
    <n v="1148.9742999999999"/>
    <n v="59964.968716999989"/>
    <n v="59976.458459999994"/>
  </r>
  <r>
    <x v="7"/>
    <n v="46.52"/>
    <n v="46.53"/>
    <x v="297"/>
    <n v="1289.4385000000002"/>
    <n v="0"/>
    <n v="1289.4385000000002"/>
    <n v="59984.67902000001"/>
    <n v="59997.57340500001"/>
  </r>
  <r>
    <x v="8"/>
    <n v="16.96"/>
    <n v="16.97"/>
    <x v="297"/>
    <n v="3535.8029000000001"/>
    <n v="0"/>
    <n v="3535.8029000000001"/>
    <n v="59967.217184000008"/>
    <n v="60002.575212999996"/>
  </r>
  <r>
    <x v="9"/>
    <n v="33.97"/>
    <n v="33.979999999999997"/>
    <x v="297"/>
    <n v="1765.1682000000001"/>
    <n v="0.2"/>
    <n v="1765.3682000000001"/>
    <n v="59969.557754000001"/>
    <n v="59987.211435999998"/>
  </r>
  <r>
    <x v="0"/>
    <n v="19.96"/>
    <n v="19.97"/>
    <x v="298"/>
    <n v="3015.1044999999999"/>
    <n v="0"/>
    <n v="3015.1044999999999"/>
    <n v="60181.485820000002"/>
    <n v="60211.636864999993"/>
  </r>
  <r>
    <x v="1"/>
    <n v="32.68"/>
    <n v="32.69"/>
    <x v="298"/>
    <n v="1842.2113999999999"/>
    <n v="-0.1"/>
    <n v="1842.1114"/>
    <n v="60200.200552000002"/>
    <n v="60218.621665999999"/>
  </r>
  <r>
    <x v="2"/>
    <n v="16.97"/>
    <n v="16.98"/>
    <x v="298"/>
    <n v="3546.8051999999998"/>
    <n v="0"/>
    <n v="3546.8051999999998"/>
    <n v="60189.284243999995"/>
    <n v="60224.752295999999"/>
  </r>
  <r>
    <x v="3"/>
    <n v="26.62"/>
    <n v="26.63"/>
    <x v="298"/>
    <n v="2261.4252999999999"/>
    <n v="-0.2"/>
    <n v="2261.2253000000001"/>
    <n v="60193.817486000007"/>
    <n v="60216.429738999999"/>
  </r>
  <r>
    <x v="4"/>
    <n v="63.54"/>
    <n v="63.65"/>
    <x v="298"/>
    <n v="946.19489999999996"/>
    <n v="0"/>
    <n v="946.19489999999996"/>
    <n v="60121.223945999998"/>
    <n v="60225.305385"/>
  </r>
  <r>
    <x v="5"/>
    <n v="34.78"/>
    <n v="34.81"/>
    <x v="298"/>
    <n v="1730.1987999999999"/>
    <n v="0.2"/>
    <n v="1730.3987999999999"/>
    <n v="60183.270263999999"/>
    <n v="60235.182228000005"/>
  </r>
  <r>
    <x v="6"/>
    <n v="52.39"/>
    <n v="52.4"/>
    <x v="298"/>
    <n v="1148.9242999999999"/>
    <n v="0.05"/>
    <n v="1148.9742999999999"/>
    <n v="60194.763576999991"/>
    <n v="60206.253319999989"/>
  </r>
  <r>
    <x v="7"/>
    <n v="46.69"/>
    <n v="46.7"/>
    <x v="298"/>
    <n v="1289.4385000000002"/>
    <n v="0"/>
    <n v="1289.4385000000002"/>
    <n v="60203.883565000004"/>
    <n v="60216.777950000011"/>
  </r>
  <r>
    <x v="8"/>
    <n v="17.02"/>
    <n v="17.03"/>
    <x v="298"/>
    <n v="3535.8029000000001"/>
    <n v="0"/>
    <n v="3535.8029000000001"/>
    <n v="60179.365358000003"/>
    <n v="60214.723387000005"/>
  </r>
  <r>
    <x v="9"/>
    <n v="34.1"/>
    <n v="34.11"/>
    <x v="298"/>
    <n v="1765.1682000000001"/>
    <n v="0.2"/>
    <n v="1765.3682000000001"/>
    <n v="60199.055620000006"/>
    <n v="60216.709302000003"/>
  </r>
  <r>
    <x v="0"/>
    <n v="19.91"/>
    <n v="19.920000000000002"/>
    <x v="299"/>
    <n v="3015.1044999999999"/>
    <n v="0"/>
    <n v="3015.1044999999999"/>
    <n v="60030.730595000001"/>
    <n v="60060.881640000007"/>
  </r>
  <r>
    <x v="1"/>
    <n v="32.590000000000003"/>
    <n v="32.6"/>
    <x v="299"/>
    <n v="1842.2113999999999"/>
    <n v="-0.1"/>
    <n v="1842.1114"/>
    <n v="60034.410526000007"/>
    <n v="60052.831640000004"/>
  </r>
  <r>
    <x v="2"/>
    <n v="16.920000000000002"/>
    <n v="16.93"/>
    <x v="299"/>
    <n v="3546.8051999999998"/>
    <n v="0"/>
    <n v="3546.8051999999998"/>
    <n v="60011.943984000005"/>
    <n v="60047.412035999994"/>
  </r>
  <r>
    <x v="3"/>
    <n v="26.55"/>
    <n v="26.56"/>
    <x v="299"/>
    <n v="2261.4252999999999"/>
    <n v="-0.2"/>
    <n v="2261.2253000000001"/>
    <n v="60035.531715000005"/>
    <n v="60058.143967999997"/>
  </r>
  <r>
    <x v="4"/>
    <n v="63.39"/>
    <n v="63.5"/>
    <x v="299"/>
    <n v="946.19489999999996"/>
    <n v="0"/>
    <n v="946.19489999999996"/>
    <n v="59979.294710999995"/>
    <n v="60083.376149999996"/>
  </r>
  <r>
    <x v="5"/>
    <n v="34.700000000000003"/>
    <n v="34.72"/>
    <x v="299"/>
    <n v="1730.1987999999999"/>
    <n v="0.2"/>
    <n v="1730.3987999999999"/>
    <n v="60044.838360000002"/>
    <n v="60079.446335999994"/>
  </r>
  <r>
    <x v="6"/>
    <n v="52.26"/>
    <n v="52.27"/>
    <x v="299"/>
    <n v="1148.9242999999999"/>
    <n v="0.05"/>
    <n v="1148.9742999999999"/>
    <n v="60045.396917999991"/>
    <n v="60056.886660999997"/>
  </r>
  <r>
    <x v="7"/>
    <n v="46.57"/>
    <n v="46.58"/>
    <x v="299"/>
    <n v="1289.4385000000002"/>
    <n v="0"/>
    <n v="1289.4385000000002"/>
    <n v="60049.150945000009"/>
    <n v="60062.045330000008"/>
  </r>
  <r>
    <x v="8"/>
    <n v="16.98"/>
    <n v="16.989999999999998"/>
    <x v="299"/>
    <n v="3535.8029000000001"/>
    <n v="0"/>
    <n v="3535.8029000000001"/>
    <n v="60037.933242000006"/>
    <n v="60073.291270999995"/>
  </r>
  <r>
    <x v="9"/>
    <n v="34.01"/>
    <n v="34.020000000000003"/>
    <x v="299"/>
    <n v="1765.1682000000001"/>
    <n v="0.2"/>
    <n v="1765.3682000000001"/>
    <n v="60040.172482000002"/>
    <n v="60057.826164000013"/>
  </r>
  <r>
    <x v="0"/>
    <n v="19.93"/>
    <n v="19.940000000000001"/>
    <x v="300"/>
    <n v="3015.1044999999999"/>
    <n v="0"/>
    <n v="3015.1044999999999"/>
    <n v="60091.032684999998"/>
    <n v="60121.183730000004"/>
  </r>
  <r>
    <x v="1"/>
    <n v="32.630000000000003"/>
    <n v="32.64"/>
    <x v="300"/>
    <n v="1842.2113999999999"/>
    <n v="-0.1"/>
    <n v="1842.1114"/>
    <n v="60108.094982000002"/>
    <n v="60126.516095999999"/>
  </r>
  <r>
    <x v="2"/>
    <n v="16.940000000000001"/>
    <n v="16.95"/>
    <x v="300"/>
    <n v="3546.8051999999998"/>
    <n v="0"/>
    <n v="3546.8051999999998"/>
    <n v="60082.880087999998"/>
    <n v="60118.348139999995"/>
  </r>
  <r>
    <x v="3"/>
    <n v="26.57"/>
    <n v="26.58"/>
    <x v="300"/>
    <n v="2261.4252999999999"/>
    <n v="-0.2"/>
    <n v="2261.2253000000001"/>
    <n v="60080.756221000003"/>
    <n v="60103.368473999995"/>
  </r>
  <r>
    <x v="4"/>
    <n v="63.43"/>
    <n v="63.54"/>
    <x v="300"/>
    <n v="946.19489999999996"/>
    <n v="0"/>
    <n v="946.19489999999996"/>
    <n v="60017.142506999997"/>
    <n v="60121.223945999998"/>
  </r>
  <r>
    <x v="5"/>
    <n v="34.729999999999997"/>
    <n v="34.75"/>
    <x v="300"/>
    <n v="1730.1987999999999"/>
    <n v="0.2"/>
    <n v="1730.3987999999999"/>
    <n v="60096.750323999993"/>
    <n v="60131.3583"/>
  </r>
  <r>
    <x v="6"/>
    <n v="52.3"/>
    <n v="52.31"/>
    <x v="300"/>
    <n v="1148.9242999999999"/>
    <n v="0.05"/>
    <n v="1148.9742999999999"/>
    <n v="60091.355889999992"/>
    <n v="60102.845632999997"/>
  </r>
  <r>
    <x v="7"/>
    <n v="46.61"/>
    <n v="46.62"/>
    <x v="300"/>
    <n v="1289.4385000000002"/>
    <n v="0"/>
    <n v="1289.4385000000002"/>
    <n v="60100.728485000007"/>
    <n v="60113.622870000007"/>
  </r>
  <r>
    <x v="8"/>
    <n v="17"/>
    <n v="17.010000000000002"/>
    <x v="300"/>
    <n v="3535.8029000000001"/>
    <n v="0"/>
    <n v="3535.8029000000001"/>
    <n v="60108.649300000005"/>
    <n v="60144.007329000007"/>
  </r>
  <r>
    <x v="9"/>
    <n v="34.049999999999997"/>
    <n v="34.06"/>
    <x v="300"/>
    <n v="1765.1682000000001"/>
    <n v="0.2"/>
    <n v="1765.3682000000001"/>
    <n v="60110.787210000002"/>
    <n v="60128.440892000006"/>
  </r>
  <r>
    <x v="0"/>
    <n v="19.89"/>
    <n v="19.899999999999999"/>
    <x v="301"/>
    <n v="3015.1044999999999"/>
    <n v="0"/>
    <n v="3015.1044999999999"/>
    <n v="59970.428505000003"/>
    <n v="60000.579549999995"/>
  </r>
  <r>
    <x v="1"/>
    <n v="32.57"/>
    <n v="32.58"/>
    <x v="301"/>
    <n v="1842.2113999999999"/>
    <n v="-0.1"/>
    <n v="1842.1114"/>
    <n v="59997.568297999998"/>
    <n v="60015.989411999995"/>
  </r>
  <r>
    <x v="2"/>
    <n v="16.91"/>
    <n v="16.920000000000002"/>
    <x v="301"/>
    <n v="3546.8051999999998"/>
    <n v="0"/>
    <n v="3546.8051999999998"/>
    <n v="59976.475931999994"/>
    <n v="60011.943984000005"/>
  </r>
  <r>
    <x v="3"/>
    <n v="26.53"/>
    <n v="26.54"/>
    <x v="301"/>
    <n v="2261.4252999999999"/>
    <n v="-0.2"/>
    <n v="2261.2253000000001"/>
    <n v="59990.307209000006"/>
    <n v="60012.919461999998"/>
  </r>
  <r>
    <x v="4"/>
    <n v="63.36"/>
    <n v="63.45"/>
    <x v="301"/>
    <n v="946.19489999999996"/>
    <n v="0"/>
    <n v="946.19489999999996"/>
    <n v="59950.908863999997"/>
    <n v="60036.066404999998"/>
  </r>
  <r>
    <x v="5"/>
    <n v="34.67"/>
    <n v="34.69"/>
    <x v="301"/>
    <n v="1730.1987999999999"/>
    <n v="0.2"/>
    <n v="1730.3987999999999"/>
    <n v="59992.926396000003"/>
    <n v="60027.534371999995"/>
  </r>
  <r>
    <x v="6"/>
    <n v="52.21"/>
    <n v="52.22"/>
    <x v="301"/>
    <n v="1148.9242999999999"/>
    <n v="0.05"/>
    <n v="1148.9742999999999"/>
    <n v="59987.948202999993"/>
    <n v="59999.437945999991"/>
  </r>
  <r>
    <x v="7"/>
    <n v="46.53"/>
    <n v="46.54"/>
    <x v="301"/>
    <n v="1289.4385000000002"/>
    <n v="0"/>
    <n v="1289.4385000000002"/>
    <n v="59997.57340500001"/>
    <n v="60010.46779000001"/>
  </r>
  <r>
    <x v="8"/>
    <n v="16.97"/>
    <n v="16.98"/>
    <x v="301"/>
    <n v="3535.8029000000001"/>
    <n v="0"/>
    <n v="3535.8029000000001"/>
    <n v="60002.575212999996"/>
    <n v="60037.933242000006"/>
  </r>
  <r>
    <x v="9"/>
    <n v="33.99"/>
    <n v="34"/>
    <x v="301"/>
    <n v="1765.1682000000001"/>
    <n v="0.2"/>
    <n v="1765.3682000000001"/>
    <n v="60004.865118000009"/>
    <n v="60022.518800000005"/>
  </r>
  <r>
    <x v="0"/>
    <n v="19.899999999999999"/>
    <n v="19.91"/>
    <x v="302"/>
    <n v="3015.1044999999999"/>
    <n v="0"/>
    <n v="3015.1044999999999"/>
    <n v="60000.579549999995"/>
    <n v="60030.730595000001"/>
  </r>
  <r>
    <x v="1"/>
    <n v="32.58"/>
    <n v="32.590000000000003"/>
    <x v="302"/>
    <n v="1842.2113999999999"/>
    <n v="-0.1"/>
    <n v="1842.1114"/>
    <n v="60015.989411999995"/>
    <n v="60034.410526000007"/>
  </r>
  <r>
    <x v="2"/>
    <n v="16.920000000000002"/>
    <n v="16.93"/>
    <x v="302"/>
    <n v="3546.8051999999998"/>
    <n v="0"/>
    <n v="3546.8051999999998"/>
    <n v="60011.943984000005"/>
    <n v="60047.412035999994"/>
  </r>
  <r>
    <x v="3"/>
    <n v="26.53"/>
    <n v="26.54"/>
    <x v="302"/>
    <n v="2261.4252999999999"/>
    <n v="-0.2"/>
    <n v="2261.2253000000001"/>
    <n v="59990.307209000006"/>
    <n v="60012.919461999998"/>
  </r>
  <r>
    <x v="4"/>
    <n v="63.38"/>
    <n v="63.47"/>
    <x v="302"/>
    <n v="946.19489999999996"/>
    <n v="0"/>
    <n v="946.19489999999996"/>
    <n v="59969.832761999998"/>
    <n v="60054.990302999999"/>
  </r>
  <r>
    <x v="5"/>
    <n v="34.67"/>
    <n v="34.700000000000003"/>
    <x v="302"/>
    <n v="1730.1987999999999"/>
    <n v="0.2"/>
    <n v="1730.3987999999999"/>
    <n v="59992.926396000003"/>
    <n v="60044.838360000002"/>
  </r>
  <r>
    <x v="6"/>
    <n v="52.22"/>
    <n v="52.23"/>
    <x v="302"/>
    <n v="1148.9242999999999"/>
    <n v="0.05"/>
    <n v="1148.9742999999999"/>
    <n v="59999.437945999991"/>
    <n v="60010.927688999989"/>
  </r>
  <r>
    <x v="7"/>
    <n v="46.54"/>
    <n v="46.55"/>
    <x v="302"/>
    <n v="1289.4385000000002"/>
    <n v="0"/>
    <n v="1289.4385000000002"/>
    <n v="60010.46779000001"/>
    <n v="60023.362175000009"/>
  </r>
  <r>
    <x v="8"/>
    <n v="16.97"/>
    <n v="16.98"/>
    <x v="302"/>
    <n v="3535.8029000000001"/>
    <n v="0"/>
    <n v="3535.8029000000001"/>
    <n v="60002.575212999996"/>
    <n v="60037.933242000006"/>
  </r>
  <r>
    <x v="9"/>
    <n v="33.99"/>
    <n v="34"/>
    <x v="302"/>
    <n v="1765.1682000000001"/>
    <n v="0.2"/>
    <n v="1765.3682000000001"/>
    <n v="60004.865118000009"/>
    <n v="60022.518800000005"/>
  </r>
  <r>
    <x v="0"/>
    <n v="19.87"/>
    <n v="19.88"/>
    <x v="303"/>
    <n v="3015.1044999999999"/>
    <n v="0"/>
    <n v="3015.1044999999999"/>
    <n v="59910.126414999999"/>
    <n v="59940.277459999998"/>
  </r>
  <r>
    <x v="1"/>
    <n v="32.53"/>
    <n v="32.54"/>
    <x v="303"/>
    <n v="1842.2113999999999"/>
    <n v="-0.1"/>
    <n v="1842.1114"/>
    <n v="59923.883842000003"/>
    <n v="59942.304956"/>
  </r>
  <r>
    <x v="2"/>
    <n v="16.89"/>
    <n v="16.899999999999999"/>
    <x v="303"/>
    <n v="3546.8051999999998"/>
    <n v="0"/>
    <n v="3546.8051999999998"/>
    <n v="59905.539828000001"/>
    <n v="59941.00787999999"/>
  </r>
  <r>
    <x v="3"/>
    <n v="26.5"/>
    <n v="26.51"/>
    <x v="303"/>
    <n v="2261.4252999999999"/>
    <n v="-0.2"/>
    <n v="2261.2253000000001"/>
    <n v="59922.470450000001"/>
    <n v="59945.082703000007"/>
  </r>
  <r>
    <x v="4"/>
    <n v="63.28"/>
    <n v="63.39"/>
    <x v="303"/>
    <n v="946.19489999999996"/>
    <n v="0"/>
    <n v="946.19489999999996"/>
    <n v="59875.213272000001"/>
    <n v="59979.294710999995"/>
  </r>
  <r>
    <x v="5"/>
    <n v="34.630000000000003"/>
    <n v="34.65"/>
    <x v="303"/>
    <n v="1730.1987999999999"/>
    <n v="0.2"/>
    <n v="1730.3987999999999"/>
    <n v="59923.710444000004"/>
    <n v="59958.318419999996"/>
  </r>
  <r>
    <x v="6"/>
    <n v="52.15"/>
    <n v="52.16"/>
    <x v="303"/>
    <n v="1148.9242999999999"/>
    <n v="0.05"/>
    <n v="1148.9742999999999"/>
    <n v="59919.009744999988"/>
    <n v="59930.499487999987"/>
  </r>
  <r>
    <x v="7"/>
    <n v="46.47"/>
    <n v="46.48"/>
    <x v="303"/>
    <n v="1289.4385000000002"/>
    <n v="0"/>
    <n v="1289.4385000000002"/>
    <n v="59920.207095000005"/>
    <n v="59933.101480000005"/>
  </r>
  <r>
    <x v="8"/>
    <n v="16.95"/>
    <n v="16.96"/>
    <x v="303"/>
    <n v="3535.8029000000001"/>
    <n v="0"/>
    <n v="3535.8029000000001"/>
    <n v="59931.859154999998"/>
    <n v="59967.217184000008"/>
  </r>
  <r>
    <x v="9"/>
    <n v="33.950000000000003"/>
    <n v="33.96"/>
    <x v="303"/>
    <n v="1765.1682000000001"/>
    <n v="0.2"/>
    <n v="1765.3682000000001"/>
    <n v="59934.250390000008"/>
    <n v="59951.904072000005"/>
  </r>
  <r>
    <x v="0"/>
    <n v="19.8"/>
    <n v="19.809999999999999"/>
    <x v="304"/>
    <n v="3015.1044999999999"/>
    <n v="0"/>
    <n v="3015.1044999999999"/>
    <n v="59699.069100000001"/>
    <n v="59729.220144999992"/>
  </r>
  <r>
    <x v="1"/>
    <n v="32.42"/>
    <n v="32.43"/>
    <x v="304"/>
    <n v="1842.2113999999999"/>
    <n v="-0.1"/>
    <n v="1842.1114"/>
    <n v="59721.251588000006"/>
    <n v="59739.672701999996"/>
  </r>
  <r>
    <x v="2"/>
    <n v="16.829999999999998"/>
    <n v="16.84"/>
    <x v="304"/>
    <n v="3546.8051999999998"/>
    <n v="0"/>
    <n v="3546.8051999999998"/>
    <n v="59692.731515999993"/>
    <n v="59728.199567999996"/>
  </r>
  <r>
    <x v="3"/>
    <n v="26.41"/>
    <n v="26.42"/>
    <x v="304"/>
    <n v="2261.4252999999999"/>
    <n v="-0.2"/>
    <n v="2261.2253000000001"/>
    <n v="59718.960172999999"/>
    <n v="59741.572426000006"/>
  </r>
  <r>
    <x v="4"/>
    <n v="63.07"/>
    <n v="63.17"/>
    <x v="304"/>
    <n v="946.19489999999996"/>
    <n v="0"/>
    <n v="946.19489999999996"/>
    <n v="59676.512342999995"/>
    <n v="59771.131832999999"/>
  </r>
  <r>
    <x v="5"/>
    <n v="34.51"/>
    <n v="34.53"/>
    <x v="304"/>
    <n v="1730.1987999999999"/>
    <n v="0.2"/>
    <n v="1730.3987999999999"/>
    <n v="59716.062587999993"/>
    <n v="59750.670564"/>
  </r>
  <r>
    <x v="6"/>
    <n v="51.97"/>
    <n v="51.98"/>
    <x v="304"/>
    <n v="1148.9242999999999"/>
    <n v="0.05"/>
    <n v="1148.9742999999999"/>
    <n v="59712.19437099999"/>
    <n v="59723.684113999989"/>
  </r>
  <r>
    <x v="7"/>
    <n v="46.32"/>
    <n v="46.33"/>
    <x v="304"/>
    <n v="1289.4385000000002"/>
    <n v="0"/>
    <n v="1289.4385000000002"/>
    <n v="59726.791320000011"/>
    <n v="59739.685705000011"/>
  </r>
  <r>
    <x v="8"/>
    <n v="16.89"/>
    <n v="16.899999999999999"/>
    <x v="304"/>
    <n v="3535.8029000000001"/>
    <n v="0"/>
    <n v="3535.8029000000001"/>
    <n v="59719.710981000004"/>
    <n v="59755.069009999999"/>
  </r>
  <r>
    <x v="9"/>
    <n v="33.83"/>
    <n v="33.840000000000003"/>
    <x v="304"/>
    <n v="1765.1682000000001"/>
    <n v="0.2"/>
    <n v="1765.3682000000001"/>
    <n v="59722.406206"/>
    <n v="59740.059888000011"/>
  </r>
  <r>
    <x v="0"/>
    <n v="19.899999999999999"/>
    <n v="19.91"/>
    <x v="305"/>
    <n v="3015.1044999999999"/>
    <n v="0"/>
    <n v="3015.1044999999999"/>
    <n v="60000.579549999995"/>
    <n v="60030.730595000001"/>
  </r>
  <r>
    <x v="1"/>
    <n v="32.58"/>
    <n v="32.590000000000003"/>
    <x v="305"/>
    <n v="1842.2113999999999"/>
    <n v="-0.1"/>
    <n v="1842.1114"/>
    <n v="60015.989411999995"/>
    <n v="60034.410526000007"/>
  </r>
  <r>
    <x v="2"/>
    <n v="16.920000000000002"/>
    <n v="16.93"/>
    <x v="305"/>
    <n v="3546.8051999999998"/>
    <n v="0"/>
    <n v="3546.8051999999998"/>
    <n v="60011.943984000005"/>
    <n v="60047.412035999994"/>
  </r>
  <r>
    <x v="3"/>
    <n v="26.54"/>
    <n v="26.55"/>
    <x v="305"/>
    <n v="2261.4252999999999"/>
    <n v="-0.2"/>
    <n v="2261.2253000000001"/>
    <n v="60012.919461999998"/>
    <n v="60035.531715000005"/>
  </r>
  <r>
    <x v="4"/>
    <n v="63.38"/>
    <n v="63.47"/>
    <x v="305"/>
    <n v="946.19489999999996"/>
    <n v="0"/>
    <n v="946.19489999999996"/>
    <n v="59969.832761999998"/>
    <n v="60054.990302999999"/>
  </r>
  <r>
    <x v="5"/>
    <n v="34.68"/>
    <n v="34.700000000000003"/>
    <x v="305"/>
    <n v="1730.1987999999999"/>
    <n v="0.2"/>
    <n v="1730.3987999999999"/>
    <n v="60010.230383999995"/>
    <n v="60044.838360000002"/>
  </r>
  <r>
    <x v="6"/>
    <n v="52.23"/>
    <n v="52.24"/>
    <x v="305"/>
    <n v="1148.9242999999999"/>
    <n v="0.05"/>
    <n v="1148.9742999999999"/>
    <n v="60010.927688999989"/>
    <n v="60022.417431999995"/>
  </r>
  <r>
    <x v="7"/>
    <n v="46.54"/>
    <n v="46.55"/>
    <x v="305"/>
    <n v="1289.4385000000002"/>
    <n v="0"/>
    <n v="1289.4385000000002"/>
    <n v="60010.46779000001"/>
    <n v="60023.362175000009"/>
  </r>
  <r>
    <x v="8"/>
    <n v="16.97"/>
    <n v="16.98"/>
    <x v="305"/>
    <n v="3535.8029000000001"/>
    <n v="0"/>
    <n v="3535.8029000000001"/>
    <n v="60002.575212999996"/>
    <n v="60037.933242000006"/>
  </r>
  <r>
    <x v="9"/>
    <n v="34"/>
    <n v="34.01"/>
    <x v="305"/>
    <n v="1765.1682000000001"/>
    <n v="0.2"/>
    <n v="1765.3682000000001"/>
    <n v="60022.518800000005"/>
    <n v="60040.172482000002"/>
  </r>
  <r>
    <x v="0"/>
    <n v="19.96"/>
    <n v="19.97"/>
    <x v="306"/>
    <n v="3015.1044999999999"/>
    <n v="0"/>
    <n v="3015.1044999999999"/>
    <n v="60181.485820000002"/>
    <n v="60211.636864999993"/>
  </r>
  <r>
    <x v="1"/>
    <n v="32.67"/>
    <n v="32.68"/>
    <x v="306"/>
    <n v="1842.2113999999999"/>
    <n v="-0.1"/>
    <n v="1842.1114"/>
    <n v="60181.779438000005"/>
    <n v="60200.200552000002"/>
  </r>
  <r>
    <x v="2"/>
    <n v="16.97"/>
    <n v="16.98"/>
    <x v="306"/>
    <n v="3546.8051999999998"/>
    <n v="0"/>
    <n v="3546.8051999999998"/>
    <n v="60189.284243999995"/>
    <n v="60224.752295999999"/>
  </r>
  <r>
    <x v="3"/>
    <n v="26.61"/>
    <n v="26.62"/>
    <x v="306"/>
    <n v="2261.4252999999999"/>
    <n v="-0.2"/>
    <n v="2261.2253000000001"/>
    <n v="60171.205233000001"/>
    <n v="60193.817486000007"/>
  </r>
  <r>
    <x v="4"/>
    <n v="63.54"/>
    <n v="63.66"/>
    <x v="306"/>
    <n v="946.19489999999996"/>
    <n v="0"/>
    <n v="946.19489999999996"/>
    <n v="60121.223945999998"/>
    <n v="60234.767333999996"/>
  </r>
  <r>
    <x v="5"/>
    <n v="34.78"/>
    <n v="34.799999999999997"/>
    <x v="306"/>
    <n v="1730.1987999999999"/>
    <n v="0.2"/>
    <n v="1730.3987999999999"/>
    <n v="60183.270263999999"/>
    <n v="60217.878239999991"/>
  </r>
  <r>
    <x v="6"/>
    <n v="52.37"/>
    <n v="52.38"/>
    <x v="306"/>
    <n v="1148.9242999999999"/>
    <n v="0.05"/>
    <n v="1148.9742999999999"/>
    <n v="60171.784090999987"/>
    <n v="60183.273833999992"/>
  </r>
  <r>
    <x v="7"/>
    <n v="46.67"/>
    <n v="46.68"/>
    <x v="306"/>
    <n v="1289.4385000000002"/>
    <n v="0"/>
    <n v="1289.4385000000002"/>
    <n v="60178.094795000012"/>
    <n v="60190.989180000011"/>
  </r>
  <r>
    <x v="8"/>
    <n v="17.02"/>
    <n v="17.03"/>
    <x v="306"/>
    <n v="3535.8029000000001"/>
    <n v="0"/>
    <n v="3535.8029000000001"/>
    <n v="60179.365358000003"/>
    <n v="60214.723387000005"/>
  </r>
  <r>
    <x v="9"/>
    <n v="34.090000000000003"/>
    <n v="34.1"/>
    <x v="306"/>
    <n v="1765.1682000000001"/>
    <n v="0.2"/>
    <n v="1765.3682000000001"/>
    <n v="60181.40193800001"/>
    <n v="60199.055620000006"/>
  </r>
  <r>
    <x v="0"/>
    <n v="19.93"/>
    <n v="19.940000000000001"/>
    <x v="307"/>
    <n v="3015.1044999999999"/>
    <n v="0"/>
    <n v="3015.1044999999999"/>
    <n v="60091.032684999998"/>
    <n v="60121.183730000004"/>
  </r>
  <r>
    <x v="1"/>
    <n v="32.630000000000003"/>
    <n v="32.64"/>
    <x v="307"/>
    <n v="1842.2113999999999"/>
    <n v="-0.1"/>
    <n v="1842.1114"/>
    <n v="60108.094982000002"/>
    <n v="60126.516095999999"/>
  </r>
  <r>
    <x v="2"/>
    <n v="16.940000000000001"/>
    <n v="16.95"/>
    <x v="307"/>
    <n v="3546.8051999999998"/>
    <n v="0"/>
    <n v="3546.8051999999998"/>
    <n v="60082.880087999998"/>
    <n v="60118.348139999995"/>
  </r>
  <r>
    <x v="3"/>
    <n v="26.57"/>
    <n v="26.58"/>
    <x v="307"/>
    <n v="2261.4252999999999"/>
    <n v="-0.2"/>
    <n v="2261.2253000000001"/>
    <n v="60080.756221000003"/>
    <n v="60103.368473999995"/>
  </r>
  <r>
    <x v="4"/>
    <n v="63.45"/>
    <n v="63.56"/>
    <x v="307"/>
    <n v="946.19489999999996"/>
    <n v="0"/>
    <n v="946.19489999999996"/>
    <n v="60036.066404999998"/>
    <n v="60140.147843999999"/>
  </r>
  <r>
    <x v="5"/>
    <n v="34.729999999999997"/>
    <n v="34.74"/>
    <x v="307"/>
    <n v="1730.1987999999999"/>
    <n v="0.2"/>
    <n v="1730.3987999999999"/>
    <n v="60096.750323999993"/>
    <n v="60114.054312"/>
  </r>
  <r>
    <x v="6"/>
    <n v="52.3"/>
    <n v="52.31"/>
    <x v="307"/>
    <n v="1148.9242999999999"/>
    <n v="0.05"/>
    <n v="1148.9742999999999"/>
    <n v="60091.355889999992"/>
    <n v="60102.845632999997"/>
  </r>
  <r>
    <x v="7"/>
    <n v="46.61"/>
    <n v="46.62"/>
    <x v="307"/>
    <n v="1289.4385000000002"/>
    <n v="0"/>
    <n v="1289.4385000000002"/>
    <n v="60100.728485000007"/>
    <n v="60113.622870000007"/>
  </r>
  <r>
    <x v="8"/>
    <n v="17"/>
    <n v="17.010000000000002"/>
    <x v="307"/>
    <n v="3535.8029000000001"/>
    <n v="0"/>
    <n v="3535.8029000000001"/>
    <n v="60108.649300000005"/>
    <n v="60144.007329000007"/>
  </r>
  <r>
    <x v="9"/>
    <n v="34.04"/>
    <n v="34.049999999999997"/>
    <x v="307"/>
    <n v="1765.1682000000001"/>
    <n v="0.2"/>
    <n v="1765.3682000000001"/>
    <n v="60093.133528000006"/>
    <n v="60110.787210000002"/>
  </r>
  <r>
    <x v="0"/>
    <n v="19.940000000000001"/>
    <n v="19.95"/>
    <x v="308"/>
    <n v="3015.1044999999999"/>
    <n v="0"/>
    <n v="3015.1044999999999"/>
    <n v="60121.183730000004"/>
    <n v="60151.334774999996"/>
  </r>
  <r>
    <x v="1"/>
    <n v="32.64"/>
    <n v="32.65"/>
    <x v="308"/>
    <n v="1842.2113999999999"/>
    <n v="-0.1"/>
    <n v="1842.1114"/>
    <n v="60126.516095999999"/>
    <n v="60144.937209999996"/>
  </r>
  <r>
    <x v="2"/>
    <n v="16.95"/>
    <n v="16.96"/>
    <x v="308"/>
    <n v="3546.8051999999998"/>
    <n v="0"/>
    <n v="3546.8051999999998"/>
    <n v="60118.348139999995"/>
    <n v="60153.816191999998"/>
  </r>
  <r>
    <x v="3"/>
    <n v="26.58"/>
    <n v="26.59"/>
    <x v="308"/>
    <n v="2261.4252999999999"/>
    <n v="-0.2"/>
    <n v="2261.2253000000001"/>
    <n v="60103.368473999995"/>
    <n v="60125.980727000002"/>
  </r>
  <r>
    <x v="4"/>
    <n v="63.47"/>
    <n v="63.57"/>
    <x v="308"/>
    <n v="946.19489999999996"/>
    <n v="0"/>
    <n v="946.19489999999996"/>
    <n v="60054.990302999999"/>
    <n v="60149.609792999996"/>
  </r>
  <r>
    <x v="5"/>
    <n v="34.74"/>
    <n v="34.76"/>
    <x v="308"/>
    <n v="1730.1987999999999"/>
    <n v="0.2"/>
    <n v="1730.3987999999999"/>
    <n v="60114.054312"/>
    <n v="60148.662287999992"/>
  </r>
  <r>
    <x v="6"/>
    <n v="52.32"/>
    <n v="52.33"/>
    <x v="308"/>
    <n v="1148.9242999999999"/>
    <n v="0.05"/>
    <n v="1148.9742999999999"/>
    <n v="60114.335375999995"/>
    <n v="60125.825118999994"/>
  </r>
  <r>
    <x v="7"/>
    <n v="46.63"/>
    <n v="46.64"/>
    <x v="308"/>
    <n v="1289.4385000000002"/>
    <n v="0"/>
    <n v="1289.4385000000002"/>
    <n v="60126.517255000013"/>
    <n v="60139.411640000013"/>
  </r>
  <r>
    <x v="8"/>
    <n v="17"/>
    <n v="17.010000000000002"/>
    <x v="308"/>
    <n v="3535.8029000000001"/>
    <n v="0"/>
    <n v="3535.8029000000001"/>
    <n v="60108.649300000005"/>
    <n v="60144.007329000007"/>
  </r>
  <r>
    <x v="9"/>
    <n v="34.049999999999997"/>
    <n v="34.06"/>
    <x v="308"/>
    <n v="1765.1682000000001"/>
    <n v="0.2"/>
    <n v="1765.3682000000001"/>
    <n v="60110.787210000002"/>
    <n v="60128.440892000006"/>
  </r>
  <r>
    <x v="0"/>
    <n v="20.51"/>
    <n v="20.52"/>
    <x v="309"/>
    <n v="3015.1736999999998"/>
    <n v="0"/>
    <n v="3015.1736999999998"/>
    <n v="61841.212587000002"/>
    <n v="61871.364323999995"/>
  </r>
  <r>
    <x v="1"/>
    <n v="33.57"/>
    <n v="33.58"/>
    <x v="309"/>
    <n v="1842.2518"/>
    <n v="-0.1"/>
    <n v="1842.1518000000001"/>
    <n v="61841.035926000004"/>
    <n v="61859.457444"/>
  </r>
  <r>
    <x v="2"/>
    <n v="17.43"/>
    <n v="17.440000000000001"/>
    <x v="309"/>
    <n v="3546.9023999999999"/>
    <n v="0"/>
    <n v="3546.9023999999999"/>
    <n v="61822.508832"/>
    <n v="61857.977856000005"/>
  </r>
  <r>
    <x v="3"/>
    <n v="27.35"/>
    <n v="27.36"/>
    <x v="309"/>
    <n v="2261.4625000000001"/>
    <n v="-0.2"/>
    <n v="2261.2625000000003"/>
    <n v="61845.529375000013"/>
    <n v="61868.142000000007"/>
  </r>
  <r>
    <x v="4"/>
    <n v="65.290000000000006"/>
    <n v="65.39"/>
    <x v="309"/>
    <n v="946.22090000000003"/>
    <n v="0"/>
    <n v="946.22090000000003"/>
    <n v="61778.76256100001"/>
    <n v="61873.384651"/>
  </r>
  <r>
    <x v="5"/>
    <n v="35.729999999999997"/>
    <n v="35.75"/>
    <x v="309"/>
    <n v="1730.2348"/>
    <n v="0.2"/>
    <n v="1730.4348"/>
    <n v="61828.435403999996"/>
    <n v="61863.044099999999"/>
  </r>
  <r>
    <x v="6"/>
    <n v="53.82"/>
    <n v="53.83"/>
    <x v="309"/>
    <n v="1148.9558999999999"/>
    <n v="0.05"/>
    <n v="1149.0058999999999"/>
    <n v="61839.497537999996"/>
    <n v="61850.987596999992"/>
  </r>
  <r>
    <x v="7"/>
    <n v="47.96"/>
    <n v="47.97"/>
    <x v="309"/>
    <n v="1289.6505000000002"/>
    <n v="0"/>
    <n v="1289.6505000000002"/>
    <n v="61851.637980000007"/>
    <n v="61864.534485000011"/>
  </r>
  <r>
    <x v="8"/>
    <n v="17.489999999999998"/>
    <n v="17.5"/>
    <x v="309"/>
    <n v="3535.8029000000001"/>
    <n v="0"/>
    <n v="3535.8029000000001"/>
    <n v="61841.192720999999"/>
    <n v="61876.550750000002"/>
  </r>
  <r>
    <x v="9"/>
    <n v="35.03"/>
    <n v="35.04"/>
    <x v="309"/>
    <n v="1765.2166"/>
    <n v="0.2"/>
    <n v="1765.4166"/>
    <n v="61842.543497999999"/>
    <n v="61860.197663999999"/>
  </r>
  <r>
    <x v="0"/>
    <n v="20.52"/>
    <n v="20.53"/>
    <x v="310"/>
    <n v="3015.1736999999998"/>
    <n v="0"/>
    <n v="3015.1736999999998"/>
    <n v="61871.364323999995"/>
    <n v="61901.516061000002"/>
  </r>
  <r>
    <x v="1"/>
    <n v="33.58"/>
    <n v="33.590000000000003"/>
    <x v="310"/>
    <n v="1842.2518"/>
    <n v="-0.1"/>
    <n v="1842.1518000000001"/>
    <n v="61859.457444"/>
    <n v="61877.87896200001"/>
  </r>
  <r>
    <x v="2"/>
    <n v="17.440000000000001"/>
    <n v="17.45"/>
    <x v="310"/>
    <n v="3546.9023999999999"/>
    <n v="0"/>
    <n v="3546.9023999999999"/>
    <n v="61857.977856000005"/>
    <n v="61893.446879999996"/>
  </r>
  <r>
    <x v="3"/>
    <n v="27.36"/>
    <n v="27.37"/>
    <x v="310"/>
    <n v="2261.4625000000001"/>
    <n v="-0.2"/>
    <n v="2261.2625000000003"/>
    <n v="61868.142000000007"/>
    <n v="61890.754625000009"/>
  </r>
  <r>
    <x v="4"/>
    <n v="65.349999999999994"/>
    <n v="65.44"/>
    <x v="310"/>
    <n v="946.22090000000003"/>
    <n v="0"/>
    <n v="946.22090000000003"/>
    <n v="61835.535814999996"/>
    <n v="61920.695696000002"/>
  </r>
  <r>
    <x v="5"/>
    <n v="35.74"/>
    <n v="35.76"/>
    <x v="310"/>
    <n v="1730.2348"/>
    <n v="0.2"/>
    <n v="1730.4348"/>
    <n v="61845.739752000001"/>
    <n v="61880.348447999997"/>
  </r>
  <r>
    <x v="6"/>
    <n v="53.85"/>
    <n v="53.86"/>
    <x v="310"/>
    <n v="1148.9558999999999"/>
    <n v="0.05"/>
    <n v="1149.0058999999999"/>
    <n v="61873.967714999999"/>
    <n v="61885.457773999995"/>
  </r>
  <r>
    <x v="7"/>
    <n v="47.99"/>
    <n v="48"/>
    <x v="310"/>
    <n v="1289.6505000000002"/>
    <n v="0"/>
    <n v="1289.6505000000002"/>
    <n v="61890.327495000012"/>
    <n v="61903.224000000009"/>
  </r>
  <r>
    <x v="8"/>
    <n v="17.5"/>
    <n v="17.510000000000002"/>
    <x v="310"/>
    <n v="3535.8029000000001"/>
    <n v="0"/>
    <n v="3535.8029000000001"/>
    <n v="61876.550750000002"/>
    <n v="61911.908779000005"/>
  </r>
  <r>
    <x v="9"/>
    <n v="35.049999999999997"/>
    <n v="35.06"/>
    <x v="310"/>
    <n v="1765.2166"/>
    <n v="0.2"/>
    <n v="1765.4166"/>
    <n v="61877.851829999992"/>
    <n v="61895.505996000007"/>
  </r>
  <r>
    <x v="0"/>
    <n v="20.58"/>
    <n v="20.59"/>
    <x v="311"/>
    <n v="3015.1736999999998"/>
    <n v="0"/>
    <n v="3015.1736999999998"/>
    <n v="62052.274745999988"/>
    <n v="62082.426482999996"/>
  </r>
  <r>
    <x v="1"/>
    <n v="33.69"/>
    <n v="33.700000000000003"/>
    <x v="311"/>
    <n v="1842.2518"/>
    <n v="-0.1"/>
    <n v="1842.1518000000001"/>
    <n v="62062.094142000002"/>
    <n v="62080.515660000012"/>
  </r>
  <r>
    <x v="2"/>
    <n v="17.489999999999998"/>
    <n v="17.5"/>
    <x v="311"/>
    <n v="3546.9023999999999"/>
    <n v="0"/>
    <n v="3546.9023999999999"/>
    <n v="62035.322975999996"/>
    <n v="62070.792000000001"/>
  </r>
  <r>
    <x v="3"/>
    <n v="27.44"/>
    <n v="27.45"/>
    <x v="311"/>
    <n v="2261.4625000000001"/>
    <n v="-0.2"/>
    <n v="2261.2625000000003"/>
    <n v="62049.043000000012"/>
    <n v="62071.655625000007"/>
  </r>
  <r>
    <x v="4"/>
    <n v="65.53"/>
    <n v="65.62"/>
    <x v="311"/>
    <n v="946.22090000000003"/>
    <n v="0"/>
    <n v="946.22090000000003"/>
    <n v="62005.855577000002"/>
    <n v="62091.015458000009"/>
  </r>
  <r>
    <x v="5"/>
    <n v="35.86"/>
    <n v="35.880000000000003"/>
    <x v="311"/>
    <n v="1730.2348"/>
    <n v="0.2"/>
    <n v="1730.4348"/>
    <n v="62053.391927999997"/>
    <n v="62088.000624000008"/>
  </r>
  <r>
    <x v="6"/>
    <n v="54.01"/>
    <n v="54.02"/>
    <x v="311"/>
    <n v="1148.9558999999999"/>
    <n v="0.05"/>
    <n v="1149.0058999999999"/>
    <n v="62057.808658999995"/>
    <n v="62069.298717999998"/>
  </r>
  <r>
    <x v="7"/>
    <n v="48.13"/>
    <n v="48.14"/>
    <x v="311"/>
    <n v="1289.6505000000002"/>
    <n v="0"/>
    <n v="1289.6505000000002"/>
    <n v="62070.878565000014"/>
    <n v="62083.775070000011"/>
  </r>
  <r>
    <x v="8"/>
    <n v="17.55"/>
    <n v="17.559999999999999"/>
    <x v="311"/>
    <n v="3535.8029000000001"/>
    <n v="0"/>
    <n v="3535.8029000000001"/>
    <n v="62053.340895000008"/>
    <n v="62088.698923999997"/>
  </r>
  <r>
    <x v="9"/>
    <n v="35.159999999999997"/>
    <n v="35.17"/>
    <x v="311"/>
    <n v="1765.2166"/>
    <n v="0.2"/>
    <n v="1765.4166"/>
    <n v="62072.047655999995"/>
    <n v="62089.701822000003"/>
  </r>
  <r>
    <x v="0"/>
    <n v="20.45"/>
    <n v="20.46"/>
    <x v="312"/>
    <n v="3015.1736999999998"/>
    <n v="0"/>
    <n v="3015.1736999999998"/>
    <n v="61660.302164999994"/>
    <n v="61690.453902000001"/>
  </r>
  <r>
    <x v="1"/>
    <n v="33.479999999999997"/>
    <n v="33.49"/>
    <x v="312"/>
    <n v="1842.2518"/>
    <n v="-0.1"/>
    <n v="1842.1518000000001"/>
    <n v="61675.242264"/>
    <n v="61693.663782000003"/>
  </r>
  <r>
    <x v="2"/>
    <n v="17.39"/>
    <n v="17.399999999999999"/>
    <x v="312"/>
    <n v="3546.9023999999999"/>
    <n v="0"/>
    <n v="3546.9023999999999"/>
    <n v="61680.632736"/>
    <n v="61716.10175999999"/>
  </r>
  <r>
    <x v="3"/>
    <n v="27.27"/>
    <n v="27.28"/>
    <x v="312"/>
    <n v="2261.4625000000001"/>
    <n v="-0.2"/>
    <n v="2261.2625000000003"/>
    <n v="61664.628375000008"/>
    <n v="61687.241000000009"/>
  </r>
  <r>
    <x v="4"/>
    <n v="65.14"/>
    <n v="65.22"/>
    <x v="312"/>
    <n v="946.22090000000003"/>
    <n v="0"/>
    <n v="946.22090000000003"/>
    <n v="61636.829426000004"/>
    <n v="61712.527097999999"/>
  </r>
  <r>
    <x v="5"/>
    <n v="35.64"/>
    <n v="35.659999999999997"/>
    <x v="312"/>
    <n v="1730.2348"/>
    <n v="0.2"/>
    <n v="1730.4348"/>
    <n v="61672.696272000001"/>
    <n v="61707.304967999997"/>
  </r>
  <r>
    <x v="6"/>
    <n v="53.69"/>
    <n v="53.7"/>
    <x v="312"/>
    <n v="1148.9558999999999"/>
    <n v="0.05"/>
    <n v="1149.0058999999999"/>
    <n v="61690.126770999988"/>
    <n v="61701.616829999999"/>
  </r>
  <r>
    <x v="7"/>
    <n v="47.84"/>
    <n v="47.85"/>
    <x v="312"/>
    <n v="1289.6505000000002"/>
    <n v="0"/>
    <n v="1289.6505000000002"/>
    <n v="61696.879920000014"/>
    <n v="61709.776425000011"/>
  </r>
  <r>
    <x v="8"/>
    <n v="17.45"/>
    <n v="17.46"/>
    <x v="312"/>
    <n v="3535.8029000000001"/>
    <n v="0"/>
    <n v="3535.8029000000001"/>
    <n v="61699.760605000003"/>
    <n v="61735.118634000006"/>
  </r>
  <r>
    <x v="9"/>
    <n v="34.950000000000003"/>
    <n v="34.96"/>
    <x v="312"/>
    <n v="1765.2166"/>
    <n v="0.2"/>
    <n v="1765.4166"/>
    <n v="61701.310170000004"/>
    <n v="61718.964336000005"/>
  </r>
  <r>
    <x v="0"/>
    <n v="20.37"/>
    <n v="20.38"/>
    <x v="313"/>
    <n v="3015.1736999999998"/>
    <n v="0"/>
    <n v="3015.1736999999998"/>
    <n v="61419.088269"/>
    <n v="61449.240005999993"/>
  </r>
  <r>
    <x v="1"/>
    <n v="33.35"/>
    <n v="33.36"/>
    <x v="313"/>
    <n v="1842.2518"/>
    <n v="-0.1"/>
    <n v="1842.1518000000001"/>
    <n v="61435.762530000007"/>
    <n v="61454.184048000003"/>
  </r>
  <r>
    <x v="2"/>
    <n v="17.32"/>
    <n v="17.329999999999998"/>
    <x v="313"/>
    <n v="3546.9023999999999"/>
    <n v="0"/>
    <n v="3546.9023999999999"/>
    <n v="61432.349567999998"/>
    <n v="61467.818591999996"/>
  </r>
  <r>
    <x v="3"/>
    <n v="27.17"/>
    <n v="27.18"/>
    <x v="313"/>
    <n v="2261.4625000000001"/>
    <n v="-0.2"/>
    <n v="2261.2625000000003"/>
    <n v="61438.502125000014"/>
    <n v="61461.114750000008"/>
  </r>
  <r>
    <x v="4"/>
    <n v="64.88"/>
    <n v="64.97"/>
    <x v="313"/>
    <n v="946.22090000000003"/>
    <n v="0"/>
    <n v="946.22090000000003"/>
    <n v="61390.811991999995"/>
    <n v="61475.971873000002"/>
  </r>
  <r>
    <x v="5"/>
    <n v="35.5"/>
    <n v="35.53"/>
    <x v="313"/>
    <n v="1730.2348"/>
    <n v="0.2"/>
    <n v="1730.4348"/>
    <n v="61430.435400000002"/>
    <n v="61482.348444000003"/>
  </r>
  <r>
    <x v="6"/>
    <n v="53.49"/>
    <n v="53.5"/>
    <x v="313"/>
    <n v="1148.9558999999999"/>
    <n v="0.05"/>
    <n v="1149.0058999999999"/>
    <n v="61460.325590999993"/>
    <n v="61471.815649999997"/>
  </r>
  <r>
    <x v="7"/>
    <n v="47.66"/>
    <n v="47.67"/>
    <x v="313"/>
    <n v="1289.6505000000002"/>
    <n v="0"/>
    <n v="1289.6505000000002"/>
    <n v="61464.742830000003"/>
    <n v="61477.639335000014"/>
  </r>
  <r>
    <x v="8"/>
    <n v="17.38"/>
    <n v="17.39"/>
    <x v="313"/>
    <n v="3535.8029000000001"/>
    <n v="0"/>
    <n v="3535.8029000000001"/>
    <n v="61452.254401999999"/>
    <n v="61487.612431000001"/>
  </r>
  <r>
    <x v="9"/>
    <n v="34.81"/>
    <n v="34.82"/>
    <x v="313"/>
    <n v="1765.2166"/>
    <n v="0.2"/>
    <n v="1765.4166"/>
    <n v="61454.151846000008"/>
    <n v="61471.806012000001"/>
  </r>
  <r>
    <x v="0"/>
    <n v="20.45"/>
    <n v="20.46"/>
    <x v="314"/>
    <n v="3015.1736999999998"/>
    <n v="0"/>
    <n v="3015.1736999999998"/>
    <n v="61660.302164999994"/>
    <n v="61690.453902000001"/>
  </r>
  <r>
    <x v="1"/>
    <n v="33.479999999999997"/>
    <n v="33.49"/>
    <x v="314"/>
    <n v="1842.2518"/>
    <n v="-0.1"/>
    <n v="1842.1518000000001"/>
    <n v="61675.242264"/>
    <n v="61693.663782000003"/>
  </r>
  <r>
    <x v="2"/>
    <n v="17.39"/>
    <n v="17.399999999999999"/>
    <x v="314"/>
    <n v="3546.9023999999999"/>
    <n v="0"/>
    <n v="3546.9023999999999"/>
    <n v="61680.632736"/>
    <n v="61716.10175999999"/>
  </r>
  <r>
    <x v="3"/>
    <n v="27.27"/>
    <n v="27.28"/>
    <x v="314"/>
    <n v="2261.4625000000001"/>
    <n v="-0.2"/>
    <n v="2261.2625000000003"/>
    <n v="61664.628375000008"/>
    <n v="61687.241000000009"/>
  </r>
  <r>
    <x v="4"/>
    <n v="65.14"/>
    <n v="65.22"/>
    <x v="314"/>
    <n v="946.22090000000003"/>
    <n v="0"/>
    <n v="946.22090000000003"/>
    <n v="61636.829426000004"/>
    <n v="61712.527097999999"/>
  </r>
  <r>
    <x v="5"/>
    <n v="35.64"/>
    <n v="35.659999999999997"/>
    <x v="314"/>
    <n v="1730.2348"/>
    <n v="0.2"/>
    <n v="1730.4348"/>
    <n v="61672.696272000001"/>
    <n v="61707.304967999997"/>
  </r>
  <r>
    <x v="6"/>
    <n v="53.69"/>
    <n v="53.7"/>
    <x v="314"/>
    <n v="1148.9558999999999"/>
    <n v="0.05"/>
    <n v="1149.0058999999999"/>
    <n v="61690.126770999988"/>
    <n v="61701.616829999999"/>
  </r>
  <r>
    <x v="7"/>
    <n v="47.84"/>
    <n v="47.85"/>
    <x v="314"/>
    <n v="1289.6505000000002"/>
    <n v="0"/>
    <n v="1289.6505000000002"/>
    <n v="61696.879920000014"/>
    <n v="61709.776425000011"/>
  </r>
  <r>
    <x v="8"/>
    <n v="17.440000000000001"/>
    <n v="17.45"/>
    <x v="314"/>
    <n v="3535.8029000000001"/>
    <n v="0"/>
    <n v="3535.8029000000001"/>
    <n v="61664.402576000008"/>
    <n v="61699.760605000003"/>
  </r>
  <r>
    <x v="9"/>
    <n v="34.950000000000003"/>
    <n v="34.96"/>
    <x v="314"/>
    <n v="1765.2166"/>
    <n v="0.2"/>
    <n v="1765.4166"/>
    <n v="61701.310170000004"/>
    <n v="61718.964336000005"/>
  </r>
  <r>
    <x v="0"/>
    <n v="20.41"/>
    <n v="20.420000000000002"/>
    <x v="315"/>
    <n v="3015.1736999999998"/>
    <n v="0"/>
    <n v="3015.1736999999998"/>
    <n v="61539.695217"/>
    <n v="61569.846954000001"/>
  </r>
  <r>
    <x v="1"/>
    <n v="33.42"/>
    <n v="33.43"/>
    <x v="315"/>
    <n v="1842.2518"/>
    <n v="-0.1"/>
    <n v="1842.1518000000001"/>
    <n v="61564.713156000005"/>
    <n v="61583.134674000001"/>
  </r>
  <r>
    <x v="2"/>
    <n v="17.36"/>
    <n v="17.37"/>
    <x v="315"/>
    <n v="3546.9023999999999"/>
    <n v="0"/>
    <n v="3546.9023999999999"/>
    <n v="61574.225663999998"/>
    <n v="61609.694688000003"/>
  </r>
  <r>
    <x v="3"/>
    <n v="27.23"/>
    <n v="27.24"/>
    <x v="315"/>
    <n v="2261.4625000000001"/>
    <n v="-0.2"/>
    <n v="2261.2625000000003"/>
    <n v="61574.177875000008"/>
    <n v="61596.790500000003"/>
  </r>
  <r>
    <x v="4"/>
    <n v="65.03"/>
    <n v="65.13"/>
    <x v="315"/>
    <n v="946.22090000000003"/>
    <n v="0"/>
    <n v="946.22090000000003"/>
    <n v="61532.745127000002"/>
    <n v="61627.367216999999"/>
  </r>
  <r>
    <x v="5"/>
    <n v="35.57"/>
    <n v="35.6"/>
    <x v="315"/>
    <n v="1730.2348"/>
    <n v="0.2"/>
    <n v="1730.4348"/>
    <n v="61551.565836000002"/>
    <n v="61603.478880000002"/>
  </r>
  <r>
    <x v="6"/>
    <n v="53.59"/>
    <n v="53.6"/>
    <x v="315"/>
    <n v="1148.9558999999999"/>
    <n v="0.05"/>
    <n v="1149.0058999999999"/>
    <n v="61575.226180999998"/>
    <n v="61586.716239999994"/>
  </r>
  <r>
    <x v="7"/>
    <n v="47.75"/>
    <n v="47.76"/>
    <x v="315"/>
    <n v="1289.6505000000002"/>
    <n v="0"/>
    <n v="1289.6505000000002"/>
    <n v="61580.811375000012"/>
    <n v="61593.707880000009"/>
  </r>
  <r>
    <x v="8"/>
    <n v="17.41"/>
    <n v="17.420000000000002"/>
    <x v="315"/>
    <n v="3535.8029000000001"/>
    <n v="0"/>
    <n v="3535.8029000000001"/>
    <n v="61558.328489"/>
    <n v="61593.68651800001"/>
  </r>
  <r>
    <x v="9"/>
    <n v="34.880000000000003"/>
    <n v="34.89"/>
    <x v="315"/>
    <n v="1765.2166"/>
    <n v="0.2"/>
    <n v="1765.4166"/>
    <n v="61577.731008000002"/>
    <n v="61595.385174000003"/>
  </r>
  <r>
    <x v="0"/>
    <n v="20.45"/>
    <n v="20.46"/>
    <x v="316"/>
    <n v="3015.1736999999998"/>
    <n v="0"/>
    <n v="3015.1736999999998"/>
    <n v="61660.302164999994"/>
    <n v="61690.453902000001"/>
  </r>
  <r>
    <x v="1"/>
    <n v="33.479999999999997"/>
    <n v="33.49"/>
    <x v="316"/>
    <n v="1842.2518"/>
    <n v="-0.1"/>
    <n v="1842.1518000000001"/>
    <n v="61675.242264"/>
    <n v="61693.663782000003"/>
  </r>
  <r>
    <x v="2"/>
    <n v="17.39"/>
    <n v="17.399999999999999"/>
    <x v="316"/>
    <n v="3546.9023999999999"/>
    <n v="0"/>
    <n v="3546.9023999999999"/>
    <n v="61680.632736"/>
    <n v="61716.10175999999"/>
  </r>
  <r>
    <x v="3"/>
    <n v="27.27"/>
    <n v="27.28"/>
    <x v="316"/>
    <n v="2261.4625000000001"/>
    <n v="-0.2"/>
    <n v="2261.2625000000003"/>
    <n v="61664.628375000008"/>
    <n v="61687.241000000009"/>
  </r>
  <r>
    <x v="4"/>
    <n v="65.14"/>
    <n v="65.23"/>
    <x v="316"/>
    <n v="946.22090000000003"/>
    <n v="0"/>
    <n v="946.22090000000003"/>
    <n v="61636.829426000004"/>
    <n v="61721.989307000003"/>
  </r>
  <r>
    <x v="5"/>
    <n v="35.64"/>
    <n v="35.659999999999997"/>
    <x v="316"/>
    <n v="1730.2348"/>
    <n v="0.2"/>
    <n v="1730.4348"/>
    <n v="61672.696272000001"/>
    <n v="61707.304967999997"/>
  </r>
  <r>
    <x v="6"/>
    <n v="53.69"/>
    <n v="53.7"/>
    <x v="316"/>
    <n v="1148.9558999999999"/>
    <n v="0.05"/>
    <n v="1149.0058999999999"/>
    <n v="61690.126770999988"/>
    <n v="61701.616829999999"/>
  </r>
  <r>
    <x v="7"/>
    <n v="47.84"/>
    <n v="47.85"/>
    <x v="316"/>
    <n v="1289.6505000000002"/>
    <n v="0"/>
    <n v="1289.6505000000002"/>
    <n v="61696.879920000014"/>
    <n v="61709.776425000011"/>
  </r>
  <r>
    <x v="8"/>
    <n v="17.440000000000001"/>
    <n v="17.45"/>
    <x v="316"/>
    <n v="3535.8029000000001"/>
    <n v="0"/>
    <n v="3535.8029000000001"/>
    <n v="61664.402576000008"/>
    <n v="61699.760605000003"/>
  </r>
  <r>
    <x v="9"/>
    <n v="34.950000000000003"/>
    <n v="34.96"/>
    <x v="316"/>
    <n v="1765.2166"/>
    <n v="0.2"/>
    <n v="1765.4166"/>
    <n v="61701.310170000004"/>
    <n v="61718.964336000005"/>
  </r>
  <r>
    <x v="0"/>
    <n v="20.399999999999999"/>
    <n v="20.41"/>
    <x v="317"/>
    <n v="3015.1736999999998"/>
    <n v="0"/>
    <n v="3015.1736999999998"/>
    <n v="61509.543479999993"/>
    <n v="61539.695217"/>
  </r>
  <r>
    <x v="1"/>
    <n v="33.4"/>
    <n v="33.409999999999997"/>
    <x v="317"/>
    <n v="1842.2518"/>
    <n v="-0.1"/>
    <n v="1842.1518000000001"/>
    <n v="61527.87012"/>
    <n v="61546.291637999995"/>
  </r>
  <r>
    <x v="2"/>
    <n v="17.34"/>
    <n v="17.350000000000001"/>
    <x v="317"/>
    <n v="3546.9023999999999"/>
    <n v="0"/>
    <n v="3546.9023999999999"/>
    <n v="61503.287616000001"/>
    <n v="61538.756640000007"/>
  </r>
  <r>
    <x v="3"/>
    <n v="27.21"/>
    <n v="27.22"/>
    <x v="317"/>
    <n v="2261.4625000000001"/>
    <n v="-0.2"/>
    <n v="2261.2625000000003"/>
    <n v="61528.952625000013"/>
    <n v="61551.565250000007"/>
  </r>
  <r>
    <x v="4"/>
    <n v="64.989999999999995"/>
    <n v="65.099999999999994"/>
    <x v="317"/>
    <n v="946.22090000000003"/>
    <n v="0"/>
    <n v="946.22090000000003"/>
    <n v="61494.896290999997"/>
    <n v="61598.980589999999"/>
  </r>
  <r>
    <x v="5"/>
    <n v="35.549999999999997"/>
    <n v="35.58"/>
    <x v="317"/>
    <n v="1730.2348"/>
    <n v="0.2"/>
    <n v="1730.4348"/>
    <n v="61516.957139999991"/>
    <n v="61568.870183999999"/>
  </r>
  <r>
    <x v="6"/>
    <n v="53.56"/>
    <n v="53.57"/>
    <x v="317"/>
    <n v="1148.9558999999999"/>
    <n v="0.05"/>
    <n v="1149.0058999999999"/>
    <n v="61540.756003999995"/>
    <n v="61552.246062999991"/>
  </r>
  <r>
    <x v="7"/>
    <n v="47.72"/>
    <n v="47.73"/>
    <x v="317"/>
    <n v="1289.6505000000002"/>
    <n v="0"/>
    <n v="1289.6505000000002"/>
    <n v="61542.121860000007"/>
    <n v="61555.018365000004"/>
  </r>
  <r>
    <x v="8"/>
    <n v="17.399999999999999"/>
    <n v="17.41"/>
    <x v="317"/>
    <n v="3535.8029000000001"/>
    <n v="0"/>
    <n v="3535.8029000000001"/>
    <n v="61522.970459999997"/>
    <n v="61558.328489"/>
  </r>
  <r>
    <x v="9"/>
    <n v="34.86"/>
    <n v="34.869999999999997"/>
    <x v="317"/>
    <n v="1765.2166"/>
    <n v="0.2"/>
    <n v="1765.4166"/>
    <n v="61542.422676000002"/>
    <n v="61560.076841999995"/>
  </r>
  <r>
    <x v="0"/>
    <n v="20.45"/>
    <n v="20.46"/>
    <x v="318"/>
    <n v="3015.1736999999998"/>
    <n v="0"/>
    <n v="3015.1736999999998"/>
    <n v="61660.302164999994"/>
    <n v="61690.453902000001"/>
  </r>
  <r>
    <x v="1"/>
    <n v="33.479999999999997"/>
    <n v="33.49"/>
    <x v="318"/>
    <n v="1842.2518"/>
    <n v="-0.1"/>
    <n v="1842.1518000000001"/>
    <n v="61675.242264"/>
    <n v="61693.663782000003"/>
  </r>
  <r>
    <x v="2"/>
    <n v="17.39"/>
    <n v="17.399999999999999"/>
    <x v="318"/>
    <n v="3546.9023999999999"/>
    <n v="0"/>
    <n v="3546.9023999999999"/>
    <n v="61680.632736"/>
    <n v="61716.10175999999"/>
  </r>
  <r>
    <x v="3"/>
    <n v="27.28"/>
    <n v="27.29"/>
    <x v="318"/>
    <n v="2261.4625000000001"/>
    <n v="-0.2"/>
    <n v="2261.2625000000003"/>
    <n v="61687.241000000009"/>
    <n v="61709.853625000003"/>
  </r>
  <r>
    <x v="4"/>
    <n v="65.11"/>
    <n v="65.23"/>
    <x v="318"/>
    <n v="946.22090000000003"/>
    <n v="0"/>
    <n v="946.22090000000003"/>
    <n v="61608.442799000004"/>
    <n v="61721.989307000003"/>
  </r>
  <r>
    <x v="5"/>
    <n v="35.64"/>
    <n v="35.659999999999997"/>
    <x v="318"/>
    <n v="1730.2348"/>
    <n v="0.2"/>
    <n v="1730.4348"/>
    <n v="61672.696272000001"/>
    <n v="61707.304967999997"/>
  </r>
  <r>
    <x v="6"/>
    <n v="53.67"/>
    <n v="53.68"/>
    <x v="318"/>
    <n v="1148.9558999999999"/>
    <n v="0.05"/>
    <n v="1149.0058999999999"/>
    <n v="61667.146652999996"/>
    <n v="61678.636711999992"/>
  </r>
  <r>
    <x v="7"/>
    <n v="47.82"/>
    <n v="47.83"/>
    <x v="318"/>
    <n v="1289.6505000000002"/>
    <n v="0"/>
    <n v="1289.6505000000002"/>
    <n v="61671.086910000013"/>
    <n v="61683.98341500001"/>
  </r>
  <r>
    <x v="8"/>
    <n v="17.440000000000001"/>
    <n v="17.45"/>
    <x v="318"/>
    <n v="3535.8029000000001"/>
    <n v="0"/>
    <n v="3535.8029000000001"/>
    <n v="61664.402576000008"/>
    <n v="61699.760605000003"/>
  </r>
  <r>
    <x v="9"/>
    <n v="34.94"/>
    <n v="34.950000000000003"/>
    <x v="318"/>
    <n v="1765.2166"/>
    <n v="0.2"/>
    <n v="1765.4166"/>
    <n v="61683.656003999997"/>
    <n v="61701.310170000004"/>
  </r>
  <r>
    <x v="0"/>
    <n v="20.28"/>
    <n v="20.29"/>
    <x v="319"/>
    <n v="3015.1736999999998"/>
    <n v="0"/>
    <n v="3015.1736999999998"/>
    <n v="61147.722635999999"/>
    <n v="61177.874372999991"/>
  </r>
  <r>
    <x v="1"/>
    <n v="33.200000000000003"/>
    <n v="33.21"/>
    <x v="319"/>
    <n v="1842.2518"/>
    <n v="-0.1"/>
    <n v="1842.1518000000001"/>
    <n v="61159.439760000008"/>
    <n v="61177.861278000004"/>
  </r>
  <r>
    <x v="2"/>
    <n v="17.239999999999998"/>
    <n v="17.25"/>
    <x v="319"/>
    <n v="3546.9023999999999"/>
    <n v="0"/>
    <n v="3546.9023999999999"/>
    <n v="61148.597375999991"/>
    <n v="61184.066399999996"/>
  </r>
  <r>
    <x v="3"/>
    <n v="27.05"/>
    <n v="27.06"/>
    <x v="319"/>
    <n v="2261.4625000000001"/>
    <n v="-0.2"/>
    <n v="2261.2625000000003"/>
    <n v="61167.150625000009"/>
    <n v="61189.763250000004"/>
  </r>
  <r>
    <x v="4"/>
    <n v="64.599999999999994"/>
    <n v="64.7"/>
    <x v="319"/>
    <n v="946.22090000000003"/>
    <n v="0"/>
    <n v="946.22090000000003"/>
    <n v="61125.870139999999"/>
    <n v="61220.492230000003"/>
  </r>
  <r>
    <x v="5"/>
    <n v="35.340000000000003"/>
    <n v="35.36"/>
    <x v="319"/>
    <n v="1730.2348"/>
    <n v="0.2"/>
    <n v="1730.4348"/>
    <n v="61153.565832000008"/>
    <n v="61188.174527999996"/>
  </r>
  <r>
    <x v="6"/>
    <n v="53.24"/>
    <n v="53.25"/>
    <x v="319"/>
    <n v="1148.9558999999999"/>
    <n v="0.05"/>
    <n v="1149.0058999999999"/>
    <n v="61173.074115999996"/>
    <n v="61184.564174999992"/>
  </r>
  <r>
    <x v="7"/>
    <n v="47.44"/>
    <n v="47.45"/>
    <x v="319"/>
    <n v="1289.6505000000002"/>
    <n v="0"/>
    <n v="1289.6505000000002"/>
    <n v="61181.019720000004"/>
    <n v="61193.916225000015"/>
  </r>
  <r>
    <x v="8"/>
    <n v="17.3"/>
    <n v="17.309999999999999"/>
    <x v="319"/>
    <n v="3535.8029000000001"/>
    <n v="0"/>
    <n v="3535.8029000000001"/>
    <n v="61169.390170000006"/>
    <n v="61204.748198999994"/>
  </r>
  <r>
    <x v="9"/>
    <n v="34.65"/>
    <n v="34.659999999999997"/>
    <x v="319"/>
    <n v="1765.2166"/>
    <n v="0.2"/>
    <n v="1765.4166"/>
    <n v="61171.685189999997"/>
    <n v="61189.339355999997"/>
  </r>
  <r>
    <x v="0"/>
    <n v="20.34"/>
    <n v="20.350000000000001"/>
    <x v="320"/>
    <n v="3015.1736999999998"/>
    <n v="0"/>
    <n v="3015.1736999999998"/>
    <n v="61328.633057999999"/>
    <n v="61358.784795"/>
  </r>
  <r>
    <x v="1"/>
    <n v="33.299999999999997"/>
    <n v="33.31"/>
    <x v="320"/>
    <n v="1842.2518"/>
    <n v="-0.1"/>
    <n v="1842.1518000000001"/>
    <n v="61343.65494"/>
    <n v="61362.07645800001"/>
  </r>
  <r>
    <x v="2"/>
    <n v="17.3"/>
    <n v="17.309999999999999"/>
    <x v="320"/>
    <n v="3546.9023999999999"/>
    <n v="0"/>
    <n v="3546.9023999999999"/>
    <n v="61361.411520000001"/>
    <n v="61396.880543999992"/>
  </r>
  <r>
    <x v="3"/>
    <n v="27.13"/>
    <n v="27.14"/>
    <x v="320"/>
    <n v="2261.4625000000001"/>
    <n v="-0.2"/>
    <n v="2261.2625000000003"/>
    <n v="61348.051625000007"/>
    <n v="61370.664250000009"/>
  </r>
  <r>
    <x v="4"/>
    <n v="64.8"/>
    <n v="64.89"/>
    <x v="320"/>
    <n v="946.22090000000003"/>
    <n v="0"/>
    <n v="946.22090000000003"/>
    <n v="61315.114320000001"/>
    <n v="61400.274201"/>
  </r>
  <r>
    <x v="5"/>
    <n v="35.450000000000003"/>
    <n v="35.47"/>
    <x v="320"/>
    <n v="1730.2348"/>
    <n v="0.2"/>
    <n v="1730.4348"/>
    <n v="61343.913660000006"/>
    <n v="61378.522356000001"/>
  </r>
  <r>
    <x v="6"/>
    <n v="53.41"/>
    <n v="53.42"/>
    <x v="320"/>
    <n v="1148.9558999999999"/>
    <n v="0.05"/>
    <n v="1149.0058999999999"/>
    <n v="61368.405118999988"/>
    <n v="61379.895177999999"/>
  </r>
  <r>
    <x v="7"/>
    <n v="47.58"/>
    <n v="47.59"/>
    <x v="320"/>
    <n v="1289.6505000000002"/>
    <n v="0"/>
    <n v="1289.6505000000002"/>
    <n v="61361.570790000005"/>
    <n v="61374.467295000017"/>
  </r>
  <r>
    <x v="8"/>
    <n v="17.350000000000001"/>
    <n v="17.36"/>
    <x v="320"/>
    <n v="3535.8029000000001"/>
    <n v="0"/>
    <n v="3535.8029000000001"/>
    <n v="61346.180315000005"/>
    <n v="61381.538344000001"/>
  </r>
  <r>
    <x v="9"/>
    <n v="34.76"/>
    <n v="34.770000000000003"/>
    <x v="320"/>
    <n v="1765.2166"/>
    <n v="0.2"/>
    <n v="1765.4166"/>
    <n v="61365.881015999999"/>
    <n v="61383.535182000007"/>
  </r>
  <r>
    <x v="0"/>
    <n v="20.420000000000002"/>
    <n v="20.43"/>
    <x v="321"/>
    <n v="3015.1736999999998"/>
    <n v="0"/>
    <n v="3015.1736999999998"/>
    <n v="61569.846954000001"/>
    <n v="61599.998690999993"/>
  </r>
  <r>
    <x v="1"/>
    <n v="33.43"/>
    <n v="33.44"/>
    <x v="321"/>
    <n v="1842.2518"/>
    <n v="-0.1"/>
    <n v="1842.1518000000001"/>
    <n v="61583.134674000001"/>
    <n v="61601.556191999996"/>
  </r>
  <r>
    <x v="2"/>
    <n v="17.36"/>
    <n v="17.37"/>
    <x v="321"/>
    <n v="3546.9023999999999"/>
    <n v="0"/>
    <n v="3546.9023999999999"/>
    <n v="61574.225663999998"/>
    <n v="61609.694688000003"/>
  </r>
  <r>
    <x v="3"/>
    <n v="27.23"/>
    <n v="27.24"/>
    <x v="321"/>
    <n v="2261.4625000000001"/>
    <n v="-0.2"/>
    <n v="2261.2625000000003"/>
    <n v="61574.177875000008"/>
    <n v="61596.790500000003"/>
  </r>
  <r>
    <x v="4"/>
    <n v="65.05"/>
    <n v="65.150000000000006"/>
    <x v="321"/>
    <n v="946.22090000000003"/>
    <n v="0"/>
    <n v="946.22090000000003"/>
    <n v="61551.669544999997"/>
    <n v="61646.291635000009"/>
  </r>
  <r>
    <x v="5"/>
    <n v="35.590000000000003"/>
    <n v="35.61"/>
    <x v="321"/>
    <n v="1730.2348"/>
    <n v="0.2"/>
    <n v="1730.4348"/>
    <n v="61586.174532000005"/>
    <n v="61620.783228"/>
  </r>
  <r>
    <x v="6"/>
    <n v="53.6"/>
    <n v="53.61"/>
    <x v="321"/>
    <n v="1148.9558999999999"/>
    <n v="0.05"/>
    <n v="1149.0058999999999"/>
    <n v="61586.716239999994"/>
    <n v="61598.20629899999"/>
  </r>
  <r>
    <x v="7"/>
    <n v="47.76"/>
    <n v="47.77"/>
    <x v="321"/>
    <n v="1289.6505000000002"/>
    <n v="0"/>
    <n v="1289.6505000000002"/>
    <n v="61593.707880000009"/>
    <n v="61606.604385000013"/>
  </r>
  <r>
    <x v="8"/>
    <n v="17.420000000000002"/>
    <n v="17.43"/>
    <x v="321"/>
    <n v="3535.8029000000001"/>
    <n v="0"/>
    <n v="3535.8029000000001"/>
    <n v="61593.68651800001"/>
    <n v="61629.044547000005"/>
  </r>
  <r>
    <x v="9"/>
    <n v="34.89"/>
    <n v="34.9"/>
    <x v="321"/>
    <n v="1765.2166"/>
    <n v="0.2"/>
    <n v="1765.4166"/>
    <n v="61595.385174000003"/>
    <n v="61613.039339999996"/>
  </r>
  <r>
    <x v="0"/>
    <n v="20.440000000000001"/>
    <n v="20.45"/>
    <x v="322"/>
    <n v="3015.1736999999998"/>
    <n v="0"/>
    <n v="3015.1736999999998"/>
    <n v="61630.150428000001"/>
    <n v="61660.302164999994"/>
  </r>
  <r>
    <x v="1"/>
    <n v="33.47"/>
    <n v="33.479999999999997"/>
    <x v="322"/>
    <n v="1842.2518"/>
    <n v="-0.1"/>
    <n v="1842.1518000000001"/>
    <n v="61656.820745999998"/>
    <n v="61675.242264"/>
  </r>
  <r>
    <x v="2"/>
    <n v="17.38"/>
    <n v="17.39"/>
    <x v="322"/>
    <n v="3546.9023999999999"/>
    <n v="0"/>
    <n v="3546.9023999999999"/>
    <n v="61645.163711999994"/>
    <n v="61680.632736"/>
  </r>
  <r>
    <x v="3"/>
    <n v="27.27"/>
    <n v="27.28"/>
    <x v="322"/>
    <n v="2261.4625000000001"/>
    <n v="-0.2"/>
    <n v="2261.2625000000003"/>
    <n v="61664.628375000008"/>
    <n v="61687.241000000009"/>
  </r>
  <r>
    <x v="4"/>
    <n v="65.11"/>
    <n v="65.23"/>
    <x v="322"/>
    <n v="946.22090000000003"/>
    <n v="0"/>
    <n v="946.22090000000003"/>
    <n v="61608.442799000004"/>
    <n v="61721.989307000003"/>
  </r>
  <r>
    <x v="5"/>
    <n v="35.630000000000003"/>
    <n v="35.65"/>
    <x v="322"/>
    <n v="1730.2348"/>
    <n v="0.2"/>
    <n v="1730.4348"/>
    <n v="61655.391924000003"/>
    <n v="61690.000619999999"/>
  </r>
  <r>
    <x v="6"/>
    <n v="53.66"/>
    <n v="53.67"/>
    <x v="322"/>
    <n v="1148.9558999999999"/>
    <n v="0.05"/>
    <n v="1149.0058999999999"/>
    <n v="61655.656593999993"/>
    <n v="61667.146652999996"/>
  </r>
  <r>
    <x v="7"/>
    <n v="47.82"/>
    <n v="47.83"/>
    <x v="322"/>
    <n v="1289.6505000000002"/>
    <n v="0"/>
    <n v="1289.6505000000002"/>
    <n v="61671.086910000013"/>
    <n v="61683.98341500001"/>
  </r>
  <r>
    <x v="8"/>
    <n v="17.440000000000001"/>
    <n v="17.45"/>
    <x v="322"/>
    <n v="3535.8029000000001"/>
    <n v="0"/>
    <n v="3535.8029000000001"/>
    <n v="61664.402576000008"/>
    <n v="61699.760605000003"/>
  </r>
  <r>
    <x v="9"/>
    <n v="34.93"/>
    <n v="34.94"/>
    <x v="322"/>
    <n v="1765.2166"/>
    <n v="0.2"/>
    <n v="1765.4166"/>
    <n v="61666.001837999996"/>
    <n v="61683.656003999997"/>
  </r>
  <r>
    <x v="0"/>
    <n v="20.5"/>
    <n v="20.51"/>
    <x v="323"/>
    <n v="3015.1736999999998"/>
    <n v="0"/>
    <n v="3015.1736999999998"/>
    <n v="61811.060849999994"/>
    <n v="61841.212587000002"/>
  </r>
  <r>
    <x v="1"/>
    <n v="33.56"/>
    <n v="33.57"/>
    <x v="323"/>
    <n v="1842.2518"/>
    <n v="-0.1"/>
    <n v="1842.1518000000001"/>
    <n v="61822.614408000009"/>
    <n v="61841.035926000004"/>
  </r>
  <r>
    <x v="2"/>
    <n v="17.43"/>
    <n v="17.440000000000001"/>
    <x v="323"/>
    <n v="3546.9023999999999"/>
    <n v="0"/>
    <n v="3546.9023999999999"/>
    <n v="61822.508832"/>
    <n v="61857.977856000005"/>
  </r>
  <r>
    <x v="3"/>
    <n v="27.34"/>
    <n v="27.35"/>
    <x v="323"/>
    <n v="2261.4625000000001"/>
    <n v="-0.2"/>
    <n v="2261.2625000000003"/>
    <n v="61822.916750000004"/>
    <n v="61845.529375000013"/>
  </r>
  <r>
    <x v="4"/>
    <n v="65.27"/>
    <n v="65.38"/>
    <x v="323"/>
    <n v="946.22090000000003"/>
    <n v="0"/>
    <n v="946.22090000000003"/>
    <n v="61759.838143000001"/>
    <n v="61863.922441999995"/>
  </r>
  <r>
    <x v="5"/>
    <n v="35.729999999999997"/>
    <n v="35.75"/>
    <x v="323"/>
    <n v="1730.2348"/>
    <n v="0.2"/>
    <n v="1730.4348"/>
    <n v="61828.435403999996"/>
    <n v="61863.044099999999"/>
  </r>
  <r>
    <x v="6"/>
    <n v="53.81"/>
    <n v="53.82"/>
    <x v="323"/>
    <n v="1148.9558999999999"/>
    <n v="0.05"/>
    <n v="1149.0058999999999"/>
    <n v="61828.007479"/>
    <n v="61839.497537999996"/>
  </r>
  <r>
    <x v="7"/>
    <n v="47.95"/>
    <n v="47.96"/>
    <x v="323"/>
    <n v="1289.6505000000002"/>
    <n v="0"/>
    <n v="1289.6505000000002"/>
    <n v="61838.74147500001"/>
    <n v="61851.637980000007"/>
  </r>
  <r>
    <x v="8"/>
    <n v="17.489999999999998"/>
    <n v="17.5"/>
    <x v="323"/>
    <n v="3535.8029000000001"/>
    <n v="0"/>
    <n v="3535.8029000000001"/>
    <n v="61841.192720999999"/>
    <n v="61876.550750000002"/>
  </r>
  <r>
    <x v="9"/>
    <n v="35.03"/>
    <n v="35.04"/>
    <x v="323"/>
    <n v="1765.2166"/>
    <n v="0.2"/>
    <n v="1765.4166"/>
    <n v="61842.543497999999"/>
    <n v="61860.197663999999"/>
  </r>
  <r>
    <x v="0"/>
    <n v="20.48"/>
    <n v="20.49"/>
    <x v="324"/>
    <n v="3015.1736999999998"/>
    <n v="0"/>
    <n v="3015.1736999999998"/>
    <n v="61750.757375999994"/>
    <n v="61780.909112999994"/>
  </r>
  <r>
    <x v="1"/>
    <n v="33.53"/>
    <n v="33.54"/>
    <x v="324"/>
    <n v="1842.2518"/>
    <n v="-0.1"/>
    <n v="1842.1518000000001"/>
    <n v="61767.349854000007"/>
    <n v="61785.771372000003"/>
  </r>
  <r>
    <x v="2"/>
    <n v="17.41"/>
    <n v="17.420000000000002"/>
    <x v="324"/>
    <n v="3546.9023999999999"/>
    <n v="0"/>
    <n v="3546.9023999999999"/>
    <n v="61751.570783999996"/>
    <n v="61787.039808000009"/>
  </r>
  <r>
    <x v="3"/>
    <n v="27.31"/>
    <n v="27.32"/>
    <x v="324"/>
    <n v="2261.4625000000001"/>
    <n v="-0.2"/>
    <n v="2261.2625000000003"/>
    <n v="61755.078875000007"/>
    <n v="61777.691500000008"/>
  </r>
  <r>
    <x v="4"/>
    <n v="65.2"/>
    <n v="65.33"/>
    <x v="324"/>
    <n v="946.22090000000003"/>
    <n v="0"/>
    <n v="946.22090000000003"/>
    <n v="61693.602680000004"/>
    <n v="61816.611397000001"/>
  </r>
  <r>
    <x v="5"/>
    <n v="35.69"/>
    <n v="35.71"/>
    <x v="324"/>
    <n v="1730.2348"/>
    <n v="0.2"/>
    <n v="1730.4348"/>
    <n v="61759.218011999998"/>
    <n v="61793.826708000001"/>
  </r>
  <r>
    <x v="6"/>
    <n v="53.75"/>
    <n v="53.76"/>
    <x v="324"/>
    <n v="1148.9558999999999"/>
    <n v="0.05"/>
    <n v="1149.0058999999999"/>
    <n v="61759.067124999994"/>
    <n v="61770.55718399999"/>
  </r>
  <r>
    <x v="7"/>
    <n v="47.89"/>
    <n v="47.9"/>
    <x v="324"/>
    <n v="1289.6505000000002"/>
    <n v="0"/>
    <n v="1289.6505000000002"/>
    <n v="61761.362445000013"/>
    <n v="61774.25895000001"/>
  </r>
  <r>
    <x v="8"/>
    <n v="17.47"/>
    <n v="17.48"/>
    <x v="324"/>
    <n v="3535.8029000000001"/>
    <n v="0"/>
    <n v="3535.8029000000001"/>
    <n v="61770.476663000001"/>
    <n v="61805.834692000004"/>
  </r>
  <r>
    <x v="9"/>
    <n v="34.99"/>
    <n v="35"/>
    <x v="324"/>
    <n v="1765.2166"/>
    <n v="0.2"/>
    <n v="1765.4166"/>
    <n v="61771.926834000005"/>
    <n v="61789.580999999998"/>
  </r>
  <r>
    <x v="0"/>
    <n v="20.43"/>
    <n v="20.440000000000001"/>
    <x v="325"/>
    <n v="3015.1736999999998"/>
    <n v="0"/>
    <n v="3015.1736999999998"/>
    <n v="61599.998690999993"/>
    <n v="61630.150428000001"/>
  </r>
  <r>
    <x v="1"/>
    <n v="33.450000000000003"/>
    <n v="33.46"/>
    <x v="325"/>
    <n v="1842.2518"/>
    <n v="-0.1"/>
    <n v="1842.1518000000001"/>
    <n v="61619.977710000006"/>
    <n v="61638.399228000002"/>
  </r>
  <r>
    <x v="2"/>
    <n v="17.38"/>
    <n v="17.39"/>
    <x v="325"/>
    <n v="3546.9023999999999"/>
    <n v="0"/>
    <n v="3546.9023999999999"/>
    <n v="61645.163711999994"/>
    <n v="61680.632736"/>
  </r>
  <r>
    <x v="3"/>
    <n v="27.25"/>
    <n v="27.26"/>
    <x v="325"/>
    <n v="2261.4625000000001"/>
    <n v="-0.2"/>
    <n v="2261.2625000000003"/>
    <n v="61619.403125000004"/>
    <n v="61642.015750000013"/>
  </r>
  <r>
    <x v="4"/>
    <n v="65.08"/>
    <n v="65.19"/>
    <x v="325"/>
    <n v="946.22090000000003"/>
    <n v="0"/>
    <n v="946.22090000000003"/>
    <n v="61580.056171999997"/>
    <n v="61684.140470999999"/>
  </r>
  <r>
    <x v="5"/>
    <n v="35.61"/>
    <n v="35.64"/>
    <x v="325"/>
    <n v="1730.2348"/>
    <n v="0.2"/>
    <n v="1730.4348"/>
    <n v="61620.783228"/>
    <n v="61672.696272000001"/>
  </r>
  <r>
    <x v="6"/>
    <n v="53.65"/>
    <n v="53.66"/>
    <x v="325"/>
    <n v="1148.9558999999999"/>
    <n v="0.05"/>
    <n v="1149.0058999999999"/>
    <n v="61644.166534999989"/>
    <n v="61655.656593999993"/>
  </r>
  <r>
    <x v="7"/>
    <n v="47.8"/>
    <n v="47.81"/>
    <x v="325"/>
    <n v="1289.6505000000002"/>
    <n v="0"/>
    <n v="1289.6505000000002"/>
    <n v="61645.293900000004"/>
    <n v="61658.190405000016"/>
  </r>
  <r>
    <x v="8"/>
    <n v="17.43"/>
    <n v="17.440000000000001"/>
    <x v="325"/>
    <n v="3535.8029000000001"/>
    <n v="0"/>
    <n v="3535.8029000000001"/>
    <n v="61629.044547000005"/>
    <n v="61664.402576000008"/>
  </r>
  <r>
    <x v="9"/>
    <n v="34.92"/>
    <n v="34.93"/>
    <x v="325"/>
    <n v="1765.2166"/>
    <n v="0.2"/>
    <n v="1765.4166"/>
    <n v="61648.347672000004"/>
    <n v="61666.001837999996"/>
  </r>
  <r>
    <x v="0"/>
    <n v="20.48"/>
    <n v="20.49"/>
    <x v="326"/>
    <n v="3015.1736999999998"/>
    <n v="0"/>
    <n v="3015.1736999999998"/>
    <n v="61750.757375999994"/>
    <n v="61780.909112999994"/>
  </r>
  <r>
    <x v="1"/>
    <n v="33.53"/>
    <n v="33.54"/>
    <x v="326"/>
    <n v="1842.2518"/>
    <n v="-0.1"/>
    <n v="1842.1518000000001"/>
    <n v="61767.349854000007"/>
    <n v="61785.771372000003"/>
  </r>
  <r>
    <x v="2"/>
    <n v="17.420000000000002"/>
    <n v="17.43"/>
    <x v="326"/>
    <n v="3546.9023999999999"/>
    <n v="0"/>
    <n v="3546.9023999999999"/>
    <n v="61787.039808000009"/>
    <n v="61822.508832"/>
  </r>
  <r>
    <x v="3"/>
    <n v="27.32"/>
    <n v="27.33"/>
    <x v="326"/>
    <n v="2261.4625000000001"/>
    <n v="-0.2"/>
    <n v="2261.2625000000003"/>
    <n v="61777.691500000008"/>
    <n v="61800.304125000002"/>
  </r>
  <r>
    <x v="4"/>
    <n v="65.209999999999994"/>
    <n v="65.319999999999993"/>
    <x v="326"/>
    <n v="946.22090000000003"/>
    <n v="0"/>
    <n v="946.22090000000003"/>
    <n v="61703.064888999994"/>
    <n v="61807.149187999996"/>
  </r>
  <r>
    <x v="5"/>
    <n v="35.700000000000003"/>
    <n v="35.72"/>
    <x v="326"/>
    <n v="1730.2348"/>
    <n v="0.2"/>
    <n v="1730.4348"/>
    <n v="61776.522360000003"/>
    <n v="61811.131055999998"/>
  </r>
  <r>
    <x v="6"/>
    <n v="53.77"/>
    <n v="53.78"/>
    <x v="326"/>
    <n v="1148.9558999999999"/>
    <n v="0.05"/>
    <n v="1149.0058999999999"/>
    <n v="61782.047243000001"/>
    <n v="61793.537301999997"/>
  </r>
  <r>
    <x v="7"/>
    <n v="47.91"/>
    <n v="47.92"/>
    <x v="326"/>
    <n v="1289.6505000000002"/>
    <n v="0"/>
    <n v="1289.6505000000002"/>
    <n v="61787.155455000007"/>
    <n v="61800.051960000012"/>
  </r>
  <r>
    <x v="8"/>
    <n v="17.47"/>
    <n v="17.48"/>
    <x v="326"/>
    <n v="3535.8029000000001"/>
    <n v="0"/>
    <n v="3535.8029000000001"/>
    <n v="61770.476663000001"/>
    <n v="61805.834692000004"/>
  </r>
  <r>
    <x v="9"/>
    <n v="35"/>
    <n v="35.01"/>
    <x v="326"/>
    <n v="1765.2166"/>
    <n v="0.2"/>
    <n v="1765.4166"/>
    <n v="61789.580999999998"/>
    <n v="61807.235165999999"/>
  </r>
  <r>
    <x v="0"/>
    <n v="20.48"/>
    <n v="20.49"/>
    <x v="327"/>
    <n v="3015.1736999999998"/>
    <n v="0"/>
    <n v="3015.1736999999998"/>
    <n v="61750.757375999994"/>
    <n v="61780.909112999994"/>
  </r>
  <r>
    <x v="1"/>
    <n v="33.520000000000003"/>
    <n v="33.53"/>
    <x v="327"/>
    <n v="1842.2518"/>
    <n v="-0.1"/>
    <n v="1842.1518000000001"/>
    <n v="61748.928336000012"/>
    <n v="61767.349854000007"/>
  </r>
  <r>
    <x v="2"/>
    <n v="17.41"/>
    <n v="17.420000000000002"/>
    <x v="327"/>
    <n v="3546.9023999999999"/>
    <n v="0"/>
    <n v="3546.9023999999999"/>
    <n v="61751.570783999996"/>
    <n v="61787.039808000009"/>
  </r>
  <r>
    <x v="3"/>
    <n v="27.31"/>
    <n v="27.32"/>
    <x v="327"/>
    <n v="2261.4625000000001"/>
    <n v="-0.2"/>
    <n v="2261.2625000000003"/>
    <n v="61755.078875000007"/>
    <n v="61777.691500000008"/>
  </r>
  <r>
    <x v="4"/>
    <n v="65.2"/>
    <n v="65.319999999999993"/>
    <x v="327"/>
    <n v="946.22090000000003"/>
    <n v="0"/>
    <n v="946.22090000000003"/>
    <n v="61693.602680000004"/>
    <n v="61807.149187999996"/>
  </r>
  <r>
    <x v="5"/>
    <n v="35.69"/>
    <n v="35.71"/>
    <x v="327"/>
    <n v="1730.2348"/>
    <n v="0.2"/>
    <n v="1730.4348"/>
    <n v="61759.218011999998"/>
    <n v="61793.826708000001"/>
  </r>
  <r>
    <x v="6"/>
    <n v="53.75"/>
    <n v="53.76"/>
    <x v="327"/>
    <n v="1148.9558999999999"/>
    <n v="0.05"/>
    <n v="1149.0058999999999"/>
    <n v="61759.067124999994"/>
    <n v="61770.55718399999"/>
  </r>
  <r>
    <x v="7"/>
    <n v="47.89"/>
    <n v="47.9"/>
    <x v="327"/>
    <n v="1289.6505000000002"/>
    <n v="0"/>
    <n v="1289.6505000000002"/>
    <n v="61761.362445000013"/>
    <n v="61774.25895000001"/>
  </r>
  <r>
    <x v="8"/>
    <n v="17.47"/>
    <n v="17.48"/>
    <x v="327"/>
    <n v="3535.8029000000001"/>
    <n v="0"/>
    <n v="3535.8029000000001"/>
    <n v="61770.476663000001"/>
    <n v="61805.834692000004"/>
  </r>
  <r>
    <x v="9"/>
    <n v="34.99"/>
    <n v="35"/>
    <x v="327"/>
    <n v="1765.2166"/>
    <n v="0.2"/>
    <n v="1765.4166"/>
    <n v="61771.926834000005"/>
    <n v="61789.580999999998"/>
  </r>
  <r>
    <x v="0"/>
    <n v="20.47"/>
    <n v="20.48"/>
    <x v="328"/>
    <n v="3015.1736999999998"/>
    <n v="0"/>
    <n v="3015.1736999999998"/>
    <n v="61720.605638999994"/>
    <n v="61750.757375999994"/>
  </r>
  <r>
    <x v="1"/>
    <n v="33.51"/>
    <n v="33.520000000000003"/>
    <x v="328"/>
    <n v="1842.2518"/>
    <n v="-0.1"/>
    <n v="1842.1518000000001"/>
    <n v="61730.506818000002"/>
    <n v="61748.928336000012"/>
  </r>
  <r>
    <x v="2"/>
    <n v="17.41"/>
    <n v="17.420000000000002"/>
    <x v="328"/>
    <n v="3546.9023999999999"/>
    <n v="0"/>
    <n v="3546.9023999999999"/>
    <n v="61751.570783999996"/>
    <n v="61787.039808000009"/>
  </r>
  <r>
    <x v="3"/>
    <n v="27.3"/>
    <n v="27.31"/>
    <x v="328"/>
    <n v="2261.4625000000001"/>
    <n v="-0.2"/>
    <n v="2261.2625000000003"/>
    <n v="61732.466250000012"/>
    <n v="61755.078875000007"/>
  </r>
  <r>
    <x v="4"/>
    <n v="65.19"/>
    <n v="65.3"/>
    <x v="328"/>
    <n v="946.22090000000003"/>
    <n v="0"/>
    <n v="946.22090000000003"/>
    <n v="61684.140470999999"/>
    <n v="61788.224770000001"/>
  </r>
  <r>
    <x v="5"/>
    <n v="35.68"/>
    <n v="35.700000000000003"/>
    <x v="328"/>
    <n v="1730.2348"/>
    <n v="0.2"/>
    <n v="1730.4348"/>
    <n v="61741.913664"/>
    <n v="61776.522360000003"/>
  </r>
  <r>
    <x v="6"/>
    <n v="53.74"/>
    <n v="53.75"/>
    <x v="328"/>
    <n v="1148.9558999999999"/>
    <n v="0.05"/>
    <n v="1149.0058999999999"/>
    <n v="61747.577065999998"/>
    <n v="61759.067124999994"/>
  </r>
  <r>
    <x v="7"/>
    <n v="47.88"/>
    <n v="47.89"/>
    <x v="328"/>
    <n v="1289.6505000000002"/>
    <n v="0"/>
    <n v="1289.6505000000002"/>
    <n v="61748.465940000009"/>
    <n v="61761.362445000013"/>
  </r>
  <r>
    <x v="8"/>
    <n v="17.46"/>
    <n v="17.47"/>
    <x v="328"/>
    <n v="3535.8029000000001"/>
    <n v="0"/>
    <n v="3535.8029000000001"/>
    <n v="61735.118634000006"/>
    <n v="61770.476663000001"/>
  </r>
  <r>
    <x v="9"/>
    <n v="34.979999999999997"/>
    <n v="34.99"/>
    <x v="328"/>
    <n v="1765.2166"/>
    <n v="0.2"/>
    <n v="1765.4166"/>
    <n v="61754.272667999998"/>
    <n v="61771.926834000005"/>
  </r>
  <r>
    <x v="0"/>
    <n v="20.45"/>
    <n v="20.46"/>
    <x v="329"/>
    <n v="3015.1736999999998"/>
    <n v="0"/>
    <n v="3015.1736999999998"/>
    <n v="61660.302164999994"/>
    <n v="61690.453902000001"/>
  </r>
  <r>
    <x v="1"/>
    <n v="33.479999999999997"/>
    <n v="33.49"/>
    <x v="329"/>
    <n v="1842.2518"/>
    <n v="-0.1"/>
    <n v="1842.1518000000001"/>
    <n v="61675.242264"/>
    <n v="61693.663782000003"/>
  </r>
  <r>
    <x v="2"/>
    <n v="17.39"/>
    <n v="17.399999999999999"/>
    <x v="329"/>
    <n v="3546.9023999999999"/>
    <n v="0"/>
    <n v="3546.9023999999999"/>
    <n v="61680.632736"/>
    <n v="61716.10175999999"/>
  </r>
  <r>
    <x v="3"/>
    <n v="27.27"/>
    <n v="27.28"/>
    <x v="329"/>
    <n v="2261.4625000000001"/>
    <n v="-0.2"/>
    <n v="2261.2625000000003"/>
    <n v="61664.628375000008"/>
    <n v="61687.241000000009"/>
  </r>
  <r>
    <x v="4"/>
    <n v="65.11"/>
    <n v="65.209999999999994"/>
    <x v="329"/>
    <n v="946.22090000000003"/>
    <n v="0"/>
    <n v="946.22090000000003"/>
    <n v="61608.442799000004"/>
    <n v="61703.064888999994"/>
  </r>
  <r>
    <x v="5"/>
    <n v="35.64"/>
    <n v="35.659999999999997"/>
    <x v="329"/>
    <n v="1730.2348"/>
    <n v="0.2"/>
    <n v="1730.4348"/>
    <n v="61672.696272000001"/>
    <n v="61707.304967999997"/>
  </r>
  <r>
    <x v="6"/>
    <n v="53.68"/>
    <n v="53.69"/>
    <x v="329"/>
    <n v="1148.9558999999999"/>
    <n v="0.05"/>
    <n v="1149.0058999999999"/>
    <n v="61678.636711999992"/>
    <n v="61690.126770999988"/>
  </r>
  <r>
    <x v="7"/>
    <n v="47.83"/>
    <n v="47.84"/>
    <x v="329"/>
    <n v="1289.6505000000002"/>
    <n v="0"/>
    <n v="1289.6505000000002"/>
    <n v="61683.98341500001"/>
    <n v="61696.879920000014"/>
  </r>
  <r>
    <x v="8"/>
    <n v="17.440000000000001"/>
    <n v="17.45"/>
    <x v="329"/>
    <n v="3535.8029000000001"/>
    <n v="0"/>
    <n v="3535.8029000000001"/>
    <n v="61664.402576000008"/>
    <n v="61699.760605000003"/>
  </r>
  <r>
    <x v="9"/>
    <n v="34.94"/>
    <n v="34.950000000000003"/>
    <x v="329"/>
    <n v="1765.2166"/>
    <n v="0.2"/>
    <n v="1765.4166"/>
    <n v="61683.656003999997"/>
    <n v="61701.310170000004"/>
  </r>
  <r>
    <x v="0"/>
    <n v="20.420000000000002"/>
    <n v="20.43"/>
    <x v="330"/>
    <n v="3015.1736999999998"/>
    <n v="0"/>
    <n v="3015.1736999999998"/>
    <n v="61569.846954000001"/>
    <n v="61599.998690999993"/>
  </r>
  <r>
    <x v="1"/>
    <n v="33.43"/>
    <n v="33.44"/>
    <x v="330"/>
    <n v="1842.2518"/>
    <n v="-0.1"/>
    <n v="1842.1518000000001"/>
    <n v="61583.134674000001"/>
    <n v="61601.556191999996"/>
  </r>
  <r>
    <x v="2"/>
    <n v="17.36"/>
    <n v="17.37"/>
    <x v="330"/>
    <n v="3546.9023999999999"/>
    <n v="0"/>
    <n v="3546.9023999999999"/>
    <n v="61574.225663999998"/>
    <n v="61609.694688000003"/>
  </r>
  <r>
    <x v="3"/>
    <n v="27.23"/>
    <n v="27.24"/>
    <x v="330"/>
    <n v="2261.4625000000001"/>
    <n v="-0.2"/>
    <n v="2261.2625000000003"/>
    <n v="61574.177875000008"/>
    <n v="61596.790500000003"/>
  </r>
  <r>
    <x v="4"/>
    <n v="65.010000000000005"/>
    <n v="65.12"/>
    <x v="330"/>
    <n v="946.22090000000003"/>
    <n v="0"/>
    <n v="946.22090000000003"/>
    <n v="61513.820709000007"/>
    <n v="61617.905008000009"/>
  </r>
  <r>
    <x v="5"/>
    <n v="35.58"/>
    <n v="35.61"/>
    <x v="330"/>
    <n v="1730.2348"/>
    <n v="0.2"/>
    <n v="1730.4348"/>
    <n v="61568.870183999999"/>
    <n v="61620.783228"/>
  </r>
  <r>
    <x v="6"/>
    <n v="53.61"/>
    <n v="53.62"/>
    <x v="330"/>
    <n v="1148.9558999999999"/>
    <n v="0.05"/>
    <n v="1149.0058999999999"/>
    <n v="61598.20629899999"/>
    <n v="61609.696357999994"/>
  </r>
  <r>
    <x v="7"/>
    <n v="47.76"/>
    <n v="47.77"/>
    <x v="330"/>
    <n v="1289.6505000000002"/>
    <n v="0"/>
    <n v="1289.6505000000002"/>
    <n v="61593.707880000009"/>
    <n v="61606.604385000013"/>
  </r>
  <r>
    <x v="8"/>
    <n v="17.420000000000002"/>
    <n v="17.43"/>
    <x v="330"/>
    <n v="3535.8029000000001"/>
    <n v="0"/>
    <n v="3535.8029000000001"/>
    <n v="61593.68651800001"/>
    <n v="61629.044547000005"/>
  </r>
  <r>
    <x v="9"/>
    <n v="34.89"/>
    <n v="34.9"/>
    <x v="330"/>
    <n v="1765.2166"/>
    <n v="0.2"/>
    <n v="1765.4166"/>
    <n v="61595.385174000003"/>
    <n v="61613.039339999996"/>
  </r>
  <r>
    <x v="0"/>
    <n v="20.39"/>
    <n v="20.399999999999999"/>
    <x v="331"/>
    <n v="3015.1736999999998"/>
    <n v="0"/>
    <n v="3015.1736999999998"/>
    <n v="61479.391743"/>
    <n v="61509.543479999993"/>
  </r>
  <r>
    <x v="1"/>
    <n v="33.39"/>
    <n v="33.4"/>
    <x v="331"/>
    <n v="1842.2518"/>
    <n v="-0.1"/>
    <n v="1842.1518000000001"/>
    <n v="61509.448602000004"/>
    <n v="61527.87012"/>
  </r>
  <r>
    <x v="2"/>
    <n v="17.350000000000001"/>
    <n v="17.36"/>
    <x v="331"/>
    <n v="3546.9023999999999"/>
    <n v="0"/>
    <n v="3546.9023999999999"/>
    <n v="61538.756640000007"/>
    <n v="61574.225663999998"/>
  </r>
  <r>
    <x v="3"/>
    <n v="27.2"/>
    <n v="27.21"/>
    <x v="331"/>
    <n v="2261.4625000000001"/>
    <n v="-0.2"/>
    <n v="2261.2625000000003"/>
    <n v="61506.340000000004"/>
    <n v="61528.952625000013"/>
  </r>
  <r>
    <x v="4"/>
    <n v="64.930000000000007"/>
    <n v="65.05"/>
    <x v="331"/>
    <n v="946.22090000000003"/>
    <n v="0"/>
    <n v="946.22090000000003"/>
    <n v="61438.123037000005"/>
    <n v="61551.669544999997"/>
  </r>
  <r>
    <x v="5"/>
    <n v="35.549999999999997"/>
    <n v="35.57"/>
    <x v="331"/>
    <n v="1730.2348"/>
    <n v="0.2"/>
    <n v="1730.4348"/>
    <n v="61516.957139999991"/>
    <n v="61551.565836000002"/>
  </r>
  <r>
    <x v="6"/>
    <n v="53.55"/>
    <n v="53.56"/>
    <x v="331"/>
    <n v="1148.9558999999999"/>
    <n v="0.05"/>
    <n v="1149.0058999999999"/>
    <n v="61529.265944999992"/>
    <n v="61540.756003999995"/>
  </r>
  <r>
    <x v="7"/>
    <n v="47.71"/>
    <n v="47.72"/>
    <x v="331"/>
    <n v="1289.6505000000002"/>
    <n v="0"/>
    <n v="1289.6505000000002"/>
    <n v="61529.22535500001"/>
    <n v="61542.121860000007"/>
  </r>
  <r>
    <x v="8"/>
    <n v="17.399999999999999"/>
    <n v="17.41"/>
    <x v="331"/>
    <n v="3535.8029000000001"/>
    <n v="0"/>
    <n v="3535.8029000000001"/>
    <n v="61522.970459999997"/>
    <n v="61558.328489"/>
  </r>
  <r>
    <x v="9"/>
    <n v="34.85"/>
    <n v="34.86"/>
    <x v="331"/>
    <n v="1765.2166"/>
    <n v="0.2"/>
    <n v="1765.4166"/>
    <n v="61524.768510000002"/>
    <n v="61542.422676000002"/>
  </r>
  <r>
    <x v="0"/>
    <n v="20.399999999999999"/>
    <n v="20.41"/>
    <x v="332"/>
    <n v="3015.1736999999998"/>
    <n v="0"/>
    <n v="3015.1736999999998"/>
    <n v="61509.543479999993"/>
    <n v="61539.695217"/>
  </r>
  <r>
    <x v="1"/>
    <n v="33.4"/>
    <n v="33.409999999999997"/>
    <x v="332"/>
    <n v="1842.2518"/>
    <n v="-0.1"/>
    <n v="1842.1518000000001"/>
    <n v="61527.87012"/>
    <n v="61546.291637999995"/>
  </r>
  <r>
    <x v="2"/>
    <n v="17.350000000000001"/>
    <n v="17.36"/>
    <x v="332"/>
    <n v="3546.9023999999999"/>
    <n v="0"/>
    <n v="3546.9023999999999"/>
    <n v="61538.756640000007"/>
    <n v="61574.225663999998"/>
  </r>
  <r>
    <x v="3"/>
    <n v="27.21"/>
    <n v="27.22"/>
    <x v="332"/>
    <n v="2261.4625000000001"/>
    <n v="-0.2"/>
    <n v="2261.2625000000003"/>
    <n v="61528.952625000013"/>
    <n v="61551.565250000007"/>
  </r>
  <r>
    <x v="4"/>
    <n v="64.959999999999994"/>
    <n v="65.069999999999993"/>
    <x v="332"/>
    <n v="946.22090000000003"/>
    <n v="0"/>
    <n v="946.22090000000003"/>
    <n v="61466.509663999997"/>
    <n v="61570.593962999992"/>
  </r>
  <r>
    <x v="5"/>
    <n v="35.56"/>
    <n v="35.58"/>
    <x v="332"/>
    <n v="1730.2348"/>
    <n v="0.2"/>
    <n v="1730.4348"/>
    <n v="61534.261488000004"/>
    <n v="61568.870183999999"/>
  </r>
  <r>
    <x v="6"/>
    <n v="53.57"/>
    <n v="53.58"/>
    <x v="332"/>
    <n v="1148.9558999999999"/>
    <n v="0.05"/>
    <n v="1149.0058999999999"/>
    <n v="61552.246062999991"/>
    <n v="61563.736121999995"/>
  </r>
  <r>
    <x v="7"/>
    <n v="47.72"/>
    <n v="47.73"/>
    <x v="332"/>
    <n v="1289.6505000000002"/>
    <n v="0"/>
    <n v="1289.6505000000002"/>
    <n v="61542.121860000007"/>
    <n v="61555.018365000004"/>
  </r>
  <r>
    <x v="8"/>
    <n v="17.399999999999999"/>
    <n v="17.41"/>
    <x v="332"/>
    <n v="3535.8029000000001"/>
    <n v="0"/>
    <n v="3535.8029000000001"/>
    <n v="61522.970459999997"/>
    <n v="61558.328489"/>
  </r>
  <r>
    <x v="9"/>
    <n v="34.869999999999997"/>
    <n v="34.880000000000003"/>
    <x v="332"/>
    <n v="1765.2166"/>
    <n v="0.2"/>
    <n v="1765.4166"/>
    <n v="61560.076841999995"/>
    <n v="61577.731008000002"/>
  </r>
  <r>
    <x v="0"/>
    <n v="20.399999999999999"/>
    <n v="20.41"/>
    <x v="333"/>
    <n v="3015.1736999999998"/>
    <n v="0"/>
    <n v="3015.1736999999998"/>
    <n v="61509.543479999993"/>
    <n v="61539.695217"/>
  </r>
  <r>
    <x v="1"/>
    <n v="33.4"/>
    <n v="33.409999999999997"/>
    <x v="333"/>
    <n v="1842.2518"/>
    <n v="-0.1"/>
    <n v="1842.1518000000001"/>
    <n v="61527.87012"/>
    <n v="61546.291637999995"/>
  </r>
  <r>
    <x v="2"/>
    <n v="17.350000000000001"/>
    <n v="17.36"/>
    <x v="333"/>
    <n v="3546.9023999999999"/>
    <n v="0"/>
    <n v="3546.9023999999999"/>
    <n v="61538.756640000007"/>
    <n v="61574.225663999998"/>
  </r>
  <r>
    <x v="3"/>
    <n v="27.21"/>
    <n v="27.22"/>
    <x v="333"/>
    <n v="2261.4625000000001"/>
    <n v="-0.2"/>
    <n v="2261.2625000000003"/>
    <n v="61528.952625000013"/>
    <n v="61551.565250000007"/>
  </r>
  <r>
    <x v="4"/>
    <n v="64.98"/>
    <n v="65.09"/>
    <x v="333"/>
    <n v="946.22090000000003"/>
    <n v="0"/>
    <n v="946.22090000000003"/>
    <n v="61485.434082000007"/>
    <n v="61589.518381000002"/>
  </r>
  <r>
    <x v="5"/>
    <n v="35.56"/>
    <n v="35.58"/>
    <x v="333"/>
    <n v="1730.2348"/>
    <n v="0.2"/>
    <n v="1730.4348"/>
    <n v="61534.261488000004"/>
    <n v="61568.870183999999"/>
  </r>
  <r>
    <x v="6"/>
    <n v="53.57"/>
    <n v="53.58"/>
    <x v="333"/>
    <n v="1148.9558999999999"/>
    <n v="0.05"/>
    <n v="1149.0058999999999"/>
    <n v="61552.246062999991"/>
    <n v="61563.736121999995"/>
  </r>
  <r>
    <x v="7"/>
    <n v="47.72"/>
    <n v="47.73"/>
    <x v="333"/>
    <n v="1289.6505000000002"/>
    <n v="0"/>
    <n v="1289.6505000000002"/>
    <n v="61542.121860000007"/>
    <n v="61555.018365000004"/>
  </r>
  <r>
    <x v="8"/>
    <n v="17.399999999999999"/>
    <n v="17.41"/>
    <x v="333"/>
    <n v="3535.8029000000001"/>
    <n v="0"/>
    <n v="3535.8029000000001"/>
    <n v="61522.970459999997"/>
    <n v="61558.328489"/>
  </r>
  <r>
    <x v="9"/>
    <n v="34.869999999999997"/>
    <n v="34.880000000000003"/>
    <x v="333"/>
    <n v="1765.2166"/>
    <n v="0.2"/>
    <n v="1765.4166"/>
    <n v="61560.076841999995"/>
    <n v="61577.731008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D9046-331D-4C19-AADF-789C4513608A}" name="PivotTable1" cacheId="19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C335" firstHeaderRow="0" firstDataRow="1" firstDataCol="1"/>
  <pivotFields count="9">
    <pivotField showAll="0"/>
    <pivotField numFmtId="44" showAll="0"/>
    <pivotField numFmtId="44" showAll="0"/>
    <pivotField axis="axisRow" showAll="0">
      <items count="3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m="1" x="33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showAll="0"/>
    <pivotField numFmtId="165" showAll="0"/>
    <pivotField numFmtId="165" showAll="0"/>
    <pivotField dataField="1" numFmtId="44" showAll="0"/>
    <pivotField dataField="1" numFmtId="44" showAll="0"/>
  </pivotFields>
  <rowFields count="1">
    <field x="3"/>
  </rowFields>
  <rowItems count="3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</rowItems>
  <colFields count="1">
    <field x="-2"/>
  </colFields>
  <colItems count="2">
    <i>
      <x/>
    </i>
    <i i="1">
      <x v="1"/>
    </i>
  </colItems>
  <dataFields count="2">
    <dataField name="Max of unit bid" fld="7" subtotal="max" baseField="3" baseItem="0" numFmtId="44"/>
    <dataField name="Min of unit ask" fld="8" subtotal="min" baseField="3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4CDDB-31E0-4B9C-9058-2C0AEDF6581A}" name="PivotTable3" cacheId="19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E337" firstHeaderRow="0" firstDataRow="1" firstDataCol="1" rowPageCount="1" colPageCount="1"/>
  <pivotFields count="9">
    <pivotField axis="axisPage" multipleItemSelectionAllowed="1" showAll="0" defaultSubtotal="0">
      <items count="10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</items>
    </pivotField>
    <pivotField dataField="1" numFmtId="44" showAll="0" defaultSubtotal="0"/>
    <pivotField dataField="1" numFmtId="44" showAll="0" defaultSubtotal="0"/>
    <pivotField axis="axisRow" showAll="0" defaultSubtotal="0">
      <items count="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m="1" x="33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</items>
    </pivotField>
    <pivotField numFmtId="165" showAll="0" defaultSubtotal="0"/>
    <pivotField numFmtId="165" showAll="0" defaultSubtotal="0"/>
    <pivotField numFmtId="165" showAll="0" defaultSubtotal="0"/>
    <pivotField dataField="1" numFmtId="44" showAll="0" defaultSubtotal="0"/>
    <pivotField dataField="1" numFmtId="44" showAll="0" defaultSubtotal="0"/>
  </pivotFields>
  <rowFields count="1">
    <field x="3"/>
  </rowFields>
  <rowItems count="3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Sum of unit bid" fld="7" baseField="0" baseItem="0" numFmtId="44"/>
    <dataField name="Sum of unit ask" fld="8" baseField="0" baseItem="0" numFmtId="44"/>
    <dataField name="Sum of price_mkt_bid" fld="1" baseField="0" baseItem="0" numFmtId="44"/>
    <dataField name="Sum of price_mkt_ask" fld="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CBEA57-C0F3-4B98-8604-5F349907A9AE}" name="Table1" displayName="Table1" ref="A1:I3341" totalsRowShown="0" headerRowDxfId="6">
  <autoFilter ref="A1:I3341" xr:uid="{E3CBEA57-C0F3-4B98-8604-5F349907A9AE}"/>
  <sortState xmlns:xlrd2="http://schemas.microsoft.com/office/spreadsheetml/2017/richdata2" ref="A2:I3341">
    <sortCondition ref="D1:D3341"/>
  </sortState>
  <tableColumns count="9">
    <tableColumn id="1" xr3:uid="{DC5A1471-CAE6-43B6-A5CD-CA9C70E2D7C9}" name="my_fi_name"/>
    <tableColumn id="2" xr3:uid="{9098254E-86FE-4598-B1DE-2BA1DCF6E9ED}" name="price_mkt_bid" dataCellStyle="Currency"/>
    <tableColumn id="3" xr3:uid="{8BC2BC39-63F5-435A-BACD-B424BA41C66C}" name="price_mkt_ask" dataCellStyle="Currency"/>
    <tableColumn id="4" xr3:uid="{9E9DED97-7827-4AA4-99CB-C60871F8C9DB}" name="time" dataDxfId="5"/>
    <tableColumn id="5" xr3:uid="{C3338448-38B8-4994-93D6-9A2FA878189A}" name="scalar" dataDxfId="4" dataCellStyle="Comma"/>
    <tableColumn id="8" xr3:uid="{0A7DAC5D-E2ED-4433-9CC2-F12E807F3509}" name="adj" dataDxfId="3" dataCellStyle="Comma"/>
    <tableColumn id="9" xr3:uid="{B5783193-7439-47A1-A9F3-7172491C7537}" name="adj scalar" dataDxfId="2" dataCellStyle="Comma">
      <calculatedColumnFormula>E2+F2</calculatedColumnFormula>
    </tableColumn>
    <tableColumn id="6" xr3:uid="{E50648D1-9A34-4432-92D8-8E0C2544ECFC}" name="unit bid" dataDxfId="1">
      <calculatedColumnFormula>B2*G2</calculatedColumnFormula>
    </tableColumn>
    <tableColumn id="7" xr3:uid="{23BBEE61-01CE-4F48-AB74-A98E4F55BCB5}" name="unit ask" dataDxfId="0">
      <calculatedColumnFormula>C2*G2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7C12-A0DF-492B-8653-BAA597F0DC39}">
  <dimension ref="A1:L3341"/>
  <sheetViews>
    <sheetView workbookViewId="0">
      <selection activeCell="E2" sqref="E2:E3341"/>
    </sheetView>
  </sheetViews>
  <sheetFormatPr defaultRowHeight="15" x14ac:dyDescent="0.25"/>
  <cols>
    <col min="1" max="1" width="13.85546875" customWidth="1"/>
    <col min="2" max="2" width="15.7109375" style="1" customWidth="1"/>
    <col min="3" max="3" width="15.85546875" style="1" customWidth="1"/>
    <col min="4" max="4" width="20.42578125" style="2" customWidth="1"/>
    <col min="5" max="5" width="14.28515625" style="8" customWidth="1"/>
    <col min="6" max="6" width="11.28515625" style="8" bestFit="1" customWidth="1"/>
    <col min="7" max="7" width="14.28515625" style="8" customWidth="1"/>
    <col min="8" max="9" width="11.5703125" style="3" bestFit="1" customWidth="1"/>
  </cols>
  <sheetData>
    <row r="1" spans="1:12" s="9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11" t="s">
        <v>31</v>
      </c>
      <c r="F1" s="11" t="s">
        <v>45</v>
      </c>
      <c r="G1" s="11" t="s">
        <v>46</v>
      </c>
      <c r="H1" s="9" t="s">
        <v>32</v>
      </c>
      <c r="I1" s="9" t="s">
        <v>33</v>
      </c>
      <c r="L1"/>
    </row>
    <row r="2" spans="1:12" x14ac:dyDescent="0.25">
      <c r="A2" t="s">
        <v>4</v>
      </c>
      <c r="B2" s="1">
        <v>20.73</v>
      </c>
      <c r="C2" s="1">
        <v>20.74</v>
      </c>
      <c r="D2" s="2" t="s">
        <v>5</v>
      </c>
      <c r="E2" s="8">
        <v>3014.7411999999999</v>
      </c>
      <c r="F2" s="12">
        <f>Sheet1!L3</f>
        <v>0</v>
      </c>
      <c r="G2" s="8">
        <f>E2+F2</f>
        <v>3014.7411999999999</v>
      </c>
      <c r="H2" s="3">
        <f>B2*G2</f>
        <v>62495.585076000003</v>
      </c>
      <c r="I2" s="3">
        <f>C2*G2</f>
        <v>62525.732487999994</v>
      </c>
    </row>
    <row r="3" spans="1:12" x14ac:dyDescent="0.25">
      <c r="A3" t="s">
        <v>6</v>
      </c>
      <c r="B3" s="1">
        <v>33.93</v>
      </c>
      <c r="C3" s="1">
        <v>33.94</v>
      </c>
      <c r="D3" s="2" t="s">
        <v>5</v>
      </c>
      <c r="E3" s="8">
        <v>1841.9992999999999</v>
      </c>
      <c r="F3" s="12">
        <f>Sheet1!L4</f>
        <v>-0.1</v>
      </c>
      <c r="G3" s="8">
        <f>E3+F3</f>
        <v>1841.8993</v>
      </c>
      <c r="H3" s="3">
        <f>B3*G3</f>
        <v>62495.643249000001</v>
      </c>
      <c r="I3" s="3">
        <f>C3*G3</f>
        <v>62514.062242</v>
      </c>
    </row>
    <row r="4" spans="1:12" x14ac:dyDescent="0.25">
      <c r="A4" t="s">
        <v>7</v>
      </c>
      <c r="B4" s="1">
        <v>17.62</v>
      </c>
      <c r="C4" s="1">
        <v>17.63</v>
      </c>
      <c r="D4" s="2" t="s">
        <v>5</v>
      </c>
      <c r="E4" s="8">
        <v>3546.2948999999999</v>
      </c>
      <c r="F4" s="12">
        <f>Sheet1!L5</f>
        <v>0</v>
      </c>
      <c r="G4" s="8">
        <f>E4+F4</f>
        <v>3546.2948999999999</v>
      </c>
      <c r="H4" s="3">
        <f>B4*G4</f>
        <v>62485.716138000003</v>
      </c>
      <c r="I4" s="3">
        <f>C4*G4</f>
        <v>62521.179086999997</v>
      </c>
    </row>
    <row r="5" spans="1:12" x14ac:dyDescent="0.25">
      <c r="A5" t="s">
        <v>8</v>
      </c>
      <c r="B5" s="1">
        <v>27.64</v>
      </c>
      <c r="C5" s="1">
        <v>27.65</v>
      </c>
      <c r="D5" s="2" t="s">
        <v>5</v>
      </c>
      <c r="E5" s="8">
        <v>2261.23</v>
      </c>
      <c r="F5" s="12">
        <f>Sheet1!L6</f>
        <v>-0.2</v>
      </c>
      <c r="G5" s="8">
        <f>E5+F5</f>
        <v>2261.0300000000002</v>
      </c>
      <c r="H5" s="3">
        <f>B5*G5</f>
        <v>62494.869200000008</v>
      </c>
      <c r="I5" s="3">
        <f>C5*G5</f>
        <v>62517.479500000001</v>
      </c>
    </row>
    <row r="6" spans="1:12" x14ac:dyDescent="0.25">
      <c r="A6" t="s">
        <v>9</v>
      </c>
      <c r="B6" s="1">
        <v>66.06</v>
      </c>
      <c r="C6" s="1">
        <v>66.17</v>
      </c>
      <c r="D6" s="2" t="s">
        <v>5</v>
      </c>
      <c r="E6" s="8">
        <v>946.05840000000001</v>
      </c>
      <c r="F6" s="12">
        <f>Sheet1!L7</f>
        <v>0</v>
      </c>
      <c r="G6" s="8">
        <f>E6+F6</f>
        <v>946.05840000000001</v>
      </c>
      <c r="H6" s="3">
        <f>B6*G6</f>
        <v>62496.617904000006</v>
      </c>
      <c r="I6" s="3">
        <f>C6*G6</f>
        <v>62600.684328000003</v>
      </c>
    </row>
    <row r="7" spans="1:12" x14ac:dyDescent="0.25">
      <c r="A7" t="s">
        <v>10</v>
      </c>
      <c r="B7" s="1">
        <v>36.119999999999997</v>
      </c>
      <c r="C7" s="1">
        <v>36.14</v>
      </c>
      <c r="D7" s="2" t="s">
        <v>5</v>
      </c>
      <c r="E7" s="8">
        <v>1730.0098</v>
      </c>
      <c r="F7" s="12">
        <f>Sheet1!L8</f>
        <v>0.2</v>
      </c>
      <c r="G7" s="8">
        <f>E7+F7</f>
        <v>1730.2098000000001</v>
      </c>
      <c r="H7" s="3">
        <f>B7*G7</f>
        <v>62495.177975999999</v>
      </c>
      <c r="I7" s="3">
        <f>C7*G7</f>
        <v>62529.782172000007</v>
      </c>
    </row>
    <row r="8" spans="1:12" x14ac:dyDescent="0.25">
      <c r="A8" t="s">
        <v>11</v>
      </c>
      <c r="B8" s="1">
        <v>54.41</v>
      </c>
      <c r="C8" s="1">
        <v>54.42</v>
      </c>
      <c r="D8" s="2" t="s">
        <v>5</v>
      </c>
      <c r="E8" s="8">
        <v>1148.7583999999999</v>
      </c>
      <c r="F8" s="12">
        <f>Sheet1!L9</f>
        <v>0.05</v>
      </c>
      <c r="G8" s="8">
        <f>E8+F8</f>
        <v>1148.8083999999999</v>
      </c>
      <c r="H8" s="3">
        <f>B8*G8</f>
        <v>62506.665043999987</v>
      </c>
      <c r="I8" s="3">
        <f>C8*G8</f>
        <v>62518.153127999998</v>
      </c>
    </row>
    <row r="9" spans="1:12" x14ac:dyDescent="0.25">
      <c r="A9" t="s">
        <v>12</v>
      </c>
      <c r="B9" s="1">
        <v>48.51</v>
      </c>
      <c r="C9" s="1">
        <v>48.52</v>
      </c>
      <c r="D9" s="2" t="s">
        <v>5</v>
      </c>
      <c r="E9" s="8">
        <v>1288.3256000000001</v>
      </c>
      <c r="F9" s="12">
        <f>Sheet1!L10</f>
        <v>0</v>
      </c>
      <c r="G9" s="8">
        <f>E9+F9</f>
        <v>1288.3256000000001</v>
      </c>
      <c r="H9" s="3">
        <f>B9*G9</f>
        <v>62496.674856000005</v>
      </c>
      <c r="I9" s="3">
        <f>C9*G9</f>
        <v>62509.558112000013</v>
      </c>
    </row>
    <row r="10" spans="1:12" x14ac:dyDescent="0.25">
      <c r="A10" t="s">
        <v>13</v>
      </c>
      <c r="B10" s="1">
        <v>17.670000000000002</v>
      </c>
      <c r="C10" s="1">
        <v>17.68</v>
      </c>
      <c r="D10" s="2" t="s">
        <v>5</v>
      </c>
      <c r="E10" s="8">
        <v>3535.8029000000001</v>
      </c>
      <c r="F10" s="12">
        <f>Sheet1!L11</f>
        <v>0</v>
      </c>
      <c r="G10" s="8">
        <f>E10+F10</f>
        <v>3535.8029000000001</v>
      </c>
      <c r="H10" s="3">
        <f>B10*G10</f>
        <v>62477.637243000012</v>
      </c>
      <c r="I10" s="3">
        <f>C10*G10</f>
        <v>62512.995272</v>
      </c>
    </row>
    <row r="11" spans="1:12" x14ac:dyDescent="0.25">
      <c r="A11" t="s">
        <v>14</v>
      </c>
      <c r="B11" s="1">
        <v>35.409999999999997</v>
      </c>
      <c r="C11" s="1">
        <v>35.42</v>
      </c>
      <c r="D11" s="2" t="s">
        <v>5</v>
      </c>
      <c r="E11" s="8">
        <v>1764.9141</v>
      </c>
      <c r="F11" s="12">
        <f>Sheet1!L12</f>
        <v>0.2</v>
      </c>
      <c r="G11" s="8">
        <f>E11+F11</f>
        <v>1765.1141</v>
      </c>
      <c r="H11" s="3">
        <f>B11*G11</f>
        <v>62502.690280999996</v>
      </c>
      <c r="I11" s="3">
        <f>C11*G11</f>
        <v>62520.341422000005</v>
      </c>
    </row>
    <row r="12" spans="1:12" x14ac:dyDescent="0.25">
      <c r="A12" t="s">
        <v>4</v>
      </c>
      <c r="B12" s="1">
        <v>20.68</v>
      </c>
      <c r="C12" s="1">
        <v>20.69</v>
      </c>
      <c r="D12" s="2" t="s">
        <v>15</v>
      </c>
      <c r="E12" s="8">
        <v>3014.7411999999999</v>
      </c>
      <c r="F12" s="8">
        <f>F2</f>
        <v>0</v>
      </c>
      <c r="G12" s="8">
        <f>E12+F12</f>
        <v>3014.7411999999999</v>
      </c>
      <c r="H12" s="3">
        <f>B12*G12</f>
        <v>62344.848015999996</v>
      </c>
      <c r="I12" s="3">
        <f>C12*G12</f>
        <v>62374.995428000002</v>
      </c>
    </row>
    <row r="13" spans="1:12" x14ac:dyDescent="0.25">
      <c r="A13" t="s">
        <v>6</v>
      </c>
      <c r="B13" s="1">
        <v>33.86</v>
      </c>
      <c r="C13" s="1">
        <v>33.869999999999997</v>
      </c>
      <c r="D13" s="2" t="s">
        <v>15</v>
      </c>
      <c r="E13" s="8">
        <v>1841.9992999999999</v>
      </c>
      <c r="F13" s="8">
        <f>F3</f>
        <v>-0.1</v>
      </c>
      <c r="G13" s="8">
        <f>E13+F13</f>
        <v>1841.8993</v>
      </c>
      <c r="H13" s="3">
        <f>B13*G13</f>
        <v>62366.710297999998</v>
      </c>
      <c r="I13" s="3">
        <f>C13*G13</f>
        <v>62385.129290999997</v>
      </c>
    </row>
    <row r="14" spans="1:12" x14ac:dyDescent="0.25">
      <c r="A14" t="s">
        <v>7</v>
      </c>
      <c r="B14" s="1">
        <v>17.579999999999998</v>
      </c>
      <c r="C14" s="1">
        <v>17.59</v>
      </c>
      <c r="D14" s="2" t="s">
        <v>15</v>
      </c>
      <c r="E14" s="8">
        <v>3546.2948999999999</v>
      </c>
      <c r="F14" s="8">
        <f>F4</f>
        <v>0</v>
      </c>
      <c r="G14" s="8">
        <f>E14+F14</f>
        <v>3546.2948999999999</v>
      </c>
      <c r="H14" s="3">
        <f>B14*G14</f>
        <v>62343.864341999993</v>
      </c>
      <c r="I14" s="3">
        <f>C14*G14</f>
        <v>62379.327290999994</v>
      </c>
    </row>
    <row r="15" spans="1:12" x14ac:dyDescent="0.25">
      <c r="A15" t="s">
        <v>8</v>
      </c>
      <c r="B15" s="1">
        <v>27.58</v>
      </c>
      <c r="C15" s="1">
        <v>27.59</v>
      </c>
      <c r="D15" s="2" t="s">
        <v>15</v>
      </c>
      <c r="E15" s="8">
        <v>2261.23</v>
      </c>
      <c r="F15" s="8">
        <f>F5</f>
        <v>-0.2</v>
      </c>
      <c r="G15" s="8">
        <f>E15+F15</f>
        <v>2261.0300000000002</v>
      </c>
      <c r="H15" s="3">
        <f>B15*G15</f>
        <v>62359.207399999999</v>
      </c>
      <c r="I15" s="3">
        <f>C15*G15</f>
        <v>62381.817700000007</v>
      </c>
    </row>
    <row r="16" spans="1:12" x14ac:dyDescent="0.25">
      <c r="A16" t="s">
        <v>9</v>
      </c>
      <c r="B16" s="1">
        <v>65.92</v>
      </c>
      <c r="C16" s="1">
        <v>66.03</v>
      </c>
      <c r="D16" s="2" t="s">
        <v>15</v>
      </c>
      <c r="E16" s="8">
        <v>946.05840000000001</v>
      </c>
      <c r="F16" s="8">
        <f>F6</f>
        <v>0</v>
      </c>
      <c r="G16" s="8">
        <f>E16+F16</f>
        <v>946.05840000000001</v>
      </c>
      <c r="H16" s="3">
        <f>B16*G16</f>
        <v>62364.169728000001</v>
      </c>
      <c r="I16" s="3">
        <f>C16*G16</f>
        <v>62468.236152000005</v>
      </c>
    </row>
    <row r="17" spans="1:9" x14ac:dyDescent="0.25">
      <c r="A17" t="s">
        <v>10</v>
      </c>
      <c r="B17" s="1">
        <v>36.03</v>
      </c>
      <c r="C17" s="1">
        <v>36.049999999999997</v>
      </c>
      <c r="D17" s="2" t="s">
        <v>15</v>
      </c>
      <c r="E17" s="8">
        <v>1730.0098</v>
      </c>
      <c r="F17" s="8">
        <f>F7</f>
        <v>0.2</v>
      </c>
      <c r="G17" s="8">
        <f>E17+F17</f>
        <v>1730.2098000000001</v>
      </c>
      <c r="H17" s="3">
        <f>B17*G17</f>
        <v>62339.459094000005</v>
      </c>
      <c r="I17" s="3">
        <f>C17*G17</f>
        <v>62374.063289999998</v>
      </c>
    </row>
    <row r="18" spans="1:9" x14ac:dyDescent="0.25">
      <c r="A18" t="s">
        <v>11</v>
      </c>
      <c r="B18" s="1">
        <v>54.29</v>
      </c>
      <c r="C18" s="1">
        <v>54.3</v>
      </c>
      <c r="D18" s="2" t="s">
        <v>15</v>
      </c>
      <c r="E18" s="8">
        <v>1148.7583999999999</v>
      </c>
      <c r="F18" s="8">
        <f>F8</f>
        <v>0.05</v>
      </c>
      <c r="G18" s="8">
        <f>E18+F18</f>
        <v>1148.8083999999999</v>
      </c>
      <c r="H18" s="3">
        <f>B18*G18</f>
        <v>62368.808035999995</v>
      </c>
      <c r="I18" s="3">
        <f>C18*G18</f>
        <v>62380.296119999992</v>
      </c>
    </row>
    <row r="19" spans="1:9" x14ac:dyDescent="0.25">
      <c r="A19" t="s">
        <v>12</v>
      </c>
      <c r="B19" s="1">
        <v>48.4</v>
      </c>
      <c r="C19" s="1">
        <v>48.41</v>
      </c>
      <c r="D19" s="2" t="s">
        <v>15</v>
      </c>
      <c r="E19" s="8">
        <v>1288.3256000000001</v>
      </c>
      <c r="F19" s="8">
        <f>F9</f>
        <v>0</v>
      </c>
      <c r="G19" s="8">
        <f>E19+F19</f>
        <v>1288.3256000000001</v>
      </c>
      <c r="H19" s="3">
        <f>B19*G19</f>
        <v>62354.959040000002</v>
      </c>
      <c r="I19" s="3">
        <f>C19*G19</f>
        <v>62367.842296000003</v>
      </c>
    </row>
    <row r="20" spans="1:9" x14ac:dyDescent="0.25">
      <c r="A20" t="s">
        <v>13</v>
      </c>
      <c r="B20" s="1">
        <v>17.63</v>
      </c>
      <c r="C20" s="1">
        <v>17.64</v>
      </c>
      <c r="D20" s="2" t="s">
        <v>15</v>
      </c>
      <c r="E20" s="8">
        <v>3535.8029000000001</v>
      </c>
      <c r="F20" s="8">
        <f>F10</f>
        <v>0</v>
      </c>
      <c r="G20" s="8">
        <f>E20+F20</f>
        <v>3535.8029000000001</v>
      </c>
      <c r="H20" s="3">
        <f>B20*G20</f>
        <v>62336.205127000001</v>
      </c>
      <c r="I20" s="3">
        <f>C20*G20</f>
        <v>62371.563156000004</v>
      </c>
    </row>
    <row r="21" spans="1:9" x14ac:dyDescent="0.25">
      <c r="A21" t="s">
        <v>14</v>
      </c>
      <c r="B21" s="1">
        <v>35.33</v>
      </c>
      <c r="C21" s="1">
        <v>35.340000000000003</v>
      </c>
      <c r="D21" s="2" t="s">
        <v>15</v>
      </c>
      <c r="E21" s="8">
        <v>1764.9141</v>
      </c>
      <c r="F21" s="8">
        <f>F11</f>
        <v>0.2</v>
      </c>
      <c r="G21" s="8">
        <f>E21+F21</f>
        <v>1765.1141</v>
      </c>
      <c r="H21" s="3">
        <f>B21*G21</f>
        <v>62361.481153000001</v>
      </c>
      <c r="I21" s="3">
        <f>C21*G21</f>
        <v>62379.132294000003</v>
      </c>
    </row>
    <row r="22" spans="1:9" x14ac:dyDescent="0.25">
      <c r="A22" t="s">
        <v>4</v>
      </c>
      <c r="B22" s="1">
        <v>20.64</v>
      </c>
      <c r="C22" s="1">
        <v>20.65</v>
      </c>
      <c r="D22" s="2" t="s">
        <v>16</v>
      </c>
      <c r="E22" s="8">
        <v>3014.7411999999999</v>
      </c>
      <c r="F22" s="8">
        <f>F12</f>
        <v>0</v>
      </c>
      <c r="G22" s="8">
        <f>E22+F22</f>
        <v>3014.7411999999999</v>
      </c>
      <c r="H22" s="3">
        <f>B22*G22</f>
        <v>62224.258368000003</v>
      </c>
      <c r="I22" s="3">
        <f>C22*G22</f>
        <v>62254.405779999994</v>
      </c>
    </row>
    <row r="23" spans="1:9" x14ac:dyDescent="0.25">
      <c r="A23" t="s">
        <v>6</v>
      </c>
      <c r="B23" s="1">
        <v>33.79</v>
      </c>
      <c r="C23" s="1">
        <v>33.799999999999997</v>
      </c>
      <c r="D23" s="2" t="s">
        <v>16</v>
      </c>
      <c r="E23" s="8">
        <v>1841.9992999999999</v>
      </c>
      <c r="F23" s="8">
        <f>F13</f>
        <v>-0.1</v>
      </c>
      <c r="G23" s="8">
        <f>E23+F23</f>
        <v>1841.8993</v>
      </c>
      <c r="H23" s="3">
        <f>B23*G23</f>
        <v>62237.777347000003</v>
      </c>
      <c r="I23" s="3">
        <f>C23*G23</f>
        <v>62256.196339999995</v>
      </c>
    </row>
    <row r="24" spans="1:9" x14ac:dyDescent="0.25">
      <c r="A24" t="s">
        <v>7</v>
      </c>
      <c r="B24" s="1">
        <v>17.54</v>
      </c>
      <c r="C24" s="1">
        <v>17.55</v>
      </c>
      <c r="D24" s="2" t="s">
        <v>16</v>
      </c>
      <c r="E24" s="8">
        <v>3546.2948999999999</v>
      </c>
      <c r="F24" s="8">
        <f>F14</f>
        <v>0</v>
      </c>
      <c r="G24" s="8">
        <f>E24+F24</f>
        <v>3546.2948999999999</v>
      </c>
      <c r="H24" s="3">
        <f>B24*G24</f>
        <v>62202.012545999998</v>
      </c>
      <c r="I24" s="3">
        <f>C24*G24</f>
        <v>62237.475494999999</v>
      </c>
    </row>
    <row r="25" spans="1:9" x14ac:dyDescent="0.25">
      <c r="A25" t="s">
        <v>8</v>
      </c>
      <c r="B25" s="1">
        <v>27.52</v>
      </c>
      <c r="C25" s="1">
        <v>27.53</v>
      </c>
      <c r="D25" s="2" t="s">
        <v>16</v>
      </c>
      <c r="E25" s="8">
        <v>2261.23</v>
      </c>
      <c r="F25" s="8">
        <f>F15</f>
        <v>-0.2</v>
      </c>
      <c r="G25" s="8">
        <f>E25+F25</f>
        <v>2261.0300000000002</v>
      </c>
      <c r="H25" s="3">
        <f>B25*G25</f>
        <v>62223.545600000005</v>
      </c>
      <c r="I25" s="3">
        <f>C25*G25</f>
        <v>62246.155900000005</v>
      </c>
    </row>
    <row r="26" spans="1:9" x14ac:dyDescent="0.25">
      <c r="A26" t="s">
        <v>9</v>
      </c>
      <c r="B26" s="1">
        <v>65.78</v>
      </c>
      <c r="C26" s="1">
        <v>65.87</v>
      </c>
      <c r="D26" s="2" t="s">
        <v>16</v>
      </c>
      <c r="E26" s="8">
        <v>946.05840000000001</v>
      </c>
      <c r="F26" s="8">
        <f>F16</f>
        <v>0</v>
      </c>
      <c r="G26" s="8">
        <f>E26+F26</f>
        <v>946.05840000000001</v>
      </c>
      <c r="H26" s="3">
        <f>B26*G26</f>
        <v>62231.721552000003</v>
      </c>
      <c r="I26" s="3">
        <f>C26*G26</f>
        <v>62316.866808000006</v>
      </c>
    </row>
    <row r="27" spans="1:9" x14ac:dyDescent="0.25">
      <c r="A27" t="s">
        <v>10</v>
      </c>
      <c r="B27" s="1">
        <v>35.96</v>
      </c>
      <c r="C27" s="1">
        <v>35.979999999999997</v>
      </c>
      <c r="D27" s="2" t="s">
        <v>16</v>
      </c>
      <c r="E27" s="8">
        <v>1730.0098</v>
      </c>
      <c r="F27" s="8">
        <f>F17</f>
        <v>0.2</v>
      </c>
      <c r="G27" s="8">
        <f>E27+F27</f>
        <v>1730.2098000000001</v>
      </c>
      <c r="H27" s="3">
        <f>B27*G27</f>
        <v>62218.344408000004</v>
      </c>
      <c r="I27" s="3">
        <f>C27*G27</f>
        <v>62252.948603999997</v>
      </c>
    </row>
    <row r="28" spans="1:9" x14ac:dyDescent="0.25">
      <c r="A28" t="s">
        <v>11</v>
      </c>
      <c r="B28" s="1">
        <v>54.18</v>
      </c>
      <c r="C28" s="1">
        <v>54.19</v>
      </c>
      <c r="D28" s="2" t="s">
        <v>16</v>
      </c>
      <c r="E28" s="8">
        <v>1148.7583999999999</v>
      </c>
      <c r="F28" s="8">
        <f>F18</f>
        <v>0.05</v>
      </c>
      <c r="G28" s="8">
        <f>E28+F28</f>
        <v>1148.8083999999999</v>
      </c>
      <c r="H28" s="3">
        <f>B28*G28</f>
        <v>62242.439111999993</v>
      </c>
      <c r="I28" s="3">
        <f>C28*G28</f>
        <v>62253.92719599999</v>
      </c>
    </row>
    <row r="29" spans="1:9" x14ac:dyDescent="0.25">
      <c r="A29" t="s">
        <v>12</v>
      </c>
      <c r="B29" s="1">
        <v>48.3</v>
      </c>
      <c r="C29" s="1">
        <v>48.31</v>
      </c>
      <c r="D29" s="2" t="s">
        <v>16</v>
      </c>
      <c r="E29" s="8">
        <v>1288.3256000000001</v>
      </c>
      <c r="F29" s="8">
        <f>F19</f>
        <v>0</v>
      </c>
      <c r="G29" s="8">
        <f>E29+F29</f>
        <v>1288.3256000000001</v>
      </c>
      <c r="H29" s="3">
        <f>B29*G29</f>
        <v>62226.126479999999</v>
      </c>
      <c r="I29" s="3">
        <f>C29*G29</f>
        <v>62239.009736000007</v>
      </c>
    </row>
    <row r="30" spans="1:9" x14ac:dyDescent="0.25">
      <c r="A30" t="s">
        <v>13</v>
      </c>
      <c r="B30" s="1">
        <v>17.600000000000001</v>
      </c>
      <c r="C30" s="1">
        <v>17.61</v>
      </c>
      <c r="D30" s="2" t="s">
        <v>16</v>
      </c>
      <c r="E30" s="8">
        <v>3535.8029000000001</v>
      </c>
      <c r="F30" s="8">
        <f>F20</f>
        <v>0</v>
      </c>
      <c r="G30" s="8">
        <f>E30+F30</f>
        <v>3535.8029000000001</v>
      </c>
      <c r="H30" s="3">
        <f>B30*G30</f>
        <v>62230.131040000007</v>
      </c>
      <c r="I30" s="3">
        <f>C30*G30</f>
        <v>62265.489069000003</v>
      </c>
    </row>
    <row r="31" spans="1:9" x14ac:dyDescent="0.25">
      <c r="A31" t="s">
        <v>14</v>
      </c>
      <c r="B31" s="1">
        <v>35.25</v>
      </c>
      <c r="C31" s="1">
        <v>35.26</v>
      </c>
      <c r="D31" s="2" t="s">
        <v>16</v>
      </c>
      <c r="E31" s="8">
        <v>1764.9141</v>
      </c>
      <c r="F31" s="8">
        <f>F21</f>
        <v>0.2</v>
      </c>
      <c r="G31" s="8">
        <f>E31+F31</f>
        <v>1765.1141</v>
      </c>
      <c r="H31" s="3">
        <f>B31*G31</f>
        <v>62220.272024999998</v>
      </c>
      <c r="I31" s="3">
        <f>C31*G31</f>
        <v>62237.923165999993</v>
      </c>
    </row>
    <row r="32" spans="1:9" x14ac:dyDescent="0.25">
      <c r="A32" t="s">
        <v>4</v>
      </c>
      <c r="B32" s="1">
        <v>20.66</v>
      </c>
      <c r="C32" s="1">
        <v>20.67</v>
      </c>
      <c r="D32" s="2" t="s">
        <v>17</v>
      </c>
      <c r="E32" s="8">
        <v>3014.7411999999999</v>
      </c>
      <c r="F32" s="8">
        <f>F22</f>
        <v>0</v>
      </c>
      <c r="G32" s="8">
        <f>E32+F32</f>
        <v>3014.7411999999999</v>
      </c>
      <c r="H32" s="3">
        <f>B32*G32</f>
        <v>62284.553191999999</v>
      </c>
      <c r="I32" s="3">
        <f>C32*G32</f>
        <v>62314.700604000005</v>
      </c>
    </row>
    <row r="33" spans="1:9" x14ac:dyDescent="0.25">
      <c r="A33" t="s">
        <v>6</v>
      </c>
      <c r="B33" s="1">
        <v>33.81</v>
      </c>
      <c r="C33" s="1">
        <v>33.82</v>
      </c>
      <c r="D33" s="2" t="s">
        <v>17</v>
      </c>
      <c r="E33" s="8">
        <v>1841.9992999999999</v>
      </c>
      <c r="F33" s="8">
        <f>F23</f>
        <v>-0.1</v>
      </c>
      <c r="G33" s="8">
        <f>E33+F33</f>
        <v>1841.8993</v>
      </c>
      <c r="H33" s="3">
        <f>B33*G33</f>
        <v>62274.615333000009</v>
      </c>
      <c r="I33" s="3">
        <f>C33*G33</f>
        <v>62293.034326000001</v>
      </c>
    </row>
    <row r="34" spans="1:9" x14ac:dyDescent="0.25">
      <c r="A34" t="s">
        <v>7</v>
      </c>
      <c r="B34" s="1">
        <v>17.559999999999999</v>
      </c>
      <c r="C34" s="1">
        <v>17.57</v>
      </c>
      <c r="D34" s="2" t="s">
        <v>17</v>
      </c>
      <c r="E34" s="8">
        <v>3546.2948999999999</v>
      </c>
      <c r="F34" s="8">
        <f>F24</f>
        <v>0</v>
      </c>
      <c r="G34" s="8">
        <f>E34+F34</f>
        <v>3546.2948999999999</v>
      </c>
      <c r="H34" s="3">
        <f>B34*G34</f>
        <v>62272.938443999992</v>
      </c>
      <c r="I34" s="3">
        <f>C34*G34</f>
        <v>62308.401393</v>
      </c>
    </row>
    <row r="35" spans="1:9" x14ac:dyDescent="0.25">
      <c r="A35" t="s">
        <v>8</v>
      </c>
      <c r="B35" s="1">
        <v>27.54</v>
      </c>
      <c r="C35" s="1">
        <v>27.55</v>
      </c>
      <c r="D35" s="2" t="s">
        <v>17</v>
      </c>
      <c r="E35" s="8">
        <v>2261.23</v>
      </c>
      <c r="F35" s="8">
        <f>F25</f>
        <v>-0.2</v>
      </c>
      <c r="G35" s="8">
        <f>E35+F35</f>
        <v>2261.0300000000002</v>
      </c>
      <c r="H35" s="3">
        <f>B35*G35</f>
        <v>62268.766200000005</v>
      </c>
      <c r="I35" s="3">
        <f>C35*G35</f>
        <v>62291.376500000006</v>
      </c>
    </row>
    <row r="36" spans="1:9" x14ac:dyDescent="0.25">
      <c r="A36" t="s">
        <v>9</v>
      </c>
      <c r="B36" s="1">
        <v>65.819999999999993</v>
      </c>
      <c r="C36" s="1">
        <v>65.89</v>
      </c>
      <c r="D36" s="2" t="s">
        <v>17</v>
      </c>
      <c r="E36" s="8">
        <v>946.05840000000001</v>
      </c>
      <c r="F36" s="8">
        <f>F26</f>
        <v>0</v>
      </c>
      <c r="G36" s="8">
        <f>E36+F36</f>
        <v>946.05840000000001</v>
      </c>
      <c r="H36" s="3">
        <f>B36*G36</f>
        <v>62269.563887999997</v>
      </c>
      <c r="I36" s="3">
        <f>C36*G36</f>
        <v>62335.787976</v>
      </c>
    </row>
    <row r="37" spans="1:9" x14ac:dyDescent="0.25">
      <c r="A37" t="s">
        <v>10</v>
      </c>
      <c r="B37" s="1">
        <v>35.99</v>
      </c>
      <c r="C37" s="1">
        <v>36.01</v>
      </c>
      <c r="D37" s="2" t="s">
        <v>17</v>
      </c>
      <c r="E37" s="8">
        <v>1730.0098</v>
      </c>
      <c r="F37" s="8">
        <f>F27</f>
        <v>0.2</v>
      </c>
      <c r="G37" s="8">
        <f>E37+F37</f>
        <v>1730.2098000000001</v>
      </c>
      <c r="H37" s="3">
        <f>B37*G37</f>
        <v>62270.250702000005</v>
      </c>
      <c r="I37" s="3">
        <f>C37*G37</f>
        <v>62304.854897999998</v>
      </c>
    </row>
    <row r="38" spans="1:9" x14ac:dyDescent="0.25">
      <c r="A38" t="s">
        <v>11</v>
      </c>
      <c r="B38" s="1">
        <v>54.22</v>
      </c>
      <c r="C38" s="1">
        <v>54.23</v>
      </c>
      <c r="D38" s="2" t="s">
        <v>17</v>
      </c>
      <c r="E38" s="8">
        <v>1148.7583999999999</v>
      </c>
      <c r="F38" s="8">
        <f>F28</f>
        <v>0.05</v>
      </c>
      <c r="G38" s="8">
        <f>E38+F38</f>
        <v>1148.8083999999999</v>
      </c>
      <c r="H38" s="3">
        <f>B38*G38</f>
        <v>62288.391447999995</v>
      </c>
      <c r="I38" s="3">
        <f>C38*G38</f>
        <v>62299.879531999992</v>
      </c>
    </row>
    <row r="39" spans="1:9" x14ac:dyDescent="0.25">
      <c r="A39" t="s">
        <v>12</v>
      </c>
      <c r="B39" s="1">
        <v>48.33</v>
      </c>
      <c r="C39" s="1">
        <v>48.34</v>
      </c>
      <c r="D39" s="2" t="s">
        <v>17</v>
      </c>
      <c r="E39" s="8">
        <v>1288.3256000000001</v>
      </c>
      <c r="F39" s="8">
        <f>F29</f>
        <v>0</v>
      </c>
      <c r="G39" s="8">
        <f>E39+F39</f>
        <v>1288.3256000000001</v>
      </c>
      <c r="H39" s="3">
        <f>B39*G39</f>
        <v>62264.776248000002</v>
      </c>
      <c r="I39" s="3">
        <f>C39*G39</f>
        <v>62277.65950400001</v>
      </c>
    </row>
    <row r="40" spans="1:9" x14ac:dyDescent="0.25">
      <c r="A40" t="s">
        <v>13</v>
      </c>
      <c r="B40" s="1">
        <v>17.61</v>
      </c>
      <c r="C40" s="1">
        <v>17.62</v>
      </c>
      <c r="D40" s="2" t="s">
        <v>17</v>
      </c>
      <c r="E40" s="8">
        <v>3535.8029000000001</v>
      </c>
      <c r="F40" s="8">
        <f>F30</f>
        <v>0</v>
      </c>
      <c r="G40" s="8">
        <f>E40+F40</f>
        <v>3535.8029000000001</v>
      </c>
      <c r="H40" s="3">
        <f>B40*G40</f>
        <v>62265.489069000003</v>
      </c>
      <c r="I40" s="3">
        <f>C40*G40</f>
        <v>62300.847098000006</v>
      </c>
    </row>
    <row r="41" spans="1:9" x14ac:dyDescent="0.25">
      <c r="A41" t="s">
        <v>14</v>
      </c>
      <c r="B41" s="1">
        <v>35.28</v>
      </c>
      <c r="C41" s="1">
        <v>35.29</v>
      </c>
      <c r="D41" s="2" t="s">
        <v>17</v>
      </c>
      <c r="E41" s="8">
        <v>1764.9141</v>
      </c>
      <c r="F41" s="8">
        <f>F31</f>
        <v>0.2</v>
      </c>
      <c r="G41" s="8">
        <f>E41+F41</f>
        <v>1765.1141</v>
      </c>
      <c r="H41" s="3">
        <f>B41*G41</f>
        <v>62273.225448000005</v>
      </c>
      <c r="I41" s="3">
        <f>C41*G41</f>
        <v>62290.876589</v>
      </c>
    </row>
    <row r="42" spans="1:9" x14ac:dyDescent="0.25">
      <c r="A42" t="s">
        <v>4</v>
      </c>
      <c r="B42" s="1">
        <v>20.59</v>
      </c>
      <c r="C42" s="1">
        <v>20.6</v>
      </c>
      <c r="D42" s="2" t="s">
        <v>18</v>
      </c>
      <c r="E42" s="8">
        <v>3014.7411999999999</v>
      </c>
      <c r="F42" s="8">
        <f>F32</f>
        <v>0</v>
      </c>
      <c r="G42" s="8">
        <f>E42+F42</f>
        <v>3014.7411999999999</v>
      </c>
      <c r="H42" s="3">
        <f>B42*G42</f>
        <v>62073.521307999996</v>
      </c>
      <c r="I42" s="3">
        <f>C42*G42</f>
        <v>62103.668720000001</v>
      </c>
    </row>
    <row r="43" spans="1:9" x14ac:dyDescent="0.25">
      <c r="A43" t="s">
        <v>6</v>
      </c>
      <c r="B43" s="1">
        <v>33.700000000000003</v>
      </c>
      <c r="C43" s="1">
        <v>33.71</v>
      </c>
      <c r="D43" s="2" t="s">
        <v>18</v>
      </c>
      <c r="E43" s="8">
        <v>1841.9992999999999</v>
      </c>
      <c r="F43" s="8">
        <f>F33</f>
        <v>-0.1</v>
      </c>
      <c r="G43" s="8">
        <f>E43+F43</f>
        <v>1841.8993</v>
      </c>
      <c r="H43" s="3">
        <f>B43*G43</f>
        <v>62072.006410000009</v>
      </c>
      <c r="I43" s="3">
        <f>C43*G43</f>
        <v>62090.425403000001</v>
      </c>
    </row>
    <row r="44" spans="1:9" x14ac:dyDescent="0.25">
      <c r="A44" t="s">
        <v>7</v>
      </c>
      <c r="B44" s="1">
        <v>17.5</v>
      </c>
      <c r="C44" s="1">
        <v>17.510000000000002</v>
      </c>
      <c r="D44" s="2" t="s">
        <v>18</v>
      </c>
      <c r="E44" s="8">
        <v>3546.2948999999999</v>
      </c>
      <c r="F44" s="8">
        <f>F34</f>
        <v>0</v>
      </c>
      <c r="G44" s="8">
        <f>E44+F44</f>
        <v>3546.2948999999999</v>
      </c>
      <c r="H44" s="3">
        <f>B44*G44</f>
        <v>62060.160749999995</v>
      </c>
      <c r="I44" s="3">
        <f>C44*G44</f>
        <v>62095.623699000003</v>
      </c>
    </row>
    <row r="45" spans="1:9" x14ac:dyDescent="0.25">
      <c r="A45" t="s">
        <v>8</v>
      </c>
      <c r="B45" s="1">
        <v>27.45</v>
      </c>
      <c r="C45" s="1">
        <v>27.46</v>
      </c>
      <c r="D45" s="2" t="s">
        <v>18</v>
      </c>
      <c r="E45" s="8">
        <v>2261.23</v>
      </c>
      <c r="F45" s="8">
        <f>F35</f>
        <v>-0.2</v>
      </c>
      <c r="G45" s="8">
        <f>E45+F45</f>
        <v>2261.0300000000002</v>
      </c>
      <c r="H45" s="3">
        <f>B45*G45</f>
        <v>62065.273500000003</v>
      </c>
      <c r="I45" s="3">
        <f>C45*G45</f>
        <v>62087.883800000011</v>
      </c>
    </row>
    <row r="46" spans="1:9" x14ac:dyDescent="0.25">
      <c r="A46" t="s">
        <v>9</v>
      </c>
      <c r="B46" s="1">
        <v>65.62</v>
      </c>
      <c r="C46" s="1">
        <v>65.7</v>
      </c>
      <c r="D46" s="2" t="s">
        <v>18</v>
      </c>
      <c r="E46" s="8">
        <v>946.05840000000001</v>
      </c>
      <c r="F46" s="8">
        <f>F36</f>
        <v>0</v>
      </c>
      <c r="G46" s="8">
        <f>E46+F46</f>
        <v>946.05840000000001</v>
      </c>
      <c r="H46" s="3">
        <f>B46*G46</f>
        <v>62080.352208000004</v>
      </c>
      <c r="I46" s="3">
        <f>C46*G46</f>
        <v>62156.03688</v>
      </c>
    </row>
    <row r="47" spans="1:9" x14ac:dyDescent="0.25">
      <c r="A47" t="s">
        <v>10</v>
      </c>
      <c r="B47" s="1">
        <v>35.869999999999997</v>
      </c>
      <c r="C47" s="1">
        <v>35.89</v>
      </c>
      <c r="D47" s="2" t="s">
        <v>18</v>
      </c>
      <c r="E47" s="8">
        <v>1730.0098</v>
      </c>
      <c r="F47" s="8">
        <f>F37</f>
        <v>0.2</v>
      </c>
      <c r="G47" s="8">
        <f>E47+F47</f>
        <v>1730.2098000000001</v>
      </c>
      <c r="H47" s="3">
        <f>B47*G47</f>
        <v>62062.625525999996</v>
      </c>
      <c r="I47" s="3">
        <f>C47*G47</f>
        <v>62097.229722000004</v>
      </c>
    </row>
    <row r="48" spans="1:9" x14ac:dyDescent="0.25">
      <c r="A48" t="s">
        <v>11</v>
      </c>
      <c r="B48" s="1">
        <v>54.04</v>
      </c>
      <c r="C48" s="1">
        <v>54.05</v>
      </c>
      <c r="D48" s="2" t="s">
        <v>18</v>
      </c>
      <c r="E48" s="8">
        <v>1148.7583999999999</v>
      </c>
      <c r="F48" s="8">
        <f>F38</f>
        <v>0.05</v>
      </c>
      <c r="G48" s="8">
        <f>E48+F48</f>
        <v>1148.8083999999999</v>
      </c>
      <c r="H48" s="3">
        <f>B48*G48</f>
        <v>62081.605935999993</v>
      </c>
      <c r="I48" s="3">
        <f>C48*G48</f>
        <v>62093.09401999999</v>
      </c>
    </row>
    <row r="49" spans="1:9" x14ac:dyDescent="0.25">
      <c r="A49" t="s">
        <v>12</v>
      </c>
      <c r="B49" s="1">
        <v>48.17</v>
      </c>
      <c r="C49" s="1">
        <v>48.18</v>
      </c>
      <c r="D49" s="2" t="s">
        <v>18</v>
      </c>
      <c r="E49" s="8">
        <v>1288.3256000000001</v>
      </c>
      <c r="F49" s="8">
        <f>F39</f>
        <v>0</v>
      </c>
      <c r="G49" s="8">
        <f>E49+F49</f>
        <v>1288.3256000000001</v>
      </c>
      <c r="H49" s="3">
        <f>B49*G49</f>
        <v>62058.644152000008</v>
      </c>
      <c r="I49" s="3">
        <f>C49*G49</f>
        <v>62071.527408000009</v>
      </c>
    </row>
    <row r="50" spans="1:9" x14ac:dyDescent="0.25">
      <c r="A50" t="s">
        <v>13</v>
      </c>
      <c r="B50" s="1">
        <v>17.55</v>
      </c>
      <c r="C50" s="1">
        <v>17.559999999999999</v>
      </c>
      <c r="D50" s="2" t="s">
        <v>18</v>
      </c>
      <c r="E50" s="8">
        <v>3535.8029000000001</v>
      </c>
      <c r="F50" s="8">
        <f>F40</f>
        <v>0</v>
      </c>
      <c r="G50" s="8">
        <f>E50+F50</f>
        <v>3535.8029000000001</v>
      </c>
      <c r="H50" s="3">
        <f>B50*G50</f>
        <v>62053.340895000008</v>
      </c>
      <c r="I50" s="3">
        <f>C50*G50</f>
        <v>62088.698923999997</v>
      </c>
    </row>
    <row r="51" spans="1:9" x14ac:dyDescent="0.25">
      <c r="A51" t="s">
        <v>14</v>
      </c>
      <c r="B51" s="1">
        <v>35.17</v>
      </c>
      <c r="C51" s="1">
        <v>35.18</v>
      </c>
      <c r="D51" s="2" t="s">
        <v>18</v>
      </c>
      <c r="E51" s="8">
        <v>1764.9141</v>
      </c>
      <c r="F51" s="8">
        <f>F41</f>
        <v>0.2</v>
      </c>
      <c r="G51" s="8">
        <f>E51+F51</f>
        <v>1765.1141</v>
      </c>
      <c r="H51" s="3">
        <f>B51*G51</f>
        <v>62079.062897000003</v>
      </c>
      <c r="I51" s="3">
        <f>C51*G51</f>
        <v>62096.714037999998</v>
      </c>
    </row>
    <row r="52" spans="1:9" x14ac:dyDescent="0.25">
      <c r="A52" t="s">
        <v>4</v>
      </c>
      <c r="B52" s="1">
        <v>20.6</v>
      </c>
      <c r="C52" s="1">
        <v>20.6</v>
      </c>
      <c r="D52" s="2" t="s">
        <v>19</v>
      </c>
      <c r="E52" s="8">
        <v>3014.7411999999999</v>
      </c>
      <c r="F52" s="8">
        <f>F42</f>
        <v>0</v>
      </c>
      <c r="G52" s="8">
        <f>E52+F52</f>
        <v>3014.7411999999999</v>
      </c>
      <c r="H52" s="3">
        <f>B52*G52</f>
        <v>62103.668720000001</v>
      </c>
      <c r="I52" s="3">
        <f>C52*G52</f>
        <v>62103.668720000001</v>
      </c>
    </row>
    <row r="53" spans="1:9" x14ac:dyDescent="0.25">
      <c r="A53" t="s">
        <v>6</v>
      </c>
      <c r="B53" s="1">
        <v>33.72</v>
      </c>
      <c r="C53" s="1">
        <v>33.729999999999997</v>
      </c>
      <c r="D53" s="2" t="s">
        <v>19</v>
      </c>
      <c r="E53" s="8">
        <v>1841.9992999999999</v>
      </c>
      <c r="F53" s="8">
        <f>F43</f>
        <v>-0.1</v>
      </c>
      <c r="G53" s="8">
        <f>E53+F53</f>
        <v>1841.8993</v>
      </c>
      <c r="H53" s="3">
        <f>B53*G53</f>
        <v>62108.844396</v>
      </c>
      <c r="I53" s="3">
        <f>C53*G53</f>
        <v>62127.263388999992</v>
      </c>
    </row>
    <row r="54" spans="1:9" x14ac:dyDescent="0.25">
      <c r="A54" t="s">
        <v>7</v>
      </c>
      <c r="B54" s="1">
        <v>17.510000000000002</v>
      </c>
      <c r="C54" s="1">
        <v>17.52</v>
      </c>
      <c r="D54" s="2" t="s">
        <v>19</v>
      </c>
      <c r="E54" s="8">
        <v>3546.2948999999999</v>
      </c>
      <c r="F54" s="8">
        <f>F44</f>
        <v>0</v>
      </c>
      <c r="G54" s="8">
        <f>E54+F54</f>
        <v>3546.2948999999999</v>
      </c>
      <c r="H54" s="3">
        <f>B54*G54</f>
        <v>62095.623699000003</v>
      </c>
      <c r="I54" s="3">
        <f>C54*G54</f>
        <v>62131.086647999997</v>
      </c>
    </row>
    <row r="55" spans="1:9" x14ac:dyDescent="0.25">
      <c r="A55" t="s">
        <v>8</v>
      </c>
      <c r="B55" s="1">
        <v>27.47</v>
      </c>
      <c r="C55" s="1">
        <v>27.48</v>
      </c>
      <c r="D55" s="2" t="s">
        <v>19</v>
      </c>
      <c r="E55" s="8">
        <v>2261.23</v>
      </c>
      <c r="F55" s="8">
        <f>F45</f>
        <v>-0.2</v>
      </c>
      <c r="G55" s="8">
        <f>E55+F55</f>
        <v>2261.0300000000002</v>
      </c>
      <c r="H55" s="3">
        <f>B55*G55</f>
        <v>62110.494100000004</v>
      </c>
      <c r="I55" s="3">
        <f>C55*G55</f>
        <v>62133.104400000004</v>
      </c>
    </row>
    <row r="56" spans="1:9" x14ac:dyDescent="0.25">
      <c r="A56" t="s">
        <v>9</v>
      </c>
      <c r="B56" s="1">
        <v>65.64</v>
      </c>
      <c r="C56" s="1">
        <v>65.72</v>
      </c>
      <c r="D56" s="2" t="s">
        <v>19</v>
      </c>
      <c r="E56" s="8">
        <v>946.05840000000001</v>
      </c>
      <c r="F56" s="8">
        <f>F46</f>
        <v>0</v>
      </c>
      <c r="G56" s="8">
        <f>E56+F56</f>
        <v>946.05840000000001</v>
      </c>
      <c r="H56" s="3">
        <f>B56*G56</f>
        <v>62099.273375999997</v>
      </c>
      <c r="I56" s="3">
        <f>C56*G56</f>
        <v>62174.958048</v>
      </c>
    </row>
    <row r="57" spans="1:9" x14ac:dyDescent="0.25">
      <c r="A57" t="s">
        <v>10</v>
      </c>
      <c r="B57" s="1">
        <v>35.89</v>
      </c>
      <c r="C57" s="1">
        <v>35.909999999999997</v>
      </c>
      <c r="D57" s="2" t="s">
        <v>19</v>
      </c>
      <c r="E57" s="8">
        <v>1730.0098</v>
      </c>
      <c r="F57" s="8">
        <f>F47</f>
        <v>0.2</v>
      </c>
      <c r="G57" s="8">
        <f>E57+F57</f>
        <v>1730.2098000000001</v>
      </c>
      <c r="H57" s="3">
        <f>B57*G57</f>
        <v>62097.229722000004</v>
      </c>
      <c r="I57" s="3">
        <f>C57*G57</f>
        <v>62131.833917999997</v>
      </c>
    </row>
    <row r="58" spans="1:9" x14ac:dyDescent="0.25">
      <c r="A58" t="s">
        <v>11</v>
      </c>
      <c r="B58" s="1">
        <v>54.07</v>
      </c>
      <c r="C58" s="1">
        <v>54.08</v>
      </c>
      <c r="D58" s="2" t="s">
        <v>19</v>
      </c>
      <c r="E58" s="8">
        <v>1148.7583999999999</v>
      </c>
      <c r="F58" s="8">
        <f>F48</f>
        <v>0.05</v>
      </c>
      <c r="G58" s="8">
        <f>E58+F58</f>
        <v>1148.8083999999999</v>
      </c>
      <c r="H58" s="3">
        <f>B58*G58</f>
        <v>62116.070187999998</v>
      </c>
      <c r="I58" s="3">
        <f>C58*G58</f>
        <v>62127.558271999995</v>
      </c>
    </row>
    <row r="59" spans="1:9" x14ac:dyDescent="0.25">
      <c r="A59" t="s">
        <v>12</v>
      </c>
      <c r="B59" s="1">
        <v>48.2</v>
      </c>
      <c r="C59" s="1">
        <v>48.21</v>
      </c>
      <c r="D59" s="2" t="s">
        <v>19</v>
      </c>
      <c r="E59" s="8">
        <v>1288.3256000000001</v>
      </c>
      <c r="F59" s="8">
        <f>F49</f>
        <v>0</v>
      </c>
      <c r="G59" s="8">
        <f>E59+F59</f>
        <v>1288.3256000000001</v>
      </c>
      <c r="H59" s="3">
        <f>B59*G59</f>
        <v>62097.293920000011</v>
      </c>
      <c r="I59" s="3">
        <f>C59*G59</f>
        <v>62110.177176000005</v>
      </c>
    </row>
    <row r="60" spans="1:9" x14ac:dyDescent="0.25">
      <c r="A60" t="s">
        <v>13</v>
      </c>
      <c r="B60" s="1">
        <v>17.559999999999999</v>
      </c>
      <c r="C60" s="1">
        <v>17.57</v>
      </c>
      <c r="D60" s="2" t="s">
        <v>19</v>
      </c>
      <c r="E60" s="8">
        <v>3535.8029000000001</v>
      </c>
      <c r="F60" s="8">
        <f>F50</f>
        <v>0</v>
      </c>
      <c r="G60" s="8">
        <f>E60+F60</f>
        <v>3535.8029000000001</v>
      </c>
      <c r="H60" s="3">
        <f>B60*G60</f>
        <v>62088.698923999997</v>
      </c>
      <c r="I60" s="3">
        <f>C60*G60</f>
        <v>62124.056953000007</v>
      </c>
    </row>
    <row r="61" spans="1:9" x14ac:dyDescent="0.25">
      <c r="A61" t="s">
        <v>14</v>
      </c>
      <c r="B61" s="1">
        <v>35.19</v>
      </c>
      <c r="C61" s="1">
        <v>35.200000000000003</v>
      </c>
      <c r="D61" s="2" t="s">
        <v>19</v>
      </c>
      <c r="E61" s="8">
        <v>1764.9141</v>
      </c>
      <c r="F61" s="8">
        <f>F51</f>
        <v>0.2</v>
      </c>
      <c r="G61" s="8">
        <f>E61+F61</f>
        <v>1765.1141</v>
      </c>
      <c r="H61" s="3">
        <f>B61*G61</f>
        <v>62114.365178999993</v>
      </c>
      <c r="I61" s="3">
        <f>C61*G61</f>
        <v>62132.016320000002</v>
      </c>
    </row>
    <row r="62" spans="1:9" x14ac:dyDescent="0.25">
      <c r="A62" t="s">
        <v>4</v>
      </c>
      <c r="B62" s="1">
        <v>20.56</v>
      </c>
      <c r="C62" s="1">
        <v>20.57</v>
      </c>
      <c r="D62" s="2" t="s">
        <v>20</v>
      </c>
      <c r="E62" s="8">
        <v>3014.7411999999999</v>
      </c>
      <c r="F62" s="8">
        <f>F52</f>
        <v>0</v>
      </c>
      <c r="G62" s="8">
        <f>E62+F62</f>
        <v>3014.7411999999999</v>
      </c>
      <c r="H62" s="3">
        <f>B62*G62</f>
        <v>61983.079071999993</v>
      </c>
      <c r="I62" s="3">
        <f>C62*G62</f>
        <v>62013.226483999999</v>
      </c>
    </row>
    <row r="63" spans="1:9" x14ac:dyDescent="0.25">
      <c r="A63" t="s">
        <v>6</v>
      </c>
      <c r="B63" s="1">
        <v>33.67</v>
      </c>
      <c r="C63" s="1">
        <v>33.68</v>
      </c>
      <c r="D63" s="2" t="s">
        <v>20</v>
      </c>
      <c r="E63" s="8">
        <v>1841.9992999999999</v>
      </c>
      <c r="F63" s="8">
        <f>F53</f>
        <v>-0.1</v>
      </c>
      <c r="G63" s="8">
        <f>E63+F63</f>
        <v>1841.8993</v>
      </c>
      <c r="H63" s="3">
        <f>B63*G63</f>
        <v>62016.749431000004</v>
      </c>
      <c r="I63" s="3">
        <f>C63*G63</f>
        <v>62035.168424000003</v>
      </c>
    </row>
    <row r="64" spans="1:9" x14ac:dyDescent="0.25">
      <c r="A64" t="s">
        <v>7</v>
      </c>
      <c r="B64" s="1">
        <v>17.48</v>
      </c>
      <c r="C64" s="1">
        <v>17.489999999999998</v>
      </c>
      <c r="D64" s="2" t="s">
        <v>20</v>
      </c>
      <c r="E64" s="8">
        <v>3546.2948999999999</v>
      </c>
      <c r="F64" s="8">
        <f>F54</f>
        <v>0</v>
      </c>
      <c r="G64" s="8">
        <f>E64+F64</f>
        <v>3546.2948999999999</v>
      </c>
      <c r="H64" s="3">
        <f>B64*G64</f>
        <v>61989.234852000001</v>
      </c>
      <c r="I64" s="3">
        <f>C64*G64</f>
        <v>62024.697800999995</v>
      </c>
    </row>
    <row r="65" spans="1:9" x14ac:dyDescent="0.25">
      <c r="A65" t="s">
        <v>8</v>
      </c>
      <c r="B65" s="1">
        <v>27.42</v>
      </c>
      <c r="C65" s="1">
        <v>27.43</v>
      </c>
      <c r="D65" s="2" t="s">
        <v>20</v>
      </c>
      <c r="E65" s="8">
        <v>2261.23</v>
      </c>
      <c r="F65" s="8">
        <f>F55</f>
        <v>-0.2</v>
      </c>
      <c r="G65" s="8">
        <f>E65+F65</f>
        <v>2261.0300000000002</v>
      </c>
      <c r="H65" s="3">
        <f>B65*G65</f>
        <v>61997.442600000009</v>
      </c>
      <c r="I65" s="3">
        <f>C65*G65</f>
        <v>62020.052900000002</v>
      </c>
    </row>
    <row r="66" spans="1:9" x14ac:dyDescent="0.25">
      <c r="A66" t="s">
        <v>9</v>
      </c>
      <c r="B66" s="1">
        <v>65.540000000000006</v>
      </c>
      <c r="C66" s="1">
        <v>65.61</v>
      </c>
      <c r="D66" s="2" t="s">
        <v>20</v>
      </c>
      <c r="E66" s="8">
        <v>946.05840000000001</v>
      </c>
      <c r="F66" s="8">
        <f>F56</f>
        <v>0</v>
      </c>
      <c r="G66" s="8">
        <f>E66+F66</f>
        <v>946.05840000000001</v>
      </c>
      <c r="H66" s="3">
        <f>B66*G66</f>
        <v>62004.667536000008</v>
      </c>
      <c r="I66" s="3">
        <f>C66*G66</f>
        <v>62070.891623999996</v>
      </c>
    </row>
    <row r="67" spans="1:9" x14ac:dyDescent="0.25">
      <c r="A67" t="s">
        <v>10</v>
      </c>
      <c r="B67" s="1">
        <v>35.83</v>
      </c>
      <c r="C67" s="1">
        <v>35.85</v>
      </c>
      <c r="D67" s="2" t="s">
        <v>20</v>
      </c>
      <c r="E67" s="8">
        <v>1730.0098</v>
      </c>
      <c r="F67" s="8">
        <f>F57</f>
        <v>0.2</v>
      </c>
      <c r="G67" s="8">
        <f>E67+F67</f>
        <v>1730.2098000000001</v>
      </c>
      <c r="H67" s="3">
        <f>B67*G67</f>
        <v>61993.417134000003</v>
      </c>
      <c r="I67" s="3">
        <f>C67*G67</f>
        <v>62028.021330000003</v>
      </c>
    </row>
    <row r="68" spans="1:9" x14ac:dyDescent="0.25">
      <c r="A68" t="s">
        <v>11</v>
      </c>
      <c r="B68" s="1">
        <v>53.98</v>
      </c>
      <c r="C68" s="1">
        <v>53.99</v>
      </c>
      <c r="D68" s="2" t="s">
        <v>20</v>
      </c>
      <c r="E68" s="8">
        <v>1148.7583999999999</v>
      </c>
      <c r="F68" s="8">
        <f>F58</f>
        <v>0.05</v>
      </c>
      <c r="G68" s="8">
        <f>E68+F68</f>
        <v>1148.8083999999999</v>
      </c>
      <c r="H68" s="3">
        <f>B68*G68</f>
        <v>62012.677431999989</v>
      </c>
      <c r="I68" s="3">
        <f>C68*G68</f>
        <v>62024.165515999994</v>
      </c>
    </row>
    <row r="69" spans="1:9" x14ac:dyDescent="0.25">
      <c r="A69" t="s">
        <v>12</v>
      </c>
      <c r="B69" s="1">
        <v>48.11</v>
      </c>
      <c r="C69" s="1">
        <v>48.12</v>
      </c>
      <c r="D69" s="2" t="s">
        <v>20</v>
      </c>
      <c r="E69" s="8">
        <v>1288.3256000000001</v>
      </c>
      <c r="F69" s="8">
        <f>F59</f>
        <v>0</v>
      </c>
      <c r="G69" s="8">
        <f>E69+F69</f>
        <v>1288.3256000000001</v>
      </c>
      <c r="H69" s="3">
        <f>B69*G69</f>
        <v>61981.344616000002</v>
      </c>
      <c r="I69" s="3">
        <f>C69*G69</f>
        <v>61994.227872000003</v>
      </c>
    </row>
    <row r="70" spans="1:9" x14ac:dyDescent="0.25">
      <c r="A70" t="s">
        <v>13</v>
      </c>
      <c r="B70" s="1">
        <v>17.53</v>
      </c>
      <c r="C70" s="1">
        <v>17.54</v>
      </c>
      <c r="D70" s="2" t="s">
        <v>20</v>
      </c>
      <c r="E70" s="8">
        <v>3535.8029000000001</v>
      </c>
      <c r="F70" s="8">
        <f>F60</f>
        <v>0</v>
      </c>
      <c r="G70" s="8">
        <f>E70+F70</f>
        <v>3535.8029000000001</v>
      </c>
      <c r="H70" s="3">
        <f>B70*G70</f>
        <v>61982.624837000003</v>
      </c>
      <c r="I70" s="3">
        <f>C70*G70</f>
        <v>62017.982865999998</v>
      </c>
    </row>
    <row r="71" spans="1:9" x14ac:dyDescent="0.25">
      <c r="A71" t="s">
        <v>14</v>
      </c>
      <c r="B71" s="1">
        <v>35.130000000000003</v>
      </c>
      <c r="C71" s="1">
        <v>35.14</v>
      </c>
      <c r="D71" s="2" t="s">
        <v>20</v>
      </c>
      <c r="E71" s="8">
        <v>1764.9141</v>
      </c>
      <c r="F71" s="8">
        <f>F61</f>
        <v>0.2</v>
      </c>
      <c r="G71" s="8">
        <f>E71+F71</f>
        <v>1765.1141</v>
      </c>
      <c r="H71" s="3">
        <f>B71*G71</f>
        <v>62008.458333000002</v>
      </c>
      <c r="I71" s="3">
        <f>C71*G71</f>
        <v>62026.109474000004</v>
      </c>
    </row>
    <row r="72" spans="1:9" x14ac:dyDescent="0.25">
      <c r="A72" t="s">
        <v>4</v>
      </c>
      <c r="B72" s="1">
        <v>20.45</v>
      </c>
      <c r="C72" s="1">
        <v>20.46</v>
      </c>
      <c r="D72" s="2" t="s">
        <v>21</v>
      </c>
      <c r="E72" s="8">
        <v>3014.7411999999999</v>
      </c>
      <c r="F72" s="8">
        <f>F62</f>
        <v>0</v>
      </c>
      <c r="G72" s="8">
        <f>E72+F72</f>
        <v>3014.7411999999999</v>
      </c>
      <c r="H72" s="3">
        <f>B72*G72</f>
        <v>61651.457539999996</v>
      </c>
      <c r="I72" s="3">
        <f>C72*G72</f>
        <v>61681.604952000002</v>
      </c>
    </row>
    <row r="73" spans="1:9" x14ac:dyDescent="0.25">
      <c r="A73" t="s">
        <v>6</v>
      </c>
      <c r="B73" s="1">
        <v>33.479999999999997</v>
      </c>
      <c r="C73" s="1">
        <v>33.49</v>
      </c>
      <c r="D73" s="2" t="s">
        <v>21</v>
      </c>
      <c r="E73" s="8">
        <v>1841.9992999999999</v>
      </c>
      <c r="F73" s="8">
        <f>F63</f>
        <v>-0.1</v>
      </c>
      <c r="G73" s="8">
        <f>E73+F73</f>
        <v>1841.8993</v>
      </c>
      <c r="H73" s="3">
        <f>B73*G73</f>
        <v>61666.788563999995</v>
      </c>
      <c r="I73" s="3">
        <f>C73*G73</f>
        <v>61685.207557000002</v>
      </c>
    </row>
    <row r="74" spans="1:9" x14ac:dyDescent="0.25">
      <c r="A74" t="s">
        <v>7</v>
      </c>
      <c r="B74" s="1">
        <v>17.38</v>
      </c>
      <c r="C74" s="1">
        <v>17.39</v>
      </c>
      <c r="D74" s="2" t="s">
        <v>21</v>
      </c>
      <c r="E74" s="8">
        <v>3546.2948999999999</v>
      </c>
      <c r="F74" s="8">
        <f>F64</f>
        <v>0</v>
      </c>
      <c r="G74" s="8">
        <f>E74+F74</f>
        <v>3546.2948999999999</v>
      </c>
      <c r="H74" s="3">
        <f>B74*G74</f>
        <v>61634.605361999995</v>
      </c>
      <c r="I74" s="3">
        <f>C74*G74</f>
        <v>61670.068311000003</v>
      </c>
    </row>
    <row r="75" spans="1:9" x14ac:dyDescent="0.25">
      <c r="A75" t="s">
        <v>8</v>
      </c>
      <c r="B75" s="1">
        <v>27.27</v>
      </c>
      <c r="C75" s="1">
        <v>27.28</v>
      </c>
      <c r="D75" s="2" t="s">
        <v>21</v>
      </c>
      <c r="E75" s="8">
        <v>2261.23</v>
      </c>
      <c r="F75" s="8">
        <f>F65</f>
        <v>-0.2</v>
      </c>
      <c r="G75" s="8">
        <f>E75+F75</f>
        <v>2261.0300000000002</v>
      </c>
      <c r="H75" s="3">
        <f>B75*G75</f>
        <v>61658.288100000005</v>
      </c>
      <c r="I75" s="3">
        <f>C75*G75</f>
        <v>61680.898400000005</v>
      </c>
    </row>
    <row r="76" spans="1:9" x14ac:dyDescent="0.25">
      <c r="A76" t="s">
        <v>9</v>
      </c>
      <c r="B76" s="1">
        <v>65.150000000000006</v>
      </c>
      <c r="C76" s="1">
        <v>65.25</v>
      </c>
      <c r="D76" s="2" t="s">
        <v>21</v>
      </c>
      <c r="E76" s="8">
        <v>946.05840000000001</v>
      </c>
      <c r="F76" s="8">
        <f>F66</f>
        <v>0</v>
      </c>
      <c r="G76" s="8">
        <f>E76+F76</f>
        <v>946.05840000000001</v>
      </c>
      <c r="H76" s="3">
        <f>B76*G76</f>
        <v>61635.704760000008</v>
      </c>
      <c r="I76" s="3">
        <f>C76*G76</f>
        <v>61730.310599999997</v>
      </c>
    </row>
    <row r="77" spans="1:9" x14ac:dyDescent="0.25">
      <c r="A77" t="s">
        <v>10</v>
      </c>
      <c r="B77" s="1">
        <v>35.619999999999997</v>
      </c>
      <c r="C77" s="1">
        <v>35.65</v>
      </c>
      <c r="D77" s="2" t="s">
        <v>21</v>
      </c>
      <c r="E77" s="8">
        <v>1730.0098</v>
      </c>
      <c r="F77" s="8">
        <f>F67</f>
        <v>0.2</v>
      </c>
      <c r="G77" s="8">
        <f>E77+F77</f>
        <v>1730.2098000000001</v>
      </c>
      <c r="H77" s="3">
        <f>B77*G77</f>
        <v>61630.073076000001</v>
      </c>
      <c r="I77" s="3">
        <f>C77*G77</f>
        <v>61681.979370000001</v>
      </c>
    </row>
    <row r="78" spans="1:9" x14ac:dyDescent="0.25">
      <c r="A78" t="s">
        <v>11</v>
      </c>
      <c r="B78" s="1">
        <v>53.68</v>
      </c>
      <c r="C78" s="1">
        <v>53.69</v>
      </c>
      <c r="D78" s="2" t="s">
        <v>21</v>
      </c>
      <c r="E78" s="8">
        <v>1148.7583999999999</v>
      </c>
      <c r="F78" s="8">
        <f>F68</f>
        <v>0.05</v>
      </c>
      <c r="G78" s="8">
        <f>E78+F78</f>
        <v>1148.8083999999999</v>
      </c>
      <c r="H78" s="3">
        <f>B78*G78</f>
        <v>61668.034911999996</v>
      </c>
      <c r="I78" s="3">
        <f>C78*G78</f>
        <v>61679.522995999992</v>
      </c>
    </row>
    <row r="79" spans="1:9" x14ac:dyDescent="0.25">
      <c r="A79" t="s">
        <v>12</v>
      </c>
      <c r="B79" s="1">
        <v>47.85</v>
      </c>
      <c r="C79" s="1">
        <v>47.86</v>
      </c>
      <c r="D79" s="2" t="s">
        <v>21</v>
      </c>
      <c r="E79" s="8">
        <v>1288.3256000000001</v>
      </c>
      <c r="F79" s="8">
        <f>F69</f>
        <v>0</v>
      </c>
      <c r="G79" s="8">
        <f>E79+F79</f>
        <v>1288.3256000000001</v>
      </c>
      <c r="H79" s="3">
        <f>B79*G79</f>
        <v>61646.379960000006</v>
      </c>
      <c r="I79" s="3">
        <f>C79*G79</f>
        <v>61659.263216000007</v>
      </c>
    </row>
    <row r="80" spans="1:9" x14ac:dyDescent="0.25">
      <c r="A80" t="s">
        <v>13</v>
      </c>
      <c r="B80" s="1">
        <v>17.43</v>
      </c>
      <c r="C80" s="1">
        <v>17.440000000000001</v>
      </c>
      <c r="D80" s="2" t="s">
        <v>21</v>
      </c>
      <c r="E80" s="8">
        <v>3535.8029000000001</v>
      </c>
      <c r="F80" s="8">
        <f>F70</f>
        <v>0</v>
      </c>
      <c r="G80" s="8">
        <f>E80+F80</f>
        <v>3535.8029000000001</v>
      </c>
      <c r="H80" s="3">
        <f>B80*G80</f>
        <v>61629.044547000005</v>
      </c>
      <c r="I80" s="3">
        <f>C80*G80</f>
        <v>61664.402576000008</v>
      </c>
    </row>
    <row r="81" spans="1:9" x14ac:dyDescent="0.25">
      <c r="A81" t="s">
        <v>14</v>
      </c>
      <c r="B81" s="1">
        <v>34.93</v>
      </c>
      <c r="C81" s="1">
        <v>34.94</v>
      </c>
      <c r="D81" s="2" t="s">
        <v>21</v>
      </c>
      <c r="E81" s="8">
        <v>1764.9141</v>
      </c>
      <c r="F81" s="8">
        <f>F71</f>
        <v>0.2</v>
      </c>
      <c r="G81" s="8">
        <f>E81+F81</f>
        <v>1765.1141</v>
      </c>
      <c r="H81" s="3">
        <f>B81*G81</f>
        <v>61655.435512999997</v>
      </c>
      <c r="I81" s="3">
        <f>C81*G81</f>
        <v>61673.086653999999</v>
      </c>
    </row>
    <row r="82" spans="1:9" x14ac:dyDescent="0.25">
      <c r="A82" t="s">
        <v>4</v>
      </c>
      <c r="B82" s="1">
        <v>20.49</v>
      </c>
      <c r="C82" s="1">
        <v>20.5</v>
      </c>
      <c r="D82" s="2" t="s">
        <v>22</v>
      </c>
      <c r="E82" s="8">
        <v>3014.7411999999999</v>
      </c>
      <c r="F82" s="8">
        <f>F72</f>
        <v>0</v>
      </c>
      <c r="G82" s="8">
        <f>E82+F82</f>
        <v>3014.7411999999999</v>
      </c>
      <c r="H82" s="3">
        <f>B82*G82</f>
        <v>61772.047187999997</v>
      </c>
      <c r="I82" s="3">
        <f>C82*G82</f>
        <v>61802.194599999995</v>
      </c>
    </row>
    <row r="83" spans="1:9" x14ac:dyDescent="0.25">
      <c r="A83" t="s">
        <v>6</v>
      </c>
      <c r="B83" s="1">
        <v>33.54</v>
      </c>
      <c r="C83" s="1">
        <v>33.549999999999997</v>
      </c>
      <c r="D83" s="2" t="s">
        <v>22</v>
      </c>
      <c r="E83" s="8">
        <v>1841.9992999999999</v>
      </c>
      <c r="F83" s="8">
        <f>F73</f>
        <v>-0.1</v>
      </c>
      <c r="G83" s="8">
        <f>E83+F83</f>
        <v>1841.8993</v>
      </c>
      <c r="H83" s="3">
        <f>B83*G83</f>
        <v>61777.302521999998</v>
      </c>
      <c r="I83" s="3">
        <f>C83*G83</f>
        <v>61795.721514999997</v>
      </c>
    </row>
    <row r="84" spans="1:9" x14ac:dyDescent="0.25">
      <c r="A84" t="s">
        <v>7</v>
      </c>
      <c r="B84" s="1">
        <v>17.420000000000002</v>
      </c>
      <c r="C84" s="1">
        <v>17.43</v>
      </c>
      <c r="D84" s="2" t="s">
        <v>22</v>
      </c>
      <c r="E84" s="8">
        <v>3546.2948999999999</v>
      </c>
      <c r="F84" s="8">
        <f>F74</f>
        <v>0</v>
      </c>
      <c r="G84" s="8">
        <f>E84+F84</f>
        <v>3546.2948999999999</v>
      </c>
      <c r="H84" s="3">
        <f>B84*G84</f>
        <v>61776.457158000005</v>
      </c>
      <c r="I84" s="3">
        <f>C84*G84</f>
        <v>61811.920106999998</v>
      </c>
    </row>
    <row r="85" spans="1:9" x14ac:dyDescent="0.25">
      <c r="A85" t="s">
        <v>8</v>
      </c>
      <c r="B85" s="1">
        <v>27.32</v>
      </c>
      <c r="C85" s="1">
        <v>27.33</v>
      </c>
      <c r="D85" s="2" t="s">
        <v>22</v>
      </c>
      <c r="E85" s="8">
        <v>2261.23</v>
      </c>
      <c r="F85" s="8">
        <f>F75</f>
        <v>-0.2</v>
      </c>
      <c r="G85" s="8">
        <f>E85+F85</f>
        <v>2261.0300000000002</v>
      </c>
      <c r="H85" s="3">
        <f>B85*G85</f>
        <v>61771.339600000007</v>
      </c>
      <c r="I85" s="3">
        <f>C85*G85</f>
        <v>61793.9499</v>
      </c>
    </row>
    <row r="86" spans="1:9" x14ac:dyDescent="0.25">
      <c r="A86" t="s">
        <v>9</v>
      </c>
      <c r="B86" s="1">
        <v>65.290000000000006</v>
      </c>
      <c r="C86" s="1">
        <v>65.37</v>
      </c>
      <c r="D86" s="2" t="s">
        <v>22</v>
      </c>
      <c r="E86" s="8">
        <v>946.05840000000001</v>
      </c>
      <c r="F86" s="8">
        <f>F76</f>
        <v>0</v>
      </c>
      <c r="G86" s="8">
        <f>E86+F86</f>
        <v>946.05840000000001</v>
      </c>
      <c r="H86" s="3">
        <f>B86*G86</f>
        <v>61768.152936000006</v>
      </c>
      <c r="I86" s="3">
        <f>C86*G86</f>
        <v>61843.837608000002</v>
      </c>
    </row>
    <row r="87" spans="1:9" x14ac:dyDescent="0.25">
      <c r="A87" t="s">
        <v>10</v>
      </c>
      <c r="B87" s="1">
        <v>35.700000000000003</v>
      </c>
      <c r="C87" s="1">
        <v>35.71</v>
      </c>
      <c r="D87" s="2" t="s">
        <v>22</v>
      </c>
      <c r="E87" s="8">
        <v>1730.0098</v>
      </c>
      <c r="F87" s="8">
        <f>F77</f>
        <v>0.2</v>
      </c>
      <c r="G87" s="8">
        <f>E87+F87</f>
        <v>1730.2098000000001</v>
      </c>
      <c r="H87" s="3">
        <f>B87*G87</f>
        <v>61768.489860000009</v>
      </c>
      <c r="I87" s="3">
        <f>C87*G87</f>
        <v>61785.791958000002</v>
      </c>
    </row>
    <row r="88" spans="1:9" x14ac:dyDescent="0.25">
      <c r="A88" t="s">
        <v>11</v>
      </c>
      <c r="B88" s="1">
        <v>53.78</v>
      </c>
      <c r="C88" s="1">
        <v>53.79</v>
      </c>
      <c r="D88" s="2" t="s">
        <v>22</v>
      </c>
      <c r="E88" s="8">
        <v>1148.7583999999999</v>
      </c>
      <c r="F88" s="8">
        <f>F78</f>
        <v>0.05</v>
      </c>
      <c r="G88" s="8">
        <f>E88+F88</f>
        <v>1148.8083999999999</v>
      </c>
      <c r="H88" s="3">
        <f>B88*G88</f>
        <v>61782.915751999994</v>
      </c>
      <c r="I88" s="3">
        <f>C88*G88</f>
        <v>61794.40383599999</v>
      </c>
    </row>
    <row r="89" spans="1:9" x14ac:dyDescent="0.25">
      <c r="A89" t="s">
        <v>12</v>
      </c>
      <c r="B89" s="1">
        <v>47.94</v>
      </c>
      <c r="C89" s="1">
        <v>47.95</v>
      </c>
      <c r="D89" s="2" t="s">
        <v>22</v>
      </c>
      <c r="E89" s="8">
        <v>1288.3256000000001</v>
      </c>
      <c r="F89" s="8">
        <f>F79</f>
        <v>0</v>
      </c>
      <c r="G89" s="8">
        <f>E89+F89</f>
        <v>1288.3256000000001</v>
      </c>
      <c r="H89" s="3">
        <f>B89*G89</f>
        <v>61762.329264</v>
      </c>
      <c r="I89" s="3">
        <f>C89*G89</f>
        <v>61775.212520000008</v>
      </c>
    </row>
    <row r="90" spans="1:9" x14ac:dyDescent="0.25">
      <c r="A90" t="s">
        <v>13</v>
      </c>
      <c r="B90" s="1">
        <v>17.46</v>
      </c>
      <c r="C90" s="1">
        <v>17.47</v>
      </c>
      <c r="D90" s="2" t="s">
        <v>22</v>
      </c>
      <c r="E90" s="8">
        <v>3535.8029000000001</v>
      </c>
      <c r="F90" s="8">
        <f>F80</f>
        <v>0</v>
      </c>
      <c r="G90" s="8">
        <f>E90+F90</f>
        <v>3535.8029000000001</v>
      </c>
      <c r="H90" s="3">
        <f>B90*G90</f>
        <v>61735.118634000006</v>
      </c>
      <c r="I90" s="3">
        <f>C90*G90</f>
        <v>61770.476663000001</v>
      </c>
    </row>
    <row r="91" spans="1:9" x14ac:dyDescent="0.25">
      <c r="A91" t="s">
        <v>14</v>
      </c>
      <c r="B91" s="1">
        <v>35</v>
      </c>
      <c r="C91" s="1">
        <v>35.01</v>
      </c>
      <c r="D91" s="2" t="s">
        <v>22</v>
      </c>
      <c r="E91" s="8">
        <v>1764.9141</v>
      </c>
      <c r="F91" s="8">
        <f>F81</f>
        <v>0.2</v>
      </c>
      <c r="G91" s="8">
        <f>E91+F91</f>
        <v>1765.1141</v>
      </c>
      <c r="H91" s="3">
        <f>B91*G91</f>
        <v>61778.993499999997</v>
      </c>
      <c r="I91" s="3">
        <f>C91*G91</f>
        <v>61796.644640999999</v>
      </c>
    </row>
    <row r="92" spans="1:9" x14ac:dyDescent="0.25">
      <c r="A92" t="s">
        <v>4</v>
      </c>
      <c r="B92" s="1">
        <v>20.55</v>
      </c>
      <c r="C92" s="1">
        <v>20.56</v>
      </c>
      <c r="D92" s="2" t="s">
        <v>23</v>
      </c>
      <c r="E92" s="8">
        <v>3014.7411999999999</v>
      </c>
      <c r="F92" s="8">
        <f>F82</f>
        <v>0</v>
      </c>
      <c r="G92" s="8">
        <f>E92+F92</f>
        <v>3014.7411999999999</v>
      </c>
      <c r="H92" s="3">
        <f>B92*G92</f>
        <v>61952.931660000002</v>
      </c>
      <c r="I92" s="3">
        <f>C92*G92</f>
        <v>61983.079071999993</v>
      </c>
    </row>
    <row r="93" spans="1:9" x14ac:dyDescent="0.25">
      <c r="A93" t="s">
        <v>6</v>
      </c>
      <c r="B93" s="1">
        <v>33.65</v>
      </c>
      <c r="C93" s="1">
        <v>33.659999999999997</v>
      </c>
      <c r="D93" s="2" t="s">
        <v>23</v>
      </c>
      <c r="E93" s="8">
        <v>1841.9992999999999</v>
      </c>
      <c r="F93" s="8">
        <f>F83</f>
        <v>-0.1</v>
      </c>
      <c r="G93" s="8">
        <f>E93+F93</f>
        <v>1841.8993</v>
      </c>
      <c r="H93" s="3">
        <f>B93*G93</f>
        <v>61979.911444999998</v>
      </c>
      <c r="I93" s="3">
        <f>C93*G93</f>
        <v>61998.330437999997</v>
      </c>
    </row>
    <row r="94" spans="1:9" x14ac:dyDescent="0.25">
      <c r="A94" t="s">
        <v>7</v>
      </c>
      <c r="B94" s="1">
        <v>17.47</v>
      </c>
      <c r="C94" s="1">
        <v>17.48</v>
      </c>
      <c r="D94" s="2" t="s">
        <v>23</v>
      </c>
      <c r="E94" s="8">
        <v>3546.2948999999999</v>
      </c>
      <c r="F94" s="8">
        <f>F84</f>
        <v>0</v>
      </c>
      <c r="G94" s="8">
        <f>E94+F94</f>
        <v>3546.2948999999999</v>
      </c>
      <c r="H94" s="3">
        <f>B94*G94</f>
        <v>61953.771902999993</v>
      </c>
      <c r="I94" s="3">
        <f>C94*G94</f>
        <v>61989.234852000001</v>
      </c>
    </row>
    <row r="95" spans="1:9" x14ac:dyDescent="0.25">
      <c r="A95" t="s">
        <v>8</v>
      </c>
      <c r="B95" s="1">
        <v>27.41</v>
      </c>
      <c r="C95" s="1">
        <v>27.42</v>
      </c>
      <c r="D95" s="2" t="s">
        <v>23</v>
      </c>
      <c r="E95" s="8">
        <v>2261.23</v>
      </c>
      <c r="F95" s="8">
        <f>F85</f>
        <v>-0.2</v>
      </c>
      <c r="G95" s="8">
        <f>E95+F95</f>
        <v>2261.0300000000002</v>
      </c>
      <c r="H95" s="3">
        <f>B95*G95</f>
        <v>61974.832300000009</v>
      </c>
      <c r="I95" s="3">
        <f>C95*G95</f>
        <v>61997.442600000009</v>
      </c>
    </row>
    <row r="96" spans="1:9" x14ac:dyDescent="0.25">
      <c r="A96" t="s">
        <v>9</v>
      </c>
      <c r="B96" s="1">
        <v>65.48</v>
      </c>
      <c r="C96" s="1">
        <v>65.569999999999993</v>
      </c>
      <c r="D96" s="2" t="s">
        <v>23</v>
      </c>
      <c r="E96" s="8">
        <v>946.05840000000001</v>
      </c>
      <c r="F96" s="8">
        <f>F86</f>
        <v>0</v>
      </c>
      <c r="G96" s="8">
        <f>E96+F96</f>
        <v>946.05840000000001</v>
      </c>
      <c r="H96" s="3">
        <f>B96*G96</f>
        <v>61947.904032000006</v>
      </c>
      <c r="I96" s="3">
        <f>C96*G96</f>
        <v>62033.049287999995</v>
      </c>
    </row>
    <row r="97" spans="1:9" x14ac:dyDescent="0.25">
      <c r="A97" t="s">
        <v>10</v>
      </c>
      <c r="B97" s="1">
        <v>35.81</v>
      </c>
      <c r="C97" s="1">
        <v>35.83</v>
      </c>
      <c r="D97" s="2" t="s">
        <v>23</v>
      </c>
      <c r="E97" s="8">
        <v>1730.0098</v>
      </c>
      <c r="F97" s="8">
        <f>F87</f>
        <v>0.2</v>
      </c>
      <c r="G97" s="8">
        <f>E97+F97</f>
        <v>1730.2098000000001</v>
      </c>
      <c r="H97" s="3">
        <f>B97*G97</f>
        <v>61958.81293800001</v>
      </c>
      <c r="I97" s="3">
        <f>C97*G97</f>
        <v>61993.417134000003</v>
      </c>
    </row>
    <row r="98" spans="1:9" x14ac:dyDescent="0.25">
      <c r="A98" t="s">
        <v>11</v>
      </c>
      <c r="B98" s="1">
        <v>53.95</v>
      </c>
      <c r="C98" s="1">
        <v>53.96</v>
      </c>
      <c r="D98" s="2" t="s">
        <v>23</v>
      </c>
      <c r="E98" s="8">
        <v>1148.7583999999999</v>
      </c>
      <c r="F98" s="8">
        <f>F88</f>
        <v>0.05</v>
      </c>
      <c r="G98" s="8">
        <f>E98+F98</f>
        <v>1148.8083999999999</v>
      </c>
      <c r="H98" s="3">
        <f>B98*G98</f>
        <v>61978.213179999999</v>
      </c>
      <c r="I98" s="3">
        <f>C98*G98</f>
        <v>61989.701263999996</v>
      </c>
    </row>
    <row r="99" spans="1:9" x14ac:dyDescent="0.25">
      <c r="A99" t="s">
        <v>12</v>
      </c>
      <c r="B99" s="1">
        <v>48.09</v>
      </c>
      <c r="C99" s="1">
        <v>48.1</v>
      </c>
      <c r="D99" s="2" t="s">
        <v>23</v>
      </c>
      <c r="E99" s="8">
        <v>1288.3256000000001</v>
      </c>
      <c r="F99" s="8">
        <f>F89</f>
        <v>0</v>
      </c>
      <c r="G99" s="8">
        <f>E99+F99</f>
        <v>1288.3256000000001</v>
      </c>
      <c r="H99" s="3">
        <f>B99*G99</f>
        <v>61955.578104000007</v>
      </c>
      <c r="I99" s="3">
        <f>C99*G99</f>
        <v>61968.461360000008</v>
      </c>
    </row>
    <row r="100" spans="1:9" x14ac:dyDescent="0.25">
      <c r="A100" t="s">
        <v>13</v>
      </c>
      <c r="B100" s="1">
        <v>17.52</v>
      </c>
      <c r="C100" s="1">
        <v>17.53</v>
      </c>
      <c r="D100" s="2" t="s">
        <v>23</v>
      </c>
      <c r="E100" s="8">
        <v>3535.8029000000001</v>
      </c>
      <c r="F100" s="8">
        <f>F90</f>
        <v>0</v>
      </c>
      <c r="G100" s="8">
        <f>E100+F100</f>
        <v>3535.8029000000001</v>
      </c>
      <c r="H100" s="3">
        <f>B100*G100</f>
        <v>61947.266808</v>
      </c>
      <c r="I100" s="3">
        <f>C100*G100</f>
        <v>61982.624837000003</v>
      </c>
    </row>
    <row r="101" spans="1:9" x14ac:dyDescent="0.25">
      <c r="A101" t="s">
        <v>14</v>
      </c>
      <c r="B101" s="1">
        <v>35.11</v>
      </c>
      <c r="C101" s="1">
        <v>35.119999999999997</v>
      </c>
      <c r="D101" s="2" t="s">
        <v>23</v>
      </c>
      <c r="E101" s="8">
        <v>1764.9141</v>
      </c>
      <c r="F101" s="8">
        <f>F91</f>
        <v>0.2</v>
      </c>
      <c r="G101" s="8">
        <f>E101+F101</f>
        <v>1765.1141</v>
      </c>
      <c r="H101" s="3">
        <f>B101*G101</f>
        <v>61973.156050999998</v>
      </c>
      <c r="I101" s="3">
        <f>C101*G101</f>
        <v>61990.807191999993</v>
      </c>
    </row>
    <row r="102" spans="1:9" x14ac:dyDescent="0.25">
      <c r="A102" t="s">
        <v>4</v>
      </c>
      <c r="B102" s="1">
        <v>20.51</v>
      </c>
      <c r="C102" s="1">
        <v>20.52</v>
      </c>
      <c r="D102" s="2" t="s">
        <v>24</v>
      </c>
      <c r="E102" s="8">
        <v>3014.7411999999999</v>
      </c>
      <c r="F102" s="8">
        <f>F92</f>
        <v>0</v>
      </c>
      <c r="G102" s="8">
        <f>E102+F102</f>
        <v>3014.7411999999999</v>
      </c>
      <c r="H102" s="3">
        <f>B102*G102</f>
        <v>61832.342012000001</v>
      </c>
      <c r="I102" s="3">
        <f>C102*G102</f>
        <v>61862.489423999999</v>
      </c>
    </row>
    <row r="103" spans="1:9" x14ac:dyDescent="0.25">
      <c r="A103" t="s">
        <v>6</v>
      </c>
      <c r="B103" s="1">
        <v>33.590000000000003</v>
      </c>
      <c r="C103" s="1">
        <v>33.6</v>
      </c>
      <c r="D103" s="2" t="s">
        <v>24</v>
      </c>
      <c r="E103" s="8">
        <v>1841.9992999999999</v>
      </c>
      <c r="F103" s="8">
        <f>F93</f>
        <v>-0.1</v>
      </c>
      <c r="G103" s="8">
        <f>E103+F103</f>
        <v>1841.8993</v>
      </c>
      <c r="H103" s="3">
        <f>B103*G103</f>
        <v>61869.397487000009</v>
      </c>
      <c r="I103" s="3">
        <f>C103*G103</f>
        <v>61887.816480000001</v>
      </c>
    </row>
    <row r="104" spans="1:9" x14ac:dyDescent="0.25">
      <c r="A104" t="s">
        <v>7</v>
      </c>
      <c r="B104" s="1">
        <v>17.440000000000001</v>
      </c>
      <c r="C104" s="1">
        <v>17.45</v>
      </c>
      <c r="D104" s="2" t="s">
        <v>24</v>
      </c>
      <c r="E104" s="8">
        <v>3546.2948999999999</v>
      </c>
      <c r="F104" s="8">
        <f>F94</f>
        <v>0</v>
      </c>
      <c r="G104" s="8">
        <f>E104+F104</f>
        <v>3546.2948999999999</v>
      </c>
      <c r="H104" s="3">
        <f>B104*G104</f>
        <v>61847.383055999999</v>
      </c>
      <c r="I104" s="3">
        <f>C104*G104</f>
        <v>61882.846004999992</v>
      </c>
    </row>
    <row r="105" spans="1:9" x14ac:dyDescent="0.25">
      <c r="A105" t="s">
        <v>8</v>
      </c>
      <c r="B105" s="1">
        <v>27.36</v>
      </c>
      <c r="C105" s="1">
        <v>27.37</v>
      </c>
      <c r="D105" s="2" t="s">
        <v>24</v>
      </c>
      <c r="E105" s="8">
        <v>2261.23</v>
      </c>
      <c r="F105" s="8">
        <f>F95</f>
        <v>-0.2</v>
      </c>
      <c r="G105" s="8">
        <f>E105+F105</f>
        <v>2261.0300000000002</v>
      </c>
      <c r="H105" s="3">
        <f>B105*G105</f>
        <v>61861.780800000008</v>
      </c>
      <c r="I105" s="3">
        <f>C105*G105</f>
        <v>61884.391100000008</v>
      </c>
    </row>
    <row r="106" spans="1:9" x14ac:dyDescent="0.25">
      <c r="A106" t="s">
        <v>9</v>
      </c>
      <c r="B106" s="1">
        <v>65.37</v>
      </c>
      <c r="C106" s="1">
        <v>65.47</v>
      </c>
      <c r="D106" s="2" t="s">
        <v>24</v>
      </c>
      <c r="E106" s="8">
        <v>946.05840000000001</v>
      </c>
      <c r="F106" s="8">
        <f>F96</f>
        <v>0</v>
      </c>
      <c r="G106" s="8">
        <f>E106+F106</f>
        <v>946.05840000000001</v>
      </c>
      <c r="H106" s="3">
        <f>B106*G106</f>
        <v>61843.837608000002</v>
      </c>
      <c r="I106" s="3">
        <f>C106*G106</f>
        <v>61938.443447999998</v>
      </c>
    </row>
    <row r="107" spans="1:9" x14ac:dyDescent="0.25">
      <c r="A107" t="s">
        <v>10</v>
      </c>
      <c r="B107" s="1">
        <v>35.75</v>
      </c>
      <c r="C107" s="1">
        <v>35.770000000000003</v>
      </c>
      <c r="D107" s="2" t="s">
        <v>24</v>
      </c>
      <c r="E107" s="8">
        <v>1730.0098</v>
      </c>
      <c r="F107" s="8">
        <f>F97</f>
        <v>0.2</v>
      </c>
      <c r="G107" s="8">
        <f>E107+F107</f>
        <v>1730.2098000000001</v>
      </c>
      <c r="H107" s="3">
        <f>B107*G107</f>
        <v>61855.000350000002</v>
      </c>
      <c r="I107" s="3">
        <f>C107*G107</f>
        <v>61889.60454600001</v>
      </c>
    </row>
    <row r="108" spans="1:9" x14ac:dyDescent="0.25">
      <c r="A108" t="s">
        <v>11</v>
      </c>
      <c r="B108" s="1">
        <v>53.86</v>
      </c>
      <c r="C108" s="1">
        <v>53.87</v>
      </c>
      <c r="D108" s="2" t="s">
        <v>24</v>
      </c>
      <c r="E108" s="8">
        <v>1148.7583999999999</v>
      </c>
      <c r="F108" s="8">
        <f>F98</f>
        <v>0.05</v>
      </c>
      <c r="G108" s="8">
        <f>E108+F108</f>
        <v>1148.8083999999999</v>
      </c>
      <c r="H108" s="3">
        <f>B108*G108</f>
        <v>61874.82042399999</v>
      </c>
      <c r="I108" s="3">
        <f>C108*G108</f>
        <v>61886.308507999995</v>
      </c>
    </row>
    <row r="109" spans="1:9" x14ac:dyDescent="0.25">
      <c r="A109" t="s">
        <v>12</v>
      </c>
      <c r="B109" s="1">
        <v>48.01</v>
      </c>
      <c r="C109" s="1">
        <v>48.02</v>
      </c>
      <c r="D109" s="2" t="s">
        <v>24</v>
      </c>
      <c r="E109" s="8">
        <v>1288.3256000000001</v>
      </c>
      <c r="F109" s="8">
        <f>F99</f>
        <v>0</v>
      </c>
      <c r="G109" s="8">
        <f>E109+F109</f>
        <v>1288.3256000000001</v>
      </c>
      <c r="H109" s="3">
        <f>B109*G109</f>
        <v>61852.512056000007</v>
      </c>
      <c r="I109" s="3">
        <f>C109*G109</f>
        <v>61865.395312000008</v>
      </c>
    </row>
    <row r="110" spans="1:9" x14ac:dyDescent="0.25">
      <c r="A110" t="s">
        <v>13</v>
      </c>
      <c r="B110" s="1">
        <v>17.489999999999998</v>
      </c>
      <c r="C110" s="1">
        <v>17.5</v>
      </c>
      <c r="D110" s="2" t="s">
        <v>24</v>
      </c>
      <c r="E110" s="8">
        <v>3535.8029000000001</v>
      </c>
      <c r="F110" s="8">
        <f>F100</f>
        <v>0</v>
      </c>
      <c r="G110" s="8">
        <f>E110+F110</f>
        <v>3535.8029000000001</v>
      </c>
      <c r="H110" s="3">
        <f>B110*G110</f>
        <v>61841.192720999999</v>
      </c>
      <c r="I110" s="3">
        <f>C110*G110</f>
        <v>61876.550750000002</v>
      </c>
    </row>
    <row r="111" spans="1:9" x14ac:dyDescent="0.25">
      <c r="A111" t="s">
        <v>14</v>
      </c>
      <c r="B111" s="1">
        <v>35.049999999999997</v>
      </c>
      <c r="C111" s="1">
        <v>35.06</v>
      </c>
      <c r="D111" s="2" t="s">
        <v>24</v>
      </c>
      <c r="E111" s="8">
        <v>1764.9141</v>
      </c>
      <c r="F111" s="8">
        <f>F101</f>
        <v>0.2</v>
      </c>
      <c r="G111" s="8">
        <f>E111+F111</f>
        <v>1765.1141</v>
      </c>
      <c r="H111" s="3">
        <f>B111*G111</f>
        <v>61867.249204999993</v>
      </c>
      <c r="I111" s="3">
        <f>C111*G111</f>
        <v>61884.900346000002</v>
      </c>
    </row>
    <row r="112" spans="1:9" x14ac:dyDescent="0.25">
      <c r="A112" t="s">
        <v>4</v>
      </c>
      <c r="B112" s="1">
        <v>20.47</v>
      </c>
      <c r="C112" s="1">
        <v>20.48</v>
      </c>
      <c r="D112" s="2" t="s">
        <v>25</v>
      </c>
      <c r="E112" s="8">
        <v>3014.7411999999999</v>
      </c>
      <c r="F112" s="8">
        <f>F102</f>
        <v>0</v>
      </c>
      <c r="G112" s="8">
        <f>E112+F112</f>
        <v>3014.7411999999999</v>
      </c>
      <c r="H112" s="3">
        <f>B112*G112</f>
        <v>61711.752363999993</v>
      </c>
      <c r="I112" s="3">
        <f>C112*G112</f>
        <v>61741.899775999998</v>
      </c>
    </row>
    <row r="113" spans="1:9" x14ac:dyDescent="0.25">
      <c r="A113" t="s">
        <v>6</v>
      </c>
      <c r="B113" s="1">
        <v>33.520000000000003</v>
      </c>
      <c r="C113" s="1">
        <v>33.520000000000003</v>
      </c>
      <c r="D113" s="2" t="s">
        <v>25</v>
      </c>
      <c r="E113" s="8">
        <v>1841.9992999999999</v>
      </c>
      <c r="F113" s="8">
        <f>F103</f>
        <v>-0.1</v>
      </c>
      <c r="G113" s="8">
        <f>E113+F113</f>
        <v>1841.8993</v>
      </c>
      <c r="H113" s="3">
        <f>B113*G113</f>
        <v>61740.464536000007</v>
      </c>
      <c r="I113" s="3">
        <f>C113*G113</f>
        <v>61740.464536000007</v>
      </c>
    </row>
    <row r="114" spans="1:9" x14ac:dyDescent="0.25">
      <c r="A114" t="s">
        <v>7</v>
      </c>
      <c r="B114" s="1">
        <v>17.399999999999999</v>
      </c>
      <c r="C114" s="1">
        <v>17.41</v>
      </c>
      <c r="D114" s="2" t="s">
        <v>25</v>
      </c>
      <c r="E114" s="8">
        <v>3546.2948999999999</v>
      </c>
      <c r="F114" s="8">
        <f>F104</f>
        <v>0</v>
      </c>
      <c r="G114" s="8">
        <f>E114+F114</f>
        <v>3546.2948999999999</v>
      </c>
      <c r="H114" s="3">
        <f>B114*G114</f>
        <v>61705.531259999996</v>
      </c>
      <c r="I114" s="3">
        <f>C114*G114</f>
        <v>61740.994208999997</v>
      </c>
    </row>
    <row r="115" spans="1:9" x14ac:dyDescent="0.25">
      <c r="A115" t="s">
        <v>8</v>
      </c>
      <c r="B115" s="1">
        <v>27.29</v>
      </c>
      <c r="C115" s="1">
        <v>27.3</v>
      </c>
      <c r="D115" s="2" t="s">
        <v>25</v>
      </c>
      <c r="E115" s="8">
        <v>2261.23</v>
      </c>
      <c r="F115" s="8">
        <f>F105</f>
        <v>-0.2</v>
      </c>
      <c r="G115" s="8">
        <f>E115+F115</f>
        <v>2261.0300000000002</v>
      </c>
      <c r="H115" s="3">
        <f>B115*G115</f>
        <v>61703.508700000006</v>
      </c>
      <c r="I115" s="3">
        <f>C115*G115</f>
        <v>61726.119000000006</v>
      </c>
    </row>
    <row r="116" spans="1:9" x14ac:dyDescent="0.25">
      <c r="A116" t="s">
        <v>9</v>
      </c>
      <c r="B116" s="1">
        <v>65.23</v>
      </c>
      <c r="C116" s="1">
        <v>65.31</v>
      </c>
      <c r="D116" s="2" t="s">
        <v>25</v>
      </c>
      <c r="E116" s="8">
        <v>946.05840000000001</v>
      </c>
      <c r="F116" s="8">
        <f>F106</f>
        <v>0</v>
      </c>
      <c r="G116" s="8">
        <f>E116+F116</f>
        <v>946.05840000000001</v>
      </c>
      <c r="H116" s="3">
        <f>B116*G116</f>
        <v>61711.389432000004</v>
      </c>
      <c r="I116" s="3">
        <f>C116*G116</f>
        <v>61787.074103999999</v>
      </c>
    </row>
    <row r="117" spans="1:9" x14ac:dyDescent="0.25">
      <c r="A117" t="s">
        <v>10</v>
      </c>
      <c r="B117" s="1">
        <v>35.67</v>
      </c>
      <c r="C117" s="1">
        <v>35.68</v>
      </c>
      <c r="D117" s="2" t="s">
        <v>25</v>
      </c>
      <c r="E117" s="8">
        <v>1730.0098</v>
      </c>
      <c r="F117" s="8">
        <f>F107</f>
        <v>0.2</v>
      </c>
      <c r="G117" s="8">
        <f>E117+F117</f>
        <v>1730.2098000000001</v>
      </c>
      <c r="H117" s="3">
        <f>B117*G117</f>
        <v>61716.583566000008</v>
      </c>
      <c r="I117" s="3">
        <f>C117*G117</f>
        <v>61733.885664000001</v>
      </c>
    </row>
    <row r="118" spans="1:9" x14ac:dyDescent="0.25">
      <c r="A118" t="s">
        <v>11</v>
      </c>
      <c r="B118" s="1">
        <v>53.74</v>
      </c>
      <c r="C118" s="1">
        <v>53.75</v>
      </c>
      <c r="D118" s="2" t="s">
        <v>25</v>
      </c>
      <c r="E118" s="8">
        <v>1148.7583999999999</v>
      </c>
      <c r="F118" s="8">
        <f>F108</f>
        <v>0.05</v>
      </c>
      <c r="G118" s="8">
        <f>E118+F118</f>
        <v>1148.8083999999999</v>
      </c>
      <c r="H118" s="3">
        <f>B118*G118</f>
        <v>61736.963415999999</v>
      </c>
      <c r="I118" s="3">
        <f>C118*G118</f>
        <v>61748.451499999996</v>
      </c>
    </row>
    <row r="119" spans="1:9" x14ac:dyDescent="0.25">
      <c r="A119" t="s">
        <v>12</v>
      </c>
      <c r="B119" s="1">
        <v>47.9</v>
      </c>
      <c r="C119" s="1">
        <v>47.91</v>
      </c>
      <c r="D119" s="2" t="s">
        <v>25</v>
      </c>
      <c r="E119" s="8">
        <v>1288.3256000000001</v>
      </c>
      <c r="F119" s="8">
        <f>F109</f>
        <v>0</v>
      </c>
      <c r="G119" s="8">
        <f>E119+F119</f>
        <v>1288.3256000000001</v>
      </c>
      <c r="H119" s="3">
        <f>B119*G119</f>
        <v>61710.796240000003</v>
      </c>
      <c r="I119" s="3">
        <f>C119*G119</f>
        <v>61723.679496000004</v>
      </c>
    </row>
    <row r="120" spans="1:9" x14ac:dyDescent="0.25">
      <c r="A120" t="s">
        <v>13</v>
      </c>
      <c r="B120" s="1">
        <v>17.45</v>
      </c>
      <c r="C120" s="1">
        <v>17.46</v>
      </c>
      <c r="D120" s="2" t="s">
        <v>25</v>
      </c>
      <c r="E120" s="8">
        <v>3535.8029000000001</v>
      </c>
      <c r="F120" s="8">
        <f>F110</f>
        <v>0</v>
      </c>
      <c r="G120" s="8">
        <f>E120+F120</f>
        <v>3535.8029000000001</v>
      </c>
      <c r="H120" s="3">
        <f>B120*G120</f>
        <v>61699.760605000003</v>
      </c>
      <c r="I120" s="3">
        <f>C120*G120</f>
        <v>61735.118634000006</v>
      </c>
    </row>
    <row r="121" spans="1:9" x14ac:dyDescent="0.25">
      <c r="A121" t="s">
        <v>14</v>
      </c>
      <c r="B121" s="1">
        <v>34.97</v>
      </c>
      <c r="C121" s="1">
        <v>34.979999999999997</v>
      </c>
      <c r="D121" s="2" t="s">
        <v>25</v>
      </c>
      <c r="E121" s="8">
        <v>1764.9141</v>
      </c>
      <c r="F121" s="8">
        <f>F111</f>
        <v>0.2</v>
      </c>
      <c r="G121" s="8">
        <f>E121+F121</f>
        <v>1765.1141</v>
      </c>
      <c r="H121" s="3">
        <f>B121*G121</f>
        <v>61726.040076999998</v>
      </c>
      <c r="I121" s="3">
        <f>C121*G121</f>
        <v>61743.691217999993</v>
      </c>
    </row>
    <row r="122" spans="1:9" x14ac:dyDescent="0.25">
      <c r="A122" t="s">
        <v>4</v>
      </c>
      <c r="B122" s="1">
        <v>20.47</v>
      </c>
      <c r="C122" s="1">
        <v>20.48</v>
      </c>
      <c r="D122" s="2" t="s">
        <v>26</v>
      </c>
      <c r="E122" s="8">
        <v>3014.7411999999999</v>
      </c>
      <c r="F122" s="8">
        <f>F112</f>
        <v>0</v>
      </c>
      <c r="G122" s="8">
        <f>E122+F122</f>
        <v>3014.7411999999999</v>
      </c>
      <c r="H122" s="3">
        <f>B122*G122</f>
        <v>61711.752363999993</v>
      </c>
      <c r="I122" s="3">
        <f>C122*G122</f>
        <v>61741.899775999998</v>
      </c>
    </row>
    <row r="123" spans="1:9" x14ac:dyDescent="0.25">
      <c r="A123" t="s">
        <v>6</v>
      </c>
      <c r="B123" s="1">
        <v>33.51</v>
      </c>
      <c r="C123" s="1">
        <v>33.520000000000003</v>
      </c>
      <c r="D123" s="2" t="s">
        <v>26</v>
      </c>
      <c r="E123" s="8">
        <v>1841.9992999999999</v>
      </c>
      <c r="F123" s="8">
        <f>F113</f>
        <v>-0.1</v>
      </c>
      <c r="G123" s="8">
        <f>E123+F123</f>
        <v>1841.8993</v>
      </c>
      <c r="H123" s="3">
        <f>B123*G123</f>
        <v>61722.045543</v>
      </c>
      <c r="I123" s="3">
        <f>C123*G123</f>
        <v>61740.464536000007</v>
      </c>
    </row>
    <row r="124" spans="1:9" x14ac:dyDescent="0.25">
      <c r="A124" t="s">
        <v>7</v>
      </c>
      <c r="B124" s="1">
        <v>17.399999999999999</v>
      </c>
      <c r="C124" s="1">
        <v>17.41</v>
      </c>
      <c r="D124" s="2" t="s">
        <v>26</v>
      </c>
      <c r="E124" s="8">
        <v>3546.2948999999999</v>
      </c>
      <c r="F124" s="8">
        <f>F114</f>
        <v>0</v>
      </c>
      <c r="G124" s="8">
        <f>E124+F124</f>
        <v>3546.2948999999999</v>
      </c>
      <c r="H124" s="3">
        <f>B124*G124</f>
        <v>61705.531259999996</v>
      </c>
      <c r="I124" s="3">
        <f>C124*G124</f>
        <v>61740.994208999997</v>
      </c>
    </row>
    <row r="125" spans="1:9" x14ac:dyDescent="0.25">
      <c r="A125" t="s">
        <v>8</v>
      </c>
      <c r="B125" s="1">
        <v>27.29</v>
      </c>
      <c r="C125" s="1">
        <v>27.3</v>
      </c>
      <c r="D125" s="2" t="s">
        <v>26</v>
      </c>
      <c r="E125" s="8">
        <v>2261.23</v>
      </c>
      <c r="F125" s="8">
        <f>F115</f>
        <v>-0.2</v>
      </c>
      <c r="G125" s="8">
        <f>E125+F125</f>
        <v>2261.0300000000002</v>
      </c>
      <c r="H125" s="3">
        <f>B125*G125</f>
        <v>61703.508700000006</v>
      </c>
      <c r="I125" s="3">
        <f>C125*G125</f>
        <v>61726.119000000006</v>
      </c>
    </row>
    <row r="126" spans="1:9" x14ac:dyDescent="0.25">
      <c r="A126" t="s">
        <v>9</v>
      </c>
      <c r="B126" s="1">
        <v>65.22</v>
      </c>
      <c r="C126" s="1">
        <v>65.33</v>
      </c>
      <c r="D126" s="2" t="s">
        <v>26</v>
      </c>
      <c r="E126" s="8">
        <v>946.05840000000001</v>
      </c>
      <c r="F126" s="8">
        <f>F116</f>
        <v>0</v>
      </c>
      <c r="G126" s="8">
        <f>E126+F126</f>
        <v>946.05840000000001</v>
      </c>
      <c r="H126" s="3">
        <f>B126*G126</f>
        <v>61701.928847999996</v>
      </c>
      <c r="I126" s="3">
        <f>C126*G126</f>
        <v>61805.995272</v>
      </c>
    </row>
    <row r="127" spans="1:9" x14ac:dyDescent="0.25">
      <c r="A127" t="s">
        <v>10</v>
      </c>
      <c r="B127" s="1">
        <v>35.67</v>
      </c>
      <c r="C127" s="1">
        <v>35.68</v>
      </c>
      <c r="D127" s="2" t="s">
        <v>26</v>
      </c>
      <c r="E127" s="8">
        <v>1730.0098</v>
      </c>
      <c r="F127" s="8">
        <f>F117</f>
        <v>0.2</v>
      </c>
      <c r="G127" s="8">
        <f>E127+F127</f>
        <v>1730.2098000000001</v>
      </c>
      <c r="H127" s="3">
        <f>B127*G127</f>
        <v>61716.583566000008</v>
      </c>
      <c r="I127" s="3">
        <f>C127*G127</f>
        <v>61733.885664000001</v>
      </c>
    </row>
    <row r="128" spans="1:9" x14ac:dyDescent="0.25">
      <c r="A128" t="s">
        <v>11</v>
      </c>
      <c r="B128" s="1">
        <v>53.73</v>
      </c>
      <c r="C128" s="1">
        <v>53.74</v>
      </c>
      <c r="D128" s="2" t="s">
        <v>26</v>
      </c>
      <c r="E128" s="8">
        <v>1148.7583999999999</v>
      </c>
      <c r="F128" s="8">
        <f>F118</f>
        <v>0.05</v>
      </c>
      <c r="G128" s="8">
        <f>E128+F128</f>
        <v>1148.8083999999999</v>
      </c>
      <c r="H128" s="3">
        <f>B128*G128</f>
        <v>61725.475331999987</v>
      </c>
      <c r="I128" s="3">
        <f>C128*G128</f>
        <v>61736.963415999999</v>
      </c>
    </row>
    <row r="129" spans="1:9" x14ac:dyDescent="0.25">
      <c r="A129" t="s">
        <v>12</v>
      </c>
      <c r="B129" s="1">
        <v>47.89</v>
      </c>
      <c r="C129" s="1">
        <v>47.91</v>
      </c>
      <c r="D129" s="2" t="s">
        <v>26</v>
      </c>
      <c r="E129" s="8">
        <v>1288.3256000000001</v>
      </c>
      <c r="F129" s="8">
        <f>F119</f>
        <v>0</v>
      </c>
      <c r="G129" s="8">
        <f>E129+F129</f>
        <v>1288.3256000000001</v>
      </c>
      <c r="H129" s="3">
        <f>B129*G129</f>
        <v>61697.91298400001</v>
      </c>
      <c r="I129" s="3">
        <f>C129*G129</f>
        <v>61723.679496000004</v>
      </c>
    </row>
    <row r="130" spans="1:9" x14ac:dyDescent="0.25">
      <c r="A130" t="s">
        <v>13</v>
      </c>
      <c r="B130" s="1">
        <v>17.45</v>
      </c>
      <c r="C130" s="1">
        <v>17.46</v>
      </c>
      <c r="D130" s="2" t="s">
        <v>26</v>
      </c>
      <c r="E130" s="8">
        <v>3535.8029000000001</v>
      </c>
      <c r="F130" s="8">
        <f>F120</f>
        <v>0</v>
      </c>
      <c r="G130" s="8">
        <f>E130+F130</f>
        <v>3535.8029000000001</v>
      </c>
      <c r="H130" s="3">
        <f>B130*G130</f>
        <v>61699.760605000003</v>
      </c>
      <c r="I130" s="3">
        <f>C130*G130</f>
        <v>61735.118634000006</v>
      </c>
    </row>
    <row r="131" spans="1:9" x14ac:dyDescent="0.25">
      <c r="A131" t="s">
        <v>14</v>
      </c>
      <c r="B131" s="1">
        <v>34.97</v>
      </c>
      <c r="C131" s="1">
        <v>34.979999999999997</v>
      </c>
      <c r="D131" s="2" t="s">
        <v>26</v>
      </c>
      <c r="E131" s="8">
        <v>1764.9141</v>
      </c>
      <c r="F131" s="8">
        <f>F121</f>
        <v>0.2</v>
      </c>
      <c r="G131" s="8">
        <f>E131+F131</f>
        <v>1765.1141</v>
      </c>
      <c r="H131" s="3">
        <f>B131*G131</f>
        <v>61726.040076999998</v>
      </c>
      <c r="I131" s="3">
        <f>C131*G131</f>
        <v>61743.691217999993</v>
      </c>
    </row>
    <row r="132" spans="1:9" x14ac:dyDescent="0.25">
      <c r="A132" t="s">
        <v>4</v>
      </c>
      <c r="B132" s="1">
        <v>20.51</v>
      </c>
      <c r="C132" s="1">
        <v>20.52</v>
      </c>
      <c r="D132" s="2" t="s">
        <v>27</v>
      </c>
      <c r="E132" s="8">
        <v>3014.7411999999999</v>
      </c>
      <c r="F132" s="8">
        <f>F122</f>
        <v>0</v>
      </c>
      <c r="G132" s="8">
        <f>E132+F132</f>
        <v>3014.7411999999999</v>
      </c>
      <c r="H132" s="3">
        <f>B132*G132</f>
        <v>61832.342012000001</v>
      </c>
      <c r="I132" s="3">
        <f>C132*G132</f>
        <v>61862.489423999999</v>
      </c>
    </row>
    <row r="133" spans="1:9" x14ac:dyDescent="0.25">
      <c r="A133" t="s">
        <v>6</v>
      </c>
      <c r="B133" s="1">
        <v>33.58</v>
      </c>
      <c r="C133" s="1">
        <v>33.590000000000003</v>
      </c>
      <c r="D133" s="2" t="s">
        <v>27</v>
      </c>
      <c r="E133" s="8">
        <v>1841.9992999999999</v>
      </c>
      <c r="F133" s="8">
        <f>F123</f>
        <v>-0.1</v>
      </c>
      <c r="G133" s="8">
        <f>E133+F133</f>
        <v>1841.8993</v>
      </c>
      <c r="H133" s="3">
        <f>B133*G133</f>
        <v>61850.978493999995</v>
      </c>
      <c r="I133" s="3">
        <f>C133*G133</f>
        <v>61869.397487000009</v>
      </c>
    </row>
    <row r="134" spans="1:9" x14ac:dyDescent="0.25">
      <c r="A134" t="s">
        <v>7</v>
      </c>
      <c r="B134" s="1">
        <v>17.440000000000001</v>
      </c>
      <c r="C134" s="1">
        <v>17.45</v>
      </c>
      <c r="D134" s="2" t="s">
        <v>27</v>
      </c>
      <c r="E134" s="8">
        <v>3546.2948999999999</v>
      </c>
      <c r="F134" s="8">
        <f>F124</f>
        <v>0</v>
      </c>
      <c r="G134" s="8">
        <f>E134+F134</f>
        <v>3546.2948999999999</v>
      </c>
      <c r="H134" s="3">
        <f>B134*G134</f>
        <v>61847.383055999999</v>
      </c>
      <c r="I134" s="3">
        <f>C134*G134</f>
        <v>61882.846004999992</v>
      </c>
    </row>
    <row r="135" spans="1:9" x14ac:dyDescent="0.25">
      <c r="A135" t="s">
        <v>8</v>
      </c>
      <c r="B135" s="1">
        <v>27.35</v>
      </c>
      <c r="C135" s="1">
        <v>27.36</v>
      </c>
      <c r="D135" s="2" t="s">
        <v>27</v>
      </c>
      <c r="E135" s="8">
        <v>2261.23</v>
      </c>
      <c r="F135" s="8">
        <f>F125</f>
        <v>-0.2</v>
      </c>
      <c r="G135" s="8">
        <f>E135+F135</f>
        <v>2261.0300000000002</v>
      </c>
      <c r="H135" s="3">
        <f>B135*G135</f>
        <v>61839.170500000007</v>
      </c>
      <c r="I135" s="3">
        <f>C135*G135</f>
        <v>61861.780800000008</v>
      </c>
    </row>
    <row r="136" spans="1:9" x14ac:dyDescent="0.25">
      <c r="A136" t="s">
        <v>9</v>
      </c>
      <c r="B136" s="1">
        <v>65.37</v>
      </c>
      <c r="C136" s="1">
        <v>65.44</v>
      </c>
      <c r="D136" s="2" t="s">
        <v>27</v>
      </c>
      <c r="E136" s="8">
        <v>946.05840000000001</v>
      </c>
      <c r="F136" s="8">
        <f>F126</f>
        <v>0</v>
      </c>
      <c r="G136" s="8">
        <f>E136+F136</f>
        <v>946.05840000000001</v>
      </c>
      <c r="H136" s="3">
        <f>B136*G136</f>
        <v>61843.837608000002</v>
      </c>
      <c r="I136" s="3">
        <f>C136*G136</f>
        <v>61910.061695999997</v>
      </c>
    </row>
    <row r="137" spans="1:9" x14ac:dyDescent="0.25">
      <c r="A137" t="s">
        <v>10</v>
      </c>
      <c r="B137" s="1">
        <v>35.74</v>
      </c>
      <c r="C137" s="1">
        <v>35.75</v>
      </c>
      <c r="D137" s="2" t="s">
        <v>27</v>
      </c>
      <c r="E137" s="8">
        <v>1730.0098</v>
      </c>
      <c r="F137" s="8">
        <f>F127</f>
        <v>0.2</v>
      </c>
      <c r="G137" s="8">
        <f>E137+F137</f>
        <v>1730.2098000000001</v>
      </c>
      <c r="H137" s="3">
        <f>B137*G137</f>
        <v>61837.698252000009</v>
      </c>
      <c r="I137" s="3">
        <f>C137*G137</f>
        <v>61855.000350000002</v>
      </c>
    </row>
    <row r="138" spans="1:9" x14ac:dyDescent="0.25">
      <c r="A138" t="s">
        <v>11</v>
      </c>
      <c r="B138" s="1">
        <v>53.84</v>
      </c>
      <c r="C138" s="1">
        <v>53.85</v>
      </c>
      <c r="D138" s="2" t="s">
        <v>27</v>
      </c>
      <c r="E138" s="8">
        <v>1148.7583999999999</v>
      </c>
      <c r="F138" s="8">
        <f>F128</f>
        <v>0.05</v>
      </c>
      <c r="G138" s="8">
        <f>E138+F138</f>
        <v>1148.8083999999999</v>
      </c>
      <c r="H138" s="3">
        <f>B138*G138</f>
        <v>61851.844255999997</v>
      </c>
      <c r="I138" s="3">
        <f>C138*G138</f>
        <v>61863.332339999994</v>
      </c>
    </row>
    <row r="139" spans="1:9" x14ac:dyDescent="0.25">
      <c r="A139" t="s">
        <v>12</v>
      </c>
      <c r="B139" s="1">
        <v>48</v>
      </c>
      <c r="C139" s="1">
        <v>48.01</v>
      </c>
      <c r="D139" s="2" t="s">
        <v>27</v>
      </c>
      <c r="E139" s="8">
        <v>1288.3256000000001</v>
      </c>
      <c r="F139" s="8">
        <f>F129</f>
        <v>0</v>
      </c>
      <c r="G139" s="8">
        <f>E139+F139</f>
        <v>1288.3256000000001</v>
      </c>
      <c r="H139" s="3">
        <f>B139*G139</f>
        <v>61839.628800000006</v>
      </c>
      <c r="I139" s="3">
        <f>C139*G139</f>
        <v>61852.512056000007</v>
      </c>
    </row>
    <row r="140" spans="1:9" x14ac:dyDescent="0.25">
      <c r="A140" t="s">
        <v>13</v>
      </c>
      <c r="B140" s="1">
        <v>17.48</v>
      </c>
      <c r="C140" s="1">
        <v>17.489999999999998</v>
      </c>
      <c r="D140" s="2" t="s">
        <v>27</v>
      </c>
      <c r="E140" s="8">
        <v>3535.8029000000001</v>
      </c>
      <c r="F140" s="8">
        <f>F130</f>
        <v>0</v>
      </c>
      <c r="G140" s="8">
        <f>E140+F140</f>
        <v>3535.8029000000001</v>
      </c>
      <c r="H140" s="3">
        <f>B140*G140</f>
        <v>61805.834692000004</v>
      </c>
      <c r="I140" s="3">
        <f>C140*G140</f>
        <v>61841.192720999999</v>
      </c>
    </row>
    <row r="141" spans="1:9" x14ac:dyDescent="0.25">
      <c r="A141" t="s">
        <v>14</v>
      </c>
      <c r="B141" s="1">
        <v>35.04</v>
      </c>
      <c r="C141" s="1">
        <v>35.049999999999997</v>
      </c>
      <c r="D141" s="2" t="s">
        <v>27</v>
      </c>
      <c r="E141" s="8">
        <v>1764.9141</v>
      </c>
      <c r="F141" s="8">
        <f>F131</f>
        <v>0.2</v>
      </c>
      <c r="G141" s="8">
        <f>E141+F141</f>
        <v>1765.1141</v>
      </c>
      <c r="H141" s="3">
        <f>B141*G141</f>
        <v>61849.598063999998</v>
      </c>
      <c r="I141" s="3">
        <f>C141*G141</f>
        <v>61867.249204999993</v>
      </c>
    </row>
    <row r="142" spans="1:9" x14ac:dyDescent="0.25">
      <c r="A142" t="s">
        <v>4</v>
      </c>
      <c r="B142" s="1">
        <v>20.43</v>
      </c>
      <c r="C142" s="1">
        <v>20.440000000000001</v>
      </c>
      <c r="D142" s="2" t="s">
        <v>28</v>
      </c>
      <c r="E142" s="8">
        <v>3014.7411999999999</v>
      </c>
      <c r="F142" s="8">
        <f>F132</f>
        <v>0</v>
      </c>
      <c r="G142" s="8">
        <f>E142+F142</f>
        <v>3014.7411999999999</v>
      </c>
      <c r="H142" s="3">
        <f>B142*G142</f>
        <v>61591.162715999999</v>
      </c>
      <c r="I142" s="3">
        <f>C142*G142</f>
        <v>61621.310128000005</v>
      </c>
    </row>
    <row r="143" spans="1:9" x14ac:dyDescent="0.25">
      <c r="A143" t="s">
        <v>6</v>
      </c>
      <c r="B143" s="1">
        <v>33.46</v>
      </c>
      <c r="C143" s="1">
        <v>33.47</v>
      </c>
      <c r="D143" s="2" t="s">
        <v>28</v>
      </c>
      <c r="E143" s="8">
        <v>1841.9992999999999</v>
      </c>
      <c r="F143" s="8">
        <f>F133</f>
        <v>-0.1</v>
      </c>
      <c r="G143" s="8">
        <f>E143+F143</f>
        <v>1841.8993</v>
      </c>
      <c r="H143" s="3">
        <f>B143*G143</f>
        <v>61629.950578000004</v>
      </c>
      <c r="I143" s="3">
        <f>C143*G143</f>
        <v>61648.369570999996</v>
      </c>
    </row>
    <row r="144" spans="1:9" x14ac:dyDescent="0.25">
      <c r="A144" t="s">
        <v>7</v>
      </c>
      <c r="B144" s="1">
        <v>17.37</v>
      </c>
      <c r="C144" s="1">
        <v>17.38</v>
      </c>
      <c r="D144" s="2" t="s">
        <v>28</v>
      </c>
      <c r="E144" s="8">
        <v>3546.2948999999999</v>
      </c>
      <c r="F144" s="8">
        <f>F134</f>
        <v>0</v>
      </c>
      <c r="G144" s="8">
        <f>E144+F144</f>
        <v>3546.2948999999999</v>
      </c>
      <c r="H144" s="3">
        <f>B144*G144</f>
        <v>61599.142413000001</v>
      </c>
      <c r="I144" s="3">
        <f>C144*G144</f>
        <v>61634.605361999995</v>
      </c>
    </row>
    <row r="145" spans="1:9" x14ac:dyDescent="0.25">
      <c r="A145" t="s">
        <v>8</v>
      </c>
      <c r="B145" s="1">
        <v>27.25</v>
      </c>
      <c r="C145" s="1">
        <v>27.26</v>
      </c>
      <c r="D145" s="2" t="s">
        <v>28</v>
      </c>
      <c r="E145" s="8">
        <v>2261.23</v>
      </c>
      <c r="F145" s="8">
        <f>F135</f>
        <v>-0.2</v>
      </c>
      <c r="G145" s="8">
        <f>E145+F145</f>
        <v>2261.0300000000002</v>
      </c>
      <c r="H145" s="3">
        <f>B145*G145</f>
        <v>61613.067500000005</v>
      </c>
      <c r="I145" s="3">
        <f>C145*G145</f>
        <v>61635.677800000012</v>
      </c>
    </row>
    <row r="146" spans="1:9" x14ac:dyDescent="0.25">
      <c r="A146" t="s">
        <v>9</v>
      </c>
      <c r="B146" s="1">
        <v>65.12</v>
      </c>
      <c r="C146" s="1">
        <v>65.19</v>
      </c>
      <c r="D146" s="2" t="s">
        <v>28</v>
      </c>
      <c r="E146" s="8">
        <v>946.05840000000001</v>
      </c>
      <c r="F146" s="8">
        <f>F136</f>
        <v>0</v>
      </c>
      <c r="G146" s="8">
        <f>E146+F146</f>
        <v>946.05840000000001</v>
      </c>
      <c r="H146" s="3">
        <f>B146*G146</f>
        <v>61607.323008000007</v>
      </c>
      <c r="I146" s="3">
        <f>C146*G146</f>
        <v>61673.547095999995</v>
      </c>
    </row>
    <row r="147" spans="1:9" x14ac:dyDescent="0.25">
      <c r="A147" t="s">
        <v>10</v>
      </c>
      <c r="B147" s="1">
        <v>35.61</v>
      </c>
      <c r="C147" s="1">
        <v>35.619999999999997</v>
      </c>
      <c r="D147" s="2" t="s">
        <v>28</v>
      </c>
      <c r="E147" s="8">
        <v>1730.0098</v>
      </c>
      <c r="F147" s="8">
        <f>F137</f>
        <v>0.2</v>
      </c>
      <c r="G147" s="8">
        <f>E147+F147</f>
        <v>1730.2098000000001</v>
      </c>
      <c r="H147" s="3">
        <f>B147*G147</f>
        <v>61612.770978</v>
      </c>
      <c r="I147" s="3">
        <f>C147*G147</f>
        <v>61630.073076000001</v>
      </c>
    </row>
    <row r="148" spans="1:9" x14ac:dyDescent="0.25">
      <c r="A148" t="s">
        <v>11</v>
      </c>
      <c r="B148" s="1">
        <v>53.65</v>
      </c>
      <c r="C148" s="1">
        <v>53.66</v>
      </c>
      <c r="D148" s="2" t="s">
        <v>28</v>
      </c>
      <c r="E148" s="8">
        <v>1148.7583999999999</v>
      </c>
      <c r="F148" s="8">
        <f>F138</f>
        <v>0.05</v>
      </c>
      <c r="G148" s="8">
        <f>E148+F148</f>
        <v>1148.8083999999999</v>
      </c>
      <c r="H148" s="3">
        <f>B148*G148</f>
        <v>61633.57065999999</v>
      </c>
      <c r="I148" s="3">
        <f>C148*G148</f>
        <v>61645.058743999987</v>
      </c>
    </row>
    <row r="149" spans="1:9" x14ac:dyDescent="0.25">
      <c r="A149" t="s">
        <v>12</v>
      </c>
      <c r="B149" s="1">
        <v>47.82</v>
      </c>
      <c r="C149" s="1">
        <v>47.83</v>
      </c>
      <c r="D149" s="2" t="s">
        <v>28</v>
      </c>
      <c r="E149" s="8">
        <v>1288.3256000000001</v>
      </c>
      <c r="F149" s="8">
        <f>F139</f>
        <v>0</v>
      </c>
      <c r="G149" s="8">
        <f>E149+F149</f>
        <v>1288.3256000000001</v>
      </c>
      <c r="H149" s="3">
        <f>B149*G149</f>
        <v>61607.730192000003</v>
      </c>
      <c r="I149" s="3">
        <f>C149*G149</f>
        <v>61620.613448000004</v>
      </c>
    </row>
    <row r="150" spans="1:9" x14ac:dyDescent="0.25">
      <c r="A150" t="s">
        <v>13</v>
      </c>
      <c r="B150" s="1">
        <v>17.420000000000002</v>
      </c>
      <c r="C150" s="1">
        <v>17.43</v>
      </c>
      <c r="D150" s="2" t="s">
        <v>28</v>
      </c>
      <c r="E150" s="8">
        <v>3535.8029000000001</v>
      </c>
      <c r="F150" s="8">
        <f>F140</f>
        <v>0</v>
      </c>
      <c r="G150" s="8">
        <f>E150+F150</f>
        <v>3535.8029000000001</v>
      </c>
      <c r="H150" s="3">
        <f>B150*G150</f>
        <v>61593.68651800001</v>
      </c>
      <c r="I150" s="3">
        <f>C150*G150</f>
        <v>61629.044547000005</v>
      </c>
    </row>
    <row r="151" spans="1:9" x14ac:dyDescent="0.25">
      <c r="A151" t="s">
        <v>14</v>
      </c>
      <c r="B151" s="1">
        <v>34.909999999999997</v>
      </c>
      <c r="C151" s="1">
        <v>34.92</v>
      </c>
      <c r="D151" s="2" t="s">
        <v>28</v>
      </c>
      <c r="E151" s="8">
        <v>1764.9141</v>
      </c>
      <c r="F151" s="8">
        <f>F141</f>
        <v>0.2</v>
      </c>
      <c r="G151" s="8">
        <f>E151+F151</f>
        <v>1765.1141</v>
      </c>
      <c r="H151" s="3">
        <f>B151*G151</f>
        <v>61620.133230999993</v>
      </c>
      <c r="I151" s="3">
        <f>C151*G151</f>
        <v>61637.784372000002</v>
      </c>
    </row>
    <row r="152" spans="1:9" x14ac:dyDescent="0.25">
      <c r="A152" t="s">
        <v>4</v>
      </c>
      <c r="B152" s="1">
        <v>20.53</v>
      </c>
      <c r="C152" s="1">
        <v>20.54</v>
      </c>
      <c r="D152" s="2" t="s">
        <v>29</v>
      </c>
      <c r="E152" s="8">
        <v>3014.7411999999999</v>
      </c>
      <c r="F152" s="8">
        <f>F142</f>
        <v>0</v>
      </c>
      <c r="G152" s="8">
        <f>E152+F152</f>
        <v>3014.7411999999999</v>
      </c>
      <c r="H152" s="3">
        <f>B152*G152</f>
        <v>61892.636836000005</v>
      </c>
      <c r="I152" s="3">
        <f>C152*G152</f>
        <v>61922.784247999996</v>
      </c>
    </row>
    <row r="153" spans="1:9" x14ac:dyDescent="0.25">
      <c r="A153" t="s">
        <v>6</v>
      </c>
      <c r="B153" s="1">
        <v>33.619999999999997</v>
      </c>
      <c r="C153" s="1">
        <v>33.630000000000003</v>
      </c>
      <c r="D153" s="2" t="s">
        <v>29</v>
      </c>
      <c r="E153" s="8">
        <v>1841.9992999999999</v>
      </c>
      <c r="F153" s="8">
        <f>F143</f>
        <v>-0.1</v>
      </c>
      <c r="G153" s="8">
        <f>E153+F153</f>
        <v>1841.8993</v>
      </c>
      <c r="H153" s="3">
        <f>B153*G153</f>
        <v>61924.654466</v>
      </c>
      <c r="I153" s="3">
        <f>C153*G153</f>
        <v>61943.073459000007</v>
      </c>
    </row>
    <row r="154" spans="1:9" x14ac:dyDescent="0.25">
      <c r="A154" t="s">
        <v>7</v>
      </c>
      <c r="B154" s="1">
        <v>17.46</v>
      </c>
      <c r="C154" s="1">
        <v>17.47</v>
      </c>
      <c r="D154" s="2" t="s">
        <v>29</v>
      </c>
      <c r="E154" s="8">
        <v>3546.2948999999999</v>
      </c>
      <c r="F154" s="8">
        <f>F144</f>
        <v>0</v>
      </c>
      <c r="G154" s="8">
        <f>E154+F154</f>
        <v>3546.2948999999999</v>
      </c>
      <c r="H154" s="3">
        <f>B154*G154</f>
        <v>61918.308954</v>
      </c>
      <c r="I154" s="3">
        <f>C154*G154</f>
        <v>61953.771902999993</v>
      </c>
    </row>
    <row r="155" spans="1:9" x14ac:dyDescent="0.25">
      <c r="A155" t="s">
        <v>8</v>
      </c>
      <c r="B155" s="1">
        <v>27.38</v>
      </c>
      <c r="C155" s="1">
        <v>27.39</v>
      </c>
      <c r="D155" s="2" t="s">
        <v>29</v>
      </c>
      <c r="E155" s="8">
        <v>2261.23</v>
      </c>
      <c r="F155" s="8">
        <f>F145</f>
        <v>-0.2</v>
      </c>
      <c r="G155" s="8">
        <f>E155+F155</f>
        <v>2261.0300000000002</v>
      </c>
      <c r="H155" s="3">
        <f>B155*G155</f>
        <v>61907.001400000001</v>
      </c>
      <c r="I155" s="3">
        <f>C155*G155</f>
        <v>61929.611700000009</v>
      </c>
    </row>
    <row r="156" spans="1:9" x14ac:dyDescent="0.25">
      <c r="A156" t="s">
        <v>9</v>
      </c>
      <c r="B156" s="1">
        <v>65.459999999999994</v>
      </c>
      <c r="C156" s="1">
        <v>65.52</v>
      </c>
      <c r="D156" s="2" t="s">
        <v>29</v>
      </c>
      <c r="E156" s="8">
        <v>946.05840000000001</v>
      </c>
      <c r="F156" s="8">
        <f>F146</f>
        <v>0</v>
      </c>
      <c r="G156" s="8">
        <f>E156+F156</f>
        <v>946.05840000000001</v>
      </c>
      <c r="H156" s="3">
        <f>B156*G156</f>
        <v>61928.982863999998</v>
      </c>
      <c r="I156" s="3">
        <f>C156*G156</f>
        <v>61985.746368</v>
      </c>
    </row>
    <row r="157" spans="1:9" x14ac:dyDescent="0.25">
      <c r="A157" t="s">
        <v>10</v>
      </c>
      <c r="B157" s="1">
        <v>35.78</v>
      </c>
      <c r="C157" s="1">
        <v>35.799999999999997</v>
      </c>
      <c r="D157" s="2" t="s">
        <v>29</v>
      </c>
      <c r="E157" s="8">
        <v>1730.0098</v>
      </c>
      <c r="F157" s="8">
        <f>F147</f>
        <v>0.2</v>
      </c>
      <c r="G157" s="8">
        <f>E157+F157</f>
        <v>1730.2098000000001</v>
      </c>
      <c r="H157" s="3">
        <f>B157*G157</f>
        <v>61906.906644000002</v>
      </c>
      <c r="I157" s="3">
        <f>C157*G157</f>
        <v>61941.510839999995</v>
      </c>
    </row>
    <row r="158" spans="1:9" x14ac:dyDescent="0.25">
      <c r="A158" t="s">
        <v>11</v>
      </c>
      <c r="B158" s="1">
        <v>53.9</v>
      </c>
      <c r="C158" s="1">
        <v>53.91</v>
      </c>
      <c r="D158" s="2" t="s">
        <v>29</v>
      </c>
      <c r="E158" s="8">
        <v>1148.7583999999999</v>
      </c>
      <c r="F158" s="8">
        <f>F148</f>
        <v>0.05</v>
      </c>
      <c r="G158" s="8">
        <f>E158+F158</f>
        <v>1148.8083999999999</v>
      </c>
      <c r="H158" s="3">
        <f>B158*G158</f>
        <v>61920.772759999993</v>
      </c>
      <c r="I158" s="3">
        <f>C158*G158</f>
        <v>61932.260843999989</v>
      </c>
    </row>
    <row r="159" spans="1:9" x14ac:dyDescent="0.25">
      <c r="A159" t="s">
        <v>12</v>
      </c>
      <c r="B159" s="1">
        <v>48.05</v>
      </c>
      <c r="C159" s="1">
        <v>48.06</v>
      </c>
      <c r="D159" s="2" t="s">
        <v>29</v>
      </c>
      <c r="E159" s="8">
        <v>1288.3256000000001</v>
      </c>
      <c r="F159" s="8">
        <f>F149</f>
        <v>0</v>
      </c>
      <c r="G159" s="8">
        <f>E159+F159</f>
        <v>1288.3256000000001</v>
      </c>
      <c r="H159" s="3">
        <f>B159*G159</f>
        <v>61904.045080000004</v>
      </c>
      <c r="I159" s="3">
        <f>C159*G159</f>
        <v>61916.928336000012</v>
      </c>
    </row>
    <row r="160" spans="1:9" x14ac:dyDescent="0.25">
      <c r="A160" t="s">
        <v>13</v>
      </c>
      <c r="B160" s="1">
        <v>17.5</v>
      </c>
      <c r="C160" s="1">
        <v>17.510000000000002</v>
      </c>
      <c r="D160" s="2" t="s">
        <v>29</v>
      </c>
      <c r="E160" s="8">
        <v>3535.8029000000001</v>
      </c>
      <c r="F160" s="8">
        <f>F150</f>
        <v>0</v>
      </c>
      <c r="G160" s="8">
        <f>E160+F160</f>
        <v>3535.8029000000001</v>
      </c>
      <c r="H160" s="3">
        <f>B160*G160</f>
        <v>61876.550750000002</v>
      </c>
      <c r="I160" s="3">
        <f>C160*G160</f>
        <v>61911.908779000005</v>
      </c>
    </row>
    <row r="161" spans="1:9" x14ac:dyDescent="0.25">
      <c r="A161" t="s">
        <v>14</v>
      </c>
      <c r="B161" s="1">
        <v>35.08</v>
      </c>
      <c r="C161" s="1">
        <v>35.090000000000003</v>
      </c>
      <c r="D161" s="2" t="s">
        <v>29</v>
      </c>
      <c r="E161" s="8">
        <v>1764.9141</v>
      </c>
      <c r="F161" s="8">
        <f>F151</f>
        <v>0.2</v>
      </c>
      <c r="G161" s="8">
        <f>E161+F161</f>
        <v>1765.1141</v>
      </c>
      <c r="H161" s="3">
        <f>B161*G161</f>
        <v>61920.202627999999</v>
      </c>
      <c r="I161" s="3">
        <f>C161*G161</f>
        <v>61937.853769000008</v>
      </c>
    </row>
    <row r="162" spans="1:9" x14ac:dyDescent="0.25">
      <c r="A162" t="s">
        <v>4</v>
      </c>
      <c r="B162" s="1">
        <v>20.54</v>
      </c>
      <c r="C162" s="1">
        <v>20.55</v>
      </c>
      <c r="D162" s="2" t="s">
        <v>30</v>
      </c>
      <c r="E162" s="8">
        <v>3014.7411999999999</v>
      </c>
      <c r="F162" s="8">
        <f>F152</f>
        <v>0</v>
      </c>
      <c r="G162" s="8">
        <f>E162+F162</f>
        <v>3014.7411999999999</v>
      </c>
      <c r="H162" s="3">
        <f>B162*G162</f>
        <v>61922.784247999996</v>
      </c>
      <c r="I162" s="3">
        <f>C162*G162</f>
        <v>61952.931660000002</v>
      </c>
    </row>
    <row r="163" spans="1:9" x14ac:dyDescent="0.25">
      <c r="A163" t="s">
        <v>6</v>
      </c>
      <c r="B163" s="1">
        <v>33.630000000000003</v>
      </c>
      <c r="C163" s="1">
        <v>33.64</v>
      </c>
      <c r="D163" s="2" t="s">
        <v>30</v>
      </c>
      <c r="E163" s="8">
        <v>1841.9992999999999</v>
      </c>
      <c r="F163" s="8">
        <f>F153</f>
        <v>-0.1</v>
      </c>
      <c r="G163" s="8">
        <f>E163+F163</f>
        <v>1841.8993</v>
      </c>
      <c r="H163" s="3">
        <f>B163*G163</f>
        <v>61943.073459000007</v>
      </c>
      <c r="I163" s="3">
        <f>C163*G163</f>
        <v>61961.492452000006</v>
      </c>
    </row>
    <row r="164" spans="1:9" x14ac:dyDescent="0.25">
      <c r="A164" t="s">
        <v>7</v>
      </c>
      <c r="B164" s="1">
        <v>17.46</v>
      </c>
      <c r="C164" s="1">
        <v>17.47</v>
      </c>
      <c r="D164" s="2" t="s">
        <v>30</v>
      </c>
      <c r="E164" s="8">
        <v>3546.2948999999999</v>
      </c>
      <c r="F164" s="8">
        <f>F154</f>
        <v>0</v>
      </c>
      <c r="G164" s="8">
        <f>E164+F164</f>
        <v>3546.2948999999999</v>
      </c>
      <c r="H164" s="3">
        <f>B164*G164</f>
        <v>61918.308954</v>
      </c>
      <c r="I164" s="3">
        <f>C164*G164</f>
        <v>61953.771902999993</v>
      </c>
    </row>
    <row r="165" spans="1:9" x14ac:dyDescent="0.25">
      <c r="A165" t="s">
        <v>8</v>
      </c>
      <c r="B165" s="1">
        <v>27.39</v>
      </c>
      <c r="C165" s="1">
        <v>27.4</v>
      </c>
      <c r="D165" s="2" t="s">
        <v>30</v>
      </c>
      <c r="E165" s="8">
        <v>2261.23</v>
      </c>
      <c r="F165" s="8">
        <f>F155</f>
        <v>-0.2</v>
      </c>
      <c r="G165" s="8">
        <f>E165+F165</f>
        <v>2261.0300000000002</v>
      </c>
      <c r="H165" s="3">
        <f>B165*G165</f>
        <v>61929.611700000009</v>
      </c>
      <c r="I165" s="3">
        <f>C165*G165</f>
        <v>61952.222000000002</v>
      </c>
    </row>
    <row r="166" spans="1:9" x14ac:dyDescent="0.25">
      <c r="A166" t="s">
        <v>9</v>
      </c>
      <c r="B166" s="1">
        <v>65.45</v>
      </c>
      <c r="C166" s="1">
        <v>65.540000000000006</v>
      </c>
      <c r="D166" s="2" t="s">
        <v>30</v>
      </c>
      <c r="E166" s="8">
        <v>946.05840000000001</v>
      </c>
      <c r="F166" s="8">
        <f>F156</f>
        <v>0</v>
      </c>
      <c r="G166" s="8">
        <f>E166+F166</f>
        <v>946.05840000000001</v>
      </c>
      <c r="H166" s="3">
        <f>B166*G166</f>
        <v>61919.522280000005</v>
      </c>
      <c r="I166" s="3">
        <f>C166*G166</f>
        <v>62004.667536000008</v>
      </c>
    </row>
    <row r="167" spans="1:9" x14ac:dyDescent="0.25">
      <c r="A167" t="s">
        <v>10</v>
      </c>
      <c r="B167" s="1">
        <v>35.79</v>
      </c>
      <c r="C167" s="1">
        <v>35.799999999999997</v>
      </c>
      <c r="D167" s="2" t="s">
        <v>30</v>
      </c>
      <c r="E167" s="8">
        <v>1730.0098</v>
      </c>
      <c r="F167" s="8">
        <f>F157</f>
        <v>0.2</v>
      </c>
      <c r="G167" s="8">
        <f>E167+F167</f>
        <v>1730.2098000000001</v>
      </c>
      <c r="H167" s="3">
        <f>B167*G167</f>
        <v>61924.208742000003</v>
      </c>
      <c r="I167" s="3">
        <f>C167*G167</f>
        <v>61941.510839999995</v>
      </c>
    </row>
    <row r="168" spans="1:9" x14ac:dyDescent="0.25">
      <c r="A168" t="s">
        <v>11</v>
      </c>
      <c r="B168" s="1">
        <v>53.92</v>
      </c>
      <c r="C168" s="1">
        <v>53.93</v>
      </c>
      <c r="D168" s="2" t="s">
        <v>30</v>
      </c>
      <c r="E168" s="8">
        <v>1148.7583999999999</v>
      </c>
      <c r="F168" s="8">
        <f>F158</f>
        <v>0.05</v>
      </c>
      <c r="G168" s="8">
        <f>E168+F168</f>
        <v>1148.8083999999999</v>
      </c>
      <c r="H168" s="3">
        <f>B168*G168</f>
        <v>61943.748927999994</v>
      </c>
      <c r="I168" s="3">
        <f>C168*G168</f>
        <v>61955.237011999991</v>
      </c>
    </row>
    <row r="169" spans="1:9" x14ac:dyDescent="0.25">
      <c r="A169" t="s">
        <v>12</v>
      </c>
      <c r="B169" s="1">
        <v>48.06</v>
      </c>
      <c r="C169" s="1">
        <v>48.07</v>
      </c>
      <c r="D169" s="2" t="s">
        <v>30</v>
      </c>
      <c r="E169" s="8">
        <v>1288.3256000000001</v>
      </c>
      <c r="F169" s="8">
        <f>F159</f>
        <v>0</v>
      </c>
      <c r="G169" s="8">
        <f>E169+F169</f>
        <v>1288.3256000000001</v>
      </c>
      <c r="H169" s="3">
        <f>B169*G169</f>
        <v>61916.928336000012</v>
      </c>
      <c r="I169" s="3">
        <f>C169*G169</f>
        <v>61929.811592000005</v>
      </c>
    </row>
    <row r="170" spans="1:9" x14ac:dyDescent="0.25">
      <c r="A170" t="s">
        <v>13</v>
      </c>
      <c r="B170" s="1">
        <v>17.510000000000002</v>
      </c>
      <c r="C170" s="1">
        <v>17.52</v>
      </c>
      <c r="D170" s="2" t="s">
        <v>30</v>
      </c>
      <c r="E170" s="8">
        <v>3535.8029000000001</v>
      </c>
      <c r="F170" s="8">
        <f>F160</f>
        <v>0</v>
      </c>
      <c r="G170" s="8">
        <f>E170+F170</f>
        <v>3535.8029000000001</v>
      </c>
      <c r="H170" s="3">
        <f>B170*G170</f>
        <v>61911.908779000005</v>
      </c>
      <c r="I170" s="3">
        <f>C170*G170</f>
        <v>61947.266808</v>
      </c>
    </row>
    <row r="171" spans="1:9" x14ac:dyDescent="0.25">
      <c r="A171" t="s">
        <v>14</v>
      </c>
      <c r="B171" s="1">
        <v>35.090000000000003</v>
      </c>
      <c r="C171" s="1">
        <v>35.1</v>
      </c>
      <c r="D171" s="2" t="s">
        <v>30</v>
      </c>
      <c r="E171" s="8">
        <v>1764.9141</v>
      </c>
      <c r="F171" s="8">
        <f>F161</f>
        <v>0.2</v>
      </c>
      <c r="G171" s="8">
        <f>E171+F171</f>
        <v>1765.1141</v>
      </c>
      <c r="H171" s="3">
        <f>B171*G171</f>
        <v>61937.853769000008</v>
      </c>
      <c r="I171" s="3">
        <f>C171*G171</f>
        <v>61955.504910000003</v>
      </c>
    </row>
    <row r="172" spans="1:9" x14ac:dyDescent="0.25">
      <c r="A172" t="s">
        <v>4</v>
      </c>
      <c r="B172" s="1">
        <v>20.76</v>
      </c>
      <c r="C172" s="1">
        <v>20.77</v>
      </c>
      <c r="D172" s="2" t="s">
        <v>48</v>
      </c>
      <c r="E172" s="8">
        <v>3014.7584999999999</v>
      </c>
      <c r="F172" s="8">
        <f>F162</f>
        <v>0</v>
      </c>
      <c r="G172" s="8">
        <f>E172+F172</f>
        <v>3014.7584999999999</v>
      </c>
      <c r="H172" s="3">
        <f>B172*G172</f>
        <v>62586.386460000002</v>
      </c>
      <c r="I172" s="3">
        <f>C172*G172</f>
        <v>62616.534045</v>
      </c>
    </row>
    <row r="173" spans="1:9" x14ac:dyDescent="0.25">
      <c r="A173" t="s">
        <v>6</v>
      </c>
      <c r="B173" s="1">
        <v>33.979999999999997</v>
      </c>
      <c r="C173" s="1">
        <v>33.99</v>
      </c>
      <c r="D173" s="2" t="s">
        <v>48</v>
      </c>
      <c r="E173" s="8">
        <v>1841.7701</v>
      </c>
      <c r="F173" s="8">
        <f>F163</f>
        <v>-0.1</v>
      </c>
      <c r="G173" s="8">
        <f>E173+F173</f>
        <v>1841.6701</v>
      </c>
      <c r="H173" s="3">
        <f>B173*G173</f>
        <v>62579.949997999996</v>
      </c>
      <c r="I173" s="3">
        <f>C173*G173</f>
        <v>62598.366699000006</v>
      </c>
    </row>
    <row r="174" spans="1:9" x14ac:dyDescent="0.25">
      <c r="A174" t="s">
        <v>7</v>
      </c>
      <c r="B174" s="1">
        <v>17.649999999999999</v>
      </c>
      <c r="C174" s="1">
        <v>17.66</v>
      </c>
      <c r="D174" s="2" t="s">
        <v>48</v>
      </c>
      <c r="E174" s="8">
        <v>3546.3191999999999</v>
      </c>
      <c r="F174" s="8">
        <f>F164</f>
        <v>0</v>
      </c>
      <c r="G174" s="8">
        <f>E174+F174</f>
        <v>3546.3191999999999</v>
      </c>
      <c r="H174" s="3">
        <f>B174*G174</f>
        <v>62592.533879999995</v>
      </c>
      <c r="I174" s="3">
        <f>C174*G174</f>
        <v>62627.997071999998</v>
      </c>
    </row>
    <row r="175" spans="1:9" x14ac:dyDescent="0.25">
      <c r="A175" t="s">
        <v>8</v>
      </c>
      <c r="B175" s="1">
        <v>27.69</v>
      </c>
      <c r="C175" s="1">
        <v>27.7</v>
      </c>
      <c r="D175" s="2" t="s">
        <v>48</v>
      </c>
      <c r="E175" s="8">
        <v>2261.2093</v>
      </c>
      <c r="F175" s="8">
        <f>F165</f>
        <v>-0.2</v>
      </c>
      <c r="G175" s="8">
        <f>E175+F175</f>
        <v>2261.0093000000002</v>
      </c>
      <c r="H175" s="3">
        <f>B175*G175</f>
        <v>62607.347517000009</v>
      </c>
      <c r="I175" s="3">
        <f>C175*G175</f>
        <v>62629.957610000005</v>
      </c>
    </row>
    <row r="176" spans="1:9" x14ac:dyDescent="0.25">
      <c r="A176" t="s">
        <v>9</v>
      </c>
      <c r="B176" s="1">
        <v>66.150000000000006</v>
      </c>
      <c r="C176" s="1">
        <v>66.260000000000005</v>
      </c>
      <c r="D176" s="2" t="s">
        <v>48</v>
      </c>
      <c r="E176" s="8">
        <v>946.06489999999997</v>
      </c>
      <c r="F176" s="8">
        <f>F166</f>
        <v>0</v>
      </c>
      <c r="G176" s="8">
        <f>E176+F176</f>
        <v>946.06489999999997</v>
      </c>
      <c r="H176" s="3">
        <f>B176*G176</f>
        <v>62582.193135000001</v>
      </c>
      <c r="I176" s="3">
        <f>C176*G176</f>
        <v>62686.260274</v>
      </c>
    </row>
    <row r="177" spans="1:9" x14ac:dyDescent="0.25">
      <c r="A177" t="s">
        <v>10</v>
      </c>
      <c r="B177" s="1">
        <v>36.17</v>
      </c>
      <c r="C177" s="1">
        <v>36.18</v>
      </c>
      <c r="D177" s="2" t="s">
        <v>48</v>
      </c>
      <c r="E177" s="8">
        <v>1730.0188000000001</v>
      </c>
      <c r="F177" s="8">
        <f>F167</f>
        <v>0.2</v>
      </c>
      <c r="G177" s="8">
        <f>E177+F177</f>
        <v>1730.2188000000001</v>
      </c>
      <c r="H177" s="3">
        <f>B177*G177</f>
        <v>62582.013996000009</v>
      </c>
      <c r="I177" s="3">
        <f>C177*G177</f>
        <v>62599.316184000003</v>
      </c>
    </row>
    <row r="178" spans="1:9" x14ac:dyDescent="0.25">
      <c r="A178" t="s">
        <v>11</v>
      </c>
      <c r="B178" s="1">
        <v>54.48</v>
      </c>
      <c r="C178" s="1">
        <v>54.49</v>
      </c>
      <c r="D178" s="2" t="s">
        <v>48</v>
      </c>
      <c r="E178" s="8">
        <v>1148.7663</v>
      </c>
      <c r="F178" s="8">
        <f>F168</f>
        <v>0.05</v>
      </c>
      <c r="G178" s="8">
        <f>E178+F178</f>
        <v>1148.8163</v>
      </c>
      <c r="H178" s="3">
        <f>B178*G178</f>
        <v>62587.512023999996</v>
      </c>
      <c r="I178" s="3">
        <f>C178*G178</f>
        <v>62599.000186999998</v>
      </c>
    </row>
    <row r="179" spans="1:9" x14ac:dyDescent="0.25">
      <c r="A179" t="s">
        <v>12</v>
      </c>
      <c r="B179" s="1">
        <v>48.57</v>
      </c>
      <c r="C179" s="1">
        <v>48.59</v>
      </c>
      <c r="D179" s="2" t="s">
        <v>48</v>
      </c>
      <c r="E179" s="8">
        <v>1288.3785</v>
      </c>
      <c r="F179" s="8">
        <f>F169</f>
        <v>0</v>
      </c>
      <c r="G179" s="8">
        <f>E179+F179</f>
        <v>1288.3785</v>
      </c>
      <c r="H179" s="3">
        <f>B179*G179</f>
        <v>62576.543745000003</v>
      </c>
      <c r="I179" s="3">
        <f>C179*G179</f>
        <v>62602.311315000006</v>
      </c>
    </row>
    <row r="180" spans="1:9" x14ac:dyDescent="0.25">
      <c r="A180" t="s">
        <v>13</v>
      </c>
      <c r="B180" s="1">
        <v>17.7</v>
      </c>
      <c r="C180" s="1">
        <v>17.71</v>
      </c>
      <c r="D180" s="2" t="s">
        <v>48</v>
      </c>
      <c r="E180" s="8">
        <v>3535.8029000000001</v>
      </c>
      <c r="F180" s="8">
        <f>F170</f>
        <v>0</v>
      </c>
      <c r="G180" s="8">
        <f>E180+F180</f>
        <v>3535.8029000000001</v>
      </c>
      <c r="H180" s="3">
        <f>B180*G180</f>
        <v>62583.711329999998</v>
      </c>
      <c r="I180" s="3">
        <f>C180*G180</f>
        <v>62619.069359000008</v>
      </c>
    </row>
    <row r="181" spans="1:9" x14ac:dyDescent="0.25">
      <c r="A181" t="s">
        <v>14</v>
      </c>
      <c r="B181" s="1">
        <v>35.450000000000003</v>
      </c>
      <c r="C181" s="1">
        <v>35.46</v>
      </c>
      <c r="D181" s="2" t="s">
        <v>48</v>
      </c>
      <c r="E181" s="8">
        <v>1764.9262000000001</v>
      </c>
      <c r="F181" s="8">
        <f>F171</f>
        <v>0.2</v>
      </c>
      <c r="G181" s="8">
        <f>E181+F181</f>
        <v>1765.1262000000002</v>
      </c>
      <c r="H181" s="3">
        <f>B181*G181</f>
        <v>62573.723790000011</v>
      </c>
      <c r="I181" s="3">
        <f>C181*G181</f>
        <v>62591.37505200001</v>
      </c>
    </row>
    <row r="182" spans="1:9" x14ac:dyDescent="0.25">
      <c r="A182" t="s">
        <v>4</v>
      </c>
      <c r="B182" s="1">
        <v>20.88</v>
      </c>
      <c r="C182" s="1">
        <v>20.89</v>
      </c>
      <c r="D182" s="2" t="s">
        <v>49</v>
      </c>
      <c r="E182" s="8">
        <v>3014.7584999999999</v>
      </c>
      <c r="F182" s="8">
        <f>F172</f>
        <v>0</v>
      </c>
      <c r="G182" s="8">
        <f>E182+F182</f>
        <v>3014.7584999999999</v>
      </c>
      <c r="H182" s="3">
        <f>B182*G182</f>
        <v>62948.157479999994</v>
      </c>
      <c r="I182" s="3">
        <f>C182*G182</f>
        <v>62978.305065</v>
      </c>
    </row>
    <row r="183" spans="1:9" x14ac:dyDescent="0.25">
      <c r="A183" t="s">
        <v>6</v>
      </c>
      <c r="B183" s="1">
        <v>34.19</v>
      </c>
      <c r="C183" s="1">
        <v>34.200000000000003</v>
      </c>
      <c r="D183" s="2" t="s">
        <v>49</v>
      </c>
      <c r="E183" s="8">
        <v>1841.7701</v>
      </c>
      <c r="F183" s="8">
        <f>F173</f>
        <v>-0.1</v>
      </c>
      <c r="G183" s="8">
        <f>E183+F183</f>
        <v>1841.6701</v>
      </c>
      <c r="H183" s="3">
        <f>B183*G183</f>
        <v>62966.700719</v>
      </c>
      <c r="I183" s="3">
        <f>C183*G183</f>
        <v>62985.11742000001</v>
      </c>
    </row>
    <row r="184" spans="1:9" x14ac:dyDescent="0.25">
      <c r="A184" t="s">
        <v>7</v>
      </c>
      <c r="B184" s="1">
        <v>17.760000000000002</v>
      </c>
      <c r="C184" s="1">
        <v>17.77</v>
      </c>
      <c r="D184" s="2" t="s">
        <v>49</v>
      </c>
      <c r="E184" s="8">
        <v>3546.3191999999999</v>
      </c>
      <c r="F184" s="8">
        <f>F174</f>
        <v>0</v>
      </c>
      <c r="G184" s="8">
        <f>E184+F184</f>
        <v>3546.3191999999999</v>
      </c>
      <c r="H184" s="3">
        <f>B184*G184</f>
        <v>62982.628992000005</v>
      </c>
      <c r="I184" s="3">
        <f>C184*G184</f>
        <v>63018.092183999994</v>
      </c>
    </row>
    <row r="185" spans="1:9" x14ac:dyDescent="0.25">
      <c r="A185" t="s">
        <v>8</v>
      </c>
      <c r="B185" s="1">
        <v>27.85</v>
      </c>
      <c r="C185" s="1">
        <v>27.86</v>
      </c>
      <c r="D185" s="2" t="s">
        <v>49</v>
      </c>
      <c r="E185" s="8">
        <v>2261.2093</v>
      </c>
      <c r="F185" s="8">
        <f>F175</f>
        <v>-0.2</v>
      </c>
      <c r="G185" s="8">
        <f>E185+F185</f>
        <v>2261.0093000000002</v>
      </c>
      <c r="H185" s="3">
        <f>B185*G185</f>
        <v>62969.109005000006</v>
      </c>
      <c r="I185" s="3">
        <f>C185*G185</f>
        <v>62991.719098000001</v>
      </c>
    </row>
    <row r="186" spans="1:9" x14ac:dyDescent="0.25">
      <c r="A186" t="s">
        <v>9</v>
      </c>
      <c r="B186" s="1">
        <v>66.53</v>
      </c>
      <c r="C186" s="1">
        <v>66.64</v>
      </c>
      <c r="D186" s="2" t="s">
        <v>49</v>
      </c>
      <c r="E186" s="8">
        <v>946.06489999999997</v>
      </c>
      <c r="F186" s="8">
        <f>F176</f>
        <v>0</v>
      </c>
      <c r="G186" s="8">
        <f>E186+F186</f>
        <v>946.06489999999997</v>
      </c>
      <c r="H186" s="3">
        <f>B186*G186</f>
        <v>62941.697797000001</v>
      </c>
      <c r="I186" s="3">
        <f>C186*G186</f>
        <v>63045.764936</v>
      </c>
    </row>
    <row r="187" spans="1:9" x14ac:dyDescent="0.25">
      <c r="A187" t="s">
        <v>10</v>
      </c>
      <c r="B187" s="1">
        <v>36.39</v>
      </c>
      <c r="C187" s="1">
        <v>36.409999999999997</v>
      </c>
      <c r="D187" s="2" t="s">
        <v>49</v>
      </c>
      <c r="E187" s="8">
        <v>1730.0188000000001</v>
      </c>
      <c r="F187" s="8">
        <f>F177</f>
        <v>0.2</v>
      </c>
      <c r="G187" s="8">
        <f>E187+F187</f>
        <v>1730.2188000000001</v>
      </c>
      <c r="H187" s="3">
        <f>B187*G187</f>
        <v>62962.662132000005</v>
      </c>
      <c r="I187" s="3">
        <f>C187*G187</f>
        <v>62997.266508000001</v>
      </c>
    </row>
    <row r="188" spans="1:9" x14ac:dyDescent="0.25">
      <c r="A188" t="s">
        <v>11</v>
      </c>
      <c r="B188" s="1">
        <v>54.82</v>
      </c>
      <c r="C188" s="1">
        <v>54.83</v>
      </c>
      <c r="D188" s="2" t="s">
        <v>49</v>
      </c>
      <c r="E188" s="8">
        <v>1148.7663</v>
      </c>
      <c r="F188" s="8">
        <f>F178</f>
        <v>0.05</v>
      </c>
      <c r="G188" s="8">
        <f>E188+F188</f>
        <v>1148.8163</v>
      </c>
      <c r="H188" s="3">
        <f>B188*G188</f>
        <v>62978.109565999999</v>
      </c>
      <c r="I188" s="3">
        <f>C188*G188</f>
        <v>62989.597728999994</v>
      </c>
    </row>
    <row r="189" spans="1:9" x14ac:dyDescent="0.25">
      <c r="A189" t="s">
        <v>12</v>
      </c>
      <c r="B189" s="1">
        <v>48.87</v>
      </c>
      <c r="C189" s="1">
        <v>48.88</v>
      </c>
      <c r="D189" s="2" t="s">
        <v>49</v>
      </c>
      <c r="E189" s="8">
        <v>1288.3785</v>
      </c>
      <c r="F189" s="8">
        <f>F179</f>
        <v>0</v>
      </c>
      <c r="G189" s="8">
        <f>E189+F189</f>
        <v>1288.3785</v>
      </c>
      <c r="H189" s="3">
        <f>B189*G189</f>
        <v>62963.057294999999</v>
      </c>
      <c r="I189" s="3">
        <f>C189*G189</f>
        <v>62975.941080000004</v>
      </c>
    </row>
    <row r="190" spans="1:9" x14ac:dyDescent="0.25">
      <c r="A190" t="s">
        <v>13</v>
      </c>
      <c r="B190" s="1">
        <v>17.809999999999999</v>
      </c>
      <c r="C190" s="1">
        <v>17.82</v>
      </c>
      <c r="D190" s="2" t="s">
        <v>49</v>
      </c>
      <c r="E190" s="8">
        <v>3535.8029000000001</v>
      </c>
      <c r="F190" s="8">
        <f>F180</f>
        <v>0</v>
      </c>
      <c r="G190" s="8">
        <f>E190+F190</f>
        <v>3535.8029000000001</v>
      </c>
      <c r="H190" s="3">
        <f>B190*G190</f>
        <v>62972.649648999999</v>
      </c>
      <c r="I190" s="3">
        <f>C190*G190</f>
        <v>63008.007678000002</v>
      </c>
    </row>
    <row r="191" spans="1:9" x14ac:dyDescent="0.25">
      <c r="A191" t="s">
        <v>14</v>
      </c>
      <c r="B191" s="1">
        <v>35.68</v>
      </c>
      <c r="C191" s="1">
        <v>35.69</v>
      </c>
      <c r="D191" s="2" t="s">
        <v>49</v>
      </c>
      <c r="E191" s="8">
        <v>1764.9262000000001</v>
      </c>
      <c r="F191" s="8">
        <f>F181</f>
        <v>0.2</v>
      </c>
      <c r="G191" s="8">
        <f>E191+F191</f>
        <v>1765.1262000000002</v>
      </c>
      <c r="H191" s="3">
        <f>B191*G191</f>
        <v>62979.702816000005</v>
      </c>
      <c r="I191" s="3">
        <f>C191*G191</f>
        <v>62997.354078000004</v>
      </c>
    </row>
    <row r="192" spans="1:9" x14ac:dyDescent="0.25">
      <c r="A192" t="s">
        <v>4</v>
      </c>
      <c r="B192" s="1">
        <v>20.87</v>
      </c>
      <c r="C192" s="1">
        <v>20.88</v>
      </c>
      <c r="D192" s="2" t="s">
        <v>50</v>
      </c>
      <c r="E192" s="8">
        <v>3014.7584999999999</v>
      </c>
      <c r="F192" s="8">
        <f>F182</f>
        <v>0</v>
      </c>
      <c r="G192" s="8">
        <f>E192+F192</f>
        <v>3014.7584999999999</v>
      </c>
      <c r="H192" s="3">
        <f>B192*G192</f>
        <v>62918.009895000003</v>
      </c>
      <c r="I192" s="3">
        <f>C192*G192</f>
        <v>62948.157479999994</v>
      </c>
    </row>
    <row r="193" spans="1:9" x14ac:dyDescent="0.25">
      <c r="A193" t="s">
        <v>6</v>
      </c>
      <c r="B193" s="1">
        <v>34.159999999999997</v>
      </c>
      <c r="C193" s="1">
        <v>34.17</v>
      </c>
      <c r="D193" s="2" t="s">
        <v>50</v>
      </c>
      <c r="E193" s="8">
        <v>1841.7701</v>
      </c>
      <c r="F193" s="8">
        <f>F183</f>
        <v>-0.1</v>
      </c>
      <c r="G193" s="8">
        <f>E193+F193</f>
        <v>1841.6701</v>
      </c>
      <c r="H193" s="3">
        <f>B193*G193</f>
        <v>62911.450615999995</v>
      </c>
      <c r="I193" s="3">
        <f>C193*G193</f>
        <v>62929.867317000004</v>
      </c>
    </row>
    <row r="194" spans="1:9" x14ac:dyDescent="0.25">
      <c r="A194" t="s">
        <v>7</v>
      </c>
      <c r="B194" s="1">
        <v>17.739999999999998</v>
      </c>
      <c r="C194" s="1">
        <v>17.75</v>
      </c>
      <c r="D194" s="2" t="s">
        <v>50</v>
      </c>
      <c r="E194" s="8">
        <v>3546.3191999999999</v>
      </c>
      <c r="F194" s="8">
        <f>F184</f>
        <v>0</v>
      </c>
      <c r="G194" s="8">
        <f>E194+F194</f>
        <v>3546.3191999999999</v>
      </c>
      <c r="H194" s="3">
        <f>B194*G194</f>
        <v>62911.702607999992</v>
      </c>
      <c r="I194" s="3">
        <f>C194*G194</f>
        <v>62947.165799999995</v>
      </c>
    </row>
    <row r="195" spans="1:9" x14ac:dyDescent="0.25">
      <c r="A195" t="s">
        <v>8</v>
      </c>
      <c r="B195" s="1">
        <v>27.83</v>
      </c>
      <c r="C195" s="1">
        <v>27.84</v>
      </c>
      <c r="D195" s="2" t="s">
        <v>50</v>
      </c>
      <c r="E195" s="8">
        <v>2261.2093</v>
      </c>
      <c r="F195" s="8">
        <f>F185</f>
        <v>-0.2</v>
      </c>
      <c r="G195" s="8">
        <f>E195+F195</f>
        <v>2261.0093000000002</v>
      </c>
      <c r="H195" s="3">
        <f>B195*G195</f>
        <v>62923.888819</v>
      </c>
      <c r="I195" s="3">
        <f>C195*G195</f>
        <v>62946.498912000003</v>
      </c>
    </row>
    <row r="196" spans="1:9" x14ac:dyDescent="0.25">
      <c r="A196" t="s">
        <v>9</v>
      </c>
      <c r="B196" s="1">
        <v>66.510000000000005</v>
      </c>
      <c r="C196" s="1">
        <v>66.66</v>
      </c>
      <c r="D196" s="2" t="s">
        <v>50</v>
      </c>
      <c r="E196" s="8">
        <v>946.06489999999997</v>
      </c>
      <c r="F196" s="8">
        <f>F186</f>
        <v>0</v>
      </c>
      <c r="G196" s="8">
        <f>E196+F196</f>
        <v>946.06489999999997</v>
      </c>
      <c r="H196" s="3">
        <f>B196*G196</f>
        <v>62922.776499</v>
      </c>
      <c r="I196" s="3">
        <f>C196*G196</f>
        <v>63064.686233999993</v>
      </c>
    </row>
    <row r="197" spans="1:9" x14ac:dyDescent="0.25">
      <c r="A197" t="s">
        <v>10</v>
      </c>
      <c r="B197" s="1">
        <v>36.36</v>
      </c>
      <c r="C197" s="1">
        <v>36.380000000000003</v>
      </c>
      <c r="D197" s="2" t="s">
        <v>50</v>
      </c>
      <c r="E197" s="8">
        <v>1730.0188000000001</v>
      </c>
      <c r="F197" s="8">
        <f>F187</f>
        <v>0.2</v>
      </c>
      <c r="G197" s="8">
        <f>E197+F197</f>
        <v>1730.2188000000001</v>
      </c>
      <c r="H197" s="3">
        <f>B197*G197</f>
        <v>62910.755568</v>
      </c>
      <c r="I197" s="3">
        <f>C197*G197</f>
        <v>62945.359944000011</v>
      </c>
    </row>
    <row r="198" spans="1:9" x14ac:dyDescent="0.25">
      <c r="A198" t="s">
        <v>11</v>
      </c>
      <c r="B198" s="1">
        <v>54.77</v>
      </c>
      <c r="C198" s="1">
        <v>54.78</v>
      </c>
      <c r="D198" s="2" t="s">
        <v>50</v>
      </c>
      <c r="E198" s="8">
        <v>1148.7663</v>
      </c>
      <c r="F198" s="8">
        <f>F188</f>
        <v>0.05</v>
      </c>
      <c r="G198" s="8">
        <f>E198+F198</f>
        <v>1148.8163</v>
      </c>
      <c r="H198" s="3">
        <f>B198*G198</f>
        <v>62920.668751000005</v>
      </c>
      <c r="I198" s="3">
        <f>C198*G198</f>
        <v>62932.156913999999</v>
      </c>
    </row>
    <row r="199" spans="1:9" x14ac:dyDescent="0.25">
      <c r="A199" t="s">
        <v>12</v>
      </c>
      <c r="B199" s="1">
        <v>48.83</v>
      </c>
      <c r="C199" s="1">
        <v>48.84</v>
      </c>
      <c r="D199" s="2" t="s">
        <v>50</v>
      </c>
      <c r="E199" s="8">
        <v>1288.3785</v>
      </c>
      <c r="F199" s="8">
        <f>F189</f>
        <v>0</v>
      </c>
      <c r="G199" s="8">
        <f>E199+F199</f>
        <v>1288.3785</v>
      </c>
      <c r="H199" s="3">
        <f>B199*G199</f>
        <v>62911.522154999999</v>
      </c>
      <c r="I199" s="3">
        <f>C199*G199</f>
        <v>62924.405940000004</v>
      </c>
    </row>
    <row r="200" spans="1:9" x14ac:dyDescent="0.25">
      <c r="A200" t="s">
        <v>13</v>
      </c>
      <c r="B200" s="1">
        <v>17.79</v>
      </c>
      <c r="C200" s="1">
        <v>17.8</v>
      </c>
      <c r="D200" s="2" t="s">
        <v>50</v>
      </c>
      <c r="E200" s="8">
        <v>3535.8029000000001</v>
      </c>
      <c r="F200" s="8">
        <f>F190</f>
        <v>0</v>
      </c>
      <c r="G200" s="8">
        <f>E200+F200</f>
        <v>3535.8029000000001</v>
      </c>
      <c r="H200" s="3">
        <f>B200*G200</f>
        <v>62901.933591000001</v>
      </c>
      <c r="I200" s="3">
        <f>C200*G200</f>
        <v>62937.291620000004</v>
      </c>
    </row>
    <row r="201" spans="1:9" x14ac:dyDescent="0.25">
      <c r="A201" t="s">
        <v>14</v>
      </c>
      <c r="B201" s="1">
        <v>35.65</v>
      </c>
      <c r="C201" s="1">
        <v>35.659999999999997</v>
      </c>
      <c r="D201" s="2" t="s">
        <v>50</v>
      </c>
      <c r="E201" s="8">
        <v>1764.9262000000001</v>
      </c>
      <c r="F201" s="8">
        <f>F191</f>
        <v>0.2</v>
      </c>
      <c r="G201" s="8">
        <f>E201+F201</f>
        <v>1765.1262000000002</v>
      </c>
      <c r="H201" s="3">
        <f>B201*G201</f>
        <v>62926.749030000006</v>
      </c>
      <c r="I201" s="3">
        <f>C201*G201</f>
        <v>62944.400291999998</v>
      </c>
    </row>
    <row r="202" spans="1:9" x14ac:dyDescent="0.25">
      <c r="A202" t="s">
        <v>4</v>
      </c>
      <c r="B202" s="1">
        <v>20.84</v>
      </c>
      <c r="C202" s="1">
        <v>20.85</v>
      </c>
      <c r="D202" s="2" t="s">
        <v>51</v>
      </c>
      <c r="E202" s="8">
        <v>3014.7584999999999</v>
      </c>
      <c r="F202" s="8">
        <f>F192</f>
        <v>0</v>
      </c>
      <c r="G202" s="8">
        <f>E202+F202</f>
        <v>3014.7584999999999</v>
      </c>
      <c r="H202" s="3">
        <f>B202*G202</f>
        <v>62827.567139999999</v>
      </c>
      <c r="I202" s="3">
        <f>C202*G202</f>
        <v>62857.714725000005</v>
      </c>
    </row>
    <row r="203" spans="1:9" x14ac:dyDescent="0.25">
      <c r="A203" t="s">
        <v>6</v>
      </c>
      <c r="B203" s="1">
        <v>34.119999999999997</v>
      </c>
      <c r="C203" s="1">
        <v>34.130000000000003</v>
      </c>
      <c r="D203" s="2" t="s">
        <v>51</v>
      </c>
      <c r="E203" s="8">
        <v>1841.7701</v>
      </c>
      <c r="F203" s="8">
        <f>F193</f>
        <v>-0.1</v>
      </c>
      <c r="G203" s="8">
        <f>E203+F203</f>
        <v>1841.6701</v>
      </c>
      <c r="H203" s="3">
        <f>B203*G203</f>
        <v>62837.783811999994</v>
      </c>
      <c r="I203" s="3">
        <f>C203*G203</f>
        <v>62856.200513000003</v>
      </c>
    </row>
    <row r="204" spans="1:9" x14ac:dyDescent="0.25">
      <c r="A204" t="s">
        <v>7</v>
      </c>
      <c r="B204" s="1">
        <v>17.72</v>
      </c>
      <c r="C204" s="1">
        <v>17.73</v>
      </c>
      <c r="D204" s="2" t="s">
        <v>51</v>
      </c>
      <c r="E204" s="8">
        <v>3546.3191999999999</v>
      </c>
      <c r="F204" s="8">
        <f>F194</f>
        <v>0</v>
      </c>
      <c r="G204" s="8">
        <f>E204+F204</f>
        <v>3546.3191999999999</v>
      </c>
      <c r="H204" s="3">
        <f>B204*G204</f>
        <v>62840.776223999994</v>
      </c>
      <c r="I204" s="3">
        <f>C204*G204</f>
        <v>62876.239415999997</v>
      </c>
    </row>
    <row r="205" spans="1:9" x14ac:dyDescent="0.25">
      <c r="A205" t="s">
        <v>8</v>
      </c>
      <c r="B205" s="1">
        <v>27.8</v>
      </c>
      <c r="C205" s="1">
        <v>27.81</v>
      </c>
      <c r="D205" s="2" t="s">
        <v>51</v>
      </c>
      <c r="E205" s="8">
        <v>2261.2093</v>
      </c>
      <c r="F205" s="8">
        <f>F195</f>
        <v>-0.2</v>
      </c>
      <c r="G205" s="8">
        <f>E205+F205</f>
        <v>2261.0093000000002</v>
      </c>
      <c r="H205" s="3">
        <f>B205*G205</f>
        <v>62856.058540000005</v>
      </c>
      <c r="I205" s="3">
        <f>C205*G205</f>
        <v>62878.668633000001</v>
      </c>
    </row>
    <row r="206" spans="1:9" x14ac:dyDescent="0.25">
      <c r="A206" t="s">
        <v>9</v>
      </c>
      <c r="B206" s="1">
        <v>66.400000000000006</v>
      </c>
      <c r="C206" s="1">
        <v>66.5</v>
      </c>
      <c r="D206" s="2" t="s">
        <v>51</v>
      </c>
      <c r="E206" s="8">
        <v>946.06489999999997</v>
      </c>
      <c r="F206" s="8">
        <f>F196</f>
        <v>0</v>
      </c>
      <c r="G206" s="8">
        <f>E206+F206</f>
        <v>946.06489999999997</v>
      </c>
      <c r="H206" s="3">
        <f>B206*G206</f>
        <v>62818.709360000001</v>
      </c>
      <c r="I206" s="3">
        <f>C206*G206</f>
        <v>62913.315849999999</v>
      </c>
    </row>
    <row r="207" spans="1:9" x14ac:dyDescent="0.25">
      <c r="A207" t="s">
        <v>10</v>
      </c>
      <c r="B207" s="1">
        <v>36.32</v>
      </c>
      <c r="C207" s="1">
        <v>36.33</v>
      </c>
      <c r="D207" s="2" t="s">
        <v>51</v>
      </c>
      <c r="E207" s="8">
        <v>1730.0188000000001</v>
      </c>
      <c r="F207" s="8">
        <f>F197</f>
        <v>0.2</v>
      </c>
      <c r="G207" s="8">
        <f>E207+F207</f>
        <v>1730.2188000000001</v>
      </c>
      <c r="H207" s="3">
        <f>B207*G207</f>
        <v>62841.546816000002</v>
      </c>
      <c r="I207" s="3">
        <f>C207*G207</f>
        <v>62858.849004000003</v>
      </c>
    </row>
    <row r="208" spans="1:9" x14ac:dyDescent="0.25">
      <c r="A208" t="s">
        <v>11</v>
      </c>
      <c r="B208" s="1">
        <v>54.71</v>
      </c>
      <c r="C208" s="1">
        <v>54.72</v>
      </c>
      <c r="D208" s="2" t="s">
        <v>51</v>
      </c>
      <c r="E208" s="8">
        <v>1148.7663</v>
      </c>
      <c r="F208" s="8">
        <f>F198</f>
        <v>0.05</v>
      </c>
      <c r="G208" s="8">
        <f>E208+F208</f>
        <v>1148.8163</v>
      </c>
      <c r="H208" s="3">
        <f>B208*G208</f>
        <v>62851.739773000001</v>
      </c>
      <c r="I208" s="3">
        <f>C208*G208</f>
        <v>62863.227935999996</v>
      </c>
    </row>
    <row r="209" spans="1:9" x14ac:dyDescent="0.25">
      <c r="A209" t="s">
        <v>12</v>
      </c>
      <c r="B209" s="1">
        <v>48.77</v>
      </c>
      <c r="C209" s="1">
        <v>48.78</v>
      </c>
      <c r="D209" s="2" t="s">
        <v>51</v>
      </c>
      <c r="E209" s="8">
        <v>1288.3785</v>
      </c>
      <c r="F209" s="8">
        <f>F199</f>
        <v>0</v>
      </c>
      <c r="G209" s="8">
        <f>E209+F209</f>
        <v>1288.3785</v>
      </c>
      <c r="H209" s="3">
        <f>B209*G209</f>
        <v>62834.219445000002</v>
      </c>
      <c r="I209" s="3">
        <f>C209*G209</f>
        <v>62847.103230000001</v>
      </c>
    </row>
    <row r="210" spans="1:9" x14ac:dyDescent="0.25">
      <c r="A210" t="s">
        <v>13</v>
      </c>
      <c r="B210" s="1">
        <v>17.77</v>
      </c>
      <c r="C210" s="1">
        <v>17.78</v>
      </c>
      <c r="D210" s="2" t="s">
        <v>51</v>
      </c>
      <c r="E210" s="8">
        <v>3535.8029000000001</v>
      </c>
      <c r="F210" s="8">
        <f>F200</f>
        <v>0</v>
      </c>
      <c r="G210" s="8">
        <f>E210+F210</f>
        <v>3535.8029000000001</v>
      </c>
      <c r="H210" s="3">
        <f>B210*G210</f>
        <v>62831.217533000003</v>
      </c>
      <c r="I210" s="3">
        <f>C210*G210</f>
        <v>62866.575562000005</v>
      </c>
    </row>
    <row r="211" spans="1:9" x14ac:dyDescent="0.25">
      <c r="A211" t="s">
        <v>14</v>
      </c>
      <c r="B211" s="1">
        <v>35.6</v>
      </c>
      <c r="C211" s="1">
        <v>35.61</v>
      </c>
      <c r="D211" s="2" t="s">
        <v>51</v>
      </c>
      <c r="E211" s="8">
        <v>1764.9262000000001</v>
      </c>
      <c r="F211" s="8">
        <f>F201</f>
        <v>0.2</v>
      </c>
      <c r="G211" s="8">
        <f>E211+F211</f>
        <v>1765.1262000000002</v>
      </c>
      <c r="H211" s="3">
        <f>B211*G211</f>
        <v>62838.492720000009</v>
      </c>
      <c r="I211" s="3">
        <f>C211*G211</f>
        <v>62856.143982000001</v>
      </c>
    </row>
    <row r="212" spans="1:9" x14ac:dyDescent="0.25">
      <c r="A212" t="s">
        <v>4</v>
      </c>
      <c r="B212" s="1">
        <v>20.83</v>
      </c>
      <c r="C212" s="1">
        <v>20.84</v>
      </c>
      <c r="D212" s="2" t="s">
        <v>52</v>
      </c>
      <c r="E212" s="8">
        <v>3014.7584999999999</v>
      </c>
      <c r="F212" s="8">
        <f>F202</f>
        <v>0</v>
      </c>
      <c r="G212" s="8">
        <f>E212+F212</f>
        <v>3014.7584999999999</v>
      </c>
      <c r="H212" s="3">
        <f>B212*G212</f>
        <v>62797.419554999993</v>
      </c>
      <c r="I212" s="3">
        <f>C212*G212</f>
        <v>62827.567139999999</v>
      </c>
    </row>
    <row r="213" spans="1:9" x14ac:dyDescent="0.25">
      <c r="A213" t="s">
        <v>6</v>
      </c>
      <c r="B213" s="1">
        <v>34.1</v>
      </c>
      <c r="C213" s="1">
        <v>34.11</v>
      </c>
      <c r="D213" s="2" t="s">
        <v>52</v>
      </c>
      <c r="E213" s="8">
        <v>1841.7701</v>
      </c>
      <c r="F213" s="8">
        <f>F203</f>
        <v>-0.1</v>
      </c>
      <c r="G213" s="8">
        <f>E213+F213</f>
        <v>1841.6701</v>
      </c>
      <c r="H213" s="3">
        <f>B213*G213</f>
        <v>62800.950410000005</v>
      </c>
      <c r="I213" s="3">
        <f>C213*G213</f>
        <v>62819.367111</v>
      </c>
    </row>
    <row r="214" spans="1:9" x14ac:dyDescent="0.25">
      <c r="A214" t="s">
        <v>7</v>
      </c>
      <c r="B214" s="1">
        <v>17.71</v>
      </c>
      <c r="C214" s="1">
        <v>17.72</v>
      </c>
      <c r="D214" s="2" t="s">
        <v>52</v>
      </c>
      <c r="E214" s="8">
        <v>3546.3191999999999</v>
      </c>
      <c r="F214" s="8">
        <f>F204</f>
        <v>0</v>
      </c>
      <c r="G214" s="8">
        <f>E214+F214</f>
        <v>3546.3191999999999</v>
      </c>
      <c r="H214" s="3">
        <f>B214*G214</f>
        <v>62805.313031999998</v>
      </c>
      <c r="I214" s="3">
        <f>C214*G214</f>
        <v>62840.776223999994</v>
      </c>
    </row>
    <row r="215" spans="1:9" x14ac:dyDescent="0.25">
      <c r="A215" t="s">
        <v>8</v>
      </c>
      <c r="B215" s="1">
        <v>27.77</v>
      </c>
      <c r="C215" s="1">
        <v>27.78</v>
      </c>
      <c r="D215" s="2" t="s">
        <v>52</v>
      </c>
      <c r="E215" s="8">
        <v>2261.2093</v>
      </c>
      <c r="F215" s="8">
        <f>F205</f>
        <v>-0.2</v>
      </c>
      <c r="G215" s="8">
        <f>E215+F215</f>
        <v>2261.0093000000002</v>
      </c>
      <c r="H215" s="3">
        <f>B215*G215</f>
        <v>62788.228261000004</v>
      </c>
      <c r="I215" s="3">
        <f>C215*G215</f>
        <v>62810.838354000007</v>
      </c>
    </row>
    <row r="216" spans="1:9" x14ac:dyDescent="0.25">
      <c r="A216" t="s">
        <v>9</v>
      </c>
      <c r="B216" s="1">
        <v>66.38</v>
      </c>
      <c r="C216" s="1">
        <v>66.48</v>
      </c>
      <c r="D216" s="2" t="s">
        <v>52</v>
      </c>
      <c r="E216" s="8">
        <v>946.06489999999997</v>
      </c>
      <c r="F216" s="8">
        <f>F206</f>
        <v>0</v>
      </c>
      <c r="G216" s="8">
        <f>E216+F216</f>
        <v>946.06489999999997</v>
      </c>
      <c r="H216" s="3">
        <f>B216*G216</f>
        <v>62799.788061999992</v>
      </c>
      <c r="I216" s="3">
        <f>C216*G216</f>
        <v>62894.394551999998</v>
      </c>
    </row>
    <row r="217" spans="1:9" x14ac:dyDescent="0.25">
      <c r="A217" t="s">
        <v>10</v>
      </c>
      <c r="B217" s="1">
        <v>36.29</v>
      </c>
      <c r="C217" s="1">
        <v>36.31</v>
      </c>
      <c r="D217" s="2" t="s">
        <v>52</v>
      </c>
      <c r="E217" s="8">
        <v>1730.0188000000001</v>
      </c>
      <c r="F217" s="8">
        <f>F207</f>
        <v>0.2</v>
      </c>
      <c r="G217" s="8">
        <f>E217+F217</f>
        <v>1730.2188000000001</v>
      </c>
      <c r="H217" s="3">
        <f>B217*G217</f>
        <v>62789.640252000005</v>
      </c>
      <c r="I217" s="3">
        <f>C217*G217</f>
        <v>62824.244628000008</v>
      </c>
    </row>
    <row r="218" spans="1:9" x14ac:dyDescent="0.25">
      <c r="A218" t="s">
        <v>11</v>
      </c>
      <c r="B218" s="1">
        <v>54.67</v>
      </c>
      <c r="C218" s="1">
        <v>54.68</v>
      </c>
      <c r="D218" s="2" t="s">
        <v>52</v>
      </c>
      <c r="E218" s="8">
        <v>1148.7663</v>
      </c>
      <c r="F218" s="8">
        <f>F208</f>
        <v>0.05</v>
      </c>
      <c r="G218" s="8">
        <f>E218+F218</f>
        <v>1148.8163</v>
      </c>
      <c r="H218" s="3">
        <f>B218*G218</f>
        <v>62805.787121000001</v>
      </c>
      <c r="I218" s="3">
        <f>C218*G218</f>
        <v>62817.275283999996</v>
      </c>
    </row>
    <row r="219" spans="1:9" x14ac:dyDescent="0.25">
      <c r="A219" t="s">
        <v>12</v>
      </c>
      <c r="B219" s="1">
        <v>48.73</v>
      </c>
      <c r="C219" s="1">
        <v>48.74</v>
      </c>
      <c r="D219" s="2" t="s">
        <v>52</v>
      </c>
      <c r="E219" s="8">
        <v>1288.3785</v>
      </c>
      <c r="F219" s="8">
        <f>F209</f>
        <v>0</v>
      </c>
      <c r="G219" s="8">
        <f>E219+F219</f>
        <v>1288.3785</v>
      </c>
      <c r="H219" s="3">
        <f>B219*G219</f>
        <v>62782.684304999995</v>
      </c>
      <c r="I219" s="3">
        <f>C219*G219</f>
        <v>62795.568090000001</v>
      </c>
    </row>
    <row r="220" spans="1:9" x14ac:dyDescent="0.25">
      <c r="A220" t="s">
        <v>13</v>
      </c>
      <c r="B220" s="1">
        <v>17.760000000000002</v>
      </c>
      <c r="C220" s="1">
        <v>17.77</v>
      </c>
      <c r="D220" s="2" t="s">
        <v>52</v>
      </c>
      <c r="E220" s="8">
        <v>3535.8029000000001</v>
      </c>
      <c r="F220" s="8">
        <f>F210</f>
        <v>0</v>
      </c>
      <c r="G220" s="8">
        <f>E220+F220</f>
        <v>3535.8029000000001</v>
      </c>
      <c r="H220" s="3">
        <f>B220*G220</f>
        <v>62795.859504000007</v>
      </c>
      <c r="I220" s="3">
        <f>C220*G220</f>
        <v>62831.217533000003</v>
      </c>
    </row>
    <row r="221" spans="1:9" x14ac:dyDescent="0.25">
      <c r="A221" t="s">
        <v>14</v>
      </c>
      <c r="B221" s="1">
        <v>35.58</v>
      </c>
      <c r="C221" s="1">
        <v>35.590000000000003</v>
      </c>
      <c r="D221" s="2" t="s">
        <v>52</v>
      </c>
      <c r="E221" s="8">
        <v>1764.9262000000001</v>
      </c>
      <c r="F221" s="8">
        <f>F211</f>
        <v>0.2</v>
      </c>
      <c r="G221" s="8">
        <f>E221+F221</f>
        <v>1765.1262000000002</v>
      </c>
      <c r="H221" s="3">
        <f>B221*G221</f>
        <v>62803.190196000003</v>
      </c>
      <c r="I221" s="3">
        <f>C221*G221</f>
        <v>62820.84145800001</v>
      </c>
    </row>
    <row r="222" spans="1:9" x14ac:dyDescent="0.25">
      <c r="A222" t="s">
        <v>4</v>
      </c>
      <c r="B222" s="1">
        <v>20.78</v>
      </c>
      <c r="C222" s="1">
        <v>20.79</v>
      </c>
      <c r="D222" s="2" t="s">
        <v>53</v>
      </c>
      <c r="E222" s="8">
        <v>3014.7584999999999</v>
      </c>
      <c r="F222" s="8">
        <f>F212</f>
        <v>0</v>
      </c>
      <c r="G222" s="8">
        <f>E222+F222</f>
        <v>3014.7584999999999</v>
      </c>
      <c r="H222" s="3">
        <f>B222*G222</f>
        <v>62646.681629999999</v>
      </c>
      <c r="I222" s="3">
        <f>C222*G222</f>
        <v>62676.829214999998</v>
      </c>
    </row>
    <row r="223" spans="1:9" x14ac:dyDescent="0.25">
      <c r="A223" t="s">
        <v>6</v>
      </c>
      <c r="B223" s="1">
        <v>34.020000000000003</v>
      </c>
      <c r="C223" s="1">
        <v>34.03</v>
      </c>
      <c r="D223" s="2" t="s">
        <v>53</v>
      </c>
      <c r="E223" s="8">
        <v>1841.7701</v>
      </c>
      <c r="F223" s="8">
        <f>F213</f>
        <v>-0.1</v>
      </c>
      <c r="G223" s="8">
        <f>E223+F223</f>
        <v>1841.6701</v>
      </c>
      <c r="H223" s="3">
        <f>B223*G223</f>
        <v>62653.616802000004</v>
      </c>
      <c r="I223" s="3">
        <f>C223*G223</f>
        <v>62672.033503000006</v>
      </c>
    </row>
    <row r="224" spans="1:9" x14ac:dyDescent="0.25">
      <c r="A224" t="s">
        <v>7</v>
      </c>
      <c r="B224" s="1">
        <v>17.66</v>
      </c>
      <c r="C224" s="1">
        <v>17.670000000000002</v>
      </c>
      <c r="D224" s="2" t="s">
        <v>53</v>
      </c>
      <c r="E224" s="8">
        <v>3546.3191999999999</v>
      </c>
      <c r="F224" s="8">
        <f>F214</f>
        <v>0</v>
      </c>
      <c r="G224" s="8">
        <f>E224+F224</f>
        <v>3546.3191999999999</v>
      </c>
      <c r="H224" s="3">
        <f>B224*G224</f>
        <v>62627.997071999998</v>
      </c>
      <c r="I224" s="3">
        <f>C224*G224</f>
        <v>62663.460264000001</v>
      </c>
    </row>
    <row r="225" spans="1:9" x14ac:dyDescent="0.25">
      <c r="A225" t="s">
        <v>8</v>
      </c>
      <c r="B225" s="1">
        <v>27.71</v>
      </c>
      <c r="C225" s="1">
        <v>27.72</v>
      </c>
      <c r="D225" s="2" t="s">
        <v>53</v>
      </c>
      <c r="E225" s="8">
        <v>2261.2093</v>
      </c>
      <c r="F225" s="8">
        <f>F215</f>
        <v>-0.2</v>
      </c>
      <c r="G225" s="8">
        <f>E225+F225</f>
        <v>2261.0093000000002</v>
      </c>
      <c r="H225" s="3">
        <f>B225*G225</f>
        <v>62652.567703000008</v>
      </c>
      <c r="I225" s="3">
        <f>C225*G225</f>
        <v>62675.177796000004</v>
      </c>
    </row>
    <row r="226" spans="1:9" x14ac:dyDescent="0.25">
      <c r="A226" t="s">
        <v>9</v>
      </c>
      <c r="B226" s="1">
        <v>66.209999999999994</v>
      </c>
      <c r="C226" s="1">
        <v>66.31</v>
      </c>
      <c r="D226" s="2" t="s">
        <v>53</v>
      </c>
      <c r="E226" s="8">
        <v>946.06489999999997</v>
      </c>
      <c r="F226" s="8">
        <f>F216</f>
        <v>0</v>
      </c>
      <c r="G226" s="8">
        <f>E226+F226</f>
        <v>946.06489999999997</v>
      </c>
      <c r="H226" s="3">
        <f>B226*G226</f>
        <v>62638.95702899999</v>
      </c>
      <c r="I226" s="3">
        <f>C226*G226</f>
        <v>62733.563519000003</v>
      </c>
    </row>
    <row r="227" spans="1:9" x14ac:dyDescent="0.25">
      <c r="A227" t="s">
        <v>10</v>
      </c>
      <c r="B227" s="1">
        <v>36.21</v>
      </c>
      <c r="C227" s="1">
        <v>36.22</v>
      </c>
      <c r="D227" s="2" t="s">
        <v>53</v>
      </c>
      <c r="E227" s="8">
        <v>1730.0188000000001</v>
      </c>
      <c r="F227" s="8">
        <f>F217</f>
        <v>0.2</v>
      </c>
      <c r="G227" s="8">
        <f>E227+F227</f>
        <v>1730.2188000000001</v>
      </c>
      <c r="H227" s="3">
        <f>B227*G227</f>
        <v>62651.222748000007</v>
      </c>
      <c r="I227" s="3">
        <f>C227*G227</f>
        <v>62668.524936000002</v>
      </c>
    </row>
    <row r="228" spans="1:9" x14ac:dyDescent="0.25">
      <c r="A228" t="s">
        <v>11</v>
      </c>
      <c r="B228" s="1">
        <v>54.55</v>
      </c>
      <c r="C228" s="1">
        <v>54.56</v>
      </c>
      <c r="D228" s="2" t="s">
        <v>53</v>
      </c>
      <c r="E228" s="8">
        <v>1148.7663</v>
      </c>
      <c r="F228" s="8">
        <f>F218</f>
        <v>0.05</v>
      </c>
      <c r="G228" s="8">
        <f>E228+F228</f>
        <v>1148.8163</v>
      </c>
      <c r="H228" s="3">
        <f>B228*G228</f>
        <v>62667.929164999994</v>
      </c>
      <c r="I228" s="3">
        <f>C228*G228</f>
        <v>62679.417328000003</v>
      </c>
    </row>
    <row r="229" spans="1:9" x14ac:dyDescent="0.25">
      <c r="A229" t="s">
        <v>12</v>
      </c>
      <c r="B229" s="1">
        <v>48.62</v>
      </c>
      <c r="C229" s="1">
        <v>48.63</v>
      </c>
      <c r="D229" s="2" t="s">
        <v>53</v>
      </c>
      <c r="E229" s="8">
        <v>1288.3785</v>
      </c>
      <c r="F229" s="8">
        <f>F219</f>
        <v>0</v>
      </c>
      <c r="G229" s="8">
        <f>E229+F229</f>
        <v>1288.3785</v>
      </c>
      <c r="H229" s="3">
        <f>B229*G229</f>
        <v>62640.962670000001</v>
      </c>
      <c r="I229" s="3">
        <f>C229*G229</f>
        <v>62653.846455000006</v>
      </c>
    </row>
    <row r="230" spans="1:9" x14ac:dyDescent="0.25">
      <c r="A230" t="s">
        <v>13</v>
      </c>
      <c r="B230" s="1">
        <v>17.72</v>
      </c>
      <c r="C230" s="1">
        <v>17.73</v>
      </c>
      <c r="D230" s="2" t="s">
        <v>53</v>
      </c>
      <c r="E230" s="8">
        <v>3535.8029000000001</v>
      </c>
      <c r="F230" s="8">
        <f>F220</f>
        <v>0</v>
      </c>
      <c r="G230" s="8">
        <f>E230+F230</f>
        <v>3535.8029000000001</v>
      </c>
      <c r="H230" s="3">
        <f>B230*G230</f>
        <v>62654.427387999996</v>
      </c>
      <c r="I230" s="3">
        <f>C230*G230</f>
        <v>62689.785417000006</v>
      </c>
    </row>
    <row r="231" spans="1:9" x14ac:dyDescent="0.25">
      <c r="A231" t="s">
        <v>14</v>
      </c>
      <c r="B231" s="1">
        <v>35.5</v>
      </c>
      <c r="C231" s="1">
        <v>35.51</v>
      </c>
      <c r="D231" s="2" t="s">
        <v>53</v>
      </c>
      <c r="E231" s="8">
        <v>1764.9262000000001</v>
      </c>
      <c r="F231" s="8">
        <f>F221</f>
        <v>0.2</v>
      </c>
      <c r="G231" s="8">
        <f>E231+F231</f>
        <v>1765.1262000000002</v>
      </c>
      <c r="H231" s="3">
        <f>B231*G231</f>
        <v>62661.980100000008</v>
      </c>
      <c r="I231" s="3">
        <f>C231*G231</f>
        <v>62679.631362</v>
      </c>
    </row>
    <row r="232" spans="1:9" x14ac:dyDescent="0.25">
      <c r="A232" t="s">
        <v>4</v>
      </c>
      <c r="B232" s="1">
        <v>20.79</v>
      </c>
      <c r="C232" s="1">
        <v>20.8</v>
      </c>
      <c r="D232" s="2" t="s">
        <v>54</v>
      </c>
      <c r="E232" s="8">
        <v>3014.7584999999999</v>
      </c>
      <c r="F232" s="8">
        <f>F222</f>
        <v>0</v>
      </c>
      <c r="G232" s="8">
        <f>E232+F232</f>
        <v>3014.7584999999999</v>
      </c>
      <c r="H232" s="3">
        <f>B232*G232</f>
        <v>62676.829214999998</v>
      </c>
      <c r="I232" s="3">
        <f>C232*G232</f>
        <v>62706.976799999997</v>
      </c>
    </row>
    <row r="233" spans="1:9" x14ac:dyDescent="0.25">
      <c r="A233" t="s">
        <v>6</v>
      </c>
      <c r="B233" s="1">
        <v>34.03</v>
      </c>
      <c r="C233" s="1">
        <v>34.04</v>
      </c>
      <c r="D233" s="2" t="s">
        <v>54</v>
      </c>
      <c r="E233" s="8">
        <v>1841.7701</v>
      </c>
      <c r="F233" s="8">
        <f>F223</f>
        <v>-0.1</v>
      </c>
      <c r="G233" s="8">
        <f>E233+F233</f>
        <v>1841.6701</v>
      </c>
      <c r="H233" s="3">
        <f>B233*G233</f>
        <v>62672.033503000006</v>
      </c>
      <c r="I233" s="3">
        <f>C233*G233</f>
        <v>62690.450204000001</v>
      </c>
    </row>
    <row r="234" spans="1:9" x14ac:dyDescent="0.25">
      <c r="A234" t="s">
        <v>7</v>
      </c>
      <c r="B234" s="1">
        <v>17.670000000000002</v>
      </c>
      <c r="C234" s="1">
        <v>17.68</v>
      </c>
      <c r="D234" s="2" t="s">
        <v>54</v>
      </c>
      <c r="E234" s="8">
        <v>3546.3191999999999</v>
      </c>
      <c r="F234" s="8">
        <f>F224</f>
        <v>0</v>
      </c>
      <c r="G234" s="8">
        <f>E234+F234</f>
        <v>3546.3191999999999</v>
      </c>
      <c r="H234" s="3">
        <f>B234*G234</f>
        <v>62663.460264000001</v>
      </c>
      <c r="I234" s="3">
        <f>C234*G234</f>
        <v>62698.923455999997</v>
      </c>
    </row>
    <row r="235" spans="1:9" x14ac:dyDescent="0.25">
      <c r="A235" t="s">
        <v>8</v>
      </c>
      <c r="B235" s="1">
        <v>27.72</v>
      </c>
      <c r="C235" s="1">
        <v>27.73</v>
      </c>
      <c r="D235" s="2" t="s">
        <v>54</v>
      </c>
      <c r="E235" s="8">
        <v>2261.2093</v>
      </c>
      <c r="F235" s="8">
        <f>F225</f>
        <v>-0.2</v>
      </c>
      <c r="G235" s="8">
        <f>E235+F235</f>
        <v>2261.0093000000002</v>
      </c>
      <c r="H235" s="3">
        <f>B235*G235</f>
        <v>62675.177796000004</v>
      </c>
      <c r="I235" s="3">
        <f>C235*G235</f>
        <v>62697.787889000007</v>
      </c>
    </row>
    <row r="236" spans="1:9" x14ac:dyDescent="0.25">
      <c r="A236" t="s">
        <v>9</v>
      </c>
      <c r="B236" s="1">
        <v>66.239999999999995</v>
      </c>
      <c r="C236" s="1">
        <v>66.349999999999994</v>
      </c>
      <c r="D236" s="2" t="s">
        <v>54</v>
      </c>
      <c r="E236" s="8">
        <v>946.06489999999997</v>
      </c>
      <c r="F236" s="8">
        <f>F226</f>
        <v>0</v>
      </c>
      <c r="G236" s="8">
        <f>E236+F236</f>
        <v>946.06489999999997</v>
      </c>
      <c r="H236" s="3">
        <f>B236*G236</f>
        <v>62667.338975999992</v>
      </c>
      <c r="I236" s="3">
        <f>C236*G236</f>
        <v>62771.406114999991</v>
      </c>
    </row>
    <row r="237" spans="1:9" x14ac:dyDescent="0.25">
      <c r="A237" t="s">
        <v>10</v>
      </c>
      <c r="B237" s="1">
        <v>36.22</v>
      </c>
      <c r="C237" s="1">
        <v>36.24</v>
      </c>
      <c r="D237" s="2" t="s">
        <v>54</v>
      </c>
      <c r="E237" s="8">
        <v>1730.0188000000001</v>
      </c>
      <c r="F237" s="8">
        <f>F227</f>
        <v>0.2</v>
      </c>
      <c r="G237" s="8">
        <f>E237+F237</f>
        <v>1730.2188000000001</v>
      </c>
      <c r="H237" s="3">
        <f>B237*G237</f>
        <v>62668.524936000002</v>
      </c>
      <c r="I237" s="3">
        <f>C237*G237</f>
        <v>62703.129312000005</v>
      </c>
    </row>
    <row r="238" spans="1:9" x14ac:dyDescent="0.25">
      <c r="A238" t="s">
        <v>11</v>
      </c>
      <c r="B238" s="1">
        <v>54.57</v>
      </c>
      <c r="C238" s="1">
        <v>54.58</v>
      </c>
      <c r="D238" s="2" t="s">
        <v>54</v>
      </c>
      <c r="E238" s="8">
        <v>1148.7663</v>
      </c>
      <c r="F238" s="8">
        <f>F228</f>
        <v>0.05</v>
      </c>
      <c r="G238" s="8">
        <f>E238+F238</f>
        <v>1148.8163</v>
      </c>
      <c r="H238" s="3">
        <f>B238*G238</f>
        <v>62690.905490999998</v>
      </c>
      <c r="I238" s="3">
        <f>C238*G238</f>
        <v>62702.393653999992</v>
      </c>
    </row>
    <row r="239" spans="1:9" x14ac:dyDescent="0.25">
      <c r="A239" t="s">
        <v>12</v>
      </c>
      <c r="B239" s="1">
        <v>48.64</v>
      </c>
      <c r="C239" s="1">
        <v>48.66</v>
      </c>
      <c r="D239" s="2" t="s">
        <v>54</v>
      </c>
      <c r="E239" s="8">
        <v>1288.3785</v>
      </c>
      <c r="F239" s="8">
        <f>F229</f>
        <v>0</v>
      </c>
      <c r="G239" s="8">
        <f>E239+F239</f>
        <v>1288.3785</v>
      </c>
      <c r="H239" s="3">
        <f>B239*G239</f>
        <v>62666.730240000004</v>
      </c>
      <c r="I239" s="3">
        <f>C239*G239</f>
        <v>62692.497809999993</v>
      </c>
    </row>
    <row r="240" spans="1:9" x14ac:dyDescent="0.25">
      <c r="A240" t="s">
        <v>13</v>
      </c>
      <c r="B240" s="1">
        <v>17.72</v>
      </c>
      <c r="C240" s="1">
        <v>17.73</v>
      </c>
      <c r="D240" s="2" t="s">
        <v>54</v>
      </c>
      <c r="E240" s="8">
        <v>3535.8029000000001</v>
      </c>
      <c r="F240" s="8">
        <f>F230</f>
        <v>0</v>
      </c>
      <c r="G240" s="8">
        <f>E240+F240</f>
        <v>3535.8029000000001</v>
      </c>
      <c r="H240" s="3">
        <f>B240*G240</f>
        <v>62654.427387999996</v>
      </c>
      <c r="I240" s="3">
        <f>C240*G240</f>
        <v>62689.785417000006</v>
      </c>
    </row>
    <row r="241" spans="1:9" x14ac:dyDescent="0.25">
      <c r="A241" t="s">
        <v>14</v>
      </c>
      <c r="B241" s="1">
        <v>35.51</v>
      </c>
      <c r="C241" s="1">
        <v>35.520000000000003</v>
      </c>
      <c r="D241" s="2" t="s">
        <v>54</v>
      </c>
      <c r="E241" s="8">
        <v>1764.9262000000001</v>
      </c>
      <c r="F241" s="8">
        <f>F231</f>
        <v>0.2</v>
      </c>
      <c r="G241" s="8">
        <f>E241+F241</f>
        <v>1765.1262000000002</v>
      </c>
      <c r="H241" s="3">
        <f>B241*G241</f>
        <v>62679.631362</v>
      </c>
      <c r="I241" s="3">
        <f>C241*G241</f>
        <v>62697.282624000014</v>
      </c>
    </row>
    <row r="242" spans="1:9" x14ac:dyDescent="0.25">
      <c r="A242" t="s">
        <v>4</v>
      </c>
      <c r="B242" s="1">
        <v>20.83</v>
      </c>
      <c r="C242" s="1">
        <v>20.84</v>
      </c>
      <c r="D242" s="2" t="s">
        <v>55</v>
      </c>
      <c r="E242" s="8">
        <v>3014.7584999999999</v>
      </c>
      <c r="F242" s="8">
        <f>F232</f>
        <v>0</v>
      </c>
      <c r="G242" s="8">
        <f>E242+F242</f>
        <v>3014.7584999999999</v>
      </c>
      <c r="H242" s="3">
        <f>B242*G242</f>
        <v>62797.419554999993</v>
      </c>
      <c r="I242" s="3">
        <f>C242*G242</f>
        <v>62827.567139999999</v>
      </c>
    </row>
    <row r="243" spans="1:9" x14ac:dyDescent="0.25">
      <c r="A243" t="s">
        <v>6</v>
      </c>
      <c r="B243" s="1">
        <v>34.090000000000003</v>
      </c>
      <c r="C243" s="1">
        <v>34.1</v>
      </c>
      <c r="D243" s="2" t="s">
        <v>55</v>
      </c>
      <c r="E243" s="8">
        <v>1841.7701</v>
      </c>
      <c r="F243" s="8">
        <f>F233</f>
        <v>-0.1</v>
      </c>
      <c r="G243" s="8">
        <f>E243+F243</f>
        <v>1841.6701</v>
      </c>
      <c r="H243" s="3">
        <f>B243*G243</f>
        <v>62782.53370900001</v>
      </c>
      <c r="I243" s="3">
        <f>C243*G243</f>
        <v>62800.950410000005</v>
      </c>
    </row>
    <row r="244" spans="1:9" x14ac:dyDescent="0.25">
      <c r="A244" t="s">
        <v>7</v>
      </c>
      <c r="B244" s="1">
        <v>17.7</v>
      </c>
      <c r="C244" s="1">
        <v>17.71</v>
      </c>
      <c r="D244" s="2" t="s">
        <v>55</v>
      </c>
      <c r="E244" s="8">
        <v>3546.3191999999999</v>
      </c>
      <c r="F244" s="8">
        <f>F234</f>
        <v>0</v>
      </c>
      <c r="G244" s="8">
        <f>E244+F244</f>
        <v>3546.3191999999999</v>
      </c>
      <c r="H244" s="3">
        <f>B244*G244</f>
        <v>62769.849839999995</v>
      </c>
      <c r="I244" s="3">
        <f>C244*G244</f>
        <v>62805.313031999998</v>
      </c>
    </row>
    <row r="245" spans="1:9" x14ac:dyDescent="0.25">
      <c r="A245" t="s">
        <v>8</v>
      </c>
      <c r="B245" s="1">
        <v>27.77</v>
      </c>
      <c r="C245" s="1">
        <v>27.78</v>
      </c>
      <c r="D245" s="2" t="s">
        <v>55</v>
      </c>
      <c r="E245" s="8">
        <v>2261.2093</v>
      </c>
      <c r="F245" s="8">
        <f>F235</f>
        <v>-0.2</v>
      </c>
      <c r="G245" s="8">
        <f>E245+F245</f>
        <v>2261.0093000000002</v>
      </c>
      <c r="H245" s="3">
        <f>B245*G245</f>
        <v>62788.228261000004</v>
      </c>
      <c r="I245" s="3">
        <f>C245*G245</f>
        <v>62810.838354000007</v>
      </c>
    </row>
    <row r="246" spans="1:9" x14ac:dyDescent="0.25">
      <c r="A246" t="s">
        <v>9</v>
      </c>
      <c r="B246" s="1">
        <v>66.349999999999994</v>
      </c>
      <c r="C246" s="1">
        <v>66.459999999999994</v>
      </c>
      <c r="D246" s="2" t="s">
        <v>55</v>
      </c>
      <c r="E246" s="8">
        <v>946.06489999999997</v>
      </c>
      <c r="F246" s="8">
        <f>F236</f>
        <v>0</v>
      </c>
      <c r="G246" s="8">
        <f>E246+F246</f>
        <v>946.06489999999997</v>
      </c>
      <c r="H246" s="3">
        <f>B246*G246</f>
        <v>62771.406114999991</v>
      </c>
      <c r="I246" s="3">
        <f>C246*G246</f>
        <v>62875.47325399999</v>
      </c>
    </row>
    <row r="247" spans="1:9" x14ac:dyDescent="0.25">
      <c r="A247" t="s">
        <v>10</v>
      </c>
      <c r="B247" s="1">
        <v>36.29</v>
      </c>
      <c r="C247" s="1">
        <v>36.299999999999997</v>
      </c>
      <c r="D247" s="2" t="s">
        <v>55</v>
      </c>
      <c r="E247" s="8">
        <v>1730.0188000000001</v>
      </c>
      <c r="F247" s="8">
        <f>F237</f>
        <v>0.2</v>
      </c>
      <c r="G247" s="8">
        <f>E247+F247</f>
        <v>1730.2188000000001</v>
      </c>
      <c r="H247" s="3">
        <f>B247*G247</f>
        <v>62789.640252000005</v>
      </c>
      <c r="I247" s="3">
        <f>C247*G247</f>
        <v>62806.942439999999</v>
      </c>
    </row>
    <row r="248" spans="1:9" x14ac:dyDescent="0.25">
      <c r="A248" t="s">
        <v>11</v>
      </c>
      <c r="B248" s="1">
        <v>54.65</v>
      </c>
      <c r="C248" s="1">
        <v>54.66</v>
      </c>
      <c r="D248" s="2" t="s">
        <v>55</v>
      </c>
      <c r="E248" s="8">
        <v>1148.7663</v>
      </c>
      <c r="F248" s="8">
        <f>F238</f>
        <v>0.05</v>
      </c>
      <c r="G248" s="8">
        <f>E248+F248</f>
        <v>1148.8163</v>
      </c>
      <c r="H248" s="3">
        <f>B248*G248</f>
        <v>62782.810794999998</v>
      </c>
      <c r="I248" s="3">
        <f>C248*G248</f>
        <v>62794.298957999992</v>
      </c>
    </row>
    <row r="249" spans="1:9" x14ac:dyDescent="0.25">
      <c r="A249" t="s">
        <v>12</v>
      </c>
      <c r="B249" s="1">
        <v>48.72</v>
      </c>
      <c r="C249" s="1">
        <v>48.73</v>
      </c>
      <c r="D249" s="2" t="s">
        <v>55</v>
      </c>
      <c r="E249" s="8">
        <v>1288.3785</v>
      </c>
      <c r="F249" s="8">
        <f>F239</f>
        <v>0</v>
      </c>
      <c r="G249" s="8">
        <f>E249+F249</f>
        <v>1288.3785</v>
      </c>
      <c r="H249" s="3">
        <f>B249*G249</f>
        <v>62769.800519999997</v>
      </c>
      <c r="I249" s="3">
        <f>C249*G249</f>
        <v>62782.684304999995</v>
      </c>
    </row>
    <row r="250" spans="1:9" x14ac:dyDescent="0.25">
      <c r="A250" t="s">
        <v>13</v>
      </c>
      <c r="B250" s="1">
        <v>17.760000000000002</v>
      </c>
      <c r="C250" s="1">
        <v>17.77</v>
      </c>
      <c r="D250" s="2" t="s">
        <v>55</v>
      </c>
      <c r="E250" s="8">
        <v>3535.8029000000001</v>
      </c>
      <c r="F250" s="8">
        <f>F240</f>
        <v>0</v>
      </c>
      <c r="G250" s="8">
        <f>E250+F250</f>
        <v>3535.8029000000001</v>
      </c>
      <c r="H250" s="3">
        <f>B250*G250</f>
        <v>62795.859504000007</v>
      </c>
      <c r="I250" s="3">
        <f>C250*G250</f>
        <v>62831.217533000003</v>
      </c>
    </row>
    <row r="251" spans="1:9" x14ac:dyDescent="0.25">
      <c r="A251" t="s">
        <v>14</v>
      </c>
      <c r="B251" s="1">
        <v>35.57</v>
      </c>
      <c r="C251" s="1">
        <v>35.58</v>
      </c>
      <c r="D251" s="2" t="s">
        <v>55</v>
      </c>
      <c r="E251" s="8">
        <v>1764.9262000000001</v>
      </c>
      <c r="F251" s="8">
        <f>F241</f>
        <v>0.2</v>
      </c>
      <c r="G251" s="8">
        <f>E251+F251</f>
        <v>1765.1262000000002</v>
      </c>
      <c r="H251" s="3">
        <f>B251*G251</f>
        <v>62785.538934000004</v>
      </c>
      <c r="I251" s="3">
        <f>C251*G251</f>
        <v>62803.190196000003</v>
      </c>
    </row>
    <row r="252" spans="1:9" x14ac:dyDescent="0.25">
      <c r="A252" t="s">
        <v>4</v>
      </c>
      <c r="B252" s="1">
        <v>20.75</v>
      </c>
      <c r="C252" s="1">
        <v>20.76</v>
      </c>
      <c r="D252" s="2" t="s">
        <v>56</v>
      </c>
      <c r="E252" s="8">
        <v>3014.7584999999999</v>
      </c>
      <c r="F252" s="8">
        <f>F242</f>
        <v>0</v>
      </c>
      <c r="G252" s="8">
        <f>E252+F252</f>
        <v>3014.7584999999999</v>
      </c>
      <c r="H252" s="3">
        <f>B252*G252</f>
        <v>62556.238874999995</v>
      </c>
      <c r="I252" s="3">
        <f>C252*G252</f>
        <v>62586.386460000002</v>
      </c>
    </row>
    <row r="253" spans="1:9" x14ac:dyDescent="0.25">
      <c r="A253" t="s">
        <v>6</v>
      </c>
      <c r="B253" s="1">
        <v>33.97</v>
      </c>
      <c r="C253" s="1">
        <v>33.979999999999997</v>
      </c>
      <c r="D253" s="2" t="s">
        <v>56</v>
      </c>
      <c r="E253" s="8">
        <v>1841.7701</v>
      </c>
      <c r="F253" s="8">
        <f>F243</f>
        <v>-0.1</v>
      </c>
      <c r="G253" s="8">
        <f>E253+F253</f>
        <v>1841.6701</v>
      </c>
      <c r="H253" s="3">
        <f>B253*G253</f>
        <v>62561.533297000002</v>
      </c>
      <c r="I253" s="3">
        <f>C253*G253</f>
        <v>62579.949997999996</v>
      </c>
    </row>
    <row r="254" spans="1:9" x14ac:dyDescent="0.25">
      <c r="A254" t="s">
        <v>7</v>
      </c>
      <c r="B254" s="1">
        <v>17.64</v>
      </c>
      <c r="C254" s="1">
        <v>17.649999999999999</v>
      </c>
      <c r="D254" s="2" t="s">
        <v>56</v>
      </c>
      <c r="E254" s="8">
        <v>3546.3191999999999</v>
      </c>
      <c r="F254" s="8">
        <f>F244</f>
        <v>0</v>
      </c>
      <c r="G254" s="8">
        <f>E254+F254</f>
        <v>3546.3191999999999</v>
      </c>
      <c r="H254" s="3">
        <f>B254*G254</f>
        <v>62557.070688</v>
      </c>
      <c r="I254" s="3">
        <f>C254*G254</f>
        <v>62592.533879999995</v>
      </c>
    </row>
    <row r="255" spans="1:9" x14ac:dyDescent="0.25">
      <c r="A255" t="s">
        <v>8</v>
      </c>
      <c r="B255" s="1">
        <v>27.67</v>
      </c>
      <c r="C255" s="1">
        <v>27.68</v>
      </c>
      <c r="D255" s="2" t="s">
        <v>56</v>
      </c>
      <c r="E255" s="8">
        <v>2261.2093</v>
      </c>
      <c r="F255" s="8">
        <f>F245</f>
        <v>-0.2</v>
      </c>
      <c r="G255" s="8">
        <f>E255+F255</f>
        <v>2261.0093000000002</v>
      </c>
      <c r="H255" s="3">
        <f>B255*G255</f>
        <v>62562.127331000011</v>
      </c>
      <c r="I255" s="3">
        <f>C255*G255</f>
        <v>62584.737424000006</v>
      </c>
    </row>
    <row r="256" spans="1:9" x14ac:dyDescent="0.25">
      <c r="A256" t="s">
        <v>9</v>
      </c>
      <c r="B256" s="1">
        <v>66.099999999999994</v>
      </c>
      <c r="C256" s="1">
        <v>66.209999999999994</v>
      </c>
      <c r="D256" s="2" t="s">
        <v>56</v>
      </c>
      <c r="E256" s="8">
        <v>946.06489999999997</v>
      </c>
      <c r="F256" s="8">
        <f>F246</f>
        <v>0</v>
      </c>
      <c r="G256" s="8">
        <f>E256+F256</f>
        <v>946.06489999999997</v>
      </c>
      <c r="H256" s="3">
        <f>B256*G256</f>
        <v>62534.889889999991</v>
      </c>
      <c r="I256" s="3">
        <f>C256*G256</f>
        <v>62638.95702899999</v>
      </c>
    </row>
    <row r="257" spans="1:9" x14ac:dyDescent="0.25">
      <c r="A257" t="s">
        <v>10</v>
      </c>
      <c r="B257" s="1">
        <v>36.15</v>
      </c>
      <c r="C257" s="1">
        <v>36.17</v>
      </c>
      <c r="D257" s="2" t="s">
        <v>56</v>
      </c>
      <c r="E257" s="8">
        <v>1730.0188000000001</v>
      </c>
      <c r="F257" s="8">
        <f>F247</f>
        <v>0.2</v>
      </c>
      <c r="G257" s="8">
        <f>E257+F257</f>
        <v>1730.2188000000001</v>
      </c>
      <c r="H257" s="3">
        <f>B257*G257</f>
        <v>62547.409619999999</v>
      </c>
      <c r="I257" s="3">
        <f>C257*G257</f>
        <v>62582.013996000009</v>
      </c>
    </row>
    <row r="258" spans="1:9" x14ac:dyDescent="0.25">
      <c r="A258" t="s">
        <v>11</v>
      </c>
      <c r="B258" s="1">
        <v>54.47</v>
      </c>
      <c r="C258" s="1">
        <v>54.48</v>
      </c>
      <c r="D258" s="2" t="s">
        <v>56</v>
      </c>
      <c r="E258" s="8">
        <v>1148.7663</v>
      </c>
      <c r="F258" s="8">
        <f>F248</f>
        <v>0.05</v>
      </c>
      <c r="G258" s="8">
        <f>E258+F258</f>
        <v>1148.8163</v>
      </c>
      <c r="H258" s="3">
        <f>B258*G258</f>
        <v>62576.023860999994</v>
      </c>
      <c r="I258" s="3">
        <f>C258*G258</f>
        <v>62587.512023999996</v>
      </c>
    </row>
    <row r="259" spans="1:9" x14ac:dyDescent="0.25">
      <c r="A259" t="s">
        <v>12</v>
      </c>
      <c r="B259" s="1">
        <v>48.55</v>
      </c>
      <c r="C259" s="1">
        <v>48.56</v>
      </c>
      <c r="D259" s="2" t="s">
        <v>56</v>
      </c>
      <c r="E259" s="8">
        <v>1288.3785</v>
      </c>
      <c r="F259" s="8">
        <f>F249</f>
        <v>0</v>
      </c>
      <c r="G259" s="8">
        <f>E259+F259</f>
        <v>1288.3785</v>
      </c>
      <c r="H259" s="3">
        <f>B259*G259</f>
        <v>62550.776174999999</v>
      </c>
      <c r="I259" s="3">
        <f>C259*G259</f>
        <v>62563.659960000005</v>
      </c>
    </row>
    <row r="260" spans="1:9" x14ac:dyDescent="0.25">
      <c r="A260" t="s">
        <v>13</v>
      </c>
      <c r="B260" s="1">
        <v>17.690000000000001</v>
      </c>
      <c r="C260" s="1">
        <v>17.7</v>
      </c>
      <c r="D260" s="2" t="s">
        <v>56</v>
      </c>
      <c r="E260" s="8">
        <v>3535.8029000000001</v>
      </c>
      <c r="F260" s="8">
        <f>F250</f>
        <v>0</v>
      </c>
      <c r="G260" s="8">
        <f>E260+F260</f>
        <v>3535.8029000000001</v>
      </c>
      <c r="H260" s="3">
        <f>B260*G260</f>
        <v>62548.35330100001</v>
      </c>
      <c r="I260" s="3">
        <f>C260*G260</f>
        <v>62583.711329999998</v>
      </c>
    </row>
    <row r="261" spans="1:9" x14ac:dyDescent="0.25">
      <c r="A261" t="s">
        <v>14</v>
      </c>
      <c r="B261" s="1">
        <v>35.44</v>
      </c>
      <c r="C261" s="1">
        <v>35.450000000000003</v>
      </c>
      <c r="D261" s="2" t="s">
        <v>56</v>
      </c>
      <c r="E261" s="8">
        <v>1764.9262000000001</v>
      </c>
      <c r="F261" s="8">
        <f>F251</f>
        <v>0.2</v>
      </c>
      <c r="G261" s="8">
        <f>E261+F261</f>
        <v>1765.1262000000002</v>
      </c>
      <c r="H261" s="3">
        <f>B261*G261</f>
        <v>62556.072528000004</v>
      </c>
      <c r="I261" s="3">
        <f>C261*G261</f>
        <v>62573.723790000011</v>
      </c>
    </row>
    <row r="262" spans="1:9" x14ac:dyDescent="0.25">
      <c r="A262" t="s">
        <v>4</v>
      </c>
      <c r="B262" s="1">
        <v>20.78</v>
      </c>
      <c r="C262" s="1">
        <v>20.79</v>
      </c>
      <c r="D262" s="2" t="s">
        <v>57</v>
      </c>
      <c r="E262" s="8">
        <v>3014.7584999999999</v>
      </c>
      <c r="F262" s="8">
        <f>F252</f>
        <v>0</v>
      </c>
      <c r="G262" s="8">
        <f>E262+F262</f>
        <v>3014.7584999999999</v>
      </c>
      <c r="H262" s="3">
        <f>B262*G262</f>
        <v>62646.681629999999</v>
      </c>
      <c r="I262" s="3">
        <f>C262*G262</f>
        <v>62676.829214999998</v>
      </c>
    </row>
    <row r="263" spans="1:9" x14ac:dyDescent="0.25">
      <c r="A263" t="s">
        <v>6</v>
      </c>
      <c r="B263" s="1">
        <v>34.01</v>
      </c>
      <c r="C263" s="1">
        <v>34.020000000000003</v>
      </c>
      <c r="D263" s="2" t="s">
        <v>57</v>
      </c>
      <c r="E263" s="8">
        <v>1841.7701</v>
      </c>
      <c r="F263" s="8">
        <f>F253</f>
        <v>-0.1</v>
      </c>
      <c r="G263" s="8">
        <f>E263+F263</f>
        <v>1841.6701</v>
      </c>
      <c r="H263" s="3">
        <f>B263*G263</f>
        <v>62635.200100999995</v>
      </c>
      <c r="I263" s="3">
        <f>C263*G263</f>
        <v>62653.616802000004</v>
      </c>
    </row>
    <row r="264" spans="1:9" x14ac:dyDescent="0.25">
      <c r="A264" t="s">
        <v>7</v>
      </c>
      <c r="B264" s="1">
        <v>17.66</v>
      </c>
      <c r="C264" s="1">
        <v>17.670000000000002</v>
      </c>
      <c r="D264" s="2" t="s">
        <v>57</v>
      </c>
      <c r="E264" s="8">
        <v>3546.3191999999999</v>
      </c>
      <c r="F264" s="8">
        <f>F254</f>
        <v>0</v>
      </c>
      <c r="G264" s="8">
        <f>E264+F264</f>
        <v>3546.3191999999999</v>
      </c>
      <c r="H264" s="3">
        <f>B264*G264</f>
        <v>62627.997071999998</v>
      </c>
      <c r="I264" s="3">
        <f>C264*G264</f>
        <v>62663.460264000001</v>
      </c>
    </row>
    <row r="265" spans="1:9" x14ac:dyDescent="0.25">
      <c r="A265" t="s">
        <v>8</v>
      </c>
      <c r="B265" s="1">
        <v>27.71</v>
      </c>
      <c r="C265" s="1">
        <v>27.72</v>
      </c>
      <c r="D265" s="2" t="s">
        <v>57</v>
      </c>
      <c r="E265" s="8">
        <v>2261.2093</v>
      </c>
      <c r="F265" s="8">
        <f>F255</f>
        <v>-0.2</v>
      </c>
      <c r="G265" s="8">
        <f>E265+F265</f>
        <v>2261.0093000000002</v>
      </c>
      <c r="H265" s="3">
        <f>B265*G265</f>
        <v>62652.567703000008</v>
      </c>
      <c r="I265" s="3">
        <f>C265*G265</f>
        <v>62675.177796000004</v>
      </c>
    </row>
    <row r="266" spans="1:9" x14ac:dyDescent="0.25">
      <c r="A266" t="s">
        <v>9</v>
      </c>
      <c r="B266" s="1">
        <v>66.22</v>
      </c>
      <c r="C266" s="1">
        <v>66.34</v>
      </c>
      <c r="D266" s="2" t="s">
        <v>57</v>
      </c>
      <c r="E266" s="8">
        <v>946.06489999999997</v>
      </c>
      <c r="F266" s="8">
        <f>F256</f>
        <v>0</v>
      </c>
      <c r="G266" s="8">
        <f>E266+F266</f>
        <v>946.06489999999997</v>
      </c>
      <c r="H266" s="3">
        <f>B266*G266</f>
        <v>62648.417677999998</v>
      </c>
      <c r="I266" s="3">
        <f>C266*G266</f>
        <v>62761.945465999997</v>
      </c>
    </row>
    <row r="267" spans="1:9" x14ac:dyDescent="0.25">
      <c r="A267" t="s">
        <v>10</v>
      </c>
      <c r="B267" s="1">
        <v>36.21</v>
      </c>
      <c r="C267" s="1">
        <v>36.22</v>
      </c>
      <c r="D267" s="2" t="s">
        <v>57</v>
      </c>
      <c r="E267" s="8">
        <v>1730.0188000000001</v>
      </c>
      <c r="F267" s="8">
        <f>F257</f>
        <v>0.2</v>
      </c>
      <c r="G267" s="8">
        <f>E267+F267</f>
        <v>1730.2188000000001</v>
      </c>
      <c r="H267" s="3">
        <f>B267*G267</f>
        <v>62651.222748000007</v>
      </c>
      <c r="I267" s="3">
        <f>C267*G267</f>
        <v>62668.524936000002</v>
      </c>
    </row>
    <row r="268" spans="1:9" x14ac:dyDescent="0.25">
      <c r="A268" t="s">
        <v>11</v>
      </c>
      <c r="B268" s="1">
        <v>54.54</v>
      </c>
      <c r="C268" s="1">
        <v>54.55</v>
      </c>
      <c r="D268" s="2" t="s">
        <v>57</v>
      </c>
      <c r="E268" s="8">
        <v>1148.7663</v>
      </c>
      <c r="F268" s="8">
        <f>F258</f>
        <v>0.05</v>
      </c>
      <c r="G268" s="8">
        <f>E268+F268</f>
        <v>1148.8163</v>
      </c>
      <c r="H268" s="3">
        <f>B268*G268</f>
        <v>62656.441002</v>
      </c>
      <c r="I268" s="3">
        <f>C268*G268</f>
        <v>62667.929164999994</v>
      </c>
    </row>
    <row r="269" spans="1:9" x14ac:dyDescent="0.25">
      <c r="A269" t="s">
        <v>12</v>
      </c>
      <c r="B269" s="1">
        <v>48.62</v>
      </c>
      <c r="C269" s="1">
        <v>48.63</v>
      </c>
      <c r="D269" s="2" t="s">
        <v>57</v>
      </c>
      <c r="E269" s="8">
        <v>1288.3785</v>
      </c>
      <c r="F269" s="8">
        <f>F259</f>
        <v>0</v>
      </c>
      <c r="G269" s="8">
        <f>E269+F269</f>
        <v>1288.3785</v>
      </c>
      <c r="H269" s="3">
        <f>B269*G269</f>
        <v>62640.962670000001</v>
      </c>
      <c r="I269" s="3">
        <f>C269*G269</f>
        <v>62653.846455000006</v>
      </c>
    </row>
    <row r="270" spans="1:9" x14ac:dyDescent="0.25">
      <c r="A270" t="s">
        <v>13</v>
      </c>
      <c r="B270" s="1">
        <v>17.72</v>
      </c>
      <c r="C270" s="1">
        <v>17.73</v>
      </c>
      <c r="D270" s="2" t="s">
        <v>57</v>
      </c>
      <c r="E270" s="8">
        <v>3535.8029000000001</v>
      </c>
      <c r="F270" s="8">
        <f>F260</f>
        <v>0</v>
      </c>
      <c r="G270" s="8">
        <f>E270+F270</f>
        <v>3535.8029000000001</v>
      </c>
      <c r="H270" s="3">
        <f>B270*G270</f>
        <v>62654.427387999996</v>
      </c>
      <c r="I270" s="3">
        <f>C270*G270</f>
        <v>62689.785417000006</v>
      </c>
    </row>
    <row r="271" spans="1:9" x14ac:dyDescent="0.25">
      <c r="A271" t="s">
        <v>14</v>
      </c>
      <c r="B271" s="1">
        <v>35.49</v>
      </c>
      <c r="C271" s="1">
        <v>35.5</v>
      </c>
      <c r="D271" s="2" t="s">
        <v>57</v>
      </c>
      <c r="E271" s="8">
        <v>1764.9262000000001</v>
      </c>
      <c r="F271" s="8">
        <f>F261</f>
        <v>0.2</v>
      </c>
      <c r="G271" s="8">
        <f>E271+F271</f>
        <v>1765.1262000000002</v>
      </c>
      <c r="H271" s="3">
        <f>B271*G271</f>
        <v>62644.328838000009</v>
      </c>
      <c r="I271" s="3">
        <f>C271*G271</f>
        <v>62661.980100000008</v>
      </c>
    </row>
    <row r="272" spans="1:9" x14ac:dyDescent="0.25">
      <c r="A272" t="s">
        <v>4</v>
      </c>
      <c r="B272" s="1">
        <v>20.72</v>
      </c>
      <c r="C272" s="1">
        <v>20.73</v>
      </c>
      <c r="D272" s="2" t="s">
        <v>58</v>
      </c>
      <c r="E272" s="8">
        <v>3014.7584999999999</v>
      </c>
      <c r="F272" s="8">
        <f>F262</f>
        <v>0</v>
      </c>
      <c r="G272" s="8">
        <f>E272+F272</f>
        <v>3014.7584999999999</v>
      </c>
      <c r="H272" s="3">
        <f>B272*G272</f>
        <v>62465.796119999992</v>
      </c>
      <c r="I272" s="3">
        <f>C272*G272</f>
        <v>62495.943704999998</v>
      </c>
    </row>
    <row r="273" spans="1:9" x14ac:dyDescent="0.25">
      <c r="A273" t="s">
        <v>6</v>
      </c>
      <c r="B273" s="1">
        <v>33.92</v>
      </c>
      <c r="C273" s="1">
        <v>33.93</v>
      </c>
      <c r="D273" s="2" t="s">
        <v>58</v>
      </c>
      <c r="E273" s="8">
        <v>1841.7701</v>
      </c>
      <c r="F273" s="8">
        <f>F263</f>
        <v>-0.1</v>
      </c>
      <c r="G273" s="8">
        <f>E273+F273</f>
        <v>1841.6701</v>
      </c>
      <c r="H273" s="3">
        <f>B273*G273</f>
        <v>62469.449792000007</v>
      </c>
      <c r="I273" s="3">
        <f>C273*G273</f>
        <v>62487.866493000001</v>
      </c>
    </row>
    <row r="274" spans="1:9" x14ac:dyDescent="0.25">
      <c r="A274" t="s">
        <v>7</v>
      </c>
      <c r="B274" s="1">
        <v>17.62</v>
      </c>
      <c r="C274" s="1">
        <v>17.63</v>
      </c>
      <c r="D274" s="2" t="s">
        <v>58</v>
      </c>
      <c r="E274" s="8">
        <v>3546.3191999999999</v>
      </c>
      <c r="F274" s="8">
        <f>F264</f>
        <v>0</v>
      </c>
      <c r="G274" s="8">
        <f>E274+F274</f>
        <v>3546.3191999999999</v>
      </c>
      <c r="H274" s="3">
        <f>B274*G274</f>
        <v>62486.144304000001</v>
      </c>
      <c r="I274" s="3">
        <f>C274*G274</f>
        <v>62521.607495999997</v>
      </c>
    </row>
    <row r="275" spans="1:9" x14ac:dyDescent="0.25">
      <c r="A275" t="s">
        <v>8</v>
      </c>
      <c r="B275" s="1">
        <v>27.63</v>
      </c>
      <c r="C275" s="1">
        <v>27.64</v>
      </c>
      <c r="D275" s="2" t="s">
        <v>58</v>
      </c>
      <c r="E275" s="8">
        <v>2261.2093</v>
      </c>
      <c r="F275" s="8">
        <f>F265</f>
        <v>-0.2</v>
      </c>
      <c r="G275" s="8">
        <f>E275+F275</f>
        <v>2261.0093000000002</v>
      </c>
      <c r="H275" s="3">
        <f>B275*G275</f>
        <v>62471.686958999999</v>
      </c>
      <c r="I275" s="3">
        <f>C275*G275</f>
        <v>62494.297052000009</v>
      </c>
    </row>
    <row r="276" spans="1:9" x14ac:dyDescent="0.25">
      <c r="A276" t="s">
        <v>9</v>
      </c>
      <c r="B276" s="1">
        <v>66.040000000000006</v>
      </c>
      <c r="C276" s="1">
        <v>66.12</v>
      </c>
      <c r="D276" s="2" t="s">
        <v>58</v>
      </c>
      <c r="E276" s="8">
        <v>946.06489999999997</v>
      </c>
      <c r="F276" s="8">
        <f>F266</f>
        <v>0</v>
      </c>
      <c r="G276" s="8">
        <f>E276+F276</f>
        <v>946.06489999999997</v>
      </c>
      <c r="H276" s="3">
        <f>B276*G276</f>
        <v>62478.125996000002</v>
      </c>
      <c r="I276" s="3">
        <f>C276*G276</f>
        <v>62553.811188</v>
      </c>
    </row>
    <row r="277" spans="1:9" x14ac:dyDescent="0.25">
      <c r="A277" t="s">
        <v>10</v>
      </c>
      <c r="B277" s="1">
        <v>36.1</v>
      </c>
      <c r="C277" s="1">
        <v>36.119999999999997</v>
      </c>
      <c r="D277" s="2" t="s">
        <v>58</v>
      </c>
      <c r="E277" s="8">
        <v>1730.0188000000001</v>
      </c>
      <c r="F277" s="8">
        <f>F267</f>
        <v>0.2</v>
      </c>
      <c r="G277" s="8">
        <f>E277+F277</f>
        <v>1730.2188000000001</v>
      </c>
      <c r="H277" s="3">
        <f>B277*G277</f>
        <v>62460.898680000006</v>
      </c>
      <c r="I277" s="3">
        <f>C277*G277</f>
        <v>62495.503056000001</v>
      </c>
    </row>
    <row r="278" spans="1:9" x14ac:dyDescent="0.25">
      <c r="A278" t="s">
        <v>11</v>
      </c>
      <c r="B278" s="1">
        <v>54.39</v>
      </c>
      <c r="C278" s="1">
        <v>54.4</v>
      </c>
      <c r="D278" s="2" t="s">
        <v>58</v>
      </c>
      <c r="E278" s="8">
        <v>1148.7663</v>
      </c>
      <c r="F278" s="8">
        <f>F268</f>
        <v>0.05</v>
      </c>
      <c r="G278" s="8">
        <f>E278+F278</f>
        <v>1148.8163</v>
      </c>
      <c r="H278" s="3">
        <f>B278*G278</f>
        <v>62484.118557000002</v>
      </c>
      <c r="I278" s="3">
        <f>C278*G278</f>
        <v>62495.606719999996</v>
      </c>
    </row>
    <row r="279" spans="1:9" x14ac:dyDescent="0.25">
      <c r="A279" t="s">
        <v>12</v>
      </c>
      <c r="B279" s="1">
        <v>48.49</v>
      </c>
      <c r="C279" s="1">
        <v>48.5</v>
      </c>
      <c r="D279" s="2" t="s">
        <v>58</v>
      </c>
      <c r="E279" s="8">
        <v>1288.3785</v>
      </c>
      <c r="F279" s="8">
        <f>F269</f>
        <v>0</v>
      </c>
      <c r="G279" s="8">
        <f>E279+F279</f>
        <v>1288.3785</v>
      </c>
      <c r="H279" s="3">
        <f>B279*G279</f>
        <v>62473.473465000003</v>
      </c>
      <c r="I279" s="3">
        <f>C279*G279</f>
        <v>62486.357250000001</v>
      </c>
    </row>
    <row r="280" spans="1:9" x14ac:dyDescent="0.25">
      <c r="A280" t="s">
        <v>13</v>
      </c>
      <c r="B280" s="1">
        <v>17.670000000000002</v>
      </c>
      <c r="C280" s="1">
        <v>17.68</v>
      </c>
      <c r="D280" s="2" t="s">
        <v>58</v>
      </c>
      <c r="E280" s="8">
        <v>3535.8029000000001</v>
      </c>
      <c r="F280" s="8">
        <f>F270</f>
        <v>0</v>
      </c>
      <c r="G280" s="8">
        <f>E280+F280</f>
        <v>3535.8029000000001</v>
      </c>
      <c r="H280" s="3">
        <f>B280*G280</f>
        <v>62477.637243000012</v>
      </c>
      <c r="I280" s="3">
        <f>C280*G280</f>
        <v>62512.995272</v>
      </c>
    </row>
    <row r="281" spans="1:9" x14ac:dyDescent="0.25">
      <c r="A281" t="s">
        <v>14</v>
      </c>
      <c r="B281" s="1">
        <v>35.4</v>
      </c>
      <c r="C281" s="1">
        <v>35.409999999999997</v>
      </c>
      <c r="D281" s="2" t="s">
        <v>58</v>
      </c>
      <c r="E281" s="8">
        <v>1764.9262000000001</v>
      </c>
      <c r="F281" s="8">
        <f>F271</f>
        <v>0.2</v>
      </c>
      <c r="G281" s="8">
        <f>E281+F281</f>
        <v>1765.1262000000002</v>
      </c>
      <c r="H281" s="3">
        <f>B281*G281</f>
        <v>62485.467479999999</v>
      </c>
      <c r="I281" s="3">
        <f>C281*G281</f>
        <v>62503.118741999999</v>
      </c>
    </row>
    <row r="282" spans="1:9" x14ac:dyDescent="0.25">
      <c r="A282" t="s">
        <v>4</v>
      </c>
      <c r="B282" s="1">
        <v>20.77</v>
      </c>
      <c r="C282" s="1">
        <v>20.78</v>
      </c>
      <c r="D282" s="2" t="s">
        <v>59</v>
      </c>
      <c r="E282" s="8">
        <v>3014.7584999999999</v>
      </c>
      <c r="F282" s="8">
        <f>F272</f>
        <v>0</v>
      </c>
      <c r="G282" s="8">
        <f>E282+F282</f>
        <v>3014.7584999999999</v>
      </c>
      <c r="H282" s="3">
        <f>B282*G282</f>
        <v>62616.534045</v>
      </c>
      <c r="I282" s="3">
        <f>C282*G282</f>
        <v>62646.681629999999</v>
      </c>
    </row>
    <row r="283" spans="1:9" x14ac:dyDescent="0.25">
      <c r="A283" t="s">
        <v>6</v>
      </c>
      <c r="B283" s="1">
        <v>33.99</v>
      </c>
      <c r="C283" s="1">
        <v>34</v>
      </c>
      <c r="D283" s="2" t="s">
        <v>59</v>
      </c>
      <c r="E283" s="8">
        <v>1841.7701</v>
      </c>
      <c r="F283" s="8">
        <f>F273</f>
        <v>-0.1</v>
      </c>
      <c r="G283" s="8">
        <f>E283+F283</f>
        <v>1841.6701</v>
      </c>
      <c r="H283" s="3">
        <f>B283*G283</f>
        <v>62598.366699000006</v>
      </c>
      <c r="I283" s="3">
        <f>C283*G283</f>
        <v>62616.7834</v>
      </c>
    </row>
    <row r="284" spans="1:9" x14ac:dyDescent="0.25">
      <c r="A284" t="s">
        <v>7</v>
      </c>
      <c r="B284" s="1">
        <v>17.649999999999999</v>
      </c>
      <c r="C284" s="1">
        <v>17.66</v>
      </c>
      <c r="D284" s="2" t="s">
        <v>59</v>
      </c>
      <c r="E284" s="8">
        <v>3546.3191999999999</v>
      </c>
      <c r="F284" s="8">
        <f>F274</f>
        <v>0</v>
      </c>
      <c r="G284" s="8">
        <f>E284+F284</f>
        <v>3546.3191999999999</v>
      </c>
      <c r="H284" s="3">
        <f>B284*G284</f>
        <v>62592.533879999995</v>
      </c>
      <c r="I284" s="3">
        <f>C284*G284</f>
        <v>62627.997071999998</v>
      </c>
    </row>
    <row r="285" spans="1:9" x14ac:dyDescent="0.25">
      <c r="A285" t="s">
        <v>8</v>
      </c>
      <c r="B285" s="1">
        <v>27.69</v>
      </c>
      <c r="C285" s="1">
        <v>27.7</v>
      </c>
      <c r="D285" s="2" t="s">
        <v>59</v>
      </c>
      <c r="E285" s="8">
        <v>2261.2093</v>
      </c>
      <c r="F285" s="8">
        <f>F275</f>
        <v>-0.2</v>
      </c>
      <c r="G285" s="8">
        <f>E285+F285</f>
        <v>2261.0093000000002</v>
      </c>
      <c r="H285" s="3">
        <f>B285*G285</f>
        <v>62607.347517000009</v>
      </c>
      <c r="I285" s="3">
        <f>C285*G285</f>
        <v>62629.957610000005</v>
      </c>
    </row>
    <row r="286" spans="1:9" x14ac:dyDescent="0.25">
      <c r="A286" t="s">
        <v>9</v>
      </c>
      <c r="B286" s="1">
        <v>66.180000000000007</v>
      </c>
      <c r="C286" s="1">
        <v>66.260000000000005</v>
      </c>
      <c r="D286" s="2" t="s">
        <v>59</v>
      </c>
      <c r="E286" s="8">
        <v>946.06489999999997</v>
      </c>
      <c r="F286" s="8">
        <f>F276</f>
        <v>0</v>
      </c>
      <c r="G286" s="8">
        <f>E286+F286</f>
        <v>946.06489999999997</v>
      </c>
      <c r="H286" s="3">
        <f>B286*G286</f>
        <v>62610.575082000003</v>
      </c>
      <c r="I286" s="3">
        <f>C286*G286</f>
        <v>62686.260274</v>
      </c>
    </row>
    <row r="287" spans="1:9" x14ac:dyDescent="0.25">
      <c r="A287" t="s">
        <v>10</v>
      </c>
      <c r="B287" s="1">
        <v>36.18</v>
      </c>
      <c r="C287" s="1">
        <v>36.19</v>
      </c>
      <c r="D287" s="2" t="s">
        <v>59</v>
      </c>
      <c r="E287" s="8">
        <v>1730.0188000000001</v>
      </c>
      <c r="F287" s="8">
        <f>F277</f>
        <v>0.2</v>
      </c>
      <c r="G287" s="8">
        <f>E287+F287</f>
        <v>1730.2188000000001</v>
      </c>
      <c r="H287" s="3">
        <f>B287*G287</f>
        <v>62599.316184000003</v>
      </c>
      <c r="I287" s="3">
        <f>C287*G287</f>
        <v>62616.618371999997</v>
      </c>
    </row>
    <row r="288" spans="1:9" x14ac:dyDescent="0.25">
      <c r="A288" t="s">
        <v>11</v>
      </c>
      <c r="B288" s="1">
        <v>54.5</v>
      </c>
      <c r="C288" s="1">
        <v>54.51</v>
      </c>
      <c r="D288" s="2" t="s">
        <v>59</v>
      </c>
      <c r="E288" s="8">
        <v>1148.7663</v>
      </c>
      <c r="F288" s="8">
        <f>F278</f>
        <v>0.05</v>
      </c>
      <c r="G288" s="8">
        <f>E288+F288</f>
        <v>1148.8163</v>
      </c>
      <c r="H288" s="3">
        <f>B288*G288</f>
        <v>62610.48835</v>
      </c>
      <c r="I288" s="3">
        <f>C288*G288</f>
        <v>62621.976512999994</v>
      </c>
    </row>
    <row r="289" spans="1:9" x14ac:dyDescent="0.25">
      <c r="A289" t="s">
        <v>12</v>
      </c>
      <c r="B289" s="1">
        <v>48.59</v>
      </c>
      <c r="C289" s="1">
        <v>48.6</v>
      </c>
      <c r="D289" s="2" t="s">
        <v>59</v>
      </c>
      <c r="E289" s="8">
        <v>1288.3785</v>
      </c>
      <c r="F289" s="8">
        <f>F279</f>
        <v>0</v>
      </c>
      <c r="G289" s="8">
        <f>E289+F289</f>
        <v>1288.3785</v>
      </c>
      <c r="H289" s="3">
        <f>B289*G289</f>
        <v>62602.311315000006</v>
      </c>
      <c r="I289" s="3">
        <f>C289*G289</f>
        <v>62615.195100000004</v>
      </c>
    </row>
    <row r="290" spans="1:9" x14ac:dyDescent="0.25">
      <c r="A290" t="s">
        <v>13</v>
      </c>
      <c r="B290" s="1">
        <v>17.7</v>
      </c>
      <c r="C290" s="1">
        <v>17.71</v>
      </c>
      <c r="D290" s="2" t="s">
        <v>59</v>
      </c>
      <c r="E290" s="8">
        <v>3535.8029000000001</v>
      </c>
      <c r="F290" s="8">
        <f>F280</f>
        <v>0</v>
      </c>
      <c r="G290" s="8">
        <f>E290+F290</f>
        <v>3535.8029000000001</v>
      </c>
      <c r="H290" s="3">
        <f>B290*G290</f>
        <v>62583.711329999998</v>
      </c>
      <c r="I290" s="3">
        <f>C290*G290</f>
        <v>62619.069359000008</v>
      </c>
    </row>
    <row r="291" spans="1:9" x14ac:dyDescent="0.25">
      <c r="A291" t="s">
        <v>14</v>
      </c>
      <c r="B291" s="1">
        <v>35.47</v>
      </c>
      <c r="C291" s="1">
        <v>35.479999999999997</v>
      </c>
      <c r="D291" s="2" t="s">
        <v>59</v>
      </c>
      <c r="E291" s="8">
        <v>1764.9262000000001</v>
      </c>
      <c r="F291" s="8">
        <f>F281</f>
        <v>0.2</v>
      </c>
      <c r="G291" s="8">
        <f>E291+F291</f>
        <v>1765.1262000000002</v>
      </c>
      <c r="H291" s="3">
        <f>B291*G291</f>
        <v>62609.026314000002</v>
      </c>
      <c r="I291" s="3">
        <f>C291*G291</f>
        <v>62626.677576000002</v>
      </c>
    </row>
    <row r="292" spans="1:9" x14ac:dyDescent="0.25">
      <c r="A292" t="s">
        <v>4</v>
      </c>
      <c r="B292" s="1">
        <v>20.73</v>
      </c>
      <c r="C292" s="1">
        <v>20.74</v>
      </c>
      <c r="D292" s="2" t="s">
        <v>60</v>
      </c>
      <c r="E292" s="8">
        <v>3014.7584999999999</v>
      </c>
      <c r="F292" s="8">
        <f>F282</f>
        <v>0</v>
      </c>
      <c r="G292" s="8">
        <f>E292+F292</f>
        <v>3014.7584999999999</v>
      </c>
      <c r="H292" s="3">
        <f>B292*G292</f>
        <v>62495.943704999998</v>
      </c>
      <c r="I292" s="3">
        <f>C292*G292</f>
        <v>62526.091289999997</v>
      </c>
    </row>
    <row r="293" spans="1:9" x14ac:dyDescent="0.25">
      <c r="A293" t="s">
        <v>6</v>
      </c>
      <c r="B293" s="1">
        <v>33.93</v>
      </c>
      <c r="C293" s="1">
        <v>33.94</v>
      </c>
      <c r="D293" s="2" t="s">
        <v>60</v>
      </c>
      <c r="E293" s="8">
        <v>1841.7701</v>
      </c>
      <c r="F293" s="8">
        <f>F283</f>
        <v>-0.1</v>
      </c>
      <c r="G293" s="8">
        <f>E293+F293</f>
        <v>1841.6701</v>
      </c>
      <c r="H293" s="3">
        <f>B293*G293</f>
        <v>62487.866493000001</v>
      </c>
      <c r="I293" s="3">
        <f>C293*G293</f>
        <v>62506.283193999996</v>
      </c>
    </row>
    <row r="294" spans="1:9" x14ac:dyDescent="0.25">
      <c r="A294" t="s">
        <v>7</v>
      </c>
      <c r="B294" s="1">
        <v>17.62</v>
      </c>
      <c r="C294" s="1">
        <v>17.63</v>
      </c>
      <c r="D294" s="2" t="s">
        <v>60</v>
      </c>
      <c r="E294" s="8">
        <v>3546.3191999999999</v>
      </c>
      <c r="F294" s="8">
        <f>F284</f>
        <v>0</v>
      </c>
      <c r="G294" s="8">
        <f>E294+F294</f>
        <v>3546.3191999999999</v>
      </c>
      <c r="H294" s="3">
        <f>B294*G294</f>
        <v>62486.144304000001</v>
      </c>
      <c r="I294" s="3">
        <f>C294*G294</f>
        <v>62521.607495999997</v>
      </c>
    </row>
    <row r="295" spans="1:9" x14ac:dyDescent="0.25">
      <c r="A295" t="s">
        <v>8</v>
      </c>
      <c r="B295" s="1">
        <v>27.64</v>
      </c>
      <c r="C295" s="1">
        <v>27.65</v>
      </c>
      <c r="D295" s="2" t="s">
        <v>60</v>
      </c>
      <c r="E295" s="8">
        <v>2261.2093</v>
      </c>
      <c r="F295" s="8">
        <f>F285</f>
        <v>-0.2</v>
      </c>
      <c r="G295" s="8">
        <f>E295+F295</f>
        <v>2261.0093000000002</v>
      </c>
      <c r="H295" s="3">
        <f>B295*G295</f>
        <v>62494.297052000009</v>
      </c>
      <c r="I295" s="3">
        <f>C295*G295</f>
        <v>62516.907145000005</v>
      </c>
    </row>
    <row r="296" spans="1:9" x14ac:dyDescent="0.25">
      <c r="A296" t="s">
        <v>9</v>
      </c>
      <c r="B296" s="1">
        <v>66.040000000000006</v>
      </c>
      <c r="C296" s="1">
        <v>66.150000000000006</v>
      </c>
      <c r="D296" s="2" t="s">
        <v>60</v>
      </c>
      <c r="E296" s="8">
        <v>946.06489999999997</v>
      </c>
      <c r="F296" s="8">
        <f>F286</f>
        <v>0</v>
      </c>
      <c r="G296" s="8">
        <f>E296+F296</f>
        <v>946.06489999999997</v>
      </c>
      <c r="H296" s="3">
        <f>B296*G296</f>
        <v>62478.125996000002</v>
      </c>
      <c r="I296" s="3">
        <f>C296*G296</f>
        <v>62582.193135000001</v>
      </c>
    </row>
    <row r="297" spans="1:9" x14ac:dyDescent="0.25">
      <c r="A297" t="s">
        <v>10</v>
      </c>
      <c r="B297" s="1">
        <v>36.11</v>
      </c>
      <c r="C297" s="1">
        <v>36.130000000000003</v>
      </c>
      <c r="D297" s="2" t="s">
        <v>60</v>
      </c>
      <c r="E297" s="8">
        <v>1730.0188000000001</v>
      </c>
      <c r="F297" s="8">
        <f>F287</f>
        <v>0.2</v>
      </c>
      <c r="G297" s="8">
        <f>E297+F297</f>
        <v>1730.2188000000001</v>
      </c>
      <c r="H297" s="3">
        <f>B297*G297</f>
        <v>62478.200868</v>
      </c>
      <c r="I297" s="3">
        <f>C297*G297</f>
        <v>62512.80524400001</v>
      </c>
    </row>
    <row r="298" spans="1:9" x14ac:dyDescent="0.25">
      <c r="A298" t="s">
        <v>11</v>
      </c>
      <c r="B298" s="1">
        <v>54.4</v>
      </c>
      <c r="C298" s="1">
        <v>54.41</v>
      </c>
      <c r="D298" s="2" t="s">
        <v>60</v>
      </c>
      <c r="E298" s="8">
        <v>1148.7663</v>
      </c>
      <c r="F298" s="8">
        <f>F288</f>
        <v>0.05</v>
      </c>
      <c r="G298" s="8">
        <f>E298+F298</f>
        <v>1148.8163</v>
      </c>
      <c r="H298" s="3">
        <f>B298*G298</f>
        <v>62495.606719999996</v>
      </c>
      <c r="I298" s="3">
        <f>C298*G298</f>
        <v>62507.094882999991</v>
      </c>
    </row>
    <row r="299" spans="1:9" x14ac:dyDescent="0.25">
      <c r="A299" t="s">
        <v>12</v>
      </c>
      <c r="B299" s="1">
        <v>48.51</v>
      </c>
      <c r="C299" s="1">
        <v>48.52</v>
      </c>
      <c r="D299" s="2" t="s">
        <v>60</v>
      </c>
      <c r="E299" s="8">
        <v>1288.3785</v>
      </c>
      <c r="F299" s="8">
        <f>F289</f>
        <v>0</v>
      </c>
      <c r="G299" s="8">
        <f>E299+F299</f>
        <v>1288.3785</v>
      </c>
      <c r="H299" s="3">
        <f>B299*G299</f>
        <v>62499.241034999999</v>
      </c>
      <c r="I299" s="3">
        <f>C299*G299</f>
        <v>62512.124820000005</v>
      </c>
    </row>
    <row r="300" spans="1:9" x14ac:dyDescent="0.25">
      <c r="A300" t="s">
        <v>13</v>
      </c>
      <c r="B300" s="1">
        <v>17.670000000000002</v>
      </c>
      <c r="C300" s="1">
        <v>17.68</v>
      </c>
      <c r="D300" s="2" t="s">
        <v>60</v>
      </c>
      <c r="E300" s="8">
        <v>3535.8029000000001</v>
      </c>
      <c r="F300" s="8">
        <f>F290</f>
        <v>0</v>
      </c>
      <c r="G300" s="8">
        <f>E300+F300</f>
        <v>3535.8029000000001</v>
      </c>
      <c r="H300" s="3">
        <f>B300*G300</f>
        <v>62477.637243000012</v>
      </c>
      <c r="I300" s="3">
        <f>C300*G300</f>
        <v>62512.995272</v>
      </c>
    </row>
    <row r="301" spans="1:9" x14ac:dyDescent="0.25">
      <c r="A301" t="s">
        <v>14</v>
      </c>
      <c r="B301" s="1">
        <v>35.4</v>
      </c>
      <c r="C301" s="1">
        <v>35.409999999999997</v>
      </c>
      <c r="D301" s="2" t="s">
        <v>60</v>
      </c>
      <c r="E301" s="8">
        <v>1764.9262000000001</v>
      </c>
      <c r="F301" s="8">
        <f>F291</f>
        <v>0.2</v>
      </c>
      <c r="G301" s="8">
        <f>E301+F301</f>
        <v>1765.1262000000002</v>
      </c>
      <c r="H301" s="3">
        <f>B301*G301</f>
        <v>62485.467479999999</v>
      </c>
      <c r="I301" s="3">
        <f>C301*G301</f>
        <v>62503.118741999999</v>
      </c>
    </row>
    <row r="302" spans="1:9" x14ac:dyDescent="0.25">
      <c r="A302" t="s">
        <v>4</v>
      </c>
      <c r="B302" s="1">
        <v>20.72</v>
      </c>
      <c r="C302" s="1">
        <v>20.73</v>
      </c>
      <c r="D302" s="2" t="s">
        <v>61</v>
      </c>
      <c r="E302" s="8">
        <v>3014.7584999999999</v>
      </c>
      <c r="F302" s="8">
        <f>F292</f>
        <v>0</v>
      </c>
      <c r="G302" s="8">
        <f>E302+F302</f>
        <v>3014.7584999999999</v>
      </c>
      <c r="H302" s="3">
        <f>B302*G302</f>
        <v>62465.796119999992</v>
      </c>
      <c r="I302" s="3">
        <f>C302*G302</f>
        <v>62495.943704999998</v>
      </c>
    </row>
    <row r="303" spans="1:9" x14ac:dyDescent="0.25">
      <c r="A303" t="s">
        <v>6</v>
      </c>
      <c r="B303" s="1">
        <v>33.92</v>
      </c>
      <c r="C303" s="1">
        <v>33.92</v>
      </c>
      <c r="D303" s="2" t="s">
        <v>61</v>
      </c>
      <c r="E303" s="8">
        <v>1841.7701</v>
      </c>
      <c r="F303" s="8">
        <f>F293</f>
        <v>-0.1</v>
      </c>
      <c r="G303" s="8">
        <f>E303+F303</f>
        <v>1841.6701</v>
      </c>
      <c r="H303" s="3">
        <f>B303*G303</f>
        <v>62469.449792000007</v>
      </c>
      <c r="I303" s="3">
        <f>C303*G303</f>
        <v>62469.449792000007</v>
      </c>
    </row>
    <row r="304" spans="1:9" x14ac:dyDescent="0.25">
      <c r="A304" t="s">
        <v>7</v>
      </c>
      <c r="B304" s="1">
        <v>17.61</v>
      </c>
      <c r="C304" s="1">
        <v>17.62</v>
      </c>
      <c r="D304" s="2" t="s">
        <v>61</v>
      </c>
      <c r="E304" s="8">
        <v>3546.3191999999999</v>
      </c>
      <c r="F304" s="8">
        <f>F294</f>
        <v>0</v>
      </c>
      <c r="G304" s="8">
        <f>E304+F304</f>
        <v>3546.3191999999999</v>
      </c>
      <c r="H304" s="3">
        <f>B304*G304</f>
        <v>62450.681111999998</v>
      </c>
      <c r="I304" s="3">
        <f>C304*G304</f>
        <v>62486.144304000001</v>
      </c>
    </row>
    <row r="305" spans="1:9" x14ac:dyDescent="0.25">
      <c r="A305" t="s">
        <v>8</v>
      </c>
      <c r="B305" s="1">
        <v>27.63</v>
      </c>
      <c r="C305" s="1">
        <v>27.64</v>
      </c>
      <c r="D305" s="2" t="s">
        <v>61</v>
      </c>
      <c r="E305" s="8">
        <v>2261.2093</v>
      </c>
      <c r="F305" s="8">
        <f>F295</f>
        <v>-0.2</v>
      </c>
      <c r="G305" s="8">
        <f>E305+F305</f>
        <v>2261.0093000000002</v>
      </c>
      <c r="H305" s="3">
        <f>B305*G305</f>
        <v>62471.686958999999</v>
      </c>
      <c r="I305" s="3">
        <f>C305*G305</f>
        <v>62494.297052000009</v>
      </c>
    </row>
    <row r="306" spans="1:9" x14ac:dyDescent="0.25">
      <c r="A306" t="s">
        <v>9</v>
      </c>
      <c r="B306" s="1">
        <v>66</v>
      </c>
      <c r="C306" s="1">
        <v>66.099999999999994</v>
      </c>
      <c r="D306" s="2" t="s">
        <v>61</v>
      </c>
      <c r="E306" s="8">
        <v>946.06489999999997</v>
      </c>
      <c r="F306" s="8">
        <f>F296</f>
        <v>0</v>
      </c>
      <c r="G306" s="8">
        <f>E306+F306</f>
        <v>946.06489999999997</v>
      </c>
      <c r="H306" s="3">
        <f>B306*G306</f>
        <v>62440.2834</v>
      </c>
      <c r="I306" s="3">
        <f>C306*G306</f>
        <v>62534.889889999991</v>
      </c>
    </row>
    <row r="307" spans="1:9" x14ac:dyDescent="0.25">
      <c r="A307" t="s">
        <v>10</v>
      </c>
      <c r="B307" s="1">
        <v>36.090000000000003</v>
      </c>
      <c r="C307" s="1">
        <v>36.11</v>
      </c>
      <c r="D307" s="2" t="s">
        <v>61</v>
      </c>
      <c r="E307" s="8">
        <v>1730.0188000000001</v>
      </c>
      <c r="F307" s="8">
        <f>F297</f>
        <v>0.2</v>
      </c>
      <c r="G307" s="8">
        <f>E307+F307</f>
        <v>1730.2188000000001</v>
      </c>
      <c r="H307" s="3">
        <f>B307*G307</f>
        <v>62443.596492000011</v>
      </c>
      <c r="I307" s="3">
        <f>C307*G307</f>
        <v>62478.200868</v>
      </c>
    </row>
    <row r="308" spans="1:9" x14ac:dyDescent="0.25">
      <c r="A308" t="s">
        <v>11</v>
      </c>
      <c r="B308" s="1">
        <v>54.37</v>
      </c>
      <c r="C308" s="1">
        <v>54.38</v>
      </c>
      <c r="D308" s="2" t="s">
        <v>61</v>
      </c>
      <c r="E308" s="8">
        <v>1148.7663</v>
      </c>
      <c r="F308" s="8">
        <f>F298</f>
        <v>0.05</v>
      </c>
      <c r="G308" s="8">
        <f>E308+F308</f>
        <v>1148.8163</v>
      </c>
      <c r="H308" s="3">
        <f>B308*G308</f>
        <v>62461.142230999998</v>
      </c>
      <c r="I308" s="3">
        <f>C308*G308</f>
        <v>62472.630394</v>
      </c>
    </row>
    <row r="309" spans="1:9" x14ac:dyDescent="0.25">
      <c r="A309" t="s">
        <v>12</v>
      </c>
      <c r="B309" s="1">
        <v>48.47</v>
      </c>
      <c r="C309" s="1">
        <v>48.48</v>
      </c>
      <c r="D309" s="2" t="s">
        <v>61</v>
      </c>
      <c r="E309" s="8">
        <v>1288.3785</v>
      </c>
      <c r="F309" s="8">
        <f>F299</f>
        <v>0</v>
      </c>
      <c r="G309" s="8">
        <f>E309+F309</f>
        <v>1288.3785</v>
      </c>
      <c r="H309" s="3">
        <f>B309*G309</f>
        <v>62447.705894999999</v>
      </c>
      <c r="I309" s="3">
        <f>C309*G309</f>
        <v>62460.589679999997</v>
      </c>
    </row>
    <row r="310" spans="1:9" x14ac:dyDescent="0.25">
      <c r="A310" t="s">
        <v>13</v>
      </c>
      <c r="B310" s="1">
        <v>17.670000000000002</v>
      </c>
      <c r="C310" s="1">
        <v>17.68</v>
      </c>
      <c r="D310" s="2" t="s">
        <v>61</v>
      </c>
      <c r="E310" s="8">
        <v>3535.8029000000001</v>
      </c>
      <c r="F310" s="8">
        <f>F300</f>
        <v>0</v>
      </c>
      <c r="G310" s="8">
        <f>E310+F310</f>
        <v>3535.8029000000001</v>
      </c>
      <c r="H310" s="3">
        <f>B310*G310</f>
        <v>62477.637243000012</v>
      </c>
      <c r="I310" s="3">
        <f>C310*G310</f>
        <v>62512.995272</v>
      </c>
    </row>
    <row r="311" spans="1:9" x14ac:dyDescent="0.25">
      <c r="A311" t="s">
        <v>14</v>
      </c>
      <c r="B311" s="1">
        <v>35.380000000000003</v>
      </c>
      <c r="C311" s="1">
        <v>35.39</v>
      </c>
      <c r="D311" s="2" t="s">
        <v>61</v>
      </c>
      <c r="E311" s="8">
        <v>1764.9262000000001</v>
      </c>
      <c r="F311" s="8">
        <f>F301</f>
        <v>0.2</v>
      </c>
      <c r="G311" s="8">
        <f>E311+F311</f>
        <v>1765.1262000000002</v>
      </c>
      <c r="H311" s="3">
        <f>B311*G311</f>
        <v>62450.164956000008</v>
      </c>
      <c r="I311" s="3">
        <f>C311*G311</f>
        <v>62467.816218000007</v>
      </c>
    </row>
    <row r="312" spans="1:9" x14ac:dyDescent="0.25">
      <c r="A312" t="s">
        <v>4</v>
      </c>
      <c r="B312" s="1">
        <v>20.66</v>
      </c>
      <c r="C312" s="1">
        <v>20.67</v>
      </c>
      <c r="D312" s="2" t="s">
        <v>62</v>
      </c>
      <c r="E312" s="8">
        <v>3014.7584999999999</v>
      </c>
      <c r="F312" s="8">
        <f>F302</f>
        <v>0</v>
      </c>
      <c r="G312" s="8">
        <f>E312+F312</f>
        <v>3014.7584999999999</v>
      </c>
      <c r="H312" s="3">
        <f>B312*G312</f>
        <v>62284.910609999999</v>
      </c>
      <c r="I312" s="3">
        <f>C312*G312</f>
        <v>62315.058195000005</v>
      </c>
    </row>
    <row r="313" spans="1:9" x14ac:dyDescent="0.25">
      <c r="A313" t="s">
        <v>6</v>
      </c>
      <c r="B313" s="1">
        <v>33.82</v>
      </c>
      <c r="C313" s="1">
        <v>33.83</v>
      </c>
      <c r="D313" s="2" t="s">
        <v>62</v>
      </c>
      <c r="E313" s="8">
        <v>1841.7701</v>
      </c>
      <c r="F313" s="8">
        <f>F303</f>
        <v>-0.1</v>
      </c>
      <c r="G313" s="8">
        <f>E313+F313</f>
        <v>1841.6701</v>
      </c>
      <c r="H313" s="3">
        <f>B313*G313</f>
        <v>62285.282782000002</v>
      </c>
      <c r="I313" s="3">
        <f>C313*G313</f>
        <v>62303.699482999997</v>
      </c>
    </row>
    <row r="314" spans="1:9" x14ac:dyDescent="0.25">
      <c r="A314" t="s">
        <v>7</v>
      </c>
      <c r="B314" s="1">
        <v>17.559999999999999</v>
      </c>
      <c r="C314" s="1">
        <v>17.57</v>
      </c>
      <c r="D314" s="2" t="s">
        <v>62</v>
      </c>
      <c r="E314" s="8">
        <v>3546.3191999999999</v>
      </c>
      <c r="F314" s="8">
        <f>F304</f>
        <v>0</v>
      </c>
      <c r="G314" s="8">
        <f>E314+F314</f>
        <v>3546.3191999999999</v>
      </c>
      <c r="H314" s="3">
        <f>B314*G314</f>
        <v>62273.365151999991</v>
      </c>
      <c r="I314" s="3">
        <f>C314*G314</f>
        <v>62308.828344000001</v>
      </c>
    </row>
    <row r="315" spans="1:9" x14ac:dyDescent="0.25">
      <c r="A315" t="s">
        <v>8</v>
      </c>
      <c r="B315" s="1">
        <v>27.55</v>
      </c>
      <c r="C315" s="1">
        <v>27.56</v>
      </c>
      <c r="D315" s="2" t="s">
        <v>62</v>
      </c>
      <c r="E315" s="8">
        <v>2261.2093</v>
      </c>
      <c r="F315" s="8">
        <f>F305</f>
        <v>-0.2</v>
      </c>
      <c r="G315" s="8">
        <f>E315+F315</f>
        <v>2261.0093000000002</v>
      </c>
      <c r="H315" s="3">
        <f>B315*G315</f>
        <v>62290.806215000004</v>
      </c>
      <c r="I315" s="3">
        <f>C315*G315</f>
        <v>62313.416308</v>
      </c>
    </row>
    <row r="316" spans="1:9" x14ac:dyDescent="0.25">
      <c r="A316" t="s">
        <v>9</v>
      </c>
      <c r="B316" s="1">
        <v>65.819999999999993</v>
      </c>
      <c r="C316" s="1">
        <v>65.930000000000007</v>
      </c>
      <c r="D316" s="2" t="s">
        <v>62</v>
      </c>
      <c r="E316" s="8">
        <v>946.06489999999997</v>
      </c>
      <c r="F316" s="8">
        <f>F306</f>
        <v>0</v>
      </c>
      <c r="G316" s="8">
        <f>E316+F316</f>
        <v>946.06489999999997</v>
      </c>
      <c r="H316" s="3">
        <f>B316*G316</f>
        <v>62269.99171799999</v>
      </c>
      <c r="I316" s="3">
        <f>C316*G316</f>
        <v>62374.058857000004</v>
      </c>
    </row>
    <row r="317" spans="1:9" x14ac:dyDescent="0.25">
      <c r="A317" t="s">
        <v>10</v>
      </c>
      <c r="B317" s="1">
        <v>36</v>
      </c>
      <c r="C317" s="1">
        <v>36.01</v>
      </c>
      <c r="D317" s="2" t="s">
        <v>62</v>
      </c>
      <c r="E317" s="8">
        <v>1730.0188000000001</v>
      </c>
      <c r="F317" s="8">
        <f>F307</f>
        <v>0.2</v>
      </c>
      <c r="G317" s="8">
        <f>E317+F317</f>
        <v>1730.2188000000001</v>
      </c>
      <c r="H317" s="3">
        <f>B317*G317</f>
        <v>62287.876800000005</v>
      </c>
      <c r="I317" s="3">
        <f>C317*G317</f>
        <v>62305.178988</v>
      </c>
    </row>
    <row r="318" spans="1:9" x14ac:dyDescent="0.25">
      <c r="A318" t="s">
        <v>11</v>
      </c>
      <c r="B318" s="1">
        <v>54.23</v>
      </c>
      <c r="C318" s="1">
        <v>54.24</v>
      </c>
      <c r="D318" s="2" t="s">
        <v>62</v>
      </c>
      <c r="E318" s="8">
        <v>1148.7663</v>
      </c>
      <c r="F318" s="8">
        <f>F308</f>
        <v>0.05</v>
      </c>
      <c r="G318" s="8">
        <f>E318+F318</f>
        <v>1148.8163</v>
      </c>
      <c r="H318" s="3">
        <f>B318*G318</f>
        <v>62300.307948999995</v>
      </c>
      <c r="I318" s="3">
        <f>C318*G318</f>
        <v>62311.796111999996</v>
      </c>
    </row>
    <row r="319" spans="1:9" x14ac:dyDescent="0.25">
      <c r="A319" t="s">
        <v>12</v>
      </c>
      <c r="B319" s="1">
        <v>48.35</v>
      </c>
      <c r="C319" s="1">
        <v>48.36</v>
      </c>
      <c r="D319" s="2" t="s">
        <v>62</v>
      </c>
      <c r="E319" s="8">
        <v>1288.3785</v>
      </c>
      <c r="F319" s="8">
        <f>F309</f>
        <v>0</v>
      </c>
      <c r="G319" s="8">
        <f>E319+F319</f>
        <v>1288.3785</v>
      </c>
      <c r="H319" s="3">
        <f>B319*G319</f>
        <v>62293.100475000007</v>
      </c>
      <c r="I319" s="3">
        <f>C319*G319</f>
        <v>62305.984259999997</v>
      </c>
    </row>
    <row r="320" spans="1:9" x14ac:dyDescent="0.25">
      <c r="A320" t="s">
        <v>13</v>
      </c>
      <c r="B320" s="1">
        <v>17.62</v>
      </c>
      <c r="C320" s="1">
        <v>17.63</v>
      </c>
      <c r="D320" s="2" t="s">
        <v>62</v>
      </c>
      <c r="E320" s="8">
        <v>3535.8029000000001</v>
      </c>
      <c r="F320" s="8">
        <f>F310</f>
        <v>0</v>
      </c>
      <c r="G320" s="8">
        <f>E320+F320</f>
        <v>3535.8029000000001</v>
      </c>
      <c r="H320" s="3">
        <f>B320*G320</f>
        <v>62300.847098000006</v>
      </c>
      <c r="I320" s="3">
        <f>C320*G320</f>
        <v>62336.205127000001</v>
      </c>
    </row>
    <row r="321" spans="1:9" x14ac:dyDescent="0.25">
      <c r="A321" t="s">
        <v>14</v>
      </c>
      <c r="B321" s="1">
        <v>35.29</v>
      </c>
      <c r="C321" s="1">
        <v>35.299999999999997</v>
      </c>
      <c r="D321" s="2" t="s">
        <v>62</v>
      </c>
      <c r="E321" s="8">
        <v>1764.9262000000001</v>
      </c>
      <c r="F321" s="8">
        <f>F311</f>
        <v>0.2</v>
      </c>
      <c r="G321" s="8">
        <f>E321+F321</f>
        <v>1765.1262000000002</v>
      </c>
      <c r="H321" s="3">
        <f>B321*G321</f>
        <v>62291.303598000006</v>
      </c>
      <c r="I321" s="3">
        <f>C321*G321</f>
        <v>62308.954859999998</v>
      </c>
    </row>
    <row r="322" spans="1:9" x14ac:dyDescent="0.25">
      <c r="A322" t="s">
        <v>4</v>
      </c>
      <c r="B322" s="1">
        <v>20.98</v>
      </c>
      <c r="C322" s="1">
        <v>20.99</v>
      </c>
      <c r="D322" s="2" t="s">
        <v>63</v>
      </c>
      <c r="E322" s="8">
        <v>3014.7584999999999</v>
      </c>
      <c r="F322" s="8">
        <f>F312</f>
        <v>0</v>
      </c>
      <c r="G322" s="8">
        <f>E322+F322</f>
        <v>3014.7584999999999</v>
      </c>
      <c r="H322" s="3">
        <f>B322*G322</f>
        <v>63249.633329999997</v>
      </c>
      <c r="I322" s="3">
        <f>C322*G322</f>
        <v>63279.780914999996</v>
      </c>
    </row>
    <row r="323" spans="1:9" x14ac:dyDescent="0.25">
      <c r="A323" t="s">
        <v>6</v>
      </c>
      <c r="B323" s="1">
        <v>34.340000000000003</v>
      </c>
      <c r="C323" s="1">
        <v>34.35</v>
      </c>
      <c r="D323" s="2" t="s">
        <v>63</v>
      </c>
      <c r="E323" s="8">
        <v>1841.7701</v>
      </c>
      <c r="F323" s="8">
        <f>F313</f>
        <v>-0.1</v>
      </c>
      <c r="G323" s="8">
        <f>E323+F323</f>
        <v>1841.6701</v>
      </c>
      <c r="H323" s="3">
        <f>B323*G323</f>
        <v>63242.951234000007</v>
      </c>
      <c r="I323" s="3">
        <f>C323*G323</f>
        <v>63261.367935000002</v>
      </c>
    </row>
    <row r="324" spans="1:9" x14ac:dyDescent="0.25">
      <c r="A324" t="s">
        <v>7</v>
      </c>
      <c r="B324" s="1">
        <v>17.829999999999998</v>
      </c>
      <c r="C324" s="1">
        <v>17.84</v>
      </c>
      <c r="D324" s="2" t="s">
        <v>63</v>
      </c>
      <c r="E324" s="8">
        <v>3546.3191999999999</v>
      </c>
      <c r="F324" s="8">
        <f>F314</f>
        <v>0</v>
      </c>
      <c r="G324" s="8">
        <f>E324+F324</f>
        <v>3546.3191999999999</v>
      </c>
      <c r="H324" s="3">
        <f>B324*G324</f>
        <v>63230.871335999989</v>
      </c>
      <c r="I324" s="3">
        <f>C324*G324</f>
        <v>63266.334527999999</v>
      </c>
    </row>
    <row r="325" spans="1:9" x14ac:dyDescent="0.25">
      <c r="A325" t="s">
        <v>8</v>
      </c>
      <c r="B325" s="1">
        <v>27.97</v>
      </c>
      <c r="C325" s="1">
        <v>27.98</v>
      </c>
      <c r="D325" s="2" t="s">
        <v>63</v>
      </c>
      <c r="E325" s="8">
        <v>2261.2093</v>
      </c>
      <c r="F325" s="8">
        <f>F315</f>
        <v>-0.2</v>
      </c>
      <c r="G325" s="8">
        <f>E325+F325</f>
        <v>2261.0093000000002</v>
      </c>
      <c r="H325" s="3">
        <f>B325*G325</f>
        <v>63240.430121000005</v>
      </c>
      <c r="I325" s="3">
        <f>C325*G325</f>
        <v>63263.040214000008</v>
      </c>
    </row>
    <row r="326" spans="1:9" x14ac:dyDescent="0.25">
      <c r="A326" t="s">
        <v>9</v>
      </c>
      <c r="B326" s="1">
        <v>66.849999999999994</v>
      </c>
      <c r="C326" s="1">
        <v>66.97</v>
      </c>
      <c r="D326" s="2" t="s">
        <v>63</v>
      </c>
      <c r="E326" s="8">
        <v>946.06489999999997</v>
      </c>
      <c r="F326" s="8">
        <f>F316</f>
        <v>0</v>
      </c>
      <c r="G326" s="8">
        <f>E326+F326</f>
        <v>946.06489999999997</v>
      </c>
      <c r="H326" s="3">
        <f>B326*G326</f>
        <v>63244.438564999989</v>
      </c>
      <c r="I326" s="3">
        <f>C326*G326</f>
        <v>63357.966352999996</v>
      </c>
    </row>
    <row r="327" spans="1:9" x14ac:dyDescent="0.25">
      <c r="A327" t="s">
        <v>10</v>
      </c>
      <c r="B327" s="1">
        <v>36.54</v>
      </c>
      <c r="C327" s="1">
        <v>36.57</v>
      </c>
      <c r="D327" s="2" t="s">
        <v>63</v>
      </c>
      <c r="E327" s="8">
        <v>1730.0188000000001</v>
      </c>
      <c r="F327" s="8">
        <f>F317</f>
        <v>0.2</v>
      </c>
      <c r="G327" s="8">
        <f>E327+F327</f>
        <v>1730.2188000000001</v>
      </c>
      <c r="H327" s="3">
        <f>B327*G327</f>
        <v>63222.194952000005</v>
      </c>
      <c r="I327" s="3">
        <f>C327*G327</f>
        <v>63274.101516000002</v>
      </c>
    </row>
    <row r="328" spans="1:9" x14ac:dyDescent="0.25">
      <c r="A328" t="s">
        <v>11</v>
      </c>
      <c r="B328" s="1">
        <v>55.06</v>
      </c>
      <c r="C328" s="1">
        <v>55.07</v>
      </c>
      <c r="D328" s="2" t="s">
        <v>63</v>
      </c>
      <c r="E328" s="8">
        <v>1148.7663</v>
      </c>
      <c r="F328" s="8">
        <f>F318</f>
        <v>0.05</v>
      </c>
      <c r="G328" s="8">
        <f>E328+F328</f>
        <v>1148.8163</v>
      </c>
      <c r="H328" s="3">
        <f>B328*G328</f>
        <v>63253.825477999999</v>
      </c>
      <c r="I328" s="3">
        <f>C328*G328</f>
        <v>63265.313641000001</v>
      </c>
    </row>
    <row r="329" spans="1:9" x14ac:dyDescent="0.25">
      <c r="A329" t="s">
        <v>12</v>
      </c>
      <c r="B329" s="1">
        <v>49.09</v>
      </c>
      <c r="C329" s="1">
        <v>49.1</v>
      </c>
      <c r="D329" s="2" t="s">
        <v>63</v>
      </c>
      <c r="E329" s="8">
        <v>1288.3785</v>
      </c>
      <c r="F329" s="8">
        <f>F319</f>
        <v>0</v>
      </c>
      <c r="G329" s="8">
        <f>E329+F329</f>
        <v>1288.3785</v>
      </c>
      <c r="H329" s="3">
        <f>B329*G329</f>
        <v>63246.500565000009</v>
      </c>
      <c r="I329" s="3">
        <f>C329*G329</f>
        <v>63259.38435</v>
      </c>
    </row>
    <row r="330" spans="1:9" x14ac:dyDescent="0.25">
      <c r="A330" t="s">
        <v>13</v>
      </c>
      <c r="B330" s="1">
        <v>17.89</v>
      </c>
      <c r="C330" s="1">
        <v>17.899999999999999</v>
      </c>
      <c r="D330" s="2" t="s">
        <v>63</v>
      </c>
      <c r="E330" s="8">
        <v>3535.8029000000001</v>
      </c>
      <c r="F330" s="8">
        <f>F320</f>
        <v>0</v>
      </c>
      <c r="G330" s="8">
        <f>E330+F330</f>
        <v>3535.8029000000001</v>
      </c>
      <c r="H330" s="3">
        <f>B330*G330</f>
        <v>63255.513881000006</v>
      </c>
      <c r="I330" s="3">
        <f>C330*G330</f>
        <v>63290.871909999994</v>
      </c>
    </row>
    <row r="331" spans="1:9" x14ac:dyDescent="0.25">
      <c r="A331" t="s">
        <v>14</v>
      </c>
      <c r="B331" s="1">
        <v>35.83</v>
      </c>
      <c r="C331" s="1">
        <v>35.840000000000003</v>
      </c>
      <c r="D331" s="2" t="s">
        <v>63</v>
      </c>
      <c r="E331" s="8">
        <v>1764.9262000000001</v>
      </c>
      <c r="F331" s="8">
        <f>F321</f>
        <v>0.2</v>
      </c>
      <c r="G331" s="8">
        <f>E331+F331</f>
        <v>1765.1262000000002</v>
      </c>
      <c r="H331" s="3">
        <f>B331*G331</f>
        <v>63244.471746000003</v>
      </c>
      <c r="I331" s="3">
        <f>C331*G331</f>
        <v>63262.12300800001</v>
      </c>
    </row>
    <row r="332" spans="1:9" x14ac:dyDescent="0.25">
      <c r="A332" t="s">
        <v>4</v>
      </c>
      <c r="B332" s="1">
        <v>21.02</v>
      </c>
      <c r="C332" s="1">
        <v>21.03</v>
      </c>
      <c r="D332" s="2" t="s">
        <v>64</v>
      </c>
      <c r="E332" s="8">
        <v>3014.7584999999999</v>
      </c>
      <c r="F332" s="8">
        <f>F322</f>
        <v>0</v>
      </c>
      <c r="G332" s="8">
        <f>E332+F332</f>
        <v>3014.7584999999999</v>
      </c>
      <c r="H332" s="3">
        <f>B332*G332</f>
        <v>63370.223669999999</v>
      </c>
      <c r="I332" s="3">
        <f>C332*G332</f>
        <v>63400.371254999998</v>
      </c>
    </row>
    <row r="333" spans="1:9" x14ac:dyDescent="0.25">
      <c r="A333" t="s">
        <v>6</v>
      </c>
      <c r="B333" s="1">
        <v>34.409999999999997</v>
      </c>
      <c r="C333" s="1">
        <v>34.42</v>
      </c>
      <c r="D333" s="2" t="s">
        <v>64</v>
      </c>
      <c r="E333" s="8">
        <v>1841.7701</v>
      </c>
      <c r="F333" s="8">
        <f>F323</f>
        <v>-0.1</v>
      </c>
      <c r="G333" s="8">
        <f>E333+F333</f>
        <v>1841.6701</v>
      </c>
      <c r="H333" s="3">
        <f>B333*G333</f>
        <v>63371.868140999992</v>
      </c>
      <c r="I333" s="3">
        <f>C333*G333</f>
        <v>63390.284842000008</v>
      </c>
    </row>
    <row r="334" spans="1:9" x14ac:dyDescent="0.25">
      <c r="A334" t="s">
        <v>7</v>
      </c>
      <c r="B334" s="1">
        <v>17.87</v>
      </c>
      <c r="C334" s="1">
        <v>17.88</v>
      </c>
      <c r="D334" s="2" t="s">
        <v>64</v>
      </c>
      <c r="E334" s="8">
        <v>3546.3191999999999</v>
      </c>
      <c r="F334" s="8">
        <f>F324</f>
        <v>0</v>
      </c>
      <c r="G334" s="8">
        <f>E334+F334</f>
        <v>3546.3191999999999</v>
      </c>
      <c r="H334" s="3">
        <f>B334*G334</f>
        <v>63372.724104000001</v>
      </c>
      <c r="I334" s="3">
        <f>C334*G334</f>
        <v>63408.187295999996</v>
      </c>
    </row>
    <row r="335" spans="1:9" x14ac:dyDescent="0.25">
      <c r="A335" t="s">
        <v>8</v>
      </c>
      <c r="B335" s="1">
        <v>28.03</v>
      </c>
      <c r="C335" s="1">
        <v>28.04</v>
      </c>
      <c r="D335" s="2" t="s">
        <v>64</v>
      </c>
      <c r="E335" s="8">
        <v>2261.2093</v>
      </c>
      <c r="F335" s="8">
        <f>F325</f>
        <v>-0.2</v>
      </c>
      <c r="G335" s="8">
        <f>E335+F335</f>
        <v>2261.0093000000002</v>
      </c>
      <c r="H335" s="3">
        <f>B335*G335</f>
        <v>63376.090679000008</v>
      </c>
      <c r="I335" s="3">
        <f>C335*G335</f>
        <v>63398.700772000004</v>
      </c>
    </row>
    <row r="336" spans="1:9" x14ac:dyDescent="0.25">
      <c r="A336" t="s">
        <v>9</v>
      </c>
      <c r="B336" s="1">
        <v>66.989999999999995</v>
      </c>
      <c r="C336" s="1">
        <v>67.12</v>
      </c>
      <c r="D336" s="2" t="s">
        <v>64</v>
      </c>
      <c r="E336" s="8">
        <v>946.06489999999997</v>
      </c>
      <c r="F336" s="8">
        <f>F326</f>
        <v>0</v>
      </c>
      <c r="G336" s="8">
        <f>E336+F336</f>
        <v>946.06489999999997</v>
      </c>
      <c r="H336" s="3">
        <f>B336*G336</f>
        <v>63376.88765099999</v>
      </c>
      <c r="I336" s="3">
        <f>C336*G336</f>
        <v>63499.876088000005</v>
      </c>
    </row>
    <row r="337" spans="1:9" x14ac:dyDescent="0.25">
      <c r="A337" t="s">
        <v>10</v>
      </c>
      <c r="B337" s="1">
        <v>36.619999999999997</v>
      </c>
      <c r="C337" s="1">
        <v>36.64</v>
      </c>
      <c r="D337" s="2" t="s">
        <v>64</v>
      </c>
      <c r="E337" s="8">
        <v>1730.0188000000001</v>
      </c>
      <c r="F337" s="8">
        <f>F327</f>
        <v>0.2</v>
      </c>
      <c r="G337" s="8">
        <f>E337+F337</f>
        <v>1730.2188000000001</v>
      </c>
      <c r="H337" s="3">
        <f>B337*G337</f>
        <v>63360.612456000003</v>
      </c>
      <c r="I337" s="3">
        <f>C337*G337</f>
        <v>63395.216832000006</v>
      </c>
    </row>
    <row r="338" spans="1:9" x14ac:dyDescent="0.25">
      <c r="A338" t="s">
        <v>11</v>
      </c>
      <c r="B338" s="1">
        <v>55.18</v>
      </c>
      <c r="C338" s="1">
        <v>55.19</v>
      </c>
      <c r="D338" s="2" t="s">
        <v>64</v>
      </c>
      <c r="E338" s="8">
        <v>1148.7663</v>
      </c>
      <c r="F338" s="8">
        <f>F328</f>
        <v>0.05</v>
      </c>
      <c r="G338" s="8">
        <f>E338+F338</f>
        <v>1148.8163</v>
      </c>
      <c r="H338" s="3">
        <f>B338*G338</f>
        <v>63391.683433999999</v>
      </c>
      <c r="I338" s="3">
        <f>C338*G338</f>
        <v>63403.171596999993</v>
      </c>
    </row>
    <row r="339" spans="1:9" x14ac:dyDescent="0.25">
      <c r="A339" t="s">
        <v>12</v>
      </c>
      <c r="B339" s="1">
        <v>49.19</v>
      </c>
      <c r="C339" s="1">
        <v>49.2</v>
      </c>
      <c r="D339" s="2" t="s">
        <v>64</v>
      </c>
      <c r="E339" s="8">
        <v>1288.3785</v>
      </c>
      <c r="F339" s="8">
        <f>F329</f>
        <v>0</v>
      </c>
      <c r="G339" s="8">
        <f>E339+F339</f>
        <v>1288.3785</v>
      </c>
      <c r="H339" s="3">
        <f>B339*G339</f>
        <v>63375.338414999998</v>
      </c>
      <c r="I339" s="3">
        <f>C339*G339</f>
        <v>63388.222200000004</v>
      </c>
    </row>
    <row r="340" spans="1:9" x14ac:dyDescent="0.25">
      <c r="A340" t="s">
        <v>13</v>
      </c>
      <c r="B340" s="1">
        <v>17.920000000000002</v>
      </c>
      <c r="C340" s="1">
        <v>17.93</v>
      </c>
      <c r="D340" s="2" t="s">
        <v>64</v>
      </c>
      <c r="E340" s="8">
        <v>3535.8029000000001</v>
      </c>
      <c r="F340" s="8">
        <f>F330</f>
        <v>0</v>
      </c>
      <c r="G340" s="8">
        <f>E340+F340</f>
        <v>3535.8029000000001</v>
      </c>
      <c r="H340" s="3">
        <f>B340*G340</f>
        <v>63361.587968000007</v>
      </c>
      <c r="I340" s="3">
        <f>C340*G340</f>
        <v>63396.945997000003</v>
      </c>
    </row>
    <row r="341" spans="1:9" x14ac:dyDescent="0.25">
      <c r="A341" t="s">
        <v>14</v>
      </c>
      <c r="B341" s="1">
        <v>35.909999999999997</v>
      </c>
      <c r="C341" s="1">
        <v>35.92</v>
      </c>
      <c r="D341" s="2" t="s">
        <v>64</v>
      </c>
      <c r="E341" s="8">
        <v>1764.9262000000001</v>
      </c>
      <c r="F341" s="8">
        <f>F331</f>
        <v>0.2</v>
      </c>
      <c r="G341" s="8">
        <f>E341+F341</f>
        <v>1765.1262000000002</v>
      </c>
      <c r="H341" s="3">
        <f>B341*G341</f>
        <v>63385.681841999998</v>
      </c>
      <c r="I341" s="3">
        <f>C341*G341</f>
        <v>63403.333104000012</v>
      </c>
    </row>
    <row r="342" spans="1:9" x14ac:dyDescent="0.25">
      <c r="A342" t="s">
        <v>4</v>
      </c>
      <c r="B342" s="1">
        <v>20.98</v>
      </c>
      <c r="C342" s="1">
        <v>20.99</v>
      </c>
      <c r="D342" s="2" t="s">
        <v>65</v>
      </c>
      <c r="E342" s="8">
        <v>3014.7584999999999</v>
      </c>
      <c r="F342" s="8">
        <f>F332</f>
        <v>0</v>
      </c>
      <c r="G342" s="8">
        <f>E342+F342</f>
        <v>3014.7584999999999</v>
      </c>
      <c r="H342" s="3">
        <f>B342*G342</f>
        <v>63249.633329999997</v>
      </c>
      <c r="I342" s="3">
        <f>C342*G342</f>
        <v>63279.780914999996</v>
      </c>
    </row>
    <row r="343" spans="1:9" x14ac:dyDescent="0.25">
      <c r="A343" t="s">
        <v>6</v>
      </c>
      <c r="B343" s="1">
        <v>34.36</v>
      </c>
      <c r="C343" s="1">
        <v>34.369999999999997</v>
      </c>
      <c r="D343" s="2" t="s">
        <v>65</v>
      </c>
      <c r="E343" s="8">
        <v>1841.7701</v>
      </c>
      <c r="F343" s="8">
        <f>F333</f>
        <v>-0.1</v>
      </c>
      <c r="G343" s="8">
        <f>E343+F343</f>
        <v>1841.6701</v>
      </c>
      <c r="H343" s="3">
        <f>B343*G343</f>
        <v>63279.784636000004</v>
      </c>
      <c r="I343" s="3">
        <f>C343*G343</f>
        <v>63298.201336999999</v>
      </c>
    </row>
    <row r="344" spans="1:9" x14ac:dyDescent="0.25">
      <c r="A344" t="s">
        <v>7</v>
      </c>
      <c r="B344" s="1">
        <v>17.84</v>
      </c>
      <c r="C344" s="1">
        <v>17.850000000000001</v>
      </c>
      <c r="D344" s="2" t="s">
        <v>65</v>
      </c>
      <c r="E344" s="8">
        <v>3546.3191999999999</v>
      </c>
      <c r="F344" s="8">
        <f>F334</f>
        <v>0</v>
      </c>
      <c r="G344" s="8">
        <f>E344+F344</f>
        <v>3546.3191999999999</v>
      </c>
      <c r="H344" s="3">
        <f>B344*G344</f>
        <v>63266.334527999999</v>
      </c>
      <c r="I344" s="3">
        <f>C344*G344</f>
        <v>63301.797720000002</v>
      </c>
    </row>
    <row r="345" spans="1:9" x14ac:dyDescent="0.25">
      <c r="A345" t="s">
        <v>8</v>
      </c>
      <c r="B345" s="1">
        <v>27.99</v>
      </c>
      <c r="C345" s="1">
        <v>28</v>
      </c>
      <c r="D345" s="2" t="s">
        <v>65</v>
      </c>
      <c r="E345" s="8">
        <v>2261.2093</v>
      </c>
      <c r="F345" s="8">
        <f>F335</f>
        <v>-0.2</v>
      </c>
      <c r="G345" s="8">
        <f>E345+F345</f>
        <v>2261.0093000000002</v>
      </c>
      <c r="H345" s="3">
        <f>B345*G345</f>
        <v>63285.650307000004</v>
      </c>
      <c r="I345" s="3">
        <f>C345*G345</f>
        <v>63308.260400000006</v>
      </c>
    </row>
    <row r="346" spans="1:9" x14ac:dyDescent="0.25">
      <c r="A346" t="s">
        <v>9</v>
      </c>
      <c r="B346" s="1">
        <v>66.86</v>
      </c>
      <c r="C346" s="1">
        <v>67</v>
      </c>
      <c r="D346" s="2" t="s">
        <v>65</v>
      </c>
      <c r="E346" s="8">
        <v>946.06489999999997</v>
      </c>
      <c r="F346" s="8">
        <f>F336</f>
        <v>0</v>
      </c>
      <c r="G346" s="8">
        <f>E346+F346</f>
        <v>946.06489999999997</v>
      </c>
      <c r="H346" s="3">
        <f>B346*G346</f>
        <v>63253.899213999997</v>
      </c>
      <c r="I346" s="3">
        <f>C346*G346</f>
        <v>63386.348299999998</v>
      </c>
    </row>
    <row r="347" spans="1:9" x14ac:dyDescent="0.25">
      <c r="A347" t="s">
        <v>10</v>
      </c>
      <c r="B347" s="1">
        <v>36.56</v>
      </c>
      <c r="C347" s="1">
        <v>36.58</v>
      </c>
      <c r="D347" s="2" t="s">
        <v>65</v>
      </c>
      <c r="E347" s="8">
        <v>1730.0188000000001</v>
      </c>
      <c r="F347" s="8">
        <f>F337</f>
        <v>0.2</v>
      </c>
      <c r="G347" s="8">
        <f>E347+F347</f>
        <v>1730.2188000000001</v>
      </c>
      <c r="H347" s="3">
        <f>B347*G347</f>
        <v>63256.799328000008</v>
      </c>
      <c r="I347" s="3">
        <f>C347*G347</f>
        <v>63291.403704000004</v>
      </c>
    </row>
    <row r="348" spans="1:9" x14ac:dyDescent="0.25">
      <c r="A348" t="s">
        <v>11</v>
      </c>
      <c r="B348" s="1">
        <v>55.09</v>
      </c>
      <c r="C348" s="1">
        <v>55.1</v>
      </c>
      <c r="D348" s="2" t="s">
        <v>65</v>
      </c>
      <c r="E348" s="8">
        <v>1148.7663</v>
      </c>
      <c r="F348" s="8">
        <f>F338</f>
        <v>0.05</v>
      </c>
      <c r="G348" s="8">
        <f>E348+F348</f>
        <v>1148.8163</v>
      </c>
      <c r="H348" s="3">
        <f>B348*G348</f>
        <v>63288.289967000004</v>
      </c>
      <c r="I348" s="3">
        <f>C348*G348</f>
        <v>63299.778129999999</v>
      </c>
    </row>
    <row r="349" spans="1:9" x14ac:dyDescent="0.25">
      <c r="A349" t="s">
        <v>12</v>
      </c>
      <c r="B349" s="1">
        <v>49.11</v>
      </c>
      <c r="C349" s="1">
        <v>49.12</v>
      </c>
      <c r="D349" s="2" t="s">
        <v>65</v>
      </c>
      <c r="E349" s="8">
        <v>1288.3785</v>
      </c>
      <c r="F349" s="8">
        <f>F339</f>
        <v>0</v>
      </c>
      <c r="G349" s="8">
        <f>E349+F349</f>
        <v>1288.3785</v>
      </c>
      <c r="H349" s="3">
        <f>B349*G349</f>
        <v>63272.268134999998</v>
      </c>
      <c r="I349" s="3">
        <f>C349*G349</f>
        <v>63285.151919999997</v>
      </c>
    </row>
    <row r="350" spans="1:9" x14ac:dyDescent="0.25">
      <c r="A350" t="s">
        <v>13</v>
      </c>
      <c r="B350" s="1">
        <v>17.89</v>
      </c>
      <c r="C350" s="1">
        <v>17.899999999999999</v>
      </c>
      <c r="D350" s="2" t="s">
        <v>65</v>
      </c>
      <c r="E350" s="8">
        <v>3535.8029000000001</v>
      </c>
      <c r="F350" s="8">
        <f>F340</f>
        <v>0</v>
      </c>
      <c r="G350" s="8">
        <f>E350+F350</f>
        <v>3535.8029000000001</v>
      </c>
      <c r="H350" s="3">
        <f>B350*G350</f>
        <v>63255.513881000006</v>
      </c>
      <c r="I350" s="3">
        <f>C350*G350</f>
        <v>63290.871909999994</v>
      </c>
    </row>
    <row r="351" spans="1:9" x14ac:dyDescent="0.25">
      <c r="A351" t="s">
        <v>14</v>
      </c>
      <c r="B351" s="1">
        <v>35.85</v>
      </c>
      <c r="C351" s="1">
        <v>35.86</v>
      </c>
      <c r="D351" s="2" t="s">
        <v>65</v>
      </c>
      <c r="E351" s="8">
        <v>1764.9262000000001</v>
      </c>
      <c r="F351" s="8">
        <f>F341</f>
        <v>0.2</v>
      </c>
      <c r="G351" s="8">
        <f>E351+F351</f>
        <v>1765.1262000000002</v>
      </c>
      <c r="H351" s="3">
        <f>B351*G351</f>
        <v>63279.774270000009</v>
      </c>
      <c r="I351" s="3">
        <f>C351*G351</f>
        <v>63297.425532000001</v>
      </c>
    </row>
    <row r="352" spans="1:9" x14ac:dyDescent="0.25">
      <c r="A352" t="s">
        <v>4</v>
      </c>
      <c r="B352" s="1">
        <v>21.01</v>
      </c>
      <c r="C352" s="1">
        <v>21.02</v>
      </c>
      <c r="D352" s="2" t="s">
        <v>66</v>
      </c>
      <c r="E352" s="8">
        <v>3014.7584999999999</v>
      </c>
      <c r="F352" s="8">
        <f>F342</f>
        <v>0</v>
      </c>
      <c r="G352" s="8">
        <f>E352+F352</f>
        <v>3014.7584999999999</v>
      </c>
      <c r="H352" s="3">
        <f>B352*G352</f>
        <v>63340.076085000001</v>
      </c>
      <c r="I352" s="3">
        <f>C352*G352</f>
        <v>63370.223669999999</v>
      </c>
    </row>
    <row r="353" spans="1:9" x14ac:dyDescent="0.25">
      <c r="A353" t="s">
        <v>6</v>
      </c>
      <c r="B353" s="1">
        <v>34.4</v>
      </c>
      <c r="C353" s="1">
        <v>34.409999999999997</v>
      </c>
      <c r="D353" s="2" t="s">
        <v>66</v>
      </c>
      <c r="E353" s="8">
        <v>1841.7701</v>
      </c>
      <c r="F353" s="8">
        <f>F343</f>
        <v>-0.1</v>
      </c>
      <c r="G353" s="8">
        <f>E353+F353</f>
        <v>1841.6701</v>
      </c>
      <c r="H353" s="3">
        <f>B353*G353</f>
        <v>63353.451439999997</v>
      </c>
      <c r="I353" s="3">
        <f>C353*G353</f>
        <v>63371.868140999992</v>
      </c>
    </row>
    <row r="354" spans="1:9" x14ac:dyDescent="0.25">
      <c r="A354" t="s">
        <v>7</v>
      </c>
      <c r="B354" s="1">
        <v>17.87</v>
      </c>
      <c r="C354" s="1">
        <v>17.88</v>
      </c>
      <c r="D354" s="2" t="s">
        <v>66</v>
      </c>
      <c r="E354" s="8">
        <v>3546.3191999999999</v>
      </c>
      <c r="F354" s="8">
        <f>F344</f>
        <v>0</v>
      </c>
      <c r="G354" s="8">
        <f>E354+F354</f>
        <v>3546.3191999999999</v>
      </c>
      <c r="H354" s="3">
        <f>B354*G354</f>
        <v>63372.724104000001</v>
      </c>
      <c r="I354" s="3">
        <f>C354*G354</f>
        <v>63408.187295999996</v>
      </c>
    </row>
    <row r="355" spans="1:9" x14ac:dyDescent="0.25">
      <c r="A355" t="s">
        <v>8</v>
      </c>
      <c r="B355" s="1">
        <v>28.03</v>
      </c>
      <c r="C355" s="1">
        <v>28.04</v>
      </c>
      <c r="D355" s="2" t="s">
        <v>66</v>
      </c>
      <c r="E355" s="8">
        <v>2261.2093</v>
      </c>
      <c r="F355" s="8">
        <f>F345</f>
        <v>-0.2</v>
      </c>
      <c r="G355" s="8">
        <f>E355+F355</f>
        <v>2261.0093000000002</v>
      </c>
      <c r="H355" s="3">
        <f>B355*G355</f>
        <v>63376.090679000008</v>
      </c>
      <c r="I355" s="3">
        <f>C355*G355</f>
        <v>63398.700772000004</v>
      </c>
    </row>
    <row r="356" spans="1:9" x14ac:dyDescent="0.25">
      <c r="A356" t="s">
        <v>9</v>
      </c>
      <c r="B356" s="1">
        <v>66.92</v>
      </c>
      <c r="C356" s="1">
        <v>67.06</v>
      </c>
      <c r="D356" s="2" t="s">
        <v>66</v>
      </c>
      <c r="E356" s="8">
        <v>946.06489999999997</v>
      </c>
      <c r="F356" s="8">
        <f>F346</f>
        <v>0</v>
      </c>
      <c r="G356" s="8">
        <f>E356+F356</f>
        <v>946.06489999999997</v>
      </c>
      <c r="H356" s="3">
        <f>B356*G356</f>
        <v>63310.663108000001</v>
      </c>
      <c r="I356" s="3">
        <f>C356*G356</f>
        <v>63443.112194000001</v>
      </c>
    </row>
    <row r="357" spans="1:9" x14ac:dyDescent="0.25">
      <c r="A357" t="s">
        <v>10</v>
      </c>
      <c r="B357" s="1">
        <v>36.619999999999997</v>
      </c>
      <c r="C357" s="1">
        <v>36.630000000000003</v>
      </c>
      <c r="D357" s="2" t="s">
        <v>66</v>
      </c>
      <c r="E357" s="8">
        <v>1730.0188000000001</v>
      </c>
      <c r="F357" s="8">
        <f>F347</f>
        <v>0.2</v>
      </c>
      <c r="G357" s="8">
        <f>E357+F357</f>
        <v>1730.2188000000001</v>
      </c>
      <c r="H357" s="3">
        <f>B357*G357</f>
        <v>63360.612456000003</v>
      </c>
      <c r="I357" s="3">
        <f>C357*G357</f>
        <v>63377.914644000011</v>
      </c>
    </row>
    <row r="358" spans="1:9" x14ac:dyDescent="0.25">
      <c r="A358" t="s">
        <v>11</v>
      </c>
      <c r="B358" s="1">
        <v>55.16</v>
      </c>
      <c r="C358" s="1">
        <v>55.17</v>
      </c>
      <c r="D358" s="2" t="s">
        <v>66</v>
      </c>
      <c r="E358" s="8">
        <v>1148.7663</v>
      </c>
      <c r="F358" s="8">
        <f>F348</f>
        <v>0.05</v>
      </c>
      <c r="G358" s="8">
        <f>E358+F358</f>
        <v>1148.8163</v>
      </c>
      <c r="H358" s="3">
        <f>B358*G358</f>
        <v>63368.707107999995</v>
      </c>
      <c r="I358" s="3">
        <f>C358*G358</f>
        <v>63380.195270999997</v>
      </c>
    </row>
    <row r="359" spans="1:9" x14ac:dyDescent="0.25">
      <c r="A359" t="s">
        <v>12</v>
      </c>
      <c r="B359" s="1">
        <v>49.17</v>
      </c>
      <c r="C359" s="1">
        <v>49.18</v>
      </c>
      <c r="D359" s="2" t="s">
        <v>66</v>
      </c>
      <c r="E359" s="8">
        <v>1288.3785</v>
      </c>
      <c r="F359" s="8">
        <f>F349</f>
        <v>0</v>
      </c>
      <c r="G359" s="8">
        <f>E359+F359</f>
        <v>1288.3785</v>
      </c>
      <c r="H359" s="3">
        <f>B359*G359</f>
        <v>63349.570845000002</v>
      </c>
      <c r="I359" s="3">
        <f>C359*G359</f>
        <v>63362.45463</v>
      </c>
    </row>
    <row r="360" spans="1:9" x14ac:dyDescent="0.25">
      <c r="A360" t="s">
        <v>13</v>
      </c>
      <c r="B360" s="1">
        <v>17.920000000000002</v>
      </c>
      <c r="C360" s="1">
        <v>17.93</v>
      </c>
      <c r="D360" s="2" t="s">
        <v>66</v>
      </c>
      <c r="E360" s="8">
        <v>3535.8029000000001</v>
      </c>
      <c r="F360" s="8">
        <f>F350</f>
        <v>0</v>
      </c>
      <c r="G360" s="8">
        <f>E360+F360</f>
        <v>3535.8029000000001</v>
      </c>
      <c r="H360" s="3">
        <f>B360*G360</f>
        <v>63361.587968000007</v>
      </c>
      <c r="I360" s="3">
        <f>C360*G360</f>
        <v>63396.945997000003</v>
      </c>
    </row>
    <row r="361" spans="1:9" x14ac:dyDescent="0.25">
      <c r="A361" t="s">
        <v>14</v>
      </c>
      <c r="B361" s="1">
        <v>35.9</v>
      </c>
      <c r="C361" s="1">
        <v>35.909999999999997</v>
      </c>
      <c r="D361" s="2" t="s">
        <v>66</v>
      </c>
      <c r="E361" s="8">
        <v>1764.9262000000001</v>
      </c>
      <c r="F361" s="8">
        <f>F351</f>
        <v>0.2</v>
      </c>
      <c r="G361" s="8">
        <f>E361+F361</f>
        <v>1765.1262000000002</v>
      </c>
      <c r="H361" s="3">
        <f>B361*G361</f>
        <v>63368.030580000006</v>
      </c>
      <c r="I361" s="3">
        <f>C361*G361</f>
        <v>63385.681841999998</v>
      </c>
    </row>
    <row r="362" spans="1:9" x14ac:dyDescent="0.25">
      <c r="A362" t="s">
        <v>4</v>
      </c>
      <c r="B362" s="1">
        <v>21.03</v>
      </c>
      <c r="C362" s="1">
        <v>21.04</v>
      </c>
      <c r="D362" s="2" t="s">
        <v>67</v>
      </c>
      <c r="E362" s="8">
        <v>3014.7584999999999</v>
      </c>
      <c r="F362" s="8">
        <f>F352</f>
        <v>0</v>
      </c>
      <c r="G362" s="8">
        <f>E362+F362</f>
        <v>3014.7584999999999</v>
      </c>
      <c r="H362" s="3">
        <f>B362*G362</f>
        <v>63400.371254999998</v>
      </c>
      <c r="I362" s="3">
        <f>C362*G362</f>
        <v>63430.518839999997</v>
      </c>
    </row>
    <row r="363" spans="1:9" x14ac:dyDescent="0.25">
      <c r="A363" t="s">
        <v>6</v>
      </c>
      <c r="B363" s="1">
        <v>34.43</v>
      </c>
      <c r="C363" s="1">
        <v>34.44</v>
      </c>
      <c r="D363" s="2" t="s">
        <v>67</v>
      </c>
      <c r="E363" s="8">
        <v>1841.7701</v>
      </c>
      <c r="F363" s="8">
        <f>F353</f>
        <v>-0.1</v>
      </c>
      <c r="G363" s="8">
        <f>E363+F363</f>
        <v>1841.6701</v>
      </c>
      <c r="H363" s="3">
        <f>B363*G363</f>
        <v>63408.701543000003</v>
      </c>
      <c r="I363" s="3">
        <f>C363*G363</f>
        <v>63427.118243999998</v>
      </c>
    </row>
    <row r="364" spans="1:9" x14ac:dyDescent="0.25">
      <c r="A364" t="s">
        <v>7</v>
      </c>
      <c r="B364" s="1">
        <v>17.88</v>
      </c>
      <c r="C364" s="1">
        <v>17.89</v>
      </c>
      <c r="D364" s="2" t="s">
        <v>67</v>
      </c>
      <c r="E364" s="8">
        <v>3546.3191999999999</v>
      </c>
      <c r="F364" s="8">
        <f>F354</f>
        <v>0</v>
      </c>
      <c r="G364" s="8">
        <f>E364+F364</f>
        <v>3546.3191999999999</v>
      </c>
      <c r="H364" s="3">
        <f>B364*G364</f>
        <v>63408.187295999996</v>
      </c>
      <c r="I364" s="3">
        <f>C364*G364</f>
        <v>63443.650487999999</v>
      </c>
    </row>
    <row r="365" spans="1:9" x14ac:dyDescent="0.25">
      <c r="A365" t="s">
        <v>8</v>
      </c>
      <c r="B365" s="1">
        <v>28.05</v>
      </c>
      <c r="C365" s="1">
        <v>28.06</v>
      </c>
      <c r="D365" s="2" t="s">
        <v>67</v>
      </c>
      <c r="E365" s="8">
        <v>2261.2093</v>
      </c>
      <c r="F365" s="8">
        <f>F355</f>
        <v>-0.2</v>
      </c>
      <c r="G365" s="8">
        <f>E365+F365</f>
        <v>2261.0093000000002</v>
      </c>
      <c r="H365" s="3">
        <f>B365*G365</f>
        <v>63421.310865000007</v>
      </c>
      <c r="I365" s="3">
        <f>C365*G365</f>
        <v>63443.920958000002</v>
      </c>
    </row>
    <row r="366" spans="1:9" x14ac:dyDescent="0.25">
      <c r="A366" t="s">
        <v>9</v>
      </c>
      <c r="B366" s="1">
        <v>67.03</v>
      </c>
      <c r="C366" s="1">
        <v>67.14</v>
      </c>
      <c r="D366" s="2" t="s">
        <v>67</v>
      </c>
      <c r="E366" s="8">
        <v>946.06489999999997</v>
      </c>
      <c r="F366" s="8">
        <f>F356</f>
        <v>0</v>
      </c>
      <c r="G366" s="8">
        <f>E366+F366</f>
        <v>946.06489999999997</v>
      </c>
      <c r="H366" s="3">
        <f>B366*G366</f>
        <v>63414.730247</v>
      </c>
      <c r="I366" s="3">
        <f>C366*G366</f>
        <v>63518.797385999998</v>
      </c>
    </row>
    <row r="367" spans="1:9" x14ac:dyDescent="0.25">
      <c r="A367" t="s">
        <v>10</v>
      </c>
      <c r="B367" s="1">
        <v>36.65</v>
      </c>
      <c r="C367" s="1">
        <v>36.659999999999997</v>
      </c>
      <c r="D367" s="2" t="s">
        <v>67</v>
      </c>
      <c r="E367" s="8">
        <v>1730.0188000000001</v>
      </c>
      <c r="F367" s="8">
        <f>F357</f>
        <v>0.2</v>
      </c>
      <c r="G367" s="8">
        <f>E367+F367</f>
        <v>1730.2188000000001</v>
      </c>
      <c r="H367" s="3">
        <f>B367*G367</f>
        <v>63412.51902</v>
      </c>
      <c r="I367" s="3">
        <f>C367*G367</f>
        <v>63429.821208000001</v>
      </c>
    </row>
    <row r="368" spans="1:9" x14ac:dyDescent="0.25">
      <c r="A368" t="s">
        <v>11</v>
      </c>
      <c r="B368" s="1">
        <v>55.21</v>
      </c>
      <c r="C368" s="1">
        <v>55.22</v>
      </c>
      <c r="D368" s="2" t="s">
        <v>67</v>
      </c>
      <c r="E368" s="8">
        <v>1148.7663</v>
      </c>
      <c r="F368" s="8">
        <f>F358</f>
        <v>0.05</v>
      </c>
      <c r="G368" s="8">
        <f>E368+F368</f>
        <v>1148.8163</v>
      </c>
      <c r="H368" s="3">
        <f>B368*G368</f>
        <v>63426.147922999997</v>
      </c>
      <c r="I368" s="3">
        <f>C368*G368</f>
        <v>63437.636085999999</v>
      </c>
    </row>
    <row r="369" spans="1:9" x14ac:dyDescent="0.25">
      <c r="A369" t="s">
        <v>12</v>
      </c>
      <c r="B369" s="1">
        <v>49.22</v>
      </c>
      <c r="C369" s="1">
        <v>49.23</v>
      </c>
      <c r="D369" s="2" t="s">
        <v>67</v>
      </c>
      <c r="E369" s="8">
        <v>1288.3785</v>
      </c>
      <c r="F369" s="8">
        <f>F359</f>
        <v>0</v>
      </c>
      <c r="G369" s="8">
        <f>E369+F369</f>
        <v>1288.3785</v>
      </c>
      <c r="H369" s="3">
        <f>B369*G369</f>
        <v>63413.98977</v>
      </c>
      <c r="I369" s="3">
        <f>C369*G369</f>
        <v>63426.873554999998</v>
      </c>
    </row>
    <row r="370" spans="1:9" x14ac:dyDescent="0.25">
      <c r="A370" t="s">
        <v>13</v>
      </c>
      <c r="B370" s="1">
        <v>17.93</v>
      </c>
      <c r="C370" s="1">
        <v>17.940000000000001</v>
      </c>
      <c r="D370" s="2" t="s">
        <v>67</v>
      </c>
      <c r="E370" s="8">
        <v>3535.8029000000001</v>
      </c>
      <c r="F370" s="8">
        <f>F360</f>
        <v>0</v>
      </c>
      <c r="G370" s="8">
        <f>E370+F370</f>
        <v>3535.8029000000001</v>
      </c>
      <c r="H370" s="3">
        <f>B370*G370</f>
        <v>63396.945997000003</v>
      </c>
      <c r="I370" s="3">
        <f>C370*G370</f>
        <v>63432.304026000005</v>
      </c>
    </row>
    <row r="371" spans="1:9" x14ac:dyDescent="0.25">
      <c r="A371" t="s">
        <v>14</v>
      </c>
      <c r="B371" s="1">
        <v>35.93</v>
      </c>
      <c r="C371" s="1">
        <v>35.94</v>
      </c>
      <c r="D371" s="2" t="s">
        <v>67</v>
      </c>
      <c r="E371" s="8">
        <v>1764.9262000000001</v>
      </c>
      <c r="F371" s="8">
        <f>F361</f>
        <v>0.2</v>
      </c>
      <c r="G371" s="8">
        <f>E371+F371</f>
        <v>1765.1262000000002</v>
      </c>
      <c r="H371" s="3">
        <f>B371*G371</f>
        <v>63420.984366000004</v>
      </c>
      <c r="I371" s="3">
        <f>C371*G371</f>
        <v>63438.635628000004</v>
      </c>
    </row>
    <row r="372" spans="1:9" x14ac:dyDescent="0.25">
      <c r="A372" t="s">
        <v>4</v>
      </c>
      <c r="B372" s="1">
        <v>21.03</v>
      </c>
      <c r="C372" s="1">
        <v>21.04</v>
      </c>
      <c r="D372" s="2" t="s">
        <v>68</v>
      </c>
      <c r="E372" s="8">
        <v>3014.7584999999999</v>
      </c>
      <c r="F372" s="8">
        <f>F362</f>
        <v>0</v>
      </c>
      <c r="G372" s="8">
        <f>E372+F372</f>
        <v>3014.7584999999999</v>
      </c>
      <c r="H372" s="3">
        <f>B372*G372</f>
        <v>63400.371254999998</v>
      </c>
      <c r="I372" s="3">
        <f>C372*G372</f>
        <v>63430.518839999997</v>
      </c>
    </row>
    <row r="373" spans="1:9" x14ac:dyDescent="0.25">
      <c r="A373" t="s">
        <v>6</v>
      </c>
      <c r="B373" s="1">
        <v>34.43</v>
      </c>
      <c r="C373" s="1">
        <v>34.44</v>
      </c>
      <c r="D373" s="2" t="s">
        <v>68</v>
      </c>
      <c r="E373" s="8">
        <v>1841.7701</v>
      </c>
      <c r="F373" s="8">
        <f>F363</f>
        <v>-0.1</v>
      </c>
      <c r="G373" s="8">
        <f>E373+F373</f>
        <v>1841.6701</v>
      </c>
      <c r="H373" s="3">
        <f>B373*G373</f>
        <v>63408.701543000003</v>
      </c>
      <c r="I373" s="3">
        <f>C373*G373</f>
        <v>63427.118243999998</v>
      </c>
    </row>
    <row r="374" spans="1:9" x14ac:dyDescent="0.25">
      <c r="A374" t="s">
        <v>7</v>
      </c>
      <c r="B374" s="1">
        <v>17.88</v>
      </c>
      <c r="C374" s="1">
        <v>17.89</v>
      </c>
      <c r="D374" s="2" t="s">
        <v>68</v>
      </c>
      <c r="E374" s="8">
        <v>3546.3191999999999</v>
      </c>
      <c r="F374" s="8">
        <f>F364</f>
        <v>0</v>
      </c>
      <c r="G374" s="8">
        <f>E374+F374</f>
        <v>3546.3191999999999</v>
      </c>
      <c r="H374" s="3">
        <f>B374*G374</f>
        <v>63408.187295999996</v>
      </c>
      <c r="I374" s="3">
        <f>C374*G374</f>
        <v>63443.650487999999</v>
      </c>
    </row>
    <row r="375" spans="1:9" x14ac:dyDescent="0.25">
      <c r="A375" t="s">
        <v>8</v>
      </c>
      <c r="B375" s="1">
        <v>28.05</v>
      </c>
      <c r="C375" s="1">
        <v>28.06</v>
      </c>
      <c r="D375" s="2" t="s">
        <v>68</v>
      </c>
      <c r="E375" s="8">
        <v>2261.2093</v>
      </c>
      <c r="F375" s="8">
        <f>F365</f>
        <v>-0.2</v>
      </c>
      <c r="G375" s="8">
        <f>E375+F375</f>
        <v>2261.0093000000002</v>
      </c>
      <c r="H375" s="3">
        <f>B375*G375</f>
        <v>63421.310865000007</v>
      </c>
      <c r="I375" s="3">
        <f>C375*G375</f>
        <v>63443.920958000002</v>
      </c>
    </row>
    <row r="376" spans="1:9" x14ac:dyDescent="0.25">
      <c r="A376" t="s">
        <v>9</v>
      </c>
      <c r="B376" s="1">
        <v>67.010000000000005</v>
      </c>
      <c r="C376" s="1">
        <v>67.150000000000006</v>
      </c>
      <c r="D376" s="2" t="s">
        <v>68</v>
      </c>
      <c r="E376" s="8">
        <v>946.06489999999997</v>
      </c>
      <c r="F376" s="8">
        <f>F366</f>
        <v>0</v>
      </c>
      <c r="G376" s="8">
        <f>E376+F376</f>
        <v>946.06489999999997</v>
      </c>
      <c r="H376" s="3">
        <f>B376*G376</f>
        <v>63395.808949000006</v>
      </c>
      <c r="I376" s="3">
        <f>C376*G376</f>
        <v>63528.258035000006</v>
      </c>
    </row>
    <row r="377" spans="1:9" x14ac:dyDescent="0.25">
      <c r="A377" t="s">
        <v>10</v>
      </c>
      <c r="B377" s="1">
        <v>36.64</v>
      </c>
      <c r="C377" s="1">
        <v>36.65</v>
      </c>
      <c r="D377" s="2" t="s">
        <v>68</v>
      </c>
      <c r="E377" s="8">
        <v>1730.0188000000001</v>
      </c>
      <c r="F377" s="8">
        <f>F367</f>
        <v>0.2</v>
      </c>
      <c r="G377" s="8">
        <f>E377+F377</f>
        <v>1730.2188000000001</v>
      </c>
      <c r="H377" s="3">
        <f>B377*G377</f>
        <v>63395.216832000006</v>
      </c>
      <c r="I377" s="3">
        <f>C377*G377</f>
        <v>63412.51902</v>
      </c>
    </row>
    <row r="378" spans="1:9" x14ac:dyDescent="0.25">
      <c r="A378" t="s">
        <v>11</v>
      </c>
      <c r="B378" s="1">
        <v>55.21</v>
      </c>
      <c r="C378" s="1">
        <v>55.22</v>
      </c>
      <c r="D378" s="2" t="s">
        <v>68</v>
      </c>
      <c r="E378" s="8">
        <v>1148.7663</v>
      </c>
      <c r="F378" s="8">
        <f>F368</f>
        <v>0.05</v>
      </c>
      <c r="G378" s="8">
        <f>E378+F378</f>
        <v>1148.8163</v>
      </c>
      <c r="H378" s="3">
        <f>B378*G378</f>
        <v>63426.147922999997</v>
      </c>
      <c r="I378" s="3">
        <f>C378*G378</f>
        <v>63437.636085999999</v>
      </c>
    </row>
    <row r="379" spans="1:9" x14ac:dyDescent="0.25">
      <c r="A379" t="s">
        <v>12</v>
      </c>
      <c r="B379" s="1">
        <v>49.21</v>
      </c>
      <c r="C379" s="1">
        <v>49.22</v>
      </c>
      <c r="D379" s="2" t="s">
        <v>68</v>
      </c>
      <c r="E379" s="8">
        <v>1288.3785</v>
      </c>
      <c r="F379" s="8">
        <f>F369</f>
        <v>0</v>
      </c>
      <c r="G379" s="8">
        <f>E379+F379</f>
        <v>1288.3785</v>
      </c>
      <c r="H379" s="3">
        <f>B379*G379</f>
        <v>63401.105985000002</v>
      </c>
      <c r="I379" s="3">
        <f>C379*G379</f>
        <v>63413.98977</v>
      </c>
    </row>
    <row r="380" spans="1:9" x14ac:dyDescent="0.25">
      <c r="A380" t="s">
        <v>13</v>
      </c>
      <c r="B380" s="1">
        <v>17.93</v>
      </c>
      <c r="C380" s="1">
        <v>17.940000000000001</v>
      </c>
      <c r="D380" s="2" t="s">
        <v>68</v>
      </c>
      <c r="E380" s="8">
        <v>3535.8029000000001</v>
      </c>
      <c r="F380" s="8">
        <f>F370</f>
        <v>0</v>
      </c>
      <c r="G380" s="8">
        <f>E380+F380</f>
        <v>3535.8029000000001</v>
      </c>
      <c r="H380" s="3">
        <f>B380*G380</f>
        <v>63396.945997000003</v>
      </c>
      <c r="I380" s="3">
        <f>C380*G380</f>
        <v>63432.304026000005</v>
      </c>
    </row>
    <row r="381" spans="1:9" x14ac:dyDescent="0.25">
      <c r="A381" t="s">
        <v>14</v>
      </c>
      <c r="B381" s="1">
        <v>35.92</v>
      </c>
      <c r="C381" s="1">
        <v>35.93</v>
      </c>
      <c r="D381" s="2" t="s">
        <v>68</v>
      </c>
      <c r="E381" s="8">
        <v>1764.9262000000001</v>
      </c>
      <c r="F381" s="8">
        <f>F371</f>
        <v>0.2</v>
      </c>
      <c r="G381" s="8">
        <f>E381+F381</f>
        <v>1765.1262000000002</v>
      </c>
      <c r="H381" s="3">
        <f>B381*G381</f>
        <v>63403.333104000012</v>
      </c>
      <c r="I381" s="3">
        <f>C381*G381</f>
        <v>63420.984366000004</v>
      </c>
    </row>
    <row r="382" spans="1:9" x14ac:dyDescent="0.25">
      <c r="A382" t="s">
        <v>4</v>
      </c>
      <c r="B382" s="1">
        <v>21.02</v>
      </c>
      <c r="C382" s="1">
        <v>21.03</v>
      </c>
      <c r="D382" s="2" t="s">
        <v>69</v>
      </c>
      <c r="E382" s="8">
        <v>3014.7584999999999</v>
      </c>
      <c r="F382" s="8">
        <f>F372</f>
        <v>0</v>
      </c>
      <c r="G382" s="8">
        <f>E382+F382</f>
        <v>3014.7584999999999</v>
      </c>
      <c r="H382" s="3">
        <f>B382*G382</f>
        <v>63370.223669999999</v>
      </c>
      <c r="I382" s="3">
        <f>C382*G382</f>
        <v>63400.371254999998</v>
      </c>
    </row>
    <row r="383" spans="1:9" x14ac:dyDescent="0.25">
      <c r="A383" t="s">
        <v>6</v>
      </c>
      <c r="B383" s="1">
        <v>34.409999999999997</v>
      </c>
      <c r="C383" s="1">
        <v>34.42</v>
      </c>
      <c r="D383" s="2" t="s">
        <v>69</v>
      </c>
      <c r="E383" s="8">
        <v>1841.7701</v>
      </c>
      <c r="F383" s="8">
        <f>F373</f>
        <v>-0.1</v>
      </c>
      <c r="G383" s="8">
        <f>E383+F383</f>
        <v>1841.6701</v>
      </c>
      <c r="H383" s="3">
        <f>B383*G383</f>
        <v>63371.868140999992</v>
      </c>
      <c r="I383" s="3">
        <f>C383*G383</f>
        <v>63390.284842000008</v>
      </c>
    </row>
    <row r="384" spans="1:9" x14ac:dyDescent="0.25">
      <c r="A384" t="s">
        <v>7</v>
      </c>
      <c r="B384" s="1">
        <v>17.87</v>
      </c>
      <c r="C384" s="1">
        <v>17.88</v>
      </c>
      <c r="D384" s="2" t="s">
        <v>69</v>
      </c>
      <c r="E384" s="8">
        <v>3546.3191999999999</v>
      </c>
      <c r="F384" s="8">
        <f>F374</f>
        <v>0</v>
      </c>
      <c r="G384" s="8">
        <f>E384+F384</f>
        <v>3546.3191999999999</v>
      </c>
      <c r="H384" s="3">
        <f>B384*G384</f>
        <v>63372.724104000001</v>
      </c>
      <c r="I384" s="3">
        <f>C384*G384</f>
        <v>63408.187295999996</v>
      </c>
    </row>
    <row r="385" spans="1:9" x14ac:dyDescent="0.25">
      <c r="A385" t="s">
        <v>8</v>
      </c>
      <c r="B385" s="1">
        <v>28.03</v>
      </c>
      <c r="C385" s="1">
        <v>28.04</v>
      </c>
      <c r="D385" s="2" t="s">
        <v>69</v>
      </c>
      <c r="E385" s="8">
        <v>2261.2093</v>
      </c>
      <c r="F385" s="8">
        <f>F375</f>
        <v>-0.2</v>
      </c>
      <c r="G385" s="8">
        <f>E385+F385</f>
        <v>2261.0093000000002</v>
      </c>
      <c r="H385" s="3">
        <f>B385*G385</f>
        <v>63376.090679000008</v>
      </c>
      <c r="I385" s="3">
        <f>C385*G385</f>
        <v>63398.700772000004</v>
      </c>
    </row>
    <row r="386" spans="1:9" x14ac:dyDescent="0.25">
      <c r="A386" t="s">
        <v>9</v>
      </c>
      <c r="B386" s="1">
        <v>66.98</v>
      </c>
      <c r="C386" s="1">
        <v>67.09</v>
      </c>
      <c r="D386" s="2" t="s">
        <v>69</v>
      </c>
      <c r="E386" s="8">
        <v>946.06489999999997</v>
      </c>
      <c r="F386" s="8">
        <f>F376</f>
        <v>0</v>
      </c>
      <c r="G386" s="8">
        <f>E386+F386</f>
        <v>946.06489999999997</v>
      </c>
      <c r="H386" s="3">
        <f>B386*G386</f>
        <v>63367.427002000004</v>
      </c>
      <c r="I386" s="3">
        <f>C386*G386</f>
        <v>63471.494141000003</v>
      </c>
    </row>
    <row r="387" spans="1:9" x14ac:dyDescent="0.25">
      <c r="A387" t="s">
        <v>10</v>
      </c>
      <c r="B387" s="1">
        <v>36.630000000000003</v>
      </c>
      <c r="C387" s="1">
        <v>36.64</v>
      </c>
      <c r="D387" s="2" t="s">
        <v>69</v>
      </c>
      <c r="E387" s="8">
        <v>1730.0188000000001</v>
      </c>
      <c r="F387" s="8">
        <f>F377</f>
        <v>0.2</v>
      </c>
      <c r="G387" s="8">
        <f>E387+F387</f>
        <v>1730.2188000000001</v>
      </c>
      <c r="H387" s="3">
        <f>B387*G387</f>
        <v>63377.914644000011</v>
      </c>
      <c r="I387" s="3">
        <f>C387*G387</f>
        <v>63395.216832000006</v>
      </c>
    </row>
    <row r="388" spans="1:9" x14ac:dyDescent="0.25">
      <c r="A388" t="s">
        <v>11</v>
      </c>
      <c r="B388" s="1">
        <v>55.18</v>
      </c>
      <c r="C388" s="1">
        <v>55.19</v>
      </c>
      <c r="D388" s="2" t="s">
        <v>69</v>
      </c>
      <c r="E388" s="8">
        <v>1148.7663</v>
      </c>
      <c r="F388" s="8">
        <f>F378</f>
        <v>0.05</v>
      </c>
      <c r="G388" s="8">
        <f>E388+F388</f>
        <v>1148.8163</v>
      </c>
      <c r="H388" s="3">
        <f>B388*G388</f>
        <v>63391.683433999999</v>
      </c>
      <c r="I388" s="3">
        <f>C388*G388</f>
        <v>63403.171596999993</v>
      </c>
    </row>
    <row r="389" spans="1:9" x14ac:dyDescent="0.25">
      <c r="A389" t="s">
        <v>12</v>
      </c>
      <c r="B389" s="1">
        <v>49.19</v>
      </c>
      <c r="C389" s="1">
        <v>49.2</v>
      </c>
      <c r="D389" s="2" t="s">
        <v>69</v>
      </c>
      <c r="E389" s="8">
        <v>1288.3785</v>
      </c>
      <c r="F389" s="8">
        <f>F379</f>
        <v>0</v>
      </c>
      <c r="G389" s="8">
        <f>E389+F389</f>
        <v>1288.3785</v>
      </c>
      <c r="H389" s="3">
        <f>B389*G389</f>
        <v>63375.338414999998</v>
      </c>
      <c r="I389" s="3">
        <f>C389*G389</f>
        <v>63388.222200000004</v>
      </c>
    </row>
    <row r="390" spans="1:9" x14ac:dyDescent="0.25">
      <c r="A390" t="s">
        <v>13</v>
      </c>
      <c r="B390" s="1">
        <v>17.93</v>
      </c>
      <c r="C390" s="1">
        <v>17.940000000000001</v>
      </c>
      <c r="D390" s="2" t="s">
        <v>69</v>
      </c>
      <c r="E390" s="8">
        <v>3535.8029000000001</v>
      </c>
      <c r="F390" s="8">
        <f>F380</f>
        <v>0</v>
      </c>
      <c r="G390" s="8">
        <f>E390+F390</f>
        <v>3535.8029000000001</v>
      </c>
      <c r="H390" s="3">
        <f>B390*G390</f>
        <v>63396.945997000003</v>
      </c>
      <c r="I390" s="3">
        <f>C390*G390</f>
        <v>63432.304026000005</v>
      </c>
    </row>
    <row r="391" spans="1:9" x14ac:dyDescent="0.25">
      <c r="A391" t="s">
        <v>14</v>
      </c>
      <c r="B391" s="1">
        <v>35.909999999999997</v>
      </c>
      <c r="C391" s="1">
        <v>35.92</v>
      </c>
      <c r="D391" s="2" t="s">
        <v>69</v>
      </c>
      <c r="E391" s="8">
        <v>1764.9262000000001</v>
      </c>
      <c r="F391" s="8">
        <f>F381</f>
        <v>0.2</v>
      </c>
      <c r="G391" s="8">
        <f>E391+F391</f>
        <v>1765.1262000000002</v>
      </c>
      <c r="H391" s="3">
        <f>B391*G391</f>
        <v>63385.681841999998</v>
      </c>
      <c r="I391" s="3">
        <f>C391*G391</f>
        <v>63403.333104000012</v>
      </c>
    </row>
    <row r="392" spans="1:9" x14ac:dyDescent="0.25">
      <c r="A392" t="s">
        <v>4</v>
      </c>
      <c r="B392" s="1">
        <v>21.09</v>
      </c>
      <c r="C392" s="1">
        <v>21.1</v>
      </c>
      <c r="D392" s="2" t="s">
        <v>70</v>
      </c>
      <c r="E392" s="8">
        <v>3014.7584999999999</v>
      </c>
      <c r="F392" s="8">
        <f>F382</f>
        <v>0</v>
      </c>
      <c r="G392" s="8">
        <f>E392+F392</f>
        <v>3014.7584999999999</v>
      </c>
      <c r="H392" s="3">
        <f>B392*G392</f>
        <v>63581.256764999998</v>
      </c>
      <c r="I392" s="3">
        <f>C392*G392</f>
        <v>63611.404350000004</v>
      </c>
    </row>
    <row r="393" spans="1:9" x14ac:dyDescent="0.25">
      <c r="A393" t="s">
        <v>6</v>
      </c>
      <c r="B393" s="1">
        <v>34.53</v>
      </c>
      <c r="C393" s="1">
        <v>34.54</v>
      </c>
      <c r="D393" s="2" t="s">
        <v>70</v>
      </c>
      <c r="E393" s="8">
        <v>1841.7701</v>
      </c>
      <c r="F393" s="8">
        <f>F383</f>
        <v>-0.1</v>
      </c>
      <c r="G393" s="8">
        <f>E393+F393</f>
        <v>1841.6701</v>
      </c>
      <c r="H393" s="3">
        <f>B393*G393</f>
        <v>63592.868553</v>
      </c>
      <c r="I393" s="3">
        <f>C393*G393</f>
        <v>63611.285254000002</v>
      </c>
    </row>
    <row r="394" spans="1:9" x14ac:dyDescent="0.25">
      <c r="A394" t="s">
        <v>7</v>
      </c>
      <c r="B394" s="1">
        <v>17.93</v>
      </c>
      <c r="C394" s="1">
        <v>17.940000000000001</v>
      </c>
      <c r="D394" s="2" t="s">
        <v>70</v>
      </c>
      <c r="E394" s="8">
        <v>3546.3191999999999</v>
      </c>
      <c r="F394" s="8">
        <f>F384</f>
        <v>0</v>
      </c>
      <c r="G394" s="8">
        <f>E394+F394</f>
        <v>3546.3191999999999</v>
      </c>
      <c r="H394" s="3">
        <f>B394*G394</f>
        <v>63585.503255999996</v>
      </c>
      <c r="I394" s="3">
        <f>C394*G394</f>
        <v>63620.966448000006</v>
      </c>
    </row>
    <row r="395" spans="1:9" x14ac:dyDescent="0.25">
      <c r="A395" t="s">
        <v>8</v>
      </c>
      <c r="B395" s="1">
        <v>28.12</v>
      </c>
      <c r="C395" s="1">
        <v>28.13</v>
      </c>
      <c r="D395" s="2" t="s">
        <v>70</v>
      </c>
      <c r="E395" s="8">
        <v>2261.2093</v>
      </c>
      <c r="F395" s="8">
        <f>F385</f>
        <v>-0.2</v>
      </c>
      <c r="G395" s="8">
        <f>E395+F395</f>
        <v>2261.0093000000002</v>
      </c>
      <c r="H395" s="3">
        <f>B395*G395</f>
        <v>63579.581516000006</v>
      </c>
      <c r="I395" s="3">
        <f>C395*G395</f>
        <v>63602.191609000001</v>
      </c>
    </row>
    <row r="396" spans="1:9" x14ac:dyDescent="0.25">
      <c r="A396" t="s">
        <v>9</v>
      </c>
      <c r="B396" s="1">
        <v>67.180000000000007</v>
      </c>
      <c r="C396" s="1">
        <v>67.290000000000006</v>
      </c>
      <c r="D396" s="2" t="s">
        <v>70</v>
      </c>
      <c r="E396" s="8">
        <v>946.06489999999997</v>
      </c>
      <c r="F396" s="8">
        <f>F386</f>
        <v>0</v>
      </c>
      <c r="G396" s="8">
        <f>E396+F396</f>
        <v>946.06489999999997</v>
      </c>
      <c r="H396" s="3">
        <f>B396*G396</f>
        <v>63556.639982000001</v>
      </c>
      <c r="I396" s="3">
        <f>C396*G396</f>
        <v>63660.707121000007</v>
      </c>
    </row>
    <row r="397" spans="1:9" x14ac:dyDescent="0.25">
      <c r="A397" t="s">
        <v>10</v>
      </c>
      <c r="B397" s="1">
        <v>36.75</v>
      </c>
      <c r="C397" s="1">
        <v>36.76</v>
      </c>
      <c r="D397" s="2" t="s">
        <v>70</v>
      </c>
      <c r="E397" s="8">
        <v>1730.0188000000001</v>
      </c>
      <c r="F397" s="8">
        <f>F387</f>
        <v>0.2</v>
      </c>
      <c r="G397" s="8">
        <f>E397+F397</f>
        <v>1730.2188000000001</v>
      </c>
      <c r="H397" s="3">
        <f>B397*G397</f>
        <v>63585.540900000007</v>
      </c>
      <c r="I397" s="3">
        <f>C397*G397</f>
        <v>63602.843088000001</v>
      </c>
    </row>
    <row r="398" spans="1:9" x14ac:dyDescent="0.25">
      <c r="A398" t="s">
        <v>11</v>
      </c>
      <c r="B398" s="1">
        <v>55.36</v>
      </c>
      <c r="C398" s="1">
        <v>55.37</v>
      </c>
      <c r="D398" s="2" t="s">
        <v>70</v>
      </c>
      <c r="E398" s="8">
        <v>1148.7663</v>
      </c>
      <c r="F398" s="8">
        <f>F388</f>
        <v>0.05</v>
      </c>
      <c r="G398" s="8">
        <f>E398+F398</f>
        <v>1148.8163</v>
      </c>
      <c r="H398" s="3">
        <f>B398*G398</f>
        <v>63598.470367999995</v>
      </c>
      <c r="I398" s="3">
        <f>C398*G398</f>
        <v>63609.958530999997</v>
      </c>
    </row>
    <row r="399" spans="1:9" x14ac:dyDescent="0.25">
      <c r="A399" t="s">
        <v>12</v>
      </c>
      <c r="B399" s="1">
        <v>49.35</v>
      </c>
      <c r="C399" s="1">
        <v>49.36</v>
      </c>
      <c r="D399" s="2" t="s">
        <v>70</v>
      </c>
      <c r="E399" s="8">
        <v>1288.3785</v>
      </c>
      <c r="F399" s="8">
        <f>F389</f>
        <v>0</v>
      </c>
      <c r="G399" s="8">
        <f>E399+F399</f>
        <v>1288.3785</v>
      </c>
      <c r="H399" s="3">
        <f>B399*G399</f>
        <v>63581.478975000005</v>
      </c>
      <c r="I399" s="3">
        <f>C399*G399</f>
        <v>63594.362760000004</v>
      </c>
    </row>
    <row r="400" spans="1:9" x14ac:dyDescent="0.25">
      <c r="A400" t="s">
        <v>13</v>
      </c>
      <c r="B400" s="1">
        <v>17.98</v>
      </c>
      <c r="C400" s="1">
        <v>17.989999999999998</v>
      </c>
      <c r="D400" s="2" t="s">
        <v>70</v>
      </c>
      <c r="E400" s="8">
        <v>3535.8029000000001</v>
      </c>
      <c r="F400" s="8">
        <f>F390</f>
        <v>0</v>
      </c>
      <c r="G400" s="8">
        <f>E400+F400</f>
        <v>3535.8029000000001</v>
      </c>
      <c r="H400" s="3">
        <f>B400*G400</f>
        <v>63573.736142000002</v>
      </c>
      <c r="I400" s="3">
        <f>C400*G400</f>
        <v>63609.094170999997</v>
      </c>
    </row>
    <row r="401" spans="1:9" x14ac:dyDescent="0.25">
      <c r="A401" t="s">
        <v>14</v>
      </c>
      <c r="B401" s="1">
        <v>36.03</v>
      </c>
      <c r="C401" s="1">
        <v>36.04</v>
      </c>
      <c r="D401" s="2" t="s">
        <v>70</v>
      </c>
      <c r="E401" s="8">
        <v>1764.9262000000001</v>
      </c>
      <c r="F401" s="8">
        <f>F391</f>
        <v>0.2</v>
      </c>
      <c r="G401" s="8">
        <f>E401+F401</f>
        <v>1765.1262000000002</v>
      </c>
      <c r="H401" s="3">
        <f>B401*G401</f>
        <v>63597.496986000006</v>
      </c>
      <c r="I401" s="3">
        <f>C401*G401</f>
        <v>63615.148248000005</v>
      </c>
    </row>
    <row r="402" spans="1:9" x14ac:dyDescent="0.25">
      <c r="A402" t="s">
        <v>4</v>
      </c>
      <c r="B402" s="1">
        <v>21.12</v>
      </c>
      <c r="C402" s="1">
        <v>21.13</v>
      </c>
      <c r="D402" s="2" t="s">
        <v>71</v>
      </c>
      <c r="E402" s="8">
        <v>3014.7584999999999</v>
      </c>
      <c r="F402" s="8">
        <f>F392</f>
        <v>0</v>
      </c>
      <c r="G402" s="8">
        <f>E402+F402</f>
        <v>3014.7584999999999</v>
      </c>
      <c r="H402" s="3">
        <f>B402*G402</f>
        <v>63671.699520000002</v>
      </c>
      <c r="I402" s="3">
        <f>C402*G402</f>
        <v>63701.847104999993</v>
      </c>
    </row>
    <row r="403" spans="1:9" x14ac:dyDescent="0.25">
      <c r="A403" t="s">
        <v>6</v>
      </c>
      <c r="B403" s="1">
        <v>34.58</v>
      </c>
      <c r="C403" s="1">
        <v>34.590000000000003</v>
      </c>
      <c r="D403" s="2" t="s">
        <v>71</v>
      </c>
      <c r="E403" s="8">
        <v>1841.7701</v>
      </c>
      <c r="F403" s="8">
        <f>F393</f>
        <v>-0.1</v>
      </c>
      <c r="G403" s="8">
        <f>E403+F403</f>
        <v>1841.6701</v>
      </c>
      <c r="H403" s="3">
        <f>B403*G403</f>
        <v>63684.952057999995</v>
      </c>
      <c r="I403" s="3">
        <f>C403*G403</f>
        <v>63703.368759000005</v>
      </c>
    </row>
    <row r="404" spans="1:9" x14ac:dyDescent="0.25">
      <c r="A404" t="s">
        <v>7</v>
      </c>
      <c r="B404" s="1">
        <v>17.95</v>
      </c>
      <c r="C404" s="1">
        <v>17.96</v>
      </c>
      <c r="D404" s="2" t="s">
        <v>71</v>
      </c>
      <c r="E404" s="8">
        <v>3546.3191999999999</v>
      </c>
      <c r="F404" s="8">
        <f>F394</f>
        <v>0</v>
      </c>
      <c r="G404" s="8">
        <f>E404+F404</f>
        <v>3546.3191999999999</v>
      </c>
      <c r="H404" s="3">
        <f>B404*G404</f>
        <v>63656.429639999995</v>
      </c>
      <c r="I404" s="3">
        <f>C404*G404</f>
        <v>63691.892832000005</v>
      </c>
    </row>
    <row r="405" spans="1:9" x14ac:dyDescent="0.25">
      <c r="A405" t="s">
        <v>8</v>
      </c>
      <c r="B405" s="1">
        <v>28.16</v>
      </c>
      <c r="C405" s="1">
        <v>28.17</v>
      </c>
      <c r="D405" s="2" t="s">
        <v>71</v>
      </c>
      <c r="E405" s="8">
        <v>2261.2093</v>
      </c>
      <c r="F405" s="8">
        <f>F395</f>
        <v>-0.2</v>
      </c>
      <c r="G405" s="8">
        <f>E405+F405</f>
        <v>2261.0093000000002</v>
      </c>
      <c r="H405" s="3">
        <f>B405*G405</f>
        <v>63670.021888000003</v>
      </c>
      <c r="I405" s="3">
        <f>C405*G405</f>
        <v>63692.631981000006</v>
      </c>
    </row>
    <row r="406" spans="1:9" x14ac:dyDescent="0.25">
      <c r="A406" t="s">
        <v>9</v>
      </c>
      <c r="B406" s="1">
        <v>67.27</v>
      </c>
      <c r="C406" s="1">
        <v>67.39</v>
      </c>
      <c r="D406" s="2" t="s">
        <v>71</v>
      </c>
      <c r="E406" s="8">
        <v>946.06489999999997</v>
      </c>
      <c r="F406" s="8">
        <f>F396</f>
        <v>0</v>
      </c>
      <c r="G406" s="8">
        <f>E406+F406</f>
        <v>946.06489999999997</v>
      </c>
      <c r="H406" s="3">
        <f>B406*G406</f>
        <v>63641.785822999991</v>
      </c>
      <c r="I406" s="3">
        <f>C406*G406</f>
        <v>63755.313610999998</v>
      </c>
    </row>
    <row r="407" spans="1:9" x14ac:dyDescent="0.25">
      <c r="A407" t="s">
        <v>10</v>
      </c>
      <c r="B407" s="1">
        <v>36.799999999999997</v>
      </c>
      <c r="C407" s="1">
        <v>36.82</v>
      </c>
      <c r="D407" s="2" t="s">
        <v>71</v>
      </c>
      <c r="E407" s="8">
        <v>1730.0188000000001</v>
      </c>
      <c r="F407" s="8">
        <f>F397</f>
        <v>0.2</v>
      </c>
      <c r="G407" s="8">
        <f>E407+F407</f>
        <v>1730.2188000000001</v>
      </c>
      <c r="H407" s="3">
        <f>B407*G407</f>
        <v>63672.05184</v>
      </c>
      <c r="I407" s="3">
        <f>C407*G407</f>
        <v>63706.656216000003</v>
      </c>
    </row>
    <row r="408" spans="1:9" x14ac:dyDescent="0.25">
      <c r="A408" t="s">
        <v>11</v>
      </c>
      <c r="B408" s="1">
        <v>55.44</v>
      </c>
      <c r="C408" s="1">
        <v>55.45</v>
      </c>
      <c r="D408" s="2" t="s">
        <v>71</v>
      </c>
      <c r="E408" s="8">
        <v>1148.7663</v>
      </c>
      <c r="F408" s="8">
        <f>F398</f>
        <v>0.05</v>
      </c>
      <c r="G408" s="8">
        <f>E408+F408</f>
        <v>1148.8163</v>
      </c>
      <c r="H408" s="3">
        <f>B408*G408</f>
        <v>63690.375671999995</v>
      </c>
      <c r="I408" s="3">
        <f>C408*G408</f>
        <v>63701.863835000004</v>
      </c>
    </row>
    <row r="409" spans="1:9" x14ac:dyDescent="0.25">
      <c r="A409" t="s">
        <v>12</v>
      </c>
      <c r="B409" s="1">
        <v>49.42</v>
      </c>
      <c r="C409" s="1">
        <v>49.43</v>
      </c>
      <c r="D409" s="2" t="s">
        <v>71</v>
      </c>
      <c r="E409" s="8">
        <v>1288.3785</v>
      </c>
      <c r="F409" s="8">
        <f>F399</f>
        <v>0</v>
      </c>
      <c r="G409" s="8">
        <f>E409+F409</f>
        <v>1288.3785</v>
      </c>
      <c r="H409" s="3">
        <f>B409*G409</f>
        <v>63671.665470000007</v>
      </c>
      <c r="I409" s="3">
        <f>C409*G409</f>
        <v>63684.549254999998</v>
      </c>
    </row>
    <row r="410" spans="1:9" x14ac:dyDescent="0.25">
      <c r="A410" t="s">
        <v>13</v>
      </c>
      <c r="B410" s="1">
        <v>18.010000000000002</v>
      </c>
      <c r="C410" s="1">
        <v>18.02</v>
      </c>
      <c r="D410" s="2" t="s">
        <v>71</v>
      </c>
      <c r="E410" s="8">
        <v>3535.8029000000001</v>
      </c>
      <c r="F410" s="8">
        <f>F400</f>
        <v>0</v>
      </c>
      <c r="G410" s="8">
        <f>E410+F410</f>
        <v>3535.8029000000001</v>
      </c>
      <c r="H410" s="3">
        <f>B410*G410</f>
        <v>63679.81022900001</v>
      </c>
      <c r="I410" s="3">
        <f>C410*G410</f>
        <v>63715.168257999998</v>
      </c>
    </row>
    <row r="411" spans="1:9" x14ac:dyDescent="0.25">
      <c r="A411" t="s">
        <v>14</v>
      </c>
      <c r="B411" s="1">
        <v>36.08</v>
      </c>
      <c r="C411" s="1">
        <v>36.090000000000003</v>
      </c>
      <c r="D411" s="2" t="s">
        <v>71</v>
      </c>
      <c r="E411" s="8">
        <v>1764.9262000000001</v>
      </c>
      <c r="F411" s="8">
        <f>F401</f>
        <v>0.2</v>
      </c>
      <c r="G411" s="8">
        <f>E411+F411</f>
        <v>1765.1262000000002</v>
      </c>
      <c r="H411" s="3">
        <f>B411*G411</f>
        <v>63685.753296000003</v>
      </c>
      <c r="I411" s="3">
        <f>C411*G411</f>
        <v>63703.404558000009</v>
      </c>
    </row>
    <row r="412" spans="1:9" x14ac:dyDescent="0.25">
      <c r="A412" t="s">
        <v>4</v>
      </c>
      <c r="B412" s="1">
        <v>21.09</v>
      </c>
      <c r="C412" s="1">
        <v>21.1</v>
      </c>
      <c r="D412" s="2" t="s">
        <v>72</v>
      </c>
      <c r="E412" s="8">
        <v>3014.7584999999999</v>
      </c>
      <c r="F412" s="8">
        <f>F402</f>
        <v>0</v>
      </c>
      <c r="G412" s="8">
        <f>E412+F412</f>
        <v>3014.7584999999999</v>
      </c>
      <c r="H412" s="3">
        <f>B412*G412</f>
        <v>63581.256764999998</v>
      </c>
      <c r="I412" s="3">
        <f>C412*G412</f>
        <v>63611.404350000004</v>
      </c>
    </row>
    <row r="413" spans="1:9" x14ac:dyDescent="0.25">
      <c r="A413" t="s">
        <v>6</v>
      </c>
      <c r="B413" s="1">
        <v>34.54</v>
      </c>
      <c r="C413" s="1">
        <v>34.54</v>
      </c>
      <c r="D413" s="2" t="s">
        <v>72</v>
      </c>
      <c r="E413" s="8">
        <v>1841.7701</v>
      </c>
      <c r="F413" s="8">
        <f>F403</f>
        <v>-0.1</v>
      </c>
      <c r="G413" s="8">
        <f>E413+F413</f>
        <v>1841.6701</v>
      </c>
      <c r="H413" s="3">
        <f>B413*G413</f>
        <v>63611.285254000002</v>
      </c>
      <c r="I413" s="3">
        <f>C413*G413</f>
        <v>63611.285254000002</v>
      </c>
    </row>
    <row r="414" spans="1:9" x14ac:dyDescent="0.25">
      <c r="A414" t="s">
        <v>7</v>
      </c>
      <c r="B414" s="1">
        <v>17.93</v>
      </c>
      <c r="C414" s="1">
        <v>17.940000000000001</v>
      </c>
      <c r="D414" s="2" t="s">
        <v>72</v>
      </c>
      <c r="E414" s="8">
        <v>3546.3191999999999</v>
      </c>
      <c r="F414" s="8">
        <f>F404</f>
        <v>0</v>
      </c>
      <c r="G414" s="8">
        <f>E414+F414</f>
        <v>3546.3191999999999</v>
      </c>
      <c r="H414" s="3">
        <f>B414*G414</f>
        <v>63585.503255999996</v>
      </c>
      <c r="I414" s="3">
        <f>C414*G414</f>
        <v>63620.966448000006</v>
      </c>
    </row>
    <row r="415" spans="1:9" x14ac:dyDescent="0.25">
      <c r="A415" t="s">
        <v>8</v>
      </c>
      <c r="B415" s="1">
        <v>28.13</v>
      </c>
      <c r="C415" s="1">
        <v>28.14</v>
      </c>
      <c r="D415" s="2" t="s">
        <v>72</v>
      </c>
      <c r="E415" s="8">
        <v>2261.2093</v>
      </c>
      <c r="F415" s="8">
        <f>F405</f>
        <v>-0.2</v>
      </c>
      <c r="G415" s="8">
        <f>E415+F415</f>
        <v>2261.0093000000002</v>
      </c>
      <c r="H415" s="3">
        <f>B415*G415</f>
        <v>63602.191609000001</v>
      </c>
      <c r="I415" s="3">
        <f>C415*G415</f>
        <v>63624.801702000004</v>
      </c>
    </row>
    <row r="416" spans="1:9" x14ac:dyDescent="0.25">
      <c r="A416" t="s">
        <v>9</v>
      </c>
      <c r="B416" s="1">
        <v>67.19</v>
      </c>
      <c r="C416" s="1">
        <v>67.31</v>
      </c>
      <c r="D416" s="2" t="s">
        <v>72</v>
      </c>
      <c r="E416" s="8">
        <v>946.06489999999997</v>
      </c>
      <c r="F416" s="8">
        <f>F406</f>
        <v>0</v>
      </c>
      <c r="G416" s="8">
        <f>E416+F416</f>
        <v>946.06489999999997</v>
      </c>
      <c r="H416" s="3">
        <f>B416*G416</f>
        <v>63566.100630999994</v>
      </c>
      <c r="I416" s="3">
        <f>C416*G416</f>
        <v>63679.628419000001</v>
      </c>
    </row>
    <row r="417" spans="1:9" x14ac:dyDescent="0.25">
      <c r="A417" t="s">
        <v>10</v>
      </c>
      <c r="B417" s="1">
        <v>36.76</v>
      </c>
      <c r="C417" s="1">
        <v>36.770000000000003</v>
      </c>
      <c r="D417" s="2" t="s">
        <v>72</v>
      </c>
      <c r="E417" s="8">
        <v>1730.0188000000001</v>
      </c>
      <c r="F417" s="8">
        <f>F407</f>
        <v>0.2</v>
      </c>
      <c r="G417" s="8">
        <f>E417+F417</f>
        <v>1730.2188000000001</v>
      </c>
      <c r="H417" s="3">
        <f>B417*G417</f>
        <v>63602.843088000001</v>
      </c>
      <c r="I417" s="3">
        <f>C417*G417</f>
        <v>63620.14527600001</v>
      </c>
    </row>
    <row r="418" spans="1:9" x14ac:dyDescent="0.25">
      <c r="A418" t="s">
        <v>11</v>
      </c>
      <c r="B418" s="1">
        <v>55.37</v>
      </c>
      <c r="C418" s="1">
        <v>55.38</v>
      </c>
      <c r="D418" s="2" t="s">
        <v>72</v>
      </c>
      <c r="E418" s="8">
        <v>1148.7663</v>
      </c>
      <c r="F418" s="8">
        <f>F408</f>
        <v>0.05</v>
      </c>
      <c r="G418" s="8">
        <f>E418+F418</f>
        <v>1148.8163</v>
      </c>
      <c r="H418" s="3">
        <f>B418*G418</f>
        <v>63609.958530999997</v>
      </c>
      <c r="I418" s="3">
        <f>C418*G418</f>
        <v>63621.446693999998</v>
      </c>
    </row>
    <row r="419" spans="1:9" x14ac:dyDescent="0.25">
      <c r="A419" t="s">
        <v>12</v>
      </c>
      <c r="B419" s="1">
        <v>49.36</v>
      </c>
      <c r="C419" s="1">
        <v>49.37</v>
      </c>
      <c r="D419" s="2" t="s">
        <v>72</v>
      </c>
      <c r="E419" s="8">
        <v>1288.3785</v>
      </c>
      <c r="F419" s="8">
        <f>F409</f>
        <v>0</v>
      </c>
      <c r="G419" s="8">
        <f>E419+F419</f>
        <v>1288.3785</v>
      </c>
      <c r="H419" s="3">
        <f>B419*G419</f>
        <v>63594.362760000004</v>
      </c>
      <c r="I419" s="3">
        <f>C419*G419</f>
        <v>63607.246545000002</v>
      </c>
    </row>
    <row r="420" spans="1:9" x14ac:dyDescent="0.25">
      <c r="A420" t="s">
        <v>13</v>
      </c>
      <c r="B420" s="1">
        <v>17.989999999999998</v>
      </c>
      <c r="C420" s="1">
        <v>18</v>
      </c>
      <c r="D420" s="2" t="s">
        <v>72</v>
      </c>
      <c r="E420" s="8">
        <v>3535.8029000000001</v>
      </c>
      <c r="F420" s="8">
        <f>F410</f>
        <v>0</v>
      </c>
      <c r="G420" s="8">
        <f>E420+F420</f>
        <v>3535.8029000000001</v>
      </c>
      <c r="H420" s="3">
        <f>B420*G420</f>
        <v>63609.094170999997</v>
      </c>
      <c r="I420" s="3">
        <f>C420*G420</f>
        <v>63644.4522</v>
      </c>
    </row>
    <row r="421" spans="1:9" x14ac:dyDescent="0.25">
      <c r="A421" t="s">
        <v>14</v>
      </c>
      <c r="B421" s="1">
        <v>36.04</v>
      </c>
      <c r="C421" s="1">
        <v>36.049999999999997</v>
      </c>
      <c r="D421" s="2" t="s">
        <v>72</v>
      </c>
      <c r="E421" s="8">
        <v>1764.9262000000001</v>
      </c>
      <c r="F421" s="8">
        <f>F411</f>
        <v>0.2</v>
      </c>
      <c r="G421" s="8">
        <f>E421+F421</f>
        <v>1765.1262000000002</v>
      </c>
      <c r="H421" s="3">
        <f>B421*G421</f>
        <v>63615.148248000005</v>
      </c>
      <c r="I421" s="3">
        <f>C421*G421</f>
        <v>63632.799509999997</v>
      </c>
    </row>
    <row r="422" spans="1:9" x14ac:dyDescent="0.25">
      <c r="A422" t="s">
        <v>4</v>
      </c>
      <c r="B422" s="1">
        <v>20.98</v>
      </c>
      <c r="C422" s="1">
        <v>20.99</v>
      </c>
      <c r="D422" s="2" t="s">
        <v>73</v>
      </c>
      <c r="E422" s="8">
        <v>3014.8103999999998</v>
      </c>
      <c r="F422" s="8">
        <f>F412</f>
        <v>0</v>
      </c>
      <c r="G422" s="8">
        <f>E422+F422</f>
        <v>3014.8103999999998</v>
      </c>
      <c r="H422" s="3">
        <f>B422*G422</f>
        <v>63250.722192000001</v>
      </c>
      <c r="I422" s="3">
        <f>C422*G422</f>
        <v>63280.870295999994</v>
      </c>
    </row>
    <row r="423" spans="1:9" x14ac:dyDescent="0.25">
      <c r="A423" t="s">
        <v>6</v>
      </c>
      <c r="B423" s="1">
        <v>34.35</v>
      </c>
      <c r="C423" s="1">
        <v>34.36</v>
      </c>
      <c r="D423" s="2" t="s">
        <v>73</v>
      </c>
      <c r="E423" s="8">
        <v>1842.0397</v>
      </c>
      <c r="F423" s="8">
        <f>F413</f>
        <v>-0.1</v>
      </c>
      <c r="G423" s="8">
        <f>E423+F423</f>
        <v>1841.9397000000001</v>
      </c>
      <c r="H423" s="3">
        <f>B423*G423</f>
        <v>63270.628695000007</v>
      </c>
      <c r="I423" s="3">
        <f>C423*G423</f>
        <v>63289.048092000005</v>
      </c>
    </row>
    <row r="424" spans="1:9" x14ac:dyDescent="0.25">
      <c r="A424" t="s">
        <v>7</v>
      </c>
      <c r="B424" s="1">
        <v>17.84</v>
      </c>
      <c r="C424" s="1">
        <v>17.850000000000001</v>
      </c>
      <c r="D424" s="2" t="s">
        <v>73</v>
      </c>
      <c r="E424" s="8">
        <v>3546.3921</v>
      </c>
      <c r="F424" s="8">
        <f>F414</f>
        <v>0</v>
      </c>
      <c r="G424" s="8">
        <f>E424+F424</f>
        <v>3546.3921</v>
      </c>
      <c r="H424" s="3">
        <f>B424*G424</f>
        <v>63267.635064000002</v>
      </c>
      <c r="I424" s="3">
        <f>C424*G424</f>
        <v>63303.098985000004</v>
      </c>
    </row>
    <row r="425" spans="1:9" x14ac:dyDescent="0.25">
      <c r="A425" t="s">
        <v>8</v>
      </c>
      <c r="B425" s="1">
        <v>27.98</v>
      </c>
      <c r="C425" s="1">
        <v>27.99</v>
      </c>
      <c r="D425" s="2" t="s">
        <v>73</v>
      </c>
      <c r="E425" s="8">
        <v>2261.2671999999998</v>
      </c>
      <c r="F425" s="8">
        <f>F415</f>
        <v>-0.2</v>
      </c>
      <c r="G425" s="8">
        <f>E425+F425</f>
        <v>2261.0672</v>
      </c>
      <c r="H425" s="3">
        <f>B425*G425</f>
        <v>63264.660256000003</v>
      </c>
      <c r="I425" s="3">
        <f>C425*G425</f>
        <v>63287.270927999998</v>
      </c>
    </row>
    <row r="426" spans="1:9" x14ac:dyDescent="0.25">
      <c r="A426" t="s">
        <v>9</v>
      </c>
      <c r="B426" s="1">
        <v>66.819999999999993</v>
      </c>
      <c r="C426" s="1">
        <v>66.959999999999994</v>
      </c>
      <c r="D426" s="2" t="s">
        <v>73</v>
      </c>
      <c r="E426" s="8">
        <v>946.08439999999996</v>
      </c>
      <c r="F426" s="8">
        <f>F416</f>
        <v>0</v>
      </c>
      <c r="G426" s="8">
        <f>E426+F426</f>
        <v>946.08439999999996</v>
      </c>
      <c r="H426" s="3">
        <f>B426*G426</f>
        <v>63217.359607999992</v>
      </c>
      <c r="I426" s="3">
        <f>C426*G426</f>
        <v>63349.811423999992</v>
      </c>
    </row>
    <row r="427" spans="1:9" x14ac:dyDescent="0.25">
      <c r="A427" t="s">
        <v>10</v>
      </c>
      <c r="B427" s="1">
        <v>36.56</v>
      </c>
      <c r="C427" s="1">
        <v>36.58</v>
      </c>
      <c r="D427" s="2" t="s">
        <v>73</v>
      </c>
      <c r="E427" s="8">
        <v>1730.0458000000001</v>
      </c>
      <c r="F427" s="8">
        <f>F417</f>
        <v>0.2</v>
      </c>
      <c r="G427" s="8">
        <f>E427+F427</f>
        <v>1730.2458000000001</v>
      </c>
      <c r="H427" s="3">
        <f>B427*G427</f>
        <v>63257.786448000006</v>
      </c>
      <c r="I427" s="3">
        <f>C427*G427</f>
        <v>63292.391364000003</v>
      </c>
    </row>
    <row r="428" spans="1:9" x14ac:dyDescent="0.25">
      <c r="A428" t="s">
        <v>11</v>
      </c>
      <c r="B428" s="1">
        <v>55.08</v>
      </c>
      <c r="C428" s="1">
        <v>55.09</v>
      </c>
      <c r="D428" s="2" t="s">
        <v>73</v>
      </c>
      <c r="E428" s="8">
        <v>1148.79</v>
      </c>
      <c r="F428" s="8">
        <f>F418</f>
        <v>0.05</v>
      </c>
      <c r="G428" s="8">
        <f>E428+F428</f>
        <v>1148.8399999999999</v>
      </c>
      <c r="H428" s="3">
        <f>B428*G428</f>
        <v>63278.107199999991</v>
      </c>
      <c r="I428" s="3">
        <f>C428*G428</f>
        <v>63289.595600000001</v>
      </c>
    </row>
    <row r="429" spans="1:9" x14ac:dyDescent="0.25">
      <c r="A429" t="s">
        <v>12</v>
      </c>
      <c r="B429" s="1">
        <v>49.1</v>
      </c>
      <c r="C429" s="1">
        <v>49.11</v>
      </c>
      <c r="D429" s="2" t="s">
        <v>73</v>
      </c>
      <c r="E429" s="8">
        <v>1288.5375000000001</v>
      </c>
      <c r="F429" s="8">
        <f>F419</f>
        <v>0</v>
      </c>
      <c r="G429" s="8">
        <f>E429+F429</f>
        <v>1288.5375000000001</v>
      </c>
      <c r="H429" s="3">
        <f>B429*G429</f>
        <v>63267.191250000011</v>
      </c>
      <c r="I429" s="3">
        <f>C429*G429</f>
        <v>63280.076625000009</v>
      </c>
    </row>
    <row r="430" spans="1:9" x14ac:dyDescent="0.25">
      <c r="A430" t="s">
        <v>13</v>
      </c>
      <c r="B430" s="1">
        <v>17.89</v>
      </c>
      <c r="C430" s="1">
        <v>17.899999999999999</v>
      </c>
      <c r="D430" s="2" t="s">
        <v>73</v>
      </c>
      <c r="E430" s="8">
        <v>3535.8029000000001</v>
      </c>
      <c r="F430" s="8">
        <f>F420</f>
        <v>0</v>
      </c>
      <c r="G430" s="8">
        <f>E430+F430</f>
        <v>3535.8029000000001</v>
      </c>
      <c r="H430" s="3">
        <f>B430*G430</f>
        <v>63255.513881000006</v>
      </c>
      <c r="I430" s="3">
        <f>C430*G430</f>
        <v>63290.871909999994</v>
      </c>
    </row>
    <row r="431" spans="1:9" x14ac:dyDescent="0.25">
      <c r="A431" t="s">
        <v>14</v>
      </c>
      <c r="B431" s="1">
        <v>35.840000000000003</v>
      </c>
      <c r="C431" s="1">
        <v>35.85</v>
      </c>
      <c r="D431" s="2" t="s">
        <v>73</v>
      </c>
      <c r="E431" s="8">
        <v>1764.9625000000001</v>
      </c>
      <c r="F431" s="8">
        <f>F421</f>
        <v>0.2</v>
      </c>
      <c r="G431" s="8">
        <f>E431+F431</f>
        <v>1765.1625000000001</v>
      </c>
      <c r="H431" s="3">
        <f>B431*G431</f>
        <v>63263.424000000014</v>
      </c>
      <c r="I431" s="3">
        <f>C431*G431</f>
        <v>63281.075625000005</v>
      </c>
    </row>
    <row r="432" spans="1:9" x14ac:dyDescent="0.25">
      <c r="A432" t="s">
        <v>4</v>
      </c>
      <c r="B432" s="1">
        <v>20.95</v>
      </c>
      <c r="C432" s="1">
        <v>20.96</v>
      </c>
      <c r="D432" s="2" t="s">
        <v>74</v>
      </c>
      <c r="E432" s="8">
        <v>3014.8103999999998</v>
      </c>
      <c r="F432" s="8">
        <f>F422</f>
        <v>0</v>
      </c>
      <c r="G432" s="8">
        <f>E432+F432</f>
        <v>3014.8103999999998</v>
      </c>
      <c r="H432" s="3">
        <f>B432*G432</f>
        <v>63160.277879999994</v>
      </c>
      <c r="I432" s="3">
        <f>C432*G432</f>
        <v>63190.425984000001</v>
      </c>
    </row>
    <row r="433" spans="1:9" x14ac:dyDescent="0.25">
      <c r="A433" t="s">
        <v>6</v>
      </c>
      <c r="B433" s="1">
        <v>34.299999999999997</v>
      </c>
      <c r="C433" s="1">
        <v>34.31</v>
      </c>
      <c r="D433" s="2" t="s">
        <v>74</v>
      </c>
      <c r="E433" s="8">
        <v>1842.0397</v>
      </c>
      <c r="F433" s="8">
        <f>F423</f>
        <v>-0.1</v>
      </c>
      <c r="G433" s="8">
        <f>E433+F433</f>
        <v>1841.9397000000001</v>
      </c>
      <c r="H433" s="3">
        <f>B433*G433</f>
        <v>63178.531709999996</v>
      </c>
      <c r="I433" s="3">
        <f>C433*G433</f>
        <v>63196.951107000008</v>
      </c>
    </row>
    <row r="434" spans="1:9" x14ac:dyDescent="0.25">
      <c r="A434" t="s">
        <v>7</v>
      </c>
      <c r="B434" s="1">
        <v>17.809999999999999</v>
      </c>
      <c r="C434" s="1">
        <v>17.82</v>
      </c>
      <c r="D434" s="2" t="s">
        <v>74</v>
      </c>
      <c r="E434" s="8">
        <v>3546.3921</v>
      </c>
      <c r="F434" s="8">
        <f>F424</f>
        <v>0</v>
      </c>
      <c r="G434" s="8">
        <f>E434+F434</f>
        <v>3546.3921</v>
      </c>
      <c r="H434" s="3">
        <f>B434*G434</f>
        <v>63161.243300999995</v>
      </c>
      <c r="I434" s="3">
        <f>C434*G434</f>
        <v>63196.707222000005</v>
      </c>
    </row>
    <row r="435" spans="1:9" x14ac:dyDescent="0.25">
      <c r="A435" t="s">
        <v>8</v>
      </c>
      <c r="B435" s="1">
        <v>27.94</v>
      </c>
      <c r="C435" s="1">
        <v>27.95</v>
      </c>
      <c r="D435" s="2" t="s">
        <v>74</v>
      </c>
      <c r="E435" s="8">
        <v>2261.2671999999998</v>
      </c>
      <c r="F435" s="8">
        <f>F425</f>
        <v>-0.2</v>
      </c>
      <c r="G435" s="8">
        <f>E435+F435</f>
        <v>2261.0672</v>
      </c>
      <c r="H435" s="3">
        <f>B435*G435</f>
        <v>63174.217568</v>
      </c>
      <c r="I435" s="3">
        <f>C435*G435</f>
        <v>63196.828239999995</v>
      </c>
    </row>
    <row r="436" spans="1:9" x14ac:dyDescent="0.25">
      <c r="A436" t="s">
        <v>9</v>
      </c>
      <c r="B436" s="1">
        <v>66.739999999999995</v>
      </c>
      <c r="C436" s="1">
        <v>66.86</v>
      </c>
      <c r="D436" s="2" t="s">
        <v>74</v>
      </c>
      <c r="E436" s="8">
        <v>946.08439999999996</v>
      </c>
      <c r="F436" s="8">
        <f>F426</f>
        <v>0</v>
      </c>
      <c r="G436" s="8">
        <f>E436+F436</f>
        <v>946.08439999999996</v>
      </c>
      <c r="H436" s="3">
        <f>B436*G436</f>
        <v>63141.67285599999</v>
      </c>
      <c r="I436" s="3">
        <f>C436*G436</f>
        <v>63255.202983999996</v>
      </c>
    </row>
    <row r="437" spans="1:9" x14ac:dyDescent="0.25">
      <c r="A437" t="s">
        <v>10</v>
      </c>
      <c r="B437" s="1">
        <v>36.51</v>
      </c>
      <c r="C437" s="1">
        <v>36.520000000000003</v>
      </c>
      <c r="D437" s="2" t="s">
        <v>74</v>
      </c>
      <c r="E437" s="8">
        <v>1730.0458000000001</v>
      </c>
      <c r="F437" s="8">
        <f>F427</f>
        <v>0.2</v>
      </c>
      <c r="G437" s="8">
        <f>E437+F437</f>
        <v>1730.2458000000001</v>
      </c>
      <c r="H437" s="3">
        <f>B437*G437</f>
        <v>63171.274158</v>
      </c>
      <c r="I437" s="3">
        <f>C437*G437</f>
        <v>63188.576616000013</v>
      </c>
    </row>
    <row r="438" spans="1:9" x14ac:dyDescent="0.25">
      <c r="A438" t="s">
        <v>11</v>
      </c>
      <c r="B438" s="1">
        <v>55</v>
      </c>
      <c r="C438" s="1">
        <v>55.01</v>
      </c>
      <c r="D438" s="2" t="s">
        <v>74</v>
      </c>
      <c r="E438" s="8">
        <v>1148.79</v>
      </c>
      <c r="F438" s="8">
        <f>F428</f>
        <v>0.05</v>
      </c>
      <c r="G438" s="8">
        <f>E438+F438</f>
        <v>1148.8399999999999</v>
      </c>
      <c r="H438" s="3">
        <f>B438*G438</f>
        <v>63186.2</v>
      </c>
      <c r="I438" s="3">
        <f>C438*G438</f>
        <v>63197.688399999992</v>
      </c>
    </row>
    <row r="439" spans="1:9" x14ac:dyDescent="0.25">
      <c r="A439" t="s">
        <v>12</v>
      </c>
      <c r="B439" s="1">
        <v>49.03</v>
      </c>
      <c r="C439" s="1">
        <v>49.04</v>
      </c>
      <c r="D439" s="2" t="s">
        <v>74</v>
      </c>
      <c r="E439" s="8">
        <v>1288.5375000000001</v>
      </c>
      <c r="F439" s="8">
        <f>F429</f>
        <v>0</v>
      </c>
      <c r="G439" s="8">
        <f>E439+F439</f>
        <v>1288.5375000000001</v>
      </c>
      <c r="H439" s="3">
        <f>B439*G439</f>
        <v>63176.99362500001</v>
      </c>
      <c r="I439" s="3">
        <f>C439*G439</f>
        <v>63189.879000000008</v>
      </c>
    </row>
    <row r="440" spans="1:9" x14ac:dyDescent="0.25">
      <c r="A440" t="s">
        <v>13</v>
      </c>
      <c r="B440" s="1">
        <v>17.87</v>
      </c>
      <c r="C440" s="1">
        <v>17.88</v>
      </c>
      <c r="D440" s="2" t="s">
        <v>74</v>
      </c>
      <c r="E440" s="8">
        <v>3535.8029000000001</v>
      </c>
      <c r="F440" s="8">
        <f>F430</f>
        <v>0</v>
      </c>
      <c r="G440" s="8">
        <f>E440+F440</f>
        <v>3535.8029000000001</v>
      </c>
      <c r="H440" s="3">
        <f>B440*G440</f>
        <v>63184.797823000008</v>
      </c>
      <c r="I440" s="3">
        <f>C440*G440</f>
        <v>63220.155851999996</v>
      </c>
    </row>
    <row r="441" spans="1:9" x14ac:dyDescent="0.25">
      <c r="A441" t="s">
        <v>14</v>
      </c>
      <c r="B441" s="1">
        <v>35.79</v>
      </c>
      <c r="C441" s="1">
        <v>35.799999999999997</v>
      </c>
      <c r="D441" s="2" t="s">
        <v>74</v>
      </c>
      <c r="E441" s="8">
        <v>1764.9625000000001</v>
      </c>
      <c r="F441" s="8">
        <f>F431</f>
        <v>0.2</v>
      </c>
      <c r="G441" s="8">
        <f>E441+F441</f>
        <v>1765.1625000000001</v>
      </c>
      <c r="H441" s="3">
        <f>B441*G441</f>
        <v>63175.165875000006</v>
      </c>
      <c r="I441" s="3">
        <f>C441*G441</f>
        <v>63192.817499999997</v>
      </c>
    </row>
    <row r="442" spans="1:9" x14ac:dyDescent="0.25">
      <c r="A442" t="s">
        <v>4</v>
      </c>
      <c r="B442" s="1">
        <v>21</v>
      </c>
      <c r="C442" s="1">
        <v>21.01</v>
      </c>
      <c r="D442" s="2" t="s">
        <v>75</v>
      </c>
      <c r="E442" s="8">
        <v>3014.8103999999998</v>
      </c>
      <c r="F442" s="8">
        <f>F432</f>
        <v>0</v>
      </c>
      <c r="G442" s="8">
        <f>E442+F442</f>
        <v>3014.8103999999998</v>
      </c>
      <c r="H442" s="3">
        <f>B442*G442</f>
        <v>63311.018399999994</v>
      </c>
      <c r="I442" s="3">
        <f>C442*G442</f>
        <v>63341.166504000001</v>
      </c>
    </row>
    <row r="443" spans="1:9" x14ac:dyDescent="0.25">
      <c r="A443" t="s">
        <v>6</v>
      </c>
      <c r="B443" s="1">
        <v>34.369999999999997</v>
      </c>
      <c r="C443" s="1">
        <v>34.380000000000003</v>
      </c>
      <c r="D443" s="2" t="s">
        <v>75</v>
      </c>
      <c r="E443" s="8">
        <v>1842.0397</v>
      </c>
      <c r="F443" s="8">
        <f>F433</f>
        <v>-0.1</v>
      </c>
      <c r="G443" s="8">
        <f>E443+F443</f>
        <v>1841.9397000000001</v>
      </c>
      <c r="H443" s="3">
        <f>B443*G443</f>
        <v>63307.467489000002</v>
      </c>
      <c r="I443" s="3">
        <f>C443*G443</f>
        <v>63325.886886000008</v>
      </c>
    </row>
    <row r="444" spans="1:9" x14ac:dyDescent="0.25">
      <c r="A444" t="s">
        <v>7</v>
      </c>
      <c r="B444" s="1">
        <v>17.850000000000001</v>
      </c>
      <c r="C444" s="1">
        <v>17.86</v>
      </c>
      <c r="D444" s="2" t="s">
        <v>75</v>
      </c>
      <c r="E444" s="8">
        <v>3546.3921</v>
      </c>
      <c r="F444" s="8">
        <f>F434</f>
        <v>0</v>
      </c>
      <c r="G444" s="8">
        <f>E444+F444</f>
        <v>3546.3921</v>
      </c>
      <c r="H444" s="3">
        <f>B444*G444</f>
        <v>63303.098985000004</v>
      </c>
      <c r="I444" s="3">
        <f>C444*G444</f>
        <v>63338.562905999999</v>
      </c>
    </row>
    <row r="445" spans="1:9" x14ac:dyDescent="0.25">
      <c r="A445" t="s">
        <v>8</v>
      </c>
      <c r="B445" s="1">
        <v>28</v>
      </c>
      <c r="C445" s="1">
        <v>28.01</v>
      </c>
      <c r="D445" s="2" t="s">
        <v>75</v>
      </c>
      <c r="E445" s="8">
        <v>2261.2671999999998</v>
      </c>
      <c r="F445" s="8">
        <f>F435</f>
        <v>-0.2</v>
      </c>
      <c r="G445" s="8">
        <f>E445+F445</f>
        <v>2261.0672</v>
      </c>
      <c r="H445" s="3">
        <f>B445*G445</f>
        <v>63309.881600000001</v>
      </c>
      <c r="I445" s="3">
        <f>C445*G445</f>
        <v>63332.492272000003</v>
      </c>
    </row>
    <row r="446" spans="1:9" x14ac:dyDescent="0.25">
      <c r="A446" t="s">
        <v>9</v>
      </c>
      <c r="B446" s="1">
        <v>66.91</v>
      </c>
      <c r="C446" s="1">
        <v>67.02</v>
      </c>
      <c r="D446" s="2" t="s">
        <v>75</v>
      </c>
      <c r="E446" s="8">
        <v>946.08439999999996</v>
      </c>
      <c r="F446" s="8">
        <f>F436</f>
        <v>0</v>
      </c>
      <c r="G446" s="8">
        <f>E446+F446</f>
        <v>946.08439999999996</v>
      </c>
      <c r="H446" s="3">
        <f>B446*G446</f>
        <v>63302.507203999994</v>
      </c>
      <c r="I446" s="3">
        <f>C446*G446</f>
        <v>63406.576487999992</v>
      </c>
    </row>
    <row r="447" spans="1:9" x14ac:dyDescent="0.25">
      <c r="A447" t="s">
        <v>10</v>
      </c>
      <c r="B447" s="1">
        <v>36.58</v>
      </c>
      <c r="C447" s="1">
        <v>36.61</v>
      </c>
      <c r="D447" s="2" t="s">
        <v>75</v>
      </c>
      <c r="E447" s="8">
        <v>1730.0458000000001</v>
      </c>
      <c r="F447" s="8">
        <f>F437</f>
        <v>0.2</v>
      </c>
      <c r="G447" s="8">
        <f>E447+F447</f>
        <v>1730.2458000000001</v>
      </c>
      <c r="H447" s="3">
        <f>B447*G447</f>
        <v>63292.391364000003</v>
      </c>
      <c r="I447" s="3">
        <f>C447*G447</f>
        <v>63344.298738000005</v>
      </c>
    </row>
    <row r="448" spans="1:9" x14ac:dyDescent="0.25">
      <c r="A448" t="s">
        <v>11</v>
      </c>
      <c r="B448" s="1">
        <v>55.12</v>
      </c>
      <c r="C448" s="1">
        <v>55.13</v>
      </c>
      <c r="D448" s="2" t="s">
        <v>75</v>
      </c>
      <c r="E448" s="8">
        <v>1148.79</v>
      </c>
      <c r="F448" s="8">
        <f>F438</f>
        <v>0.05</v>
      </c>
      <c r="G448" s="8">
        <f>E448+F448</f>
        <v>1148.8399999999999</v>
      </c>
      <c r="H448" s="3">
        <f>B448*G448</f>
        <v>63324.060799999992</v>
      </c>
      <c r="I448" s="3">
        <f>C448*G448</f>
        <v>63335.549200000001</v>
      </c>
    </row>
    <row r="449" spans="1:9" x14ac:dyDescent="0.25">
      <c r="A449" t="s">
        <v>12</v>
      </c>
      <c r="B449" s="1">
        <v>49.13</v>
      </c>
      <c r="C449" s="1">
        <v>49.14</v>
      </c>
      <c r="D449" s="2" t="s">
        <v>75</v>
      </c>
      <c r="E449" s="8">
        <v>1288.5375000000001</v>
      </c>
      <c r="F449" s="8">
        <f>F439</f>
        <v>0</v>
      </c>
      <c r="G449" s="8">
        <f>E449+F449</f>
        <v>1288.5375000000001</v>
      </c>
      <c r="H449" s="3">
        <f>B449*G449</f>
        <v>63305.847375000012</v>
      </c>
      <c r="I449" s="3">
        <f>C449*G449</f>
        <v>63318.73275000001</v>
      </c>
    </row>
    <row r="450" spans="1:9" x14ac:dyDescent="0.25">
      <c r="A450" t="s">
        <v>13</v>
      </c>
      <c r="B450" s="1">
        <v>17.899999999999999</v>
      </c>
      <c r="C450" s="1">
        <v>17.91</v>
      </c>
      <c r="D450" s="2" t="s">
        <v>75</v>
      </c>
      <c r="E450" s="8">
        <v>3535.8029000000001</v>
      </c>
      <c r="F450" s="8">
        <f>F440</f>
        <v>0</v>
      </c>
      <c r="G450" s="8">
        <f>E450+F450</f>
        <v>3535.8029000000001</v>
      </c>
      <c r="H450" s="3">
        <f>B450*G450</f>
        <v>63290.871909999994</v>
      </c>
      <c r="I450" s="3">
        <f>C450*G450</f>
        <v>63326.229939000004</v>
      </c>
    </row>
    <row r="451" spans="1:9" x14ac:dyDescent="0.25">
      <c r="A451" t="s">
        <v>14</v>
      </c>
      <c r="B451" s="1">
        <v>35.869999999999997</v>
      </c>
      <c r="C451" s="1">
        <v>35.880000000000003</v>
      </c>
      <c r="D451" s="2" t="s">
        <v>75</v>
      </c>
      <c r="E451" s="8">
        <v>1764.9625000000001</v>
      </c>
      <c r="F451" s="8">
        <f>F441</f>
        <v>0.2</v>
      </c>
      <c r="G451" s="8">
        <f>E451+F451</f>
        <v>1765.1625000000001</v>
      </c>
      <c r="H451" s="3">
        <f>B451*G451</f>
        <v>63316.378875000002</v>
      </c>
      <c r="I451" s="3">
        <f>C451*G451</f>
        <v>63334.030500000008</v>
      </c>
    </row>
    <row r="452" spans="1:9" x14ac:dyDescent="0.25">
      <c r="A452" t="s">
        <v>4</v>
      </c>
      <c r="B452" s="1">
        <v>21.16</v>
      </c>
      <c r="C452" s="1">
        <v>21.17</v>
      </c>
      <c r="D452" s="2" t="s">
        <v>76</v>
      </c>
      <c r="E452" s="8">
        <v>3014.8103999999998</v>
      </c>
      <c r="F452" s="8">
        <f>F442</f>
        <v>0</v>
      </c>
      <c r="G452" s="8">
        <f>E452+F452</f>
        <v>3014.8103999999998</v>
      </c>
      <c r="H452" s="3">
        <f>B452*G452</f>
        <v>63793.388063999999</v>
      </c>
      <c r="I452" s="3">
        <f>C452*G452</f>
        <v>63823.536167999999</v>
      </c>
    </row>
    <row r="453" spans="1:9" x14ac:dyDescent="0.25">
      <c r="A453" t="s">
        <v>6</v>
      </c>
      <c r="B453" s="1">
        <v>34.64</v>
      </c>
      <c r="C453" s="1">
        <v>34.65</v>
      </c>
      <c r="D453" s="2" t="s">
        <v>76</v>
      </c>
      <c r="E453" s="8">
        <v>1842.0397</v>
      </c>
      <c r="F453" s="8">
        <f>F443</f>
        <v>-0.1</v>
      </c>
      <c r="G453" s="8">
        <f>E453+F453</f>
        <v>1841.9397000000001</v>
      </c>
      <c r="H453" s="3">
        <f>B453*G453</f>
        <v>63804.791208000002</v>
      </c>
      <c r="I453" s="3">
        <f>C453*G453</f>
        <v>63823.210605</v>
      </c>
    </row>
    <row r="454" spans="1:9" x14ac:dyDescent="0.25">
      <c r="A454" t="s">
        <v>7</v>
      </c>
      <c r="B454" s="1">
        <v>17.989999999999998</v>
      </c>
      <c r="C454" s="1">
        <v>18</v>
      </c>
      <c r="D454" s="2" t="s">
        <v>76</v>
      </c>
      <c r="E454" s="8">
        <v>3546.3921</v>
      </c>
      <c r="F454" s="8">
        <f>F444</f>
        <v>0</v>
      </c>
      <c r="G454" s="8">
        <f>E454+F454</f>
        <v>3546.3921</v>
      </c>
      <c r="H454" s="3">
        <f>B454*G454</f>
        <v>63799.593878999993</v>
      </c>
      <c r="I454" s="3">
        <f>C454*G454</f>
        <v>63835.057800000002</v>
      </c>
    </row>
    <row r="455" spans="1:9" x14ac:dyDescent="0.25">
      <c r="A455" t="s">
        <v>8</v>
      </c>
      <c r="B455" s="1">
        <v>28.22</v>
      </c>
      <c r="C455" s="1">
        <v>28.23</v>
      </c>
      <c r="D455" s="2" t="s">
        <v>76</v>
      </c>
      <c r="E455" s="8">
        <v>2261.2671999999998</v>
      </c>
      <c r="F455" s="8">
        <f>F445</f>
        <v>-0.2</v>
      </c>
      <c r="G455" s="8">
        <f>E455+F455</f>
        <v>2261.0672</v>
      </c>
      <c r="H455" s="3">
        <f>B455*G455</f>
        <v>63807.316383999998</v>
      </c>
      <c r="I455" s="3">
        <f>C455*G455</f>
        <v>63829.927056</v>
      </c>
    </row>
    <row r="456" spans="1:9" x14ac:dyDescent="0.25">
      <c r="A456" t="s">
        <v>9</v>
      </c>
      <c r="B456" s="1">
        <v>67.400000000000006</v>
      </c>
      <c r="C456" s="1">
        <v>67.5</v>
      </c>
      <c r="D456" s="2" t="s">
        <v>76</v>
      </c>
      <c r="E456" s="8">
        <v>946.08439999999996</v>
      </c>
      <c r="F456" s="8">
        <f>F446</f>
        <v>0</v>
      </c>
      <c r="G456" s="8">
        <f>E456+F456</f>
        <v>946.08439999999996</v>
      </c>
      <c r="H456" s="3">
        <f>B456*G456</f>
        <v>63766.088560000004</v>
      </c>
      <c r="I456" s="3">
        <f>C456*G456</f>
        <v>63860.697</v>
      </c>
    </row>
    <row r="457" spans="1:9" x14ac:dyDescent="0.25">
      <c r="A457" t="s">
        <v>10</v>
      </c>
      <c r="B457" s="1">
        <v>36.86</v>
      </c>
      <c r="C457" s="1">
        <v>36.89</v>
      </c>
      <c r="D457" s="2" t="s">
        <v>76</v>
      </c>
      <c r="E457" s="8">
        <v>1730.0458000000001</v>
      </c>
      <c r="F457" s="8">
        <f>F447</f>
        <v>0.2</v>
      </c>
      <c r="G457" s="8">
        <f>E457+F457</f>
        <v>1730.2458000000001</v>
      </c>
      <c r="H457" s="3">
        <f>B457*G457</f>
        <v>63776.860188000006</v>
      </c>
      <c r="I457" s="3">
        <f>C457*G457</f>
        <v>63828.767562000008</v>
      </c>
    </row>
    <row r="458" spans="1:9" x14ac:dyDescent="0.25">
      <c r="A458" t="s">
        <v>11</v>
      </c>
      <c r="B458" s="1">
        <v>55.54</v>
      </c>
      <c r="C458" s="1">
        <v>55.55</v>
      </c>
      <c r="D458" s="2" t="s">
        <v>76</v>
      </c>
      <c r="E458" s="8">
        <v>1148.79</v>
      </c>
      <c r="F458" s="8">
        <f>F448</f>
        <v>0.05</v>
      </c>
      <c r="G458" s="8">
        <f>E458+F458</f>
        <v>1148.8399999999999</v>
      </c>
      <c r="H458" s="3">
        <f>B458*G458</f>
        <v>63806.573599999996</v>
      </c>
      <c r="I458" s="3">
        <f>C458*G458</f>
        <v>63818.061999999991</v>
      </c>
    </row>
    <row r="459" spans="1:9" x14ac:dyDescent="0.25">
      <c r="A459" t="s">
        <v>12</v>
      </c>
      <c r="B459" s="1">
        <v>49.52</v>
      </c>
      <c r="C459" s="1">
        <v>49.53</v>
      </c>
      <c r="D459" s="2" t="s">
        <v>76</v>
      </c>
      <c r="E459" s="8">
        <v>1288.5375000000001</v>
      </c>
      <c r="F459" s="8">
        <f>F449</f>
        <v>0</v>
      </c>
      <c r="G459" s="8">
        <f>E459+F459</f>
        <v>1288.5375000000001</v>
      </c>
      <c r="H459" s="3">
        <f>B459*G459</f>
        <v>63808.377000000008</v>
      </c>
      <c r="I459" s="3">
        <f>C459*G459</f>
        <v>63821.262375000006</v>
      </c>
    </row>
    <row r="460" spans="1:9" x14ac:dyDescent="0.25">
      <c r="A460" t="s">
        <v>13</v>
      </c>
      <c r="B460" s="1">
        <v>18.04</v>
      </c>
      <c r="C460" s="1">
        <v>18.05</v>
      </c>
      <c r="D460" s="2" t="s">
        <v>76</v>
      </c>
      <c r="E460" s="8">
        <v>3535.8029000000001</v>
      </c>
      <c r="F460" s="8">
        <f>F450</f>
        <v>0</v>
      </c>
      <c r="G460" s="8">
        <f>E460+F460</f>
        <v>3535.8029000000001</v>
      </c>
      <c r="H460" s="3">
        <f>B460*G460</f>
        <v>63785.884315999996</v>
      </c>
      <c r="I460" s="3">
        <f>C460*G460</f>
        <v>63821.242345000006</v>
      </c>
    </row>
    <row r="461" spans="1:9" x14ac:dyDescent="0.25">
      <c r="A461" t="s">
        <v>14</v>
      </c>
      <c r="B461" s="1">
        <v>36.15</v>
      </c>
      <c r="C461" s="1">
        <v>36.159999999999997</v>
      </c>
      <c r="D461" s="2" t="s">
        <v>76</v>
      </c>
      <c r="E461" s="8">
        <v>1764.9625000000001</v>
      </c>
      <c r="F461" s="8">
        <f>F451</f>
        <v>0.2</v>
      </c>
      <c r="G461" s="8">
        <f>E461+F461</f>
        <v>1765.1625000000001</v>
      </c>
      <c r="H461" s="3">
        <f>B461*G461</f>
        <v>63810.624374999999</v>
      </c>
      <c r="I461" s="3">
        <f>C461*G461</f>
        <v>63828.275999999998</v>
      </c>
    </row>
    <row r="462" spans="1:9" x14ac:dyDescent="0.25">
      <c r="A462" t="s">
        <v>4</v>
      </c>
      <c r="B462" s="1">
        <v>21.18</v>
      </c>
      <c r="C462" s="1">
        <v>21.19</v>
      </c>
      <c r="D462" s="2" t="s">
        <v>77</v>
      </c>
      <c r="E462" s="8">
        <v>3014.8103999999998</v>
      </c>
      <c r="F462" s="8">
        <f>F452</f>
        <v>0</v>
      </c>
      <c r="G462" s="8">
        <f>E462+F462</f>
        <v>3014.8103999999998</v>
      </c>
      <c r="H462" s="3">
        <f>B462*G462</f>
        <v>63853.684271999999</v>
      </c>
      <c r="I462" s="3">
        <f>C462*G462</f>
        <v>63883.832375999998</v>
      </c>
    </row>
    <row r="463" spans="1:9" x14ac:dyDescent="0.25">
      <c r="A463" t="s">
        <v>6</v>
      </c>
      <c r="B463" s="1">
        <v>34.67</v>
      </c>
      <c r="C463" s="1">
        <v>34.68</v>
      </c>
      <c r="D463" s="2" t="s">
        <v>77</v>
      </c>
      <c r="E463" s="8">
        <v>1842.0397</v>
      </c>
      <c r="F463" s="8">
        <f>F453</f>
        <v>-0.1</v>
      </c>
      <c r="G463" s="8">
        <f>E463+F463</f>
        <v>1841.9397000000001</v>
      </c>
      <c r="H463" s="3">
        <f>B463*G463</f>
        <v>63860.04939900001</v>
      </c>
      <c r="I463" s="3">
        <f>C463*G463</f>
        <v>63878.468796000001</v>
      </c>
    </row>
    <row r="464" spans="1:9" x14ac:dyDescent="0.25">
      <c r="A464" t="s">
        <v>7</v>
      </c>
      <c r="B464" s="1">
        <v>18.010000000000002</v>
      </c>
      <c r="C464" s="1">
        <v>18.02</v>
      </c>
      <c r="D464" s="2" t="s">
        <v>77</v>
      </c>
      <c r="E464" s="8">
        <v>3546.3921</v>
      </c>
      <c r="F464" s="8">
        <f>F454</f>
        <v>0</v>
      </c>
      <c r="G464" s="8">
        <f>E464+F464</f>
        <v>3546.3921</v>
      </c>
      <c r="H464" s="3">
        <f>B464*G464</f>
        <v>63870.521721000005</v>
      </c>
      <c r="I464" s="3">
        <f>C464*G464</f>
        <v>63905.985642</v>
      </c>
    </row>
    <row r="465" spans="1:9" x14ac:dyDescent="0.25">
      <c r="A465" t="s">
        <v>8</v>
      </c>
      <c r="B465" s="1">
        <v>28.25</v>
      </c>
      <c r="C465" s="1">
        <v>28.26</v>
      </c>
      <c r="D465" s="2" t="s">
        <v>77</v>
      </c>
      <c r="E465" s="8">
        <v>2261.2671999999998</v>
      </c>
      <c r="F465" s="8">
        <f>F455</f>
        <v>-0.2</v>
      </c>
      <c r="G465" s="8">
        <f>E465+F465</f>
        <v>2261.0672</v>
      </c>
      <c r="H465" s="3">
        <f>B465*G465</f>
        <v>63875.148399999998</v>
      </c>
      <c r="I465" s="3">
        <f>C465*G465</f>
        <v>63897.759072000001</v>
      </c>
    </row>
    <row r="466" spans="1:9" x14ac:dyDescent="0.25">
      <c r="A466" t="s">
        <v>9</v>
      </c>
      <c r="B466" s="1">
        <v>67.45</v>
      </c>
      <c r="C466" s="1">
        <v>67.569999999999993</v>
      </c>
      <c r="D466" s="2" t="s">
        <v>77</v>
      </c>
      <c r="E466" s="8">
        <v>946.08439999999996</v>
      </c>
      <c r="F466" s="8">
        <f>F456</f>
        <v>0</v>
      </c>
      <c r="G466" s="8">
        <f>E466+F466</f>
        <v>946.08439999999996</v>
      </c>
      <c r="H466" s="3">
        <f>B466*G466</f>
        <v>63813.392780000002</v>
      </c>
      <c r="I466" s="3">
        <f>C466*G466</f>
        <v>63926.922907999993</v>
      </c>
    </row>
    <row r="467" spans="1:9" x14ac:dyDescent="0.25">
      <c r="A467" t="s">
        <v>10</v>
      </c>
      <c r="B467" s="1">
        <v>36.909999999999997</v>
      </c>
      <c r="C467" s="1">
        <v>36.92</v>
      </c>
      <c r="D467" s="2" t="s">
        <v>77</v>
      </c>
      <c r="E467" s="8">
        <v>1730.0458000000001</v>
      </c>
      <c r="F467" s="8">
        <f>F457</f>
        <v>0.2</v>
      </c>
      <c r="G467" s="8">
        <f>E467+F467</f>
        <v>1730.2458000000001</v>
      </c>
      <c r="H467" s="3">
        <f>B467*G467</f>
        <v>63863.372477999997</v>
      </c>
      <c r="I467" s="3">
        <f>C467*G467</f>
        <v>63880.67493600001</v>
      </c>
    </row>
    <row r="468" spans="1:9" x14ac:dyDescent="0.25">
      <c r="A468" t="s">
        <v>11</v>
      </c>
      <c r="B468" s="1">
        <v>55.6</v>
      </c>
      <c r="C468" s="1">
        <v>55.61</v>
      </c>
      <c r="D468" s="2" t="s">
        <v>77</v>
      </c>
      <c r="E468" s="8">
        <v>1148.79</v>
      </c>
      <c r="F468" s="8">
        <f>F458</f>
        <v>0.05</v>
      </c>
      <c r="G468" s="8">
        <f>E468+F468</f>
        <v>1148.8399999999999</v>
      </c>
      <c r="H468" s="3">
        <f>B468*G468</f>
        <v>63875.503999999994</v>
      </c>
      <c r="I468" s="3">
        <f>C468*G468</f>
        <v>63886.992399999996</v>
      </c>
    </row>
    <row r="469" spans="1:9" x14ac:dyDescent="0.25">
      <c r="A469" t="s">
        <v>12</v>
      </c>
      <c r="B469" s="1">
        <v>49.57</v>
      </c>
      <c r="C469" s="1">
        <v>49.58</v>
      </c>
      <c r="D469" s="2" t="s">
        <v>77</v>
      </c>
      <c r="E469" s="8">
        <v>1288.5375000000001</v>
      </c>
      <c r="F469" s="8">
        <f>F459</f>
        <v>0</v>
      </c>
      <c r="G469" s="8">
        <f>E469+F469</f>
        <v>1288.5375000000001</v>
      </c>
      <c r="H469" s="3">
        <f>B469*G469</f>
        <v>63872.803875000005</v>
      </c>
      <c r="I469" s="3">
        <f>C469*G469</f>
        <v>63885.689250000003</v>
      </c>
    </row>
    <row r="470" spans="1:9" x14ac:dyDescent="0.25">
      <c r="A470" t="s">
        <v>13</v>
      </c>
      <c r="B470" s="1">
        <v>18.059999999999999</v>
      </c>
      <c r="C470" s="1">
        <v>18.07</v>
      </c>
      <c r="D470" s="2" t="s">
        <v>77</v>
      </c>
      <c r="E470" s="8">
        <v>3535.8029000000001</v>
      </c>
      <c r="F470" s="8">
        <f>F460</f>
        <v>0</v>
      </c>
      <c r="G470" s="8">
        <f>E470+F470</f>
        <v>3535.8029000000001</v>
      </c>
      <c r="H470" s="3">
        <f>B470*G470</f>
        <v>63856.600374000001</v>
      </c>
      <c r="I470" s="3">
        <f>C470*G470</f>
        <v>63891.958403000004</v>
      </c>
    </row>
    <row r="471" spans="1:9" x14ac:dyDescent="0.25">
      <c r="A471" t="s">
        <v>14</v>
      </c>
      <c r="B471" s="1">
        <v>36.19</v>
      </c>
      <c r="C471" s="1">
        <v>36.200000000000003</v>
      </c>
      <c r="D471" s="2" t="s">
        <v>77</v>
      </c>
      <c r="E471" s="8">
        <v>1764.9625000000001</v>
      </c>
      <c r="F471" s="8">
        <f>F461</f>
        <v>0.2</v>
      </c>
      <c r="G471" s="8">
        <f>E471+F471</f>
        <v>1765.1625000000001</v>
      </c>
      <c r="H471" s="3">
        <f>B471*G471</f>
        <v>63881.230875000001</v>
      </c>
      <c r="I471" s="3">
        <f>C471*G471</f>
        <v>63898.882500000007</v>
      </c>
    </row>
    <row r="472" spans="1:9" x14ac:dyDescent="0.25">
      <c r="A472" t="s">
        <v>4</v>
      </c>
      <c r="B472" s="1">
        <v>21.09</v>
      </c>
      <c r="C472" s="1">
        <v>21.1</v>
      </c>
      <c r="D472" s="2" t="s">
        <v>78</v>
      </c>
      <c r="E472" s="8">
        <v>3014.8103999999998</v>
      </c>
      <c r="F472" s="8">
        <f>F462</f>
        <v>0</v>
      </c>
      <c r="G472" s="8">
        <f>E472+F472</f>
        <v>3014.8103999999998</v>
      </c>
      <c r="H472" s="3">
        <f>B472*G472</f>
        <v>63582.351336</v>
      </c>
      <c r="I472" s="3">
        <f>C472*G472</f>
        <v>63612.49944</v>
      </c>
    </row>
    <row r="473" spans="1:9" x14ac:dyDescent="0.25">
      <c r="A473" t="s">
        <v>6</v>
      </c>
      <c r="B473" s="1">
        <v>34.53</v>
      </c>
      <c r="C473" s="1">
        <v>34.54</v>
      </c>
      <c r="D473" s="2" t="s">
        <v>78</v>
      </c>
      <c r="E473" s="8">
        <v>1842.0397</v>
      </c>
      <c r="F473" s="8">
        <f>F463</f>
        <v>-0.1</v>
      </c>
      <c r="G473" s="8">
        <f>E473+F473</f>
        <v>1841.9397000000001</v>
      </c>
      <c r="H473" s="3">
        <f>B473*G473</f>
        <v>63602.177841000004</v>
      </c>
      <c r="I473" s="3">
        <f>C473*G473</f>
        <v>63620.597238000002</v>
      </c>
    </row>
    <row r="474" spans="1:9" x14ac:dyDescent="0.25">
      <c r="A474" t="s">
        <v>7</v>
      </c>
      <c r="B474" s="1">
        <v>17.93</v>
      </c>
      <c r="C474" s="1">
        <v>17.940000000000001</v>
      </c>
      <c r="D474" s="2" t="s">
        <v>78</v>
      </c>
      <c r="E474" s="8">
        <v>3546.3921</v>
      </c>
      <c r="F474" s="8">
        <f>F464</f>
        <v>0</v>
      </c>
      <c r="G474" s="8">
        <f>E474+F474</f>
        <v>3546.3921</v>
      </c>
      <c r="H474" s="3">
        <f>B474*G474</f>
        <v>63586.810353000001</v>
      </c>
      <c r="I474" s="3">
        <f>C474*G474</f>
        <v>63622.274274000003</v>
      </c>
    </row>
    <row r="475" spans="1:9" x14ac:dyDescent="0.25">
      <c r="A475" t="s">
        <v>8</v>
      </c>
      <c r="B475" s="1">
        <v>28.12</v>
      </c>
      <c r="C475" s="1">
        <v>28.13</v>
      </c>
      <c r="D475" s="2" t="s">
        <v>78</v>
      </c>
      <c r="E475" s="8">
        <v>2261.2671999999998</v>
      </c>
      <c r="F475" s="8">
        <f>F465</f>
        <v>-0.2</v>
      </c>
      <c r="G475" s="8">
        <f>E475+F475</f>
        <v>2261.0672</v>
      </c>
      <c r="H475" s="3">
        <f>B475*G475</f>
        <v>63581.209664000002</v>
      </c>
      <c r="I475" s="3">
        <f>C475*G475</f>
        <v>63603.820335999997</v>
      </c>
    </row>
    <row r="476" spans="1:9" x14ac:dyDescent="0.25">
      <c r="A476" t="s">
        <v>9</v>
      </c>
      <c r="B476" s="1">
        <v>67.16</v>
      </c>
      <c r="C476" s="1">
        <v>67.290000000000006</v>
      </c>
      <c r="D476" s="2" t="s">
        <v>78</v>
      </c>
      <c r="E476" s="8">
        <v>946.08439999999996</v>
      </c>
      <c r="F476" s="8">
        <f>F466</f>
        <v>0</v>
      </c>
      <c r="G476" s="8">
        <f>E476+F476</f>
        <v>946.08439999999996</v>
      </c>
      <c r="H476" s="3">
        <f>B476*G476</f>
        <v>63539.028303999992</v>
      </c>
      <c r="I476" s="3">
        <f>C476*G476</f>
        <v>63662.019276000006</v>
      </c>
    </row>
    <row r="477" spans="1:9" x14ac:dyDescent="0.25">
      <c r="A477" t="s">
        <v>10</v>
      </c>
      <c r="B477" s="1">
        <v>36.74</v>
      </c>
      <c r="C477" s="1">
        <v>36.76</v>
      </c>
      <c r="D477" s="2" t="s">
        <v>78</v>
      </c>
      <c r="E477" s="8">
        <v>1730.0458000000001</v>
      </c>
      <c r="F477" s="8">
        <f>F467</f>
        <v>0.2</v>
      </c>
      <c r="G477" s="8">
        <f>E477+F477</f>
        <v>1730.2458000000001</v>
      </c>
      <c r="H477" s="3">
        <f>B477*G477</f>
        <v>63569.230692000012</v>
      </c>
      <c r="I477" s="3">
        <f>C477*G477</f>
        <v>63603.835608000001</v>
      </c>
    </row>
    <row r="478" spans="1:9" x14ac:dyDescent="0.25">
      <c r="A478" t="s">
        <v>11</v>
      </c>
      <c r="B478" s="1">
        <v>55.36</v>
      </c>
      <c r="C478" s="1">
        <v>55.37</v>
      </c>
      <c r="D478" s="2" t="s">
        <v>78</v>
      </c>
      <c r="E478" s="8">
        <v>1148.79</v>
      </c>
      <c r="F478" s="8">
        <f>F468</f>
        <v>0.05</v>
      </c>
      <c r="G478" s="8">
        <f>E478+F478</f>
        <v>1148.8399999999999</v>
      </c>
      <c r="H478" s="3">
        <f>B478*G478</f>
        <v>63599.782399999996</v>
      </c>
      <c r="I478" s="3">
        <f>C478*G478</f>
        <v>63611.270799999991</v>
      </c>
    </row>
    <row r="479" spans="1:9" x14ac:dyDescent="0.25">
      <c r="A479" t="s">
        <v>12</v>
      </c>
      <c r="B479" s="1">
        <v>49.35</v>
      </c>
      <c r="C479" s="1">
        <v>49.36</v>
      </c>
      <c r="D479" s="2" t="s">
        <v>78</v>
      </c>
      <c r="E479" s="8">
        <v>1288.5375000000001</v>
      </c>
      <c r="F479" s="8">
        <f>F469</f>
        <v>0</v>
      </c>
      <c r="G479" s="8">
        <f>E479+F479</f>
        <v>1288.5375000000001</v>
      </c>
      <c r="H479" s="3">
        <f>B479*G479</f>
        <v>63589.325625000005</v>
      </c>
      <c r="I479" s="3">
        <f>C479*G479</f>
        <v>63602.211000000003</v>
      </c>
    </row>
    <row r="480" spans="1:9" x14ac:dyDescent="0.25">
      <c r="A480" t="s">
        <v>13</v>
      </c>
      <c r="B480" s="1">
        <v>17.98</v>
      </c>
      <c r="C480" s="1">
        <v>17.989999999999998</v>
      </c>
      <c r="D480" s="2" t="s">
        <v>78</v>
      </c>
      <c r="E480" s="8">
        <v>3535.8029000000001</v>
      </c>
      <c r="F480" s="8">
        <f>F470</f>
        <v>0</v>
      </c>
      <c r="G480" s="8">
        <f>E480+F480</f>
        <v>3535.8029000000001</v>
      </c>
      <c r="H480" s="3">
        <f>B480*G480</f>
        <v>63573.736142000002</v>
      </c>
      <c r="I480" s="3">
        <f>C480*G480</f>
        <v>63609.094170999997</v>
      </c>
    </row>
    <row r="481" spans="1:9" x14ac:dyDescent="0.25">
      <c r="A481" t="s">
        <v>14</v>
      </c>
      <c r="B481" s="1">
        <v>36.03</v>
      </c>
      <c r="C481" s="1">
        <v>36.04</v>
      </c>
      <c r="D481" s="2" t="s">
        <v>78</v>
      </c>
      <c r="E481" s="8">
        <v>1764.9625000000001</v>
      </c>
      <c r="F481" s="8">
        <f>F471</f>
        <v>0.2</v>
      </c>
      <c r="G481" s="8">
        <f>E481+F481</f>
        <v>1765.1625000000001</v>
      </c>
      <c r="H481" s="3">
        <f>B481*G481</f>
        <v>63598.804875000009</v>
      </c>
      <c r="I481" s="3">
        <f>C481*G481</f>
        <v>63616.4565</v>
      </c>
    </row>
    <row r="482" spans="1:9" x14ac:dyDescent="0.25">
      <c r="A482" t="s">
        <v>4</v>
      </c>
      <c r="B482" s="1">
        <v>21.18</v>
      </c>
      <c r="C482" s="1">
        <v>21.19</v>
      </c>
      <c r="D482" s="2" t="s">
        <v>79</v>
      </c>
      <c r="E482" s="8">
        <v>3014.8103999999998</v>
      </c>
      <c r="F482" s="8">
        <f>F472</f>
        <v>0</v>
      </c>
      <c r="G482" s="8">
        <f>E482+F482</f>
        <v>3014.8103999999998</v>
      </c>
      <c r="H482" s="3">
        <f>B482*G482</f>
        <v>63853.684271999999</v>
      </c>
      <c r="I482" s="3">
        <f>C482*G482</f>
        <v>63883.832375999998</v>
      </c>
    </row>
    <row r="483" spans="1:9" x14ac:dyDescent="0.25">
      <c r="A483" t="s">
        <v>6</v>
      </c>
      <c r="B483" s="1">
        <v>34.68</v>
      </c>
      <c r="C483" s="1">
        <v>34.69</v>
      </c>
      <c r="D483" s="2" t="s">
        <v>79</v>
      </c>
      <c r="E483" s="8">
        <v>1842.0397</v>
      </c>
      <c r="F483" s="8">
        <f>F473</f>
        <v>-0.1</v>
      </c>
      <c r="G483" s="8">
        <f>E483+F483</f>
        <v>1841.9397000000001</v>
      </c>
      <c r="H483" s="3">
        <f>B483*G483</f>
        <v>63878.468796000001</v>
      </c>
      <c r="I483" s="3">
        <f>C483*G483</f>
        <v>63896.888192999999</v>
      </c>
    </row>
    <row r="484" spans="1:9" x14ac:dyDescent="0.25">
      <c r="A484" t="s">
        <v>7</v>
      </c>
      <c r="B484" s="1">
        <v>18.010000000000002</v>
      </c>
      <c r="C484" s="1">
        <v>18.02</v>
      </c>
      <c r="D484" s="2" t="s">
        <v>79</v>
      </c>
      <c r="E484" s="8">
        <v>3546.3921</v>
      </c>
      <c r="F484" s="8">
        <f>F474</f>
        <v>0</v>
      </c>
      <c r="G484" s="8">
        <f>E484+F484</f>
        <v>3546.3921</v>
      </c>
      <c r="H484" s="3">
        <f>B484*G484</f>
        <v>63870.521721000005</v>
      </c>
      <c r="I484" s="3">
        <f>C484*G484</f>
        <v>63905.985642</v>
      </c>
    </row>
    <row r="485" spans="1:9" x14ac:dyDescent="0.25">
      <c r="A485" t="s">
        <v>8</v>
      </c>
      <c r="B485" s="1">
        <v>28.25</v>
      </c>
      <c r="C485" s="1">
        <v>28.26</v>
      </c>
      <c r="D485" s="2" t="s">
        <v>79</v>
      </c>
      <c r="E485" s="8">
        <v>2261.2671999999998</v>
      </c>
      <c r="F485" s="8">
        <f>F475</f>
        <v>-0.2</v>
      </c>
      <c r="G485" s="8">
        <f>E485+F485</f>
        <v>2261.0672</v>
      </c>
      <c r="H485" s="3">
        <f>B485*G485</f>
        <v>63875.148399999998</v>
      </c>
      <c r="I485" s="3">
        <f>C485*G485</f>
        <v>63897.759072000001</v>
      </c>
    </row>
    <row r="486" spans="1:9" x14ac:dyDescent="0.25">
      <c r="A486" t="s">
        <v>9</v>
      </c>
      <c r="B486" s="1">
        <v>67.45</v>
      </c>
      <c r="C486" s="1">
        <v>67.59</v>
      </c>
      <c r="D486" s="2" t="s">
        <v>79</v>
      </c>
      <c r="E486" s="8">
        <v>946.08439999999996</v>
      </c>
      <c r="F486" s="8">
        <f>F476</f>
        <v>0</v>
      </c>
      <c r="G486" s="8">
        <f>E486+F486</f>
        <v>946.08439999999996</v>
      </c>
      <c r="H486" s="3">
        <f>B486*G486</f>
        <v>63813.392780000002</v>
      </c>
      <c r="I486" s="3">
        <f>C486*G486</f>
        <v>63945.844596000003</v>
      </c>
    </row>
    <row r="487" spans="1:9" x14ac:dyDescent="0.25">
      <c r="A487" t="s">
        <v>10</v>
      </c>
      <c r="B487" s="1">
        <v>36.909999999999997</v>
      </c>
      <c r="C487" s="1">
        <v>36.93</v>
      </c>
      <c r="D487" s="2" t="s">
        <v>79</v>
      </c>
      <c r="E487" s="8">
        <v>1730.0458000000001</v>
      </c>
      <c r="F487" s="8">
        <f>F477</f>
        <v>0.2</v>
      </c>
      <c r="G487" s="8">
        <f>E487+F487</f>
        <v>1730.2458000000001</v>
      </c>
      <c r="H487" s="3">
        <f>B487*G487</f>
        <v>63863.372477999997</v>
      </c>
      <c r="I487" s="3">
        <f>C487*G487</f>
        <v>63897.977394000001</v>
      </c>
    </row>
    <row r="488" spans="1:9" x14ac:dyDescent="0.25">
      <c r="A488" t="s">
        <v>11</v>
      </c>
      <c r="B488" s="1">
        <v>55.6</v>
      </c>
      <c r="C488" s="1">
        <v>55.61</v>
      </c>
      <c r="D488" s="2" t="s">
        <v>79</v>
      </c>
      <c r="E488" s="8">
        <v>1148.79</v>
      </c>
      <c r="F488" s="8">
        <f>F478</f>
        <v>0.05</v>
      </c>
      <c r="G488" s="8">
        <f>E488+F488</f>
        <v>1148.8399999999999</v>
      </c>
      <c r="H488" s="3">
        <f>B488*G488</f>
        <v>63875.503999999994</v>
      </c>
      <c r="I488" s="3">
        <f>C488*G488</f>
        <v>63886.992399999996</v>
      </c>
    </row>
    <row r="489" spans="1:9" x14ac:dyDescent="0.25">
      <c r="A489" t="s">
        <v>12</v>
      </c>
      <c r="B489" s="1">
        <v>49.57</v>
      </c>
      <c r="C489" s="1">
        <v>49.58</v>
      </c>
      <c r="D489" s="2" t="s">
        <v>79</v>
      </c>
      <c r="E489" s="8">
        <v>1288.5375000000001</v>
      </c>
      <c r="F489" s="8">
        <f>F479</f>
        <v>0</v>
      </c>
      <c r="G489" s="8">
        <f>E489+F489</f>
        <v>1288.5375000000001</v>
      </c>
      <c r="H489" s="3">
        <f>B489*G489</f>
        <v>63872.803875000005</v>
      </c>
      <c r="I489" s="3">
        <f>C489*G489</f>
        <v>63885.689250000003</v>
      </c>
    </row>
    <row r="490" spans="1:9" x14ac:dyDescent="0.25">
      <c r="A490" t="s">
        <v>13</v>
      </c>
      <c r="B490" s="1">
        <v>18.059999999999999</v>
      </c>
      <c r="C490" s="1">
        <v>18.07</v>
      </c>
      <c r="D490" s="2" t="s">
        <v>79</v>
      </c>
      <c r="E490" s="8">
        <v>3535.8029000000001</v>
      </c>
      <c r="F490" s="8">
        <f>F480</f>
        <v>0</v>
      </c>
      <c r="G490" s="8">
        <f>E490+F490</f>
        <v>3535.8029000000001</v>
      </c>
      <c r="H490" s="3">
        <f>B490*G490</f>
        <v>63856.600374000001</v>
      </c>
      <c r="I490" s="3">
        <f>C490*G490</f>
        <v>63891.958403000004</v>
      </c>
    </row>
    <row r="491" spans="1:9" x14ac:dyDescent="0.25">
      <c r="A491" t="s">
        <v>14</v>
      </c>
      <c r="B491" s="1">
        <v>36.19</v>
      </c>
      <c r="C491" s="1">
        <v>36.200000000000003</v>
      </c>
      <c r="D491" s="2" t="s">
        <v>79</v>
      </c>
      <c r="E491" s="8">
        <v>1764.9625000000001</v>
      </c>
      <c r="F491" s="8">
        <f>F481</f>
        <v>0.2</v>
      </c>
      <c r="G491" s="8">
        <f>E491+F491</f>
        <v>1765.1625000000001</v>
      </c>
      <c r="H491" s="3">
        <f>B491*G491</f>
        <v>63881.230875000001</v>
      </c>
      <c r="I491" s="3">
        <f>C491*G491</f>
        <v>63898.882500000007</v>
      </c>
    </row>
    <row r="492" spans="1:9" x14ac:dyDescent="0.25">
      <c r="A492" t="s">
        <v>4</v>
      </c>
      <c r="B492" s="1">
        <v>21.17</v>
      </c>
      <c r="C492" s="1">
        <v>21.18</v>
      </c>
      <c r="D492" s="2" t="s">
        <v>80</v>
      </c>
      <c r="E492" s="8">
        <v>3014.8103999999998</v>
      </c>
      <c r="F492" s="8">
        <f>F482</f>
        <v>0</v>
      </c>
      <c r="G492" s="8">
        <f>E492+F492</f>
        <v>3014.8103999999998</v>
      </c>
      <c r="H492" s="3">
        <f>B492*G492</f>
        <v>63823.536167999999</v>
      </c>
      <c r="I492" s="3">
        <f>C492*G492</f>
        <v>63853.684271999999</v>
      </c>
    </row>
    <row r="493" spans="1:9" x14ac:dyDescent="0.25">
      <c r="A493" t="s">
        <v>6</v>
      </c>
      <c r="B493" s="1">
        <v>34.659999999999997</v>
      </c>
      <c r="C493" s="1">
        <v>34.67</v>
      </c>
      <c r="D493" s="2" t="s">
        <v>80</v>
      </c>
      <c r="E493" s="8">
        <v>1842.0397</v>
      </c>
      <c r="F493" s="8">
        <f>F483</f>
        <v>-0.1</v>
      </c>
      <c r="G493" s="8">
        <f>E493+F493</f>
        <v>1841.9397000000001</v>
      </c>
      <c r="H493" s="3">
        <f>B493*G493</f>
        <v>63841.630001999998</v>
      </c>
      <c r="I493" s="3">
        <f>C493*G493</f>
        <v>63860.04939900001</v>
      </c>
    </row>
    <row r="494" spans="1:9" x14ac:dyDescent="0.25">
      <c r="A494" t="s">
        <v>7</v>
      </c>
      <c r="B494" s="1">
        <v>18</v>
      </c>
      <c r="C494" s="1">
        <v>18.010000000000002</v>
      </c>
      <c r="D494" s="2" t="s">
        <v>80</v>
      </c>
      <c r="E494" s="8">
        <v>3546.3921</v>
      </c>
      <c r="F494" s="8">
        <f>F484</f>
        <v>0</v>
      </c>
      <c r="G494" s="8">
        <f>E494+F494</f>
        <v>3546.3921</v>
      </c>
      <c r="H494" s="3">
        <f>B494*G494</f>
        <v>63835.057800000002</v>
      </c>
      <c r="I494" s="3">
        <f>C494*G494</f>
        <v>63870.521721000005</v>
      </c>
    </row>
    <row r="495" spans="1:9" x14ac:dyDescent="0.25">
      <c r="A495" t="s">
        <v>8</v>
      </c>
      <c r="B495" s="1">
        <v>28.24</v>
      </c>
      <c r="C495" s="1">
        <v>28.25</v>
      </c>
      <c r="D495" s="2" t="s">
        <v>80</v>
      </c>
      <c r="E495" s="8">
        <v>2261.2671999999998</v>
      </c>
      <c r="F495" s="8">
        <f>F485</f>
        <v>-0.2</v>
      </c>
      <c r="G495" s="8">
        <f>E495+F495</f>
        <v>2261.0672</v>
      </c>
      <c r="H495" s="3">
        <f>B495*G495</f>
        <v>63852.537727999996</v>
      </c>
      <c r="I495" s="3">
        <f>C495*G495</f>
        <v>63875.148399999998</v>
      </c>
    </row>
    <row r="496" spans="1:9" x14ac:dyDescent="0.25">
      <c r="A496" t="s">
        <v>9</v>
      </c>
      <c r="B496" s="1">
        <v>67.47</v>
      </c>
      <c r="C496" s="1">
        <v>67.56</v>
      </c>
      <c r="D496" s="2" t="s">
        <v>80</v>
      </c>
      <c r="E496" s="8">
        <v>946.08439999999996</v>
      </c>
      <c r="F496" s="8">
        <f>F486</f>
        <v>0</v>
      </c>
      <c r="G496" s="8">
        <f>E496+F496</f>
        <v>946.08439999999996</v>
      </c>
      <c r="H496" s="3">
        <f>B496*G496</f>
        <v>63832.314467999997</v>
      </c>
      <c r="I496" s="3">
        <f>C496*G496</f>
        <v>63917.462063999999</v>
      </c>
    </row>
    <row r="497" spans="1:9" x14ac:dyDescent="0.25">
      <c r="A497" t="s">
        <v>10</v>
      </c>
      <c r="B497" s="1">
        <v>36.89</v>
      </c>
      <c r="C497" s="1">
        <v>36.909999999999997</v>
      </c>
      <c r="D497" s="2" t="s">
        <v>80</v>
      </c>
      <c r="E497" s="8">
        <v>1730.0458000000001</v>
      </c>
      <c r="F497" s="8">
        <f>F487</f>
        <v>0.2</v>
      </c>
      <c r="G497" s="8">
        <f>E497+F497</f>
        <v>1730.2458000000001</v>
      </c>
      <c r="H497" s="3">
        <f>B497*G497</f>
        <v>63828.767562000008</v>
      </c>
      <c r="I497" s="3">
        <f>C497*G497</f>
        <v>63863.372477999997</v>
      </c>
    </row>
    <row r="498" spans="1:9" x14ac:dyDescent="0.25">
      <c r="A498" t="s">
        <v>11</v>
      </c>
      <c r="B498" s="1">
        <v>55.58</v>
      </c>
      <c r="C498" s="1">
        <v>55.59</v>
      </c>
      <c r="D498" s="2" t="s">
        <v>80</v>
      </c>
      <c r="E498" s="8">
        <v>1148.79</v>
      </c>
      <c r="F498" s="8">
        <f>F488</f>
        <v>0.05</v>
      </c>
      <c r="G498" s="8">
        <f>E498+F498</f>
        <v>1148.8399999999999</v>
      </c>
      <c r="H498" s="3">
        <f>B498*G498</f>
        <v>63852.527199999997</v>
      </c>
      <c r="I498" s="3">
        <f>C498*G498</f>
        <v>63864.015599999999</v>
      </c>
    </row>
    <row r="499" spans="1:9" x14ac:dyDescent="0.25">
      <c r="A499" t="s">
        <v>12</v>
      </c>
      <c r="B499" s="1">
        <v>49.55</v>
      </c>
      <c r="C499" s="1">
        <v>49.56</v>
      </c>
      <c r="D499" s="2" t="s">
        <v>80</v>
      </c>
      <c r="E499" s="8">
        <v>1288.5375000000001</v>
      </c>
      <c r="F499" s="8">
        <f>F489</f>
        <v>0</v>
      </c>
      <c r="G499" s="8">
        <f>E499+F499</f>
        <v>1288.5375000000001</v>
      </c>
      <c r="H499" s="3">
        <f>B499*G499</f>
        <v>63847.033125000002</v>
      </c>
      <c r="I499" s="3">
        <f>C499*G499</f>
        <v>63859.918500000007</v>
      </c>
    </row>
    <row r="500" spans="1:9" x14ac:dyDescent="0.25">
      <c r="A500" t="s">
        <v>13</v>
      </c>
      <c r="B500" s="1">
        <v>18.05</v>
      </c>
      <c r="C500" s="1">
        <v>18.059999999999999</v>
      </c>
      <c r="D500" s="2" t="s">
        <v>80</v>
      </c>
      <c r="E500" s="8">
        <v>3535.8029000000001</v>
      </c>
      <c r="F500" s="8">
        <f>F490</f>
        <v>0</v>
      </c>
      <c r="G500" s="8">
        <f>E500+F500</f>
        <v>3535.8029000000001</v>
      </c>
      <c r="H500" s="3">
        <f>B500*G500</f>
        <v>63821.242345000006</v>
      </c>
      <c r="I500" s="3">
        <f>C500*G500</f>
        <v>63856.600374000001</v>
      </c>
    </row>
    <row r="501" spans="1:9" x14ac:dyDescent="0.25">
      <c r="A501" t="s">
        <v>14</v>
      </c>
      <c r="B501" s="1">
        <v>36.18</v>
      </c>
      <c r="C501" s="1">
        <v>36.19</v>
      </c>
      <c r="D501" s="2" t="s">
        <v>80</v>
      </c>
      <c r="E501" s="8">
        <v>1764.9625000000001</v>
      </c>
      <c r="F501" s="8">
        <f>F491</f>
        <v>0.2</v>
      </c>
      <c r="G501" s="8">
        <f>E501+F501</f>
        <v>1765.1625000000001</v>
      </c>
      <c r="H501" s="3">
        <f>B501*G501</f>
        <v>63863.579250000003</v>
      </c>
      <c r="I501" s="3">
        <f>C501*G501</f>
        <v>63881.230875000001</v>
      </c>
    </row>
    <row r="502" spans="1:9" x14ac:dyDescent="0.25">
      <c r="A502" t="s">
        <v>4</v>
      </c>
      <c r="B502" s="1">
        <v>21.16</v>
      </c>
      <c r="C502" s="1">
        <v>21.17</v>
      </c>
      <c r="D502" s="2" t="s">
        <v>81</v>
      </c>
      <c r="E502" s="8">
        <v>3014.8103999999998</v>
      </c>
      <c r="F502" s="8">
        <f>F492</f>
        <v>0</v>
      </c>
      <c r="G502" s="8">
        <f>E502+F502</f>
        <v>3014.8103999999998</v>
      </c>
      <c r="H502" s="3">
        <f>B502*G502</f>
        <v>63793.388063999999</v>
      </c>
      <c r="I502" s="3">
        <f>C502*G502</f>
        <v>63823.536167999999</v>
      </c>
    </row>
    <row r="503" spans="1:9" x14ac:dyDescent="0.25">
      <c r="A503" t="s">
        <v>6</v>
      </c>
      <c r="B503" s="1">
        <v>34.64</v>
      </c>
      <c r="C503" s="1">
        <v>34.65</v>
      </c>
      <c r="D503" s="2" t="s">
        <v>81</v>
      </c>
      <c r="E503" s="8">
        <v>1842.0397</v>
      </c>
      <c r="F503" s="8">
        <f>F493</f>
        <v>-0.1</v>
      </c>
      <c r="G503" s="8">
        <f>E503+F503</f>
        <v>1841.9397000000001</v>
      </c>
      <c r="H503" s="3">
        <f>B503*G503</f>
        <v>63804.791208000002</v>
      </c>
      <c r="I503" s="3">
        <f>C503*G503</f>
        <v>63823.210605</v>
      </c>
    </row>
    <row r="504" spans="1:9" x14ac:dyDescent="0.25">
      <c r="A504" t="s">
        <v>7</v>
      </c>
      <c r="B504" s="1">
        <v>17.989999999999998</v>
      </c>
      <c r="C504" s="1">
        <v>18</v>
      </c>
      <c r="D504" s="2" t="s">
        <v>81</v>
      </c>
      <c r="E504" s="8">
        <v>3546.3921</v>
      </c>
      <c r="F504" s="8">
        <f>F494</f>
        <v>0</v>
      </c>
      <c r="G504" s="8">
        <f>E504+F504</f>
        <v>3546.3921</v>
      </c>
      <c r="H504" s="3">
        <f>B504*G504</f>
        <v>63799.593878999993</v>
      </c>
      <c r="I504" s="3">
        <f>C504*G504</f>
        <v>63835.057800000002</v>
      </c>
    </row>
    <row r="505" spans="1:9" x14ac:dyDescent="0.25">
      <c r="A505" t="s">
        <v>8</v>
      </c>
      <c r="B505" s="1">
        <v>28.22</v>
      </c>
      <c r="C505" s="1">
        <v>28.23</v>
      </c>
      <c r="D505" s="2" t="s">
        <v>81</v>
      </c>
      <c r="E505" s="8">
        <v>2261.2671999999998</v>
      </c>
      <c r="F505" s="8">
        <f>F495</f>
        <v>-0.2</v>
      </c>
      <c r="G505" s="8">
        <f>E505+F505</f>
        <v>2261.0672</v>
      </c>
      <c r="H505" s="3">
        <f>B505*G505</f>
        <v>63807.316383999998</v>
      </c>
      <c r="I505" s="3">
        <f>C505*G505</f>
        <v>63829.927056</v>
      </c>
    </row>
    <row r="506" spans="1:9" x14ac:dyDescent="0.25">
      <c r="A506" t="s">
        <v>9</v>
      </c>
      <c r="B506" s="1">
        <v>67.42</v>
      </c>
      <c r="C506" s="1">
        <v>67.52</v>
      </c>
      <c r="D506" s="2" t="s">
        <v>81</v>
      </c>
      <c r="E506" s="8">
        <v>946.08439999999996</v>
      </c>
      <c r="F506" s="8">
        <f>F496</f>
        <v>0</v>
      </c>
      <c r="G506" s="8">
        <f>E506+F506</f>
        <v>946.08439999999996</v>
      </c>
      <c r="H506" s="3">
        <f>B506*G506</f>
        <v>63785.010247999999</v>
      </c>
      <c r="I506" s="3">
        <f>C506*G506</f>
        <v>63879.618687999995</v>
      </c>
    </row>
    <row r="507" spans="1:9" x14ac:dyDescent="0.25">
      <c r="A507" t="s">
        <v>10</v>
      </c>
      <c r="B507" s="1">
        <v>36.869999999999997</v>
      </c>
      <c r="C507" s="1">
        <v>36.89</v>
      </c>
      <c r="D507" s="2" t="s">
        <v>81</v>
      </c>
      <c r="E507" s="8">
        <v>1730.0458000000001</v>
      </c>
      <c r="F507" s="8">
        <f>F497</f>
        <v>0.2</v>
      </c>
      <c r="G507" s="8">
        <f>E507+F507</f>
        <v>1730.2458000000001</v>
      </c>
      <c r="H507" s="3">
        <f>B507*G507</f>
        <v>63794.162646000004</v>
      </c>
      <c r="I507" s="3">
        <f>C507*G507</f>
        <v>63828.767562000008</v>
      </c>
    </row>
    <row r="508" spans="1:9" x14ac:dyDescent="0.25">
      <c r="A508" t="s">
        <v>11</v>
      </c>
      <c r="B508" s="1">
        <v>55.55</v>
      </c>
      <c r="C508" s="1">
        <v>55.56</v>
      </c>
      <c r="D508" s="2" t="s">
        <v>81</v>
      </c>
      <c r="E508" s="8">
        <v>1148.79</v>
      </c>
      <c r="F508" s="8">
        <f>F498</f>
        <v>0.05</v>
      </c>
      <c r="G508" s="8">
        <f>E508+F508</f>
        <v>1148.8399999999999</v>
      </c>
      <c r="H508" s="3">
        <f>B508*G508</f>
        <v>63818.061999999991</v>
      </c>
      <c r="I508" s="3">
        <f>C508*G508</f>
        <v>63829.5504</v>
      </c>
    </row>
    <row r="509" spans="1:9" x14ac:dyDescent="0.25">
      <c r="A509" t="s">
        <v>12</v>
      </c>
      <c r="B509" s="1">
        <v>49.52</v>
      </c>
      <c r="C509" s="1">
        <v>49.53</v>
      </c>
      <c r="D509" s="2" t="s">
        <v>81</v>
      </c>
      <c r="E509" s="8">
        <v>1288.5375000000001</v>
      </c>
      <c r="F509" s="8">
        <f>F499</f>
        <v>0</v>
      </c>
      <c r="G509" s="8">
        <f>E509+F509</f>
        <v>1288.5375000000001</v>
      </c>
      <c r="H509" s="3">
        <f>B509*G509</f>
        <v>63808.377000000008</v>
      </c>
      <c r="I509" s="3">
        <f>C509*G509</f>
        <v>63821.262375000006</v>
      </c>
    </row>
    <row r="510" spans="1:9" x14ac:dyDescent="0.25">
      <c r="A510" t="s">
        <v>13</v>
      </c>
      <c r="B510" s="1">
        <v>18.04</v>
      </c>
      <c r="C510" s="1">
        <v>18.05</v>
      </c>
      <c r="D510" s="2" t="s">
        <v>81</v>
      </c>
      <c r="E510" s="8">
        <v>3535.8029000000001</v>
      </c>
      <c r="F510" s="8">
        <f>F500</f>
        <v>0</v>
      </c>
      <c r="G510" s="8">
        <f>E510+F510</f>
        <v>3535.8029000000001</v>
      </c>
      <c r="H510" s="3">
        <f>B510*G510</f>
        <v>63785.884315999996</v>
      </c>
      <c r="I510" s="3">
        <f>C510*G510</f>
        <v>63821.242345000006</v>
      </c>
    </row>
    <row r="511" spans="1:9" x14ac:dyDescent="0.25">
      <c r="A511" t="s">
        <v>14</v>
      </c>
      <c r="B511" s="1">
        <v>36.159999999999997</v>
      </c>
      <c r="C511" s="1">
        <v>36.17</v>
      </c>
      <c r="D511" s="2" t="s">
        <v>81</v>
      </c>
      <c r="E511" s="8">
        <v>1764.9625000000001</v>
      </c>
      <c r="F511" s="8">
        <f>F501</f>
        <v>0.2</v>
      </c>
      <c r="G511" s="8">
        <f>E511+F511</f>
        <v>1765.1625000000001</v>
      </c>
      <c r="H511" s="3">
        <f>B511*G511</f>
        <v>63828.275999999998</v>
      </c>
      <c r="I511" s="3">
        <f>C511*G511</f>
        <v>63845.927625000011</v>
      </c>
    </row>
    <row r="512" spans="1:9" x14ac:dyDescent="0.25">
      <c r="A512" t="s">
        <v>4</v>
      </c>
      <c r="B512" s="1">
        <v>21.2</v>
      </c>
      <c r="C512" s="1">
        <v>21.21</v>
      </c>
      <c r="D512" s="2" t="s">
        <v>82</v>
      </c>
      <c r="E512" s="8">
        <v>3014.8103999999998</v>
      </c>
      <c r="F512" s="8">
        <f>F502</f>
        <v>0</v>
      </c>
      <c r="G512" s="8">
        <f>E512+F512</f>
        <v>3014.8103999999998</v>
      </c>
      <c r="H512" s="3">
        <f>B512*G512</f>
        <v>63913.980479999991</v>
      </c>
      <c r="I512" s="3">
        <f>C512*G512</f>
        <v>63944.128583999998</v>
      </c>
    </row>
    <row r="513" spans="1:9" x14ac:dyDescent="0.25">
      <c r="A513" t="s">
        <v>6</v>
      </c>
      <c r="B513" s="1">
        <v>34.71</v>
      </c>
      <c r="C513" s="1">
        <v>34.72</v>
      </c>
      <c r="D513" s="2" t="s">
        <v>82</v>
      </c>
      <c r="E513" s="8">
        <v>1842.0397</v>
      </c>
      <c r="F513" s="8">
        <f>F503</f>
        <v>-0.1</v>
      </c>
      <c r="G513" s="8">
        <f>E513+F513</f>
        <v>1841.9397000000001</v>
      </c>
      <c r="H513" s="3">
        <f>B513*G513</f>
        <v>63933.726987000009</v>
      </c>
      <c r="I513" s="3">
        <f>C513*G513</f>
        <v>63952.146384</v>
      </c>
    </row>
    <row r="514" spans="1:9" x14ac:dyDescent="0.25">
      <c r="A514" t="s">
        <v>7</v>
      </c>
      <c r="B514" s="1">
        <v>18.02</v>
      </c>
      <c r="C514" s="1">
        <v>18.03</v>
      </c>
      <c r="D514" s="2" t="s">
        <v>82</v>
      </c>
      <c r="E514" s="8">
        <v>3546.3921</v>
      </c>
      <c r="F514" s="8">
        <f>F504</f>
        <v>0</v>
      </c>
      <c r="G514" s="8">
        <f>E514+F514</f>
        <v>3546.3921</v>
      </c>
      <c r="H514" s="3">
        <f>B514*G514</f>
        <v>63905.985642</v>
      </c>
      <c r="I514" s="3">
        <f>C514*G514</f>
        <v>63941.449563000002</v>
      </c>
    </row>
    <row r="515" spans="1:9" x14ac:dyDescent="0.25">
      <c r="A515" t="s">
        <v>8</v>
      </c>
      <c r="B515" s="1">
        <v>28.27</v>
      </c>
      <c r="C515" s="1">
        <v>28.28</v>
      </c>
      <c r="D515" s="2" t="s">
        <v>82</v>
      </c>
      <c r="E515" s="8">
        <v>2261.2671999999998</v>
      </c>
      <c r="F515" s="8">
        <f>F505</f>
        <v>-0.2</v>
      </c>
      <c r="G515" s="8">
        <f>E515+F515</f>
        <v>2261.0672</v>
      </c>
      <c r="H515" s="3">
        <f>B515*G515</f>
        <v>63920.369743999996</v>
      </c>
      <c r="I515" s="3">
        <f>C515*G515</f>
        <v>63942.980415999999</v>
      </c>
    </row>
    <row r="516" spans="1:9" x14ac:dyDescent="0.25">
      <c r="A516" t="s">
        <v>9</v>
      </c>
      <c r="B516" s="1">
        <v>67.55</v>
      </c>
      <c r="C516" s="1">
        <v>67.650000000000006</v>
      </c>
      <c r="D516" s="2" t="s">
        <v>82</v>
      </c>
      <c r="E516" s="8">
        <v>946.08439999999996</v>
      </c>
      <c r="F516" s="8">
        <f>F506</f>
        <v>0</v>
      </c>
      <c r="G516" s="8">
        <f>E516+F516</f>
        <v>946.08439999999996</v>
      </c>
      <c r="H516" s="3">
        <f>B516*G516</f>
        <v>63908.001219999991</v>
      </c>
      <c r="I516" s="3">
        <f>C516*G516</f>
        <v>64002.609660000002</v>
      </c>
    </row>
    <row r="517" spans="1:9" x14ac:dyDescent="0.25">
      <c r="A517" t="s">
        <v>10</v>
      </c>
      <c r="B517" s="1">
        <v>36.94</v>
      </c>
      <c r="C517" s="1">
        <v>36.96</v>
      </c>
      <c r="D517" s="2" t="s">
        <v>82</v>
      </c>
      <c r="E517" s="8">
        <v>1730.0458000000001</v>
      </c>
      <c r="F517" s="8">
        <f>F507</f>
        <v>0.2</v>
      </c>
      <c r="G517" s="8">
        <f>E517+F517</f>
        <v>1730.2458000000001</v>
      </c>
      <c r="H517" s="3">
        <f>B517*G517</f>
        <v>63915.279852</v>
      </c>
      <c r="I517" s="3">
        <f>C517*G517</f>
        <v>63949.884768000004</v>
      </c>
    </row>
    <row r="518" spans="1:9" x14ac:dyDescent="0.25">
      <c r="A518" t="s">
        <v>11</v>
      </c>
      <c r="B518" s="1">
        <v>55.66</v>
      </c>
      <c r="C518" s="1">
        <v>55.67</v>
      </c>
      <c r="D518" s="2" t="s">
        <v>82</v>
      </c>
      <c r="E518" s="8">
        <v>1148.79</v>
      </c>
      <c r="F518" s="8">
        <f>F508</f>
        <v>0.05</v>
      </c>
      <c r="G518" s="8">
        <f>E518+F518</f>
        <v>1148.8399999999999</v>
      </c>
      <c r="H518" s="3">
        <f>B518*G518</f>
        <v>63944.434399999991</v>
      </c>
      <c r="I518" s="3">
        <f>C518*G518</f>
        <v>63955.9228</v>
      </c>
    </row>
    <row r="519" spans="1:9" x14ac:dyDescent="0.25">
      <c r="A519" t="s">
        <v>12</v>
      </c>
      <c r="B519" s="1">
        <v>49.61</v>
      </c>
      <c r="C519" s="1">
        <v>49.62</v>
      </c>
      <c r="D519" s="2" t="s">
        <v>82</v>
      </c>
      <c r="E519" s="8">
        <v>1288.5375000000001</v>
      </c>
      <c r="F519" s="8">
        <f>F509</f>
        <v>0</v>
      </c>
      <c r="G519" s="8">
        <f>E519+F519</f>
        <v>1288.5375000000001</v>
      </c>
      <c r="H519" s="3">
        <f>B519*G519</f>
        <v>63924.345375000004</v>
      </c>
      <c r="I519" s="3">
        <f>C519*G519</f>
        <v>63937.230750000002</v>
      </c>
    </row>
    <row r="520" spans="1:9" x14ac:dyDescent="0.25">
      <c r="A520" t="s">
        <v>13</v>
      </c>
      <c r="B520" s="1">
        <v>18.079999999999998</v>
      </c>
      <c r="C520" s="1">
        <v>18.09</v>
      </c>
      <c r="D520" s="2" t="s">
        <v>82</v>
      </c>
      <c r="E520" s="8">
        <v>3535.8029000000001</v>
      </c>
      <c r="F520" s="8">
        <f>F510</f>
        <v>0</v>
      </c>
      <c r="G520" s="8">
        <f>E520+F520</f>
        <v>3535.8029000000001</v>
      </c>
      <c r="H520" s="3">
        <f>B520*G520</f>
        <v>63927.316432</v>
      </c>
      <c r="I520" s="3">
        <f>C520*G520</f>
        <v>63962.674461000002</v>
      </c>
    </row>
    <row r="521" spans="1:9" x14ac:dyDescent="0.25">
      <c r="A521" t="s">
        <v>14</v>
      </c>
      <c r="B521" s="1">
        <v>36.229999999999997</v>
      </c>
      <c r="C521" s="1">
        <v>36.24</v>
      </c>
      <c r="D521" s="2" t="s">
        <v>82</v>
      </c>
      <c r="E521" s="8">
        <v>1764.9625000000001</v>
      </c>
      <c r="F521" s="8">
        <f>F511</f>
        <v>0.2</v>
      </c>
      <c r="G521" s="8">
        <f>E521+F521</f>
        <v>1765.1625000000001</v>
      </c>
      <c r="H521" s="3">
        <f>B521*G521</f>
        <v>63951.837375000003</v>
      </c>
      <c r="I521" s="3">
        <f>C521*G521</f>
        <v>63969.489000000009</v>
      </c>
    </row>
    <row r="522" spans="1:9" x14ac:dyDescent="0.25">
      <c r="A522" t="s">
        <v>4</v>
      </c>
      <c r="B522" s="1">
        <v>21.17</v>
      </c>
      <c r="C522" s="1">
        <v>21.18</v>
      </c>
      <c r="D522" s="2" t="s">
        <v>83</v>
      </c>
      <c r="E522" s="8">
        <v>3014.8103999999998</v>
      </c>
      <c r="F522" s="8">
        <f>F512</f>
        <v>0</v>
      </c>
      <c r="G522" s="8">
        <f>E522+F522</f>
        <v>3014.8103999999998</v>
      </c>
      <c r="H522" s="3">
        <f>B522*G522</f>
        <v>63823.536167999999</v>
      </c>
      <c r="I522" s="3">
        <f>C522*G522</f>
        <v>63853.684271999999</v>
      </c>
    </row>
    <row r="523" spans="1:9" x14ac:dyDescent="0.25">
      <c r="A523" t="s">
        <v>6</v>
      </c>
      <c r="B523" s="1">
        <v>34.659999999999997</v>
      </c>
      <c r="C523" s="1">
        <v>34.67</v>
      </c>
      <c r="D523" s="2" t="s">
        <v>83</v>
      </c>
      <c r="E523" s="8">
        <v>1842.0397</v>
      </c>
      <c r="F523" s="8">
        <f>F513</f>
        <v>-0.1</v>
      </c>
      <c r="G523" s="8">
        <f>E523+F523</f>
        <v>1841.9397000000001</v>
      </c>
      <c r="H523" s="3">
        <f>B523*G523</f>
        <v>63841.630001999998</v>
      </c>
      <c r="I523" s="3">
        <f>C523*G523</f>
        <v>63860.04939900001</v>
      </c>
    </row>
    <row r="524" spans="1:9" x14ac:dyDescent="0.25">
      <c r="A524" t="s">
        <v>7</v>
      </c>
      <c r="B524" s="1">
        <v>18</v>
      </c>
      <c r="C524" s="1">
        <v>18.010000000000002</v>
      </c>
      <c r="D524" s="2" t="s">
        <v>83</v>
      </c>
      <c r="E524" s="8">
        <v>3546.3921</v>
      </c>
      <c r="F524" s="8">
        <f>F514</f>
        <v>0</v>
      </c>
      <c r="G524" s="8">
        <f>E524+F524</f>
        <v>3546.3921</v>
      </c>
      <c r="H524" s="3">
        <f>B524*G524</f>
        <v>63835.057800000002</v>
      </c>
      <c r="I524" s="3">
        <f>C524*G524</f>
        <v>63870.521721000005</v>
      </c>
    </row>
    <row r="525" spans="1:9" x14ac:dyDescent="0.25">
      <c r="A525" t="s">
        <v>8</v>
      </c>
      <c r="B525" s="1">
        <v>28.24</v>
      </c>
      <c r="C525" s="1">
        <v>28.25</v>
      </c>
      <c r="D525" s="2" t="s">
        <v>83</v>
      </c>
      <c r="E525" s="8">
        <v>2261.2671999999998</v>
      </c>
      <c r="F525" s="8">
        <f>F515</f>
        <v>-0.2</v>
      </c>
      <c r="G525" s="8">
        <f>E525+F525</f>
        <v>2261.0672</v>
      </c>
      <c r="H525" s="3">
        <f>B525*G525</f>
        <v>63852.537727999996</v>
      </c>
      <c r="I525" s="3">
        <f>C525*G525</f>
        <v>63875.148399999998</v>
      </c>
    </row>
    <row r="526" spans="1:9" x14ac:dyDescent="0.25">
      <c r="A526" t="s">
        <v>9</v>
      </c>
      <c r="B526" s="1">
        <v>67.459999999999994</v>
      </c>
      <c r="C526" s="1">
        <v>67.56</v>
      </c>
      <c r="D526" s="2" t="s">
        <v>83</v>
      </c>
      <c r="E526" s="8">
        <v>946.08439999999996</v>
      </c>
      <c r="F526" s="8">
        <f>F516</f>
        <v>0</v>
      </c>
      <c r="G526" s="8">
        <f>E526+F526</f>
        <v>946.08439999999996</v>
      </c>
      <c r="H526" s="3">
        <f>B526*G526</f>
        <v>63822.853623999988</v>
      </c>
      <c r="I526" s="3">
        <f>C526*G526</f>
        <v>63917.462063999999</v>
      </c>
    </row>
    <row r="527" spans="1:9" x14ac:dyDescent="0.25">
      <c r="A527" t="s">
        <v>10</v>
      </c>
      <c r="B527" s="1">
        <v>36.89</v>
      </c>
      <c r="C527" s="1">
        <v>36.909999999999997</v>
      </c>
      <c r="D527" s="2" t="s">
        <v>83</v>
      </c>
      <c r="E527" s="8">
        <v>1730.0458000000001</v>
      </c>
      <c r="F527" s="8">
        <f>F517</f>
        <v>0.2</v>
      </c>
      <c r="G527" s="8">
        <f>E527+F527</f>
        <v>1730.2458000000001</v>
      </c>
      <c r="H527" s="3">
        <f>B527*G527</f>
        <v>63828.767562000008</v>
      </c>
      <c r="I527" s="3">
        <f>C527*G527</f>
        <v>63863.372477999997</v>
      </c>
    </row>
    <row r="528" spans="1:9" x14ac:dyDescent="0.25">
      <c r="A528" t="s">
        <v>11</v>
      </c>
      <c r="B528" s="1">
        <v>55.58</v>
      </c>
      <c r="C528" s="1">
        <v>55.59</v>
      </c>
      <c r="D528" s="2" t="s">
        <v>83</v>
      </c>
      <c r="E528" s="8">
        <v>1148.79</v>
      </c>
      <c r="F528" s="8">
        <f>F518</f>
        <v>0.05</v>
      </c>
      <c r="G528" s="8">
        <f>E528+F528</f>
        <v>1148.8399999999999</v>
      </c>
      <c r="H528" s="3">
        <f>B528*G528</f>
        <v>63852.527199999997</v>
      </c>
      <c r="I528" s="3">
        <f>C528*G528</f>
        <v>63864.015599999999</v>
      </c>
    </row>
    <row r="529" spans="1:9" x14ac:dyDescent="0.25">
      <c r="A529" t="s">
        <v>12</v>
      </c>
      <c r="B529" s="1">
        <v>49.54</v>
      </c>
      <c r="C529" s="1">
        <v>49.56</v>
      </c>
      <c r="D529" s="2" t="s">
        <v>83</v>
      </c>
      <c r="E529" s="8">
        <v>1288.5375000000001</v>
      </c>
      <c r="F529" s="8">
        <f>F519</f>
        <v>0</v>
      </c>
      <c r="G529" s="8">
        <f>E529+F529</f>
        <v>1288.5375000000001</v>
      </c>
      <c r="H529" s="3">
        <f>B529*G529</f>
        <v>63834.147750000004</v>
      </c>
      <c r="I529" s="3">
        <f>C529*G529</f>
        <v>63859.918500000007</v>
      </c>
    </row>
    <row r="530" spans="1:9" x14ac:dyDescent="0.25">
      <c r="A530" t="s">
        <v>13</v>
      </c>
      <c r="B530" s="1">
        <v>18.05</v>
      </c>
      <c r="C530" s="1">
        <v>18.059999999999999</v>
      </c>
      <c r="D530" s="2" t="s">
        <v>83</v>
      </c>
      <c r="E530" s="8">
        <v>3535.8029000000001</v>
      </c>
      <c r="F530" s="8">
        <f>F520</f>
        <v>0</v>
      </c>
      <c r="G530" s="8">
        <f>E530+F530</f>
        <v>3535.8029000000001</v>
      </c>
      <c r="H530" s="3">
        <f>B530*G530</f>
        <v>63821.242345000006</v>
      </c>
      <c r="I530" s="3">
        <f>C530*G530</f>
        <v>63856.600374000001</v>
      </c>
    </row>
    <row r="531" spans="1:9" x14ac:dyDescent="0.25">
      <c r="A531" t="s">
        <v>14</v>
      </c>
      <c r="B531" s="1">
        <v>36.18</v>
      </c>
      <c r="C531" s="1">
        <v>36.19</v>
      </c>
      <c r="D531" s="2" t="s">
        <v>83</v>
      </c>
      <c r="E531" s="8">
        <v>1764.9625000000001</v>
      </c>
      <c r="F531" s="8">
        <f>F521</f>
        <v>0.2</v>
      </c>
      <c r="G531" s="8">
        <f>E531+F531</f>
        <v>1765.1625000000001</v>
      </c>
      <c r="H531" s="3">
        <f>B531*G531</f>
        <v>63863.579250000003</v>
      </c>
      <c r="I531" s="3">
        <f>C531*G531</f>
        <v>63881.230875000001</v>
      </c>
    </row>
    <row r="532" spans="1:9" x14ac:dyDescent="0.25">
      <c r="A532" t="s">
        <v>4</v>
      </c>
      <c r="B532" s="1">
        <v>21.16</v>
      </c>
      <c r="C532" s="1">
        <v>21.17</v>
      </c>
      <c r="D532" s="2" t="s">
        <v>84</v>
      </c>
      <c r="E532" s="8">
        <v>3014.8103999999998</v>
      </c>
      <c r="F532" s="8">
        <f>F522</f>
        <v>0</v>
      </c>
      <c r="G532" s="8">
        <f>E532+F532</f>
        <v>3014.8103999999998</v>
      </c>
      <c r="H532" s="3">
        <f>B532*G532</f>
        <v>63793.388063999999</v>
      </c>
      <c r="I532" s="3">
        <f>C532*G532</f>
        <v>63823.536167999999</v>
      </c>
    </row>
    <row r="533" spans="1:9" x14ac:dyDescent="0.25">
      <c r="A533" t="s">
        <v>6</v>
      </c>
      <c r="B533" s="1">
        <v>34.630000000000003</v>
      </c>
      <c r="C533" s="1">
        <v>34.64</v>
      </c>
      <c r="D533" s="2" t="s">
        <v>84</v>
      </c>
      <c r="E533" s="8">
        <v>1842.0397</v>
      </c>
      <c r="F533" s="8">
        <f>F523</f>
        <v>-0.1</v>
      </c>
      <c r="G533" s="8">
        <f>E533+F533</f>
        <v>1841.9397000000001</v>
      </c>
      <c r="H533" s="3">
        <f>B533*G533</f>
        <v>63786.371811000012</v>
      </c>
      <c r="I533" s="3">
        <f>C533*G533</f>
        <v>63804.791208000002</v>
      </c>
    </row>
    <row r="534" spans="1:9" x14ac:dyDescent="0.25">
      <c r="A534" t="s">
        <v>7</v>
      </c>
      <c r="B534" s="1">
        <v>17.989999999999998</v>
      </c>
      <c r="C534" s="1">
        <v>18</v>
      </c>
      <c r="D534" s="2" t="s">
        <v>84</v>
      </c>
      <c r="E534" s="8">
        <v>3546.3921</v>
      </c>
      <c r="F534" s="8">
        <f>F524</f>
        <v>0</v>
      </c>
      <c r="G534" s="8">
        <f>E534+F534</f>
        <v>3546.3921</v>
      </c>
      <c r="H534" s="3">
        <f>B534*G534</f>
        <v>63799.593878999993</v>
      </c>
      <c r="I534" s="3">
        <f>C534*G534</f>
        <v>63835.057800000002</v>
      </c>
    </row>
    <row r="535" spans="1:9" x14ac:dyDescent="0.25">
      <c r="A535" t="s">
        <v>8</v>
      </c>
      <c r="B535" s="1">
        <v>28.21</v>
      </c>
      <c r="C535" s="1">
        <v>28.22</v>
      </c>
      <c r="D535" s="2" t="s">
        <v>84</v>
      </c>
      <c r="E535" s="8">
        <v>2261.2671999999998</v>
      </c>
      <c r="F535" s="8">
        <f>F525</f>
        <v>-0.2</v>
      </c>
      <c r="G535" s="8">
        <f>E535+F535</f>
        <v>2261.0672</v>
      </c>
      <c r="H535" s="3">
        <f>B535*G535</f>
        <v>63784.705712000003</v>
      </c>
      <c r="I535" s="3">
        <f>C535*G535</f>
        <v>63807.316383999998</v>
      </c>
    </row>
    <row r="536" spans="1:9" x14ac:dyDescent="0.25">
      <c r="A536" t="s">
        <v>9</v>
      </c>
      <c r="B536" s="1">
        <v>67.41</v>
      </c>
      <c r="C536" s="1">
        <v>67.510000000000005</v>
      </c>
      <c r="D536" s="2" t="s">
        <v>84</v>
      </c>
      <c r="E536" s="8">
        <v>946.08439999999996</v>
      </c>
      <c r="F536" s="8">
        <f>F526</f>
        <v>0</v>
      </c>
      <c r="G536" s="8">
        <f>E536+F536</f>
        <v>946.08439999999996</v>
      </c>
      <c r="H536" s="3">
        <f>B536*G536</f>
        <v>63775.549403999998</v>
      </c>
      <c r="I536" s="3">
        <f>C536*G536</f>
        <v>63870.157844000001</v>
      </c>
    </row>
    <row r="537" spans="1:9" x14ac:dyDescent="0.25">
      <c r="A537" t="s">
        <v>10</v>
      </c>
      <c r="B537" s="1">
        <v>36.86</v>
      </c>
      <c r="C537" s="1">
        <v>36.880000000000003</v>
      </c>
      <c r="D537" s="2" t="s">
        <v>84</v>
      </c>
      <c r="E537" s="8">
        <v>1730.0458000000001</v>
      </c>
      <c r="F537" s="8">
        <f>F527</f>
        <v>0.2</v>
      </c>
      <c r="G537" s="8">
        <f>E537+F537</f>
        <v>1730.2458000000001</v>
      </c>
      <c r="H537" s="3">
        <f>B537*G537</f>
        <v>63776.860188000006</v>
      </c>
      <c r="I537" s="3">
        <f>C537*G537</f>
        <v>63811.46510400001</v>
      </c>
    </row>
    <row r="538" spans="1:9" x14ac:dyDescent="0.25">
      <c r="A538" t="s">
        <v>11</v>
      </c>
      <c r="B538" s="1">
        <v>55.53</v>
      </c>
      <c r="C538" s="1">
        <v>55.54</v>
      </c>
      <c r="D538" s="2" t="s">
        <v>84</v>
      </c>
      <c r="E538" s="8">
        <v>1148.79</v>
      </c>
      <c r="F538" s="8">
        <f>F528</f>
        <v>0.05</v>
      </c>
      <c r="G538" s="8">
        <f>E538+F538</f>
        <v>1148.8399999999999</v>
      </c>
      <c r="H538" s="3">
        <f>B538*G538</f>
        <v>63795.085199999994</v>
      </c>
      <c r="I538" s="3">
        <f>C538*G538</f>
        <v>63806.573599999996</v>
      </c>
    </row>
    <row r="539" spans="1:9" x14ac:dyDescent="0.25">
      <c r="A539" t="s">
        <v>12</v>
      </c>
      <c r="B539" s="1">
        <v>49.5</v>
      </c>
      <c r="C539" s="1">
        <v>49.51</v>
      </c>
      <c r="D539" s="2" t="s">
        <v>84</v>
      </c>
      <c r="E539" s="8">
        <v>1288.5375000000001</v>
      </c>
      <c r="F539" s="8">
        <f>F529</f>
        <v>0</v>
      </c>
      <c r="G539" s="8">
        <f>E539+F539</f>
        <v>1288.5375000000001</v>
      </c>
      <c r="H539" s="3">
        <f>B539*G539</f>
        <v>63782.606250000004</v>
      </c>
      <c r="I539" s="3">
        <f>C539*G539</f>
        <v>63795.491625000002</v>
      </c>
    </row>
    <row r="540" spans="1:9" x14ac:dyDescent="0.25">
      <c r="A540" t="s">
        <v>13</v>
      </c>
      <c r="B540" s="1">
        <v>18.04</v>
      </c>
      <c r="C540" s="1">
        <v>18.05</v>
      </c>
      <c r="D540" s="2" t="s">
        <v>84</v>
      </c>
      <c r="E540" s="8">
        <v>3535.8029000000001</v>
      </c>
      <c r="F540" s="8">
        <f>F530</f>
        <v>0</v>
      </c>
      <c r="G540" s="8">
        <f>E540+F540</f>
        <v>3535.8029000000001</v>
      </c>
      <c r="H540" s="3">
        <f>B540*G540</f>
        <v>63785.884315999996</v>
      </c>
      <c r="I540" s="3">
        <f>C540*G540</f>
        <v>63821.242345000006</v>
      </c>
    </row>
    <row r="541" spans="1:9" x14ac:dyDescent="0.25">
      <c r="A541" t="s">
        <v>14</v>
      </c>
      <c r="B541" s="1">
        <v>36.15</v>
      </c>
      <c r="C541" s="1">
        <v>36.159999999999997</v>
      </c>
      <c r="D541" s="2" t="s">
        <v>84</v>
      </c>
      <c r="E541" s="8">
        <v>1764.9625000000001</v>
      </c>
      <c r="F541" s="8">
        <f>F531</f>
        <v>0.2</v>
      </c>
      <c r="G541" s="8">
        <f>E541+F541</f>
        <v>1765.1625000000001</v>
      </c>
      <c r="H541" s="3">
        <f>B541*G541</f>
        <v>63810.624374999999</v>
      </c>
      <c r="I541" s="3">
        <f>C541*G541</f>
        <v>63828.275999999998</v>
      </c>
    </row>
    <row r="542" spans="1:9" x14ac:dyDescent="0.25">
      <c r="A542" t="s">
        <v>4</v>
      </c>
      <c r="B542" s="1">
        <v>21.16</v>
      </c>
      <c r="C542" s="1">
        <v>21.17</v>
      </c>
      <c r="D542" s="2" t="s">
        <v>85</v>
      </c>
      <c r="E542" s="8">
        <v>3014.8103999999998</v>
      </c>
      <c r="F542" s="8">
        <f>F532</f>
        <v>0</v>
      </c>
      <c r="G542" s="8">
        <f>E542+F542</f>
        <v>3014.8103999999998</v>
      </c>
      <c r="H542" s="3">
        <f>B542*G542</f>
        <v>63793.388063999999</v>
      </c>
      <c r="I542" s="3">
        <f>C542*G542</f>
        <v>63823.536167999999</v>
      </c>
    </row>
    <row r="543" spans="1:9" x14ac:dyDescent="0.25">
      <c r="A543" t="s">
        <v>6</v>
      </c>
      <c r="B543" s="1">
        <v>34.64</v>
      </c>
      <c r="C543" s="1">
        <v>34.65</v>
      </c>
      <c r="D543" s="2" t="s">
        <v>85</v>
      </c>
      <c r="E543" s="8">
        <v>1842.0397</v>
      </c>
      <c r="F543" s="8">
        <f>F533</f>
        <v>-0.1</v>
      </c>
      <c r="G543" s="8">
        <f>E543+F543</f>
        <v>1841.9397000000001</v>
      </c>
      <c r="H543" s="3">
        <f>B543*G543</f>
        <v>63804.791208000002</v>
      </c>
      <c r="I543" s="3">
        <f>C543*G543</f>
        <v>63823.210605</v>
      </c>
    </row>
    <row r="544" spans="1:9" x14ac:dyDescent="0.25">
      <c r="A544" t="s">
        <v>7</v>
      </c>
      <c r="B544" s="1">
        <v>17.989999999999998</v>
      </c>
      <c r="C544" s="1">
        <v>18</v>
      </c>
      <c r="D544" s="2" t="s">
        <v>85</v>
      </c>
      <c r="E544" s="8">
        <v>3546.3921</v>
      </c>
      <c r="F544" s="8">
        <f>F534</f>
        <v>0</v>
      </c>
      <c r="G544" s="8">
        <f>E544+F544</f>
        <v>3546.3921</v>
      </c>
      <c r="H544" s="3">
        <f>B544*G544</f>
        <v>63799.593878999993</v>
      </c>
      <c r="I544" s="3">
        <f>C544*G544</f>
        <v>63835.057800000002</v>
      </c>
    </row>
    <row r="545" spans="1:9" x14ac:dyDescent="0.25">
      <c r="A545" t="s">
        <v>8</v>
      </c>
      <c r="B545" s="1">
        <v>28.22</v>
      </c>
      <c r="C545" s="1">
        <v>28.23</v>
      </c>
      <c r="D545" s="2" t="s">
        <v>85</v>
      </c>
      <c r="E545" s="8">
        <v>2261.2671999999998</v>
      </c>
      <c r="F545" s="8">
        <f>F535</f>
        <v>-0.2</v>
      </c>
      <c r="G545" s="8">
        <f>E545+F545</f>
        <v>2261.0672</v>
      </c>
      <c r="H545" s="3">
        <f>B545*G545</f>
        <v>63807.316383999998</v>
      </c>
      <c r="I545" s="3">
        <f>C545*G545</f>
        <v>63829.927056</v>
      </c>
    </row>
    <row r="546" spans="1:9" x14ac:dyDescent="0.25">
      <c r="A546" t="s">
        <v>9</v>
      </c>
      <c r="B546" s="1">
        <v>67.42</v>
      </c>
      <c r="C546" s="1">
        <v>67.489999999999995</v>
      </c>
      <c r="D546" s="2" t="s">
        <v>85</v>
      </c>
      <c r="E546" s="8">
        <v>946.08439999999996</v>
      </c>
      <c r="F546" s="8">
        <f>F536</f>
        <v>0</v>
      </c>
      <c r="G546" s="8">
        <f>E546+F546</f>
        <v>946.08439999999996</v>
      </c>
      <c r="H546" s="3">
        <f>B546*G546</f>
        <v>63785.010247999999</v>
      </c>
      <c r="I546" s="3">
        <f>C546*G546</f>
        <v>63851.236155999992</v>
      </c>
    </row>
    <row r="547" spans="1:9" x14ac:dyDescent="0.25">
      <c r="A547" t="s">
        <v>10</v>
      </c>
      <c r="B547" s="1">
        <v>36.869999999999997</v>
      </c>
      <c r="C547" s="1">
        <v>36.89</v>
      </c>
      <c r="D547" s="2" t="s">
        <v>85</v>
      </c>
      <c r="E547" s="8">
        <v>1730.0458000000001</v>
      </c>
      <c r="F547" s="8">
        <f>F537</f>
        <v>0.2</v>
      </c>
      <c r="G547" s="8">
        <f>E547+F547</f>
        <v>1730.2458000000001</v>
      </c>
      <c r="H547" s="3">
        <f>B547*G547</f>
        <v>63794.162646000004</v>
      </c>
      <c r="I547" s="3">
        <f>C547*G547</f>
        <v>63828.767562000008</v>
      </c>
    </row>
    <row r="548" spans="1:9" x14ac:dyDescent="0.25">
      <c r="A548" t="s">
        <v>11</v>
      </c>
      <c r="B548" s="1">
        <v>55.54</v>
      </c>
      <c r="C548" s="1">
        <v>55.55</v>
      </c>
      <c r="D548" s="2" t="s">
        <v>85</v>
      </c>
      <c r="E548" s="8">
        <v>1148.79</v>
      </c>
      <c r="F548" s="8">
        <f>F538</f>
        <v>0.05</v>
      </c>
      <c r="G548" s="8">
        <f>E548+F548</f>
        <v>1148.8399999999999</v>
      </c>
      <c r="H548" s="3">
        <f>B548*G548</f>
        <v>63806.573599999996</v>
      </c>
      <c r="I548" s="3">
        <f>C548*G548</f>
        <v>63818.061999999991</v>
      </c>
    </row>
    <row r="549" spans="1:9" x14ac:dyDescent="0.25">
      <c r="A549" t="s">
        <v>12</v>
      </c>
      <c r="B549" s="1">
        <v>49.52</v>
      </c>
      <c r="C549" s="1">
        <v>49.53</v>
      </c>
      <c r="D549" s="2" t="s">
        <v>85</v>
      </c>
      <c r="E549" s="8">
        <v>1288.5375000000001</v>
      </c>
      <c r="F549" s="8">
        <f>F539</f>
        <v>0</v>
      </c>
      <c r="G549" s="8">
        <f>E549+F549</f>
        <v>1288.5375000000001</v>
      </c>
      <c r="H549" s="3">
        <f>B549*G549</f>
        <v>63808.377000000008</v>
      </c>
      <c r="I549" s="3">
        <f>C549*G549</f>
        <v>63821.262375000006</v>
      </c>
    </row>
    <row r="550" spans="1:9" x14ac:dyDescent="0.25">
      <c r="A550" t="s">
        <v>13</v>
      </c>
      <c r="B550" s="1">
        <v>18.04</v>
      </c>
      <c r="C550" s="1">
        <v>18.05</v>
      </c>
      <c r="D550" s="2" t="s">
        <v>85</v>
      </c>
      <c r="E550" s="8">
        <v>3535.8029000000001</v>
      </c>
      <c r="F550" s="8">
        <f>F540</f>
        <v>0</v>
      </c>
      <c r="G550" s="8">
        <f>E550+F550</f>
        <v>3535.8029000000001</v>
      </c>
      <c r="H550" s="3">
        <f>B550*G550</f>
        <v>63785.884315999996</v>
      </c>
      <c r="I550" s="3">
        <f>C550*G550</f>
        <v>63821.242345000006</v>
      </c>
    </row>
    <row r="551" spans="1:9" x14ac:dyDescent="0.25">
      <c r="A551" t="s">
        <v>14</v>
      </c>
      <c r="B551" s="1">
        <v>36.15</v>
      </c>
      <c r="C551" s="1">
        <v>36.159999999999997</v>
      </c>
      <c r="D551" s="2" t="s">
        <v>85</v>
      </c>
      <c r="E551" s="8">
        <v>1764.9625000000001</v>
      </c>
      <c r="F551" s="8">
        <f>F541</f>
        <v>0.2</v>
      </c>
      <c r="G551" s="8">
        <f>E551+F551</f>
        <v>1765.1625000000001</v>
      </c>
      <c r="H551" s="3">
        <f>B551*G551</f>
        <v>63810.624374999999</v>
      </c>
      <c r="I551" s="3">
        <f>C551*G551</f>
        <v>63828.275999999998</v>
      </c>
    </row>
    <row r="552" spans="1:9" x14ac:dyDescent="0.25">
      <c r="A552" t="s">
        <v>4</v>
      </c>
      <c r="B552" s="1">
        <v>21.17</v>
      </c>
      <c r="C552" s="1">
        <v>21.18</v>
      </c>
      <c r="D552" s="2" t="s">
        <v>86</v>
      </c>
      <c r="E552" s="8">
        <v>3014.8103999999998</v>
      </c>
      <c r="F552" s="8">
        <f>F542</f>
        <v>0</v>
      </c>
      <c r="G552" s="8">
        <f>E552+F552</f>
        <v>3014.8103999999998</v>
      </c>
      <c r="H552" s="3">
        <f>B552*G552</f>
        <v>63823.536167999999</v>
      </c>
      <c r="I552" s="3">
        <f>C552*G552</f>
        <v>63853.684271999999</v>
      </c>
    </row>
    <row r="553" spans="1:9" x14ac:dyDescent="0.25">
      <c r="A553" t="s">
        <v>6</v>
      </c>
      <c r="B553" s="1">
        <v>34.65</v>
      </c>
      <c r="C553" s="1">
        <v>34.659999999999997</v>
      </c>
      <c r="D553" s="2" t="s">
        <v>86</v>
      </c>
      <c r="E553" s="8">
        <v>1842.0397</v>
      </c>
      <c r="F553" s="8">
        <f>F543</f>
        <v>-0.1</v>
      </c>
      <c r="G553" s="8">
        <f>E553+F553</f>
        <v>1841.9397000000001</v>
      </c>
      <c r="H553" s="3">
        <f>B553*G553</f>
        <v>63823.210605</v>
      </c>
      <c r="I553" s="3">
        <f>C553*G553</f>
        <v>63841.630001999998</v>
      </c>
    </row>
    <row r="554" spans="1:9" x14ac:dyDescent="0.25">
      <c r="A554" t="s">
        <v>7</v>
      </c>
      <c r="B554" s="1">
        <v>18</v>
      </c>
      <c r="C554" s="1">
        <v>18.010000000000002</v>
      </c>
      <c r="D554" s="2" t="s">
        <v>86</v>
      </c>
      <c r="E554" s="8">
        <v>3546.3921</v>
      </c>
      <c r="F554" s="8">
        <f>F544</f>
        <v>0</v>
      </c>
      <c r="G554" s="8">
        <f>E554+F554</f>
        <v>3546.3921</v>
      </c>
      <c r="H554" s="3">
        <f>B554*G554</f>
        <v>63835.057800000002</v>
      </c>
      <c r="I554" s="3">
        <f>C554*G554</f>
        <v>63870.521721000005</v>
      </c>
    </row>
    <row r="555" spans="1:9" x14ac:dyDescent="0.25">
      <c r="A555" t="s">
        <v>8</v>
      </c>
      <c r="B555" s="1">
        <v>28.23</v>
      </c>
      <c r="C555" s="1">
        <v>28.24</v>
      </c>
      <c r="D555" s="2" t="s">
        <v>86</v>
      </c>
      <c r="E555" s="8">
        <v>2261.2671999999998</v>
      </c>
      <c r="F555" s="8">
        <f>F545</f>
        <v>-0.2</v>
      </c>
      <c r="G555" s="8">
        <f>E555+F555</f>
        <v>2261.0672</v>
      </c>
      <c r="H555" s="3">
        <f>B555*G555</f>
        <v>63829.927056</v>
      </c>
      <c r="I555" s="3">
        <f>C555*G555</f>
        <v>63852.537727999996</v>
      </c>
    </row>
    <row r="556" spans="1:9" x14ac:dyDescent="0.25">
      <c r="A556" t="s">
        <v>9</v>
      </c>
      <c r="B556" s="1">
        <v>67.44</v>
      </c>
      <c r="C556" s="1">
        <v>67.540000000000006</v>
      </c>
      <c r="D556" s="2" t="s">
        <v>86</v>
      </c>
      <c r="E556" s="8">
        <v>946.08439999999996</v>
      </c>
      <c r="F556" s="8">
        <f>F546</f>
        <v>0</v>
      </c>
      <c r="G556" s="8">
        <f>E556+F556</f>
        <v>946.08439999999996</v>
      </c>
      <c r="H556" s="3">
        <f>B556*G556</f>
        <v>63803.931935999994</v>
      </c>
      <c r="I556" s="3">
        <f>C556*G556</f>
        <v>63898.540376000004</v>
      </c>
    </row>
    <row r="557" spans="1:9" x14ac:dyDescent="0.25">
      <c r="A557" t="s">
        <v>10</v>
      </c>
      <c r="B557" s="1">
        <v>36.880000000000003</v>
      </c>
      <c r="C557" s="1">
        <v>36.9</v>
      </c>
      <c r="D557" s="2" t="s">
        <v>86</v>
      </c>
      <c r="E557" s="8">
        <v>1730.0458000000001</v>
      </c>
      <c r="F557" s="8">
        <f>F547</f>
        <v>0.2</v>
      </c>
      <c r="G557" s="8">
        <f>E557+F557</f>
        <v>1730.2458000000001</v>
      </c>
      <c r="H557" s="3">
        <f>B557*G557</f>
        <v>63811.46510400001</v>
      </c>
      <c r="I557" s="3">
        <f>C557*G557</f>
        <v>63846.070020000006</v>
      </c>
    </row>
    <row r="558" spans="1:9" x14ac:dyDescent="0.25">
      <c r="A558" t="s">
        <v>11</v>
      </c>
      <c r="B558" s="1">
        <v>55.56</v>
      </c>
      <c r="C558" s="1">
        <v>55.57</v>
      </c>
      <c r="D558" s="2" t="s">
        <v>86</v>
      </c>
      <c r="E558" s="8">
        <v>1148.79</v>
      </c>
      <c r="F558" s="8">
        <f>F548</f>
        <v>0.05</v>
      </c>
      <c r="G558" s="8">
        <f>E558+F558</f>
        <v>1148.8399999999999</v>
      </c>
      <c r="H558" s="3">
        <f>B558*G558</f>
        <v>63829.5504</v>
      </c>
      <c r="I558" s="3">
        <f>C558*G558</f>
        <v>63841.038799999995</v>
      </c>
    </row>
    <row r="559" spans="1:9" x14ac:dyDescent="0.25">
      <c r="A559" t="s">
        <v>12</v>
      </c>
      <c r="B559" s="1">
        <v>49.53</v>
      </c>
      <c r="C559" s="1">
        <v>49.54</v>
      </c>
      <c r="D559" s="2" t="s">
        <v>86</v>
      </c>
      <c r="E559" s="8">
        <v>1288.5375000000001</v>
      </c>
      <c r="F559" s="8">
        <f>F549</f>
        <v>0</v>
      </c>
      <c r="G559" s="8">
        <f>E559+F559</f>
        <v>1288.5375000000001</v>
      </c>
      <c r="H559" s="3">
        <f>B559*G559</f>
        <v>63821.262375000006</v>
      </c>
      <c r="I559" s="3">
        <f>C559*G559</f>
        <v>63834.147750000004</v>
      </c>
    </row>
    <row r="560" spans="1:9" x14ac:dyDescent="0.25">
      <c r="A560" t="s">
        <v>13</v>
      </c>
      <c r="B560" s="1">
        <v>18.05</v>
      </c>
      <c r="C560" s="1">
        <v>18.059999999999999</v>
      </c>
      <c r="D560" s="2" t="s">
        <v>86</v>
      </c>
      <c r="E560" s="8">
        <v>3535.8029000000001</v>
      </c>
      <c r="F560" s="8">
        <f>F550</f>
        <v>0</v>
      </c>
      <c r="G560" s="8">
        <f>E560+F560</f>
        <v>3535.8029000000001</v>
      </c>
      <c r="H560" s="3">
        <f>B560*G560</f>
        <v>63821.242345000006</v>
      </c>
      <c r="I560" s="3">
        <f>C560*G560</f>
        <v>63856.600374000001</v>
      </c>
    </row>
    <row r="561" spans="1:9" x14ac:dyDescent="0.25">
      <c r="A561" t="s">
        <v>14</v>
      </c>
      <c r="B561" s="1">
        <v>36.17</v>
      </c>
      <c r="C561" s="1">
        <v>36.18</v>
      </c>
      <c r="D561" s="2" t="s">
        <v>86</v>
      </c>
      <c r="E561" s="8">
        <v>1764.9625000000001</v>
      </c>
      <c r="F561" s="8">
        <f>F551</f>
        <v>0.2</v>
      </c>
      <c r="G561" s="8">
        <f>E561+F561</f>
        <v>1765.1625000000001</v>
      </c>
      <c r="H561" s="3">
        <f>B561*G561</f>
        <v>63845.927625000011</v>
      </c>
      <c r="I561" s="3">
        <f>C561*G561</f>
        <v>63863.579250000003</v>
      </c>
    </row>
    <row r="562" spans="1:9" x14ac:dyDescent="0.25">
      <c r="A562" t="s">
        <v>4</v>
      </c>
      <c r="B562" s="1">
        <v>21.15</v>
      </c>
      <c r="C562" s="1">
        <v>21.16</v>
      </c>
      <c r="D562" s="2" t="s">
        <v>87</v>
      </c>
      <c r="E562" s="8">
        <v>3014.8103999999998</v>
      </c>
      <c r="F562" s="8">
        <f>F552</f>
        <v>0</v>
      </c>
      <c r="G562" s="8">
        <f>E562+F562</f>
        <v>3014.8103999999998</v>
      </c>
      <c r="H562" s="3">
        <f>B562*G562</f>
        <v>63763.239959999992</v>
      </c>
      <c r="I562" s="3">
        <f>C562*G562</f>
        <v>63793.388063999999</v>
      </c>
    </row>
    <row r="563" spans="1:9" x14ac:dyDescent="0.25">
      <c r="A563" t="s">
        <v>6</v>
      </c>
      <c r="B563" s="1">
        <v>34.630000000000003</v>
      </c>
      <c r="C563" s="1">
        <v>34.64</v>
      </c>
      <c r="D563" s="2" t="s">
        <v>87</v>
      </c>
      <c r="E563" s="8">
        <v>1842.0397</v>
      </c>
      <c r="F563" s="8">
        <f>F553</f>
        <v>-0.1</v>
      </c>
      <c r="G563" s="8">
        <f>E563+F563</f>
        <v>1841.9397000000001</v>
      </c>
      <c r="H563" s="3">
        <f>B563*G563</f>
        <v>63786.371811000012</v>
      </c>
      <c r="I563" s="3">
        <f>C563*G563</f>
        <v>63804.791208000002</v>
      </c>
    </row>
    <row r="564" spans="1:9" x14ac:dyDescent="0.25">
      <c r="A564" t="s">
        <v>7</v>
      </c>
      <c r="B564" s="1">
        <v>17.989999999999998</v>
      </c>
      <c r="C564" s="1">
        <v>18</v>
      </c>
      <c r="D564" s="2" t="s">
        <v>87</v>
      </c>
      <c r="E564" s="8">
        <v>3546.3921</v>
      </c>
      <c r="F564" s="8">
        <f>F554</f>
        <v>0</v>
      </c>
      <c r="G564" s="8">
        <f>E564+F564</f>
        <v>3546.3921</v>
      </c>
      <c r="H564" s="3">
        <f>B564*G564</f>
        <v>63799.593878999993</v>
      </c>
      <c r="I564" s="3">
        <f>C564*G564</f>
        <v>63835.057800000002</v>
      </c>
    </row>
    <row r="565" spans="1:9" x14ac:dyDescent="0.25">
      <c r="A565" t="s">
        <v>8</v>
      </c>
      <c r="B565" s="1">
        <v>28.21</v>
      </c>
      <c r="C565" s="1">
        <v>28.22</v>
      </c>
      <c r="D565" s="2" t="s">
        <v>87</v>
      </c>
      <c r="E565" s="8">
        <v>2261.2671999999998</v>
      </c>
      <c r="F565" s="8">
        <f>F555</f>
        <v>-0.2</v>
      </c>
      <c r="G565" s="8">
        <f>E565+F565</f>
        <v>2261.0672</v>
      </c>
      <c r="H565" s="3">
        <f>B565*G565</f>
        <v>63784.705712000003</v>
      </c>
      <c r="I565" s="3">
        <f>C565*G565</f>
        <v>63807.316383999998</v>
      </c>
    </row>
    <row r="566" spans="1:9" x14ac:dyDescent="0.25">
      <c r="A566" t="s">
        <v>9</v>
      </c>
      <c r="B566" s="1">
        <v>67.39</v>
      </c>
      <c r="C566" s="1">
        <v>67.489999999999995</v>
      </c>
      <c r="D566" s="2" t="s">
        <v>87</v>
      </c>
      <c r="E566" s="8">
        <v>946.08439999999996</v>
      </c>
      <c r="F566" s="8">
        <f>F556</f>
        <v>0</v>
      </c>
      <c r="G566" s="8">
        <f>E566+F566</f>
        <v>946.08439999999996</v>
      </c>
      <c r="H566" s="3">
        <f>B566*G566</f>
        <v>63756.627715999995</v>
      </c>
      <c r="I566" s="3">
        <f>C566*G566</f>
        <v>63851.236155999992</v>
      </c>
    </row>
    <row r="567" spans="1:9" x14ac:dyDescent="0.25">
      <c r="A567" t="s">
        <v>10</v>
      </c>
      <c r="B567" s="1">
        <v>36.86</v>
      </c>
      <c r="C567" s="1">
        <v>36.880000000000003</v>
      </c>
      <c r="D567" s="2" t="s">
        <v>87</v>
      </c>
      <c r="E567" s="8">
        <v>1730.0458000000001</v>
      </c>
      <c r="F567" s="8">
        <f>F557</f>
        <v>0.2</v>
      </c>
      <c r="G567" s="8">
        <f>E567+F567</f>
        <v>1730.2458000000001</v>
      </c>
      <c r="H567" s="3">
        <f>B567*G567</f>
        <v>63776.860188000006</v>
      </c>
      <c r="I567" s="3">
        <f>C567*G567</f>
        <v>63811.46510400001</v>
      </c>
    </row>
    <row r="568" spans="1:9" x14ac:dyDescent="0.25">
      <c r="A568" t="s">
        <v>11</v>
      </c>
      <c r="B568" s="1">
        <v>55.52</v>
      </c>
      <c r="C568" s="1">
        <v>55.53</v>
      </c>
      <c r="D568" s="2" t="s">
        <v>87</v>
      </c>
      <c r="E568" s="8">
        <v>1148.79</v>
      </c>
      <c r="F568" s="8">
        <f>F558</f>
        <v>0.05</v>
      </c>
      <c r="G568" s="8">
        <f>E568+F568</f>
        <v>1148.8399999999999</v>
      </c>
      <c r="H568" s="3">
        <f>B568*G568</f>
        <v>63783.596799999999</v>
      </c>
      <c r="I568" s="3">
        <f>C568*G568</f>
        <v>63795.085199999994</v>
      </c>
    </row>
    <row r="569" spans="1:9" x14ac:dyDescent="0.25">
      <c r="A569" t="s">
        <v>12</v>
      </c>
      <c r="B569" s="1">
        <v>49.5</v>
      </c>
      <c r="C569" s="1">
        <v>49.51</v>
      </c>
      <c r="D569" s="2" t="s">
        <v>87</v>
      </c>
      <c r="E569" s="8">
        <v>1288.5375000000001</v>
      </c>
      <c r="F569" s="8">
        <f>F559</f>
        <v>0</v>
      </c>
      <c r="G569" s="8">
        <f>E569+F569</f>
        <v>1288.5375000000001</v>
      </c>
      <c r="H569" s="3">
        <f>B569*G569</f>
        <v>63782.606250000004</v>
      </c>
      <c r="I569" s="3">
        <f>C569*G569</f>
        <v>63795.491625000002</v>
      </c>
    </row>
    <row r="570" spans="1:9" x14ac:dyDescent="0.25">
      <c r="A570" t="s">
        <v>13</v>
      </c>
      <c r="B570" s="1">
        <v>18.04</v>
      </c>
      <c r="C570" s="1">
        <v>18.05</v>
      </c>
      <c r="D570" s="2" t="s">
        <v>87</v>
      </c>
      <c r="E570" s="8">
        <v>3535.8029000000001</v>
      </c>
      <c r="F570" s="8">
        <f>F560</f>
        <v>0</v>
      </c>
      <c r="G570" s="8">
        <f>E570+F570</f>
        <v>3535.8029000000001</v>
      </c>
      <c r="H570" s="3">
        <f>B570*G570</f>
        <v>63785.884315999996</v>
      </c>
      <c r="I570" s="3">
        <f>C570*G570</f>
        <v>63821.242345000006</v>
      </c>
    </row>
    <row r="571" spans="1:9" x14ac:dyDescent="0.25">
      <c r="A571" t="s">
        <v>14</v>
      </c>
      <c r="B571" s="1">
        <v>36.14</v>
      </c>
      <c r="C571" s="1">
        <v>36.15</v>
      </c>
      <c r="D571" s="2" t="s">
        <v>87</v>
      </c>
      <c r="E571" s="8">
        <v>1764.9625000000001</v>
      </c>
      <c r="F571" s="8">
        <f>F561</f>
        <v>0.2</v>
      </c>
      <c r="G571" s="8">
        <f>E571+F571</f>
        <v>1765.1625000000001</v>
      </c>
      <c r="H571" s="3">
        <f>B571*G571</f>
        <v>63792.972750000008</v>
      </c>
      <c r="I571" s="3">
        <f>C571*G571</f>
        <v>63810.624374999999</v>
      </c>
    </row>
    <row r="572" spans="1:9" x14ac:dyDescent="0.25">
      <c r="A572" t="s">
        <v>4</v>
      </c>
      <c r="B572" s="1">
        <v>21.13</v>
      </c>
      <c r="C572" s="1">
        <v>21.14</v>
      </c>
      <c r="D572" s="2" t="s">
        <v>88</v>
      </c>
      <c r="E572" s="8">
        <v>3014.8103999999998</v>
      </c>
      <c r="F572" s="8">
        <f>F562</f>
        <v>0</v>
      </c>
      <c r="G572" s="8">
        <f>E572+F572</f>
        <v>3014.8103999999998</v>
      </c>
      <c r="H572" s="3">
        <f>B572*G572</f>
        <v>63702.943751999992</v>
      </c>
      <c r="I572" s="3">
        <f>C572*G572</f>
        <v>63733.091855999999</v>
      </c>
    </row>
    <row r="573" spans="1:9" x14ac:dyDescent="0.25">
      <c r="A573" t="s">
        <v>6</v>
      </c>
      <c r="B573" s="1">
        <v>34.6</v>
      </c>
      <c r="C573" s="1">
        <v>34.61</v>
      </c>
      <c r="D573" s="2" t="s">
        <v>88</v>
      </c>
      <c r="E573" s="8">
        <v>1842.0397</v>
      </c>
      <c r="F573" s="8">
        <f>F563</f>
        <v>-0.1</v>
      </c>
      <c r="G573" s="8">
        <f>E573+F573</f>
        <v>1841.9397000000001</v>
      </c>
      <c r="H573" s="3">
        <f>B573*G573</f>
        <v>63731.113620000004</v>
      </c>
      <c r="I573" s="3">
        <f>C573*G573</f>
        <v>63749.533017000002</v>
      </c>
    </row>
    <row r="574" spans="1:9" x14ac:dyDescent="0.25">
      <c r="A574" t="s">
        <v>7</v>
      </c>
      <c r="B574" s="1">
        <v>17.97</v>
      </c>
      <c r="C574" s="1">
        <v>17.98</v>
      </c>
      <c r="D574" s="2" t="s">
        <v>88</v>
      </c>
      <c r="E574" s="8">
        <v>3546.3921</v>
      </c>
      <c r="F574" s="8">
        <f>F564</f>
        <v>0</v>
      </c>
      <c r="G574" s="8">
        <f>E574+F574</f>
        <v>3546.3921</v>
      </c>
      <c r="H574" s="3">
        <f>B574*G574</f>
        <v>63728.666036999995</v>
      </c>
      <c r="I574" s="3">
        <f>C574*G574</f>
        <v>63764.129958000005</v>
      </c>
    </row>
    <row r="575" spans="1:9" x14ac:dyDescent="0.25">
      <c r="A575" t="s">
        <v>8</v>
      </c>
      <c r="B575" s="1">
        <v>28.18</v>
      </c>
      <c r="C575" s="1">
        <v>28.19</v>
      </c>
      <c r="D575" s="2" t="s">
        <v>88</v>
      </c>
      <c r="E575" s="8">
        <v>2261.2671999999998</v>
      </c>
      <c r="F575" s="8">
        <f>F565</f>
        <v>-0.2</v>
      </c>
      <c r="G575" s="8">
        <f>E575+F575</f>
        <v>2261.0672</v>
      </c>
      <c r="H575" s="3">
        <f>B575*G575</f>
        <v>63716.873695999995</v>
      </c>
      <c r="I575" s="3">
        <f>C575*G575</f>
        <v>63739.484368000005</v>
      </c>
    </row>
    <row r="576" spans="1:9" x14ac:dyDescent="0.25">
      <c r="A576" t="s">
        <v>9</v>
      </c>
      <c r="B576" s="1">
        <v>67.34</v>
      </c>
      <c r="C576" s="1">
        <v>67.45</v>
      </c>
      <c r="D576" s="2" t="s">
        <v>88</v>
      </c>
      <c r="E576" s="8">
        <v>946.08439999999996</v>
      </c>
      <c r="F576" s="8">
        <f>F566</f>
        <v>0</v>
      </c>
      <c r="G576" s="8">
        <f>E576+F576</f>
        <v>946.08439999999996</v>
      </c>
      <c r="H576" s="3">
        <f>B576*G576</f>
        <v>63709.323495999997</v>
      </c>
      <c r="I576" s="3">
        <f>C576*G576</f>
        <v>63813.392780000002</v>
      </c>
    </row>
    <row r="577" spans="1:9" x14ac:dyDescent="0.25">
      <c r="A577" t="s">
        <v>10</v>
      </c>
      <c r="B577" s="1">
        <v>36.83</v>
      </c>
      <c r="C577" s="1">
        <v>36.85</v>
      </c>
      <c r="D577" s="2" t="s">
        <v>88</v>
      </c>
      <c r="E577" s="8">
        <v>1730.0458000000001</v>
      </c>
      <c r="F577" s="8">
        <f>F567</f>
        <v>0.2</v>
      </c>
      <c r="G577" s="8">
        <f>E577+F577</f>
        <v>1730.2458000000001</v>
      </c>
      <c r="H577" s="3">
        <f>B577*G577</f>
        <v>63724.952814000004</v>
      </c>
      <c r="I577" s="3">
        <f>C577*G577</f>
        <v>63759.557730000008</v>
      </c>
    </row>
    <row r="578" spans="1:9" x14ac:dyDescent="0.25">
      <c r="A578" t="s">
        <v>11</v>
      </c>
      <c r="B578" s="1">
        <v>55.47</v>
      </c>
      <c r="C578" s="1">
        <v>55.48</v>
      </c>
      <c r="D578" s="2" t="s">
        <v>88</v>
      </c>
      <c r="E578" s="8">
        <v>1148.79</v>
      </c>
      <c r="F578" s="8">
        <f>F568</f>
        <v>0.05</v>
      </c>
      <c r="G578" s="8">
        <f>E578+F578</f>
        <v>1148.8399999999999</v>
      </c>
      <c r="H578" s="3">
        <f>B578*G578</f>
        <v>63726.154799999997</v>
      </c>
      <c r="I578" s="3">
        <f>C578*G578</f>
        <v>63737.643199999991</v>
      </c>
    </row>
    <row r="579" spans="1:9" x14ac:dyDescent="0.25">
      <c r="A579" t="s">
        <v>12</v>
      </c>
      <c r="B579" s="1">
        <v>49.46</v>
      </c>
      <c r="C579" s="1">
        <v>49.47</v>
      </c>
      <c r="D579" s="2" t="s">
        <v>88</v>
      </c>
      <c r="E579" s="8">
        <v>1288.5375000000001</v>
      </c>
      <c r="F579" s="8">
        <f>F569</f>
        <v>0</v>
      </c>
      <c r="G579" s="8">
        <f>E579+F579</f>
        <v>1288.5375000000001</v>
      </c>
      <c r="H579" s="3">
        <f>B579*G579</f>
        <v>63731.064750000005</v>
      </c>
      <c r="I579" s="3">
        <f>C579*G579</f>
        <v>63743.950125000003</v>
      </c>
    </row>
    <row r="580" spans="1:9" x14ac:dyDescent="0.25">
      <c r="A580" t="s">
        <v>13</v>
      </c>
      <c r="B580" s="1">
        <v>18.02</v>
      </c>
      <c r="C580" s="1">
        <v>18.03</v>
      </c>
      <c r="D580" s="2" t="s">
        <v>88</v>
      </c>
      <c r="E580" s="8">
        <v>3535.8029000000001</v>
      </c>
      <c r="F580" s="8">
        <f>F570</f>
        <v>0</v>
      </c>
      <c r="G580" s="8">
        <f>E580+F580</f>
        <v>3535.8029000000001</v>
      </c>
      <c r="H580" s="3">
        <f>B580*G580</f>
        <v>63715.168257999998</v>
      </c>
      <c r="I580" s="3">
        <f>C580*G580</f>
        <v>63750.526287000008</v>
      </c>
    </row>
    <row r="581" spans="1:9" x14ac:dyDescent="0.25">
      <c r="A581" t="s">
        <v>14</v>
      </c>
      <c r="B581" s="1">
        <v>36.11</v>
      </c>
      <c r="C581" s="1">
        <v>36.119999999999997</v>
      </c>
      <c r="D581" s="2" t="s">
        <v>88</v>
      </c>
      <c r="E581" s="8">
        <v>1764.9625000000001</v>
      </c>
      <c r="F581" s="8">
        <f>F571</f>
        <v>0.2</v>
      </c>
      <c r="G581" s="8">
        <f>E581+F581</f>
        <v>1765.1625000000001</v>
      </c>
      <c r="H581" s="3">
        <f>B581*G581</f>
        <v>63740.017875000005</v>
      </c>
      <c r="I581" s="3">
        <f>C581*G581</f>
        <v>63757.669500000004</v>
      </c>
    </row>
    <row r="582" spans="1:9" x14ac:dyDescent="0.25">
      <c r="A582" t="s">
        <v>4</v>
      </c>
      <c r="B582" s="1">
        <v>21.17</v>
      </c>
      <c r="C582" s="1">
        <v>21.18</v>
      </c>
      <c r="D582" s="2" t="s">
        <v>89</v>
      </c>
      <c r="E582" s="8">
        <v>3014.8103999999998</v>
      </c>
      <c r="F582" s="8">
        <f>F572</f>
        <v>0</v>
      </c>
      <c r="G582" s="8">
        <f>E582+F582</f>
        <v>3014.8103999999998</v>
      </c>
      <c r="H582" s="3">
        <f>B582*G582</f>
        <v>63823.536167999999</v>
      </c>
      <c r="I582" s="3">
        <f>C582*G582</f>
        <v>63853.684271999999</v>
      </c>
    </row>
    <row r="583" spans="1:9" x14ac:dyDescent="0.25">
      <c r="A583" t="s">
        <v>6</v>
      </c>
      <c r="B583" s="1">
        <v>34.64</v>
      </c>
      <c r="C583" s="1">
        <v>34.65</v>
      </c>
      <c r="D583" s="2" t="s">
        <v>89</v>
      </c>
      <c r="E583" s="8">
        <v>1842.0397</v>
      </c>
      <c r="F583" s="8">
        <f>F573</f>
        <v>-0.1</v>
      </c>
      <c r="G583" s="8">
        <f>E583+F583</f>
        <v>1841.9397000000001</v>
      </c>
      <c r="H583" s="3">
        <f>B583*G583</f>
        <v>63804.791208000002</v>
      </c>
      <c r="I583" s="3">
        <f>C583*G583</f>
        <v>63823.210605</v>
      </c>
    </row>
    <row r="584" spans="1:9" x14ac:dyDescent="0.25">
      <c r="A584" t="s">
        <v>7</v>
      </c>
      <c r="B584" s="1">
        <v>18</v>
      </c>
      <c r="C584" s="1">
        <v>18.010000000000002</v>
      </c>
      <c r="D584" s="2" t="s">
        <v>89</v>
      </c>
      <c r="E584" s="8">
        <v>3546.3921</v>
      </c>
      <c r="F584" s="8">
        <f>F574</f>
        <v>0</v>
      </c>
      <c r="G584" s="8">
        <f>E584+F584</f>
        <v>3546.3921</v>
      </c>
      <c r="H584" s="3">
        <f>B584*G584</f>
        <v>63835.057800000002</v>
      </c>
      <c r="I584" s="3">
        <f>C584*G584</f>
        <v>63870.521721000005</v>
      </c>
    </row>
    <row r="585" spans="1:9" x14ac:dyDescent="0.25">
      <c r="A585" t="s">
        <v>8</v>
      </c>
      <c r="B585" s="1">
        <v>28.23</v>
      </c>
      <c r="C585" s="1">
        <v>28.24</v>
      </c>
      <c r="D585" s="2" t="s">
        <v>89</v>
      </c>
      <c r="E585" s="8">
        <v>2261.2671999999998</v>
      </c>
      <c r="F585" s="8">
        <f>F575</f>
        <v>-0.2</v>
      </c>
      <c r="G585" s="8">
        <f>E585+F585</f>
        <v>2261.0672</v>
      </c>
      <c r="H585" s="3">
        <f>B585*G585</f>
        <v>63829.927056</v>
      </c>
      <c r="I585" s="3">
        <f>C585*G585</f>
        <v>63852.537727999996</v>
      </c>
    </row>
    <row r="586" spans="1:9" x14ac:dyDescent="0.25">
      <c r="A586" t="s">
        <v>9</v>
      </c>
      <c r="B586" s="1">
        <v>67.45</v>
      </c>
      <c r="C586" s="1">
        <v>67.55</v>
      </c>
      <c r="D586" s="2" t="s">
        <v>89</v>
      </c>
      <c r="E586" s="8">
        <v>946.08439999999996</v>
      </c>
      <c r="F586" s="8">
        <f>F576</f>
        <v>0</v>
      </c>
      <c r="G586" s="8">
        <f>E586+F586</f>
        <v>946.08439999999996</v>
      </c>
      <c r="H586" s="3">
        <f>B586*G586</f>
        <v>63813.392780000002</v>
      </c>
      <c r="I586" s="3">
        <f>C586*G586</f>
        <v>63908.001219999991</v>
      </c>
    </row>
    <row r="587" spans="1:9" x14ac:dyDescent="0.25">
      <c r="A587" t="s">
        <v>10</v>
      </c>
      <c r="B587" s="1">
        <v>36.880000000000003</v>
      </c>
      <c r="C587" s="1">
        <v>36.9</v>
      </c>
      <c r="D587" s="2" t="s">
        <v>89</v>
      </c>
      <c r="E587" s="8">
        <v>1730.0458000000001</v>
      </c>
      <c r="F587" s="8">
        <f>F577</f>
        <v>0.2</v>
      </c>
      <c r="G587" s="8">
        <f>E587+F587</f>
        <v>1730.2458000000001</v>
      </c>
      <c r="H587" s="3">
        <f>B587*G587</f>
        <v>63811.46510400001</v>
      </c>
      <c r="I587" s="3">
        <f>C587*G587</f>
        <v>63846.070020000006</v>
      </c>
    </row>
    <row r="588" spans="1:9" x14ac:dyDescent="0.25">
      <c r="A588" t="s">
        <v>11</v>
      </c>
      <c r="B588" s="1">
        <v>55.56</v>
      </c>
      <c r="C588" s="1">
        <v>55.57</v>
      </c>
      <c r="D588" s="2" t="s">
        <v>89</v>
      </c>
      <c r="E588" s="8">
        <v>1148.79</v>
      </c>
      <c r="F588" s="8">
        <f>F578</f>
        <v>0.05</v>
      </c>
      <c r="G588" s="8">
        <f>E588+F588</f>
        <v>1148.8399999999999</v>
      </c>
      <c r="H588" s="3">
        <f>B588*G588</f>
        <v>63829.5504</v>
      </c>
      <c r="I588" s="3">
        <f>C588*G588</f>
        <v>63841.038799999995</v>
      </c>
    </row>
    <row r="589" spans="1:9" x14ac:dyDescent="0.25">
      <c r="A589" t="s">
        <v>12</v>
      </c>
      <c r="B589" s="1">
        <v>49.52</v>
      </c>
      <c r="C589" s="1">
        <v>49.53</v>
      </c>
      <c r="D589" s="2" t="s">
        <v>89</v>
      </c>
      <c r="E589" s="8">
        <v>1288.5375000000001</v>
      </c>
      <c r="F589" s="8">
        <f>F579</f>
        <v>0</v>
      </c>
      <c r="G589" s="8">
        <f>E589+F589</f>
        <v>1288.5375000000001</v>
      </c>
      <c r="H589" s="3">
        <f>B589*G589</f>
        <v>63808.377000000008</v>
      </c>
      <c r="I589" s="3">
        <f>C589*G589</f>
        <v>63821.262375000006</v>
      </c>
    </row>
    <row r="590" spans="1:9" x14ac:dyDescent="0.25">
      <c r="A590" t="s">
        <v>13</v>
      </c>
      <c r="B590" s="1">
        <v>18.05</v>
      </c>
      <c r="C590" s="1">
        <v>18.059999999999999</v>
      </c>
      <c r="D590" s="2" t="s">
        <v>89</v>
      </c>
      <c r="E590" s="8">
        <v>3535.8029000000001</v>
      </c>
      <c r="F590" s="8">
        <f>F580</f>
        <v>0</v>
      </c>
      <c r="G590" s="8">
        <f>E590+F590</f>
        <v>3535.8029000000001</v>
      </c>
      <c r="H590" s="3">
        <f>B590*G590</f>
        <v>63821.242345000006</v>
      </c>
      <c r="I590" s="3">
        <f>C590*G590</f>
        <v>63856.600374000001</v>
      </c>
    </row>
    <row r="591" spans="1:9" x14ac:dyDescent="0.25">
      <c r="A591" t="s">
        <v>14</v>
      </c>
      <c r="B591" s="1">
        <v>36.17</v>
      </c>
      <c r="C591" s="1">
        <v>36.18</v>
      </c>
      <c r="D591" s="2" t="s">
        <v>89</v>
      </c>
      <c r="E591" s="8">
        <v>1764.9625000000001</v>
      </c>
      <c r="F591" s="8">
        <f>F581</f>
        <v>0.2</v>
      </c>
      <c r="G591" s="8">
        <f>E591+F591</f>
        <v>1765.1625000000001</v>
      </c>
      <c r="H591" s="3">
        <f>B591*G591</f>
        <v>63845.927625000011</v>
      </c>
      <c r="I591" s="3">
        <f>C591*G591</f>
        <v>63863.579250000003</v>
      </c>
    </row>
    <row r="592" spans="1:9" x14ac:dyDescent="0.25">
      <c r="A592" t="s">
        <v>4</v>
      </c>
      <c r="B592" s="1">
        <v>21.1</v>
      </c>
      <c r="C592" s="1">
        <v>21.11</v>
      </c>
      <c r="D592" s="2" t="s">
        <v>90</v>
      </c>
      <c r="E592" s="8">
        <v>3014.8103999999998</v>
      </c>
      <c r="F592" s="8">
        <f>F582</f>
        <v>0</v>
      </c>
      <c r="G592" s="8">
        <f>E592+F592</f>
        <v>3014.8103999999998</v>
      </c>
      <c r="H592" s="3">
        <f>B592*G592</f>
        <v>63612.49944</v>
      </c>
      <c r="I592" s="3">
        <f>C592*G592</f>
        <v>63642.647543999992</v>
      </c>
    </row>
    <row r="593" spans="1:9" x14ac:dyDescent="0.25">
      <c r="A593" t="s">
        <v>6</v>
      </c>
      <c r="B593" s="1">
        <v>34.549999999999997</v>
      </c>
      <c r="C593" s="1">
        <v>34.56</v>
      </c>
      <c r="D593" s="2" t="s">
        <v>90</v>
      </c>
      <c r="E593" s="8">
        <v>1842.0397</v>
      </c>
      <c r="F593" s="8">
        <f>F583</f>
        <v>-0.1</v>
      </c>
      <c r="G593" s="8">
        <f>E593+F593</f>
        <v>1841.9397000000001</v>
      </c>
      <c r="H593" s="3">
        <f>B593*G593</f>
        <v>63639.016635</v>
      </c>
      <c r="I593" s="3">
        <f>C593*G593</f>
        <v>63657.436032000005</v>
      </c>
    </row>
    <row r="594" spans="1:9" x14ac:dyDescent="0.25">
      <c r="A594" t="s">
        <v>7</v>
      </c>
      <c r="B594" s="1">
        <v>17.95</v>
      </c>
      <c r="C594" s="1">
        <v>17.96</v>
      </c>
      <c r="D594" s="2" t="s">
        <v>90</v>
      </c>
      <c r="E594" s="8">
        <v>3546.3921</v>
      </c>
      <c r="F594" s="8">
        <f>F584</f>
        <v>0</v>
      </c>
      <c r="G594" s="8">
        <f>E594+F594</f>
        <v>3546.3921</v>
      </c>
      <c r="H594" s="3">
        <f>B594*G594</f>
        <v>63657.738194999998</v>
      </c>
      <c r="I594" s="3">
        <f>C594*G594</f>
        <v>63693.202116</v>
      </c>
    </row>
    <row r="595" spans="1:9" x14ac:dyDescent="0.25">
      <c r="A595" t="s">
        <v>8</v>
      </c>
      <c r="B595" s="1">
        <v>28.15</v>
      </c>
      <c r="C595" s="1">
        <v>28.16</v>
      </c>
      <c r="D595" s="2" t="s">
        <v>90</v>
      </c>
      <c r="E595" s="8">
        <v>2261.2671999999998</v>
      </c>
      <c r="F595" s="8">
        <f>F585</f>
        <v>-0.2</v>
      </c>
      <c r="G595" s="8">
        <f>E595+F595</f>
        <v>2261.0672</v>
      </c>
      <c r="H595" s="3">
        <f>B595*G595</f>
        <v>63649.041679999995</v>
      </c>
      <c r="I595" s="3">
        <f>C595*G595</f>
        <v>63671.652351999997</v>
      </c>
    </row>
    <row r="596" spans="1:9" x14ac:dyDescent="0.25">
      <c r="A596" t="s">
        <v>9</v>
      </c>
      <c r="B596" s="1">
        <v>67.260000000000005</v>
      </c>
      <c r="C596" s="1">
        <v>67.36</v>
      </c>
      <c r="D596" s="2" t="s">
        <v>90</v>
      </c>
      <c r="E596" s="8">
        <v>946.08439999999996</v>
      </c>
      <c r="F596" s="8">
        <f>F586</f>
        <v>0</v>
      </c>
      <c r="G596" s="8">
        <f>E596+F596</f>
        <v>946.08439999999996</v>
      </c>
      <c r="H596" s="3">
        <f>B596*G596</f>
        <v>63633.636744000003</v>
      </c>
      <c r="I596" s="3">
        <f>C596*G596</f>
        <v>63728.245183999999</v>
      </c>
    </row>
    <row r="597" spans="1:9" x14ac:dyDescent="0.25">
      <c r="A597" t="s">
        <v>10</v>
      </c>
      <c r="B597" s="1">
        <v>36.78</v>
      </c>
      <c r="C597" s="1">
        <v>36.79</v>
      </c>
      <c r="D597" s="2" t="s">
        <v>90</v>
      </c>
      <c r="E597" s="8">
        <v>1730.0458000000001</v>
      </c>
      <c r="F597" s="8">
        <f>F587</f>
        <v>0.2</v>
      </c>
      <c r="G597" s="8">
        <f>E597+F597</f>
        <v>1730.2458000000001</v>
      </c>
      <c r="H597" s="3">
        <f>B597*G597</f>
        <v>63638.440524000005</v>
      </c>
      <c r="I597" s="3">
        <f>C597*G597</f>
        <v>63655.742982000003</v>
      </c>
    </row>
    <row r="598" spans="1:9" x14ac:dyDescent="0.25">
      <c r="A598" t="s">
        <v>11</v>
      </c>
      <c r="B598" s="1">
        <v>55.41</v>
      </c>
      <c r="C598" s="1">
        <v>55.42</v>
      </c>
      <c r="D598" s="2" t="s">
        <v>90</v>
      </c>
      <c r="E598" s="8">
        <v>1148.79</v>
      </c>
      <c r="F598" s="8">
        <f>F588</f>
        <v>0.05</v>
      </c>
      <c r="G598" s="8">
        <f>E598+F598</f>
        <v>1148.8399999999999</v>
      </c>
      <c r="H598" s="3">
        <f>B598*G598</f>
        <v>63657.224399999992</v>
      </c>
      <c r="I598" s="3">
        <f>C598*G598</f>
        <v>63668.712799999994</v>
      </c>
    </row>
    <row r="599" spans="1:9" x14ac:dyDescent="0.25">
      <c r="A599" t="s">
        <v>12</v>
      </c>
      <c r="B599" s="1">
        <v>49.39</v>
      </c>
      <c r="C599" s="1">
        <v>49.4</v>
      </c>
      <c r="D599" s="2" t="s">
        <v>90</v>
      </c>
      <c r="E599" s="8">
        <v>1288.5375000000001</v>
      </c>
      <c r="F599" s="8">
        <f>F589</f>
        <v>0</v>
      </c>
      <c r="G599" s="8">
        <f>E599+F599</f>
        <v>1288.5375000000001</v>
      </c>
      <c r="H599" s="3">
        <f>B599*G599</f>
        <v>63640.867125000004</v>
      </c>
      <c r="I599" s="3">
        <f>C599*G599</f>
        <v>63653.752500000002</v>
      </c>
    </row>
    <row r="600" spans="1:9" x14ac:dyDescent="0.25">
      <c r="A600" t="s">
        <v>13</v>
      </c>
      <c r="B600" s="1">
        <v>18</v>
      </c>
      <c r="C600" s="1">
        <v>18.010000000000002</v>
      </c>
      <c r="D600" s="2" t="s">
        <v>90</v>
      </c>
      <c r="E600" s="8">
        <v>3535.8029000000001</v>
      </c>
      <c r="F600" s="8">
        <f>F590</f>
        <v>0</v>
      </c>
      <c r="G600" s="8">
        <f>E600+F600</f>
        <v>3535.8029000000001</v>
      </c>
      <c r="H600" s="3">
        <f>B600*G600</f>
        <v>63644.4522</v>
      </c>
      <c r="I600" s="3">
        <f>C600*G600</f>
        <v>63679.81022900001</v>
      </c>
    </row>
    <row r="601" spans="1:9" x14ac:dyDescent="0.25">
      <c r="A601" t="s">
        <v>14</v>
      </c>
      <c r="B601" s="1">
        <v>36.06</v>
      </c>
      <c r="C601" s="1">
        <v>36.07</v>
      </c>
      <c r="D601" s="2" t="s">
        <v>90</v>
      </c>
      <c r="E601" s="8">
        <v>1764.9625000000001</v>
      </c>
      <c r="F601" s="8">
        <f>F591</f>
        <v>0.2</v>
      </c>
      <c r="G601" s="8">
        <f>E601+F601</f>
        <v>1765.1625000000001</v>
      </c>
      <c r="H601" s="3">
        <f>B601*G601</f>
        <v>63651.759750000012</v>
      </c>
      <c r="I601" s="3">
        <f>C601*G601</f>
        <v>63669.411375000003</v>
      </c>
    </row>
    <row r="602" spans="1:9" x14ac:dyDescent="0.25">
      <c r="A602" t="s">
        <v>4</v>
      </c>
      <c r="B602" s="1">
        <v>21.11</v>
      </c>
      <c r="C602" s="1">
        <v>21.12</v>
      </c>
      <c r="D602" s="2" t="s">
        <v>91</v>
      </c>
      <c r="E602" s="8">
        <v>3014.8103999999998</v>
      </c>
      <c r="F602" s="8">
        <f>F592</f>
        <v>0</v>
      </c>
      <c r="G602" s="8">
        <f>E602+F602</f>
        <v>3014.8103999999998</v>
      </c>
      <c r="H602" s="3">
        <f>B602*G602</f>
        <v>63642.647543999992</v>
      </c>
      <c r="I602" s="3">
        <f>C602*G602</f>
        <v>63672.795647999999</v>
      </c>
    </row>
    <row r="603" spans="1:9" x14ac:dyDescent="0.25">
      <c r="A603" t="s">
        <v>6</v>
      </c>
      <c r="B603" s="1">
        <v>34.56</v>
      </c>
      <c r="C603" s="1">
        <v>34.57</v>
      </c>
      <c r="D603" s="2" t="s">
        <v>91</v>
      </c>
      <c r="E603" s="8">
        <v>1842.0397</v>
      </c>
      <c r="F603" s="8">
        <f>F593</f>
        <v>-0.1</v>
      </c>
      <c r="G603" s="8">
        <f>E603+F603</f>
        <v>1841.9397000000001</v>
      </c>
      <c r="H603" s="3">
        <f>B603*G603</f>
        <v>63657.436032000005</v>
      </c>
      <c r="I603" s="3">
        <f>C603*G603</f>
        <v>63675.855429000003</v>
      </c>
    </row>
    <row r="604" spans="1:9" x14ac:dyDescent="0.25">
      <c r="A604" t="s">
        <v>7</v>
      </c>
      <c r="B604" s="1">
        <v>17.95</v>
      </c>
      <c r="C604" s="1">
        <v>17.96</v>
      </c>
      <c r="D604" s="2" t="s">
        <v>91</v>
      </c>
      <c r="E604" s="8">
        <v>3546.3921</v>
      </c>
      <c r="F604" s="8">
        <f>F594</f>
        <v>0</v>
      </c>
      <c r="G604" s="8">
        <f>E604+F604</f>
        <v>3546.3921</v>
      </c>
      <c r="H604" s="3">
        <f>B604*G604</f>
        <v>63657.738194999998</v>
      </c>
      <c r="I604" s="3">
        <f>C604*G604</f>
        <v>63693.202116</v>
      </c>
    </row>
    <row r="605" spans="1:9" x14ac:dyDescent="0.25">
      <c r="A605" t="s">
        <v>8</v>
      </c>
      <c r="B605" s="1">
        <v>28.16</v>
      </c>
      <c r="C605" s="1">
        <v>28.17</v>
      </c>
      <c r="D605" s="2" t="s">
        <v>91</v>
      </c>
      <c r="E605" s="8">
        <v>2261.2671999999998</v>
      </c>
      <c r="F605" s="8">
        <f>F595</f>
        <v>-0.2</v>
      </c>
      <c r="G605" s="8">
        <f>E605+F605</f>
        <v>2261.0672</v>
      </c>
      <c r="H605" s="3">
        <f>B605*G605</f>
        <v>63671.652351999997</v>
      </c>
      <c r="I605" s="3">
        <f>C605*G605</f>
        <v>63694.263024</v>
      </c>
    </row>
    <row r="606" spans="1:9" x14ac:dyDescent="0.25">
      <c r="A606" t="s">
        <v>9</v>
      </c>
      <c r="B606" s="1">
        <v>67.27</v>
      </c>
      <c r="C606" s="1">
        <v>67.37</v>
      </c>
      <c r="D606" s="2" t="s">
        <v>91</v>
      </c>
      <c r="E606" s="8">
        <v>946.08439999999996</v>
      </c>
      <c r="F606" s="8">
        <f>F596</f>
        <v>0</v>
      </c>
      <c r="G606" s="8">
        <f>E606+F606</f>
        <v>946.08439999999996</v>
      </c>
      <c r="H606" s="3">
        <f>B606*G606</f>
        <v>63643.097587999997</v>
      </c>
      <c r="I606" s="3">
        <f>C606*G606</f>
        <v>63737.706028000001</v>
      </c>
    </row>
    <row r="607" spans="1:9" x14ac:dyDescent="0.25">
      <c r="A607" t="s">
        <v>10</v>
      </c>
      <c r="B607" s="1">
        <v>36.79</v>
      </c>
      <c r="C607" s="1">
        <v>36.81</v>
      </c>
      <c r="D607" s="2" t="s">
        <v>91</v>
      </c>
      <c r="E607" s="8">
        <v>1730.0458000000001</v>
      </c>
      <c r="F607" s="8">
        <f>F597</f>
        <v>0.2</v>
      </c>
      <c r="G607" s="8">
        <f>E607+F607</f>
        <v>1730.2458000000001</v>
      </c>
      <c r="H607" s="3">
        <f>B607*G607</f>
        <v>63655.742982000003</v>
      </c>
      <c r="I607" s="3">
        <f>C607*G607</f>
        <v>63690.347898000007</v>
      </c>
    </row>
    <row r="608" spans="1:9" x14ac:dyDescent="0.25">
      <c r="A608" t="s">
        <v>11</v>
      </c>
      <c r="B608" s="1">
        <v>55.42</v>
      </c>
      <c r="C608" s="1">
        <v>55.43</v>
      </c>
      <c r="D608" s="2" t="s">
        <v>91</v>
      </c>
      <c r="E608" s="8">
        <v>1148.79</v>
      </c>
      <c r="F608" s="8">
        <f>F598</f>
        <v>0.05</v>
      </c>
      <c r="G608" s="8">
        <f>E608+F608</f>
        <v>1148.8399999999999</v>
      </c>
      <c r="H608" s="3">
        <f>B608*G608</f>
        <v>63668.712799999994</v>
      </c>
      <c r="I608" s="3">
        <f>C608*G608</f>
        <v>63680.201199999996</v>
      </c>
    </row>
    <row r="609" spans="1:9" x14ac:dyDescent="0.25">
      <c r="A609" t="s">
        <v>12</v>
      </c>
      <c r="B609" s="1">
        <v>49.41</v>
      </c>
      <c r="C609" s="1">
        <v>49.42</v>
      </c>
      <c r="D609" s="2" t="s">
        <v>91</v>
      </c>
      <c r="E609" s="8">
        <v>1288.5375000000001</v>
      </c>
      <c r="F609" s="8">
        <f>F599</f>
        <v>0</v>
      </c>
      <c r="G609" s="8">
        <f>E609+F609</f>
        <v>1288.5375000000001</v>
      </c>
      <c r="H609" s="3">
        <f>B609*G609</f>
        <v>63666.637875</v>
      </c>
      <c r="I609" s="3">
        <f>C609*G609</f>
        <v>63679.523250000006</v>
      </c>
    </row>
    <row r="610" spans="1:9" x14ac:dyDescent="0.25">
      <c r="A610" t="s">
        <v>13</v>
      </c>
      <c r="B610" s="1">
        <v>18</v>
      </c>
      <c r="C610" s="1">
        <v>18.010000000000002</v>
      </c>
      <c r="D610" s="2" t="s">
        <v>91</v>
      </c>
      <c r="E610" s="8">
        <v>3535.8029000000001</v>
      </c>
      <c r="F610" s="8">
        <f>F600</f>
        <v>0</v>
      </c>
      <c r="G610" s="8">
        <f>E610+F610</f>
        <v>3535.8029000000001</v>
      </c>
      <c r="H610" s="3">
        <f>B610*G610</f>
        <v>63644.4522</v>
      </c>
      <c r="I610" s="3">
        <f>C610*G610</f>
        <v>63679.81022900001</v>
      </c>
    </row>
    <row r="611" spans="1:9" x14ac:dyDescent="0.25">
      <c r="A611" t="s">
        <v>14</v>
      </c>
      <c r="B611" s="1">
        <v>36.07</v>
      </c>
      <c r="C611" s="1">
        <v>36.08</v>
      </c>
      <c r="D611" s="2" t="s">
        <v>91</v>
      </c>
      <c r="E611" s="8">
        <v>1764.9625000000001</v>
      </c>
      <c r="F611" s="8">
        <f>F601</f>
        <v>0.2</v>
      </c>
      <c r="G611" s="8">
        <f>E611+F611</f>
        <v>1765.1625000000001</v>
      </c>
      <c r="H611" s="3">
        <f>B611*G611</f>
        <v>63669.411375000003</v>
      </c>
      <c r="I611" s="3">
        <f>C611*G611</f>
        <v>63687.063000000002</v>
      </c>
    </row>
    <row r="612" spans="1:9" x14ac:dyDescent="0.25">
      <c r="A612" t="s">
        <v>4</v>
      </c>
      <c r="B612" s="1">
        <v>21.12</v>
      </c>
      <c r="C612" s="1">
        <v>21.13</v>
      </c>
      <c r="D612" s="2" t="s">
        <v>92</v>
      </c>
      <c r="E612" s="8">
        <v>3014.8103999999998</v>
      </c>
      <c r="F612" s="8">
        <f>F602</f>
        <v>0</v>
      </c>
      <c r="G612" s="8">
        <f>E612+F612</f>
        <v>3014.8103999999998</v>
      </c>
      <c r="H612" s="3">
        <f>B612*G612</f>
        <v>63672.795647999999</v>
      </c>
      <c r="I612" s="3">
        <f>C612*G612</f>
        <v>63702.943751999992</v>
      </c>
    </row>
    <row r="613" spans="1:9" x14ac:dyDescent="0.25">
      <c r="A613" t="s">
        <v>6</v>
      </c>
      <c r="B613" s="1">
        <v>34.57</v>
      </c>
      <c r="C613" s="1">
        <v>34.58</v>
      </c>
      <c r="D613" s="2" t="s">
        <v>92</v>
      </c>
      <c r="E613" s="8">
        <v>1842.0397</v>
      </c>
      <c r="F613" s="8">
        <f>F603</f>
        <v>-0.1</v>
      </c>
      <c r="G613" s="8">
        <f>E613+F613</f>
        <v>1841.9397000000001</v>
      </c>
      <c r="H613" s="3">
        <f>B613*G613</f>
        <v>63675.855429000003</v>
      </c>
      <c r="I613" s="3">
        <f>C613*G613</f>
        <v>63694.274826000001</v>
      </c>
    </row>
    <row r="614" spans="1:9" x14ac:dyDescent="0.25">
      <c r="A614" t="s">
        <v>7</v>
      </c>
      <c r="B614" s="1">
        <v>17.96</v>
      </c>
      <c r="C614" s="1">
        <v>17.97</v>
      </c>
      <c r="D614" s="2" t="s">
        <v>92</v>
      </c>
      <c r="E614" s="8">
        <v>3546.3921</v>
      </c>
      <c r="F614" s="8">
        <f>F604</f>
        <v>0</v>
      </c>
      <c r="G614" s="8">
        <f>E614+F614</f>
        <v>3546.3921</v>
      </c>
      <c r="H614" s="3">
        <f>B614*G614</f>
        <v>63693.202116</v>
      </c>
      <c r="I614" s="3">
        <f>C614*G614</f>
        <v>63728.666036999995</v>
      </c>
    </row>
    <row r="615" spans="1:9" x14ac:dyDescent="0.25">
      <c r="A615" t="s">
        <v>8</v>
      </c>
      <c r="B615" s="1">
        <v>28.17</v>
      </c>
      <c r="C615" s="1">
        <v>28.17</v>
      </c>
      <c r="D615" s="2" t="s">
        <v>92</v>
      </c>
      <c r="E615" s="8">
        <v>2261.2671999999998</v>
      </c>
      <c r="F615" s="8">
        <f>F605</f>
        <v>-0.2</v>
      </c>
      <c r="G615" s="8">
        <f>E615+F615</f>
        <v>2261.0672</v>
      </c>
      <c r="H615" s="3">
        <f>B615*G615</f>
        <v>63694.263024</v>
      </c>
      <c r="I615" s="3">
        <f>C615*G615</f>
        <v>63694.263024</v>
      </c>
    </row>
    <row r="616" spans="1:9" x14ac:dyDescent="0.25">
      <c r="A616" t="s">
        <v>9</v>
      </c>
      <c r="B616" s="1">
        <v>67.3</v>
      </c>
      <c r="C616" s="1">
        <v>67.38</v>
      </c>
      <c r="D616" s="2" t="s">
        <v>92</v>
      </c>
      <c r="E616" s="8">
        <v>946.08439999999996</v>
      </c>
      <c r="F616" s="8">
        <f>F606</f>
        <v>0</v>
      </c>
      <c r="G616" s="8">
        <f>E616+F616</f>
        <v>946.08439999999996</v>
      </c>
      <c r="H616" s="3">
        <f>B616*G616</f>
        <v>63671.480119999993</v>
      </c>
      <c r="I616" s="3">
        <f>C616*G616</f>
        <v>63747.166871999994</v>
      </c>
    </row>
    <row r="617" spans="1:9" x14ac:dyDescent="0.25">
      <c r="A617" t="s">
        <v>10</v>
      </c>
      <c r="B617" s="1">
        <v>36.799999999999997</v>
      </c>
      <c r="C617" s="1">
        <v>36.82</v>
      </c>
      <c r="D617" s="2" t="s">
        <v>92</v>
      </c>
      <c r="E617" s="8">
        <v>1730.0458000000001</v>
      </c>
      <c r="F617" s="8">
        <f>F607</f>
        <v>0.2</v>
      </c>
      <c r="G617" s="8">
        <f>E617+F617</f>
        <v>1730.2458000000001</v>
      </c>
      <c r="H617" s="3">
        <f>B617*G617</f>
        <v>63673.045440000002</v>
      </c>
      <c r="I617" s="3">
        <f>C617*G617</f>
        <v>63707.650356000006</v>
      </c>
    </row>
    <row r="618" spans="1:9" x14ac:dyDescent="0.25">
      <c r="A618" t="s">
        <v>11</v>
      </c>
      <c r="B618" s="1">
        <v>55.43</v>
      </c>
      <c r="C618" s="1">
        <v>55.44</v>
      </c>
      <c r="D618" s="2" t="s">
        <v>92</v>
      </c>
      <c r="E618" s="8">
        <v>1148.79</v>
      </c>
      <c r="F618" s="8">
        <f>F608</f>
        <v>0.05</v>
      </c>
      <c r="G618" s="8">
        <f>E618+F618</f>
        <v>1148.8399999999999</v>
      </c>
      <c r="H618" s="3">
        <f>B618*G618</f>
        <v>63680.201199999996</v>
      </c>
      <c r="I618" s="3">
        <f>C618*G618</f>
        <v>63691.689599999991</v>
      </c>
    </row>
    <row r="619" spans="1:9" x14ac:dyDescent="0.25">
      <c r="A619" t="s">
        <v>12</v>
      </c>
      <c r="B619" s="1">
        <v>49.42</v>
      </c>
      <c r="C619" s="1">
        <v>49.43</v>
      </c>
      <c r="D619" s="2" t="s">
        <v>92</v>
      </c>
      <c r="E619" s="8">
        <v>1288.5375000000001</v>
      </c>
      <c r="F619" s="8">
        <f>F609</f>
        <v>0</v>
      </c>
      <c r="G619" s="8">
        <f>E619+F619</f>
        <v>1288.5375000000001</v>
      </c>
      <c r="H619" s="3">
        <f>B619*G619</f>
        <v>63679.523250000006</v>
      </c>
      <c r="I619" s="3">
        <f>C619*G619</f>
        <v>63692.408625000004</v>
      </c>
    </row>
    <row r="620" spans="1:9" x14ac:dyDescent="0.25">
      <c r="A620" t="s">
        <v>13</v>
      </c>
      <c r="B620" s="1">
        <v>18.010000000000002</v>
      </c>
      <c r="C620" s="1">
        <v>18.02</v>
      </c>
      <c r="D620" s="2" t="s">
        <v>92</v>
      </c>
      <c r="E620" s="8">
        <v>3535.8029000000001</v>
      </c>
      <c r="F620" s="8">
        <f>F610</f>
        <v>0</v>
      </c>
      <c r="G620" s="8">
        <f>E620+F620</f>
        <v>3535.8029000000001</v>
      </c>
      <c r="H620" s="3">
        <f>B620*G620</f>
        <v>63679.81022900001</v>
      </c>
      <c r="I620" s="3">
        <f>C620*G620</f>
        <v>63715.168257999998</v>
      </c>
    </row>
    <row r="621" spans="1:9" x14ac:dyDescent="0.25">
      <c r="A621" t="s">
        <v>14</v>
      </c>
      <c r="B621" s="1">
        <v>36.08</v>
      </c>
      <c r="C621" s="1">
        <v>36.090000000000003</v>
      </c>
      <c r="D621" s="2" t="s">
        <v>92</v>
      </c>
      <c r="E621" s="8">
        <v>1764.9625000000001</v>
      </c>
      <c r="F621" s="8">
        <f>F611</f>
        <v>0.2</v>
      </c>
      <c r="G621" s="8">
        <f>E621+F621</f>
        <v>1765.1625000000001</v>
      </c>
      <c r="H621" s="3">
        <f>B621*G621</f>
        <v>63687.063000000002</v>
      </c>
      <c r="I621" s="3">
        <f>C621*G621</f>
        <v>63704.714625000008</v>
      </c>
    </row>
    <row r="622" spans="1:9" x14ac:dyDescent="0.25">
      <c r="A622" t="s">
        <v>4</v>
      </c>
      <c r="B622" s="1">
        <v>21.1</v>
      </c>
      <c r="C622" s="1">
        <v>21.11</v>
      </c>
      <c r="D622" s="2" t="s">
        <v>93</v>
      </c>
      <c r="E622" s="8">
        <v>3014.8103999999998</v>
      </c>
      <c r="F622" s="8">
        <f>F612</f>
        <v>0</v>
      </c>
      <c r="G622" s="8">
        <f>E622+F622</f>
        <v>3014.8103999999998</v>
      </c>
      <c r="H622" s="3">
        <f>B622*G622</f>
        <v>63612.49944</v>
      </c>
      <c r="I622" s="3">
        <f>C622*G622</f>
        <v>63642.647543999992</v>
      </c>
    </row>
    <row r="623" spans="1:9" x14ac:dyDescent="0.25">
      <c r="A623" t="s">
        <v>6</v>
      </c>
      <c r="B623" s="1">
        <v>34.54</v>
      </c>
      <c r="C623" s="1">
        <v>34.549999999999997</v>
      </c>
      <c r="D623" s="2" t="s">
        <v>93</v>
      </c>
      <c r="E623" s="8">
        <v>1842.0397</v>
      </c>
      <c r="F623" s="8">
        <f>F613</f>
        <v>-0.1</v>
      </c>
      <c r="G623" s="8">
        <f>E623+F623</f>
        <v>1841.9397000000001</v>
      </c>
      <c r="H623" s="3">
        <f>B623*G623</f>
        <v>63620.597238000002</v>
      </c>
      <c r="I623" s="3">
        <f>C623*G623</f>
        <v>63639.016635</v>
      </c>
    </row>
    <row r="624" spans="1:9" x14ac:dyDescent="0.25">
      <c r="A624" t="s">
        <v>7</v>
      </c>
      <c r="B624" s="1">
        <v>17.940000000000001</v>
      </c>
      <c r="C624" s="1">
        <v>17.95</v>
      </c>
      <c r="D624" s="2" t="s">
        <v>93</v>
      </c>
      <c r="E624" s="8">
        <v>3546.3921</v>
      </c>
      <c r="F624" s="8">
        <f>F614</f>
        <v>0</v>
      </c>
      <c r="G624" s="8">
        <f>E624+F624</f>
        <v>3546.3921</v>
      </c>
      <c r="H624" s="3">
        <f>B624*G624</f>
        <v>63622.274274000003</v>
      </c>
      <c r="I624" s="3">
        <f>C624*G624</f>
        <v>63657.738194999998</v>
      </c>
    </row>
    <row r="625" spans="1:9" x14ac:dyDescent="0.25">
      <c r="A625" t="s">
        <v>8</v>
      </c>
      <c r="B625" s="1">
        <v>28.14</v>
      </c>
      <c r="C625" s="1">
        <v>28.15</v>
      </c>
      <c r="D625" s="2" t="s">
        <v>93</v>
      </c>
      <c r="E625" s="8">
        <v>2261.2671999999998</v>
      </c>
      <c r="F625" s="8">
        <f>F615</f>
        <v>-0.2</v>
      </c>
      <c r="G625" s="8">
        <f>E625+F625</f>
        <v>2261.0672</v>
      </c>
      <c r="H625" s="3">
        <f>B625*G625</f>
        <v>63626.431008</v>
      </c>
      <c r="I625" s="3">
        <f>C625*G625</f>
        <v>63649.041679999995</v>
      </c>
    </row>
    <row r="626" spans="1:9" x14ac:dyDescent="0.25">
      <c r="A626" t="s">
        <v>9</v>
      </c>
      <c r="B626" s="1">
        <v>67.23</v>
      </c>
      <c r="C626" s="1">
        <v>67.319999999999993</v>
      </c>
      <c r="D626" s="2" t="s">
        <v>93</v>
      </c>
      <c r="E626" s="8">
        <v>946.08439999999996</v>
      </c>
      <c r="F626" s="8">
        <f>F616</f>
        <v>0</v>
      </c>
      <c r="G626" s="8">
        <f>E626+F626</f>
        <v>946.08439999999996</v>
      </c>
      <c r="H626" s="3">
        <f>B626*G626</f>
        <v>63605.254212</v>
      </c>
      <c r="I626" s="3">
        <f>C626*G626</f>
        <v>63690.401807999988</v>
      </c>
    </row>
    <row r="627" spans="1:9" x14ac:dyDescent="0.25">
      <c r="A627" t="s">
        <v>10</v>
      </c>
      <c r="B627" s="1">
        <v>36.76</v>
      </c>
      <c r="C627" s="1">
        <v>36.78</v>
      </c>
      <c r="D627" s="2" t="s">
        <v>93</v>
      </c>
      <c r="E627" s="8">
        <v>1730.0458000000001</v>
      </c>
      <c r="F627" s="8">
        <f>F617</f>
        <v>0.2</v>
      </c>
      <c r="G627" s="8">
        <f>E627+F627</f>
        <v>1730.2458000000001</v>
      </c>
      <c r="H627" s="3">
        <f>B627*G627</f>
        <v>63603.835608000001</v>
      </c>
      <c r="I627" s="3">
        <f>C627*G627</f>
        <v>63638.440524000005</v>
      </c>
    </row>
    <row r="628" spans="1:9" x14ac:dyDescent="0.25">
      <c r="A628" t="s">
        <v>11</v>
      </c>
      <c r="B628" s="1">
        <v>55.39</v>
      </c>
      <c r="C628" s="1">
        <v>55.4</v>
      </c>
      <c r="D628" s="2" t="s">
        <v>93</v>
      </c>
      <c r="E628" s="8">
        <v>1148.79</v>
      </c>
      <c r="F628" s="8">
        <f>F618</f>
        <v>0.05</v>
      </c>
      <c r="G628" s="8">
        <f>E628+F628</f>
        <v>1148.8399999999999</v>
      </c>
      <c r="H628" s="3">
        <f>B628*G628</f>
        <v>63634.247599999995</v>
      </c>
      <c r="I628" s="3">
        <f>C628*G628</f>
        <v>63645.735999999997</v>
      </c>
    </row>
    <row r="629" spans="1:9" x14ac:dyDescent="0.25">
      <c r="A629" t="s">
        <v>12</v>
      </c>
      <c r="B629" s="1">
        <v>49.38</v>
      </c>
      <c r="C629" s="1">
        <v>49.39</v>
      </c>
      <c r="D629" s="2" t="s">
        <v>93</v>
      </c>
      <c r="E629" s="8">
        <v>1288.5375000000001</v>
      </c>
      <c r="F629" s="8">
        <f>F619</f>
        <v>0</v>
      </c>
      <c r="G629" s="8">
        <f>E629+F629</f>
        <v>1288.5375000000001</v>
      </c>
      <c r="H629" s="3">
        <f>B629*G629</f>
        <v>63627.981750000014</v>
      </c>
      <c r="I629" s="3">
        <f>C629*G629</f>
        <v>63640.867125000004</v>
      </c>
    </row>
    <row r="630" spans="1:9" x14ac:dyDescent="0.25">
      <c r="A630" t="s">
        <v>13</v>
      </c>
      <c r="B630" s="1">
        <v>17.989999999999998</v>
      </c>
      <c r="C630" s="1">
        <v>18</v>
      </c>
      <c r="D630" s="2" t="s">
        <v>93</v>
      </c>
      <c r="E630" s="8">
        <v>3535.8029000000001</v>
      </c>
      <c r="F630" s="8">
        <f>F620</f>
        <v>0</v>
      </c>
      <c r="G630" s="8">
        <f>E630+F630</f>
        <v>3535.8029000000001</v>
      </c>
      <c r="H630" s="3">
        <f>B630*G630</f>
        <v>63609.094170999997</v>
      </c>
      <c r="I630" s="3">
        <f>C630*G630</f>
        <v>63644.4522</v>
      </c>
    </row>
    <row r="631" spans="1:9" x14ac:dyDescent="0.25">
      <c r="A631" t="s">
        <v>14</v>
      </c>
      <c r="B631" s="1">
        <v>36.049999999999997</v>
      </c>
      <c r="C631" s="1">
        <v>36.06</v>
      </c>
      <c r="D631" s="2" t="s">
        <v>93</v>
      </c>
      <c r="E631" s="8">
        <v>1764.9625000000001</v>
      </c>
      <c r="F631" s="8">
        <f>F621</f>
        <v>0.2</v>
      </c>
      <c r="G631" s="8">
        <f>E631+F631</f>
        <v>1765.1625000000001</v>
      </c>
      <c r="H631" s="3">
        <f>B631*G631</f>
        <v>63634.108124999999</v>
      </c>
      <c r="I631" s="3">
        <f>C631*G631</f>
        <v>63651.759750000012</v>
      </c>
    </row>
    <row r="632" spans="1:9" x14ac:dyDescent="0.25">
      <c r="A632" t="s">
        <v>7</v>
      </c>
      <c r="B632" s="1">
        <v>18.940000000000001</v>
      </c>
      <c r="C632" s="1">
        <v>18.95</v>
      </c>
      <c r="D632" s="2" t="s">
        <v>94</v>
      </c>
      <c r="E632" s="8">
        <v>3546.4164000000001</v>
      </c>
      <c r="F632" s="8">
        <f>F622</f>
        <v>0</v>
      </c>
      <c r="G632" s="8">
        <f>E632+F632</f>
        <v>3546.4164000000001</v>
      </c>
      <c r="H632" s="3">
        <f>B632*G632</f>
        <v>67169.126616000009</v>
      </c>
      <c r="I632" s="3">
        <f>C632*G632</f>
        <v>67204.590779999999</v>
      </c>
    </row>
    <row r="633" spans="1:9" x14ac:dyDescent="0.25">
      <c r="A633" t="s">
        <v>8</v>
      </c>
      <c r="B633" s="1">
        <v>29.71</v>
      </c>
      <c r="C633" s="1">
        <v>29.72</v>
      </c>
      <c r="D633" s="2" t="s">
        <v>94</v>
      </c>
      <c r="E633" s="8">
        <v>2261.2764999999999</v>
      </c>
      <c r="F633" s="8">
        <f>F623</f>
        <v>-0.1</v>
      </c>
      <c r="G633" s="8">
        <f>E633+F633</f>
        <v>2261.1765</v>
      </c>
      <c r="H633" s="3">
        <f>B633*G633</f>
        <v>67179.553815000007</v>
      </c>
      <c r="I633" s="3">
        <f>C633*G633</f>
        <v>67202.165580000001</v>
      </c>
    </row>
    <row r="634" spans="1:9" x14ac:dyDescent="0.25">
      <c r="A634" t="s">
        <v>9</v>
      </c>
      <c r="B634" s="1">
        <v>70.95</v>
      </c>
      <c r="C634" s="1">
        <v>71.069999999999993</v>
      </c>
      <c r="D634" s="2" t="s">
        <v>94</v>
      </c>
      <c r="E634" s="8">
        <v>946.09090000000003</v>
      </c>
      <c r="F634" s="8">
        <f>F624</f>
        <v>0</v>
      </c>
      <c r="G634" s="8">
        <f>E634+F634</f>
        <v>946.09090000000003</v>
      </c>
      <c r="H634" s="3">
        <f>B634*G634</f>
        <v>67125.149355000001</v>
      </c>
      <c r="I634" s="3">
        <f>C634*G634</f>
        <v>67238.680263000002</v>
      </c>
    </row>
    <row r="635" spans="1:9" x14ac:dyDescent="0.25">
      <c r="A635" t="s">
        <v>10</v>
      </c>
      <c r="B635" s="1">
        <v>38.81</v>
      </c>
      <c r="C635" s="1">
        <v>38.840000000000003</v>
      </c>
      <c r="D635" s="2" t="s">
        <v>94</v>
      </c>
      <c r="E635" s="8">
        <v>1730.0548000000001</v>
      </c>
      <c r="F635" s="8">
        <f>F625</f>
        <v>-0.2</v>
      </c>
      <c r="G635" s="8">
        <f>E635+F635</f>
        <v>1729.8548000000001</v>
      </c>
      <c r="H635" s="3">
        <f>B635*G635</f>
        <v>67135.664788000009</v>
      </c>
      <c r="I635" s="3">
        <f>C635*G635</f>
        <v>67187.560432000013</v>
      </c>
    </row>
    <row r="636" spans="1:9" x14ac:dyDescent="0.25">
      <c r="A636" t="s">
        <v>11</v>
      </c>
      <c r="B636" s="1">
        <v>58.47</v>
      </c>
      <c r="C636" s="1">
        <v>58.48</v>
      </c>
      <c r="D636" s="2" t="s">
        <v>94</v>
      </c>
      <c r="E636" s="8">
        <v>1148.7979</v>
      </c>
      <c r="F636" s="8">
        <f>F626</f>
        <v>0</v>
      </c>
      <c r="G636" s="8">
        <f>E636+F636</f>
        <v>1148.7979</v>
      </c>
      <c r="H636" s="3">
        <f>B636*G636</f>
        <v>67170.213212999995</v>
      </c>
      <c r="I636" s="3">
        <f>C636*G636</f>
        <v>67181.701191999993</v>
      </c>
    </row>
    <row r="637" spans="1:9" x14ac:dyDescent="0.25">
      <c r="A637" t="s">
        <v>12</v>
      </c>
      <c r="B637" s="1">
        <v>52.12</v>
      </c>
      <c r="C637" s="1">
        <v>52.13</v>
      </c>
      <c r="D637" s="2" t="s">
        <v>94</v>
      </c>
      <c r="E637" s="8">
        <v>1288.6904999999999</v>
      </c>
      <c r="F637" s="8">
        <f>F627</f>
        <v>0.2</v>
      </c>
      <c r="G637" s="8">
        <f>E637+F637</f>
        <v>1288.8905</v>
      </c>
      <c r="H637" s="3">
        <f>B637*G637</f>
        <v>67176.972859999994</v>
      </c>
      <c r="I637" s="3">
        <f>C637*G637</f>
        <v>67189.861765000009</v>
      </c>
    </row>
    <row r="638" spans="1:9" x14ac:dyDescent="0.25">
      <c r="A638" t="s">
        <v>13</v>
      </c>
      <c r="B638" s="1">
        <v>18.989999999999998</v>
      </c>
      <c r="C638" s="1">
        <v>19</v>
      </c>
      <c r="D638" s="2" t="s">
        <v>94</v>
      </c>
      <c r="E638" s="8">
        <v>3535.8029000000001</v>
      </c>
      <c r="F638" s="8">
        <f>F628</f>
        <v>0.05</v>
      </c>
      <c r="G638" s="8">
        <f>E638+F638</f>
        <v>3535.8529000000003</v>
      </c>
      <c r="H638" s="3">
        <f>B638*G638</f>
        <v>67145.846571000002</v>
      </c>
      <c r="I638" s="3">
        <f>C638*G638</f>
        <v>67181.205100000006</v>
      </c>
    </row>
    <row r="639" spans="1:9" x14ac:dyDescent="0.25">
      <c r="A639" t="s">
        <v>14</v>
      </c>
      <c r="B639" s="1">
        <v>38.06</v>
      </c>
      <c r="C639" s="1">
        <v>38.07</v>
      </c>
      <c r="D639" s="2" t="s">
        <v>94</v>
      </c>
      <c r="E639" s="8">
        <v>1764.8746000000001</v>
      </c>
      <c r="F639" s="8">
        <f>F629</f>
        <v>0</v>
      </c>
      <c r="G639" s="8">
        <f>E639+F639</f>
        <v>1764.8746000000001</v>
      </c>
      <c r="H639" s="3">
        <f>B639*G639</f>
        <v>67171.127276000014</v>
      </c>
      <c r="I639" s="3">
        <f>C639*G639</f>
        <v>67188.776022000005</v>
      </c>
    </row>
    <row r="640" spans="1:9" x14ac:dyDescent="0.25">
      <c r="A640" t="s">
        <v>4</v>
      </c>
      <c r="B640" s="14">
        <v>22.27</v>
      </c>
      <c r="C640" s="14">
        <v>22.28</v>
      </c>
      <c r="D640" s="2" t="s">
        <v>95</v>
      </c>
      <c r="E640" s="8">
        <v>3014.8276999999998</v>
      </c>
      <c r="F640" s="8">
        <f>F630</f>
        <v>0</v>
      </c>
      <c r="G640" s="8">
        <f>E640+F640</f>
        <v>3014.8276999999998</v>
      </c>
      <c r="H640" s="3">
        <f>B640*G640</f>
        <v>67140.212878999999</v>
      </c>
      <c r="I640" s="3">
        <f>C640*G640</f>
        <v>67170.361155999999</v>
      </c>
    </row>
    <row r="641" spans="1:9" x14ac:dyDescent="0.25">
      <c r="A641" t="s">
        <v>6</v>
      </c>
      <c r="B641" s="14">
        <v>36.44</v>
      </c>
      <c r="C641" s="14">
        <v>36.450000000000003</v>
      </c>
      <c r="D641" s="2" t="s">
        <v>95</v>
      </c>
      <c r="E641" s="8">
        <v>1842.0498</v>
      </c>
      <c r="F641" s="8">
        <f>F631</f>
        <v>0.2</v>
      </c>
      <c r="G641" s="8">
        <f>E641+F641</f>
        <v>1842.2498000000001</v>
      </c>
      <c r="H641" s="3">
        <f>B641*G641</f>
        <v>67131.582712000003</v>
      </c>
      <c r="I641" s="3">
        <f>C641*G641</f>
        <v>67150.005210000003</v>
      </c>
    </row>
    <row r="642" spans="1:9" x14ac:dyDescent="0.25">
      <c r="A642" t="s">
        <v>4</v>
      </c>
      <c r="B642" s="1">
        <v>22.25</v>
      </c>
      <c r="C642" s="1">
        <v>22.26</v>
      </c>
      <c r="D642" s="2" t="s">
        <v>95</v>
      </c>
      <c r="E642" s="8">
        <v>3014.8276999999998</v>
      </c>
      <c r="F642" s="8">
        <f>F632</f>
        <v>0</v>
      </c>
      <c r="G642" s="8">
        <f>E642+F642</f>
        <v>3014.8276999999998</v>
      </c>
      <c r="H642" s="3">
        <f>B642*G642</f>
        <v>67079.916324999998</v>
      </c>
      <c r="I642" s="3">
        <f>C642*G642</f>
        <v>67110.064601999999</v>
      </c>
    </row>
    <row r="643" spans="1:9" x14ac:dyDescent="0.25">
      <c r="A643" t="s">
        <v>6</v>
      </c>
      <c r="B643" s="1">
        <v>36.409999999999997</v>
      </c>
      <c r="C643" s="1">
        <v>36.42</v>
      </c>
      <c r="D643" s="2" t="s">
        <v>95</v>
      </c>
      <c r="E643" s="8">
        <v>1842.0498</v>
      </c>
      <c r="F643" s="8">
        <f>F633</f>
        <v>-0.1</v>
      </c>
      <c r="G643" s="8">
        <f>E643+F643</f>
        <v>1841.9498000000001</v>
      </c>
      <c r="H643" s="3">
        <f>B643*G643</f>
        <v>67065.392217999994</v>
      </c>
      <c r="I643" s="3">
        <f>C643*G643</f>
        <v>67083.811716000011</v>
      </c>
    </row>
    <row r="644" spans="1:9" x14ac:dyDescent="0.25">
      <c r="A644" t="s">
        <v>7</v>
      </c>
      <c r="B644" s="1">
        <v>18.91</v>
      </c>
      <c r="C644" s="1">
        <v>18.920000000000002</v>
      </c>
      <c r="D644" s="2" t="s">
        <v>95</v>
      </c>
      <c r="E644" s="8">
        <v>3546.4164000000001</v>
      </c>
      <c r="F644" s="8">
        <f>F634</f>
        <v>0</v>
      </c>
      <c r="G644" s="8">
        <f>E644+F644</f>
        <v>3546.4164000000001</v>
      </c>
      <c r="H644" s="3">
        <f>B644*G644</f>
        <v>67062.734123999995</v>
      </c>
      <c r="I644" s="3">
        <f>C644*G644</f>
        <v>67098.198288000014</v>
      </c>
    </row>
    <row r="645" spans="1:9" x14ac:dyDescent="0.25">
      <c r="A645" t="s">
        <v>8</v>
      </c>
      <c r="B645" s="1">
        <v>29.67</v>
      </c>
      <c r="C645" s="1">
        <v>29.68</v>
      </c>
      <c r="D645" s="2" t="s">
        <v>95</v>
      </c>
      <c r="E645" s="8">
        <v>2261.2764999999999</v>
      </c>
      <c r="F645" s="8">
        <f>F635</f>
        <v>-0.2</v>
      </c>
      <c r="G645" s="8">
        <f>E645+F645</f>
        <v>2261.0765000000001</v>
      </c>
      <c r="H645" s="3">
        <f>B645*G645</f>
        <v>67086.139755000011</v>
      </c>
      <c r="I645" s="3">
        <f>C645*G645</f>
        <v>67108.750520000001</v>
      </c>
    </row>
    <row r="646" spans="1:9" x14ac:dyDescent="0.25">
      <c r="A646" t="s">
        <v>9</v>
      </c>
      <c r="B646" s="1">
        <v>70.84</v>
      </c>
      <c r="C646" s="1">
        <v>70.959999999999994</v>
      </c>
      <c r="D646" s="2" t="s">
        <v>95</v>
      </c>
      <c r="E646" s="8">
        <v>946.09090000000003</v>
      </c>
      <c r="F646" s="8">
        <f>F636</f>
        <v>0</v>
      </c>
      <c r="G646" s="8">
        <f>E646+F646</f>
        <v>946.09090000000003</v>
      </c>
      <c r="H646" s="3">
        <f>B646*G646</f>
        <v>67021.079356000002</v>
      </c>
      <c r="I646" s="3">
        <f>C646*G646</f>
        <v>67134.610264000003</v>
      </c>
    </row>
    <row r="647" spans="1:9" x14ac:dyDescent="0.25">
      <c r="A647" t="s">
        <v>10</v>
      </c>
      <c r="B647" s="1">
        <v>38.75</v>
      </c>
      <c r="C647" s="1">
        <v>38.78</v>
      </c>
      <c r="D647" s="2" t="s">
        <v>95</v>
      </c>
      <c r="E647" s="8">
        <v>1730.0548000000001</v>
      </c>
      <c r="F647" s="8">
        <f>F637</f>
        <v>0.2</v>
      </c>
      <c r="G647" s="8">
        <f>E647+F647</f>
        <v>1730.2548000000002</v>
      </c>
      <c r="H647" s="3">
        <f>B647*G647</f>
        <v>67047.373500000002</v>
      </c>
      <c r="I647" s="3">
        <f>C647*G647</f>
        <v>67099.281144000008</v>
      </c>
    </row>
    <row r="648" spans="1:9" x14ac:dyDescent="0.25">
      <c r="A648" t="s">
        <v>11</v>
      </c>
      <c r="B648" s="1">
        <v>58.39</v>
      </c>
      <c r="C648" s="1">
        <v>58.4</v>
      </c>
      <c r="D648" s="2" t="s">
        <v>95</v>
      </c>
      <c r="E648" s="8">
        <v>1148.7979</v>
      </c>
      <c r="F648" s="8">
        <f>F638</f>
        <v>0.05</v>
      </c>
      <c r="G648" s="8">
        <f>E648+F648</f>
        <v>1148.8479</v>
      </c>
      <c r="H648" s="3">
        <f>B648*G648</f>
        <v>67081.228881000003</v>
      </c>
      <c r="I648" s="3">
        <f>C648*G648</f>
        <v>67092.717359999995</v>
      </c>
    </row>
    <row r="649" spans="1:9" x14ac:dyDescent="0.25">
      <c r="A649" t="s">
        <v>12</v>
      </c>
      <c r="B649" s="1">
        <v>52.05</v>
      </c>
      <c r="C649" s="1">
        <v>52.06</v>
      </c>
      <c r="D649" s="2" t="s">
        <v>95</v>
      </c>
      <c r="E649" s="8">
        <v>1288.5905</v>
      </c>
      <c r="F649" s="8">
        <f>F639</f>
        <v>0</v>
      </c>
      <c r="G649" s="8">
        <f>E649+F649</f>
        <v>1288.5905</v>
      </c>
      <c r="H649" s="3">
        <f>B649*G649</f>
        <v>67071.135524999991</v>
      </c>
      <c r="I649" s="3">
        <f>C649*G649</f>
        <v>67084.021430000008</v>
      </c>
    </row>
    <row r="650" spans="1:9" x14ac:dyDescent="0.25">
      <c r="A650" t="s">
        <v>13</v>
      </c>
      <c r="B650" s="1">
        <v>18.97</v>
      </c>
      <c r="C650" s="1">
        <v>18.98</v>
      </c>
      <c r="D650" s="2" t="s">
        <v>95</v>
      </c>
      <c r="E650" s="8">
        <v>3535.8029000000001</v>
      </c>
      <c r="F650" s="8">
        <f>F640</f>
        <v>0</v>
      </c>
      <c r="G650" s="8">
        <f>E650+F650</f>
        <v>3535.8029000000001</v>
      </c>
      <c r="H650" s="3">
        <f>B650*G650</f>
        <v>67074.181012999994</v>
      </c>
      <c r="I650" s="3">
        <f>C650*G650</f>
        <v>67109.539042000004</v>
      </c>
    </row>
    <row r="651" spans="1:9" x14ac:dyDescent="0.25">
      <c r="A651" t="s">
        <v>14</v>
      </c>
      <c r="B651" s="1">
        <v>38</v>
      </c>
      <c r="C651" s="1">
        <v>38.01</v>
      </c>
      <c r="D651" s="2" t="s">
        <v>95</v>
      </c>
      <c r="E651" s="8">
        <v>1764.9746</v>
      </c>
      <c r="F651" s="8">
        <f>F641</f>
        <v>0.2</v>
      </c>
      <c r="G651" s="8">
        <f>E651+F651</f>
        <v>1765.1746000000001</v>
      </c>
      <c r="H651" s="3">
        <f>B651*G651</f>
        <v>67076.6348</v>
      </c>
      <c r="I651" s="3">
        <f>C651*G651</f>
        <v>67094.286546000003</v>
      </c>
    </row>
    <row r="652" spans="1:9" x14ac:dyDescent="0.25">
      <c r="A652" t="s">
        <v>4</v>
      </c>
      <c r="B652" s="1">
        <v>22.17</v>
      </c>
      <c r="C652" s="1">
        <v>22.18</v>
      </c>
      <c r="D652" s="2" t="s">
        <v>96</v>
      </c>
      <c r="E652" s="8">
        <v>3014.8276999999998</v>
      </c>
      <c r="F652" s="8">
        <f>F642</f>
        <v>0</v>
      </c>
      <c r="G652" s="8">
        <f>E652+F652</f>
        <v>3014.8276999999998</v>
      </c>
      <c r="H652" s="3">
        <f>B652*G652</f>
        <v>66838.730108999996</v>
      </c>
      <c r="I652" s="3">
        <f>C652*G652</f>
        <v>66868.878385999997</v>
      </c>
    </row>
    <row r="653" spans="1:9" x14ac:dyDescent="0.25">
      <c r="A653" t="s">
        <v>6</v>
      </c>
      <c r="B653" s="1">
        <v>36.29</v>
      </c>
      <c r="C653" s="1">
        <v>36.299999999999997</v>
      </c>
      <c r="D653" s="2" t="s">
        <v>96</v>
      </c>
      <c r="E653" s="8">
        <v>1842.0498</v>
      </c>
      <c r="F653" s="8">
        <f>F643</f>
        <v>-0.1</v>
      </c>
      <c r="G653" s="8">
        <f>E653+F653</f>
        <v>1841.9498000000001</v>
      </c>
      <c r="H653" s="3">
        <f>B653*G653</f>
        <v>66844.358242000002</v>
      </c>
      <c r="I653" s="3">
        <f>C653*G653</f>
        <v>66862.777740000005</v>
      </c>
    </row>
    <row r="654" spans="1:9" x14ac:dyDescent="0.25">
      <c r="A654" t="s">
        <v>7</v>
      </c>
      <c r="B654" s="1">
        <v>18.850000000000001</v>
      </c>
      <c r="C654" s="1">
        <v>18.86</v>
      </c>
      <c r="D654" s="2" t="s">
        <v>96</v>
      </c>
      <c r="E654" s="8">
        <v>3546.4164000000001</v>
      </c>
      <c r="F654" s="8">
        <f>F644</f>
        <v>0</v>
      </c>
      <c r="G654" s="8">
        <f>E654+F654</f>
        <v>3546.4164000000001</v>
      </c>
      <c r="H654" s="3">
        <f>B654*G654</f>
        <v>66849.949140000012</v>
      </c>
      <c r="I654" s="3">
        <f>C654*G654</f>
        <v>66885.413304000002</v>
      </c>
    </row>
    <row r="655" spans="1:9" x14ac:dyDescent="0.25">
      <c r="A655" t="s">
        <v>8</v>
      </c>
      <c r="B655" s="1">
        <v>29.57</v>
      </c>
      <c r="C655" s="1">
        <v>29.58</v>
      </c>
      <c r="D655" s="2" t="s">
        <v>96</v>
      </c>
      <c r="E655" s="8">
        <v>2261.2764999999999</v>
      </c>
      <c r="F655" s="8">
        <f>F645</f>
        <v>-0.2</v>
      </c>
      <c r="G655" s="8">
        <f>E655+F655</f>
        <v>2261.0765000000001</v>
      </c>
      <c r="H655" s="3">
        <f>B655*G655</f>
        <v>66860.032105000006</v>
      </c>
      <c r="I655" s="3">
        <f>C655*G655</f>
        <v>66882.642869999996</v>
      </c>
    </row>
    <row r="656" spans="1:9" x14ac:dyDescent="0.25">
      <c r="A656" t="s">
        <v>9</v>
      </c>
      <c r="B656" s="1">
        <v>70.61</v>
      </c>
      <c r="C656" s="1">
        <v>70.72</v>
      </c>
      <c r="D656" s="2" t="s">
        <v>96</v>
      </c>
      <c r="E656" s="8">
        <v>946.09090000000003</v>
      </c>
      <c r="F656" s="8">
        <f>F646</f>
        <v>0</v>
      </c>
      <c r="G656" s="8">
        <f>E656+F656</f>
        <v>946.09090000000003</v>
      </c>
      <c r="H656" s="3">
        <f>B656*G656</f>
        <v>66803.478449000002</v>
      </c>
      <c r="I656" s="3">
        <f>C656*G656</f>
        <v>66907.548448000001</v>
      </c>
    </row>
    <row r="657" spans="1:9" x14ac:dyDescent="0.25">
      <c r="A657" t="s">
        <v>10</v>
      </c>
      <c r="B657" s="1">
        <v>38.619999999999997</v>
      </c>
      <c r="C657" s="1">
        <v>38.65</v>
      </c>
      <c r="D657" s="2" t="s">
        <v>96</v>
      </c>
      <c r="E657" s="8">
        <v>1730.0548000000001</v>
      </c>
      <c r="F657" s="8">
        <f>F647</f>
        <v>0.2</v>
      </c>
      <c r="G657" s="8">
        <f>E657+F657</f>
        <v>1730.2548000000002</v>
      </c>
      <c r="H657" s="3">
        <f>B657*G657</f>
        <v>66822.440375999999</v>
      </c>
      <c r="I657" s="3">
        <f>C657*G657</f>
        <v>66874.348020000005</v>
      </c>
    </row>
    <row r="658" spans="1:9" x14ac:dyDescent="0.25">
      <c r="A658" t="s">
        <v>11</v>
      </c>
      <c r="B658" s="1">
        <v>58.19</v>
      </c>
      <c r="C658" s="1">
        <v>58.2</v>
      </c>
      <c r="D658" s="2" t="s">
        <v>96</v>
      </c>
      <c r="E658" s="8">
        <v>1148.7979</v>
      </c>
      <c r="F658" s="8">
        <f>F648</f>
        <v>0.05</v>
      </c>
      <c r="G658" s="8">
        <f>E658+F658</f>
        <v>1148.8479</v>
      </c>
      <c r="H658" s="3">
        <f>B658*G658</f>
        <v>66851.459300999995</v>
      </c>
      <c r="I658" s="3">
        <f>C658*G658</f>
        <v>66862.947780000002</v>
      </c>
    </row>
    <row r="659" spans="1:9" x14ac:dyDescent="0.25">
      <c r="A659" t="s">
        <v>12</v>
      </c>
      <c r="B659" s="1">
        <v>51.87</v>
      </c>
      <c r="C659" s="1">
        <v>51.88</v>
      </c>
      <c r="D659" s="2" t="s">
        <v>96</v>
      </c>
      <c r="E659" s="8">
        <v>1288.5905</v>
      </c>
      <c r="F659" s="8">
        <f>F649</f>
        <v>0</v>
      </c>
      <c r="G659" s="8">
        <f>E659+F659</f>
        <v>1288.5905</v>
      </c>
      <c r="H659" s="3">
        <f>B659*G659</f>
        <v>66839.189234999998</v>
      </c>
      <c r="I659" s="3">
        <f>C659*G659</f>
        <v>66852.075140000001</v>
      </c>
    </row>
    <row r="660" spans="1:9" x14ac:dyDescent="0.25">
      <c r="A660" t="s">
        <v>13</v>
      </c>
      <c r="B660" s="1">
        <v>18.899999999999999</v>
      </c>
      <c r="C660" s="1">
        <v>18.91</v>
      </c>
      <c r="D660" s="2" t="s">
        <v>96</v>
      </c>
      <c r="E660" s="8">
        <v>3535.8029000000001</v>
      </c>
      <c r="F660" s="8">
        <f>F650</f>
        <v>0</v>
      </c>
      <c r="G660" s="8">
        <f>E660+F660</f>
        <v>3535.8029000000001</v>
      </c>
      <c r="H660" s="3">
        <f>B660*G660</f>
        <v>66826.674809999997</v>
      </c>
      <c r="I660" s="3">
        <f>C660*G660</f>
        <v>66862.032839000007</v>
      </c>
    </row>
    <row r="661" spans="1:9" x14ac:dyDescent="0.25">
      <c r="A661" t="s">
        <v>14</v>
      </c>
      <c r="B661" s="1">
        <v>37.869999999999997</v>
      </c>
      <c r="C661" s="1">
        <v>37.880000000000003</v>
      </c>
      <c r="D661" s="2" t="s">
        <v>96</v>
      </c>
      <c r="E661" s="8">
        <v>1764.9746</v>
      </c>
      <c r="F661" s="8">
        <f>F651</f>
        <v>0.2</v>
      </c>
      <c r="G661" s="8">
        <f>E661+F661</f>
        <v>1765.1746000000001</v>
      </c>
      <c r="H661" s="3">
        <f>B661*G661</f>
        <v>66847.162102000002</v>
      </c>
      <c r="I661" s="3">
        <f>C661*G661</f>
        <v>66864.813848000005</v>
      </c>
    </row>
    <row r="662" spans="1:9" x14ac:dyDescent="0.25">
      <c r="A662" t="s">
        <v>4</v>
      </c>
      <c r="B662" s="1">
        <v>22.16</v>
      </c>
      <c r="C662" s="1">
        <v>22.17</v>
      </c>
      <c r="D662" s="2" t="s">
        <v>97</v>
      </c>
      <c r="E662" s="8">
        <v>3014.8276999999998</v>
      </c>
      <c r="F662" s="8">
        <f>F652</f>
        <v>0</v>
      </c>
      <c r="G662" s="8">
        <f>E662+F662</f>
        <v>3014.8276999999998</v>
      </c>
      <c r="H662" s="3">
        <f>B662*G662</f>
        <v>66808.581831999996</v>
      </c>
      <c r="I662" s="3">
        <f>C662*G662</f>
        <v>66838.730108999996</v>
      </c>
    </row>
    <row r="663" spans="1:9" x14ac:dyDescent="0.25">
      <c r="A663" t="s">
        <v>6</v>
      </c>
      <c r="B663" s="1">
        <v>36.270000000000003</v>
      </c>
      <c r="C663" s="1">
        <v>36.28</v>
      </c>
      <c r="D663" s="2" t="s">
        <v>97</v>
      </c>
      <c r="E663" s="8">
        <v>1842.0498</v>
      </c>
      <c r="F663" s="8">
        <f>F653</f>
        <v>-0.1</v>
      </c>
      <c r="G663" s="8">
        <f>E663+F663</f>
        <v>1841.9498000000001</v>
      </c>
      <c r="H663" s="3">
        <f>B663*G663</f>
        <v>66807.519246000011</v>
      </c>
      <c r="I663" s="3">
        <f>C663*G663</f>
        <v>66825.938743999999</v>
      </c>
    </row>
    <row r="664" spans="1:9" x14ac:dyDescent="0.25">
      <c r="A664" t="s">
        <v>7</v>
      </c>
      <c r="B664" s="1">
        <v>18.84</v>
      </c>
      <c r="C664" s="1">
        <v>18.850000000000001</v>
      </c>
      <c r="D664" s="2" t="s">
        <v>97</v>
      </c>
      <c r="E664" s="8">
        <v>3546.4164000000001</v>
      </c>
      <c r="F664" s="8">
        <f>F654</f>
        <v>0</v>
      </c>
      <c r="G664" s="8">
        <f>E664+F664</f>
        <v>3546.4164000000001</v>
      </c>
      <c r="H664" s="3">
        <f>B664*G664</f>
        <v>66814.484976000007</v>
      </c>
      <c r="I664" s="3">
        <f>C664*G664</f>
        <v>66849.949140000012</v>
      </c>
    </row>
    <row r="665" spans="1:9" x14ac:dyDescent="0.25">
      <c r="A665" t="s">
        <v>8</v>
      </c>
      <c r="B665" s="1">
        <v>29.55</v>
      </c>
      <c r="C665" s="1">
        <v>29.56</v>
      </c>
      <c r="D665" s="2" t="s">
        <v>97</v>
      </c>
      <c r="E665" s="8">
        <v>2261.2764999999999</v>
      </c>
      <c r="F665" s="8">
        <f>F655</f>
        <v>-0.2</v>
      </c>
      <c r="G665" s="8">
        <f>E665+F665</f>
        <v>2261.0765000000001</v>
      </c>
      <c r="H665" s="3">
        <f>B665*G665</f>
        <v>66814.81057500001</v>
      </c>
      <c r="I665" s="3">
        <f>C665*G665</f>
        <v>66837.421340000001</v>
      </c>
    </row>
    <row r="666" spans="1:9" x14ac:dyDescent="0.25">
      <c r="A666" t="s">
        <v>9</v>
      </c>
      <c r="B666" s="1">
        <v>70.58</v>
      </c>
      <c r="C666" s="1">
        <v>70.7</v>
      </c>
      <c r="D666" s="2" t="s">
        <v>97</v>
      </c>
      <c r="E666" s="8">
        <v>946.09090000000003</v>
      </c>
      <c r="F666" s="8">
        <f>F656</f>
        <v>0</v>
      </c>
      <c r="G666" s="8">
        <f>E666+F666</f>
        <v>946.09090000000003</v>
      </c>
      <c r="H666" s="3">
        <f>B666*G666</f>
        <v>66775.095721999998</v>
      </c>
      <c r="I666" s="3">
        <f>C666*G666</f>
        <v>66888.626629999999</v>
      </c>
    </row>
    <row r="667" spans="1:9" x14ac:dyDescent="0.25">
      <c r="A667" t="s">
        <v>10</v>
      </c>
      <c r="B667" s="1">
        <v>38.6</v>
      </c>
      <c r="C667" s="1">
        <v>38.630000000000003</v>
      </c>
      <c r="D667" s="2" t="s">
        <v>97</v>
      </c>
      <c r="E667" s="8">
        <v>1730.0548000000001</v>
      </c>
      <c r="F667" s="8">
        <f>F657</f>
        <v>0.2</v>
      </c>
      <c r="G667" s="8">
        <f>E667+F667</f>
        <v>1730.2548000000002</v>
      </c>
      <c r="H667" s="3">
        <f>B667*G667</f>
        <v>66787.835280000014</v>
      </c>
      <c r="I667" s="3">
        <f>C667*G667</f>
        <v>66839.742924000006</v>
      </c>
    </row>
    <row r="668" spans="1:9" x14ac:dyDescent="0.25">
      <c r="A668" t="s">
        <v>11</v>
      </c>
      <c r="B668" s="1">
        <v>58.16</v>
      </c>
      <c r="C668" s="1">
        <v>58.17</v>
      </c>
      <c r="D668" s="2" t="s">
        <v>97</v>
      </c>
      <c r="E668" s="8">
        <v>1148.7979</v>
      </c>
      <c r="F668" s="8">
        <f>F658</f>
        <v>0.05</v>
      </c>
      <c r="G668" s="8">
        <f>E668+F668</f>
        <v>1148.8479</v>
      </c>
      <c r="H668" s="3">
        <f>B668*G668</f>
        <v>66816.993863999989</v>
      </c>
      <c r="I668" s="3">
        <f>C668*G668</f>
        <v>66828.482342999996</v>
      </c>
    </row>
    <row r="669" spans="1:9" x14ac:dyDescent="0.25">
      <c r="A669" t="s">
        <v>12</v>
      </c>
      <c r="B669" s="1">
        <v>51.84</v>
      </c>
      <c r="C669" s="1">
        <v>51.85</v>
      </c>
      <c r="D669" s="2" t="s">
        <v>97</v>
      </c>
      <c r="E669" s="8">
        <v>1288.5905</v>
      </c>
      <c r="F669" s="8">
        <f>F659</f>
        <v>0</v>
      </c>
      <c r="G669" s="8">
        <f>E669+F669</f>
        <v>1288.5905</v>
      </c>
      <c r="H669" s="3">
        <f>B669*G669</f>
        <v>66800.531520000004</v>
      </c>
      <c r="I669" s="3">
        <f>C669*G669</f>
        <v>66813.417425000007</v>
      </c>
    </row>
    <row r="670" spans="1:9" x14ac:dyDescent="0.25">
      <c r="A670" t="s">
        <v>13</v>
      </c>
      <c r="B670" s="1">
        <v>18.89</v>
      </c>
      <c r="C670" s="1">
        <v>18.899999999999999</v>
      </c>
      <c r="D670" s="2" t="s">
        <v>97</v>
      </c>
      <c r="E670" s="8">
        <v>3535.8029000000001</v>
      </c>
      <c r="F670" s="8">
        <f>F660</f>
        <v>0</v>
      </c>
      <c r="G670" s="8">
        <f>E670+F670</f>
        <v>3535.8029000000001</v>
      </c>
      <c r="H670" s="3">
        <f>B670*G670</f>
        <v>66791.316781000001</v>
      </c>
      <c r="I670" s="3">
        <f>C670*G670</f>
        <v>66826.674809999997</v>
      </c>
    </row>
    <row r="671" spans="1:9" x14ac:dyDescent="0.25">
      <c r="A671" t="s">
        <v>14</v>
      </c>
      <c r="B671" s="1">
        <v>37.85</v>
      </c>
      <c r="C671" s="1">
        <v>37.86</v>
      </c>
      <c r="D671" s="2" t="s">
        <v>97</v>
      </c>
      <c r="E671" s="8">
        <v>1764.9746</v>
      </c>
      <c r="F671" s="8">
        <f>F661</f>
        <v>0.2</v>
      </c>
      <c r="G671" s="8">
        <f>E671+F671</f>
        <v>1765.1746000000001</v>
      </c>
      <c r="H671" s="3">
        <f>B671*G671</f>
        <v>66811.85861000001</v>
      </c>
      <c r="I671" s="3">
        <f>C671*G671</f>
        <v>66829.510355999999</v>
      </c>
    </row>
    <row r="672" spans="1:9" x14ac:dyDescent="0.25">
      <c r="A672" t="s">
        <v>4</v>
      </c>
      <c r="B672" s="1">
        <v>22.13</v>
      </c>
      <c r="C672" s="1">
        <v>22.14</v>
      </c>
      <c r="D672" s="2" t="s">
        <v>98</v>
      </c>
      <c r="E672" s="8">
        <v>3014.8276999999998</v>
      </c>
      <c r="F672" s="8">
        <f>F662</f>
        <v>0</v>
      </c>
      <c r="G672" s="8">
        <f>E672+F672</f>
        <v>3014.8276999999998</v>
      </c>
      <c r="H672" s="3">
        <f>B672*G672</f>
        <v>66718.137000999996</v>
      </c>
      <c r="I672" s="3">
        <f>C672*G672</f>
        <v>66748.285277999996</v>
      </c>
    </row>
    <row r="673" spans="1:9" x14ac:dyDescent="0.25">
      <c r="A673" t="s">
        <v>6</v>
      </c>
      <c r="B673" s="1">
        <v>36.22</v>
      </c>
      <c r="C673" s="1">
        <v>36.229999999999997</v>
      </c>
      <c r="D673" s="2" t="s">
        <v>98</v>
      </c>
      <c r="E673" s="8">
        <v>1842.0498</v>
      </c>
      <c r="F673" s="8">
        <f>F663</f>
        <v>-0.1</v>
      </c>
      <c r="G673" s="8">
        <f>E673+F673</f>
        <v>1841.9498000000001</v>
      </c>
      <c r="H673" s="3">
        <f>B673*G673</f>
        <v>66715.421755999996</v>
      </c>
      <c r="I673" s="3">
        <f>C673*G673</f>
        <v>66733.841253999999</v>
      </c>
    </row>
    <row r="674" spans="1:9" x14ac:dyDescent="0.25">
      <c r="A674" t="s">
        <v>7</v>
      </c>
      <c r="B674" s="1">
        <v>18.82</v>
      </c>
      <c r="C674" s="1">
        <v>18.829999999999998</v>
      </c>
      <c r="D674" s="2" t="s">
        <v>98</v>
      </c>
      <c r="E674" s="8">
        <v>3546.4164000000001</v>
      </c>
      <c r="F674" s="8">
        <f>F664</f>
        <v>0</v>
      </c>
      <c r="G674" s="8">
        <f>E674+F674</f>
        <v>3546.4164000000001</v>
      </c>
      <c r="H674" s="3">
        <f>B674*G674</f>
        <v>66743.556647999998</v>
      </c>
      <c r="I674" s="3">
        <f>C674*G674</f>
        <v>66779.020812000002</v>
      </c>
    </row>
    <row r="675" spans="1:9" x14ac:dyDescent="0.25">
      <c r="A675" t="s">
        <v>8</v>
      </c>
      <c r="B675" s="1">
        <v>29.51</v>
      </c>
      <c r="C675" s="1">
        <v>29.52</v>
      </c>
      <c r="D675" s="2" t="s">
        <v>98</v>
      </c>
      <c r="E675" s="8">
        <v>2261.2764999999999</v>
      </c>
      <c r="F675" s="8">
        <f>F665</f>
        <v>-0.2</v>
      </c>
      <c r="G675" s="8">
        <f>E675+F675</f>
        <v>2261.0765000000001</v>
      </c>
      <c r="H675" s="3">
        <f>B675*G675</f>
        <v>66724.367515000005</v>
      </c>
      <c r="I675" s="3">
        <f>C675*G675</f>
        <v>66746.978279999996</v>
      </c>
    </row>
    <row r="676" spans="1:9" x14ac:dyDescent="0.25">
      <c r="A676" t="s">
        <v>9</v>
      </c>
      <c r="B676" s="1">
        <v>70.47</v>
      </c>
      <c r="C676" s="1">
        <v>70.599999999999994</v>
      </c>
      <c r="D676" s="2" t="s">
        <v>98</v>
      </c>
      <c r="E676" s="8">
        <v>946.09090000000003</v>
      </c>
      <c r="F676" s="8">
        <f>F666</f>
        <v>0</v>
      </c>
      <c r="G676" s="8">
        <f>E676+F676</f>
        <v>946.09090000000003</v>
      </c>
      <c r="H676" s="3">
        <f>B676*G676</f>
        <v>66671.025722999999</v>
      </c>
      <c r="I676" s="3">
        <f>C676*G676</f>
        <v>66794.017540000001</v>
      </c>
    </row>
    <row r="677" spans="1:9" x14ac:dyDescent="0.25">
      <c r="A677" t="s">
        <v>10</v>
      </c>
      <c r="B677" s="1">
        <v>38.549999999999997</v>
      </c>
      <c r="C677" s="1">
        <v>38.58</v>
      </c>
      <c r="D677" s="2" t="s">
        <v>98</v>
      </c>
      <c r="E677" s="8">
        <v>1730.0548000000001</v>
      </c>
      <c r="F677" s="8">
        <f>F667</f>
        <v>0.2</v>
      </c>
      <c r="G677" s="8">
        <f>E677+F677</f>
        <v>1730.2548000000002</v>
      </c>
      <c r="H677" s="3">
        <f>B677*G677</f>
        <v>66701.322540000008</v>
      </c>
      <c r="I677" s="3">
        <f>C677*G677</f>
        <v>66753.230184</v>
      </c>
    </row>
    <row r="678" spans="1:9" x14ac:dyDescent="0.25">
      <c r="A678" t="s">
        <v>11</v>
      </c>
      <c r="B678" s="1">
        <v>58.07</v>
      </c>
      <c r="C678" s="1">
        <v>58.08</v>
      </c>
      <c r="D678" s="2" t="s">
        <v>98</v>
      </c>
      <c r="E678" s="8">
        <v>1148.7979</v>
      </c>
      <c r="F678" s="8">
        <f>F668</f>
        <v>0.05</v>
      </c>
      <c r="G678" s="8">
        <f>E678+F678</f>
        <v>1148.8479</v>
      </c>
      <c r="H678" s="3">
        <f>B678*G678</f>
        <v>66713.597553</v>
      </c>
      <c r="I678" s="3">
        <f>C678*G678</f>
        <v>66725.086031999992</v>
      </c>
    </row>
    <row r="679" spans="1:9" x14ac:dyDescent="0.25">
      <c r="A679" t="s">
        <v>12</v>
      </c>
      <c r="B679" s="1">
        <v>51.77</v>
      </c>
      <c r="C679" s="1">
        <v>51.78</v>
      </c>
      <c r="D679" s="2" t="s">
        <v>98</v>
      </c>
      <c r="E679" s="8">
        <v>1288.5905</v>
      </c>
      <c r="F679" s="8">
        <f>F669</f>
        <v>0</v>
      </c>
      <c r="G679" s="8">
        <f>E679+F679</f>
        <v>1288.5905</v>
      </c>
      <c r="H679" s="3">
        <f>B679*G679</f>
        <v>66710.330184999999</v>
      </c>
      <c r="I679" s="3">
        <f>C679*G679</f>
        <v>66723.216090000002</v>
      </c>
    </row>
    <row r="680" spans="1:9" x14ac:dyDescent="0.25">
      <c r="A680" t="s">
        <v>13</v>
      </c>
      <c r="B680" s="1">
        <v>18.87</v>
      </c>
      <c r="C680" s="1">
        <v>18.88</v>
      </c>
      <c r="D680" s="2" t="s">
        <v>98</v>
      </c>
      <c r="E680" s="8">
        <v>3535.8029000000001</v>
      </c>
      <c r="F680" s="8">
        <f>F670</f>
        <v>0</v>
      </c>
      <c r="G680" s="8">
        <f>E680+F680</f>
        <v>3535.8029000000001</v>
      </c>
      <c r="H680" s="3">
        <f>B680*G680</f>
        <v>66720.60072300001</v>
      </c>
      <c r="I680" s="3">
        <f>C680*G680</f>
        <v>66755.958752000006</v>
      </c>
    </row>
    <row r="681" spans="1:9" x14ac:dyDescent="0.25">
      <c r="A681" t="s">
        <v>14</v>
      </c>
      <c r="B681" s="1">
        <v>37.81</v>
      </c>
      <c r="C681" s="1">
        <v>37.82</v>
      </c>
      <c r="D681" s="2" t="s">
        <v>98</v>
      </c>
      <c r="E681" s="8">
        <v>1764.9746</v>
      </c>
      <c r="F681" s="8">
        <f>F671</f>
        <v>0.2</v>
      </c>
      <c r="G681" s="8">
        <f>E681+F681</f>
        <v>1765.1746000000001</v>
      </c>
      <c r="H681" s="3">
        <f>B681*G681</f>
        <v>66741.251626000012</v>
      </c>
      <c r="I681" s="3">
        <f>C681*G681</f>
        <v>66758.903372000001</v>
      </c>
    </row>
    <row r="682" spans="1:9" x14ac:dyDescent="0.25">
      <c r="A682" t="s">
        <v>4</v>
      </c>
      <c r="B682" s="1">
        <v>22.18</v>
      </c>
      <c r="C682" s="1">
        <v>22.19</v>
      </c>
      <c r="D682" s="2" t="s">
        <v>99</v>
      </c>
      <c r="E682" s="8">
        <v>3014.8276999999998</v>
      </c>
      <c r="F682" s="8">
        <f>F672</f>
        <v>0</v>
      </c>
      <c r="G682" s="8">
        <f>E682+F682</f>
        <v>3014.8276999999998</v>
      </c>
      <c r="H682" s="3">
        <f>B682*G682</f>
        <v>66868.878385999997</v>
      </c>
      <c r="I682" s="3">
        <f>C682*G682</f>
        <v>66899.026662999997</v>
      </c>
    </row>
    <row r="683" spans="1:9" x14ac:dyDescent="0.25">
      <c r="A683" t="s">
        <v>6</v>
      </c>
      <c r="B683" s="1">
        <v>36.299999999999997</v>
      </c>
      <c r="C683" s="1">
        <v>36.31</v>
      </c>
      <c r="D683" s="2" t="s">
        <v>99</v>
      </c>
      <c r="E683" s="8">
        <v>1842.0498</v>
      </c>
      <c r="F683" s="8">
        <f>F673</f>
        <v>-0.1</v>
      </c>
      <c r="G683" s="8">
        <f>E683+F683</f>
        <v>1841.9498000000001</v>
      </c>
      <c r="H683" s="3">
        <f>B683*G683</f>
        <v>66862.777740000005</v>
      </c>
      <c r="I683" s="3">
        <f>C683*G683</f>
        <v>66881.197238000008</v>
      </c>
    </row>
    <row r="684" spans="1:9" x14ac:dyDescent="0.25">
      <c r="A684" t="s">
        <v>7</v>
      </c>
      <c r="B684" s="1">
        <v>18.86</v>
      </c>
      <c r="C684" s="1">
        <v>18.87</v>
      </c>
      <c r="D684" s="2" t="s">
        <v>99</v>
      </c>
      <c r="E684" s="8">
        <v>3546.4164000000001</v>
      </c>
      <c r="F684" s="8">
        <f>F674</f>
        <v>0</v>
      </c>
      <c r="G684" s="8">
        <f>E684+F684</f>
        <v>3546.4164000000001</v>
      </c>
      <c r="H684" s="3">
        <f>B684*G684</f>
        <v>66885.413304000002</v>
      </c>
      <c r="I684" s="3">
        <f>C684*G684</f>
        <v>66920.877468000006</v>
      </c>
    </row>
    <row r="685" spans="1:9" x14ac:dyDescent="0.25">
      <c r="A685" t="s">
        <v>8</v>
      </c>
      <c r="B685" s="1">
        <v>29.57</v>
      </c>
      <c r="C685" s="1">
        <v>29.58</v>
      </c>
      <c r="D685" s="2" t="s">
        <v>99</v>
      </c>
      <c r="E685" s="8">
        <v>2261.2764999999999</v>
      </c>
      <c r="F685" s="8">
        <f>F675</f>
        <v>-0.2</v>
      </c>
      <c r="G685" s="8">
        <f>E685+F685</f>
        <v>2261.0765000000001</v>
      </c>
      <c r="H685" s="3">
        <f>B685*G685</f>
        <v>66860.032105000006</v>
      </c>
      <c r="I685" s="3">
        <f>C685*G685</f>
        <v>66882.642869999996</v>
      </c>
    </row>
    <row r="686" spans="1:9" x14ac:dyDescent="0.25">
      <c r="A686" t="s">
        <v>9</v>
      </c>
      <c r="B686" s="1">
        <v>70.64</v>
      </c>
      <c r="C686" s="1">
        <v>70.75</v>
      </c>
      <c r="D686" s="2" t="s">
        <v>99</v>
      </c>
      <c r="E686" s="8">
        <v>946.09090000000003</v>
      </c>
      <c r="F686" s="8">
        <f>F676</f>
        <v>0</v>
      </c>
      <c r="G686" s="8">
        <f>E686+F686</f>
        <v>946.09090000000003</v>
      </c>
      <c r="H686" s="3">
        <f>B686*G686</f>
        <v>66831.861176000006</v>
      </c>
      <c r="I686" s="3">
        <f>C686*G686</f>
        <v>66935.931175000005</v>
      </c>
    </row>
    <row r="687" spans="1:9" x14ac:dyDescent="0.25">
      <c r="A687" t="s">
        <v>10</v>
      </c>
      <c r="B687" s="1">
        <v>38.64</v>
      </c>
      <c r="C687" s="1">
        <v>38.659999999999997</v>
      </c>
      <c r="D687" s="2" t="s">
        <v>99</v>
      </c>
      <c r="E687" s="8">
        <v>1730.0548000000001</v>
      </c>
      <c r="F687" s="8">
        <f>F677</f>
        <v>0.2</v>
      </c>
      <c r="G687" s="8">
        <f>E687+F687</f>
        <v>1730.2548000000002</v>
      </c>
      <c r="H687" s="3">
        <f>B687*G687</f>
        <v>66857.045472000013</v>
      </c>
      <c r="I687" s="3">
        <f>C687*G687</f>
        <v>66891.650567999997</v>
      </c>
    </row>
    <row r="688" spans="1:9" x14ac:dyDescent="0.25">
      <c r="A688" t="s">
        <v>11</v>
      </c>
      <c r="B688" s="1">
        <v>58.2</v>
      </c>
      <c r="C688" s="1">
        <v>58.21</v>
      </c>
      <c r="D688" s="2" t="s">
        <v>99</v>
      </c>
      <c r="E688" s="8">
        <v>1148.7979</v>
      </c>
      <c r="F688" s="8">
        <f>F678</f>
        <v>0.05</v>
      </c>
      <c r="G688" s="8">
        <f>E688+F688</f>
        <v>1148.8479</v>
      </c>
      <c r="H688" s="3">
        <f>B688*G688</f>
        <v>66862.947780000002</v>
      </c>
      <c r="I688" s="3">
        <f>C688*G688</f>
        <v>66874.436258999995</v>
      </c>
    </row>
    <row r="689" spans="1:9" x14ac:dyDescent="0.25">
      <c r="A689" t="s">
        <v>12</v>
      </c>
      <c r="B689" s="1">
        <v>51.88</v>
      </c>
      <c r="C689" s="1">
        <v>51.89</v>
      </c>
      <c r="D689" s="2" t="s">
        <v>99</v>
      </c>
      <c r="E689" s="8">
        <v>1288.5905</v>
      </c>
      <c r="F689" s="8">
        <f>F679</f>
        <v>0</v>
      </c>
      <c r="G689" s="8">
        <f>E689+F689</f>
        <v>1288.5905</v>
      </c>
      <c r="H689" s="3">
        <f>B689*G689</f>
        <v>66852.075140000001</v>
      </c>
      <c r="I689" s="3">
        <f>C689*G689</f>
        <v>66864.961045000004</v>
      </c>
    </row>
    <row r="690" spans="1:9" x14ac:dyDescent="0.25">
      <c r="A690" t="s">
        <v>13</v>
      </c>
      <c r="B690" s="1">
        <v>18.91</v>
      </c>
      <c r="C690" s="1">
        <v>18.920000000000002</v>
      </c>
      <c r="D690" s="2" t="s">
        <v>99</v>
      </c>
      <c r="E690" s="8">
        <v>3535.8029000000001</v>
      </c>
      <c r="F690" s="8">
        <f>F680</f>
        <v>0</v>
      </c>
      <c r="G690" s="8">
        <f>E690+F690</f>
        <v>3535.8029000000001</v>
      </c>
      <c r="H690" s="3">
        <f>B690*G690</f>
        <v>66862.032839000007</v>
      </c>
      <c r="I690" s="3">
        <f>C690*G690</f>
        <v>66897.390868000002</v>
      </c>
    </row>
    <row r="691" spans="1:9" x14ac:dyDescent="0.25">
      <c r="A691" t="s">
        <v>14</v>
      </c>
      <c r="B691" s="1">
        <v>37.89</v>
      </c>
      <c r="C691" s="1">
        <v>37.9</v>
      </c>
      <c r="D691" s="2" t="s">
        <v>99</v>
      </c>
      <c r="E691" s="8">
        <v>1764.9746</v>
      </c>
      <c r="F691" s="8">
        <f>F681</f>
        <v>0.2</v>
      </c>
      <c r="G691" s="8">
        <f>E691+F691</f>
        <v>1765.1746000000001</v>
      </c>
      <c r="H691" s="3">
        <f>B691*G691</f>
        <v>66882.465594000008</v>
      </c>
      <c r="I691" s="3">
        <f>C691*G691</f>
        <v>66900.117339999997</v>
      </c>
    </row>
    <row r="692" spans="1:9" x14ac:dyDescent="0.25">
      <c r="A692" t="s">
        <v>4</v>
      </c>
      <c r="B692" s="1">
        <v>22.14</v>
      </c>
      <c r="C692" s="1">
        <v>22.15</v>
      </c>
      <c r="D692" s="2" t="s">
        <v>100</v>
      </c>
      <c r="E692" s="8">
        <v>3014.8276999999998</v>
      </c>
      <c r="F692" s="8">
        <f>F682</f>
        <v>0</v>
      </c>
      <c r="G692" s="8">
        <f>E692+F692</f>
        <v>3014.8276999999998</v>
      </c>
      <c r="H692" s="3">
        <f>B692*G692</f>
        <v>66748.285277999996</v>
      </c>
      <c r="I692" s="3">
        <f>C692*G692</f>
        <v>66778.433554999996</v>
      </c>
    </row>
    <row r="693" spans="1:9" x14ac:dyDescent="0.25">
      <c r="A693" t="s">
        <v>6</v>
      </c>
      <c r="B693" s="1">
        <v>36.24</v>
      </c>
      <c r="C693" s="1">
        <v>36.25</v>
      </c>
      <c r="D693" s="2" t="s">
        <v>100</v>
      </c>
      <c r="E693" s="8">
        <v>1842.0498</v>
      </c>
      <c r="F693" s="8">
        <f>F683</f>
        <v>-0.1</v>
      </c>
      <c r="G693" s="8">
        <f>E693+F693</f>
        <v>1841.9498000000001</v>
      </c>
      <c r="H693" s="3">
        <f>B693*G693</f>
        <v>66752.260752000002</v>
      </c>
      <c r="I693" s="3">
        <f>C693*G693</f>
        <v>66770.680250000005</v>
      </c>
    </row>
    <row r="694" spans="1:9" x14ac:dyDescent="0.25">
      <c r="A694" t="s">
        <v>7</v>
      </c>
      <c r="B694" s="1">
        <v>18.82</v>
      </c>
      <c r="C694" s="1">
        <v>18.829999999999998</v>
      </c>
      <c r="D694" s="2" t="s">
        <v>100</v>
      </c>
      <c r="E694" s="8">
        <v>3546.4164000000001</v>
      </c>
      <c r="F694" s="8">
        <f>F684</f>
        <v>0</v>
      </c>
      <c r="G694" s="8">
        <f>E694+F694</f>
        <v>3546.4164000000001</v>
      </c>
      <c r="H694" s="3">
        <f>B694*G694</f>
        <v>66743.556647999998</v>
      </c>
      <c r="I694" s="3">
        <f>C694*G694</f>
        <v>66779.020812000002</v>
      </c>
    </row>
    <row r="695" spans="1:9" x14ac:dyDescent="0.25">
      <c r="A695" t="s">
        <v>8</v>
      </c>
      <c r="B695" s="1">
        <v>29.52</v>
      </c>
      <c r="C695" s="1">
        <v>29.53</v>
      </c>
      <c r="D695" s="2" t="s">
        <v>100</v>
      </c>
      <c r="E695" s="8">
        <v>2261.2764999999999</v>
      </c>
      <c r="F695" s="8">
        <f>F685</f>
        <v>-0.2</v>
      </c>
      <c r="G695" s="8">
        <f>E695+F695</f>
        <v>2261.0765000000001</v>
      </c>
      <c r="H695" s="3">
        <f>B695*G695</f>
        <v>66746.978279999996</v>
      </c>
      <c r="I695" s="3">
        <f>C695*G695</f>
        <v>66769.589045000001</v>
      </c>
    </row>
    <row r="696" spans="1:9" x14ac:dyDescent="0.25">
      <c r="A696" t="s">
        <v>9</v>
      </c>
      <c r="B696" s="1">
        <v>70.540000000000006</v>
      </c>
      <c r="C696" s="1">
        <v>70.650000000000006</v>
      </c>
      <c r="D696" s="2" t="s">
        <v>100</v>
      </c>
      <c r="E696" s="8">
        <v>946.09090000000003</v>
      </c>
      <c r="F696" s="8">
        <f>F686</f>
        <v>0</v>
      </c>
      <c r="G696" s="8">
        <f>E696+F696</f>
        <v>946.09090000000003</v>
      </c>
      <c r="H696" s="3">
        <f>B696*G696</f>
        <v>66737.252086000008</v>
      </c>
      <c r="I696" s="3">
        <f>C696*G696</f>
        <v>66841.322085000007</v>
      </c>
    </row>
    <row r="697" spans="1:9" x14ac:dyDescent="0.25">
      <c r="A697" t="s">
        <v>10</v>
      </c>
      <c r="B697" s="1">
        <v>38.58</v>
      </c>
      <c r="C697" s="1">
        <v>38.6</v>
      </c>
      <c r="D697" s="2" t="s">
        <v>100</v>
      </c>
      <c r="E697" s="8">
        <v>1730.0548000000001</v>
      </c>
      <c r="F697" s="8">
        <f>F687</f>
        <v>0.2</v>
      </c>
      <c r="G697" s="8">
        <f>E697+F697</f>
        <v>1730.2548000000002</v>
      </c>
      <c r="H697" s="3">
        <f>B697*G697</f>
        <v>66753.230184</v>
      </c>
      <c r="I697" s="3">
        <f>C697*G697</f>
        <v>66787.835280000014</v>
      </c>
    </row>
    <row r="698" spans="1:9" x14ac:dyDescent="0.25">
      <c r="A698" t="s">
        <v>11</v>
      </c>
      <c r="B698" s="1">
        <v>58.1</v>
      </c>
      <c r="C698" s="1">
        <v>58.11</v>
      </c>
      <c r="D698" s="2" t="s">
        <v>100</v>
      </c>
      <c r="E698" s="8">
        <v>1148.7979</v>
      </c>
      <c r="F698" s="8">
        <f>F688</f>
        <v>0.05</v>
      </c>
      <c r="G698" s="8">
        <f>E698+F698</f>
        <v>1148.8479</v>
      </c>
      <c r="H698" s="3">
        <f>B698*G698</f>
        <v>66748.062990000006</v>
      </c>
      <c r="I698" s="3">
        <f>C698*G698</f>
        <v>66759.551468999998</v>
      </c>
    </row>
    <row r="699" spans="1:9" x14ac:dyDescent="0.25">
      <c r="A699" t="s">
        <v>12</v>
      </c>
      <c r="B699" s="1">
        <v>51.79</v>
      </c>
      <c r="C699" s="1">
        <v>51.8</v>
      </c>
      <c r="D699" s="2" t="s">
        <v>100</v>
      </c>
      <c r="E699" s="8">
        <v>1288.5905</v>
      </c>
      <c r="F699" s="8">
        <f>F689</f>
        <v>0</v>
      </c>
      <c r="G699" s="8">
        <f>E699+F699</f>
        <v>1288.5905</v>
      </c>
      <c r="H699" s="3">
        <f>B699*G699</f>
        <v>66736.101995000005</v>
      </c>
      <c r="I699" s="3">
        <f>C699*G699</f>
        <v>66748.987899999993</v>
      </c>
    </row>
    <row r="700" spans="1:9" x14ac:dyDescent="0.25">
      <c r="A700" t="s">
        <v>13</v>
      </c>
      <c r="B700" s="1">
        <v>18.87</v>
      </c>
      <c r="C700" s="1">
        <v>18.88</v>
      </c>
      <c r="D700" s="2" t="s">
        <v>100</v>
      </c>
      <c r="E700" s="8">
        <v>3535.8029000000001</v>
      </c>
      <c r="F700" s="8">
        <f>F690</f>
        <v>0</v>
      </c>
      <c r="G700" s="8">
        <f>E700+F700</f>
        <v>3535.8029000000001</v>
      </c>
      <c r="H700" s="3">
        <f>B700*G700</f>
        <v>66720.60072300001</v>
      </c>
      <c r="I700" s="3">
        <f>C700*G700</f>
        <v>66755.958752000006</v>
      </c>
    </row>
    <row r="701" spans="1:9" x14ac:dyDescent="0.25">
      <c r="A701" t="s">
        <v>14</v>
      </c>
      <c r="B701" s="1">
        <v>37.82</v>
      </c>
      <c r="C701" s="1">
        <v>37.83</v>
      </c>
      <c r="D701" s="2" t="s">
        <v>100</v>
      </c>
      <c r="E701" s="8">
        <v>1764.9746</v>
      </c>
      <c r="F701" s="8">
        <f>F691</f>
        <v>0.2</v>
      </c>
      <c r="G701" s="8">
        <f>E701+F701</f>
        <v>1765.1746000000001</v>
      </c>
      <c r="H701" s="3">
        <f>B701*G701</f>
        <v>66758.903372000001</v>
      </c>
      <c r="I701" s="3">
        <f>C701*G701</f>
        <v>66776.555118000004</v>
      </c>
    </row>
    <row r="702" spans="1:9" x14ac:dyDescent="0.25">
      <c r="A702" t="s">
        <v>4</v>
      </c>
      <c r="B702" s="1">
        <v>22.15</v>
      </c>
      <c r="C702" s="1">
        <v>22.16</v>
      </c>
      <c r="D702" s="2" t="s">
        <v>101</v>
      </c>
      <c r="E702" s="8">
        <v>3014.8276999999998</v>
      </c>
      <c r="F702" s="8">
        <f>F692</f>
        <v>0</v>
      </c>
      <c r="G702" s="8">
        <f>E702+F702</f>
        <v>3014.8276999999998</v>
      </c>
      <c r="H702" s="3">
        <f>B702*G702</f>
        <v>66778.433554999996</v>
      </c>
      <c r="I702" s="3">
        <f>C702*G702</f>
        <v>66808.581831999996</v>
      </c>
    </row>
    <row r="703" spans="1:9" x14ac:dyDescent="0.25">
      <c r="A703" t="s">
        <v>6</v>
      </c>
      <c r="B703" s="1">
        <v>36.26</v>
      </c>
      <c r="C703" s="1">
        <v>36.270000000000003</v>
      </c>
      <c r="D703" s="2" t="s">
        <v>101</v>
      </c>
      <c r="E703" s="8">
        <v>1842.0498</v>
      </c>
      <c r="F703" s="8">
        <f>F693</f>
        <v>-0.1</v>
      </c>
      <c r="G703" s="8">
        <f>E703+F703</f>
        <v>1841.9498000000001</v>
      </c>
      <c r="H703" s="3">
        <f>B703*G703</f>
        <v>66789.099747999993</v>
      </c>
      <c r="I703" s="3">
        <f>C703*G703</f>
        <v>66807.519246000011</v>
      </c>
    </row>
    <row r="704" spans="1:9" x14ac:dyDescent="0.25">
      <c r="A704" t="s">
        <v>7</v>
      </c>
      <c r="B704" s="1">
        <v>18.829999999999998</v>
      </c>
      <c r="C704" s="1">
        <v>18.84</v>
      </c>
      <c r="D704" s="2" t="s">
        <v>101</v>
      </c>
      <c r="E704" s="8">
        <v>3546.4164000000001</v>
      </c>
      <c r="F704" s="8">
        <f>F694</f>
        <v>0</v>
      </c>
      <c r="G704" s="8">
        <f>E704+F704</f>
        <v>3546.4164000000001</v>
      </c>
      <c r="H704" s="3">
        <f>B704*G704</f>
        <v>66779.020812000002</v>
      </c>
      <c r="I704" s="3">
        <f>C704*G704</f>
        <v>66814.484976000007</v>
      </c>
    </row>
    <row r="705" spans="1:9" x14ac:dyDescent="0.25">
      <c r="A705" t="s">
        <v>8</v>
      </c>
      <c r="B705" s="1">
        <v>29.54</v>
      </c>
      <c r="C705" s="1">
        <v>29.55</v>
      </c>
      <c r="D705" s="2" t="s">
        <v>101</v>
      </c>
      <c r="E705" s="8">
        <v>2261.2764999999999</v>
      </c>
      <c r="F705" s="8">
        <f>F695</f>
        <v>-0.2</v>
      </c>
      <c r="G705" s="8">
        <f>E705+F705</f>
        <v>2261.0765000000001</v>
      </c>
      <c r="H705" s="3">
        <f>B705*G705</f>
        <v>66792.199810000006</v>
      </c>
      <c r="I705" s="3">
        <f>C705*G705</f>
        <v>66814.81057500001</v>
      </c>
    </row>
    <row r="706" spans="1:9" x14ac:dyDescent="0.25">
      <c r="A706" t="s">
        <v>9</v>
      </c>
      <c r="B706" s="1">
        <v>70.56</v>
      </c>
      <c r="C706" s="1">
        <v>70.66</v>
      </c>
      <c r="D706" s="2" t="s">
        <v>101</v>
      </c>
      <c r="E706" s="8">
        <v>946.09090000000003</v>
      </c>
      <c r="F706" s="8">
        <f>F696</f>
        <v>0</v>
      </c>
      <c r="G706" s="8">
        <f>E706+F706</f>
        <v>946.09090000000003</v>
      </c>
      <c r="H706" s="3">
        <f>B706*G706</f>
        <v>66756.17390400001</v>
      </c>
      <c r="I706" s="3">
        <f>C706*G706</f>
        <v>66850.782993999994</v>
      </c>
    </row>
    <row r="707" spans="1:9" x14ac:dyDescent="0.25">
      <c r="A707" t="s">
        <v>10</v>
      </c>
      <c r="B707" s="1">
        <v>38.590000000000003</v>
      </c>
      <c r="C707" s="1">
        <v>38.619999999999997</v>
      </c>
      <c r="D707" s="2" t="s">
        <v>101</v>
      </c>
      <c r="E707" s="8">
        <v>1730.0548000000001</v>
      </c>
      <c r="F707" s="8">
        <f>F697</f>
        <v>0.2</v>
      </c>
      <c r="G707" s="8">
        <f>E707+F707</f>
        <v>1730.2548000000002</v>
      </c>
      <c r="H707" s="3">
        <f>B707*G707</f>
        <v>66770.532732000007</v>
      </c>
      <c r="I707" s="3">
        <f>C707*G707</f>
        <v>66822.440375999999</v>
      </c>
    </row>
    <row r="708" spans="1:9" x14ac:dyDescent="0.25">
      <c r="A708" t="s">
        <v>11</v>
      </c>
      <c r="B708" s="1">
        <v>58.13</v>
      </c>
      <c r="C708" s="1">
        <v>58.14</v>
      </c>
      <c r="D708" s="2" t="s">
        <v>101</v>
      </c>
      <c r="E708" s="8">
        <v>1148.7979</v>
      </c>
      <c r="F708" s="8">
        <f>F698</f>
        <v>0.05</v>
      </c>
      <c r="G708" s="8">
        <f>E708+F708</f>
        <v>1148.8479</v>
      </c>
      <c r="H708" s="3">
        <f>B708*G708</f>
        <v>66782.528426999997</v>
      </c>
      <c r="I708" s="3">
        <f>C708*G708</f>
        <v>66794.016906000004</v>
      </c>
    </row>
    <row r="709" spans="1:9" x14ac:dyDescent="0.25">
      <c r="A709" t="s">
        <v>12</v>
      </c>
      <c r="B709" s="1">
        <v>51.82</v>
      </c>
      <c r="C709" s="1">
        <v>51.83</v>
      </c>
      <c r="D709" s="2" t="s">
        <v>101</v>
      </c>
      <c r="E709" s="8">
        <v>1288.5905</v>
      </c>
      <c r="F709" s="8">
        <f>F699</f>
        <v>0</v>
      </c>
      <c r="G709" s="8">
        <f>E709+F709</f>
        <v>1288.5905</v>
      </c>
      <c r="H709" s="3">
        <f>B709*G709</f>
        <v>66774.759709999998</v>
      </c>
      <c r="I709" s="3">
        <f>C709*G709</f>
        <v>66787.645615000001</v>
      </c>
    </row>
    <row r="710" spans="1:9" x14ac:dyDescent="0.25">
      <c r="A710" t="s">
        <v>13</v>
      </c>
      <c r="B710" s="1">
        <v>18.89</v>
      </c>
      <c r="C710" s="1">
        <v>18.899999999999999</v>
      </c>
      <c r="D710" s="2" t="s">
        <v>101</v>
      </c>
      <c r="E710" s="8">
        <v>3535.8029000000001</v>
      </c>
      <c r="F710" s="8">
        <f>F700</f>
        <v>0</v>
      </c>
      <c r="G710" s="8">
        <f>E710+F710</f>
        <v>3535.8029000000001</v>
      </c>
      <c r="H710" s="3">
        <f>B710*G710</f>
        <v>66791.316781000001</v>
      </c>
      <c r="I710" s="3">
        <f>C710*G710</f>
        <v>66826.674809999997</v>
      </c>
    </row>
    <row r="711" spans="1:9" x14ac:dyDescent="0.25">
      <c r="A711" t="s">
        <v>14</v>
      </c>
      <c r="B711" s="1">
        <v>37.840000000000003</v>
      </c>
      <c r="C711" s="1">
        <v>37.85</v>
      </c>
      <c r="D711" s="2" t="s">
        <v>101</v>
      </c>
      <c r="E711" s="8">
        <v>1764.9746</v>
      </c>
      <c r="F711" s="8">
        <f>F701</f>
        <v>0.2</v>
      </c>
      <c r="G711" s="8">
        <f>E711+F711</f>
        <v>1765.1746000000001</v>
      </c>
      <c r="H711" s="3">
        <f>B711*G711</f>
        <v>66794.206864000007</v>
      </c>
      <c r="I711" s="3">
        <f>C711*G711</f>
        <v>66811.85861000001</v>
      </c>
    </row>
    <row r="712" spans="1:9" x14ac:dyDescent="0.25">
      <c r="A712" t="s">
        <v>4</v>
      </c>
      <c r="B712" s="1">
        <v>22.15</v>
      </c>
      <c r="C712" s="1">
        <v>22.16</v>
      </c>
      <c r="D712" s="2" t="s">
        <v>102</v>
      </c>
      <c r="E712" s="8">
        <v>3014.8276999999998</v>
      </c>
      <c r="F712" s="8">
        <f>F702</f>
        <v>0</v>
      </c>
      <c r="G712" s="8">
        <f>E712+F712</f>
        <v>3014.8276999999998</v>
      </c>
      <c r="H712" s="3">
        <f>B712*G712</f>
        <v>66778.433554999996</v>
      </c>
      <c r="I712" s="3">
        <f>C712*G712</f>
        <v>66808.581831999996</v>
      </c>
    </row>
    <row r="713" spans="1:9" x14ac:dyDescent="0.25">
      <c r="A713" t="s">
        <v>6</v>
      </c>
      <c r="B713" s="1">
        <v>36.26</v>
      </c>
      <c r="C713" s="1">
        <v>36.270000000000003</v>
      </c>
      <c r="D713" s="2" t="s">
        <v>102</v>
      </c>
      <c r="E713" s="8">
        <v>1842.0498</v>
      </c>
      <c r="F713" s="8">
        <f>F703</f>
        <v>-0.1</v>
      </c>
      <c r="G713" s="8">
        <f>E713+F713</f>
        <v>1841.9498000000001</v>
      </c>
      <c r="H713" s="3">
        <f>B713*G713</f>
        <v>66789.099747999993</v>
      </c>
      <c r="I713" s="3">
        <f>C713*G713</f>
        <v>66807.519246000011</v>
      </c>
    </row>
    <row r="714" spans="1:9" x14ac:dyDescent="0.25">
      <c r="A714" t="s">
        <v>7</v>
      </c>
      <c r="B714" s="1">
        <v>18.829999999999998</v>
      </c>
      <c r="C714" s="1">
        <v>18.84</v>
      </c>
      <c r="D714" s="2" t="s">
        <v>102</v>
      </c>
      <c r="E714" s="8">
        <v>3546.4164000000001</v>
      </c>
      <c r="F714" s="8">
        <f>F704</f>
        <v>0</v>
      </c>
      <c r="G714" s="8">
        <f>E714+F714</f>
        <v>3546.4164000000001</v>
      </c>
      <c r="H714" s="3">
        <f>B714*G714</f>
        <v>66779.020812000002</v>
      </c>
      <c r="I714" s="3">
        <f>C714*G714</f>
        <v>66814.484976000007</v>
      </c>
    </row>
    <row r="715" spans="1:9" x14ac:dyDescent="0.25">
      <c r="A715" t="s">
        <v>8</v>
      </c>
      <c r="B715" s="1">
        <v>29.54</v>
      </c>
      <c r="C715" s="1">
        <v>29.55</v>
      </c>
      <c r="D715" s="2" t="s">
        <v>102</v>
      </c>
      <c r="E715" s="8">
        <v>2261.2764999999999</v>
      </c>
      <c r="F715" s="8">
        <f>F705</f>
        <v>-0.2</v>
      </c>
      <c r="G715" s="8">
        <f>E715+F715</f>
        <v>2261.0765000000001</v>
      </c>
      <c r="H715" s="3">
        <f>B715*G715</f>
        <v>66792.199810000006</v>
      </c>
      <c r="I715" s="3">
        <f>C715*G715</f>
        <v>66814.81057500001</v>
      </c>
    </row>
    <row r="716" spans="1:9" x14ac:dyDescent="0.25">
      <c r="A716" t="s">
        <v>9</v>
      </c>
      <c r="B716" s="1">
        <v>70.569999999999993</v>
      </c>
      <c r="C716" s="1">
        <v>70.680000000000007</v>
      </c>
      <c r="D716" s="2" t="s">
        <v>102</v>
      </c>
      <c r="E716" s="8">
        <v>946.09090000000003</v>
      </c>
      <c r="F716" s="8">
        <f>F706</f>
        <v>0</v>
      </c>
      <c r="G716" s="8">
        <f>E716+F716</f>
        <v>946.09090000000003</v>
      </c>
      <c r="H716" s="3">
        <f>B716*G716</f>
        <v>66765.634812999997</v>
      </c>
      <c r="I716" s="3">
        <f>C716*G716</f>
        <v>66869.704812000011</v>
      </c>
    </row>
    <row r="717" spans="1:9" x14ac:dyDescent="0.25">
      <c r="A717" t="s">
        <v>10</v>
      </c>
      <c r="B717" s="1">
        <v>38.58</v>
      </c>
      <c r="C717" s="1">
        <v>38.61</v>
      </c>
      <c r="D717" s="2" t="s">
        <v>102</v>
      </c>
      <c r="E717" s="8">
        <v>1730.0548000000001</v>
      </c>
      <c r="F717" s="8">
        <f>F707</f>
        <v>0.2</v>
      </c>
      <c r="G717" s="8">
        <f>E717+F717</f>
        <v>1730.2548000000002</v>
      </c>
      <c r="H717" s="3">
        <f>B717*G717</f>
        <v>66753.230184</v>
      </c>
      <c r="I717" s="3">
        <f>C717*G717</f>
        <v>66805.137828000006</v>
      </c>
    </row>
    <row r="718" spans="1:9" x14ac:dyDescent="0.25">
      <c r="A718" t="s">
        <v>11</v>
      </c>
      <c r="B718" s="1">
        <v>58.12</v>
      </c>
      <c r="C718" s="1">
        <v>58.13</v>
      </c>
      <c r="D718" s="2" t="s">
        <v>102</v>
      </c>
      <c r="E718" s="8">
        <v>1148.7979</v>
      </c>
      <c r="F718" s="8">
        <f>F708</f>
        <v>0.05</v>
      </c>
      <c r="G718" s="8">
        <f>E718+F718</f>
        <v>1148.8479</v>
      </c>
      <c r="H718" s="3">
        <f>B718*G718</f>
        <v>66771.039947999991</v>
      </c>
      <c r="I718" s="3">
        <f>C718*G718</f>
        <v>66782.528426999997</v>
      </c>
    </row>
    <row r="719" spans="1:9" x14ac:dyDescent="0.25">
      <c r="A719" t="s">
        <v>12</v>
      </c>
      <c r="B719" s="1">
        <v>51.81</v>
      </c>
      <c r="C719" s="1">
        <v>51.82</v>
      </c>
      <c r="D719" s="2" t="s">
        <v>102</v>
      </c>
      <c r="E719" s="8">
        <v>1288.5905</v>
      </c>
      <c r="F719" s="8">
        <f>F709</f>
        <v>0</v>
      </c>
      <c r="G719" s="8">
        <f>E719+F719</f>
        <v>1288.5905</v>
      </c>
      <c r="H719" s="3">
        <f>B719*G719</f>
        <v>66761.87380500001</v>
      </c>
      <c r="I719" s="3">
        <f>C719*G719</f>
        <v>66774.759709999998</v>
      </c>
    </row>
    <row r="720" spans="1:9" x14ac:dyDescent="0.25">
      <c r="A720" t="s">
        <v>13</v>
      </c>
      <c r="B720" s="1">
        <v>18.88</v>
      </c>
      <c r="C720" s="1">
        <v>18.89</v>
      </c>
      <c r="D720" s="2" t="s">
        <v>102</v>
      </c>
      <c r="E720" s="8">
        <v>3535.8029000000001</v>
      </c>
      <c r="F720" s="8">
        <f>F710</f>
        <v>0</v>
      </c>
      <c r="G720" s="8">
        <f>E720+F720</f>
        <v>3535.8029000000001</v>
      </c>
      <c r="H720" s="3">
        <f>B720*G720</f>
        <v>66755.958752000006</v>
      </c>
      <c r="I720" s="3">
        <f>C720*G720</f>
        <v>66791.316781000001</v>
      </c>
    </row>
    <row r="721" spans="1:9" x14ac:dyDescent="0.25">
      <c r="A721" t="s">
        <v>14</v>
      </c>
      <c r="B721" s="1">
        <v>37.840000000000003</v>
      </c>
      <c r="C721" s="1">
        <v>37.85</v>
      </c>
      <c r="D721" s="2" t="s">
        <v>102</v>
      </c>
      <c r="E721" s="8">
        <v>1764.9746</v>
      </c>
      <c r="F721" s="8">
        <f>F711</f>
        <v>0.2</v>
      </c>
      <c r="G721" s="8">
        <f>E721+F721</f>
        <v>1765.1746000000001</v>
      </c>
      <c r="H721" s="3">
        <f>B721*G721</f>
        <v>66794.206864000007</v>
      </c>
      <c r="I721" s="3">
        <f>C721*G721</f>
        <v>66811.85861000001</v>
      </c>
    </row>
    <row r="722" spans="1:9" x14ac:dyDescent="0.25">
      <c r="A722" t="s">
        <v>4</v>
      </c>
      <c r="B722" s="1">
        <v>22.18</v>
      </c>
      <c r="C722" s="1">
        <v>22.19</v>
      </c>
      <c r="D722" s="2" t="s">
        <v>103</v>
      </c>
      <c r="E722" s="8">
        <v>3014.8276999999998</v>
      </c>
      <c r="F722" s="8">
        <f>F712</f>
        <v>0</v>
      </c>
      <c r="G722" s="8">
        <f>E722+F722</f>
        <v>3014.8276999999998</v>
      </c>
      <c r="H722" s="3">
        <f>B722*G722</f>
        <v>66868.878385999997</v>
      </c>
      <c r="I722" s="3">
        <f>C722*G722</f>
        <v>66899.026662999997</v>
      </c>
    </row>
    <row r="723" spans="1:9" x14ac:dyDescent="0.25">
      <c r="A723" t="s">
        <v>6</v>
      </c>
      <c r="B723" s="1">
        <v>36.299999999999997</v>
      </c>
      <c r="C723" s="1">
        <v>36.31</v>
      </c>
      <c r="D723" s="2" t="s">
        <v>103</v>
      </c>
      <c r="E723" s="8">
        <v>1842.0498</v>
      </c>
      <c r="F723" s="8">
        <f>F713</f>
        <v>-0.1</v>
      </c>
      <c r="G723" s="8">
        <f>E723+F723</f>
        <v>1841.9498000000001</v>
      </c>
      <c r="H723" s="3">
        <f>B723*G723</f>
        <v>66862.777740000005</v>
      </c>
      <c r="I723" s="3">
        <f>C723*G723</f>
        <v>66881.197238000008</v>
      </c>
    </row>
    <row r="724" spans="1:9" x14ac:dyDescent="0.25">
      <c r="A724" t="s">
        <v>7</v>
      </c>
      <c r="B724" s="1">
        <v>18.86</v>
      </c>
      <c r="C724" s="1">
        <v>18.87</v>
      </c>
      <c r="D724" s="2" t="s">
        <v>103</v>
      </c>
      <c r="E724" s="8">
        <v>3546.4164000000001</v>
      </c>
      <c r="F724" s="8">
        <f>F714</f>
        <v>0</v>
      </c>
      <c r="G724" s="8">
        <f>E724+F724</f>
        <v>3546.4164000000001</v>
      </c>
      <c r="H724" s="3">
        <f>B724*G724</f>
        <v>66885.413304000002</v>
      </c>
      <c r="I724" s="3">
        <f>C724*G724</f>
        <v>66920.877468000006</v>
      </c>
    </row>
    <row r="725" spans="1:9" x14ac:dyDescent="0.25">
      <c r="A725" t="s">
        <v>8</v>
      </c>
      <c r="B725" s="1">
        <v>29.57</v>
      </c>
      <c r="C725" s="1">
        <v>29.58</v>
      </c>
      <c r="D725" s="2" t="s">
        <v>103</v>
      </c>
      <c r="E725" s="8">
        <v>2261.2764999999999</v>
      </c>
      <c r="F725" s="8">
        <f>F715</f>
        <v>-0.2</v>
      </c>
      <c r="G725" s="8">
        <f>E725+F725</f>
        <v>2261.0765000000001</v>
      </c>
      <c r="H725" s="3">
        <f>B725*G725</f>
        <v>66860.032105000006</v>
      </c>
      <c r="I725" s="3">
        <f>C725*G725</f>
        <v>66882.642869999996</v>
      </c>
    </row>
    <row r="726" spans="1:9" x14ac:dyDescent="0.25">
      <c r="A726" t="s">
        <v>9</v>
      </c>
      <c r="B726" s="1">
        <v>70.64</v>
      </c>
      <c r="C726" s="1">
        <v>70.77</v>
      </c>
      <c r="D726" s="2" t="s">
        <v>103</v>
      </c>
      <c r="E726" s="8">
        <v>946.09090000000003</v>
      </c>
      <c r="F726" s="8">
        <f>F716</f>
        <v>0</v>
      </c>
      <c r="G726" s="8">
        <f>E726+F726</f>
        <v>946.09090000000003</v>
      </c>
      <c r="H726" s="3">
        <f>B726*G726</f>
        <v>66831.861176000006</v>
      </c>
      <c r="I726" s="3">
        <f>C726*G726</f>
        <v>66954.852992999993</v>
      </c>
    </row>
    <row r="727" spans="1:9" x14ac:dyDescent="0.25">
      <c r="A727" t="s">
        <v>10</v>
      </c>
      <c r="B727" s="1">
        <v>38.64</v>
      </c>
      <c r="C727" s="1">
        <v>38.659999999999997</v>
      </c>
      <c r="D727" s="2" t="s">
        <v>103</v>
      </c>
      <c r="E727" s="8">
        <v>1730.0548000000001</v>
      </c>
      <c r="F727" s="8">
        <f>F717</f>
        <v>0.2</v>
      </c>
      <c r="G727" s="8">
        <f>E727+F727</f>
        <v>1730.2548000000002</v>
      </c>
      <c r="H727" s="3">
        <f>B727*G727</f>
        <v>66857.045472000013</v>
      </c>
      <c r="I727" s="3">
        <f>C727*G727</f>
        <v>66891.650567999997</v>
      </c>
    </row>
    <row r="728" spans="1:9" x14ac:dyDescent="0.25">
      <c r="A728" t="s">
        <v>11</v>
      </c>
      <c r="B728" s="1">
        <v>58.2</v>
      </c>
      <c r="C728" s="1">
        <v>58.21</v>
      </c>
      <c r="D728" s="2" t="s">
        <v>103</v>
      </c>
      <c r="E728" s="8">
        <v>1148.7979</v>
      </c>
      <c r="F728" s="8">
        <f>F718</f>
        <v>0.05</v>
      </c>
      <c r="G728" s="8">
        <f>E728+F728</f>
        <v>1148.8479</v>
      </c>
      <c r="H728" s="3">
        <f>B728*G728</f>
        <v>66862.947780000002</v>
      </c>
      <c r="I728" s="3">
        <f>C728*G728</f>
        <v>66874.436258999995</v>
      </c>
    </row>
    <row r="729" spans="1:9" x14ac:dyDescent="0.25">
      <c r="A729" t="s">
        <v>12</v>
      </c>
      <c r="B729" s="1">
        <v>51.88</v>
      </c>
      <c r="C729" s="1">
        <v>51.89</v>
      </c>
      <c r="D729" s="2" t="s">
        <v>103</v>
      </c>
      <c r="E729" s="8">
        <v>1288.5905</v>
      </c>
      <c r="F729" s="8">
        <f>F719</f>
        <v>0</v>
      </c>
      <c r="G729" s="8">
        <f>E729+F729</f>
        <v>1288.5905</v>
      </c>
      <c r="H729" s="3">
        <f>B729*G729</f>
        <v>66852.075140000001</v>
      </c>
      <c r="I729" s="3">
        <f>C729*G729</f>
        <v>66864.961045000004</v>
      </c>
    </row>
    <row r="730" spans="1:9" x14ac:dyDescent="0.25">
      <c r="A730" t="s">
        <v>13</v>
      </c>
      <c r="B730" s="1">
        <v>18.91</v>
      </c>
      <c r="C730" s="1">
        <v>18.920000000000002</v>
      </c>
      <c r="D730" s="2" t="s">
        <v>103</v>
      </c>
      <c r="E730" s="8">
        <v>3535.8029000000001</v>
      </c>
      <c r="F730" s="8">
        <f>F720</f>
        <v>0</v>
      </c>
      <c r="G730" s="8">
        <f>E730+F730</f>
        <v>3535.8029000000001</v>
      </c>
      <c r="H730" s="3">
        <f>B730*G730</f>
        <v>66862.032839000007</v>
      </c>
      <c r="I730" s="3">
        <f>C730*G730</f>
        <v>66897.390868000002</v>
      </c>
    </row>
    <row r="731" spans="1:9" x14ac:dyDescent="0.25">
      <c r="A731" t="s">
        <v>14</v>
      </c>
      <c r="B731" s="1">
        <v>37.880000000000003</v>
      </c>
      <c r="C731" s="1">
        <v>37.89</v>
      </c>
      <c r="D731" s="2" t="s">
        <v>103</v>
      </c>
      <c r="E731" s="8">
        <v>1764.9746</v>
      </c>
      <c r="F731" s="8">
        <f>F721</f>
        <v>0.2</v>
      </c>
      <c r="G731" s="8">
        <f>E731+F731</f>
        <v>1765.1746000000001</v>
      </c>
      <c r="H731" s="3">
        <f>B731*G731</f>
        <v>66864.813848000005</v>
      </c>
      <c r="I731" s="3">
        <f>C731*G731</f>
        <v>66882.465594000008</v>
      </c>
    </row>
    <row r="732" spans="1:9" x14ac:dyDescent="0.25">
      <c r="A732" t="s">
        <v>4</v>
      </c>
      <c r="B732" s="1">
        <v>22.15</v>
      </c>
      <c r="C732" s="1">
        <v>22.16</v>
      </c>
      <c r="D732" s="2" t="s">
        <v>104</v>
      </c>
      <c r="E732" s="8">
        <v>3014.8276999999998</v>
      </c>
      <c r="F732" s="8">
        <f>F722</f>
        <v>0</v>
      </c>
      <c r="G732" s="8">
        <f>E732+F732</f>
        <v>3014.8276999999998</v>
      </c>
      <c r="H732" s="3">
        <f>B732*G732</f>
        <v>66778.433554999996</v>
      </c>
      <c r="I732" s="3">
        <f>C732*G732</f>
        <v>66808.581831999996</v>
      </c>
    </row>
    <row r="733" spans="1:9" x14ac:dyDescent="0.25">
      <c r="A733" t="s">
        <v>6</v>
      </c>
      <c r="B733" s="1">
        <v>36.26</v>
      </c>
      <c r="C733" s="1">
        <v>36.270000000000003</v>
      </c>
      <c r="D733" s="2" t="s">
        <v>104</v>
      </c>
      <c r="E733" s="8">
        <v>1842.0498</v>
      </c>
      <c r="F733" s="8">
        <f>F723</f>
        <v>-0.1</v>
      </c>
      <c r="G733" s="8">
        <f>E733+F733</f>
        <v>1841.9498000000001</v>
      </c>
      <c r="H733" s="3">
        <f>B733*G733</f>
        <v>66789.099747999993</v>
      </c>
      <c r="I733" s="3">
        <f>C733*G733</f>
        <v>66807.519246000011</v>
      </c>
    </row>
    <row r="734" spans="1:9" x14ac:dyDescent="0.25">
      <c r="A734" t="s">
        <v>7</v>
      </c>
      <c r="B734" s="1">
        <v>18.829999999999998</v>
      </c>
      <c r="C734" s="1">
        <v>18.84</v>
      </c>
      <c r="D734" s="2" t="s">
        <v>104</v>
      </c>
      <c r="E734" s="8">
        <v>3546.4164000000001</v>
      </c>
      <c r="F734" s="8">
        <f>F724</f>
        <v>0</v>
      </c>
      <c r="G734" s="8">
        <f>E734+F734</f>
        <v>3546.4164000000001</v>
      </c>
      <c r="H734" s="3">
        <f>B734*G734</f>
        <v>66779.020812000002</v>
      </c>
      <c r="I734" s="3">
        <f>C734*G734</f>
        <v>66814.484976000007</v>
      </c>
    </row>
    <row r="735" spans="1:9" x14ac:dyDescent="0.25">
      <c r="A735" t="s">
        <v>8</v>
      </c>
      <c r="B735" s="1">
        <v>29.54</v>
      </c>
      <c r="C735" s="1">
        <v>29.55</v>
      </c>
      <c r="D735" s="2" t="s">
        <v>104</v>
      </c>
      <c r="E735" s="8">
        <v>2261.2764999999999</v>
      </c>
      <c r="F735" s="8">
        <f>F725</f>
        <v>-0.2</v>
      </c>
      <c r="G735" s="8">
        <f>E735+F735</f>
        <v>2261.0765000000001</v>
      </c>
      <c r="H735" s="3">
        <f>B735*G735</f>
        <v>66792.199810000006</v>
      </c>
      <c r="I735" s="3">
        <f>C735*G735</f>
        <v>66814.81057500001</v>
      </c>
    </row>
    <row r="736" spans="1:9" x14ac:dyDescent="0.25">
      <c r="A736" t="s">
        <v>9</v>
      </c>
      <c r="B736" s="1">
        <v>70.569999999999993</v>
      </c>
      <c r="C736" s="1">
        <v>70.680000000000007</v>
      </c>
      <c r="D736" s="2" t="s">
        <v>104</v>
      </c>
      <c r="E736" s="8">
        <v>946.09090000000003</v>
      </c>
      <c r="F736" s="8">
        <f>F726</f>
        <v>0</v>
      </c>
      <c r="G736" s="8">
        <f>E736+F736</f>
        <v>946.09090000000003</v>
      </c>
      <c r="H736" s="3">
        <f>B736*G736</f>
        <v>66765.634812999997</v>
      </c>
      <c r="I736" s="3">
        <f>C736*G736</f>
        <v>66869.704812000011</v>
      </c>
    </row>
    <row r="737" spans="1:9" x14ac:dyDescent="0.25">
      <c r="A737" t="s">
        <v>10</v>
      </c>
      <c r="B737" s="1">
        <v>38.590000000000003</v>
      </c>
      <c r="C737" s="1">
        <v>38.619999999999997</v>
      </c>
      <c r="D737" s="2" t="s">
        <v>104</v>
      </c>
      <c r="E737" s="8">
        <v>1730.0548000000001</v>
      </c>
      <c r="F737" s="8">
        <f>F727</f>
        <v>0.2</v>
      </c>
      <c r="G737" s="8">
        <f>E737+F737</f>
        <v>1730.2548000000002</v>
      </c>
      <c r="H737" s="3">
        <f>B737*G737</f>
        <v>66770.532732000007</v>
      </c>
      <c r="I737" s="3">
        <f>C737*G737</f>
        <v>66822.440375999999</v>
      </c>
    </row>
    <row r="738" spans="1:9" x14ac:dyDescent="0.25">
      <c r="A738" t="s">
        <v>11</v>
      </c>
      <c r="B738" s="1">
        <v>58.14</v>
      </c>
      <c r="C738" s="1">
        <v>58.15</v>
      </c>
      <c r="D738" s="2" t="s">
        <v>104</v>
      </c>
      <c r="E738" s="8">
        <v>1148.7979</v>
      </c>
      <c r="F738" s="8">
        <f>F728</f>
        <v>0.05</v>
      </c>
      <c r="G738" s="8">
        <f>E738+F738</f>
        <v>1148.8479</v>
      </c>
      <c r="H738" s="3">
        <f>B738*G738</f>
        <v>66794.016906000004</v>
      </c>
      <c r="I738" s="3">
        <f>C738*G738</f>
        <v>66805.505384999997</v>
      </c>
    </row>
    <row r="739" spans="1:9" x14ac:dyDescent="0.25">
      <c r="A739" t="s">
        <v>12</v>
      </c>
      <c r="B739" s="1">
        <v>51.83</v>
      </c>
      <c r="C739" s="1">
        <v>51.84</v>
      </c>
      <c r="D739" s="2" t="s">
        <v>104</v>
      </c>
      <c r="E739" s="8">
        <v>1288.5905</v>
      </c>
      <c r="F739" s="8">
        <f>F729</f>
        <v>0</v>
      </c>
      <c r="G739" s="8">
        <f>E739+F739</f>
        <v>1288.5905</v>
      </c>
      <c r="H739" s="3">
        <f>B739*G739</f>
        <v>66787.645615000001</v>
      </c>
      <c r="I739" s="3">
        <f>C739*G739</f>
        <v>66800.531520000004</v>
      </c>
    </row>
    <row r="740" spans="1:9" x14ac:dyDescent="0.25">
      <c r="A740" t="s">
        <v>13</v>
      </c>
      <c r="B740" s="1">
        <v>18.89</v>
      </c>
      <c r="C740" s="1">
        <v>18.899999999999999</v>
      </c>
      <c r="D740" s="2" t="s">
        <v>104</v>
      </c>
      <c r="E740" s="8">
        <v>3535.8029000000001</v>
      </c>
      <c r="F740" s="8">
        <f>F730</f>
        <v>0</v>
      </c>
      <c r="G740" s="8">
        <f>E740+F740</f>
        <v>3535.8029000000001</v>
      </c>
      <c r="H740" s="3">
        <f>B740*G740</f>
        <v>66791.316781000001</v>
      </c>
      <c r="I740" s="3">
        <f>C740*G740</f>
        <v>66826.674809999997</v>
      </c>
    </row>
    <row r="741" spans="1:9" x14ac:dyDescent="0.25">
      <c r="A741" t="s">
        <v>14</v>
      </c>
      <c r="B741" s="1">
        <v>37.840000000000003</v>
      </c>
      <c r="C741" s="1">
        <v>37.85</v>
      </c>
      <c r="D741" s="2" t="s">
        <v>104</v>
      </c>
      <c r="E741" s="8">
        <v>1764.9746</v>
      </c>
      <c r="F741" s="8">
        <f>F731</f>
        <v>0.2</v>
      </c>
      <c r="G741" s="8">
        <f>E741+F741</f>
        <v>1765.1746000000001</v>
      </c>
      <c r="H741" s="3">
        <f>B741*G741</f>
        <v>66794.206864000007</v>
      </c>
      <c r="I741" s="3">
        <f>C741*G741</f>
        <v>66811.85861000001</v>
      </c>
    </row>
    <row r="742" spans="1:9" x14ac:dyDescent="0.25">
      <c r="A742" t="s">
        <v>4</v>
      </c>
      <c r="B742" s="1">
        <v>22.04</v>
      </c>
      <c r="C742" s="1">
        <v>22.05</v>
      </c>
      <c r="D742" s="2" t="s">
        <v>105</v>
      </c>
      <c r="E742" s="8">
        <v>3014.8276999999998</v>
      </c>
      <c r="F742" s="8">
        <f>F732</f>
        <v>0</v>
      </c>
      <c r="G742" s="8">
        <f>E742+F742</f>
        <v>3014.8276999999998</v>
      </c>
      <c r="H742" s="3">
        <f>B742*G742</f>
        <v>66446.802507999993</v>
      </c>
      <c r="I742" s="3">
        <f>C742*G742</f>
        <v>66476.950784999994</v>
      </c>
    </row>
    <row r="743" spans="1:9" x14ac:dyDescent="0.25">
      <c r="A743" t="s">
        <v>6</v>
      </c>
      <c r="B743" s="1">
        <v>36.08</v>
      </c>
      <c r="C743" s="1">
        <v>36.090000000000003</v>
      </c>
      <c r="D743" s="2" t="s">
        <v>105</v>
      </c>
      <c r="E743" s="8">
        <v>1842.0498</v>
      </c>
      <c r="F743" s="8">
        <f>F733</f>
        <v>-0.1</v>
      </c>
      <c r="G743" s="8">
        <f>E743+F743</f>
        <v>1841.9498000000001</v>
      </c>
      <c r="H743" s="3">
        <f>B743*G743</f>
        <v>66457.548783999999</v>
      </c>
      <c r="I743" s="3">
        <f>C743*G743</f>
        <v>66475.968282000016</v>
      </c>
    </row>
    <row r="744" spans="1:9" x14ac:dyDescent="0.25">
      <c r="A744" t="s">
        <v>7</v>
      </c>
      <c r="B744" s="1">
        <v>18.739999999999998</v>
      </c>
      <c r="C744" s="1">
        <v>18.75</v>
      </c>
      <c r="D744" s="2" t="s">
        <v>105</v>
      </c>
      <c r="E744" s="8">
        <v>3546.4164000000001</v>
      </c>
      <c r="F744" s="8">
        <f>F734</f>
        <v>0</v>
      </c>
      <c r="G744" s="8">
        <f>E744+F744</f>
        <v>3546.4164000000001</v>
      </c>
      <c r="H744" s="3">
        <f>B744*G744</f>
        <v>66459.843335999991</v>
      </c>
      <c r="I744" s="3">
        <f>C744*G744</f>
        <v>66495.307499999995</v>
      </c>
    </row>
    <row r="745" spans="1:9" x14ac:dyDescent="0.25">
      <c r="A745" t="s">
        <v>8</v>
      </c>
      <c r="B745" s="1">
        <v>29.4</v>
      </c>
      <c r="C745" s="1">
        <v>29.41</v>
      </c>
      <c r="D745" s="2" t="s">
        <v>105</v>
      </c>
      <c r="E745" s="8">
        <v>2261.2764999999999</v>
      </c>
      <c r="F745" s="8">
        <f>F735</f>
        <v>-0.2</v>
      </c>
      <c r="G745" s="8">
        <f>E745+F745</f>
        <v>2261.0765000000001</v>
      </c>
      <c r="H745" s="3">
        <f>B745*G745</f>
        <v>66475.649099999995</v>
      </c>
      <c r="I745" s="3">
        <f>C745*G745</f>
        <v>66498.259865</v>
      </c>
    </row>
    <row r="746" spans="1:9" x14ac:dyDescent="0.25">
      <c r="A746" t="s">
        <v>9</v>
      </c>
      <c r="B746" s="1">
        <v>70.19</v>
      </c>
      <c r="C746" s="1">
        <v>70.31</v>
      </c>
      <c r="D746" s="2" t="s">
        <v>105</v>
      </c>
      <c r="E746" s="8">
        <v>946.09090000000003</v>
      </c>
      <c r="F746" s="8">
        <f>F736</f>
        <v>0</v>
      </c>
      <c r="G746" s="8">
        <f>E746+F746</f>
        <v>946.09090000000003</v>
      </c>
      <c r="H746" s="3">
        <f>B746*G746</f>
        <v>66406.120271000007</v>
      </c>
      <c r="I746" s="3">
        <f>C746*G746</f>
        <v>66519.651179000008</v>
      </c>
    </row>
    <row r="747" spans="1:9" x14ac:dyDescent="0.25">
      <c r="A747" t="s">
        <v>10</v>
      </c>
      <c r="B747" s="1">
        <v>38.4</v>
      </c>
      <c r="C747" s="1">
        <v>38.43</v>
      </c>
      <c r="D747" s="2" t="s">
        <v>105</v>
      </c>
      <c r="E747" s="8">
        <v>1730.0548000000001</v>
      </c>
      <c r="F747" s="8">
        <f>F737</f>
        <v>0.2</v>
      </c>
      <c r="G747" s="8">
        <f>E747+F747</f>
        <v>1730.2548000000002</v>
      </c>
      <c r="H747" s="3">
        <f>B747*G747</f>
        <v>66441.784320000006</v>
      </c>
      <c r="I747" s="3">
        <f>C747*G747</f>
        <v>66493.691964000012</v>
      </c>
    </row>
    <row r="748" spans="1:9" x14ac:dyDescent="0.25">
      <c r="A748" t="s">
        <v>11</v>
      </c>
      <c r="B748" s="1">
        <v>57.86</v>
      </c>
      <c r="C748" s="1">
        <v>57.87</v>
      </c>
      <c r="D748" s="2" t="s">
        <v>105</v>
      </c>
      <c r="E748" s="8">
        <v>1148.7979</v>
      </c>
      <c r="F748" s="8">
        <f>F738</f>
        <v>0.05</v>
      </c>
      <c r="G748" s="8">
        <f>E748+F748</f>
        <v>1148.8479</v>
      </c>
      <c r="H748" s="3">
        <f>B748*G748</f>
        <v>66472.339494</v>
      </c>
      <c r="I748" s="3">
        <f>C748*G748</f>
        <v>66483.827972999992</v>
      </c>
    </row>
    <row r="749" spans="1:9" x14ac:dyDescent="0.25">
      <c r="A749" t="s">
        <v>12</v>
      </c>
      <c r="B749" s="1">
        <v>51.57</v>
      </c>
      <c r="C749" s="1">
        <v>51.58</v>
      </c>
      <c r="D749" s="2" t="s">
        <v>105</v>
      </c>
      <c r="E749" s="8">
        <v>1288.5905</v>
      </c>
      <c r="F749" s="8">
        <f>F739</f>
        <v>0</v>
      </c>
      <c r="G749" s="8">
        <f>E749+F749</f>
        <v>1288.5905</v>
      </c>
      <c r="H749" s="3">
        <f>B749*G749</f>
        <v>66452.612085000001</v>
      </c>
      <c r="I749" s="3">
        <f>C749*G749</f>
        <v>66465.497990000003</v>
      </c>
    </row>
    <row r="750" spans="1:9" x14ac:dyDescent="0.25">
      <c r="A750" t="s">
        <v>13</v>
      </c>
      <c r="B750" s="1">
        <v>18.79</v>
      </c>
      <c r="C750" s="1">
        <v>18.8</v>
      </c>
      <c r="D750" s="2" t="s">
        <v>105</v>
      </c>
      <c r="E750" s="8">
        <v>3535.8029000000001</v>
      </c>
      <c r="F750" s="8">
        <f>F740</f>
        <v>0</v>
      </c>
      <c r="G750" s="8">
        <f>E750+F750</f>
        <v>3535.8029000000001</v>
      </c>
      <c r="H750" s="3">
        <f>B750*G750</f>
        <v>66437.736491000003</v>
      </c>
      <c r="I750" s="3">
        <f>C750*G750</f>
        <v>66473.094519999999</v>
      </c>
    </row>
    <row r="751" spans="1:9" x14ac:dyDescent="0.25">
      <c r="A751" t="s">
        <v>14</v>
      </c>
      <c r="B751" s="1">
        <v>37.65</v>
      </c>
      <c r="C751" s="1">
        <v>37.659999999999997</v>
      </c>
      <c r="D751" s="2" t="s">
        <v>105</v>
      </c>
      <c r="E751" s="8">
        <v>1764.9746</v>
      </c>
      <c r="F751" s="8">
        <f>F741</f>
        <v>0.2</v>
      </c>
      <c r="G751" s="8">
        <f>E751+F751</f>
        <v>1765.1746000000001</v>
      </c>
      <c r="H751" s="3">
        <f>B751*G751</f>
        <v>66458.823690000005</v>
      </c>
      <c r="I751" s="3">
        <f>C751*G751</f>
        <v>66476.475435999993</v>
      </c>
    </row>
    <row r="752" spans="1:9" x14ac:dyDescent="0.25">
      <c r="A752" t="s">
        <v>4</v>
      </c>
      <c r="B752" s="1">
        <v>22.1</v>
      </c>
      <c r="C752" s="1">
        <v>22.11</v>
      </c>
      <c r="D752" s="2" t="s">
        <v>106</v>
      </c>
      <c r="E752" s="8">
        <v>3014.8276999999998</v>
      </c>
      <c r="F752" s="8">
        <f>F742</f>
        <v>0</v>
      </c>
      <c r="G752" s="8">
        <f>E752+F752</f>
        <v>3014.8276999999998</v>
      </c>
      <c r="H752" s="3">
        <f>B752*G752</f>
        <v>66627.692169999995</v>
      </c>
      <c r="I752" s="3">
        <f>C752*G752</f>
        <v>66657.840446999995</v>
      </c>
    </row>
    <row r="753" spans="1:9" x14ac:dyDescent="0.25">
      <c r="A753" t="s">
        <v>6</v>
      </c>
      <c r="B753" s="1">
        <v>36.17</v>
      </c>
      <c r="C753" s="1">
        <v>36.18</v>
      </c>
      <c r="D753" s="2" t="s">
        <v>106</v>
      </c>
      <c r="E753" s="8">
        <v>1842.0498</v>
      </c>
      <c r="F753" s="8">
        <f>F743</f>
        <v>-0.1</v>
      </c>
      <c r="G753" s="8">
        <f>E753+F753</f>
        <v>1841.9498000000001</v>
      </c>
      <c r="H753" s="3">
        <f>B753*G753</f>
        <v>66623.324266000011</v>
      </c>
      <c r="I753" s="3">
        <f>C753*G753</f>
        <v>66641.743763999999</v>
      </c>
    </row>
    <row r="754" spans="1:9" x14ac:dyDescent="0.25">
      <c r="A754" t="s">
        <v>7</v>
      </c>
      <c r="B754" s="1">
        <v>18.79</v>
      </c>
      <c r="C754" s="1">
        <v>18.8</v>
      </c>
      <c r="D754" s="2" t="s">
        <v>106</v>
      </c>
      <c r="E754" s="8">
        <v>3546.4164000000001</v>
      </c>
      <c r="F754" s="8">
        <f>F744</f>
        <v>0</v>
      </c>
      <c r="G754" s="8">
        <f>E754+F754</f>
        <v>3546.4164000000001</v>
      </c>
      <c r="H754" s="3">
        <f>B754*G754</f>
        <v>66637.164155999999</v>
      </c>
      <c r="I754" s="3">
        <f>C754*G754</f>
        <v>66672.628320000003</v>
      </c>
    </row>
    <row r="755" spans="1:9" x14ac:dyDescent="0.25">
      <c r="A755" t="s">
        <v>8</v>
      </c>
      <c r="B755" s="1">
        <v>29.47</v>
      </c>
      <c r="C755" s="1">
        <v>29.48</v>
      </c>
      <c r="D755" s="2" t="s">
        <v>106</v>
      </c>
      <c r="E755" s="8">
        <v>2261.2764999999999</v>
      </c>
      <c r="F755" s="8">
        <f>F745</f>
        <v>-0.2</v>
      </c>
      <c r="G755" s="8">
        <f>E755+F755</f>
        <v>2261.0765000000001</v>
      </c>
      <c r="H755" s="3">
        <f>B755*G755</f>
        <v>66633.924455</v>
      </c>
      <c r="I755" s="3">
        <f>C755*G755</f>
        <v>66656.535220000005</v>
      </c>
    </row>
    <row r="756" spans="1:9" x14ac:dyDescent="0.25">
      <c r="A756" t="s">
        <v>9</v>
      </c>
      <c r="B756" s="1">
        <v>70.38</v>
      </c>
      <c r="C756" s="1">
        <v>70.5</v>
      </c>
      <c r="D756" s="2" t="s">
        <v>106</v>
      </c>
      <c r="E756" s="8">
        <v>946.09090000000003</v>
      </c>
      <c r="F756" s="8">
        <f>F746</f>
        <v>0</v>
      </c>
      <c r="G756" s="8">
        <f>E756+F756</f>
        <v>946.09090000000003</v>
      </c>
      <c r="H756" s="3">
        <f>B756*G756</f>
        <v>66585.877542000002</v>
      </c>
      <c r="I756" s="3">
        <f>C756*G756</f>
        <v>66699.408450000003</v>
      </c>
    </row>
    <row r="757" spans="1:9" x14ac:dyDescent="0.25">
      <c r="A757" t="s">
        <v>10</v>
      </c>
      <c r="B757" s="1">
        <v>38.5</v>
      </c>
      <c r="C757" s="1">
        <v>38.53</v>
      </c>
      <c r="D757" s="2" t="s">
        <v>106</v>
      </c>
      <c r="E757" s="8">
        <v>1730.0548000000001</v>
      </c>
      <c r="F757" s="8">
        <f>F747</f>
        <v>0.2</v>
      </c>
      <c r="G757" s="8">
        <f>E757+F757</f>
        <v>1730.2548000000002</v>
      </c>
      <c r="H757" s="3">
        <f>B757*G757</f>
        <v>66614.809800000003</v>
      </c>
      <c r="I757" s="3">
        <f>C757*G757</f>
        <v>66666.717444000009</v>
      </c>
    </row>
    <row r="758" spans="1:9" x14ac:dyDescent="0.25">
      <c r="A758" t="s">
        <v>11</v>
      </c>
      <c r="B758" s="1">
        <v>58</v>
      </c>
      <c r="C758" s="1">
        <v>58.01</v>
      </c>
      <c r="D758" s="2" t="s">
        <v>106</v>
      </c>
      <c r="E758" s="8">
        <v>1148.7979</v>
      </c>
      <c r="F758" s="8">
        <f>F748</f>
        <v>0.05</v>
      </c>
      <c r="G758" s="8">
        <f>E758+F758</f>
        <v>1148.8479</v>
      </c>
      <c r="H758" s="3">
        <f>B758*G758</f>
        <v>66633.178199999995</v>
      </c>
      <c r="I758" s="3">
        <f>C758*G758</f>
        <v>66644.666679000002</v>
      </c>
    </row>
    <row r="759" spans="1:9" x14ac:dyDescent="0.25">
      <c r="A759" t="s">
        <v>12</v>
      </c>
      <c r="B759" s="1">
        <v>51.7</v>
      </c>
      <c r="C759" s="1">
        <v>51.71</v>
      </c>
      <c r="D759" s="2" t="s">
        <v>106</v>
      </c>
      <c r="E759" s="8">
        <v>1288.5905</v>
      </c>
      <c r="F759" s="8">
        <f>F749</f>
        <v>0</v>
      </c>
      <c r="G759" s="8">
        <f>E759+F759</f>
        <v>1288.5905</v>
      </c>
      <c r="H759" s="3">
        <f>B759*G759</f>
        <v>66620.128850000008</v>
      </c>
      <c r="I759" s="3">
        <f>C759*G759</f>
        <v>66633.014754999997</v>
      </c>
    </row>
    <row r="760" spans="1:9" x14ac:dyDescent="0.25">
      <c r="A760" t="s">
        <v>13</v>
      </c>
      <c r="B760" s="1">
        <v>18.84</v>
      </c>
      <c r="C760" s="1">
        <v>18.850000000000001</v>
      </c>
      <c r="D760" s="2" t="s">
        <v>106</v>
      </c>
      <c r="E760" s="8">
        <v>3535.8029000000001</v>
      </c>
      <c r="F760" s="8">
        <f>F750</f>
        <v>0</v>
      </c>
      <c r="G760" s="8">
        <f>E760+F760</f>
        <v>3535.8029000000001</v>
      </c>
      <c r="H760" s="3">
        <f>B760*G760</f>
        <v>66614.526635999995</v>
      </c>
      <c r="I760" s="3">
        <f>C760*G760</f>
        <v>66649.884665000005</v>
      </c>
    </row>
    <row r="761" spans="1:9" x14ac:dyDescent="0.25">
      <c r="A761" t="s">
        <v>14</v>
      </c>
      <c r="B761" s="1">
        <v>37.75</v>
      </c>
      <c r="C761" s="1">
        <v>37.76</v>
      </c>
      <c r="D761" s="2" t="s">
        <v>106</v>
      </c>
      <c r="E761" s="8">
        <v>1764.9746</v>
      </c>
      <c r="F761" s="8">
        <f>F751</f>
        <v>0.2</v>
      </c>
      <c r="G761" s="8">
        <f>E761+F761</f>
        <v>1765.1746000000001</v>
      </c>
      <c r="H761" s="3">
        <f>B761*G761</f>
        <v>66635.341150000007</v>
      </c>
      <c r="I761" s="3">
        <f>C761*G761</f>
        <v>66652.992895999996</v>
      </c>
    </row>
    <row r="762" spans="1:9" x14ac:dyDescent="0.25">
      <c r="A762" t="s">
        <v>4</v>
      </c>
      <c r="B762" s="1">
        <v>22.07</v>
      </c>
      <c r="C762" s="1">
        <v>22.08</v>
      </c>
      <c r="D762" s="2" t="s">
        <v>107</v>
      </c>
      <c r="E762" s="8">
        <v>3014.8276999999998</v>
      </c>
      <c r="F762" s="8">
        <f>F752</f>
        <v>0</v>
      </c>
      <c r="G762" s="8">
        <f>E762+F762</f>
        <v>3014.8276999999998</v>
      </c>
      <c r="H762" s="3">
        <f>B762*G762</f>
        <v>66537.247338999994</v>
      </c>
      <c r="I762" s="3">
        <f>C762*G762</f>
        <v>66567.395615999994</v>
      </c>
    </row>
    <row r="763" spans="1:9" x14ac:dyDescent="0.25">
      <c r="A763" t="s">
        <v>6</v>
      </c>
      <c r="B763" s="1">
        <v>36.130000000000003</v>
      </c>
      <c r="C763" s="1">
        <v>36.14</v>
      </c>
      <c r="D763" s="2" t="s">
        <v>107</v>
      </c>
      <c r="E763" s="8">
        <v>1842.0498</v>
      </c>
      <c r="F763" s="8">
        <f>F753</f>
        <v>-0.1</v>
      </c>
      <c r="G763" s="8">
        <f>E763+F763</f>
        <v>1841.9498000000001</v>
      </c>
      <c r="H763" s="3">
        <f>B763*G763</f>
        <v>66549.646274000013</v>
      </c>
      <c r="I763" s="3">
        <f>C763*G763</f>
        <v>66568.065772000002</v>
      </c>
    </row>
    <row r="764" spans="1:9" x14ac:dyDescent="0.25">
      <c r="A764" t="s">
        <v>7</v>
      </c>
      <c r="B764" s="1">
        <v>18.77</v>
      </c>
      <c r="C764" s="1">
        <v>18.78</v>
      </c>
      <c r="D764" s="2" t="s">
        <v>107</v>
      </c>
      <c r="E764" s="8">
        <v>3546.4164000000001</v>
      </c>
      <c r="F764" s="8">
        <f>F754</f>
        <v>0</v>
      </c>
      <c r="G764" s="8">
        <f>E764+F764</f>
        <v>3546.4164000000001</v>
      </c>
      <c r="H764" s="3">
        <f>B764*G764</f>
        <v>66566.235828000004</v>
      </c>
      <c r="I764" s="3">
        <f>C764*G764</f>
        <v>66601.699992000009</v>
      </c>
    </row>
    <row r="765" spans="1:9" x14ac:dyDescent="0.25">
      <c r="A765" t="s">
        <v>8</v>
      </c>
      <c r="B765" s="1">
        <v>29.44</v>
      </c>
      <c r="C765" s="1">
        <v>29.45</v>
      </c>
      <c r="D765" s="2" t="s">
        <v>107</v>
      </c>
      <c r="E765" s="8">
        <v>2261.2764999999999</v>
      </c>
      <c r="F765" s="8">
        <f>F755</f>
        <v>-0.2</v>
      </c>
      <c r="G765" s="8">
        <f>E765+F765</f>
        <v>2261.0765000000001</v>
      </c>
      <c r="H765" s="3">
        <f>B765*G765</f>
        <v>66566.09216</v>
      </c>
      <c r="I765" s="3">
        <f>C765*G765</f>
        <v>66588.702925000005</v>
      </c>
    </row>
    <row r="766" spans="1:9" x14ac:dyDescent="0.25">
      <c r="A766" t="s">
        <v>9</v>
      </c>
      <c r="B766" s="1">
        <v>70.260000000000005</v>
      </c>
      <c r="C766" s="1">
        <v>70.42</v>
      </c>
      <c r="D766" s="2" t="s">
        <v>107</v>
      </c>
      <c r="E766" s="8">
        <v>946.09090000000003</v>
      </c>
      <c r="F766" s="8">
        <f>F756</f>
        <v>0</v>
      </c>
      <c r="G766" s="8">
        <f>E766+F766</f>
        <v>946.09090000000003</v>
      </c>
      <c r="H766" s="3">
        <f>B766*G766</f>
        <v>66472.346634000001</v>
      </c>
      <c r="I766" s="3">
        <f>C766*G766</f>
        <v>66623.721178000007</v>
      </c>
    </row>
    <row r="767" spans="1:9" x14ac:dyDescent="0.25">
      <c r="A767" t="s">
        <v>10</v>
      </c>
      <c r="B767" s="1">
        <v>38.46</v>
      </c>
      <c r="C767" s="1">
        <v>38.479999999999997</v>
      </c>
      <c r="D767" s="2" t="s">
        <v>107</v>
      </c>
      <c r="E767" s="8">
        <v>1730.0548000000001</v>
      </c>
      <c r="F767" s="8">
        <f>F757</f>
        <v>0.2</v>
      </c>
      <c r="G767" s="8">
        <f>E767+F767</f>
        <v>1730.2548000000002</v>
      </c>
      <c r="H767" s="3">
        <f>B767*G767</f>
        <v>66545.599608000004</v>
      </c>
      <c r="I767" s="3">
        <f>C767*G767</f>
        <v>66580.204704000003</v>
      </c>
    </row>
    <row r="768" spans="1:9" x14ac:dyDescent="0.25">
      <c r="A768" t="s">
        <v>11</v>
      </c>
      <c r="B768" s="1">
        <v>57.93</v>
      </c>
      <c r="C768" s="1">
        <v>57.94</v>
      </c>
      <c r="D768" s="2" t="s">
        <v>107</v>
      </c>
      <c r="E768" s="8">
        <v>1148.7979</v>
      </c>
      <c r="F768" s="8">
        <f>F758</f>
        <v>0.05</v>
      </c>
      <c r="G768" s="8">
        <f>E768+F768</f>
        <v>1148.8479</v>
      </c>
      <c r="H768" s="3">
        <f>B768*G768</f>
        <v>66552.758847000005</v>
      </c>
      <c r="I768" s="3">
        <f>C768*G768</f>
        <v>66564.247325999997</v>
      </c>
    </row>
    <row r="769" spans="1:9" x14ac:dyDescent="0.25">
      <c r="A769" t="s">
        <v>12</v>
      </c>
      <c r="B769" s="1">
        <v>51.64</v>
      </c>
      <c r="C769" s="1">
        <v>51.65</v>
      </c>
      <c r="D769" s="2" t="s">
        <v>107</v>
      </c>
      <c r="E769" s="8">
        <v>1288.5905</v>
      </c>
      <c r="F769" s="8">
        <f>F759</f>
        <v>0</v>
      </c>
      <c r="G769" s="8">
        <f>E769+F769</f>
        <v>1288.5905</v>
      </c>
      <c r="H769" s="3">
        <f>B769*G769</f>
        <v>66542.813420000006</v>
      </c>
      <c r="I769" s="3">
        <f>C769*G769</f>
        <v>66555.699324999994</v>
      </c>
    </row>
    <row r="770" spans="1:9" x14ac:dyDescent="0.25">
      <c r="A770" t="s">
        <v>13</v>
      </c>
      <c r="B770" s="1">
        <v>18.82</v>
      </c>
      <c r="C770" s="1">
        <v>18.829999999999998</v>
      </c>
      <c r="D770" s="2" t="s">
        <v>107</v>
      </c>
      <c r="E770" s="8">
        <v>3535.8029000000001</v>
      </c>
      <c r="F770" s="8">
        <f>F760</f>
        <v>0</v>
      </c>
      <c r="G770" s="8">
        <f>E770+F770</f>
        <v>3535.8029000000001</v>
      </c>
      <c r="H770" s="3">
        <f>B770*G770</f>
        <v>66543.810578000004</v>
      </c>
      <c r="I770" s="3">
        <f>C770*G770</f>
        <v>66579.168607</v>
      </c>
    </row>
    <row r="771" spans="1:9" x14ac:dyDescent="0.25">
      <c r="A771" t="s">
        <v>14</v>
      </c>
      <c r="B771" s="1">
        <v>37.71</v>
      </c>
      <c r="C771" s="1">
        <v>37.72</v>
      </c>
      <c r="D771" s="2" t="s">
        <v>107</v>
      </c>
      <c r="E771" s="8">
        <v>1764.9746</v>
      </c>
      <c r="F771" s="8">
        <f>F761</f>
        <v>0.2</v>
      </c>
      <c r="G771" s="8">
        <f>E771+F771</f>
        <v>1765.1746000000001</v>
      </c>
      <c r="H771" s="3">
        <f>B771*G771</f>
        <v>66564.734166000009</v>
      </c>
      <c r="I771" s="3">
        <f>C771*G771</f>
        <v>66582.385911999998</v>
      </c>
    </row>
    <row r="772" spans="1:9" x14ac:dyDescent="0.25">
      <c r="A772" t="s">
        <v>4</v>
      </c>
      <c r="B772" s="1">
        <v>21.93</v>
      </c>
      <c r="C772" s="1">
        <v>21.94</v>
      </c>
      <c r="D772" s="2" t="s">
        <v>108</v>
      </c>
      <c r="E772" s="8">
        <v>3014.8449999999998</v>
      </c>
      <c r="F772" s="8">
        <f>F762</f>
        <v>0</v>
      </c>
      <c r="G772" s="8">
        <f>E772+F772</f>
        <v>3014.8449999999998</v>
      </c>
      <c r="H772" s="3">
        <f>B772*G772</f>
        <v>66115.55085</v>
      </c>
      <c r="I772" s="3">
        <f>C772*G772</f>
        <v>66145.699299999993</v>
      </c>
    </row>
    <row r="773" spans="1:9" x14ac:dyDescent="0.25">
      <c r="A773" t="s">
        <v>6</v>
      </c>
      <c r="B773" s="1">
        <v>35.9</v>
      </c>
      <c r="C773" s="1">
        <v>35.909999999999997</v>
      </c>
      <c r="D773" s="2" t="s">
        <v>108</v>
      </c>
      <c r="E773" s="8">
        <v>1842.0599</v>
      </c>
      <c r="F773" s="8">
        <f>F763</f>
        <v>-0.1</v>
      </c>
      <c r="G773" s="8">
        <f>E773+F773</f>
        <v>1841.9599000000001</v>
      </c>
      <c r="H773" s="3">
        <f>B773*G773</f>
        <v>66126.360409999994</v>
      </c>
      <c r="I773" s="3">
        <f>C773*G773</f>
        <v>66144.780008999995</v>
      </c>
    </row>
    <row r="774" spans="1:9" x14ac:dyDescent="0.25">
      <c r="A774" t="s">
        <v>7</v>
      </c>
      <c r="B774" s="1">
        <v>18.649999999999999</v>
      </c>
      <c r="C774" s="1">
        <v>18.66</v>
      </c>
      <c r="D774" s="2" t="s">
        <v>108</v>
      </c>
      <c r="E774" s="8">
        <v>3546.4407000000001</v>
      </c>
      <c r="F774" s="8">
        <f>F764</f>
        <v>0</v>
      </c>
      <c r="G774" s="8">
        <f>E774+F774</f>
        <v>3546.4407000000001</v>
      </c>
      <c r="H774" s="3">
        <f>B774*G774</f>
        <v>66141.119055000003</v>
      </c>
      <c r="I774" s="3">
        <f>C774*G774</f>
        <v>66176.58346200001</v>
      </c>
    </row>
    <row r="775" spans="1:9" x14ac:dyDescent="0.25">
      <c r="A775" t="s">
        <v>8</v>
      </c>
      <c r="B775" s="1">
        <v>29.25</v>
      </c>
      <c r="C775" s="1">
        <v>29.26</v>
      </c>
      <c r="D775" s="2" t="s">
        <v>108</v>
      </c>
      <c r="E775" s="8">
        <v>2261.2858000000001</v>
      </c>
      <c r="F775" s="8">
        <f>F765</f>
        <v>-0.2</v>
      </c>
      <c r="G775" s="8">
        <f>E775+F775</f>
        <v>2261.0858000000003</v>
      </c>
      <c r="H775" s="3">
        <f>B775*G775</f>
        <v>66136.759650000007</v>
      </c>
      <c r="I775" s="3">
        <f>C775*G775</f>
        <v>66159.370508000007</v>
      </c>
    </row>
    <row r="776" spans="1:9" x14ac:dyDescent="0.25">
      <c r="A776" t="s">
        <v>9</v>
      </c>
      <c r="B776" s="1">
        <v>69.83</v>
      </c>
      <c r="C776" s="1">
        <v>69.95</v>
      </c>
      <c r="D776" s="2" t="s">
        <v>108</v>
      </c>
      <c r="E776" s="8">
        <v>946.09739999999999</v>
      </c>
      <c r="F776" s="8">
        <f>F766</f>
        <v>0</v>
      </c>
      <c r="G776" s="8">
        <f>E776+F776</f>
        <v>946.09739999999999</v>
      </c>
      <c r="H776" s="3">
        <f>B776*G776</f>
        <v>66065.981442000004</v>
      </c>
      <c r="I776" s="3">
        <f>C776*G776</f>
        <v>66179.513130000007</v>
      </c>
    </row>
    <row r="777" spans="1:9" x14ac:dyDescent="0.25">
      <c r="A777" t="s">
        <v>10</v>
      </c>
      <c r="B777" s="1">
        <v>38.21</v>
      </c>
      <c r="C777" s="1">
        <v>38.229999999999997</v>
      </c>
      <c r="D777" s="2" t="s">
        <v>108</v>
      </c>
      <c r="E777" s="8">
        <v>1730.0638000000001</v>
      </c>
      <c r="F777" s="8">
        <f>F767</f>
        <v>0.2</v>
      </c>
      <c r="G777" s="8">
        <f>E777+F777</f>
        <v>1730.2638000000002</v>
      </c>
      <c r="H777" s="3">
        <f>B777*G777</f>
        <v>66113.379798000009</v>
      </c>
      <c r="I777" s="3">
        <f>C777*G777</f>
        <v>66147.985073999997</v>
      </c>
    </row>
    <row r="778" spans="1:9" x14ac:dyDescent="0.25">
      <c r="A778" t="s">
        <v>11</v>
      </c>
      <c r="B778" s="1">
        <v>57.57</v>
      </c>
      <c r="C778" s="1">
        <v>57.58</v>
      </c>
      <c r="D778" s="2" t="s">
        <v>108</v>
      </c>
      <c r="E778" s="8">
        <v>1148.8058000000001</v>
      </c>
      <c r="F778" s="8">
        <f>F768</f>
        <v>0.05</v>
      </c>
      <c r="G778" s="8">
        <f>E778+F778</f>
        <v>1148.8558</v>
      </c>
      <c r="H778" s="3">
        <f>B778*G778</f>
        <v>66139.628406000003</v>
      </c>
      <c r="I778" s="3">
        <f>C778*G778</f>
        <v>66151.116964000001</v>
      </c>
    </row>
    <row r="779" spans="1:9" x14ac:dyDescent="0.25">
      <c r="A779" t="s">
        <v>12</v>
      </c>
      <c r="B779" s="1">
        <v>51.31</v>
      </c>
      <c r="C779" s="1">
        <v>51.32</v>
      </c>
      <c r="D779" s="2" t="s">
        <v>108</v>
      </c>
      <c r="E779" s="8">
        <v>1288.6435000000001</v>
      </c>
      <c r="F779" s="8">
        <f>F769</f>
        <v>0</v>
      </c>
      <c r="G779" s="8">
        <f>E779+F779</f>
        <v>1288.6435000000001</v>
      </c>
      <c r="H779" s="3">
        <f>B779*G779</f>
        <v>66120.297985000012</v>
      </c>
      <c r="I779" s="3">
        <f>C779*G779</f>
        <v>66133.184420000005</v>
      </c>
    </row>
    <row r="780" spans="1:9" x14ac:dyDescent="0.25">
      <c r="A780" t="s">
        <v>13</v>
      </c>
      <c r="B780" s="1">
        <v>18.7</v>
      </c>
      <c r="C780" s="1">
        <v>18.71</v>
      </c>
      <c r="D780" s="2" t="s">
        <v>108</v>
      </c>
      <c r="E780" s="8">
        <v>3535.8029000000001</v>
      </c>
      <c r="F780" s="8">
        <f>F770</f>
        <v>0</v>
      </c>
      <c r="G780" s="8">
        <f>E780+F780</f>
        <v>3535.8029000000001</v>
      </c>
      <c r="H780" s="3">
        <f>B780*G780</f>
        <v>66119.514230000001</v>
      </c>
      <c r="I780" s="3">
        <f>C780*G780</f>
        <v>66154.872259000011</v>
      </c>
    </row>
    <row r="781" spans="1:9" x14ac:dyDescent="0.25">
      <c r="A781" t="s">
        <v>14</v>
      </c>
      <c r="B781" s="1">
        <v>37.47</v>
      </c>
      <c r="C781" s="1">
        <v>37.479999999999997</v>
      </c>
      <c r="D781" s="2" t="s">
        <v>108</v>
      </c>
      <c r="E781" s="8">
        <v>1764.9866999999999</v>
      </c>
      <c r="F781" s="8">
        <f>F771</f>
        <v>0.2</v>
      </c>
      <c r="G781" s="8">
        <f>E781+F781</f>
        <v>1765.1867</v>
      </c>
      <c r="H781" s="3">
        <f>B781*G781</f>
        <v>66141.545648999992</v>
      </c>
      <c r="I781" s="3">
        <f>C781*G781</f>
        <v>66159.197516</v>
      </c>
    </row>
    <row r="782" spans="1:9" x14ac:dyDescent="0.25">
      <c r="A782" t="s">
        <v>4</v>
      </c>
      <c r="B782" s="1">
        <v>21.94</v>
      </c>
      <c r="C782" s="1">
        <v>21.95</v>
      </c>
      <c r="D782" s="2" t="s">
        <v>109</v>
      </c>
      <c r="E782" s="8">
        <v>3014.8449999999998</v>
      </c>
      <c r="F782" s="8">
        <f>F772</f>
        <v>0</v>
      </c>
      <c r="G782" s="8">
        <f>E782+F782</f>
        <v>3014.8449999999998</v>
      </c>
      <c r="H782" s="3">
        <f>B782*G782</f>
        <v>66145.699299999993</v>
      </c>
      <c r="I782" s="3">
        <f>C782*G782</f>
        <v>66175.847749999986</v>
      </c>
    </row>
    <row r="783" spans="1:9" x14ac:dyDescent="0.25">
      <c r="A783" t="s">
        <v>6</v>
      </c>
      <c r="B783" s="1">
        <v>35.909999999999997</v>
      </c>
      <c r="C783" s="1">
        <v>35.92</v>
      </c>
      <c r="D783" s="2" t="s">
        <v>109</v>
      </c>
      <c r="E783" s="8">
        <v>1842.0599</v>
      </c>
      <c r="F783" s="8">
        <f>F773</f>
        <v>-0.1</v>
      </c>
      <c r="G783" s="8">
        <f>E783+F783</f>
        <v>1841.9599000000001</v>
      </c>
      <c r="H783" s="3">
        <f>B783*G783</f>
        <v>66144.780008999995</v>
      </c>
      <c r="I783" s="3">
        <f>C783*G783</f>
        <v>66163.19960800001</v>
      </c>
    </row>
    <row r="784" spans="1:9" x14ac:dyDescent="0.25">
      <c r="A784" t="s">
        <v>7</v>
      </c>
      <c r="B784" s="1">
        <v>18.649999999999999</v>
      </c>
      <c r="C784" s="1">
        <v>18.66</v>
      </c>
      <c r="D784" s="2" t="s">
        <v>109</v>
      </c>
      <c r="E784" s="8">
        <v>3546.4407000000001</v>
      </c>
      <c r="F784" s="8">
        <f>F774</f>
        <v>0</v>
      </c>
      <c r="G784" s="8">
        <f>E784+F784</f>
        <v>3546.4407000000001</v>
      </c>
      <c r="H784" s="3">
        <f>B784*G784</f>
        <v>66141.119055000003</v>
      </c>
      <c r="I784" s="3">
        <f>C784*G784</f>
        <v>66176.58346200001</v>
      </c>
    </row>
    <row r="785" spans="1:9" x14ac:dyDescent="0.25">
      <c r="A785" t="s">
        <v>8</v>
      </c>
      <c r="B785" s="1">
        <v>29.25</v>
      </c>
      <c r="C785" s="1">
        <v>29.26</v>
      </c>
      <c r="D785" s="2" t="s">
        <v>109</v>
      </c>
      <c r="E785" s="8">
        <v>2261.2858000000001</v>
      </c>
      <c r="F785" s="8">
        <f>F775</f>
        <v>-0.2</v>
      </c>
      <c r="G785" s="8">
        <f>E785+F785</f>
        <v>2261.0858000000003</v>
      </c>
      <c r="H785" s="3">
        <f>B785*G785</f>
        <v>66136.759650000007</v>
      </c>
      <c r="I785" s="3">
        <f>C785*G785</f>
        <v>66159.370508000007</v>
      </c>
    </row>
    <row r="786" spans="1:9" x14ac:dyDescent="0.25">
      <c r="A786" t="s">
        <v>9</v>
      </c>
      <c r="B786" s="1">
        <v>69.89</v>
      </c>
      <c r="C786" s="1">
        <v>69.989999999999995</v>
      </c>
      <c r="D786" s="2" t="s">
        <v>109</v>
      </c>
      <c r="E786" s="8">
        <v>946.09739999999999</v>
      </c>
      <c r="F786" s="8">
        <f>F776</f>
        <v>0</v>
      </c>
      <c r="G786" s="8">
        <f>E786+F786</f>
        <v>946.09739999999999</v>
      </c>
      <c r="H786" s="3">
        <f>B786*G786</f>
        <v>66122.747285999998</v>
      </c>
      <c r="I786" s="3">
        <f>C786*G786</f>
        <v>66217.357025999998</v>
      </c>
    </row>
    <row r="787" spans="1:9" x14ac:dyDescent="0.25">
      <c r="A787" t="s">
        <v>10</v>
      </c>
      <c r="B787" s="1">
        <v>38.21</v>
      </c>
      <c r="C787" s="1">
        <v>38.26</v>
      </c>
      <c r="D787" s="2" t="s">
        <v>109</v>
      </c>
      <c r="E787" s="8">
        <v>1730.0638000000001</v>
      </c>
      <c r="F787" s="8">
        <f>F777</f>
        <v>0.2</v>
      </c>
      <c r="G787" s="8">
        <f>E787+F787</f>
        <v>1730.2638000000002</v>
      </c>
      <c r="H787" s="3">
        <f>B787*G787</f>
        <v>66113.379798000009</v>
      </c>
      <c r="I787" s="3">
        <f>C787*G787</f>
        <v>66199.892988000007</v>
      </c>
    </row>
    <row r="788" spans="1:9" x14ac:dyDescent="0.25">
      <c r="A788" t="s">
        <v>11</v>
      </c>
      <c r="B788" s="1">
        <v>57.59</v>
      </c>
      <c r="C788" s="1">
        <v>57.6</v>
      </c>
      <c r="D788" s="2" t="s">
        <v>109</v>
      </c>
      <c r="E788" s="8">
        <v>1148.8058000000001</v>
      </c>
      <c r="F788" s="8">
        <f>F778</f>
        <v>0.05</v>
      </c>
      <c r="G788" s="8">
        <f>E788+F788</f>
        <v>1148.8558</v>
      </c>
      <c r="H788" s="3">
        <f>B788*G788</f>
        <v>66162.605522000013</v>
      </c>
      <c r="I788" s="3">
        <f>C788*G788</f>
        <v>66174.09408000001</v>
      </c>
    </row>
    <row r="789" spans="1:9" x14ac:dyDescent="0.25">
      <c r="A789" t="s">
        <v>12</v>
      </c>
      <c r="B789" s="1">
        <v>51.32</v>
      </c>
      <c r="C789" s="1">
        <v>51.33</v>
      </c>
      <c r="D789" s="2" t="s">
        <v>109</v>
      </c>
      <c r="E789" s="8">
        <v>1288.6435000000001</v>
      </c>
      <c r="F789" s="8">
        <f>F779</f>
        <v>0</v>
      </c>
      <c r="G789" s="8">
        <f>E789+F789</f>
        <v>1288.6435000000001</v>
      </c>
      <c r="H789" s="3">
        <f>B789*G789</f>
        <v>66133.184420000005</v>
      </c>
      <c r="I789" s="3">
        <f>C789*G789</f>
        <v>66146.070854999998</v>
      </c>
    </row>
    <row r="790" spans="1:9" x14ac:dyDescent="0.25">
      <c r="A790" t="s">
        <v>13</v>
      </c>
      <c r="B790" s="1">
        <v>18.7</v>
      </c>
      <c r="C790" s="1">
        <v>18.71</v>
      </c>
      <c r="D790" s="2" t="s">
        <v>109</v>
      </c>
      <c r="E790" s="8">
        <v>3535.8029000000001</v>
      </c>
      <c r="F790" s="8">
        <f>F780</f>
        <v>0</v>
      </c>
      <c r="G790" s="8">
        <f>E790+F790</f>
        <v>3535.8029000000001</v>
      </c>
      <c r="H790" s="3">
        <f>B790*G790</f>
        <v>66119.514230000001</v>
      </c>
      <c r="I790" s="3">
        <f>C790*G790</f>
        <v>66154.872259000011</v>
      </c>
    </row>
    <row r="791" spans="1:9" x14ac:dyDescent="0.25">
      <c r="A791" t="s">
        <v>14</v>
      </c>
      <c r="B791" s="1">
        <v>37.479999999999997</v>
      </c>
      <c r="C791" s="1">
        <v>37.49</v>
      </c>
      <c r="D791" s="2" t="s">
        <v>109</v>
      </c>
      <c r="E791" s="8">
        <v>1764.9866999999999</v>
      </c>
      <c r="F791" s="8">
        <f>F781</f>
        <v>0.2</v>
      </c>
      <c r="G791" s="8">
        <f>E791+F791</f>
        <v>1765.1867</v>
      </c>
      <c r="H791" s="3">
        <f>B791*G791</f>
        <v>66159.197516</v>
      </c>
      <c r="I791" s="3">
        <f>C791*G791</f>
        <v>66176.849383000008</v>
      </c>
    </row>
    <row r="792" spans="1:9" x14ac:dyDescent="0.25">
      <c r="A792" t="s">
        <v>4</v>
      </c>
      <c r="B792" s="1">
        <v>21.76</v>
      </c>
      <c r="C792" s="1">
        <v>21.77</v>
      </c>
      <c r="D792" s="2" t="s">
        <v>110</v>
      </c>
      <c r="E792" s="8">
        <v>3014.8449999999998</v>
      </c>
      <c r="F792" s="8">
        <f>F782</f>
        <v>0</v>
      </c>
      <c r="G792" s="8">
        <f>E792+F792</f>
        <v>3014.8449999999998</v>
      </c>
      <c r="H792" s="3">
        <f>B792*G792</f>
        <v>65603.027199999997</v>
      </c>
      <c r="I792" s="3">
        <f>C792*G792</f>
        <v>65633.17564999999</v>
      </c>
    </row>
    <row r="793" spans="1:9" x14ac:dyDescent="0.25">
      <c r="A793" t="s">
        <v>6</v>
      </c>
      <c r="B793" s="1">
        <v>35.630000000000003</v>
      </c>
      <c r="C793" s="1">
        <v>35.64</v>
      </c>
      <c r="D793" s="2" t="s">
        <v>110</v>
      </c>
      <c r="E793" s="8">
        <v>1842.0599</v>
      </c>
      <c r="F793" s="8">
        <f>F783</f>
        <v>-0.1</v>
      </c>
      <c r="G793" s="8">
        <f>E793+F793</f>
        <v>1841.9599000000001</v>
      </c>
      <c r="H793" s="3">
        <f>B793*G793</f>
        <v>65629.031237000003</v>
      </c>
      <c r="I793" s="3">
        <f>C793*G793</f>
        <v>65647.450836000004</v>
      </c>
    </row>
    <row r="794" spans="1:9" x14ac:dyDescent="0.25">
      <c r="A794" t="s">
        <v>7</v>
      </c>
      <c r="B794" s="1">
        <v>18.510000000000002</v>
      </c>
      <c r="C794" s="1">
        <v>18.52</v>
      </c>
      <c r="D794" s="2" t="s">
        <v>110</v>
      </c>
      <c r="E794" s="8">
        <v>3546.4407000000001</v>
      </c>
      <c r="F794" s="8">
        <f>F784</f>
        <v>0</v>
      </c>
      <c r="G794" s="8">
        <f>E794+F794</f>
        <v>3546.4407000000001</v>
      </c>
      <c r="H794" s="3">
        <f>B794*G794</f>
        <v>65644.61735700001</v>
      </c>
      <c r="I794" s="3">
        <f>C794*G794</f>
        <v>65680.081764000002</v>
      </c>
    </row>
    <row r="795" spans="1:9" x14ac:dyDescent="0.25">
      <c r="A795" t="s">
        <v>8</v>
      </c>
      <c r="B795" s="1">
        <v>29.02</v>
      </c>
      <c r="C795" s="1">
        <v>29.03</v>
      </c>
      <c r="D795" s="2" t="s">
        <v>110</v>
      </c>
      <c r="E795" s="8">
        <v>2261.2858000000001</v>
      </c>
      <c r="F795" s="8">
        <f>F785</f>
        <v>-0.2</v>
      </c>
      <c r="G795" s="8">
        <f>E795+F795</f>
        <v>2261.0858000000003</v>
      </c>
      <c r="H795" s="3">
        <f>B795*G795</f>
        <v>65616.709916000007</v>
      </c>
      <c r="I795" s="3">
        <f>C795*G795</f>
        <v>65639.320774000007</v>
      </c>
    </row>
    <row r="796" spans="1:9" x14ac:dyDescent="0.25">
      <c r="A796" t="s">
        <v>9</v>
      </c>
      <c r="B796" s="1">
        <v>69.34</v>
      </c>
      <c r="C796" s="1">
        <v>69.44</v>
      </c>
      <c r="D796" s="2" t="s">
        <v>110</v>
      </c>
      <c r="E796" s="8">
        <v>946.09739999999999</v>
      </c>
      <c r="F796" s="8">
        <f>F786</f>
        <v>0</v>
      </c>
      <c r="G796" s="8">
        <f>E796+F796</f>
        <v>946.09739999999999</v>
      </c>
      <c r="H796" s="3">
        <f>B796*G796</f>
        <v>65602.393716000006</v>
      </c>
      <c r="I796" s="3">
        <f>C796*G796</f>
        <v>65697.003455999991</v>
      </c>
    </row>
    <row r="797" spans="1:9" x14ac:dyDescent="0.25">
      <c r="A797" t="s">
        <v>10</v>
      </c>
      <c r="B797" s="1">
        <v>37.909999999999997</v>
      </c>
      <c r="C797" s="1">
        <v>37.950000000000003</v>
      </c>
      <c r="D797" s="2" t="s">
        <v>110</v>
      </c>
      <c r="E797" s="8">
        <v>1730.0638000000001</v>
      </c>
      <c r="F797" s="8">
        <f>F787</f>
        <v>0.2</v>
      </c>
      <c r="G797" s="8">
        <f>E797+F797</f>
        <v>1730.2638000000002</v>
      </c>
      <c r="H797" s="3">
        <f>B797*G797</f>
        <v>65594.300658000007</v>
      </c>
      <c r="I797" s="3">
        <f>C797*G797</f>
        <v>65663.511210000011</v>
      </c>
    </row>
    <row r="798" spans="1:9" x14ac:dyDescent="0.25">
      <c r="A798" t="s">
        <v>11</v>
      </c>
      <c r="B798" s="1">
        <v>57.13</v>
      </c>
      <c r="C798" s="1">
        <v>57.14</v>
      </c>
      <c r="D798" s="2" t="s">
        <v>110</v>
      </c>
      <c r="E798" s="8">
        <v>1148.8058000000001</v>
      </c>
      <c r="F798" s="8">
        <f>F788</f>
        <v>0.05</v>
      </c>
      <c r="G798" s="8">
        <f>E798+F798</f>
        <v>1148.8558</v>
      </c>
      <c r="H798" s="3">
        <f>B798*G798</f>
        <v>65634.131854000007</v>
      </c>
      <c r="I798" s="3">
        <f>C798*G798</f>
        <v>65645.620412000004</v>
      </c>
    </row>
    <row r="799" spans="1:9" x14ac:dyDescent="0.25">
      <c r="A799" t="s">
        <v>12</v>
      </c>
      <c r="B799" s="1">
        <v>50.92</v>
      </c>
      <c r="C799" s="1">
        <v>50.93</v>
      </c>
      <c r="D799" s="2" t="s">
        <v>110</v>
      </c>
      <c r="E799" s="8">
        <v>1288.6435000000001</v>
      </c>
      <c r="F799" s="8">
        <f>F789</f>
        <v>0</v>
      </c>
      <c r="G799" s="8">
        <f>E799+F799</f>
        <v>1288.6435000000001</v>
      </c>
      <c r="H799" s="3">
        <f>B799*G799</f>
        <v>65617.727020000006</v>
      </c>
      <c r="I799" s="3">
        <f>C799*G799</f>
        <v>65630.613455000013</v>
      </c>
    </row>
    <row r="800" spans="1:9" x14ac:dyDescent="0.25">
      <c r="A800" t="s">
        <v>13</v>
      </c>
      <c r="B800" s="1">
        <v>18.559999999999999</v>
      </c>
      <c r="C800" s="1">
        <v>18.57</v>
      </c>
      <c r="D800" s="2" t="s">
        <v>110</v>
      </c>
      <c r="E800" s="8">
        <v>3535.8029000000001</v>
      </c>
      <c r="F800" s="8">
        <f>F790</f>
        <v>0</v>
      </c>
      <c r="G800" s="8">
        <f>E800+F800</f>
        <v>3535.8029000000001</v>
      </c>
      <c r="H800" s="3">
        <f>B800*G800</f>
        <v>65624.501823999992</v>
      </c>
      <c r="I800" s="3">
        <f>C800*G800</f>
        <v>65659.859853000002</v>
      </c>
    </row>
    <row r="801" spans="1:9" x14ac:dyDescent="0.25">
      <c r="A801" t="s">
        <v>14</v>
      </c>
      <c r="B801" s="1">
        <v>37.18</v>
      </c>
      <c r="C801" s="1">
        <v>37.19</v>
      </c>
      <c r="D801" s="2" t="s">
        <v>110</v>
      </c>
      <c r="E801" s="8">
        <v>1764.9866999999999</v>
      </c>
      <c r="F801" s="8">
        <f>F791</f>
        <v>0.2</v>
      </c>
      <c r="G801" s="8">
        <f>E801+F801</f>
        <v>1765.1867</v>
      </c>
      <c r="H801" s="3">
        <f>B801*G801</f>
        <v>65629.641506</v>
      </c>
      <c r="I801" s="3">
        <f>C801*G801</f>
        <v>65647.293372999993</v>
      </c>
    </row>
    <row r="802" spans="1:9" x14ac:dyDescent="0.25">
      <c r="A802" t="s">
        <v>4</v>
      </c>
      <c r="B802" s="1">
        <v>21.8</v>
      </c>
      <c r="C802" s="1">
        <v>21.81</v>
      </c>
      <c r="D802" s="2" t="s">
        <v>111</v>
      </c>
      <c r="E802" s="8">
        <v>3014.8449999999998</v>
      </c>
      <c r="F802" s="8">
        <f>F792</f>
        <v>0</v>
      </c>
      <c r="G802" s="8">
        <f>E802+F802</f>
        <v>3014.8449999999998</v>
      </c>
      <c r="H802" s="3">
        <f>B802*G802</f>
        <v>65723.620999999999</v>
      </c>
      <c r="I802" s="3">
        <f>C802*G802</f>
        <v>65753.769449999993</v>
      </c>
    </row>
    <row r="803" spans="1:9" x14ac:dyDescent="0.25">
      <c r="A803" t="s">
        <v>6</v>
      </c>
      <c r="B803" s="1">
        <v>35.69</v>
      </c>
      <c r="C803" s="1">
        <v>35.700000000000003</v>
      </c>
      <c r="D803" s="2" t="s">
        <v>111</v>
      </c>
      <c r="E803" s="8">
        <v>1842.0599</v>
      </c>
      <c r="F803" s="8">
        <f>F793</f>
        <v>-0.1</v>
      </c>
      <c r="G803" s="8">
        <f>E803+F803</f>
        <v>1841.9599000000001</v>
      </c>
      <c r="H803" s="3">
        <f>B803*G803</f>
        <v>65739.548830999993</v>
      </c>
      <c r="I803" s="3">
        <f>C803*G803</f>
        <v>65757.968430000008</v>
      </c>
    </row>
    <row r="804" spans="1:9" x14ac:dyDescent="0.25">
      <c r="A804" t="s">
        <v>7</v>
      </c>
      <c r="B804" s="1">
        <v>18.53</v>
      </c>
      <c r="C804" s="1">
        <v>18.54</v>
      </c>
      <c r="D804" s="2" t="s">
        <v>111</v>
      </c>
      <c r="E804" s="8">
        <v>3546.4407000000001</v>
      </c>
      <c r="F804" s="8">
        <f>F794</f>
        <v>0</v>
      </c>
      <c r="G804" s="8">
        <f>E804+F804</f>
        <v>3546.4407000000001</v>
      </c>
      <c r="H804" s="3">
        <f>B804*G804</f>
        <v>65715.546171000009</v>
      </c>
      <c r="I804" s="3">
        <f>C804*G804</f>
        <v>65751.010578000001</v>
      </c>
    </row>
    <row r="805" spans="1:9" x14ac:dyDescent="0.25">
      <c r="A805" t="s">
        <v>8</v>
      </c>
      <c r="B805" s="1">
        <v>29.08</v>
      </c>
      <c r="C805" s="1">
        <v>29.09</v>
      </c>
      <c r="D805" s="2" t="s">
        <v>111</v>
      </c>
      <c r="E805" s="8">
        <v>2261.2858000000001</v>
      </c>
      <c r="F805" s="8">
        <f>F795</f>
        <v>-0.2</v>
      </c>
      <c r="G805" s="8">
        <f>E805+F805</f>
        <v>2261.0858000000003</v>
      </c>
      <c r="H805" s="3">
        <f>B805*G805</f>
        <v>65752.375064000007</v>
      </c>
      <c r="I805" s="3">
        <f>C805*G805</f>
        <v>65774.985922000007</v>
      </c>
    </row>
    <row r="806" spans="1:9" x14ac:dyDescent="0.25">
      <c r="A806" t="s">
        <v>9</v>
      </c>
      <c r="B806" s="1">
        <v>69.48</v>
      </c>
      <c r="C806" s="1">
        <v>69.55</v>
      </c>
      <c r="D806" s="2" t="s">
        <v>111</v>
      </c>
      <c r="E806" s="8">
        <v>946.09739999999999</v>
      </c>
      <c r="F806" s="8">
        <f>F796</f>
        <v>0</v>
      </c>
      <c r="G806" s="8">
        <f>E806+F806</f>
        <v>946.09739999999999</v>
      </c>
      <c r="H806" s="3">
        <f>B806*G806</f>
        <v>65734.847351999997</v>
      </c>
      <c r="I806" s="3">
        <f>C806*G806</f>
        <v>65801.074169999993</v>
      </c>
    </row>
    <row r="807" spans="1:9" x14ac:dyDescent="0.25">
      <c r="A807" t="s">
        <v>10</v>
      </c>
      <c r="B807" s="1">
        <v>37.979999999999997</v>
      </c>
      <c r="C807" s="1">
        <v>38.01</v>
      </c>
      <c r="D807" s="2" t="s">
        <v>111</v>
      </c>
      <c r="E807" s="8">
        <v>1730.0638000000001</v>
      </c>
      <c r="F807" s="8">
        <f>F797</f>
        <v>0.2</v>
      </c>
      <c r="G807" s="8">
        <f>E807+F807</f>
        <v>1730.2638000000002</v>
      </c>
      <c r="H807" s="3">
        <f>B807*G807</f>
        <v>65715.419124000007</v>
      </c>
      <c r="I807" s="3">
        <f>C807*G807</f>
        <v>65767.327038000003</v>
      </c>
    </row>
    <row r="808" spans="1:9" x14ac:dyDescent="0.25">
      <c r="A808" t="s">
        <v>11</v>
      </c>
      <c r="B808" s="1">
        <v>57.23</v>
      </c>
      <c r="C808" s="1">
        <v>57.24</v>
      </c>
      <c r="D808" s="2" t="s">
        <v>111</v>
      </c>
      <c r="E808" s="8">
        <v>1148.8058000000001</v>
      </c>
      <c r="F808" s="8">
        <f>F798</f>
        <v>0.05</v>
      </c>
      <c r="G808" s="8">
        <f>E808+F808</f>
        <v>1148.8558</v>
      </c>
      <c r="H808" s="3">
        <f>B808*G808</f>
        <v>65749.017433999994</v>
      </c>
      <c r="I808" s="3">
        <f>C808*G808</f>
        <v>65760.505992000006</v>
      </c>
    </row>
    <row r="809" spans="1:9" x14ac:dyDescent="0.25">
      <c r="A809" t="s">
        <v>12</v>
      </c>
      <c r="B809" s="1">
        <v>51</v>
      </c>
      <c r="C809" s="1">
        <v>51.01</v>
      </c>
      <c r="D809" s="2" t="s">
        <v>111</v>
      </c>
      <c r="E809" s="8">
        <v>1288.6435000000001</v>
      </c>
      <c r="F809" s="8">
        <f>F799</f>
        <v>0</v>
      </c>
      <c r="G809" s="8">
        <f>E809+F809</f>
        <v>1288.6435000000001</v>
      </c>
      <c r="H809" s="3">
        <f>B809*G809</f>
        <v>65720.818500000008</v>
      </c>
      <c r="I809" s="3">
        <f>C809*G809</f>
        <v>65733.704935000002</v>
      </c>
    </row>
    <row r="810" spans="1:9" x14ac:dyDescent="0.25">
      <c r="A810" t="s">
        <v>13</v>
      </c>
      <c r="B810" s="1">
        <v>18.59</v>
      </c>
      <c r="C810" s="1">
        <v>18.600000000000001</v>
      </c>
      <c r="D810" s="2" t="s">
        <v>111</v>
      </c>
      <c r="E810" s="8">
        <v>3535.8029000000001</v>
      </c>
      <c r="F810" s="8">
        <f>F800</f>
        <v>0</v>
      </c>
      <c r="G810" s="8">
        <f>E810+F810</f>
        <v>3535.8029000000001</v>
      </c>
      <c r="H810" s="3">
        <f>B810*G810</f>
        <v>65730.575911000007</v>
      </c>
      <c r="I810" s="3">
        <f>C810*G810</f>
        <v>65765.933940000003</v>
      </c>
    </row>
    <row r="811" spans="1:9" x14ac:dyDescent="0.25">
      <c r="A811" t="s">
        <v>14</v>
      </c>
      <c r="B811" s="1">
        <v>37.24</v>
      </c>
      <c r="C811" s="1">
        <v>37.25</v>
      </c>
      <c r="D811" s="2" t="s">
        <v>111</v>
      </c>
      <c r="E811" s="8">
        <v>1764.9866999999999</v>
      </c>
      <c r="F811" s="8">
        <f>F801</f>
        <v>0.2</v>
      </c>
      <c r="G811" s="8">
        <f>E811+F811</f>
        <v>1765.1867</v>
      </c>
      <c r="H811" s="3">
        <f>B811*G811</f>
        <v>65735.552708000003</v>
      </c>
      <c r="I811" s="3">
        <f>C811*G811</f>
        <v>65753.204574999996</v>
      </c>
    </row>
    <row r="812" spans="1:9" x14ac:dyDescent="0.25">
      <c r="A812" t="s">
        <v>4</v>
      </c>
      <c r="B812" s="1">
        <v>21.78</v>
      </c>
      <c r="C812" s="1">
        <v>21.79</v>
      </c>
      <c r="D812" s="2" t="s">
        <v>112</v>
      </c>
      <c r="E812" s="8">
        <v>3014.8449999999998</v>
      </c>
      <c r="F812" s="8">
        <f>F802</f>
        <v>0</v>
      </c>
      <c r="G812" s="8">
        <f>E812+F812</f>
        <v>3014.8449999999998</v>
      </c>
      <c r="H812" s="3">
        <f>B812*G812</f>
        <v>65663.324099999998</v>
      </c>
      <c r="I812" s="3">
        <f>C812*G812</f>
        <v>65693.472549999991</v>
      </c>
    </row>
    <row r="813" spans="1:9" x14ac:dyDescent="0.25">
      <c r="A813" t="s">
        <v>6</v>
      </c>
      <c r="B813" s="1">
        <v>35.65</v>
      </c>
      <c r="C813" s="1">
        <v>35.659999999999997</v>
      </c>
      <c r="D813" s="2" t="s">
        <v>112</v>
      </c>
      <c r="E813" s="8">
        <v>1842.0599</v>
      </c>
      <c r="F813" s="8">
        <f>F803</f>
        <v>-0.1</v>
      </c>
      <c r="G813" s="8">
        <f>E813+F813</f>
        <v>1841.9599000000001</v>
      </c>
      <c r="H813" s="3">
        <f>B813*G813</f>
        <v>65665.870435000004</v>
      </c>
      <c r="I813" s="3">
        <f>C813*G813</f>
        <v>65684.290033999991</v>
      </c>
    </row>
    <row r="814" spans="1:9" x14ac:dyDescent="0.25">
      <c r="A814" t="s">
        <v>7</v>
      </c>
      <c r="B814" s="1">
        <v>18.52</v>
      </c>
      <c r="C814" s="1">
        <v>18.53</v>
      </c>
      <c r="D814" s="2" t="s">
        <v>112</v>
      </c>
      <c r="E814" s="8">
        <v>3546.4407000000001</v>
      </c>
      <c r="F814" s="8">
        <f>F804</f>
        <v>0</v>
      </c>
      <c r="G814" s="8">
        <f>E814+F814</f>
        <v>3546.4407000000001</v>
      </c>
      <c r="H814" s="3">
        <f>B814*G814</f>
        <v>65680.081764000002</v>
      </c>
      <c r="I814" s="3">
        <f>C814*G814</f>
        <v>65715.546171000009</v>
      </c>
    </row>
    <row r="815" spans="1:9" x14ac:dyDescent="0.25">
      <c r="A815" t="s">
        <v>8</v>
      </c>
      <c r="B815" s="1">
        <v>29.05</v>
      </c>
      <c r="C815" s="1">
        <v>29.06</v>
      </c>
      <c r="D815" s="2" t="s">
        <v>112</v>
      </c>
      <c r="E815" s="8">
        <v>2261.2858000000001</v>
      </c>
      <c r="F815" s="8">
        <f>F805</f>
        <v>-0.2</v>
      </c>
      <c r="G815" s="8">
        <f>E815+F815</f>
        <v>2261.0858000000003</v>
      </c>
      <c r="H815" s="3">
        <f>B815*G815</f>
        <v>65684.542490000007</v>
      </c>
      <c r="I815" s="3">
        <f>C815*G815</f>
        <v>65707.153348000007</v>
      </c>
    </row>
    <row r="816" spans="1:9" x14ac:dyDescent="0.25">
      <c r="A816" t="s">
        <v>9</v>
      </c>
      <c r="B816" s="1">
        <v>69.41</v>
      </c>
      <c r="C816" s="1">
        <v>69.510000000000005</v>
      </c>
      <c r="D816" s="2" t="s">
        <v>112</v>
      </c>
      <c r="E816" s="8">
        <v>946.09739999999999</v>
      </c>
      <c r="F816" s="8">
        <f>F806</f>
        <v>0</v>
      </c>
      <c r="G816" s="8">
        <f>E816+F816</f>
        <v>946.09739999999999</v>
      </c>
      <c r="H816" s="3">
        <f>B816*G816</f>
        <v>65668.620534000001</v>
      </c>
      <c r="I816" s="3">
        <f>C816*G816</f>
        <v>65763.230274000001</v>
      </c>
    </row>
    <row r="817" spans="1:9" x14ac:dyDescent="0.25">
      <c r="A817" t="s">
        <v>10</v>
      </c>
      <c r="B817" s="1">
        <v>37.94</v>
      </c>
      <c r="C817" s="1">
        <v>37.97</v>
      </c>
      <c r="D817" s="2" t="s">
        <v>112</v>
      </c>
      <c r="E817" s="8">
        <v>1730.0638000000001</v>
      </c>
      <c r="F817" s="8">
        <f>F807</f>
        <v>0.2</v>
      </c>
      <c r="G817" s="8">
        <f>E817+F817</f>
        <v>1730.2638000000002</v>
      </c>
      <c r="H817" s="3">
        <f>B817*G817</f>
        <v>65646.208572000003</v>
      </c>
      <c r="I817" s="3">
        <f>C817*G817</f>
        <v>65698.116485999999</v>
      </c>
    </row>
    <row r="818" spans="1:9" x14ac:dyDescent="0.25">
      <c r="A818" t="s">
        <v>11</v>
      </c>
      <c r="B818" s="1">
        <v>57.17</v>
      </c>
      <c r="C818" s="1">
        <v>57.18</v>
      </c>
      <c r="D818" s="2" t="s">
        <v>112</v>
      </c>
      <c r="E818" s="8">
        <v>1148.8058000000001</v>
      </c>
      <c r="F818" s="8">
        <f>F808</f>
        <v>0.05</v>
      </c>
      <c r="G818" s="8">
        <f>E818+F818</f>
        <v>1148.8558</v>
      </c>
      <c r="H818" s="3">
        <f>B818*G818</f>
        <v>65680.08608600001</v>
      </c>
      <c r="I818" s="3">
        <f>C818*G818</f>
        <v>65691.574644000008</v>
      </c>
    </row>
    <row r="819" spans="1:9" x14ac:dyDescent="0.25">
      <c r="A819" t="s">
        <v>12</v>
      </c>
      <c r="B819" s="1">
        <v>50.95</v>
      </c>
      <c r="C819" s="1">
        <v>50.96</v>
      </c>
      <c r="D819" s="2" t="s">
        <v>112</v>
      </c>
      <c r="E819" s="8">
        <v>1288.6435000000001</v>
      </c>
      <c r="F819" s="8">
        <f>F809</f>
        <v>0</v>
      </c>
      <c r="G819" s="8">
        <f>E819+F819</f>
        <v>1288.6435000000001</v>
      </c>
      <c r="H819" s="3">
        <f>B819*G819</f>
        <v>65656.386325000014</v>
      </c>
      <c r="I819" s="3">
        <f>C819*G819</f>
        <v>65669.272760000007</v>
      </c>
    </row>
    <row r="820" spans="1:9" x14ac:dyDescent="0.25">
      <c r="A820" t="s">
        <v>13</v>
      </c>
      <c r="B820" s="1">
        <v>18.57</v>
      </c>
      <c r="C820" s="1">
        <v>18.579999999999998</v>
      </c>
      <c r="D820" s="2" t="s">
        <v>112</v>
      </c>
      <c r="E820" s="8">
        <v>3535.8029000000001</v>
      </c>
      <c r="F820" s="8">
        <f>F810</f>
        <v>0</v>
      </c>
      <c r="G820" s="8">
        <f>E820+F820</f>
        <v>3535.8029000000001</v>
      </c>
      <c r="H820" s="3">
        <f>B820*G820</f>
        <v>65659.859853000002</v>
      </c>
      <c r="I820" s="3">
        <f>C820*G820</f>
        <v>65695.217881999997</v>
      </c>
    </row>
    <row r="821" spans="1:9" x14ac:dyDescent="0.25">
      <c r="A821" t="s">
        <v>14</v>
      </c>
      <c r="B821" s="1">
        <v>37.21</v>
      </c>
      <c r="C821" s="1">
        <v>37.22</v>
      </c>
      <c r="D821" s="2" t="s">
        <v>112</v>
      </c>
      <c r="E821" s="8">
        <v>1764.9866999999999</v>
      </c>
      <c r="F821" s="8">
        <f>F811</f>
        <v>0.2</v>
      </c>
      <c r="G821" s="8">
        <f>E821+F821</f>
        <v>1765.1867</v>
      </c>
      <c r="H821" s="3">
        <f>B821*G821</f>
        <v>65682.597106999994</v>
      </c>
      <c r="I821" s="3">
        <f>C821*G821</f>
        <v>65700.248974000002</v>
      </c>
    </row>
    <row r="822" spans="1:9" x14ac:dyDescent="0.25">
      <c r="A822" t="s">
        <v>4</v>
      </c>
      <c r="B822" s="1">
        <v>21.86</v>
      </c>
      <c r="C822" s="1">
        <v>21.87</v>
      </c>
      <c r="D822" s="2" t="s">
        <v>113</v>
      </c>
      <c r="E822" s="8">
        <v>3014.8449999999998</v>
      </c>
      <c r="F822" s="8">
        <f>F812</f>
        <v>0</v>
      </c>
      <c r="G822" s="8">
        <f>E822+F822</f>
        <v>3014.8449999999998</v>
      </c>
      <c r="H822" s="3">
        <f>B822*G822</f>
        <v>65904.511699999988</v>
      </c>
      <c r="I822" s="3">
        <f>C822*G822</f>
        <v>65934.660149999996</v>
      </c>
    </row>
    <row r="823" spans="1:9" x14ac:dyDescent="0.25">
      <c r="A823" t="s">
        <v>6</v>
      </c>
      <c r="B823" s="1">
        <v>35.78</v>
      </c>
      <c r="C823" s="1">
        <v>35.79</v>
      </c>
      <c r="D823" s="2" t="s">
        <v>113</v>
      </c>
      <c r="E823" s="8">
        <v>1842.0599</v>
      </c>
      <c r="F823" s="8">
        <f>F813</f>
        <v>-0.1</v>
      </c>
      <c r="G823" s="8">
        <f>E823+F823</f>
        <v>1841.9599000000001</v>
      </c>
      <c r="H823" s="3">
        <f>B823*G823</f>
        <v>65905.325221999999</v>
      </c>
      <c r="I823" s="3">
        <f>C823*G823</f>
        <v>65923.744821</v>
      </c>
    </row>
    <row r="824" spans="1:9" x14ac:dyDescent="0.25">
      <c r="A824" t="s">
        <v>7</v>
      </c>
      <c r="B824" s="1">
        <v>18.579999999999998</v>
      </c>
      <c r="C824" s="1">
        <v>18.59</v>
      </c>
      <c r="D824" s="2" t="s">
        <v>113</v>
      </c>
      <c r="E824" s="8">
        <v>3546.4407000000001</v>
      </c>
      <c r="F824" s="8">
        <f>F814</f>
        <v>0</v>
      </c>
      <c r="G824" s="8">
        <f>E824+F824</f>
        <v>3546.4407000000001</v>
      </c>
      <c r="H824" s="3">
        <f>B824*G824</f>
        <v>65892.868205999999</v>
      </c>
      <c r="I824" s="3">
        <f>C824*G824</f>
        <v>65928.332613000006</v>
      </c>
    </row>
    <row r="825" spans="1:9" x14ac:dyDescent="0.25">
      <c r="A825" t="s">
        <v>8</v>
      </c>
      <c r="B825" s="1">
        <v>29.15</v>
      </c>
      <c r="C825" s="1">
        <v>29.16</v>
      </c>
      <c r="D825" s="2" t="s">
        <v>113</v>
      </c>
      <c r="E825" s="8">
        <v>2261.2858000000001</v>
      </c>
      <c r="F825" s="8">
        <f>F815</f>
        <v>-0.2</v>
      </c>
      <c r="G825" s="8">
        <f>E825+F825</f>
        <v>2261.0858000000003</v>
      </c>
      <c r="H825" s="3">
        <f>B825*G825</f>
        <v>65910.651070000007</v>
      </c>
      <c r="I825" s="3">
        <f>C825*G825</f>
        <v>65933.261928000007</v>
      </c>
    </row>
    <row r="826" spans="1:9" x14ac:dyDescent="0.25">
      <c r="A826" t="s">
        <v>9</v>
      </c>
      <c r="B826" s="1">
        <v>69.650000000000006</v>
      </c>
      <c r="C826" s="1">
        <v>69.739999999999995</v>
      </c>
      <c r="D826" s="2" t="s">
        <v>113</v>
      </c>
      <c r="E826" s="8">
        <v>946.09739999999999</v>
      </c>
      <c r="F826" s="8">
        <f>F816</f>
        <v>0</v>
      </c>
      <c r="G826" s="8">
        <f>E826+F826</f>
        <v>946.09739999999999</v>
      </c>
      <c r="H826" s="3">
        <f>B826*G826</f>
        <v>65895.683910000007</v>
      </c>
      <c r="I826" s="3">
        <f>C826*G826</f>
        <v>65980.832675999991</v>
      </c>
    </row>
    <row r="827" spans="1:9" x14ac:dyDescent="0.25">
      <c r="A827" t="s">
        <v>10</v>
      </c>
      <c r="B827" s="1">
        <v>38.08</v>
      </c>
      <c r="C827" s="1">
        <v>38.11</v>
      </c>
      <c r="D827" s="2" t="s">
        <v>113</v>
      </c>
      <c r="E827" s="8">
        <v>1730.0638000000001</v>
      </c>
      <c r="F827" s="8">
        <f>F817</f>
        <v>0.2</v>
      </c>
      <c r="G827" s="8">
        <f>E827+F827</f>
        <v>1730.2638000000002</v>
      </c>
      <c r="H827" s="3">
        <f>B827*G827</f>
        <v>65888.445504000003</v>
      </c>
      <c r="I827" s="3">
        <f>C827*G827</f>
        <v>65940.353417999999</v>
      </c>
    </row>
    <row r="828" spans="1:9" x14ac:dyDescent="0.25">
      <c r="A828" t="s">
        <v>11</v>
      </c>
      <c r="B828" s="1">
        <v>57.37</v>
      </c>
      <c r="C828" s="1">
        <v>57.38</v>
      </c>
      <c r="D828" s="2" t="s">
        <v>113</v>
      </c>
      <c r="E828" s="8">
        <v>1148.8058000000001</v>
      </c>
      <c r="F828" s="8">
        <f>F818</f>
        <v>0.05</v>
      </c>
      <c r="G828" s="8">
        <f>E828+F828</f>
        <v>1148.8558</v>
      </c>
      <c r="H828" s="3">
        <f>B828*G828</f>
        <v>65909.857246</v>
      </c>
      <c r="I828" s="3">
        <f>C828*G828</f>
        <v>65921.345804000011</v>
      </c>
    </row>
    <row r="829" spans="1:9" x14ac:dyDescent="0.25">
      <c r="A829" t="s">
        <v>12</v>
      </c>
      <c r="B829" s="1">
        <v>51.13</v>
      </c>
      <c r="C829" s="1">
        <v>51.14</v>
      </c>
      <c r="D829" s="2" t="s">
        <v>113</v>
      </c>
      <c r="E829" s="8">
        <v>1288.6435000000001</v>
      </c>
      <c r="F829" s="8">
        <f>F819</f>
        <v>0</v>
      </c>
      <c r="G829" s="8">
        <f>E829+F829</f>
        <v>1288.6435000000001</v>
      </c>
      <c r="H829" s="3">
        <f>B829*G829</f>
        <v>65888.342155000006</v>
      </c>
      <c r="I829" s="3">
        <f>C829*G829</f>
        <v>65901.228590000013</v>
      </c>
    </row>
    <row r="830" spans="1:9" x14ac:dyDescent="0.25">
      <c r="A830" t="s">
        <v>13</v>
      </c>
      <c r="B830" s="1">
        <v>18.64</v>
      </c>
      <c r="C830" s="1">
        <v>18.649999999999999</v>
      </c>
      <c r="D830" s="2" t="s">
        <v>113</v>
      </c>
      <c r="E830" s="8">
        <v>3535.8029000000001</v>
      </c>
      <c r="F830" s="8">
        <f>F820</f>
        <v>0</v>
      </c>
      <c r="G830" s="8">
        <f>E830+F830</f>
        <v>3535.8029000000001</v>
      </c>
      <c r="H830" s="3">
        <f>B830*G830</f>
        <v>65907.366055999999</v>
      </c>
      <c r="I830" s="3">
        <f>C830*G830</f>
        <v>65942.724084999994</v>
      </c>
    </row>
    <row r="831" spans="1:9" x14ac:dyDescent="0.25">
      <c r="A831" t="s">
        <v>14</v>
      </c>
      <c r="B831" s="1">
        <v>37.340000000000003</v>
      </c>
      <c r="C831" s="1">
        <v>37.35</v>
      </c>
      <c r="D831" s="2" t="s">
        <v>113</v>
      </c>
      <c r="E831" s="8">
        <v>1764.9866999999999</v>
      </c>
      <c r="F831" s="8">
        <f>F821</f>
        <v>0.2</v>
      </c>
      <c r="G831" s="8">
        <f>E831+F831</f>
        <v>1765.1867</v>
      </c>
      <c r="H831" s="3">
        <f>B831*G831</f>
        <v>65912.071378000008</v>
      </c>
      <c r="I831" s="3">
        <f>C831*G831</f>
        <v>65929.723245000001</v>
      </c>
    </row>
    <row r="832" spans="1:9" x14ac:dyDescent="0.25">
      <c r="A832" t="s">
        <v>4</v>
      </c>
      <c r="B832" s="1">
        <v>21.81</v>
      </c>
      <c r="C832" s="1">
        <v>21.82</v>
      </c>
      <c r="D832" s="2" t="s">
        <v>114</v>
      </c>
      <c r="E832" s="8">
        <v>3014.8449999999998</v>
      </c>
      <c r="F832" s="8">
        <f>F822</f>
        <v>0</v>
      </c>
      <c r="G832" s="8">
        <f>E832+F832</f>
        <v>3014.8449999999998</v>
      </c>
      <c r="H832" s="3">
        <f>B832*G832</f>
        <v>65753.769449999993</v>
      </c>
      <c r="I832" s="3">
        <f>C832*G832</f>
        <v>65783.9179</v>
      </c>
    </row>
    <row r="833" spans="1:9" x14ac:dyDescent="0.25">
      <c r="A833" t="s">
        <v>6</v>
      </c>
      <c r="B833" s="1">
        <v>35.700000000000003</v>
      </c>
      <c r="C833" s="1">
        <v>35.71</v>
      </c>
      <c r="D833" s="2" t="s">
        <v>114</v>
      </c>
      <c r="E833" s="8">
        <v>1842.0599</v>
      </c>
      <c r="F833" s="8">
        <f>F823</f>
        <v>-0.1</v>
      </c>
      <c r="G833" s="8">
        <f>E833+F833</f>
        <v>1841.9599000000001</v>
      </c>
      <c r="H833" s="3">
        <f>B833*G833</f>
        <v>65757.968430000008</v>
      </c>
      <c r="I833" s="3">
        <f>C833*G833</f>
        <v>65776.388029000009</v>
      </c>
    </row>
    <row r="834" spans="1:9" x14ac:dyDescent="0.25">
      <c r="A834" t="s">
        <v>7</v>
      </c>
      <c r="B834" s="1">
        <v>18.54</v>
      </c>
      <c r="C834" s="1">
        <v>18.55</v>
      </c>
      <c r="D834" s="2" t="s">
        <v>114</v>
      </c>
      <c r="E834" s="8">
        <v>3546.4407000000001</v>
      </c>
      <c r="F834" s="8">
        <f>F824</f>
        <v>0</v>
      </c>
      <c r="G834" s="8">
        <f>E834+F834</f>
        <v>3546.4407000000001</v>
      </c>
      <c r="H834" s="3">
        <f>B834*G834</f>
        <v>65751.010578000001</v>
      </c>
      <c r="I834" s="3">
        <f>C834*G834</f>
        <v>65786.474985000008</v>
      </c>
    </row>
    <row r="835" spans="1:9" x14ac:dyDescent="0.25">
      <c r="A835" t="s">
        <v>8</v>
      </c>
      <c r="B835" s="1">
        <v>29.08</v>
      </c>
      <c r="C835" s="1">
        <v>29.09</v>
      </c>
      <c r="D835" s="2" t="s">
        <v>114</v>
      </c>
      <c r="E835" s="8">
        <v>2261.2858000000001</v>
      </c>
      <c r="F835" s="8">
        <f>F825</f>
        <v>-0.2</v>
      </c>
      <c r="G835" s="8">
        <f>E835+F835</f>
        <v>2261.0858000000003</v>
      </c>
      <c r="H835" s="3">
        <f>B835*G835</f>
        <v>65752.375064000007</v>
      </c>
      <c r="I835" s="3">
        <f>C835*G835</f>
        <v>65774.985922000007</v>
      </c>
    </row>
    <row r="836" spans="1:9" x14ac:dyDescent="0.25">
      <c r="A836" t="s">
        <v>9</v>
      </c>
      <c r="B836" s="1">
        <v>69.489999999999995</v>
      </c>
      <c r="C836" s="1">
        <v>69.55</v>
      </c>
      <c r="D836" s="2" t="s">
        <v>114</v>
      </c>
      <c r="E836" s="8">
        <v>946.09739999999999</v>
      </c>
      <c r="F836" s="8">
        <f>F826</f>
        <v>0</v>
      </c>
      <c r="G836" s="8">
        <f>E836+F836</f>
        <v>946.09739999999999</v>
      </c>
      <c r="H836" s="3">
        <f>B836*G836</f>
        <v>65744.308325999998</v>
      </c>
      <c r="I836" s="3">
        <f>C836*G836</f>
        <v>65801.074169999993</v>
      </c>
    </row>
    <row r="837" spans="1:9" x14ac:dyDescent="0.25">
      <c r="A837" t="s">
        <v>10</v>
      </c>
      <c r="B837" s="1">
        <v>37.99</v>
      </c>
      <c r="C837" s="1">
        <v>38.020000000000003</v>
      </c>
      <c r="D837" s="2" t="s">
        <v>114</v>
      </c>
      <c r="E837" s="8">
        <v>1730.0638000000001</v>
      </c>
      <c r="F837" s="8">
        <f>F827</f>
        <v>0.2</v>
      </c>
      <c r="G837" s="8">
        <f>E837+F837</f>
        <v>1730.2638000000002</v>
      </c>
      <c r="H837" s="3">
        <f>B837*G837</f>
        <v>65732.721762000016</v>
      </c>
      <c r="I837" s="3">
        <f>C837*G837</f>
        <v>65784.629676000011</v>
      </c>
    </row>
    <row r="838" spans="1:9" x14ac:dyDescent="0.25">
      <c r="A838" t="s">
        <v>11</v>
      </c>
      <c r="B838" s="1">
        <v>57.24</v>
      </c>
      <c r="C838" s="1">
        <v>57.25</v>
      </c>
      <c r="D838" s="2" t="s">
        <v>114</v>
      </c>
      <c r="E838" s="8">
        <v>1148.8058000000001</v>
      </c>
      <c r="F838" s="8">
        <f>F828</f>
        <v>0.05</v>
      </c>
      <c r="G838" s="8">
        <f>E838+F838</f>
        <v>1148.8558</v>
      </c>
      <c r="H838" s="3">
        <f>B838*G838</f>
        <v>65760.505992000006</v>
      </c>
      <c r="I838" s="3">
        <f>C838*G838</f>
        <v>65771.994550000003</v>
      </c>
    </row>
    <row r="839" spans="1:9" x14ac:dyDescent="0.25">
      <c r="A839" t="s">
        <v>12</v>
      </c>
      <c r="B839" s="1">
        <v>51.01</v>
      </c>
      <c r="C839" s="1">
        <v>51.02</v>
      </c>
      <c r="D839" s="2" t="s">
        <v>114</v>
      </c>
      <c r="E839" s="8">
        <v>1288.6435000000001</v>
      </c>
      <c r="F839" s="8">
        <f>F829</f>
        <v>0</v>
      </c>
      <c r="G839" s="8">
        <f>E839+F839</f>
        <v>1288.6435000000001</v>
      </c>
      <c r="H839" s="3">
        <f>B839*G839</f>
        <v>65733.704935000002</v>
      </c>
      <c r="I839" s="3">
        <f>C839*G839</f>
        <v>65746.591370000009</v>
      </c>
    </row>
    <row r="840" spans="1:9" x14ac:dyDescent="0.25">
      <c r="A840" t="s">
        <v>13</v>
      </c>
      <c r="B840" s="1">
        <v>18.59</v>
      </c>
      <c r="C840" s="1">
        <v>18.600000000000001</v>
      </c>
      <c r="D840" s="2" t="s">
        <v>114</v>
      </c>
      <c r="E840" s="8">
        <v>3535.8029000000001</v>
      </c>
      <c r="F840" s="8">
        <f>F830</f>
        <v>0</v>
      </c>
      <c r="G840" s="8">
        <f>E840+F840</f>
        <v>3535.8029000000001</v>
      </c>
      <c r="H840" s="3">
        <f>B840*G840</f>
        <v>65730.575911000007</v>
      </c>
      <c r="I840" s="3">
        <f>C840*G840</f>
        <v>65765.933940000003</v>
      </c>
    </row>
    <row r="841" spans="1:9" x14ac:dyDescent="0.25">
      <c r="A841" t="s">
        <v>14</v>
      </c>
      <c r="B841" s="1">
        <v>37.25</v>
      </c>
      <c r="C841" s="1">
        <v>37.26</v>
      </c>
      <c r="D841" s="2" t="s">
        <v>114</v>
      </c>
      <c r="E841" s="8">
        <v>1764.9866999999999</v>
      </c>
      <c r="F841" s="8">
        <f>F831</f>
        <v>0.2</v>
      </c>
      <c r="G841" s="8">
        <f>E841+F841</f>
        <v>1765.1867</v>
      </c>
      <c r="H841" s="3">
        <f>B841*G841</f>
        <v>65753.204574999996</v>
      </c>
      <c r="I841" s="3">
        <f>C841*G841</f>
        <v>65770.856441999989</v>
      </c>
    </row>
    <row r="842" spans="1:9" x14ac:dyDescent="0.25">
      <c r="A842" t="s">
        <v>4</v>
      </c>
      <c r="B842" s="1">
        <v>21.84</v>
      </c>
      <c r="C842" s="1">
        <v>21.85</v>
      </c>
      <c r="D842" s="2" t="s">
        <v>115</v>
      </c>
      <c r="E842" s="8">
        <v>3014.8449999999998</v>
      </c>
      <c r="F842" s="8">
        <f>F832</f>
        <v>0</v>
      </c>
      <c r="G842" s="8">
        <f>E842+F842</f>
        <v>3014.8449999999998</v>
      </c>
      <c r="H842" s="3">
        <f>B842*G842</f>
        <v>65844.214800000002</v>
      </c>
      <c r="I842" s="3">
        <f>C842*G842</f>
        <v>65874.363249999995</v>
      </c>
    </row>
    <row r="843" spans="1:9" x14ac:dyDescent="0.25">
      <c r="A843" t="s">
        <v>6</v>
      </c>
      <c r="B843" s="1">
        <v>35.76</v>
      </c>
      <c r="C843" s="1">
        <v>35.770000000000003</v>
      </c>
      <c r="D843" s="2" t="s">
        <v>115</v>
      </c>
      <c r="E843" s="8">
        <v>1842.0599</v>
      </c>
      <c r="F843" s="8">
        <f>F833</f>
        <v>-0.1</v>
      </c>
      <c r="G843" s="8">
        <f>E843+F843</f>
        <v>1841.9599000000001</v>
      </c>
      <c r="H843" s="3">
        <f>B843*G843</f>
        <v>65868.486023999998</v>
      </c>
      <c r="I843" s="3">
        <f>C843*G843</f>
        <v>65886.905623000013</v>
      </c>
    </row>
    <row r="844" spans="1:9" x14ac:dyDescent="0.25">
      <c r="A844" t="s">
        <v>7</v>
      </c>
      <c r="B844" s="1">
        <v>18.57</v>
      </c>
      <c r="C844" s="1">
        <v>18.579999999999998</v>
      </c>
      <c r="D844" s="2" t="s">
        <v>115</v>
      </c>
      <c r="E844" s="8">
        <v>3546.4407000000001</v>
      </c>
      <c r="F844" s="8">
        <f>F834</f>
        <v>0</v>
      </c>
      <c r="G844" s="8">
        <f>E844+F844</f>
        <v>3546.4407000000001</v>
      </c>
      <c r="H844" s="3">
        <f>B844*G844</f>
        <v>65857.403799000007</v>
      </c>
      <c r="I844" s="3">
        <f>C844*G844</f>
        <v>65892.868205999999</v>
      </c>
    </row>
    <row r="845" spans="1:9" x14ac:dyDescent="0.25">
      <c r="A845" t="s">
        <v>8</v>
      </c>
      <c r="B845" s="1">
        <v>29.13</v>
      </c>
      <c r="C845" s="1">
        <v>29.14</v>
      </c>
      <c r="D845" s="2" t="s">
        <v>115</v>
      </c>
      <c r="E845" s="8">
        <v>2261.2858000000001</v>
      </c>
      <c r="F845" s="8">
        <f>F835</f>
        <v>-0.2</v>
      </c>
      <c r="G845" s="8">
        <f>E845+F845</f>
        <v>2261.0858000000003</v>
      </c>
      <c r="H845" s="3">
        <f>B845*G845</f>
        <v>65865.429354000007</v>
      </c>
      <c r="I845" s="3">
        <f>C845*G845</f>
        <v>65888.040212000007</v>
      </c>
    </row>
    <row r="846" spans="1:9" x14ac:dyDescent="0.25">
      <c r="A846" t="s">
        <v>9</v>
      </c>
      <c r="B846" s="1">
        <v>69.62</v>
      </c>
      <c r="C846" s="1">
        <v>69.67</v>
      </c>
      <c r="D846" s="2" t="s">
        <v>115</v>
      </c>
      <c r="E846" s="8">
        <v>946.09739999999999</v>
      </c>
      <c r="F846" s="8">
        <f>F836</f>
        <v>0</v>
      </c>
      <c r="G846" s="8">
        <f>E846+F846</f>
        <v>946.09739999999999</v>
      </c>
      <c r="H846" s="3">
        <f>B846*G846</f>
        <v>65867.300988000003</v>
      </c>
      <c r="I846" s="3">
        <f>C846*G846</f>
        <v>65914.605857999995</v>
      </c>
    </row>
    <row r="847" spans="1:9" x14ac:dyDescent="0.25">
      <c r="A847" t="s">
        <v>10</v>
      </c>
      <c r="B847" s="1">
        <v>38.049999999999997</v>
      </c>
      <c r="C847" s="1">
        <v>38.08</v>
      </c>
      <c r="D847" s="2" t="s">
        <v>115</v>
      </c>
      <c r="E847" s="8">
        <v>1730.0638000000001</v>
      </c>
      <c r="F847" s="8">
        <f>F837</f>
        <v>0.2</v>
      </c>
      <c r="G847" s="8">
        <f>E847+F847</f>
        <v>1730.2638000000002</v>
      </c>
      <c r="H847" s="3">
        <f>B847*G847</f>
        <v>65836.537590000007</v>
      </c>
      <c r="I847" s="3">
        <f>C847*G847</f>
        <v>65888.445504000003</v>
      </c>
    </row>
    <row r="848" spans="1:9" x14ac:dyDescent="0.25">
      <c r="A848" t="s">
        <v>11</v>
      </c>
      <c r="B848" s="1">
        <v>57.34</v>
      </c>
      <c r="C848" s="1">
        <v>57.35</v>
      </c>
      <c r="D848" s="2" t="s">
        <v>115</v>
      </c>
      <c r="E848" s="8">
        <v>1148.8058000000001</v>
      </c>
      <c r="F848" s="8">
        <f>F838</f>
        <v>0.05</v>
      </c>
      <c r="G848" s="8">
        <f>E848+F848</f>
        <v>1148.8558</v>
      </c>
      <c r="H848" s="3">
        <f>B848*G848</f>
        <v>65875.391572000008</v>
      </c>
      <c r="I848" s="3">
        <f>C848*G848</f>
        <v>65886.880130000005</v>
      </c>
    </row>
    <row r="849" spans="1:9" x14ac:dyDescent="0.25">
      <c r="A849" t="s">
        <v>12</v>
      </c>
      <c r="B849" s="1">
        <v>51.1</v>
      </c>
      <c r="C849" s="1">
        <v>51.11</v>
      </c>
      <c r="D849" s="2" t="s">
        <v>115</v>
      </c>
      <c r="E849" s="8">
        <v>1288.6435000000001</v>
      </c>
      <c r="F849" s="8">
        <f>F839</f>
        <v>0</v>
      </c>
      <c r="G849" s="8">
        <f>E849+F849</f>
        <v>1288.6435000000001</v>
      </c>
      <c r="H849" s="3">
        <f>B849*G849</f>
        <v>65849.682850000012</v>
      </c>
      <c r="I849" s="3">
        <f>C849*G849</f>
        <v>65862.569285000005</v>
      </c>
    </row>
    <row r="850" spans="1:9" x14ac:dyDescent="0.25">
      <c r="A850" t="s">
        <v>13</v>
      </c>
      <c r="B850" s="1">
        <v>18.62</v>
      </c>
      <c r="C850" s="1">
        <v>18.63</v>
      </c>
      <c r="D850" s="2" t="s">
        <v>115</v>
      </c>
      <c r="E850" s="8">
        <v>3535.8029000000001</v>
      </c>
      <c r="F850" s="8">
        <f>F840</f>
        <v>0</v>
      </c>
      <c r="G850" s="8">
        <f>E850+F850</f>
        <v>3535.8029000000001</v>
      </c>
      <c r="H850" s="3">
        <f>B850*G850</f>
        <v>65836.649998000008</v>
      </c>
      <c r="I850" s="3">
        <f>C850*G850</f>
        <v>65872.008027000003</v>
      </c>
    </row>
    <row r="851" spans="1:9" x14ac:dyDescent="0.25">
      <c r="A851" t="s">
        <v>14</v>
      </c>
      <c r="B851" s="1">
        <v>37.32</v>
      </c>
      <c r="C851" s="1">
        <v>37.33</v>
      </c>
      <c r="D851" s="2" t="s">
        <v>115</v>
      </c>
      <c r="E851" s="8">
        <v>1764.9866999999999</v>
      </c>
      <c r="F851" s="8">
        <f>F841</f>
        <v>0.2</v>
      </c>
      <c r="G851" s="8">
        <f>E851+F851</f>
        <v>1765.1867</v>
      </c>
      <c r="H851" s="3">
        <f>B851*G851</f>
        <v>65876.767643999992</v>
      </c>
      <c r="I851" s="3">
        <f>C851*G851</f>
        <v>65894.419511</v>
      </c>
    </row>
    <row r="852" spans="1:9" x14ac:dyDescent="0.25">
      <c r="A852" t="s">
        <v>4</v>
      </c>
      <c r="B852" s="1">
        <v>21.78</v>
      </c>
      <c r="C852" s="1">
        <v>21.79</v>
      </c>
      <c r="D852" s="2" t="s">
        <v>116</v>
      </c>
      <c r="E852" s="8">
        <v>3014.8449999999998</v>
      </c>
      <c r="F852" s="8">
        <f>F842</f>
        <v>0</v>
      </c>
      <c r="G852" s="8">
        <f>E852+F852</f>
        <v>3014.8449999999998</v>
      </c>
      <c r="H852" s="3">
        <f>B852*G852</f>
        <v>65663.324099999998</v>
      </c>
      <c r="I852" s="3">
        <f>C852*G852</f>
        <v>65693.472549999991</v>
      </c>
    </row>
    <row r="853" spans="1:9" x14ac:dyDescent="0.25">
      <c r="A853" t="s">
        <v>6</v>
      </c>
      <c r="B853" s="1">
        <v>35.659999999999997</v>
      </c>
      <c r="C853" s="1">
        <v>35.67</v>
      </c>
      <c r="D853" s="2" t="s">
        <v>116</v>
      </c>
      <c r="E853" s="8">
        <v>1842.0599</v>
      </c>
      <c r="F853" s="8">
        <f>F843</f>
        <v>-0.1</v>
      </c>
      <c r="G853" s="8">
        <f>E853+F853</f>
        <v>1841.9599000000001</v>
      </c>
      <c r="H853" s="3">
        <f>B853*G853</f>
        <v>65684.290033999991</v>
      </c>
      <c r="I853" s="3">
        <f>C853*G853</f>
        <v>65702.709633000006</v>
      </c>
    </row>
    <row r="854" spans="1:9" x14ac:dyDescent="0.25">
      <c r="A854" t="s">
        <v>7</v>
      </c>
      <c r="B854" s="1">
        <v>18.52</v>
      </c>
      <c r="C854" s="1">
        <v>18.53</v>
      </c>
      <c r="D854" s="2" t="s">
        <v>116</v>
      </c>
      <c r="E854" s="8">
        <v>3546.4407000000001</v>
      </c>
      <c r="F854" s="8">
        <f>F844</f>
        <v>0</v>
      </c>
      <c r="G854" s="8">
        <f>E854+F854</f>
        <v>3546.4407000000001</v>
      </c>
      <c r="H854" s="3">
        <f>B854*G854</f>
        <v>65680.081764000002</v>
      </c>
      <c r="I854" s="3">
        <f>C854*G854</f>
        <v>65715.546171000009</v>
      </c>
    </row>
    <row r="855" spans="1:9" x14ac:dyDescent="0.25">
      <c r="A855" t="s">
        <v>8</v>
      </c>
      <c r="B855" s="1">
        <v>29.05</v>
      </c>
      <c r="C855" s="1">
        <v>29.06</v>
      </c>
      <c r="D855" s="2" t="s">
        <v>116</v>
      </c>
      <c r="E855" s="8">
        <v>2261.2858000000001</v>
      </c>
      <c r="F855" s="8">
        <f>F845</f>
        <v>-0.2</v>
      </c>
      <c r="G855" s="8">
        <f>E855+F855</f>
        <v>2261.0858000000003</v>
      </c>
      <c r="H855" s="3">
        <f>B855*G855</f>
        <v>65684.542490000007</v>
      </c>
      <c r="I855" s="3">
        <f>C855*G855</f>
        <v>65707.153348000007</v>
      </c>
    </row>
    <row r="856" spans="1:9" x14ac:dyDescent="0.25">
      <c r="A856" t="s">
        <v>9</v>
      </c>
      <c r="B856" s="1">
        <v>69.42</v>
      </c>
      <c r="C856" s="1">
        <v>69.489999999999995</v>
      </c>
      <c r="D856" s="2" t="s">
        <v>116</v>
      </c>
      <c r="E856" s="8">
        <v>946.09739999999999</v>
      </c>
      <c r="F856" s="8">
        <f>F846</f>
        <v>0</v>
      </c>
      <c r="G856" s="8">
        <f>E856+F856</f>
        <v>946.09739999999999</v>
      </c>
      <c r="H856" s="3">
        <f>B856*G856</f>
        <v>65678.081508000003</v>
      </c>
      <c r="I856" s="3">
        <f>C856*G856</f>
        <v>65744.308325999998</v>
      </c>
    </row>
    <row r="857" spans="1:9" x14ac:dyDescent="0.25">
      <c r="A857" t="s">
        <v>10</v>
      </c>
      <c r="B857" s="1">
        <v>37.94</v>
      </c>
      <c r="C857" s="1">
        <v>37.979999999999997</v>
      </c>
      <c r="D857" s="2" t="s">
        <v>116</v>
      </c>
      <c r="E857" s="8">
        <v>1730.0638000000001</v>
      </c>
      <c r="F857" s="8">
        <f>F847</f>
        <v>0.2</v>
      </c>
      <c r="G857" s="8">
        <f>E857+F857</f>
        <v>1730.2638000000002</v>
      </c>
      <c r="H857" s="3">
        <f>B857*G857</f>
        <v>65646.208572000003</v>
      </c>
      <c r="I857" s="3">
        <f>C857*G857</f>
        <v>65715.419124000007</v>
      </c>
    </row>
    <row r="858" spans="1:9" x14ac:dyDescent="0.25">
      <c r="A858" t="s">
        <v>11</v>
      </c>
      <c r="B858" s="1">
        <v>57.17</v>
      </c>
      <c r="C858" s="1">
        <v>57.18</v>
      </c>
      <c r="D858" s="2" t="s">
        <v>116</v>
      </c>
      <c r="E858" s="8">
        <v>1148.8058000000001</v>
      </c>
      <c r="F858" s="8">
        <f>F848</f>
        <v>0.05</v>
      </c>
      <c r="G858" s="8">
        <f>E858+F858</f>
        <v>1148.8558</v>
      </c>
      <c r="H858" s="3">
        <f>B858*G858</f>
        <v>65680.08608600001</v>
      </c>
      <c r="I858" s="3">
        <f>C858*G858</f>
        <v>65691.574644000008</v>
      </c>
    </row>
    <row r="859" spans="1:9" x14ac:dyDescent="0.25">
      <c r="A859" t="s">
        <v>12</v>
      </c>
      <c r="B859" s="1">
        <v>50.95</v>
      </c>
      <c r="C859" s="1">
        <v>50.96</v>
      </c>
      <c r="D859" s="2" t="s">
        <v>116</v>
      </c>
      <c r="E859" s="8">
        <v>1288.6435000000001</v>
      </c>
      <c r="F859" s="8">
        <f>F849</f>
        <v>0</v>
      </c>
      <c r="G859" s="8">
        <f>E859+F859</f>
        <v>1288.6435000000001</v>
      </c>
      <c r="H859" s="3">
        <f>B859*G859</f>
        <v>65656.386325000014</v>
      </c>
      <c r="I859" s="3">
        <f>C859*G859</f>
        <v>65669.272760000007</v>
      </c>
    </row>
    <row r="860" spans="1:9" x14ac:dyDescent="0.25">
      <c r="A860" t="s">
        <v>13</v>
      </c>
      <c r="B860" s="1">
        <v>18.57</v>
      </c>
      <c r="C860" s="1">
        <v>18.579999999999998</v>
      </c>
      <c r="D860" s="2" t="s">
        <v>116</v>
      </c>
      <c r="E860" s="8">
        <v>3535.8029000000001</v>
      </c>
      <c r="F860" s="8">
        <f>F850</f>
        <v>0</v>
      </c>
      <c r="G860" s="8">
        <f>E860+F860</f>
        <v>3535.8029000000001</v>
      </c>
      <c r="H860" s="3">
        <f>B860*G860</f>
        <v>65659.859853000002</v>
      </c>
      <c r="I860" s="3">
        <f>C860*G860</f>
        <v>65695.217881999997</v>
      </c>
    </row>
    <row r="861" spans="1:9" x14ac:dyDescent="0.25">
      <c r="A861" t="s">
        <v>14</v>
      </c>
      <c r="B861" s="1">
        <v>37.21</v>
      </c>
      <c r="C861" s="1">
        <v>37.22</v>
      </c>
      <c r="D861" s="2" t="s">
        <v>116</v>
      </c>
      <c r="E861" s="8">
        <v>1764.9866999999999</v>
      </c>
      <c r="F861" s="8">
        <f>F851</f>
        <v>0.2</v>
      </c>
      <c r="G861" s="8">
        <f>E861+F861</f>
        <v>1765.1867</v>
      </c>
      <c r="H861" s="3">
        <f>B861*G861</f>
        <v>65682.597106999994</v>
      </c>
      <c r="I861" s="3">
        <f>C861*G861</f>
        <v>65700.248974000002</v>
      </c>
    </row>
    <row r="862" spans="1:9" x14ac:dyDescent="0.25">
      <c r="A862" t="s">
        <v>4</v>
      </c>
      <c r="B862" s="1">
        <v>21.78</v>
      </c>
      <c r="C862" s="1">
        <v>21.79</v>
      </c>
      <c r="D862" s="2" t="s">
        <v>117</v>
      </c>
      <c r="E862" s="8">
        <v>3014.8449999999998</v>
      </c>
      <c r="F862" s="8">
        <f>F852</f>
        <v>0</v>
      </c>
      <c r="G862" s="8">
        <f>E862+F862</f>
        <v>3014.8449999999998</v>
      </c>
      <c r="H862" s="3">
        <f>B862*G862</f>
        <v>65663.324099999998</v>
      </c>
      <c r="I862" s="3">
        <f>C862*G862</f>
        <v>65693.472549999991</v>
      </c>
    </row>
    <row r="863" spans="1:9" x14ac:dyDescent="0.25">
      <c r="A863" t="s">
        <v>6</v>
      </c>
      <c r="B863" s="1">
        <v>35.65</v>
      </c>
      <c r="C863" s="1">
        <v>35.659999999999997</v>
      </c>
      <c r="D863" s="2" t="s">
        <v>117</v>
      </c>
      <c r="E863" s="8">
        <v>1842.0599</v>
      </c>
      <c r="F863" s="8">
        <f>F853</f>
        <v>-0.1</v>
      </c>
      <c r="G863" s="8">
        <f>E863+F863</f>
        <v>1841.9599000000001</v>
      </c>
      <c r="H863" s="3">
        <f>B863*G863</f>
        <v>65665.870435000004</v>
      </c>
      <c r="I863" s="3">
        <f>C863*G863</f>
        <v>65684.290033999991</v>
      </c>
    </row>
    <row r="864" spans="1:9" x14ac:dyDescent="0.25">
      <c r="A864" t="s">
        <v>7</v>
      </c>
      <c r="B864" s="1">
        <v>18.510000000000002</v>
      </c>
      <c r="C864" s="1">
        <v>18.52</v>
      </c>
      <c r="D864" s="2" t="s">
        <v>117</v>
      </c>
      <c r="E864" s="8">
        <v>3546.4407000000001</v>
      </c>
      <c r="F864" s="8">
        <f>F854</f>
        <v>0</v>
      </c>
      <c r="G864" s="8">
        <f>E864+F864</f>
        <v>3546.4407000000001</v>
      </c>
      <c r="H864" s="3">
        <f>B864*G864</f>
        <v>65644.61735700001</v>
      </c>
      <c r="I864" s="3">
        <f>C864*G864</f>
        <v>65680.081764000002</v>
      </c>
    </row>
    <row r="865" spans="1:9" x14ac:dyDescent="0.25">
      <c r="A865" t="s">
        <v>8</v>
      </c>
      <c r="B865" s="1">
        <v>29.05</v>
      </c>
      <c r="C865" s="1">
        <v>29.06</v>
      </c>
      <c r="D865" s="2" t="s">
        <v>117</v>
      </c>
      <c r="E865" s="8">
        <v>2261.2858000000001</v>
      </c>
      <c r="F865" s="8">
        <f>F855</f>
        <v>-0.2</v>
      </c>
      <c r="G865" s="8">
        <f>E865+F865</f>
        <v>2261.0858000000003</v>
      </c>
      <c r="H865" s="3">
        <f>B865*G865</f>
        <v>65684.542490000007</v>
      </c>
      <c r="I865" s="3">
        <f>C865*G865</f>
        <v>65707.153348000007</v>
      </c>
    </row>
    <row r="866" spans="1:9" x14ac:dyDescent="0.25">
      <c r="A866" t="s">
        <v>9</v>
      </c>
      <c r="B866" s="1">
        <v>69.41</v>
      </c>
      <c r="C866" s="1">
        <v>69.5</v>
      </c>
      <c r="D866" s="2" t="s">
        <v>117</v>
      </c>
      <c r="E866" s="8">
        <v>946.09739999999999</v>
      </c>
      <c r="F866" s="8">
        <f>F856</f>
        <v>0</v>
      </c>
      <c r="G866" s="8">
        <f>E866+F866</f>
        <v>946.09739999999999</v>
      </c>
      <c r="H866" s="3">
        <f>B866*G866</f>
        <v>65668.620534000001</v>
      </c>
      <c r="I866" s="3">
        <f>C866*G866</f>
        <v>65753.7693</v>
      </c>
    </row>
    <row r="867" spans="1:9" x14ac:dyDescent="0.25">
      <c r="A867" t="s">
        <v>10</v>
      </c>
      <c r="B867" s="1">
        <v>37.94</v>
      </c>
      <c r="C867" s="1">
        <v>37.97</v>
      </c>
      <c r="D867" s="2" t="s">
        <v>117</v>
      </c>
      <c r="E867" s="8">
        <v>1730.0638000000001</v>
      </c>
      <c r="F867" s="8">
        <f>F857</f>
        <v>0.2</v>
      </c>
      <c r="G867" s="8">
        <f>E867+F867</f>
        <v>1730.2638000000002</v>
      </c>
      <c r="H867" s="3">
        <f>B867*G867</f>
        <v>65646.208572000003</v>
      </c>
      <c r="I867" s="3">
        <f>C867*G867</f>
        <v>65698.116485999999</v>
      </c>
    </row>
    <row r="868" spans="1:9" x14ac:dyDescent="0.25">
      <c r="A868" t="s">
        <v>11</v>
      </c>
      <c r="B868" s="1">
        <v>57.17</v>
      </c>
      <c r="C868" s="1">
        <v>57.18</v>
      </c>
      <c r="D868" s="2" t="s">
        <v>117</v>
      </c>
      <c r="E868" s="8">
        <v>1148.8058000000001</v>
      </c>
      <c r="F868" s="8">
        <f>F858</f>
        <v>0.05</v>
      </c>
      <c r="G868" s="8">
        <f>E868+F868</f>
        <v>1148.8558</v>
      </c>
      <c r="H868" s="3">
        <f>B868*G868</f>
        <v>65680.08608600001</v>
      </c>
      <c r="I868" s="3">
        <f>C868*G868</f>
        <v>65691.574644000008</v>
      </c>
    </row>
    <row r="869" spans="1:9" x14ac:dyDescent="0.25">
      <c r="A869" t="s">
        <v>12</v>
      </c>
      <c r="B869" s="1">
        <v>50.95</v>
      </c>
      <c r="C869" s="1">
        <v>50.96</v>
      </c>
      <c r="D869" s="2" t="s">
        <v>117</v>
      </c>
      <c r="E869" s="8">
        <v>1288.6435000000001</v>
      </c>
      <c r="F869" s="8">
        <f>F859</f>
        <v>0</v>
      </c>
      <c r="G869" s="8">
        <f>E869+F869</f>
        <v>1288.6435000000001</v>
      </c>
      <c r="H869" s="3">
        <f>B869*G869</f>
        <v>65656.386325000014</v>
      </c>
      <c r="I869" s="3">
        <f>C869*G869</f>
        <v>65669.272760000007</v>
      </c>
    </row>
    <row r="870" spans="1:9" x14ac:dyDescent="0.25">
      <c r="A870" t="s">
        <v>13</v>
      </c>
      <c r="B870" s="1">
        <v>18.57</v>
      </c>
      <c r="C870" s="1">
        <v>18.579999999999998</v>
      </c>
      <c r="D870" s="2" t="s">
        <v>117</v>
      </c>
      <c r="E870" s="8">
        <v>3535.8029000000001</v>
      </c>
      <c r="F870" s="8">
        <f>F860</f>
        <v>0</v>
      </c>
      <c r="G870" s="8">
        <f>E870+F870</f>
        <v>3535.8029000000001</v>
      </c>
      <c r="H870" s="3">
        <f>B870*G870</f>
        <v>65659.859853000002</v>
      </c>
      <c r="I870" s="3">
        <f>C870*G870</f>
        <v>65695.217881999997</v>
      </c>
    </row>
    <row r="871" spans="1:9" x14ac:dyDescent="0.25">
      <c r="A871" t="s">
        <v>14</v>
      </c>
      <c r="B871" s="1">
        <v>37.21</v>
      </c>
      <c r="C871" s="1">
        <v>37.22</v>
      </c>
      <c r="D871" s="2" t="s">
        <v>117</v>
      </c>
      <c r="E871" s="8">
        <v>1764.9866999999999</v>
      </c>
      <c r="F871" s="8">
        <f>F861</f>
        <v>0.2</v>
      </c>
      <c r="G871" s="8">
        <f>E871+F871</f>
        <v>1765.1867</v>
      </c>
      <c r="H871" s="3">
        <f>B871*G871</f>
        <v>65682.597106999994</v>
      </c>
      <c r="I871" s="3">
        <f>C871*G871</f>
        <v>65700.248974000002</v>
      </c>
    </row>
    <row r="872" spans="1:9" x14ac:dyDescent="0.25">
      <c r="A872" t="s">
        <v>4</v>
      </c>
      <c r="B872" s="1">
        <v>21.81</v>
      </c>
      <c r="C872" s="1">
        <v>21.82</v>
      </c>
      <c r="D872" s="2" t="s">
        <v>118</v>
      </c>
      <c r="E872" s="8">
        <v>3014.8449999999998</v>
      </c>
      <c r="F872" s="8">
        <f>F862</f>
        <v>0</v>
      </c>
      <c r="G872" s="8">
        <f>E872+F872</f>
        <v>3014.8449999999998</v>
      </c>
      <c r="H872" s="3">
        <f>B872*G872</f>
        <v>65753.769449999993</v>
      </c>
      <c r="I872" s="3">
        <f>C872*G872</f>
        <v>65783.9179</v>
      </c>
    </row>
    <row r="873" spans="1:9" x14ac:dyDescent="0.25">
      <c r="A873" t="s">
        <v>6</v>
      </c>
      <c r="B873" s="1">
        <v>35.700000000000003</v>
      </c>
      <c r="C873" s="1">
        <v>35.71</v>
      </c>
      <c r="D873" s="2" t="s">
        <v>118</v>
      </c>
      <c r="E873" s="8">
        <v>1842.0599</v>
      </c>
      <c r="F873" s="8">
        <f>F863</f>
        <v>-0.1</v>
      </c>
      <c r="G873" s="8">
        <f>E873+F873</f>
        <v>1841.9599000000001</v>
      </c>
      <c r="H873" s="3">
        <f>B873*G873</f>
        <v>65757.968430000008</v>
      </c>
      <c r="I873" s="3">
        <f>C873*G873</f>
        <v>65776.388029000009</v>
      </c>
    </row>
    <row r="874" spans="1:9" x14ac:dyDescent="0.25">
      <c r="A874" t="s">
        <v>7</v>
      </c>
      <c r="B874" s="1">
        <v>18.54</v>
      </c>
      <c r="C874" s="1">
        <v>18.55</v>
      </c>
      <c r="D874" s="2" t="s">
        <v>118</v>
      </c>
      <c r="E874" s="8">
        <v>3546.4407000000001</v>
      </c>
      <c r="F874" s="8">
        <f>F864</f>
        <v>0</v>
      </c>
      <c r="G874" s="8">
        <f>E874+F874</f>
        <v>3546.4407000000001</v>
      </c>
      <c r="H874" s="3">
        <f>B874*G874</f>
        <v>65751.010578000001</v>
      </c>
      <c r="I874" s="3">
        <f>C874*G874</f>
        <v>65786.474985000008</v>
      </c>
    </row>
    <row r="875" spans="1:9" x14ac:dyDescent="0.25">
      <c r="A875" t="s">
        <v>8</v>
      </c>
      <c r="B875" s="1">
        <v>29.08</v>
      </c>
      <c r="C875" s="1">
        <v>29.09</v>
      </c>
      <c r="D875" s="2" t="s">
        <v>118</v>
      </c>
      <c r="E875" s="8">
        <v>2261.2858000000001</v>
      </c>
      <c r="F875" s="8">
        <f>F865</f>
        <v>-0.2</v>
      </c>
      <c r="G875" s="8">
        <f>E875+F875</f>
        <v>2261.0858000000003</v>
      </c>
      <c r="H875" s="3">
        <f>B875*G875</f>
        <v>65752.375064000007</v>
      </c>
      <c r="I875" s="3">
        <f>C875*G875</f>
        <v>65774.985922000007</v>
      </c>
    </row>
    <row r="876" spans="1:9" x14ac:dyDescent="0.25">
      <c r="A876" t="s">
        <v>9</v>
      </c>
      <c r="B876" s="1">
        <v>69.5</v>
      </c>
      <c r="C876" s="1">
        <v>69.56</v>
      </c>
      <c r="D876" s="2" t="s">
        <v>118</v>
      </c>
      <c r="E876" s="8">
        <v>946.09739999999999</v>
      </c>
      <c r="F876" s="8">
        <f>F866</f>
        <v>0</v>
      </c>
      <c r="G876" s="8">
        <f>E876+F876</f>
        <v>946.09739999999999</v>
      </c>
      <c r="H876" s="3">
        <f>B876*G876</f>
        <v>65753.7693</v>
      </c>
      <c r="I876" s="3">
        <f>C876*G876</f>
        <v>65810.535144000009</v>
      </c>
    </row>
    <row r="877" spans="1:9" x14ac:dyDescent="0.25">
      <c r="A877" t="s">
        <v>10</v>
      </c>
      <c r="B877" s="1">
        <v>37.99</v>
      </c>
      <c r="C877" s="1">
        <v>38.020000000000003</v>
      </c>
      <c r="D877" s="2" t="s">
        <v>118</v>
      </c>
      <c r="E877" s="8">
        <v>1730.0638000000001</v>
      </c>
      <c r="F877" s="8">
        <f>F867</f>
        <v>0.2</v>
      </c>
      <c r="G877" s="8">
        <f>E877+F877</f>
        <v>1730.2638000000002</v>
      </c>
      <c r="H877" s="3">
        <f>B877*G877</f>
        <v>65732.721762000016</v>
      </c>
      <c r="I877" s="3">
        <f>C877*G877</f>
        <v>65784.629676000011</v>
      </c>
    </row>
    <row r="878" spans="1:9" x14ac:dyDescent="0.25">
      <c r="A878" t="s">
        <v>11</v>
      </c>
      <c r="B878" s="1">
        <v>57.24</v>
      </c>
      <c r="C878" s="1">
        <v>57.25</v>
      </c>
      <c r="D878" s="2" t="s">
        <v>118</v>
      </c>
      <c r="E878" s="8">
        <v>1148.8058000000001</v>
      </c>
      <c r="F878" s="8">
        <f>F868</f>
        <v>0.05</v>
      </c>
      <c r="G878" s="8">
        <f>E878+F878</f>
        <v>1148.8558</v>
      </c>
      <c r="H878" s="3">
        <f>B878*G878</f>
        <v>65760.505992000006</v>
      </c>
      <c r="I878" s="3">
        <f>C878*G878</f>
        <v>65771.994550000003</v>
      </c>
    </row>
    <row r="879" spans="1:9" x14ac:dyDescent="0.25">
      <c r="A879" t="s">
        <v>12</v>
      </c>
      <c r="B879" s="1">
        <v>51.02</v>
      </c>
      <c r="C879" s="1">
        <v>51.03</v>
      </c>
      <c r="D879" s="2" t="s">
        <v>118</v>
      </c>
      <c r="E879" s="8">
        <v>1288.6435000000001</v>
      </c>
      <c r="F879" s="8">
        <f>F869</f>
        <v>0</v>
      </c>
      <c r="G879" s="8">
        <f>E879+F879</f>
        <v>1288.6435000000001</v>
      </c>
      <c r="H879" s="3">
        <f>B879*G879</f>
        <v>65746.591370000009</v>
      </c>
      <c r="I879" s="3">
        <f>C879*G879</f>
        <v>65759.477805000002</v>
      </c>
    </row>
    <row r="880" spans="1:9" x14ac:dyDescent="0.25">
      <c r="A880" t="s">
        <v>13</v>
      </c>
      <c r="B880" s="1">
        <v>18.59</v>
      </c>
      <c r="C880" s="1">
        <v>18.600000000000001</v>
      </c>
      <c r="D880" s="2" t="s">
        <v>118</v>
      </c>
      <c r="E880" s="8">
        <v>3535.8029000000001</v>
      </c>
      <c r="F880" s="8">
        <f>F870</f>
        <v>0</v>
      </c>
      <c r="G880" s="8">
        <f>E880+F880</f>
        <v>3535.8029000000001</v>
      </c>
      <c r="H880" s="3">
        <f>B880*G880</f>
        <v>65730.575911000007</v>
      </c>
      <c r="I880" s="3">
        <f>C880*G880</f>
        <v>65765.933940000003</v>
      </c>
    </row>
    <row r="881" spans="1:9" x14ac:dyDescent="0.25">
      <c r="A881" t="s">
        <v>14</v>
      </c>
      <c r="B881" s="1">
        <v>37.25</v>
      </c>
      <c r="C881" s="1">
        <v>37.26</v>
      </c>
      <c r="D881" s="2" t="s">
        <v>118</v>
      </c>
      <c r="E881" s="8">
        <v>1764.9866999999999</v>
      </c>
      <c r="F881" s="8">
        <f>F871</f>
        <v>0.2</v>
      </c>
      <c r="G881" s="8">
        <f>E881+F881</f>
        <v>1765.1867</v>
      </c>
      <c r="H881" s="3">
        <f>B881*G881</f>
        <v>65753.204574999996</v>
      </c>
      <c r="I881" s="3">
        <f>C881*G881</f>
        <v>65770.856441999989</v>
      </c>
    </row>
    <row r="882" spans="1:9" x14ac:dyDescent="0.25">
      <c r="A882" t="s">
        <v>4</v>
      </c>
      <c r="B882" s="1">
        <v>21.79</v>
      </c>
      <c r="C882" s="1">
        <v>21.8</v>
      </c>
      <c r="D882" s="2" t="s">
        <v>119</v>
      </c>
      <c r="E882" s="8">
        <v>3014.8449999999998</v>
      </c>
      <c r="F882" s="8">
        <f>F872</f>
        <v>0</v>
      </c>
      <c r="G882" s="8">
        <f>E882+F882</f>
        <v>3014.8449999999998</v>
      </c>
      <c r="H882" s="3">
        <f>B882*G882</f>
        <v>65693.472549999991</v>
      </c>
      <c r="I882" s="3">
        <f>C882*G882</f>
        <v>65723.620999999999</v>
      </c>
    </row>
    <row r="883" spans="1:9" x14ac:dyDescent="0.25">
      <c r="A883" t="s">
        <v>6</v>
      </c>
      <c r="B883" s="1">
        <v>35.67</v>
      </c>
      <c r="C883" s="1">
        <v>35.68</v>
      </c>
      <c r="D883" s="2" t="s">
        <v>119</v>
      </c>
      <c r="E883" s="8">
        <v>1842.0599</v>
      </c>
      <c r="F883" s="8">
        <f>F873</f>
        <v>-0.1</v>
      </c>
      <c r="G883" s="8">
        <f>E883+F883</f>
        <v>1841.9599000000001</v>
      </c>
      <c r="H883" s="3">
        <f>B883*G883</f>
        <v>65702.709633000006</v>
      </c>
      <c r="I883" s="3">
        <f>C883*G883</f>
        <v>65721.129232000007</v>
      </c>
    </row>
    <row r="884" spans="1:9" x14ac:dyDescent="0.25">
      <c r="A884" t="s">
        <v>7</v>
      </c>
      <c r="B884" s="1">
        <v>18.53</v>
      </c>
      <c r="C884" s="1">
        <v>18.54</v>
      </c>
      <c r="D884" s="2" t="s">
        <v>119</v>
      </c>
      <c r="E884" s="8">
        <v>3546.4407000000001</v>
      </c>
      <c r="F884" s="8">
        <f>F874</f>
        <v>0</v>
      </c>
      <c r="G884" s="8">
        <f>E884+F884</f>
        <v>3546.4407000000001</v>
      </c>
      <c r="H884" s="3">
        <f>B884*G884</f>
        <v>65715.546171000009</v>
      </c>
      <c r="I884" s="3">
        <f>C884*G884</f>
        <v>65751.010578000001</v>
      </c>
    </row>
    <row r="885" spans="1:9" x14ac:dyDescent="0.25">
      <c r="A885" t="s">
        <v>8</v>
      </c>
      <c r="B885" s="1">
        <v>29.06</v>
      </c>
      <c r="C885" s="1">
        <v>29.07</v>
      </c>
      <c r="D885" s="2" t="s">
        <v>119</v>
      </c>
      <c r="E885" s="8">
        <v>2261.2858000000001</v>
      </c>
      <c r="F885" s="8">
        <f>F875</f>
        <v>-0.2</v>
      </c>
      <c r="G885" s="8">
        <f>E885+F885</f>
        <v>2261.0858000000003</v>
      </c>
      <c r="H885" s="3">
        <f>B885*G885</f>
        <v>65707.153348000007</v>
      </c>
      <c r="I885" s="3">
        <f>C885*G885</f>
        <v>65729.764206000007</v>
      </c>
    </row>
    <row r="886" spans="1:9" x14ac:dyDescent="0.25">
      <c r="A886" t="s">
        <v>9</v>
      </c>
      <c r="B886" s="1">
        <v>69.459999999999994</v>
      </c>
      <c r="C886" s="1">
        <v>69.52</v>
      </c>
      <c r="D886" s="2" t="s">
        <v>119</v>
      </c>
      <c r="E886" s="8">
        <v>946.09739999999999</v>
      </c>
      <c r="F886" s="8">
        <f>F876</f>
        <v>0</v>
      </c>
      <c r="G886" s="8">
        <f>E886+F886</f>
        <v>946.09739999999999</v>
      </c>
      <c r="H886" s="3">
        <f>B886*G886</f>
        <v>65715.925403999994</v>
      </c>
      <c r="I886" s="3">
        <f>C886*G886</f>
        <v>65772.691248000003</v>
      </c>
    </row>
    <row r="887" spans="1:9" x14ac:dyDescent="0.25">
      <c r="A887" t="s">
        <v>10</v>
      </c>
      <c r="B887" s="1">
        <v>37.97</v>
      </c>
      <c r="C887" s="1">
        <v>38</v>
      </c>
      <c r="D887" s="2" t="s">
        <v>119</v>
      </c>
      <c r="E887" s="8">
        <v>1730.0638000000001</v>
      </c>
      <c r="F887" s="8">
        <f>F877</f>
        <v>0.2</v>
      </c>
      <c r="G887" s="8">
        <f>E887+F887</f>
        <v>1730.2638000000002</v>
      </c>
      <c r="H887" s="3">
        <f>B887*G887</f>
        <v>65698.116485999999</v>
      </c>
      <c r="I887" s="3">
        <f>C887*G887</f>
        <v>65750.024400000009</v>
      </c>
    </row>
    <row r="888" spans="1:9" x14ac:dyDescent="0.25">
      <c r="A888" t="s">
        <v>11</v>
      </c>
      <c r="B888" s="1">
        <v>57.2</v>
      </c>
      <c r="C888" s="1">
        <v>57.21</v>
      </c>
      <c r="D888" s="2" t="s">
        <v>119</v>
      </c>
      <c r="E888" s="8">
        <v>1148.8058000000001</v>
      </c>
      <c r="F888" s="8">
        <f>F878</f>
        <v>0.05</v>
      </c>
      <c r="G888" s="8">
        <f>E888+F888</f>
        <v>1148.8558</v>
      </c>
      <c r="H888" s="3">
        <f>B888*G888</f>
        <v>65714.551760000002</v>
      </c>
      <c r="I888" s="3">
        <f>C888*G888</f>
        <v>65726.040317999999</v>
      </c>
    </row>
    <row r="889" spans="1:9" x14ac:dyDescent="0.25">
      <c r="A889" t="s">
        <v>12</v>
      </c>
      <c r="B889" s="1">
        <v>50.98</v>
      </c>
      <c r="C889" s="1">
        <v>50.99</v>
      </c>
      <c r="D889" s="2" t="s">
        <v>119</v>
      </c>
      <c r="E889" s="8">
        <v>1288.6435000000001</v>
      </c>
      <c r="F889" s="8">
        <f>F879</f>
        <v>0</v>
      </c>
      <c r="G889" s="8">
        <f>E889+F889</f>
        <v>1288.6435000000001</v>
      </c>
      <c r="H889" s="3">
        <f>B889*G889</f>
        <v>65695.045630000008</v>
      </c>
      <c r="I889" s="3">
        <f>C889*G889</f>
        <v>65707.932065000015</v>
      </c>
    </row>
    <row r="890" spans="1:9" x14ac:dyDescent="0.25">
      <c r="A890" t="s">
        <v>13</v>
      </c>
      <c r="B890" s="1">
        <v>18.579999999999998</v>
      </c>
      <c r="C890" s="1">
        <v>18.59</v>
      </c>
      <c r="D890" s="2" t="s">
        <v>119</v>
      </c>
      <c r="E890" s="8">
        <v>3535.8029000000001</v>
      </c>
      <c r="F890" s="8">
        <f>F880</f>
        <v>0</v>
      </c>
      <c r="G890" s="8">
        <f>E890+F890</f>
        <v>3535.8029000000001</v>
      </c>
      <c r="H890" s="3">
        <f>B890*G890</f>
        <v>65695.217881999997</v>
      </c>
      <c r="I890" s="3">
        <f>C890*G890</f>
        <v>65730.575911000007</v>
      </c>
    </row>
    <row r="891" spans="1:9" x14ac:dyDescent="0.25">
      <c r="A891" t="s">
        <v>14</v>
      </c>
      <c r="B891" s="1">
        <v>37.229999999999997</v>
      </c>
      <c r="C891" s="1">
        <v>37.24</v>
      </c>
      <c r="D891" s="2" t="s">
        <v>119</v>
      </c>
      <c r="E891" s="8">
        <v>1764.9866999999999</v>
      </c>
      <c r="F891" s="8">
        <f>F881</f>
        <v>0.2</v>
      </c>
      <c r="G891" s="8">
        <f>E891+F891</f>
        <v>1765.1867</v>
      </c>
      <c r="H891" s="3">
        <f>B891*G891</f>
        <v>65717.900840999995</v>
      </c>
      <c r="I891" s="3">
        <f>C891*G891</f>
        <v>65735.552708000003</v>
      </c>
    </row>
    <row r="892" spans="1:9" x14ac:dyDescent="0.25">
      <c r="A892" t="s">
        <v>4</v>
      </c>
      <c r="B892" s="1">
        <v>21.8</v>
      </c>
      <c r="C892" s="1">
        <v>21.81</v>
      </c>
      <c r="D892" s="2" t="s">
        <v>120</v>
      </c>
      <c r="E892" s="8">
        <v>3014.8449999999998</v>
      </c>
      <c r="F892" s="8">
        <f>F882</f>
        <v>0</v>
      </c>
      <c r="G892" s="8">
        <f>E892+F892</f>
        <v>3014.8449999999998</v>
      </c>
      <c r="H892" s="3">
        <f>B892*G892</f>
        <v>65723.620999999999</v>
      </c>
      <c r="I892" s="3">
        <f>C892*G892</f>
        <v>65753.769449999993</v>
      </c>
    </row>
    <row r="893" spans="1:9" x14ac:dyDescent="0.25">
      <c r="A893" t="s">
        <v>6</v>
      </c>
      <c r="B893" s="1">
        <v>35.69</v>
      </c>
      <c r="C893" s="1">
        <v>35.700000000000003</v>
      </c>
      <c r="D893" s="2" t="s">
        <v>120</v>
      </c>
      <c r="E893" s="8">
        <v>1842.0599</v>
      </c>
      <c r="F893" s="8">
        <f>F883</f>
        <v>-0.1</v>
      </c>
      <c r="G893" s="8">
        <f>E893+F893</f>
        <v>1841.9599000000001</v>
      </c>
      <c r="H893" s="3">
        <f>B893*G893</f>
        <v>65739.548830999993</v>
      </c>
      <c r="I893" s="3">
        <f>C893*G893</f>
        <v>65757.968430000008</v>
      </c>
    </row>
    <row r="894" spans="1:9" x14ac:dyDescent="0.25">
      <c r="A894" t="s">
        <v>7</v>
      </c>
      <c r="B894" s="1">
        <v>18.54</v>
      </c>
      <c r="C894" s="1">
        <v>18.55</v>
      </c>
      <c r="D894" s="2" t="s">
        <v>120</v>
      </c>
      <c r="E894" s="8">
        <v>3546.4407000000001</v>
      </c>
      <c r="F894" s="8">
        <f>F884</f>
        <v>0</v>
      </c>
      <c r="G894" s="8">
        <f>E894+F894</f>
        <v>3546.4407000000001</v>
      </c>
      <c r="H894" s="3">
        <f>B894*G894</f>
        <v>65751.010578000001</v>
      </c>
      <c r="I894" s="3">
        <f>C894*G894</f>
        <v>65786.474985000008</v>
      </c>
    </row>
    <row r="895" spans="1:9" x14ac:dyDescent="0.25">
      <c r="A895" t="s">
        <v>8</v>
      </c>
      <c r="B895" s="1">
        <v>29.08</v>
      </c>
      <c r="C895" s="1">
        <v>29.09</v>
      </c>
      <c r="D895" s="2" t="s">
        <v>120</v>
      </c>
      <c r="E895" s="8">
        <v>2261.2858000000001</v>
      </c>
      <c r="F895" s="8">
        <f>F885</f>
        <v>-0.2</v>
      </c>
      <c r="G895" s="8">
        <f>E895+F895</f>
        <v>2261.0858000000003</v>
      </c>
      <c r="H895" s="3">
        <f>B895*G895</f>
        <v>65752.375064000007</v>
      </c>
      <c r="I895" s="3">
        <f>C895*G895</f>
        <v>65774.985922000007</v>
      </c>
    </row>
    <row r="896" spans="1:9" x14ac:dyDescent="0.25">
      <c r="A896" t="s">
        <v>9</v>
      </c>
      <c r="B896" s="1">
        <v>69.5</v>
      </c>
      <c r="C896" s="1">
        <v>69.55</v>
      </c>
      <c r="D896" s="2" t="s">
        <v>120</v>
      </c>
      <c r="E896" s="8">
        <v>946.09739999999999</v>
      </c>
      <c r="F896" s="8">
        <f>F886</f>
        <v>0</v>
      </c>
      <c r="G896" s="8">
        <f>E896+F896</f>
        <v>946.09739999999999</v>
      </c>
      <c r="H896" s="3">
        <f>B896*G896</f>
        <v>65753.7693</v>
      </c>
      <c r="I896" s="3">
        <f>C896*G896</f>
        <v>65801.074169999993</v>
      </c>
    </row>
    <row r="897" spans="1:9" x14ac:dyDescent="0.25">
      <c r="A897" t="s">
        <v>10</v>
      </c>
      <c r="B897" s="1">
        <v>37.99</v>
      </c>
      <c r="C897" s="1">
        <v>38.01</v>
      </c>
      <c r="D897" s="2" t="s">
        <v>120</v>
      </c>
      <c r="E897" s="8">
        <v>1730.0638000000001</v>
      </c>
      <c r="F897" s="8">
        <f>F887</f>
        <v>0.2</v>
      </c>
      <c r="G897" s="8">
        <f>E897+F897</f>
        <v>1730.2638000000002</v>
      </c>
      <c r="H897" s="3">
        <f>B897*G897</f>
        <v>65732.721762000016</v>
      </c>
      <c r="I897" s="3">
        <f>C897*G897</f>
        <v>65767.327038000003</v>
      </c>
    </row>
    <row r="898" spans="1:9" x14ac:dyDescent="0.25">
      <c r="A898" t="s">
        <v>11</v>
      </c>
      <c r="B898" s="1">
        <v>57.23</v>
      </c>
      <c r="C898" s="1">
        <v>57.24</v>
      </c>
      <c r="D898" s="2" t="s">
        <v>120</v>
      </c>
      <c r="E898" s="8">
        <v>1148.8058000000001</v>
      </c>
      <c r="F898" s="8">
        <f>F888</f>
        <v>0.05</v>
      </c>
      <c r="G898" s="8">
        <f>E898+F898</f>
        <v>1148.8558</v>
      </c>
      <c r="H898" s="3">
        <f>B898*G898</f>
        <v>65749.017433999994</v>
      </c>
      <c r="I898" s="3">
        <f>C898*G898</f>
        <v>65760.505992000006</v>
      </c>
    </row>
    <row r="899" spans="1:9" x14ac:dyDescent="0.25">
      <c r="A899" t="s">
        <v>12</v>
      </c>
      <c r="B899" s="1">
        <v>51</v>
      </c>
      <c r="C899" s="1">
        <v>51.01</v>
      </c>
      <c r="D899" s="2" t="s">
        <v>120</v>
      </c>
      <c r="E899" s="8">
        <v>1288.6435000000001</v>
      </c>
      <c r="F899" s="8">
        <f>F889</f>
        <v>0</v>
      </c>
      <c r="G899" s="8">
        <f>E899+F899</f>
        <v>1288.6435000000001</v>
      </c>
      <c r="H899" s="3">
        <f>B899*G899</f>
        <v>65720.818500000008</v>
      </c>
      <c r="I899" s="3">
        <f>C899*G899</f>
        <v>65733.704935000002</v>
      </c>
    </row>
    <row r="900" spans="1:9" x14ac:dyDescent="0.25">
      <c r="A900" t="s">
        <v>13</v>
      </c>
      <c r="B900" s="1">
        <v>18.59</v>
      </c>
      <c r="C900" s="1">
        <v>18.600000000000001</v>
      </c>
      <c r="D900" s="2" t="s">
        <v>120</v>
      </c>
      <c r="E900" s="8">
        <v>3535.8029000000001</v>
      </c>
      <c r="F900" s="8">
        <f>F890</f>
        <v>0</v>
      </c>
      <c r="G900" s="8">
        <f>E900+F900</f>
        <v>3535.8029000000001</v>
      </c>
      <c r="H900" s="3">
        <f>B900*G900</f>
        <v>65730.575911000007</v>
      </c>
      <c r="I900" s="3">
        <f>C900*G900</f>
        <v>65765.933940000003</v>
      </c>
    </row>
    <row r="901" spans="1:9" x14ac:dyDescent="0.25">
      <c r="A901" t="s">
        <v>14</v>
      </c>
      <c r="B901" s="1">
        <v>37.24</v>
      </c>
      <c r="C901" s="1">
        <v>37.25</v>
      </c>
      <c r="D901" s="2" t="s">
        <v>120</v>
      </c>
      <c r="E901" s="8">
        <v>1764.9866999999999</v>
      </c>
      <c r="F901" s="8">
        <f>F891</f>
        <v>0.2</v>
      </c>
      <c r="G901" s="8">
        <f>E901+F901</f>
        <v>1765.1867</v>
      </c>
      <c r="H901" s="3">
        <f>B901*G901</f>
        <v>65735.552708000003</v>
      </c>
      <c r="I901" s="3">
        <f>C901*G901</f>
        <v>65753.204574999996</v>
      </c>
    </row>
    <row r="902" spans="1:9" x14ac:dyDescent="0.25">
      <c r="A902" t="s">
        <v>4</v>
      </c>
      <c r="B902" s="1">
        <v>21.79</v>
      </c>
      <c r="C902" s="1">
        <v>21.8</v>
      </c>
      <c r="D902" s="2" t="s">
        <v>121</v>
      </c>
      <c r="E902" s="8">
        <v>3014.8449999999998</v>
      </c>
      <c r="F902" s="8">
        <f>F892</f>
        <v>0</v>
      </c>
      <c r="G902" s="8">
        <f>E902+F902</f>
        <v>3014.8449999999998</v>
      </c>
      <c r="H902" s="3">
        <f>B902*G902</f>
        <v>65693.472549999991</v>
      </c>
      <c r="I902" s="3">
        <f>C902*G902</f>
        <v>65723.620999999999</v>
      </c>
    </row>
    <row r="903" spans="1:9" x14ac:dyDescent="0.25">
      <c r="A903" t="s">
        <v>6</v>
      </c>
      <c r="B903" s="1">
        <v>35.67</v>
      </c>
      <c r="C903" s="1">
        <v>35.68</v>
      </c>
      <c r="D903" s="2" t="s">
        <v>121</v>
      </c>
      <c r="E903" s="8">
        <v>1842.0599</v>
      </c>
      <c r="F903" s="8">
        <f>F893</f>
        <v>-0.1</v>
      </c>
      <c r="G903" s="8">
        <f>E903+F903</f>
        <v>1841.9599000000001</v>
      </c>
      <c r="H903" s="3">
        <f>B903*G903</f>
        <v>65702.709633000006</v>
      </c>
      <c r="I903" s="3">
        <f>C903*G903</f>
        <v>65721.129232000007</v>
      </c>
    </row>
    <row r="904" spans="1:9" x14ac:dyDescent="0.25">
      <c r="A904" t="s">
        <v>7</v>
      </c>
      <c r="B904" s="1">
        <v>18.52</v>
      </c>
      <c r="C904" s="1">
        <v>18.53</v>
      </c>
      <c r="D904" s="2" t="s">
        <v>121</v>
      </c>
      <c r="E904" s="8">
        <v>3546.4407000000001</v>
      </c>
      <c r="F904" s="8">
        <f>F894</f>
        <v>0</v>
      </c>
      <c r="G904" s="8">
        <f>E904+F904</f>
        <v>3546.4407000000001</v>
      </c>
      <c r="H904" s="3">
        <f>B904*G904</f>
        <v>65680.081764000002</v>
      </c>
      <c r="I904" s="3">
        <f>C904*G904</f>
        <v>65715.546171000009</v>
      </c>
    </row>
    <row r="905" spans="1:9" x14ac:dyDescent="0.25">
      <c r="A905" t="s">
        <v>8</v>
      </c>
      <c r="B905" s="1">
        <v>29.06</v>
      </c>
      <c r="C905" s="1">
        <v>29.07</v>
      </c>
      <c r="D905" s="2" t="s">
        <v>121</v>
      </c>
      <c r="E905" s="8">
        <v>2261.2858000000001</v>
      </c>
      <c r="F905" s="8">
        <f>F895</f>
        <v>-0.2</v>
      </c>
      <c r="G905" s="8">
        <f>E905+F905</f>
        <v>2261.0858000000003</v>
      </c>
      <c r="H905" s="3">
        <f>B905*G905</f>
        <v>65707.153348000007</v>
      </c>
      <c r="I905" s="3">
        <f>C905*G905</f>
        <v>65729.764206000007</v>
      </c>
    </row>
    <row r="906" spans="1:9" x14ac:dyDescent="0.25">
      <c r="A906" t="s">
        <v>9</v>
      </c>
      <c r="B906" s="1">
        <v>69.44</v>
      </c>
      <c r="C906" s="1">
        <v>69.5</v>
      </c>
      <c r="D906" s="2" t="s">
        <v>121</v>
      </c>
      <c r="E906" s="8">
        <v>946.09739999999999</v>
      </c>
      <c r="F906" s="8">
        <f>F896</f>
        <v>0</v>
      </c>
      <c r="G906" s="8">
        <f>E906+F906</f>
        <v>946.09739999999999</v>
      </c>
      <c r="H906" s="3">
        <f>B906*G906</f>
        <v>65697.003455999991</v>
      </c>
      <c r="I906" s="3">
        <f>C906*G906</f>
        <v>65753.7693</v>
      </c>
    </row>
    <row r="907" spans="1:9" x14ac:dyDescent="0.25">
      <c r="A907" t="s">
        <v>10</v>
      </c>
      <c r="B907" s="1">
        <v>37.96</v>
      </c>
      <c r="C907" s="1">
        <v>37.99</v>
      </c>
      <c r="D907" s="2" t="s">
        <v>121</v>
      </c>
      <c r="E907" s="8">
        <v>1730.0638000000001</v>
      </c>
      <c r="F907" s="8">
        <f>F897</f>
        <v>0.2</v>
      </c>
      <c r="G907" s="8">
        <f>E907+F907</f>
        <v>1730.2638000000002</v>
      </c>
      <c r="H907" s="3">
        <f>B907*G907</f>
        <v>65680.813848000005</v>
      </c>
      <c r="I907" s="3">
        <f>C907*G907</f>
        <v>65732.721762000016</v>
      </c>
    </row>
    <row r="908" spans="1:9" x14ac:dyDescent="0.25">
      <c r="A908" t="s">
        <v>11</v>
      </c>
      <c r="B908" s="1">
        <v>57.19</v>
      </c>
      <c r="C908" s="1">
        <v>57.2</v>
      </c>
      <c r="D908" s="2" t="s">
        <v>121</v>
      </c>
      <c r="E908" s="8">
        <v>1148.8058000000001</v>
      </c>
      <c r="F908" s="8">
        <f>F898</f>
        <v>0.05</v>
      </c>
      <c r="G908" s="8">
        <f>E908+F908</f>
        <v>1148.8558</v>
      </c>
      <c r="H908" s="3">
        <f>B908*G908</f>
        <v>65703.063202000005</v>
      </c>
      <c r="I908" s="3">
        <f>C908*G908</f>
        <v>65714.551760000002</v>
      </c>
    </row>
    <row r="909" spans="1:9" x14ac:dyDescent="0.25">
      <c r="A909" t="s">
        <v>12</v>
      </c>
      <c r="B909" s="1">
        <v>50.97</v>
      </c>
      <c r="C909" s="1">
        <v>50.98</v>
      </c>
      <c r="D909" s="2" t="s">
        <v>121</v>
      </c>
      <c r="E909" s="8">
        <v>1288.6435000000001</v>
      </c>
      <c r="F909" s="8">
        <f>F899</f>
        <v>0</v>
      </c>
      <c r="G909" s="8">
        <f>E909+F909</f>
        <v>1288.6435000000001</v>
      </c>
      <c r="H909" s="3">
        <f>B909*G909</f>
        <v>65682.159195</v>
      </c>
      <c r="I909" s="3">
        <f>C909*G909</f>
        <v>65695.045630000008</v>
      </c>
    </row>
    <row r="910" spans="1:9" x14ac:dyDescent="0.25">
      <c r="A910" t="s">
        <v>13</v>
      </c>
      <c r="B910" s="1">
        <v>18.579999999999998</v>
      </c>
      <c r="C910" s="1">
        <v>18.59</v>
      </c>
      <c r="D910" s="2" t="s">
        <v>121</v>
      </c>
      <c r="E910" s="8">
        <v>3535.8029000000001</v>
      </c>
      <c r="F910" s="8">
        <f>F900</f>
        <v>0</v>
      </c>
      <c r="G910" s="8">
        <f>E910+F910</f>
        <v>3535.8029000000001</v>
      </c>
      <c r="H910" s="3">
        <f>B910*G910</f>
        <v>65695.217881999997</v>
      </c>
      <c r="I910" s="3">
        <f>C910*G910</f>
        <v>65730.575911000007</v>
      </c>
    </row>
    <row r="911" spans="1:9" x14ac:dyDescent="0.25">
      <c r="A911" t="s">
        <v>14</v>
      </c>
      <c r="B911" s="1">
        <v>37.22</v>
      </c>
      <c r="C911" s="1">
        <v>37.229999999999997</v>
      </c>
      <c r="D911" s="2" t="s">
        <v>121</v>
      </c>
      <c r="E911" s="8">
        <v>1764.9866999999999</v>
      </c>
      <c r="F911" s="8">
        <f>F901</f>
        <v>0.2</v>
      </c>
      <c r="G911" s="8">
        <f>E911+F911</f>
        <v>1765.1867</v>
      </c>
      <c r="H911" s="3">
        <f>B911*G911</f>
        <v>65700.248974000002</v>
      </c>
      <c r="I911" s="3">
        <f>C911*G911</f>
        <v>65717.900840999995</v>
      </c>
    </row>
    <row r="912" spans="1:9" x14ac:dyDescent="0.25">
      <c r="A912" t="s">
        <v>4</v>
      </c>
      <c r="B912" s="1">
        <v>21.77</v>
      </c>
      <c r="C912" s="1">
        <v>21.78</v>
      </c>
      <c r="D912" s="2" t="s">
        <v>122</v>
      </c>
      <c r="E912" s="8">
        <v>3014.8449999999998</v>
      </c>
      <c r="F912" s="8">
        <f>F902</f>
        <v>0</v>
      </c>
      <c r="G912" s="8">
        <f>E912+F912</f>
        <v>3014.8449999999998</v>
      </c>
      <c r="H912" s="3">
        <f>B912*G912</f>
        <v>65633.17564999999</v>
      </c>
      <c r="I912" s="3">
        <f>C912*G912</f>
        <v>65663.324099999998</v>
      </c>
    </row>
    <row r="913" spans="1:9" x14ac:dyDescent="0.25">
      <c r="A913" t="s">
        <v>6</v>
      </c>
      <c r="B913" s="1">
        <v>35.65</v>
      </c>
      <c r="C913" s="1">
        <v>35.659999999999997</v>
      </c>
      <c r="D913" s="2" t="s">
        <v>122</v>
      </c>
      <c r="E913" s="8">
        <v>1842.0599</v>
      </c>
      <c r="F913" s="8">
        <f>F903</f>
        <v>-0.1</v>
      </c>
      <c r="G913" s="8">
        <f>E913+F913</f>
        <v>1841.9599000000001</v>
      </c>
      <c r="H913" s="3">
        <f>B913*G913</f>
        <v>65665.870435000004</v>
      </c>
      <c r="I913" s="3">
        <f>C913*G913</f>
        <v>65684.290033999991</v>
      </c>
    </row>
    <row r="914" spans="1:9" x14ac:dyDescent="0.25">
      <c r="A914" t="s">
        <v>7</v>
      </c>
      <c r="B914" s="1">
        <v>18.510000000000002</v>
      </c>
      <c r="C914" s="1">
        <v>18.52</v>
      </c>
      <c r="D914" s="2" t="s">
        <v>122</v>
      </c>
      <c r="E914" s="8">
        <v>3546.4407000000001</v>
      </c>
      <c r="F914" s="8">
        <f>F904</f>
        <v>0</v>
      </c>
      <c r="G914" s="8">
        <f>E914+F914</f>
        <v>3546.4407000000001</v>
      </c>
      <c r="H914" s="3">
        <f>B914*G914</f>
        <v>65644.61735700001</v>
      </c>
      <c r="I914" s="3">
        <f>C914*G914</f>
        <v>65680.081764000002</v>
      </c>
    </row>
    <row r="915" spans="1:9" x14ac:dyDescent="0.25">
      <c r="A915" t="s">
        <v>8</v>
      </c>
      <c r="B915" s="1">
        <v>29.04</v>
      </c>
      <c r="C915" s="1">
        <v>29.05</v>
      </c>
      <c r="D915" s="2" t="s">
        <v>122</v>
      </c>
      <c r="E915" s="8">
        <v>2261.2858000000001</v>
      </c>
      <c r="F915" s="8">
        <f>F905</f>
        <v>-0.2</v>
      </c>
      <c r="G915" s="8">
        <f>E915+F915</f>
        <v>2261.0858000000003</v>
      </c>
      <c r="H915" s="3">
        <f>B915*G915</f>
        <v>65661.931632000007</v>
      </c>
      <c r="I915" s="3">
        <f>C915*G915</f>
        <v>65684.542490000007</v>
      </c>
    </row>
    <row r="916" spans="1:9" x14ac:dyDescent="0.25">
      <c r="A916" t="s">
        <v>9</v>
      </c>
      <c r="B916" s="1">
        <v>69.400000000000006</v>
      </c>
      <c r="C916" s="1">
        <v>69.47</v>
      </c>
      <c r="D916" s="2" t="s">
        <v>122</v>
      </c>
      <c r="E916" s="8">
        <v>946.09739999999999</v>
      </c>
      <c r="F916" s="8">
        <f>F906</f>
        <v>0</v>
      </c>
      <c r="G916" s="8">
        <f>E916+F916</f>
        <v>946.09739999999999</v>
      </c>
      <c r="H916" s="3">
        <f>B916*G916</f>
        <v>65659.15956</v>
      </c>
      <c r="I916" s="3">
        <f>C916*G916</f>
        <v>65725.386377999996</v>
      </c>
    </row>
    <row r="917" spans="1:9" x14ac:dyDescent="0.25">
      <c r="A917" t="s">
        <v>10</v>
      </c>
      <c r="B917" s="1">
        <v>37.94</v>
      </c>
      <c r="C917" s="1">
        <v>37.97</v>
      </c>
      <c r="D917" s="2" t="s">
        <v>122</v>
      </c>
      <c r="E917" s="8">
        <v>1730.0638000000001</v>
      </c>
      <c r="F917" s="8">
        <f>F907</f>
        <v>0.2</v>
      </c>
      <c r="G917" s="8">
        <f>E917+F917</f>
        <v>1730.2638000000002</v>
      </c>
      <c r="H917" s="3">
        <f>B917*G917</f>
        <v>65646.208572000003</v>
      </c>
      <c r="I917" s="3">
        <f>C917*G917</f>
        <v>65698.116485999999</v>
      </c>
    </row>
    <row r="918" spans="1:9" x14ac:dyDescent="0.25">
      <c r="A918" t="s">
        <v>11</v>
      </c>
      <c r="B918" s="1">
        <v>57.16</v>
      </c>
      <c r="C918" s="1">
        <v>57.17</v>
      </c>
      <c r="D918" s="2" t="s">
        <v>122</v>
      </c>
      <c r="E918" s="8">
        <v>1148.8058000000001</v>
      </c>
      <c r="F918" s="8">
        <f>F908</f>
        <v>0.05</v>
      </c>
      <c r="G918" s="8">
        <f>E918+F918</f>
        <v>1148.8558</v>
      </c>
      <c r="H918" s="3">
        <f>B918*G918</f>
        <v>65668.597527999998</v>
      </c>
      <c r="I918" s="3">
        <f>C918*G918</f>
        <v>65680.08608600001</v>
      </c>
    </row>
    <row r="919" spans="1:9" x14ac:dyDescent="0.25">
      <c r="A919" t="s">
        <v>12</v>
      </c>
      <c r="B919" s="1">
        <v>50.94</v>
      </c>
      <c r="C919" s="1">
        <v>50.95</v>
      </c>
      <c r="D919" s="2" t="s">
        <v>122</v>
      </c>
      <c r="E919" s="8">
        <v>1288.6435000000001</v>
      </c>
      <c r="F919" s="8">
        <f>F909</f>
        <v>0</v>
      </c>
      <c r="G919" s="8">
        <f>E919+F919</f>
        <v>1288.6435000000001</v>
      </c>
      <c r="H919" s="3">
        <f>B919*G919</f>
        <v>65643.499890000006</v>
      </c>
      <c r="I919" s="3">
        <f>C919*G919</f>
        <v>65656.386325000014</v>
      </c>
    </row>
    <row r="920" spans="1:9" x14ac:dyDescent="0.25">
      <c r="A920" t="s">
        <v>13</v>
      </c>
      <c r="B920" s="1">
        <v>18.57</v>
      </c>
      <c r="C920" s="1">
        <v>18.579999999999998</v>
      </c>
      <c r="D920" s="2" t="s">
        <v>122</v>
      </c>
      <c r="E920" s="8">
        <v>3535.8029000000001</v>
      </c>
      <c r="F920" s="8">
        <f>F910</f>
        <v>0</v>
      </c>
      <c r="G920" s="8">
        <f>E920+F920</f>
        <v>3535.8029000000001</v>
      </c>
      <c r="H920" s="3">
        <f>B920*G920</f>
        <v>65659.859853000002</v>
      </c>
      <c r="I920" s="3">
        <f>C920*G920</f>
        <v>65695.217881999997</v>
      </c>
    </row>
    <row r="921" spans="1:9" x14ac:dyDescent="0.25">
      <c r="A921" t="s">
        <v>14</v>
      </c>
      <c r="B921" s="1">
        <v>37.200000000000003</v>
      </c>
      <c r="C921" s="1">
        <v>37.21</v>
      </c>
      <c r="D921" s="2" t="s">
        <v>122</v>
      </c>
      <c r="E921" s="8">
        <v>1764.9866999999999</v>
      </c>
      <c r="F921" s="8">
        <f>F911</f>
        <v>0.2</v>
      </c>
      <c r="G921" s="8">
        <f>E921+F921</f>
        <v>1765.1867</v>
      </c>
      <c r="H921" s="3">
        <f>B921*G921</f>
        <v>65664.945240000001</v>
      </c>
      <c r="I921" s="3">
        <f>C921*G921</f>
        <v>65682.597106999994</v>
      </c>
    </row>
    <row r="922" spans="1:9" x14ac:dyDescent="0.25">
      <c r="A922" t="s">
        <v>4</v>
      </c>
      <c r="B922" s="1">
        <v>21.86</v>
      </c>
      <c r="C922" s="1">
        <v>21.87</v>
      </c>
      <c r="D922" s="2" t="s">
        <v>123</v>
      </c>
      <c r="E922" s="8">
        <v>3014.8449999999998</v>
      </c>
      <c r="F922" s="8">
        <f>F912</f>
        <v>0</v>
      </c>
      <c r="G922" s="8">
        <f>E922+F922</f>
        <v>3014.8449999999998</v>
      </c>
      <c r="H922" s="3">
        <f>B922*G922</f>
        <v>65904.511699999988</v>
      </c>
      <c r="I922" s="3">
        <f>C922*G922</f>
        <v>65934.660149999996</v>
      </c>
    </row>
    <row r="923" spans="1:9" x14ac:dyDescent="0.25">
      <c r="A923" t="s">
        <v>6</v>
      </c>
      <c r="B923" s="1">
        <v>35.78</v>
      </c>
      <c r="C923" s="1">
        <v>35.79</v>
      </c>
      <c r="D923" s="2" t="s">
        <v>123</v>
      </c>
      <c r="E923" s="8">
        <v>1842.0599</v>
      </c>
      <c r="F923" s="8">
        <f>F913</f>
        <v>-0.1</v>
      </c>
      <c r="G923" s="8">
        <f>E923+F923</f>
        <v>1841.9599000000001</v>
      </c>
      <c r="H923" s="3">
        <f>B923*G923</f>
        <v>65905.325221999999</v>
      </c>
      <c r="I923" s="3">
        <f>C923*G923</f>
        <v>65923.744821</v>
      </c>
    </row>
    <row r="924" spans="1:9" x14ac:dyDescent="0.25">
      <c r="A924" t="s">
        <v>7</v>
      </c>
      <c r="B924" s="1">
        <v>18.59</v>
      </c>
      <c r="C924" s="1">
        <v>18.600000000000001</v>
      </c>
      <c r="D924" s="2" t="s">
        <v>123</v>
      </c>
      <c r="E924" s="8">
        <v>3546.4407000000001</v>
      </c>
      <c r="F924" s="8">
        <f>F914</f>
        <v>0</v>
      </c>
      <c r="G924" s="8">
        <f>E924+F924</f>
        <v>3546.4407000000001</v>
      </c>
      <c r="H924" s="3">
        <f>B924*G924</f>
        <v>65928.332613000006</v>
      </c>
      <c r="I924" s="3">
        <f>C924*G924</f>
        <v>65963.797020000013</v>
      </c>
    </row>
    <row r="925" spans="1:9" x14ac:dyDescent="0.25">
      <c r="A925" t="s">
        <v>8</v>
      </c>
      <c r="B925" s="1">
        <v>29.15</v>
      </c>
      <c r="C925" s="1">
        <v>29.16</v>
      </c>
      <c r="D925" s="2" t="s">
        <v>123</v>
      </c>
      <c r="E925" s="8">
        <v>2261.2858000000001</v>
      </c>
      <c r="F925" s="8">
        <f>F915</f>
        <v>-0.2</v>
      </c>
      <c r="G925" s="8">
        <f>E925+F925</f>
        <v>2261.0858000000003</v>
      </c>
      <c r="H925" s="3">
        <f>B925*G925</f>
        <v>65910.651070000007</v>
      </c>
      <c r="I925" s="3">
        <f>C925*G925</f>
        <v>65933.261928000007</v>
      </c>
    </row>
    <row r="926" spans="1:9" x14ac:dyDescent="0.25">
      <c r="A926" t="s">
        <v>9</v>
      </c>
      <c r="B926" s="1">
        <v>69.680000000000007</v>
      </c>
      <c r="C926" s="1">
        <v>69.739999999999995</v>
      </c>
      <c r="D926" s="2" t="s">
        <v>123</v>
      </c>
      <c r="E926" s="8">
        <v>946.09739999999999</v>
      </c>
      <c r="F926" s="8">
        <f>F916</f>
        <v>0</v>
      </c>
      <c r="G926" s="8">
        <f>E926+F926</f>
        <v>946.09739999999999</v>
      </c>
      <c r="H926" s="3">
        <f>B926*G926</f>
        <v>65924.066832000011</v>
      </c>
      <c r="I926" s="3">
        <f>C926*G926</f>
        <v>65980.832675999991</v>
      </c>
    </row>
    <row r="927" spans="1:9" x14ac:dyDescent="0.25">
      <c r="A927" t="s">
        <v>10</v>
      </c>
      <c r="B927" s="1">
        <v>38.090000000000003</v>
      </c>
      <c r="C927" s="1">
        <v>38.11</v>
      </c>
      <c r="D927" s="2" t="s">
        <v>123</v>
      </c>
      <c r="E927" s="8">
        <v>1730.0638000000001</v>
      </c>
      <c r="F927" s="8">
        <f>F917</f>
        <v>0.2</v>
      </c>
      <c r="G927" s="8">
        <f>E927+F927</f>
        <v>1730.2638000000002</v>
      </c>
      <c r="H927" s="3">
        <f>B927*G927</f>
        <v>65905.748142000011</v>
      </c>
      <c r="I927" s="3">
        <f>C927*G927</f>
        <v>65940.353417999999</v>
      </c>
    </row>
    <row r="928" spans="1:9" x14ac:dyDescent="0.25">
      <c r="A928" t="s">
        <v>11</v>
      </c>
      <c r="B928" s="1">
        <v>57.38</v>
      </c>
      <c r="C928" s="1">
        <v>57.39</v>
      </c>
      <c r="D928" s="2" t="s">
        <v>123</v>
      </c>
      <c r="E928" s="8">
        <v>1148.8058000000001</v>
      </c>
      <c r="F928" s="8">
        <f>F918</f>
        <v>0.05</v>
      </c>
      <c r="G928" s="8">
        <f>E928+F928</f>
        <v>1148.8558</v>
      </c>
      <c r="H928" s="3">
        <f>B928*G928</f>
        <v>65921.345804000011</v>
      </c>
      <c r="I928" s="3">
        <f>C928*G928</f>
        <v>65932.834362000009</v>
      </c>
    </row>
    <row r="929" spans="1:9" x14ac:dyDescent="0.25">
      <c r="A929" t="s">
        <v>12</v>
      </c>
      <c r="B929" s="1">
        <v>51.14</v>
      </c>
      <c r="C929" s="1">
        <v>51.15</v>
      </c>
      <c r="D929" s="2" t="s">
        <v>123</v>
      </c>
      <c r="E929" s="8">
        <v>1288.6435000000001</v>
      </c>
      <c r="F929" s="8">
        <f>F919</f>
        <v>0</v>
      </c>
      <c r="G929" s="8">
        <f>E929+F929</f>
        <v>1288.6435000000001</v>
      </c>
      <c r="H929" s="3">
        <f>B929*G929</f>
        <v>65901.228590000013</v>
      </c>
      <c r="I929" s="3">
        <f>C929*G929</f>
        <v>65914.115025000006</v>
      </c>
    </row>
    <row r="930" spans="1:9" x14ac:dyDescent="0.25">
      <c r="A930" t="s">
        <v>13</v>
      </c>
      <c r="B930" s="1">
        <v>18.64</v>
      </c>
      <c r="C930" s="1">
        <v>18.649999999999999</v>
      </c>
      <c r="D930" s="2" t="s">
        <v>123</v>
      </c>
      <c r="E930" s="8">
        <v>3535.8029000000001</v>
      </c>
      <c r="F930" s="8">
        <f>F920</f>
        <v>0</v>
      </c>
      <c r="G930" s="8">
        <f>E930+F930</f>
        <v>3535.8029000000001</v>
      </c>
      <c r="H930" s="3">
        <f>B930*G930</f>
        <v>65907.366055999999</v>
      </c>
      <c r="I930" s="3">
        <f>C930*G930</f>
        <v>65942.724084999994</v>
      </c>
    </row>
    <row r="931" spans="1:9" x14ac:dyDescent="0.25">
      <c r="A931" t="s">
        <v>14</v>
      </c>
      <c r="B931" s="1">
        <v>37.35</v>
      </c>
      <c r="C931" s="1">
        <v>37.36</v>
      </c>
      <c r="D931" s="2" t="s">
        <v>123</v>
      </c>
      <c r="E931" s="8">
        <v>1764.9866999999999</v>
      </c>
      <c r="F931" s="8">
        <f>F921</f>
        <v>0.2</v>
      </c>
      <c r="G931" s="8">
        <f>E931+F931</f>
        <v>1765.1867</v>
      </c>
      <c r="H931" s="3">
        <f>B931*G931</f>
        <v>65929.723245000001</v>
      </c>
      <c r="I931" s="3">
        <f>C931*G931</f>
        <v>65947.375111999994</v>
      </c>
    </row>
    <row r="932" spans="1:9" x14ac:dyDescent="0.25">
      <c r="A932" t="s">
        <v>4</v>
      </c>
      <c r="B932" s="1">
        <v>21.9</v>
      </c>
      <c r="C932" s="1">
        <v>21.91</v>
      </c>
      <c r="D932" s="2" t="s">
        <v>124</v>
      </c>
      <c r="E932" s="8">
        <v>3014.8449999999998</v>
      </c>
      <c r="F932" s="8">
        <f>F922</f>
        <v>0</v>
      </c>
      <c r="G932" s="8">
        <f>E932+F932</f>
        <v>3014.8449999999998</v>
      </c>
      <c r="H932" s="3">
        <f>B932*G932</f>
        <v>66025.105499999991</v>
      </c>
      <c r="I932" s="3">
        <f>C932*G932</f>
        <v>66055.253949999998</v>
      </c>
    </row>
    <row r="933" spans="1:9" x14ac:dyDescent="0.25">
      <c r="A933" t="s">
        <v>6</v>
      </c>
      <c r="B933" s="1">
        <v>35.840000000000003</v>
      </c>
      <c r="C933" s="1">
        <v>35.85</v>
      </c>
      <c r="D933" s="2" t="s">
        <v>124</v>
      </c>
      <c r="E933" s="8">
        <v>1842.0599</v>
      </c>
      <c r="F933" s="8">
        <f>F923</f>
        <v>-0.1</v>
      </c>
      <c r="G933" s="8">
        <f>E933+F933</f>
        <v>1841.9599000000001</v>
      </c>
      <c r="H933" s="3">
        <f>B933*G933</f>
        <v>66015.842816000004</v>
      </c>
      <c r="I933" s="3">
        <f>C933*G933</f>
        <v>66034.262415000005</v>
      </c>
    </row>
    <row r="934" spans="1:9" x14ac:dyDescent="0.25">
      <c r="A934" t="s">
        <v>7</v>
      </c>
      <c r="B934" s="1">
        <v>18.62</v>
      </c>
      <c r="C934" s="1">
        <v>18.63</v>
      </c>
      <c r="D934" s="2" t="s">
        <v>124</v>
      </c>
      <c r="E934" s="8">
        <v>3546.4407000000001</v>
      </c>
      <c r="F934" s="8">
        <f>F924</f>
        <v>0</v>
      </c>
      <c r="G934" s="8">
        <f>E934+F934</f>
        <v>3546.4407000000001</v>
      </c>
      <c r="H934" s="3">
        <f>B934*G934</f>
        <v>66034.725834000012</v>
      </c>
      <c r="I934" s="3">
        <f>C934*G934</f>
        <v>66070.190241000004</v>
      </c>
    </row>
    <row r="935" spans="1:9" x14ac:dyDescent="0.25">
      <c r="A935" t="s">
        <v>8</v>
      </c>
      <c r="B935" s="1">
        <v>29.2</v>
      </c>
      <c r="C935" s="1">
        <v>29.21</v>
      </c>
      <c r="D935" s="2" t="s">
        <v>124</v>
      </c>
      <c r="E935" s="8">
        <v>2261.2858000000001</v>
      </c>
      <c r="F935" s="8">
        <f>F925</f>
        <v>-0.2</v>
      </c>
      <c r="G935" s="8">
        <f>E935+F935</f>
        <v>2261.0858000000003</v>
      </c>
      <c r="H935" s="3">
        <f>B935*G935</f>
        <v>66023.705360000007</v>
      </c>
      <c r="I935" s="3">
        <f>C935*G935</f>
        <v>66046.316218000007</v>
      </c>
    </row>
    <row r="936" spans="1:9" x14ac:dyDescent="0.25">
      <c r="A936" t="s">
        <v>9</v>
      </c>
      <c r="B936" s="1">
        <v>69.790000000000006</v>
      </c>
      <c r="C936" s="1">
        <v>69.849999999999994</v>
      </c>
      <c r="D936" s="2" t="s">
        <v>124</v>
      </c>
      <c r="E936" s="8">
        <v>946.09739999999999</v>
      </c>
      <c r="F936" s="8">
        <f>F926</f>
        <v>0</v>
      </c>
      <c r="G936" s="8">
        <f>E936+F936</f>
        <v>946.09739999999999</v>
      </c>
      <c r="H936" s="3">
        <f>B936*G936</f>
        <v>66028.137546000013</v>
      </c>
      <c r="I936" s="3">
        <f>C936*G936</f>
        <v>66084.903389999992</v>
      </c>
    </row>
    <row r="937" spans="1:9" x14ac:dyDescent="0.25">
      <c r="A937" t="s">
        <v>10</v>
      </c>
      <c r="B937" s="1">
        <v>38.15</v>
      </c>
      <c r="C937" s="1">
        <v>38.17</v>
      </c>
      <c r="D937" s="2" t="s">
        <v>124</v>
      </c>
      <c r="E937" s="8">
        <v>1730.0638000000001</v>
      </c>
      <c r="F937" s="8">
        <f>F927</f>
        <v>0.2</v>
      </c>
      <c r="G937" s="8">
        <f>E937+F937</f>
        <v>1730.2638000000002</v>
      </c>
      <c r="H937" s="3">
        <f>B937*G937</f>
        <v>66009.563970000003</v>
      </c>
      <c r="I937" s="3">
        <f>C937*G937</f>
        <v>66044.169246000005</v>
      </c>
    </row>
    <row r="938" spans="1:9" x14ac:dyDescent="0.25">
      <c r="A938" t="s">
        <v>11</v>
      </c>
      <c r="B938" s="1">
        <v>57.47</v>
      </c>
      <c r="C938" s="1">
        <v>57.48</v>
      </c>
      <c r="D938" s="2" t="s">
        <v>124</v>
      </c>
      <c r="E938" s="8">
        <v>1148.8058000000001</v>
      </c>
      <c r="F938" s="8">
        <f>F928</f>
        <v>0.05</v>
      </c>
      <c r="G938" s="8">
        <f>E938+F938</f>
        <v>1148.8558</v>
      </c>
      <c r="H938" s="3">
        <f>B938*G938</f>
        <v>66024.742826000002</v>
      </c>
      <c r="I938" s="3">
        <f>C938*G938</f>
        <v>66036.231383999999</v>
      </c>
    </row>
    <row r="939" spans="1:9" x14ac:dyDescent="0.25">
      <c r="A939" t="s">
        <v>12</v>
      </c>
      <c r="B939" s="1">
        <v>51.22</v>
      </c>
      <c r="C939" s="1">
        <v>51.23</v>
      </c>
      <c r="D939" s="2" t="s">
        <v>124</v>
      </c>
      <c r="E939" s="8">
        <v>1288.6435000000001</v>
      </c>
      <c r="F939" s="8">
        <f>F929</f>
        <v>0</v>
      </c>
      <c r="G939" s="8">
        <f>E939+F939</f>
        <v>1288.6435000000001</v>
      </c>
      <c r="H939" s="3">
        <f>B939*G939</f>
        <v>66004.320070000002</v>
      </c>
      <c r="I939" s="3">
        <f>C939*G939</f>
        <v>66017.206505000009</v>
      </c>
    </row>
    <row r="940" spans="1:9" x14ac:dyDescent="0.25">
      <c r="A940" t="s">
        <v>13</v>
      </c>
      <c r="B940" s="1">
        <v>18.670000000000002</v>
      </c>
      <c r="C940" s="1">
        <v>18.68</v>
      </c>
      <c r="D940" s="2" t="s">
        <v>124</v>
      </c>
      <c r="E940" s="8">
        <v>3535.8029000000001</v>
      </c>
      <c r="F940" s="8">
        <f>F930</f>
        <v>0</v>
      </c>
      <c r="G940" s="8">
        <f>E940+F940</f>
        <v>3535.8029000000001</v>
      </c>
      <c r="H940" s="3">
        <f>B940*G940</f>
        <v>66013.440143000014</v>
      </c>
      <c r="I940" s="3">
        <f>C940*G940</f>
        <v>66048.798171999995</v>
      </c>
    </row>
    <row r="941" spans="1:9" x14ac:dyDescent="0.25">
      <c r="A941" t="s">
        <v>14</v>
      </c>
      <c r="B941" s="1">
        <v>37.409999999999997</v>
      </c>
      <c r="C941" s="1">
        <v>37.42</v>
      </c>
      <c r="D941" s="2" t="s">
        <v>124</v>
      </c>
      <c r="E941" s="8">
        <v>1764.9866999999999</v>
      </c>
      <c r="F941" s="8">
        <f>F931</f>
        <v>0.2</v>
      </c>
      <c r="G941" s="8">
        <f>E941+F941</f>
        <v>1765.1867</v>
      </c>
      <c r="H941" s="3">
        <f>B941*G941</f>
        <v>66035.634446999989</v>
      </c>
      <c r="I941" s="3">
        <f>C941*G941</f>
        <v>66053.286313999997</v>
      </c>
    </row>
    <row r="942" spans="1:9" x14ac:dyDescent="0.25">
      <c r="A942" t="s">
        <v>4</v>
      </c>
      <c r="B942" s="1">
        <v>21.86</v>
      </c>
      <c r="C942" s="1">
        <v>21.87</v>
      </c>
      <c r="D942" s="2" t="s">
        <v>125</v>
      </c>
      <c r="E942" s="8">
        <v>3014.8449999999998</v>
      </c>
      <c r="F942" s="8">
        <f>F932</f>
        <v>0</v>
      </c>
      <c r="G942" s="8">
        <f>E942+F942</f>
        <v>3014.8449999999998</v>
      </c>
      <c r="H942" s="3">
        <f>B942*G942</f>
        <v>65904.511699999988</v>
      </c>
      <c r="I942" s="3">
        <f>C942*G942</f>
        <v>65934.660149999996</v>
      </c>
    </row>
    <row r="943" spans="1:9" x14ac:dyDescent="0.25">
      <c r="A943" t="s">
        <v>6</v>
      </c>
      <c r="B943" s="1">
        <v>35.79</v>
      </c>
      <c r="C943" s="1">
        <v>35.799999999999997</v>
      </c>
      <c r="D943" s="2" t="s">
        <v>125</v>
      </c>
      <c r="E943" s="8">
        <v>1842.0599</v>
      </c>
      <c r="F943" s="8">
        <f>F933</f>
        <v>-0.1</v>
      </c>
      <c r="G943" s="8">
        <f>E943+F943</f>
        <v>1841.9599000000001</v>
      </c>
      <c r="H943" s="3">
        <f>B943*G943</f>
        <v>65923.744821</v>
      </c>
      <c r="I943" s="3">
        <f>C943*G943</f>
        <v>65942.164420000001</v>
      </c>
    </row>
    <row r="944" spans="1:9" x14ac:dyDescent="0.25">
      <c r="A944" t="s">
        <v>7</v>
      </c>
      <c r="B944" s="1">
        <v>18.59</v>
      </c>
      <c r="C944" s="1">
        <v>18.600000000000001</v>
      </c>
      <c r="D944" s="2" t="s">
        <v>125</v>
      </c>
      <c r="E944" s="8">
        <v>3546.4407000000001</v>
      </c>
      <c r="F944" s="8">
        <f>F934</f>
        <v>0</v>
      </c>
      <c r="G944" s="8">
        <f>E944+F944</f>
        <v>3546.4407000000001</v>
      </c>
      <c r="H944" s="3">
        <f>B944*G944</f>
        <v>65928.332613000006</v>
      </c>
      <c r="I944" s="3">
        <f>C944*G944</f>
        <v>65963.797020000013</v>
      </c>
    </row>
    <row r="945" spans="1:9" x14ac:dyDescent="0.25">
      <c r="A945" t="s">
        <v>8</v>
      </c>
      <c r="B945" s="1">
        <v>29.16</v>
      </c>
      <c r="C945" s="1">
        <v>29.17</v>
      </c>
      <c r="D945" s="2" t="s">
        <v>125</v>
      </c>
      <c r="E945" s="8">
        <v>2261.2858000000001</v>
      </c>
      <c r="F945" s="8">
        <f>F935</f>
        <v>-0.2</v>
      </c>
      <c r="G945" s="8">
        <f>E945+F945</f>
        <v>2261.0858000000003</v>
      </c>
      <c r="H945" s="3">
        <f>B945*G945</f>
        <v>65933.261928000007</v>
      </c>
      <c r="I945" s="3">
        <f>C945*G945</f>
        <v>65955.872786000007</v>
      </c>
    </row>
    <row r="946" spans="1:9" x14ac:dyDescent="0.25">
      <c r="A946" t="s">
        <v>9</v>
      </c>
      <c r="B946" s="1">
        <v>69.69</v>
      </c>
      <c r="C946" s="1">
        <v>69.739999999999995</v>
      </c>
      <c r="D946" s="2" t="s">
        <v>125</v>
      </c>
      <c r="E946" s="8">
        <v>946.09739999999999</v>
      </c>
      <c r="F946" s="8">
        <f>F936</f>
        <v>0</v>
      </c>
      <c r="G946" s="8">
        <f>E946+F946</f>
        <v>946.09739999999999</v>
      </c>
      <c r="H946" s="3">
        <f>B946*G946</f>
        <v>65933.527805999998</v>
      </c>
      <c r="I946" s="3">
        <f>C946*G946</f>
        <v>65980.832675999991</v>
      </c>
    </row>
    <row r="947" spans="1:9" x14ac:dyDescent="0.25">
      <c r="A947" t="s">
        <v>10</v>
      </c>
      <c r="B947" s="1">
        <v>38.090000000000003</v>
      </c>
      <c r="C947" s="1">
        <v>38.119999999999997</v>
      </c>
      <c r="D947" s="2" t="s">
        <v>125</v>
      </c>
      <c r="E947" s="8">
        <v>1730.0638000000001</v>
      </c>
      <c r="F947" s="8">
        <f>F937</f>
        <v>0.2</v>
      </c>
      <c r="G947" s="8">
        <f>E947+F947</f>
        <v>1730.2638000000002</v>
      </c>
      <c r="H947" s="3">
        <f>B947*G947</f>
        <v>65905.748142000011</v>
      </c>
      <c r="I947" s="3">
        <f>C947*G947</f>
        <v>65957.656056000007</v>
      </c>
    </row>
    <row r="948" spans="1:9" x14ac:dyDescent="0.25">
      <c r="A948" t="s">
        <v>11</v>
      </c>
      <c r="B948" s="1">
        <v>57.4</v>
      </c>
      <c r="C948" s="1">
        <v>57.41</v>
      </c>
      <c r="D948" s="2" t="s">
        <v>125</v>
      </c>
      <c r="E948" s="8">
        <v>1148.8058000000001</v>
      </c>
      <c r="F948" s="8">
        <f>F938</f>
        <v>0.05</v>
      </c>
      <c r="G948" s="8">
        <f>E948+F948</f>
        <v>1148.8558</v>
      </c>
      <c r="H948" s="3">
        <f>B948*G948</f>
        <v>65944.322920000006</v>
      </c>
      <c r="I948" s="3">
        <f>C948*G948</f>
        <v>65955.811478000003</v>
      </c>
    </row>
    <row r="949" spans="1:9" x14ac:dyDescent="0.25">
      <c r="A949" t="s">
        <v>12</v>
      </c>
      <c r="B949" s="1">
        <v>51.15</v>
      </c>
      <c r="C949" s="1">
        <v>51.16</v>
      </c>
      <c r="D949" s="2" t="s">
        <v>125</v>
      </c>
      <c r="E949" s="8">
        <v>1288.6435000000001</v>
      </c>
      <c r="F949" s="8">
        <f>F939</f>
        <v>0</v>
      </c>
      <c r="G949" s="8">
        <f>E949+F949</f>
        <v>1288.6435000000001</v>
      </c>
      <c r="H949" s="3">
        <f>B949*G949</f>
        <v>65914.115025000006</v>
      </c>
      <c r="I949" s="3">
        <f>C949*G949</f>
        <v>65927.001459999999</v>
      </c>
    </row>
    <row r="950" spans="1:9" x14ac:dyDescent="0.25">
      <c r="A950" t="s">
        <v>13</v>
      </c>
      <c r="B950" s="1">
        <v>18.64</v>
      </c>
      <c r="C950" s="1">
        <v>18.649999999999999</v>
      </c>
      <c r="D950" s="2" t="s">
        <v>125</v>
      </c>
      <c r="E950" s="8">
        <v>3535.8029000000001</v>
      </c>
      <c r="F950" s="8">
        <f>F940</f>
        <v>0</v>
      </c>
      <c r="G950" s="8">
        <f>E950+F950</f>
        <v>3535.8029000000001</v>
      </c>
      <c r="H950" s="3">
        <f>B950*G950</f>
        <v>65907.366055999999</v>
      </c>
      <c r="I950" s="3">
        <f>C950*G950</f>
        <v>65942.724084999994</v>
      </c>
    </row>
    <row r="951" spans="1:9" x14ac:dyDescent="0.25">
      <c r="A951" t="s">
        <v>14</v>
      </c>
      <c r="B951" s="1">
        <v>37.35</v>
      </c>
      <c r="C951" s="1">
        <v>37.36</v>
      </c>
      <c r="D951" s="2" t="s">
        <v>125</v>
      </c>
      <c r="E951" s="8">
        <v>1764.9866999999999</v>
      </c>
      <c r="F951" s="8">
        <f>F941</f>
        <v>0.2</v>
      </c>
      <c r="G951" s="8">
        <f>E951+F951</f>
        <v>1765.1867</v>
      </c>
      <c r="H951" s="3">
        <f>B951*G951</f>
        <v>65929.723245000001</v>
      </c>
      <c r="I951" s="3">
        <f>C951*G951</f>
        <v>65947.375111999994</v>
      </c>
    </row>
    <row r="952" spans="1:9" x14ac:dyDescent="0.25">
      <c r="A952" t="s">
        <v>4</v>
      </c>
      <c r="B952" s="1">
        <v>21.83</v>
      </c>
      <c r="C952" s="1">
        <v>21.84</v>
      </c>
      <c r="D952" s="2" t="s">
        <v>126</v>
      </c>
      <c r="E952" s="8">
        <v>3014.8449999999998</v>
      </c>
      <c r="F952" s="8">
        <f>F942</f>
        <v>0</v>
      </c>
      <c r="G952" s="8">
        <f>E952+F952</f>
        <v>3014.8449999999998</v>
      </c>
      <c r="H952" s="3">
        <f>B952*G952</f>
        <v>65814.066349999994</v>
      </c>
      <c r="I952" s="3">
        <f>C952*G952</f>
        <v>65844.214800000002</v>
      </c>
    </row>
    <row r="953" spans="1:9" x14ac:dyDescent="0.25">
      <c r="A953" t="s">
        <v>6</v>
      </c>
      <c r="B953" s="1">
        <v>35.74</v>
      </c>
      <c r="C953" s="1">
        <v>35.75</v>
      </c>
      <c r="D953" s="2" t="s">
        <v>126</v>
      </c>
      <c r="E953" s="8">
        <v>1842.0599</v>
      </c>
      <c r="F953" s="8">
        <f>F943</f>
        <v>-0.1</v>
      </c>
      <c r="G953" s="8">
        <f>E953+F953</f>
        <v>1841.9599000000001</v>
      </c>
      <c r="H953" s="3">
        <f>B953*G953</f>
        <v>65831.646826000011</v>
      </c>
      <c r="I953" s="3">
        <f>C953*G953</f>
        <v>65850.066424999997</v>
      </c>
    </row>
    <row r="954" spans="1:9" x14ac:dyDescent="0.25">
      <c r="A954" t="s">
        <v>7</v>
      </c>
      <c r="B954" s="1">
        <v>18.559999999999999</v>
      </c>
      <c r="C954" s="1">
        <v>18.57</v>
      </c>
      <c r="D954" s="2" t="s">
        <v>126</v>
      </c>
      <c r="E954" s="8">
        <v>3546.4407000000001</v>
      </c>
      <c r="F954" s="8">
        <f>F944</f>
        <v>0</v>
      </c>
      <c r="G954" s="8">
        <f>E954+F954</f>
        <v>3546.4407000000001</v>
      </c>
      <c r="H954" s="3">
        <f>B954*G954</f>
        <v>65821.939392</v>
      </c>
      <c r="I954" s="3">
        <f>C954*G954</f>
        <v>65857.403799000007</v>
      </c>
    </row>
    <row r="955" spans="1:9" x14ac:dyDescent="0.25">
      <c r="A955" t="s">
        <v>8</v>
      </c>
      <c r="B955" s="1">
        <v>29.12</v>
      </c>
      <c r="C955" s="1">
        <v>29.13</v>
      </c>
      <c r="D955" s="2" t="s">
        <v>126</v>
      </c>
      <c r="E955" s="8">
        <v>2261.2858000000001</v>
      </c>
      <c r="F955" s="8">
        <f>F945</f>
        <v>-0.2</v>
      </c>
      <c r="G955" s="8">
        <f>E955+F955</f>
        <v>2261.0858000000003</v>
      </c>
      <c r="H955" s="3">
        <f>B955*G955</f>
        <v>65842.818496000007</v>
      </c>
      <c r="I955" s="3">
        <f>C955*G955</f>
        <v>65865.429354000007</v>
      </c>
    </row>
    <row r="956" spans="1:9" x14ac:dyDescent="0.25">
      <c r="A956" t="s">
        <v>9</v>
      </c>
      <c r="B956" s="1">
        <v>69.599999999999994</v>
      </c>
      <c r="C956" s="1">
        <v>69.650000000000006</v>
      </c>
      <c r="D956" s="2" t="s">
        <v>126</v>
      </c>
      <c r="E956" s="8">
        <v>946.09739999999999</v>
      </c>
      <c r="F956" s="8">
        <f>F946</f>
        <v>0</v>
      </c>
      <c r="G956" s="8">
        <f>E956+F956</f>
        <v>946.09739999999999</v>
      </c>
      <c r="H956" s="3">
        <f>B956*G956</f>
        <v>65848.37904</v>
      </c>
      <c r="I956" s="3">
        <f>C956*G956</f>
        <v>65895.683910000007</v>
      </c>
    </row>
    <row r="957" spans="1:9" x14ac:dyDescent="0.25">
      <c r="A957" t="s">
        <v>10</v>
      </c>
      <c r="B957" s="1">
        <v>38.04</v>
      </c>
      <c r="C957" s="1">
        <v>38.07</v>
      </c>
      <c r="D957" s="2" t="s">
        <v>126</v>
      </c>
      <c r="E957" s="8">
        <v>1730.0638000000001</v>
      </c>
      <c r="F957" s="8">
        <f>F947</f>
        <v>0.2</v>
      </c>
      <c r="G957" s="8">
        <f>E957+F957</f>
        <v>1730.2638000000002</v>
      </c>
      <c r="H957" s="3">
        <f>B957*G957</f>
        <v>65819.234951999999</v>
      </c>
      <c r="I957" s="3">
        <f>C957*G957</f>
        <v>65871.142866000009</v>
      </c>
    </row>
    <row r="958" spans="1:9" x14ac:dyDescent="0.25">
      <c r="A958" t="s">
        <v>11</v>
      </c>
      <c r="B958" s="1">
        <v>57.31</v>
      </c>
      <c r="C958" s="1">
        <v>57.32</v>
      </c>
      <c r="D958" s="2" t="s">
        <v>126</v>
      </c>
      <c r="E958" s="8">
        <v>1148.8058000000001</v>
      </c>
      <c r="F958" s="8">
        <f>F948</f>
        <v>0.05</v>
      </c>
      <c r="G958" s="8">
        <f>E958+F958</f>
        <v>1148.8558</v>
      </c>
      <c r="H958" s="3">
        <f>B958*G958</f>
        <v>65840.925898000001</v>
      </c>
      <c r="I958" s="3">
        <f>C958*G958</f>
        <v>65852.414455999999</v>
      </c>
    </row>
    <row r="959" spans="1:9" x14ac:dyDescent="0.25">
      <c r="A959" t="s">
        <v>12</v>
      </c>
      <c r="B959" s="1">
        <v>51.08</v>
      </c>
      <c r="C959" s="1">
        <v>51.09</v>
      </c>
      <c r="D959" s="2" t="s">
        <v>126</v>
      </c>
      <c r="E959" s="8">
        <v>1288.6435000000001</v>
      </c>
      <c r="F959" s="8">
        <f>F949</f>
        <v>0</v>
      </c>
      <c r="G959" s="8">
        <f>E959+F959</f>
        <v>1288.6435000000001</v>
      </c>
      <c r="H959" s="3">
        <f>B959*G959</f>
        <v>65823.909980000011</v>
      </c>
      <c r="I959" s="3">
        <f>C959*G959</f>
        <v>65836.796415000004</v>
      </c>
    </row>
    <row r="960" spans="1:9" x14ac:dyDescent="0.25">
      <c r="A960" t="s">
        <v>13</v>
      </c>
      <c r="B960" s="1">
        <v>18.62</v>
      </c>
      <c r="C960" s="1">
        <v>18.63</v>
      </c>
      <c r="D960" s="2" t="s">
        <v>126</v>
      </c>
      <c r="E960" s="8">
        <v>3535.8029000000001</v>
      </c>
      <c r="F960" s="8">
        <f>F950</f>
        <v>0</v>
      </c>
      <c r="G960" s="8">
        <f>E960+F960</f>
        <v>3535.8029000000001</v>
      </c>
      <c r="H960" s="3">
        <f>B960*G960</f>
        <v>65836.649998000008</v>
      </c>
      <c r="I960" s="3">
        <f>C960*G960</f>
        <v>65872.008027000003</v>
      </c>
    </row>
    <row r="961" spans="1:9" x14ac:dyDescent="0.25">
      <c r="A961" t="s">
        <v>14</v>
      </c>
      <c r="B961" s="1">
        <v>37.299999999999997</v>
      </c>
      <c r="C961" s="1">
        <v>37.31</v>
      </c>
      <c r="D961" s="2" t="s">
        <v>126</v>
      </c>
      <c r="E961" s="8">
        <v>1764.9866999999999</v>
      </c>
      <c r="F961" s="8">
        <f>F951</f>
        <v>0.2</v>
      </c>
      <c r="G961" s="8">
        <f>E961+F961</f>
        <v>1765.1867</v>
      </c>
      <c r="H961" s="3">
        <f>B961*G961</f>
        <v>65841.463909999991</v>
      </c>
      <c r="I961" s="3">
        <f>C961*G961</f>
        <v>65859.115776999999</v>
      </c>
    </row>
    <row r="962" spans="1:9" x14ac:dyDescent="0.25">
      <c r="A962" t="s">
        <v>4</v>
      </c>
      <c r="B962" s="1">
        <v>21.83</v>
      </c>
      <c r="C962" s="1">
        <v>21.84</v>
      </c>
      <c r="D962" s="2" t="s">
        <v>127</v>
      </c>
      <c r="E962" s="8">
        <v>3014.8449999999998</v>
      </c>
      <c r="F962" s="8">
        <f>F952</f>
        <v>0</v>
      </c>
      <c r="G962" s="8">
        <f>E962+F962</f>
        <v>3014.8449999999998</v>
      </c>
      <c r="H962" s="3">
        <f>B962*G962</f>
        <v>65814.066349999994</v>
      </c>
      <c r="I962" s="3">
        <f>C962*G962</f>
        <v>65844.214800000002</v>
      </c>
    </row>
    <row r="963" spans="1:9" x14ac:dyDescent="0.25">
      <c r="A963" t="s">
        <v>6</v>
      </c>
      <c r="B963" s="1">
        <v>35.74</v>
      </c>
      <c r="C963" s="1">
        <v>35.75</v>
      </c>
      <c r="D963" s="2" t="s">
        <v>127</v>
      </c>
      <c r="E963" s="8">
        <v>1842.0599</v>
      </c>
      <c r="F963" s="8">
        <f>F953</f>
        <v>-0.1</v>
      </c>
      <c r="G963" s="8">
        <f>E963+F963</f>
        <v>1841.9599000000001</v>
      </c>
      <c r="H963" s="3">
        <f>B963*G963</f>
        <v>65831.646826000011</v>
      </c>
      <c r="I963" s="3">
        <f>C963*G963</f>
        <v>65850.066424999997</v>
      </c>
    </row>
    <row r="964" spans="1:9" x14ac:dyDescent="0.25">
      <c r="A964" t="s">
        <v>7</v>
      </c>
      <c r="B964" s="1">
        <v>18.559999999999999</v>
      </c>
      <c r="C964" s="1">
        <v>18.57</v>
      </c>
      <c r="D964" s="2" t="s">
        <v>127</v>
      </c>
      <c r="E964" s="8">
        <v>3546.4407000000001</v>
      </c>
      <c r="F964" s="8">
        <f>F954</f>
        <v>0</v>
      </c>
      <c r="G964" s="8">
        <f>E964+F964</f>
        <v>3546.4407000000001</v>
      </c>
      <c r="H964" s="3">
        <f>B964*G964</f>
        <v>65821.939392</v>
      </c>
      <c r="I964" s="3">
        <f>C964*G964</f>
        <v>65857.403799000007</v>
      </c>
    </row>
    <row r="965" spans="1:9" x14ac:dyDescent="0.25">
      <c r="A965" t="s">
        <v>8</v>
      </c>
      <c r="B965" s="1">
        <v>29.12</v>
      </c>
      <c r="C965" s="1">
        <v>29.13</v>
      </c>
      <c r="D965" s="2" t="s">
        <v>127</v>
      </c>
      <c r="E965" s="8">
        <v>2261.2858000000001</v>
      </c>
      <c r="F965" s="8">
        <f>F955</f>
        <v>-0.2</v>
      </c>
      <c r="G965" s="8">
        <f>E965+F965</f>
        <v>2261.0858000000003</v>
      </c>
      <c r="H965" s="3">
        <f>B965*G965</f>
        <v>65842.818496000007</v>
      </c>
      <c r="I965" s="3">
        <f>C965*G965</f>
        <v>65865.429354000007</v>
      </c>
    </row>
    <row r="966" spans="1:9" x14ac:dyDescent="0.25">
      <c r="A966" t="s">
        <v>9</v>
      </c>
      <c r="B966" s="1">
        <v>69.569999999999993</v>
      </c>
      <c r="C966" s="1">
        <v>69.63</v>
      </c>
      <c r="D966" s="2" t="s">
        <v>127</v>
      </c>
      <c r="E966" s="8">
        <v>946.09739999999999</v>
      </c>
      <c r="F966" s="8">
        <f>F956</f>
        <v>0</v>
      </c>
      <c r="G966" s="8">
        <f>E966+F966</f>
        <v>946.09739999999999</v>
      </c>
      <c r="H966" s="3">
        <f>B966*G966</f>
        <v>65819.996117999995</v>
      </c>
      <c r="I966" s="3">
        <f>C966*G966</f>
        <v>65876.76196199999</v>
      </c>
    </row>
    <row r="967" spans="1:9" x14ac:dyDescent="0.25">
      <c r="A967" t="s">
        <v>10</v>
      </c>
      <c r="B967" s="1">
        <v>38.03</v>
      </c>
      <c r="C967" s="1">
        <v>38.06</v>
      </c>
      <c r="D967" s="2" t="s">
        <v>127</v>
      </c>
      <c r="E967" s="8">
        <v>1730.0638000000001</v>
      </c>
      <c r="F967" s="8">
        <f>F957</f>
        <v>0.2</v>
      </c>
      <c r="G967" s="8">
        <f>E967+F967</f>
        <v>1730.2638000000002</v>
      </c>
      <c r="H967" s="3">
        <f>B967*G967</f>
        <v>65801.932314000005</v>
      </c>
      <c r="I967" s="3">
        <f>C967*G967</f>
        <v>65853.840228000015</v>
      </c>
    </row>
    <row r="968" spans="1:9" x14ac:dyDescent="0.25">
      <c r="A968" t="s">
        <v>11</v>
      </c>
      <c r="B968" s="1">
        <v>57.3</v>
      </c>
      <c r="C968" s="1">
        <v>57.31</v>
      </c>
      <c r="D968" s="2" t="s">
        <v>127</v>
      </c>
      <c r="E968" s="8">
        <v>1148.8058000000001</v>
      </c>
      <c r="F968" s="8">
        <f>F958</f>
        <v>0.05</v>
      </c>
      <c r="G968" s="8">
        <f>E968+F968</f>
        <v>1148.8558</v>
      </c>
      <c r="H968" s="3">
        <f>B968*G968</f>
        <v>65829.437340000004</v>
      </c>
      <c r="I968" s="3">
        <f>C968*G968</f>
        <v>65840.925898000001</v>
      </c>
    </row>
    <row r="969" spans="1:9" x14ac:dyDescent="0.25">
      <c r="A969" t="s">
        <v>12</v>
      </c>
      <c r="B969" s="1">
        <v>51.07</v>
      </c>
      <c r="C969" s="1">
        <v>51.08</v>
      </c>
      <c r="D969" s="2" t="s">
        <v>127</v>
      </c>
      <c r="E969" s="8">
        <v>1288.6435000000001</v>
      </c>
      <c r="F969" s="8">
        <f>F959</f>
        <v>0</v>
      </c>
      <c r="G969" s="8">
        <f>E969+F969</f>
        <v>1288.6435000000001</v>
      </c>
      <c r="H969" s="3">
        <f>B969*G969</f>
        <v>65811.023545000004</v>
      </c>
      <c r="I969" s="3">
        <f>C969*G969</f>
        <v>65823.909980000011</v>
      </c>
    </row>
    <row r="970" spans="1:9" x14ac:dyDescent="0.25">
      <c r="A970" t="s">
        <v>13</v>
      </c>
      <c r="B970" s="1">
        <v>18.62</v>
      </c>
      <c r="C970" s="1">
        <v>18.63</v>
      </c>
      <c r="D970" s="2" t="s">
        <v>127</v>
      </c>
      <c r="E970" s="8">
        <v>3535.8029000000001</v>
      </c>
      <c r="F970" s="8">
        <f>F960</f>
        <v>0</v>
      </c>
      <c r="G970" s="8">
        <f>E970+F970</f>
        <v>3535.8029000000001</v>
      </c>
      <c r="H970" s="3">
        <f>B970*G970</f>
        <v>65836.649998000008</v>
      </c>
      <c r="I970" s="3">
        <f>C970*G970</f>
        <v>65872.008027000003</v>
      </c>
    </row>
    <row r="971" spans="1:9" x14ac:dyDescent="0.25">
      <c r="A971" t="s">
        <v>14</v>
      </c>
      <c r="B971" s="1">
        <v>37.29</v>
      </c>
      <c r="C971" s="1">
        <v>37.299999999999997</v>
      </c>
      <c r="D971" s="2" t="s">
        <v>127</v>
      </c>
      <c r="E971" s="8">
        <v>1764.9866999999999</v>
      </c>
      <c r="F971" s="8">
        <f>F961</f>
        <v>0.2</v>
      </c>
      <c r="G971" s="8">
        <f>E971+F971</f>
        <v>1765.1867</v>
      </c>
      <c r="H971" s="3">
        <f>B971*G971</f>
        <v>65823.812042999998</v>
      </c>
      <c r="I971" s="3">
        <f>C971*G971</f>
        <v>65841.463909999991</v>
      </c>
    </row>
    <row r="972" spans="1:9" x14ac:dyDescent="0.25">
      <c r="A972" t="s">
        <v>4</v>
      </c>
      <c r="B972" s="1">
        <v>21.77</v>
      </c>
      <c r="C972" s="1">
        <v>21.78</v>
      </c>
      <c r="D972" s="2" t="s">
        <v>128</v>
      </c>
      <c r="E972" s="8">
        <v>3014.8449999999998</v>
      </c>
      <c r="F972" s="8">
        <f>F962</f>
        <v>0</v>
      </c>
      <c r="G972" s="8">
        <f>E972+F972</f>
        <v>3014.8449999999998</v>
      </c>
      <c r="H972" s="3">
        <f>B972*G972</f>
        <v>65633.17564999999</v>
      </c>
      <c r="I972" s="3">
        <f>C972*G972</f>
        <v>65663.324099999998</v>
      </c>
    </row>
    <row r="973" spans="1:9" x14ac:dyDescent="0.25">
      <c r="A973" t="s">
        <v>6</v>
      </c>
      <c r="B973" s="1">
        <v>35.630000000000003</v>
      </c>
      <c r="C973" s="1">
        <v>35.64</v>
      </c>
      <c r="D973" s="2" t="s">
        <v>128</v>
      </c>
      <c r="E973" s="8">
        <v>1842.0599</v>
      </c>
      <c r="F973" s="8">
        <f>F963</f>
        <v>-0.1</v>
      </c>
      <c r="G973" s="8">
        <f>E973+F973</f>
        <v>1841.9599000000001</v>
      </c>
      <c r="H973" s="3">
        <f>B973*G973</f>
        <v>65629.031237000003</v>
      </c>
      <c r="I973" s="3">
        <f>C973*G973</f>
        <v>65647.450836000004</v>
      </c>
    </row>
    <row r="974" spans="1:9" x14ac:dyDescent="0.25">
      <c r="A974" t="s">
        <v>7</v>
      </c>
      <c r="B974" s="1">
        <v>18.5</v>
      </c>
      <c r="C974" s="1">
        <v>18.510000000000002</v>
      </c>
      <c r="D974" s="2" t="s">
        <v>128</v>
      </c>
      <c r="E974" s="8">
        <v>3546.4407000000001</v>
      </c>
      <c r="F974" s="8">
        <f>F964</f>
        <v>0</v>
      </c>
      <c r="G974" s="8">
        <f>E974+F974</f>
        <v>3546.4407000000001</v>
      </c>
      <c r="H974" s="3">
        <f>B974*G974</f>
        <v>65609.152950000003</v>
      </c>
      <c r="I974" s="3">
        <f>C974*G974</f>
        <v>65644.61735700001</v>
      </c>
    </row>
    <row r="975" spans="1:9" x14ac:dyDescent="0.25">
      <c r="A975" t="s">
        <v>8</v>
      </c>
      <c r="B975" s="1">
        <v>29.03</v>
      </c>
      <c r="C975" s="1">
        <v>29.04</v>
      </c>
      <c r="D975" s="2" t="s">
        <v>128</v>
      </c>
      <c r="E975" s="8">
        <v>2261.2858000000001</v>
      </c>
      <c r="F975" s="8">
        <f>F965</f>
        <v>-0.2</v>
      </c>
      <c r="G975" s="8">
        <f>E975+F975</f>
        <v>2261.0858000000003</v>
      </c>
      <c r="H975" s="3">
        <f>B975*G975</f>
        <v>65639.320774000007</v>
      </c>
      <c r="I975" s="3">
        <f>C975*G975</f>
        <v>65661.931632000007</v>
      </c>
    </row>
    <row r="976" spans="1:9" x14ac:dyDescent="0.25">
      <c r="A976" t="s">
        <v>9</v>
      </c>
      <c r="B976" s="1">
        <v>69.37</v>
      </c>
      <c r="C976" s="1">
        <v>69.45</v>
      </c>
      <c r="D976" s="2" t="s">
        <v>128</v>
      </c>
      <c r="E976" s="8">
        <v>946.09739999999999</v>
      </c>
      <c r="F976" s="8">
        <f>F966</f>
        <v>0</v>
      </c>
      <c r="G976" s="8">
        <f>E976+F976</f>
        <v>946.09739999999999</v>
      </c>
      <c r="H976" s="3">
        <f>B976*G976</f>
        <v>65630.77663800001</v>
      </c>
      <c r="I976" s="3">
        <f>C976*G976</f>
        <v>65706.464430000007</v>
      </c>
    </row>
    <row r="977" spans="1:9" x14ac:dyDescent="0.25">
      <c r="A977" t="s">
        <v>10</v>
      </c>
      <c r="B977" s="1">
        <v>37.92</v>
      </c>
      <c r="C977" s="1">
        <v>37.94</v>
      </c>
      <c r="D977" s="2" t="s">
        <v>128</v>
      </c>
      <c r="E977" s="8">
        <v>1730.0638000000001</v>
      </c>
      <c r="F977" s="8">
        <f>F967</f>
        <v>0.2</v>
      </c>
      <c r="G977" s="8">
        <f>E977+F977</f>
        <v>1730.2638000000002</v>
      </c>
      <c r="H977" s="3">
        <f>B977*G977</f>
        <v>65611.603296000016</v>
      </c>
      <c r="I977" s="3">
        <f>C977*G977</f>
        <v>65646.208572000003</v>
      </c>
    </row>
    <row r="978" spans="1:9" x14ac:dyDescent="0.25">
      <c r="A978" t="s">
        <v>11</v>
      </c>
      <c r="B978" s="1">
        <v>57.13</v>
      </c>
      <c r="C978" s="1">
        <v>57.14</v>
      </c>
      <c r="D978" s="2" t="s">
        <v>128</v>
      </c>
      <c r="E978" s="8">
        <v>1148.8058000000001</v>
      </c>
      <c r="F978" s="8">
        <f>F968</f>
        <v>0.05</v>
      </c>
      <c r="G978" s="8">
        <f>E978+F978</f>
        <v>1148.8558</v>
      </c>
      <c r="H978" s="3">
        <f>B978*G978</f>
        <v>65634.131854000007</v>
      </c>
      <c r="I978" s="3">
        <f>C978*G978</f>
        <v>65645.620412000004</v>
      </c>
    </row>
    <row r="979" spans="1:9" x14ac:dyDescent="0.25">
      <c r="A979" t="s">
        <v>12</v>
      </c>
      <c r="B979" s="1">
        <v>50.91</v>
      </c>
      <c r="C979" s="1">
        <v>50.92</v>
      </c>
      <c r="D979" s="2" t="s">
        <v>128</v>
      </c>
      <c r="E979" s="8">
        <v>1288.6435000000001</v>
      </c>
      <c r="F979" s="8">
        <f>F969</f>
        <v>0</v>
      </c>
      <c r="G979" s="8">
        <f>E979+F979</f>
        <v>1288.6435000000001</v>
      </c>
      <c r="H979" s="3">
        <f>B979*G979</f>
        <v>65604.840584999998</v>
      </c>
      <c r="I979" s="3">
        <f>C979*G979</f>
        <v>65617.727020000006</v>
      </c>
    </row>
    <row r="980" spans="1:9" x14ac:dyDescent="0.25">
      <c r="A980" t="s">
        <v>13</v>
      </c>
      <c r="B980" s="1">
        <v>18.559999999999999</v>
      </c>
      <c r="C980" s="1">
        <v>18.57</v>
      </c>
      <c r="D980" s="2" t="s">
        <v>128</v>
      </c>
      <c r="E980" s="8">
        <v>3535.8029000000001</v>
      </c>
      <c r="F980" s="8">
        <f>F970</f>
        <v>0</v>
      </c>
      <c r="G980" s="8">
        <f>E980+F980</f>
        <v>3535.8029000000001</v>
      </c>
      <c r="H980" s="3">
        <f>B980*G980</f>
        <v>65624.501823999992</v>
      </c>
      <c r="I980" s="3">
        <f>C980*G980</f>
        <v>65659.859853000002</v>
      </c>
    </row>
    <row r="981" spans="1:9" x14ac:dyDescent="0.25">
      <c r="A981" t="s">
        <v>14</v>
      </c>
      <c r="B981" s="1">
        <v>37.18</v>
      </c>
      <c r="C981" s="1">
        <v>37.19</v>
      </c>
      <c r="D981" s="2" t="s">
        <v>128</v>
      </c>
      <c r="E981" s="8">
        <v>1764.9866999999999</v>
      </c>
      <c r="F981" s="8">
        <f>F971</f>
        <v>0.2</v>
      </c>
      <c r="G981" s="8">
        <f>E981+F981</f>
        <v>1765.1867</v>
      </c>
      <c r="H981" s="3">
        <f>B981*G981</f>
        <v>65629.641506</v>
      </c>
      <c r="I981" s="3">
        <f>C981*G981</f>
        <v>65647.293372999993</v>
      </c>
    </row>
    <row r="982" spans="1:9" x14ac:dyDescent="0.25">
      <c r="A982" t="s">
        <v>4</v>
      </c>
      <c r="B982" s="1">
        <v>21.72</v>
      </c>
      <c r="C982" s="1">
        <v>21.73</v>
      </c>
      <c r="D982" s="2" t="s">
        <v>129</v>
      </c>
      <c r="E982" s="8">
        <v>3014.8449999999998</v>
      </c>
      <c r="F982" s="8">
        <f>F972</f>
        <v>0</v>
      </c>
      <c r="G982" s="8">
        <f>E982+F982</f>
        <v>3014.8449999999998</v>
      </c>
      <c r="H982" s="3">
        <f>B982*G982</f>
        <v>65482.433399999994</v>
      </c>
      <c r="I982" s="3">
        <f>C982*G982</f>
        <v>65512.581849999995</v>
      </c>
    </row>
    <row r="983" spans="1:9" x14ac:dyDescent="0.25">
      <c r="A983" t="s">
        <v>6</v>
      </c>
      <c r="B983" s="1">
        <v>35.57</v>
      </c>
      <c r="C983" s="1">
        <v>35.58</v>
      </c>
      <c r="D983" s="2" t="s">
        <v>129</v>
      </c>
      <c r="E983" s="8">
        <v>1842.0599</v>
      </c>
      <c r="F983" s="8">
        <f>F973</f>
        <v>-0.1</v>
      </c>
      <c r="G983" s="8">
        <f>E983+F983</f>
        <v>1841.9599000000001</v>
      </c>
      <c r="H983" s="3">
        <f>B983*G983</f>
        <v>65518.513643000006</v>
      </c>
      <c r="I983" s="3">
        <f>C983*G983</f>
        <v>65536.933241999999</v>
      </c>
    </row>
    <row r="984" spans="1:9" x14ac:dyDescent="0.25">
      <c r="A984" t="s">
        <v>7</v>
      </c>
      <c r="B984" s="1">
        <v>18.47</v>
      </c>
      <c r="C984" s="1">
        <v>18.48</v>
      </c>
      <c r="D984" s="2" t="s">
        <v>129</v>
      </c>
      <c r="E984" s="8">
        <v>3546.4407000000001</v>
      </c>
      <c r="F984" s="8">
        <f>F974</f>
        <v>0</v>
      </c>
      <c r="G984" s="8">
        <f>E984+F984</f>
        <v>3546.4407000000001</v>
      </c>
      <c r="H984" s="3">
        <f>B984*G984</f>
        <v>65502.759728999998</v>
      </c>
      <c r="I984" s="3">
        <f>C984*G984</f>
        <v>65538.224136000004</v>
      </c>
    </row>
    <row r="985" spans="1:9" x14ac:dyDescent="0.25">
      <c r="A985" t="s">
        <v>8</v>
      </c>
      <c r="B985" s="1">
        <v>28.98</v>
      </c>
      <c r="C985" s="1">
        <v>28.99</v>
      </c>
      <c r="D985" s="2" t="s">
        <v>129</v>
      </c>
      <c r="E985" s="8">
        <v>2261.2858000000001</v>
      </c>
      <c r="F985" s="8">
        <f>F975</f>
        <v>-0.2</v>
      </c>
      <c r="G985" s="8">
        <f>E985+F985</f>
        <v>2261.0858000000003</v>
      </c>
      <c r="H985" s="3">
        <f>B985*G985</f>
        <v>65526.266484000007</v>
      </c>
      <c r="I985" s="3">
        <f>C985*G985</f>
        <v>65548.877342000007</v>
      </c>
    </row>
    <row r="986" spans="1:9" x14ac:dyDescent="0.25">
      <c r="A986" t="s">
        <v>9</v>
      </c>
      <c r="B986" s="1">
        <v>69.22</v>
      </c>
      <c r="C986" s="1">
        <v>69.319999999999993</v>
      </c>
      <c r="D986" s="2" t="s">
        <v>129</v>
      </c>
      <c r="E986" s="8">
        <v>946.09739999999999</v>
      </c>
      <c r="F986" s="8">
        <f>F976</f>
        <v>0</v>
      </c>
      <c r="G986" s="8">
        <f>E986+F986</f>
        <v>946.09739999999999</v>
      </c>
      <c r="H986" s="3">
        <f>B986*G986</f>
        <v>65488.862027999996</v>
      </c>
      <c r="I986" s="3">
        <f>C986*G986</f>
        <v>65583.471767999989</v>
      </c>
    </row>
    <row r="987" spans="1:9" x14ac:dyDescent="0.25">
      <c r="A987" t="s">
        <v>10</v>
      </c>
      <c r="B987" s="1">
        <v>37.85</v>
      </c>
      <c r="C987" s="1">
        <v>37.880000000000003</v>
      </c>
      <c r="D987" s="2" t="s">
        <v>129</v>
      </c>
      <c r="E987" s="8">
        <v>1730.0638000000001</v>
      </c>
      <c r="F987" s="8">
        <f>F977</f>
        <v>0.2</v>
      </c>
      <c r="G987" s="8">
        <f>E987+F987</f>
        <v>1730.2638000000002</v>
      </c>
      <c r="H987" s="3">
        <f>B987*G987</f>
        <v>65490.484830000009</v>
      </c>
      <c r="I987" s="3">
        <f>C987*G987</f>
        <v>65542.392744000012</v>
      </c>
    </row>
    <row r="988" spans="1:9" x14ac:dyDescent="0.25">
      <c r="A988" t="s">
        <v>11</v>
      </c>
      <c r="B988" s="1">
        <v>57.04</v>
      </c>
      <c r="C988" s="1">
        <v>57.05</v>
      </c>
      <c r="D988" s="2" t="s">
        <v>129</v>
      </c>
      <c r="E988" s="8">
        <v>1148.8058000000001</v>
      </c>
      <c r="F988" s="8">
        <f>F978</f>
        <v>0.05</v>
      </c>
      <c r="G988" s="8">
        <f>E988+F988</f>
        <v>1148.8558</v>
      </c>
      <c r="H988" s="3">
        <f>B988*G988</f>
        <v>65530.734832000002</v>
      </c>
      <c r="I988" s="3">
        <f>C988*G988</f>
        <v>65542.223389999999</v>
      </c>
    </row>
    <row r="989" spans="1:9" x14ac:dyDescent="0.25">
      <c r="A989" t="s">
        <v>12</v>
      </c>
      <c r="B989" s="1">
        <v>50.83</v>
      </c>
      <c r="C989" s="1">
        <v>50.84</v>
      </c>
      <c r="D989" s="2" t="s">
        <v>129</v>
      </c>
      <c r="E989" s="8">
        <v>1288.6435000000001</v>
      </c>
      <c r="F989" s="8">
        <f>F979</f>
        <v>0</v>
      </c>
      <c r="G989" s="8">
        <f>E989+F989</f>
        <v>1288.6435000000001</v>
      </c>
      <c r="H989" s="3">
        <f>B989*G989</f>
        <v>65501.749105000003</v>
      </c>
      <c r="I989" s="3">
        <f>C989*G989</f>
        <v>65514.63554000001</v>
      </c>
    </row>
    <row r="990" spans="1:9" x14ac:dyDescent="0.25">
      <c r="A990" t="s">
        <v>13</v>
      </c>
      <c r="B990" s="1">
        <v>18.52</v>
      </c>
      <c r="C990" s="1">
        <v>18.53</v>
      </c>
      <c r="D990" s="2" t="s">
        <v>129</v>
      </c>
      <c r="E990" s="8">
        <v>3535.8029000000001</v>
      </c>
      <c r="F990" s="8">
        <f>F980</f>
        <v>0</v>
      </c>
      <c r="G990" s="8">
        <f>E990+F990</f>
        <v>3535.8029000000001</v>
      </c>
      <c r="H990" s="3">
        <f>B990*G990</f>
        <v>65483.069708000003</v>
      </c>
      <c r="I990" s="3">
        <f>C990*G990</f>
        <v>65518.427737000005</v>
      </c>
    </row>
    <row r="991" spans="1:9" x14ac:dyDescent="0.25">
      <c r="A991" t="s">
        <v>14</v>
      </c>
      <c r="B991" s="1">
        <v>37.11</v>
      </c>
      <c r="C991" s="1">
        <v>37.119999999999997</v>
      </c>
      <c r="D991" s="2" t="s">
        <v>129</v>
      </c>
      <c r="E991" s="8">
        <v>1764.9866999999999</v>
      </c>
      <c r="F991" s="8">
        <f>F981</f>
        <v>0.2</v>
      </c>
      <c r="G991" s="8">
        <f>E991+F991</f>
        <v>1765.1867</v>
      </c>
      <c r="H991" s="3">
        <f>B991*G991</f>
        <v>65506.078436999996</v>
      </c>
      <c r="I991" s="3">
        <f>C991*G991</f>
        <v>65523.730303999997</v>
      </c>
    </row>
    <row r="992" spans="1:9" x14ac:dyDescent="0.25">
      <c r="A992" t="s">
        <v>4</v>
      </c>
      <c r="B992" s="1">
        <v>21.77</v>
      </c>
      <c r="C992" s="1">
        <v>21.78</v>
      </c>
      <c r="D992" s="2" t="s">
        <v>130</v>
      </c>
      <c r="E992" s="8">
        <v>3014.8449999999998</v>
      </c>
      <c r="F992" s="8">
        <f>F982</f>
        <v>0</v>
      </c>
      <c r="G992" s="8">
        <f>E992+F992</f>
        <v>3014.8449999999998</v>
      </c>
      <c r="H992" s="3">
        <f>B992*G992</f>
        <v>65633.17564999999</v>
      </c>
      <c r="I992" s="3">
        <f>C992*G992</f>
        <v>65663.324099999998</v>
      </c>
    </row>
    <row r="993" spans="1:9" x14ac:dyDescent="0.25">
      <c r="A993" t="s">
        <v>6</v>
      </c>
      <c r="B993" s="1">
        <v>35.630000000000003</v>
      </c>
      <c r="C993" s="1">
        <v>35.64</v>
      </c>
      <c r="D993" s="2" t="s">
        <v>130</v>
      </c>
      <c r="E993" s="8">
        <v>1842.0599</v>
      </c>
      <c r="F993" s="8">
        <f>F983</f>
        <v>-0.1</v>
      </c>
      <c r="G993" s="8">
        <f>E993+F993</f>
        <v>1841.9599000000001</v>
      </c>
      <c r="H993" s="3">
        <f>B993*G993</f>
        <v>65629.031237000003</v>
      </c>
      <c r="I993" s="3">
        <f>C993*G993</f>
        <v>65647.450836000004</v>
      </c>
    </row>
    <row r="994" spans="1:9" x14ac:dyDescent="0.25">
      <c r="A994" t="s">
        <v>7</v>
      </c>
      <c r="B994" s="1">
        <v>18.510000000000002</v>
      </c>
      <c r="C994" s="1">
        <v>18.52</v>
      </c>
      <c r="D994" s="2" t="s">
        <v>130</v>
      </c>
      <c r="E994" s="8">
        <v>3546.4407000000001</v>
      </c>
      <c r="F994" s="8">
        <f>F984</f>
        <v>0</v>
      </c>
      <c r="G994" s="8">
        <f>E994+F994</f>
        <v>3546.4407000000001</v>
      </c>
      <c r="H994" s="3">
        <f>B994*G994</f>
        <v>65644.61735700001</v>
      </c>
      <c r="I994" s="3">
        <f>C994*G994</f>
        <v>65680.081764000002</v>
      </c>
    </row>
    <row r="995" spans="1:9" x14ac:dyDescent="0.25">
      <c r="A995" t="s">
        <v>8</v>
      </c>
      <c r="B995" s="1">
        <v>29.03</v>
      </c>
      <c r="C995" s="1">
        <v>29.04</v>
      </c>
      <c r="D995" s="2" t="s">
        <v>130</v>
      </c>
      <c r="E995" s="8">
        <v>2261.2858000000001</v>
      </c>
      <c r="F995" s="8">
        <f>F985</f>
        <v>-0.2</v>
      </c>
      <c r="G995" s="8">
        <f>E995+F995</f>
        <v>2261.0858000000003</v>
      </c>
      <c r="H995" s="3">
        <f>B995*G995</f>
        <v>65639.320774000007</v>
      </c>
      <c r="I995" s="3">
        <f>C995*G995</f>
        <v>65661.931632000007</v>
      </c>
    </row>
    <row r="996" spans="1:9" x14ac:dyDescent="0.25">
      <c r="A996" t="s">
        <v>9</v>
      </c>
      <c r="B996" s="1">
        <v>69.38</v>
      </c>
      <c r="C996" s="1">
        <v>69.45</v>
      </c>
      <c r="D996" s="2" t="s">
        <v>130</v>
      </c>
      <c r="E996" s="8">
        <v>946.09739999999999</v>
      </c>
      <c r="F996" s="8">
        <f>F986</f>
        <v>0</v>
      </c>
      <c r="G996" s="8">
        <f>E996+F996</f>
        <v>946.09739999999999</v>
      </c>
      <c r="H996" s="3">
        <f>B996*G996</f>
        <v>65640.237611999997</v>
      </c>
      <c r="I996" s="3">
        <f>C996*G996</f>
        <v>65706.464430000007</v>
      </c>
    </row>
    <row r="997" spans="1:9" x14ac:dyDescent="0.25">
      <c r="A997" t="s">
        <v>10</v>
      </c>
      <c r="B997" s="1">
        <v>37.93</v>
      </c>
      <c r="C997" s="1">
        <v>37.950000000000003</v>
      </c>
      <c r="D997" s="2" t="s">
        <v>130</v>
      </c>
      <c r="E997" s="8">
        <v>1730.0638000000001</v>
      </c>
      <c r="F997" s="8">
        <f>F987</f>
        <v>0.2</v>
      </c>
      <c r="G997" s="8">
        <f>E997+F997</f>
        <v>1730.2638000000002</v>
      </c>
      <c r="H997" s="3">
        <f>B997*G997</f>
        <v>65628.905934000009</v>
      </c>
      <c r="I997" s="3">
        <f>C997*G997</f>
        <v>65663.511210000011</v>
      </c>
    </row>
    <row r="998" spans="1:9" x14ac:dyDescent="0.25">
      <c r="A998" t="s">
        <v>11</v>
      </c>
      <c r="B998" s="1">
        <v>57.13</v>
      </c>
      <c r="C998" s="1">
        <v>57.14</v>
      </c>
      <c r="D998" s="2" t="s">
        <v>130</v>
      </c>
      <c r="E998" s="8">
        <v>1148.8058000000001</v>
      </c>
      <c r="F998" s="8">
        <f>F988</f>
        <v>0.05</v>
      </c>
      <c r="G998" s="8">
        <f>E998+F998</f>
        <v>1148.8558</v>
      </c>
      <c r="H998" s="3">
        <f>B998*G998</f>
        <v>65634.131854000007</v>
      </c>
      <c r="I998" s="3">
        <f>C998*G998</f>
        <v>65645.620412000004</v>
      </c>
    </row>
    <row r="999" spans="1:9" x14ac:dyDescent="0.25">
      <c r="A999" t="s">
        <v>12</v>
      </c>
      <c r="B999" s="1">
        <v>50.92</v>
      </c>
      <c r="C999" s="1">
        <v>50.93</v>
      </c>
      <c r="D999" s="2" t="s">
        <v>130</v>
      </c>
      <c r="E999" s="8">
        <v>1288.6435000000001</v>
      </c>
      <c r="F999" s="8">
        <f>F989</f>
        <v>0</v>
      </c>
      <c r="G999" s="8">
        <f>E999+F999</f>
        <v>1288.6435000000001</v>
      </c>
      <c r="H999" s="3">
        <f>B999*G999</f>
        <v>65617.727020000006</v>
      </c>
      <c r="I999" s="3">
        <f>C999*G999</f>
        <v>65630.613455000013</v>
      </c>
    </row>
    <row r="1000" spans="1:9" x14ac:dyDescent="0.25">
      <c r="A1000" t="s">
        <v>13</v>
      </c>
      <c r="B1000" s="1">
        <v>18.559999999999999</v>
      </c>
      <c r="C1000" s="1">
        <v>18.57</v>
      </c>
      <c r="D1000" s="2" t="s">
        <v>130</v>
      </c>
      <c r="E1000" s="8">
        <v>3535.8029000000001</v>
      </c>
      <c r="F1000" s="8">
        <f>F990</f>
        <v>0</v>
      </c>
      <c r="G1000" s="8">
        <f>E1000+F1000</f>
        <v>3535.8029000000001</v>
      </c>
      <c r="H1000" s="3">
        <f>B1000*G1000</f>
        <v>65624.501823999992</v>
      </c>
      <c r="I1000" s="3">
        <f>C1000*G1000</f>
        <v>65659.859853000002</v>
      </c>
    </row>
    <row r="1001" spans="1:9" x14ac:dyDescent="0.25">
      <c r="A1001" t="s">
        <v>14</v>
      </c>
      <c r="B1001" s="1">
        <v>37.19</v>
      </c>
      <c r="C1001" s="1">
        <v>37.200000000000003</v>
      </c>
      <c r="D1001" s="2" t="s">
        <v>130</v>
      </c>
      <c r="E1001" s="8">
        <v>1764.9866999999999</v>
      </c>
      <c r="F1001" s="8">
        <f>F991</f>
        <v>0.2</v>
      </c>
      <c r="G1001" s="8">
        <f>E1001+F1001</f>
        <v>1765.1867</v>
      </c>
      <c r="H1001" s="3">
        <f>B1001*G1001</f>
        <v>65647.293372999993</v>
      </c>
      <c r="I1001" s="3">
        <f>C1001*G1001</f>
        <v>65664.945240000001</v>
      </c>
    </row>
    <row r="1002" spans="1:9" x14ac:dyDescent="0.25">
      <c r="A1002" t="s">
        <v>4</v>
      </c>
      <c r="B1002" s="1">
        <v>21.74</v>
      </c>
      <c r="C1002" s="1">
        <v>21.75</v>
      </c>
      <c r="D1002" s="2" t="s">
        <v>131</v>
      </c>
      <c r="E1002" s="8">
        <v>3014.8449999999998</v>
      </c>
      <c r="F1002" s="8">
        <f>F992</f>
        <v>0</v>
      </c>
      <c r="G1002" s="8">
        <f>E1002+F1002</f>
        <v>3014.8449999999998</v>
      </c>
      <c r="H1002" s="3">
        <f>B1002*G1002</f>
        <v>65542.730299999996</v>
      </c>
      <c r="I1002" s="3">
        <f>C1002*G1002</f>
        <v>65572.878749999989</v>
      </c>
    </row>
    <row r="1003" spans="1:9" x14ac:dyDescent="0.25">
      <c r="A1003" t="s">
        <v>6</v>
      </c>
      <c r="B1003" s="1">
        <v>35.6</v>
      </c>
      <c r="C1003" s="1">
        <v>35.61</v>
      </c>
      <c r="D1003" s="2" t="s">
        <v>131</v>
      </c>
      <c r="E1003" s="8">
        <v>1842.0599</v>
      </c>
      <c r="F1003" s="8">
        <f>F993</f>
        <v>-0.1</v>
      </c>
      <c r="G1003" s="8">
        <f>E1003+F1003</f>
        <v>1841.9599000000001</v>
      </c>
      <c r="H1003" s="3">
        <f>B1003*G1003</f>
        <v>65573.772440000001</v>
      </c>
      <c r="I1003" s="3">
        <f>C1003*G1003</f>
        <v>65592.192039000001</v>
      </c>
    </row>
    <row r="1004" spans="1:9" x14ac:dyDescent="0.25">
      <c r="A1004" t="s">
        <v>7</v>
      </c>
      <c r="B1004" s="1">
        <v>18.489999999999998</v>
      </c>
      <c r="C1004" s="1">
        <v>18.5</v>
      </c>
      <c r="D1004" s="2" t="s">
        <v>131</v>
      </c>
      <c r="E1004" s="8">
        <v>3546.4407000000001</v>
      </c>
      <c r="F1004" s="8">
        <f>F994</f>
        <v>0</v>
      </c>
      <c r="G1004" s="8">
        <f>E1004+F1004</f>
        <v>3546.4407000000001</v>
      </c>
      <c r="H1004" s="3">
        <f>B1004*G1004</f>
        <v>65573.688542999997</v>
      </c>
      <c r="I1004" s="3">
        <f>C1004*G1004</f>
        <v>65609.152950000003</v>
      </c>
    </row>
    <row r="1005" spans="1:9" x14ac:dyDescent="0.25">
      <c r="A1005" t="s">
        <v>8</v>
      </c>
      <c r="B1005" s="1">
        <v>29</v>
      </c>
      <c r="C1005" s="1">
        <v>29.01</v>
      </c>
      <c r="D1005" s="2" t="s">
        <v>131</v>
      </c>
      <c r="E1005" s="8">
        <v>2261.2858000000001</v>
      </c>
      <c r="F1005" s="8">
        <f>F995</f>
        <v>-0.2</v>
      </c>
      <c r="G1005" s="8">
        <f>E1005+F1005</f>
        <v>2261.0858000000003</v>
      </c>
      <c r="H1005" s="3">
        <f>B1005*G1005</f>
        <v>65571.488200000007</v>
      </c>
      <c r="I1005" s="3">
        <f>C1005*G1005</f>
        <v>65594.099058000007</v>
      </c>
    </row>
    <row r="1006" spans="1:9" x14ac:dyDescent="0.25">
      <c r="A1006" t="s">
        <v>9</v>
      </c>
      <c r="B1006" s="1">
        <v>69.31</v>
      </c>
      <c r="C1006" s="1">
        <v>69.38</v>
      </c>
      <c r="D1006" s="2" t="s">
        <v>131</v>
      </c>
      <c r="E1006" s="8">
        <v>946.09739999999999</v>
      </c>
      <c r="F1006" s="8">
        <f>F996</f>
        <v>0</v>
      </c>
      <c r="G1006" s="8">
        <f>E1006+F1006</f>
        <v>946.09739999999999</v>
      </c>
      <c r="H1006" s="3">
        <f>B1006*G1006</f>
        <v>65574.010794000002</v>
      </c>
      <c r="I1006" s="3">
        <f>C1006*G1006</f>
        <v>65640.237611999997</v>
      </c>
    </row>
    <row r="1007" spans="1:9" x14ac:dyDescent="0.25">
      <c r="A1007" t="s">
        <v>10</v>
      </c>
      <c r="B1007" s="1">
        <v>37.89</v>
      </c>
      <c r="C1007" s="1">
        <v>37.909999999999997</v>
      </c>
      <c r="D1007" s="2" t="s">
        <v>131</v>
      </c>
      <c r="E1007" s="8">
        <v>1730.0638000000001</v>
      </c>
      <c r="F1007" s="8">
        <f>F997</f>
        <v>0.2</v>
      </c>
      <c r="G1007" s="8">
        <f>E1007+F1007</f>
        <v>1730.2638000000002</v>
      </c>
      <c r="H1007" s="3">
        <f>B1007*G1007</f>
        <v>65559.695382000005</v>
      </c>
      <c r="I1007" s="3">
        <f>C1007*G1007</f>
        <v>65594.300658000007</v>
      </c>
    </row>
    <row r="1008" spans="1:9" x14ac:dyDescent="0.25">
      <c r="A1008" t="s">
        <v>11</v>
      </c>
      <c r="B1008" s="1">
        <v>57.08</v>
      </c>
      <c r="C1008" s="1">
        <v>57.09</v>
      </c>
      <c r="D1008" s="2" t="s">
        <v>131</v>
      </c>
      <c r="E1008" s="8">
        <v>1148.8058000000001</v>
      </c>
      <c r="F1008" s="8">
        <f>F998</f>
        <v>0.05</v>
      </c>
      <c r="G1008" s="8">
        <f>E1008+F1008</f>
        <v>1148.8558</v>
      </c>
      <c r="H1008" s="3">
        <f>B1008*G1008</f>
        <v>65576.689064000006</v>
      </c>
      <c r="I1008" s="3">
        <f>C1008*G1008</f>
        <v>65588.177622000003</v>
      </c>
    </row>
    <row r="1009" spans="1:9" x14ac:dyDescent="0.25">
      <c r="A1009" t="s">
        <v>12</v>
      </c>
      <c r="B1009" s="1">
        <v>50.87</v>
      </c>
      <c r="C1009" s="1">
        <v>50.88</v>
      </c>
      <c r="D1009" s="2" t="s">
        <v>131</v>
      </c>
      <c r="E1009" s="8">
        <v>1288.6435000000001</v>
      </c>
      <c r="F1009" s="8">
        <f>F999</f>
        <v>0</v>
      </c>
      <c r="G1009" s="8">
        <f>E1009+F1009</f>
        <v>1288.6435000000001</v>
      </c>
      <c r="H1009" s="3">
        <f>B1009*G1009</f>
        <v>65553.294844999997</v>
      </c>
      <c r="I1009" s="3">
        <f>C1009*G1009</f>
        <v>65566.181280000004</v>
      </c>
    </row>
    <row r="1010" spans="1:9" x14ac:dyDescent="0.25">
      <c r="A1010" t="s">
        <v>13</v>
      </c>
      <c r="B1010" s="1">
        <v>18.54</v>
      </c>
      <c r="C1010" s="1">
        <v>18.55</v>
      </c>
      <c r="D1010" s="2" t="s">
        <v>131</v>
      </c>
      <c r="E1010" s="8">
        <v>3535.8029000000001</v>
      </c>
      <c r="F1010" s="8">
        <f>F1000</f>
        <v>0</v>
      </c>
      <c r="G1010" s="8">
        <f>E1010+F1010</f>
        <v>3535.8029000000001</v>
      </c>
      <c r="H1010" s="3">
        <f>B1010*G1010</f>
        <v>65553.785766000001</v>
      </c>
      <c r="I1010" s="3">
        <f>C1010*G1010</f>
        <v>65589.143795000011</v>
      </c>
    </row>
    <row r="1011" spans="1:9" x14ac:dyDescent="0.25">
      <c r="A1011" t="s">
        <v>14</v>
      </c>
      <c r="B1011" s="1">
        <v>37.15</v>
      </c>
      <c r="C1011" s="1">
        <v>37.159999999999997</v>
      </c>
      <c r="D1011" s="2" t="s">
        <v>131</v>
      </c>
      <c r="E1011" s="8">
        <v>1764.9866999999999</v>
      </c>
      <c r="F1011" s="8">
        <f>F1001</f>
        <v>0.2</v>
      </c>
      <c r="G1011" s="8">
        <f>E1011+F1011</f>
        <v>1765.1867</v>
      </c>
      <c r="H1011" s="3">
        <f>B1011*G1011</f>
        <v>65576.685904999991</v>
      </c>
      <c r="I1011" s="3">
        <f>C1011*G1011</f>
        <v>65594.337771999999</v>
      </c>
    </row>
    <row r="1012" spans="1:9" x14ac:dyDescent="0.25">
      <c r="A1012" t="s">
        <v>4</v>
      </c>
      <c r="B1012" s="1">
        <v>21.73</v>
      </c>
      <c r="C1012" s="1">
        <v>21.74</v>
      </c>
      <c r="D1012" s="2" t="s">
        <v>132</v>
      </c>
      <c r="E1012" s="8">
        <v>3014.8449999999998</v>
      </c>
      <c r="F1012" s="8">
        <f>F1002</f>
        <v>0</v>
      </c>
      <c r="G1012" s="8">
        <f>E1012+F1012</f>
        <v>3014.8449999999998</v>
      </c>
      <c r="H1012" s="3">
        <f>B1012*G1012</f>
        <v>65512.581849999995</v>
      </c>
      <c r="I1012" s="3">
        <f>C1012*G1012</f>
        <v>65542.730299999996</v>
      </c>
    </row>
    <row r="1013" spans="1:9" x14ac:dyDescent="0.25">
      <c r="A1013" t="s">
        <v>6</v>
      </c>
      <c r="B1013" s="1">
        <v>35.57</v>
      </c>
      <c r="C1013" s="1">
        <v>35.58</v>
      </c>
      <c r="D1013" s="2" t="s">
        <v>132</v>
      </c>
      <c r="E1013" s="8">
        <v>1842.0599</v>
      </c>
      <c r="F1013" s="8">
        <f>F1003</f>
        <v>-0.1</v>
      </c>
      <c r="G1013" s="8">
        <f>E1013+F1013</f>
        <v>1841.9599000000001</v>
      </c>
      <c r="H1013" s="3">
        <f>B1013*G1013</f>
        <v>65518.513643000006</v>
      </c>
      <c r="I1013" s="3">
        <f>C1013*G1013</f>
        <v>65536.933241999999</v>
      </c>
    </row>
    <row r="1014" spans="1:9" x14ac:dyDescent="0.25">
      <c r="A1014" t="s">
        <v>7</v>
      </c>
      <c r="B1014" s="1">
        <v>18.48</v>
      </c>
      <c r="C1014" s="1">
        <v>18.489999999999998</v>
      </c>
      <c r="D1014" s="2" t="s">
        <v>132</v>
      </c>
      <c r="E1014" s="8">
        <v>3546.4407000000001</v>
      </c>
      <c r="F1014" s="8">
        <f>F1004</f>
        <v>0</v>
      </c>
      <c r="G1014" s="8">
        <f>E1014+F1014</f>
        <v>3546.4407000000001</v>
      </c>
      <c r="H1014" s="3">
        <f>B1014*G1014</f>
        <v>65538.224136000004</v>
      </c>
      <c r="I1014" s="3">
        <f>C1014*G1014</f>
        <v>65573.688542999997</v>
      </c>
    </row>
    <row r="1015" spans="1:9" x14ac:dyDescent="0.25">
      <c r="A1015" t="s">
        <v>8</v>
      </c>
      <c r="B1015" s="1">
        <v>28.98</v>
      </c>
      <c r="C1015" s="1">
        <v>28.99</v>
      </c>
      <c r="D1015" s="2" t="s">
        <v>132</v>
      </c>
      <c r="E1015" s="8">
        <v>2261.2858000000001</v>
      </c>
      <c r="F1015" s="8">
        <f>F1005</f>
        <v>-0.2</v>
      </c>
      <c r="G1015" s="8">
        <f>E1015+F1015</f>
        <v>2261.0858000000003</v>
      </c>
      <c r="H1015" s="3">
        <f>B1015*G1015</f>
        <v>65526.266484000007</v>
      </c>
      <c r="I1015" s="3">
        <f>C1015*G1015</f>
        <v>65548.877342000007</v>
      </c>
    </row>
    <row r="1016" spans="1:9" x14ac:dyDescent="0.25">
      <c r="A1016" t="s">
        <v>9</v>
      </c>
      <c r="B1016" s="1">
        <v>69.25</v>
      </c>
      <c r="C1016" s="1">
        <v>69.319999999999993</v>
      </c>
      <c r="D1016" s="2" t="s">
        <v>132</v>
      </c>
      <c r="E1016" s="8">
        <v>946.09739999999999</v>
      </c>
      <c r="F1016" s="8">
        <f>F1006</f>
        <v>0</v>
      </c>
      <c r="G1016" s="8">
        <f>E1016+F1016</f>
        <v>946.09739999999999</v>
      </c>
      <c r="H1016" s="3">
        <f>B1016*G1016</f>
        <v>65517.24495</v>
      </c>
      <c r="I1016" s="3">
        <f>C1016*G1016</f>
        <v>65583.471767999989</v>
      </c>
    </row>
    <row r="1017" spans="1:9" x14ac:dyDescent="0.25">
      <c r="A1017" t="s">
        <v>10</v>
      </c>
      <c r="B1017" s="1">
        <v>37.85</v>
      </c>
      <c r="C1017" s="1">
        <v>37.880000000000003</v>
      </c>
      <c r="D1017" s="2" t="s">
        <v>132</v>
      </c>
      <c r="E1017" s="8">
        <v>1730.0638000000001</v>
      </c>
      <c r="F1017" s="8">
        <f>F1007</f>
        <v>0.2</v>
      </c>
      <c r="G1017" s="8">
        <f>E1017+F1017</f>
        <v>1730.2638000000002</v>
      </c>
      <c r="H1017" s="3">
        <f>B1017*G1017</f>
        <v>65490.484830000009</v>
      </c>
      <c r="I1017" s="3">
        <f>C1017*G1017</f>
        <v>65542.392744000012</v>
      </c>
    </row>
    <row r="1018" spans="1:9" x14ac:dyDescent="0.25">
      <c r="A1018" t="s">
        <v>11</v>
      </c>
      <c r="B1018" s="1">
        <v>57.04</v>
      </c>
      <c r="C1018" s="1">
        <v>57.05</v>
      </c>
      <c r="D1018" s="2" t="s">
        <v>132</v>
      </c>
      <c r="E1018" s="8">
        <v>1148.8058000000001</v>
      </c>
      <c r="F1018" s="8">
        <f>F1008</f>
        <v>0.05</v>
      </c>
      <c r="G1018" s="8">
        <f>E1018+F1018</f>
        <v>1148.8558</v>
      </c>
      <c r="H1018" s="3">
        <f>B1018*G1018</f>
        <v>65530.734832000002</v>
      </c>
      <c r="I1018" s="3">
        <f>C1018*G1018</f>
        <v>65542.223389999999</v>
      </c>
    </row>
    <row r="1019" spans="1:9" x14ac:dyDescent="0.25">
      <c r="A1019" t="s">
        <v>12</v>
      </c>
      <c r="B1019" s="1">
        <v>50.83</v>
      </c>
      <c r="C1019" s="1">
        <v>50.84</v>
      </c>
      <c r="D1019" s="2" t="s">
        <v>132</v>
      </c>
      <c r="E1019" s="8">
        <v>1288.6435000000001</v>
      </c>
      <c r="F1019" s="8">
        <f>F1009</f>
        <v>0</v>
      </c>
      <c r="G1019" s="8">
        <f>E1019+F1019</f>
        <v>1288.6435000000001</v>
      </c>
      <c r="H1019" s="3">
        <f>B1019*G1019</f>
        <v>65501.749105000003</v>
      </c>
      <c r="I1019" s="3">
        <f>C1019*G1019</f>
        <v>65514.63554000001</v>
      </c>
    </row>
    <row r="1020" spans="1:9" x14ac:dyDescent="0.25">
      <c r="A1020" t="s">
        <v>13</v>
      </c>
      <c r="B1020" s="1">
        <v>18.53</v>
      </c>
      <c r="C1020" s="1">
        <v>18.54</v>
      </c>
      <c r="D1020" s="2" t="s">
        <v>132</v>
      </c>
      <c r="E1020" s="8">
        <v>3535.8029000000001</v>
      </c>
      <c r="F1020" s="8">
        <f>F1010</f>
        <v>0</v>
      </c>
      <c r="G1020" s="8">
        <f>E1020+F1020</f>
        <v>3535.8029000000001</v>
      </c>
      <c r="H1020" s="3">
        <f>B1020*G1020</f>
        <v>65518.427737000005</v>
      </c>
      <c r="I1020" s="3">
        <f>C1020*G1020</f>
        <v>65553.785766000001</v>
      </c>
    </row>
    <row r="1021" spans="1:9" x14ac:dyDescent="0.25">
      <c r="A1021" t="s">
        <v>14</v>
      </c>
      <c r="B1021" s="1">
        <v>37.119999999999997</v>
      </c>
      <c r="C1021" s="1">
        <v>37.130000000000003</v>
      </c>
      <c r="D1021" s="2" t="s">
        <v>132</v>
      </c>
      <c r="E1021" s="8">
        <v>1764.9866999999999</v>
      </c>
      <c r="F1021" s="8">
        <f>F1011</f>
        <v>0.2</v>
      </c>
      <c r="G1021" s="8">
        <f>E1021+F1021</f>
        <v>1765.1867</v>
      </c>
      <c r="H1021" s="3">
        <f>B1021*G1021</f>
        <v>65523.730303999997</v>
      </c>
      <c r="I1021" s="3">
        <f>C1021*G1021</f>
        <v>65541.382171000005</v>
      </c>
    </row>
    <row r="1022" spans="1:9" x14ac:dyDescent="0.25">
      <c r="A1022" t="s">
        <v>4</v>
      </c>
      <c r="B1022" s="1">
        <v>21.77</v>
      </c>
      <c r="C1022" s="1">
        <v>21.78</v>
      </c>
      <c r="D1022" s="2" t="s">
        <v>134</v>
      </c>
      <c r="E1022" s="8">
        <v>3014.8622999999998</v>
      </c>
      <c r="F1022" s="8">
        <f>F1012</f>
        <v>0</v>
      </c>
      <c r="G1022" s="8">
        <f>E1022+F1022</f>
        <v>3014.8622999999998</v>
      </c>
      <c r="H1022" s="3">
        <f>B1022*G1022</f>
        <v>65633.552270999993</v>
      </c>
      <c r="I1022" s="3">
        <f>C1022*G1022</f>
        <v>65663.700893999994</v>
      </c>
    </row>
    <row r="1023" spans="1:9" x14ac:dyDescent="0.25">
      <c r="A1023" t="s">
        <v>6</v>
      </c>
      <c r="B1023" s="1">
        <v>35.630000000000003</v>
      </c>
      <c r="C1023" s="1">
        <v>35.64</v>
      </c>
      <c r="D1023" s="2" t="s">
        <v>134</v>
      </c>
      <c r="E1023" s="8">
        <v>1842.07</v>
      </c>
      <c r="F1023" s="8">
        <f>F1013</f>
        <v>-0.1</v>
      </c>
      <c r="G1023" s="8">
        <f>E1023+F1023</f>
        <v>1841.97</v>
      </c>
      <c r="H1023" s="3">
        <f>B1023*G1023</f>
        <v>65629.391100000008</v>
      </c>
      <c r="I1023" s="3">
        <f>C1023*G1023</f>
        <v>65647.810800000007</v>
      </c>
    </row>
    <row r="1024" spans="1:9" x14ac:dyDescent="0.25">
      <c r="A1024" t="s">
        <v>7</v>
      </c>
      <c r="B1024" s="1">
        <v>18.510000000000002</v>
      </c>
      <c r="C1024" s="1">
        <v>18.52</v>
      </c>
      <c r="D1024" s="2" t="s">
        <v>134</v>
      </c>
      <c r="E1024" s="8">
        <v>3546.4650000000001</v>
      </c>
      <c r="F1024" s="8">
        <f>F1014</f>
        <v>0</v>
      </c>
      <c r="G1024" s="8">
        <f>E1024+F1024</f>
        <v>3546.4650000000001</v>
      </c>
      <c r="H1024" s="3">
        <f>B1024*G1024</f>
        <v>65645.067150000003</v>
      </c>
      <c r="I1024" s="3">
        <f>C1024*G1024</f>
        <v>65680.531799999997</v>
      </c>
    </row>
    <row r="1025" spans="1:9" x14ac:dyDescent="0.25">
      <c r="A1025" t="s">
        <v>8</v>
      </c>
      <c r="B1025" s="1">
        <v>29.03</v>
      </c>
      <c r="C1025" s="1">
        <v>29.04</v>
      </c>
      <c r="D1025" s="2" t="s">
        <v>134</v>
      </c>
      <c r="E1025" s="8">
        <v>2261.2950999999998</v>
      </c>
      <c r="F1025" s="8">
        <f>F1015</f>
        <v>-0.2</v>
      </c>
      <c r="G1025" s="8">
        <f>E1025+F1025</f>
        <v>2261.0951</v>
      </c>
      <c r="H1025" s="3">
        <f>B1025*G1025</f>
        <v>65639.590752999997</v>
      </c>
      <c r="I1025" s="3">
        <f>C1025*G1025</f>
        <v>65662.201703999992</v>
      </c>
    </row>
    <row r="1026" spans="1:9" x14ac:dyDescent="0.25">
      <c r="A1026" t="s">
        <v>9</v>
      </c>
      <c r="B1026" s="1">
        <v>69.38</v>
      </c>
      <c r="C1026" s="1">
        <v>69.489999999999995</v>
      </c>
      <c r="D1026" s="2" t="s">
        <v>134</v>
      </c>
      <c r="E1026" s="8">
        <v>946.10389999999995</v>
      </c>
      <c r="F1026" s="8">
        <f>F1016</f>
        <v>0</v>
      </c>
      <c r="G1026" s="8">
        <f>E1026+F1026</f>
        <v>946.10389999999995</v>
      </c>
      <c r="H1026" s="3">
        <f>B1026*G1026</f>
        <v>65640.688581999988</v>
      </c>
      <c r="I1026" s="3">
        <f>C1026*G1026</f>
        <v>65744.760010999991</v>
      </c>
    </row>
    <row r="1027" spans="1:9" x14ac:dyDescent="0.25">
      <c r="A1027" t="s">
        <v>10</v>
      </c>
      <c r="B1027" s="1">
        <v>37.92</v>
      </c>
      <c r="C1027" s="1">
        <v>37.950000000000003</v>
      </c>
      <c r="D1027" s="2" t="s">
        <v>134</v>
      </c>
      <c r="E1027" s="8">
        <v>1730.0728000000001</v>
      </c>
      <c r="F1027" s="8">
        <f>F1017</f>
        <v>0.2</v>
      </c>
      <c r="G1027" s="8">
        <f>E1027+F1027</f>
        <v>1730.2728000000002</v>
      </c>
      <c r="H1027" s="3">
        <f>B1027*G1027</f>
        <v>65611.944576000009</v>
      </c>
      <c r="I1027" s="3">
        <f>C1027*G1027</f>
        <v>65663.852760000009</v>
      </c>
    </row>
    <row r="1028" spans="1:9" x14ac:dyDescent="0.25">
      <c r="A1028" t="s">
        <v>11</v>
      </c>
      <c r="B1028" s="1">
        <v>57.13</v>
      </c>
      <c r="C1028" s="1">
        <v>57.14</v>
      </c>
      <c r="D1028" s="2" t="s">
        <v>134</v>
      </c>
      <c r="E1028" s="8">
        <v>1148.8136999999999</v>
      </c>
      <c r="F1028" s="8">
        <f>F1018</f>
        <v>0.05</v>
      </c>
      <c r="G1028" s="8">
        <f>E1028+F1028</f>
        <v>1148.8636999999999</v>
      </c>
      <c r="H1028" s="3">
        <f>B1028*G1028</f>
        <v>65634.583180999995</v>
      </c>
      <c r="I1028" s="3">
        <f>C1028*G1028</f>
        <v>65646.071817999997</v>
      </c>
    </row>
    <row r="1029" spans="1:9" x14ac:dyDescent="0.25">
      <c r="A1029" t="s">
        <v>12</v>
      </c>
      <c r="B1029" s="1">
        <v>50.93</v>
      </c>
      <c r="C1029" s="1">
        <v>50.95</v>
      </c>
      <c r="D1029" s="2" t="s">
        <v>134</v>
      </c>
      <c r="E1029" s="8">
        <v>1288.6965</v>
      </c>
      <c r="F1029" s="8">
        <f>F1019</f>
        <v>0</v>
      </c>
      <c r="G1029" s="8">
        <f>E1029+F1029</f>
        <v>1288.6965</v>
      </c>
      <c r="H1029" s="3">
        <f>B1029*G1029</f>
        <v>65633.312745000003</v>
      </c>
      <c r="I1029" s="3">
        <f>C1029*G1029</f>
        <v>65659.086674999999</v>
      </c>
    </row>
    <row r="1030" spans="1:9" x14ac:dyDescent="0.25">
      <c r="A1030" t="s">
        <v>13</v>
      </c>
      <c r="B1030" s="1">
        <v>18.559999999999999</v>
      </c>
      <c r="C1030" s="1">
        <v>18.57</v>
      </c>
      <c r="D1030" s="2" t="s">
        <v>134</v>
      </c>
      <c r="E1030" s="8">
        <v>3535.8029000000001</v>
      </c>
      <c r="F1030" s="8">
        <f>F1020</f>
        <v>0</v>
      </c>
      <c r="G1030" s="8">
        <f>E1030+F1030</f>
        <v>3535.8029000000001</v>
      </c>
      <c r="H1030" s="3">
        <f>B1030*G1030</f>
        <v>65624.501823999992</v>
      </c>
      <c r="I1030" s="3">
        <f>C1030*G1030</f>
        <v>65659.859853000002</v>
      </c>
    </row>
    <row r="1031" spans="1:9" x14ac:dyDescent="0.25">
      <c r="A1031" t="s">
        <v>14</v>
      </c>
      <c r="B1031" s="1">
        <v>37.18</v>
      </c>
      <c r="C1031" s="1">
        <v>37.19</v>
      </c>
      <c r="D1031" s="2" t="s">
        <v>134</v>
      </c>
      <c r="E1031" s="8">
        <v>1764.9988000000001</v>
      </c>
      <c r="F1031" s="8">
        <f>F1021</f>
        <v>0.2</v>
      </c>
      <c r="G1031" s="8">
        <f>E1031+F1031</f>
        <v>1765.1988000000001</v>
      </c>
      <c r="H1031" s="3">
        <f>B1031*G1031</f>
        <v>65630.091383999999</v>
      </c>
      <c r="I1031" s="3">
        <f>C1031*G1031</f>
        <v>65647.743371999997</v>
      </c>
    </row>
    <row r="1032" spans="1:9" x14ac:dyDescent="0.25">
      <c r="A1032" t="s">
        <v>4</v>
      </c>
      <c r="B1032" s="1">
        <v>21.81</v>
      </c>
      <c r="C1032" s="1">
        <v>21.82</v>
      </c>
      <c r="D1032" s="2" t="s">
        <v>135</v>
      </c>
      <c r="E1032" s="8">
        <v>3014.8622999999998</v>
      </c>
      <c r="F1032" s="8">
        <f>F1022</f>
        <v>0</v>
      </c>
      <c r="G1032" s="8">
        <f>E1032+F1032</f>
        <v>3014.8622999999998</v>
      </c>
      <c r="H1032" s="3">
        <f>B1032*G1032</f>
        <v>65754.146762999997</v>
      </c>
      <c r="I1032" s="3">
        <f>C1032*G1032</f>
        <v>65784.295385999998</v>
      </c>
    </row>
    <row r="1033" spans="1:9" x14ac:dyDescent="0.25">
      <c r="A1033" t="s">
        <v>6</v>
      </c>
      <c r="B1033" s="1">
        <v>35.700000000000003</v>
      </c>
      <c r="C1033" s="1">
        <v>35.71</v>
      </c>
      <c r="D1033" s="2" t="s">
        <v>135</v>
      </c>
      <c r="E1033" s="8">
        <v>1842.07</v>
      </c>
      <c r="F1033" s="8">
        <f>F1023</f>
        <v>-0.1</v>
      </c>
      <c r="G1033" s="8">
        <f>E1033+F1033</f>
        <v>1841.97</v>
      </c>
      <c r="H1033" s="3">
        <f>B1033*G1033</f>
        <v>65758.329000000012</v>
      </c>
      <c r="I1033" s="3">
        <f>C1033*G1033</f>
        <v>65776.748699999996</v>
      </c>
    </row>
    <row r="1034" spans="1:9" x14ac:dyDescent="0.25">
      <c r="A1034" t="s">
        <v>7</v>
      </c>
      <c r="B1034" s="1">
        <v>18.54</v>
      </c>
      <c r="C1034" s="1">
        <v>18.55</v>
      </c>
      <c r="D1034" s="2" t="s">
        <v>135</v>
      </c>
      <c r="E1034" s="8">
        <v>3546.4650000000001</v>
      </c>
      <c r="F1034" s="8">
        <f>F1024</f>
        <v>0</v>
      </c>
      <c r="G1034" s="8">
        <f>E1034+F1034</f>
        <v>3546.4650000000001</v>
      </c>
      <c r="H1034" s="3">
        <f>B1034*G1034</f>
        <v>65751.4611</v>
      </c>
      <c r="I1034" s="3">
        <f>C1034*G1034</f>
        <v>65786.925750000009</v>
      </c>
    </row>
    <row r="1035" spans="1:9" x14ac:dyDescent="0.25">
      <c r="A1035" t="s">
        <v>8</v>
      </c>
      <c r="B1035" s="1">
        <v>29.08</v>
      </c>
      <c r="C1035" s="1">
        <v>29.09</v>
      </c>
      <c r="D1035" s="2" t="s">
        <v>135</v>
      </c>
      <c r="E1035" s="8">
        <v>2261.2950999999998</v>
      </c>
      <c r="F1035" s="8">
        <f>F1025</f>
        <v>-0.2</v>
      </c>
      <c r="G1035" s="8">
        <f>E1035+F1035</f>
        <v>2261.0951</v>
      </c>
      <c r="H1035" s="3">
        <f>B1035*G1035</f>
        <v>65752.645508000001</v>
      </c>
      <c r="I1035" s="3">
        <f>C1035*G1035</f>
        <v>65775.256458999997</v>
      </c>
    </row>
    <row r="1036" spans="1:9" x14ac:dyDescent="0.25">
      <c r="A1036" t="s">
        <v>9</v>
      </c>
      <c r="B1036" s="1">
        <v>69.510000000000005</v>
      </c>
      <c r="C1036" s="1">
        <v>69.59</v>
      </c>
      <c r="D1036" s="2" t="s">
        <v>135</v>
      </c>
      <c r="E1036" s="8">
        <v>946.10389999999995</v>
      </c>
      <c r="F1036" s="8">
        <f>F1026</f>
        <v>0</v>
      </c>
      <c r="G1036" s="8">
        <f>E1036+F1036</f>
        <v>946.10389999999995</v>
      </c>
      <c r="H1036" s="3">
        <f>B1036*G1036</f>
        <v>65763.682088999994</v>
      </c>
      <c r="I1036" s="3">
        <f>C1036*G1036</f>
        <v>65839.370400999993</v>
      </c>
    </row>
    <row r="1037" spans="1:9" x14ac:dyDescent="0.25">
      <c r="A1037" t="s">
        <v>10</v>
      </c>
      <c r="B1037" s="1">
        <v>38</v>
      </c>
      <c r="C1037" s="1">
        <v>38.020000000000003</v>
      </c>
      <c r="D1037" s="2" t="s">
        <v>135</v>
      </c>
      <c r="E1037" s="8">
        <v>1730.0728000000001</v>
      </c>
      <c r="F1037" s="8">
        <f>F1027</f>
        <v>0.2</v>
      </c>
      <c r="G1037" s="8">
        <f>E1037+F1037</f>
        <v>1730.2728000000002</v>
      </c>
      <c r="H1037" s="3">
        <f>B1037*G1037</f>
        <v>65750.366400000014</v>
      </c>
      <c r="I1037" s="3">
        <f>C1037*G1037</f>
        <v>65784.971856000018</v>
      </c>
    </row>
    <row r="1038" spans="1:9" x14ac:dyDescent="0.25">
      <c r="A1038" t="s">
        <v>11</v>
      </c>
      <c r="B1038" s="1">
        <v>57.24</v>
      </c>
      <c r="C1038" s="1">
        <v>57.25</v>
      </c>
      <c r="D1038" s="2" t="s">
        <v>135</v>
      </c>
      <c r="E1038" s="8">
        <v>1148.8136999999999</v>
      </c>
      <c r="F1038" s="8">
        <f>F1028</f>
        <v>0.05</v>
      </c>
      <c r="G1038" s="8">
        <f>E1038+F1038</f>
        <v>1148.8636999999999</v>
      </c>
      <c r="H1038" s="3">
        <f>B1038*G1038</f>
        <v>65760.95818799999</v>
      </c>
      <c r="I1038" s="3">
        <f>C1038*G1038</f>
        <v>65772.446824999992</v>
      </c>
    </row>
    <row r="1039" spans="1:9" x14ac:dyDescent="0.25">
      <c r="A1039" t="s">
        <v>12</v>
      </c>
      <c r="B1039" s="1">
        <v>51.03</v>
      </c>
      <c r="C1039" s="1">
        <v>51.04</v>
      </c>
      <c r="D1039" s="2" t="s">
        <v>135</v>
      </c>
      <c r="E1039" s="8">
        <v>1288.6965</v>
      </c>
      <c r="F1039" s="8">
        <f>F1029</f>
        <v>0</v>
      </c>
      <c r="G1039" s="8">
        <f>E1039+F1039</f>
        <v>1288.6965</v>
      </c>
      <c r="H1039" s="3">
        <f>B1039*G1039</f>
        <v>65762.182394999996</v>
      </c>
      <c r="I1039" s="3">
        <f>C1039*G1039</f>
        <v>65775.069359999994</v>
      </c>
    </row>
    <row r="1040" spans="1:9" x14ac:dyDescent="0.25">
      <c r="A1040" t="s">
        <v>13</v>
      </c>
      <c r="B1040" s="1">
        <v>18.59</v>
      </c>
      <c r="C1040" s="1">
        <v>18.600000000000001</v>
      </c>
      <c r="D1040" s="2" t="s">
        <v>135</v>
      </c>
      <c r="E1040" s="8">
        <v>3535.8029000000001</v>
      </c>
      <c r="F1040" s="8">
        <f>F1030</f>
        <v>0</v>
      </c>
      <c r="G1040" s="8">
        <f>E1040+F1040</f>
        <v>3535.8029000000001</v>
      </c>
      <c r="H1040" s="3">
        <f>B1040*G1040</f>
        <v>65730.575911000007</v>
      </c>
      <c r="I1040" s="3">
        <f>C1040*G1040</f>
        <v>65765.933940000003</v>
      </c>
    </row>
    <row r="1041" spans="1:9" x14ac:dyDescent="0.25">
      <c r="A1041" t="s">
        <v>14</v>
      </c>
      <c r="B1041" s="1">
        <v>37.25</v>
      </c>
      <c r="C1041" s="1">
        <v>37.26</v>
      </c>
      <c r="D1041" s="2" t="s">
        <v>135</v>
      </c>
      <c r="E1041" s="8">
        <v>1764.9988000000001</v>
      </c>
      <c r="F1041" s="8">
        <f>F1031</f>
        <v>0.2</v>
      </c>
      <c r="G1041" s="8">
        <f>E1041+F1041</f>
        <v>1765.1988000000001</v>
      </c>
      <c r="H1041" s="3">
        <f>B1041*G1041</f>
        <v>65753.655299999999</v>
      </c>
      <c r="I1041" s="3">
        <f>C1041*G1041</f>
        <v>65771.307287999996</v>
      </c>
    </row>
    <row r="1042" spans="1:9" x14ac:dyDescent="0.25">
      <c r="A1042" t="s">
        <v>4</v>
      </c>
      <c r="B1042" s="1">
        <v>21.79</v>
      </c>
      <c r="C1042" s="1">
        <v>21.8</v>
      </c>
      <c r="D1042" s="2" t="s">
        <v>136</v>
      </c>
      <c r="E1042" s="8">
        <v>3014.8622999999998</v>
      </c>
      <c r="F1042" s="8">
        <f>F1032</f>
        <v>0</v>
      </c>
      <c r="G1042" s="8">
        <f>E1042+F1042</f>
        <v>3014.8622999999998</v>
      </c>
      <c r="H1042" s="3">
        <f>B1042*G1042</f>
        <v>65693.849516999995</v>
      </c>
      <c r="I1042" s="3">
        <f>C1042*G1042</f>
        <v>65723.998139999996</v>
      </c>
    </row>
    <row r="1043" spans="1:9" x14ac:dyDescent="0.25">
      <c r="A1043" t="s">
        <v>6</v>
      </c>
      <c r="B1043" s="1">
        <v>35.67</v>
      </c>
      <c r="C1043" s="1">
        <v>35.68</v>
      </c>
      <c r="D1043" s="2" t="s">
        <v>136</v>
      </c>
      <c r="E1043" s="8">
        <v>1842.07</v>
      </c>
      <c r="F1043" s="8">
        <f>F1033</f>
        <v>-0.1</v>
      </c>
      <c r="G1043" s="8">
        <f>E1043+F1043</f>
        <v>1841.97</v>
      </c>
      <c r="H1043" s="3">
        <f>B1043*G1043</f>
        <v>65703.069900000002</v>
      </c>
      <c r="I1043" s="3">
        <f>C1043*G1043</f>
        <v>65721.489600000001</v>
      </c>
    </row>
    <row r="1044" spans="1:9" x14ac:dyDescent="0.25">
      <c r="A1044" t="s">
        <v>7</v>
      </c>
      <c r="B1044" s="1">
        <v>18.53</v>
      </c>
      <c r="C1044" s="1">
        <v>18.54</v>
      </c>
      <c r="D1044" s="2" t="s">
        <v>136</v>
      </c>
      <c r="E1044" s="8">
        <v>3546.4650000000001</v>
      </c>
      <c r="F1044" s="8">
        <f>F1034</f>
        <v>0</v>
      </c>
      <c r="G1044" s="8">
        <f>E1044+F1044</f>
        <v>3546.4650000000001</v>
      </c>
      <c r="H1044" s="3">
        <f>B1044*G1044</f>
        <v>65715.996450000006</v>
      </c>
      <c r="I1044" s="3">
        <f>C1044*G1044</f>
        <v>65751.4611</v>
      </c>
    </row>
    <row r="1045" spans="1:9" x14ac:dyDescent="0.25">
      <c r="A1045" t="s">
        <v>8</v>
      </c>
      <c r="B1045" s="1">
        <v>29.06</v>
      </c>
      <c r="C1045" s="1">
        <v>29.07</v>
      </c>
      <c r="D1045" s="2" t="s">
        <v>136</v>
      </c>
      <c r="E1045" s="8">
        <v>2261.2950999999998</v>
      </c>
      <c r="F1045" s="8">
        <f>F1035</f>
        <v>-0.2</v>
      </c>
      <c r="G1045" s="8">
        <f>E1045+F1045</f>
        <v>2261.0951</v>
      </c>
      <c r="H1045" s="3">
        <f>B1045*G1045</f>
        <v>65707.423605999997</v>
      </c>
      <c r="I1045" s="3">
        <f>C1045*G1045</f>
        <v>65730.034557000006</v>
      </c>
    </row>
    <row r="1046" spans="1:9" x14ac:dyDescent="0.25">
      <c r="A1046" t="s">
        <v>9</v>
      </c>
      <c r="B1046" s="1">
        <v>69.45</v>
      </c>
      <c r="C1046" s="1">
        <v>69.540000000000006</v>
      </c>
      <c r="D1046" s="2" t="s">
        <v>136</v>
      </c>
      <c r="E1046" s="8">
        <v>946.10389999999995</v>
      </c>
      <c r="F1046" s="8">
        <f>F1036</f>
        <v>0</v>
      </c>
      <c r="G1046" s="8">
        <f>E1046+F1046</f>
        <v>946.10389999999995</v>
      </c>
      <c r="H1046" s="3">
        <f>B1046*G1046</f>
        <v>65706.915854999999</v>
      </c>
      <c r="I1046" s="3">
        <f>C1046*G1046</f>
        <v>65792.065205999999</v>
      </c>
    </row>
    <row r="1047" spans="1:9" x14ac:dyDescent="0.25">
      <c r="A1047" t="s">
        <v>10</v>
      </c>
      <c r="B1047" s="1">
        <v>37.97</v>
      </c>
      <c r="C1047" s="1">
        <v>37.99</v>
      </c>
      <c r="D1047" s="2" t="s">
        <v>136</v>
      </c>
      <c r="E1047" s="8">
        <v>1730.0728000000001</v>
      </c>
      <c r="F1047" s="8">
        <f>F1037</f>
        <v>0.2</v>
      </c>
      <c r="G1047" s="8">
        <f>E1047+F1047</f>
        <v>1730.2728000000002</v>
      </c>
      <c r="H1047" s="3">
        <f>B1047*G1047</f>
        <v>65698.458215999999</v>
      </c>
      <c r="I1047" s="3">
        <f>C1047*G1047</f>
        <v>65733.063672000004</v>
      </c>
    </row>
    <row r="1048" spans="1:9" x14ac:dyDescent="0.25">
      <c r="A1048" t="s">
        <v>11</v>
      </c>
      <c r="B1048" s="1">
        <v>57.19</v>
      </c>
      <c r="C1048" s="1">
        <v>57.21</v>
      </c>
      <c r="D1048" s="2" t="s">
        <v>136</v>
      </c>
      <c r="E1048" s="8">
        <v>1148.8136999999999</v>
      </c>
      <c r="F1048" s="8">
        <f>F1038</f>
        <v>0.05</v>
      </c>
      <c r="G1048" s="8">
        <f>E1048+F1048</f>
        <v>1148.8636999999999</v>
      </c>
      <c r="H1048" s="3">
        <f>B1048*G1048</f>
        <v>65703.515002999993</v>
      </c>
      <c r="I1048" s="3">
        <f>C1048*G1048</f>
        <v>65726.492276999998</v>
      </c>
    </row>
    <row r="1049" spans="1:9" x14ac:dyDescent="0.25">
      <c r="A1049" t="s">
        <v>12</v>
      </c>
      <c r="B1049" s="1">
        <v>50.98</v>
      </c>
      <c r="C1049" s="1">
        <v>51</v>
      </c>
      <c r="D1049" s="2" t="s">
        <v>136</v>
      </c>
      <c r="E1049" s="8">
        <v>1288.6965</v>
      </c>
      <c r="F1049" s="8">
        <f>F1039</f>
        <v>0</v>
      </c>
      <c r="G1049" s="8">
        <f>E1049+F1049</f>
        <v>1288.6965</v>
      </c>
      <c r="H1049" s="3">
        <f>B1049*G1049</f>
        <v>65697.747569999992</v>
      </c>
      <c r="I1049" s="3">
        <f>C1049*G1049</f>
        <v>65723.521500000003</v>
      </c>
    </row>
    <row r="1050" spans="1:9" x14ac:dyDescent="0.25">
      <c r="A1050" t="s">
        <v>13</v>
      </c>
      <c r="B1050" s="1">
        <v>18.579999999999998</v>
      </c>
      <c r="C1050" s="1">
        <v>18.59</v>
      </c>
      <c r="D1050" s="2" t="s">
        <v>136</v>
      </c>
      <c r="E1050" s="8">
        <v>3535.8029000000001</v>
      </c>
      <c r="F1050" s="8">
        <f>F1040</f>
        <v>0</v>
      </c>
      <c r="G1050" s="8">
        <f>E1050+F1050</f>
        <v>3535.8029000000001</v>
      </c>
      <c r="H1050" s="3">
        <f>B1050*G1050</f>
        <v>65695.217881999997</v>
      </c>
      <c r="I1050" s="3">
        <f>C1050*G1050</f>
        <v>65730.575911000007</v>
      </c>
    </row>
    <row r="1051" spans="1:9" x14ac:dyDescent="0.25">
      <c r="A1051" t="s">
        <v>14</v>
      </c>
      <c r="B1051" s="1">
        <v>37.22</v>
      </c>
      <c r="C1051" s="1">
        <v>37.229999999999997</v>
      </c>
      <c r="D1051" s="2" t="s">
        <v>136</v>
      </c>
      <c r="E1051" s="8">
        <v>1764.9988000000001</v>
      </c>
      <c r="F1051" s="8">
        <f>F1041</f>
        <v>0.2</v>
      </c>
      <c r="G1051" s="8">
        <f>E1051+F1051</f>
        <v>1765.1988000000001</v>
      </c>
      <c r="H1051" s="3">
        <f>B1051*G1051</f>
        <v>65700.699336000005</v>
      </c>
      <c r="I1051" s="3">
        <f>C1051*G1051</f>
        <v>65718.351324000003</v>
      </c>
    </row>
    <row r="1052" spans="1:9" x14ac:dyDescent="0.25">
      <c r="A1052" t="s">
        <v>4</v>
      </c>
      <c r="B1052" s="1">
        <v>21.93</v>
      </c>
      <c r="C1052" s="1">
        <v>21.94</v>
      </c>
      <c r="D1052" s="2" t="s">
        <v>137</v>
      </c>
      <c r="E1052" s="8">
        <v>3014.8622999999998</v>
      </c>
      <c r="F1052" s="8">
        <f>F1042</f>
        <v>0</v>
      </c>
      <c r="G1052" s="8">
        <f>E1052+F1052</f>
        <v>3014.8622999999998</v>
      </c>
      <c r="H1052" s="3">
        <f>B1052*G1052</f>
        <v>66115.930238999994</v>
      </c>
      <c r="I1052" s="3">
        <f>C1052*G1052</f>
        <v>66146.078861999995</v>
      </c>
    </row>
    <row r="1053" spans="1:9" x14ac:dyDescent="0.25">
      <c r="A1053" t="s">
        <v>6</v>
      </c>
      <c r="B1053" s="1">
        <v>35.89</v>
      </c>
      <c r="C1053" s="1">
        <v>35.9</v>
      </c>
      <c r="D1053" s="2" t="s">
        <v>137</v>
      </c>
      <c r="E1053" s="8">
        <v>1842.07</v>
      </c>
      <c r="F1053" s="8">
        <f>F1043</f>
        <v>-0.1</v>
      </c>
      <c r="G1053" s="8">
        <f>E1053+F1053</f>
        <v>1841.97</v>
      </c>
      <c r="H1053" s="3">
        <f>B1053*G1053</f>
        <v>66108.3033</v>
      </c>
      <c r="I1053" s="3">
        <f>C1053*G1053</f>
        <v>66126.722999999998</v>
      </c>
    </row>
    <row r="1054" spans="1:9" x14ac:dyDescent="0.25">
      <c r="A1054" t="s">
        <v>7</v>
      </c>
      <c r="B1054" s="1">
        <v>18.64</v>
      </c>
      <c r="C1054" s="1">
        <v>18.649999999999999</v>
      </c>
      <c r="D1054" s="2" t="s">
        <v>137</v>
      </c>
      <c r="E1054" s="8">
        <v>3546.4650000000001</v>
      </c>
      <c r="F1054" s="8">
        <f>F1044</f>
        <v>0</v>
      </c>
      <c r="G1054" s="8">
        <f>E1054+F1054</f>
        <v>3546.4650000000001</v>
      </c>
      <c r="H1054" s="3">
        <f>B1054*G1054</f>
        <v>66106.107600000003</v>
      </c>
      <c r="I1054" s="3">
        <f>C1054*G1054</f>
        <v>66141.572249999997</v>
      </c>
    </row>
    <row r="1055" spans="1:9" x14ac:dyDescent="0.25">
      <c r="A1055" t="s">
        <v>8</v>
      </c>
      <c r="B1055" s="1">
        <v>29.24</v>
      </c>
      <c r="C1055" s="1">
        <v>29.25</v>
      </c>
      <c r="D1055" s="2" t="s">
        <v>137</v>
      </c>
      <c r="E1055" s="8">
        <v>2261.2950999999998</v>
      </c>
      <c r="F1055" s="8">
        <f>F1045</f>
        <v>-0.2</v>
      </c>
      <c r="G1055" s="8">
        <f>E1055+F1055</f>
        <v>2261.0951</v>
      </c>
      <c r="H1055" s="3">
        <f>B1055*G1055</f>
        <v>66114.420723999996</v>
      </c>
      <c r="I1055" s="3">
        <f>C1055*G1055</f>
        <v>66137.031675000006</v>
      </c>
    </row>
    <row r="1056" spans="1:9" x14ac:dyDescent="0.25">
      <c r="A1056" t="s">
        <v>9</v>
      </c>
      <c r="B1056" s="1">
        <v>69.87</v>
      </c>
      <c r="C1056" s="1">
        <v>69.98</v>
      </c>
      <c r="D1056" s="2" t="s">
        <v>137</v>
      </c>
      <c r="E1056" s="8">
        <v>946.10389999999995</v>
      </c>
      <c r="F1056" s="8">
        <f>F1046</f>
        <v>0</v>
      </c>
      <c r="G1056" s="8">
        <f>E1056+F1056</f>
        <v>946.10389999999995</v>
      </c>
      <c r="H1056" s="3">
        <f>B1056*G1056</f>
        <v>66104.279492999995</v>
      </c>
      <c r="I1056" s="3">
        <f>C1056*G1056</f>
        <v>66208.350921999998</v>
      </c>
    </row>
    <row r="1057" spans="1:9" x14ac:dyDescent="0.25">
      <c r="A1057" t="s">
        <v>10</v>
      </c>
      <c r="B1057" s="1">
        <v>38.200000000000003</v>
      </c>
      <c r="C1057" s="1">
        <v>38.229999999999997</v>
      </c>
      <c r="D1057" s="2" t="s">
        <v>137</v>
      </c>
      <c r="E1057" s="8">
        <v>1730.0728000000001</v>
      </c>
      <c r="F1057" s="8">
        <f>F1047</f>
        <v>0.2</v>
      </c>
      <c r="G1057" s="8">
        <f>E1057+F1057</f>
        <v>1730.2728000000002</v>
      </c>
      <c r="H1057" s="3">
        <f>B1057*G1057</f>
        <v>66096.420960000018</v>
      </c>
      <c r="I1057" s="3">
        <f>C1057*G1057</f>
        <v>66148.329144000003</v>
      </c>
    </row>
    <row r="1058" spans="1:9" x14ac:dyDescent="0.25">
      <c r="A1058" t="s">
        <v>11</v>
      </c>
      <c r="B1058" s="1">
        <v>57.55</v>
      </c>
      <c r="C1058" s="1">
        <v>57.57</v>
      </c>
      <c r="D1058" s="2" t="s">
        <v>137</v>
      </c>
      <c r="E1058" s="8">
        <v>1148.8136999999999</v>
      </c>
      <c r="F1058" s="8">
        <f>F1048</f>
        <v>0.05</v>
      </c>
      <c r="G1058" s="8">
        <f>E1058+F1058</f>
        <v>1148.8636999999999</v>
      </c>
      <c r="H1058" s="3">
        <f>B1058*G1058</f>
        <v>66117.105934999985</v>
      </c>
      <c r="I1058" s="3">
        <f>C1058*G1058</f>
        <v>66140.083208999989</v>
      </c>
    </row>
    <row r="1059" spans="1:9" x14ac:dyDescent="0.25">
      <c r="A1059" t="s">
        <v>12</v>
      </c>
      <c r="B1059" s="1">
        <v>51.31</v>
      </c>
      <c r="C1059" s="1">
        <v>51.32</v>
      </c>
      <c r="D1059" s="2" t="s">
        <v>137</v>
      </c>
      <c r="E1059" s="8">
        <v>1288.6965</v>
      </c>
      <c r="F1059" s="8">
        <f>F1049</f>
        <v>0</v>
      </c>
      <c r="G1059" s="8">
        <f>E1059+F1059</f>
        <v>1288.6965</v>
      </c>
      <c r="H1059" s="3">
        <f>B1059*G1059</f>
        <v>66123.017415000009</v>
      </c>
      <c r="I1059" s="3">
        <f>C1059*G1059</f>
        <v>66135.904380000007</v>
      </c>
    </row>
    <row r="1060" spans="1:9" x14ac:dyDescent="0.25">
      <c r="A1060" t="s">
        <v>13</v>
      </c>
      <c r="B1060" s="1">
        <v>18.7</v>
      </c>
      <c r="C1060" s="1">
        <v>18.71</v>
      </c>
      <c r="D1060" s="2" t="s">
        <v>137</v>
      </c>
      <c r="E1060" s="8">
        <v>3535.8029000000001</v>
      </c>
      <c r="F1060" s="8">
        <f>F1050</f>
        <v>0</v>
      </c>
      <c r="G1060" s="8">
        <f>E1060+F1060</f>
        <v>3535.8029000000001</v>
      </c>
      <c r="H1060" s="3">
        <f>B1060*G1060</f>
        <v>66119.514230000001</v>
      </c>
      <c r="I1060" s="3">
        <f>C1060*G1060</f>
        <v>66154.872259000011</v>
      </c>
    </row>
    <row r="1061" spans="1:9" x14ac:dyDescent="0.25">
      <c r="A1061" t="s">
        <v>14</v>
      </c>
      <c r="B1061" s="1">
        <v>37.46</v>
      </c>
      <c r="C1061" s="1">
        <v>37.47</v>
      </c>
      <c r="D1061" s="2" t="s">
        <v>137</v>
      </c>
      <c r="E1061" s="8">
        <v>1764.9988000000001</v>
      </c>
      <c r="F1061" s="8">
        <f>F1051</f>
        <v>0.2</v>
      </c>
      <c r="G1061" s="8">
        <f>E1061+F1061</f>
        <v>1765.1988000000001</v>
      </c>
      <c r="H1061" s="3">
        <f>B1061*G1061</f>
        <v>66124.347048000011</v>
      </c>
      <c r="I1061" s="3">
        <f>C1061*G1061</f>
        <v>66141.999036000008</v>
      </c>
    </row>
    <row r="1062" spans="1:9" x14ac:dyDescent="0.25">
      <c r="A1062" t="s">
        <v>4</v>
      </c>
      <c r="B1062" s="1">
        <v>21.87</v>
      </c>
      <c r="C1062" s="1">
        <v>21.88</v>
      </c>
      <c r="D1062" s="2" t="s">
        <v>138</v>
      </c>
      <c r="E1062" s="8">
        <v>3014.8622999999998</v>
      </c>
      <c r="F1062" s="8">
        <f>F1052</f>
        <v>0</v>
      </c>
      <c r="G1062" s="8">
        <f>E1062+F1062</f>
        <v>3014.8622999999998</v>
      </c>
      <c r="H1062" s="3">
        <f>B1062*G1062</f>
        <v>65935.038501000003</v>
      </c>
      <c r="I1062" s="3">
        <f>C1062*G1062</f>
        <v>65965.187123999989</v>
      </c>
    </row>
    <row r="1063" spans="1:9" x14ac:dyDescent="0.25">
      <c r="A1063" t="s">
        <v>6</v>
      </c>
      <c r="B1063" s="1">
        <v>35.79</v>
      </c>
      <c r="C1063" s="1">
        <v>35.799999999999997</v>
      </c>
      <c r="D1063" s="2" t="s">
        <v>138</v>
      </c>
      <c r="E1063" s="8">
        <v>1842.07</v>
      </c>
      <c r="F1063" s="8">
        <f>F1053</f>
        <v>-0.1</v>
      </c>
      <c r="G1063" s="8">
        <f>E1063+F1063</f>
        <v>1841.97</v>
      </c>
      <c r="H1063" s="3">
        <f>B1063*G1063</f>
        <v>65924.106299999999</v>
      </c>
      <c r="I1063" s="3">
        <f>C1063*G1063</f>
        <v>65942.525999999998</v>
      </c>
    </row>
    <row r="1064" spans="1:9" x14ac:dyDescent="0.25">
      <c r="A1064" t="s">
        <v>7</v>
      </c>
      <c r="B1064" s="1">
        <v>18.59</v>
      </c>
      <c r="C1064" s="1">
        <v>18.600000000000001</v>
      </c>
      <c r="D1064" s="2" t="s">
        <v>138</v>
      </c>
      <c r="E1064" s="8">
        <v>3546.4650000000001</v>
      </c>
      <c r="F1064" s="8">
        <f>F1054</f>
        <v>0</v>
      </c>
      <c r="G1064" s="8">
        <f>E1064+F1064</f>
        <v>3546.4650000000001</v>
      </c>
      <c r="H1064" s="3">
        <f>B1064*G1064</f>
        <v>65928.784350000002</v>
      </c>
      <c r="I1064" s="3">
        <f>C1064*G1064</f>
        <v>65964.249000000011</v>
      </c>
    </row>
    <row r="1065" spans="1:9" x14ac:dyDescent="0.25">
      <c r="A1065" t="s">
        <v>8</v>
      </c>
      <c r="B1065" s="1">
        <v>29.16</v>
      </c>
      <c r="C1065" s="1">
        <v>29.17</v>
      </c>
      <c r="D1065" s="2" t="s">
        <v>138</v>
      </c>
      <c r="E1065" s="8">
        <v>2261.2950999999998</v>
      </c>
      <c r="F1065" s="8">
        <f>F1055</f>
        <v>-0.2</v>
      </c>
      <c r="G1065" s="8">
        <f>E1065+F1065</f>
        <v>2261.0951</v>
      </c>
      <c r="H1065" s="3">
        <f>B1065*G1065</f>
        <v>65933.533116000006</v>
      </c>
      <c r="I1065" s="3">
        <f>C1065*G1065</f>
        <v>65956.144067000001</v>
      </c>
    </row>
    <row r="1066" spans="1:9" x14ac:dyDescent="0.25">
      <c r="A1066" t="s">
        <v>9</v>
      </c>
      <c r="B1066" s="1">
        <v>69.69</v>
      </c>
      <c r="C1066" s="1">
        <v>69.760000000000005</v>
      </c>
      <c r="D1066" s="2" t="s">
        <v>138</v>
      </c>
      <c r="E1066" s="8">
        <v>946.10389999999995</v>
      </c>
      <c r="F1066" s="8">
        <f>F1056</f>
        <v>0</v>
      </c>
      <c r="G1066" s="8">
        <f>E1066+F1066</f>
        <v>946.10389999999995</v>
      </c>
      <c r="H1066" s="3">
        <f>B1066*G1066</f>
        <v>65933.980790999994</v>
      </c>
      <c r="I1066" s="3">
        <f>C1066*G1066</f>
        <v>66000.208064000006</v>
      </c>
    </row>
    <row r="1067" spans="1:9" x14ac:dyDescent="0.25">
      <c r="A1067" t="s">
        <v>10</v>
      </c>
      <c r="B1067" s="1">
        <v>38.090000000000003</v>
      </c>
      <c r="C1067" s="1">
        <v>38.119999999999997</v>
      </c>
      <c r="D1067" s="2" t="s">
        <v>138</v>
      </c>
      <c r="E1067" s="8">
        <v>1730.0728000000001</v>
      </c>
      <c r="F1067" s="8">
        <f>F1057</f>
        <v>0.2</v>
      </c>
      <c r="G1067" s="8">
        <f>E1067+F1067</f>
        <v>1730.2728000000002</v>
      </c>
      <c r="H1067" s="3">
        <f>B1067*G1067</f>
        <v>65906.090952000013</v>
      </c>
      <c r="I1067" s="3">
        <f>C1067*G1067</f>
        <v>65957.999135999999</v>
      </c>
    </row>
    <row r="1068" spans="1:9" x14ac:dyDescent="0.25">
      <c r="A1068" t="s">
        <v>11</v>
      </c>
      <c r="B1068" s="1">
        <v>57.39</v>
      </c>
      <c r="C1068" s="1">
        <v>57.4</v>
      </c>
      <c r="D1068" s="2" t="s">
        <v>138</v>
      </c>
      <c r="E1068" s="8">
        <v>1148.8136999999999</v>
      </c>
      <c r="F1068" s="8">
        <f>F1058</f>
        <v>0.05</v>
      </c>
      <c r="G1068" s="8">
        <f>E1068+F1068</f>
        <v>1148.8636999999999</v>
      </c>
      <c r="H1068" s="3">
        <f>B1068*G1068</f>
        <v>65933.287742999993</v>
      </c>
      <c r="I1068" s="3">
        <f>C1068*G1068</f>
        <v>65944.776379999996</v>
      </c>
    </row>
    <row r="1069" spans="1:9" x14ac:dyDescent="0.25">
      <c r="A1069" t="s">
        <v>12</v>
      </c>
      <c r="B1069" s="1">
        <v>51.15</v>
      </c>
      <c r="C1069" s="1">
        <v>51.17</v>
      </c>
      <c r="D1069" s="2" t="s">
        <v>138</v>
      </c>
      <c r="E1069" s="8">
        <v>1288.6965</v>
      </c>
      <c r="F1069" s="8">
        <f>F1059</f>
        <v>0</v>
      </c>
      <c r="G1069" s="8">
        <f>E1069+F1069</f>
        <v>1288.6965</v>
      </c>
      <c r="H1069" s="3">
        <f>B1069*G1069</f>
        <v>65916.825975</v>
      </c>
      <c r="I1069" s="3">
        <f>C1069*G1069</f>
        <v>65942.59990500001</v>
      </c>
    </row>
    <row r="1070" spans="1:9" x14ac:dyDescent="0.25">
      <c r="A1070" t="s">
        <v>13</v>
      </c>
      <c r="B1070" s="1">
        <v>18.64</v>
      </c>
      <c r="C1070" s="1">
        <v>18.649999999999999</v>
      </c>
      <c r="D1070" s="2" t="s">
        <v>138</v>
      </c>
      <c r="E1070" s="8">
        <v>3535.8029000000001</v>
      </c>
      <c r="F1070" s="8">
        <f>F1060</f>
        <v>0</v>
      </c>
      <c r="G1070" s="8">
        <f>E1070+F1070</f>
        <v>3535.8029000000001</v>
      </c>
      <c r="H1070" s="3">
        <f>B1070*G1070</f>
        <v>65907.366055999999</v>
      </c>
      <c r="I1070" s="3">
        <f>C1070*G1070</f>
        <v>65942.724084999994</v>
      </c>
    </row>
    <row r="1071" spans="1:9" x14ac:dyDescent="0.25">
      <c r="A1071" t="s">
        <v>14</v>
      </c>
      <c r="B1071" s="1">
        <v>37.35</v>
      </c>
      <c r="C1071" s="1">
        <v>37.36</v>
      </c>
      <c r="D1071" s="2" t="s">
        <v>138</v>
      </c>
      <c r="E1071" s="8">
        <v>1764.9988000000001</v>
      </c>
      <c r="F1071" s="8">
        <f>F1061</f>
        <v>0.2</v>
      </c>
      <c r="G1071" s="8">
        <f>E1071+F1071</f>
        <v>1765.1988000000001</v>
      </c>
      <c r="H1071" s="3">
        <f>B1071*G1071</f>
        <v>65930.175180000006</v>
      </c>
      <c r="I1071" s="3">
        <f>C1071*G1071</f>
        <v>65947.827168000003</v>
      </c>
    </row>
    <row r="1072" spans="1:9" x14ac:dyDescent="0.25">
      <c r="A1072" t="s">
        <v>4</v>
      </c>
      <c r="B1072" s="1">
        <v>21.84</v>
      </c>
      <c r="C1072" s="1">
        <v>21.85</v>
      </c>
      <c r="D1072" s="2" t="s">
        <v>139</v>
      </c>
      <c r="E1072" s="8">
        <v>3014.8622999999998</v>
      </c>
      <c r="F1072" s="8">
        <f>F1062</f>
        <v>0</v>
      </c>
      <c r="G1072" s="8">
        <f>E1072+F1072</f>
        <v>3014.8622999999998</v>
      </c>
      <c r="H1072" s="3">
        <f>B1072*G1072</f>
        <v>65844.592632</v>
      </c>
      <c r="I1072" s="3">
        <f>C1072*G1072</f>
        <v>65874.741255000001</v>
      </c>
    </row>
    <row r="1073" spans="1:9" x14ac:dyDescent="0.25">
      <c r="A1073" t="s">
        <v>6</v>
      </c>
      <c r="B1073" s="1">
        <v>35.74</v>
      </c>
      <c r="C1073" s="1">
        <v>35.75</v>
      </c>
      <c r="D1073" s="2" t="s">
        <v>139</v>
      </c>
      <c r="E1073" s="8">
        <v>1842.07</v>
      </c>
      <c r="F1073" s="8">
        <f>F1063</f>
        <v>-0.1</v>
      </c>
      <c r="G1073" s="8">
        <f>E1073+F1073</f>
        <v>1841.97</v>
      </c>
      <c r="H1073" s="3">
        <f>B1073*G1073</f>
        <v>65832.007800000007</v>
      </c>
      <c r="I1073" s="3">
        <f>C1073*G1073</f>
        <v>65850.427500000005</v>
      </c>
    </row>
    <row r="1074" spans="1:9" x14ac:dyDescent="0.25">
      <c r="A1074" t="s">
        <v>7</v>
      </c>
      <c r="B1074" s="1">
        <v>18.559999999999999</v>
      </c>
      <c r="C1074" s="1">
        <v>18.57</v>
      </c>
      <c r="D1074" s="2" t="s">
        <v>139</v>
      </c>
      <c r="E1074" s="8">
        <v>3546.4650000000001</v>
      </c>
      <c r="F1074" s="8">
        <f>F1064</f>
        <v>0</v>
      </c>
      <c r="G1074" s="8">
        <f>E1074+F1074</f>
        <v>3546.4650000000001</v>
      </c>
      <c r="H1074" s="3">
        <f>B1074*G1074</f>
        <v>65822.390400000004</v>
      </c>
      <c r="I1074" s="3">
        <f>C1074*G1074</f>
        <v>65857.855049999998</v>
      </c>
    </row>
    <row r="1075" spans="1:9" x14ac:dyDescent="0.25">
      <c r="A1075" t="s">
        <v>8</v>
      </c>
      <c r="B1075" s="1">
        <v>29.12</v>
      </c>
      <c r="C1075" s="1">
        <v>29.13</v>
      </c>
      <c r="D1075" s="2" t="s">
        <v>139</v>
      </c>
      <c r="E1075" s="8">
        <v>2261.2950999999998</v>
      </c>
      <c r="F1075" s="8">
        <f>F1065</f>
        <v>-0.2</v>
      </c>
      <c r="G1075" s="8">
        <f>E1075+F1075</f>
        <v>2261.0951</v>
      </c>
      <c r="H1075" s="3">
        <f>B1075*G1075</f>
        <v>65843.089311999996</v>
      </c>
      <c r="I1075" s="3">
        <f>C1075*G1075</f>
        <v>65865.700262999992</v>
      </c>
    </row>
    <row r="1076" spans="1:9" x14ac:dyDescent="0.25">
      <c r="A1076" t="s">
        <v>9</v>
      </c>
      <c r="B1076" s="1">
        <v>69.59</v>
      </c>
      <c r="C1076" s="1">
        <v>69.7</v>
      </c>
      <c r="D1076" s="2" t="s">
        <v>139</v>
      </c>
      <c r="E1076" s="8">
        <v>946.10389999999995</v>
      </c>
      <c r="F1076" s="8">
        <f>F1066</f>
        <v>0</v>
      </c>
      <c r="G1076" s="8">
        <f>E1076+F1076</f>
        <v>946.10389999999995</v>
      </c>
      <c r="H1076" s="3">
        <f>B1076*G1076</f>
        <v>65839.370400999993</v>
      </c>
      <c r="I1076" s="3">
        <f>C1076*G1076</f>
        <v>65943.441829999996</v>
      </c>
    </row>
    <row r="1077" spans="1:9" x14ac:dyDescent="0.25">
      <c r="A1077" t="s">
        <v>10</v>
      </c>
      <c r="B1077" s="1">
        <v>38.03</v>
      </c>
      <c r="C1077" s="1">
        <v>38.07</v>
      </c>
      <c r="D1077" s="2" t="s">
        <v>139</v>
      </c>
      <c r="E1077" s="8">
        <v>1730.0728000000001</v>
      </c>
      <c r="F1077" s="8">
        <f>F1067</f>
        <v>0.2</v>
      </c>
      <c r="G1077" s="8">
        <f>E1077+F1077</f>
        <v>1730.2728000000002</v>
      </c>
      <c r="H1077" s="3">
        <f>B1077*G1077</f>
        <v>65802.274584000013</v>
      </c>
      <c r="I1077" s="3">
        <f>C1077*G1077</f>
        <v>65871.485496000008</v>
      </c>
    </row>
    <row r="1078" spans="1:9" x14ac:dyDescent="0.25">
      <c r="A1078" t="s">
        <v>11</v>
      </c>
      <c r="B1078" s="1">
        <v>57.3</v>
      </c>
      <c r="C1078" s="1">
        <v>57.32</v>
      </c>
      <c r="D1078" s="2" t="s">
        <v>139</v>
      </c>
      <c r="E1078" s="8">
        <v>1148.8136999999999</v>
      </c>
      <c r="F1078" s="8">
        <f>F1068</f>
        <v>0.05</v>
      </c>
      <c r="G1078" s="8">
        <f>E1078+F1078</f>
        <v>1148.8636999999999</v>
      </c>
      <c r="H1078" s="3">
        <f>B1078*G1078</f>
        <v>65829.890009999988</v>
      </c>
      <c r="I1078" s="3">
        <f>C1078*G1078</f>
        <v>65852.867283999993</v>
      </c>
    </row>
    <row r="1079" spans="1:9" x14ac:dyDescent="0.25">
      <c r="A1079" t="s">
        <v>12</v>
      </c>
      <c r="B1079" s="1">
        <v>51.09</v>
      </c>
      <c r="C1079" s="1">
        <v>51.1</v>
      </c>
      <c r="D1079" s="2" t="s">
        <v>139</v>
      </c>
      <c r="E1079" s="8">
        <v>1288.6965</v>
      </c>
      <c r="F1079" s="8">
        <f>F1069</f>
        <v>0</v>
      </c>
      <c r="G1079" s="8">
        <f>E1079+F1079</f>
        <v>1288.6965</v>
      </c>
      <c r="H1079" s="3">
        <f>B1079*G1079</f>
        <v>65839.504184999998</v>
      </c>
      <c r="I1079" s="3">
        <f>C1079*G1079</f>
        <v>65852.391149999996</v>
      </c>
    </row>
    <row r="1080" spans="1:9" x14ac:dyDescent="0.25">
      <c r="A1080" t="s">
        <v>13</v>
      </c>
      <c r="B1080" s="1">
        <v>18.62</v>
      </c>
      <c r="C1080" s="1">
        <v>18.63</v>
      </c>
      <c r="D1080" s="2" t="s">
        <v>139</v>
      </c>
      <c r="E1080" s="8">
        <v>3535.8029000000001</v>
      </c>
      <c r="F1080" s="8">
        <f>F1070</f>
        <v>0</v>
      </c>
      <c r="G1080" s="8">
        <f>E1080+F1080</f>
        <v>3535.8029000000001</v>
      </c>
      <c r="H1080" s="3">
        <f>B1080*G1080</f>
        <v>65836.649998000008</v>
      </c>
      <c r="I1080" s="3">
        <f>C1080*G1080</f>
        <v>65872.008027000003</v>
      </c>
    </row>
    <row r="1081" spans="1:9" x14ac:dyDescent="0.25">
      <c r="A1081" t="s">
        <v>14</v>
      </c>
      <c r="B1081" s="1">
        <v>37.29</v>
      </c>
      <c r="C1081" s="1">
        <v>37.299999999999997</v>
      </c>
      <c r="D1081" s="2" t="s">
        <v>139</v>
      </c>
      <c r="E1081" s="8">
        <v>1764.9988000000001</v>
      </c>
      <c r="F1081" s="8">
        <f>F1071</f>
        <v>0.2</v>
      </c>
      <c r="G1081" s="8">
        <f>E1081+F1081</f>
        <v>1765.1988000000001</v>
      </c>
      <c r="H1081" s="3">
        <f>B1081*G1081</f>
        <v>65824.263252000004</v>
      </c>
      <c r="I1081" s="3">
        <f>C1081*G1081</f>
        <v>65841.915240000002</v>
      </c>
    </row>
    <row r="1082" spans="1:9" x14ac:dyDescent="0.25">
      <c r="A1082" t="s">
        <v>4</v>
      </c>
      <c r="B1082" s="1">
        <v>21.85</v>
      </c>
      <c r="C1082" s="1">
        <v>21.86</v>
      </c>
      <c r="D1082" s="2" t="s">
        <v>140</v>
      </c>
      <c r="E1082" s="8">
        <v>3014.8622999999998</v>
      </c>
      <c r="F1082" s="8">
        <f>F1072</f>
        <v>0</v>
      </c>
      <c r="G1082" s="8">
        <f>E1082+F1082</f>
        <v>3014.8622999999998</v>
      </c>
      <c r="H1082" s="3">
        <f>B1082*G1082</f>
        <v>65874.741255000001</v>
      </c>
      <c r="I1082" s="3">
        <f>C1082*G1082</f>
        <v>65904.889877999987</v>
      </c>
    </row>
    <row r="1083" spans="1:9" x14ac:dyDescent="0.25">
      <c r="A1083" t="s">
        <v>6</v>
      </c>
      <c r="B1083" s="1">
        <v>35.76</v>
      </c>
      <c r="C1083" s="1">
        <v>35.770000000000003</v>
      </c>
      <c r="D1083" s="2" t="s">
        <v>140</v>
      </c>
      <c r="E1083" s="8">
        <v>1842.07</v>
      </c>
      <c r="F1083" s="8">
        <f>F1073</f>
        <v>-0.1</v>
      </c>
      <c r="G1083" s="8">
        <f>E1083+F1083</f>
        <v>1841.97</v>
      </c>
      <c r="H1083" s="3">
        <f>B1083*G1083</f>
        <v>65868.847200000004</v>
      </c>
      <c r="I1083" s="3">
        <f>C1083*G1083</f>
        <v>65887.266900000002</v>
      </c>
    </row>
    <row r="1084" spans="1:9" x14ac:dyDescent="0.25">
      <c r="A1084" t="s">
        <v>7</v>
      </c>
      <c r="B1084" s="1">
        <v>18.57</v>
      </c>
      <c r="C1084" s="1">
        <v>18.579999999999998</v>
      </c>
      <c r="D1084" s="2" t="s">
        <v>140</v>
      </c>
      <c r="E1084" s="8">
        <v>3546.4650000000001</v>
      </c>
      <c r="F1084" s="8">
        <f>F1074</f>
        <v>0</v>
      </c>
      <c r="G1084" s="8">
        <f>E1084+F1084</f>
        <v>3546.4650000000001</v>
      </c>
      <c r="H1084" s="3">
        <f>B1084*G1084</f>
        <v>65857.855049999998</v>
      </c>
      <c r="I1084" s="3">
        <f>C1084*G1084</f>
        <v>65893.319699999993</v>
      </c>
    </row>
    <row r="1085" spans="1:9" x14ac:dyDescent="0.25">
      <c r="A1085" t="s">
        <v>8</v>
      </c>
      <c r="B1085" s="1">
        <v>29.13</v>
      </c>
      <c r="C1085" s="1">
        <v>29.14</v>
      </c>
      <c r="D1085" s="2" t="s">
        <v>140</v>
      </c>
      <c r="E1085" s="8">
        <v>2261.2950999999998</v>
      </c>
      <c r="F1085" s="8">
        <f>F1075</f>
        <v>-0.2</v>
      </c>
      <c r="G1085" s="8">
        <f>E1085+F1085</f>
        <v>2261.0951</v>
      </c>
      <c r="H1085" s="3">
        <f>B1085*G1085</f>
        <v>65865.700262999992</v>
      </c>
      <c r="I1085" s="3">
        <f>C1085*G1085</f>
        <v>65888.311214000001</v>
      </c>
    </row>
    <row r="1086" spans="1:9" x14ac:dyDescent="0.25">
      <c r="A1086" t="s">
        <v>9</v>
      </c>
      <c r="B1086" s="1">
        <v>69.62</v>
      </c>
      <c r="C1086" s="1">
        <v>69.75</v>
      </c>
      <c r="D1086" s="2" t="s">
        <v>140</v>
      </c>
      <c r="E1086" s="8">
        <v>946.10389999999995</v>
      </c>
      <c r="F1086" s="8">
        <f>F1076</f>
        <v>0</v>
      </c>
      <c r="G1086" s="8">
        <f>E1086+F1086</f>
        <v>946.10389999999995</v>
      </c>
      <c r="H1086" s="3">
        <f>B1086*G1086</f>
        <v>65867.753517999998</v>
      </c>
      <c r="I1086" s="3">
        <f>C1086*G1086</f>
        <v>65990.74702499999</v>
      </c>
    </row>
    <row r="1087" spans="1:9" x14ac:dyDescent="0.25">
      <c r="A1087" t="s">
        <v>10</v>
      </c>
      <c r="B1087" s="1">
        <v>38.049999999999997</v>
      </c>
      <c r="C1087" s="1">
        <v>38.090000000000003</v>
      </c>
      <c r="D1087" s="2" t="s">
        <v>140</v>
      </c>
      <c r="E1087" s="8">
        <v>1730.0728000000001</v>
      </c>
      <c r="F1087" s="8">
        <f>F1077</f>
        <v>0.2</v>
      </c>
      <c r="G1087" s="8">
        <f>E1087+F1087</f>
        <v>1730.2728000000002</v>
      </c>
      <c r="H1087" s="3">
        <f>B1087*G1087</f>
        <v>65836.880040000004</v>
      </c>
      <c r="I1087" s="3">
        <f>C1087*G1087</f>
        <v>65906.090952000013</v>
      </c>
    </row>
    <row r="1088" spans="1:9" x14ac:dyDescent="0.25">
      <c r="A1088" t="s">
        <v>11</v>
      </c>
      <c r="B1088" s="1">
        <v>57.34</v>
      </c>
      <c r="C1088" s="1">
        <v>57.35</v>
      </c>
      <c r="D1088" s="2" t="s">
        <v>140</v>
      </c>
      <c r="E1088" s="8">
        <v>1148.8136999999999</v>
      </c>
      <c r="F1088" s="8">
        <f>F1078</f>
        <v>0.05</v>
      </c>
      <c r="G1088" s="8">
        <f>E1088+F1088</f>
        <v>1148.8636999999999</v>
      </c>
      <c r="H1088" s="3">
        <f>B1088*G1088</f>
        <v>65875.844557999997</v>
      </c>
      <c r="I1088" s="3">
        <f>C1088*G1088</f>
        <v>65887.333194999999</v>
      </c>
    </row>
    <row r="1089" spans="1:9" x14ac:dyDescent="0.25">
      <c r="A1089" t="s">
        <v>12</v>
      </c>
      <c r="B1089" s="1">
        <v>51.11</v>
      </c>
      <c r="C1089" s="1">
        <v>51.12</v>
      </c>
      <c r="D1089" s="2" t="s">
        <v>140</v>
      </c>
      <c r="E1089" s="8">
        <v>1288.6965</v>
      </c>
      <c r="F1089" s="8">
        <f>F1079</f>
        <v>0</v>
      </c>
      <c r="G1089" s="8">
        <f>E1089+F1089</f>
        <v>1288.6965</v>
      </c>
      <c r="H1089" s="3">
        <f>B1089*G1089</f>
        <v>65865.278114999994</v>
      </c>
      <c r="I1089" s="3">
        <f>C1089*G1089</f>
        <v>65878.165079999992</v>
      </c>
    </row>
    <row r="1090" spans="1:9" x14ac:dyDescent="0.25">
      <c r="A1090" t="s">
        <v>13</v>
      </c>
      <c r="B1090" s="1">
        <v>18.62</v>
      </c>
      <c r="C1090" s="1">
        <v>18.63</v>
      </c>
      <c r="D1090" s="2" t="s">
        <v>140</v>
      </c>
      <c r="E1090" s="8">
        <v>3535.8029000000001</v>
      </c>
      <c r="F1090" s="8">
        <f>F1080</f>
        <v>0</v>
      </c>
      <c r="G1090" s="8">
        <f>E1090+F1090</f>
        <v>3535.8029000000001</v>
      </c>
      <c r="H1090" s="3">
        <f>B1090*G1090</f>
        <v>65836.649998000008</v>
      </c>
      <c r="I1090" s="3">
        <f>C1090*G1090</f>
        <v>65872.008027000003</v>
      </c>
    </row>
    <row r="1091" spans="1:9" x14ac:dyDescent="0.25">
      <c r="A1091" t="s">
        <v>14</v>
      </c>
      <c r="B1091" s="1">
        <v>37.31</v>
      </c>
      <c r="C1091" s="1">
        <v>37.32</v>
      </c>
      <c r="D1091" s="2" t="s">
        <v>140</v>
      </c>
      <c r="E1091" s="8">
        <v>1764.9988000000001</v>
      </c>
      <c r="F1091" s="8">
        <f>F1081</f>
        <v>0.2</v>
      </c>
      <c r="G1091" s="8">
        <f>E1091+F1091</f>
        <v>1765.1988000000001</v>
      </c>
      <c r="H1091" s="3">
        <f>B1091*G1091</f>
        <v>65859.567228000014</v>
      </c>
      <c r="I1091" s="3">
        <f>C1091*G1091</f>
        <v>65877.219215999998</v>
      </c>
    </row>
    <row r="1092" spans="1:9" x14ac:dyDescent="0.25">
      <c r="A1092" t="s">
        <v>4</v>
      </c>
      <c r="B1092" s="1">
        <v>21.85</v>
      </c>
      <c r="C1092" s="1">
        <v>21.86</v>
      </c>
      <c r="D1092" s="2" t="s">
        <v>141</v>
      </c>
      <c r="E1092" s="8">
        <v>3014.8622999999998</v>
      </c>
      <c r="F1092" s="8">
        <f>F1082</f>
        <v>0</v>
      </c>
      <c r="G1092" s="8">
        <f>E1092+F1092</f>
        <v>3014.8622999999998</v>
      </c>
      <c r="H1092" s="3">
        <f>B1092*G1092</f>
        <v>65874.741255000001</v>
      </c>
      <c r="I1092" s="3">
        <f>C1092*G1092</f>
        <v>65904.889877999987</v>
      </c>
    </row>
    <row r="1093" spans="1:9" x14ac:dyDescent="0.25">
      <c r="A1093" t="s">
        <v>6</v>
      </c>
      <c r="B1093" s="1">
        <v>35.770000000000003</v>
      </c>
      <c r="C1093" s="1">
        <v>35.78</v>
      </c>
      <c r="D1093" s="2" t="s">
        <v>141</v>
      </c>
      <c r="E1093" s="8">
        <v>1842.07</v>
      </c>
      <c r="F1093" s="8">
        <f>F1083</f>
        <v>-0.1</v>
      </c>
      <c r="G1093" s="8">
        <f>E1093+F1093</f>
        <v>1841.97</v>
      </c>
      <c r="H1093" s="3">
        <f>B1093*G1093</f>
        <v>65887.266900000002</v>
      </c>
      <c r="I1093" s="3">
        <f>C1093*G1093</f>
        <v>65905.686600000001</v>
      </c>
    </row>
    <row r="1094" spans="1:9" x14ac:dyDescent="0.25">
      <c r="A1094" t="s">
        <v>7</v>
      </c>
      <c r="B1094" s="1">
        <v>18.579999999999998</v>
      </c>
      <c r="C1094" s="1">
        <v>18.59</v>
      </c>
      <c r="D1094" s="2" t="s">
        <v>141</v>
      </c>
      <c r="E1094" s="8">
        <v>3546.4650000000001</v>
      </c>
      <c r="F1094" s="8">
        <f>F1084</f>
        <v>0</v>
      </c>
      <c r="G1094" s="8">
        <f>E1094+F1094</f>
        <v>3546.4650000000001</v>
      </c>
      <c r="H1094" s="3">
        <f>B1094*G1094</f>
        <v>65893.319699999993</v>
      </c>
      <c r="I1094" s="3">
        <f>C1094*G1094</f>
        <v>65928.784350000002</v>
      </c>
    </row>
    <row r="1095" spans="1:9" x14ac:dyDescent="0.25">
      <c r="A1095" t="s">
        <v>8</v>
      </c>
      <c r="B1095" s="1">
        <v>29.14</v>
      </c>
      <c r="C1095" s="1">
        <v>29.15</v>
      </c>
      <c r="D1095" s="2" t="s">
        <v>141</v>
      </c>
      <c r="E1095" s="8">
        <v>2261.2950999999998</v>
      </c>
      <c r="F1095" s="8">
        <f>F1085</f>
        <v>-0.2</v>
      </c>
      <c r="G1095" s="8">
        <f>E1095+F1095</f>
        <v>2261.0951</v>
      </c>
      <c r="H1095" s="3">
        <f>B1095*G1095</f>
        <v>65888.311214000001</v>
      </c>
      <c r="I1095" s="3">
        <f>C1095*G1095</f>
        <v>65910.922164999996</v>
      </c>
    </row>
    <row r="1096" spans="1:9" x14ac:dyDescent="0.25">
      <c r="A1096" t="s">
        <v>9</v>
      </c>
      <c r="B1096" s="1">
        <v>69.64</v>
      </c>
      <c r="C1096" s="1">
        <v>69.77</v>
      </c>
      <c r="D1096" s="2" t="s">
        <v>141</v>
      </c>
      <c r="E1096" s="8">
        <v>946.10389999999995</v>
      </c>
      <c r="F1096" s="8">
        <f>F1086</f>
        <v>0</v>
      </c>
      <c r="G1096" s="8">
        <f>E1096+F1096</f>
        <v>946.10389999999995</v>
      </c>
      <c r="H1096" s="3">
        <f>B1096*G1096</f>
        <v>65886.675596000001</v>
      </c>
      <c r="I1096" s="3">
        <f>C1096*G1096</f>
        <v>66009.669102999993</v>
      </c>
    </row>
    <row r="1097" spans="1:9" x14ac:dyDescent="0.25">
      <c r="A1097" t="s">
        <v>10</v>
      </c>
      <c r="B1097" s="1">
        <v>38.07</v>
      </c>
      <c r="C1097" s="1">
        <v>38.1</v>
      </c>
      <c r="D1097" s="2" t="s">
        <v>141</v>
      </c>
      <c r="E1097" s="8">
        <v>1730.0728000000001</v>
      </c>
      <c r="F1097" s="8">
        <f>F1087</f>
        <v>0.2</v>
      </c>
      <c r="G1097" s="8">
        <f>E1097+F1097</f>
        <v>1730.2728000000002</v>
      </c>
      <c r="H1097" s="3">
        <f>B1097*G1097</f>
        <v>65871.485496000008</v>
      </c>
      <c r="I1097" s="3">
        <f>C1097*G1097</f>
        <v>65923.393680000008</v>
      </c>
    </row>
    <row r="1098" spans="1:9" x14ac:dyDescent="0.25">
      <c r="A1098" t="s">
        <v>11</v>
      </c>
      <c r="B1098" s="1">
        <v>57.36</v>
      </c>
      <c r="C1098" s="1">
        <v>57.37</v>
      </c>
      <c r="D1098" s="2" t="s">
        <v>141</v>
      </c>
      <c r="E1098" s="8">
        <v>1148.8136999999999</v>
      </c>
      <c r="F1098" s="8">
        <f>F1088</f>
        <v>0.05</v>
      </c>
      <c r="G1098" s="8">
        <f>E1098+F1098</f>
        <v>1148.8636999999999</v>
      </c>
      <c r="H1098" s="3">
        <f>B1098*G1098</f>
        <v>65898.821831999987</v>
      </c>
      <c r="I1098" s="3">
        <f>C1098*G1098</f>
        <v>65910.310468999989</v>
      </c>
    </row>
    <row r="1099" spans="1:9" x14ac:dyDescent="0.25">
      <c r="A1099" t="s">
        <v>12</v>
      </c>
      <c r="B1099" s="1">
        <v>51.12</v>
      </c>
      <c r="C1099" s="1">
        <v>51.13</v>
      </c>
      <c r="D1099" s="2" t="s">
        <v>141</v>
      </c>
      <c r="E1099" s="8">
        <v>1288.6965</v>
      </c>
      <c r="F1099" s="8">
        <f>F1089</f>
        <v>0</v>
      </c>
      <c r="G1099" s="8">
        <f>E1099+F1099</f>
        <v>1288.6965</v>
      </c>
      <c r="H1099" s="3">
        <f>B1099*G1099</f>
        <v>65878.165079999992</v>
      </c>
      <c r="I1099" s="3">
        <f>C1099*G1099</f>
        <v>65891.052045000004</v>
      </c>
    </row>
    <row r="1100" spans="1:9" x14ac:dyDescent="0.25">
      <c r="A1100" t="s">
        <v>13</v>
      </c>
      <c r="B1100" s="1">
        <v>18.63</v>
      </c>
      <c r="C1100" s="1">
        <v>18.64</v>
      </c>
      <c r="D1100" s="2" t="s">
        <v>141</v>
      </c>
      <c r="E1100" s="8">
        <v>3535.8029000000001</v>
      </c>
      <c r="F1100" s="8">
        <f>F1090</f>
        <v>0</v>
      </c>
      <c r="G1100" s="8">
        <f>E1100+F1100</f>
        <v>3535.8029000000001</v>
      </c>
      <c r="H1100" s="3">
        <f>B1100*G1100</f>
        <v>65872.008027000003</v>
      </c>
      <c r="I1100" s="3">
        <f>C1100*G1100</f>
        <v>65907.366055999999</v>
      </c>
    </row>
    <row r="1101" spans="1:9" x14ac:dyDescent="0.25">
      <c r="A1101" t="s">
        <v>14</v>
      </c>
      <c r="B1101" s="1">
        <v>37.32</v>
      </c>
      <c r="C1101" s="1">
        <v>37.33</v>
      </c>
      <c r="D1101" s="2" t="s">
        <v>141</v>
      </c>
      <c r="E1101" s="8">
        <v>1764.9988000000001</v>
      </c>
      <c r="F1101" s="8">
        <f>F1091</f>
        <v>0.2</v>
      </c>
      <c r="G1101" s="8">
        <f>E1101+F1101</f>
        <v>1765.1988000000001</v>
      </c>
      <c r="H1101" s="3">
        <f>B1101*G1101</f>
        <v>65877.219215999998</v>
      </c>
      <c r="I1101" s="3">
        <f>C1101*G1101</f>
        <v>65894.871203999995</v>
      </c>
    </row>
    <row r="1102" spans="1:9" x14ac:dyDescent="0.25">
      <c r="A1102" t="s">
        <v>4</v>
      </c>
      <c r="B1102" s="1">
        <v>21.82</v>
      </c>
      <c r="C1102" s="1">
        <v>21.83</v>
      </c>
      <c r="D1102" s="2" t="s">
        <v>142</v>
      </c>
      <c r="E1102" s="8">
        <v>3014.8622999999998</v>
      </c>
      <c r="F1102" s="8">
        <f>F1092</f>
        <v>0</v>
      </c>
      <c r="G1102" s="8">
        <f>E1102+F1102</f>
        <v>3014.8622999999998</v>
      </c>
      <c r="H1102" s="3">
        <f>B1102*G1102</f>
        <v>65784.295385999998</v>
      </c>
      <c r="I1102" s="3">
        <f>C1102*G1102</f>
        <v>65814.444008999984</v>
      </c>
    </row>
    <row r="1103" spans="1:9" x14ac:dyDescent="0.25">
      <c r="A1103" t="s">
        <v>6</v>
      </c>
      <c r="B1103" s="1">
        <v>35.72</v>
      </c>
      <c r="C1103" s="1">
        <v>35.729999999999997</v>
      </c>
      <c r="D1103" s="2" t="s">
        <v>142</v>
      </c>
      <c r="E1103" s="8">
        <v>1842.07</v>
      </c>
      <c r="F1103" s="8">
        <f>F1093</f>
        <v>-0.1</v>
      </c>
      <c r="G1103" s="8">
        <f>E1103+F1103</f>
        <v>1841.97</v>
      </c>
      <c r="H1103" s="3">
        <f>B1103*G1103</f>
        <v>65795.168399999995</v>
      </c>
      <c r="I1103" s="3">
        <f>C1103*G1103</f>
        <v>65813.588099999994</v>
      </c>
    </row>
    <row r="1104" spans="1:9" x14ac:dyDescent="0.25">
      <c r="A1104" t="s">
        <v>7</v>
      </c>
      <c r="B1104" s="1">
        <v>18.55</v>
      </c>
      <c r="C1104" s="1">
        <v>18.559999999999999</v>
      </c>
      <c r="D1104" s="2" t="s">
        <v>142</v>
      </c>
      <c r="E1104" s="8">
        <v>3546.4650000000001</v>
      </c>
      <c r="F1104" s="8">
        <f>F1094</f>
        <v>0</v>
      </c>
      <c r="G1104" s="8">
        <f>E1104+F1104</f>
        <v>3546.4650000000001</v>
      </c>
      <c r="H1104" s="3">
        <f>B1104*G1104</f>
        <v>65786.925750000009</v>
      </c>
      <c r="I1104" s="3">
        <f>C1104*G1104</f>
        <v>65822.390400000004</v>
      </c>
    </row>
    <row r="1105" spans="1:9" x14ac:dyDescent="0.25">
      <c r="A1105" t="s">
        <v>8</v>
      </c>
      <c r="B1105" s="1">
        <v>29.1</v>
      </c>
      <c r="C1105" s="1">
        <v>29.11</v>
      </c>
      <c r="D1105" s="2" t="s">
        <v>142</v>
      </c>
      <c r="E1105" s="8">
        <v>2261.2950999999998</v>
      </c>
      <c r="F1105" s="8">
        <f>F1095</f>
        <v>-0.2</v>
      </c>
      <c r="G1105" s="8">
        <f>E1105+F1105</f>
        <v>2261.0951</v>
      </c>
      <c r="H1105" s="3">
        <f>B1105*G1105</f>
        <v>65797.867410000006</v>
      </c>
      <c r="I1105" s="3">
        <f>C1105*G1105</f>
        <v>65820.478361000001</v>
      </c>
    </row>
    <row r="1106" spans="1:9" x14ac:dyDescent="0.25">
      <c r="A1106" t="s">
        <v>9</v>
      </c>
      <c r="B1106" s="1">
        <v>69.540000000000006</v>
      </c>
      <c r="C1106" s="1">
        <v>69.680000000000007</v>
      </c>
      <c r="D1106" s="2" t="s">
        <v>142</v>
      </c>
      <c r="E1106" s="8">
        <v>946.10389999999995</v>
      </c>
      <c r="F1106" s="8">
        <f>F1096</f>
        <v>0</v>
      </c>
      <c r="G1106" s="8">
        <f>E1106+F1106</f>
        <v>946.10389999999995</v>
      </c>
      <c r="H1106" s="3">
        <f>B1106*G1106</f>
        <v>65792.065205999999</v>
      </c>
      <c r="I1106" s="3">
        <f>C1106*G1106</f>
        <v>65924.519752000007</v>
      </c>
    </row>
    <row r="1107" spans="1:9" x14ac:dyDescent="0.25">
      <c r="A1107" t="s">
        <v>10</v>
      </c>
      <c r="B1107" s="1">
        <v>38.01</v>
      </c>
      <c r="C1107" s="1">
        <v>38.049999999999997</v>
      </c>
      <c r="D1107" s="2" t="s">
        <v>142</v>
      </c>
      <c r="E1107" s="8">
        <v>1730.0728000000001</v>
      </c>
      <c r="F1107" s="8">
        <f>F1097</f>
        <v>0.2</v>
      </c>
      <c r="G1107" s="8">
        <f>E1107+F1107</f>
        <v>1730.2728000000002</v>
      </c>
      <c r="H1107" s="3">
        <f>B1107*G1107</f>
        <v>65767.669128000009</v>
      </c>
      <c r="I1107" s="3">
        <f>C1107*G1107</f>
        <v>65836.880040000004</v>
      </c>
    </row>
    <row r="1108" spans="1:9" x14ac:dyDescent="0.25">
      <c r="A1108" t="s">
        <v>11</v>
      </c>
      <c r="B1108" s="1">
        <v>57.27</v>
      </c>
      <c r="C1108" s="1">
        <v>57.29</v>
      </c>
      <c r="D1108" s="2" t="s">
        <v>142</v>
      </c>
      <c r="E1108" s="8">
        <v>1148.8136999999999</v>
      </c>
      <c r="F1108" s="8">
        <f>F1098</f>
        <v>0.05</v>
      </c>
      <c r="G1108" s="8">
        <f>E1108+F1108</f>
        <v>1148.8636999999999</v>
      </c>
      <c r="H1108" s="3">
        <f>B1108*G1108</f>
        <v>65795.424098999996</v>
      </c>
      <c r="I1108" s="3">
        <f>C1108*G1108</f>
        <v>65818.401372999986</v>
      </c>
    </row>
    <row r="1109" spans="1:9" x14ac:dyDescent="0.25">
      <c r="A1109" t="s">
        <v>12</v>
      </c>
      <c r="B1109" s="1">
        <v>51.06</v>
      </c>
      <c r="C1109" s="1">
        <v>51.07</v>
      </c>
      <c r="D1109" s="2" t="s">
        <v>142</v>
      </c>
      <c r="E1109" s="8">
        <v>1288.6965</v>
      </c>
      <c r="F1109" s="8">
        <f>F1099</f>
        <v>0</v>
      </c>
      <c r="G1109" s="8">
        <f>E1109+F1109</f>
        <v>1288.6965</v>
      </c>
      <c r="H1109" s="3">
        <f>B1109*G1109</f>
        <v>65800.843290000004</v>
      </c>
      <c r="I1109" s="3">
        <f>C1109*G1109</f>
        <v>65813.730255000002</v>
      </c>
    </row>
    <row r="1110" spans="1:9" x14ac:dyDescent="0.25">
      <c r="A1110" t="s">
        <v>13</v>
      </c>
      <c r="B1110" s="1">
        <v>18.61</v>
      </c>
      <c r="C1110" s="1">
        <v>18.62</v>
      </c>
      <c r="D1110" s="2" t="s">
        <v>142</v>
      </c>
      <c r="E1110" s="8">
        <v>3535.8029000000001</v>
      </c>
      <c r="F1110" s="8">
        <f>F1100</f>
        <v>0</v>
      </c>
      <c r="G1110" s="8">
        <f>E1110+F1110</f>
        <v>3535.8029000000001</v>
      </c>
      <c r="H1110" s="3">
        <f>B1110*G1110</f>
        <v>65801.291968999998</v>
      </c>
      <c r="I1110" s="3">
        <f>C1110*G1110</f>
        <v>65836.649998000008</v>
      </c>
    </row>
    <row r="1111" spans="1:9" x14ac:dyDescent="0.25">
      <c r="A1111" t="s">
        <v>14</v>
      </c>
      <c r="B1111" s="1">
        <v>37.270000000000003</v>
      </c>
      <c r="C1111" s="1">
        <v>37.28</v>
      </c>
      <c r="D1111" s="2" t="s">
        <v>142</v>
      </c>
      <c r="E1111" s="8">
        <v>1764.9988000000001</v>
      </c>
      <c r="F1111" s="8">
        <f>F1101</f>
        <v>0.2</v>
      </c>
      <c r="G1111" s="8">
        <f>E1111+F1111</f>
        <v>1765.1988000000001</v>
      </c>
      <c r="H1111" s="3">
        <f>B1111*G1111</f>
        <v>65788.959276000009</v>
      </c>
      <c r="I1111" s="3">
        <f>C1111*G1111</f>
        <v>65806.611264000006</v>
      </c>
    </row>
    <row r="1112" spans="1:9" x14ac:dyDescent="0.25">
      <c r="A1112" t="s">
        <v>4</v>
      </c>
      <c r="B1112" s="1">
        <v>21.89</v>
      </c>
      <c r="C1112" s="1">
        <v>21.9</v>
      </c>
      <c r="D1112" s="2" t="s">
        <v>143</v>
      </c>
      <c r="E1112" s="8">
        <v>3014.8622999999998</v>
      </c>
      <c r="F1112" s="8">
        <f>F1102</f>
        <v>0</v>
      </c>
      <c r="G1112" s="8">
        <f>E1112+F1112</f>
        <v>3014.8622999999998</v>
      </c>
      <c r="H1112" s="3">
        <f>B1112*G1112</f>
        <v>65995.33574699999</v>
      </c>
      <c r="I1112" s="3">
        <f>C1112*G1112</f>
        <v>66025.484369999991</v>
      </c>
    </row>
    <row r="1113" spans="1:9" x14ac:dyDescent="0.25">
      <c r="A1113" t="s">
        <v>6</v>
      </c>
      <c r="B1113" s="1">
        <v>35.82</v>
      </c>
      <c r="C1113" s="1">
        <v>35.83</v>
      </c>
      <c r="D1113" s="2" t="s">
        <v>143</v>
      </c>
      <c r="E1113" s="8">
        <v>1842.07</v>
      </c>
      <c r="F1113" s="8">
        <f>F1103</f>
        <v>-0.1</v>
      </c>
      <c r="G1113" s="8">
        <f>E1113+F1113</f>
        <v>1841.97</v>
      </c>
      <c r="H1113" s="3">
        <f>B1113*G1113</f>
        <v>65979.365399999995</v>
      </c>
      <c r="I1113" s="3">
        <f>C1113*G1113</f>
        <v>65997.785099999994</v>
      </c>
    </row>
    <row r="1114" spans="1:9" x14ac:dyDescent="0.25">
      <c r="A1114" t="s">
        <v>7</v>
      </c>
      <c r="B1114" s="1">
        <v>18.600000000000001</v>
      </c>
      <c r="C1114" s="1">
        <v>18.61</v>
      </c>
      <c r="D1114" s="2" t="s">
        <v>143</v>
      </c>
      <c r="E1114" s="8">
        <v>3546.4650000000001</v>
      </c>
      <c r="F1114" s="8">
        <f>F1104</f>
        <v>0</v>
      </c>
      <c r="G1114" s="8">
        <f>E1114+F1114</f>
        <v>3546.4650000000001</v>
      </c>
      <c r="H1114" s="3">
        <f>B1114*G1114</f>
        <v>65964.249000000011</v>
      </c>
      <c r="I1114" s="3">
        <f>C1114*G1114</f>
        <v>65999.713650000005</v>
      </c>
    </row>
    <row r="1115" spans="1:9" x14ac:dyDescent="0.25">
      <c r="A1115" t="s">
        <v>8</v>
      </c>
      <c r="B1115" s="1">
        <v>29.19</v>
      </c>
      <c r="C1115" s="1">
        <v>29.2</v>
      </c>
      <c r="D1115" s="2" t="s">
        <v>143</v>
      </c>
      <c r="E1115" s="8">
        <v>2261.2950999999998</v>
      </c>
      <c r="F1115" s="8">
        <f>F1105</f>
        <v>-0.2</v>
      </c>
      <c r="G1115" s="8">
        <f>E1115+F1115</f>
        <v>2261.0951</v>
      </c>
      <c r="H1115" s="3">
        <f>B1115*G1115</f>
        <v>66001.365969000006</v>
      </c>
      <c r="I1115" s="3">
        <f>C1115*G1115</f>
        <v>66023.976920000001</v>
      </c>
    </row>
    <row r="1116" spans="1:9" x14ac:dyDescent="0.25">
      <c r="A1116" t="s">
        <v>9</v>
      </c>
      <c r="B1116" s="1">
        <v>69.75</v>
      </c>
      <c r="C1116" s="1">
        <v>69.849999999999994</v>
      </c>
      <c r="D1116" s="2" t="s">
        <v>143</v>
      </c>
      <c r="E1116" s="8">
        <v>946.10389999999995</v>
      </c>
      <c r="F1116" s="8">
        <f>F1106</f>
        <v>0</v>
      </c>
      <c r="G1116" s="8">
        <f>E1116+F1116</f>
        <v>946.10389999999995</v>
      </c>
      <c r="H1116" s="3">
        <f>B1116*G1116</f>
        <v>65990.74702499999</v>
      </c>
      <c r="I1116" s="3">
        <f>C1116*G1116</f>
        <v>66085.357414999991</v>
      </c>
    </row>
    <row r="1117" spans="1:9" x14ac:dyDescent="0.25">
      <c r="A1117" t="s">
        <v>10</v>
      </c>
      <c r="B1117" s="1">
        <v>38.130000000000003</v>
      </c>
      <c r="C1117" s="1">
        <v>38.15</v>
      </c>
      <c r="D1117" s="2" t="s">
        <v>143</v>
      </c>
      <c r="E1117" s="8">
        <v>1730.0728000000001</v>
      </c>
      <c r="F1117" s="8">
        <f>F1107</f>
        <v>0.2</v>
      </c>
      <c r="G1117" s="8">
        <f>E1117+F1117</f>
        <v>1730.2728000000002</v>
      </c>
      <c r="H1117" s="3">
        <f>B1117*G1117</f>
        <v>65975.301864000008</v>
      </c>
      <c r="I1117" s="3">
        <f>C1117*G1117</f>
        <v>66009.907319999998</v>
      </c>
    </row>
    <row r="1118" spans="1:9" x14ac:dyDescent="0.25">
      <c r="A1118" t="s">
        <v>11</v>
      </c>
      <c r="B1118" s="1">
        <v>57.44</v>
      </c>
      <c r="C1118" s="1">
        <v>57.46</v>
      </c>
      <c r="D1118" s="2" t="s">
        <v>143</v>
      </c>
      <c r="E1118" s="8">
        <v>1148.8136999999999</v>
      </c>
      <c r="F1118" s="8">
        <f>F1108</f>
        <v>0.05</v>
      </c>
      <c r="G1118" s="8">
        <f>E1118+F1118</f>
        <v>1148.8636999999999</v>
      </c>
      <c r="H1118" s="3">
        <f>B1118*G1118</f>
        <v>65990.73092799999</v>
      </c>
      <c r="I1118" s="3">
        <f>C1118*G1118</f>
        <v>66013.708201999994</v>
      </c>
    </row>
    <row r="1119" spans="1:9" x14ac:dyDescent="0.25">
      <c r="A1119" t="s">
        <v>12</v>
      </c>
      <c r="B1119" s="1">
        <v>51.21</v>
      </c>
      <c r="C1119" s="1">
        <v>51.22</v>
      </c>
      <c r="D1119" s="2" t="s">
        <v>143</v>
      </c>
      <c r="E1119" s="8">
        <v>1288.6965</v>
      </c>
      <c r="F1119" s="8">
        <f>F1109</f>
        <v>0</v>
      </c>
      <c r="G1119" s="8">
        <f>E1119+F1119</f>
        <v>1288.6965</v>
      </c>
      <c r="H1119" s="3">
        <f>B1119*G1119</f>
        <v>65994.147765000002</v>
      </c>
      <c r="I1119" s="3">
        <f>C1119*G1119</f>
        <v>66007.034729999999</v>
      </c>
    </row>
    <row r="1120" spans="1:9" x14ac:dyDescent="0.25">
      <c r="A1120" t="s">
        <v>13</v>
      </c>
      <c r="B1120" s="1">
        <v>18.66</v>
      </c>
      <c r="C1120" s="1">
        <v>18.670000000000002</v>
      </c>
      <c r="D1120" s="2" t="s">
        <v>143</v>
      </c>
      <c r="E1120" s="8">
        <v>3535.8029000000001</v>
      </c>
      <c r="F1120" s="8">
        <f>F1110</f>
        <v>0</v>
      </c>
      <c r="G1120" s="8">
        <f>E1120+F1120</f>
        <v>3535.8029000000001</v>
      </c>
      <c r="H1120" s="3">
        <f>B1120*G1120</f>
        <v>65978.082114000004</v>
      </c>
      <c r="I1120" s="3">
        <f>C1120*G1120</f>
        <v>66013.440143000014</v>
      </c>
    </row>
    <row r="1121" spans="1:9" x14ac:dyDescent="0.25">
      <c r="A1121" t="s">
        <v>14</v>
      </c>
      <c r="B1121" s="1">
        <v>37.380000000000003</v>
      </c>
      <c r="C1121" s="1">
        <v>37.39</v>
      </c>
      <c r="D1121" s="2" t="s">
        <v>143</v>
      </c>
      <c r="E1121" s="8">
        <v>1764.9988000000001</v>
      </c>
      <c r="F1121" s="8">
        <f>F1111</f>
        <v>0.2</v>
      </c>
      <c r="G1121" s="8">
        <f>E1121+F1121</f>
        <v>1765.1988000000001</v>
      </c>
      <c r="H1121" s="3">
        <f>B1121*G1121</f>
        <v>65983.131144000014</v>
      </c>
      <c r="I1121" s="3">
        <f>C1121*G1121</f>
        <v>66000.783132000011</v>
      </c>
    </row>
    <row r="1122" spans="1:9" x14ac:dyDescent="0.25">
      <c r="A1122" t="s">
        <v>4</v>
      </c>
      <c r="B1122" s="1">
        <v>21.66</v>
      </c>
      <c r="C1122" s="1">
        <v>21.67</v>
      </c>
      <c r="D1122" s="2" t="s">
        <v>144</v>
      </c>
      <c r="E1122" s="8">
        <v>3014.8622999999998</v>
      </c>
      <c r="F1122" s="8">
        <f>F1112</f>
        <v>0</v>
      </c>
      <c r="G1122" s="8">
        <f>E1122+F1122</f>
        <v>3014.8622999999998</v>
      </c>
      <c r="H1122" s="3">
        <f>B1122*G1122</f>
        <v>65301.917417999997</v>
      </c>
      <c r="I1122" s="3">
        <f>C1122*G1122</f>
        <v>65332.066040999998</v>
      </c>
    </row>
    <row r="1123" spans="1:9" x14ac:dyDescent="0.25">
      <c r="A1123" t="s">
        <v>6</v>
      </c>
      <c r="B1123" s="1">
        <v>35.46</v>
      </c>
      <c r="C1123" s="1">
        <v>35.47</v>
      </c>
      <c r="D1123" s="2" t="s">
        <v>144</v>
      </c>
      <c r="E1123" s="8">
        <v>1842.07</v>
      </c>
      <c r="F1123" s="8">
        <f>F1113</f>
        <v>-0.1</v>
      </c>
      <c r="G1123" s="8">
        <f>E1123+F1123</f>
        <v>1841.97</v>
      </c>
      <c r="H1123" s="3">
        <f>B1123*G1123</f>
        <v>65316.256200000003</v>
      </c>
      <c r="I1123" s="3">
        <f>C1123*G1123</f>
        <v>65334.675900000002</v>
      </c>
    </row>
    <row r="1124" spans="1:9" x14ac:dyDescent="0.25">
      <c r="A1124" t="s">
        <v>7</v>
      </c>
      <c r="B1124" s="1">
        <v>18.41</v>
      </c>
      <c r="C1124" s="1">
        <v>18.420000000000002</v>
      </c>
      <c r="D1124" s="2" t="s">
        <v>144</v>
      </c>
      <c r="E1124" s="8">
        <v>3546.4650000000001</v>
      </c>
      <c r="F1124" s="8">
        <f>F1114</f>
        <v>0</v>
      </c>
      <c r="G1124" s="8">
        <f>E1124+F1124</f>
        <v>3546.4650000000001</v>
      </c>
      <c r="H1124" s="3">
        <f>B1124*G1124</f>
        <v>65290.42065</v>
      </c>
      <c r="I1124" s="3">
        <f>C1124*G1124</f>
        <v>65325.885300000009</v>
      </c>
    </row>
    <row r="1125" spans="1:9" x14ac:dyDescent="0.25">
      <c r="A1125" t="s">
        <v>8</v>
      </c>
      <c r="B1125" s="1">
        <v>28.89</v>
      </c>
      <c r="C1125" s="1">
        <v>28.9</v>
      </c>
      <c r="D1125" s="2" t="s">
        <v>144</v>
      </c>
      <c r="E1125" s="8">
        <v>2261.2950999999998</v>
      </c>
      <c r="F1125" s="8">
        <f>F1115</f>
        <v>-0.2</v>
      </c>
      <c r="G1125" s="8">
        <f>E1125+F1125</f>
        <v>2261.0951</v>
      </c>
      <c r="H1125" s="3">
        <f>B1125*G1125</f>
        <v>65323.037439</v>
      </c>
      <c r="I1125" s="3">
        <f>C1125*G1125</f>
        <v>65345.648389999995</v>
      </c>
    </row>
    <row r="1126" spans="1:9" x14ac:dyDescent="0.25">
      <c r="A1126" t="s">
        <v>9</v>
      </c>
      <c r="B1126" s="1">
        <v>69.03</v>
      </c>
      <c r="C1126" s="1">
        <v>69.150000000000006</v>
      </c>
      <c r="D1126" s="2" t="s">
        <v>144</v>
      </c>
      <c r="E1126" s="8">
        <v>946.10389999999995</v>
      </c>
      <c r="F1126" s="8">
        <f>F1116</f>
        <v>0</v>
      </c>
      <c r="G1126" s="8">
        <f>E1126+F1126</f>
        <v>946.10389999999995</v>
      </c>
      <c r="H1126" s="3">
        <f>B1126*G1126</f>
        <v>65309.552216999997</v>
      </c>
      <c r="I1126" s="3">
        <f>C1126*G1126</f>
        <v>65423.084685000002</v>
      </c>
    </row>
    <row r="1127" spans="1:9" x14ac:dyDescent="0.25">
      <c r="A1127" t="s">
        <v>10</v>
      </c>
      <c r="B1127" s="1">
        <v>37.729999999999997</v>
      </c>
      <c r="C1127" s="1">
        <v>37.770000000000003</v>
      </c>
      <c r="D1127" s="2" t="s">
        <v>144</v>
      </c>
      <c r="E1127" s="8">
        <v>1730.0728000000001</v>
      </c>
      <c r="F1127" s="8">
        <f>F1117</f>
        <v>0.2</v>
      </c>
      <c r="G1127" s="8">
        <f>E1127+F1127</f>
        <v>1730.2728000000002</v>
      </c>
      <c r="H1127" s="3">
        <f>B1127*G1127</f>
        <v>65283.192744</v>
      </c>
      <c r="I1127" s="3">
        <f>C1127*G1127</f>
        <v>65352.40365600001</v>
      </c>
    </row>
    <row r="1128" spans="1:9" x14ac:dyDescent="0.25">
      <c r="A1128" t="s">
        <v>11</v>
      </c>
      <c r="B1128" s="1">
        <v>56.86</v>
      </c>
      <c r="C1128" s="1">
        <v>56.87</v>
      </c>
      <c r="D1128" s="2" t="s">
        <v>144</v>
      </c>
      <c r="E1128" s="8">
        <v>1148.8136999999999</v>
      </c>
      <c r="F1128" s="8">
        <f>F1118</f>
        <v>0.05</v>
      </c>
      <c r="G1128" s="8">
        <f>E1128+F1128</f>
        <v>1148.8636999999999</v>
      </c>
      <c r="H1128" s="3">
        <f>B1128*G1128</f>
        <v>65324.389981999993</v>
      </c>
      <c r="I1128" s="3">
        <f>C1128*G1128</f>
        <v>65335.878618999988</v>
      </c>
    </row>
    <row r="1129" spans="1:9" x14ac:dyDescent="0.25">
      <c r="A1129" t="s">
        <v>12</v>
      </c>
      <c r="B1129" s="1">
        <v>50.68</v>
      </c>
      <c r="C1129" s="1">
        <v>50.7</v>
      </c>
      <c r="D1129" s="2" t="s">
        <v>144</v>
      </c>
      <c r="E1129" s="8">
        <v>1288.6965</v>
      </c>
      <c r="F1129" s="8">
        <f>F1119</f>
        <v>0</v>
      </c>
      <c r="G1129" s="8">
        <f>E1129+F1129</f>
        <v>1288.6965</v>
      </c>
      <c r="H1129" s="3">
        <f>B1129*G1129</f>
        <v>65311.138619999998</v>
      </c>
      <c r="I1129" s="3">
        <f>C1129*G1129</f>
        <v>65336.912550000001</v>
      </c>
    </row>
    <row r="1130" spans="1:9" x14ac:dyDescent="0.25">
      <c r="A1130" t="s">
        <v>13</v>
      </c>
      <c r="B1130" s="1">
        <v>18.47</v>
      </c>
      <c r="C1130" s="1">
        <v>18.48</v>
      </c>
      <c r="D1130" s="2" t="s">
        <v>144</v>
      </c>
      <c r="E1130" s="8">
        <v>3535.8029000000001</v>
      </c>
      <c r="F1130" s="8">
        <f>F1120</f>
        <v>0</v>
      </c>
      <c r="G1130" s="8">
        <f>E1130+F1130</f>
        <v>3535.8029000000001</v>
      </c>
      <c r="H1130" s="3">
        <f>B1130*G1130</f>
        <v>65306.279562999996</v>
      </c>
      <c r="I1130" s="3">
        <f>C1130*G1130</f>
        <v>65341.637592000006</v>
      </c>
    </row>
    <row r="1131" spans="1:9" x14ac:dyDescent="0.25">
      <c r="A1131" t="s">
        <v>14</v>
      </c>
      <c r="B1131" s="1">
        <v>37</v>
      </c>
      <c r="C1131" s="1">
        <v>37.01</v>
      </c>
      <c r="D1131" s="2" t="s">
        <v>144</v>
      </c>
      <c r="E1131" s="8">
        <v>1764.9988000000001</v>
      </c>
      <c r="F1131" s="8">
        <f>F1121</f>
        <v>0.2</v>
      </c>
      <c r="G1131" s="8">
        <f>E1131+F1131</f>
        <v>1765.1988000000001</v>
      </c>
      <c r="H1131" s="3">
        <f>B1131*G1131</f>
        <v>65312.355600000003</v>
      </c>
      <c r="I1131" s="3">
        <f>C1131*G1131</f>
        <v>65330.007588</v>
      </c>
    </row>
    <row r="1132" spans="1:9" x14ac:dyDescent="0.25">
      <c r="A1132" t="s">
        <v>4</v>
      </c>
      <c r="B1132" s="1">
        <v>21.66</v>
      </c>
      <c r="C1132" s="1">
        <v>21.67</v>
      </c>
      <c r="D1132" s="2" t="s">
        <v>145</v>
      </c>
      <c r="E1132" s="8">
        <v>3014.8622999999998</v>
      </c>
      <c r="F1132" s="8">
        <f>F1122</f>
        <v>0</v>
      </c>
      <c r="G1132" s="8">
        <f>E1132+F1132</f>
        <v>3014.8622999999998</v>
      </c>
      <c r="H1132" s="3">
        <f>B1132*G1132</f>
        <v>65301.917417999997</v>
      </c>
      <c r="I1132" s="3">
        <f>C1132*G1132</f>
        <v>65332.066040999998</v>
      </c>
    </row>
    <row r="1133" spans="1:9" x14ac:dyDescent="0.25">
      <c r="A1133" t="s">
        <v>6</v>
      </c>
      <c r="B1133" s="1">
        <v>35.44</v>
      </c>
      <c r="C1133" s="1">
        <v>35.450000000000003</v>
      </c>
      <c r="D1133" s="2" t="s">
        <v>145</v>
      </c>
      <c r="E1133" s="8">
        <v>1842.07</v>
      </c>
      <c r="F1133" s="8">
        <f>F1123</f>
        <v>-0.1</v>
      </c>
      <c r="G1133" s="8">
        <f>E1133+F1133</f>
        <v>1841.97</v>
      </c>
      <c r="H1133" s="3">
        <f>B1133*G1133</f>
        <v>65279.416799999999</v>
      </c>
      <c r="I1133" s="3">
        <f>C1133*G1133</f>
        <v>65297.836500000005</v>
      </c>
    </row>
    <row r="1134" spans="1:9" x14ac:dyDescent="0.25">
      <c r="A1134" t="s">
        <v>7</v>
      </c>
      <c r="B1134" s="1">
        <v>18.41</v>
      </c>
      <c r="C1134" s="1">
        <v>18.420000000000002</v>
      </c>
      <c r="D1134" s="2" t="s">
        <v>145</v>
      </c>
      <c r="E1134" s="8">
        <v>3546.4650000000001</v>
      </c>
      <c r="F1134" s="8">
        <f>F1124</f>
        <v>0</v>
      </c>
      <c r="G1134" s="8">
        <f>E1134+F1134</f>
        <v>3546.4650000000001</v>
      </c>
      <c r="H1134" s="3">
        <f>B1134*G1134</f>
        <v>65290.42065</v>
      </c>
      <c r="I1134" s="3">
        <f>C1134*G1134</f>
        <v>65325.885300000009</v>
      </c>
    </row>
    <row r="1135" spans="1:9" x14ac:dyDescent="0.25">
      <c r="A1135" t="s">
        <v>8</v>
      </c>
      <c r="B1135" s="1">
        <v>28.88</v>
      </c>
      <c r="C1135" s="1">
        <v>28.89</v>
      </c>
      <c r="D1135" s="2" t="s">
        <v>145</v>
      </c>
      <c r="E1135" s="8">
        <v>2261.2950999999998</v>
      </c>
      <c r="F1135" s="8">
        <f>F1125</f>
        <v>-0.2</v>
      </c>
      <c r="G1135" s="8">
        <f>E1135+F1135</f>
        <v>2261.0951</v>
      </c>
      <c r="H1135" s="3">
        <f>B1135*G1135</f>
        <v>65300.426487999997</v>
      </c>
      <c r="I1135" s="3">
        <f>C1135*G1135</f>
        <v>65323.037439</v>
      </c>
    </row>
    <row r="1136" spans="1:9" x14ac:dyDescent="0.25">
      <c r="A1136" t="s">
        <v>9</v>
      </c>
      <c r="B1136" s="1">
        <v>69.010000000000005</v>
      </c>
      <c r="C1136" s="1">
        <v>69.12</v>
      </c>
      <c r="D1136" s="2" t="s">
        <v>145</v>
      </c>
      <c r="E1136" s="8">
        <v>946.10389999999995</v>
      </c>
      <c r="F1136" s="8">
        <f>F1126</f>
        <v>0</v>
      </c>
      <c r="G1136" s="8">
        <f>E1136+F1136</f>
        <v>946.10389999999995</v>
      </c>
      <c r="H1136" s="3">
        <f>B1136*G1136</f>
        <v>65290.630139000001</v>
      </c>
      <c r="I1136" s="3">
        <f>C1136*G1136</f>
        <v>65394.701568000004</v>
      </c>
    </row>
    <row r="1137" spans="1:9" x14ac:dyDescent="0.25">
      <c r="A1137" t="s">
        <v>10</v>
      </c>
      <c r="B1137" s="1">
        <v>37.72</v>
      </c>
      <c r="C1137" s="1">
        <v>37.75</v>
      </c>
      <c r="D1137" s="2" t="s">
        <v>145</v>
      </c>
      <c r="E1137" s="8">
        <v>1730.0728000000001</v>
      </c>
      <c r="F1137" s="8">
        <f>F1127</f>
        <v>0.2</v>
      </c>
      <c r="G1137" s="8">
        <f>E1137+F1137</f>
        <v>1730.2728000000002</v>
      </c>
      <c r="H1137" s="3">
        <f>B1137*G1137</f>
        <v>65265.890016000005</v>
      </c>
      <c r="I1137" s="3">
        <f>C1137*G1137</f>
        <v>65317.798200000005</v>
      </c>
    </row>
    <row r="1138" spans="1:9" x14ac:dyDescent="0.25">
      <c r="A1138" t="s">
        <v>11</v>
      </c>
      <c r="B1138" s="1">
        <v>56.83</v>
      </c>
      <c r="C1138" s="1">
        <v>56.84</v>
      </c>
      <c r="D1138" s="2" t="s">
        <v>145</v>
      </c>
      <c r="E1138" s="8">
        <v>1148.8136999999999</v>
      </c>
      <c r="F1138" s="8">
        <f>F1128</f>
        <v>0.05</v>
      </c>
      <c r="G1138" s="8">
        <f>E1138+F1138</f>
        <v>1148.8636999999999</v>
      </c>
      <c r="H1138" s="3">
        <f>B1138*G1138</f>
        <v>65289.924070999994</v>
      </c>
      <c r="I1138" s="3">
        <f>C1138*G1138</f>
        <v>65301.412707999996</v>
      </c>
    </row>
    <row r="1139" spans="1:9" x14ac:dyDescent="0.25">
      <c r="A1139" t="s">
        <v>12</v>
      </c>
      <c r="B1139" s="1">
        <v>50.66</v>
      </c>
      <c r="C1139" s="1">
        <v>50.67</v>
      </c>
      <c r="D1139" s="2" t="s">
        <v>145</v>
      </c>
      <c r="E1139" s="8">
        <v>1288.6965</v>
      </c>
      <c r="F1139" s="8">
        <f>F1129</f>
        <v>0</v>
      </c>
      <c r="G1139" s="8">
        <f>E1139+F1139</f>
        <v>1288.6965</v>
      </c>
      <c r="H1139" s="3">
        <f>B1139*G1139</f>
        <v>65285.364689999995</v>
      </c>
      <c r="I1139" s="3">
        <f>C1139*G1139</f>
        <v>65298.251655</v>
      </c>
    </row>
    <row r="1140" spans="1:9" x14ac:dyDescent="0.25">
      <c r="A1140" t="s">
        <v>13</v>
      </c>
      <c r="B1140" s="1">
        <v>18.46</v>
      </c>
      <c r="C1140" s="1">
        <v>18.47</v>
      </c>
      <c r="D1140" s="2" t="s">
        <v>145</v>
      </c>
      <c r="E1140" s="8">
        <v>3535.8029000000001</v>
      </c>
      <c r="F1140" s="8">
        <f>F1130</f>
        <v>0</v>
      </c>
      <c r="G1140" s="8">
        <f>E1140+F1140</f>
        <v>3535.8029000000001</v>
      </c>
      <c r="H1140" s="3">
        <f>B1140*G1140</f>
        <v>65270.921534000008</v>
      </c>
      <c r="I1140" s="3">
        <f>C1140*G1140</f>
        <v>65306.279562999996</v>
      </c>
    </row>
    <row r="1141" spans="1:9" x14ac:dyDescent="0.25">
      <c r="A1141" t="s">
        <v>14</v>
      </c>
      <c r="B1141" s="1">
        <v>36.99</v>
      </c>
      <c r="C1141" s="1">
        <v>37</v>
      </c>
      <c r="D1141" s="2" t="s">
        <v>145</v>
      </c>
      <c r="E1141" s="8">
        <v>1764.9988000000001</v>
      </c>
      <c r="F1141" s="8">
        <f>F1131</f>
        <v>0.2</v>
      </c>
      <c r="G1141" s="8">
        <f>E1141+F1141</f>
        <v>1765.1988000000001</v>
      </c>
      <c r="H1141" s="3">
        <f>B1141*G1141</f>
        <v>65294.703612000005</v>
      </c>
      <c r="I1141" s="3">
        <f>C1141*G1141</f>
        <v>65312.355600000003</v>
      </c>
    </row>
    <row r="1142" spans="1:9" x14ac:dyDescent="0.25">
      <c r="A1142" t="s">
        <v>4</v>
      </c>
      <c r="B1142" s="1">
        <v>21.76</v>
      </c>
      <c r="C1142" s="1">
        <v>21.77</v>
      </c>
      <c r="D1142" s="2" t="s">
        <v>146</v>
      </c>
      <c r="E1142" s="8">
        <v>3014.8622999999998</v>
      </c>
      <c r="F1142" s="8">
        <f>F1132</f>
        <v>0</v>
      </c>
      <c r="G1142" s="8">
        <f>E1142+F1142</f>
        <v>3014.8622999999998</v>
      </c>
      <c r="H1142" s="3">
        <f>B1142*G1142</f>
        <v>65603.403648000007</v>
      </c>
      <c r="I1142" s="3">
        <f>C1142*G1142</f>
        <v>65633.552270999993</v>
      </c>
    </row>
    <row r="1143" spans="1:9" x14ac:dyDescent="0.25">
      <c r="A1143" t="s">
        <v>6</v>
      </c>
      <c r="B1143" s="1">
        <v>35.619999999999997</v>
      </c>
      <c r="C1143" s="1">
        <v>35.630000000000003</v>
      </c>
      <c r="D1143" s="2" t="s">
        <v>146</v>
      </c>
      <c r="E1143" s="8">
        <v>1842.07</v>
      </c>
      <c r="F1143" s="8">
        <f>F1133</f>
        <v>-0.1</v>
      </c>
      <c r="G1143" s="8">
        <f>E1143+F1143</f>
        <v>1841.97</v>
      </c>
      <c r="H1143" s="3">
        <f>B1143*G1143</f>
        <v>65610.971399999995</v>
      </c>
      <c r="I1143" s="3">
        <f>C1143*G1143</f>
        <v>65629.391100000008</v>
      </c>
    </row>
    <row r="1144" spans="1:9" x14ac:dyDescent="0.25">
      <c r="A1144" t="s">
        <v>7</v>
      </c>
      <c r="B1144" s="1">
        <v>18.5</v>
      </c>
      <c r="C1144" s="1">
        <v>18.510000000000002</v>
      </c>
      <c r="D1144" s="2" t="s">
        <v>146</v>
      </c>
      <c r="E1144" s="8">
        <v>3546.4650000000001</v>
      </c>
      <c r="F1144" s="8">
        <f>F1134</f>
        <v>0</v>
      </c>
      <c r="G1144" s="8">
        <f>E1144+F1144</f>
        <v>3546.4650000000001</v>
      </c>
      <c r="H1144" s="3">
        <f>B1144*G1144</f>
        <v>65609.602500000008</v>
      </c>
      <c r="I1144" s="3">
        <f>C1144*G1144</f>
        <v>65645.067150000003</v>
      </c>
    </row>
    <row r="1145" spans="1:9" x14ac:dyDescent="0.25">
      <c r="A1145" t="s">
        <v>8</v>
      </c>
      <c r="B1145" s="1">
        <v>29.02</v>
      </c>
      <c r="C1145" s="1">
        <v>29.03</v>
      </c>
      <c r="D1145" s="2" t="s">
        <v>146</v>
      </c>
      <c r="E1145" s="8">
        <v>2261.2950999999998</v>
      </c>
      <c r="F1145" s="8">
        <f>F1135</f>
        <v>-0.2</v>
      </c>
      <c r="G1145" s="8">
        <f>E1145+F1145</f>
        <v>2261.0951</v>
      </c>
      <c r="H1145" s="3">
        <f>B1145*G1145</f>
        <v>65616.979802000002</v>
      </c>
      <c r="I1145" s="3">
        <f>C1145*G1145</f>
        <v>65639.590752999997</v>
      </c>
    </row>
    <row r="1146" spans="1:9" x14ac:dyDescent="0.25">
      <c r="A1146" t="s">
        <v>9</v>
      </c>
      <c r="B1146" s="1">
        <v>69.34</v>
      </c>
      <c r="C1146" s="1">
        <v>69.459999999999994</v>
      </c>
      <c r="D1146" s="2" t="s">
        <v>146</v>
      </c>
      <c r="E1146" s="8">
        <v>946.10389999999995</v>
      </c>
      <c r="F1146" s="8">
        <f>F1136</f>
        <v>0</v>
      </c>
      <c r="G1146" s="8">
        <f>E1146+F1146</f>
        <v>946.10389999999995</v>
      </c>
      <c r="H1146" s="3">
        <f>B1146*G1146</f>
        <v>65602.844425999996</v>
      </c>
      <c r="I1146" s="3">
        <f>C1146*G1146</f>
        <v>65716.376893999986</v>
      </c>
    </row>
    <row r="1147" spans="1:9" x14ac:dyDescent="0.25">
      <c r="A1147" t="s">
        <v>10</v>
      </c>
      <c r="B1147" s="1">
        <v>37.9</v>
      </c>
      <c r="C1147" s="1">
        <v>37.950000000000003</v>
      </c>
      <c r="D1147" s="2" t="s">
        <v>146</v>
      </c>
      <c r="E1147" s="8">
        <v>1730.0728000000001</v>
      </c>
      <c r="F1147" s="8">
        <f>F1137</f>
        <v>0.2</v>
      </c>
      <c r="G1147" s="8">
        <f>E1147+F1147</f>
        <v>1730.2728000000002</v>
      </c>
      <c r="H1147" s="3">
        <f>B1147*G1147</f>
        <v>65577.339120000004</v>
      </c>
      <c r="I1147" s="3">
        <f>C1147*G1147</f>
        <v>65663.852760000009</v>
      </c>
    </row>
    <row r="1148" spans="1:9" x14ac:dyDescent="0.25">
      <c r="A1148" t="s">
        <v>11</v>
      </c>
      <c r="B1148" s="1">
        <v>57.12</v>
      </c>
      <c r="C1148" s="1">
        <v>57.13</v>
      </c>
      <c r="D1148" s="2" t="s">
        <v>146</v>
      </c>
      <c r="E1148" s="8">
        <v>1148.8136999999999</v>
      </c>
      <c r="F1148" s="8">
        <f>F1138</f>
        <v>0.05</v>
      </c>
      <c r="G1148" s="8">
        <f>E1148+F1148</f>
        <v>1148.8636999999999</v>
      </c>
      <c r="H1148" s="3">
        <f>B1148*G1148</f>
        <v>65623.094543999992</v>
      </c>
      <c r="I1148" s="3">
        <f>C1148*G1148</f>
        <v>65634.583180999995</v>
      </c>
    </row>
    <row r="1149" spans="1:9" x14ac:dyDescent="0.25">
      <c r="A1149" t="s">
        <v>12</v>
      </c>
      <c r="B1149" s="1">
        <v>50.91</v>
      </c>
      <c r="C1149" s="1">
        <v>50.92</v>
      </c>
      <c r="D1149" s="2" t="s">
        <v>146</v>
      </c>
      <c r="E1149" s="8">
        <v>1288.6965</v>
      </c>
      <c r="F1149" s="8">
        <f>F1139</f>
        <v>0</v>
      </c>
      <c r="G1149" s="8">
        <f>E1149+F1149</f>
        <v>1288.6965</v>
      </c>
      <c r="H1149" s="3">
        <f>B1149*G1149</f>
        <v>65607.538814999993</v>
      </c>
      <c r="I1149" s="3">
        <f>C1149*G1149</f>
        <v>65620.425780000005</v>
      </c>
    </row>
    <row r="1150" spans="1:9" x14ac:dyDescent="0.25">
      <c r="A1150" t="s">
        <v>13</v>
      </c>
      <c r="B1150" s="1">
        <v>18.55</v>
      </c>
      <c r="C1150" s="1">
        <v>18.559999999999999</v>
      </c>
      <c r="D1150" s="2" t="s">
        <v>146</v>
      </c>
      <c r="E1150" s="8">
        <v>3535.8029000000001</v>
      </c>
      <c r="F1150" s="8">
        <f>F1140</f>
        <v>0</v>
      </c>
      <c r="G1150" s="8">
        <f>E1150+F1150</f>
        <v>3535.8029000000001</v>
      </c>
      <c r="H1150" s="3">
        <f>B1150*G1150</f>
        <v>65589.143795000011</v>
      </c>
      <c r="I1150" s="3">
        <f>C1150*G1150</f>
        <v>65624.501823999992</v>
      </c>
    </row>
    <row r="1151" spans="1:9" x14ac:dyDescent="0.25">
      <c r="A1151" t="s">
        <v>14</v>
      </c>
      <c r="B1151" s="1">
        <v>37.17</v>
      </c>
      <c r="C1151" s="1">
        <v>37.18</v>
      </c>
      <c r="D1151" s="2" t="s">
        <v>146</v>
      </c>
      <c r="E1151" s="8">
        <v>1764.9988000000001</v>
      </c>
      <c r="F1151" s="8">
        <f>F1141</f>
        <v>0.2</v>
      </c>
      <c r="G1151" s="8">
        <f>E1151+F1151</f>
        <v>1765.1988000000001</v>
      </c>
      <c r="H1151" s="3">
        <f>B1151*G1151</f>
        <v>65612.439396000002</v>
      </c>
      <c r="I1151" s="3">
        <f>C1151*G1151</f>
        <v>65630.091383999999</v>
      </c>
    </row>
    <row r="1152" spans="1:9" x14ac:dyDescent="0.25">
      <c r="A1152" t="s">
        <v>4</v>
      </c>
      <c r="B1152" s="1">
        <v>21.75</v>
      </c>
      <c r="C1152" s="1">
        <v>21.76</v>
      </c>
      <c r="D1152" s="2" t="s">
        <v>147</v>
      </c>
      <c r="E1152" s="8">
        <v>3014.8622999999998</v>
      </c>
      <c r="F1152" s="8">
        <f>F1142</f>
        <v>0</v>
      </c>
      <c r="G1152" s="8">
        <f>E1152+F1152</f>
        <v>3014.8622999999998</v>
      </c>
      <c r="H1152" s="3">
        <f>B1152*G1152</f>
        <v>65573.255024999991</v>
      </c>
      <c r="I1152" s="3">
        <f>C1152*G1152</f>
        <v>65603.403648000007</v>
      </c>
    </row>
    <row r="1153" spans="1:9" x14ac:dyDescent="0.25">
      <c r="A1153" t="s">
        <v>6</v>
      </c>
      <c r="B1153" s="1">
        <v>35.61</v>
      </c>
      <c r="C1153" s="1">
        <v>35.619999999999997</v>
      </c>
      <c r="D1153" s="2" t="s">
        <v>147</v>
      </c>
      <c r="E1153" s="8">
        <v>1842.07</v>
      </c>
      <c r="F1153" s="8">
        <f>F1143</f>
        <v>-0.1</v>
      </c>
      <c r="G1153" s="8">
        <f>E1153+F1153</f>
        <v>1841.97</v>
      </c>
      <c r="H1153" s="3">
        <f>B1153*G1153</f>
        <v>65592.551699999996</v>
      </c>
      <c r="I1153" s="3">
        <f>C1153*G1153</f>
        <v>65610.971399999995</v>
      </c>
    </row>
    <row r="1154" spans="1:9" x14ac:dyDescent="0.25">
      <c r="A1154" t="s">
        <v>7</v>
      </c>
      <c r="B1154" s="1">
        <v>18.489999999999998</v>
      </c>
      <c r="C1154" s="1">
        <v>18.5</v>
      </c>
      <c r="D1154" s="2" t="s">
        <v>147</v>
      </c>
      <c r="E1154" s="8">
        <v>3546.4650000000001</v>
      </c>
      <c r="F1154" s="8">
        <f>F1144</f>
        <v>0</v>
      </c>
      <c r="G1154" s="8">
        <f>E1154+F1154</f>
        <v>3546.4650000000001</v>
      </c>
      <c r="H1154" s="3">
        <f>B1154*G1154</f>
        <v>65574.137849999999</v>
      </c>
      <c r="I1154" s="3">
        <f>C1154*G1154</f>
        <v>65609.602500000008</v>
      </c>
    </row>
    <row r="1155" spans="1:9" x14ac:dyDescent="0.25">
      <c r="A1155" t="s">
        <v>8</v>
      </c>
      <c r="B1155" s="1">
        <v>29.01</v>
      </c>
      <c r="C1155" s="1">
        <v>29.02</v>
      </c>
      <c r="D1155" s="2" t="s">
        <v>147</v>
      </c>
      <c r="E1155" s="8">
        <v>2261.2950999999998</v>
      </c>
      <c r="F1155" s="8">
        <f>F1145</f>
        <v>-0.2</v>
      </c>
      <c r="G1155" s="8">
        <f>E1155+F1155</f>
        <v>2261.0951</v>
      </c>
      <c r="H1155" s="3">
        <f>B1155*G1155</f>
        <v>65594.368851000007</v>
      </c>
      <c r="I1155" s="3">
        <f>C1155*G1155</f>
        <v>65616.979802000002</v>
      </c>
    </row>
    <row r="1156" spans="1:9" x14ac:dyDescent="0.25">
      <c r="A1156" t="s">
        <v>9</v>
      </c>
      <c r="B1156" s="1">
        <v>69.319999999999993</v>
      </c>
      <c r="C1156" s="1">
        <v>69.44</v>
      </c>
      <c r="D1156" s="2" t="s">
        <v>147</v>
      </c>
      <c r="E1156" s="8">
        <v>946.10389999999995</v>
      </c>
      <c r="F1156" s="8">
        <f>F1146</f>
        <v>0</v>
      </c>
      <c r="G1156" s="8">
        <f>E1156+F1156</f>
        <v>946.10389999999995</v>
      </c>
      <c r="H1156" s="3">
        <f>B1156*G1156</f>
        <v>65583.922347999993</v>
      </c>
      <c r="I1156" s="3">
        <f>C1156*G1156</f>
        <v>65697.454815999998</v>
      </c>
    </row>
    <row r="1157" spans="1:9" x14ac:dyDescent="0.25">
      <c r="A1157" t="s">
        <v>10</v>
      </c>
      <c r="B1157" s="1">
        <v>37.89</v>
      </c>
      <c r="C1157" s="1">
        <v>37.92</v>
      </c>
      <c r="D1157" s="2" t="s">
        <v>147</v>
      </c>
      <c r="E1157" s="8">
        <v>1730.0728000000001</v>
      </c>
      <c r="F1157" s="8">
        <f>F1147</f>
        <v>0.2</v>
      </c>
      <c r="G1157" s="8">
        <f>E1157+F1157</f>
        <v>1730.2728000000002</v>
      </c>
      <c r="H1157" s="3">
        <f>B1157*G1157</f>
        <v>65560.036392000009</v>
      </c>
      <c r="I1157" s="3">
        <f>C1157*G1157</f>
        <v>65611.944576000009</v>
      </c>
    </row>
    <row r="1158" spans="1:9" x14ac:dyDescent="0.25">
      <c r="A1158" t="s">
        <v>11</v>
      </c>
      <c r="B1158" s="1">
        <v>57.09</v>
      </c>
      <c r="C1158" s="1">
        <v>57.11</v>
      </c>
      <c r="D1158" s="2" t="s">
        <v>147</v>
      </c>
      <c r="E1158" s="8">
        <v>1148.8136999999999</v>
      </c>
      <c r="F1158" s="8">
        <f>F1148</f>
        <v>0.05</v>
      </c>
      <c r="G1158" s="8">
        <f>E1158+F1158</f>
        <v>1148.8636999999999</v>
      </c>
      <c r="H1158" s="3">
        <f>B1158*G1158</f>
        <v>65588.628633</v>
      </c>
      <c r="I1158" s="3">
        <f>C1158*G1158</f>
        <v>65611.60590699999</v>
      </c>
    </row>
    <row r="1159" spans="1:9" x14ac:dyDescent="0.25">
      <c r="A1159" t="s">
        <v>12</v>
      </c>
      <c r="B1159" s="1">
        <v>50.9</v>
      </c>
      <c r="C1159" s="1">
        <v>50.91</v>
      </c>
      <c r="D1159" s="2" t="s">
        <v>147</v>
      </c>
      <c r="E1159" s="8">
        <v>1288.6965</v>
      </c>
      <c r="F1159" s="8">
        <f>F1149</f>
        <v>0</v>
      </c>
      <c r="G1159" s="8">
        <f>E1159+F1159</f>
        <v>1288.6965</v>
      </c>
      <c r="H1159" s="3">
        <f>B1159*G1159</f>
        <v>65594.651849999995</v>
      </c>
      <c r="I1159" s="3">
        <f>C1159*G1159</f>
        <v>65607.538814999993</v>
      </c>
    </row>
    <row r="1160" spans="1:9" x14ac:dyDescent="0.25">
      <c r="A1160" t="s">
        <v>13</v>
      </c>
      <c r="B1160" s="1">
        <v>18.54</v>
      </c>
      <c r="C1160" s="1">
        <v>18.55</v>
      </c>
      <c r="D1160" s="2" t="s">
        <v>147</v>
      </c>
      <c r="E1160" s="8">
        <v>3535.8029000000001</v>
      </c>
      <c r="F1160" s="8">
        <f>F1150</f>
        <v>0</v>
      </c>
      <c r="G1160" s="8">
        <f>E1160+F1160</f>
        <v>3535.8029000000001</v>
      </c>
      <c r="H1160" s="3">
        <f>B1160*G1160</f>
        <v>65553.785766000001</v>
      </c>
      <c r="I1160" s="3">
        <f>C1160*G1160</f>
        <v>65589.143795000011</v>
      </c>
    </row>
    <row r="1161" spans="1:9" x14ac:dyDescent="0.25">
      <c r="A1161" t="s">
        <v>14</v>
      </c>
      <c r="B1161" s="1">
        <v>37.15</v>
      </c>
      <c r="C1161" s="1">
        <v>37.159999999999997</v>
      </c>
      <c r="D1161" s="2" t="s">
        <v>147</v>
      </c>
      <c r="E1161" s="8">
        <v>1764.9988000000001</v>
      </c>
      <c r="F1161" s="8">
        <f>F1151</f>
        <v>0.2</v>
      </c>
      <c r="G1161" s="8">
        <f>E1161+F1161</f>
        <v>1765.1988000000001</v>
      </c>
      <c r="H1161" s="3">
        <f>B1161*G1161</f>
        <v>65577.135420000006</v>
      </c>
      <c r="I1161" s="3">
        <f>C1161*G1161</f>
        <v>65594.787408000004</v>
      </c>
    </row>
    <row r="1162" spans="1:9" x14ac:dyDescent="0.25">
      <c r="A1162" t="s">
        <v>4</v>
      </c>
      <c r="B1162" s="1">
        <v>21.57</v>
      </c>
      <c r="C1162" s="1">
        <v>21.58</v>
      </c>
      <c r="D1162" s="2" t="s">
        <v>148</v>
      </c>
      <c r="E1162" s="8">
        <v>3014.8622999999998</v>
      </c>
      <c r="F1162" s="8">
        <f>F1152</f>
        <v>0</v>
      </c>
      <c r="G1162" s="8">
        <f>E1162+F1162</f>
        <v>3014.8622999999998</v>
      </c>
      <c r="H1162" s="3">
        <f>B1162*G1162</f>
        <v>65030.579810999996</v>
      </c>
      <c r="I1162" s="3">
        <f>C1162*G1162</f>
        <v>65060.72843399999</v>
      </c>
    </row>
    <row r="1163" spans="1:9" x14ac:dyDescent="0.25">
      <c r="A1163" t="s">
        <v>6</v>
      </c>
      <c r="B1163" s="1">
        <v>35.31</v>
      </c>
      <c r="C1163" s="1">
        <v>35.32</v>
      </c>
      <c r="D1163" s="2" t="s">
        <v>148</v>
      </c>
      <c r="E1163" s="8">
        <v>1842.07</v>
      </c>
      <c r="F1163" s="8">
        <f>F1153</f>
        <v>-0.1</v>
      </c>
      <c r="G1163" s="8">
        <f>E1163+F1163</f>
        <v>1841.97</v>
      </c>
      <c r="H1163" s="3">
        <f>B1163*G1163</f>
        <v>65039.960700000003</v>
      </c>
      <c r="I1163" s="3">
        <f>C1163*G1163</f>
        <v>65058.380400000002</v>
      </c>
    </row>
    <row r="1164" spans="1:9" x14ac:dyDescent="0.25">
      <c r="A1164" t="s">
        <v>7</v>
      </c>
      <c r="B1164" s="1">
        <v>18.34</v>
      </c>
      <c r="C1164" s="1">
        <v>18.350000000000001</v>
      </c>
      <c r="D1164" s="2" t="s">
        <v>148</v>
      </c>
      <c r="E1164" s="8">
        <v>3546.4650000000001</v>
      </c>
      <c r="F1164" s="8">
        <f>F1154</f>
        <v>0</v>
      </c>
      <c r="G1164" s="8">
        <f>E1164+F1164</f>
        <v>3546.4650000000001</v>
      </c>
      <c r="H1164" s="3">
        <f>B1164*G1164</f>
        <v>65042.168100000003</v>
      </c>
      <c r="I1164" s="3">
        <f>C1164*G1164</f>
        <v>65077.632750000004</v>
      </c>
    </row>
    <row r="1165" spans="1:9" x14ac:dyDescent="0.25">
      <c r="A1165" t="s">
        <v>8</v>
      </c>
      <c r="B1165" s="1">
        <v>28.77</v>
      </c>
      <c r="C1165" s="1">
        <v>28.78</v>
      </c>
      <c r="D1165" s="2" t="s">
        <v>148</v>
      </c>
      <c r="E1165" s="8">
        <v>2261.2950999999998</v>
      </c>
      <c r="F1165" s="8">
        <f>F1155</f>
        <v>-0.2</v>
      </c>
      <c r="G1165" s="8">
        <f>E1165+F1165</f>
        <v>2261.0951</v>
      </c>
      <c r="H1165" s="3">
        <f>B1165*G1165</f>
        <v>65051.706027</v>
      </c>
      <c r="I1165" s="3">
        <f>C1165*G1165</f>
        <v>65074.316978000003</v>
      </c>
    </row>
    <row r="1166" spans="1:9" x14ac:dyDescent="0.25">
      <c r="A1166" t="s">
        <v>9</v>
      </c>
      <c r="B1166" s="1">
        <v>68.73</v>
      </c>
      <c r="C1166" s="1">
        <v>68.84</v>
      </c>
      <c r="D1166" s="2" t="s">
        <v>148</v>
      </c>
      <c r="E1166" s="8">
        <v>946.10389999999995</v>
      </c>
      <c r="F1166" s="8">
        <f>F1156</f>
        <v>0</v>
      </c>
      <c r="G1166" s="8">
        <f>E1166+F1166</f>
        <v>946.10389999999995</v>
      </c>
      <c r="H1166" s="3">
        <f>B1166*G1166</f>
        <v>65025.721046999999</v>
      </c>
      <c r="I1166" s="3">
        <f>C1166*G1166</f>
        <v>65129.792476000002</v>
      </c>
    </row>
    <row r="1167" spans="1:9" x14ac:dyDescent="0.25">
      <c r="A1167" t="s">
        <v>10</v>
      </c>
      <c r="B1167" s="1">
        <v>37.58</v>
      </c>
      <c r="C1167" s="1">
        <v>37.6</v>
      </c>
      <c r="D1167" s="2" t="s">
        <v>148</v>
      </c>
      <c r="E1167" s="8">
        <v>1730.0728000000001</v>
      </c>
      <c r="F1167" s="8">
        <f>F1157</f>
        <v>0.2</v>
      </c>
      <c r="G1167" s="8">
        <f>E1167+F1167</f>
        <v>1730.2728000000002</v>
      </c>
      <c r="H1167" s="3">
        <f>B1167*G1167</f>
        <v>65023.651824000008</v>
      </c>
      <c r="I1167" s="3">
        <f>C1167*G1167</f>
        <v>65058.257280000013</v>
      </c>
    </row>
    <row r="1168" spans="1:9" x14ac:dyDescent="0.25">
      <c r="A1168" t="s">
        <v>11</v>
      </c>
      <c r="B1168" s="1">
        <v>56.63</v>
      </c>
      <c r="C1168" s="1">
        <v>56.64</v>
      </c>
      <c r="D1168" s="2" t="s">
        <v>148</v>
      </c>
      <c r="E1168" s="8">
        <v>1148.8136999999999</v>
      </c>
      <c r="F1168" s="8">
        <f>F1158</f>
        <v>0.05</v>
      </c>
      <c r="G1168" s="8">
        <f>E1168+F1168</f>
        <v>1148.8636999999999</v>
      </c>
      <c r="H1168" s="3">
        <f>B1168*G1168</f>
        <v>65060.151330999994</v>
      </c>
      <c r="I1168" s="3">
        <f>C1168*G1168</f>
        <v>65071.639967999996</v>
      </c>
    </row>
    <row r="1169" spans="1:9" x14ac:dyDescent="0.25">
      <c r="A1169" t="s">
        <v>12</v>
      </c>
      <c r="B1169" s="1">
        <v>50.47</v>
      </c>
      <c r="C1169" s="1">
        <v>50.48</v>
      </c>
      <c r="D1169" s="2" t="s">
        <v>148</v>
      </c>
      <c r="E1169" s="8">
        <v>1288.6965</v>
      </c>
      <c r="F1169" s="8">
        <f>F1159</f>
        <v>0</v>
      </c>
      <c r="G1169" s="8">
        <f>E1169+F1169</f>
        <v>1288.6965</v>
      </c>
      <c r="H1169" s="3">
        <f>B1169*G1169</f>
        <v>65040.512354999999</v>
      </c>
      <c r="I1169" s="3">
        <f>C1169*G1169</f>
        <v>65053.399319999997</v>
      </c>
    </row>
    <row r="1170" spans="1:9" x14ac:dyDescent="0.25">
      <c r="A1170" t="s">
        <v>13</v>
      </c>
      <c r="B1170" s="1">
        <v>18.39</v>
      </c>
      <c r="C1170" s="1">
        <v>18.399999999999999</v>
      </c>
      <c r="D1170" s="2" t="s">
        <v>148</v>
      </c>
      <c r="E1170" s="8">
        <v>3535.8029000000001</v>
      </c>
      <c r="F1170" s="8">
        <f>F1160</f>
        <v>0</v>
      </c>
      <c r="G1170" s="8">
        <f>E1170+F1170</f>
        <v>3535.8029000000001</v>
      </c>
      <c r="H1170" s="3">
        <f>B1170*G1170</f>
        <v>65023.415331000004</v>
      </c>
      <c r="I1170" s="3">
        <f>C1170*G1170</f>
        <v>65058.773359999999</v>
      </c>
    </row>
    <row r="1171" spans="1:9" x14ac:dyDescent="0.25">
      <c r="A1171" t="s">
        <v>14</v>
      </c>
      <c r="B1171" s="1">
        <v>36.840000000000003</v>
      </c>
      <c r="C1171" s="1">
        <v>36.85</v>
      </c>
      <c r="D1171" s="2" t="s">
        <v>148</v>
      </c>
      <c r="E1171" s="8">
        <v>1764.9988000000001</v>
      </c>
      <c r="F1171" s="8">
        <f>F1161</f>
        <v>0.2</v>
      </c>
      <c r="G1171" s="8">
        <f>E1171+F1171</f>
        <v>1765.1988000000001</v>
      </c>
      <c r="H1171" s="3">
        <f>B1171*G1171</f>
        <v>65029.923792000009</v>
      </c>
      <c r="I1171" s="3">
        <f>C1171*G1171</f>
        <v>65047.575780000006</v>
      </c>
    </row>
    <row r="1172" spans="1:9" x14ac:dyDescent="0.25">
      <c r="A1172" t="s">
        <v>4</v>
      </c>
      <c r="B1172" s="1">
        <v>21.48</v>
      </c>
      <c r="C1172" s="1">
        <v>21.49</v>
      </c>
      <c r="D1172" s="2" t="s">
        <v>149</v>
      </c>
      <c r="E1172" s="8">
        <v>3014.8622999999998</v>
      </c>
      <c r="F1172" s="8">
        <f>F1162</f>
        <v>0</v>
      </c>
      <c r="G1172" s="8">
        <f>E1172+F1172</f>
        <v>3014.8622999999998</v>
      </c>
      <c r="H1172" s="3">
        <f>B1172*G1172</f>
        <v>64759.242203999995</v>
      </c>
      <c r="I1172" s="3">
        <f>C1172*G1172</f>
        <v>64789.390826999988</v>
      </c>
    </row>
    <row r="1173" spans="1:9" x14ac:dyDescent="0.25">
      <c r="A1173" t="s">
        <v>6</v>
      </c>
      <c r="B1173" s="1">
        <v>35.159999999999997</v>
      </c>
      <c r="C1173" s="1">
        <v>35.17</v>
      </c>
      <c r="D1173" s="2" t="s">
        <v>149</v>
      </c>
      <c r="E1173" s="8">
        <v>1842.07</v>
      </c>
      <c r="F1173" s="8">
        <f>F1163</f>
        <v>-0.1</v>
      </c>
      <c r="G1173" s="8">
        <f>E1173+F1173</f>
        <v>1841.97</v>
      </c>
      <c r="H1173" s="3">
        <f>B1173*G1173</f>
        <v>64763.665199999996</v>
      </c>
      <c r="I1173" s="3">
        <f>C1173*G1173</f>
        <v>64782.084900000002</v>
      </c>
    </row>
    <row r="1174" spans="1:9" x14ac:dyDescent="0.25">
      <c r="A1174" t="s">
        <v>7</v>
      </c>
      <c r="B1174" s="1">
        <v>18.260000000000002</v>
      </c>
      <c r="C1174" s="1">
        <v>18.27</v>
      </c>
      <c r="D1174" s="2" t="s">
        <v>149</v>
      </c>
      <c r="E1174" s="8">
        <v>3546.4650000000001</v>
      </c>
      <c r="F1174" s="8">
        <f>F1164</f>
        <v>0</v>
      </c>
      <c r="G1174" s="8">
        <f>E1174+F1174</f>
        <v>3546.4650000000001</v>
      </c>
      <c r="H1174" s="3">
        <f>B1174*G1174</f>
        <v>64758.450900000011</v>
      </c>
      <c r="I1174" s="3">
        <f>C1174*G1174</f>
        <v>64793.915549999998</v>
      </c>
    </row>
    <row r="1175" spans="1:9" x14ac:dyDescent="0.25">
      <c r="A1175" t="s">
        <v>8</v>
      </c>
      <c r="B1175" s="1">
        <v>28.64</v>
      </c>
      <c r="C1175" s="1">
        <v>28.65</v>
      </c>
      <c r="D1175" s="2" t="s">
        <v>149</v>
      </c>
      <c r="E1175" s="8">
        <v>2261.2950999999998</v>
      </c>
      <c r="F1175" s="8">
        <f>F1165</f>
        <v>-0.2</v>
      </c>
      <c r="G1175" s="8">
        <f>E1175+F1175</f>
        <v>2261.0951</v>
      </c>
      <c r="H1175" s="3">
        <f>B1175*G1175</f>
        <v>64757.763663999998</v>
      </c>
      <c r="I1175" s="3">
        <f>C1175*G1175</f>
        <v>64780.374614999993</v>
      </c>
    </row>
    <row r="1176" spans="1:9" x14ac:dyDescent="0.25">
      <c r="A1176" t="s">
        <v>9</v>
      </c>
      <c r="B1176" s="1">
        <v>68.45</v>
      </c>
      <c r="C1176" s="1">
        <v>68.53</v>
      </c>
      <c r="D1176" s="2" t="s">
        <v>149</v>
      </c>
      <c r="E1176" s="8">
        <v>946.10389999999995</v>
      </c>
      <c r="F1176" s="8">
        <f>F1166</f>
        <v>0</v>
      </c>
      <c r="G1176" s="8">
        <f>E1176+F1176</f>
        <v>946.10389999999995</v>
      </c>
      <c r="H1176" s="3">
        <f>B1176*G1176</f>
        <v>64760.811954999997</v>
      </c>
      <c r="I1176" s="3">
        <f>C1176*G1176</f>
        <v>64836.500266999996</v>
      </c>
    </row>
    <row r="1177" spans="1:9" x14ac:dyDescent="0.25">
      <c r="A1177" t="s">
        <v>10</v>
      </c>
      <c r="B1177" s="1">
        <v>37.42</v>
      </c>
      <c r="C1177" s="1">
        <v>37.450000000000003</v>
      </c>
      <c r="D1177" s="2" t="s">
        <v>149</v>
      </c>
      <c r="E1177" s="8">
        <v>1730.0728000000001</v>
      </c>
      <c r="F1177" s="8">
        <f>F1167</f>
        <v>0.2</v>
      </c>
      <c r="G1177" s="8">
        <f>E1177+F1177</f>
        <v>1730.2728000000002</v>
      </c>
      <c r="H1177" s="3">
        <f>B1177*G1177</f>
        <v>64746.808176000013</v>
      </c>
      <c r="I1177" s="3">
        <f>C1177*G1177</f>
        <v>64798.716360000013</v>
      </c>
    </row>
    <row r="1178" spans="1:9" x14ac:dyDescent="0.25">
      <c r="A1178" t="s">
        <v>11</v>
      </c>
      <c r="B1178" s="1">
        <v>56.38</v>
      </c>
      <c r="C1178" s="1">
        <v>56.39</v>
      </c>
      <c r="D1178" s="2" t="s">
        <v>149</v>
      </c>
      <c r="E1178" s="8">
        <v>1148.8136999999999</v>
      </c>
      <c r="F1178" s="8">
        <f>F1168</f>
        <v>0.05</v>
      </c>
      <c r="G1178" s="8">
        <f>E1178+F1178</f>
        <v>1148.8636999999999</v>
      </c>
      <c r="H1178" s="3">
        <f>B1178*G1178</f>
        <v>64772.935405999997</v>
      </c>
      <c r="I1178" s="3">
        <f>C1178*G1178</f>
        <v>64784.424042999992</v>
      </c>
    </row>
    <row r="1179" spans="1:9" x14ac:dyDescent="0.25">
      <c r="A1179" t="s">
        <v>12</v>
      </c>
      <c r="B1179" s="1">
        <v>50.25</v>
      </c>
      <c r="C1179" s="1">
        <v>50.27</v>
      </c>
      <c r="D1179" s="2" t="s">
        <v>149</v>
      </c>
      <c r="E1179" s="8">
        <v>1288.6965</v>
      </c>
      <c r="F1179" s="8">
        <f>F1169</f>
        <v>0</v>
      </c>
      <c r="G1179" s="8">
        <f>E1179+F1179</f>
        <v>1288.6965</v>
      </c>
      <c r="H1179" s="3">
        <f>B1179*G1179</f>
        <v>64756.999125000002</v>
      </c>
      <c r="I1179" s="3">
        <f>C1179*G1179</f>
        <v>64782.773055000005</v>
      </c>
    </row>
    <row r="1180" spans="1:9" x14ac:dyDescent="0.25">
      <c r="A1180" t="s">
        <v>13</v>
      </c>
      <c r="B1180" s="1">
        <v>18.32</v>
      </c>
      <c r="C1180" s="1">
        <v>18.329999999999998</v>
      </c>
      <c r="D1180" s="2" t="s">
        <v>149</v>
      </c>
      <c r="E1180" s="8">
        <v>3535.8029000000001</v>
      </c>
      <c r="F1180" s="8">
        <f>F1170</f>
        <v>0</v>
      </c>
      <c r="G1180" s="8">
        <f>E1180+F1180</f>
        <v>3535.8029000000001</v>
      </c>
      <c r="H1180" s="3">
        <f>B1180*G1180</f>
        <v>64775.909128000007</v>
      </c>
      <c r="I1180" s="3">
        <f>C1180*G1180</f>
        <v>64811.267156999995</v>
      </c>
    </row>
    <row r="1181" spans="1:9" x14ac:dyDescent="0.25">
      <c r="A1181" t="s">
        <v>14</v>
      </c>
      <c r="B1181" s="1">
        <v>36.69</v>
      </c>
      <c r="C1181" s="1">
        <v>36.700000000000003</v>
      </c>
      <c r="D1181" s="2" t="s">
        <v>149</v>
      </c>
      <c r="E1181" s="8">
        <v>1764.9988000000001</v>
      </c>
      <c r="F1181" s="8">
        <f>F1171</f>
        <v>0.2</v>
      </c>
      <c r="G1181" s="8">
        <f>E1181+F1181</f>
        <v>1765.1988000000001</v>
      </c>
      <c r="H1181" s="3">
        <f>B1181*G1181</f>
        <v>64765.143971999998</v>
      </c>
      <c r="I1181" s="3">
        <f>C1181*G1181</f>
        <v>64782.79596000001</v>
      </c>
    </row>
    <row r="1182" spans="1:9" x14ac:dyDescent="0.25">
      <c r="A1182" t="s">
        <v>4</v>
      </c>
      <c r="B1182" s="1">
        <v>21.27</v>
      </c>
      <c r="C1182" s="1">
        <v>21.28</v>
      </c>
      <c r="D1182" s="2" t="s">
        <v>150</v>
      </c>
      <c r="E1182" s="8">
        <v>3014.8622999999998</v>
      </c>
      <c r="F1182" s="8">
        <f>F1172</f>
        <v>0</v>
      </c>
      <c r="G1182" s="8">
        <f>E1182+F1182</f>
        <v>3014.8622999999998</v>
      </c>
      <c r="H1182" s="3">
        <f>B1182*G1182</f>
        <v>64126.121120999996</v>
      </c>
      <c r="I1182" s="3">
        <f>C1182*G1182</f>
        <v>64156.269743999997</v>
      </c>
    </row>
    <row r="1183" spans="1:9" x14ac:dyDescent="0.25">
      <c r="A1183" t="s">
        <v>6</v>
      </c>
      <c r="B1183" s="1">
        <v>34.82</v>
      </c>
      <c r="C1183" s="1">
        <v>34.83</v>
      </c>
      <c r="D1183" s="2" t="s">
        <v>150</v>
      </c>
      <c r="E1183" s="8">
        <v>1842.07</v>
      </c>
      <c r="F1183" s="8">
        <f>F1173</f>
        <v>-0.1</v>
      </c>
      <c r="G1183" s="8">
        <f>E1183+F1183</f>
        <v>1841.97</v>
      </c>
      <c r="H1183" s="3">
        <f>B1183*G1183</f>
        <v>64137.395400000001</v>
      </c>
      <c r="I1183" s="3">
        <f>C1183*G1183</f>
        <v>64155.8151</v>
      </c>
    </row>
    <row r="1184" spans="1:9" x14ac:dyDescent="0.25">
      <c r="A1184" t="s">
        <v>7</v>
      </c>
      <c r="B1184" s="1">
        <v>18.079999999999998</v>
      </c>
      <c r="C1184" s="1">
        <v>18.09</v>
      </c>
      <c r="D1184" s="2" t="s">
        <v>150</v>
      </c>
      <c r="E1184" s="8">
        <v>3546.4650000000001</v>
      </c>
      <c r="F1184" s="8">
        <f>F1174</f>
        <v>0</v>
      </c>
      <c r="G1184" s="8">
        <f>E1184+F1184</f>
        <v>3546.4650000000001</v>
      </c>
      <c r="H1184" s="3">
        <f>B1184*G1184</f>
        <v>64120.087199999994</v>
      </c>
      <c r="I1184" s="3">
        <f>C1184*G1184</f>
        <v>64155.551850000003</v>
      </c>
    </row>
    <row r="1185" spans="1:9" x14ac:dyDescent="0.25">
      <c r="A1185" t="s">
        <v>8</v>
      </c>
      <c r="B1185" s="1">
        <v>28.37</v>
      </c>
      <c r="C1185" s="1">
        <v>28.38</v>
      </c>
      <c r="D1185" s="2" t="s">
        <v>150</v>
      </c>
      <c r="E1185" s="8">
        <v>2261.2950999999998</v>
      </c>
      <c r="F1185" s="8">
        <f>F1175</f>
        <v>-0.2</v>
      </c>
      <c r="G1185" s="8">
        <f>E1185+F1185</f>
        <v>2261.0951</v>
      </c>
      <c r="H1185" s="3">
        <f>B1185*G1185</f>
        <v>64147.267986999999</v>
      </c>
      <c r="I1185" s="3">
        <f>C1185*G1185</f>
        <v>64169.878937999994</v>
      </c>
    </row>
    <row r="1186" spans="1:9" x14ac:dyDescent="0.25">
      <c r="A1186" t="s">
        <v>9</v>
      </c>
      <c r="B1186" s="1">
        <v>67.78</v>
      </c>
      <c r="C1186" s="1">
        <v>67.89</v>
      </c>
      <c r="D1186" s="2" t="s">
        <v>150</v>
      </c>
      <c r="E1186" s="8">
        <v>946.10389999999995</v>
      </c>
      <c r="F1186" s="8">
        <f>F1176</f>
        <v>0</v>
      </c>
      <c r="G1186" s="8">
        <f>E1186+F1186</f>
        <v>946.10389999999995</v>
      </c>
      <c r="H1186" s="3">
        <f>B1186*G1186</f>
        <v>64126.922341999998</v>
      </c>
      <c r="I1186" s="3">
        <f>C1186*G1186</f>
        <v>64230.993770999994</v>
      </c>
    </row>
    <row r="1187" spans="1:9" x14ac:dyDescent="0.25">
      <c r="A1187" t="s">
        <v>10</v>
      </c>
      <c r="B1187" s="1">
        <v>37.04</v>
      </c>
      <c r="C1187" s="1">
        <v>37.090000000000003</v>
      </c>
      <c r="D1187" s="2" t="s">
        <v>150</v>
      </c>
      <c r="E1187" s="8">
        <v>1730.0728000000001</v>
      </c>
      <c r="F1187" s="8">
        <f>F1177</f>
        <v>0.2</v>
      </c>
      <c r="G1187" s="8">
        <f>E1187+F1187</f>
        <v>1730.2728000000002</v>
      </c>
      <c r="H1187" s="3">
        <f>B1187*G1187</f>
        <v>64089.304512000002</v>
      </c>
      <c r="I1187" s="3">
        <f>C1187*G1187</f>
        <v>64175.818152000014</v>
      </c>
    </row>
    <row r="1188" spans="1:9" x14ac:dyDescent="0.25">
      <c r="A1188" t="s">
        <v>11</v>
      </c>
      <c r="B1188" s="1">
        <v>55.84</v>
      </c>
      <c r="C1188" s="1">
        <v>55.85</v>
      </c>
      <c r="D1188" s="2" t="s">
        <v>150</v>
      </c>
      <c r="E1188" s="8">
        <v>1148.8136999999999</v>
      </c>
      <c r="F1188" s="8">
        <f>F1178</f>
        <v>0.05</v>
      </c>
      <c r="G1188" s="8">
        <f>E1188+F1188</f>
        <v>1148.8636999999999</v>
      </c>
      <c r="H1188" s="3">
        <f>B1188*G1188</f>
        <v>64152.549007999995</v>
      </c>
      <c r="I1188" s="3">
        <f>C1188*G1188</f>
        <v>64164.037644999997</v>
      </c>
    </row>
    <row r="1189" spans="1:9" x14ac:dyDescent="0.25">
      <c r="A1189" t="s">
        <v>12</v>
      </c>
      <c r="B1189" s="1">
        <v>49.77</v>
      </c>
      <c r="C1189" s="1">
        <v>49.78</v>
      </c>
      <c r="D1189" s="2" t="s">
        <v>150</v>
      </c>
      <c r="E1189" s="8">
        <v>1288.6965</v>
      </c>
      <c r="F1189" s="8">
        <f>F1179</f>
        <v>0</v>
      </c>
      <c r="G1189" s="8">
        <f>E1189+F1189</f>
        <v>1288.6965</v>
      </c>
      <c r="H1189" s="3">
        <f>B1189*G1189</f>
        <v>64138.424805000002</v>
      </c>
      <c r="I1189" s="3">
        <f>C1189*G1189</f>
        <v>64151.31177</v>
      </c>
    </row>
    <row r="1190" spans="1:9" x14ac:dyDescent="0.25">
      <c r="A1190" t="s">
        <v>13</v>
      </c>
      <c r="B1190" s="1">
        <v>18.14</v>
      </c>
      <c r="C1190" s="1">
        <v>18.149999999999999</v>
      </c>
      <c r="D1190" s="2" t="s">
        <v>150</v>
      </c>
      <c r="E1190" s="8">
        <v>3535.8029000000001</v>
      </c>
      <c r="F1190" s="8">
        <f>F1180</f>
        <v>0</v>
      </c>
      <c r="G1190" s="8">
        <f>E1190+F1190</f>
        <v>3535.8029000000001</v>
      </c>
      <c r="H1190" s="3">
        <f>B1190*G1190</f>
        <v>64139.464606000001</v>
      </c>
      <c r="I1190" s="3">
        <f>C1190*G1190</f>
        <v>64174.822634999997</v>
      </c>
    </row>
    <row r="1191" spans="1:9" x14ac:dyDescent="0.25">
      <c r="A1191" t="s">
        <v>14</v>
      </c>
      <c r="B1191" s="1">
        <v>36.33</v>
      </c>
      <c r="C1191" s="1">
        <v>36.340000000000003</v>
      </c>
      <c r="D1191" s="2" t="s">
        <v>150</v>
      </c>
      <c r="E1191" s="8">
        <v>1764.9988000000001</v>
      </c>
      <c r="F1191" s="8">
        <f>F1181</f>
        <v>0.2</v>
      </c>
      <c r="G1191" s="8">
        <f>E1191+F1191</f>
        <v>1765.1988000000001</v>
      </c>
      <c r="H1191" s="3">
        <f>B1191*G1191</f>
        <v>64129.672404000004</v>
      </c>
      <c r="I1191" s="3">
        <f>C1191*G1191</f>
        <v>64147.32439200001</v>
      </c>
    </row>
    <row r="1192" spans="1:9" x14ac:dyDescent="0.25">
      <c r="A1192" t="s">
        <v>4</v>
      </c>
      <c r="B1192" s="1">
        <v>21.26</v>
      </c>
      <c r="C1192" s="1">
        <v>21.27</v>
      </c>
      <c r="D1192" s="2" t="s">
        <v>151</v>
      </c>
      <c r="E1192" s="8">
        <v>3014.8622999999998</v>
      </c>
      <c r="F1192" s="8">
        <f>F1182</f>
        <v>0</v>
      </c>
      <c r="G1192" s="8">
        <f>E1192+F1192</f>
        <v>3014.8622999999998</v>
      </c>
      <c r="H1192" s="3">
        <f>B1192*G1192</f>
        <v>64095.972498000003</v>
      </c>
      <c r="I1192" s="3">
        <f>C1192*G1192</f>
        <v>64126.121120999996</v>
      </c>
    </row>
    <row r="1193" spans="1:9" x14ac:dyDescent="0.25">
      <c r="A1193" t="s">
        <v>6</v>
      </c>
      <c r="B1193" s="1">
        <v>34.799999999999997</v>
      </c>
      <c r="C1193" s="1">
        <v>34.81</v>
      </c>
      <c r="D1193" s="2" t="s">
        <v>151</v>
      </c>
      <c r="E1193" s="8">
        <v>1842.07</v>
      </c>
      <c r="F1193" s="8">
        <f>F1183</f>
        <v>-0.1</v>
      </c>
      <c r="G1193" s="8">
        <f>E1193+F1193</f>
        <v>1841.97</v>
      </c>
      <c r="H1193" s="3">
        <f>B1193*G1193</f>
        <v>64100.555999999997</v>
      </c>
      <c r="I1193" s="3">
        <f>C1193*G1193</f>
        <v>64118.975700000003</v>
      </c>
    </row>
    <row r="1194" spans="1:9" x14ac:dyDescent="0.25">
      <c r="A1194" t="s">
        <v>7</v>
      </c>
      <c r="B1194" s="1">
        <v>18.07</v>
      </c>
      <c r="C1194" s="1">
        <v>18.079999999999998</v>
      </c>
      <c r="D1194" s="2" t="s">
        <v>151</v>
      </c>
      <c r="E1194" s="8">
        <v>3546.4650000000001</v>
      </c>
      <c r="F1194" s="8">
        <f>F1184</f>
        <v>0</v>
      </c>
      <c r="G1194" s="8">
        <f>E1194+F1194</f>
        <v>3546.4650000000001</v>
      </c>
      <c r="H1194" s="3">
        <f>B1194*G1194</f>
        <v>64084.62255</v>
      </c>
      <c r="I1194" s="3">
        <f>C1194*G1194</f>
        <v>64120.087199999994</v>
      </c>
    </row>
    <row r="1195" spans="1:9" x14ac:dyDescent="0.25">
      <c r="A1195" t="s">
        <v>8</v>
      </c>
      <c r="B1195" s="1">
        <v>28.35</v>
      </c>
      <c r="C1195" s="1">
        <v>28.36</v>
      </c>
      <c r="D1195" s="2" t="s">
        <v>151</v>
      </c>
      <c r="E1195" s="8">
        <v>2261.2950999999998</v>
      </c>
      <c r="F1195" s="8">
        <f>F1185</f>
        <v>-0.2</v>
      </c>
      <c r="G1195" s="8">
        <f>E1195+F1195</f>
        <v>2261.0951</v>
      </c>
      <c r="H1195" s="3">
        <f>B1195*G1195</f>
        <v>64102.046085000002</v>
      </c>
      <c r="I1195" s="3">
        <f>C1195*G1195</f>
        <v>64124.657035999997</v>
      </c>
    </row>
    <row r="1196" spans="1:9" x14ac:dyDescent="0.25">
      <c r="A1196" t="s">
        <v>9</v>
      </c>
      <c r="B1196" s="1">
        <v>67.790000000000006</v>
      </c>
      <c r="C1196" s="1">
        <v>67.83</v>
      </c>
      <c r="D1196" s="2" t="s">
        <v>151</v>
      </c>
      <c r="E1196" s="8">
        <v>946.10389999999995</v>
      </c>
      <c r="F1196" s="8">
        <f>F1186</f>
        <v>0</v>
      </c>
      <c r="G1196" s="8">
        <f>E1196+F1196</f>
        <v>946.10389999999995</v>
      </c>
      <c r="H1196" s="3">
        <f>B1196*G1196</f>
        <v>64136.383381</v>
      </c>
      <c r="I1196" s="3">
        <f>C1196*G1196</f>
        <v>64174.227536999999</v>
      </c>
    </row>
    <row r="1197" spans="1:9" x14ac:dyDescent="0.25">
      <c r="A1197" t="s">
        <v>10</v>
      </c>
      <c r="B1197" s="1">
        <v>37.04</v>
      </c>
      <c r="C1197" s="1">
        <v>37.06</v>
      </c>
      <c r="D1197" s="2" t="s">
        <v>151</v>
      </c>
      <c r="E1197" s="8">
        <v>1730.0728000000001</v>
      </c>
      <c r="F1197" s="8">
        <f>F1187</f>
        <v>0.2</v>
      </c>
      <c r="G1197" s="8">
        <f>E1197+F1197</f>
        <v>1730.2728000000002</v>
      </c>
      <c r="H1197" s="3">
        <f>B1197*G1197</f>
        <v>64089.304512000002</v>
      </c>
      <c r="I1197" s="3">
        <f>C1197*G1197</f>
        <v>64123.909968000014</v>
      </c>
    </row>
    <row r="1198" spans="1:9" x14ac:dyDescent="0.25">
      <c r="A1198" t="s">
        <v>11</v>
      </c>
      <c r="B1198" s="1">
        <v>55.81</v>
      </c>
      <c r="C1198" s="1">
        <v>55.82</v>
      </c>
      <c r="D1198" s="2" t="s">
        <v>151</v>
      </c>
      <c r="E1198" s="8">
        <v>1148.8136999999999</v>
      </c>
      <c r="F1198" s="8">
        <f>F1188</f>
        <v>0.05</v>
      </c>
      <c r="G1198" s="8">
        <f>E1198+F1198</f>
        <v>1148.8636999999999</v>
      </c>
      <c r="H1198" s="3">
        <f>B1198*G1198</f>
        <v>64118.083096999995</v>
      </c>
      <c r="I1198" s="3">
        <f>C1198*G1198</f>
        <v>64129.57173399999</v>
      </c>
    </row>
    <row r="1199" spans="1:9" x14ac:dyDescent="0.25">
      <c r="A1199" t="s">
        <v>12</v>
      </c>
      <c r="B1199" s="1">
        <v>49.75</v>
      </c>
      <c r="C1199" s="1">
        <v>49.76</v>
      </c>
      <c r="D1199" s="2" t="s">
        <v>151</v>
      </c>
      <c r="E1199" s="8">
        <v>1288.6965</v>
      </c>
      <c r="F1199" s="8">
        <f>F1189</f>
        <v>0</v>
      </c>
      <c r="G1199" s="8">
        <f>E1199+F1199</f>
        <v>1288.6965</v>
      </c>
      <c r="H1199" s="3">
        <f>B1199*G1199</f>
        <v>64112.650874999999</v>
      </c>
      <c r="I1199" s="3">
        <f>C1199*G1199</f>
        <v>64125.537839999997</v>
      </c>
    </row>
    <row r="1200" spans="1:9" x14ac:dyDescent="0.25">
      <c r="A1200" t="s">
        <v>13</v>
      </c>
      <c r="B1200" s="1">
        <v>18.13</v>
      </c>
      <c r="C1200" s="1">
        <v>18.14</v>
      </c>
      <c r="D1200" s="2" t="s">
        <v>151</v>
      </c>
      <c r="E1200" s="8">
        <v>3535.8029000000001</v>
      </c>
      <c r="F1200" s="8">
        <f>F1190</f>
        <v>0</v>
      </c>
      <c r="G1200" s="8">
        <f>E1200+F1200</f>
        <v>3535.8029000000001</v>
      </c>
      <c r="H1200" s="3">
        <f>B1200*G1200</f>
        <v>64104.106576999999</v>
      </c>
      <c r="I1200" s="3">
        <f>C1200*G1200</f>
        <v>64139.464606000001</v>
      </c>
    </row>
    <row r="1201" spans="1:9" x14ac:dyDescent="0.25">
      <c r="A1201" t="s">
        <v>14</v>
      </c>
      <c r="B1201" s="1">
        <v>36.31</v>
      </c>
      <c r="C1201" s="1">
        <v>36.32</v>
      </c>
      <c r="D1201" s="2" t="s">
        <v>151</v>
      </c>
      <c r="E1201" s="8">
        <v>1764.9988000000001</v>
      </c>
      <c r="F1201" s="8">
        <f>F1191</f>
        <v>0.2</v>
      </c>
      <c r="G1201" s="8">
        <f>E1201+F1201</f>
        <v>1765.1988000000001</v>
      </c>
      <c r="H1201" s="3">
        <f>B1201*G1201</f>
        <v>64094.368428000009</v>
      </c>
      <c r="I1201" s="3">
        <f>C1201*G1201</f>
        <v>64112.020416000007</v>
      </c>
    </row>
    <row r="1202" spans="1:9" x14ac:dyDescent="0.25">
      <c r="A1202" t="s">
        <v>4</v>
      </c>
      <c r="B1202" s="1">
        <v>21.31</v>
      </c>
      <c r="C1202" s="1">
        <v>21.32</v>
      </c>
      <c r="D1202" s="2" t="s">
        <v>152</v>
      </c>
      <c r="E1202" s="8">
        <v>3014.8622999999998</v>
      </c>
      <c r="F1202" s="8">
        <f>F1192</f>
        <v>0</v>
      </c>
      <c r="G1202" s="8">
        <f>E1202+F1202</f>
        <v>3014.8622999999998</v>
      </c>
      <c r="H1202" s="3">
        <f>B1202*G1202</f>
        <v>64246.715612999993</v>
      </c>
      <c r="I1202" s="3">
        <f>C1202*G1202</f>
        <v>64276.864235999994</v>
      </c>
    </row>
    <row r="1203" spans="1:9" x14ac:dyDescent="0.25">
      <c r="A1203" t="s">
        <v>6</v>
      </c>
      <c r="B1203" s="1">
        <v>34.880000000000003</v>
      </c>
      <c r="C1203" s="1">
        <v>34.9</v>
      </c>
      <c r="D1203" s="2" t="s">
        <v>152</v>
      </c>
      <c r="E1203" s="8">
        <v>1842.07</v>
      </c>
      <c r="F1203" s="8">
        <f>F1193</f>
        <v>-0.1</v>
      </c>
      <c r="G1203" s="8">
        <f>E1203+F1203</f>
        <v>1841.97</v>
      </c>
      <c r="H1203" s="3">
        <f>B1203*G1203</f>
        <v>64247.913600000007</v>
      </c>
      <c r="I1203" s="3">
        <f>C1203*G1203</f>
        <v>64284.752999999997</v>
      </c>
    </row>
    <row r="1204" spans="1:9" x14ac:dyDescent="0.25">
      <c r="A1204" t="s">
        <v>7</v>
      </c>
      <c r="B1204" s="1">
        <v>18.100000000000001</v>
      </c>
      <c r="C1204" s="1">
        <v>18.13</v>
      </c>
      <c r="D1204" s="2" t="s">
        <v>152</v>
      </c>
      <c r="E1204" s="8">
        <v>3546.4650000000001</v>
      </c>
      <c r="F1204" s="8">
        <f>F1194</f>
        <v>0</v>
      </c>
      <c r="G1204" s="8">
        <f>E1204+F1204</f>
        <v>3546.4650000000001</v>
      </c>
      <c r="H1204" s="3">
        <f>B1204*G1204</f>
        <v>64191.016500000005</v>
      </c>
      <c r="I1204" s="3">
        <f>C1204*G1204</f>
        <v>64297.410449999996</v>
      </c>
    </row>
    <row r="1205" spans="1:9" x14ac:dyDescent="0.25">
      <c r="A1205" t="s">
        <v>8</v>
      </c>
      <c r="B1205" s="1">
        <v>28.41</v>
      </c>
      <c r="C1205" s="1">
        <v>28.43</v>
      </c>
      <c r="D1205" s="2" t="s">
        <v>152</v>
      </c>
      <c r="E1205" s="8">
        <v>2261.2950999999998</v>
      </c>
      <c r="F1205" s="8">
        <f>F1195</f>
        <v>-0.2</v>
      </c>
      <c r="G1205" s="8">
        <f>E1205+F1205</f>
        <v>2261.0951</v>
      </c>
      <c r="H1205" s="3">
        <f>B1205*G1205</f>
        <v>64237.711791000002</v>
      </c>
      <c r="I1205" s="3">
        <f>C1205*G1205</f>
        <v>64282.933692999999</v>
      </c>
    </row>
    <row r="1206" spans="1:9" x14ac:dyDescent="0.25">
      <c r="A1206" t="s">
        <v>9</v>
      </c>
      <c r="B1206" s="1">
        <v>67.61</v>
      </c>
      <c r="C1206" s="1">
        <v>70.05</v>
      </c>
      <c r="D1206" s="2" t="s">
        <v>152</v>
      </c>
      <c r="E1206" s="8">
        <v>946.10389999999995</v>
      </c>
      <c r="F1206" s="8">
        <f>F1196</f>
        <v>0</v>
      </c>
      <c r="G1206" s="8">
        <f>E1206+F1206</f>
        <v>946.10389999999995</v>
      </c>
      <c r="H1206" s="3">
        <f>B1206*G1206</f>
        <v>63966.084679</v>
      </c>
      <c r="I1206" s="3">
        <f>C1206*G1206</f>
        <v>66274.578194999995</v>
      </c>
    </row>
    <row r="1207" spans="1:9" x14ac:dyDescent="0.25">
      <c r="A1207" t="s">
        <v>10</v>
      </c>
      <c r="B1207" s="1">
        <v>37.049999999999997</v>
      </c>
      <c r="C1207" s="1">
        <v>37.32</v>
      </c>
      <c r="D1207" s="2" t="s">
        <v>152</v>
      </c>
      <c r="E1207" s="8">
        <v>1730.0728000000001</v>
      </c>
      <c r="F1207" s="8">
        <f>F1197</f>
        <v>0.2</v>
      </c>
      <c r="G1207" s="8">
        <f>E1207+F1207</f>
        <v>1730.2728000000002</v>
      </c>
      <c r="H1207" s="3">
        <f>B1207*G1207</f>
        <v>64106.607240000005</v>
      </c>
      <c r="I1207" s="3">
        <f>C1207*G1207</f>
        <v>64573.780896000011</v>
      </c>
    </row>
    <row r="1208" spans="1:9" x14ac:dyDescent="0.25">
      <c r="A1208" t="s">
        <v>11</v>
      </c>
      <c r="B1208" s="1">
        <v>55.93</v>
      </c>
      <c r="C1208" s="1">
        <v>55.96</v>
      </c>
      <c r="D1208" s="2" t="s">
        <v>152</v>
      </c>
      <c r="E1208" s="8">
        <v>1148.8136999999999</v>
      </c>
      <c r="F1208" s="8">
        <f>F1198</f>
        <v>0.05</v>
      </c>
      <c r="G1208" s="8">
        <f>E1208+F1208</f>
        <v>1148.8636999999999</v>
      </c>
      <c r="H1208" s="3">
        <f>B1208*G1208</f>
        <v>64255.946740999992</v>
      </c>
      <c r="I1208" s="3">
        <f>C1208*G1208</f>
        <v>64290.412651999992</v>
      </c>
    </row>
    <row r="1209" spans="1:9" x14ac:dyDescent="0.25">
      <c r="A1209" t="s">
        <v>12</v>
      </c>
      <c r="B1209" s="1">
        <v>49.87</v>
      </c>
      <c r="C1209" s="1">
        <v>49.88</v>
      </c>
      <c r="D1209" s="2" t="s">
        <v>152</v>
      </c>
      <c r="E1209" s="8">
        <v>1288.6965</v>
      </c>
      <c r="F1209" s="8">
        <f>F1199</f>
        <v>0</v>
      </c>
      <c r="G1209" s="8">
        <f>E1209+F1209</f>
        <v>1288.6965</v>
      </c>
      <c r="H1209" s="3">
        <f>B1209*G1209</f>
        <v>64267.294454999996</v>
      </c>
      <c r="I1209" s="3">
        <f>C1209*G1209</f>
        <v>64280.181420000001</v>
      </c>
    </row>
    <row r="1210" spans="1:9" x14ac:dyDescent="0.25">
      <c r="A1210" t="s">
        <v>13</v>
      </c>
      <c r="B1210" s="1">
        <v>18.16</v>
      </c>
      <c r="C1210" s="1">
        <v>18.190000000000001</v>
      </c>
      <c r="D1210" s="2" t="s">
        <v>152</v>
      </c>
      <c r="E1210" s="8">
        <v>3535.8029000000001</v>
      </c>
      <c r="F1210" s="8">
        <f>F1200</f>
        <v>0</v>
      </c>
      <c r="G1210" s="8">
        <f>E1210+F1210</f>
        <v>3535.8029000000001</v>
      </c>
      <c r="H1210" s="3">
        <f>B1210*G1210</f>
        <v>64210.180664</v>
      </c>
      <c r="I1210" s="3">
        <f>C1210*G1210</f>
        <v>64316.254751000008</v>
      </c>
    </row>
    <row r="1211" spans="1:9" x14ac:dyDescent="0.25">
      <c r="A1211" t="s">
        <v>14</v>
      </c>
      <c r="B1211" s="1">
        <v>36.39</v>
      </c>
      <c r="C1211" s="1">
        <v>36.4</v>
      </c>
      <c r="D1211" s="2" t="s">
        <v>152</v>
      </c>
      <c r="E1211" s="8">
        <v>1764.9988000000001</v>
      </c>
      <c r="F1211" s="8">
        <f>F1201</f>
        <v>0.2</v>
      </c>
      <c r="G1211" s="8">
        <f>E1211+F1211</f>
        <v>1765.1988000000001</v>
      </c>
      <c r="H1211" s="3">
        <f>B1211*G1211</f>
        <v>64235.584332000006</v>
      </c>
      <c r="I1211" s="3">
        <f>C1211*G1211</f>
        <v>64253.236320000004</v>
      </c>
    </row>
    <row r="1212" spans="1:9" x14ac:dyDescent="0.25">
      <c r="A1212" t="s">
        <v>4</v>
      </c>
      <c r="B1212" s="1">
        <v>21.35</v>
      </c>
      <c r="C1212" s="1">
        <v>21.36</v>
      </c>
      <c r="D1212" s="2" t="s">
        <v>153</v>
      </c>
      <c r="E1212" s="8">
        <v>3014.8622999999998</v>
      </c>
      <c r="F1212" s="8">
        <f>F1202</f>
        <v>0</v>
      </c>
      <c r="G1212" s="8">
        <f>E1212+F1212</f>
        <v>3014.8622999999998</v>
      </c>
      <c r="H1212" s="3">
        <f>B1212*G1212</f>
        <v>64367.310104999997</v>
      </c>
      <c r="I1212" s="3">
        <f>C1212*G1212</f>
        <v>64397.458727999991</v>
      </c>
    </row>
    <row r="1213" spans="1:9" x14ac:dyDescent="0.25">
      <c r="A1213" t="s">
        <v>6</v>
      </c>
      <c r="B1213" s="1">
        <v>34.93</v>
      </c>
      <c r="C1213" s="1">
        <v>34.96</v>
      </c>
      <c r="D1213" s="2" t="s">
        <v>153</v>
      </c>
      <c r="E1213" s="8">
        <v>1842.07</v>
      </c>
      <c r="F1213" s="8">
        <f>F1203</f>
        <v>-0.1</v>
      </c>
      <c r="G1213" s="8">
        <f>E1213+F1213</f>
        <v>1841.97</v>
      </c>
      <c r="H1213" s="3">
        <f>B1213*G1213</f>
        <v>64340.0121</v>
      </c>
      <c r="I1213" s="3">
        <f>C1213*G1213</f>
        <v>64395.271200000003</v>
      </c>
    </row>
    <row r="1214" spans="1:9" x14ac:dyDescent="0.25">
      <c r="A1214" t="s">
        <v>7</v>
      </c>
      <c r="B1214" s="1">
        <v>18.14</v>
      </c>
      <c r="C1214" s="1">
        <v>18.170000000000002</v>
      </c>
      <c r="D1214" s="2" t="s">
        <v>153</v>
      </c>
      <c r="E1214" s="8">
        <v>3546.4650000000001</v>
      </c>
      <c r="F1214" s="8">
        <f>F1204</f>
        <v>0</v>
      </c>
      <c r="G1214" s="8">
        <f>E1214+F1214</f>
        <v>3546.4650000000001</v>
      </c>
      <c r="H1214" s="3">
        <f>B1214*G1214</f>
        <v>64332.875100000005</v>
      </c>
      <c r="I1214" s="3">
        <f>C1214*G1214</f>
        <v>64439.26905000001</v>
      </c>
    </row>
    <row r="1215" spans="1:9" x14ac:dyDescent="0.25">
      <c r="A1215" t="s">
        <v>8</v>
      </c>
      <c r="B1215" s="1">
        <v>28.45</v>
      </c>
      <c r="C1215" s="1">
        <v>28.48</v>
      </c>
      <c r="D1215" s="2" t="s">
        <v>153</v>
      </c>
      <c r="E1215" s="8">
        <v>2261.2950999999998</v>
      </c>
      <c r="F1215" s="8">
        <f>F1205</f>
        <v>-0.2</v>
      </c>
      <c r="G1215" s="8">
        <f>E1215+F1215</f>
        <v>2261.0951</v>
      </c>
      <c r="H1215" s="3">
        <f>B1215*G1215</f>
        <v>64328.155594999997</v>
      </c>
      <c r="I1215" s="3">
        <f>C1215*G1215</f>
        <v>64395.988448000004</v>
      </c>
    </row>
    <row r="1216" spans="1:9" x14ac:dyDescent="0.25">
      <c r="A1216" t="s">
        <v>9</v>
      </c>
      <c r="B1216" s="1">
        <v>67.64</v>
      </c>
      <c r="C1216" s="1">
        <v>70.05</v>
      </c>
      <c r="D1216" s="2" t="s">
        <v>153</v>
      </c>
      <c r="E1216" s="8">
        <v>946.10389999999995</v>
      </c>
      <c r="F1216" s="8">
        <f>F1206</f>
        <v>0</v>
      </c>
      <c r="G1216" s="8">
        <f>E1216+F1216</f>
        <v>946.10389999999995</v>
      </c>
      <c r="H1216" s="3">
        <f>B1216*G1216</f>
        <v>63994.467795999997</v>
      </c>
      <c r="I1216" s="3">
        <f>C1216*G1216</f>
        <v>66274.578194999995</v>
      </c>
    </row>
    <row r="1217" spans="1:9" x14ac:dyDescent="0.25">
      <c r="A1217" t="s">
        <v>10</v>
      </c>
      <c r="B1217" s="1">
        <v>37.03</v>
      </c>
      <c r="C1217" s="1">
        <v>37.26</v>
      </c>
      <c r="D1217" s="2" t="s">
        <v>153</v>
      </c>
      <c r="E1217" s="8">
        <v>1730.0728000000001</v>
      </c>
      <c r="F1217" s="8">
        <f>F1207</f>
        <v>0.2</v>
      </c>
      <c r="G1217" s="8">
        <f>E1217+F1217</f>
        <v>1730.2728000000002</v>
      </c>
      <c r="H1217" s="3">
        <f>B1217*G1217</f>
        <v>64072.001784000007</v>
      </c>
      <c r="I1217" s="3">
        <f>C1217*G1217</f>
        <v>64469.964528000004</v>
      </c>
    </row>
    <row r="1218" spans="1:9" x14ac:dyDescent="0.25">
      <c r="A1218" t="s">
        <v>11</v>
      </c>
      <c r="B1218" s="1">
        <v>56.02</v>
      </c>
      <c r="C1218" s="1">
        <v>56.06</v>
      </c>
      <c r="D1218" s="2" t="s">
        <v>153</v>
      </c>
      <c r="E1218" s="8">
        <v>1148.8136999999999</v>
      </c>
      <c r="F1218" s="8">
        <f>F1208</f>
        <v>0.05</v>
      </c>
      <c r="G1218" s="8">
        <f>E1218+F1218</f>
        <v>1148.8636999999999</v>
      </c>
      <c r="H1218" s="3">
        <f>B1218*G1218</f>
        <v>64359.344473999998</v>
      </c>
      <c r="I1218" s="3">
        <f>C1218*G1218</f>
        <v>64405.299021999999</v>
      </c>
    </row>
    <row r="1219" spans="1:9" x14ac:dyDescent="0.25">
      <c r="A1219" t="s">
        <v>12</v>
      </c>
      <c r="B1219" s="1">
        <v>49.92</v>
      </c>
      <c r="C1219" s="1">
        <v>49.97</v>
      </c>
      <c r="D1219" s="2" t="s">
        <v>153</v>
      </c>
      <c r="E1219" s="8">
        <v>1288.6965</v>
      </c>
      <c r="F1219" s="8">
        <f>F1209</f>
        <v>0</v>
      </c>
      <c r="G1219" s="8">
        <f>E1219+F1219</f>
        <v>1288.6965</v>
      </c>
      <c r="H1219" s="3">
        <f>B1219*G1219</f>
        <v>64331.72928</v>
      </c>
      <c r="I1219" s="3">
        <f>C1219*G1219</f>
        <v>64396.164104999996</v>
      </c>
    </row>
    <row r="1220" spans="1:9" x14ac:dyDescent="0.25">
      <c r="A1220" t="s">
        <v>13</v>
      </c>
      <c r="B1220" s="1">
        <v>18.190000000000001</v>
      </c>
      <c r="C1220" s="1">
        <v>18.21</v>
      </c>
      <c r="D1220" s="2" t="s">
        <v>153</v>
      </c>
      <c r="E1220" s="8">
        <v>3535.8029000000001</v>
      </c>
      <c r="F1220" s="8">
        <f>F1210</f>
        <v>0</v>
      </c>
      <c r="G1220" s="8">
        <f>E1220+F1220</f>
        <v>3535.8029000000001</v>
      </c>
      <c r="H1220" s="3">
        <f>B1220*G1220</f>
        <v>64316.254751000008</v>
      </c>
      <c r="I1220" s="3">
        <f>C1220*G1220</f>
        <v>64386.970809000006</v>
      </c>
    </row>
    <row r="1221" spans="1:9" x14ac:dyDescent="0.25">
      <c r="A1221" t="s">
        <v>14</v>
      </c>
      <c r="B1221" s="1">
        <v>36.46</v>
      </c>
      <c r="C1221" s="1">
        <v>36.47</v>
      </c>
      <c r="D1221" s="2" t="s">
        <v>153</v>
      </c>
      <c r="E1221" s="8">
        <v>1764.9988000000001</v>
      </c>
      <c r="F1221" s="8">
        <f>F1211</f>
        <v>0.2</v>
      </c>
      <c r="G1221" s="8">
        <f>E1221+F1221</f>
        <v>1765.1988000000001</v>
      </c>
      <c r="H1221" s="3">
        <f>B1221*G1221</f>
        <v>64359.148248000005</v>
      </c>
      <c r="I1221" s="3">
        <f>C1221*G1221</f>
        <v>64376.800236000003</v>
      </c>
    </row>
    <row r="1222" spans="1:9" x14ac:dyDescent="0.25">
      <c r="A1222" t="s">
        <v>4</v>
      </c>
      <c r="B1222" s="1">
        <v>21.34</v>
      </c>
      <c r="C1222" s="1">
        <v>21.35</v>
      </c>
      <c r="D1222" s="2" t="s">
        <v>159</v>
      </c>
      <c r="E1222" s="8">
        <v>3014.9315000000001</v>
      </c>
      <c r="F1222" s="8">
        <f>F1212</f>
        <v>0</v>
      </c>
      <c r="G1222" s="8">
        <f>E1222+F1222</f>
        <v>3014.9315000000001</v>
      </c>
      <c r="H1222" s="3">
        <f>B1222*G1222</f>
        <v>64338.638210000005</v>
      </c>
      <c r="I1222" s="3">
        <f>C1222*G1222</f>
        <v>64368.787525000007</v>
      </c>
    </row>
    <row r="1223" spans="1:9" x14ac:dyDescent="0.25">
      <c r="A1223" t="s">
        <v>6</v>
      </c>
      <c r="B1223" s="1">
        <v>34.92</v>
      </c>
      <c r="C1223" s="1">
        <v>34.94</v>
      </c>
      <c r="D1223" s="2" t="s">
        <v>159</v>
      </c>
      <c r="E1223" s="8">
        <v>1842.1104</v>
      </c>
      <c r="F1223" s="8">
        <f>F1213</f>
        <v>-0.1</v>
      </c>
      <c r="G1223" s="8">
        <f>E1223+F1223</f>
        <v>1842.0104000000001</v>
      </c>
      <c r="H1223" s="3">
        <f>B1223*G1223</f>
        <v>64323.00316800001</v>
      </c>
      <c r="I1223" s="3">
        <f>C1223*G1223</f>
        <v>64359.843375999997</v>
      </c>
    </row>
    <row r="1224" spans="1:9" x14ac:dyDescent="0.25">
      <c r="A1224" t="s">
        <v>7</v>
      </c>
      <c r="B1224" s="1">
        <v>18.14</v>
      </c>
      <c r="C1224" s="1">
        <v>18.149999999999999</v>
      </c>
      <c r="D1224" s="2" t="s">
        <v>159</v>
      </c>
      <c r="E1224" s="8">
        <v>3546.5621999999998</v>
      </c>
      <c r="F1224" s="8">
        <f>F1214</f>
        <v>0</v>
      </c>
      <c r="G1224" s="8">
        <f>E1224+F1224</f>
        <v>3546.5621999999998</v>
      </c>
      <c r="H1224" s="3">
        <f>B1224*G1224</f>
        <v>64334.638308000001</v>
      </c>
      <c r="I1224" s="3">
        <f>C1224*G1224</f>
        <v>64370.10392999999</v>
      </c>
    </row>
    <row r="1225" spans="1:9" x14ac:dyDescent="0.25">
      <c r="A1225" t="s">
        <v>8</v>
      </c>
      <c r="B1225" s="1">
        <v>28.45</v>
      </c>
      <c r="C1225" s="1">
        <v>28.47</v>
      </c>
      <c r="D1225" s="2" t="s">
        <v>159</v>
      </c>
      <c r="E1225" s="8">
        <v>2261.3323</v>
      </c>
      <c r="F1225" s="8">
        <f>F1215</f>
        <v>-0.2</v>
      </c>
      <c r="G1225" s="8">
        <f>E1225+F1225</f>
        <v>2261.1323000000002</v>
      </c>
      <c r="H1225" s="3">
        <f>B1225*G1225</f>
        <v>64329.213935000007</v>
      </c>
      <c r="I1225" s="3">
        <f>C1225*G1225</f>
        <v>64374.436581000002</v>
      </c>
    </row>
    <row r="1226" spans="1:9" x14ac:dyDescent="0.25">
      <c r="A1226" t="s">
        <v>9</v>
      </c>
      <c r="B1226" s="1">
        <v>67.66</v>
      </c>
      <c r="C1226" s="1">
        <v>68.36</v>
      </c>
      <c r="D1226" s="2" t="s">
        <v>159</v>
      </c>
      <c r="E1226" s="8">
        <v>946.12990000000002</v>
      </c>
      <c r="F1226" s="8">
        <f>F1216</f>
        <v>0</v>
      </c>
      <c r="G1226" s="8">
        <f>E1226+F1226</f>
        <v>946.12990000000002</v>
      </c>
      <c r="H1226" s="3">
        <f>B1226*G1226</f>
        <v>64015.149033999995</v>
      </c>
      <c r="I1226" s="3">
        <f>C1226*G1226</f>
        <v>64677.439963999997</v>
      </c>
    </row>
    <row r="1227" spans="1:9" x14ac:dyDescent="0.25">
      <c r="A1227" t="s">
        <v>10</v>
      </c>
      <c r="B1227" s="1">
        <v>37.17</v>
      </c>
      <c r="C1227" s="1">
        <v>37.200000000000003</v>
      </c>
      <c r="D1227" s="2" t="s">
        <v>159</v>
      </c>
      <c r="E1227" s="8">
        <v>1730.1088000000002</v>
      </c>
      <c r="F1227" s="8">
        <f>F1217</f>
        <v>0.2</v>
      </c>
      <c r="G1227" s="8">
        <f>E1227+F1227</f>
        <v>1730.3088000000002</v>
      </c>
      <c r="H1227" s="3">
        <f>B1227*G1227</f>
        <v>64315.578096000012</v>
      </c>
      <c r="I1227" s="3">
        <f>C1227*G1227</f>
        <v>64367.487360000014</v>
      </c>
    </row>
    <row r="1228" spans="1:9" x14ac:dyDescent="0.25">
      <c r="A1228" t="s">
        <v>11</v>
      </c>
      <c r="B1228" s="1">
        <v>55.98</v>
      </c>
      <c r="C1228" s="1">
        <v>56.02</v>
      </c>
      <c r="D1228" s="2" t="s">
        <v>159</v>
      </c>
      <c r="E1228" s="8">
        <v>1148.8453</v>
      </c>
      <c r="F1228" s="8">
        <f>F1218</f>
        <v>0.05</v>
      </c>
      <c r="G1228" s="8">
        <f>E1228+F1228</f>
        <v>1148.8952999999999</v>
      </c>
      <c r="H1228" s="3">
        <f>B1228*G1228</f>
        <v>64315.158893999993</v>
      </c>
      <c r="I1228" s="3">
        <f>C1228*G1228</f>
        <v>64361.114706</v>
      </c>
    </row>
    <row r="1229" spans="1:9" x14ac:dyDescent="0.25">
      <c r="A1229" t="s">
        <v>12</v>
      </c>
      <c r="B1229" s="1">
        <v>49.9</v>
      </c>
      <c r="C1229" s="1">
        <v>49.93</v>
      </c>
      <c r="D1229" s="2" t="s">
        <v>159</v>
      </c>
      <c r="E1229" s="8">
        <v>1288.9085</v>
      </c>
      <c r="F1229" s="8">
        <f>F1219</f>
        <v>0</v>
      </c>
      <c r="G1229" s="8">
        <f>E1229+F1229</f>
        <v>1288.9085</v>
      </c>
      <c r="H1229" s="3">
        <f>B1229*G1229</f>
        <v>64316.534149999999</v>
      </c>
      <c r="I1229" s="3">
        <f>C1229*G1229</f>
        <v>64355.201405</v>
      </c>
    </row>
    <row r="1230" spans="1:9" x14ac:dyDescent="0.25">
      <c r="A1230" t="s">
        <v>13</v>
      </c>
      <c r="B1230" s="1">
        <v>18.190000000000001</v>
      </c>
      <c r="C1230" s="1">
        <v>18.2</v>
      </c>
      <c r="D1230" s="2" t="s">
        <v>159</v>
      </c>
      <c r="E1230" s="8">
        <v>3535.8029000000001</v>
      </c>
      <c r="F1230" s="8">
        <f>F1220</f>
        <v>0</v>
      </c>
      <c r="G1230" s="8">
        <f>E1230+F1230</f>
        <v>3535.8029000000001</v>
      </c>
      <c r="H1230" s="3">
        <f>B1230*G1230</f>
        <v>64316.254751000008</v>
      </c>
      <c r="I1230" s="3">
        <f>C1230*G1230</f>
        <v>64351.612780000003</v>
      </c>
    </row>
    <row r="1231" spans="1:9" x14ac:dyDescent="0.25">
      <c r="A1231" t="s">
        <v>14</v>
      </c>
      <c r="B1231" s="1">
        <v>36.44</v>
      </c>
      <c r="C1231" s="1">
        <v>36.44</v>
      </c>
      <c r="D1231" s="2" t="s">
        <v>159</v>
      </c>
      <c r="E1231" s="8">
        <v>1765.0472</v>
      </c>
      <c r="F1231" s="8">
        <f>F1221</f>
        <v>0.2</v>
      </c>
      <c r="G1231" s="8">
        <f>E1231+F1231</f>
        <v>1765.2472</v>
      </c>
      <c r="H1231" s="3">
        <f>B1231*G1231</f>
        <v>64325.607967999997</v>
      </c>
      <c r="I1231" s="3">
        <f>C1231*G1231</f>
        <v>64325.607967999997</v>
      </c>
    </row>
    <row r="1232" spans="1:9" x14ac:dyDescent="0.25">
      <c r="A1232" t="s">
        <v>4</v>
      </c>
      <c r="B1232" s="1">
        <v>21.22</v>
      </c>
      <c r="C1232" s="1">
        <v>21.23</v>
      </c>
      <c r="D1232" s="2" t="s">
        <v>160</v>
      </c>
      <c r="E1232" s="8">
        <v>3014.9315000000001</v>
      </c>
      <c r="F1232" s="8">
        <f>F1222</f>
        <v>0</v>
      </c>
      <c r="G1232" s="8">
        <f>E1232+F1232</f>
        <v>3014.9315000000001</v>
      </c>
      <c r="H1232" s="3">
        <f>B1232*G1232</f>
        <v>63976.846429999998</v>
      </c>
      <c r="I1232" s="3">
        <f>C1232*G1232</f>
        <v>64006.995745000007</v>
      </c>
    </row>
    <row r="1233" spans="1:9" x14ac:dyDescent="0.25">
      <c r="A1233" t="s">
        <v>6</v>
      </c>
      <c r="B1233" s="1">
        <v>34.729999999999997</v>
      </c>
      <c r="C1233" s="1">
        <v>34.74</v>
      </c>
      <c r="D1233" s="2" t="s">
        <v>160</v>
      </c>
      <c r="E1233" s="8">
        <v>1842.1104</v>
      </c>
      <c r="F1233" s="8">
        <f>F1223</f>
        <v>-0.1</v>
      </c>
      <c r="G1233" s="8">
        <f>E1233+F1233</f>
        <v>1842.0104000000001</v>
      </c>
      <c r="H1233" s="3">
        <f>B1233*G1233</f>
        <v>63973.021192</v>
      </c>
      <c r="I1233" s="3">
        <f>C1233*G1233</f>
        <v>63991.441296000005</v>
      </c>
    </row>
    <row r="1234" spans="1:9" x14ac:dyDescent="0.25">
      <c r="A1234" t="s">
        <v>7</v>
      </c>
      <c r="B1234" s="1">
        <v>18.04</v>
      </c>
      <c r="C1234" s="1">
        <v>18.05</v>
      </c>
      <c r="D1234" s="2" t="s">
        <v>160</v>
      </c>
      <c r="E1234" s="8">
        <v>3546.5621999999998</v>
      </c>
      <c r="F1234" s="8">
        <f>F1224</f>
        <v>0</v>
      </c>
      <c r="G1234" s="8">
        <f>E1234+F1234</f>
        <v>3546.5621999999998</v>
      </c>
      <c r="H1234" s="3">
        <f>B1234*G1234</f>
        <v>63979.982087999997</v>
      </c>
      <c r="I1234" s="3">
        <f>C1234*G1234</f>
        <v>64015.44771</v>
      </c>
    </row>
    <row r="1235" spans="1:9" x14ac:dyDescent="0.25">
      <c r="A1235" t="s">
        <v>8</v>
      </c>
      <c r="B1235" s="1">
        <v>28.29</v>
      </c>
      <c r="C1235" s="1">
        <v>28.3</v>
      </c>
      <c r="D1235" s="2" t="s">
        <v>160</v>
      </c>
      <c r="E1235" s="8">
        <v>2261.3323</v>
      </c>
      <c r="F1235" s="8">
        <f>F1225</f>
        <v>-0.2</v>
      </c>
      <c r="G1235" s="8">
        <f>E1235+F1235</f>
        <v>2261.1323000000002</v>
      </c>
      <c r="H1235" s="3">
        <f>B1235*G1235</f>
        <v>63967.432767000006</v>
      </c>
      <c r="I1235" s="3">
        <f>C1235*G1235</f>
        <v>63990.04409000001</v>
      </c>
    </row>
    <row r="1236" spans="1:9" x14ac:dyDescent="0.25">
      <c r="A1236" t="s">
        <v>9</v>
      </c>
      <c r="B1236" s="1">
        <v>67.61</v>
      </c>
      <c r="C1236" s="1">
        <v>67.680000000000007</v>
      </c>
      <c r="D1236" s="2" t="s">
        <v>160</v>
      </c>
      <c r="E1236" s="8">
        <v>946.12990000000002</v>
      </c>
      <c r="F1236" s="8">
        <f>F1226</f>
        <v>0</v>
      </c>
      <c r="G1236" s="8">
        <f>E1236+F1236</f>
        <v>946.12990000000002</v>
      </c>
      <c r="H1236" s="3">
        <f>B1236*G1236</f>
        <v>63967.842538999997</v>
      </c>
      <c r="I1236" s="3">
        <f>C1236*G1236</f>
        <v>64034.071632000007</v>
      </c>
    </row>
    <row r="1237" spans="1:9" x14ac:dyDescent="0.25">
      <c r="A1237" t="s">
        <v>10</v>
      </c>
      <c r="B1237" s="1">
        <v>36.979999999999997</v>
      </c>
      <c r="C1237" s="1">
        <v>36.99</v>
      </c>
      <c r="D1237" s="2" t="s">
        <v>160</v>
      </c>
      <c r="E1237" s="8">
        <v>1730.1088000000002</v>
      </c>
      <c r="F1237" s="8">
        <f>F1227</f>
        <v>0.2</v>
      </c>
      <c r="G1237" s="8">
        <f>E1237+F1237</f>
        <v>1730.3088000000002</v>
      </c>
      <c r="H1237" s="3">
        <f>B1237*G1237</f>
        <v>63986.819424000001</v>
      </c>
      <c r="I1237" s="3">
        <f>C1237*G1237</f>
        <v>64004.122512000009</v>
      </c>
    </row>
    <row r="1238" spans="1:9" x14ac:dyDescent="0.25">
      <c r="A1238" t="s">
        <v>11</v>
      </c>
      <c r="B1238" s="1">
        <v>55.69</v>
      </c>
      <c r="C1238" s="1">
        <v>55.71</v>
      </c>
      <c r="D1238" s="2" t="s">
        <v>160</v>
      </c>
      <c r="E1238" s="8">
        <v>1148.8453</v>
      </c>
      <c r="F1238" s="8">
        <f>F1228</f>
        <v>0.05</v>
      </c>
      <c r="G1238" s="8">
        <f>E1238+F1238</f>
        <v>1148.8952999999999</v>
      </c>
      <c r="H1238" s="3">
        <f>B1238*G1238</f>
        <v>63981.979256999992</v>
      </c>
      <c r="I1238" s="3">
        <f>C1238*G1238</f>
        <v>64004.957162999999</v>
      </c>
    </row>
    <row r="1239" spans="1:9" x14ac:dyDescent="0.25">
      <c r="A1239" t="s">
        <v>12</v>
      </c>
      <c r="B1239" s="1">
        <v>49.65</v>
      </c>
      <c r="C1239" s="1">
        <v>49.66</v>
      </c>
      <c r="D1239" s="2" t="s">
        <v>160</v>
      </c>
      <c r="E1239" s="8">
        <v>1288.9085</v>
      </c>
      <c r="F1239" s="8">
        <f>F1229</f>
        <v>0</v>
      </c>
      <c r="G1239" s="8">
        <f>E1239+F1239</f>
        <v>1288.9085</v>
      </c>
      <c r="H1239" s="3">
        <f>B1239*G1239</f>
        <v>63994.307025000002</v>
      </c>
      <c r="I1239" s="3">
        <f>C1239*G1239</f>
        <v>64007.196109999997</v>
      </c>
    </row>
    <row r="1240" spans="1:9" x14ac:dyDescent="0.25">
      <c r="A1240" t="s">
        <v>13</v>
      </c>
      <c r="B1240" s="1">
        <v>18.09</v>
      </c>
      <c r="C1240" s="1">
        <v>18.100000000000001</v>
      </c>
      <c r="D1240" s="2" t="s">
        <v>160</v>
      </c>
      <c r="E1240" s="8">
        <v>3535.8029000000001</v>
      </c>
      <c r="F1240" s="8">
        <f>F1230</f>
        <v>0</v>
      </c>
      <c r="G1240" s="8">
        <f>E1240+F1240</f>
        <v>3535.8029000000001</v>
      </c>
      <c r="H1240" s="3">
        <f>B1240*G1240</f>
        <v>63962.674461000002</v>
      </c>
      <c r="I1240" s="3">
        <f>C1240*G1240</f>
        <v>63998.032490000005</v>
      </c>
    </row>
    <row r="1241" spans="1:9" x14ac:dyDescent="0.25">
      <c r="A1241" t="s">
        <v>14</v>
      </c>
      <c r="B1241" s="1">
        <v>36.24</v>
      </c>
      <c r="C1241" s="1">
        <v>36.25</v>
      </c>
      <c r="D1241" s="2" t="s">
        <v>160</v>
      </c>
      <c r="E1241" s="8">
        <v>1765.0472</v>
      </c>
      <c r="F1241" s="8">
        <f>F1231</f>
        <v>0.2</v>
      </c>
      <c r="G1241" s="8">
        <f>E1241+F1241</f>
        <v>1765.2472</v>
      </c>
      <c r="H1241" s="3">
        <f>B1241*G1241</f>
        <v>63972.558528000001</v>
      </c>
      <c r="I1241" s="3">
        <f>C1241*G1241</f>
        <v>63990.211000000003</v>
      </c>
    </row>
    <row r="1242" spans="1:9" x14ac:dyDescent="0.25">
      <c r="A1242" t="s">
        <v>4</v>
      </c>
      <c r="B1242" s="1">
        <v>21.24</v>
      </c>
      <c r="C1242" s="1">
        <v>21.25</v>
      </c>
      <c r="D1242" s="2" t="s">
        <v>161</v>
      </c>
      <c r="E1242" s="8">
        <v>3014.9315000000001</v>
      </c>
      <c r="F1242" s="8">
        <f>F1232</f>
        <v>0</v>
      </c>
      <c r="G1242" s="8">
        <f>E1242+F1242</f>
        <v>3014.9315000000001</v>
      </c>
      <c r="H1242" s="3">
        <f>B1242*G1242</f>
        <v>64037.145059999995</v>
      </c>
      <c r="I1242" s="3">
        <f>C1242*G1242</f>
        <v>64067.294375000005</v>
      </c>
    </row>
    <row r="1243" spans="1:9" x14ac:dyDescent="0.25">
      <c r="A1243" t="s">
        <v>6</v>
      </c>
      <c r="B1243" s="1">
        <v>34.770000000000003</v>
      </c>
      <c r="C1243" s="1">
        <v>34.78</v>
      </c>
      <c r="D1243" s="2" t="s">
        <v>161</v>
      </c>
      <c r="E1243" s="8">
        <v>1842.1104</v>
      </c>
      <c r="F1243" s="8">
        <f>F1233</f>
        <v>-0.1</v>
      </c>
      <c r="G1243" s="8">
        <f>E1243+F1243</f>
        <v>1842.0104000000001</v>
      </c>
      <c r="H1243" s="3">
        <f>B1243*G1243</f>
        <v>64046.70160800001</v>
      </c>
      <c r="I1243" s="3">
        <f>C1243*G1243</f>
        <v>64065.121712000007</v>
      </c>
    </row>
    <row r="1244" spans="1:9" x14ac:dyDescent="0.25">
      <c r="A1244" t="s">
        <v>7</v>
      </c>
      <c r="B1244" s="1">
        <v>18.05</v>
      </c>
      <c r="C1244" s="1">
        <v>18.059999999999999</v>
      </c>
      <c r="D1244" s="2" t="s">
        <v>161</v>
      </c>
      <c r="E1244" s="8">
        <v>3546.5621999999998</v>
      </c>
      <c r="F1244" s="8">
        <f>F1234</f>
        <v>0</v>
      </c>
      <c r="G1244" s="8">
        <f>E1244+F1244</f>
        <v>3546.5621999999998</v>
      </c>
      <c r="H1244" s="3">
        <f>B1244*G1244</f>
        <v>64015.44771</v>
      </c>
      <c r="I1244" s="3">
        <f>C1244*G1244</f>
        <v>64050.913331999989</v>
      </c>
    </row>
    <row r="1245" spans="1:9" x14ac:dyDescent="0.25">
      <c r="A1245" t="s">
        <v>8</v>
      </c>
      <c r="B1245" s="1">
        <v>28.32</v>
      </c>
      <c r="C1245" s="1">
        <v>28.33</v>
      </c>
      <c r="D1245" s="2" t="s">
        <v>161</v>
      </c>
      <c r="E1245" s="8">
        <v>2261.3323</v>
      </c>
      <c r="F1245" s="8">
        <f>F1235</f>
        <v>-0.2</v>
      </c>
      <c r="G1245" s="8">
        <f>E1245+F1245</f>
        <v>2261.1323000000002</v>
      </c>
      <c r="H1245" s="3">
        <f>B1245*G1245</f>
        <v>64035.266736000005</v>
      </c>
      <c r="I1245" s="3">
        <f>C1245*G1245</f>
        <v>64057.878059000002</v>
      </c>
    </row>
    <row r="1246" spans="1:9" x14ac:dyDescent="0.25">
      <c r="A1246" t="s">
        <v>9</v>
      </c>
      <c r="B1246" s="1">
        <v>67.67</v>
      </c>
      <c r="C1246" s="1">
        <v>67.77</v>
      </c>
      <c r="D1246" s="2" t="s">
        <v>161</v>
      </c>
      <c r="E1246" s="8">
        <v>946.12990000000002</v>
      </c>
      <c r="F1246" s="8">
        <f>F1236</f>
        <v>0</v>
      </c>
      <c r="G1246" s="8">
        <f>E1246+F1246</f>
        <v>946.12990000000002</v>
      </c>
      <c r="H1246" s="3">
        <f>B1246*G1246</f>
        <v>64024.610333000004</v>
      </c>
      <c r="I1246" s="3">
        <f>C1246*G1246</f>
        <v>64119.223322999998</v>
      </c>
    </row>
    <row r="1247" spans="1:9" x14ac:dyDescent="0.25">
      <c r="A1247" t="s">
        <v>10</v>
      </c>
      <c r="B1247" s="1">
        <v>37.01</v>
      </c>
      <c r="C1247" s="1">
        <v>37.04</v>
      </c>
      <c r="D1247" s="2" t="s">
        <v>161</v>
      </c>
      <c r="E1247" s="8">
        <v>1730.1088000000002</v>
      </c>
      <c r="F1247" s="8">
        <f>F1237</f>
        <v>0.2</v>
      </c>
      <c r="G1247" s="8">
        <f>E1247+F1247</f>
        <v>1730.3088000000002</v>
      </c>
      <c r="H1247" s="3">
        <f>B1247*G1247</f>
        <v>64038.728688000003</v>
      </c>
      <c r="I1247" s="3">
        <f>C1247*G1247</f>
        <v>64090.637952000005</v>
      </c>
    </row>
    <row r="1248" spans="1:9" x14ac:dyDescent="0.25">
      <c r="A1248" t="s">
        <v>11</v>
      </c>
      <c r="B1248" s="1">
        <v>55.75</v>
      </c>
      <c r="C1248" s="1">
        <v>55.76</v>
      </c>
      <c r="D1248" s="2" t="s">
        <v>161</v>
      </c>
      <c r="E1248" s="8">
        <v>1148.8453</v>
      </c>
      <c r="F1248" s="8">
        <f>F1238</f>
        <v>0.05</v>
      </c>
      <c r="G1248" s="8">
        <f>E1248+F1248</f>
        <v>1148.8952999999999</v>
      </c>
      <c r="H1248" s="3">
        <f>B1248*G1248</f>
        <v>64050.912974999992</v>
      </c>
      <c r="I1248" s="3">
        <f>C1248*G1248</f>
        <v>64062.401927999992</v>
      </c>
    </row>
    <row r="1249" spans="1:9" x14ac:dyDescent="0.25">
      <c r="A1249" t="s">
        <v>12</v>
      </c>
      <c r="B1249" s="1">
        <v>49.7</v>
      </c>
      <c r="C1249" s="1">
        <v>49.71</v>
      </c>
      <c r="D1249" s="2" t="s">
        <v>161</v>
      </c>
      <c r="E1249" s="8">
        <v>1288.9085</v>
      </c>
      <c r="F1249" s="8">
        <f>F1239</f>
        <v>0</v>
      </c>
      <c r="G1249" s="8">
        <f>E1249+F1249</f>
        <v>1288.9085</v>
      </c>
      <c r="H1249" s="3">
        <f>B1249*G1249</f>
        <v>64058.752450000007</v>
      </c>
      <c r="I1249" s="3">
        <f>C1249*G1249</f>
        <v>64071.641535000002</v>
      </c>
    </row>
    <row r="1250" spans="1:9" x14ac:dyDescent="0.25">
      <c r="A1250" t="s">
        <v>13</v>
      </c>
      <c r="B1250" s="1">
        <v>18.11</v>
      </c>
      <c r="C1250" s="1">
        <v>18.12</v>
      </c>
      <c r="D1250" s="2" t="s">
        <v>161</v>
      </c>
      <c r="E1250" s="8">
        <v>3535.8029000000001</v>
      </c>
      <c r="F1250" s="8">
        <f>F1240</f>
        <v>0</v>
      </c>
      <c r="G1250" s="8">
        <f>E1250+F1250</f>
        <v>3535.8029000000001</v>
      </c>
      <c r="H1250" s="3">
        <f>B1250*G1250</f>
        <v>64033.390519</v>
      </c>
      <c r="I1250" s="3">
        <f>C1250*G1250</f>
        <v>64068.748548000003</v>
      </c>
    </row>
    <row r="1251" spans="1:9" x14ac:dyDescent="0.25">
      <c r="A1251" t="s">
        <v>14</v>
      </c>
      <c r="B1251" s="1">
        <v>36.270000000000003</v>
      </c>
      <c r="C1251" s="1">
        <v>36.28</v>
      </c>
      <c r="D1251" s="2" t="s">
        <v>161</v>
      </c>
      <c r="E1251" s="8">
        <v>1765.0472</v>
      </c>
      <c r="F1251" s="8">
        <f>F1241</f>
        <v>0.2</v>
      </c>
      <c r="G1251" s="8">
        <f>E1251+F1251</f>
        <v>1765.2472</v>
      </c>
      <c r="H1251" s="3">
        <f>B1251*G1251</f>
        <v>64025.515944000006</v>
      </c>
      <c r="I1251" s="3">
        <f>C1251*G1251</f>
        <v>64043.168416</v>
      </c>
    </row>
    <row r="1252" spans="1:9" x14ac:dyDescent="0.25">
      <c r="A1252" t="s">
        <v>4</v>
      </c>
      <c r="B1252" s="1">
        <v>21.18</v>
      </c>
      <c r="C1252" s="1">
        <v>21.19</v>
      </c>
      <c r="D1252" s="2" t="s">
        <v>162</v>
      </c>
      <c r="E1252" s="8">
        <v>3014.9315000000001</v>
      </c>
      <c r="F1252" s="8">
        <f>F1242</f>
        <v>0</v>
      </c>
      <c r="G1252" s="8">
        <f>E1252+F1252</f>
        <v>3014.9315000000001</v>
      </c>
      <c r="H1252" s="3">
        <f>B1252*G1252</f>
        <v>63856.249170000003</v>
      </c>
      <c r="I1252" s="3">
        <f>C1252*G1252</f>
        <v>63886.398485000005</v>
      </c>
    </row>
    <row r="1253" spans="1:9" x14ac:dyDescent="0.25">
      <c r="A1253" t="s">
        <v>6</v>
      </c>
      <c r="B1253" s="1">
        <v>34.67</v>
      </c>
      <c r="C1253" s="1">
        <v>34.68</v>
      </c>
      <c r="D1253" s="2" t="s">
        <v>162</v>
      </c>
      <c r="E1253" s="8">
        <v>1842.1104</v>
      </c>
      <c r="F1253" s="8">
        <f>F1243</f>
        <v>-0.1</v>
      </c>
      <c r="G1253" s="8">
        <f>E1253+F1253</f>
        <v>1842.0104000000001</v>
      </c>
      <c r="H1253" s="3">
        <f>B1253*G1253</f>
        <v>63862.50056800001</v>
      </c>
      <c r="I1253" s="3">
        <f>C1253*G1253</f>
        <v>63880.920672</v>
      </c>
    </row>
    <row r="1254" spans="1:9" x14ac:dyDescent="0.25">
      <c r="A1254" t="s">
        <v>7</v>
      </c>
      <c r="B1254" s="1">
        <v>18.010000000000002</v>
      </c>
      <c r="C1254" s="1">
        <v>18.02</v>
      </c>
      <c r="D1254" s="2" t="s">
        <v>162</v>
      </c>
      <c r="E1254" s="8">
        <v>3546.5621999999998</v>
      </c>
      <c r="F1254" s="8">
        <f>F1244</f>
        <v>0</v>
      </c>
      <c r="G1254" s="8">
        <f>E1254+F1254</f>
        <v>3546.5621999999998</v>
      </c>
      <c r="H1254" s="3">
        <f>B1254*G1254</f>
        <v>63873.585222000002</v>
      </c>
      <c r="I1254" s="3">
        <f>C1254*G1254</f>
        <v>63909.050843999998</v>
      </c>
    </row>
    <row r="1255" spans="1:9" x14ac:dyDescent="0.25">
      <c r="A1255" t="s">
        <v>8</v>
      </c>
      <c r="B1255" s="1">
        <v>28.25</v>
      </c>
      <c r="C1255" s="1">
        <v>28.26</v>
      </c>
      <c r="D1255" s="2" t="s">
        <v>162</v>
      </c>
      <c r="E1255" s="8">
        <v>2261.3323</v>
      </c>
      <c r="F1255" s="8">
        <f>F1245</f>
        <v>-0.2</v>
      </c>
      <c r="G1255" s="8">
        <f>E1255+F1255</f>
        <v>2261.1323000000002</v>
      </c>
      <c r="H1255" s="3">
        <f>B1255*G1255</f>
        <v>63876.987475000009</v>
      </c>
      <c r="I1255" s="3">
        <f>C1255*G1255</f>
        <v>63899.598798000006</v>
      </c>
    </row>
    <row r="1256" spans="1:9" x14ac:dyDescent="0.25">
      <c r="A1256" t="s">
        <v>9</v>
      </c>
      <c r="B1256" s="1">
        <v>67.45</v>
      </c>
      <c r="C1256" s="1">
        <v>67.56</v>
      </c>
      <c r="D1256" s="2" t="s">
        <v>162</v>
      </c>
      <c r="E1256" s="8">
        <v>946.12990000000002</v>
      </c>
      <c r="F1256" s="8">
        <f>F1246</f>
        <v>0</v>
      </c>
      <c r="G1256" s="8">
        <f>E1256+F1256</f>
        <v>946.12990000000002</v>
      </c>
      <c r="H1256" s="3">
        <f>B1256*G1256</f>
        <v>63816.461755000004</v>
      </c>
      <c r="I1256" s="3">
        <f>C1256*G1256</f>
        <v>63920.536044</v>
      </c>
    </row>
    <row r="1257" spans="1:9" x14ac:dyDescent="0.25">
      <c r="A1257" t="s">
        <v>10</v>
      </c>
      <c r="B1257" s="1">
        <v>36.909999999999997</v>
      </c>
      <c r="C1257" s="1">
        <v>36.93</v>
      </c>
      <c r="D1257" s="2" t="s">
        <v>162</v>
      </c>
      <c r="E1257" s="8">
        <v>1730.1088000000002</v>
      </c>
      <c r="F1257" s="8">
        <f>F1247</f>
        <v>0.2</v>
      </c>
      <c r="G1257" s="8">
        <f>E1257+F1257</f>
        <v>1730.3088000000002</v>
      </c>
      <c r="H1257" s="3">
        <f>B1257*G1257</f>
        <v>63865.697808000004</v>
      </c>
      <c r="I1257" s="3">
        <f>C1257*G1257</f>
        <v>63900.303984000006</v>
      </c>
    </row>
    <row r="1258" spans="1:9" x14ac:dyDescent="0.25">
      <c r="A1258" t="s">
        <v>11</v>
      </c>
      <c r="B1258" s="1">
        <v>55.59</v>
      </c>
      <c r="C1258" s="1">
        <v>55.6</v>
      </c>
      <c r="D1258" s="2" t="s">
        <v>162</v>
      </c>
      <c r="E1258" s="8">
        <v>1148.8453</v>
      </c>
      <c r="F1258" s="8">
        <f>F1248</f>
        <v>0.05</v>
      </c>
      <c r="G1258" s="8">
        <f>E1258+F1258</f>
        <v>1148.8952999999999</v>
      </c>
      <c r="H1258" s="3">
        <f>B1258*G1258</f>
        <v>63867.089726999999</v>
      </c>
      <c r="I1258" s="3">
        <f>C1258*G1258</f>
        <v>63878.578679999999</v>
      </c>
    </row>
    <row r="1259" spans="1:9" x14ac:dyDescent="0.25">
      <c r="A1259" t="s">
        <v>12</v>
      </c>
      <c r="B1259" s="1">
        <v>49.56</v>
      </c>
      <c r="C1259" s="1">
        <v>49.57</v>
      </c>
      <c r="D1259" s="2" t="s">
        <v>162</v>
      </c>
      <c r="E1259" s="8">
        <v>1288.9085</v>
      </c>
      <c r="F1259" s="8">
        <f>F1249</f>
        <v>0</v>
      </c>
      <c r="G1259" s="8">
        <f>E1259+F1259</f>
        <v>1288.9085</v>
      </c>
      <c r="H1259" s="3">
        <f>B1259*G1259</f>
        <v>63878.305260000001</v>
      </c>
      <c r="I1259" s="3">
        <f>C1259*G1259</f>
        <v>63891.194345000004</v>
      </c>
    </row>
    <row r="1260" spans="1:9" x14ac:dyDescent="0.25">
      <c r="A1260" t="s">
        <v>13</v>
      </c>
      <c r="B1260" s="1">
        <v>18.059999999999999</v>
      </c>
      <c r="C1260" s="1">
        <v>18.07</v>
      </c>
      <c r="D1260" s="2" t="s">
        <v>162</v>
      </c>
      <c r="E1260" s="8">
        <v>3535.8029000000001</v>
      </c>
      <c r="F1260" s="8">
        <f>F1250</f>
        <v>0</v>
      </c>
      <c r="G1260" s="8">
        <f>E1260+F1260</f>
        <v>3535.8029000000001</v>
      </c>
      <c r="H1260" s="3">
        <f>B1260*G1260</f>
        <v>63856.600374000001</v>
      </c>
      <c r="I1260" s="3">
        <f>C1260*G1260</f>
        <v>63891.958403000004</v>
      </c>
    </row>
    <row r="1261" spans="1:9" x14ac:dyDescent="0.25">
      <c r="A1261" t="s">
        <v>14</v>
      </c>
      <c r="B1261" s="1">
        <v>36.17</v>
      </c>
      <c r="C1261" s="1">
        <v>36.18</v>
      </c>
      <c r="D1261" s="2" t="s">
        <v>162</v>
      </c>
      <c r="E1261" s="8">
        <v>1765.0472</v>
      </c>
      <c r="F1261" s="8">
        <f>F1251</f>
        <v>0.2</v>
      </c>
      <c r="G1261" s="8">
        <f>E1261+F1261</f>
        <v>1765.2472</v>
      </c>
      <c r="H1261" s="3">
        <f>B1261*G1261</f>
        <v>63848.991224000005</v>
      </c>
      <c r="I1261" s="3">
        <f>C1261*G1261</f>
        <v>63866.643695999999</v>
      </c>
    </row>
    <row r="1262" spans="1:9" x14ac:dyDescent="0.25">
      <c r="A1262" t="s">
        <v>4</v>
      </c>
      <c r="B1262" s="1">
        <v>21.2</v>
      </c>
      <c r="C1262" s="1">
        <v>21.21</v>
      </c>
      <c r="D1262" s="2" t="s">
        <v>163</v>
      </c>
      <c r="E1262" s="8">
        <v>3014.9315000000001</v>
      </c>
      <c r="F1262" s="8">
        <f>F1252</f>
        <v>0</v>
      </c>
      <c r="G1262" s="8">
        <f>E1262+F1262</f>
        <v>3014.9315000000001</v>
      </c>
      <c r="H1262" s="3">
        <f>B1262*G1262</f>
        <v>63916.5478</v>
      </c>
      <c r="I1262" s="3">
        <f>C1262*G1262</f>
        <v>63946.697115000003</v>
      </c>
    </row>
    <row r="1263" spans="1:9" x14ac:dyDescent="0.25">
      <c r="A1263" t="s">
        <v>6</v>
      </c>
      <c r="B1263" s="1">
        <v>34.69</v>
      </c>
      <c r="C1263" s="1">
        <v>34.700000000000003</v>
      </c>
      <c r="D1263" s="2" t="s">
        <v>163</v>
      </c>
      <c r="E1263" s="8">
        <v>1842.1104</v>
      </c>
      <c r="F1263" s="8">
        <f>F1253</f>
        <v>-0.1</v>
      </c>
      <c r="G1263" s="8">
        <f>E1263+F1263</f>
        <v>1842.0104000000001</v>
      </c>
      <c r="H1263" s="3">
        <f>B1263*G1263</f>
        <v>63899.340775999997</v>
      </c>
      <c r="I1263" s="3">
        <f>C1263*G1263</f>
        <v>63917.760880000009</v>
      </c>
    </row>
    <row r="1264" spans="1:9" x14ac:dyDescent="0.25">
      <c r="A1264" t="s">
        <v>7</v>
      </c>
      <c r="B1264" s="1">
        <v>18.02</v>
      </c>
      <c r="C1264" s="1">
        <v>18.03</v>
      </c>
      <c r="D1264" s="2" t="s">
        <v>163</v>
      </c>
      <c r="E1264" s="8">
        <v>3546.5621999999998</v>
      </c>
      <c r="F1264" s="8">
        <f>F1254</f>
        <v>0</v>
      </c>
      <c r="G1264" s="8">
        <f>E1264+F1264</f>
        <v>3546.5621999999998</v>
      </c>
      <c r="H1264" s="3">
        <f>B1264*G1264</f>
        <v>63909.050843999998</v>
      </c>
      <c r="I1264" s="3">
        <f>C1264*G1264</f>
        <v>63944.516466000001</v>
      </c>
    </row>
    <row r="1265" spans="1:9" x14ac:dyDescent="0.25">
      <c r="A1265" t="s">
        <v>8</v>
      </c>
      <c r="B1265" s="1">
        <v>28.27</v>
      </c>
      <c r="C1265" s="1">
        <v>28.28</v>
      </c>
      <c r="D1265" s="2" t="s">
        <v>163</v>
      </c>
      <c r="E1265" s="8">
        <v>2261.3323</v>
      </c>
      <c r="F1265" s="8">
        <f>F1255</f>
        <v>-0.2</v>
      </c>
      <c r="G1265" s="8">
        <f>E1265+F1265</f>
        <v>2261.1323000000002</v>
      </c>
      <c r="H1265" s="3">
        <f>B1265*G1265</f>
        <v>63922.210121000004</v>
      </c>
      <c r="I1265" s="3">
        <f>C1265*G1265</f>
        <v>63944.821444000008</v>
      </c>
    </row>
    <row r="1266" spans="1:9" x14ac:dyDescent="0.25">
      <c r="A1266" t="s">
        <v>9</v>
      </c>
      <c r="B1266" s="1">
        <v>67.53</v>
      </c>
      <c r="C1266" s="1">
        <v>67.62</v>
      </c>
      <c r="D1266" s="2" t="s">
        <v>163</v>
      </c>
      <c r="E1266" s="8">
        <v>946.12990000000002</v>
      </c>
      <c r="F1266" s="8">
        <f>F1256</f>
        <v>0</v>
      </c>
      <c r="G1266" s="8">
        <f>E1266+F1266</f>
        <v>946.12990000000002</v>
      </c>
      <c r="H1266" s="3">
        <f>B1266*G1266</f>
        <v>63892.152147000001</v>
      </c>
      <c r="I1266" s="3">
        <f>C1266*G1266</f>
        <v>63977.303838000007</v>
      </c>
    </row>
    <row r="1267" spans="1:9" x14ac:dyDescent="0.25">
      <c r="A1267" t="s">
        <v>10</v>
      </c>
      <c r="B1267" s="1">
        <v>36.93</v>
      </c>
      <c r="C1267" s="1">
        <v>36.96</v>
      </c>
      <c r="D1267" s="2" t="s">
        <v>163</v>
      </c>
      <c r="E1267" s="8">
        <v>1730.1088000000002</v>
      </c>
      <c r="F1267" s="8">
        <f>F1257</f>
        <v>0.2</v>
      </c>
      <c r="G1267" s="8">
        <f>E1267+F1267</f>
        <v>1730.3088000000002</v>
      </c>
      <c r="H1267" s="3">
        <f>B1267*G1267</f>
        <v>63900.303984000006</v>
      </c>
      <c r="I1267" s="3">
        <f>C1267*G1267</f>
        <v>63952.213248000007</v>
      </c>
    </row>
    <row r="1268" spans="1:9" x14ac:dyDescent="0.25">
      <c r="A1268" t="s">
        <v>11</v>
      </c>
      <c r="B1268" s="1">
        <v>55.63</v>
      </c>
      <c r="C1268" s="1">
        <v>55.64</v>
      </c>
      <c r="D1268" s="2" t="s">
        <v>163</v>
      </c>
      <c r="E1268" s="8">
        <v>1148.8453</v>
      </c>
      <c r="F1268" s="8">
        <f>F1258</f>
        <v>0.05</v>
      </c>
      <c r="G1268" s="8">
        <f>E1268+F1268</f>
        <v>1148.8952999999999</v>
      </c>
      <c r="H1268" s="3">
        <f>B1268*G1268</f>
        <v>63913.045538999999</v>
      </c>
      <c r="I1268" s="3">
        <f>C1268*G1268</f>
        <v>63924.534491999999</v>
      </c>
    </row>
    <row r="1269" spans="1:9" x14ac:dyDescent="0.25">
      <c r="A1269" t="s">
        <v>12</v>
      </c>
      <c r="B1269" s="1">
        <v>49.58</v>
      </c>
      <c r="C1269" s="1">
        <v>49.59</v>
      </c>
      <c r="D1269" s="2" t="s">
        <v>163</v>
      </c>
      <c r="E1269" s="8">
        <v>1288.9085</v>
      </c>
      <c r="F1269" s="8">
        <f>F1259</f>
        <v>0</v>
      </c>
      <c r="G1269" s="8">
        <f>E1269+F1269</f>
        <v>1288.9085</v>
      </c>
      <c r="H1269" s="3">
        <f>B1269*G1269</f>
        <v>63904.083429999999</v>
      </c>
      <c r="I1269" s="3">
        <f>C1269*G1269</f>
        <v>63916.972515000001</v>
      </c>
    </row>
    <row r="1270" spans="1:9" x14ac:dyDescent="0.25">
      <c r="A1270" t="s">
        <v>13</v>
      </c>
      <c r="B1270" s="1">
        <v>18.07</v>
      </c>
      <c r="C1270" s="1">
        <v>18.079999999999998</v>
      </c>
      <c r="D1270" s="2" t="s">
        <v>163</v>
      </c>
      <c r="E1270" s="8">
        <v>3535.8029000000001</v>
      </c>
      <c r="F1270" s="8">
        <f>F1260</f>
        <v>0</v>
      </c>
      <c r="G1270" s="8">
        <f>E1270+F1270</f>
        <v>3535.8029000000001</v>
      </c>
      <c r="H1270" s="3">
        <f>B1270*G1270</f>
        <v>63891.958403000004</v>
      </c>
      <c r="I1270" s="3">
        <f>C1270*G1270</f>
        <v>63927.316432</v>
      </c>
    </row>
    <row r="1271" spans="1:9" x14ac:dyDescent="0.25">
      <c r="A1271" t="s">
        <v>14</v>
      </c>
      <c r="B1271" s="1">
        <v>36.200000000000003</v>
      </c>
      <c r="C1271" s="1">
        <v>36.21</v>
      </c>
      <c r="D1271" s="2" t="s">
        <v>163</v>
      </c>
      <c r="E1271" s="8">
        <v>1765.0472</v>
      </c>
      <c r="F1271" s="8">
        <f>F1261</f>
        <v>0.2</v>
      </c>
      <c r="G1271" s="8">
        <f>E1271+F1271</f>
        <v>1765.2472</v>
      </c>
      <c r="H1271" s="3">
        <f>B1271*G1271</f>
        <v>63901.948640000002</v>
      </c>
      <c r="I1271" s="3">
        <f>C1271*G1271</f>
        <v>63919.601112000004</v>
      </c>
    </row>
    <row r="1272" spans="1:9" x14ac:dyDescent="0.25">
      <c r="A1272" t="s">
        <v>4</v>
      </c>
      <c r="B1272" s="1">
        <v>21.16</v>
      </c>
      <c r="C1272" s="1">
        <v>21.17</v>
      </c>
      <c r="D1272" s="2" t="s">
        <v>164</v>
      </c>
      <c r="E1272" s="8">
        <v>3014.9315000000001</v>
      </c>
      <c r="F1272" s="8">
        <f>F1262</f>
        <v>0</v>
      </c>
      <c r="G1272" s="8">
        <f>E1272+F1272</f>
        <v>3014.9315000000001</v>
      </c>
      <c r="H1272" s="3">
        <f>B1272*G1272</f>
        <v>63795.950540000005</v>
      </c>
      <c r="I1272" s="3">
        <f>C1272*G1272</f>
        <v>63826.099855000008</v>
      </c>
    </row>
    <row r="1273" spans="1:9" x14ac:dyDescent="0.25">
      <c r="A1273" t="s">
        <v>6</v>
      </c>
      <c r="B1273" s="1">
        <v>34.64</v>
      </c>
      <c r="C1273" s="1">
        <v>34.65</v>
      </c>
      <c r="D1273" s="2" t="s">
        <v>164</v>
      </c>
      <c r="E1273" s="8">
        <v>1842.1104</v>
      </c>
      <c r="F1273" s="8">
        <f>F1263</f>
        <v>-0.1</v>
      </c>
      <c r="G1273" s="8">
        <f>E1273+F1273</f>
        <v>1842.0104000000001</v>
      </c>
      <c r="H1273" s="3">
        <f>B1273*G1273</f>
        <v>63807.240256000005</v>
      </c>
      <c r="I1273" s="3">
        <f>C1273*G1273</f>
        <v>63825.660360000002</v>
      </c>
    </row>
    <row r="1274" spans="1:9" x14ac:dyDescent="0.25">
      <c r="A1274" t="s">
        <v>7</v>
      </c>
      <c r="B1274" s="1">
        <v>17.98</v>
      </c>
      <c r="C1274" s="1">
        <v>17.989999999999998</v>
      </c>
      <c r="D1274" s="2" t="s">
        <v>164</v>
      </c>
      <c r="E1274" s="8">
        <v>3546.5621999999998</v>
      </c>
      <c r="F1274" s="8">
        <f>F1264</f>
        <v>0</v>
      </c>
      <c r="G1274" s="8">
        <f>E1274+F1274</f>
        <v>3546.5621999999998</v>
      </c>
      <c r="H1274" s="3">
        <f>B1274*G1274</f>
        <v>63767.188355999999</v>
      </c>
      <c r="I1274" s="3">
        <f>C1274*G1274</f>
        <v>63802.653977999995</v>
      </c>
    </row>
    <row r="1275" spans="1:9" x14ac:dyDescent="0.25">
      <c r="A1275" t="s">
        <v>8</v>
      </c>
      <c r="B1275" s="1">
        <v>28.21</v>
      </c>
      <c r="C1275" s="1">
        <v>28.22</v>
      </c>
      <c r="D1275" s="2" t="s">
        <v>164</v>
      </c>
      <c r="E1275" s="8">
        <v>2261.3323</v>
      </c>
      <c r="F1275" s="8">
        <f>F1265</f>
        <v>-0.2</v>
      </c>
      <c r="G1275" s="8">
        <f>E1275+F1275</f>
        <v>2261.1323000000002</v>
      </c>
      <c r="H1275" s="3">
        <f>B1275*G1275</f>
        <v>63786.542183000005</v>
      </c>
      <c r="I1275" s="3">
        <f>C1275*G1275</f>
        <v>63809.153506000002</v>
      </c>
    </row>
    <row r="1276" spans="1:9" x14ac:dyDescent="0.25">
      <c r="A1276" t="s">
        <v>9</v>
      </c>
      <c r="B1276" s="1">
        <v>67.400000000000006</v>
      </c>
      <c r="C1276" s="1">
        <v>67.5</v>
      </c>
      <c r="D1276" s="2" t="s">
        <v>164</v>
      </c>
      <c r="E1276" s="8">
        <v>946.12990000000002</v>
      </c>
      <c r="F1276" s="8">
        <f>F1266</f>
        <v>0</v>
      </c>
      <c r="G1276" s="8">
        <f>E1276+F1276</f>
        <v>946.12990000000002</v>
      </c>
      <c r="H1276" s="3">
        <f>B1276*G1276</f>
        <v>63769.155260000007</v>
      </c>
      <c r="I1276" s="3">
        <f>C1276*G1276</f>
        <v>63863.768250000001</v>
      </c>
    </row>
    <row r="1277" spans="1:9" x14ac:dyDescent="0.25">
      <c r="A1277" t="s">
        <v>10</v>
      </c>
      <c r="B1277" s="1">
        <v>36.86</v>
      </c>
      <c r="C1277" s="1">
        <v>36.880000000000003</v>
      </c>
      <c r="D1277" s="2" t="s">
        <v>164</v>
      </c>
      <c r="E1277" s="8">
        <v>1730.1088000000002</v>
      </c>
      <c r="F1277" s="8">
        <f>F1267</f>
        <v>0.2</v>
      </c>
      <c r="G1277" s="8">
        <f>E1277+F1277</f>
        <v>1730.3088000000002</v>
      </c>
      <c r="H1277" s="3">
        <f>B1277*G1277</f>
        <v>63779.182368000009</v>
      </c>
      <c r="I1277" s="3">
        <f>C1277*G1277</f>
        <v>63813.78854400001</v>
      </c>
    </row>
    <row r="1278" spans="1:9" x14ac:dyDescent="0.25">
      <c r="A1278" t="s">
        <v>11</v>
      </c>
      <c r="B1278" s="1">
        <v>55.52</v>
      </c>
      <c r="C1278" s="1">
        <v>55.53</v>
      </c>
      <c r="D1278" s="2" t="s">
        <v>164</v>
      </c>
      <c r="E1278" s="8">
        <v>1148.8453</v>
      </c>
      <c r="F1278" s="8">
        <f>F1268</f>
        <v>0.05</v>
      </c>
      <c r="G1278" s="8">
        <f>E1278+F1278</f>
        <v>1148.8952999999999</v>
      </c>
      <c r="H1278" s="3">
        <f>B1278*G1278</f>
        <v>63786.667055999998</v>
      </c>
      <c r="I1278" s="3">
        <f>C1278*G1278</f>
        <v>63798.156008999998</v>
      </c>
    </row>
    <row r="1279" spans="1:9" x14ac:dyDescent="0.25">
      <c r="A1279" t="s">
        <v>12</v>
      </c>
      <c r="B1279" s="1">
        <v>49.5</v>
      </c>
      <c r="C1279" s="1">
        <v>49.51</v>
      </c>
      <c r="D1279" s="2" t="s">
        <v>164</v>
      </c>
      <c r="E1279" s="8">
        <v>1288.9085</v>
      </c>
      <c r="F1279" s="8">
        <f>F1269</f>
        <v>0</v>
      </c>
      <c r="G1279" s="8">
        <f>E1279+F1279</f>
        <v>1288.9085</v>
      </c>
      <c r="H1279" s="3">
        <f>B1279*G1279</f>
        <v>63800.97075</v>
      </c>
      <c r="I1279" s="3">
        <f>C1279*G1279</f>
        <v>63813.859834999996</v>
      </c>
    </row>
    <row r="1280" spans="1:9" x14ac:dyDescent="0.25">
      <c r="A1280" t="s">
        <v>13</v>
      </c>
      <c r="B1280" s="1">
        <v>18.03</v>
      </c>
      <c r="C1280" s="1">
        <v>18.04</v>
      </c>
      <c r="D1280" s="2" t="s">
        <v>164</v>
      </c>
      <c r="E1280" s="8">
        <v>3535.8029000000001</v>
      </c>
      <c r="F1280" s="8">
        <f>F1270</f>
        <v>0</v>
      </c>
      <c r="G1280" s="8">
        <f>E1280+F1280</f>
        <v>3535.8029000000001</v>
      </c>
      <c r="H1280" s="3">
        <f>B1280*G1280</f>
        <v>63750.526287000008</v>
      </c>
      <c r="I1280" s="3">
        <f>C1280*G1280</f>
        <v>63785.884315999996</v>
      </c>
    </row>
    <row r="1281" spans="1:9" x14ac:dyDescent="0.25">
      <c r="A1281" t="s">
        <v>14</v>
      </c>
      <c r="B1281" s="1">
        <v>36.14</v>
      </c>
      <c r="C1281" s="1">
        <v>36.15</v>
      </c>
      <c r="D1281" s="2" t="s">
        <v>164</v>
      </c>
      <c r="E1281" s="8">
        <v>1765.0472</v>
      </c>
      <c r="F1281" s="8">
        <f>F1271</f>
        <v>0.2</v>
      </c>
      <c r="G1281" s="8">
        <f>E1281+F1281</f>
        <v>1765.2472</v>
      </c>
      <c r="H1281" s="3">
        <f>B1281*G1281</f>
        <v>63796.033808</v>
      </c>
      <c r="I1281" s="3">
        <f>C1281*G1281</f>
        <v>63813.686280000002</v>
      </c>
    </row>
    <row r="1282" spans="1:9" x14ac:dyDescent="0.25">
      <c r="A1282" t="s">
        <v>4</v>
      </c>
      <c r="B1282" s="1">
        <v>21.15</v>
      </c>
      <c r="C1282" s="1">
        <v>21.16</v>
      </c>
      <c r="D1282" s="2" t="s">
        <v>165</v>
      </c>
      <c r="E1282" s="8">
        <v>3014.9315000000001</v>
      </c>
      <c r="F1282" s="8">
        <f>F1272</f>
        <v>0</v>
      </c>
      <c r="G1282" s="8">
        <f>E1282+F1282</f>
        <v>3014.9315000000001</v>
      </c>
      <c r="H1282" s="3">
        <f>B1282*G1282</f>
        <v>63765.801224999996</v>
      </c>
      <c r="I1282" s="3">
        <f>C1282*G1282</f>
        <v>63795.950540000005</v>
      </c>
    </row>
    <row r="1283" spans="1:9" x14ac:dyDescent="0.25">
      <c r="A1283" t="s">
        <v>6</v>
      </c>
      <c r="B1283" s="1">
        <v>34.619999999999997</v>
      </c>
      <c r="C1283" s="1">
        <v>34.630000000000003</v>
      </c>
      <c r="D1283" s="2" t="s">
        <v>165</v>
      </c>
      <c r="E1283" s="8">
        <v>1842.1104</v>
      </c>
      <c r="F1283" s="8">
        <f>F1273</f>
        <v>-0.1</v>
      </c>
      <c r="G1283" s="8">
        <f>E1283+F1283</f>
        <v>1842.0104000000001</v>
      </c>
      <c r="H1283" s="3">
        <f>B1283*G1283</f>
        <v>63770.400047999996</v>
      </c>
      <c r="I1283" s="3">
        <f>C1283*G1283</f>
        <v>63788.820152000008</v>
      </c>
    </row>
    <row r="1284" spans="1:9" x14ac:dyDescent="0.25">
      <c r="A1284" t="s">
        <v>7</v>
      </c>
      <c r="B1284" s="1">
        <v>17.98</v>
      </c>
      <c r="C1284" s="1">
        <v>17.989999999999998</v>
      </c>
      <c r="D1284" s="2" t="s">
        <v>165</v>
      </c>
      <c r="E1284" s="8">
        <v>3546.5621999999998</v>
      </c>
      <c r="F1284" s="8">
        <f>F1274</f>
        <v>0</v>
      </c>
      <c r="G1284" s="8">
        <f>E1284+F1284</f>
        <v>3546.5621999999998</v>
      </c>
      <c r="H1284" s="3">
        <f>B1284*G1284</f>
        <v>63767.188355999999</v>
      </c>
      <c r="I1284" s="3">
        <f>C1284*G1284</f>
        <v>63802.653977999995</v>
      </c>
    </row>
    <row r="1285" spans="1:9" x14ac:dyDescent="0.25">
      <c r="A1285" t="s">
        <v>8</v>
      </c>
      <c r="B1285" s="1">
        <v>28.2</v>
      </c>
      <c r="C1285" s="1">
        <v>28.21</v>
      </c>
      <c r="D1285" s="2" t="s">
        <v>165</v>
      </c>
      <c r="E1285" s="8">
        <v>2261.3323</v>
      </c>
      <c r="F1285" s="8">
        <f>F1275</f>
        <v>-0.2</v>
      </c>
      <c r="G1285" s="8">
        <f>E1285+F1285</f>
        <v>2261.1323000000002</v>
      </c>
      <c r="H1285" s="3">
        <f>B1285*G1285</f>
        <v>63763.930860000008</v>
      </c>
      <c r="I1285" s="3">
        <f>C1285*G1285</f>
        <v>63786.542183000005</v>
      </c>
    </row>
    <row r="1286" spans="1:9" x14ac:dyDescent="0.25">
      <c r="A1286" t="s">
        <v>9</v>
      </c>
      <c r="B1286" s="1">
        <v>67.400000000000006</v>
      </c>
      <c r="C1286" s="1">
        <v>67.47</v>
      </c>
      <c r="D1286" s="2" t="s">
        <v>165</v>
      </c>
      <c r="E1286" s="8">
        <v>946.12990000000002</v>
      </c>
      <c r="F1286" s="8">
        <f>F1276</f>
        <v>0</v>
      </c>
      <c r="G1286" s="8">
        <f>E1286+F1286</f>
        <v>946.12990000000002</v>
      </c>
      <c r="H1286" s="3">
        <f>B1286*G1286</f>
        <v>63769.155260000007</v>
      </c>
      <c r="I1286" s="3">
        <f>C1286*G1286</f>
        <v>63835.384353000001</v>
      </c>
    </row>
    <row r="1287" spans="1:9" x14ac:dyDescent="0.25">
      <c r="A1287" t="s">
        <v>10</v>
      </c>
      <c r="B1287" s="1">
        <v>36.85</v>
      </c>
      <c r="C1287" s="1">
        <v>36.869999999999997</v>
      </c>
      <c r="D1287" s="2" t="s">
        <v>165</v>
      </c>
      <c r="E1287" s="8">
        <v>1730.1088000000002</v>
      </c>
      <c r="F1287" s="8">
        <f>F1277</f>
        <v>0.2</v>
      </c>
      <c r="G1287" s="8">
        <f>E1287+F1287</f>
        <v>1730.3088000000002</v>
      </c>
      <c r="H1287" s="3">
        <f>B1287*G1287</f>
        <v>63761.879280000008</v>
      </c>
      <c r="I1287" s="3">
        <f>C1287*G1287</f>
        <v>63796.485456000002</v>
      </c>
    </row>
    <row r="1288" spans="1:9" x14ac:dyDescent="0.25">
      <c r="A1288" t="s">
        <v>11</v>
      </c>
      <c r="B1288" s="1">
        <v>55.49</v>
      </c>
      <c r="C1288" s="1">
        <v>55.5</v>
      </c>
      <c r="D1288" s="2" t="s">
        <v>165</v>
      </c>
      <c r="E1288" s="8">
        <v>1148.8453</v>
      </c>
      <c r="F1288" s="8">
        <f>F1278</f>
        <v>0.05</v>
      </c>
      <c r="G1288" s="8">
        <f>E1288+F1288</f>
        <v>1148.8952999999999</v>
      </c>
      <c r="H1288" s="3">
        <f>B1288*G1288</f>
        <v>63752.200196999998</v>
      </c>
      <c r="I1288" s="3">
        <f>C1288*G1288</f>
        <v>63763.689149999998</v>
      </c>
    </row>
    <row r="1289" spans="1:9" x14ac:dyDescent="0.25">
      <c r="A1289" t="s">
        <v>12</v>
      </c>
      <c r="B1289" s="1">
        <v>49.47</v>
      </c>
      <c r="C1289" s="1">
        <v>49.48</v>
      </c>
      <c r="D1289" s="2" t="s">
        <v>165</v>
      </c>
      <c r="E1289" s="8">
        <v>1288.9085</v>
      </c>
      <c r="F1289" s="8">
        <f>F1279</f>
        <v>0</v>
      </c>
      <c r="G1289" s="8">
        <f>E1289+F1289</f>
        <v>1288.9085</v>
      </c>
      <c r="H1289" s="3">
        <f>B1289*G1289</f>
        <v>63762.303495</v>
      </c>
      <c r="I1289" s="3">
        <f>C1289*G1289</f>
        <v>63775.192579999995</v>
      </c>
    </row>
    <row r="1290" spans="1:9" x14ac:dyDescent="0.25">
      <c r="A1290" t="s">
        <v>13</v>
      </c>
      <c r="B1290" s="1">
        <v>18.03</v>
      </c>
      <c r="C1290" s="1">
        <v>18.04</v>
      </c>
      <c r="D1290" s="2" t="s">
        <v>165</v>
      </c>
      <c r="E1290" s="8">
        <v>3535.8029000000001</v>
      </c>
      <c r="F1290" s="8">
        <f>F1280</f>
        <v>0</v>
      </c>
      <c r="G1290" s="8">
        <f>E1290+F1290</f>
        <v>3535.8029000000001</v>
      </c>
      <c r="H1290" s="3">
        <f>B1290*G1290</f>
        <v>63750.526287000008</v>
      </c>
      <c r="I1290" s="3">
        <f>C1290*G1290</f>
        <v>63785.884315999996</v>
      </c>
    </row>
    <row r="1291" spans="1:9" x14ac:dyDescent="0.25">
      <c r="A1291" t="s">
        <v>14</v>
      </c>
      <c r="B1291" s="1">
        <v>36.119999999999997</v>
      </c>
      <c r="C1291" s="1">
        <v>36.130000000000003</v>
      </c>
      <c r="D1291" s="2" t="s">
        <v>165</v>
      </c>
      <c r="E1291" s="8">
        <v>1765.0472</v>
      </c>
      <c r="F1291" s="8">
        <f>F1281</f>
        <v>0.2</v>
      </c>
      <c r="G1291" s="8">
        <f>E1291+F1291</f>
        <v>1765.2472</v>
      </c>
      <c r="H1291" s="3">
        <f>B1291*G1291</f>
        <v>63760.728863999997</v>
      </c>
      <c r="I1291" s="3">
        <f>C1291*G1291</f>
        <v>63778.381336000006</v>
      </c>
    </row>
    <row r="1292" spans="1:9" x14ac:dyDescent="0.25">
      <c r="A1292" t="s">
        <v>4</v>
      </c>
      <c r="B1292" s="1">
        <v>21.08</v>
      </c>
      <c r="C1292" s="1">
        <v>21.09</v>
      </c>
      <c r="D1292" s="2" t="s">
        <v>166</v>
      </c>
      <c r="E1292" s="8">
        <v>3014.9315000000001</v>
      </c>
      <c r="F1292" s="8">
        <f>F1282</f>
        <v>0</v>
      </c>
      <c r="G1292" s="8">
        <f>E1292+F1292</f>
        <v>3014.9315000000001</v>
      </c>
      <c r="H1292" s="3">
        <f>B1292*G1292</f>
        <v>63554.756020000001</v>
      </c>
      <c r="I1292" s="3">
        <f>C1292*G1292</f>
        <v>63584.905335000003</v>
      </c>
    </row>
    <row r="1293" spans="1:9" x14ac:dyDescent="0.25">
      <c r="A1293" t="s">
        <v>6</v>
      </c>
      <c r="B1293" s="1">
        <v>34.51</v>
      </c>
      <c r="C1293" s="1">
        <v>34.51</v>
      </c>
      <c r="D1293" s="2" t="s">
        <v>166</v>
      </c>
      <c r="E1293" s="8">
        <v>1842.1104</v>
      </c>
      <c r="F1293" s="8">
        <f>F1283</f>
        <v>-0.1</v>
      </c>
      <c r="G1293" s="8">
        <f>E1293+F1293</f>
        <v>1842.0104000000001</v>
      </c>
      <c r="H1293" s="3">
        <f>B1293*G1293</f>
        <v>63567.778903999999</v>
      </c>
      <c r="I1293" s="3">
        <f>C1293*G1293</f>
        <v>63567.778903999999</v>
      </c>
    </row>
    <row r="1294" spans="1:9" x14ac:dyDescent="0.25">
      <c r="A1294" t="s">
        <v>7</v>
      </c>
      <c r="B1294" s="1">
        <v>17.920000000000002</v>
      </c>
      <c r="C1294" s="1">
        <v>17.93</v>
      </c>
      <c r="D1294" s="2" t="s">
        <v>166</v>
      </c>
      <c r="E1294" s="8">
        <v>3546.5621999999998</v>
      </c>
      <c r="F1294" s="8">
        <f>F1284</f>
        <v>0</v>
      </c>
      <c r="G1294" s="8">
        <f>E1294+F1294</f>
        <v>3546.5621999999998</v>
      </c>
      <c r="H1294" s="3">
        <f>B1294*G1294</f>
        <v>63554.394624</v>
      </c>
      <c r="I1294" s="3">
        <f>C1294*G1294</f>
        <v>63589.860245999997</v>
      </c>
    </row>
    <row r="1295" spans="1:9" x14ac:dyDescent="0.25">
      <c r="A1295" t="s">
        <v>8</v>
      </c>
      <c r="B1295" s="1">
        <v>28.11</v>
      </c>
      <c r="C1295" s="1">
        <v>28.12</v>
      </c>
      <c r="D1295" s="2" t="s">
        <v>166</v>
      </c>
      <c r="E1295" s="8">
        <v>2261.3323</v>
      </c>
      <c r="F1295" s="8">
        <f>F1285</f>
        <v>-0.2</v>
      </c>
      <c r="G1295" s="8">
        <f>E1295+F1295</f>
        <v>2261.1323000000002</v>
      </c>
      <c r="H1295" s="3">
        <f>B1295*G1295</f>
        <v>63560.428953000002</v>
      </c>
      <c r="I1295" s="3">
        <f>C1295*G1295</f>
        <v>63583.040276000007</v>
      </c>
    </row>
    <row r="1296" spans="1:9" x14ac:dyDescent="0.25">
      <c r="A1296" t="s">
        <v>9</v>
      </c>
      <c r="B1296" s="1">
        <v>67.13</v>
      </c>
      <c r="C1296" s="1">
        <v>67.239999999999995</v>
      </c>
      <c r="D1296" s="2" t="s">
        <v>166</v>
      </c>
      <c r="E1296" s="8">
        <v>946.12990000000002</v>
      </c>
      <c r="F1296" s="8">
        <f>F1286</f>
        <v>0</v>
      </c>
      <c r="G1296" s="8">
        <f>E1296+F1296</f>
        <v>946.12990000000002</v>
      </c>
      <c r="H1296" s="3">
        <f>B1296*G1296</f>
        <v>63513.700186999995</v>
      </c>
      <c r="I1296" s="3">
        <f>C1296*G1296</f>
        <v>63617.774475999999</v>
      </c>
    </row>
    <row r="1297" spans="1:9" x14ac:dyDescent="0.25">
      <c r="A1297" t="s">
        <v>10</v>
      </c>
      <c r="B1297" s="1">
        <v>36.729999999999997</v>
      </c>
      <c r="C1297" s="1">
        <v>36.75</v>
      </c>
      <c r="D1297" s="2" t="s">
        <v>166</v>
      </c>
      <c r="E1297" s="8">
        <v>1730.1088000000002</v>
      </c>
      <c r="F1297" s="8">
        <f>F1287</f>
        <v>0.2</v>
      </c>
      <c r="G1297" s="8">
        <f>E1297+F1297</f>
        <v>1730.3088000000002</v>
      </c>
      <c r="H1297" s="3">
        <f>B1297*G1297</f>
        <v>63554.242224000001</v>
      </c>
      <c r="I1297" s="3">
        <f>C1297*G1297</f>
        <v>63588.84840000001</v>
      </c>
    </row>
    <row r="1298" spans="1:9" x14ac:dyDescent="0.25">
      <c r="A1298" t="s">
        <v>11</v>
      </c>
      <c r="B1298" s="1">
        <v>55.31</v>
      </c>
      <c r="C1298" s="1">
        <v>55.32</v>
      </c>
      <c r="D1298" s="2" t="s">
        <v>166</v>
      </c>
      <c r="E1298" s="8">
        <v>1148.8453</v>
      </c>
      <c r="F1298" s="8">
        <f>F1288</f>
        <v>0.05</v>
      </c>
      <c r="G1298" s="8">
        <f>E1298+F1298</f>
        <v>1148.8952999999999</v>
      </c>
      <c r="H1298" s="3">
        <f>B1298*G1298</f>
        <v>63545.399042999998</v>
      </c>
      <c r="I1298" s="3">
        <f>C1298*G1298</f>
        <v>63556.887995999998</v>
      </c>
    </row>
    <row r="1299" spans="1:9" x14ac:dyDescent="0.25">
      <c r="A1299" t="s">
        <v>12</v>
      </c>
      <c r="B1299" s="1">
        <v>49.32</v>
      </c>
      <c r="C1299" s="1">
        <v>49.33</v>
      </c>
      <c r="D1299" s="2" t="s">
        <v>166</v>
      </c>
      <c r="E1299" s="8">
        <v>1288.9085</v>
      </c>
      <c r="F1299" s="8">
        <f>F1289</f>
        <v>0</v>
      </c>
      <c r="G1299" s="8">
        <f>E1299+F1299</f>
        <v>1288.9085</v>
      </c>
      <c r="H1299" s="3">
        <f>B1299*G1299</f>
        <v>63568.967219999999</v>
      </c>
      <c r="I1299" s="3">
        <f>C1299*G1299</f>
        <v>63581.856305000001</v>
      </c>
    </row>
    <row r="1300" spans="1:9" x14ac:dyDescent="0.25">
      <c r="A1300" t="s">
        <v>13</v>
      </c>
      <c r="B1300" s="1">
        <v>17.97</v>
      </c>
      <c r="C1300" s="1">
        <v>17.98</v>
      </c>
      <c r="D1300" s="2" t="s">
        <v>166</v>
      </c>
      <c r="E1300" s="8">
        <v>3535.8029000000001</v>
      </c>
      <c r="F1300" s="8">
        <f>F1290</f>
        <v>0</v>
      </c>
      <c r="G1300" s="8">
        <f>E1300+F1300</f>
        <v>3535.8029000000001</v>
      </c>
      <c r="H1300" s="3">
        <f>B1300*G1300</f>
        <v>63538.378112999999</v>
      </c>
      <c r="I1300" s="3">
        <f>C1300*G1300</f>
        <v>63573.736142000002</v>
      </c>
    </row>
    <row r="1301" spans="1:9" x14ac:dyDescent="0.25">
      <c r="A1301" t="s">
        <v>14</v>
      </c>
      <c r="B1301" s="1">
        <v>36</v>
      </c>
      <c r="C1301" s="1">
        <v>36.01</v>
      </c>
      <c r="D1301" s="2" t="s">
        <v>166</v>
      </c>
      <c r="E1301" s="8">
        <v>1765.0472</v>
      </c>
      <c r="F1301" s="8">
        <f>F1291</f>
        <v>0.2</v>
      </c>
      <c r="G1301" s="8">
        <f>E1301+F1301</f>
        <v>1765.2472</v>
      </c>
      <c r="H1301" s="3">
        <f>B1301*G1301</f>
        <v>63548.8992</v>
      </c>
      <c r="I1301" s="3">
        <f>C1301*G1301</f>
        <v>63566.551671999994</v>
      </c>
    </row>
    <row r="1302" spans="1:9" x14ac:dyDescent="0.25">
      <c r="A1302" t="s">
        <v>4</v>
      </c>
      <c r="B1302" s="1">
        <v>20.99</v>
      </c>
      <c r="C1302" s="1">
        <v>21</v>
      </c>
      <c r="D1302" s="2" t="s">
        <v>167</v>
      </c>
      <c r="E1302" s="8">
        <v>3014.9315000000001</v>
      </c>
      <c r="F1302" s="8">
        <f>F1292</f>
        <v>0</v>
      </c>
      <c r="G1302" s="8">
        <f>E1302+F1302</f>
        <v>3014.9315000000001</v>
      </c>
      <c r="H1302" s="3">
        <f>B1302*G1302</f>
        <v>63283.412185000001</v>
      </c>
      <c r="I1302" s="3">
        <f>C1302*G1302</f>
        <v>63313.561500000003</v>
      </c>
    </row>
    <row r="1303" spans="1:9" x14ac:dyDescent="0.25">
      <c r="A1303" t="s">
        <v>6</v>
      </c>
      <c r="B1303" s="1">
        <v>34.369999999999997</v>
      </c>
      <c r="C1303" s="1">
        <v>34.380000000000003</v>
      </c>
      <c r="D1303" s="2" t="s">
        <v>167</v>
      </c>
      <c r="E1303" s="8">
        <v>1842.1104</v>
      </c>
      <c r="F1303" s="8">
        <f>F1293</f>
        <v>-0.1</v>
      </c>
      <c r="G1303" s="8">
        <f>E1303+F1303</f>
        <v>1842.0104000000001</v>
      </c>
      <c r="H1303" s="3">
        <f>B1303*G1303</f>
        <v>63309.897447999996</v>
      </c>
      <c r="I1303" s="3">
        <f>C1303*G1303</f>
        <v>63328.317552000008</v>
      </c>
    </row>
    <row r="1304" spans="1:9" x14ac:dyDescent="0.25">
      <c r="A1304" t="s">
        <v>7</v>
      </c>
      <c r="B1304" s="1">
        <v>17.84</v>
      </c>
      <c r="C1304" s="1">
        <v>17.850000000000001</v>
      </c>
      <c r="D1304" s="2" t="s">
        <v>167</v>
      </c>
      <c r="E1304" s="8">
        <v>3546.5621999999998</v>
      </c>
      <c r="F1304" s="8">
        <f>F1294</f>
        <v>0</v>
      </c>
      <c r="G1304" s="8">
        <f>E1304+F1304</f>
        <v>3546.5621999999998</v>
      </c>
      <c r="H1304" s="3">
        <f>B1304*G1304</f>
        <v>63270.669647999996</v>
      </c>
      <c r="I1304" s="3">
        <f>C1304*G1304</f>
        <v>63306.135269999999</v>
      </c>
    </row>
    <row r="1305" spans="1:9" x14ac:dyDescent="0.25">
      <c r="A1305" t="s">
        <v>8</v>
      </c>
      <c r="B1305" s="1">
        <v>27.99</v>
      </c>
      <c r="C1305" s="1">
        <v>28</v>
      </c>
      <c r="D1305" s="2" t="s">
        <v>167</v>
      </c>
      <c r="E1305" s="8">
        <v>2261.3323</v>
      </c>
      <c r="F1305" s="8">
        <f>F1295</f>
        <v>-0.2</v>
      </c>
      <c r="G1305" s="8">
        <f>E1305+F1305</f>
        <v>2261.1323000000002</v>
      </c>
      <c r="H1305" s="3">
        <f>B1305*G1305</f>
        <v>63289.093077000005</v>
      </c>
      <c r="I1305" s="3">
        <f>C1305*G1305</f>
        <v>63311.704400000002</v>
      </c>
    </row>
    <row r="1306" spans="1:9" x14ac:dyDescent="0.25">
      <c r="A1306" t="s">
        <v>9</v>
      </c>
      <c r="B1306" s="1">
        <v>66.89</v>
      </c>
      <c r="C1306" s="1">
        <v>66.98</v>
      </c>
      <c r="D1306" s="2" t="s">
        <v>167</v>
      </c>
      <c r="E1306" s="8">
        <v>946.12990000000002</v>
      </c>
      <c r="F1306" s="8">
        <f>F1296</f>
        <v>0</v>
      </c>
      <c r="G1306" s="8">
        <f>E1306+F1306</f>
        <v>946.12990000000002</v>
      </c>
      <c r="H1306" s="3">
        <f>B1306*G1306</f>
        <v>63286.629011000005</v>
      </c>
      <c r="I1306" s="3">
        <f>C1306*G1306</f>
        <v>63371.780702000004</v>
      </c>
    </row>
    <row r="1307" spans="1:9" x14ac:dyDescent="0.25">
      <c r="A1307" t="s">
        <v>10</v>
      </c>
      <c r="B1307" s="1">
        <v>36.57</v>
      </c>
      <c r="C1307" s="1">
        <v>36.61</v>
      </c>
      <c r="D1307" s="2" t="s">
        <v>167</v>
      </c>
      <c r="E1307" s="8">
        <v>1730.1088000000002</v>
      </c>
      <c r="F1307" s="8">
        <f>F1297</f>
        <v>0.2</v>
      </c>
      <c r="G1307" s="8">
        <f>E1307+F1307</f>
        <v>1730.3088000000002</v>
      </c>
      <c r="H1307" s="3">
        <f>B1307*G1307</f>
        <v>63277.392816000007</v>
      </c>
      <c r="I1307" s="3">
        <f>C1307*G1307</f>
        <v>63346.605168000009</v>
      </c>
    </row>
    <row r="1308" spans="1:9" x14ac:dyDescent="0.25">
      <c r="A1308" t="s">
        <v>11</v>
      </c>
      <c r="B1308" s="1">
        <v>55.09</v>
      </c>
      <c r="C1308" s="1">
        <v>55.1</v>
      </c>
      <c r="D1308" s="2" t="s">
        <v>167</v>
      </c>
      <c r="E1308" s="8">
        <v>1148.8453</v>
      </c>
      <c r="F1308" s="8">
        <f>F1298</f>
        <v>0.05</v>
      </c>
      <c r="G1308" s="8">
        <f>E1308+F1308</f>
        <v>1148.8952999999999</v>
      </c>
      <c r="H1308" s="3">
        <f>B1308*G1308</f>
        <v>63292.642076999997</v>
      </c>
      <c r="I1308" s="3">
        <f>C1308*G1308</f>
        <v>63304.131029999997</v>
      </c>
    </row>
    <row r="1309" spans="1:9" x14ac:dyDescent="0.25">
      <c r="A1309" t="s">
        <v>12</v>
      </c>
      <c r="B1309" s="1">
        <v>49.12</v>
      </c>
      <c r="C1309" s="1">
        <v>49.13</v>
      </c>
      <c r="D1309" s="2" t="s">
        <v>167</v>
      </c>
      <c r="E1309" s="8">
        <v>1288.9085</v>
      </c>
      <c r="F1309" s="8">
        <f>F1299</f>
        <v>0</v>
      </c>
      <c r="G1309" s="8">
        <f>E1309+F1309</f>
        <v>1288.9085</v>
      </c>
      <c r="H1309" s="3">
        <f>B1309*G1309</f>
        <v>63311.185519999999</v>
      </c>
      <c r="I1309" s="3">
        <f>C1309*G1309</f>
        <v>63324.074605000002</v>
      </c>
    </row>
    <row r="1310" spans="1:9" x14ac:dyDescent="0.25">
      <c r="A1310" t="s">
        <v>13</v>
      </c>
      <c r="B1310" s="1">
        <v>17.899999999999999</v>
      </c>
      <c r="C1310" s="1">
        <v>17.91</v>
      </c>
      <c r="D1310" s="2" t="s">
        <v>167</v>
      </c>
      <c r="E1310" s="8">
        <v>3535.8029000000001</v>
      </c>
      <c r="F1310" s="8">
        <f>F1300</f>
        <v>0</v>
      </c>
      <c r="G1310" s="8">
        <f>E1310+F1310</f>
        <v>3535.8029000000001</v>
      </c>
      <c r="H1310" s="3">
        <f>B1310*G1310</f>
        <v>63290.871909999994</v>
      </c>
      <c r="I1310" s="3">
        <f>C1310*G1310</f>
        <v>63326.229939000004</v>
      </c>
    </row>
    <row r="1311" spans="1:9" x14ac:dyDescent="0.25">
      <c r="A1311" t="s">
        <v>14</v>
      </c>
      <c r="B1311" s="1">
        <v>35.85</v>
      </c>
      <c r="C1311" s="1">
        <v>35.86</v>
      </c>
      <c r="D1311" s="2" t="s">
        <v>167</v>
      </c>
      <c r="E1311" s="8">
        <v>1765.0472</v>
      </c>
      <c r="F1311" s="8">
        <f>F1301</f>
        <v>0.2</v>
      </c>
      <c r="G1311" s="8">
        <f>E1311+F1311</f>
        <v>1765.2472</v>
      </c>
      <c r="H1311" s="3">
        <f>B1311*G1311</f>
        <v>63284.112120000005</v>
      </c>
      <c r="I1311" s="3">
        <f>C1311*G1311</f>
        <v>63301.764592</v>
      </c>
    </row>
    <row r="1312" spans="1:9" x14ac:dyDescent="0.25">
      <c r="A1312" t="s">
        <v>4</v>
      </c>
      <c r="B1312" s="1">
        <v>20.92</v>
      </c>
      <c r="C1312" s="1">
        <v>20.93</v>
      </c>
      <c r="D1312" s="2" t="s">
        <v>168</v>
      </c>
      <c r="E1312" s="8">
        <v>3014.9315000000001</v>
      </c>
      <c r="F1312" s="8">
        <f>F1302</f>
        <v>0</v>
      </c>
      <c r="G1312" s="8">
        <f>E1312+F1312</f>
        <v>3014.9315000000001</v>
      </c>
      <c r="H1312" s="3">
        <f>B1312*G1312</f>
        <v>63072.366980000006</v>
      </c>
      <c r="I1312" s="3">
        <f>C1312*G1312</f>
        <v>63102.516295000001</v>
      </c>
    </row>
    <row r="1313" spans="1:9" x14ac:dyDescent="0.25">
      <c r="A1313" t="s">
        <v>6</v>
      </c>
      <c r="B1313" s="1">
        <v>34.24</v>
      </c>
      <c r="C1313" s="1">
        <v>34.25</v>
      </c>
      <c r="D1313" s="2" t="s">
        <v>168</v>
      </c>
      <c r="E1313" s="8">
        <v>1842.1104</v>
      </c>
      <c r="F1313" s="8">
        <f>F1303</f>
        <v>-0.1</v>
      </c>
      <c r="G1313" s="8">
        <f>E1313+F1313</f>
        <v>1842.0104000000001</v>
      </c>
      <c r="H1313" s="3">
        <f>B1313*G1313</f>
        <v>63070.436096000005</v>
      </c>
      <c r="I1313" s="3">
        <f>C1313*G1313</f>
        <v>63088.856200000002</v>
      </c>
    </row>
    <row r="1314" spans="1:9" x14ac:dyDescent="0.25">
      <c r="A1314" t="s">
        <v>7</v>
      </c>
      <c r="B1314" s="1">
        <v>17.78</v>
      </c>
      <c r="C1314" s="1">
        <v>17.79</v>
      </c>
      <c r="D1314" s="2" t="s">
        <v>168</v>
      </c>
      <c r="E1314" s="8">
        <v>3546.5621999999998</v>
      </c>
      <c r="F1314" s="8">
        <f>F1304</f>
        <v>0</v>
      </c>
      <c r="G1314" s="8">
        <f>E1314+F1314</f>
        <v>3546.5621999999998</v>
      </c>
      <c r="H1314" s="3">
        <f>B1314*G1314</f>
        <v>63057.875916000005</v>
      </c>
      <c r="I1314" s="3">
        <f>C1314*G1314</f>
        <v>63093.341537999993</v>
      </c>
    </row>
    <row r="1315" spans="1:9" x14ac:dyDescent="0.25">
      <c r="A1315" t="s">
        <v>8</v>
      </c>
      <c r="B1315" s="1">
        <v>27.9</v>
      </c>
      <c r="C1315" s="1">
        <v>27.91</v>
      </c>
      <c r="D1315" s="2" t="s">
        <v>168</v>
      </c>
      <c r="E1315" s="8">
        <v>2261.3323</v>
      </c>
      <c r="F1315" s="8">
        <f>F1305</f>
        <v>-0.2</v>
      </c>
      <c r="G1315" s="8">
        <f>E1315+F1315</f>
        <v>2261.1323000000002</v>
      </c>
      <c r="H1315" s="3">
        <f>B1315*G1315</f>
        <v>63085.59117</v>
      </c>
      <c r="I1315" s="3">
        <f>C1315*G1315</f>
        <v>63108.202493000004</v>
      </c>
    </row>
    <row r="1316" spans="1:9" x14ac:dyDescent="0.25">
      <c r="A1316" t="s">
        <v>9</v>
      </c>
      <c r="B1316" s="1">
        <v>66.66</v>
      </c>
      <c r="C1316" s="1">
        <v>66.73</v>
      </c>
      <c r="D1316" s="2" t="s">
        <v>168</v>
      </c>
      <c r="E1316" s="8">
        <v>946.12990000000002</v>
      </c>
      <c r="F1316" s="8">
        <f>F1306</f>
        <v>0</v>
      </c>
      <c r="G1316" s="8">
        <f>E1316+F1316</f>
        <v>946.12990000000002</v>
      </c>
      <c r="H1316" s="3">
        <f>B1316*G1316</f>
        <v>63069.019133999995</v>
      </c>
      <c r="I1316" s="3">
        <f>C1316*G1316</f>
        <v>63135.248227000004</v>
      </c>
    </row>
    <row r="1317" spans="1:9" x14ac:dyDescent="0.25">
      <c r="A1317" t="s">
        <v>10</v>
      </c>
      <c r="B1317" s="1">
        <v>36.450000000000003</v>
      </c>
      <c r="C1317" s="1">
        <v>36.479999999999997</v>
      </c>
      <c r="D1317" s="2" t="s">
        <v>168</v>
      </c>
      <c r="E1317" s="8">
        <v>1730.1088000000002</v>
      </c>
      <c r="F1317" s="8">
        <f>F1307</f>
        <v>0.2</v>
      </c>
      <c r="G1317" s="8">
        <f>E1317+F1317</f>
        <v>1730.3088000000002</v>
      </c>
      <c r="H1317" s="3">
        <f>B1317*G1317</f>
        <v>63069.755760000015</v>
      </c>
      <c r="I1317" s="3">
        <f>C1317*G1317</f>
        <v>63121.665024000002</v>
      </c>
    </row>
    <row r="1318" spans="1:9" x14ac:dyDescent="0.25">
      <c r="A1318" t="s">
        <v>11</v>
      </c>
      <c r="B1318" s="1">
        <v>54.9</v>
      </c>
      <c r="C1318" s="1">
        <v>54.91</v>
      </c>
      <c r="D1318" s="2" t="s">
        <v>168</v>
      </c>
      <c r="E1318" s="8">
        <v>1148.8453</v>
      </c>
      <c r="F1318" s="8">
        <f>F1308</f>
        <v>0.05</v>
      </c>
      <c r="G1318" s="8">
        <f>E1318+F1318</f>
        <v>1148.8952999999999</v>
      </c>
      <c r="H1318" s="3">
        <f>B1318*G1318</f>
        <v>63074.351969999996</v>
      </c>
      <c r="I1318" s="3">
        <f>C1318*G1318</f>
        <v>63085.840922999989</v>
      </c>
    </row>
    <row r="1319" spans="1:9" x14ac:dyDescent="0.25">
      <c r="A1319" t="s">
        <v>12</v>
      </c>
      <c r="B1319" s="1">
        <v>48.95</v>
      </c>
      <c r="C1319" s="1">
        <v>48.96</v>
      </c>
      <c r="D1319" s="2" t="s">
        <v>168</v>
      </c>
      <c r="E1319" s="8">
        <v>1288.9085</v>
      </c>
      <c r="F1319" s="8">
        <f>F1309</f>
        <v>0</v>
      </c>
      <c r="G1319" s="8">
        <f>E1319+F1319</f>
        <v>1288.9085</v>
      </c>
      <c r="H1319" s="3">
        <f>B1319*G1319</f>
        <v>63092.071075000007</v>
      </c>
      <c r="I1319" s="3">
        <f>C1319*G1319</f>
        <v>63104.960160000002</v>
      </c>
    </row>
    <row r="1320" spans="1:9" x14ac:dyDescent="0.25">
      <c r="A1320" t="s">
        <v>13</v>
      </c>
      <c r="B1320" s="1">
        <v>17.84</v>
      </c>
      <c r="C1320" s="1">
        <v>17.850000000000001</v>
      </c>
      <c r="D1320" s="2" t="s">
        <v>168</v>
      </c>
      <c r="E1320" s="8">
        <v>3535.8029000000001</v>
      </c>
      <c r="F1320" s="8">
        <f>F1310</f>
        <v>0</v>
      </c>
      <c r="G1320" s="8">
        <f>E1320+F1320</f>
        <v>3535.8029000000001</v>
      </c>
      <c r="H1320" s="3">
        <f>B1320*G1320</f>
        <v>63078.723736</v>
      </c>
      <c r="I1320" s="3">
        <f>C1320*G1320</f>
        <v>63114.08176500001</v>
      </c>
    </row>
    <row r="1321" spans="1:9" x14ac:dyDescent="0.25">
      <c r="A1321" t="s">
        <v>14</v>
      </c>
      <c r="B1321" s="1">
        <v>35.729999999999997</v>
      </c>
      <c r="C1321" s="1">
        <v>35.74</v>
      </c>
      <c r="D1321" s="2" t="s">
        <v>168</v>
      </c>
      <c r="E1321" s="8">
        <v>1765.0472</v>
      </c>
      <c r="F1321" s="8">
        <f>F1311</f>
        <v>0.2</v>
      </c>
      <c r="G1321" s="8">
        <f>E1321+F1321</f>
        <v>1765.2472</v>
      </c>
      <c r="H1321" s="3">
        <f>B1321*G1321</f>
        <v>63072.282455999994</v>
      </c>
      <c r="I1321" s="3">
        <f>C1321*G1321</f>
        <v>63089.934928000002</v>
      </c>
    </row>
    <row r="1322" spans="1:9" x14ac:dyDescent="0.25">
      <c r="A1322" t="s">
        <v>4</v>
      </c>
      <c r="B1322" s="1">
        <v>20.74</v>
      </c>
      <c r="C1322" s="1">
        <v>20.75</v>
      </c>
      <c r="D1322" s="2" t="s">
        <v>169</v>
      </c>
      <c r="E1322" s="8">
        <v>3014.9315000000001</v>
      </c>
      <c r="F1322" s="8">
        <f>F1312</f>
        <v>0</v>
      </c>
      <c r="G1322" s="8">
        <f>E1322+F1322</f>
        <v>3014.9315000000001</v>
      </c>
      <c r="H1322" s="3">
        <f>B1322*G1322</f>
        <v>62529.67931</v>
      </c>
      <c r="I1322" s="3">
        <f>C1322*G1322</f>
        <v>62559.828625000002</v>
      </c>
    </row>
    <row r="1323" spans="1:9" x14ac:dyDescent="0.25">
      <c r="A1323" t="s">
        <v>6</v>
      </c>
      <c r="B1323" s="1">
        <v>33.94</v>
      </c>
      <c r="C1323" s="1">
        <v>33.950000000000003</v>
      </c>
      <c r="D1323" s="2" t="s">
        <v>169</v>
      </c>
      <c r="E1323" s="8">
        <v>1842.1104</v>
      </c>
      <c r="F1323" s="8">
        <f>F1313</f>
        <v>-0.1</v>
      </c>
      <c r="G1323" s="8">
        <f>E1323+F1323</f>
        <v>1842.0104000000001</v>
      </c>
      <c r="H1323" s="3">
        <f>B1323*G1323</f>
        <v>62517.832975999998</v>
      </c>
      <c r="I1323" s="3">
        <f>C1323*G1323</f>
        <v>62536.25308000001</v>
      </c>
    </row>
    <row r="1324" spans="1:9" x14ac:dyDescent="0.25">
      <c r="A1324" t="s">
        <v>7</v>
      </c>
      <c r="B1324" s="1">
        <v>17.62</v>
      </c>
      <c r="C1324" s="1">
        <v>17.63</v>
      </c>
      <c r="D1324" s="2" t="s">
        <v>169</v>
      </c>
      <c r="E1324" s="8">
        <v>3546.5621999999998</v>
      </c>
      <c r="F1324" s="8">
        <f>F1314</f>
        <v>0</v>
      </c>
      <c r="G1324" s="8">
        <f>E1324+F1324</f>
        <v>3546.5621999999998</v>
      </c>
      <c r="H1324" s="3">
        <f>B1324*G1324</f>
        <v>62490.425964000002</v>
      </c>
      <c r="I1324" s="3">
        <f>C1324*G1324</f>
        <v>62525.891585999991</v>
      </c>
    </row>
    <row r="1325" spans="1:9" x14ac:dyDescent="0.25">
      <c r="A1325" t="s">
        <v>8</v>
      </c>
      <c r="B1325" s="1">
        <v>27.65</v>
      </c>
      <c r="C1325" s="1">
        <v>27.66</v>
      </c>
      <c r="D1325" s="2" t="s">
        <v>169</v>
      </c>
      <c r="E1325" s="8">
        <v>2261.3323</v>
      </c>
      <c r="F1325" s="8">
        <f>F1315</f>
        <v>-0.2</v>
      </c>
      <c r="G1325" s="8">
        <f>E1325+F1325</f>
        <v>2261.1323000000002</v>
      </c>
      <c r="H1325" s="3">
        <f>B1325*G1325</f>
        <v>62520.308095</v>
      </c>
      <c r="I1325" s="3">
        <f>C1325*G1325</f>
        <v>62542.919418000005</v>
      </c>
    </row>
    <row r="1326" spans="1:9" x14ac:dyDescent="0.25">
      <c r="A1326" t="s">
        <v>9</v>
      </c>
      <c r="B1326" s="1">
        <v>66.06</v>
      </c>
      <c r="C1326" s="1">
        <v>66.16</v>
      </c>
      <c r="D1326" s="2" t="s">
        <v>169</v>
      </c>
      <c r="E1326" s="8">
        <v>946.12990000000002</v>
      </c>
      <c r="F1326" s="8">
        <f>F1316</f>
        <v>0</v>
      </c>
      <c r="G1326" s="8">
        <f>E1326+F1326</f>
        <v>946.12990000000002</v>
      </c>
      <c r="H1326" s="3">
        <f>B1326*G1326</f>
        <v>62501.341194000001</v>
      </c>
      <c r="I1326" s="3">
        <f>C1326*G1326</f>
        <v>62595.954183999995</v>
      </c>
    </row>
    <row r="1327" spans="1:9" x14ac:dyDescent="0.25">
      <c r="A1327" t="s">
        <v>10</v>
      </c>
      <c r="B1327" s="1">
        <v>36.130000000000003</v>
      </c>
      <c r="C1327" s="1">
        <v>36.17</v>
      </c>
      <c r="D1327" s="2" t="s">
        <v>169</v>
      </c>
      <c r="E1327" s="8">
        <v>1730.1088000000002</v>
      </c>
      <c r="F1327" s="8">
        <f>F1317</f>
        <v>0.2</v>
      </c>
      <c r="G1327" s="8">
        <f>E1327+F1327</f>
        <v>1730.3088000000002</v>
      </c>
      <c r="H1327" s="3">
        <f>B1327*G1327</f>
        <v>62516.056944000011</v>
      </c>
      <c r="I1327" s="3">
        <f>C1327*G1327</f>
        <v>62585.269296000013</v>
      </c>
    </row>
    <row r="1328" spans="1:9" x14ac:dyDescent="0.25">
      <c r="A1328" t="s">
        <v>11</v>
      </c>
      <c r="B1328" s="1">
        <v>54.41</v>
      </c>
      <c r="C1328" s="1">
        <v>54.43</v>
      </c>
      <c r="D1328" s="2" t="s">
        <v>169</v>
      </c>
      <c r="E1328" s="8">
        <v>1148.8453</v>
      </c>
      <c r="F1328" s="8">
        <f>F1318</f>
        <v>0.05</v>
      </c>
      <c r="G1328" s="8">
        <f>E1328+F1328</f>
        <v>1148.8952999999999</v>
      </c>
      <c r="H1328" s="3">
        <f>B1328*G1328</f>
        <v>62511.393272999994</v>
      </c>
      <c r="I1328" s="3">
        <f>C1328*G1328</f>
        <v>62534.371178999994</v>
      </c>
    </row>
    <row r="1329" spans="1:9" x14ac:dyDescent="0.25">
      <c r="A1329" t="s">
        <v>12</v>
      </c>
      <c r="B1329" s="1">
        <v>48.53</v>
      </c>
      <c r="C1329" s="1">
        <v>48.54</v>
      </c>
      <c r="D1329" s="2" t="s">
        <v>169</v>
      </c>
      <c r="E1329" s="8">
        <v>1288.9085</v>
      </c>
      <c r="F1329" s="8">
        <f>F1319</f>
        <v>0</v>
      </c>
      <c r="G1329" s="8">
        <f>E1329+F1329</f>
        <v>1288.9085</v>
      </c>
      <c r="H1329" s="3">
        <f>B1329*G1329</f>
        <v>62550.729505000003</v>
      </c>
      <c r="I1329" s="3">
        <f>C1329*G1329</f>
        <v>62563.618589999998</v>
      </c>
    </row>
    <row r="1330" spans="1:9" x14ac:dyDescent="0.25">
      <c r="A1330" t="s">
        <v>13</v>
      </c>
      <c r="B1330" s="1">
        <v>17.68</v>
      </c>
      <c r="C1330" s="1">
        <v>17.690000000000001</v>
      </c>
      <c r="D1330" s="2" t="s">
        <v>169</v>
      </c>
      <c r="E1330" s="8">
        <v>3535.8029000000001</v>
      </c>
      <c r="F1330" s="8">
        <f>F1320</f>
        <v>0</v>
      </c>
      <c r="G1330" s="8">
        <f>E1330+F1330</f>
        <v>3535.8029000000001</v>
      </c>
      <c r="H1330" s="3">
        <f>B1330*G1330</f>
        <v>62512.995272</v>
      </c>
      <c r="I1330" s="3">
        <f>C1330*G1330</f>
        <v>62548.35330100001</v>
      </c>
    </row>
    <row r="1331" spans="1:9" x14ac:dyDescent="0.25">
      <c r="A1331" t="s">
        <v>14</v>
      </c>
      <c r="B1331" s="1">
        <v>35.42</v>
      </c>
      <c r="C1331" s="1">
        <v>35.43</v>
      </c>
      <c r="D1331" s="2" t="s">
        <v>169</v>
      </c>
      <c r="E1331" s="8">
        <v>1765.0472</v>
      </c>
      <c r="F1331" s="8">
        <f>F1321</f>
        <v>0.2</v>
      </c>
      <c r="G1331" s="8">
        <f>E1331+F1331</f>
        <v>1765.2472</v>
      </c>
      <c r="H1331" s="3">
        <f>B1331*G1331</f>
        <v>62525.055824000003</v>
      </c>
      <c r="I1331" s="3">
        <f>C1331*G1331</f>
        <v>62542.708295999997</v>
      </c>
    </row>
    <row r="1332" spans="1:9" x14ac:dyDescent="0.25">
      <c r="A1332" t="s">
        <v>4</v>
      </c>
      <c r="B1332" s="1">
        <v>20.75</v>
      </c>
      <c r="C1332" s="1">
        <v>20.76</v>
      </c>
      <c r="D1332" s="2" t="s">
        <v>170</v>
      </c>
      <c r="E1332" s="8">
        <v>3014.9315000000001</v>
      </c>
      <c r="F1332" s="8">
        <f>F1322</f>
        <v>0</v>
      </c>
      <c r="G1332" s="8">
        <f>E1332+F1332</f>
        <v>3014.9315000000001</v>
      </c>
      <c r="H1332" s="3">
        <f>B1332*G1332</f>
        <v>62559.828625000002</v>
      </c>
      <c r="I1332" s="3">
        <f>C1332*G1332</f>
        <v>62589.977940000004</v>
      </c>
    </row>
    <row r="1333" spans="1:9" x14ac:dyDescent="0.25">
      <c r="A1333" t="s">
        <v>6</v>
      </c>
      <c r="B1333" s="1">
        <v>33.96</v>
      </c>
      <c r="C1333" s="1">
        <v>33.97</v>
      </c>
      <c r="D1333" s="2" t="s">
        <v>170</v>
      </c>
      <c r="E1333" s="8">
        <v>1842.1104</v>
      </c>
      <c r="F1333" s="8">
        <f>F1323</f>
        <v>-0.1</v>
      </c>
      <c r="G1333" s="8">
        <f>E1333+F1333</f>
        <v>1842.0104000000001</v>
      </c>
      <c r="H1333" s="3">
        <f>B1333*G1333</f>
        <v>62554.673184000007</v>
      </c>
      <c r="I1333" s="3">
        <f>C1333*G1333</f>
        <v>62573.093288000004</v>
      </c>
    </row>
    <row r="1334" spans="1:9" x14ac:dyDescent="0.25">
      <c r="A1334" t="s">
        <v>7</v>
      </c>
      <c r="B1334" s="1">
        <v>17.63</v>
      </c>
      <c r="C1334" s="1">
        <v>17.64</v>
      </c>
      <c r="D1334" s="2" t="s">
        <v>170</v>
      </c>
      <c r="E1334" s="8">
        <v>3546.5621999999998</v>
      </c>
      <c r="F1334" s="8">
        <f>F1324</f>
        <v>0</v>
      </c>
      <c r="G1334" s="8">
        <f>E1334+F1334</f>
        <v>3546.5621999999998</v>
      </c>
      <c r="H1334" s="3">
        <f>B1334*G1334</f>
        <v>62525.891585999991</v>
      </c>
      <c r="I1334" s="3">
        <f>C1334*G1334</f>
        <v>62561.357208000001</v>
      </c>
    </row>
    <row r="1335" spans="1:9" x14ac:dyDescent="0.25">
      <c r="A1335" t="s">
        <v>8</v>
      </c>
      <c r="B1335" s="1">
        <v>27.67</v>
      </c>
      <c r="C1335" s="1">
        <v>27.68</v>
      </c>
      <c r="D1335" s="2" t="s">
        <v>170</v>
      </c>
      <c r="E1335" s="8">
        <v>2261.3323</v>
      </c>
      <c r="F1335" s="8">
        <f>F1325</f>
        <v>-0.2</v>
      </c>
      <c r="G1335" s="8">
        <f>E1335+F1335</f>
        <v>2261.1323000000002</v>
      </c>
      <c r="H1335" s="3">
        <f>B1335*G1335</f>
        <v>62565.53074100001</v>
      </c>
      <c r="I1335" s="3">
        <f>C1335*G1335</f>
        <v>62588.142064000007</v>
      </c>
    </row>
    <row r="1336" spans="1:9" x14ac:dyDescent="0.25">
      <c r="A1336" t="s">
        <v>9</v>
      </c>
      <c r="B1336" s="1">
        <v>66.12</v>
      </c>
      <c r="C1336" s="1">
        <v>66.19</v>
      </c>
      <c r="D1336" s="2" t="s">
        <v>170</v>
      </c>
      <c r="E1336" s="8">
        <v>946.12990000000002</v>
      </c>
      <c r="F1336" s="8">
        <f>F1326</f>
        <v>0</v>
      </c>
      <c r="G1336" s="8">
        <f>E1336+F1336</f>
        <v>946.12990000000002</v>
      </c>
      <c r="H1336" s="3">
        <f>B1336*G1336</f>
        <v>62558.108988000007</v>
      </c>
      <c r="I1336" s="3">
        <f>C1336*G1336</f>
        <v>62624.338081000002</v>
      </c>
    </row>
    <row r="1337" spans="1:9" x14ac:dyDescent="0.25">
      <c r="A1337" t="s">
        <v>10</v>
      </c>
      <c r="B1337" s="1">
        <v>36.15</v>
      </c>
      <c r="C1337" s="1">
        <v>36.18</v>
      </c>
      <c r="D1337" s="2" t="s">
        <v>170</v>
      </c>
      <c r="E1337" s="8">
        <v>1730.1088000000002</v>
      </c>
      <c r="F1337" s="8">
        <f>F1327</f>
        <v>0.2</v>
      </c>
      <c r="G1337" s="8">
        <f>E1337+F1337</f>
        <v>1730.3088000000002</v>
      </c>
      <c r="H1337" s="3">
        <f>B1337*G1337</f>
        <v>62550.663120000005</v>
      </c>
      <c r="I1337" s="3">
        <f>C1337*G1337</f>
        <v>62602.572384000006</v>
      </c>
    </row>
    <row r="1338" spans="1:9" x14ac:dyDescent="0.25">
      <c r="A1338" t="s">
        <v>11</v>
      </c>
      <c r="B1338" s="1">
        <v>54.45</v>
      </c>
      <c r="C1338" s="1">
        <v>54.46</v>
      </c>
      <c r="D1338" s="2" t="s">
        <v>170</v>
      </c>
      <c r="E1338" s="8">
        <v>1148.8453</v>
      </c>
      <c r="F1338" s="8">
        <f>F1328</f>
        <v>0.05</v>
      </c>
      <c r="G1338" s="8">
        <f>E1338+F1338</f>
        <v>1148.8952999999999</v>
      </c>
      <c r="H1338" s="3">
        <f>B1338*G1338</f>
        <v>62557.349085000002</v>
      </c>
      <c r="I1338" s="3">
        <f>C1338*G1338</f>
        <v>62568.838037999994</v>
      </c>
    </row>
    <row r="1339" spans="1:9" x14ac:dyDescent="0.25">
      <c r="A1339" t="s">
        <v>12</v>
      </c>
      <c r="B1339" s="1">
        <v>48.54</v>
      </c>
      <c r="C1339" s="1">
        <v>48.55</v>
      </c>
      <c r="D1339" s="2" t="s">
        <v>170</v>
      </c>
      <c r="E1339" s="8">
        <v>1288.9085</v>
      </c>
      <c r="F1339" s="8">
        <f>F1329</f>
        <v>0</v>
      </c>
      <c r="G1339" s="8">
        <f>E1339+F1339</f>
        <v>1288.9085</v>
      </c>
      <c r="H1339" s="3">
        <f>B1339*G1339</f>
        <v>62563.618589999998</v>
      </c>
      <c r="I1339" s="3">
        <f>C1339*G1339</f>
        <v>62576.507674999993</v>
      </c>
    </row>
    <row r="1340" spans="1:9" x14ac:dyDescent="0.25">
      <c r="A1340" t="s">
        <v>13</v>
      </c>
      <c r="B1340" s="1">
        <v>17.690000000000001</v>
      </c>
      <c r="C1340" s="1">
        <v>17.7</v>
      </c>
      <c r="D1340" s="2" t="s">
        <v>170</v>
      </c>
      <c r="E1340" s="8">
        <v>3535.8029000000001</v>
      </c>
      <c r="F1340" s="8">
        <f>F1330</f>
        <v>0</v>
      </c>
      <c r="G1340" s="8">
        <f>E1340+F1340</f>
        <v>3535.8029000000001</v>
      </c>
      <c r="H1340" s="3">
        <f>B1340*G1340</f>
        <v>62548.35330100001</v>
      </c>
      <c r="I1340" s="3">
        <f>C1340*G1340</f>
        <v>62583.711329999998</v>
      </c>
    </row>
    <row r="1341" spans="1:9" x14ac:dyDescent="0.25">
      <c r="A1341" t="s">
        <v>14</v>
      </c>
      <c r="B1341" s="1">
        <v>35.44</v>
      </c>
      <c r="C1341" s="1">
        <v>35.450000000000003</v>
      </c>
      <c r="D1341" s="2" t="s">
        <v>170</v>
      </c>
      <c r="E1341" s="8">
        <v>1765.0472</v>
      </c>
      <c r="F1341" s="8">
        <f>F1331</f>
        <v>0.2</v>
      </c>
      <c r="G1341" s="8">
        <f>E1341+F1341</f>
        <v>1765.2472</v>
      </c>
      <c r="H1341" s="3">
        <f>B1341*G1341</f>
        <v>62560.360767999999</v>
      </c>
      <c r="I1341" s="3">
        <f>C1341*G1341</f>
        <v>62578.013240000007</v>
      </c>
    </row>
    <row r="1342" spans="1:9" x14ac:dyDescent="0.25">
      <c r="A1342" t="s">
        <v>4</v>
      </c>
      <c r="B1342" s="1">
        <v>20.77</v>
      </c>
      <c r="C1342" s="1">
        <v>20.78</v>
      </c>
      <c r="D1342" s="2" t="s">
        <v>171</v>
      </c>
      <c r="E1342" s="8">
        <v>3014.9315000000001</v>
      </c>
      <c r="F1342" s="8">
        <f>F1332</f>
        <v>0</v>
      </c>
      <c r="G1342" s="8">
        <f>E1342+F1342</f>
        <v>3014.9315000000001</v>
      </c>
      <c r="H1342" s="3">
        <f>B1342*G1342</f>
        <v>62620.127254999999</v>
      </c>
      <c r="I1342" s="3">
        <f>C1342*G1342</f>
        <v>62650.276570000009</v>
      </c>
    </row>
    <row r="1343" spans="1:9" x14ac:dyDescent="0.25">
      <c r="A1343" t="s">
        <v>6</v>
      </c>
      <c r="B1343" s="1">
        <v>33.99</v>
      </c>
      <c r="C1343" s="1">
        <v>34</v>
      </c>
      <c r="D1343" s="2" t="s">
        <v>171</v>
      </c>
      <c r="E1343" s="8">
        <v>1842.1104</v>
      </c>
      <c r="F1343" s="8">
        <f>F1333</f>
        <v>-0.1</v>
      </c>
      <c r="G1343" s="8">
        <f>E1343+F1343</f>
        <v>1842.0104000000001</v>
      </c>
      <c r="H1343" s="3">
        <f>B1343*G1343</f>
        <v>62609.933496000005</v>
      </c>
      <c r="I1343" s="3">
        <f>C1343*G1343</f>
        <v>62628.353600000002</v>
      </c>
    </row>
    <row r="1344" spans="1:9" x14ac:dyDescent="0.25">
      <c r="A1344" t="s">
        <v>7</v>
      </c>
      <c r="B1344" s="1">
        <v>17.649999999999999</v>
      </c>
      <c r="C1344" s="1">
        <v>17.66</v>
      </c>
      <c r="D1344" s="2" t="s">
        <v>171</v>
      </c>
      <c r="E1344" s="8">
        <v>3546.5621999999998</v>
      </c>
      <c r="F1344" s="8">
        <f>F1334</f>
        <v>0</v>
      </c>
      <c r="G1344" s="8">
        <f>E1344+F1344</f>
        <v>3546.5621999999998</v>
      </c>
      <c r="H1344" s="3">
        <f>B1344*G1344</f>
        <v>62596.82282999999</v>
      </c>
      <c r="I1344" s="3">
        <f>C1344*G1344</f>
        <v>62632.288452000001</v>
      </c>
    </row>
    <row r="1345" spans="1:9" x14ac:dyDescent="0.25">
      <c r="A1345" t="s">
        <v>8</v>
      </c>
      <c r="B1345" s="1">
        <v>27.69</v>
      </c>
      <c r="C1345" s="1">
        <v>27.7</v>
      </c>
      <c r="D1345" s="2" t="s">
        <v>171</v>
      </c>
      <c r="E1345" s="8">
        <v>2261.3323</v>
      </c>
      <c r="F1345" s="8">
        <f>F1335</f>
        <v>-0.2</v>
      </c>
      <c r="G1345" s="8">
        <f>E1345+F1345</f>
        <v>2261.1323000000002</v>
      </c>
      <c r="H1345" s="3">
        <f>B1345*G1345</f>
        <v>62610.753387000012</v>
      </c>
      <c r="I1345" s="3">
        <f>C1345*G1345</f>
        <v>62633.364710000002</v>
      </c>
    </row>
    <row r="1346" spans="1:9" x14ac:dyDescent="0.25">
      <c r="A1346" t="s">
        <v>9</v>
      </c>
      <c r="B1346" s="1">
        <v>66.17</v>
      </c>
      <c r="C1346" s="1">
        <v>66.239999999999995</v>
      </c>
      <c r="D1346" s="2" t="s">
        <v>171</v>
      </c>
      <c r="E1346" s="8">
        <v>946.12990000000002</v>
      </c>
      <c r="F1346" s="8">
        <f>F1336</f>
        <v>0</v>
      </c>
      <c r="G1346" s="8">
        <f>E1346+F1346</f>
        <v>946.12990000000002</v>
      </c>
      <c r="H1346" s="3">
        <f>B1346*G1346</f>
        <v>62605.415483000004</v>
      </c>
      <c r="I1346" s="3">
        <f>C1346*G1346</f>
        <v>62671.644575999999</v>
      </c>
    </row>
    <row r="1347" spans="1:9" x14ac:dyDescent="0.25">
      <c r="A1347" t="s">
        <v>10</v>
      </c>
      <c r="B1347" s="1">
        <v>36.18</v>
      </c>
      <c r="C1347" s="1">
        <v>36.21</v>
      </c>
      <c r="D1347" s="2" t="s">
        <v>171</v>
      </c>
      <c r="E1347" s="8">
        <v>1730.1088000000002</v>
      </c>
      <c r="F1347" s="8">
        <f>F1337</f>
        <v>0.2</v>
      </c>
      <c r="G1347" s="8">
        <f>E1347+F1347</f>
        <v>1730.3088000000002</v>
      </c>
      <c r="H1347" s="3">
        <f>B1347*G1347</f>
        <v>62602.572384000006</v>
      </c>
      <c r="I1347" s="3">
        <f>C1347*G1347</f>
        <v>62654.481648000008</v>
      </c>
    </row>
    <row r="1348" spans="1:9" x14ac:dyDescent="0.25">
      <c r="A1348" t="s">
        <v>11</v>
      </c>
      <c r="B1348" s="1">
        <v>54.49</v>
      </c>
      <c r="C1348" s="1">
        <v>54.5</v>
      </c>
      <c r="D1348" s="2" t="s">
        <v>171</v>
      </c>
      <c r="E1348" s="8">
        <v>1148.8453</v>
      </c>
      <c r="F1348" s="8">
        <f>F1338</f>
        <v>0.05</v>
      </c>
      <c r="G1348" s="8">
        <f>E1348+F1348</f>
        <v>1148.8952999999999</v>
      </c>
      <c r="H1348" s="3">
        <f>B1348*G1348</f>
        <v>62603.304896999995</v>
      </c>
      <c r="I1348" s="3">
        <f>C1348*G1348</f>
        <v>62614.793849999995</v>
      </c>
    </row>
    <row r="1349" spans="1:9" x14ac:dyDescent="0.25">
      <c r="A1349" t="s">
        <v>12</v>
      </c>
      <c r="B1349" s="1">
        <v>48.58</v>
      </c>
      <c r="C1349" s="1">
        <v>48.59</v>
      </c>
      <c r="D1349" s="2" t="s">
        <v>171</v>
      </c>
      <c r="E1349" s="8">
        <v>1288.9085</v>
      </c>
      <c r="F1349" s="8">
        <f>F1339</f>
        <v>0</v>
      </c>
      <c r="G1349" s="8">
        <f>E1349+F1349</f>
        <v>1288.9085</v>
      </c>
      <c r="H1349" s="3">
        <f>B1349*G1349</f>
        <v>62615.174930000001</v>
      </c>
      <c r="I1349" s="3">
        <f>C1349*G1349</f>
        <v>62628.064015000004</v>
      </c>
    </row>
    <row r="1350" spans="1:9" x14ac:dyDescent="0.25">
      <c r="A1350" t="s">
        <v>13</v>
      </c>
      <c r="B1350" s="1">
        <v>17.71</v>
      </c>
      <c r="C1350" s="1">
        <v>17.72</v>
      </c>
      <c r="D1350" s="2" t="s">
        <v>171</v>
      </c>
      <c r="E1350" s="8">
        <v>3535.8029000000001</v>
      </c>
      <c r="F1350" s="8">
        <f>F1340</f>
        <v>0</v>
      </c>
      <c r="G1350" s="8">
        <f>E1350+F1350</f>
        <v>3535.8029000000001</v>
      </c>
      <c r="H1350" s="3">
        <f>B1350*G1350</f>
        <v>62619.069359000008</v>
      </c>
      <c r="I1350" s="3">
        <f>C1350*G1350</f>
        <v>62654.427387999996</v>
      </c>
    </row>
    <row r="1351" spans="1:9" x14ac:dyDescent="0.25">
      <c r="A1351" t="s">
        <v>14</v>
      </c>
      <c r="B1351" s="1">
        <v>35.47</v>
      </c>
      <c r="C1351" s="1">
        <v>35.479999999999997</v>
      </c>
      <c r="D1351" s="2" t="s">
        <v>171</v>
      </c>
      <c r="E1351" s="8">
        <v>1765.0472</v>
      </c>
      <c r="F1351" s="8">
        <f>F1341</f>
        <v>0.2</v>
      </c>
      <c r="G1351" s="8">
        <f>E1351+F1351</f>
        <v>1765.2472</v>
      </c>
      <c r="H1351" s="3">
        <f>B1351*G1351</f>
        <v>62613.318183999996</v>
      </c>
      <c r="I1351" s="3">
        <f>C1351*G1351</f>
        <v>62630.970655999998</v>
      </c>
    </row>
    <row r="1352" spans="1:9" x14ac:dyDescent="0.25">
      <c r="A1352" t="s">
        <v>4</v>
      </c>
      <c r="B1352" s="1">
        <v>20.74</v>
      </c>
      <c r="C1352" s="1">
        <v>20.75</v>
      </c>
      <c r="D1352" s="2" t="s">
        <v>172</v>
      </c>
      <c r="E1352" s="8">
        <v>3014.9315000000001</v>
      </c>
      <c r="F1352" s="8">
        <f>F1342</f>
        <v>0</v>
      </c>
      <c r="G1352" s="8">
        <f>E1352+F1352</f>
        <v>3014.9315000000001</v>
      </c>
      <c r="H1352" s="3">
        <f>B1352*G1352</f>
        <v>62529.67931</v>
      </c>
      <c r="I1352" s="3">
        <f>C1352*G1352</f>
        <v>62559.828625000002</v>
      </c>
    </row>
    <row r="1353" spans="1:9" x14ac:dyDescent="0.25">
      <c r="A1353" t="s">
        <v>6</v>
      </c>
      <c r="B1353" s="1">
        <v>33.96</v>
      </c>
      <c r="C1353" s="1">
        <v>33.97</v>
      </c>
      <c r="D1353" s="2" t="s">
        <v>172</v>
      </c>
      <c r="E1353" s="8">
        <v>1842.1104</v>
      </c>
      <c r="F1353" s="8">
        <f>F1343</f>
        <v>-0.1</v>
      </c>
      <c r="G1353" s="8">
        <f>E1353+F1353</f>
        <v>1842.0104000000001</v>
      </c>
      <c r="H1353" s="3">
        <f>B1353*G1353</f>
        <v>62554.673184000007</v>
      </c>
      <c r="I1353" s="3">
        <f>C1353*G1353</f>
        <v>62573.093288000004</v>
      </c>
    </row>
    <row r="1354" spans="1:9" x14ac:dyDescent="0.25">
      <c r="A1354" t="s">
        <v>7</v>
      </c>
      <c r="B1354" s="1">
        <v>17.63</v>
      </c>
      <c r="C1354" s="1">
        <v>17.64</v>
      </c>
      <c r="D1354" s="2" t="s">
        <v>172</v>
      </c>
      <c r="E1354" s="8">
        <v>3546.5621999999998</v>
      </c>
      <c r="F1354" s="8">
        <f>F1344</f>
        <v>0</v>
      </c>
      <c r="G1354" s="8">
        <f>E1354+F1354</f>
        <v>3546.5621999999998</v>
      </c>
      <c r="H1354" s="3">
        <f>B1354*G1354</f>
        <v>62525.891585999991</v>
      </c>
      <c r="I1354" s="3">
        <f>C1354*G1354</f>
        <v>62561.357208000001</v>
      </c>
    </row>
    <row r="1355" spans="1:9" x14ac:dyDescent="0.25">
      <c r="A1355" t="s">
        <v>8</v>
      </c>
      <c r="B1355" s="1">
        <v>27.66</v>
      </c>
      <c r="C1355" s="1">
        <v>27.67</v>
      </c>
      <c r="D1355" s="2" t="s">
        <v>172</v>
      </c>
      <c r="E1355" s="8">
        <v>2261.3323</v>
      </c>
      <c r="F1355" s="8">
        <f>F1345</f>
        <v>-0.2</v>
      </c>
      <c r="G1355" s="8">
        <f>E1355+F1355</f>
        <v>2261.1323000000002</v>
      </c>
      <c r="H1355" s="3">
        <f>B1355*G1355</f>
        <v>62542.919418000005</v>
      </c>
      <c r="I1355" s="3">
        <f>C1355*G1355</f>
        <v>62565.53074100001</v>
      </c>
    </row>
    <row r="1356" spans="1:9" x14ac:dyDescent="0.25">
      <c r="A1356" t="s">
        <v>9</v>
      </c>
      <c r="B1356" s="1">
        <v>66.099999999999994</v>
      </c>
      <c r="C1356" s="1">
        <v>66.17</v>
      </c>
      <c r="D1356" s="2" t="s">
        <v>172</v>
      </c>
      <c r="E1356" s="8">
        <v>946.12990000000002</v>
      </c>
      <c r="F1356" s="8">
        <f>F1346</f>
        <v>0</v>
      </c>
      <c r="G1356" s="8">
        <f>E1356+F1356</f>
        <v>946.12990000000002</v>
      </c>
      <c r="H1356" s="3">
        <f>B1356*G1356</f>
        <v>62539.186389999995</v>
      </c>
      <c r="I1356" s="3">
        <f>C1356*G1356</f>
        <v>62605.415483000004</v>
      </c>
    </row>
    <row r="1357" spans="1:9" x14ac:dyDescent="0.25">
      <c r="A1357" t="s">
        <v>10</v>
      </c>
      <c r="B1357" s="1">
        <v>36.15</v>
      </c>
      <c r="C1357" s="1">
        <v>36.17</v>
      </c>
      <c r="D1357" s="2" t="s">
        <v>172</v>
      </c>
      <c r="E1357" s="8">
        <v>1730.1088000000002</v>
      </c>
      <c r="F1357" s="8">
        <f>F1347</f>
        <v>0.2</v>
      </c>
      <c r="G1357" s="8">
        <f>E1357+F1357</f>
        <v>1730.3088000000002</v>
      </c>
      <c r="H1357" s="3">
        <f>B1357*G1357</f>
        <v>62550.663120000005</v>
      </c>
      <c r="I1357" s="3">
        <f>C1357*G1357</f>
        <v>62585.269296000013</v>
      </c>
    </row>
    <row r="1358" spans="1:9" x14ac:dyDescent="0.25">
      <c r="A1358" t="s">
        <v>11</v>
      </c>
      <c r="B1358" s="1">
        <v>54.44</v>
      </c>
      <c r="C1358" s="1">
        <v>54.45</v>
      </c>
      <c r="D1358" s="2" t="s">
        <v>172</v>
      </c>
      <c r="E1358" s="8">
        <v>1148.8453</v>
      </c>
      <c r="F1358" s="8">
        <f>F1348</f>
        <v>0.05</v>
      </c>
      <c r="G1358" s="8">
        <f>E1358+F1358</f>
        <v>1148.8952999999999</v>
      </c>
      <c r="H1358" s="3">
        <f>B1358*G1358</f>
        <v>62545.860131999994</v>
      </c>
      <c r="I1358" s="3">
        <f>C1358*G1358</f>
        <v>62557.349085000002</v>
      </c>
    </row>
    <row r="1359" spans="1:9" x14ac:dyDescent="0.25">
      <c r="A1359" t="s">
        <v>12</v>
      </c>
      <c r="B1359" s="1">
        <v>48.53</v>
      </c>
      <c r="C1359" s="1">
        <v>48.54</v>
      </c>
      <c r="D1359" s="2" t="s">
        <v>172</v>
      </c>
      <c r="E1359" s="8">
        <v>1288.9085</v>
      </c>
      <c r="F1359" s="8">
        <f>F1349</f>
        <v>0</v>
      </c>
      <c r="G1359" s="8">
        <f>E1359+F1359</f>
        <v>1288.9085</v>
      </c>
      <c r="H1359" s="3">
        <f>B1359*G1359</f>
        <v>62550.729505000003</v>
      </c>
      <c r="I1359" s="3">
        <f>C1359*G1359</f>
        <v>62563.618589999998</v>
      </c>
    </row>
    <row r="1360" spans="1:9" x14ac:dyDescent="0.25">
      <c r="A1360" t="s">
        <v>13</v>
      </c>
      <c r="B1360" s="1">
        <v>17.690000000000001</v>
      </c>
      <c r="C1360" s="1">
        <v>17.7</v>
      </c>
      <c r="D1360" s="2" t="s">
        <v>172</v>
      </c>
      <c r="E1360" s="8">
        <v>3535.8029000000001</v>
      </c>
      <c r="F1360" s="8">
        <f>F1350</f>
        <v>0</v>
      </c>
      <c r="G1360" s="8">
        <f>E1360+F1360</f>
        <v>3535.8029000000001</v>
      </c>
      <c r="H1360" s="3">
        <f>B1360*G1360</f>
        <v>62548.35330100001</v>
      </c>
      <c r="I1360" s="3">
        <f>C1360*G1360</f>
        <v>62583.711329999998</v>
      </c>
    </row>
    <row r="1361" spans="1:9" x14ac:dyDescent="0.25">
      <c r="A1361" t="s">
        <v>14</v>
      </c>
      <c r="B1361" s="1">
        <v>35.43</v>
      </c>
      <c r="C1361" s="1">
        <v>35.44</v>
      </c>
      <c r="D1361" s="2" t="s">
        <v>172</v>
      </c>
      <c r="E1361" s="8">
        <v>1765.0472</v>
      </c>
      <c r="F1361" s="8">
        <f>F1351</f>
        <v>0.2</v>
      </c>
      <c r="G1361" s="8">
        <f>E1361+F1361</f>
        <v>1765.2472</v>
      </c>
      <c r="H1361" s="3">
        <f>B1361*G1361</f>
        <v>62542.708295999997</v>
      </c>
      <c r="I1361" s="3">
        <f>C1361*G1361</f>
        <v>62560.360767999999</v>
      </c>
    </row>
    <row r="1362" spans="1:9" x14ac:dyDescent="0.25">
      <c r="A1362" t="s">
        <v>4</v>
      </c>
      <c r="B1362" s="1">
        <v>20.76</v>
      </c>
      <c r="C1362" s="1">
        <v>20.77</v>
      </c>
      <c r="D1362" s="2" t="s">
        <v>173</v>
      </c>
      <c r="E1362" s="8">
        <v>3014.9315000000001</v>
      </c>
      <c r="F1362" s="8">
        <f>F1352</f>
        <v>0</v>
      </c>
      <c r="G1362" s="8">
        <f>E1362+F1362</f>
        <v>3014.9315000000001</v>
      </c>
      <c r="H1362" s="3">
        <f>B1362*G1362</f>
        <v>62589.977940000004</v>
      </c>
      <c r="I1362" s="3">
        <f>C1362*G1362</f>
        <v>62620.127254999999</v>
      </c>
    </row>
    <row r="1363" spans="1:9" x14ac:dyDescent="0.25">
      <c r="A1363" t="s">
        <v>6</v>
      </c>
      <c r="B1363" s="1">
        <v>33.979999999999997</v>
      </c>
      <c r="C1363" s="1">
        <v>33.99</v>
      </c>
      <c r="D1363" s="2" t="s">
        <v>173</v>
      </c>
      <c r="E1363" s="8">
        <v>1842.1104</v>
      </c>
      <c r="F1363" s="8">
        <f>F1353</f>
        <v>-0.1</v>
      </c>
      <c r="G1363" s="8">
        <f>E1363+F1363</f>
        <v>1842.0104000000001</v>
      </c>
      <c r="H1363" s="3">
        <f>B1363*G1363</f>
        <v>62591.513392000001</v>
      </c>
      <c r="I1363" s="3">
        <f>C1363*G1363</f>
        <v>62609.933496000005</v>
      </c>
    </row>
    <row r="1364" spans="1:9" x14ac:dyDescent="0.25">
      <c r="A1364" t="s">
        <v>7</v>
      </c>
      <c r="B1364" s="1">
        <v>17.64</v>
      </c>
      <c r="C1364" s="1">
        <v>17.649999999999999</v>
      </c>
      <c r="D1364" s="2" t="s">
        <v>173</v>
      </c>
      <c r="E1364" s="8">
        <v>3546.5621999999998</v>
      </c>
      <c r="F1364" s="8">
        <f>F1354</f>
        <v>0</v>
      </c>
      <c r="G1364" s="8">
        <f>E1364+F1364</f>
        <v>3546.5621999999998</v>
      </c>
      <c r="H1364" s="3">
        <f>B1364*G1364</f>
        <v>62561.357208000001</v>
      </c>
      <c r="I1364" s="3">
        <f>C1364*G1364</f>
        <v>62596.82282999999</v>
      </c>
    </row>
    <row r="1365" spans="1:9" x14ac:dyDescent="0.25">
      <c r="A1365" t="s">
        <v>8</v>
      </c>
      <c r="B1365" s="1">
        <v>27.68</v>
      </c>
      <c r="C1365" s="1">
        <v>27.69</v>
      </c>
      <c r="D1365" s="2" t="s">
        <v>173</v>
      </c>
      <c r="E1365" s="8">
        <v>2261.3323</v>
      </c>
      <c r="F1365" s="8">
        <f>F1355</f>
        <v>-0.2</v>
      </c>
      <c r="G1365" s="8">
        <f>E1365+F1365</f>
        <v>2261.1323000000002</v>
      </c>
      <c r="H1365" s="3">
        <f>B1365*G1365</f>
        <v>62588.142064000007</v>
      </c>
      <c r="I1365" s="3">
        <f>C1365*G1365</f>
        <v>62610.753387000012</v>
      </c>
    </row>
    <row r="1366" spans="1:9" x14ac:dyDescent="0.25">
      <c r="A1366" t="s">
        <v>9</v>
      </c>
      <c r="B1366" s="1">
        <v>66.150000000000006</v>
      </c>
      <c r="C1366" s="1">
        <v>66.22</v>
      </c>
      <c r="D1366" s="2" t="s">
        <v>173</v>
      </c>
      <c r="E1366" s="8">
        <v>946.12990000000002</v>
      </c>
      <c r="F1366" s="8">
        <f>F1356</f>
        <v>0</v>
      </c>
      <c r="G1366" s="8">
        <f>E1366+F1366</f>
        <v>946.12990000000002</v>
      </c>
      <c r="H1366" s="3">
        <f>B1366*G1366</f>
        <v>62586.492885000007</v>
      </c>
      <c r="I1366" s="3">
        <f>C1366*G1366</f>
        <v>62652.721978000001</v>
      </c>
    </row>
    <row r="1367" spans="1:9" x14ac:dyDescent="0.25">
      <c r="A1367" t="s">
        <v>10</v>
      </c>
      <c r="B1367" s="1">
        <v>36.17</v>
      </c>
      <c r="C1367" s="1">
        <v>36.19</v>
      </c>
      <c r="D1367" s="2" t="s">
        <v>173</v>
      </c>
      <c r="E1367" s="8">
        <v>1730.1088000000002</v>
      </c>
      <c r="F1367" s="8">
        <f>F1357</f>
        <v>0.2</v>
      </c>
      <c r="G1367" s="8">
        <f>E1367+F1367</f>
        <v>1730.3088000000002</v>
      </c>
      <c r="H1367" s="3">
        <f>B1367*G1367</f>
        <v>62585.269296000013</v>
      </c>
      <c r="I1367" s="3">
        <f>C1367*G1367</f>
        <v>62619.875472000007</v>
      </c>
    </row>
    <row r="1368" spans="1:9" x14ac:dyDescent="0.25">
      <c r="A1368" t="s">
        <v>11</v>
      </c>
      <c r="B1368" s="1">
        <v>54.46</v>
      </c>
      <c r="C1368" s="1">
        <v>54.47</v>
      </c>
      <c r="D1368" s="2" t="s">
        <v>173</v>
      </c>
      <c r="E1368" s="8">
        <v>1148.8453</v>
      </c>
      <c r="F1368" s="8">
        <f>F1358</f>
        <v>0.05</v>
      </c>
      <c r="G1368" s="8">
        <f>E1368+F1368</f>
        <v>1148.8952999999999</v>
      </c>
      <c r="H1368" s="3">
        <f>B1368*G1368</f>
        <v>62568.838037999994</v>
      </c>
      <c r="I1368" s="3">
        <f>C1368*G1368</f>
        <v>62580.326990999994</v>
      </c>
    </row>
    <row r="1369" spans="1:9" x14ac:dyDescent="0.25">
      <c r="A1369" t="s">
        <v>12</v>
      </c>
      <c r="B1369" s="1">
        <v>48.56</v>
      </c>
      <c r="C1369" s="1">
        <v>48.57</v>
      </c>
      <c r="D1369" s="2" t="s">
        <v>173</v>
      </c>
      <c r="E1369" s="8">
        <v>1288.9085</v>
      </c>
      <c r="F1369" s="8">
        <f>F1359</f>
        <v>0</v>
      </c>
      <c r="G1369" s="8">
        <f>E1369+F1369</f>
        <v>1288.9085</v>
      </c>
      <c r="H1369" s="3">
        <f>B1369*G1369</f>
        <v>62589.396760000003</v>
      </c>
      <c r="I1369" s="3">
        <f>C1369*G1369</f>
        <v>62602.285844999999</v>
      </c>
    </row>
    <row r="1370" spans="1:9" x14ac:dyDescent="0.25">
      <c r="A1370" t="s">
        <v>13</v>
      </c>
      <c r="B1370" s="1">
        <v>17.7</v>
      </c>
      <c r="C1370" s="1">
        <v>17.71</v>
      </c>
      <c r="D1370" s="2" t="s">
        <v>173</v>
      </c>
      <c r="E1370" s="8">
        <v>3535.8029000000001</v>
      </c>
      <c r="F1370" s="8">
        <f>F1360</f>
        <v>0</v>
      </c>
      <c r="G1370" s="8">
        <f>E1370+F1370</f>
        <v>3535.8029000000001</v>
      </c>
      <c r="H1370" s="3">
        <f>B1370*G1370</f>
        <v>62583.711329999998</v>
      </c>
      <c r="I1370" s="3">
        <f>C1370*G1370</f>
        <v>62619.069359000008</v>
      </c>
    </row>
    <row r="1371" spans="1:9" x14ac:dyDescent="0.25">
      <c r="A1371" t="s">
        <v>14</v>
      </c>
      <c r="B1371" s="1">
        <v>35.450000000000003</v>
      </c>
      <c r="C1371" s="1">
        <v>35.46</v>
      </c>
      <c r="D1371" s="2" t="s">
        <v>173</v>
      </c>
      <c r="E1371" s="8">
        <v>1765.0472</v>
      </c>
      <c r="F1371" s="8">
        <f>F1361</f>
        <v>0.2</v>
      </c>
      <c r="G1371" s="8">
        <f>E1371+F1371</f>
        <v>1765.2472</v>
      </c>
      <c r="H1371" s="3">
        <f>B1371*G1371</f>
        <v>62578.013240000007</v>
      </c>
      <c r="I1371" s="3">
        <f>C1371*G1371</f>
        <v>62595.665712000002</v>
      </c>
    </row>
    <row r="1372" spans="1:9" x14ac:dyDescent="0.25">
      <c r="A1372" t="s">
        <v>4</v>
      </c>
      <c r="B1372" s="1">
        <v>20.73</v>
      </c>
      <c r="C1372" s="1">
        <v>20.74</v>
      </c>
      <c r="D1372" s="2" t="s">
        <v>174</v>
      </c>
      <c r="E1372" s="8">
        <v>3014.9315000000001</v>
      </c>
      <c r="F1372" s="8">
        <f>F1362</f>
        <v>0</v>
      </c>
      <c r="G1372" s="8">
        <f>E1372+F1372</f>
        <v>3014.9315000000001</v>
      </c>
      <c r="H1372" s="3">
        <f>B1372*G1372</f>
        <v>62499.529995000004</v>
      </c>
      <c r="I1372" s="3">
        <f>C1372*G1372</f>
        <v>62529.67931</v>
      </c>
    </row>
    <row r="1373" spans="1:9" x14ac:dyDescent="0.25">
      <c r="A1373" t="s">
        <v>6</v>
      </c>
      <c r="B1373" s="1">
        <v>33.92</v>
      </c>
      <c r="C1373" s="1">
        <v>33.93</v>
      </c>
      <c r="D1373" s="2" t="s">
        <v>174</v>
      </c>
      <c r="E1373" s="8">
        <v>1842.1104</v>
      </c>
      <c r="F1373" s="8">
        <f>F1363</f>
        <v>-0.1</v>
      </c>
      <c r="G1373" s="8">
        <f>E1373+F1373</f>
        <v>1842.0104000000001</v>
      </c>
      <c r="H1373" s="3">
        <f>B1373*G1373</f>
        <v>62480.992768000004</v>
      </c>
      <c r="I1373" s="3">
        <f>C1373*G1373</f>
        <v>62499.412872000001</v>
      </c>
    </row>
    <row r="1374" spans="1:9" x14ac:dyDescent="0.25">
      <c r="A1374" t="s">
        <v>7</v>
      </c>
      <c r="B1374" s="1">
        <v>17.61</v>
      </c>
      <c r="C1374" s="1">
        <v>17.62</v>
      </c>
      <c r="D1374" s="2" t="s">
        <v>174</v>
      </c>
      <c r="E1374" s="8">
        <v>3546.5621999999998</v>
      </c>
      <c r="F1374" s="8">
        <f>F1364</f>
        <v>0</v>
      </c>
      <c r="G1374" s="8">
        <f>E1374+F1374</f>
        <v>3546.5621999999998</v>
      </c>
      <c r="H1374" s="3">
        <f>B1374*G1374</f>
        <v>62454.960341999998</v>
      </c>
      <c r="I1374" s="3">
        <f>C1374*G1374</f>
        <v>62490.425964000002</v>
      </c>
    </row>
    <row r="1375" spans="1:9" x14ac:dyDescent="0.25">
      <c r="A1375" t="s">
        <v>8</v>
      </c>
      <c r="B1375" s="1">
        <v>27.64</v>
      </c>
      <c r="C1375" s="1">
        <v>27.65</v>
      </c>
      <c r="D1375" s="2" t="s">
        <v>174</v>
      </c>
      <c r="E1375" s="8">
        <v>2261.3323</v>
      </c>
      <c r="F1375" s="8">
        <f>F1365</f>
        <v>-0.2</v>
      </c>
      <c r="G1375" s="8">
        <f>E1375+F1375</f>
        <v>2261.1323000000002</v>
      </c>
      <c r="H1375" s="3">
        <f>B1375*G1375</f>
        <v>62497.69677200001</v>
      </c>
      <c r="I1375" s="3">
        <f>C1375*G1375</f>
        <v>62520.308095</v>
      </c>
    </row>
    <row r="1376" spans="1:9" x14ac:dyDescent="0.25">
      <c r="A1376" t="s">
        <v>9</v>
      </c>
      <c r="B1376" s="1">
        <v>66.040000000000006</v>
      </c>
      <c r="C1376" s="1">
        <v>66.11</v>
      </c>
      <c r="D1376" s="2" t="s">
        <v>174</v>
      </c>
      <c r="E1376" s="8">
        <v>946.12990000000002</v>
      </c>
      <c r="F1376" s="8">
        <f>F1366</f>
        <v>0</v>
      </c>
      <c r="G1376" s="8">
        <f>E1376+F1376</f>
        <v>946.12990000000002</v>
      </c>
      <c r="H1376" s="3">
        <f>B1376*G1376</f>
        <v>62482.41859600001</v>
      </c>
      <c r="I1376" s="3">
        <f>C1376*G1376</f>
        <v>62548.647688999998</v>
      </c>
    </row>
    <row r="1377" spans="1:9" x14ac:dyDescent="0.25">
      <c r="A1377" t="s">
        <v>10</v>
      </c>
      <c r="B1377" s="1">
        <v>36.11</v>
      </c>
      <c r="C1377" s="1">
        <v>36.14</v>
      </c>
      <c r="D1377" s="2" t="s">
        <v>174</v>
      </c>
      <c r="E1377" s="8">
        <v>1730.1088000000002</v>
      </c>
      <c r="F1377" s="8">
        <f>F1367</f>
        <v>0.2</v>
      </c>
      <c r="G1377" s="8">
        <f>E1377+F1377</f>
        <v>1730.3088000000002</v>
      </c>
      <c r="H1377" s="3">
        <f>B1377*G1377</f>
        <v>62481.45076800001</v>
      </c>
      <c r="I1377" s="3">
        <f>C1377*G1377</f>
        <v>62533.360032000011</v>
      </c>
    </row>
    <row r="1378" spans="1:9" x14ac:dyDescent="0.25">
      <c r="A1378" t="s">
        <v>11</v>
      </c>
      <c r="B1378" s="1">
        <v>54.39</v>
      </c>
      <c r="C1378" s="1">
        <v>54.4</v>
      </c>
      <c r="D1378" s="2" t="s">
        <v>174</v>
      </c>
      <c r="E1378" s="8">
        <v>1148.8453</v>
      </c>
      <c r="F1378" s="8">
        <f>F1368</f>
        <v>0.05</v>
      </c>
      <c r="G1378" s="8">
        <f>E1378+F1378</f>
        <v>1148.8952999999999</v>
      </c>
      <c r="H1378" s="3">
        <f>B1378*G1378</f>
        <v>62488.415366999994</v>
      </c>
      <c r="I1378" s="3">
        <f>C1378*G1378</f>
        <v>62499.904319999994</v>
      </c>
    </row>
    <row r="1379" spans="1:9" x14ac:dyDescent="0.25">
      <c r="A1379" t="s">
        <v>12</v>
      </c>
      <c r="B1379" s="1">
        <v>48.49</v>
      </c>
      <c r="C1379" s="1">
        <v>48.5</v>
      </c>
      <c r="D1379" s="2" t="s">
        <v>174</v>
      </c>
      <c r="E1379" s="8">
        <v>1288.9085</v>
      </c>
      <c r="F1379" s="8">
        <f>F1369</f>
        <v>0</v>
      </c>
      <c r="G1379" s="8">
        <f>E1379+F1379</f>
        <v>1288.9085</v>
      </c>
      <c r="H1379" s="3">
        <f>B1379*G1379</f>
        <v>62499.173165</v>
      </c>
      <c r="I1379" s="3">
        <f>C1379*G1379</f>
        <v>62512.062250000003</v>
      </c>
    </row>
    <row r="1380" spans="1:9" x14ac:dyDescent="0.25">
      <c r="A1380" t="s">
        <v>13</v>
      </c>
      <c r="B1380" s="1">
        <v>17.670000000000002</v>
      </c>
      <c r="C1380" s="1">
        <v>17.68</v>
      </c>
      <c r="D1380" s="2" t="s">
        <v>174</v>
      </c>
      <c r="E1380" s="8">
        <v>3535.8029000000001</v>
      </c>
      <c r="F1380" s="8">
        <f>F1370</f>
        <v>0</v>
      </c>
      <c r="G1380" s="8">
        <f>E1380+F1380</f>
        <v>3535.8029000000001</v>
      </c>
      <c r="H1380" s="3">
        <f>B1380*G1380</f>
        <v>62477.637243000012</v>
      </c>
      <c r="I1380" s="3">
        <f>C1380*G1380</f>
        <v>62512.995272</v>
      </c>
    </row>
    <row r="1381" spans="1:9" x14ac:dyDescent="0.25">
      <c r="A1381" t="s">
        <v>14</v>
      </c>
      <c r="B1381" s="1">
        <v>35.4</v>
      </c>
      <c r="C1381" s="1">
        <v>35.409999999999997</v>
      </c>
      <c r="D1381" s="2" t="s">
        <v>174</v>
      </c>
      <c r="E1381" s="8">
        <v>1765.0472</v>
      </c>
      <c r="F1381" s="8">
        <f>F1371</f>
        <v>0.2</v>
      </c>
      <c r="G1381" s="8">
        <f>E1381+F1381</f>
        <v>1765.2472</v>
      </c>
      <c r="H1381" s="3">
        <f>B1381*G1381</f>
        <v>62489.75088</v>
      </c>
      <c r="I1381" s="3">
        <f>C1381*G1381</f>
        <v>62507.403351999994</v>
      </c>
    </row>
    <row r="1382" spans="1:9" x14ac:dyDescent="0.25">
      <c r="A1382" t="s">
        <v>4</v>
      </c>
      <c r="B1382" s="1">
        <v>20.73</v>
      </c>
      <c r="C1382" s="1">
        <v>20.74</v>
      </c>
      <c r="D1382" s="2" t="s">
        <v>175</v>
      </c>
      <c r="E1382" s="8">
        <v>3014.9315000000001</v>
      </c>
      <c r="F1382" s="8">
        <f>F1372</f>
        <v>0</v>
      </c>
      <c r="G1382" s="8">
        <f>E1382+F1382</f>
        <v>3014.9315000000001</v>
      </c>
      <c r="H1382" s="3">
        <f>B1382*G1382</f>
        <v>62499.529995000004</v>
      </c>
      <c r="I1382" s="3">
        <f>C1382*G1382</f>
        <v>62529.67931</v>
      </c>
    </row>
    <row r="1383" spans="1:9" x14ac:dyDescent="0.25">
      <c r="A1383" t="s">
        <v>6</v>
      </c>
      <c r="B1383" s="1">
        <v>33.94</v>
      </c>
      <c r="C1383" s="1">
        <v>33.950000000000003</v>
      </c>
      <c r="D1383" s="2" t="s">
        <v>175</v>
      </c>
      <c r="E1383" s="8">
        <v>1842.1104</v>
      </c>
      <c r="F1383" s="8">
        <f>F1373</f>
        <v>-0.1</v>
      </c>
      <c r="G1383" s="8">
        <f>E1383+F1383</f>
        <v>1842.0104000000001</v>
      </c>
      <c r="H1383" s="3">
        <f>B1383*G1383</f>
        <v>62517.832975999998</v>
      </c>
      <c r="I1383" s="3">
        <f>C1383*G1383</f>
        <v>62536.25308000001</v>
      </c>
    </row>
    <row r="1384" spans="1:9" x14ac:dyDescent="0.25">
      <c r="A1384" t="s">
        <v>7</v>
      </c>
      <c r="B1384" s="1">
        <v>17.62</v>
      </c>
      <c r="C1384" s="1">
        <v>17.63</v>
      </c>
      <c r="D1384" s="2" t="s">
        <v>175</v>
      </c>
      <c r="E1384" s="8">
        <v>3546.5621999999998</v>
      </c>
      <c r="F1384" s="8">
        <f>F1374</f>
        <v>0</v>
      </c>
      <c r="G1384" s="8">
        <f>E1384+F1384</f>
        <v>3546.5621999999998</v>
      </c>
      <c r="H1384" s="3">
        <f>B1384*G1384</f>
        <v>62490.425964000002</v>
      </c>
      <c r="I1384" s="3">
        <f>C1384*G1384</f>
        <v>62525.891585999991</v>
      </c>
    </row>
    <row r="1385" spans="1:9" x14ac:dyDescent="0.25">
      <c r="A1385" t="s">
        <v>8</v>
      </c>
      <c r="B1385" s="1">
        <v>27.65</v>
      </c>
      <c r="C1385" s="1">
        <v>27.66</v>
      </c>
      <c r="D1385" s="2" t="s">
        <v>175</v>
      </c>
      <c r="E1385" s="8">
        <v>2261.3323</v>
      </c>
      <c r="F1385" s="8">
        <f>F1375</f>
        <v>-0.2</v>
      </c>
      <c r="G1385" s="8">
        <f>E1385+F1385</f>
        <v>2261.1323000000002</v>
      </c>
      <c r="H1385" s="3">
        <f>B1385*G1385</f>
        <v>62520.308095</v>
      </c>
      <c r="I1385" s="3">
        <f>C1385*G1385</f>
        <v>62542.919418000005</v>
      </c>
    </row>
    <row r="1386" spans="1:9" x14ac:dyDescent="0.25">
      <c r="A1386" t="s">
        <v>9</v>
      </c>
      <c r="B1386" s="1">
        <v>66.069999999999993</v>
      </c>
      <c r="C1386" s="1">
        <v>66.13</v>
      </c>
      <c r="D1386" s="2" t="s">
        <v>175</v>
      </c>
      <c r="E1386" s="8">
        <v>946.12990000000002</v>
      </c>
      <c r="F1386" s="8">
        <f>F1376</f>
        <v>0</v>
      </c>
      <c r="G1386" s="8">
        <f>E1386+F1386</f>
        <v>946.12990000000002</v>
      </c>
      <c r="H1386" s="3">
        <f>B1386*G1386</f>
        <v>62510.802492999996</v>
      </c>
      <c r="I1386" s="3">
        <f>C1386*G1386</f>
        <v>62567.570286999995</v>
      </c>
    </row>
    <row r="1387" spans="1:9" x14ac:dyDescent="0.25">
      <c r="A1387" t="s">
        <v>10</v>
      </c>
      <c r="B1387" s="1">
        <v>36.130000000000003</v>
      </c>
      <c r="C1387" s="1">
        <v>36.14</v>
      </c>
      <c r="D1387" s="2" t="s">
        <v>175</v>
      </c>
      <c r="E1387" s="8">
        <v>1730.1088000000002</v>
      </c>
      <c r="F1387" s="8">
        <f>F1377</f>
        <v>0.2</v>
      </c>
      <c r="G1387" s="8">
        <f>E1387+F1387</f>
        <v>1730.3088000000002</v>
      </c>
      <c r="H1387" s="3">
        <f>B1387*G1387</f>
        <v>62516.056944000011</v>
      </c>
      <c r="I1387" s="3">
        <f>C1387*G1387</f>
        <v>62533.360032000011</v>
      </c>
    </row>
    <row r="1388" spans="1:9" x14ac:dyDescent="0.25">
      <c r="A1388" t="s">
        <v>11</v>
      </c>
      <c r="B1388" s="1">
        <v>54.42</v>
      </c>
      <c r="C1388" s="1">
        <v>54.43</v>
      </c>
      <c r="D1388" s="2" t="s">
        <v>175</v>
      </c>
      <c r="E1388" s="8">
        <v>1148.8453</v>
      </c>
      <c r="F1388" s="8">
        <f>F1378</f>
        <v>0.05</v>
      </c>
      <c r="G1388" s="8">
        <f>E1388+F1388</f>
        <v>1148.8952999999999</v>
      </c>
      <c r="H1388" s="3">
        <f>B1388*G1388</f>
        <v>62522.882225999994</v>
      </c>
      <c r="I1388" s="3">
        <f>C1388*G1388</f>
        <v>62534.371178999994</v>
      </c>
    </row>
    <row r="1389" spans="1:9" x14ac:dyDescent="0.25">
      <c r="A1389" t="s">
        <v>12</v>
      </c>
      <c r="B1389" s="1">
        <v>48.5</v>
      </c>
      <c r="C1389" s="1">
        <v>48.51</v>
      </c>
      <c r="D1389" s="2" t="s">
        <v>175</v>
      </c>
      <c r="E1389" s="8">
        <v>1288.9085</v>
      </c>
      <c r="F1389" s="8">
        <f>F1379</f>
        <v>0</v>
      </c>
      <c r="G1389" s="8">
        <f>E1389+F1389</f>
        <v>1288.9085</v>
      </c>
      <c r="H1389" s="3">
        <f>B1389*G1389</f>
        <v>62512.062250000003</v>
      </c>
      <c r="I1389" s="3">
        <f>C1389*G1389</f>
        <v>62524.951334999998</v>
      </c>
    </row>
    <row r="1390" spans="1:9" x14ac:dyDescent="0.25">
      <c r="A1390" t="s">
        <v>13</v>
      </c>
      <c r="B1390" s="1">
        <v>17.68</v>
      </c>
      <c r="C1390" s="1">
        <v>17.690000000000001</v>
      </c>
      <c r="D1390" s="2" t="s">
        <v>175</v>
      </c>
      <c r="E1390" s="8">
        <v>3535.8029000000001</v>
      </c>
      <c r="F1390" s="8">
        <f>F1380</f>
        <v>0</v>
      </c>
      <c r="G1390" s="8">
        <f>E1390+F1390</f>
        <v>3535.8029000000001</v>
      </c>
      <c r="H1390" s="3">
        <f>B1390*G1390</f>
        <v>62512.995272</v>
      </c>
      <c r="I1390" s="3">
        <f>C1390*G1390</f>
        <v>62548.35330100001</v>
      </c>
    </row>
    <row r="1391" spans="1:9" x14ac:dyDescent="0.25">
      <c r="A1391" t="s">
        <v>14</v>
      </c>
      <c r="B1391" s="1">
        <v>35.409999999999997</v>
      </c>
      <c r="C1391" s="1">
        <v>35.42</v>
      </c>
      <c r="D1391" s="2" t="s">
        <v>175</v>
      </c>
      <c r="E1391" s="8">
        <v>1765.0472</v>
      </c>
      <c r="F1391" s="8">
        <f>F1381</f>
        <v>0.2</v>
      </c>
      <c r="G1391" s="8">
        <f>E1391+F1391</f>
        <v>1765.2472</v>
      </c>
      <c r="H1391" s="3">
        <f>B1391*G1391</f>
        <v>62507.403351999994</v>
      </c>
      <c r="I1391" s="3">
        <f>C1391*G1391</f>
        <v>62525.055824000003</v>
      </c>
    </row>
    <row r="1392" spans="1:9" x14ac:dyDescent="0.25">
      <c r="A1392" t="s">
        <v>4</v>
      </c>
      <c r="B1392" s="1">
        <v>20.76</v>
      </c>
      <c r="C1392" s="1">
        <v>20.77</v>
      </c>
      <c r="D1392" s="2" t="s">
        <v>176</v>
      </c>
      <c r="E1392" s="8">
        <v>3014.9315000000001</v>
      </c>
      <c r="F1392" s="8">
        <f>F1382</f>
        <v>0</v>
      </c>
      <c r="G1392" s="8">
        <f>E1392+F1392</f>
        <v>3014.9315000000001</v>
      </c>
      <c r="H1392" s="3">
        <f>B1392*G1392</f>
        <v>62589.977940000004</v>
      </c>
      <c r="I1392" s="3">
        <f>C1392*G1392</f>
        <v>62620.127254999999</v>
      </c>
    </row>
    <row r="1393" spans="1:9" x14ac:dyDescent="0.25">
      <c r="A1393" t="s">
        <v>6</v>
      </c>
      <c r="B1393" s="1">
        <v>33.979999999999997</v>
      </c>
      <c r="C1393" s="1">
        <v>33.99</v>
      </c>
      <c r="D1393" s="2" t="s">
        <v>176</v>
      </c>
      <c r="E1393" s="8">
        <v>1842.1104</v>
      </c>
      <c r="F1393" s="8">
        <f>F1383</f>
        <v>-0.1</v>
      </c>
      <c r="G1393" s="8">
        <f>E1393+F1393</f>
        <v>1842.0104000000001</v>
      </c>
      <c r="H1393" s="3">
        <f>B1393*G1393</f>
        <v>62591.513392000001</v>
      </c>
      <c r="I1393" s="3">
        <f>C1393*G1393</f>
        <v>62609.933496000005</v>
      </c>
    </row>
    <row r="1394" spans="1:9" x14ac:dyDescent="0.25">
      <c r="A1394" t="s">
        <v>7</v>
      </c>
      <c r="B1394" s="1">
        <v>17.64</v>
      </c>
      <c r="C1394" s="1">
        <v>17.649999999999999</v>
      </c>
      <c r="D1394" s="2" t="s">
        <v>176</v>
      </c>
      <c r="E1394" s="8">
        <v>3546.5621999999998</v>
      </c>
      <c r="F1394" s="8">
        <f>F1384</f>
        <v>0</v>
      </c>
      <c r="G1394" s="8">
        <f>E1394+F1394</f>
        <v>3546.5621999999998</v>
      </c>
      <c r="H1394" s="3">
        <f>B1394*G1394</f>
        <v>62561.357208000001</v>
      </c>
      <c r="I1394" s="3">
        <f>C1394*G1394</f>
        <v>62596.82282999999</v>
      </c>
    </row>
    <row r="1395" spans="1:9" x14ac:dyDescent="0.25">
      <c r="A1395" t="s">
        <v>8</v>
      </c>
      <c r="B1395" s="1">
        <v>27.68</v>
      </c>
      <c r="C1395" s="1">
        <v>27.69</v>
      </c>
      <c r="D1395" s="2" t="s">
        <v>176</v>
      </c>
      <c r="E1395" s="8">
        <v>2261.3323</v>
      </c>
      <c r="F1395" s="8">
        <f>F1385</f>
        <v>-0.2</v>
      </c>
      <c r="G1395" s="8">
        <f>E1395+F1395</f>
        <v>2261.1323000000002</v>
      </c>
      <c r="H1395" s="3">
        <f>B1395*G1395</f>
        <v>62588.142064000007</v>
      </c>
      <c r="I1395" s="3">
        <f>C1395*G1395</f>
        <v>62610.753387000012</v>
      </c>
    </row>
    <row r="1396" spans="1:9" x14ac:dyDescent="0.25">
      <c r="A1396" t="s">
        <v>9</v>
      </c>
      <c r="B1396" s="1">
        <v>66.150000000000006</v>
      </c>
      <c r="C1396" s="1">
        <v>66.209999999999994</v>
      </c>
      <c r="D1396" s="2" t="s">
        <v>176</v>
      </c>
      <c r="E1396" s="8">
        <v>946.12990000000002</v>
      </c>
      <c r="F1396" s="8">
        <f>F1386</f>
        <v>0</v>
      </c>
      <c r="G1396" s="8">
        <f>E1396+F1396</f>
        <v>946.12990000000002</v>
      </c>
      <c r="H1396" s="3">
        <f>B1396*G1396</f>
        <v>62586.492885000007</v>
      </c>
      <c r="I1396" s="3">
        <f>C1396*G1396</f>
        <v>62643.260678999999</v>
      </c>
    </row>
    <row r="1397" spans="1:9" x14ac:dyDescent="0.25">
      <c r="A1397" t="s">
        <v>10</v>
      </c>
      <c r="B1397" s="1">
        <v>36.17</v>
      </c>
      <c r="C1397" s="1">
        <v>36.19</v>
      </c>
      <c r="D1397" s="2" t="s">
        <v>176</v>
      </c>
      <c r="E1397" s="8">
        <v>1730.1088000000002</v>
      </c>
      <c r="F1397" s="8">
        <f>F1387</f>
        <v>0.2</v>
      </c>
      <c r="G1397" s="8">
        <f>E1397+F1397</f>
        <v>1730.3088000000002</v>
      </c>
      <c r="H1397" s="3">
        <f>B1397*G1397</f>
        <v>62585.269296000013</v>
      </c>
      <c r="I1397" s="3">
        <f>C1397*G1397</f>
        <v>62619.875472000007</v>
      </c>
    </row>
    <row r="1398" spans="1:9" x14ac:dyDescent="0.25">
      <c r="A1398" t="s">
        <v>11</v>
      </c>
      <c r="B1398" s="1">
        <v>54.48</v>
      </c>
      <c r="C1398" s="1">
        <v>54.49</v>
      </c>
      <c r="D1398" s="2" t="s">
        <v>176</v>
      </c>
      <c r="E1398" s="8">
        <v>1148.8453</v>
      </c>
      <c r="F1398" s="8">
        <f>F1388</f>
        <v>0.05</v>
      </c>
      <c r="G1398" s="8">
        <f>E1398+F1398</f>
        <v>1148.8952999999999</v>
      </c>
      <c r="H1398" s="3">
        <f>B1398*G1398</f>
        <v>62591.815943999994</v>
      </c>
      <c r="I1398" s="3">
        <f>C1398*G1398</f>
        <v>62603.304896999995</v>
      </c>
    </row>
    <row r="1399" spans="1:9" x14ac:dyDescent="0.25">
      <c r="A1399" t="s">
        <v>12</v>
      </c>
      <c r="B1399" s="1">
        <v>48.56</v>
      </c>
      <c r="C1399" s="1">
        <v>48.57</v>
      </c>
      <c r="D1399" s="2" t="s">
        <v>176</v>
      </c>
      <c r="E1399" s="8">
        <v>1288.9085</v>
      </c>
      <c r="F1399" s="8">
        <f>F1389</f>
        <v>0</v>
      </c>
      <c r="G1399" s="8">
        <f>E1399+F1399</f>
        <v>1288.9085</v>
      </c>
      <c r="H1399" s="3">
        <f>B1399*G1399</f>
        <v>62589.396760000003</v>
      </c>
      <c r="I1399" s="3">
        <f>C1399*G1399</f>
        <v>62602.285844999999</v>
      </c>
    </row>
    <row r="1400" spans="1:9" x14ac:dyDescent="0.25">
      <c r="A1400" t="s">
        <v>13</v>
      </c>
      <c r="B1400" s="1">
        <v>17.7</v>
      </c>
      <c r="C1400" s="1">
        <v>17.71</v>
      </c>
      <c r="D1400" s="2" t="s">
        <v>176</v>
      </c>
      <c r="E1400" s="8">
        <v>3535.8029000000001</v>
      </c>
      <c r="F1400" s="8">
        <f>F1390</f>
        <v>0</v>
      </c>
      <c r="G1400" s="8">
        <f>E1400+F1400</f>
        <v>3535.8029000000001</v>
      </c>
      <c r="H1400" s="3">
        <f>B1400*G1400</f>
        <v>62583.711329999998</v>
      </c>
      <c r="I1400" s="3">
        <f>C1400*G1400</f>
        <v>62619.069359000008</v>
      </c>
    </row>
    <row r="1401" spans="1:9" x14ac:dyDescent="0.25">
      <c r="A1401" t="s">
        <v>14</v>
      </c>
      <c r="B1401" s="1">
        <v>35.450000000000003</v>
      </c>
      <c r="C1401" s="1">
        <v>35.46</v>
      </c>
      <c r="D1401" s="2" t="s">
        <v>176</v>
      </c>
      <c r="E1401" s="8">
        <v>1765.0472</v>
      </c>
      <c r="F1401" s="8">
        <f>F1391</f>
        <v>0.2</v>
      </c>
      <c r="G1401" s="8">
        <f>E1401+F1401</f>
        <v>1765.2472</v>
      </c>
      <c r="H1401" s="3">
        <f>B1401*G1401</f>
        <v>62578.013240000007</v>
      </c>
      <c r="I1401" s="3">
        <f>C1401*G1401</f>
        <v>62595.665712000002</v>
      </c>
    </row>
    <row r="1402" spans="1:9" x14ac:dyDescent="0.25">
      <c r="A1402" t="s">
        <v>4</v>
      </c>
      <c r="B1402" s="1">
        <v>20.76</v>
      </c>
      <c r="C1402" s="1">
        <v>20.77</v>
      </c>
      <c r="D1402" s="2" t="s">
        <v>177</v>
      </c>
      <c r="E1402" s="8">
        <v>3014.9315000000001</v>
      </c>
      <c r="F1402" s="8">
        <f>F1392</f>
        <v>0</v>
      </c>
      <c r="G1402" s="8">
        <f>E1402+F1402</f>
        <v>3014.9315000000001</v>
      </c>
      <c r="H1402" s="3">
        <f>B1402*G1402</f>
        <v>62589.977940000004</v>
      </c>
      <c r="I1402" s="3">
        <f>C1402*G1402</f>
        <v>62620.127254999999</v>
      </c>
    </row>
    <row r="1403" spans="1:9" x14ac:dyDescent="0.25">
      <c r="A1403" t="s">
        <v>6</v>
      </c>
      <c r="B1403" s="1">
        <v>33.99</v>
      </c>
      <c r="C1403" s="1">
        <v>34</v>
      </c>
      <c r="D1403" s="2" t="s">
        <v>177</v>
      </c>
      <c r="E1403" s="8">
        <v>1842.1104</v>
      </c>
      <c r="F1403" s="8">
        <f>F1393</f>
        <v>-0.1</v>
      </c>
      <c r="G1403" s="8">
        <f>E1403+F1403</f>
        <v>1842.0104000000001</v>
      </c>
      <c r="H1403" s="3">
        <f>B1403*G1403</f>
        <v>62609.933496000005</v>
      </c>
      <c r="I1403" s="3">
        <f>C1403*G1403</f>
        <v>62628.353600000002</v>
      </c>
    </row>
    <row r="1404" spans="1:9" x14ac:dyDescent="0.25">
      <c r="A1404" t="s">
        <v>7</v>
      </c>
      <c r="B1404" s="1">
        <v>17.64</v>
      </c>
      <c r="C1404" s="1">
        <v>17.649999999999999</v>
      </c>
      <c r="D1404" s="2" t="s">
        <v>177</v>
      </c>
      <c r="E1404" s="8">
        <v>3546.5621999999998</v>
      </c>
      <c r="F1404" s="8">
        <f>F1394</f>
        <v>0</v>
      </c>
      <c r="G1404" s="8">
        <f>E1404+F1404</f>
        <v>3546.5621999999998</v>
      </c>
      <c r="H1404" s="3">
        <f>B1404*G1404</f>
        <v>62561.357208000001</v>
      </c>
      <c r="I1404" s="3">
        <f>C1404*G1404</f>
        <v>62596.82282999999</v>
      </c>
    </row>
    <row r="1405" spans="1:9" x14ac:dyDescent="0.25">
      <c r="A1405" t="s">
        <v>8</v>
      </c>
      <c r="B1405" s="1">
        <v>27.69</v>
      </c>
      <c r="C1405" s="1">
        <v>27.7</v>
      </c>
      <c r="D1405" s="2" t="s">
        <v>177</v>
      </c>
      <c r="E1405" s="8">
        <v>2261.3323</v>
      </c>
      <c r="F1405" s="8">
        <f>F1395</f>
        <v>-0.2</v>
      </c>
      <c r="G1405" s="8">
        <f>E1405+F1405</f>
        <v>2261.1323000000002</v>
      </c>
      <c r="H1405" s="3">
        <f>B1405*G1405</f>
        <v>62610.753387000012</v>
      </c>
      <c r="I1405" s="3">
        <f>C1405*G1405</f>
        <v>62633.364710000002</v>
      </c>
    </row>
    <row r="1406" spans="1:9" x14ac:dyDescent="0.25">
      <c r="A1406" t="s">
        <v>9</v>
      </c>
      <c r="B1406" s="1">
        <v>66.150000000000006</v>
      </c>
      <c r="C1406" s="1">
        <v>66.23</v>
      </c>
      <c r="D1406" s="2" t="s">
        <v>177</v>
      </c>
      <c r="E1406" s="8">
        <v>946.12990000000002</v>
      </c>
      <c r="F1406" s="8">
        <f>F1396</f>
        <v>0</v>
      </c>
      <c r="G1406" s="8">
        <f>E1406+F1406</f>
        <v>946.12990000000002</v>
      </c>
      <c r="H1406" s="3">
        <f>B1406*G1406</f>
        <v>62586.492885000007</v>
      </c>
      <c r="I1406" s="3">
        <f>C1406*G1406</f>
        <v>62662.183277000004</v>
      </c>
    </row>
    <row r="1407" spans="1:9" x14ac:dyDescent="0.25">
      <c r="A1407" t="s">
        <v>10</v>
      </c>
      <c r="B1407" s="1">
        <v>36.18</v>
      </c>
      <c r="C1407" s="1">
        <v>36.200000000000003</v>
      </c>
      <c r="D1407" s="2" t="s">
        <v>177</v>
      </c>
      <c r="E1407" s="8">
        <v>1730.1088000000002</v>
      </c>
      <c r="F1407" s="8">
        <f>F1397</f>
        <v>0.2</v>
      </c>
      <c r="G1407" s="8">
        <f>E1407+F1407</f>
        <v>1730.3088000000002</v>
      </c>
      <c r="H1407" s="3">
        <f>B1407*G1407</f>
        <v>62602.572384000006</v>
      </c>
      <c r="I1407" s="3">
        <f>C1407*G1407</f>
        <v>62637.178560000015</v>
      </c>
    </row>
    <row r="1408" spans="1:9" x14ac:dyDescent="0.25">
      <c r="A1408" t="s">
        <v>11</v>
      </c>
      <c r="B1408" s="1">
        <v>54.5</v>
      </c>
      <c r="C1408" s="1">
        <v>54.51</v>
      </c>
      <c r="D1408" s="2" t="s">
        <v>177</v>
      </c>
      <c r="E1408" s="8">
        <v>1148.8453</v>
      </c>
      <c r="F1408" s="8">
        <f>F1398</f>
        <v>0.05</v>
      </c>
      <c r="G1408" s="8">
        <f>E1408+F1408</f>
        <v>1148.8952999999999</v>
      </c>
      <c r="H1408" s="3">
        <f>B1408*G1408</f>
        <v>62614.793849999995</v>
      </c>
      <c r="I1408" s="3">
        <f>C1408*G1408</f>
        <v>62626.282802999995</v>
      </c>
    </row>
    <row r="1409" spans="1:9" x14ac:dyDescent="0.25">
      <c r="A1409" t="s">
        <v>12</v>
      </c>
      <c r="B1409" s="1">
        <v>48.58</v>
      </c>
      <c r="C1409" s="1">
        <v>48.59</v>
      </c>
      <c r="D1409" s="2" t="s">
        <v>177</v>
      </c>
      <c r="E1409" s="8">
        <v>1288.9085</v>
      </c>
      <c r="F1409" s="8">
        <f>F1399</f>
        <v>0</v>
      </c>
      <c r="G1409" s="8">
        <f>E1409+F1409</f>
        <v>1288.9085</v>
      </c>
      <c r="H1409" s="3">
        <f>B1409*G1409</f>
        <v>62615.174930000001</v>
      </c>
      <c r="I1409" s="3">
        <f>C1409*G1409</f>
        <v>62628.064015000004</v>
      </c>
    </row>
    <row r="1410" spans="1:9" x14ac:dyDescent="0.25">
      <c r="A1410" t="s">
        <v>13</v>
      </c>
      <c r="B1410" s="1">
        <v>17.7</v>
      </c>
      <c r="C1410" s="1">
        <v>17.71</v>
      </c>
      <c r="D1410" s="2" t="s">
        <v>177</v>
      </c>
      <c r="E1410" s="8">
        <v>3535.8029000000001</v>
      </c>
      <c r="F1410" s="8">
        <f>F1400</f>
        <v>0</v>
      </c>
      <c r="G1410" s="8">
        <f>E1410+F1410</f>
        <v>3535.8029000000001</v>
      </c>
      <c r="H1410" s="3">
        <f>B1410*G1410</f>
        <v>62583.711329999998</v>
      </c>
      <c r="I1410" s="3">
        <f>C1410*G1410</f>
        <v>62619.069359000008</v>
      </c>
    </row>
    <row r="1411" spans="1:9" x14ac:dyDescent="0.25">
      <c r="A1411" t="s">
        <v>14</v>
      </c>
      <c r="B1411" s="1">
        <v>35.46</v>
      </c>
      <c r="C1411" s="1">
        <v>35.47</v>
      </c>
      <c r="D1411" s="2" t="s">
        <v>177</v>
      </c>
      <c r="E1411" s="8">
        <v>1765.0472</v>
      </c>
      <c r="F1411" s="8">
        <f>F1401</f>
        <v>0.2</v>
      </c>
      <c r="G1411" s="8">
        <f>E1411+F1411</f>
        <v>1765.2472</v>
      </c>
      <c r="H1411" s="3">
        <f>B1411*G1411</f>
        <v>62595.665712000002</v>
      </c>
      <c r="I1411" s="3">
        <f>C1411*G1411</f>
        <v>62613.318183999996</v>
      </c>
    </row>
    <row r="1412" spans="1:9" x14ac:dyDescent="0.25">
      <c r="A1412" t="s">
        <v>4</v>
      </c>
      <c r="B1412" s="1">
        <v>20.76</v>
      </c>
      <c r="C1412" s="1">
        <v>20.77</v>
      </c>
      <c r="D1412" s="2" t="s">
        <v>178</v>
      </c>
      <c r="E1412" s="8">
        <v>3014.9315000000001</v>
      </c>
      <c r="F1412" s="8">
        <f>F1402</f>
        <v>0</v>
      </c>
      <c r="G1412" s="8">
        <f>E1412+F1412</f>
        <v>3014.9315000000001</v>
      </c>
      <c r="H1412" s="3">
        <f>B1412*G1412</f>
        <v>62589.977940000004</v>
      </c>
      <c r="I1412" s="3">
        <f>C1412*G1412</f>
        <v>62620.127254999999</v>
      </c>
    </row>
    <row r="1413" spans="1:9" x14ac:dyDescent="0.25">
      <c r="A1413" t="s">
        <v>6</v>
      </c>
      <c r="B1413" s="1">
        <v>33.99</v>
      </c>
      <c r="C1413" s="1">
        <v>34</v>
      </c>
      <c r="D1413" s="2" t="s">
        <v>178</v>
      </c>
      <c r="E1413" s="8">
        <v>1842.1104</v>
      </c>
      <c r="F1413" s="8">
        <f>F1403</f>
        <v>-0.1</v>
      </c>
      <c r="G1413" s="8">
        <f>E1413+F1413</f>
        <v>1842.0104000000001</v>
      </c>
      <c r="H1413" s="3">
        <f>B1413*G1413</f>
        <v>62609.933496000005</v>
      </c>
      <c r="I1413" s="3">
        <f>C1413*G1413</f>
        <v>62628.353600000002</v>
      </c>
    </row>
    <row r="1414" spans="1:9" x14ac:dyDescent="0.25">
      <c r="A1414" t="s">
        <v>7</v>
      </c>
      <c r="B1414" s="1">
        <v>17.64</v>
      </c>
      <c r="C1414" s="1">
        <v>17.649999999999999</v>
      </c>
      <c r="D1414" s="2" t="s">
        <v>178</v>
      </c>
      <c r="E1414" s="8">
        <v>3546.5621999999998</v>
      </c>
      <c r="F1414" s="8">
        <f>F1404</f>
        <v>0</v>
      </c>
      <c r="G1414" s="8">
        <f>E1414+F1414</f>
        <v>3546.5621999999998</v>
      </c>
      <c r="H1414" s="3">
        <f>B1414*G1414</f>
        <v>62561.357208000001</v>
      </c>
      <c r="I1414" s="3">
        <f>C1414*G1414</f>
        <v>62596.82282999999</v>
      </c>
    </row>
    <row r="1415" spans="1:9" x14ac:dyDescent="0.25">
      <c r="A1415" t="s">
        <v>8</v>
      </c>
      <c r="B1415" s="1">
        <v>27.69</v>
      </c>
      <c r="C1415" s="1">
        <v>27.7</v>
      </c>
      <c r="D1415" s="2" t="s">
        <v>178</v>
      </c>
      <c r="E1415" s="8">
        <v>2261.3323</v>
      </c>
      <c r="F1415" s="8">
        <f>F1405</f>
        <v>-0.2</v>
      </c>
      <c r="G1415" s="8">
        <f>E1415+F1415</f>
        <v>2261.1323000000002</v>
      </c>
      <c r="H1415" s="3">
        <f>B1415*G1415</f>
        <v>62610.753387000012</v>
      </c>
      <c r="I1415" s="3">
        <f>C1415*G1415</f>
        <v>62633.364710000002</v>
      </c>
    </row>
    <row r="1416" spans="1:9" x14ac:dyDescent="0.25">
      <c r="A1416" t="s">
        <v>9</v>
      </c>
      <c r="B1416" s="1">
        <v>66.150000000000006</v>
      </c>
      <c r="C1416" s="1">
        <v>66.22</v>
      </c>
      <c r="D1416" s="2" t="s">
        <v>178</v>
      </c>
      <c r="E1416" s="8">
        <v>946.12990000000002</v>
      </c>
      <c r="F1416" s="8">
        <f>F1406</f>
        <v>0</v>
      </c>
      <c r="G1416" s="8">
        <f>E1416+F1416</f>
        <v>946.12990000000002</v>
      </c>
      <c r="H1416" s="3">
        <f>B1416*G1416</f>
        <v>62586.492885000007</v>
      </c>
      <c r="I1416" s="3">
        <f>C1416*G1416</f>
        <v>62652.721978000001</v>
      </c>
    </row>
    <row r="1417" spans="1:9" x14ac:dyDescent="0.25">
      <c r="A1417" t="s">
        <v>10</v>
      </c>
      <c r="B1417" s="1">
        <v>36.18</v>
      </c>
      <c r="C1417" s="1">
        <v>36.200000000000003</v>
      </c>
      <c r="D1417" s="2" t="s">
        <v>178</v>
      </c>
      <c r="E1417" s="8">
        <v>1730.1088000000002</v>
      </c>
      <c r="F1417" s="8">
        <f>F1407</f>
        <v>0.2</v>
      </c>
      <c r="G1417" s="8">
        <f>E1417+F1417</f>
        <v>1730.3088000000002</v>
      </c>
      <c r="H1417" s="3">
        <f>B1417*G1417</f>
        <v>62602.572384000006</v>
      </c>
      <c r="I1417" s="3">
        <f>C1417*G1417</f>
        <v>62637.178560000015</v>
      </c>
    </row>
    <row r="1418" spans="1:9" x14ac:dyDescent="0.25">
      <c r="A1418" t="s">
        <v>11</v>
      </c>
      <c r="B1418" s="1">
        <v>54.5</v>
      </c>
      <c r="C1418" s="1">
        <v>54.51</v>
      </c>
      <c r="D1418" s="2" t="s">
        <v>178</v>
      </c>
      <c r="E1418" s="8">
        <v>1148.8453</v>
      </c>
      <c r="F1418" s="8">
        <f>F1408</f>
        <v>0.05</v>
      </c>
      <c r="G1418" s="8">
        <f>E1418+F1418</f>
        <v>1148.8952999999999</v>
      </c>
      <c r="H1418" s="3">
        <f>B1418*G1418</f>
        <v>62614.793849999995</v>
      </c>
      <c r="I1418" s="3">
        <f>C1418*G1418</f>
        <v>62626.282802999995</v>
      </c>
    </row>
    <row r="1419" spans="1:9" x14ac:dyDescent="0.25">
      <c r="A1419" t="s">
        <v>12</v>
      </c>
      <c r="B1419" s="1">
        <v>48.58</v>
      </c>
      <c r="C1419" s="1">
        <v>48.59</v>
      </c>
      <c r="D1419" s="2" t="s">
        <v>178</v>
      </c>
      <c r="E1419" s="8">
        <v>1288.9085</v>
      </c>
      <c r="F1419" s="8">
        <f>F1409</f>
        <v>0</v>
      </c>
      <c r="G1419" s="8">
        <f>E1419+F1419</f>
        <v>1288.9085</v>
      </c>
      <c r="H1419" s="3">
        <f>B1419*G1419</f>
        <v>62615.174930000001</v>
      </c>
      <c r="I1419" s="3">
        <f>C1419*G1419</f>
        <v>62628.064015000004</v>
      </c>
    </row>
    <row r="1420" spans="1:9" x14ac:dyDescent="0.25">
      <c r="A1420" t="s">
        <v>13</v>
      </c>
      <c r="B1420" s="1">
        <v>17.7</v>
      </c>
      <c r="C1420" s="1">
        <v>17.71</v>
      </c>
      <c r="D1420" s="2" t="s">
        <v>178</v>
      </c>
      <c r="E1420" s="8">
        <v>3535.8029000000001</v>
      </c>
      <c r="F1420" s="8">
        <f>F1410</f>
        <v>0</v>
      </c>
      <c r="G1420" s="8">
        <f>E1420+F1420</f>
        <v>3535.8029000000001</v>
      </c>
      <c r="H1420" s="3">
        <f>B1420*G1420</f>
        <v>62583.711329999998</v>
      </c>
      <c r="I1420" s="3">
        <f>C1420*G1420</f>
        <v>62619.069359000008</v>
      </c>
    </row>
    <row r="1421" spans="1:9" x14ac:dyDescent="0.25">
      <c r="A1421" t="s">
        <v>14</v>
      </c>
      <c r="B1421" s="1">
        <v>35.46</v>
      </c>
      <c r="C1421" s="1">
        <v>35.47</v>
      </c>
      <c r="D1421" s="2" t="s">
        <v>178</v>
      </c>
      <c r="E1421" s="8">
        <v>1765.0472</v>
      </c>
      <c r="F1421" s="8">
        <f>F1411</f>
        <v>0.2</v>
      </c>
      <c r="G1421" s="8">
        <f>E1421+F1421</f>
        <v>1765.2472</v>
      </c>
      <c r="H1421" s="3">
        <f>B1421*G1421</f>
        <v>62595.665712000002</v>
      </c>
      <c r="I1421" s="3">
        <f>C1421*G1421</f>
        <v>62613.318183999996</v>
      </c>
    </row>
    <row r="1422" spans="1:9" x14ac:dyDescent="0.25">
      <c r="A1422" t="s">
        <v>4</v>
      </c>
      <c r="B1422" s="1">
        <v>20.83</v>
      </c>
      <c r="C1422" s="1">
        <v>20.84</v>
      </c>
      <c r="D1422" s="2" t="s">
        <v>179</v>
      </c>
      <c r="E1422" s="8">
        <v>3014.9315000000001</v>
      </c>
      <c r="F1422" s="8">
        <f>F1412</f>
        <v>0</v>
      </c>
      <c r="G1422" s="8">
        <f>E1422+F1422</f>
        <v>3014.9315000000001</v>
      </c>
      <c r="H1422" s="3">
        <f>B1422*G1422</f>
        <v>62801.023144999999</v>
      </c>
      <c r="I1422" s="3">
        <f>C1422*G1422</f>
        <v>62831.172460000002</v>
      </c>
    </row>
    <row r="1423" spans="1:9" x14ac:dyDescent="0.25">
      <c r="A1423" t="s">
        <v>6</v>
      </c>
      <c r="B1423" s="1">
        <v>34.1</v>
      </c>
      <c r="C1423" s="1">
        <v>34.11</v>
      </c>
      <c r="D1423" s="2" t="s">
        <v>179</v>
      </c>
      <c r="E1423" s="8">
        <v>1842.1104</v>
      </c>
      <c r="F1423" s="8">
        <f>F1413</f>
        <v>-0.1</v>
      </c>
      <c r="G1423" s="8">
        <f>E1423+F1423</f>
        <v>1842.0104000000001</v>
      </c>
      <c r="H1423" s="3">
        <f>B1423*G1423</f>
        <v>62812.554640000009</v>
      </c>
      <c r="I1423" s="3">
        <f>C1423*G1423</f>
        <v>62830.974744000006</v>
      </c>
    </row>
    <row r="1424" spans="1:9" x14ac:dyDescent="0.25">
      <c r="A1424" t="s">
        <v>7</v>
      </c>
      <c r="B1424" s="1">
        <v>17.7</v>
      </c>
      <c r="C1424" s="1">
        <v>17.71</v>
      </c>
      <c r="D1424" s="2" t="s">
        <v>179</v>
      </c>
      <c r="E1424" s="8">
        <v>3546.5621999999998</v>
      </c>
      <c r="F1424" s="8">
        <f>F1414</f>
        <v>0</v>
      </c>
      <c r="G1424" s="8">
        <f>E1424+F1424</f>
        <v>3546.5621999999998</v>
      </c>
      <c r="H1424" s="3">
        <f>B1424*G1424</f>
        <v>62774.150939999992</v>
      </c>
      <c r="I1424" s="3">
        <f>C1424*G1424</f>
        <v>62809.616562000003</v>
      </c>
    </row>
    <row r="1425" spans="1:9" x14ac:dyDescent="0.25">
      <c r="A1425" t="s">
        <v>8</v>
      </c>
      <c r="B1425" s="1">
        <v>27.78</v>
      </c>
      <c r="C1425" s="1">
        <v>27.79</v>
      </c>
      <c r="D1425" s="2" t="s">
        <v>179</v>
      </c>
      <c r="E1425" s="8">
        <v>2261.3323</v>
      </c>
      <c r="F1425" s="8">
        <f>F1415</f>
        <v>-0.2</v>
      </c>
      <c r="G1425" s="8">
        <f>E1425+F1425</f>
        <v>2261.1323000000002</v>
      </c>
      <c r="H1425" s="3">
        <f>B1425*G1425</f>
        <v>62814.25529400001</v>
      </c>
      <c r="I1425" s="3">
        <f>C1425*G1425</f>
        <v>62836.866617000007</v>
      </c>
    </row>
    <row r="1426" spans="1:9" x14ac:dyDescent="0.25">
      <c r="A1426" t="s">
        <v>9</v>
      </c>
      <c r="B1426" s="1">
        <v>66.38</v>
      </c>
      <c r="C1426" s="1">
        <v>66.45</v>
      </c>
      <c r="D1426" s="2" t="s">
        <v>179</v>
      </c>
      <c r="E1426" s="8">
        <v>946.12990000000002</v>
      </c>
      <c r="F1426" s="8">
        <f>F1416</f>
        <v>0</v>
      </c>
      <c r="G1426" s="8">
        <f>E1426+F1426</f>
        <v>946.12990000000002</v>
      </c>
      <c r="H1426" s="3">
        <f>B1426*G1426</f>
        <v>62804.102761999995</v>
      </c>
      <c r="I1426" s="3">
        <f>C1426*G1426</f>
        <v>62870.331855000004</v>
      </c>
    </row>
    <row r="1427" spans="1:9" x14ac:dyDescent="0.25">
      <c r="A1427" t="s">
        <v>10</v>
      </c>
      <c r="B1427" s="1">
        <v>36.299999999999997</v>
      </c>
      <c r="C1427" s="1">
        <v>36.32</v>
      </c>
      <c r="D1427" s="2" t="s">
        <v>179</v>
      </c>
      <c r="E1427" s="8">
        <v>1730.1088000000002</v>
      </c>
      <c r="F1427" s="8">
        <f>F1417</f>
        <v>0.2</v>
      </c>
      <c r="G1427" s="8">
        <f>E1427+F1427</f>
        <v>1730.3088000000002</v>
      </c>
      <c r="H1427" s="3">
        <f>B1427*G1427</f>
        <v>62810.209440000006</v>
      </c>
      <c r="I1427" s="3">
        <f>C1427*G1427</f>
        <v>62844.815616000007</v>
      </c>
    </row>
    <row r="1428" spans="1:9" x14ac:dyDescent="0.25">
      <c r="A1428" t="s">
        <v>11</v>
      </c>
      <c r="B1428" s="1">
        <v>54.67</v>
      </c>
      <c r="C1428" s="1">
        <v>54.68</v>
      </c>
      <c r="D1428" s="2" t="s">
        <v>179</v>
      </c>
      <c r="E1428" s="8">
        <v>1148.8453</v>
      </c>
      <c r="F1428" s="8">
        <f>F1418</f>
        <v>0.05</v>
      </c>
      <c r="G1428" s="8">
        <f>E1428+F1428</f>
        <v>1148.8952999999999</v>
      </c>
      <c r="H1428" s="3">
        <f>B1428*G1428</f>
        <v>62810.106050999995</v>
      </c>
      <c r="I1428" s="3">
        <f>C1428*G1428</f>
        <v>62821.595003999995</v>
      </c>
    </row>
    <row r="1429" spans="1:9" x14ac:dyDescent="0.25">
      <c r="A1429" t="s">
        <v>12</v>
      </c>
      <c r="B1429" s="1">
        <v>48.74</v>
      </c>
      <c r="C1429" s="1">
        <v>48.75</v>
      </c>
      <c r="D1429" s="2" t="s">
        <v>179</v>
      </c>
      <c r="E1429" s="8">
        <v>1288.9085</v>
      </c>
      <c r="F1429" s="8">
        <f>F1419</f>
        <v>0</v>
      </c>
      <c r="G1429" s="8">
        <f>E1429+F1429</f>
        <v>1288.9085</v>
      </c>
      <c r="H1429" s="3">
        <f>B1429*G1429</f>
        <v>62821.400290000005</v>
      </c>
      <c r="I1429" s="3">
        <f>C1429*G1429</f>
        <v>62834.289375</v>
      </c>
    </row>
    <row r="1430" spans="1:9" x14ac:dyDescent="0.25">
      <c r="A1430" t="s">
        <v>13</v>
      </c>
      <c r="B1430" s="1">
        <v>17.760000000000002</v>
      </c>
      <c r="C1430" s="1">
        <v>17.77</v>
      </c>
      <c r="D1430" s="2" t="s">
        <v>179</v>
      </c>
      <c r="E1430" s="8">
        <v>3535.8029000000001</v>
      </c>
      <c r="F1430" s="8">
        <f>F1420</f>
        <v>0</v>
      </c>
      <c r="G1430" s="8">
        <f>E1430+F1430</f>
        <v>3535.8029000000001</v>
      </c>
      <c r="H1430" s="3">
        <f>B1430*G1430</f>
        <v>62795.859504000007</v>
      </c>
      <c r="I1430" s="3">
        <f>C1430*G1430</f>
        <v>62831.217533000003</v>
      </c>
    </row>
    <row r="1431" spans="1:9" x14ac:dyDescent="0.25">
      <c r="A1431" t="s">
        <v>14</v>
      </c>
      <c r="B1431" s="1">
        <v>35.58</v>
      </c>
      <c r="C1431" s="1">
        <v>35.590000000000003</v>
      </c>
      <c r="D1431" s="2" t="s">
        <v>179</v>
      </c>
      <c r="E1431" s="8">
        <v>1765.0472</v>
      </c>
      <c r="F1431" s="8">
        <f>F1421</f>
        <v>0.2</v>
      </c>
      <c r="G1431" s="8">
        <f>E1431+F1431</f>
        <v>1765.2472</v>
      </c>
      <c r="H1431" s="3">
        <f>B1431*G1431</f>
        <v>62807.495375999999</v>
      </c>
      <c r="I1431" s="3">
        <f>C1431*G1431</f>
        <v>62825.147848000008</v>
      </c>
    </row>
    <row r="1432" spans="1:9" x14ac:dyDescent="0.25">
      <c r="A1432" t="s">
        <v>4</v>
      </c>
      <c r="B1432" s="1">
        <v>20.8</v>
      </c>
      <c r="C1432" s="1">
        <v>20.81</v>
      </c>
      <c r="D1432" s="2" t="s">
        <v>180</v>
      </c>
      <c r="E1432" s="8">
        <v>3014.9315000000001</v>
      </c>
      <c r="F1432" s="8">
        <f>F1422</f>
        <v>0</v>
      </c>
      <c r="G1432" s="8">
        <f>E1432+F1432</f>
        <v>3014.9315000000001</v>
      </c>
      <c r="H1432" s="3">
        <f>B1432*G1432</f>
        <v>62710.575200000007</v>
      </c>
      <c r="I1432" s="3">
        <f>C1432*G1432</f>
        <v>62740.724515000002</v>
      </c>
    </row>
    <row r="1433" spans="1:9" x14ac:dyDescent="0.25">
      <c r="A1433" t="s">
        <v>6</v>
      </c>
      <c r="B1433" s="1">
        <v>34.049999999999997</v>
      </c>
      <c r="C1433" s="1">
        <v>34.06</v>
      </c>
      <c r="D1433" s="2" t="s">
        <v>180</v>
      </c>
      <c r="E1433" s="8">
        <v>1842.1104</v>
      </c>
      <c r="F1433" s="8">
        <f>F1423</f>
        <v>-0.1</v>
      </c>
      <c r="G1433" s="8">
        <f>E1433+F1433</f>
        <v>1842.0104000000001</v>
      </c>
      <c r="H1433" s="3">
        <f>B1433*G1433</f>
        <v>62720.454120000002</v>
      </c>
      <c r="I1433" s="3">
        <f>C1433*G1433</f>
        <v>62738.874224000007</v>
      </c>
    </row>
    <row r="1434" spans="1:9" x14ac:dyDescent="0.25">
      <c r="A1434" t="s">
        <v>7</v>
      </c>
      <c r="B1434" s="1">
        <v>17.68</v>
      </c>
      <c r="C1434" s="1">
        <v>17.690000000000001</v>
      </c>
      <c r="D1434" s="2" t="s">
        <v>180</v>
      </c>
      <c r="E1434" s="8">
        <v>3546.5621999999998</v>
      </c>
      <c r="F1434" s="8">
        <f>F1424</f>
        <v>0</v>
      </c>
      <c r="G1434" s="8">
        <f>E1434+F1434</f>
        <v>3546.5621999999998</v>
      </c>
      <c r="H1434" s="3">
        <f>B1434*G1434</f>
        <v>62703.219695999993</v>
      </c>
      <c r="I1434" s="3">
        <f>C1434*G1434</f>
        <v>62738.685318000003</v>
      </c>
    </row>
    <row r="1435" spans="1:9" x14ac:dyDescent="0.25">
      <c r="A1435" t="s">
        <v>8</v>
      </c>
      <c r="B1435" s="1">
        <v>27.74</v>
      </c>
      <c r="C1435" s="1">
        <v>27.75</v>
      </c>
      <c r="D1435" s="2" t="s">
        <v>180</v>
      </c>
      <c r="E1435" s="8">
        <v>2261.3323</v>
      </c>
      <c r="F1435" s="8">
        <f>F1425</f>
        <v>-0.2</v>
      </c>
      <c r="G1435" s="8">
        <f>E1435+F1435</f>
        <v>2261.1323000000002</v>
      </c>
      <c r="H1435" s="3">
        <f>B1435*G1435</f>
        <v>62723.810002000006</v>
      </c>
      <c r="I1435" s="3">
        <f>C1435*G1435</f>
        <v>62746.421325000003</v>
      </c>
    </row>
    <row r="1436" spans="1:9" x14ac:dyDescent="0.25">
      <c r="A1436" t="s">
        <v>9</v>
      </c>
      <c r="B1436" s="1">
        <v>66.28</v>
      </c>
      <c r="C1436" s="1">
        <v>66.349999999999994</v>
      </c>
      <c r="D1436" s="2" t="s">
        <v>180</v>
      </c>
      <c r="E1436" s="8">
        <v>946.12990000000002</v>
      </c>
      <c r="F1436" s="8">
        <f>F1426</f>
        <v>0</v>
      </c>
      <c r="G1436" s="8">
        <f>E1436+F1436</f>
        <v>946.12990000000002</v>
      </c>
      <c r="H1436" s="3">
        <f>B1436*G1436</f>
        <v>62709.489772000001</v>
      </c>
      <c r="I1436" s="3">
        <f>C1436*G1436</f>
        <v>62775.718864999995</v>
      </c>
    </row>
    <row r="1437" spans="1:9" x14ac:dyDescent="0.25">
      <c r="A1437" t="s">
        <v>10</v>
      </c>
      <c r="B1437" s="1">
        <v>36.24</v>
      </c>
      <c r="C1437" s="1">
        <v>36.270000000000003</v>
      </c>
      <c r="D1437" s="2" t="s">
        <v>180</v>
      </c>
      <c r="E1437" s="8">
        <v>1730.1088000000002</v>
      </c>
      <c r="F1437" s="8">
        <f>F1427</f>
        <v>0.2</v>
      </c>
      <c r="G1437" s="8">
        <f>E1437+F1437</f>
        <v>1730.3088000000002</v>
      </c>
      <c r="H1437" s="3">
        <f>B1437*G1437</f>
        <v>62706.39091200001</v>
      </c>
      <c r="I1437" s="3">
        <f>C1437*G1437</f>
        <v>62758.300176000012</v>
      </c>
    </row>
    <row r="1438" spans="1:9" x14ac:dyDescent="0.25">
      <c r="A1438" t="s">
        <v>11</v>
      </c>
      <c r="B1438" s="1">
        <v>54.59</v>
      </c>
      <c r="C1438" s="1">
        <v>54.6</v>
      </c>
      <c r="D1438" s="2" t="s">
        <v>180</v>
      </c>
      <c r="E1438" s="8">
        <v>1148.8453</v>
      </c>
      <c r="F1438" s="8">
        <f>F1428</f>
        <v>0.05</v>
      </c>
      <c r="G1438" s="8">
        <f>E1438+F1438</f>
        <v>1148.8952999999999</v>
      </c>
      <c r="H1438" s="3">
        <f>B1438*G1438</f>
        <v>62718.194427000002</v>
      </c>
      <c r="I1438" s="3">
        <f>C1438*G1438</f>
        <v>62729.683379999995</v>
      </c>
    </row>
    <row r="1439" spans="1:9" x14ac:dyDescent="0.25">
      <c r="A1439" t="s">
        <v>12</v>
      </c>
      <c r="B1439" s="1">
        <v>48.66</v>
      </c>
      <c r="C1439" s="1">
        <v>48.67</v>
      </c>
      <c r="D1439" s="2" t="s">
        <v>180</v>
      </c>
      <c r="E1439" s="8">
        <v>1288.9085</v>
      </c>
      <c r="F1439" s="8">
        <f>F1429</f>
        <v>0</v>
      </c>
      <c r="G1439" s="8">
        <f>E1439+F1439</f>
        <v>1288.9085</v>
      </c>
      <c r="H1439" s="3">
        <f>B1439*G1439</f>
        <v>62718.287609999999</v>
      </c>
      <c r="I1439" s="3">
        <f>C1439*G1439</f>
        <v>62731.176695000002</v>
      </c>
    </row>
    <row r="1440" spans="1:9" x14ac:dyDescent="0.25">
      <c r="A1440" t="s">
        <v>13</v>
      </c>
      <c r="B1440" s="1">
        <v>17.73</v>
      </c>
      <c r="C1440" s="1">
        <v>17.739999999999998</v>
      </c>
      <c r="D1440" s="2" t="s">
        <v>180</v>
      </c>
      <c r="E1440" s="8">
        <v>3535.8029000000001</v>
      </c>
      <c r="F1440" s="8">
        <f>F1430</f>
        <v>0</v>
      </c>
      <c r="G1440" s="8">
        <f>E1440+F1440</f>
        <v>3535.8029000000001</v>
      </c>
      <c r="H1440" s="3">
        <f>B1440*G1440</f>
        <v>62689.785417000006</v>
      </c>
      <c r="I1440" s="3">
        <f>C1440*G1440</f>
        <v>62725.143445999995</v>
      </c>
    </row>
    <row r="1441" spans="1:9" x14ac:dyDescent="0.25">
      <c r="A1441" t="s">
        <v>14</v>
      </c>
      <c r="B1441" s="1">
        <v>35.53</v>
      </c>
      <c r="C1441" s="1">
        <v>35.54</v>
      </c>
      <c r="D1441" s="2" t="s">
        <v>180</v>
      </c>
      <c r="E1441" s="8">
        <v>1765.0472</v>
      </c>
      <c r="F1441" s="8">
        <f>F1431</f>
        <v>0.2</v>
      </c>
      <c r="G1441" s="8">
        <f>E1441+F1441</f>
        <v>1765.2472</v>
      </c>
      <c r="H1441" s="3">
        <f>B1441*G1441</f>
        <v>62719.233016000006</v>
      </c>
      <c r="I1441" s="3">
        <f>C1441*G1441</f>
        <v>62736.885488</v>
      </c>
    </row>
    <row r="1442" spans="1:9" x14ac:dyDescent="0.25">
      <c r="A1442" t="s">
        <v>4</v>
      </c>
      <c r="B1442" s="1">
        <v>20.81</v>
      </c>
      <c r="C1442" s="1">
        <v>20.82</v>
      </c>
      <c r="D1442" s="2" t="s">
        <v>181</v>
      </c>
      <c r="E1442" s="8">
        <v>3014.9315000000001</v>
      </c>
      <c r="F1442" s="8">
        <f>F1432</f>
        <v>0</v>
      </c>
      <c r="G1442" s="8">
        <f>E1442+F1442</f>
        <v>3014.9315000000001</v>
      </c>
      <c r="H1442" s="3">
        <f>B1442*G1442</f>
        <v>62740.724515000002</v>
      </c>
      <c r="I1442" s="3">
        <f>C1442*G1442</f>
        <v>62770.873830000004</v>
      </c>
    </row>
    <row r="1443" spans="1:9" x14ac:dyDescent="0.25">
      <c r="A1443" t="s">
        <v>6</v>
      </c>
      <c r="B1443" s="1">
        <v>34.06</v>
      </c>
      <c r="C1443" s="1">
        <v>34.07</v>
      </c>
      <c r="D1443" s="2" t="s">
        <v>181</v>
      </c>
      <c r="E1443" s="8">
        <v>1842.1104</v>
      </c>
      <c r="F1443" s="8">
        <f>F1433</f>
        <v>-0.1</v>
      </c>
      <c r="G1443" s="8">
        <f>E1443+F1443</f>
        <v>1842.0104000000001</v>
      </c>
      <c r="H1443" s="3">
        <f>B1443*G1443</f>
        <v>62738.874224000007</v>
      </c>
      <c r="I1443" s="3">
        <f>C1443*G1443</f>
        <v>62757.294328000004</v>
      </c>
    </row>
    <row r="1444" spans="1:9" x14ac:dyDescent="0.25">
      <c r="A1444" t="s">
        <v>7</v>
      </c>
      <c r="B1444" s="1">
        <v>17.68</v>
      </c>
      <c r="C1444" s="1">
        <v>17.690000000000001</v>
      </c>
      <c r="D1444" s="2" t="s">
        <v>181</v>
      </c>
      <c r="E1444" s="8">
        <v>3546.5621999999998</v>
      </c>
      <c r="F1444" s="8">
        <f>F1434</f>
        <v>0</v>
      </c>
      <c r="G1444" s="8">
        <f>E1444+F1444</f>
        <v>3546.5621999999998</v>
      </c>
      <c r="H1444" s="3">
        <f>B1444*G1444</f>
        <v>62703.219695999993</v>
      </c>
      <c r="I1444" s="3">
        <f>C1444*G1444</f>
        <v>62738.685318000003</v>
      </c>
    </row>
    <row r="1445" spans="1:9" x14ac:dyDescent="0.25">
      <c r="A1445" t="s">
        <v>8</v>
      </c>
      <c r="B1445" s="1">
        <v>27.75</v>
      </c>
      <c r="C1445" s="1">
        <v>27.76</v>
      </c>
      <c r="D1445" s="2" t="s">
        <v>181</v>
      </c>
      <c r="E1445" s="8">
        <v>2261.3323</v>
      </c>
      <c r="F1445" s="8">
        <f>F1435</f>
        <v>-0.2</v>
      </c>
      <c r="G1445" s="8">
        <f>E1445+F1445</f>
        <v>2261.1323000000002</v>
      </c>
      <c r="H1445" s="3">
        <f>B1445*G1445</f>
        <v>62746.421325000003</v>
      </c>
      <c r="I1445" s="3">
        <f>C1445*G1445</f>
        <v>62769.032648000008</v>
      </c>
    </row>
    <row r="1446" spans="1:9" x14ac:dyDescent="0.25">
      <c r="A1446" t="s">
        <v>9</v>
      </c>
      <c r="B1446" s="1">
        <v>66.31</v>
      </c>
      <c r="C1446" s="1">
        <v>66.37</v>
      </c>
      <c r="D1446" s="2" t="s">
        <v>181</v>
      </c>
      <c r="E1446" s="8">
        <v>946.12990000000002</v>
      </c>
      <c r="F1446" s="8">
        <f>F1436</f>
        <v>0</v>
      </c>
      <c r="G1446" s="8">
        <f>E1446+F1446</f>
        <v>946.12990000000002</v>
      </c>
      <c r="H1446" s="3">
        <f>B1446*G1446</f>
        <v>62737.873669000001</v>
      </c>
      <c r="I1446" s="3">
        <f>C1446*G1446</f>
        <v>62794.641463000007</v>
      </c>
    </row>
    <row r="1447" spans="1:9" x14ac:dyDescent="0.25">
      <c r="A1447" t="s">
        <v>10</v>
      </c>
      <c r="B1447" s="1">
        <v>36.26</v>
      </c>
      <c r="C1447" s="1">
        <v>36.28</v>
      </c>
      <c r="D1447" s="2" t="s">
        <v>181</v>
      </c>
      <c r="E1447" s="8">
        <v>1730.1088000000002</v>
      </c>
      <c r="F1447" s="8">
        <f>F1437</f>
        <v>0.2</v>
      </c>
      <c r="G1447" s="8">
        <f>E1447+F1447</f>
        <v>1730.3088000000002</v>
      </c>
      <c r="H1447" s="3">
        <f>B1447*G1447</f>
        <v>62740.997088000004</v>
      </c>
      <c r="I1447" s="3">
        <f>C1447*G1447</f>
        <v>62775.603264000012</v>
      </c>
    </row>
    <row r="1448" spans="1:9" x14ac:dyDescent="0.25">
      <c r="A1448" t="s">
        <v>11</v>
      </c>
      <c r="B1448" s="1">
        <v>54.6</v>
      </c>
      <c r="C1448" s="1">
        <v>54.61</v>
      </c>
      <c r="D1448" s="2" t="s">
        <v>181</v>
      </c>
      <c r="E1448" s="8">
        <v>1148.8453</v>
      </c>
      <c r="F1448" s="8">
        <f>F1438</f>
        <v>0.05</v>
      </c>
      <c r="G1448" s="8">
        <f>E1448+F1448</f>
        <v>1148.8952999999999</v>
      </c>
      <c r="H1448" s="3">
        <f>B1448*G1448</f>
        <v>62729.683379999995</v>
      </c>
      <c r="I1448" s="3">
        <f>C1448*G1448</f>
        <v>62741.172332999995</v>
      </c>
    </row>
    <row r="1449" spans="1:9" x14ac:dyDescent="0.25">
      <c r="A1449" t="s">
        <v>12</v>
      </c>
      <c r="B1449" s="1">
        <v>48.68</v>
      </c>
      <c r="C1449" s="1">
        <v>48.68</v>
      </c>
      <c r="D1449" s="2" t="s">
        <v>181</v>
      </c>
      <c r="E1449" s="8">
        <v>1288.9085</v>
      </c>
      <c r="F1449" s="8">
        <f>F1439</f>
        <v>0</v>
      </c>
      <c r="G1449" s="8">
        <f>E1449+F1449</f>
        <v>1288.9085</v>
      </c>
      <c r="H1449" s="3">
        <f>B1449*G1449</f>
        <v>62744.065779999997</v>
      </c>
      <c r="I1449" s="3">
        <f>C1449*G1449</f>
        <v>62744.065779999997</v>
      </c>
    </row>
    <row r="1450" spans="1:9" x14ac:dyDescent="0.25">
      <c r="A1450" t="s">
        <v>13</v>
      </c>
      <c r="B1450" s="1">
        <v>17.739999999999998</v>
      </c>
      <c r="C1450" s="1">
        <v>17.75</v>
      </c>
      <c r="D1450" s="2" t="s">
        <v>181</v>
      </c>
      <c r="E1450" s="8">
        <v>3535.8029000000001</v>
      </c>
      <c r="F1450" s="8">
        <f>F1440</f>
        <v>0</v>
      </c>
      <c r="G1450" s="8">
        <f>E1450+F1450</f>
        <v>3535.8029000000001</v>
      </c>
      <c r="H1450" s="3">
        <f>B1450*G1450</f>
        <v>62725.143445999995</v>
      </c>
      <c r="I1450" s="3">
        <f>C1450*G1450</f>
        <v>62760.501475000005</v>
      </c>
    </row>
    <row r="1451" spans="1:9" x14ac:dyDescent="0.25">
      <c r="A1451" t="s">
        <v>14</v>
      </c>
      <c r="B1451" s="1">
        <v>35.54</v>
      </c>
      <c r="C1451" s="1">
        <v>35.549999999999997</v>
      </c>
      <c r="D1451" s="2" t="s">
        <v>181</v>
      </c>
      <c r="E1451" s="8">
        <v>1765.0472</v>
      </c>
      <c r="F1451" s="8">
        <f>F1441</f>
        <v>0.2</v>
      </c>
      <c r="G1451" s="8">
        <f>E1451+F1451</f>
        <v>1765.2472</v>
      </c>
      <c r="H1451" s="3">
        <f>B1451*G1451</f>
        <v>62736.885488</v>
      </c>
      <c r="I1451" s="3">
        <f>C1451*G1451</f>
        <v>62754.537959999994</v>
      </c>
    </row>
    <row r="1452" spans="1:9" x14ac:dyDescent="0.25">
      <c r="A1452" t="s">
        <v>4</v>
      </c>
      <c r="B1452" s="1">
        <v>20.76</v>
      </c>
      <c r="C1452" s="1">
        <v>20.77</v>
      </c>
      <c r="D1452" s="2" t="s">
        <v>182</v>
      </c>
      <c r="E1452" s="8">
        <v>3014.9315000000001</v>
      </c>
      <c r="F1452" s="8">
        <f>F1442</f>
        <v>0</v>
      </c>
      <c r="G1452" s="8">
        <f>E1452+F1452</f>
        <v>3014.9315000000001</v>
      </c>
      <c r="H1452" s="3">
        <f>B1452*G1452</f>
        <v>62589.977940000004</v>
      </c>
      <c r="I1452" s="3">
        <f>C1452*G1452</f>
        <v>62620.127254999999</v>
      </c>
    </row>
    <row r="1453" spans="1:9" x14ac:dyDescent="0.25">
      <c r="A1453" t="s">
        <v>6</v>
      </c>
      <c r="B1453" s="1">
        <v>33.979999999999997</v>
      </c>
      <c r="C1453" s="1">
        <v>33.99</v>
      </c>
      <c r="D1453" s="2" t="s">
        <v>182</v>
      </c>
      <c r="E1453" s="8">
        <v>1842.1104</v>
      </c>
      <c r="F1453" s="8">
        <f>F1443</f>
        <v>-0.1</v>
      </c>
      <c r="G1453" s="8">
        <f>E1453+F1453</f>
        <v>1842.0104000000001</v>
      </c>
      <c r="H1453" s="3">
        <f>B1453*G1453</f>
        <v>62591.513392000001</v>
      </c>
      <c r="I1453" s="3">
        <f>C1453*G1453</f>
        <v>62609.933496000005</v>
      </c>
    </row>
    <row r="1454" spans="1:9" x14ac:dyDescent="0.25">
      <c r="A1454" t="s">
        <v>7</v>
      </c>
      <c r="B1454" s="1">
        <v>17.64</v>
      </c>
      <c r="C1454" s="1">
        <v>17.649999999999999</v>
      </c>
      <c r="D1454" s="2" t="s">
        <v>182</v>
      </c>
      <c r="E1454" s="8">
        <v>3546.5621999999998</v>
      </c>
      <c r="F1454" s="8">
        <f>F1444</f>
        <v>0</v>
      </c>
      <c r="G1454" s="8">
        <f>E1454+F1454</f>
        <v>3546.5621999999998</v>
      </c>
      <c r="H1454" s="3">
        <f>B1454*G1454</f>
        <v>62561.357208000001</v>
      </c>
      <c r="I1454" s="3">
        <f>C1454*G1454</f>
        <v>62596.82282999999</v>
      </c>
    </row>
    <row r="1455" spans="1:9" x14ac:dyDescent="0.25">
      <c r="A1455" t="s">
        <v>8</v>
      </c>
      <c r="B1455" s="1">
        <v>27.68</v>
      </c>
      <c r="C1455" s="1">
        <v>27.69</v>
      </c>
      <c r="D1455" s="2" t="s">
        <v>182</v>
      </c>
      <c r="E1455" s="8">
        <v>2261.3323</v>
      </c>
      <c r="F1455" s="8">
        <f>F1445</f>
        <v>-0.2</v>
      </c>
      <c r="G1455" s="8">
        <f>E1455+F1455</f>
        <v>2261.1323000000002</v>
      </c>
      <c r="H1455" s="3">
        <f>B1455*G1455</f>
        <v>62588.142064000007</v>
      </c>
      <c r="I1455" s="3">
        <f>C1455*G1455</f>
        <v>62610.753387000012</v>
      </c>
    </row>
    <row r="1456" spans="1:9" x14ac:dyDescent="0.25">
      <c r="A1456" t="s">
        <v>9</v>
      </c>
      <c r="B1456" s="1">
        <v>66.14</v>
      </c>
      <c r="C1456" s="1">
        <v>66.209999999999994</v>
      </c>
      <c r="D1456" s="2" t="s">
        <v>182</v>
      </c>
      <c r="E1456" s="8">
        <v>946.12990000000002</v>
      </c>
      <c r="F1456" s="8">
        <f>F1446</f>
        <v>0</v>
      </c>
      <c r="G1456" s="8">
        <f>E1456+F1456</f>
        <v>946.12990000000002</v>
      </c>
      <c r="H1456" s="3">
        <f>B1456*G1456</f>
        <v>62577.031586000005</v>
      </c>
      <c r="I1456" s="3">
        <f>C1456*G1456</f>
        <v>62643.260678999999</v>
      </c>
    </row>
    <row r="1457" spans="1:9" x14ac:dyDescent="0.25">
      <c r="A1457" t="s">
        <v>10</v>
      </c>
      <c r="B1457" s="1">
        <v>36.17</v>
      </c>
      <c r="C1457" s="1">
        <v>36.19</v>
      </c>
      <c r="D1457" s="2" t="s">
        <v>182</v>
      </c>
      <c r="E1457" s="8">
        <v>1730.1088000000002</v>
      </c>
      <c r="F1457" s="8">
        <f>F1447</f>
        <v>0.2</v>
      </c>
      <c r="G1457" s="8">
        <f>E1457+F1457</f>
        <v>1730.3088000000002</v>
      </c>
      <c r="H1457" s="3">
        <f>B1457*G1457</f>
        <v>62585.269296000013</v>
      </c>
      <c r="I1457" s="3">
        <f>C1457*G1457</f>
        <v>62619.875472000007</v>
      </c>
    </row>
    <row r="1458" spans="1:9" x14ac:dyDescent="0.25">
      <c r="A1458" t="s">
        <v>11</v>
      </c>
      <c r="B1458" s="1">
        <v>54.48</v>
      </c>
      <c r="C1458" s="1">
        <v>54.49</v>
      </c>
      <c r="D1458" s="2" t="s">
        <v>182</v>
      </c>
      <c r="E1458" s="8">
        <v>1148.8453</v>
      </c>
      <c r="F1458" s="8">
        <f>F1448</f>
        <v>0.05</v>
      </c>
      <c r="G1458" s="8">
        <f>E1458+F1458</f>
        <v>1148.8952999999999</v>
      </c>
      <c r="H1458" s="3">
        <f>B1458*G1458</f>
        <v>62591.815943999994</v>
      </c>
      <c r="I1458" s="3">
        <f>C1458*G1458</f>
        <v>62603.304896999995</v>
      </c>
    </row>
    <row r="1459" spans="1:9" x14ac:dyDescent="0.25">
      <c r="A1459" t="s">
        <v>12</v>
      </c>
      <c r="B1459" s="1">
        <v>48.56</v>
      </c>
      <c r="C1459" s="1">
        <v>48.57</v>
      </c>
      <c r="D1459" s="2" t="s">
        <v>182</v>
      </c>
      <c r="E1459" s="8">
        <v>1288.9085</v>
      </c>
      <c r="F1459" s="8">
        <f>F1449</f>
        <v>0</v>
      </c>
      <c r="G1459" s="8">
        <f>E1459+F1459</f>
        <v>1288.9085</v>
      </c>
      <c r="H1459" s="3">
        <f>B1459*G1459</f>
        <v>62589.396760000003</v>
      </c>
      <c r="I1459" s="3">
        <f>C1459*G1459</f>
        <v>62602.285844999999</v>
      </c>
    </row>
    <row r="1460" spans="1:9" x14ac:dyDescent="0.25">
      <c r="A1460" t="s">
        <v>13</v>
      </c>
      <c r="B1460" s="1">
        <v>17.7</v>
      </c>
      <c r="C1460" s="1">
        <v>17.71</v>
      </c>
      <c r="D1460" s="2" t="s">
        <v>182</v>
      </c>
      <c r="E1460" s="8">
        <v>3535.8029000000001</v>
      </c>
      <c r="F1460" s="8">
        <f>F1450</f>
        <v>0</v>
      </c>
      <c r="G1460" s="8">
        <f>E1460+F1460</f>
        <v>3535.8029000000001</v>
      </c>
      <c r="H1460" s="3">
        <f>B1460*G1460</f>
        <v>62583.711329999998</v>
      </c>
      <c r="I1460" s="3">
        <f>C1460*G1460</f>
        <v>62619.069359000008</v>
      </c>
    </row>
    <row r="1461" spans="1:9" x14ac:dyDescent="0.25">
      <c r="A1461" t="s">
        <v>14</v>
      </c>
      <c r="B1461" s="1">
        <v>35.450000000000003</v>
      </c>
      <c r="C1461" s="1">
        <v>35.46</v>
      </c>
      <c r="D1461" s="2" t="s">
        <v>182</v>
      </c>
      <c r="E1461" s="8">
        <v>1765.0472</v>
      </c>
      <c r="F1461" s="8">
        <f>F1451</f>
        <v>0.2</v>
      </c>
      <c r="G1461" s="8">
        <f>E1461+F1461</f>
        <v>1765.2472</v>
      </c>
      <c r="H1461" s="3">
        <f>B1461*G1461</f>
        <v>62578.013240000007</v>
      </c>
      <c r="I1461" s="3">
        <f>C1461*G1461</f>
        <v>62595.665712000002</v>
      </c>
    </row>
    <row r="1462" spans="1:9" x14ac:dyDescent="0.25">
      <c r="A1462" t="s">
        <v>4</v>
      </c>
      <c r="B1462" s="1">
        <v>20.78</v>
      </c>
      <c r="C1462" s="1">
        <v>20.79</v>
      </c>
      <c r="D1462" s="2" t="s">
        <v>183</v>
      </c>
      <c r="E1462" s="8">
        <v>3014.9315000000001</v>
      </c>
      <c r="F1462" s="8">
        <f>F1452</f>
        <v>0</v>
      </c>
      <c r="G1462" s="8">
        <f>E1462+F1462</f>
        <v>3014.9315000000001</v>
      </c>
      <c r="H1462" s="3">
        <f>B1462*G1462</f>
        <v>62650.276570000009</v>
      </c>
      <c r="I1462" s="3">
        <f>C1462*G1462</f>
        <v>62680.425884999997</v>
      </c>
    </row>
    <row r="1463" spans="1:9" x14ac:dyDescent="0.25">
      <c r="A1463" t="s">
        <v>6</v>
      </c>
      <c r="B1463" s="1">
        <v>34.020000000000003</v>
      </c>
      <c r="C1463" s="1">
        <v>34.03</v>
      </c>
      <c r="D1463" s="2" t="s">
        <v>183</v>
      </c>
      <c r="E1463" s="8">
        <v>1842.1104</v>
      </c>
      <c r="F1463" s="8">
        <f>F1453</f>
        <v>-0.1</v>
      </c>
      <c r="G1463" s="8">
        <f>E1463+F1463</f>
        <v>1842.0104000000001</v>
      </c>
      <c r="H1463" s="3">
        <f>B1463*G1463</f>
        <v>62665.193808000011</v>
      </c>
      <c r="I1463" s="3">
        <f>C1463*G1463</f>
        <v>62683.613912000008</v>
      </c>
    </row>
    <row r="1464" spans="1:9" x14ac:dyDescent="0.25">
      <c r="A1464" t="s">
        <v>7</v>
      </c>
      <c r="B1464" s="1">
        <v>17.66</v>
      </c>
      <c r="C1464" s="1">
        <v>17.670000000000002</v>
      </c>
      <c r="D1464" s="2" t="s">
        <v>183</v>
      </c>
      <c r="E1464" s="8">
        <v>3546.5621999999998</v>
      </c>
      <c r="F1464" s="8">
        <f>F1454</f>
        <v>0</v>
      </c>
      <c r="G1464" s="8">
        <f>E1464+F1464</f>
        <v>3546.5621999999998</v>
      </c>
      <c r="H1464" s="3">
        <f>B1464*G1464</f>
        <v>62632.288452000001</v>
      </c>
      <c r="I1464" s="3">
        <f>C1464*G1464</f>
        <v>62667.754074000004</v>
      </c>
    </row>
    <row r="1465" spans="1:9" x14ac:dyDescent="0.25">
      <c r="A1465" t="s">
        <v>8</v>
      </c>
      <c r="B1465" s="1">
        <v>27.71</v>
      </c>
      <c r="C1465" s="1">
        <v>27.72</v>
      </c>
      <c r="D1465" s="2" t="s">
        <v>183</v>
      </c>
      <c r="E1465" s="8">
        <v>2261.3323</v>
      </c>
      <c r="F1465" s="8">
        <f>F1455</f>
        <v>-0.2</v>
      </c>
      <c r="G1465" s="8">
        <f>E1465+F1465</f>
        <v>2261.1323000000002</v>
      </c>
      <c r="H1465" s="3">
        <f>B1465*G1465</f>
        <v>62655.976033000006</v>
      </c>
      <c r="I1465" s="3">
        <f>C1465*G1465</f>
        <v>62678.587356000004</v>
      </c>
    </row>
    <row r="1466" spans="1:9" x14ac:dyDescent="0.25">
      <c r="A1466" t="s">
        <v>9</v>
      </c>
      <c r="B1466" s="1">
        <v>66.22</v>
      </c>
      <c r="C1466" s="1">
        <v>66.28</v>
      </c>
      <c r="D1466" s="2" t="s">
        <v>183</v>
      </c>
      <c r="E1466" s="8">
        <v>946.12990000000002</v>
      </c>
      <c r="F1466" s="8">
        <f>F1456</f>
        <v>0</v>
      </c>
      <c r="G1466" s="8">
        <f>E1466+F1466</f>
        <v>946.12990000000002</v>
      </c>
      <c r="H1466" s="3">
        <f>B1466*G1466</f>
        <v>62652.721978000001</v>
      </c>
      <c r="I1466" s="3">
        <f>C1466*G1466</f>
        <v>62709.489772000001</v>
      </c>
    </row>
    <row r="1467" spans="1:9" x14ac:dyDescent="0.25">
      <c r="A1467" t="s">
        <v>10</v>
      </c>
      <c r="B1467" s="1">
        <v>36.21</v>
      </c>
      <c r="C1467" s="1">
        <v>36.229999999999997</v>
      </c>
      <c r="D1467" s="2" t="s">
        <v>183</v>
      </c>
      <c r="E1467" s="8">
        <v>1730.1088000000002</v>
      </c>
      <c r="F1467" s="8">
        <f>F1457</f>
        <v>0.2</v>
      </c>
      <c r="G1467" s="8">
        <f>E1467+F1467</f>
        <v>1730.3088000000002</v>
      </c>
      <c r="H1467" s="3">
        <f>B1467*G1467</f>
        <v>62654.481648000008</v>
      </c>
      <c r="I1467" s="3">
        <f>C1467*G1467</f>
        <v>62689.087824000002</v>
      </c>
    </row>
    <row r="1468" spans="1:9" x14ac:dyDescent="0.25">
      <c r="A1468" t="s">
        <v>11</v>
      </c>
      <c r="B1468" s="1">
        <v>54.53</v>
      </c>
      <c r="C1468" s="1">
        <v>54.54</v>
      </c>
      <c r="D1468" s="2" t="s">
        <v>183</v>
      </c>
      <c r="E1468" s="8">
        <v>1148.8453</v>
      </c>
      <c r="F1468" s="8">
        <f>F1458</f>
        <v>0.05</v>
      </c>
      <c r="G1468" s="8">
        <f>E1468+F1468</f>
        <v>1148.8952999999999</v>
      </c>
      <c r="H1468" s="3">
        <f>B1468*G1468</f>
        <v>62649.260708999995</v>
      </c>
      <c r="I1468" s="3">
        <f>C1468*G1468</f>
        <v>62660.749661999995</v>
      </c>
    </row>
    <row r="1469" spans="1:9" x14ac:dyDescent="0.25">
      <c r="A1469" t="s">
        <v>12</v>
      </c>
      <c r="B1469" s="1">
        <v>48.61</v>
      </c>
      <c r="C1469" s="1">
        <v>48.62</v>
      </c>
      <c r="D1469" s="2" t="s">
        <v>183</v>
      </c>
      <c r="E1469" s="8">
        <v>1288.9085</v>
      </c>
      <c r="F1469" s="8">
        <f>F1459</f>
        <v>0</v>
      </c>
      <c r="G1469" s="8">
        <f>E1469+F1469</f>
        <v>1288.9085</v>
      </c>
      <c r="H1469" s="3">
        <f>B1469*G1469</f>
        <v>62653.842185000001</v>
      </c>
      <c r="I1469" s="3">
        <f>C1469*G1469</f>
        <v>62666.731269999997</v>
      </c>
    </row>
    <row r="1470" spans="1:9" x14ac:dyDescent="0.25">
      <c r="A1470" t="s">
        <v>13</v>
      </c>
      <c r="B1470" s="1">
        <v>17.72</v>
      </c>
      <c r="C1470" s="1">
        <v>17.73</v>
      </c>
      <c r="D1470" s="2" t="s">
        <v>183</v>
      </c>
      <c r="E1470" s="8">
        <v>3535.8029000000001</v>
      </c>
      <c r="F1470" s="8">
        <f>F1460</f>
        <v>0</v>
      </c>
      <c r="G1470" s="8">
        <f>E1470+F1470</f>
        <v>3535.8029000000001</v>
      </c>
      <c r="H1470" s="3">
        <f>B1470*G1470</f>
        <v>62654.427387999996</v>
      </c>
      <c r="I1470" s="3">
        <f>C1470*G1470</f>
        <v>62689.785417000006</v>
      </c>
    </row>
    <row r="1471" spans="1:9" x14ac:dyDescent="0.25">
      <c r="A1471" t="s">
        <v>14</v>
      </c>
      <c r="B1471" s="1">
        <v>35.49</v>
      </c>
      <c r="C1471" s="1">
        <v>35.5</v>
      </c>
      <c r="D1471" s="2" t="s">
        <v>183</v>
      </c>
      <c r="E1471" s="8">
        <v>1765.0472</v>
      </c>
      <c r="F1471" s="8">
        <f>F1461</f>
        <v>0.2</v>
      </c>
      <c r="G1471" s="8">
        <f>E1471+F1471</f>
        <v>1765.2472</v>
      </c>
      <c r="H1471" s="3">
        <f>B1471*G1471</f>
        <v>62648.623128000007</v>
      </c>
      <c r="I1471" s="3">
        <f>C1471*G1471</f>
        <v>62666.275600000001</v>
      </c>
    </row>
    <row r="1472" spans="1:9" x14ac:dyDescent="0.25">
      <c r="A1472" t="s">
        <v>4</v>
      </c>
      <c r="B1472" s="1">
        <v>20.81</v>
      </c>
      <c r="C1472" s="1">
        <v>20.82</v>
      </c>
      <c r="D1472" s="2" t="s">
        <v>184</v>
      </c>
      <c r="E1472" s="8">
        <v>3014.9315000000001</v>
      </c>
      <c r="F1472" s="8">
        <f>F1462</f>
        <v>0</v>
      </c>
      <c r="G1472" s="8">
        <f>E1472+F1472</f>
        <v>3014.9315000000001</v>
      </c>
      <c r="H1472" s="3">
        <f>B1472*G1472</f>
        <v>62740.724515000002</v>
      </c>
      <c r="I1472" s="3">
        <f>C1472*G1472</f>
        <v>62770.873830000004</v>
      </c>
    </row>
    <row r="1473" spans="1:9" x14ac:dyDescent="0.25">
      <c r="A1473" t="s">
        <v>6</v>
      </c>
      <c r="B1473" s="1">
        <v>34.06</v>
      </c>
      <c r="C1473" s="1">
        <v>34.07</v>
      </c>
      <c r="D1473" s="2" t="s">
        <v>184</v>
      </c>
      <c r="E1473" s="8">
        <v>1842.1104</v>
      </c>
      <c r="F1473" s="8">
        <f>F1463</f>
        <v>-0.1</v>
      </c>
      <c r="G1473" s="8">
        <f>E1473+F1473</f>
        <v>1842.0104000000001</v>
      </c>
      <c r="H1473" s="3">
        <f>B1473*G1473</f>
        <v>62738.874224000007</v>
      </c>
      <c r="I1473" s="3">
        <f>C1473*G1473</f>
        <v>62757.294328000004</v>
      </c>
    </row>
    <row r="1474" spans="1:9" x14ac:dyDescent="0.25">
      <c r="A1474" t="s">
        <v>7</v>
      </c>
      <c r="B1474" s="1">
        <v>17.690000000000001</v>
      </c>
      <c r="C1474" s="1">
        <v>17.7</v>
      </c>
      <c r="D1474" s="2" t="s">
        <v>184</v>
      </c>
      <c r="E1474" s="8">
        <v>3546.5621999999998</v>
      </c>
      <c r="F1474" s="8">
        <f>F1464</f>
        <v>0</v>
      </c>
      <c r="G1474" s="8">
        <f>E1474+F1474</f>
        <v>3546.5621999999998</v>
      </c>
      <c r="H1474" s="3">
        <f>B1474*G1474</f>
        <v>62738.685318000003</v>
      </c>
      <c r="I1474" s="3">
        <f>C1474*G1474</f>
        <v>62774.150939999992</v>
      </c>
    </row>
    <row r="1475" spans="1:9" x14ac:dyDescent="0.25">
      <c r="A1475" t="s">
        <v>8</v>
      </c>
      <c r="B1475" s="1">
        <v>27.75</v>
      </c>
      <c r="C1475" s="1">
        <v>27.76</v>
      </c>
      <c r="D1475" s="2" t="s">
        <v>184</v>
      </c>
      <c r="E1475" s="8">
        <v>2261.3323</v>
      </c>
      <c r="F1475" s="8">
        <f>F1465</f>
        <v>-0.2</v>
      </c>
      <c r="G1475" s="8">
        <f>E1475+F1475</f>
        <v>2261.1323000000002</v>
      </c>
      <c r="H1475" s="3">
        <f>B1475*G1475</f>
        <v>62746.421325000003</v>
      </c>
      <c r="I1475" s="3">
        <f>C1475*G1475</f>
        <v>62769.032648000008</v>
      </c>
    </row>
    <row r="1476" spans="1:9" x14ac:dyDescent="0.25">
      <c r="A1476" t="s">
        <v>9</v>
      </c>
      <c r="B1476" s="1">
        <v>66.319999999999993</v>
      </c>
      <c r="C1476" s="1">
        <v>66.38</v>
      </c>
      <c r="D1476" s="2" t="s">
        <v>184</v>
      </c>
      <c r="E1476" s="8">
        <v>946.12990000000002</v>
      </c>
      <c r="F1476" s="8">
        <f>F1466</f>
        <v>0</v>
      </c>
      <c r="G1476" s="8">
        <f>E1476+F1476</f>
        <v>946.12990000000002</v>
      </c>
      <c r="H1476" s="3">
        <f>B1476*G1476</f>
        <v>62747.334967999996</v>
      </c>
      <c r="I1476" s="3">
        <f>C1476*G1476</f>
        <v>62804.102761999995</v>
      </c>
    </row>
    <row r="1477" spans="1:9" x14ac:dyDescent="0.25">
      <c r="A1477" t="s">
        <v>10</v>
      </c>
      <c r="B1477" s="1">
        <v>36.26</v>
      </c>
      <c r="C1477" s="1">
        <v>36.28</v>
      </c>
      <c r="D1477" s="2" t="s">
        <v>184</v>
      </c>
      <c r="E1477" s="8">
        <v>1730.1088000000002</v>
      </c>
      <c r="F1477" s="8">
        <f>F1467</f>
        <v>0.2</v>
      </c>
      <c r="G1477" s="8">
        <f>E1477+F1477</f>
        <v>1730.3088000000002</v>
      </c>
      <c r="H1477" s="3">
        <f>B1477*G1477</f>
        <v>62740.997088000004</v>
      </c>
      <c r="I1477" s="3">
        <f>C1477*G1477</f>
        <v>62775.603264000012</v>
      </c>
    </row>
    <row r="1478" spans="1:9" x14ac:dyDescent="0.25">
      <c r="A1478" t="s">
        <v>11</v>
      </c>
      <c r="B1478" s="1">
        <v>54.61</v>
      </c>
      <c r="C1478" s="1">
        <v>54.62</v>
      </c>
      <c r="D1478" s="2" t="s">
        <v>184</v>
      </c>
      <c r="E1478" s="8">
        <v>1148.8453</v>
      </c>
      <c r="F1478" s="8">
        <f>F1468</f>
        <v>0.05</v>
      </c>
      <c r="G1478" s="8">
        <f>E1478+F1478</f>
        <v>1148.8952999999999</v>
      </c>
      <c r="H1478" s="3">
        <f>B1478*G1478</f>
        <v>62741.172332999995</v>
      </c>
      <c r="I1478" s="3">
        <f>C1478*G1478</f>
        <v>62752.661285999995</v>
      </c>
    </row>
    <row r="1479" spans="1:9" x14ac:dyDescent="0.25">
      <c r="A1479" t="s">
        <v>12</v>
      </c>
      <c r="B1479" s="1">
        <v>48.68</v>
      </c>
      <c r="C1479" s="1">
        <v>48.69</v>
      </c>
      <c r="D1479" s="2" t="s">
        <v>184</v>
      </c>
      <c r="E1479" s="8">
        <v>1288.9085</v>
      </c>
      <c r="F1479" s="8">
        <f>F1469</f>
        <v>0</v>
      </c>
      <c r="G1479" s="8">
        <f>E1479+F1479</f>
        <v>1288.9085</v>
      </c>
      <c r="H1479" s="3">
        <f>B1479*G1479</f>
        <v>62744.065779999997</v>
      </c>
      <c r="I1479" s="3">
        <f>C1479*G1479</f>
        <v>62756.954865</v>
      </c>
    </row>
    <row r="1480" spans="1:9" x14ac:dyDescent="0.25">
      <c r="A1480" t="s">
        <v>13</v>
      </c>
      <c r="B1480" s="1">
        <v>17.75</v>
      </c>
      <c r="C1480" s="1">
        <v>17.760000000000002</v>
      </c>
      <c r="D1480" s="2" t="s">
        <v>184</v>
      </c>
      <c r="E1480" s="8">
        <v>3535.8029000000001</v>
      </c>
      <c r="F1480" s="8">
        <f>F1470</f>
        <v>0</v>
      </c>
      <c r="G1480" s="8">
        <f>E1480+F1480</f>
        <v>3535.8029000000001</v>
      </c>
      <c r="H1480" s="3">
        <f>B1480*G1480</f>
        <v>62760.501475000005</v>
      </c>
      <c r="I1480" s="3">
        <f>C1480*G1480</f>
        <v>62795.859504000007</v>
      </c>
    </row>
    <row r="1481" spans="1:9" x14ac:dyDescent="0.25">
      <c r="A1481" t="s">
        <v>14</v>
      </c>
      <c r="B1481" s="1">
        <v>35.54</v>
      </c>
      <c r="C1481" s="1">
        <v>35.549999999999997</v>
      </c>
      <c r="D1481" s="2" t="s">
        <v>184</v>
      </c>
      <c r="E1481" s="8">
        <v>1765.0472</v>
      </c>
      <c r="F1481" s="8">
        <f>F1471</f>
        <v>0.2</v>
      </c>
      <c r="G1481" s="8">
        <f>E1481+F1481</f>
        <v>1765.2472</v>
      </c>
      <c r="H1481" s="3">
        <f>B1481*G1481</f>
        <v>62736.885488</v>
      </c>
      <c r="I1481" s="3">
        <f>C1481*G1481</f>
        <v>62754.537959999994</v>
      </c>
    </row>
    <row r="1482" spans="1:9" x14ac:dyDescent="0.25">
      <c r="A1482" t="s">
        <v>4</v>
      </c>
      <c r="B1482" s="1">
        <v>20.86</v>
      </c>
      <c r="C1482" s="1">
        <v>20.87</v>
      </c>
      <c r="D1482" s="2" t="s">
        <v>185</v>
      </c>
      <c r="E1482" s="8">
        <v>3014.9315000000001</v>
      </c>
      <c r="F1482" s="8">
        <f>F1472</f>
        <v>0</v>
      </c>
      <c r="G1482" s="8">
        <f>E1482+F1482</f>
        <v>3014.9315000000001</v>
      </c>
      <c r="H1482" s="3">
        <f>B1482*G1482</f>
        <v>62891.471089999999</v>
      </c>
      <c r="I1482" s="3">
        <f>C1482*G1482</f>
        <v>62921.620405000009</v>
      </c>
    </row>
    <row r="1483" spans="1:9" x14ac:dyDescent="0.25">
      <c r="A1483" t="s">
        <v>6</v>
      </c>
      <c r="B1483" s="1">
        <v>34.14</v>
      </c>
      <c r="C1483" s="1">
        <v>34.15</v>
      </c>
      <c r="D1483" s="2" t="s">
        <v>185</v>
      </c>
      <c r="E1483" s="8">
        <v>1842.1104</v>
      </c>
      <c r="F1483" s="8">
        <f>F1473</f>
        <v>-0.1</v>
      </c>
      <c r="G1483" s="8">
        <f>E1483+F1483</f>
        <v>1842.0104000000001</v>
      </c>
      <c r="H1483" s="3">
        <f>B1483*G1483</f>
        <v>62886.235056000005</v>
      </c>
      <c r="I1483" s="3">
        <f>C1483*G1483</f>
        <v>62904.655160000002</v>
      </c>
    </row>
    <row r="1484" spans="1:9" x14ac:dyDescent="0.25">
      <c r="A1484" t="s">
        <v>7</v>
      </c>
      <c r="B1484" s="1">
        <v>17.72</v>
      </c>
      <c r="C1484" s="1">
        <v>17.73</v>
      </c>
      <c r="D1484" s="2" t="s">
        <v>185</v>
      </c>
      <c r="E1484" s="8">
        <v>3546.5621999999998</v>
      </c>
      <c r="F1484" s="8">
        <f>F1474</f>
        <v>0</v>
      </c>
      <c r="G1484" s="8">
        <f>E1484+F1484</f>
        <v>3546.5621999999998</v>
      </c>
      <c r="H1484" s="3">
        <f>B1484*G1484</f>
        <v>62845.082183999992</v>
      </c>
      <c r="I1484" s="3">
        <f>C1484*G1484</f>
        <v>62880.547806000002</v>
      </c>
    </row>
    <row r="1485" spans="1:9" x14ac:dyDescent="0.25">
      <c r="A1485" t="s">
        <v>8</v>
      </c>
      <c r="B1485" s="1">
        <v>27.81</v>
      </c>
      <c r="C1485" s="1">
        <v>27.82</v>
      </c>
      <c r="D1485" s="2" t="s">
        <v>185</v>
      </c>
      <c r="E1485" s="8">
        <v>2261.3323</v>
      </c>
      <c r="F1485" s="8">
        <f>F1475</f>
        <v>-0.2</v>
      </c>
      <c r="G1485" s="8">
        <f>E1485+F1485</f>
        <v>2261.1323000000002</v>
      </c>
      <c r="H1485" s="3">
        <f>B1485*G1485</f>
        <v>62882.089263000002</v>
      </c>
      <c r="I1485" s="3">
        <f>C1485*G1485</f>
        <v>62904.700586000006</v>
      </c>
    </row>
    <row r="1486" spans="1:9" x14ac:dyDescent="0.25">
      <c r="A1486" t="s">
        <v>9</v>
      </c>
      <c r="B1486" s="1">
        <v>66.41</v>
      </c>
      <c r="C1486" s="1">
        <v>66.510000000000005</v>
      </c>
      <c r="D1486" s="2" t="s">
        <v>185</v>
      </c>
      <c r="E1486" s="8">
        <v>946.12990000000002</v>
      </c>
      <c r="F1486" s="8">
        <f>F1476</f>
        <v>0</v>
      </c>
      <c r="G1486" s="8">
        <f>E1486+F1486</f>
        <v>946.12990000000002</v>
      </c>
      <c r="H1486" s="3">
        <f>B1486*G1486</f>
        <v>62832.486658999995</v>
      </c>
      <c r="I1486" s="3">
        <f>C1486*G1486</f>
        <v>62927.099649000003</v>
      </c>
    </row>
    <row r="1487" spans="1:9" x14ac:dyDescent="0.25">
      <c r="A1487" t="s">
        <v>10</v>
      </c>
      <c r="B1487" s="1">
        <v>36.340000000000003</v>
      </c>
      <c r="C1487" s="1">
        <v>36.36</v>
      </c>
      <c r="D1487" s="2" t="s">
        <v>185</v>
      </c>
      <c r="E1487" s="8">
        <v>1730.1088000000002</v>
      </c>
      <c r="F1487" s="8">
        <f>F1477</f>
        <v>0.2</v>
      </c>
      <c r="G1487" s="8">
        <f>E1487+F1487</f>
        <v>1730.3088000000002</v>
      </c>
      <c r="H1487" s="3">
        <f>B1487*G1487</f>
        <v>62879.421792000016</v>
      </c>
      <c r="I1487" s="3">
        <f>C1487*G1487</f>
        <v>62914.027968000009</v>
      </c>
    </row>
    <row r="1488" spans="1:9" x14ac:dyDescent="0.25">
      <c r="A1488" t="s">
        <v>11</v>
      </c>
      <c r="B1488" s="1">
        <v>54.72</v>
      </c>
      <c r="C1488" s="1">
        <v>54.73</v>
      </c>
      <c r="D1488" s="2" t="s">
        <v>185</v>
      </c>
      <c r="E1488" s="8">
        <v>1148.8453</v>
      </c>
      <c r="F1488" s="8">
        <f>F1478</f>
        <v>0.05</v>
      </c>
      <c r="G1488" s="8">
        <f>E1488+F1488</f>
        <v>1148.8952999999999</v>
      </c>
      <c r="H1488" s="3">
        <f>B1488*G1488</f>
        <v>62867.550815999995</v>
      </c>
      <c r="I1488" s="3">
        <f>C1488*G1488</f>
        <v>62879.039768999988</v>
      </c>
    </row>
    <row r="1489" spans="1:9" x14ac:dyDescent="0.25">
      <c r="A1489" t="s">
        <v>12</v>
      </c>
      <c r="B1489" s="1">
        <v>48.78</v>
      </c>
      <c r="C1489" s="1">
        <v>48.79</v>
      </c>
      <c r="D1489" s="2" t="s">
        <v>185</v>
      </c>
      <c r="E1489" s="8">
        <v>1288.9085</v>
      </c>
      <c r="F1489" s="8">
        <f>F1479</f>
        <v>0</v>
      </c>
      <c r="G1489" s="8">
        <f>E1489+F1489</f>
        <v>1288.9085</v>
      </c>
      <c r="H1489" s="3">
        <f>B1489*G1489</f>
        <v>62872.956630000001</v>
      </c>
      <c r="I1489" s="3">
        <f>C1489*G1489</f>
        <v>62885.845714999996</v>
      </c>
    </row>
    <row r="1490" spans="1:9" x14ac:dyDescent="0.25">
      <c r="A1490" t="s">
        <v>13</v>
      </c>
      <c r="B1490" s="1">
        <v>17.79</v>
      </c>
      <c r="C1490" s="1">
        <v>17.8</v>
      </c>
      <c r="D1490" s="2" t="s">
        <v>185</v>
      </c>
      <c r="E1490" s="8">
        <v>3535.8029000000001</v>
      </c>
      <c r="F1490" s="8">
        <f>F1480</f>
        <v>0</v>
      </c>
      <c r="G1490" s="8">
        <f>E1490+F1490</f>
        <v>3535.8029000000001</v>
      </c>
      <c r="H1490" s="3">
        <f>B1490*G1490</f>
        <v>62901.933591000001</v>
      </c>
      <c r="I1490" s="3">
        <f>C1490*G1490</f>
        <v>62937.291620000004</v>
      </c>
    </row>
    <row r="1491" spans="1:9" x14ac:dyDescent="0.25">
      <c r="A1491" t="s">
        <v>14</v>
      </c>
      <c r="B1491" s="1">
        <v>35.619999999999997</v>
      </c>
      <c r="C1491" s="1">
        <v>35.630000000000003</v>
      </c>
      <c r="D1491" s="2" t="s">
        <v>185</v>
      </c>
      <c r="E1491" s="8">
        <v>1765.0472</v>
      </c>
      <c r="F1491" s="8">
        <f>F1481</f>
        <v>0.2</v>
      </c>
      <c r="G1491" s="8">
        <f>E1491+F1491</f>
        <v>1765.2472</v>
      </c>
      <c r="H1491" s="3">
        <f>B1491*G1491</f>
        <v>62878.105263999998</v>
      </c>
      <c r="I1491" s="3">
        <f>C1491*G1491</f>
        <v>62895.757736000007</v>
      </c>
    </row>
    <row r="1492" spans="1:9" x14ac:dyDescent="0.25">
      <c r="A1492" t="s">
        <v>4</v>
      </c>
      <c r="B1492" s="1">
        <v>21.56</v>
      </c>
      <c r="C1492" s="1">
        <v>21.58</v>
      </c>
      <c r="D1492" s="2" t="s">
        <v>186</v>
      </c>
      <c r="E1492" s="8">
        <v>3014.9488000000001</v>
      </c>
      <c r="F1492" s="8">
        <f>F1482</f>
        <v>0</v>
      </c>
      <c r="G1492" s="8">
        <f>E1492+F1492</f>
        <v>3014.9488000000001</v>
      </c>
      <c r="H1492" s="3">
        <f>B1492*G1492</f>
        <v>65002.296128000002</v>
      </c>
      <c r="I1492" s="3">
        <f>C1492*G1492</f>
        <v>65062.595104</v>
      </c>
    </row>
    <row r="1493" spans="1:9" x14ac:dyDescent="0.25">
      <c r="A1493" t="s">
        <v>6</v>
      </c>
      <c r="B1493" s="1">
        <v>35.29</v>
      </c>
      <c r="C1493" s="1">
        <v>35.33</v>
      </c>
      <c r="D1493" s="2" t="s">
        <v>186</v>
      </c>
      <c r="E1493" s="8">
        <v>1842.1205</v>
      </c>
      <c r="F1493" s="8">
        <f>F1483</f>
        <v>-0.1</v>
      </c>
      <c r="G1493" s="8">
        <f>E1493+F1493</f>
        <v>1842.0205000000001</v>
      </c>
      <c r="H1493" s="3">
        <f>B1493*G1493</f>
        <v>65004.903445000004</v>
      </c>
      <c r="I1493" s="3">
        <f>C1493*G1493</f>
        <v>65078.584264999998</v>
      </c>
    </row>
    <row r="1494" spans="1:9" x14ac:dyDescent="0.25">
      <c r="A1494" t="s">
        <v>7</v>
      </c>
      <c r="B1494" s="1">
        <v>18.32</v>
      </c>
      <c r="C1494" s="1">
        <v>18.350000000000001</v>
      </c>
      <c r="D1494" s="2" t="s">
        <v>186</v>
      </c>
      <c r="E1494" s="8">
        <v>3546.5864999999999</v>
      </c>
      <c r="F1494" s="8">
        <f>F1484</f>
        <v>0</v>
      </c>
      <c r="G1494" s="8">
        <f>E1494+F1494</f>
        <v>3546.5864999999999</v>
      </c>
      <c r="H1494" s="3">
        <f>B1494*G1494</f>
        <v>64973.464679999997</v>
      </c>
      <c r="I1494" s="3">
        <f>C1494*G1494</f>
        <v>65079.862274999999</v>
      </c>
    </row>
    <row r="1495" spans="1:9" x14ac:dyDescent="0.25">
      <c r="A1495" t="s">
        <v>8</v>
      </c>
      <c r="B1495" s="1">
        <v>28.75</v>
      </c>
      <c r="C1495" s="1">
        <v>28.8</v>
      </c>
      <c r="D1495" s="2" t="s">
        <v>186</v>
      </c>
      <c r="E1495" s="8">
        <v>2261.3416000000002</v>
      </c>
      <c r="F1495" s="8">
        <f>F1485</f>
        <v>-0.2</v>
      </c>
      <c r="G1495" s="8">
        <f>E1495+F1495</f>
        <v>2261.1416000000004</v>
      </c>
      <c r="H1495" s="3">
        <f>B1495*G1495</f>
        <v>65007.821000000011</v>
      </c>
      <c r="I1495" s="3">
        <f>C1495*G1495</f>
        <v>65120.87808000001</v>
      </c>
    </row>
    <row r="1496" spans="1:9" x14ac:dyDescent="0.25">
      <c r="A1496" t="s">
        <v>9</v>
      </c>
      <c r="B1496" s="1">
        <v>68.540000000000006</v>
      </c>
      <c r="C1496" s="1">
        <v>69.099999999999994</v>
      </c>
      <c r="D1496" s="2" t="s">
        <v>186</v>
      </c>
      <c r="E1496" s="8">
        <v>946.13639999999998</v>
      </c>
      <c r="F1496" s="8">
        <f>F1486</f>
        <v>0</v>
      </c>
      <c r="G1496" s="8">
        <f>E1496+F1496</f>
        <v>946.13639999999998</v>
      </c>
      <c r="H1496" s="3">
        <f>B1496*G1496</f>
        <v>64848.188856000008</v>
      </c>
      <c r="I1496" s="3">
        <f>C1496*G1496</f>
        <v>65378.025239999995</v>
      </c>
    </row>
    <row r="1497" spans="1:9" x14ac:dyDescent="0.25">
      <c r="A1497" t="s">
        <v>10</v>
      </c>
      <c r="B1497" s="1">
        <v>37.56</v>
      </c>
      <c r="C1497" s="1">
        <v>37.659999999999997</v>
      </c>
      <c r="D1497" s="2" t="s">
        <v>186</v>
      </c>
      <c r="E1497" s="8">
        <v>1730.1178</v>
      </c>
      <c r="F1497" s="8">
        <f>F1487</f>
        <v>0.2</v>
      </c>
      <c r="G1497" s="8">
        <f>E1497+F1497</f>
        <v>1730.3178</v>
      </c>
      <c r="H1497" s="3">
        <f>B1497*G1497</f>
        <v>64990.736568000008</v>
      </c>
      <c r="I1497" s="3">
        <f>C1497*G1497</f>
        <v>65163.768347999998</v>
      </c>
    </row>
    <row r="1498" spans="1:9" x14ac:dyDescent="0.25">
      <c r="A1498" t="s">
        <v>11</v>
      </c>
      <c r="B1498" s="1">
        <v>56.59</v>
      </c>
      <c r="C1498" s="1">
        <v>56.62</v>
      </c>
      <c r="D1498" s="2" t="s">
        <v>186</v>
      </c>
      <c r="E1498" s="8">
        <v>1148.8532</v>
      </c>
      <c r="F1498" s="8">
        <f>F1488</f>
        <v>0.05</v>
      </c>
      <c r="G1498" s="8">
        <f>E1498+F1498</f>
        <v>1148.9032</v>
      </c>
      <c r="H1498" s="3">
        <f>B1498*G1498</f>
        <v>65016.432088000001</v>
      </c>
      <c r="I1498" s="3">
        <f>C1498*G1498</f>
        <v>65050.899183999994</v>
      </c>
    </row>
    <row r="1499" spans="1:9" x14ac:dyDescent="0.25">
      <c r="A1499" t="s">
        <v>12</v>
      </c>
      <c r="B1499" s="1">
        <v>50.45</v>
      </c>
      <c r="C1499" s="1">
        <v>50.48</v>
      </c>
      <c r="D1499" s="2" t="s">
        <v>186</v>
      </c>
      <c r="E1499" s="8">
        <v>1288.9615000000001</v>
      </c>
      <c r="F1499" s="8">
        <f>F1489</f>
        <v>0</v>
      </c>
      <c r="G1499" s="8">
        <f>E1499+F1499</f>
        <v>1288.9615000000001</v>
      </c>
      <c r="H1499" s="3">
        <f>B1499*G1499</f>
        <v>65028.107675000007</v>
      </c>
      <c r="I1499" s="3">
        <f>C1499*G1499</f>
        <v>65066.776519999999</v>
      </c>
    </row>
    <row r="1500" spans="1:9" x14ac:dyDescent="0.25">
      <c r="A1500" t="s">
        <v>13</v>
      </c>
      <c r="B1500" s="1">
        <v>18.38</v>
      </c>
      <c r="C1500" s="1">
        <v>18.41</v>
      </c>
      <c r="D1500" s="2" t="s">
        <v>186</v>
      </c>
      <c r="E1500" s="8">
        <v>3535.8029000000001</v>
      </c>
      <c r="F1500" s="8">
        <f>F1490</f>
        <v>0</v>
      </c>
      <c r="G1500" s="8">
        <f>E1500+F1500</f>
        <v>3535.8029000000001</v>
      </c>
      <c r="H1500" s="3">
        <f>B1500*G1500</f>
        <v>64988.057302000001</v>
      </c>
      <c r="I1500" s="3">
        <f>C1500*G1500</f>
        <v>65094.131389000002</v>
      </c>
    </row>
    <row r="1501" spans="1:9" x14ac:dyDescent="0.25">
      <c r="A1501" t="s">
        <v>14</v>
      </c>
      <c r="B1501" s="1">
        <v>36.840000000000003</v>
      </c>
      <c r="C1501" s="1">
        <v>36.85</v>
      </c>
      <c r="D1501" s="2" t="s">
        <v>186</v>
      </c>
      <c r="E1501" s="8">
        <v>1765.0592999999999</v>
      </c>
      <c r="F1501" s="8">
        <f>F1491</f>
        <v>0.2</v>
      </c>
      <c r="G1501" s="8">
        <f>E1501+F1501</f>
        <v>1765.2592999999999</v>
      </c>
      <c r="H1501" s="3">
        <f>B1501*G1501</f>
        <v>65032.152612000005</v>
      </c>
      <c r="I1501" s="3">
        <f>C1501*G1501</f>
        <v>65049.805204999997</v>
      </c>
    </row>
    <row r="1502" spans="1:9" x14ac:dyDescent="0.25">
      <c r="A1502" t="s">
        <v>4</v>
      </c>
      <c r="B1502" s="1">
        <v>21.56</v>
      </c>
      <c r="C1502" s="1">
        <v>21.57</v>
      </c>
      <c r="D1502" s="2" t="s">
        <v>187</v>
      </c>
      <c r="E1502" s="8">
        <v>3014.9488000000001</v>
      </c>
      <c r="F1502" s="8">
        <f>F1492</f>
        <v>0</v>
      </c>
      <c r="G1502" s="8">
        <f>E1502+F1502</f>
        <v>3014.9488000000001</v>
      </c>
      <c r="H1502" s="3">
        <f>B1502*G1502</f>
        <v>65002.296128000002</v>
      </c>
      <c r="I1502" s="3">
        <f>C1502*G1502</f>
        <v>65032.445616000005</v>
      </c>
    </row>
    <row r="1503" spans="1:9" x14ac:dyDescent="0.25">
      <c r="A1503" t="s">
        <v>6</v>
      </c>
      <c r="B1503" s="1">
        <v>35.29</v>
      </c>
      <c r="C1503" s="1">
        <v>35.299999999999997</v>
      </c>
      <c r="D1503" s="2" t="s">
        <v>187</v>
      </c>
      <c r="E1503" s="8">
        <v>1842.1205</v>
      </c>
      <c r="F1503" s="8">
        <f>F1493</f>
        <v>-0.1</v>
      </c>
      <c r="G1503" s="8">
        <f>E1503+F1503</f>
        <v>1842.0205000000001</v>
      </c>
      <c r="H1503" s="3">
        <f>B1503*G1503</f>
        <v>65004.903445000004</v>
      </c>
      <c r="I1503" s="3">
        <f>C1503*G1503</f>
        <v>65023.323649999998</v>
      </c>
    </row>
    <row r="1504" spans="1:9" x14ac:dyDescent="0.25">
      <c r="A1504" t="s">
        <v>7</v>
      </c>
      <c r="B1504" s="1">
        <v>18.329999999999998</v>
      </c>
      <c r="C1504" s="1">
        <v>18.34</v>
      </c>
      <c r="D1504" s="2" t="s">
        <v>187</v>
      </c>
      <c r="E1504" s="8">
        <v>3546.5864999999999</v>
      </c>
      <c r="F1504" s="8">
        <f>F1494</f>
        <v>0</v>
      </c>
      <c r="G1504" s="8">
        <f>E1504+F1504</f>
        <v>3546.5864999999999</v>
      </c>
      <c r="H1504" s="3">
        <f>B1504*G1504</f>
        <v>65008.930544999988</v>
      </c>
      <c r="I1504" s="3">
        <f>C1504*G1504</f>
        <v>65044.396409999994</v>
      </c>
    </row>
    <row r="1505" spans="1:9" x14ac:dyDescent="0.25">
      <c r="A1505" t="s">
        <v>8</v>
      </c>
      <c r="B1505" s="1">
        <v>28.76</v>
      </c>
      <c r="C1505" s="1">
        <v>28.76</v>
      </c>
      <c r="D1505" s="2" t="s">
        <v>187</v>
      </c>
      <c r="E1505" s="8">
        <v>2261.3416000000002</v>
      </c>
      <c r="F1505" s="8">
        <f>F1495</f>
        <v>-0.2</v>
      </c>
      <c r="G1505" s="8">
        <f>E1505+F1505</f>
        <v>2261.1416000000004</v>
      </c>
      <c r="H1505" s="3">
        <f>B1505*G1505</f>
        <v>65030.432416000018</v>
      </c>
      <c r="I1505" s="3">
        <f>C1505*G1505</f>
        <v>65030.432416000018</v>
      </c>
    </row>
    <row r="1506" spans="1:9" x14ac:dyDescent="0.25">
      <c r="A1506" t="s">
        <v>9</v>
      </c>
      <c r="B1506" s="1">
        <v>68.7</v>
      </c>
      <c r="C1506" s="1">
        <v>68.84</v>
      </c>
      <c r="D1506" s="2" t="s">
        <v>187</v>
      </c>
      <c r="E1506" s="8">
        <v>946.13639999999998</v>
      </c>
      <c r="F1506" s="8">
        <f>F1496</f>
        <v>0</v>
      </c>
      <c r="G1506" s="8">
        <f>E1506+F1506</f>
        <v>946.13639999999998</v>
      </c>
      <c r="H1506" s="3">
        <f>B1506*G1506</f>
        <v>64999.570680000004</v>
      </c>
      <c r="I1506" s="3">
        <f>C1506*G1506</f>
        <v>65132.029776000003</v>
      </c>
    </row>
    <row r="1507" spans="1:9" x14ac:dyDescent="0.25">
      <c r="A1507" t="s">
        <v>10</v>
      </c>
      <c r="B1507" s="1">
        <v>37.56</v>
      </c>
      <c r="C1507" s="1">
        <v>37.590000000000003</v>
      </c>
      <c r="D1507" s="2" t="s">
        <v>187</v>
      </c>
      <c r="E1507" s="8">
        <v>1730.1178</v>
      </c>
      <c r="F1507" s="8">
        <f>F1497</f>
        <v>0.2</v>
      </c>
      <c r="G1507" s="8">
        <f>E1507+F1507</f>
        <v>1730.3178</v>
      </c>
      <c r="H1507" s="3">
        <f>B1507*G1507</f>
        <v>64990.736568000008</v>
      </c>
      <c r="I1507" s="3">
        <f>C1507*G1507</f>
        <v>65042.646102000006</v>
      </c>
    </row>
    <row r="1508" spans="1:9" x14ac:dyDescent="0.25">
      <c r="A1508" t="s">
        <v>11</v>
      </c>
      <c r="B1508" s="1">
        <v>56.59</v>
      </c>
      <c r="C1508" s="1">
        <v>56.6</v>
      </c>
      <c r="D1508" s="2" t="s">
        <v>187</v>
      </c>
      <c r="E1508" s="8">
        <v>1148.8532</v>
      </c>
      <c r="F1508" s="8">
        <f>F1498</f>
        <v>0.05</v>
      </c>
      <c r="G1508" s="8">
        <f>E1508+F1508</f>
        <v>1148.9032</v>
      </c>
      <c r="H1508" s="3">
        <f>B1508*G1508</f>
        <v>65016.432088000001</v>
      </c>
      <c r="I1508" s="3">
        <f>C1508*G1508</f>
        <v>65027.921119999999</v>
      </c>
    </row>
    <row r="1509" spans="1:9" x14ac:dyDescent="0.25">
      <c r="A1509" t="s">
        <v>12</v>
      </c>
      <c r="B1509" s="1">
        <v>50.44</v>
      </c>
      <c r="C1509" s="1">
        <v>50.45</v>
      </c>
      <c r="D1509" s="2" t="s">
        <v>187</v>
      </c>
      <c r="E1509" s="8">
        <v>1288.9615000000001</v>
      </c>
      <c r="F1509" s="8">
        <f>F1499</f>
        <v>0</v>
      </c>
      <c r="G1509" s="8">
        <f>E1509+F1509</f>
        <v>1288.9615000000001</v>
      </c>
      <c r="H1509" s="3">
        <f>B1509*G1509</f>
        <v>65015.218059999999</v>
      </c>
      <c r="I1509" s="3">
        <f>C1509*G1509</f>
        <v>65028.107675000007</v>
      </c>
    </row>
    <row r="1510" spans="1:9" x14ac:dyDescent="0.25">
      <c r="A1510" t="s">
        <v>13</v>
      </c>
      <c r="B1510" s="1">
        <v>18.38</v>
      </c>
      <c r="C1510" s="1">
        <v>18.39</v>
      </c>
      <c r="D1510" s="2" t="s">
        <v>187</v>
      </c>
      <c r="E1510" s="8">
        <v>3535.8029000000001</v>
      </c>
      <c r="F1510" s="8">
        <f>F1500</f>
        <v>0</v>
      </c>
      <c r="G1510" s="8">
        <f>E1510+F1510</f>
        <v>3535.8029000000001</v>
      </c>
      <c r="H1510" s="3">
        <f>B1510*G1510</f>
        <v>64988.057302000001</v>
      </c>
      <c r="I1510" s="3">
        <f>C1510*G1510</f>
        <v>65023.415331000004</v>
      </c>
    </row>
    <row r="1511" spans="1:9" x14ac:dyDescent="0.25">
      <c r="A1511" t="s">
        <v>14</v>
      </c>
      <c r="B1511" s="1">
        <v>36.83</v>
      </c>
      <c r="C1511" s="1">
        <v>36.840000000000003</v>
      </c>
      <c r="D1511" s="2" t="s">
        <v>187</v>
      </c>
      <c r="E1511" s="8">
        <v>1765.0592999999999</v>
      </c>
      <c r="F1511" s="8">
        <f>F1501</f>
        <v>0.2</v>
      </c>
      <c r="G1511" s="8">
        <f>E1511+F1511</f>
        <v>1765.2592999999999</v>
      </c>
      <c r="H1511" s="3">
        <f>B1511*G1511</f>
        <v>65014.500018999992</v>
      </c>
      <c r="I1511" s="3">
        <f>C1511*G1511</f>
        <v>65032.152612000005</v>
      </c>
    </row>
    <row r="1512" spans="1:9" x14ac:dyDescent="0.25">
      <c r="A1512" t="s">
        <v>4</v>
      </c>
      <c r="B1512" s="1">
        <v>21.68</v>
      </c>
      <c r="C1512" s="1">
        <v>21.69</v>
      </c>
      <c r="D1512" s="2" t="s">
        <v>188</v>
      </c>
      <c r="E1512" s="8">
        <v>3014.9488000000001</v>
      </c>
      <c r="F1512" s="8">
        <f>F1502</f>
        <v>0</v>
      </c>
      <c r="G1512" s="8">
        <f>E1512+F1512</f>
        <v>3014.9488000000001</v>
      </c>
      <c r="H1512" s="3">
        <f>B1512*G1512</f>
        <v>65364.089983999998</v>
      </c>
      <c r="I1512" s="3">
        <f>C1512*G1512</f>
        <v>65394.239472000008</v>
      </c>
    </row>
    <row r="1513" spans="1:9" x14ac:dyDescent="0.25">
      <c r="A1513" t="s">
        <v>6</v>
      </c>
      <c r="B1513" s="1">
        <v>35.5</v>
      </c>
      <c r="C1513" s="1">
        <v>35.51</v>
      </c>
      <c r="D1513" s="2" t="s">
        <v>188</v>
      </c>
      <c r="E1513" s="8">
        <v>1842.1205</v>
      </c>
      <c r="F1513" s="8">
        <f>F1503</f>
        <v>-0.1</v>
      </c>
      <c r="G1513" s="8">
        <f>E1513+F1513</f>
        <v>1842.0205000000001</v>
      </c>
      <c r="H1513" s="3">
        <f>B1513*G1513</f>
        <v>65391.727750000005</v>
      </c>
      <c r="I1513" s="3">
        <f>C1513*G1513</f>
        <v>65410.147955</v>
      </c>
    </row>
    <row r="1514" spans="1:9" x14ac:dyDescent="0.25">
      <c r="A1514" t="s">
        <v>7</v>
      </c>
      <c r="B1514" s="1">
        <v>18.43</v>
      </c>
      <c r="C1514" s="1">
        <v>18.440000000000001</v>
      </c>
      <c r="D1514" s="2" t="s">
        <v>188</v>
      </c>
      <c r="E1514" s="8">
        <v>3546.5864999999999</v>
      </c>
      <c r="F1514" s="8">
        <f>F1504</f>
        <v>0</v>
      </c>
      <c r="G1514" s="8">
        <f>E1514+F1514</f>
        <v>3546.5864999999999</v>
      </c>
      <c r="H1514" s="3">
        <f>B1514*G1514</f>
        <v>65363.589195</v>
      </c>
      <c r="I1514" s="3">
        <f>C1514*G1514</f>
        <v>65399.055060000006</v>
      </c>
    </row>
    <row r="1515" spans="1:9" x14ac:dyDescent="0.25">
      <c r="A1515" t="s">
        <v>8</v>
      </c>
      <c r="B1515" s="1">
        <v>28.92</v>
      </c>
      <c r="C1515" s="1">
        <v>28.93</v>
      </c>
      <c r="D1515" s="2" t="s">
        <v>188</v>
      </c>
      <c r="E1515" s="8">
        <v>2261.3416000000002</v>
      </c>
      <c r="F1515" s="8">
        <f>F1505</f>
        <v>-0.2</v>
      </c>
      <c r="G1515" s="8">
        <f>E1515+F1515</f>
        <v>2261.1416000000004</v>
      </c>
      <c r="H1515" s="3">
        <f>B1515*G1515</f>
        <v>65392.215072000014</v>
      </c>
      <c r="I1515" s="3">
        <f>C1515*G1515</f>
        <v>65414.826488000013</v>
      </c>
    </row>
    <row r="1516" spans="1:9" x14ac:dyDescent="0.25">
      <c r="A1516" t="s">
        <v>9</v>
      </c>
      <c r="B1516" s="1">
        <v>69.069999999999993</v>
      </c>
      <c r="C1516" s="1">
        <v>69.2</v>
      </c>
      <c r="D1516" s="2" t="s">
        <v>188</v>
      </c>
      <c r="E1516" s="8">
        <v>946.13639999999998</v>
      </c>
      <c r="F1516" s="8">
        <f>F1506</f>
        <v>0</v>
      </c>
      <c r="G1516" s="8">
        <f>E1516+F1516</f>
        <v>946.13639999999998</v>
      </c>
      <c r="H1516" s="3">
        <f>B1516*G1516</f>
        <v>65349.641147999995</v>
      </c>
      <c r="I1516" s="3">
        <f>C1516*G1516</f>
        <v>65472.638879999999</v>
      </c>
    </row>
    <row r="1517" spans="1:9" x14ac:dyDescent="0.25">
      <c r="A1517" t="s">
        <v>10</v>
      </c>
      <c r="B1517" s="1">
        <v>37.78</v>
      </c>
      <c r="C1517" s="1">
        <v>37.799999999999997</v>
      </c>
      <c r="D1517" s="2" t="s">
        <v>188</v>
      </c>
      <c r="E1517" s="8">
        <v>1730.1178</v>
      </c>
      <c r="F1517" s="8">
        <f>F1507</f>
        <v>0.2</v>
      </c>
      <c r="G1517" s="8">
        <f>E1517+F1517</f>
        <v>1730.3178</v>
      </c>
      <c r="H1517" s="3">
        <f>B1517*G1517</f>
        <v>65371.406484000006</v>
      </c>
      <c r="I1517" s="3">
        <f>C1517*G1517</f>
        <v>65406.012839999996</v>
      </c>
    </row>
    <row r="1518" spans="1:9" x14ac:dyDescent="0.25">
      <c r="A1518" t="s">
        <v>11</v>
      </c>
      <c r="B1518" s="1">
        <v>56.9</v>
      </c>
      <c r="C1518" s="1">
        <v>56.91</v>
      </c>
      <c r="D1518" s="2" t="s">
        <v>188</v>
      </c>
      <c r="E1518" s="8">
        <v>1148.8532</v>
      </c>
      <c r="F1518" s="8">
        <f>F1508</f>
        <v>0.05</v>
      </c>
      <c r="G1518" s="8">
        <f>E1518+F1518</f>
        <v>1148.9032</v>
      </c>
      <c r="H1518" s="3">
        <f>B1518*G1518</f>
        <v>65372.592079999995</v>
      </c>
      <c r="I1518" s="3">
        <f>C1518*G1518</f>
        <v>65384.081111999993</v>
      </c>
    </row>
    <row r="1519" spans="1:9" x14ac:dyDescent="0.25">
      <c r="A1519" t="s">
        <v>12</v>
      </c>
      <c r="B1519" s="1">
        <v>50.73</v>
      </c>
      <c r="C1519" s="1">
        <v>50.74</v>
      </c>
      <c r="D1519" s="2" t="s">
        <v>188</v>
      </c>
      <c r="E1519" s="8">
        <v>1288.9615000000001</v>
      </c>
      <c r="F1519" s="8">
        <f>F1509</f>
        <v>0</v>
      </c>
      <c r="G1519" s="8">
        <f>E1519+F1519</f>
        <v>1288.9615000000001</v>
      </c>
      <c r="H1519" s="3">
        <f>B1519*G1519</f>
        <v>65389.016895000001</v>
      </c>
      <c r="I1519" s="3">
        <f>C1519*G1519</f>
        <v>65401.906510000008</v>
      </c>
    </row>
    <row r="1520" spans="1:9" x14ac:dyDescent="0.25">
      <c r="A1520" t="s">
        <v>13</v>
      </c>
      <c r="B1520" s="1">
        <v>18.489999999999998</v>
      </c>
      <c r="C1520" s="1">
        <v>18.5</v>
      </c>
      <c r="D1520" s="2" t="s">
        <v>188</v>
      </c>
      <c r="E1520" s="8">
        <v>3535.8029000000001</v>
      </c>
      <c r="F1520" s="8">
        <f>F1510</f>
        <v>0</v>
      </c>
      <c r="G1520" s="8">
        <f>E1520+F1520</f>
        <v>3535.8029000000001</v>
      </c>
      <c r="H1520" s="3">
        <f>B1520*G1520</f>
        <v>65376.995620999995</v>
      </c>
      <c r="I1520" s="3">
        <f>C1520*G1520</f>
        <v>65412.353650000005</v>
      </c>
    </row>
    <row r="1521" spans="1:9" x14ac:dyDescent="0.25">
      <c r="A1521" t="s">
        <v>14</v>
      </c>
      <c r="B1521" s="1">
        <v>37.04</v>
      </c>
      <c r="C1521" s="1">
        <v>37.049999999999997</v>
      </c>
      <c r="D1521" s="2" t="s">
        <v>188</v>
      </c>
      <c r="E1521" s="8">
        <v>1765.0592999999999</v>
      </c>
      <c r="F1521" s="8">
        <f>F1511</f>
        <v>0.2</v>
      </c>
      <c r="G1521" s="8">
        <f>E1521+F1521</f>
        <v>1765.2592999999999</v>
      </c>
      <c r="H1521" s="3">
        <f>B1521*G1521</f>
        <v>65385.204471999998</v>
      </c>
      <c r="I1521" s="3">
        <f>C1521*G1521</f>
        <v>65402.857064999989</v>
      </c>
    </row>
    <row r="1522" spans="1:9" x14ac:dyDescent="0.25">
      <c r="A1522" t="s">
        <v>4</v>
      </c>
      <c r="B1522" s="1">
        <v>21.68</v>
      </c>
      <c r="C1522" s="1">
        <v>21.69</v>
      </c>
      <c r="D1522" s="2" t="s">
        <v>189</v>
      </c>
      <c r="E1522" s="8">
        <v>3014.9488000000001</v>
      </c>
      <c r="F1522" s="8">
        <f>F1512</f>
        <v>0</v>
      </c>
      <c r="G1522" s="8">
        <f>E1522+F1522</f>
        <v>3014.9488000000001</v>
      </c>
      <c r="H1522" s="3">
        <f>B1522*G1522</f>
        <v>65364.089983999998</v>
      </c>
      <c r="I1522" s="3">
        <f>C1522*G1522</f>
        <v>65394.239472000008</v>
      </c>
    </row>
    <row r="1523" spans="1:9" x14ac:dyDescent="0.25">
      <c r="A1523" t="s">
        <v>6</v>
      </c>
      <c r="B1523" s="1">
        <v>35.49</v>
      </c>
      <c r="C1523" s="1">
        <v>35.5</v>
      </c>
      <c r="D1523" s="2" t="s">
        <v>189</v>
      </c>
      <c r="E1523" s="8">
        <v>1842.1205</v>
      </c>
      <c r="F1523" s="8">
        <f>F1513</f>
        <v>-0.1</v>
      </c>
      <c r="G1523" s="8">
        <f>E1523+F1523</f>
        <v>1842.0205000000001</v>
      </c>
      <c r="H1523" s="3">
        <f>B1523*G1523</f>
        <v>65373.307545000003</v>
      </c>
      <c r="I1523" s="3">
        <f>C1523*G1523</f>
        <v>65391.727750000005</v>
      </c>
    </row>
    <row r="1524" spans="1:9" x14ac:dyDescent="0.25">
      <c r="A1524" t="s">
        <v>7</v>
      </c>
      <c r="B1524" s="1">
        <v>18.43</v>
      </c>
      <c r="C1524" s="1">
        <v>18.440000000000001</v>
      </c>
      <c r="D1524" s="2" t="s">
        <v>189</v>
      </c>
      <c r="E1524" s="8">
        <v>3546.5864999999999</v>
      </c>
      <c r="F1524" s="8">
        <f>F1514</f>
        <v>0</v>
      </c>
      <c r="G1524" s="8">
        <f>E1524+F1524</f>
        <v>3546.5864999999999</v>
      </c>
      <c r="H1524" s="3">
        <f>B1524*G1524</f>
        <v>65363.589195</v>
      </c>
      <c r="I1524" s="3">
        <f>C1524*G1524</f>
        <v>65399.055060000006</v>
      </c>
    </row>
    <row r="1525" spans="1:9" x14ac:dyDescent="0.25">
      <c r="A1525" t="s">
        <v>8</v>
      </c>
      <c r="B1525" s="1">
        <v>28.91</v>
      </c>
      <c r="C1525" s="1">
        <v>28.92</v>
      </c>
      <c r="D1525" s="2" t="s">
        <v>189</v>
      </c>
      <c r="E1525" s="8">
        <v>2261.3416000000002</v>
      </c>
      <c r="F1525" s="8">
        <f>F1515</f>
        <v>-0.2</v>
      </c>
      <c r="G1525" s="8">
        <f>E1525+F1525</f>
        <v>2261.1416000000004</v>
      </c>
      <c r="H1525" s="3">
        <f>B1525*G1525</f>
        <v>65369.603656000014</v>
      </c>
      <c r="I1525" s="3">
        <f>C1525*G1525</f>
        <v>65392.215072000014</v>
      </c>
    </row>
    <row r="1526" spans="1:9" x14ac:dyDescent="0.25">
      <c r="A1526" t="s">
        <v>9</v>
      </c>
      <c r="B1526" s="1">
        <v>69.09</v>
      </c>
      <c r="C1526" s="1">
        <v>69.209999999999994</v>
      </c>
      <c r="D1526" s="2" t="s">
        <v>189</v>
      </c>
      <c r="E1526" s="8">
        <v>946.13639999999998</v>
      </c>
      <c r="F1526" s="8">
        <f>F1516</f>
        <v>0</v>
      </c>
      <c r="G1526" s="8">
        <f>E1526+F1526</f>
        <v>946.13639999999998</v>
      </c>
      <c r="H1526" s="3">
        <f>B1526*G1526</f>
        <v>65368.563876</v>
      </c>
      <c r="I1526" s="3">
        <f>C1526*G1526</f>
        <v>65482.100243999994</v>
      </c>
    </row>
    <row r="1527" spans="1:9" x14ac:dyDescent="0.25">
      <c r="A1527" t="s">
        <v>10</v>
      </c>
      <c r="B1527" s="1">
        <v>37.78</v>
      </c>
      <c r="C1527" s="1">
        <v>37.81</v>
      </c>
      <c r="D1527" s="2" t="s">
        <v>189</v>
      </c>
      <c r="E1527" s="8">
        <v>1730.1178</v>
      </c>
      <c r="F1527" s="8">
        <f>F1517</f>
        <v>0.2</v>
      </c>
      <c r="G1527" s="8">
        <f>E1527+F1527</f>
        <v>1730.3178</v>
      </c>
      <c r="H1527" s="3">
        <f>B1527*G1527</f>
        <v>65371.406484000006</v>
      </c>
      <c r="I1527" s="3">
        <f>C1527*G1527</f>
        <v>65423.316018000005</v>
      </c>
    </row>
    <row r="1528" spans="1:9" x14ac:dyDescent="0.25">
      <c r="A1528" t="s">
        <v>11</v>
      </c>
      <c r="B1528" s="1">
        <v>56.89</v>
      </c>
      <c r="C1528" s="1">
        <v>56.9</v>
      </c>
      <c r="D1528" s="2" t="s">
        <v>189</v>
      </c>
      <c r="E1528" s="8">
        <v>1148.8532</v>
      </c>
      <c r="F1528" s="8">
        <f>F1518</f>
        <v>0.05</v>
      </c>
      <c r="G1528" s="8">
        <f>E1528+F1528</f>
        <v>1148.9032</v>
      </c>
      <c r="H1528" s="3">
        <f>B1528*G1528</f>
        <v>65361.103047999997</v>
      </c>
      <c r="I1528" s="3">
        <f>C1528*G1528</f>
        <v>65372.592079999995</v>
      </c>
    </row>
    <row r="1529" spans="1:9" x14ac:dyDescent="0.25">
      <c r="A1529" t="s">
        <v>12</v>
      </c>
      <c r="B1529" s="1">
        <v>50.72</v>
      </c>
      <c r="C1529" s="1">
        <v>50.73</v>
      </c>
      <c r="D1529" s="2" t="s">
        <v>189</v>
      </c>
      <c r="E1529" s="8">
        <v>1288.9615000000001</v>
      </c>
      <c r="F1529" s="8">
        <f>F1519</f>
        <v>0</v>
      </c>
      <c r="G1529" s="8">
        <f>E1529+F1529</f>
        <v>1288.9615000000001</v>
      </c>
      <c r="H1529" s="3">
        <f>B1529*G1529</f>
        <v>65376.127280000008</v>
      </c>
      <c r="I1529" s="3">
        <f>C1529*G1529</f>
        <v>65389.016895000001</v>
      </c>
    </row>
    <row r="1530" spans="1:9" x14ac:dyDescent="0.25">
      <c r="A1530" t="s">
        <v>13</v>
      </c>
      <c r="B1530" s="1">
        <v>18.489999999999998</v>
      </c>
      <c r="C1530" s="1">
        <v>18.5</v>
      </c>
      <c r="D1530" s="2" t="s">
        <v>189</v>
      </c>
      <c r="E1530" s="8">
        <v>3535.8029000000001</v>
      </c>
      <c r="F1530" s="8">
        <f>F1520</f>
        <v>0</v>
      </c>
      <c r="G1530" s="8">
        <f>E1530+F1530</f>
        <v>3535.8029000000001</v>
      </c>
      <c r="H1530" s="3">
        <f>B1530*G1530</f>
        <v>65376.995620999995</v>
      </c>
      <c r="I1530" s="3">
        <f>C1530*G1530</f>
        <v>65412.353650000005</v>
      </c>
    </row>
    <row r="1531" spans="1:9" x14ac:dyDescent="0.25">
      <c r="A1531" t="s">
        <v>14</v>
      </c>
      <c r="B1531" s="1">
        <v>37.04</v>
      </c>
      <c r="C1531" s="1">
        <v>37.049999999999997</v>
      </c>
      <c r="D1531" s="2" t="s">
        <v>189</v>
      </c>
      <c r="E1531" s="8">
        <v>1765.0592999999999</v>
      </c>
      <c r="F1531" s="8">
        <f>F1521</f>
        <v>0.2</v>
      </c>
      <c r="G1531" s="8">
        <f>E1531+F1531</f>
        <v>1765.2592999999999</v>
      </c>
      <c r="H1531" s="3">
        <f>B1531*G1531</f>
        <v>65385.204471999998</v>
      </c>
      <c r="I1531" s="3">
        <f>C1531*G1531</f>
        <v>65402.857064999989</v>
      </c>
    </row>
    <row r="1532" spans="1:9" x14ac:dyDescent="0.25">
      <c r="A1532" t="s">
        <v>4</v>
      </c>
      <c r="B1532" s="1">
        <v>21.61</v>
      </c>
      <c r="C1532" s="1">
        <v>21.62</v>
      </c>
      <c r="D1532" s="2" t="s">
        <v>190</v>
      </c>
      <c r="E1532" s="8">
        <v>3014.9488000000001</v>
      </c>
      <c r="F1532" s="8">
        <f>F1522</f>
        <v>0</v>
      </c>
      <c r="G1532" s="8">
        <f>E1532+F1532</f>
        <v>3014.9488000000001</v>
      </c>
      <c r="H1532" s="3">
        <f>B1532*G1532</f>
        <v>65153.043568000001</v>
      </c>
      <c r="I1532" s="3">
        <f>C1532*G1532</f>
        <v>65183.193056000004</v>
      </c>
    </row>
    <row r="1533" spans="1:9" x14ac:dyDescent="0.25">
      <c r="A1533" t="s">
        <v>6</v>
      </c>
      <c r="B1533" s="1">
        <v>35.369999999999997</v>
      </c>
      <c r="C1533" s="1">
        <v>35.380000000000003</v>
      </c>
      <c r="D1533" s="2" t="s">
        <v>190</v>
      </c>
      <c r="E1533" s="8">
        <v>1842.1205</v>
      </c>
      <c r="F1533" s="8">
        <f>F1523</f>
        <v>-0.1</v>
      </c>
      <c r="G1533" s="8">
        <f>E1533+F1533</f>
        <v>1842.0205000000001</v>
      </c>
      <c r="H1533" s="3">
        <f>B1533*G1533</f>
        <v>65152.265084999999</v>
      </c>
      <c r="I1533" s="3">
        <f>C1533*G1533</f>
        <v>65170.685290000009</v>
      </c>
    </row>
    <row r="1534" spans="1:9" x14ac:dyDescent="0.25">
      <c r="A1534" t="s">
        <v>7</v>
      </c>
      <c r="B1534" s="1">
        <v>18.37</v>
      </c>
      <c r="C1534" s="1">
        <v>18.38</v>
      </c>
      <c r="D1534" s="2" t="s">
        <v>190</v>
      </c>
      <c r="E1534" s="8">
        <v>3546.5864999999999</v>
      </c>
      <c r="F1534" s="8">
        <f>F1524</f>
        <v>0</v>
      </c>
      <c r="G1534" s="8">
        <f>E1534+F1534</f>
        <v>3546.5864999999999</v>
      </c>
      <c r="H1534" s="3">
        <f>B1534*G1534</f>
        <v>65150.794005000003</v>
      </c>
      <c r="I1534" s="3">
        <f>C1534*G1534</f>
        <v>65186.259869999994</v>
      </c>
    </row>
    <row r="1535" spans="1:9" x14ac:dyDescent="0.25">
      <c r="A1535" t="s">
        <v>8</v>
      </c>
      <c r="B1535" s="1">
        <v>28.81</v>
      </c>
      <c r="C1535" s="1">
        <v>28.82</v>
      </c>
      <c r="D1535" s="2" t="s">
        <v>190</v>
      </c>
      <c r="E1535" s="8">
        <v>2261.3416000000002</v>
      </c>
      <c r="F1535" s="8">
        <f>F1525</f>
        <v>-0.2</v>
      </c>
      <c r="G1535" s="8">
        <f>E1535+F1535</f>
        <v>2261.1416000000004</v>
      </c>
      <c r="H1535" s="3">
        <f>B1535*G1535</f>
        <v>65143.489496000009</v>
      </c>
      <c r="I1535" s="3">
        <f>C1535*G1535</f>
        <v>65166.100912000009</v>
      </c>
    </row>
    <row r="1536" spans="1:9" x14ac:dyDescent="0.25">
      <c r="A1536" t="s">
        <v>9</v>
      </c>
      <c r="B1536" s="1">
        <v>68.87</v>
      </c>
      <c r="C1536" s="1">
        <v>69</v>
      </c>
      <c r="D1536" s="2" t="s">
        <v>190</v>
      </c>
      <c r="E1536" s="8">
        <v>946.13639999999998</v>
      </c>
      <c r="F1536" s="8">
        <f>F1526</f>
        <v>0</v>
      </c>
      <c r="G1536" s="8">
        <f>E1536+F1536</f>
        <v>946.13639999999998</v>
      </c>
      <c r="H1536" s="3">
        <f>B1536*G1536</f>
        <v>65160.413868000003</v>
      </c>
      <c r="I1536" s="3">
        <f>C1536*G1536</f>
        <v>65283.411599999999</v>
      </c>
    </row>
    <row r="1537" spans="1:9" x14ac:dyDescent="0.25">
      <c r="A1537" t="s">
        <v>10</v>
      </c>
      <c r="B1537" s="1">
        <v>37.65</v>
      </c>
      <c r="C1537" s="1">
        <v>37.67</v>
      </c>
      <c r="D1537" s="2" t="s">
        <v>190</v>
      </c>
      <c r="E1537" s="8">
        <v>1730.1178</v>
      </c>
      <c r="F1537" s="8">
        <f>F1527</f>
        <v>0.2</v>
      </c>
      <c r="G1537" s="8">
        <f>E1537+F1537</f>
        <v>1730.3178</v>
      </c>
      <c r="H1537" s="3">
        <f>B1537*G1537</f>
        <v>65146.465169999996</v>
      </c>
      <c r="I1537" s="3">
        <f>C1537*G1537</f>
        <v>65181.071526000007</v>
      </c>
    </row>
    <row r="1538" spans="1:9" x14ac:dyDescent="0.25">
      <c r="A1538" t="s">
        <v>11</v>
      </c>
      <c r="B1538" s="1">
        <v>56.7</v>
      </c>
      <c r="C1538" s="1">
        <v>56.71</v>
      </c>
      <c r="D1538" s="2" t="s">
        <v>190</v>
      </c>
      <c r="E1538" s="8">
        <v>1148.8532</v>
      </c>
      <c r="F1538" s="8">
        <f>F1528</f>
        <v>0.05</v>
      </c>
      <c r="G1538" s="8">
        <f>E1538+F1538</f>
        <v>1148.9032</v>
      </c>
      <c r="H1538" s="3">
        <f>B1538*G1538</f>
        <v>65142.811440000005</v>
      </c>
      <c r="I1538" s="3">
        <f>C1538*G1538</f>
        <v>65154.300472000003</v>
      </c>
    </row>
    <row r="1539" spans="1:9" x14ac:dyDescent="0.25">
      <c r="A1539" t="s">
        <v>12</v>
      </c>
      <c r="B1539" s="1">
        <v>50.54</v>
      </c>
      <c r="C1539" s="1">
        <v>50.55</v>
      </c>
      <c r="D1539" s="2" t="s">
        <v>190</v>
      </c>
      <c r="E1539" s="8">
        <v>1288.9615000000001</v>
      </c>
      <c r="F1539" s="8">
        <f>F1529</f>
        <v>0</v>
      </c>
      <c r="G1539" s="8">
        <f>E1539+F1539</f>
        <v>1288.9615000000001</v>
      </c>
      <c r="H1539" s="3">
        <f>B1539*G1539</f>
        <v>65144.114210000007</v>
      </c>
      <c r="I1539" s="3">
        <f>C1539*G1539</f>
        <v>65157.003825</v>
      </c>
    </row>
    <row r="1540" spans="1:9" x14ac:dyDescent="0.25">
      <c r="A1540" t="s">
        <v>13</v>
      </c>
      <c r="B1540" s="1">
        <v>18.420000000000002</v>
      </c>
      <c r="C1540" s="1">
        <v>18.43</v>
      </c>
      <c r="D1540" s="2" t="s">
        <v>190</v>
      </c>
      <c r="E1540" s="8">
        <v>3535.8029000000001</v>
      </c>
      <c r="F1540" s="8">
        <f>F1530</f>
        <v>0</v>
      </c>
      <c r="G1540" s="8">
        <f>E1540+F1540</f>
        <v>3535.8029000000001</v>
      </c>
      <c r="H1540" s="3">
        <f>B1540*G1540</f>
        <v>65129.489418000012</v>
      </c>
      <c r="I1540" s="3">
        <f>C1540*G1540</f>
        <v>65164.847447</v>
      </c>
    </row>
    <row r="1541" spans="1:9" x14ac:dyDescent="0.25">
      <c r="A1541" t="s">
        <v>14</v>
      </c>
      <c r="B1541" s="1">
        <v>36.909999999999997</v>
      </c>
      <c r="C1541" s="1">
        <v>36.92</v>
      </c>
      <c r="D1541" s="2" t="s">
        <v>190</v>
      </c>
      <c r="E1541" s="8">
        <v>1765.0592999999999</v>
      </c>
      <c r="F1541" s="8">
        <f>F1531</f>
        <v>0.2</v>
      </c>
      <c r="G1541" s="8">
        <f>E1541+F1541</f>
        <v>1765.2592999999999</v>
      </c>
      <c r="H1541" s="3">
        <f>B1541*G1541</f>
        <v>65155.72076299999</v>
      </c>
      <c r="I1541" s="3">
        <f>C1541*G1541</f>
        <v>65173.373356000004</v>
      </c>
    </row>
    <row r="1542" spans="1:9" x14ac:dyDescent="0.25">
      <c r="A1542" t="s">
        <v>4</v>
      </c>
      <c r="B1542" s="1">
        <v>21.5</v>
      </c>
      <c r="C1542" s="1">
        <v>21.51</v>
      </c>
      <c r="D1542" s="2" t="s">
        <v>191</v>
      </c>
      <c r="E1542" s="8">
        <v>3014.9488000000001</v>
      </c>
      <c r="F1542" s="8">
        <f>F1532</f>
        <v>0</v>
      </c>
      <c r="G1542" s="8">
        <f>E1542+F1542</f>
        <v>3014.9488000000001</v>
      </c>
      <c r="H1542" s="3">
        <f>B1542*G1542</f>
        <v>64821.3992</v>
      </c>
      <c r="I1542" s="3">
        <f>C1542*G1542</f>
        <v>64851.54868800001</v>
      </c>
    </row>
    <row r="1543" spans="1:9" x14ac:dyDescent="0.25">
      <c r="A1543" t="s">
        <v>6</v>
      </c>
      <c r="B1543" s="1">
        <v>35.200000000000003</v>
      </c>
      <c r="C1543" s="1">
        <v>35.21</v>
      </c>
      <c r="D1543" s="2" t="s">
        <v>191</v>
      </c>
      <c r="E1543" s="8">
        <v>1842.1205</v>
      </c>
      <c r="F1543" s="8">
        <f>F1533</f>
        <v>-0.1</v>
      </c>
      <c r="G1543" s="8">
        <f>E1543+F1543</f>
        <v>1842.0205000000001</v>
      </c>
      <c r="H1543" s="3">
        <f>B1543*G1543</f>
        <v>64839.121600000006</v>
      </c>
      <c r="I1543" s="3">
        <f>C1543*G1543</f>
        <v>64857.541805000008</v>
      </c>
    </row>
    <row r="1544" spans="1:9" x14ac:dyDescent="0.25">
      <c r="A1544" t="s">
        <v>7</v>
      </c>
      <c r="B1544" s="1">
        <v>18.27</v>
      </c>
      <c r="C1544" s="1">
        <v>18.28</v>
      </c>
      <c r="D1544" s="2" t="s">
        <v>191</v>
      </c>
      <c r="E1544" s="8">
        <v>3546.5864999999999</v>
      </c>
      <c r="F1544" s="8">
        <f>F1534</f>
        <v>0</v>
      </c>
      <c r="G1544" s="8">
        <f>E1544+F1544</f>
        <v>3546.5864999999999</v>
      </c>
      <c r="H1544" s="3">
        <f>B1544*G1544</f>
        <v>64796.135354999999</v>
      </c>
      <c r="I1544" s="3">
        <f>C1544*G1544</f>
        <v>64831.601220000004</v>
      </c>
    </row>
    <row r="1545" spans="1:9" x14ac:dyDescent="0.25">
      <c r="A1545" t="s">
        <v>8</v>
      </c>
      <c r="B1545" s="1">
        <v>28.67</v>
      </c>
      <c r="C1545" s="1">
        <v>28.68</v>
      </c>
      <c r="D1545" s="2" t="s">
        <v>191</v>
      </c>
      <c r="E1545" s="8">
        <v>2261.3416000000002</v>
      </c>
      <c r="F1545" s="8">
        <f>F1535</f>
        <v>-0.2</v>
      </c>
      <c r="G1545" s="8">
        <f>E1545+F1545</f>
        <v>2261.1416000000004</v>
      </c>
      <c r="H1545" s="3">
        <f>B1545*G1545</f>
        <v>64826.929672000013</v>
      </c>
      <c r="I1545" s="3">
        <f>C1545*G1545</f>
        <v>64849.541088000013</v>
      </c>
    </row>
    <row r="1546" spans="1:9" x14ac:dyDescent="0.25">
      <c r="A1546" t="s">
        <v>9</v>
      </c>
      <c r="B1546" s="1">
        <v>68.489999999999995</v>
      </c>
      <c r="C1546" s="1">
        <v>68.599999999999994</v>
      </c>
      <c r="D1546" s="2" t="s">
        <v>191</v>
      </c>
      <c r="E1546" s="8">
        <v>946.13639999999998</v>
      </c>
      <c r="F1546" s="8">
        <f>F1536</f>
        <v>0</v>
      </c>
      <c r="G1546" s="8">
        <f>E1546+F1546</f>
        <v>946.13639999999998</v>
      </c>
      <c r="H1546" s="3">
        <f>B1546*G1546</f>
        <v>64800.882035999995</v>
      </c>
      <c r="I1546" s="3">
        <f>C1546*G1546</f>
        <v>64904.957039999994</v>
      </c>
    </row>
    <row r="1547" spans="1:9" x14ac:dyDescent="0.25">
      <c r="A1547" t="s">
        <v>10</v>
      </c>
      <c r="B1547" s="1">
        <v>37.46</v>
      </c>
      <c r="C1547" s="1">
        <v>37.49</v>
      </c>
      <c r="D1547" s="2" t="s">
        <v>191</v>
      </c>
      <c r="E1547" s="8">
        <v>1730.1178</v>
      </c>
      <c r="F1547" s="8">
        <f>F1537</f>
        <v>0.2</v>
      </c>
      <c r="G1547" s="8">
        <f>E1547+F1547</f>
        <v>1730.3178</v>
      </c>
      <c r="H1547" s="3">
        <f>B1547*G1547</f>
        <v>64817.704788000003</v>
      </c>
      <c r="I1547" s="3">
        <f>C1547*G1547</f>
        <v>64869.614322000001</v>
      </c>
    </row>
    <row r="1548" spans="1:9" x14ac:dyDescent="0.25">
      <c r="A1548" t="s">
        <v>11</v>
      </c>
      <c r="B1548" s="1">
        <v>56.42</v>
      </c>
      <c r="C1548" s="1">
        <v>56.43</v>
      </c>
      <c r="D1548" s="2" t="s">
        <v>191</v>
      </c>
      <c r="E1548" s="8">
        <v>1148.8532</v>
      </c>
      <c r="F1548" s="8">
        <f>F1538</f>
        <v>0.05</v>
      </c>
      <c r="G1548" s="8">
        <f>E1548+F1548</f>
        <v>1148.9032</v>
      </c>
      <c r="H1548" s="3">
        <f>B1548*G1548</f>
        <v>64821.118543999997</v>
      </c>
      <c r="I1548" s="3">
        <f>C1548*G1548</f>
        <v>64832.607575999995</v>
      </c>
    </row>
    <row r="1549" spans="1:9" x14ac:dyDescent="0.25">
      <c r="A1549" t="s">
        <v>12</v>
      </c>
      <c r="B1549" s="1">
        <v>50.3</v>
      </c>
      <c r="C1549" s="1">
        <v>50.31</v>
      </c>
      <c r="D1549" s="2" t="s">
        <v>191</v>
      </c>
      <c r="E1549" s="8">
        <v>1288.9615000000001</v>
      </c>
      <c r="F1549" s="8">
        <f>F1539</f>
        <v>0</v>
      </c>
      <c r="G1549" s="8">
        <f>E1549+F1549</f>
        <v>1288.9615000000001</v>
      </c>
      <c r="H1549" s="3">
        <f>B1549*G1549</f>
        <v>64834.763449999999</v>
      </c>
      <c r="I1549" s="3">
        <f>C1549*G1549</f>
        <v>64847.653065000006</v>
      </c>
    </row>
    <row r="1550" spans="1:9" x14ac:dyDescent="0.25">
      <c r="A1550" t="s">
        <v>13</v>
      </c>
      <c r="B1550" s="1">
        <v>18.329999999999998</v>
      </c>
      <c r="C1550" s="1">
        <v>18.34</v>
      </c>
      <c r="D1550" s="2" t="s">
        <v>191</v>
      </c>
      <c r="E1550" s="8">
        <v>3535.8029000000001</v>
      </c>
      <c r="F1550" s="8">
        <f>F1540</f>
        <v>0</v>
      </c>
      <c r="G1550" s="8">
        <f>E1550+F1550</f>
        <v>3535.8029000000001</v>
      </c>
      <c r="H1550" s="3">
        <f>B1550*G1550</f>
        <v>64811.267156999995</v>
      </c>
      <c r="I1550" s="3">
        <f>C1550*G1550</f>
        <v>64846.625186000005</v>
      </c>
    </row>
    <row r="1551" spans="1:9" x14ac:dyDescent="0.25">
      <c r="A1551" t="s">
        <v>14</v>
      </c>
      <c r="B1551" s="1">
        <v>36.729999999999997</v>
      </c>
      <c r="C1551" s="1">
        <v>36.74</v>
      </c>
      <c r="D1551" s="2" t="s">
        <v>191</v>
      </c>
      <c r="E1551" s="8">
        <v>1765.0592999999999</v>
      </c>
      <c r="F1551" s="8">
        <f>F1541</f>
        <v>0.2</v>
      </c>
      <c r="G1551" s="8">
        <f>E1551+F1551</f>
        <v>1765.2592999999999</v>
      </c>
      <c r="H1551" s="3">
        <f>B1551*G1551</f>
        <v>64837.974088999996</v>
      </c>
      <c r="I1551" s="3">
        <f>C1551*G1551</f>
        <v>64855.626682000002</v>
      </c>
    </row>
    <row r="1552" spans="1:9" x14ac:dyDescent="0.25">
      <c r="A1552" t="s">
        <v>4</v>
      </c>
      <c r="B1552" s="1">
        <v>21.51</v>
      </c>
      <c r="C1552" s="1">
        <v>21.52</v>
      </c>
      <c r="D1552" s="2" t="s">
        <v>192</v>
      </c>
      <c r="E1552" s="8">
        <v>3014.9488000000001</v>
      </c>
      <c r="F1552" s="8">
        <f>F1542</f>
        <v>0</v>
      </c>
      <c r="G1552" s="8">
        <f>E1552+F1552</f>
        <v>3014.9488000000001</v>
      </c>
      <c r="H1552" s="3">
        <f>B1552*G1552</f>
        <v>64851.54868800001</v>
      </c>
      <c r="I1552" s="3">
        <f>C1552*G1552</f>
        <v>64881.698175999998</v>
      </c>
    </row>
    <row r="1553" spans="1:9" x14ac:dyDescent="0.25">
      <c r="A1553" t="s">
        <v>6</v>
      </c>
      <c r="B1553" s="1">
        <v>35.21</v>
      </c>
      <c r="C1553" s="1">
        <v>35.22</v>
      </c>
      <c r="D1553" s="2" t="s">
        <v>192</v>
      </c>
      <c r="E1553" s="8">
        <v>1842.1205</v>
      </c>
      <c r="F1553" s="8">
        <f>F1543</f>
        <v>-0.1</v>
      </c>
      <c r="G1553" s="8">
        <f>E1553+F1553</f>
        <v>1842.0205000000001</v>
      </c>
      <c r="H1553" s="3">
        <f>B1553*G1553</f>
        <v>64857.541805000008</v>
      </c>
      <c r="I1553" s="3">
        <f>C1553*G1553</f>
        <v>64875.962010000003</v>
      </c>
    </row>
    <row r="1554" spans="1:9" x14ac:dyDescent="0.25">
      <c r="A1554" t="s">
        <v>7</v>
      </c>
      <c r="B1554" s="1">
        <v>18.28</v>
      </c>
      <c r="C1554" s="1">
        <v>18.29</v>
      </c>
      <c r="D1554" s="2" t="s">
        <v>192</v>
      </c>
      <c r="E1554" s="8">
        <v>3546.5864999999999</v>
      </c>
      <c r="F1554" s="8">
        <f>F1544</f>
        <v>0</v>
      </c>
      <c r="G1554" s="8">
        <f>E1554+F1554</f>
        <v>3546.5864999999999</v>
      </c>
      <c r="H1554" s="3">
        <f>B1554*G1554</f>
        <v>64831.601220000004</v>
      </c>
      <c r="I1554" s="3">
        <f>C1554*G1554</f>
        <v>64867.067084999995</v>
      </c>
    </row>
    <row r="1555" spans="1:9" x14ac:dyDescent="0.25">
      <c r="A1555" t="s">
        <v>8</v>
      </c>
      <c r="B1555" s="1">
        <v>28.68</v>
      </c>
      <c r="C1555" s="1">
        <v>28.69</v>
      </c>
      <c r="D1555" s="2" t="s">
        <v>192</v>
      </c>
      <c r="E1555" s="8">
        <v>2261.3416000000002</v>
      </c>
      <c r="F1555" s="8">
        <f>F1545</f>
        <v>-0.2</v>
      </c>
      <c r="G1555" s="8">
        <f>E1555+F1555</f>
        <v>2261.1416000000004</v>
      </c>
      <c r="H1555" s="3">
        <f>B1555*G1555</f>
        <v>64849.541088000013</v>
      </c>
      <c r="I1555" s="3">
        <f>C1555*G1555</f>
        <v>64872.152504000012</v>
      </c>
    </row>
    <row r="1556" spans="1:9" x14ac:dyDescent="0.25">
      <c r="A1556" t="s">
        <v>9</v>
      </c>
      <c r="B1556" s="1">
        <v>68.510000000000005</v>
      </c>
      <c r="C1556" s="1">
        <v>68.650000000000006</v>
      </c>
      <c r="D1556" s="2" t="s">
        <v>192</v>
      </c>
      <c r="E1556" s="8">
        <v>946.13639999999998</v>
      </c>
      <c r="F1556" s="8">
        <f>F1546</f>
        <v>0</v>
      </c>
      <c r="G1556" s="8">
        <f>E1556+F1556</f>
        <v>946.13639999999998</v>
      </c>
      <c r="H1556" s="3">
        <f>B1556*G1556</f>
        <v>64819.804764</v>
      </c>
      <c r="I1556" s="3">
        <f>C1556*G1556</f>
        <v>64952.263860000006</v>
      </c>
    </row>
    <row r="1557" spans="1:9" x14ac:dyDescent="0.25">
      <c r="A1557" t="s">
        <v>10</v>
      </c>
      <c r="B1557" s="1">
        <v>37.49</v>
      </c>
      <c r="C1557" s="1">
        <v>37.51</v>
      </c>
      <c r="D1557" s="2" t="s">
        <v>192</v>
      </c>
      <c r="E1557" s="8">
        <v>1730.1178</v>
      </c>
      <c r="F1557" s="8">
        <f>F1547</f>
        <v>0.2</v>
      </c>
      <c r="G1557" s="8">
        <f>E1557+F1557</f>
        <v>1730.3178</v>
      </c>
      <c r="H1557" s="3">
        <f>B1557*G1557</f>
        <v>64869.614322000001</v>
      </c>
      <c r="I1557" s="3">
        <f>C1557*G1557</f>
        <v>64904.220677999998</v>
      </c>
    </row>
    <row r="1558" spans="1:9" x14ac:dyDescent="0.25">
      <c r="A1558" t="s">
        <v>11</v>
      </c>
      <c r="B1558" s="1">
        <v>56.45</v>
      </c>
      <c r="C1558" s="1">
        <v>56.46</v>
      </c>
      <c r="D1558" s="2" t="s">
        <v>192</v>
      </c>
      <c r="E1558" s="8">
        <v>1148.8532</v>
      </c>
      <c r="F1558" s="8">
        <f>F1548</f>
        <v>0.05</v>
      </c>
      <c r="G1558" s="8">
        <f>E1558+F1558</f>
        <v>1148.9032</v>
      </c>
      <c r="H1558" s="3">
        <f>B1558*G1558</f>
        <v>64855.585640000005</v>
      </c>
      <c r="I1558" s="3">
        <f>C1558*G1558</f>
        <v>64867.074672000002</v>
      </c>
    </row>
    <row r="1559" spans="1:9" x14ac:dyDescent="0.25">
      <c r="A1559" t="s">
        <v>12</v>
      </c>
      <c r="B1559" s="1">
        <v>50.32</v>
      </c>
      <c r="C1559" s="1">
        <v>50.33</v>
      </c>
      <c r="D1559" s="2" t="s">
        <v>192</v>
      </c>
      <c r="E1559" s="8">
        <v>1288.9615000000001</v>
      </c>
      <c r="F1559" s="8">
        <f>F1549</f>
        <v>0</v>
      </c>
      <c r="G1559" s="8">
        <f>E1559+F1559</f>
        <v>1288.9615000000001</v>
      </c>
      <c r="H1559" s="3">
        <f>B1559*G1559</f>
        <v>64860.542680000006</v>
      </c>
      <c r="I1559" s="3">
        <f>C1559*G1559</f>
        <v>64873.432295000006</v>
      </c>
    </row>
    <row r="1560" spans="1:9" x14ac:dyDescent="0.25">
      <c r="A1560" t="s">
        <v>13</v>
      </c>
      <c r="B1560" s="1">
        <v>18.34</v>
      </c>
      <c r="C1560" s="1">
        <v>18.350000000000001</v>
      </c>
      <c r="D1560" s="2" t="s">
        <v>192</v>
      </c>
      <c r="E1560" s="8">
        <v>3535.8029000000001</v>
      </c>
      <c r="F1560" s="8">
        <f>F1550</f>
        <v>0</v>
      </c>
      <c r="G1560" s="8">
        <f>E1560+F1560</f>
        <v>3535.8029000000001</v>
      </c>
      <c r="H1560" s="3">
        <f>B1560*G1560</f>
        <v>64846.625186000005</v>
      </c>
      <c r="I1560" s="3">
        <f>C1560*G1560</f>
        <v>64881.983215000007</v>
      </c>
    </row>
    <row r="1561" spans="1:9" x14ac:dyDescent="0.25">
      <c r="A1561" t="s">
        <v>14</v>
      </c>
      <c r="B1561" s="1">
        <v>36.74</v>
      </c>
      <c r="C1561" s="1">
        <v>36.75</v>
      </c>
      <c r="D1561" s="2" t="s">
        <v>192</v>
      </c>
      <c r="E1561" s="8">
        <v>1765.0592999999999</v>
      </c>
      <c r="F1561" s="8">
        <f>F1551</f>
        <v>0.2</v>
      </c>
      <c r="G1561" s="8">
        <f>E1561+F1561</f>
        <v>1765.2592999999999</v>
      </c>
      <c r="H1561" s="3">
        <f>B1561*G1561</f>
        <v>64855.626682000002</v>
      </c>
      <c r="I1561" s="3">
        <f>C1561*G1561</f>
        <v>64873.279275000001</v>
      </c>
    </row>
    <row r="1562" spans="1:9" x14ac:dyDescent="0.25">
      <c r="A1562" t="s">
        <v>4</v>
      </c>
      <c r="B1562" s="1">
        <v>21.55</v>
      </c>
      <c r="C1562" s="1">
        <v>21.56</v>
      </c>
      <c r="D1562" s="2" t="s">
        <v>193</v>
      </c>
      <c r="E1562" s="8">
        <v>3014.9488000000001</v>
      </c>
      <c r="F1562" s="8">
        <f>F1552</f>
        <v>0</v>
      </c>
      <c r="G1562" s="8">
        <f>E1562+F1562</f>
        <v>3014.9488000000001</v>
      </c>
      <c r="H1562" s="3">
        <f>B1562*G1562</f>
        <v>64972.146640000006</v>
      </c>
      <c r="I1562" s="3">
        <f>C1562*G1562</f>
        <v>65002.296128000002</v>
      </c>
    </row>
    <row r="1563" spans="1:9" x14ac:dyDescent="0.25">
      <c r="A1563" t="s">
        <v>6</v>
      </c>
      <c r="B1563" s="1">
        <v>35.28</v>
      </c>
      <c r="C1563" s="1">
        <v>35.29</v>
      </c>
      <c r="D1563" s="2" t="s">
        <v>193</v>
      </c>
      <c r="E1563" s="8">
        <v>1842.1205</v>
      </c>
      <c r="F1563" s="8">
        <f>F1553</f>
        <v>-0.1</v>
      </c>
      <c r="G1563" s="8">
        <f>E1563+F1563</f>
        <v>1842.0205000000001</v>
      </c>
      <c r="H1563" s="3">
        <f>B1563*G1563</f>
        <v>64986.483240000009</v>
      </c>
      <c r="I1563" s="3">
        <f>C1563*G1563</f>
        <v>65004.903445000004</v>
      </c>
    </row>
    <row r="1564" spans="1:9" x14ac:dyDescent="0.25">
      <c r="A1564" t="s">
        <v>7</v>
      </c>
      <c r="B1564" s="1">
        <v>18.32</v>
      </c>
      <c r="C1564" s="1">
        <v>18.329999999999998</v>
      </c>
      <c r="D1564" s="2" t="s">
        <v>193</v>
      </c>
      <c r="E1564" s="8">
        <v>3546.5864999999999</v>
      </c>
      <c r="F1564" s="8">
        <f>F1554</f>
        <v>0</v>
      </c>
      <c r="G1564" s="8">
        <f>E1564+F1564</f>
        <v>3546.5864999999999</v>
      </c>
      <c r="H1564" s="3">
        <f>B1564*G1564</f>
        <v>64973.464679999997</v>
      </c>
      <c r="I1564" s="3">
        <f>C1564*G1564</f>
        <v>65008.930544999988</v>
      </c>
    </row>
    <row r="1565" spans="1:9" x14ac:dyDescent="0.25">
      <c r="A1565" t="s">
        <v>8</v>
      </c>
      <c r="B1565" s="1">
        <v>28.74</v>
      </c>
      <c r="C1565" s="1">
        <v>28.75</v>
      </c>
      <c r="D1565" s="2" t="s">
        <v>193</v>
      </c>
      <c r="E1565" s="8">
        <v>2261.3416000000002</v>
      </c>
      <c r="F1565" s="8">
        <f>F1555</f>
        <v>-0.2</v>
      </c>
      <c r="G1565" s="8">
        <f>E1565+F1565</f>
        <v>2261.1416000000004</v>
      </c>
      <c r="H1565" s="3">
        <f>B1565*G1565</f>
        <v>64985.209584000004</v>
      </c>
      <c r="I1565" s="3">
        <f>C1565*G1565</f>
        <v>65007.821000000011</v>
      </c>
    </row>
    <row r="1566" spans="1:9" x14ac:dyDescent="0.25">
      <c r="A1566" t="s">
        <v>9</v>
      </c>
      <c r="B1566" s="1">
        <v>68.63</v>
      </c>
      <c r="C1566" s="1">
        <v>68.760000000000005</v>
      </c>
      <c r="D1566" s="2" t="s">
        <v>193</v>
      </c>
      <c r="E1566" s="8">
        <v>946.13639999999998</v>
      </c>
      <c r="F1566" s="8">
        <f>F1556</f>
        <v>0</v>
      </c>
      <c r="G1566" s="8">
        <f>E1566+F1566</f>
        <v>946.13639999999998</v>
      </c>
      <c r="H1566" s="3">
        <f>B1566*G1566</f>
        <v>64933.341131999994</v>
      </c>
      <c r="I1566" s="3">
        <f>C1566*G1566</f>
        <v>65056.338864000005</v>
      </c>
    </row>
    <row r="1567" spans="1:9" x14ac:dyDescent="0.25">
      <c r="A1567" t="s">
        <v>10</v>
      </c>
      <c r="B1567" s="1">
        <v>37.56</v>
      </c>
      <c r="C1567" s="1">
        <v>37.58</v>
      </c>
      <c r="D1567" s="2" t="s">
        <v>193</v>
      </c>
      <c r="E1567" s="8">
        <v>1730.1178</v>
      </c>
      <c r="F1567" s="8">
        <f>F1557</f>
        <v>0.2</v>
      </c>
      <c r="G1567" s="8">
        <f>E1567+F1567</f>
        <v>1730.3178</v>
      </c>
      <c r="H1567" s="3">
        <f>B1567*G1567</f>
        <v>64990.736568000008</v>
      </c>
      <c r="I1567" s="3">
        <f>C1567*G1567</f>
        <v>65025.342923999997</v>
      </c>
    </row>
    <row r="1568" spans="1:9" x14ac:dyDescent="0.25">
      <c r="A1568" t="s">
        <v>11</v>
      </c>
      <c r="B1568" s="1">
        <v>56.56</v>
      </c>
      <c r="C1568" s="1">
        <v>56.57</v>
      </c>
      <c r="D1568" s="2" t="s">
        <v>193</v>
      </c>
      <c r="E1568" s="8">
        <v>1148.8532</v>
      </c>
      <c r="F1568" s="8">
        <f>F1558</f>
        <v>0.05</v>
      </c>
      <c r="G1568" s="8">
        <f>E1568+F1568</f>
        <v>1148.9032</v>
      </c>
      <c r="H1568" s="3">
        <f>B1568*G1568</f>
        <v>64981.964992000001</v>
      </c>
      <c r="I1568" s="3">
        <f>C1568*G1568</f>
        <v>64993.454023999999</v>
      </c>
    </row>
    <row r="1569" spans="1:9" x14ac:dyDescent="0.25">
      <c r="A1569" t="s">
        <v>12</v>
      </c>
      <c r="B1569" s="1">
        <v>50.43</v>
      </c>
      <c r="C1569" s="1">
        <v>50.44</v>
      </c>
      <c r="D1569" s="2" t="s">
        <v>193</v>
      </c>
      <c r="E1569" s="8">
        <v>1288.9615000000001</v>
      </c>
      <c r="F1569" s="8">
        <f>F1559</f>
        <v>0</v>
      </c>
      <c r="G1569" s="8">
        <f>E1569+F1569</f>
        <v>1288.9615000000001</v>
      </c>
      <c r="H1569" s="3">
        <f>B1569*G1569</f>
        <v>65002.328445000006</v>
      </c>
      <c r="I1569" s="3">
        <f>C1569*G1569</f>
        <v>65015.218059999999</v>
      </c>
    </row>
    <row r="1570" spans="1:9" x14ac:dyDescent="0.25">
      <c r="A1570" t="s">
        <v>13</v>
      </c>
      <c r="B1570" s="1">
        <v>18.38</v>
      </c>
      <c r="C1570" s="1">
        <v>18.39</v>
      </c>
      <c r="D1570" s="2" t="s">
        <v>193</v>
      </c>
      <c r="E1570" s="8">
        <v>3535.8029000000001</v>
      </c>
      <c r="F1570" s="8">
        <f>F1560</f>
        <v>0</v>
      </c>
      <c r="G1570" s="8">
        <f>E1570+F1570</f>
        <v>3535.8029000000001</v>
      </c>
      <c r="H1570" s="3">
        <f>B1570*G1570</f>
        <v>64988.057302000001</v>
      </c>
      <c r="I1570" s="3">
        <f>C1570*G1570</f>
        <v>65023.415331000004</v>
      </c>
    </row>
    <row r="1571" spans="1:9" x14ac:dyDescent="0.25">
      <c r="A1571" t="s">
        <v>14</v>
      </c>
      <c r="B1571" s="1">
        <v>36.82</v>
      </c>
      <c r="C1571" s="1">
        <v>36.83</v>
      </c>
      <c r="D1571" s="2" t="s">
        <v>193</v>
      </c>
      <c r="E1571" s="8">
        <v>1765.0592999999999</v>
      </c>
      <c r="F1571" s="8">
        <f>F1561</f>
        <v>0.2</v>
      </c>
      <c r="G1571" s="8">
        <f>E1571+F1571</f>
        <v>1765.2592999999999</v>
      </c>
      <c r="H1571" s="3">
        <f>B1571*G1571</f>
        <v>64996.847426</v>
      </c>
      <c r="I1571" s="3">
        <f>C1571*G1571</f>
        <v>65014.500018999992</v>
      </c>
    </row>
    <row r="1572" spans="1:9" x14ac:dyDescent="0.25">
      <c r="A1572" t="s">
        <v>4</v>
      </c>
      <c r="B1572" s="1">
        <v>21.54</v>
      </c>
      <c r="C1572" s="1">
        <v>21.55</v>
      </c>
      <c r="D1572" s="2" t="s">
        <v>194</v>
      </c>
      <c r="E1572" s="8">
        <v>3014.9488000000001</v>
      </c>
      <c r="F1572" s="8">
        <f>F1562</f>
        <v>0</v>
      </c>
      <c r="G1572" s="8">
        <f>E1572+F1572</f>
        <v>3014.9488000000001</v>
      </c>
      <c r="H1572" s="3">
        <f>B1572*G1572</f>
        <v>64941.997152000004</v>
      </c>
      <c r="I1572" s="3">
        <f>C1572*G1572</f>
        <v>64972.146640000006</v>
      </c>
    </row>
    <row r="1573" spans="1:9" x14ac:dyDescent="0.25">
      <c r="A1573" t="s">
        <v>6</v>
      </c>
      <c r="B1573" s="1">
        <v>35.26</v>
      </c>
      <c r="C1573" s="1">
        <v>35.270000000000003</v>
      </c>
      <c r="D1573" s="2" t="s">
        <v>194</v>
      </c>
      <c r="E1573" s="8">
        <v>1842.1205</v>
      </c>
      <c r="F1573" s="8">
        <f>F1563</f>
        <v>-0.1</v>
      </c>
      <c r="G1573" s="8">
        <f>E1573+F1573</f>
        <v>1842.0205000000001</v>
      </c>
      <c r="H1573" s="3">
        <f>B1573*G1573</f>
        <v>64949.642829999997</v>
      </c>
      <c r="I1573" s="3">
        <f>C1573*G1573</f>
        <v>64968.063035000006</v>
      </c>
    </row>
    <row r="1574" spans="1:9" x14ac:dyDescent="0.25">
      <c r="A1574" t="s">
        <v>7</v>
      </c>
      <c r="B1574" s="1">
        <v>18.309999999999999</v>
      </c>
      <c r="C1574" s="1">
        <v>18.32</v>
      </c>
      <c r="D1574" s="2" t="s">
        <v>194</v>
      </c>
      <c r="E1574" s="8">
        <v>3546.5864999999999</v>
      </c>
      <c r="F1574" s="8">
        <f>F1564</f>
        <v>0</v>
      </c>
      <c r="G1574" s="8">
        <f>E1574+F1574</f>
        <v>3546.5864999999999</v>
      </c>
      <c r="H1574" s="3">
        <f>B1574*G1574</f>
        <v>64937.998814999992</v>
      </c>
      <c r="I1574" s="3">
        <f>C1574*G1574</f>
        <v>64973.464679999997</v>
      </c>
    </row>
    <row r="1575" spans="1:9" x14ac:dyDescent="0.25">
      <c r="A1575" t="s">
        <v>8</v>
      </c>
      <c r="B1575" s="1">
        <v>28.73</v>
      </c>
      <c r="C1575" s="1">
        <v>28.74</v>
      </c>
      <c r="D1575" s="2" t="s">
        <v>194</v>
      </c>
      <c r="E1575" s="8">
        <v>2261.3416000000002</v>
      </c>
      <c r="F1575" s="8">
        <f>F1565</f>
        <v>-0.2</v>
      </c>
      <c r="G1575" s="8">
        <f>E1575+F1575</f>
        <v>2261.1416000000004</v>
      </c>
      <c r="H1575" s="3">
        <f>B1575*G1575</f>
        <v>64962.598168000011</v>
      </c>
      <c r="I1575" s="3">
        <f>C1575*G1575</f>
        <v>64985.209584000004</v>
      </c>
    </row>
    <row r="1576" spans="1:9" x14ac:dyDescent="0.25">
      <c r="A1576" t="s">
        <v>9</v>
      </c>
      <c r="B1576" s="1">
        <v>68.61</v>
      </c>
      <c r="C1576" s="1">
        <v>68.73</v>
      </c>
      <c r="D1576" s="2" t="s">
        <v>194</v>
      </c>
      <c r="E1576" s="8">
        <v>946.13639999999998</v>
      </c>
      <c r="F1576" s="8">
        <f>F1566</f>
        <v>0</v>
      </c>
      <c r="G1576" s="8">
        <f>E1576+F1576</f>
        <v>946.13639999999998</v>
      </c>
      <c r="H1576" s="3">
        <f>B1576*G1576</f>
        <v>64914.418403999996</v>
      </c>
      <c r="I1576" s="3">
        <f>C1576*G1576</f>
        <v>65027.954772000005</v>
      </c>
    </row>
    <row r="1577" spans="1:9" x14ac:dyDescent="0.25">
      <c r="A1577" t="s">
        <v>10</v>
      </c>
      <c r="B1577" s="1">
        <v>37.54</v>
      </c>
      <c r="C1577" s="1">
        <v>37.56</v>
      </c>
      <c r="D1577" s="2" t="s">
        <v>194</v>
      </c>
      <c r="E1577" s="8">
        <v>1730.1178</v>
      </c>
      <c r="F1577" s="8">
        <f>F1567</f>
        <v>0.2</v>
      </c>
      <c r="G1577" s="8">
        <f>E1577+F1577</f>
        <v>1730.3178</v>
      </c>
      <c r="H1577" s="3">
        <f>B1577*G1577</f>
        <v>64956.130211999996</v>
      </c>
      <c r="I1577" s="3">
        <f>C1577*G1577</f>
        <v>64990.736568000008</v>
      </c>
    </row>
    <row r="1578" spans="1:9" x14ac:dyDescent="0.25">
      <c r="A1578" t="s">
        <v>11</v>
      </c>
      <c r="B1578" s="1">
        <v>56.53</v>
      </c>
      <c r="C1578" s="1">
        <v>56.54</v>
      </c>
      <c r="D1578" s="2" t="s">
        <v>194</v>
      </c>
      <c r="E1578" s="8">
        <v>1148.8532</v>
      </c>
      <c r="F1578" s="8">
        <f>F1568</f>
        <v>0.05</v>
      </c>
      <c r="G1578" s="8">
        <f>E1578+F1578</f>
        <v>1148.9032</v>
      </c>
      <c r="H1578" s="3">
        <f>B1578*G1578</f>
        <v>64947.497896000001</v>
      </c>
      <c r="I1578" s="3">
        <f>C1578*G1578</f>
        <v>64958.986927999998</v>
      </c>
    </row>
    <row r="1579" spans="1:9" x14ac:dyDescent="0.25">
      <c r="A1579" t="s">
        <v>12</v>
      </c>
      <c r="B1579" s="1">
        <v>50.4</v>
      </c>
      <c r="C1579" s="1">
        <v>50.41</v>
      </c>
      <c r="D1579" s="2" t="s">
        <v>194</v>
      </c>
      <c r="E1579" s="8">
        <v>1288.9615000000001</v>
      </c>
      <c r="F1579" s="8">
        <f>F1569</f>
        <v>0</v>
      </c>
      <c r="G1579" s="8">
        <f>E1579+F1579</f>
        <v>1288.9615000000001</v>
      </c>
      <c r="H1579" s="3">
        <f>B1579*G1579</f>
        <v>64963.659600000006</v>
      </c>
      <c r="I1579" s="3">
        <f>C1579*G1579</f>
        <v>64976.549214999999</v>
      </c>
    </row>
    <row r="1580" spans="1:9" x14ac:dyDescent="0.25">
      <c r="A1580" t="s">
        <v>13</v>
      </c>
      <c r="B1580" s="1">
        <v>18.37</v>
      </c>
      <c r="C1580" s="1">
        <v>18.38</v>
      </c>
      <c r="D1580" s="2" t="s">
        <v>194</v>
      </c>
      <c r="E1580" s="8">
        <v>3535.8029000000001</v>
      </c>
      <c r="F1580" s="8">
        <f>F1570</f>
        <v>0</v>
      </c>
      <c r="G1580" s="8">
        <f>E1580+F1580</f>
        <v>3535.8029000000001</v>
      </c>
      <c r="H1580" s="3">
        <f>B1580*G1580</f>
        <v>64952.699273000006</v>
      </c>
      <c r="I1580" s="3">
        <f>C1580*G1580</f>
        <v>64988.057302000001</v>
      </c>
    </row>
    <row r="1581" spans="1:9" x14ac:dyDescent="0.25">
      <c r="A1581" t="s">
        <v>14</v>
      </c>
      <c r="B1581" s="1">
        <v>36.799999999999997</v>
      </c>
      <c r="C1581" s="1">
        <v>36.81</v>
      </c>
      <c r="D1581" s="2" t="s">
        <v>194</v>
      </c>
      <c r="E1581" s="8">
        <v>1765.0592999999999</v>
      </c>
      <c r="F1581" s="8">
        <f>F1571</f>
        <v>0.2</v>
      </c>
      <c r="G1581" s="8">
        <f>E1581+F1581</f>
        <v>1765.2592999999999</v>
      </c>
      <c r="H1581" s="3">
        <f>B1581*G1581</f>
        <v>64961.542239999995</v>
      </c>
      <c r="I1581" s="3">
        <f>C1581*G1581</f>
        <v>64979.194833000001</v>
      </c>
    </row>
    <row r="1582" spans="1:9" x14ac:dyDescent="0.25">
      <c r="A1582" t="s">
        <v>4</v>
      </c>
      <c r="B1582" s="1">
        <v>21.54</v>
      </c>
      <c r="C1582" s="1">
        <v>21.55</v>
      </c>
      <c r="D1582" s="2" t="s">
        <v>195</v>
      </c>
      <c r="E1582" s="8">
        <v>3014.9488000000001</v>
      </c>
      <c r="F1582" s="8">
        <f>F1572</f>
        <v>0</v>
      </c>
      <c r="G1582" s="8">
        <f>E1582+F1582</f>
        <v>3014.9488000000001</v>
      </c>
      <c r="H1582" s="3">
        <f>B1582*G1582</f>
        <v>64941.997152000004</v>
      </c>
      <c r="I1582" s="3">
        <f>C1582*G1582</f>
        <v>64972.146640000006</v>
      </c>
    </row>
    <row r="1583" spans="1:9" x14ac:dyDescent="0.25">
      <c r="A1583" t="s">
        <v>6</v>
      </c>
      <c r="B1583" s="1">
        <v>35.270000000000003</v>
      </c>
      <c r="C1583" s="1">
        <v>35.28</v>
      </c>
      <c r="D1583" s="2" t="s">
        <v>195</v>
      </c>
      <c r="E1583" s="8">
        <v>1842.1205</v>
      </c>
      <c r="F1583" s="8">
        <f>F1573</f>
        <v>-0.1</v>
      </c>
      <c r="G1583" s="8">
        <f>E1583+F1583</f>
        <v>1842.0205000000001</v>
      </c>
      <c r="H1583" s="3">
        <f>B1583*G1583</f>
        <v>64968.063035000006</v>
      </c>
      <c r="I1583" s="3">
        <f>C1583*G1583</f>
        <v>64986.483240000009</v>
      </c>
    </row>
    <row r="1584" spans="1:9" x14ac:dyDescent="0.25">
      <c r="A1584" t="s">
        <v>7</v>
      </c>
      <c r="B1584" s="1">
        <v>18.32</v>
      </c>
      <c r="C1584" s="1">
        <v>18.329999999999998</v>
      </c>
      <c r="D1584" s="2" t="s">
        <v>195</v>
      </c>
      <c r="E1584" s="8">
        <v>3546.5864999999999</v>
      </c>
      <c r="F1584" s="8">
        <f>F1574</f>
        <v>0</v>
      </c>
      <c r="G1584" s="8">
        <f>E1584+F1584</f>
        <v>3546.5864999999999</v>
      </c>
      <c r="H1584" s="3">
        <f>B1584*G1584</f>
        <v>64973.464679999997</v>
      </c>
      <c r="I1584" s="3">
        <f>C1584*G1584</f>
        <v>65008.930544999988</v>
      </c>
    </row>
    <row r="1585" spans="1:9" x14ac:dyDescent="0.25">
      <c r="A1585" t="s">
        <v>8</v>
      </c>
      <c r="B1585" s="1">
        <v>28.73</v>
      </c>
      <c r="C1585" s="1">
        <v>28.74</v>
      </c>
      <c r="D1585" s="2" t="s">
        <v>195</v>
      </c>
      <c r="E1585" s="8">
        <v>2261.3416000000002</v>
      </c>
      <c r="F1585" s="8">
        <f>F1575</f>
        <v>-0.2</v>
      </c>
      <c r="G1585" s="8">
        <f>E1585+F1585</f>
        <v>2261.1416000000004</v>
      </c>
      <c r="H1585" s="3">
        <f>B1585*G1585</f>
        <v>64962.598168000011</v>
      </c>
      <c r="I1585" s="3">
        <f>C1585*G1585</f>
        <v>64985.209584000004</v>
      </c>
    </row>
    <row r="1586" spans="1:9" x14ac:dyDescent="0.25">
      <c r="A1586" t="s">
        <v>9</v>
      </c>
      <c r="B1586" s="1">
        <v>68.63</v>
      </c>
      <c r="C1586" s="1">
        <v>68.75</v>
      </c>
      <c r="D1586" s="2" t="s">
        <v>195</v>
      </c>
      <c r="E1586" s="8">
        <v>946.13639999999998</v>
      </c>
      <c r="F1586" s="8">
        <f>F1576</f>
        <v>0</v>
      </c>
      <c r="G1586" s="8">
        <f>E1586+F1586</f>
        <v>946.13639999999998</v>
      </c>
      <c r="H1586" s="3">
        <f>B1586*G1586</f>
        <v>64933.341131999994</v>
      </c>
      <c r="I1586" s="3">
        <f>C1586*G1586</f>
        <v>65046.877499999995</v>
      </c>
    </row>
    <row r="1587" spans="1:9" x14ac:dyDescent="0.25">
      <c r="A1587" t="s">
        <v>10</v>
      </c>
      <c r="B1587" s="1">
        <v>37.53</v>
      </c>
      <c r="C1587" s="1">
        <v>37.56</v>
      </c>
      <c r="D1587" s="2" t="s">
        <v>195</v>
      </c>
      <c r="E1587" s="8">
        <v>1730.1178</v>
      </c>
      <c r="F1587" s="8">
        <f>F1577</f>
        <v>0.2</v>
      </c>
      <c r="G1587" s="8">
        <f>E1587+F1587</f>
        <v>1730.3178</v>
      </c>
      <c r="H1587" s="3">
        <f>B1587*G1587</f>
        <v>64938.827034000002</v>
      </c>
      <c r="I1587" s="3">
        <f>C1587*G1587</f>
        <v>64990.736568000008</v>
      </c>
    </row>
    <row r="1588" spans="1:9" x14ac:dyDescent="0.25">
      <c r="A1588" t="s">
        <v>11</v>
      </c>
      <c r="B1588" s="1">
        <v>56.53</v>
      </c>
      <c r="C1588" s="1">
        <v>56.55</v>
      </c>
      <c r="D1588" s="2" t="s">
        <v>195</v>
      </c>
      <c r="E1588" s="8">
        <v>1148.8532</v>
      </c>
      <c r="F1588" s="8">
        <f>F1578</f>
        <v>0.05</v>
      </c>
      <c r="G1588" s="8">
        <f>E1588+F1588</f>
        <v>1148.9032</v>
      </c>
      <c r="H1588" s="3">
        <f>B1588*G1588</f>
        <v>64947.497896000001</v>
      </c>
      <c r="I1588" s="3">
        <f>C1588*G1588</f>
        <v>64970.475959999996</v>
      </c>
    </row>
    <row r="1589" spans="1:9" x14ac:dyDescent="0.25">
      <c r="A1589" t="s">
        <v>12</v>
      </c>
      <c r="B1589" s="1">
        <v>50.4</v>
      </c>
      <c r="C1589" s="1">
        <v>50.41</v>
      </c>
      <c r="D1589" s="2" t="s">
        <v>195</v>
      </c>
      <c r="E1589" s="8">
        <v>1288.9615000000001</v>
      </c>
      <c r="F1589" s="8">
        <f>F1579</f>
        <v>0</v>
      </c>
      <c r="G1589" s="8">
        <f>E1589+F1589</f>
        <v>1288.9615000000001</v>
      </c>
      <c r="H1589" s="3">
        <f>B1589*G1589</f>
        <v>64963.659600000006</v>
      </c>
      <c r="I1589" s="3">
        <f>C1589*G1589</f>
        <v>64976.549214999999</v>
      </c>
    </row>
    <row r="1590" spans="1:9" x14ac:dyDescent="0.25">
      <c r="A1590" t="s">
        <v>13</v>
      </c>
      <c r="B1590" s="1">
        <v>18.37</v>
      </c>
      <c r="C1590" s="1">
        <v>18.38</v>
      </c>
      <c r="D1590" s="2" t="s">
        <v>195</v>
      </c>
      <c r="E1590" s="8">
        <v>3535.8029000000001</v>
      </c>
      <c r="F1590" s="8">
        <f>F1580</f>
        <v>0</v>
      </c>
      <c r="G1590" s="8">
        <f>E1590+F1590</f>
        <v>3535.8029000000001</v>
      </c>
      <c r="H1590" s="3">
        <f>B1590*G1590</f>
        <v>64952.699273000006</v>
      </c>
      <c r="I1590" s="3">
        <f>C1590*G1590</f>
        <v>64988.057302000001</v>
      </c>
    </row>
    <row r="1591" spans="1:9" x14ac:dyDescent="0.25">
      <c r="A1591" t="s">
        <v>14</v>
      </c>
      <c r="B1591" s="1">
        <v>36.799999999999997</v>
      </c>
      <c r="C1591" s="1">
        <v>36.81</v>
      </c>
      <c r="D1591" s="2" t="s">
        <v>195</v>
      </c>
      <c r="E1591" s="8">
        <v>1765.0592999999999</v>
      </c>
      <c r="F1591" s="8">
        <f>F1581</f>
        <v>0.2</v>
      </c>
      <c r="G1591" s="8">
        <f>E1591+F1591</f>
        <v>1765.2592999999999</v>
      </c>
      <c r="H1591" s="3">
        <f>B1591*G1591</f>
        <v>64961.542239999995</v>
      </c>
      <c r="I1591" s="3">
        <f>C1591*G1591</f>
        <v>64979.194833000001</v>
      </c>
    </row>
    <row r="1592" spans="1:9" x14ac:dyDescent="0.25">
      <c r="A1592" t="s">
        <v>4</v>
      </c>
      <c r="B1592" s="1">
        <v>21.54</v>
      </c>
      <c r="C1592" s="1">
        <v>21.55</v>
      </c>
      <c r="D1592" s="2" t="s">
        <v>196</v>
      </c>
      <c r="E1592" s="8">
        <v>3014.9488000000001</v>
      </c>
      <c r="F1592" s="8">
        <f>F1582</f>
        <v>0</v>
      </c>
      <c r="G1592" s="8">
        <f>E1592+F1592</f>
        <v>3014.9488000000001</v>
      </c>
      <c r="H1592" s="3">
        <f>B1592*G1592</f>
        <v>64941.997152000004</v>
      </c>
      <c r="I1592" s="3">
        <f>C1592*G1592</f>
        <v>64972.146640000006</v>
      </c>
    </row>
    <row r="1593" spans="1:9" x14ac:dyDescent="0.25">
      <c r="A1593" t="s">
        <v>6</v>
      </c>
      <c r="B1593" s="1">
        <v>35.26</v>
      </c>
      <c r="C1593" s="1">
        <v>35.270000000000003</v>
      </c>
      <c r="D1593" s="2" t="s">
        <v>196</v>
      </c>
      <c r="E1593" s="8">
        <v>1842.1205</v>
      </c>
      <c r="F1593" s="8">
        <f>F1583</f>
        <v>-0.1</v>
      </c>
      <c r="G1593" s="8">
        <f>E1593+F1593</f>
        <v>1842.0205000000001</v>
      </c>
      <c r="H1593" s="3">
        <f>B1593*G1593</f>
        <v>64949.642829999997</v>
      </c>
      <c r="I1593" s="3">
        <f>C1593*G1593</f>
        <v>64968.063035000006</v>
      </c>
    </row>
    <row r="1594" spans="1:9" x14ac:dyDescent="0.25">
      <c r="A1594" t="s">
        <v>7</v>
      </c>
      <c r="B1594" s="1">
        <v>18.309999999999999</v>
      </c>
      <c r="C1594" s="1">
        <v>18.32</v>
      </c>
      <c r="D1594" s="2" t="s">
        <v>196</v>
      </c>
      <c r="E1594" s="8">
        <v>3546.5864999999999</v>
      </c>
      <c r="F1594" s="8">
        <f>F1584</f>
        <v>0</v>
      </c>
      <c r="G1594" s="8">
        <f>E1594+F1594</f>
        <v>3546.5864999999999</v>
      </c>
      <c r="H1594" s="3">
        <f>B1594*G1594</f>
        <v>64937.998814999992</v>
      </c>
      <c r="I1594" s="3">
        <f>C1594*G1594</f>
        <v>64973.464679999997</v>
      </c>
    </row>
    <row r="1595" spans="1:9" x14ac:dyDescent="0.25">
      <c r="A1595" t="s">
        <v>8</v>
      </c>
      <c r="B1595" s="1">
        <v>28.73</v>
      </c>
      <c r="C1595" s="1">
        <v>28.74</v>
      </c>
      <c r="D1595" s="2" t="s">
        <v>196</v>
      </c>
      <c r="E1595" s="8">
        <v>2261.3416000000002</v>
      </c>
      <c r="F1595" s="8">
        <f>F1585</f>
        <v>-0.2</v>
      </c>
      <c r="G1595" s="8">
        <f>E1595+F1595</f>
        <v>2261.1416000000004</v>
      </c>
      <c r="H1595" s="3">
        <f>B1595*G1595</f>
        <v>64962.598168000011</v>
      </c>
      <c r="I1595" s="3">
        <f>C1595*G1595</f>
        <v>64985.209584000004</v>
      </c>
    </row>
    <row r="1596" spans="1:9" x14ac:dyDescent="0.25">
      <c r="A1596" t="s">
        <v>9</v>
      </c>
      <c r="B1596" s="1">
        <v>68.63</v>
      </c>
      <c r="C1596" s="1">
        <v>68.760000000000005</v>
      </c>
      <c r="D1596" s="2" t="s">
        <v>196</v>
      </c>
      <c r="E1596" s="8">
        <v>946.13639999999998</v>
      </c>
      <c r="F1596" s="8">
        <f>F1586</f>
        <v>0</v>
      </c>
      <c r="G1596" s="8">
        <f>E1596+F1596</f>
        <v>946.13639999999998</v>
      </c>
      <c r="H1596" s="3">
        <f>B1596*G1596</f>
        <v>64933.341131999994</v>
      </c>
      <c r="I1596" s="3">
        <f>C1596*G1596</f>
        <v>65056.338864000005</v>
      </c>
    </row>
    <row r="1597" spans="1:9" x14ac:dyDescent="0.25">
      <c r="A1597" t="s">
        <v>10</v>
      </c>
      <c r="B1597" s="1">
        <v>37.53</v>
      </c>
      <c r="C1597" s="1">
        <v>37.56</v>
      </c>
      <c r="D1597" s="2" t="s">
        <v>196</v>
      </c>
      <c r="E1597" s="8">
        <v>1730.1178</v>
      </c>
      <c r="F1597" s="8">
        <f>F1587</f>
        <v>0.2</v>
      </c>
      <c r="G1597" s="8">
        <f>E1597+F1597</f>
        <v>1730.3178</v>
      </c>
      <c r="H1597" s="3">
        <f>B1597*G1597</f>
        <v>64938.827034000002</v>
      </c>
      <c r="I1597" s="3">
        <f>C1597*G1597</f>
        <v>64990.736568000008</v>
      </c>
    </row>
    <row r="1598" spans="1:9" x14ac:dyDescent="0.25">
      <c r="A1598" t="s">
        <v>11</v>
      </c>
      <c r="B1598" s="1">
        <v>56.52</v>
      </c>
      <c r="C1598" s="1">
        <v>56.53</v>
      </c>
      <c r="D1598" s="2" t="s">
        <v>196</v>
      </c>
      <c r="E1598" s="8">
        <v>1148.8532</v>
      </c>
      <c r="F1598" s="8">
        <f>F1588</f>
        <v>0.05</v>
      </c>
      <c r="G1598" s="8">
        <f>E1598+F1598</f>
        <v>1148.9032</v>
      </c>
      <c r="H1598" s="3">
        <f>B1598*G1598</f>
        <v>64936.008864000003</v>
      </c>
      <c r="I1598" s="3">
        <f>C1598*G1598</f>
        <v>64947.497896000001</v>
      </c>
    </row>
    <row r="1599" spans="1:9" x14ac:dyDescent="0.25">
      <c r="A1599" t="s">
        <v>12</v>
      </c>
      <c r="B1599" s="1">
        <v>50.39</v>
      </c>
      <c r="C1599" s="1">
        <v>50.4</v>
      </c>
      <c r="D1599" s="2" t="s">
        <v>196</v>
      </c>
      <c r="E1599" s="8">
        <v>1288.9615000000001</v>
      </c>
      <c r="F1599" s="8">
        <f>F1589</f>
        <v>0</v>
      </c>
      <c r="G1599" s="8">
        <f>E1599+F1599</f>
        <v>1288.9615000000001</v>
      </c>
      <c r="H1599" s="3">
        <f>B1599*G1599</f>
        <v>64950.769985000006</v>
      </c>
      <c r="I1599" s="3">
        <f>C1599*G1599</f>
        <v>64963.659600000006</v>
      </c>
    </row>
    <row r="1600" spans="1:9" x14ac:dyDescent="0.25">
      <c r="A1600" t="s">
        <v>13</v>
      </c>
      <c r="B1600" s="1">
        <v>18.37</v>
      </c>
      <c r="C1600" s="1">
        <v>18.38</v>
      </c>
      <c r="D1600" s="2" t="s">
        <v>196</v>
      </c>
      <c r="E1600" s="8">
        <v>3535.8029000000001</v>
      </c>
      <c r="F1600" s="8">
        <f>F1590</f>
        <v>0</v>
      </c>
      <c r="G1600" s="8">
        <f>E1600+F1600</f>
        <v>3535.8029000000001</v>
      </c>
      <c r="H1600" s="3">
        <f>B1600*G1600</f>
        <v>64952.699273000006</v>
      </c>
      <c r="I1600" s="3">
        <f>C1600*G1600</f>
        <v>64988.057302000001</v>
      </c>
    </row>
    <row r="1601" spans="1:9" x14ac:dyDescent="0.25">
      <c r="A1601" t="s">
        <v>14</v>
      </c>
      <c r="B1601" s="1">
        <v>36.79</v>
      </c>
      <c r="C1601" s="1">
        <v>36.799999999999997</v>
      </c>
      <c r="D1601" s="2" t="s">
        <v>196</v>
      </c>
      <c r="E1601" s="8">
        <v>1765.0592999999999</v>
      </c>
      <c r="F1601" s="8">
        <f>F1591</f>
        <v>0.2</v>
      </c>
      <c r="G1601" s="8">
        <f>E1601+F1601</f>
        <v>1765.2592999999999</v>
      </c>
      <c r="H1601" s="3">
        <f>B1601*G1601</f>
        <v>64943.889646999996</v>
      </c>
      <c r="I1601" s="3">
        <f>C1601*G1601</f>
        <v>64961.542239999995</v>
      </c>
    </row>
    <row r="1602" spans="1:9" x14ac:dyDescent="0.25">
      <c r="A1602" t="s">
        <v>4</v>
      </c>
      <c r="B1602" s="1">
        <v>21.45</v>
      </c>
      <c r="C1602" s="1">
        <v>21.46</v>
      </c>
      <c r="D1602" s="2" t="s">
        <v>197</v>
      </c>
      <c r="E1602" s="8">
        <v>3014.9488000000001</v>
      </c>
      <c r="F1602" s="8">
        <f>F1592</f>
        <v>0</v>
      </c>
      <c r="G1602" s="8">
        <f>E1602+F1602</f>
        <v>3014.9488000000001</v>
      </c>
      <c r="H1602" s="3">
        <f>B1602*G1602</f>
        <v>64670.651760000001</v>
      </c>
      <c r="I1602" s="3">
        <f>C1602*G1602</f>
        <v>64700.801248000003</v>
      </c>
    </row>
    <row r="1603" spans="1:9" x14ac:dyDescent="0.25">
      <c r="A1603" t="s">
        <v>6</v>
      </c>
      <c r="B1603" s="1">
        <v>35.11</v>
      </c>
      <c r="C1603" s="1">
        <v>35.119999999999997</v>
      </c>
      <c r="D1603" s="2" t="s">
        <v>197</v>
      </c>
      <c r="E1603" s="8">
        <v>1842.1205</v>
      </c>
      <c r="F1603" s="8">
        <f>F1593</f>
        <v>-0.1</v>
      </c>
      <c r="G1603" s="8">
        <f>E1603+F1603</f>
        <v>1842.0205000000001</v>
      </c>
      <c r="H1603" s="3">
        <f>B1603*G1603</f>
        <v>64673.339755000001</v>
      </c>
      <c r="I1603" s="3">
        <f>C1603*G1603</f>
        <v>64691.759959999996</v>
      </c>
    </row>
    <row r="1604" spans="1:9" x14ac:dyDescent="0.25">
      <c r="A1604" t="s">
        <v>7</v>
      </c>
      <c r="B1604" s="1">
        <v>18.23</v>
      </c>
      <c r="C1604" s="1">
        <v>18.239999999999998</v>
      </c>
      <c r="D1604" s="2" t="s">
        <v>197</v>
      </c>
      <c r="E1604" s="8">
        <v>3546.5864999999999</v>
      </c>
      <c r="F1604" s="8">
        <f>F1594</f>
        <v>0</v>
      </c>
      <c r="G1604" s="8">
        <f>E1604+F1604</f>
        <v>3546.5864999999999</v>
      </c>
      <c r="H1604" s="3">
        <f>B1604*G1604</f>
        <v>64654.271894999998</v>
      </c>
      <c r="I1604" s="3">
        <f>C1604*G1604</f>
        <v>64689.737759999989</v>
      </c>
    </row>
    <row r="1605" spans="1:9" x14ac:dyDescent="0.25">
      <c r="A1605" t="s">
        <v>8</v>
      </c>
      <c r="B1605" s="1">
        <v>28.61</v>
      </c>
      <c r="C1605" s="1">
        <v>28.62</v>
      </c>
      <c r="D1605" s="2" t="s">
        <v>197</v>
      </c>
      <c r="E1605" s="8">
        <v>2261.3416000000002</v>
      </c>
      <c r="F1605" s="8">
        <f>F1595</f>
        <v>-0.2</v>
      </c>
      <c r="G1605" s="8">
        <f>E1605+F1605</f>
        <v>2261.1416000000004</v>
      </c>
      <c r="H1605" s="3">
        <f>B1605*G1605</f>
        <v>64691.261176000007</v>
      </c>
      <c r="I1605" s="3">
        <f>C1605*G1605</f>
        <v>64713.872592000014</v>
      </c>
    </row>
    <row r="1606" spans="1:9" x14ac:dyDescent="0.25">
      <c r="A1606" t="s">
        <v>9</v>
      </c>
      <c r="B1606" s="1">
        <v>68.33</v>
      </c>
      <c r="C1606" s="1">
        <v>68.45</v>
      </c>
      <c r="D1606" s="2" t="s">
        <v>197</v>
      </c>
      <c r="E1606" s="8">
        <v>946.13639999999998</v>
      </c>
      <c r="F1606" s="8">
        <f>F1596</f>
        <v>0</v>
      </c>
      <c r="G1606" s="8">
        <f>E1606+F1606</f>
        <v>946.13639999999998</v>
      </c>
      <c r="H1606" s="3">
        <f>B1606*G1606</f>
        <v>64649.500211999999</v>
      </c>
      <c r="I1606" s="3">
        <f>C1606*G1606</f>
        <v>64763.03658</v>
      </c>
    </row>
    <row r="1607" spans="1:9" x14ac:dyDescent="0.25">
      <c r="A1607" t="s">
        <v>10</v>
      </c>
      <c r="B1607" s="1">
        <v>37.39</v>
      </c>
      <c r="C1607" s="1">
        <v>37.4</v>
      </c>
      <c r="D1607" s="2" t="s">
        <v>197</v>
      </c>
      <c r="E1607" s="8">
        <v>1730.1178</v>
      </c>
      <c r="F1607" s="8">
        <f>F1597</f>
        <v>0.2</v>
      </c>
      <c r="G1607" s="8">
        <f>E1607+F1607</f>
        <v>1730.3178</v>
      </c>
      <c r="H1607" s="3">
        <f>B1607*G1607</f>
        <v>64696.582542000004</v>
      </c>
      <c r="I1607" s="3">
        <f>C1607*G1607</f>
        <v>64713.885719999998</v>
      </c>
    </row>
    <row r="1608" spans="1:9" x14ac:dyDescent="0.25">
      <c r="A1608" t="s">
        <v>11</v>
      </c>
      <c r="B1608" s="1">
        <v>56.29</v>
      </c>
      <c r="C1608" s="1">
        <v>56.3</v>
      </c>
      <c r="D1608" s="2" t="s">
        <v>197</v>
      </c>
      <c r="E1608" s="8">
        <v>1148.8532</v>
      </c>
      <c r="F1608" s="8">
        <f>F1598</f>
        <v>0.05</v>
      </c>
      <c r="G1608" s="8">
        <f>E1608+F1608</f>
        <v>1148.9032</v>
      </c>
      <c r="H1608" s="3">
        <f>B1608*G1608</f>
        <v>64671.761127999998</v>
      </c>
      <c r="I1608" s="3">
        <f>C1608*G1608</f>
        <v>64683.250159999996</v>
      </c>
    </row>
    <row r="1609" spans="1:9" x14ac:dyDescent="0.25">
      <c r="A1609" t="s">
        <v>12</v>
      </c>
      <c r="B1609" s="1">
        <v>50.18</v>
      </c>
      <c r="C1609" s="1">
        <v>50.19</v>
      </c>
      <c r="D1609" s="2" t="s">
        <v>197</v>
      </c>
      <c r="E1609" s="8">
        <v>1288.9615000000001</v>
      </c>
      <c r="F1609" s="8">
        <f>F1599</f>
        <v>0</v>
      </c>
      <c r="G1609" s="8">
        <f>E1609+F1609</f>
        <v>1288.9615000000001</v>
      </c>
      <c r="H1609" s="3">
        <f>B1609*G1609</f>
        <v>64680.088070000005</v>
      </c>
      <c r="I1609" s="3">
        <f>C1609*G1609</f>
        <v>64692.977685000005</v>
      </c>
    </row>
    <row r="1610" spans="1:9" x14ac:dyDescent="0.25">
      <c r="A1610" t="s">
        <v>13</v>
      </c>
      <c r="B1610" s="1">
        <v>18.29</v>
      </c>
      <c r="C1610" s="1">
        <v>18.3</v>
      </c>
      <c r="D1610" s="2" t="s">
        <v>197</v>
      </c>
      <c r="E1610" s="8">
        <v>3535.8029000000001</v>
      </c>
      <c r="F1610" s="8">
        <f>F1600</f>
        <v>0</v>
      </c>
      <c r="G1610" s="8">
        <f>E1610+F1610</f>
        <v>3535.8029000000001</v>
      </c>
      <c r="H1610" s="3">
        <f>B1610*G1610</f>
        <v>64669.835040999998</v>
      </c>
      <c r="I1610" s="3">
        <f>C1610*G1610</f>
        <v>64705.193070000008</v>
      </c>
    </row>
    <row r="1611" spans="1:9" x14ac:dyDescent="0.25">
      <c r="A1611" t="s">
        <v>14</v>
      </c>
      <c r="B1611" s="1">
        <v>36.64</v>
      </c>
      <c r="C1611" s="1">
        <v>36.65</v>
      </c>
      <c r="D1611" s="2" t="s">
        <v>197</v>
      </c>
      <c r="E1611" s="8">
        <v>1765.0592999999999</v>
      </c>
      <c r="F1611" s="8">
        <f>F1601</f>
        <v>0.2</v>
      </c>
      <c r="G1611" s="8">
        <f>E1611+F1611</f>
        <v>1765.2592999999999</v>
      </c>
      <c r="H1611" s="3">
        <f>B1611*G1611</f>
        <v>64679.100751999998</v>
      </c>
      <c r="I1611" s="3">
        <f>C1611*G1611</f>
        <v>64696.753344999997</v>
      </c>
    </row>
    <row r="1612" spans="1:9" x14ac:dyDescent="0.25">
      <c r="A1612" t="s">
        <v>4</v>
      </c>
      <c r="B1612" s="1">
        <v>21.42</v>
      </c>
      <c r="C1612" s="1">
        <v>21.43</v>
      </c>
      <c r="D1612" s="2" t="s">
        <v>198</v>
      </c>
      <c r="E1612" s="8">
        <v>3014.9488000000001</v>
      </c>
      <c r="F1612" s="8">
        <f>F1602</f>
        <v>0</v>
      </c>
      <c r="G1612" s="8">
        <f>E1612+F1612</f>
        <v>3014.9488000000001</v>
      </c>
      <c r="H1612" s="3">
        <f>B1612*G1612</f>
        <v>64580.203296000007</v>
      </c>
      <c r="I1612" s="3">
        <f>C1612*G1612</f>
        <v>64610.352784000002</v>
      </c>
    </row>
    <row r="1613" spans="1:9" x14ac:dyDescent="0.25">
      <c r="A1613" t="s">
        <v>6</v>
      </c>
      <c r="B1613" s="1">
        <v>35.06</v>
      </c>
      <c r="C1613" s="1">
        <v>35.07</v>
      </c>
      <c r="D1613" s="2" t="s">
        <v>198</v>
      </c>
      <c r="E1613" s="8">
        <v>1842.1205</v>
      </c>
      <c r="F1613" s="8">
        <f>F1603</f>
        <v>-0.1</v>
      </c>
      <c r="G1613" s="8">
        <f>E1613+F1613</f>
        <v>1842.0205000000001</v>
      </c>
      <c r="H1613" s="3">
        <f>B1613*G1613</f>
        <v>64581.238730000005</v>
      </c>
      <c r="I1613" s="3">
        <f>C1613*G1613</f>
        <v>64599.658935000007</v>
      </c>
    </row>
    <row r="1614" spans="1:9" x14ac:dyDescent="0.25">
      <c r="A1614" t="s">
        <v>7</v>
      </c>
      <c r="B1614" s="1">
        <v>18.21</v>
      </c>
      <c r="C1614" s="1">
        <v>18.22</v>
      </c>
      <c r="D1614" s="2" t="s">
        <v>198</v>
      </c>
      <c r="E1614" s="8">
        <v>3546.5864999999999</v>
      </c>
      <c r="F1614" s="8">
        <f>F1604</f>
        <v>0</v>
      </c>
      <c r="G1614" s="8">
        <f>E1614+F1614</f>
        <v>3546.5864999999999</v>
      </c>
      <c r="H1614" s="3">
        <f>B1614*G1614</f>
        <v>64583.340165000001</v>
      </c>
      <c r="I1614" s="3">
        <f>C1614*G1614</f>
        <v>64618.806029999992</v>
      </c>
    </row>
    <row r="1615" spans="1:9" x14ac:dyDescent="0.25">
      <c r="A1615" t="s">
        <v>8</v>
      </c>
      <c r="B1615" s="1">
        <v>28.56</v>
      </c>
      <c r="C1615" s="1">
        <v>28.57</v>
      </c>
      <c r="D1615" s="2" t="s">
        <v>198</v>
      </c>
      <c r="E1615" s="8">
        <v>2261.3416000000002</v>
      </c>
      <c r="F1615" s="8">
        <f>F1605</f>
        <v>-0.2</v>
      </c>
      <c r="G1615" s="8">
        <f>E1615+F1615</f>
        <v>2261.1416000000004</v>
      </c>
      <c r="H1615" s="3">
        <f>B1615*G1615</f>
        <v>64578.204096000009</v>
      </c>
      <c r="I1615" s="3">
        <f>C1615*G1615</f>
        <v>64600.815512000008</v>
      </c>
    </row>
    <row r="1616" spans="1:9" x14ac:dyDescent="0.25">
      <c r="A1616" t="s">
        <v>9</v>
      </c>
      <c r="B1616" s="1">
        <v>68.209999999999994</v>
      </c>
      <c r="C1616" s="1">
        <v>68.31</v>
      </c>
      <c r="D1616" s="2" t="s">
        <v>198</v>
      </c>
      <c r="E1616" s="8">
        <v>946.13639999999998</v>
      </c>
      <c r="F1616" s="8">
        <f>F1606</f>
        <v>0</v>
      </c>
      <c r="G1616" s="8">
        <f>E1616+F1616</f>
        <v>946.13639999999998</v>
      </c>
      <c r="H1616" s="3">
        <f>B1616*G1616</f>
        <v>64535.963843999991</v>
      </c>
      <c r="I1616" s="3">
        <f>C1616*G1616</f>
        <v>64630.577484000001</v>
      </c>
    </row>
    <row r="1617" spans="1:9" x14ac:dyDescent="0.25">
      <c r="A1617" t="s">
        <v>10</v>
      </c>
      <c r="B1617" s="1">
        <v>37.31</v>
      </c>
      <c r="C1617" s="1">
        <v>37.340000000000003</v>
      </c>
      <c r="D1617" s="2" t="s">
        <v>198</v>
      </c>
      <c r="E1617" s="8">
        <v>1730.1178</v>
      </c>
      <c r="F1617" s="8">
        <f>F1607</f>
        <v>0.2</v>
      </c>
      <c r="G1617" s="8">
        <f>E1617+F1617</f>
        <v>1730.3178</v>
      </c>
      <c r="H1617" s="3">
        <f>B1617*G1617</f>
        <v>64558.157118000003</v>
      </c>
      <c r="I1617" s="3">
        <f>C1617*G1617</f>
        <v>64610.066652000009</v>
      </c>
    </row>
    <row r="1618" spans="1:9" x14ac:dyDescent="0.25">
      <c r="A1618" t="s">
        <v>11</v>
      </c>
      <c r="B1618" s="1">
        <v>56.2</v>
      </c>
      <c r="C1618" s="1">
        <v>56.21</v>
      </c>
      <c r="D1618" s="2" t="s">
        <v>198</v>
      </c>
      <c r="E1618" s="8">
        <v>1148.8532</v>
      </c>
      <c r="F1618" s="8">
        <f>F1608</f>
        <v>0.05</v>
      </c>
      <c r="G1618" s="8">
        <f>E1618+F1618</f>
        <v>1148.9032</v>
      </c>
      <c r="H1618" s="3">
        <f>B1618*G1618</f>
        <v>64568.359840000005</v>
      </c>
      <c r="I1618" s="3">
        <f>C1618*G1618</f>
        <v>64579.848872000002</v>
      </c>
    </row>
    <row r="1619" spans="1:9" x14ac:dyDescent="0.25">
      <c r="A1619" t="s">
        <v>12</v>
      </c>
      <c r="B1619" s="1">
        <v>50.1</v>
      </c>
      <c r="C1619" s="1">
        <v>50.11</v>
      </c>
      <c r="D1619" s="2" t="s">
        <v>198</v>
      </c>
      <c r="E1619" s="8">
        <v>1288.9615000000001</v>
      </c>
      <c r="F1619" s="8">
        <f>F1609</f>
        <v>0</v>
      </c>
      <c r="G1619" s="8">
        <f>E1619+F1619</f>
        <v>1288.9615000000001</v>
      </c>
      <c r="H1619" s="3">
        <f>B1619*G1619</f>
        <v>64576.971150000005</v>
      </c>
      <c r="I1619" s="3">
        <f>C1619*G1619</f>
        <v>64589.860765000005</v>
      </c>
    </row>
    <row r="1620" spans="1:9" x14ac:dyDescent="0.25">
      <c r="A1620" t="s">
        <v>13</v>
      </c>
      <c r="B1620" s="1">
        <v>18.260000000000002</v>
      </c>
      <c r="C1620" s="1">
        <v>18.27</v>
      </c>
      <c r="D1620" s="2" t="s">
        <v>198</v>
      </c>
      <c r="E1620" s="8">
        <v>3535.8029000000001</v>
      </c>
      <c r="F1620" s="8">
        <f>F1610</f>
        <v>0</v>
      </c>
      <c r="G1620" s="8">
        <f>E1620+F1620</f>
        <v>3535.8029000000001</v>
      </c>
      <c r="H1620" s="3">
        <f>B1620*G1620</f>
        <v>64563.760954000005</v>
      </c>
      <c r="I1620" s="3">
        <f>C1620*G1620</f>
        <v>64599.118983</v>
      </c>
    </row>
    <row r="1621" spans="1:9" x14ac:dyDescent="0.25">
      <c r="A1621" t="s">
        <v>14</v>
      </c>
      <c r="B1621" s="1">
        <v>36.58</v>
      </c>
      <c r="C1621" s="1">
        <v>36.590000000000003</v>
      </c>
      <c r="D1621" s="2" t="s">
        <v>198</v>
      </c>
      <c r="E1621" s="8">
        <v>1765.0592999999999</v>
      </c>
      <c r="F1621" s="8">
        <f>F1611</f>
        <v>0.2</v>
      </c>
      <c r="G1621" s="8">
        <f>E1621+F1621</f>
        <v>1765.2592999999999</v>
      </c>
      <c r="H1621" s="3">
        <f>B1621*G1621</f>
        <v>64573.185193999998</v>
      </c>
      <c r="I1621" s="3">
        <f>C1621*G1621</f>
        <v>64590.837787000004</v>
      </c>
    </row>
    <row r="1622" spans="1:9" x14ac:dyDescent="0.25">
      <c r="A1622" t="s">
        <v>4</v>
      </c>
      <c r="B1622" s="1">
        <v>21.42</v>
      </c>
      <c r="C1622" s="1">
        <v>21.43</v>
      </c>
      <c r="D1622" s="2" t="s">
        <v>199</v>
      </c>
      <c r="E1622" s="8">
        <v>3014.9488000000001</v>
      </c>
      <c r="F1622" s="8">
        <f>F1612</f>
        <v>0</v>
      </c>
      <c r="G1622" s="8">
        <f>E1622+F1622</f>
        <v>3014.9488000000001</v>
      </c>
      <c r="H1622" s="3">
        <f>B1622*G1622</f>
        <v>64580.203296000007</v>
      </c>
      <c r="I1622" s="3">
        <f>C1622*G1622</f>
        <v>64610.352784000002</v>
      </c>
    </row>
    <row r="1623" spans="1:9" x14ac:dyDescent="0.25">
      <c r="A1623" t="s">
        <v>6</v>
      </c>
      <c r="B1623" s="1">
        <v>35.06</v>
      </c>
      <c r="C1623" s="1">
        <v>35.07</v>
      </c>
      <c r="D1623" s="2" t="s">
        <v>199</v>
      </c>
      <c r="E1623" s="8">
        <v>1842.1205</v>
      </c>
      <c r="F1623" s="8">
        <f>F1613</f>
        <v>-0.1</v>
      </c>
      <c r="G1623" s="8">
        <f>E1623+F1623</f>
        <v>1842.0205000000001</v>
      </c>
      <c r="H1623" s="3">
        <f>B1623*G1623</f>
        <v>64581.238730000005</v>
      </c>
      <c r="I1623" s="3">
        <f>C1623*G1623</f>
        <v>64599.658935000007</v>
      </c>
    </row>
    <row r="1624" spans="1:9" x14ac:dyDescent="0.25">
      <c r="A1624" t="s">
        <v>7</v>
      </c>
      <c r="B1624" s="1">
        <v>18.21</v>
      </c>
      <c r="C1624" s="1">
        <v>18.22</v>
      </c>
      <c r="D1624" s="2" t="s">
        <v>199</v>
      </c>
      <c r="E1624" s="8">
        <v>3546.5864999999999</v>
      </c>
      <c r="F1624" s="8">
        <f>F1614</f>
        <v>0</v>
      </c>
      <c r="G1624" s="8">
        <f>E1624+F1624</f>
        <v>3546.5864999999999</v>
      </c>
      <c r="H1624" s="3">
        <f>B1624*G1624</f>
        <v>64583.340165000001</v>
      </c>
      <c r="I1624" s="3">
        <f>C1624*G1624</f>
        <v>64618.806029999992</v>
      </c>
    </row>
    <row r="1625" spans="1:9" x14ac:dyDescent="0.25">
      <c r="A1625" t="s">
        <v>8</v>
      </c>
      <c r="B1625" s="1">
        <v>28.56</v>
      </c>
      <c r="C1625" s="1">
        <v>28.57</v>
      </c>
      <c r="D1625" s="2" t="s">
        <v>199</v>
      </c>
      <c r="E1625" s="8">
        <v>2261.3416000000002</v>
      </c>
      <c r="F1625" s="8">
        <f>F1615</f>
        <v>-0.2</v>
      </c>
      <c r="G1625" s="8">
        <f>E1625+F1625</f>
        <v>2261.1416000000004</v>
      </c>
      <c r="H1625" s="3">
        <f>B1625*G1625</f>
        <v>64578.204096000009</v>
      </c>
      <c r="I1625" s="3">
        <f>C1625*G1625</f>
        <v>64600.815512000008</v>
      </c>
    </row>
    <row r="1626" spans="1:9" x14ac:dyDescent="0.25">
      <c r="A1626" t="s">
        <v>9</v>
      </c>
      <c r="B1626" s="1">
        <v>68.23</v>
      </c>
      <c r="C1626" s="1">
        <v>68.36</v>
      </c>
      <c r="D1626" s="2" t="s">
        <v>199</v>
      </c>
      <c r="E1626" s="8">
        <v>946.13639999999998</v>
      </c>
      <c r="F1626" s="8">
        <f>F1616</f>
        <v>0</v>
      </c>
      <c r="G1626" s="8">
        <f>E1626+F1626</f>
        <v>946.13639999999998</v>
      </c>
      <c r="H1626" s="3">
        <f>B1626*G1626</f>
        <v>64554.886572000003</v>
      </c>
      <c r="I1626" s="3">
        <f>C1626*G1626</f>
        <v>64677.884303999999</v>
      </c>
    </row>
    <row r="1627" spans="1:9" x14ac:dyDescent="0.25">
      <c r="A1627" t="s">
        <v>10</v>
      </c>
      <c r="B1627" s="1">
        <v>37.32</v>
      </c>
      <c r="C1627" s="1">
        <v>37.35</v>
      </c>
      <c r="D1627" s="2" t="s">
        <v>199</v>
      </c>
      <c r="E1627" s="8">
        <v>1730.1178</v>
      </c>
      <c r="F1627" s="8">
        <f>F1617</f>
        <v>0.2</v>
      </c>
      <c r="G1627" s="8">
        <f>E1627+F1627</f>
        <v>1730.3178</v>
      </c>
      <c r="H1627" s="3">
        <f>B1627*G1627</f>
        <v>64575.460296000005</v>
      </c>
      <c r="I1627" s="3">
        <f>C1627*G1627</f>
        <v>64627.369830000003</v>
      </c>
    </row>
    <row r="1628" spans="1:9" x14ac:dyDescent="0.25">
      <c r="A1628" t="s">
        <v>11</v>
      </c>
      <c r="B1628" s="1">
        <v>56.21</v>
      </c>
      <c r="C1628" s="1">
        <v>56.22</v>
      </c>
      <c r="D1628" s="2" t="s">
        <v>199</v>
      </c>
      <c r="E1628" s="8">
        <v>1148.8532</v>
      </c>
      <c r="F1628" s="8">
        <f>F1618</f>
        <v>0.05</v>
      </c>
      <c r="G1628" s="8">
        <f>E1628+F1628</f>
        <v>1148.9032</v>
      </c>
      <c r="H1628" s="3">
        <f>B1628*G1628</f>
        <v>64579.848872000002</v>
      </c>
      <c r="I1628" s="3">
        <f>C1628*G1628</f>
        <v>64591.337904</v>
      </c>
    </row>
    <row r="1629" spans="1:9" x14ac:dyDescent="0.25">
      <c r="A1629" t="s">
        <v>12</v>
      </c>
      <c r="B1629" s="1">
        <v>50.1</v>
      </c>
      <c r="C1629" s="1">
        <v>50.11</v>
      </c>
      <c r="D1629" s="2" t="s">
        <v>199</v>
      </c>
      <c r="E1629" s="8">
        <v>1288.9615000000001</v>
      </c>
      <c r="F1629" s="8">
        <f>F1619</f>
        <v>0</v>
      </c>
      <c r="G1629" s="8">
        <f>E1629+F1629</f>
        <v>1288.9615000000001</v>
      </c>
      <c r="H1629" s="3">
        <f>B1629*G1629</f>
        <v>64576.971150000005</v>
      </c>
      <c r="I1629" s="3">
        <f>C1629*G1629</f>
        <v>64589.860765000005</v>
      </c>
    </row>
    <row r="1630" spans="1:9" x14ac:dyDescent="0.25">
      <c r="A1630" t="s">
        <v>13</v>
      </c>
      <c r="B1630" s="1">
        <v>18.260000000000002</v>
      </c>
      <c r="C1630" s="1">
        <v>18.27</v>
      </c>
      <c r="D1630" s="2" t="s">
        <v>199</v>
      </c>
      <c r="E1630" s="8">
        <v>3535.8029000000001</v>
      </c>
      <c r="F1630" s="8">
        <f>F1620</f>
        <v>0</v>
      </c>
      <c r="G1630" s="8">
        <f>E1630+F1630</f>
        <v>3535.8029000000001</v>
      </c>
      <c r="H1630" s="3">
        <f>B1630*G1630</f>
        <v>64563.760954000005</v>
      </c>
      <c r="I1630" s="3">
        <f>C1630*G1630</f>
        <v>64599.118983</v>
      </c>
    </row>
    <row r="1631" spans="1:9" x14ac:dyDescent="0.25">
      <c r="A1631" t="s">
        <v>14</v>
      </c>
      <c r="B1631" s="1">
        <v>36.58</v>
      </c>
      <c r="C1631" s="1">
        <v>36.590000000000003</v>
      </c>
      <c r="D1631" s="2" t="s">
        <v>199</v>
      </c>
      <c r="E1631" s="8">
        <v>1765.0592999999999</v>
      </c>
      <c r="F1631" s="8">
        <f>F1621</f>
        <v>0.2</v>
      </c>
      <c r="G1631" s="8">
        <f>E1631+F1631</f>
        <v>1765.2592999999999</v>
      </c>
      <c r="H1631" s="3">
        <f>B1631*G1631</f>
        <v>64573.185193999998</v>
      </c>
      <c r="I1631" s="3">
        <f>C1631*G1631</f>
        <v>64590.837787000004</v>
      </c>
    </row>
    <row r="1632" spans="1:9" x14ac:dyDescent="0.25">
      <c r="A1632" t="s">
        <v>4</v>
      </c>
      <c r="B1632" s="1">
        <v>21.39</v>
      </c>
      <c r="C1632" s="1">
        <v>21.4</v>
      </c>
      <c r="D1632" s="2" t="s">
        <v>200</v>
      </c>
      <c r="E1632" s="8">
        <v>3014.9488000000001</v>
      </c>
      <c r="F1632" s="8">
        <f>F1622</f>
        <v>0</v>
      </c>
      <c r="G1632" s="8">
        <f>E1632+F1632</f>
        <v>3014.9488000000001</v>
      </c>
      <c r="H1632" s="3">
        <f>B1632*G1632</f>
        <v>64489.754832000006</v>
      </c>
      <c r="I1632" s="3">
        <f>C1632*G1632</f>
        <v>64519.904320000001</v>
      </c>
    </row>
    <row r="1633" spans="1:9" x14ac:dyDescent="0.25">
      <c r="A1633" t="s">
        <v>6</v>
      </c>
      <c r="B1633" s="1">
        <v>35.01</v>
      </c>
      <c r="C1633" s="1">
        <v>35.020000000000003</v>
      </c>
      <c r="D1633" s="2" t="s">
        <v>200</v>
      </c>
      <c r="E1633" s="8">
        <v>1842.1205</v>
      </c>
      <c r="F1633" s="8">
        <f>F1623</f>
        <v>-0.1</v>
      </c>
      <c r="G1633" s="8">
        <f>E1633+F1633</f>
        <v>1842.0205000000001</v>
      </c>
      <c r="H1633" s="3">
        <f>B1633*G1633</f>
        <v>64489.137705000001</v>
      </c>
      <c r="I1633" s="3">
        <f>C1633*G1633</f>
        <v>64507.55791000001</v>
      </c>
    </row>
    <row r="1634" spans="1:9" x14ac:dyDescent="0.25">
      <c r="A1634" t="s">
        <v>7</v>
      </c>
      <c r="B1634" s="1">
        <v>18.18</v>
      </c>
      <c r="C1634" s="1">
        <v>18.190000000000001</v>
      </c>
      <c r="D1634" s="2" t="s">
        <v>200</v>
      </c>
      <c r="E1634" s="8">
        <v>3546.5864999999999</v>
      </c>
      <c r="F1634" s="8">
        <f>F1624</f>
        <v>0</v>
      </c>
      <c r="G1634" s="8">
        <f>E1634+F1634</f>
        <v>3546.5864999999999</v>
      </c>
      <c r="H1634" s="3">
        <f>B1634*G1634</f>
        <v>64476.942569999999</v>
      </c>
      <c r="I1634" s="3">
        <f>C1634*G1634</f>
        <v>64512.408435000005</v>
      </c>
    </row>
    <row r="1635" spans="1:9" x14ac:dyDescent="0.25">
      <c r="A1635" t="s">
        <v>8</v>
      </c>
      <c r="B1635" s="1">
        <v>28.52</v>
      </c>
      <c r="C1635" s="1">
        <v>28.53</v>
      </c>
      <c r="D1635" s="2" t="s">
        <v>200</v>
      </c>
      <c r="E1635" s="8">
        <v>2261.3416000000002</v>
      </c>
      <c r="F1635" s="8">
        <f>F1625</f>
        <v>-0.2</v>
      </c>
      <c r="G1635" s="8">
        <f>E1635+F1635</f>
        <v>2261.1416000000004</v>
      </c>
      <c r="H1635" s="3">
        <f>B1635*G1635</f>
        <v>64487.75843200001</v>
      </c>
      <c r="I1635" s="3">
        <f>C1635*G1635</f>
        <v>64510.369848000017</v>
      </c>
    </row>
    <row r="1636" spans="1:9" x14ac:dyDescent="0.25">
      <c r="A1636" t="s">
        <v>9</v>
      </c>
      <c r="B1636" s="1">
        <v>68.11</v>
      </c>
      <c r="C1636" s="1">
        <v>68.22</v>
      </c>
      <c r="D1636" s="2" t="s">
        <v>200</v>
      </c>
      <c r="E1636" s="8">
        <v>946.13639999999998</v>
      </c>
      <c r="F1636" s="8">
        <f>F1626</f>
        <v>0</v>
      </c>
      <c r="G1636" s="8">
        <f>E1636+F1636</f>
        <v>946.13639999999998</v>
      </c>
      <c r="H1636" s="3">
        <f>B1636*G1636</f>
        <v>64441.350203999995</v>
      </c>
      <c r="I1636" s="3">
        <f>C1636*G1636</f>
        <v>64545.425208000001</v>
      </c>
    </row>
    <row r="1637" spans="1:9" x14ac:dyDescent="0.25">
      <c r="A1637" t="s">
        <v>10</v>
      </c>
      <c r="B1637" s="1">
        <v>37.26</v>
      </c>
      <c r="C1637" s="1">
        <v>37.29</v>
      </c>
      <c r="D1637" s="2" t="s">
        <v>200</v>
      </c>
      <c r="E1637" s="8">
        <v>1730.1178</v>
      </c>
      <c r="F1637" s="8">
        <f>F1627</f>
        <v>0.2</v>
      </c>
      <c r="G1637" s="8">
        <f>E1637+F1637</f>
        <v>1730.3178</v>
      </c>
      <c r="H1637" s="3">
        <f>B1637*G1637</f>
        <v>64471.641228</v>
      </c>
      <c r="I1637" s="3">
        <f>C1637*G1637</f>
        <v>64523.550761999999</v>
      </c>
    </row>
    <row r="1638" spans="1:9" x14ac:dyDescent="0.25">
      <c r="A1638" t="s">
        <v>11</v>
      </c>
      <c r="B1638" s="1">
        <v>56.12</v>
      </c>
      <c r="C1638" s="1">
        <v>56.13</v>
      </c>
      <c r="D1638" s="2" t="s">
        <v>200</v>
      </c>
      <c r="E1638" s="8">
        <v>1148.8532</v>
      </c>
      <c r="F1638" s="8">
        <f>F1628</f>
        <v>0.05</v>
      </c>
      <c r="G1638" s="8">
        <f>E1638+F1638</f>
        <v>1148.9032</v>
      </c>
      <c r="H1638" s="3">
        <f>B1638*G1638</f>
        <v>64476.447583999994</v>
      </c>
      <c r="I1638" s="3">
        <f>C1638*G1638</f>
        <v>64487.936615999999</v>
      </c>
    </row>
    <row r="1639" spans="1:9" x14ac:dyDescent="0.25">
      <c r="A1639" t="s">
        <v>12</v>
      </c>
      <c r="B1639" s="1">
        <v>50.03</v>
      </c>
      <c r="C1639" s="1">
        <v>50.04</v>
      </c>
      <c r="D1639" s="2" t="s">
        <v>200</v>
      </c>
      <c r="E1639" s="8">
        <v>1288.9615000000001</v>
      </c>
      <c r="F1639" s="8">
        <f>F1629</f>
        <v>0</v>
      </c>
      <c r="G1639" s="8">
        <f>E1639+F1639</f>
        <v>1288.9615000000001</v>
      </c>
      <c r="H1639" s="3">
        <f>B1639*G1639</f>
        <v>64486.743845000005</v>
      </c>
      <c r="I1639" s="3">
        <f>C1639*G1639</f>
        <v>64499.633460000005</v>
      </c>
    </row>
    <row r="1640" spans="1:9" x14ac:dyDescent="0.25">
      <c r="A1640" t="s">
        <v>13</v>
      </c>
      <c r="B1640" s="1">
        <v>18.23</v>
      </c>
      <c r="C1640" s="1">
        <v>18.239999999999998</v>
      </c>
      <c r="D1640" s="2" t="s">
        <v>200</v>
      </c>
      <c r="E1640" s="8">
        <v>3535.8029000000001</v>
      </c>
      <c r="F1640" s="8">
        <f>F1630</f>
        <v>0</v>
      </c>
      <c r="G1640" s="8">
        <f>E1640+F1640</f>
        <v>3535.8029000000001</v>
      </c>
      <c r="H1640" s="3">
        <f>B1640*G1640</f>
        <v>64457.686867000004</v>
      </c>
      <c r="I1640" s="3">
        <f>C1640*G1640</f>
        <v>64493.044895999999</v>
      </c>
    </row>
    <row r="1641" spans="1:9" x14ac:dyDescent="0.25">
      <c r="A1641" t="s">
        <v>14</v>
      </c>
      <c r="B1641" s="1">
        <v>36.520000000000003</v>
      </c>
      <c r="C1641" s="1">
        <v>36.53</v>
      </c>
      <c r="D1641" s="2" t="s">
        <v>200</v>
      </c>
      <c r="E1641" s="8">
        <v>1765.0592999999999</v>
      </c>
      <c r="F1641" s="8">
        <f>F1631</f>
        <v>0.2</v>
      </c>
      <c r="G1641" s="8">
        <f>E1641+F1641</f>
        <v>1765.2592999999999</v>
      </c>
      <c r="H1641" s="3">
        <f>B1641*G1641</f>
        <v>64467.269636000005</v>
      </c>
      <c r="I1641" s="3">
        <f>C1641*G1641</f>
        <v>64484.922229000003</v>
      </c>
    </row>
    <row r="1642" spans="1:9" x14ac:dyDescent="0.25">
      <c r="A1642" t="s">
        <v>4</v>
      </c>
      <c r="B1642" s="1">
        <v>21.42</v>
      </c>
      <c r="C1642" s="1">
        <v>21.43</v>
      </c>
      <c r="D1642" s="2" t="s">
        <v>201</v>
      </c>
      <c r="E1642" s="8">
        <v>3014.9488000000001</v>
      </c>
      <c r="F1642" s="8">
        <f>F1632</f>
        <v>0</v>
      </c>
      <c r="G1642" s="8">
        <f>E1642+F1642</f>
        <v>3014.9488000000001</v>
      </c>
      <c r="H1642" s="3">
        <f>B1642*G1642</f>
        <v>64580.203296000007</v>
      </c>
      <c r="I1642" s="3">
        <f>C1642*G1642</f>
        <v>64610.352784000002</v>
      </c>
    </row>
    <row r="1643" spans="1:9" x14ac:dyDescent="0.25">
      <c r="A1643" t="s">
        <v>6</v>
      </c>
      <c r="B1643" s="1">
        <v>35.06</v>
      </c>
      <c r="C1643" s="1">
        <v>35.07</v>
      </c>
      <c r="D1643" s="2" t="s">
        <v>201</v>
      </c>
      <c r="E1643" s="8">
        <v>1842.1205</v>
      </c>
      <c r="F1643" s="8">
        <f>F1633</f>
        <v>-0.1</v>
      </c>
      <c r="G1643" s="8">
        <f>E1643+F1643</f>
        <v>1842.0205000000001</v>
      </c>
      <c r="H1643" s="3">
        <f>B1643*G1643</f>
        <v>64581.238730000005</v>
      </c>
      <c r="I1643" s="3">
        <f>C1643*G1643</f>
        <v>64599.658935000007</v>
      </c>
    </row>
    <row r="1644" spans="1:9" x14ac:dyDescent="0.25">
      <c r="A1644" t="s">
        <v>7</v>
      </c>
      <c r="B1644" s="1">
        <v>18.21</v>
      </c>
      <c r="C1644" s="1">
        <v>18.22</v>
      </c>
      <c r="D1644" s="2" t="s">
        <v>201</v>
      </c>
      <c r="E1644" s="8">
        <v>3546.5864999999999</v>
      </c>
      <c r="F1644" s="8">
        <f>F1634</f>
        <v>0</v>
      </c>
      <c r="G1644" s="8">
        <f>E1644+F1644</f>
        <v>3546.5864999999999</v>
      </c>
      <c r="H1644" s="3">
        <f>B1644*G1644</f>
        <v>64583.340165000001</v>
      </c>
      <c r="I1644" s="3">
        <f>C1644*G1644</f>
        <v>64618.806029999992</v>
      </c>
    </row>
    <row r="1645" spans="1:9" x14ac:dyDescent="0.25">
      <c r="A1645" t="s">
        <v>8</v>
      </c>
      <c r="B1645" s="1">
        <v>28.56</v>
      </c>
      <c r="C1645" s="1">
        <v>28.57</v>
      </c>
      <c r="D1645" s="2" t="s">
        <v>201</v>
      </c>
      <c r="E1645" s="8">
        <v>2261.3416000000002</v>
      </c>
      <c r="F1645" s="8">
        <f>F1635</f>
        <v>-0.2</v>
      </c>
      <c r="G1645" s="8">
        <f>E1645+F1645</f>
        <v>2261.1416000000004</v>
      </c>
      <c r="H1645" s="3">
        <f>B1645*G1645</f>
        <v>64578.204096000009</v>
      </c>
      <c r="I1645" s="3">
        <f>C1645*G1645</f>
        <v>64600.815512000008</v>
      </c>
    </row>
    <row r="1646" spans="1:9" x14ac:dyDescent="0.25">
      <c r="A1646" t="s">
        <v>9</v>
      </c>
      <c r="B1646" s="1">
        <v>68.239999999999995</v>
      </c>
      <c r="C1646" s="1">
        <v>68.38</v>
      </c>
      <c r="D1646" s="2" t="s">
        <v>201</v>
      </c>
      <c r="E1646" s="8">
        <v>946.13639999999998</v>
      </c>
      <c r="F1646" s="8">
        <f>F1636</f>
        <v>0</v>
      </c>
      <c r="G1646" s="8">
        <f>E1646+F1646</f>
        <v>946.13639999999998</v>
      </c>
      <c r="H1646" s="3">
        <f>B1646*G1646</f>
        <v>64564.347935999991</v>
      </c>
      <c r="I1646" s="3">
        <f>C1646*G1646</f>
        <v>64696.807031999997</v>
      </c>
    </row>
    <row r="1647" spans="1:9" x14ac:dyDescent="0.25">
      <c r="A1647" t="s">
        <v>10</v>
      </c>
      <c r="B1647" s="1">
        <v>37.32</v>
      </c>
      <c r="C1647" s="1">
        <v>37.35</v>
      </c>
      <c r="D1647" s="2" t="s">
        <v>201</v>
      </c>
      <c r="E1647" s="8">
        <v>1730.1178</v>
      </c>
      <c r="F1647" s="8">
        <f>F1637</f>
        <v>0.2</v>
      </c>
      <c r="G1647" s="8">
        <f>E1647+F1647</f>
        <v>1730.3178</v>
      </c>
      <c r="H1647" s="3">
        <f>B1647*G1647</f>
        <v>64575.460296000005</v>
      </c>
      <c r="I1647" s="3">
        <f>C1647*G1647</f>
        <v>64627.369830000003</v>
      </c>
    </row>
    <row r="1648" spans="1:9" x14ac:dyDescent="0.25">
      <c r="A1648" t="s">
        <v>11</v>
      </c>
      <c r="B1648" s="1">
        <v>56.2</v>
      </c>
      <c r="C1648" s="1">
        <v>56.21</v>
      </c>
      <c r="D1648" s="2" t="s">
        <v>201</v>
      </c>
      <c r="E1648" s="8">
        <v>1148.8532</v>
      </c>
      <c r="F1648" s="8">
        <f>F1638</f>
        <v>0.05</v>
      </c>
      <c r="G1648" s="8">
        <f>E1648+F1648</f>
        <v>1148.9032</v>
      </c>
      <c r="H1648" s="3">
        <f>B1648*G1648</f>
        <v>64568.359840000005</v>
      </c>
      <c r="I1648" s="3">
        <f>C1648*G1648</f>
        <v>64579.848872000002</v>
      </c>
    </row>
    <row r="1649" spans="1:9" x14ac:dyDescent="0.25">
      <c r="A1649" t="s">
        <v>12</v>
      </c>
      <c r="B1649" s="1">
        <v>50.11</v>
      </c>
      <c r="C1649" s="1">
        <v>50.12</v>
      </c>
      <c r="D1649" s="2" t="s">
        <v>201</v>
      </c>
      <c r="E1649" s="8">
        <v>1288.9615000000001</v>
      </c>
      <c r="F1649" s="8">
        <f>F1639</f>
        <v>0</v>
      </c>
      <c r="G1649" s="8">
        <f>E1649+F1649</f>
        <v>1288.9615000000001</v>
      </c>
      <c r="H1649" s="3">
        <f>B1649*G1649</f>
        <v>64589.860765000005</v>
      </c>
      <c r="I1649" s="3">
        <f>C1649*G1649</f>
        <v>64602.750380000005</v>
      </c>
    </row>
    <row r="1650" spans="1:9" x14ac:dyDescent="0.25">
      <c r="A1650" t="s">
        <v>13</v>
      </c>
      <c r="B1650" s="1">
        <v>18.260000000000002</v>
      </c>
      <c r="C1650" s="1">
        <v>18.27</v>
      </c>
      <c r="D1650" s="2" t="s">
        <v>201</v>
      </c>
      <c r="E1650" s="8">
        <v>3535.8029000000001</v>
      </c>
      <c r="F1650" s="8">
        <f>F1640</f>
        <v>0</v>
      </c>
      <c r="G1650" s="8">
        <f>E1650+F1650</f>
        <v>3535.8029000000001</v>
      </c>
      <c r="H1650" s="3">
        <f>B1650*G1650</f>
        <v>64563.760954000005</v>
      </c>
      <c r="I1650" s="3">
        <f>C1650*G1650</f>
        <v>64599.118983</v>
      </c>
    </row>
    <row r="1651" spans="1:9" x14ac:dyDescent="0.25">
      <c r="A1651" t="s">
        <v>14</v>
      </c>
      <c r="B1651" s="1">
        <v>36.58</v>
      </c>
      <c r="C1651" s="1">
        <v>36.590000000000003</v>
      </c>
      <c r="D1651" s="2" t="s">
        <v>201</v>
      </c>
      <c r="E1651" s="8">
        <v>1765.0592999999999</v>
      </c>
      <c r="F1651" s="8">
        <f>F1641</f>
        <v>0.2</v>
      </c>
      <c r="G1651" s="8">
        <f>E1651+F1651</f>
        <v>1765.2592999999999</v>
      </c>
      <c r="H1651" s="3">
        <f>B1651*G1651</f>
        <v>64573.185193999998</v>
      </c>
      <c r="I1651" s="3">
        <f>C1651*G1651</f>
        <v>64590.837787000004</v>
      </c>
    </row>
    <row r="1652" spans="1:9" x14ac:dyDescent="0.25">
      <c r="A1652" t="s">
        <v>4</v>
      </c>
      <c r="B1652" s="1">
        <v>21.42</v>
      </c>
      <c r="C1652" s="1">
        <v>21.43</v>
      </c>
      <c r="D1652" s="2" t="s">
        <v>202</v>
      </c>
      <c r="E1652" s="8">
        <v>3014.9488000000001</v>
      </c>
      <c r="F1652" s="8">
        <f>F1642</f>
        <v>0</v>
      </c>
      <c r="G1652" s="8">
        <f>E1652+F1652</f>
        <v>3014.9488000000001</v>
      </c>
      <c r="H1652" s="3">
        <f>B1652*G1652</f>
        <v>64580.203296000007</v>
      </c>
      <c r="I1652" s="3">
        <f>C1652*G1652</f>
        <v>64610.352784000002</v>
      </c>
    </row>
    <row r="1653" spans="1:9" x14ac:dyDescent="0.25">
      <c r="A1653" t="s">
        <v>6</v>
      </c>
      <c r="B1653" s="1">
        <v>35.06</v>
      </c>
      <c r="C1653" s="1">
        <v>35.07</v>
      </c>
      <c r="D1653" s="2" t="s">
        <v>202</v>
      </c>
      <c r="E1653" s="8">
        <v>1842.1205</v>
      </c>
      <c r="F1653" s="8">
        <f>F1643</f>
        <v>-0.1</v>
      </c>
      <c r="G1653" s="8">
        <f>E1653+F1653</f>
        <v>1842.0205000000001</v>
      </c>
      <c r="H1653" s="3">
        <f>B1653*G1653</f>
        <v>64581.238730000005</v>
      </c>
      <c r="I1653" s="3">
        <f>C1653*G1653</f>
        <v>64599.658935000007</v>
      </c>
    </row>
    <row r="1654" spans="1:9" x14ac:dyDescent="0.25">
      <c r="A1654" t="s">
        <v>7</v>
      </c>
      <c r="B1654" s="1">
        <v>18.21</v>
      </c>
      <c r="C1654" s="1">
        <v>18.22</v>
      </c>
      <c r="D1654" s="2" t="s">
        <v>202</v>
      </c>
      <c r="E1654" s="8">
        <v>3546.5864999999999</v>
      </c>
      <c r="F1654" s="8">
        <f>F1644</f>
        <v>0</v>
      </c>
      <c r="G1654" s="8">
        <f>E1654+F1654</f>
        <v>3546.5864999999999</v>
      </c>
      <c r="H1654" s="3">
        <f>B1654*G1654</f>
        <v>64583.340165000001</v>
      </c>
      <c r="I1654" s="3">
        <f>C1654*G1654</f>
        <v>64618.806029999992</v>
      </c>
    </row>
    <row r="1655" spans="1:9" x14ac:dyDescent="0.25">
      <c r="A1655" t="s">
        <v>8</v>
      </c>
      <c r="B1655" s="1">
        <v>28.56</v>
      </c>
      <c r="C1655" s="1">
        <v>28.57</v>
      </c>
      <c r="D1655" s="2" t="s">
        <v>202</v>
      </c>
      <c r="E1655" s="8">
        <v>2261.3416000000002</v>
      </c>
      <c r="F1655" s="8">
        <f>F1645</f>
        <v>-0.2</v>
      </c>
      <c r="G1655" s="8">
        <f>E1655+F1655</f>
        <v>2261.1416000000004</v>
      </c>
      <c r="H1655" s="3">
        <f>B1655*G1655</f>
        <v>64578.204096000009</v>
      </c>
      <c r="I1655" s="3">
        <f>C1655*G1655</f>
        <v>64600.815512000008</v>
      </c>
    </row>
    <row r="1656" spans="1:9" x14ac:dyDescent="0.25">
      <c r="A1656" t="s">
        <v>9</v>
      </c>
      <c r="B1656" s="1">
        <v>68.22</v>
      </c>
      <c r="C1656" s="1">
        <v>68.34</v>
      </c>
      <c r="D1656" s="2" t="s">
        <v>202</v>
      </c>
      <c r="E1656" s="8">
        <v>946.13639999999998</v>
      </c>
      <c r="F1656" s="8">
        <f>F1646</f>
        <v>0</v>
      </c>
      <c r="G1656" s="8">
        <f>E1656+F1656</f>
        <v>946.13639999999998</v>
      </c>
      <c r="H1656" s="3">
        <f>B1656*G1656</f>
        <v>64545.425208000001</v>
      </c>
      <c r="I1656" s="3">
        <f>C1656*G1656</f>
        <v>64658.961576000002</v>
      </c>
    </row>
    <row r="1657" spans="1:9" x14ac:dyDescent="0.25">
      <c r="A1657" t="s">
        <v>10</v>
      </c>
      <c r="B1657" s="1">
        <v>37.32</v>
      </c>
      <c r="C1657" s="1">
        <v>37.35</v>
      </c>
      <c r="D1657" s="2" t="s">
        <v>202</v>
      </c>
      <c r="E1657" s="8">
        <v>1730.1178</v>
      </c>
      <c r="F1657" s="8">
        <f>F1647</f>
        <v>0.2</v>
      </c>
      <c r="G1657" s="8">
        <f>E1657+F1657</f>
        <v>1730.3178</v>
      </c>
      <c r="H1657" s="3">
        <f>B1657*G1657</f>
        <v>64575.460296000005</v>
      </c>
      <c r="I1657" s="3">
        <f>C1657*G1657</f>
        <v>64627.369830000003</v>
      </c>
    </row>
    <row r="1658" spans="1:9" x14ac:dyDescent="0.25">
      <c r="A1658" t="s">
        <v>11</v>
      </c>
      <c r="B1658" s="1">
        <v>56.21</v>
      </c>
      <c r="C1658" s="1">
        <v>56.22</v>
      </c>
      <c r="D1658" s="2" t="s">
        <v>202</v>
      </c>
      <c r="E1658" s="8">
        <v>1148.8532</v>
      </c>
      <c r="F1658" s="8">
        <f>F1648</f>
        <v>0.05</v>
      </c>
      <c r="G1658" s="8">
        <f>E1658+F1658</f>
        <v>1148.9032</v>
      </c>
      <c r="H1658" s="3">
        <f>B1658*G1658</f>
        <v>64579.848872000002</v>
      </c>
      <c r="I1658" s="3">
        <f>C1658*G1658</f>
        <v>64591.337904</v>
      </c>
    </row>
    <row r="1659" spans="1:9" x14ac:dyDescent="0.25">
      <c r="A1659" t="s">
        <v>12</v>
      </c>
      <c r="B1659" s="1">
        <v>50.11</v>
      </c>
      <c r="C1659" s="1">
        <v>50.12</v>
      </c>
      <c r="D1659" s="2" t="s">
        <v>202</v>
      </c>
      <c r="E1659" s="8">
        <v>1288.9615000000001</v>
      </c>
      <c r="F1659" s="8">
        <f>F1649</f>
        <v>0</v>
      </c>
      <c r="G1659" s="8">
        <f>E1659+F1659</f>
        <v>1288.9615000000001</v>
      </c>
      <c r="H1659" s="3">
        <f>B1659*G1659</f>
        <v>64589.860765000005</v>
      </c>
      <c r="I1659" s="3">
        <f>C1659*G1659</f>
        <v>64602.750380000005</v>
      </c>
    </row>
    <row r="1660" spans="1:9" x14ac:dyDescent="0.25">
      <c r="A1660" t="s">
        <v>13</v>
      </c>
      <c r="B1660" s="1">
        <v>18.260000000000002</v>
      </c>
      <c r="C1660" s="1">
        <v>18.27</v>
      </c>
      <c r="D1660" s="2" t="s">
        <v>202</v>
      </c>
      <c r="E1660" s="8">
        <v>3535.8029000000001</v>
      </c>
      <c r="F1660" s="8">
        <f>F1650</f>
        <v>0</v>
      </c>
      <c r="G1660" s="8">
        <f>E1660+F1660</f>
        <v>3535.8029000000001</v>
      </c>
      <c r="H1660" s="3">
        <f>B1660*G1660</f>
        <v>64563.760954000005</v>
      </c>
      <c r="I1660" s="3">
        <f>C1660*G1660</f>
        <v>64599.118983</v>
      </c>
    </row>
    <row r="1661" spans="1:9" x14ac:dyDescent="0.25">
      <c r="A1661" t="s">
        <v>14</v>
      </c>
      <c r="B1661" s="1">
        <v>36.58</v>
      </c>
      <c r="C1661" s="1">
        <v>36.590000000000003</v>
      </c>
      <c r="D1661" s="2" t="s">
        <v>202</v>
      </c>
      <c r="E1661" s="8">
        <v>1765.0592999999999</v>
      </c>
      <c r="F1661" s="8">
        <f>F1651</f>
        <v>0.2</v>
      </c>
      <c r="G1661" s="8">
        <f>E1661+F1661</f>
        <v>1765.2592999999999</v>
      </c>
      <c r="H1661" s="3">
        <f>B1661*G1661</f>
        <v>64573.185193999998</v>
      </c>
      <c r="I1661" s="3">
        <f>C1661*G1661</f>
        <v>64590.837787000004</v>
      </c>
    </row>
    <row r="1662" spans="1:9" x14ac:dyDescent="0.25">
      <c r="A1662" t="s">
        <v>4</v>
      </c>
      <c r="B1662" s="1">
        <v>21.34</v>
      </c>
      <c r="C1662" s="1">
        <v>21.35</v>
      </c>
      <c r="D1662" s="2" t="s">
        <v>203</v>
      </c>
      <c r="E1662" s="8">
        <v>3014.9488000000001</v>
      </c>
      <c r="F1662" s="8">
        <f>F1652</f>
        <v>0</v>
      </c>
      <c r="G1662" s="8">
        <f>E1662+F1662</f>
        <v>3014.9488000000001</v>
      </c>
      <c r="H1662" s="3">
        <f>B1662*G1662</f>
        <v>64339.007392</v>
      </c>
      <c r="I1662" s="3">
        <f>C1662*G1662</f>
        <v>64369.15688000001</v>
      </c>
    </row>
    <row r="1663" spans="1:9" x14ac:dyDescent="0.25">
      <c r="A1663" t="s">
        <v>6</v>
      </c>
      <c r="B1663" s="1">
        <v>34.93</v>
      </c>
      <c r="C1663" s="1">
        <v>34.94</v>
      </c>
      <c r="D1663" s="2" t="s">
        <v>203</v>
      </c>
      <c r="E1663" s="8">
        <v>1842.1205</v>
      </c>
      <c r="F1663" s="8">
        <f>F1653</f>
        <v>-0.1</v>
      </c>
      <c r="G1663" s="8">
        <f>E1663+F1663</f>
        <v>1842.0205000000001</v>
      </c>
      <c r="H1663" s="3">
        <f>B1663*G1663</f>
        <v>64341.776065000005</v>
      </c>
      <c r="I1663" s="3">
        <f>C1663*G1663</f>
        <v>64360.19627</v>
      </c>
    </row>
    <row r="1664" spans="1:9" x14ac:dyDescent="0.25">
      <c r="A1664" t="s">
        <v>7</v>
      </c>
      <c r="B1664" s="1">
        <v>18.14</v>
      </c>
      <c r="C1664" s="1">
        <v>18.149999999999999</v>
      </c>
      <c r="D1664" s="2" t="s">
        <v>203</v>
      </c>
      <c r="E1664" s="8">
        <v>3546.5864999999999</v>
      </c>
      <c r="F1664" s="8">
        <f>F1654</f>
        <v>0</v>
      </c>
      <c r="G1664" s="8">
        <f>E1664+F1664</f>
        <v>3546.5864999999999</v>
      </c>
      <c r="H1664" s="3">
        <f>B1664*G1664</f>
        <v>64335.079109999999</v>
      </c>
      <c r="I1664" s="3">
        <f>C1664*G1664</f>
        <v>64370.54497499999</v>
      </c>
    </row>
    <row r="1665" spans="1:9" x14ac:dyDescent="0.25">
      <c r="A1665" t="s">
        <v>8</v>
      </c>
      <c r="B1665" s="1">
        <v>28.45</v>
      </c>
      <c r="C1665" s="1">
        <v>28.46</v>
      </c>
      <c r="D1665" s="2" t="s">
        <v>203</v>
      </c>
      <c r="E1665" s="8">
        <v>2261.3416000000002</v>
      </c>
      <c r="F1665" s="8">
        <f>F1655</f>
        <v>-0.2</v>
      </c>
      <c r="G1665" s="8">
        <f>E1665+F1665</f>
        <v>2261.1416000000004</v>
      </c>
      <c r="H1665" s="3">
        <f>B1665*G1665</f>
        <v>64329.478520000011</v>
      </c>
      <c r="I1665" s="3">
        <f>C1665*G1665</f>
        <v>64352.089936000011</v>
      </c>
    </row>
    <row r="1666" spans="1:9" x14ac:dyDescent="0.25">
      <c r="A1666" t="s">
        <v>9</v>
      </c>
      <c r="B1666" s="1">
        <v>67.97</v>
      </c>
      <c r="C1666" s="1">
        <v>68.09</v>
      </c>
      <c r="D1666" s="2" t="s">
        <v>203</v>
      </c>
      <c r="E1666" s="8">
        <v>946.13639999999998</v>
      </c>
      <c r="F1666" s="8">
        <f>F1656</f>
        <v>0</v>
      </c>
      <c r="G1666" s="8">
        <f>E1666+F1666</f>
        <v>946.13639999999998</v>
      </c>
      <c r="H1666" s="3">
        <f>B1666*G1666</f>
        <v>64308.891107999996</v>
      </c>
      <c r="I1666" s="3">
        <f>C1666*G1666</f>
        <v>64422.427476000004</v>
      </c>
    </row>
    <row r="1667" spans="1:9" x14ac:dyDescent="0.25">
      <c r="A1667" t="s">
        <v>10</v>
      </c>
      <c r="B1667" s="1">
        <v>37.18</v>
      </c>
      <c r="C1667" s="1">
        <v>37.200000000000003</v>
      </c>
      <c r="D1667" s="2" t="s">
        <v>203</v>
      </c>
      <c r="E1667" s="8">
        <v>1730.1178</v>
      </c>
      <c r="F1667" s="8">
        <f>F1657</f>
        <v>0.2</v>
      </c>
      <c r="G1667" s="8">
        <f>E1667+F1667</f>
        <v>1730.3178</v>
      </c>
      <c r="H1667" s="3">
        <f>B1667*G1667</f>
        <v>64333.215803999999</v>
      </c>
      <c r="I1667" s="3">
        <f>C1667*G1667</f>
        <v>64367.822160000003</v>
      </c>
    </row>
    <row r="1668" spans="1:9" x14ac:dyDescent="0.25">
      <c r="A1668" t="s">
        <v>11</v>
      </c>
      <c r="B1668" s="1">
        <v>55.99</v>
      </c>
      <c r="C1668" s="1">
        <v>56</v>
      </c>
      <c r="D1668" s="2" t="s">
        <v>203</v>
      </c>
      <c r="E1668" s="8">
        <v>1148.8532</v>
      </c>
      <c r="F1668" s="8">
        <f>F1658</f>
        <v>0.05</v>
      </c>
      <c r="G1668" s="8">
        <f>E1668+F1668</f>
        <v>1148.9032</v>
      </c>
      <c r="H1668" s="3">
        <f>B1668*G1668</f>
        <v>64327.090168000002</v>
      </c>
      <c r="I1668" s="3">
        <f>C1668*G1668</f>
        <v>64338.5792</v>
      </c>
    </row>
    <row r="1669" spans="1:9" x14ac:dyDescent="0.25">
      <c r="A1669" t="s">
        <v>12</v>
      </c>
      <c r="B1669" s="1">
        <v>49.91</v>
      </c>
      <c r="C1669" s="1">
        <v>49.92</v>
      </c>
      <c r="D1669" s="2" t="s">
        <v>203</v>
      </c>
      <c r="E1669" s="8">
        <v>1288.9615000000001</v>
      </c>
      <c r="F1669" s="8">
        <f>F1659</f>
        <v>0</v>
      </c>
      <c r="G1669" s="8">
        <f>E1669+F1669</f>
        <v>1288.9615000000001</v>
      </c>
      <c r="H1669" s="3">
        <f>B1669*G1669</f>
        <v>64332.068465000004</v>
      </c>
      <c r="I1669" s="3">
        <f>C1669*G1669</f>
        <v>64344.958080000011</v>
      </c>
    </row>
    <row r="1670" spans="1:9" x14ac:dyDescent="0.25">
      <c r="A1670" t="s">
        <v>13</v>
      </c>
      <c r="B1670" s="1">
        <v>18.190000000000001</v>
      </c>
      <c r="C1670" s="1">
        <v>18.2</v>
      </c>
      <c r="D1670" s="2" t="s">
        <v>203</v>
      </c>
      <c r="E1670" s="8">
        <v>3535.8029000000001</v>
      </c>
      <c r="F1670" s="8">
        <f>F1660</f>
        <v>0</v>
      </c>
      <c r="G1670" s="8">
        <f>E1670+F1670</f>
        <v>3535.8029000000001</v>
      </c>
      <c r="H1670" s="3">
        <f>B1670*G1670</f>
        <v>64316.254751000008</v>
      </c>
      <c r="I1670" s="3">
        <f>C1670*G1670</f>
        <v>64351.612780000003</v>
      </c>
    </row>
    <row r="1671" spans="1:9" x14ac:dyDescent="0.25">
      <c r="A1671" t="s">
        <v>14</v>
      </c>
      <c r="B1671" s="1">
        <v>36.44</v>
      </c>
      <c r="C1671" s="1">
        <v>36.450000000000003</v>
      </c>
      <c r="D1671" s="2" t="s">
        <v>203</v>
      </c>
      <c r="E1671" s="8">
        <v>1765.0592999999999</v>
      </c>
      <c r="F1671" s="8">
        <f>F1661</f>
        <v>0.2</v>
      </c>
      <c r="G1671" s="8">
        <f>E1671+F1671</f>
        <v>1765.2592999999999</v>
      </c>
      <c r="H1671" s="3">
        <f>B1671*G1671</f>
        <v>64326.048891999992</v>
      </c>
      <c r="I1671" s="3">
        <f>C1671*G1671</f>
        <v>64343.701485000005</v>
      </c>
    </row>
    <row r="1672" spans="1:9" x14ac:dyDescent="0.25">
      <c r="A1672" t="s">
        <v>4</v>
      </c>
      <c r="B1672" s="1">
        <v>21.36</v>
      </c>
      <c r="C1672" s="1">
        <v>21.37</v>
      </c>
      <c r="D1672" s="2" t="s">
        <v>204</v>
      </c>
      <c r="E1672" s="8">
        <v>3014.9488000000001</v>
      </c>
      <c r="F1672" s="8">
        <f>F1662</f>
        <v>0</v>
      </c>
      <c r="G1672" s="8">
        <f>E1672+F1672</f>
        <v>3014.9488000000001</v>
      </c>
      <c r="H1672" s="3">
        <f>B1672*G1672</f>
        <v>64399.306367999998</v>
      </c>
      <c r="I1672" s="3">
        <f>C1672*G1672</f>
        <v>64429.455856000008</v>
      </c>
    </row>
    <row r="1673" spans="1:9" x14ac:dyDescent="0.25">
      <c r="A1673" t="s">
        <v>6</v>
      </c>
      <c r="B1673" s="1">
        <v>34.97</v>
      </c>
      <c r="C1673" s="1">
        <v>34.979999999999997</v>
      </c>
      <c r="D1673" s="2" t="s">
        <v>204</v>
      </c>
      <c r="E1673" s="8">
        <v>1842.1205</v>
      </c>
      <c r="F1673" s="8">
        <f>F1663</f>
        <v>-0.1</v>
      </c>
      <c r="G1673" s="8">
        <f>E1673+F1673</f>
        <v>1842.0205000000001</v>
      </c>
      <c r="H1673" s="3">
        <f>B1673*G1673</f>
        <v>64415.456885</v>
      </c>
      <c r="I1673" s="3">
        <f>C1673*G1673</f>
        <v>64433.877089999994</v>
      </c>
    </row>
    <row r="1674" spans="1:9" x14ac:dyDescent="0.25">
      <c r="A1674" t="s">
        <v>7</v>
      </c>
      <c r="B1674" s="1">
        <v>18.16</v>
      </c>
      <c r="C1674" s="1">
        <v>18.170000000000002</v>
      </c>
      <c r="D1674" s="2" t="s">
        <v>204</v>
      </c>
      <c r="E1674" s="8">
        <v>3546.5864999999999</v>
      </c>
      <c r="F1674" s="8">
        <f>F1664</f>
        <v>0</v>
      </c>
      <c r="G1674" s="8">
        <f>E1674+F1674</f>
        <v>3546.5864999999999</v>
      </c>
      <c r="H1674" s="3">
        <f>B1674*G1674</f>
        <v>64406.010839999995</v>
      </c>
      <c r="I1674" s="3">
        <f>C1674*G1674</f>
        <v>64441.476705000001</v>
      </c>
    </row>
    <row r="1675" spans="1:9" x14ac:dyDescent="0.25">
      <c r="A1675" t="s">
        <v>8</v>
      </c>
      <c r="B1675" s="1">
        <v>28.49</v>
      </c>
      <c r="C1675" s="1">
        <v>28.5</v>
      </c>
      <c r="D1675" s="2" t="s">
        <v>204</v>
      </c>
      <c r="E1675" s="8">
        <v>2261.3416000000002</v>
      </c>
      <c r="F1675" s="8">
        <f>F1665</f>
        <v>-0.2</v>
      </c>
      <c r="G1675" s="8">
        <f>E1675+F1675</f>
        <v>2261.1416000000004</v>
      </c>
      <c r="H1675" s="3">
        <f>B1675*G1675</f>
        <v>64419.92418400001</v>
      </c>
      <c r="I1675" s="3">
        <f>C1675*G1675</f>
        <v>64442.53560000001</v>
      </c>
    </row>
    <row r="1676" spans="1:9" x14ac:dyDescent="0.25">
      <c r="A1676" t="s">
        <v>9</v>
      </c>
      <c r="B1676" s="1">
        <v>68.040000000000006</v>
      </c>
      <c r="C1676" s="1">
        <v>68.12</v>
      </c>
      <c r="D1676" s="2" t="s">
        <v>204</v>
      </c>
      <c r="E1676" s="8">
        <v>946.13639999999998</v>
      </c>
      <c r="F1676" s="8">
        <f>F1666</f>
        <v>0</v>
      </c>
      <c r="G1676" s="8">
        <f>E1676+F1676</f>
        <v>946.13639999999998</v>
      </c>
      <c r="H1676" s="3">
        <f>B1676*G1676</f>
        <v>64375.120656000006</v>
      </c>
      <c r="I1676" s="3">
        <f>C1676*G1676</f>
        <v>64450.811568000005</v>
      </c>
    </row>
    <row r="1677" spans="1:9" x14ac:dyDescent="0.25">
      <c r="A1677" t="s">
        <v>10</v>
      </c>
      <c r="B1677" s="1">
        <v>37.229999999999997</v>
      </c>
      <c r="C1677" s="1">
        <v>37.25</v>
      </c>
      <c r="D1677" s="2" t="s">
        <v>204</v>
      </c>
      <c r="E1677" s="8">
        <v>1730.1178</v>
      </c>
      <c r="F1677" s="8">
        <f>F1667</f>
        <v>0.2</v>
      </c>
      <c r="G1677" s="8">
        <f>E1677+F1677</f>
        <v>1730.3178</v>
      </c>
      <c r="H1677" s="3">
        <f>B1677*G1677</f>
        <v>64419.731693999995</v>
      </c>
      <c r="I1677" s="3">
        <f>C1677*G1677</f>
        <v>64454.338049999998</v>
      </c>
    </row>
    <row r="1678" spans="1:9" x14ac:dyDescent="0.25">
      <c r="A1678" t="s">
        <v>11</v>
      </c>
      <c r="B1678" s="1">
        <v>56.07</v>
      </c>
      <c r="C1678" s="1">
        <v>56.08</v>
      </c>
      <c r="D1678" s="2" t="s">
        <v>204</v>
      </c>
      <c r="E1678" s="8">
        <v>1148.8532</v>
      </c>
      <c r="F1678" s="8">
        <f>F1668</f>
        <v>0.05</v>
      </c>
      <c r="G1678" s="8">
        <f>E1678+F1678</f>
        <v>1148.9032</v>
      </c>
      <c r="H1678" s="3">
        <f>B1678*G1678</f>
        <v>64419.002423999998</v>
      </c>
      <c r="I1678" s="3">
        <f>C1678*G1678</f>
        <v>64430.491455999996</v>
      </c>
    </row>
    <row r="1679" spans="1:9" x14ac:dyDescent="0.25">
      <c r="A1679" t="s">
        <v>12</v>
      </c>
      <c r="B1679" s="1">
        <v>49.98</v>
      </c>
      <c r="C1679" s="1">
        <v>49.99</v>
      </c>
      <c r="D1679" s="2" t="s">
        <v>204</v>
      </c>
      <c r="E1679" s="8">
        <v>1288.9615000000001</v>
      </c>
      <c r="F1679" s="8">
        <f>F1669</f>
        <v>0</v>
      </c>
      <c r="G1679" s="8">
        <f>E1679+F1679</f>
        <v>1288.9615000000001</v>
      </c>
      <c r="H1679" s="3">
        <f>B1679*G1679</f>
        <v>64422.295770000004</v>
      </c>
      <c r="I1679" s="3">
        <f>C1679*G1679</f>
        <v>64435.185385000012</v>
      </c>
    </row>
    <row r="1680" spans="1:9" x14ac:dyDescent="0.25">
      <c r="A1680" t="s">
        <v>13</v>
      </c>
      <c r="B1680" s="1">
        <v>18.21</v>
      </c>
      <c r="C1680" s="1">
        <v>18.22</v>
      </c>
      <c r="D1680" s="2" t="s">
        <v>204</v>
      </c>
      <c r="E1680" s="8">
        <v>3535.8029000000001</v>
      </c>
      <c r="F1680" s="8">
        <f>F1670</f>
        <v>0</v>
      </c>
      <c r="G1680" s="8">
        <f>E1680+F1680</f>
        <v>3535.8029000000001</v>
      </c>
      <c r="H1680" s="3">
        <f>B1680*G1680</f>
        <v>64386.970809000006</v>
      </c>
      <c r="I1680" s="3">
        <f>C1680*G1680</f>
        <v>64422.328838000001</v>
      </c>
    </row>
    <row r="1681" spans="1:9" x14ac:dyDescent="0.25">
      <c r="A1681" t="s">
        <v>14</v>
      </c>
      <c r="B1681" s="1">
        <v>36.479999999999997</v>
      </c>
      <c r="C1681" s="1">
        <v>36.49</v>
      </c>
      <c r="D1681" s="2" t="s">
        <v>204</v>
      </c>
      <c r="E1681" s="8">
        <v>1765.0592999999999</v>
      </c>
      <c r="F1681" s="8">
        <f>F1671</f>
        <v>0.2</v>
      </c>
      <c r="G1681" s="8">
        <f>E1681+F1681</f>
        <v>1765.2592999999999</v>
      </c>
      <c r="H1681" s="3">
        <f>B1681*G1681</f>
        <v>64396.659263999994</v>
      </c>
      <c r="I1681" s="3">
        <f>C1681*G1681</f>
        <v>64414.311857000001</v>
      </c>
    </row>
    <row r="1682" spans="1:9" x14ac:dyDescent="0.25">
      <c r="A1682" t="s">
        <v>4</v>
      </c>
      <c r="B1682" s="1">
        <v>21.4</v>
      </c>
      <c r="C1682" s="1">
        <v>21.41</v>
      </c>
      <c r="D1682" s="2" t="s">
        <v>205</v>
      </c>
      <c r="E1682" s="8">
        <v>3014.9488000000001</v>
      </c>
      <c r="F1682" s="8">
        <f>F1672</f>
        <v>0</v>
      </c>
      <c r="G1682" s="8">
        <f>E1682+F1682</f>
        <v>3014.9488000000001</v>
      </c>
      <c r="H1682" s="3">
        <f>B1682*G1682</f>
        <v>64519.904320000001</v>
      </c>
      <c r="I1682" s="3">
        <f>C1682*G1682</f>
        <v>64550.053808000004</v>
      </c>
    </row>
    <row r="1683" spans="1:9" x14ac:dyDescent="0.25">
      <c r="A1683" t="s">
        <v>6</v>
      </c>
      <c r="B1683" s="1">
        <v>35.03</v>
      </c>
      <c r="C1683" s="1">
        <v>35.04</v>
      </c>
      <c r="D1683" s="2" t="s">
        <v>205</v>
      </c>
      <c r="E1683" s="8">
        <v>1842.1205</v>
      </c>
      <c r="F1683" s="8">
        <f>F1673</f>
        <v>-0.1</v>
      </c>
      <c r="G1683" s="8">
        <f>E1683+F1683</f>
        <v>1842.0205000000001</v>
      </c>
      <c r="H1683" s="3">
        <f>B1683*G1683</f>
        <v>64525.978115000005</v>
      </c>
      <c r="I1683" s="3">
        <f>C1683*G1683</f>
        <v>64544.39832</v>
      </c>
    </row>
    <row r="1684" spans="1:9" x14ac:dyDescent="0.25">
      <c r="A1684" t="s">
        <v>7</v>
      </c>
      <c r="B1684" s="1">
        <v>18.190000000000001</v>
      </c>
      <c r="C1684" s="1">
        <v>18.2</v>
      </c>
      <c r="D1684" s="2" t="s">
        <v>205</v>
      </c>
      <c r="E1684" s="8">
        <v>3546.5864999999999</v>
      </c>
      <c r="F1684" s="8">
        <f>F1674</f>
        <v>0</v>
      </c>
      <c r="G1684" s="8">
        <f>E1684+F1684</f>
        <v>3546.5864999999999</v>
      </c>
      <c r="H1684" s="3">
        <f>B1684*G1684</f>
        <v>64512.408435000005</v>
      </c>
      <c r="I1684" s="3">
        <f>C1684*G1684</f>
        <v>64547.874299999996</v>
      </c>
    </row>
    <row r="1685" spans="1:9" x14ac:dyDescent="0.25">
      <c r="A1685" t="s">
        <v>8</v>
      </c>
      <c r="B1685" s="1">
        <v>28.54</v>
      </c>
      <c r="C1685" s="1">
        <v>28.55</v>
      </c>
      <c r="D1685" s="2" t="s">
        <v>205</v>
      </c>
      <c r="E1685" s="8">
        <v>2261.3416000000002</v>
      </c>
      <c r="F1685" s="8">
        <f>F1675</f>
        <v>-0.2</v>
      </c>
      <c r="G1685" s="8">
        <f>E1685+F1685</f>
        <v>2261.1416000000004</v>
      </c>
      <c r="H1685" s="3">
        <f>B1685*G1685</f>
        <v>64532.981264000009</v>
      </c>
      <c r="I1685" s="3">
        <f>C1685*G1685</f>
        <v>64555.592680000009</v>
      </c>
    </row>
    <row r="1686" spans="1:9" x14ac:dyDescent="0.25">
      <c r="A1686" t="s">
        <v>9</v>
      </c>
      <c r="B1686" s="1">
        <v>68.209999999999994</v>
      </c>
      <c r="C1686" s="1">
        <v>68.319999999999993</v>
      </c>
      <c r="D1686" s="2" t="s">
        <v>205</v>
      </c>
      <c r="E1686" s="8">
        <v>946.13639999999998</v>
      </c>
      <c r="F1686" s="8">
        <f>F1676</f>
        <v>0</v>
      </c>
      <c r="G1686" s="8">
        <f>E1686+F1686</f>
        <v>946.13639999999998</v>
      </c>
      <c r="H1686" s="3">
        <f>B1686*G1686</f>
        <v>64535.963843999991</v>
      </c>
      <c r="I1686" s="3">
        <f>C1686*G1686</f>
        <v>64640.038847999989</v>
      </c>
    </row>
    <row r="1687" spans="1:9" x14ac:dyDescent="0.25">
      <c r="A1687" t="s">
        <v>10</v>
      </c>
      <c r="B1687" s="1">
        <v>37.299999999999997</v>
      </c>
      <c r="C1687" s="1">
        <v>37.32</v>
      </c>
      <c r="D1687" s="2" t="s">
        <v>205</v>
      </c>
      <c r="E1687" s="8">
        <v>1730.1178</v>
      </c>
      <c r="F1687" s="8">
        <f>F1677</f>
        <v>0.2</v>
      </c>
      <c r="G1687" s="8">
        <f>E1687+F1687</f>
        <v>1730.3178</v>
      </c>
      <c r="H1687" s="3">
        <f>B1687*G1687</f>
        <v>64540.853939999994</v>
      </c>
      <c r="I1687" s="3">
        <f>C1687*G1687</f>
        <v>64575.460296000005</v>
      </c>
    </row>
    <row r="1688" spans="1:9" x14ac:dyDescent="0.25">
      <c r="A1688" t="s">
        <v>11</v>
      </c>
      <c r="B1688" s="1">
        <v>56.17</v>
      </c>
      <c r="C1688" s="1">
        <v>56.18</v>
      </c>
      <c r="D1688" s="2" t="s">
        <v>205</v>
      </c>
      <c r="E1688" s="8">
        <v>1148.8532</v>
      </c>
      <c r="F1688" s="8">
        <f>F1678</f>
        <v>0.05</v>
      </c>
      <c r="G1688" s="8">
        <f>E1688+F1688</f>
        <v>1148.9032</v>
      </c>
      <c r="H1688" s="3">
        <f>B1688*G1688</f>
        <v>64533.892743999997</v>
      </c>
      <c r="I1688" s="3">
        <f>C1688*G1688</f>
        <v>64545.381775999995</v>
      </c>
    </row>
    <row r="1689" spans="1:9" x14ac:dyDescent="0.25">
      <c r="A1689" t="s">
        <v>12</v>
      </c>
      <c r="B1689" s="1">
        <v>50.07</v>
      </c>
      <c r="C1689" s="1">
        <v>50.08</v>
      </c>
      <c r="D1689" s="2" t="s">
        <v>205</v>
      </c>
      <c r="E1689" s="8">
        <v>1288.9615000000001</v>
      </c>
      <c r="F1689" s="8">
        <f>F1679</f>
        <v>0</v>
      </c>
      <c r="G1689" s="8">
        <f>E1689+F1689</f>
        <v>1288.9615000000001</v>
      </c>
      <c r="H1689" s="3">
        <f>B1689*G1689</f>
        <v>64538.302305000005</v>
      </c>
      <c r="I1689" s="3">
        <f>C1689*G1689</f>
        <v>64551.191920000005</v>
      </c>
    </row>
    <row r="1690" spans="1:9" x14ac:dyDescent="0.25">
      <c r="A1690" t="s">
        <v>13</v>
      </c>
      <c r="B1690" s="1">
        <v>18.25</v>
      </c>
      <c r="C1690" s="1">
        <v>18.260000000000002</v>
      </c>
      <c r="D1690" s="2" t="s">
        <v>205</v>
      </c>
      <c r="E1690" s="8">
        <v>3535.8029000000001</v>
      </c>
      <c r="F1690" s="8">
        <f>F1680</f>
        <v>0</v>
      </c>
      <c r="G1690" s="8">
        <f>E1690+F1690</f>
        <v>3535.8029000000001</v>
      </c>
      <c r="H1690" s="3">
        <f>B1690*G1690</f>
        <v>64528.402925000002</v>
      </c>
      <c r="I1690" s="3">
        <f>C1690*G1690</f>
        <v>64563.760954000005</v>
      </c>
    </row>
    <row r="1691" spans="1:9" x14ac:dyDescent="0.25">
      <c r="A1691" t="s">
        <v>14</v>
      </c>
      <c r="B1691" s="1">
        <v>36.549999999999997</v>
      </c>
      <c r="C1691" s="1">
        <v>36.56</v>
      </c>
      <c r="D1691" s="2" t="s">
        <v>205</v>
      </c>
      <c r="E1691" s="8">
        <v>1765.0592999999999</v>
      </c>
      <c r="F1691" s="8">
        <f>F1681</f>
        <v>0.2</v>
      </c>
      <c r="G1691" s="8">
        <f>E1691+F1691</f>
        <v>1765.2592999999999</v>
      </c>
      <c r="H1691" s="3">
        <f>B1691*G1691</f>
        <v>64520.227414999994</v>
      </c>
      <c r="I1691" s="3">
        <f>C1691*G1691</f>
        <v>64537.880008</v>
      </c>
    </row>
    <row r="1692" spans="1:9" x14ac:dyDescent="0.25">
      <c r="A1692" t="s">
        <v>4</v>
      </c>
      <c r="B1692" s="1">
        <v>21.44</v>
      </c>
      <c r="C1692" s="1">
        <v>21.45</v>
      </c>
      <c r="D1692" s="2" t="s">
        <v>206</v>
      </c>
      <c r="E1692" s="8">
        <v>3014.9488000000001</v>
      </c>
      <c r="F1692" s="8">
        <f>F1682</f>
        <v>0</v>
      </c>
      <c r="G1692" s="8">
        <f>E1692+F1692</f>
        <v>3014.9488000000001</v>
      </c>
      <c r="H1692" s="3">
        <f>B1692*G1692</f>
        <v>64640.502272000005</v>
      </c>
      <c r="I1692" s="3">
        <f>C1692*G1692</f>
        <v>64670.651760000001</v>
      </c>
    </row>
    <row r="1693" spans="1:9" x14ac:dyDescent="0.25">
      <c r="A1693" t="s">
        <v>6</v>
      </c>
      <c r="B1693" s="1">
        <v>35.090000000000003</v>
      </c>
      <c r="C1693" s="1">
        <v>35.1</v>
      </c>
      <c r="D1693" s="2" t="s">
        <v>206</v>
      </c>
      <c r="E1693" s="8">
        <v>1842.1205</v>
      </c>
      <c r="F1693" s="8">
        <f>F1683</f>
        <v>-0.1</v>
      </c>
      <c r="G1693" s="8">
        <f>E1693+F1693</f>
        <v>1842.0205000000001</v>
      </c>
      <c r="H1693" s="3">
        <f>B1693*G1693</f>
        <v>64636.499345000011</v>
      </c>
      <c r="I1693" s="3">
        <f>C1693*G1693</f>
        <v>64654.919550000006</v>
      </c>
    </row>
    <row r="1694" spans="1:9" x14ac:dyDescent="0.25">
      <c r="A1694" t="s">
        <v>7</v>
      </c>
      <c r="B1694" s="1">
        <v>18.22</v>
      </c>
      <c r="C1694" s="1">
        <v>18.23</v>
      </c>
      <c r="D1694" s="2" t="s">
        <v>206</v>
      </c>
      <c r="E1694" s="8">
        <v>3546.5864999999999</v>
      </c>
      <c r="F1694" s="8">
        <f>F1684</f>
        <v>0</v>
      </c>
      <c r="G1694" s="8">
        <f>E1694+F1694</f>
        <v>3546.5864999999999</v>
      </c>
      <c r="H1694" s="3">
        <f>B1694*G1694</f>
        <v>64618.806029999992</v>
      </c>
      <c r="I1694" s="3">
        <f>C1694*G1694</f>
        <v>64654.271894999998</v>
      </c>
    </row>
    <row r="1695" spans="1:9" x14ac:dyDescent="0.25">
      <c r="A1695" t="s">
        <v>8</v>
      </c>
      <c r="B1695" s="1">
        <v>28.58</v>
      </c>
      <c r="C1695" s="1">
        <v>28.59</v>
      </c>
      <c r="D1695" s="2" t="s">
        <v>206</v>
      </c>
      <c r="E1695" s="8">
        <v>2261.3416000000002</v>
      </c>
      <c r="F1695" s="8">
        <f>F1685</f>
        <v>-0.2</v>
      </c>
      <c r="G1695" s="8">
        <f>E1695+F1695</f>
        <v>2261.1416000000004</v>
      </c>
      <c r="H1695" s="3">
        <f>B1695*G1695</f>
        <v>64623.426928000008</v>
      </c>
      <c r="I1695" s="3">
        <f>C1695*G1695</f>
        <v>64646.038344000008</v>
      </c>
    </row>
    <row r="1696" spans="1:9" x14ac:dyDescent="0.25">
      <c r="A1696" t="s">
        <v>9</v>
      </c>
      <c r="B1696" s="1">
        <v>68.28</v>
      </c>
      <c r="C1696" s="1">
        <v>68.37</v>
      </c>
      <c r="D1696" s="2" t="s">
        <v>206</v>
      </c>
      <c r="E1696" s="8">
        <v>946.13639999999998</v>
      </c>
      <c r="F1696" s="8">
        <f>F1686</f>
        <v>0</v>
      </c>
      <c r="G1696" s="8">
        <f>E1696+F1696</f>
        <v>946.13639999999998</v>
      </c>
      <c r="H1696" s="3">
        <f>B1696*G1696</f>
        <v>64602.193392000001</v>
      </c>
      <c r="I1696" s="3">
        <f>C1696*G1696</f>
        <v>64687.345668000002</v>
      </c>
    </row>
    <row r="1697" spans="1:9" x14ac:dyDescent="0.25">
      <c r="A1697" t="s">
        <v>10</v>
      </c>
      <c r="B1697" s="1">
        <v>37.340000000000003</v>
      </c>
      <c r="C1697" s="1">
        <v>37.369999999999997</v>
      </c>
      <c r="D1697" s="2" t="s">
        <v>206</v>
      </c>
      <c r="E1697" s="8">
        <v>1730.1178</v>
      </c>
      <c r="F1697" s="8">
        <f>F1687</f>
        <v>0.2</v>
      </c>
      <c r="G1697" s="8">
        <f>E1697+F1697</f>
        <v>1730.3178</v>
      </c>
      <c r="H1697" s="3">
        <f>B1697*G1697</f>
        <v>64610.066652000009</v>
      </c>
      <c r="I1697" s="3">
        <f>C1697*G1697</f>
        <v>64661.976186</v>
      </c>
    </row>
    <row r="1698" spans="1:9" x14ac:dyDescent="0.25">
      <c r="A1698" t="s">
        <v>11</v>
      </c>
      <c r="B1698" s="1">
        <v>56.25</v>
      </c>
      <c r="C1698" s="1">
        <v>56.26</v>
      </c>
      <c r="D1698" s="2" t="s">
        <v>206</v>
      </c>
      <c r="E1698" s="8">
        <v>1148.8532</v>
      </c>
      <c r="F1698" s="8">
        <f>F1688</f>
        <v>0.05</v>
      </c>
      <c r="G1698" s="8">
        <f>E1698+F1698</f>
        <v>1148.9032</v>
      </c>
      <c r="H1698" s="3">
        <f>B1698*G1698</f>
        <v>64625.805</v>
      </c>
      <c r="I1698" s="3">
        <f>C1698*G1698</f>
        <v>64637.294031999998</v>
      </c>
    </row>
    <row r="1699" spans="1:9" x14ac:dyDescent="0.25">
      <c r="A1699" t="s">
        <v>12</v>
      </c>
      <c r="B1699" s="1">
        <v>50.15</v>
      </c>
      <c r="C1699" s="1">
        <v>50.16</v>
      </c>
      <c r="D1699" s="2" t="s">
        <v>206</v>
      </c>
      <c r="E1699" s="8">
        <v>1288.9615000000001</v>
      </c>
      <c r="F1699" s="8">
        <f>F1689</f>
        <v>0</v>
      </c>
      <c r="G1699" s="8">
        <f>E1699+F1699</f>
        <v>1288.9615000000001</v>
      </c>
      <c r="H1699" s="3">
        <f>B1699*G1699</f>
        <v>64641.419225000005</v>
      </c>
      <c r="I1699" s="3">
        <f>C1699*G1699</f>
        <v>64654.308839999998</v>
      </c>
    </row>
    <row r="1700" spans="1:9" x14ac:dyDescent="0.25">
      <c r="A1700" t="s">
        <v>13</v>
      </c>
      <c r="B1700" s="1">
        <v>18.27</v>
      </c>
      <c r="C1700" s="1">
        <v>18.28</v>
      </c>
      <c r="D1700" s="2" t="s">
        <v>206</v>
      </c>
      <c r="E1700" s="8">
        <v>3535.8029000000001</v>
      </c>
      <c r="F1700" s="8">
        <f>F1690</f>
        <v>0</v>
      </c>
      <c r="G1700" s="8">
        <f>E1700+F1700</f>
        <v>3535.8029000000001</v>
      </c>
      <c r="H1700" s="3">
        <f>B1700*G1700</f>
        <v>64599.118983</v>
      </c>
      <c r="I1700" s="3">
        <f>C1700*G1700</f>
        <v>64634.477012000003</v>
      </c>
    </row>
    <row r="1701" spans="1:9" x14ac:dyDescent="0.25">
      <c r="A1701" t="s">
        <v>14</v>
      </c>
      <c r="B1701" s="1">
        <v>36.6</v>
      </c>
      <c r="C1701" s="1">
        <v>36.61</v>
      </c>
      <c r="D1701" s="2" t="s">
        <v>206</v>
      </c>
      <c r="E1701" s="8">
        <v>1765.0592999999999</v>
      </c>
      <c r="F1701" s="8">
        <f>F1691</f>
        <v>0.2</v>
      </c>
      <c r="G1701" s="8">
        <f>E1701+F1701</f>
        <v>1765.2592999999999</v>
      </c>
      <c r="H1701" s="3">
        <f>B1701*G1701</f>
        <v>64608.490380000003</v>
      </c>
      <c r="I1701" s="3">
        <f>C1701*G1701</f>
        <v>64626.142972999995</v>
      </c>
    </row>
    <row r="1702" spans="1:9" x14ac:dyDescent="0.25">
      <c r="A1702" t="s">
        <v>4</v>
      </c>
      <c r="B1702" s="1">
        <v>21.4</v>
      </c>
      <c r="C1702" s="1">
        <v>21.41</v>
      </c>
      <c r="D1702" s="2" t="s">
        <v>207</v>
      </c>
      <c r="E1702" s="8">
        <v>3014.9488000000001</v>
      </c>
      <c r="F1702" s="8">
        <f>F1692</f>
        <v>0</v>
      </c>
      <c r="G1702" s="8">
        <f>E1702+F1702</f>
        <v>3014.9488000000001</v>
      </c>
      <c r="H1702" s="3">
        <f>B1702*G1702</f>
        <v>64519.904320000001</v>
      </c>
      <c r="I1702" s="3">
        <f>C1702*G1702</f>
        <v>64550.053808000004</v>
      </c>
    </row>
    <row r="1703" spans="1:9" x14ac:dyDescent="0.25">
      <c r="A1703" t="s">
        <v>6</v>
      </c>
      <c r="B1703" s="1">
        <v>35.03</v>
      </c>
      <c r="C1703" s="1">
        <v>35.04</v>
      </c>
      <c r="D1703" s="2" t="s">
        <v>207</v>
      </c>
      <c r="E1703" s="8">
        <v>1842.1205</v>
      </c>
      <c r="F1703" s="8">
        <f>F1693</f>
        <v>-0.1</v>
      </c>
      <c r="G1703" s="8">
        <f>E1703+F1703</f>
        <v>1842.0205000000001</v>
      </c>
      <c r="H1703" s="3">
        <f>B1703*G1703</f>
        <v>64525.978115000005</v>
      </c>
      <c r="I1703" s="3">
        <f>C1703*G1703</f>
        <v>64544.39832</v>
      </c>
    </row>
    <row r="1704" spans="1:9" x14ac:dyDescent="0.25">
      <c r="A1704" t="s">
        <v>7</v>
      </c>
      <c r="B1704" s="1">
        <v>18.190000000000001</v>
      </c>
      <c r="C1704" s="1">
        <v>18.2</v>
      </c>
      <c r="D1704" s="2" t="s">
        <v>207</v>
      </c>
      <c r="E1704" s="8">
        <v>3546.5864999999999</v>
      </c>
      <c r="F1704" s="8">
        <f>F1694</f>
        <v>0</v>
      </c>
      <c r="G1704" s="8">
        <f>E1704+F1704</f>
        <v>3546.5864999999999</v>
      </c>
      <c r="H1704" s="3">
        <f>B1704*G1704</f>
        <v>64512.408435000005</v>
      </c>
      <c r="I1704" s="3">
        <f>C1704*G1704</f>
        <v>64547.874299999996</v>
      </c>
    </row>
    <row r="1705" spans="1:9" x14ac:dyDescent="0.25">
      <c r="A1705" t="s">
        <v>8</v>
      </c>
      <c r="B1705" s="1">
        <v>28.54</v>
      </c>
      <c r="C1705" s="1">
        <v>28.55</v>
      </c>
      <c r="D1705" s="2" t="s">
        <v>207</v>
      </c>
      <c r="E1705" s="8">
        <v>2261.3416000000002</v>
      </c>
      <c r="F1705" s="8">
        <f>F1695</f>
        <v>-0.2</v>
      </c>
      <c r="G1705" s="8">
        <f>E1705+F1705</f>
        <v>2261.1416000000004</v>
      </c>
      <c r="H1705" s="3">
        <f>B1705*G1705</f>
        <v>64532.981264000009</v>
      </c>
      <c r="I1705" s="3">
        <f>C1705*G1705</f>
        <v>64555.592680000009</v>
      </c>
    </row>
    <row r="1706" spans="1:9" x14ac:dyDescent="0.25">
      <c r="A1706" t="s">
        <v>9</v>
      </c>
      <c r="B1706" s="1">
        <v>68.180000000000007</v>
      </c>
      <c r="C1706" s="1">
        <v>68.28</v>
      </c>
      <c r="D1706" s="2" t="s">
        <v>207</v>
      </c>
      <c r="E1706" s="8">
        <v>946.13639999999998</v>
      </c>
      <c r="F1706" s="8">
        <f>F1696</f>
        <v>0</v>
      </c>
      <c r="G1706" s="8">
        <f>E1706+F1706</f>
        <v>946.13639999999998</v>
      </c>
      <c r="H1706" s="3">
        <f>B1706*G1706</f>
        <v>64507.579752000005</v>
      </c>
      <c r="I1706" s="3">
        <f>C1706*G1706</f>
        <v>64602.193392000001</v>
      </c>
    </row>
    <row r="1707" spans="1:9" x14ac:dyDescent="0.25">
      <c r="A1707" t="s">
        <v>10</v>
      </c>
      <c r="B1707" s="1">
        <v>37.299999999999997</v>
      </c>
      <c r="C1707" s="1">
        <v>37.32</v>
      </c>
      <c r="D1707" s="2" t="s">
        <v>207</v>
      </c>
      <c r="E1707" s="8">
        <v>1730.1178</v>
      </c>
      <c r="F1707" s="8">
        <f>F1697</f>
        <v>0.2</v>
      </c>
      <c r="G1707" s="8">
        <f>E1707+F1707</f>
        <v>1730.3178</v>
      </c>
      <c r="H1707" s="3">
        <f>B1707*G1707</f>
        <v>64540.853939999994</v>
      </c>
      <c r="I1707" s="3">
        <f>C1707*G1707</f>
        <v>64575.460296000005</v>
      </c>
    </row>
    <row r="1708" spans="1:9" x14ac:dyDescent="0.25">
      <c r="A1708" t="s">
        <v>11</v>
      </c>
      <c r="B1708" s="1">
        <v>56.17</v>
      </c>
      <c r="C1708" s="1">
        <v>56.18</v>
      </c>
      <c r="D1708" s="2" t="s">
        <v>207</v>
      </c>
      <c r="E1708" s="8">
        <v>1148.8532</v>
      </c>
      <c r="F1708" s="8">
        <f>F1698</f>
        <v>0.05</v>
      </c>
      <c r="G1708" s="8">
        <f>E1708+F1708</f>
        <v>1148.9032</v>
      </c>
      <c r="H1708" s="3">
        <f>B1708*G1708</f>
        <v>64533.892743999997</v>
      </c>
      <c r="I1708" s="3">
        <f>C1708*G1708</f>
        <v>64545.381775999995</v>
      </c>
    </row>
    <row r="1709" spans="1:9" x14ac:dyDescent="0.25">
      <c r="A1709" t="s">
        <v>12</v>
      </c>
      <c r="B1709" s="1">
        <v>50.07</v>
      </c>
      <c r="C1709" s="1">
        <v>50.08</v>
      </c>
      <c r="D1709" s="2" t="s">
        <v>207</v>
      </c>
      <c r="E1709" s="8">
        <v>1288.9615000000001</v>
      </c>
      <c r="F1709" s="8">
        <f>F1699</f>
        <v>0</v>
      </c>
      <c r="G1709" s="8">
        <f>E1709+F1709</f>
        <v>1288.9615000000001</v>
      </c>
      <c r="H1709" s="3">
        <f>B1709*G1709</f>
        <v>64538.302305000005</v>
      </c>
      <c r="I1709" s="3">
        <f>C1709*G1709</f>
        <v>64551.191920000005</v>
      </c>
    </row>
    <row r="1710" spans="1:9" x14ac:dyDescent="0.25">
      <c r="A1710" t="s">
        <v>13</v>
      </c>
      <c r="B1710" s="1">
        <v>18.25</v>
      </c>
      <c r="C1710" s="1">
        <v>18.260000000000002</v>
      </c>
      <c r="D1710" s="2" t="s">
        <v>207</v>
      </c>
      <c r="E1710" s="8">
        <v>3535.8029000000001</v>
      </c>
      <c r="F1710" s="8">
        <f>F1700</f>
        <v>0</v>
      </c>
      <c r="G1710" s="8">
        <f>E1710+F1710</f>
        <v>3535.8029000000001</v>
      </c>
      <c r="H1710" s="3">
        <f>B1710*G1710</f>
        <v>64528.402925000002</v>
      </c>
      <c r="I1710" s="3">
        <f>C1710*G1710</f>
        <v>64563.760954000005</v>
      </c>
    </row>
    <row r="1711" spans="1:9" x14ac:dyDescent="0.25">
      <c r="A1711" t="s">
        <v>14</v>
      </c>
      <c r="B1711" s="1">
        <v>36.549999999999997</v>
      </c>
      <c r="C1711" s="1">
        <v>36.56</v>
      </c>
      <c r="D1711" s="2" t="s">
        <v>207</v>
      </c>
      <c r="E1711" s="8">
        <v>1765.0592999999999</v>
      </c>
      <c r="F1711" s="8">
        <f>F1701</f>
        <v>0.2</v>
      </c>
      <c r="G1711" s="8">
        <f>E1711+F1711</f>
        <v>1765.2592999999999</v>
      </c>
      <c r="H1711" s="3">
        <f>B1711*G1711</f>
        <v>64520.227414999994</v>
      </c>
      <c r="I1711" s="3">
        <f>C1711*G1711</f>
        <v>64537.880008</v>
      </c>
    </row>
    <row r="1712" spans="1:9" x14ac:dyDescent="0.25">
      <c r="A1712" t="s">
        <v>4</v>
      </c>
      <c r="B1712" s="1">
        <v>21.33</v>
      </c>
      <c r="C1712" s="1">
        <v>21.34</v>
      </c>
      <c r="D1712" s="2" t="s">
        <v>208</v>
      </c>
      <c r="E1712" s="8">
        <v>3014.9488000000001</v>
      </c>
      <c r="F1712" s="8">
        <f>F1702</f>
        <v>0</v>
      </c>
      <c r="G1712" s="8">
        <f>E1712+F1712</f>
        <v>3014.9488000000001</v>
      </c>
      <c r="H1712" s="3">
        <f>B1712*G1712</f>
        <v>64308.857903999997</v>
      </c>
      <c r="I1712" s="3">
        <f>C1712*G1712</f>
        <v>64339.007392</v>
      </c>
    </row>
    <row r="1713" spans="1:9" x14ac:dyDescent="0.25">
      <c r="A1713" t="s">
        <v>6</v>
      </c>
      <c r="B1713" s="1">
        <v>34.92</v>
      </c>
      <c r="C1713" s="1">
        <v>34.93</v>
      </c>
      <c r="D1713" s="2" t="s">
        <v>208</v>
      </c>
      <c r="E1713" s="8">
        <v>1842.1205</v>
      </c>
      <c r="F1713" s="8">
        <f>F1703</f>
        <v>-0.1</v>
      </c>
      <c r="G1713" s="8">
        <f>E1713+F1713</f>
        <v>1842.0205000000001</v>
      </c>
      <c r="H1713" s="3">
        <f>B1713*G1713</f>
        <v>64323.355860000003</v>
      </c>
      <c r="I1713" s="3">
        <f>C1713*G1713</f>
        <v>64341.776065000005</v>
      </c>
    </row>
    <row r="1714" spans="1:9" x14ac:dyDescent="0.25">
      <c r="A1714" t="s">
        <v>7</v>
      </c>
      <c r="B1714" s="1">
        <v>18.13</v>
      </c>
      <c r="C1714" s="1">
        <v>18.14</v>
      </c>
      <c r="D1714" s="2" t="s">
        <v>208</v>
      </c>
      <c r="E1714" s="8">
        <v>3546.5864999999999</v>
      </c>
      <c r="F1714" s="8">
        <f>F1704</f>
        <v>0</v>
      </c>
      <c r="G1714" s="8">
        <f>E1714+F1714</f>
        <v>3546.5864999999999</v>
      </c>
      <c r="H1714" s="3">
        <f>B1714*G1714</f>
        <v>64299.613244999993</v>
      </c>
      <c r="I1714" s="3">
        <f>C1714*G1714</f>
        <v>64335.079109999999</v>
      </c>
    </row>
    <row r="1715" spans="1:9" x14ac:dyDescent="0.25">
      <c r="A1715" t="s">
        <v>8</v>
      </c>
      <c r="B1715" s="1">
        <v>28.44</v>
      </c>
      <c r="C1715" s="1">
        <v>28.45</v>
      </c>
      <c r="D1715" s="2" t="s">
        <v>208</v>
      </c>
      <c r="E1715" s="8">
        <v>2261.3416000000002</v>
      </c>
      <c r="F1715" s="8">
        <f>F1705</f>
        <v>-0.2</v>
      </c>
      <c r="G1715" s="8">
        <f>E1715+F1715</f>
        <v>2261.1416000000004</v>
      </c>
      <c r="H1715" s="3">
        <f>B1715*G1715</f>
        <v>64306.867104000012</v>
      </c>
      <c r="I1715" s="3">
        <f>C1715*G1715</f>
        <v>64329.478520000011</v>
      </c>
    </row>
    <row r="1716" spans="1:9" x14ac:dyDescent="0.25">
      <c r="A1716" t="s">
        <v>9</v>
      </c>
      <c r="B1716" s="1">
        <v>67.930000000000007</v>
      </c>
      <c r="C1716" s="1">
        <v>68.069999999999993</v>
      </c>
      <c r="D1716" s="2" t="s">
        <v>208</v>
      </c>
      <c r="E1716" s="8">
        <v>946.13639999999998</v>
      </c>
      <c r="F1716" s="8">
        <f>F1706</f>
        <v>0</v>
      </c>
      <c r="G1716" s="8">
        <f>E1716+F1716</f>
        <v>946.13639999999998</v>
      </c>
      <c r="H1716" s="3">
        <f>B1716*G1716</f>
        <v>64271.045652000008</v>
      </c>
      <c r="I1716" s="3">
        <f>C1716*G1716</f>
        <v>64403.504747999992</v>
      </c>
    </row>
    <row r="1717" spans="1:9" x14ac:dyDescent="0.25">
      <c r="A1717" t="s">
        <v>10</v>
      </c>
      <c r="B1717" s="1">
        <v>37.159999999999997</v>
      </c>
      <c r="C1717" s="1">
        <v>37.19</v>
      </c>
      <c r="D1717" s="2" t="s">
        <v>208</v>
      </c>
      <c r="E1717" s="8">
        <v>1730.1178</v>
      </c>
      <c r="F1717" s="8">
        <f>F1707</f>
        <v>0.2</v>
      </c>
      <c r="G1717" s="8">
        <f>E1717+F1717</f>
        <v>1730.3178</v>
      </c>
      <c r="H1717" s="3">
        <f>B1717*G1717</f>
        <v>64298.609447999996</v>
      </c>
      <c r="I1717" s="3">
        <f>C1717*G1717</f>
        <v>64350.518981999994</v>
      </c>
    </row>
    <row r="1718" spans="1:9" x14ac:dyDescent="0.25">
      <c r="A1718" t="s">
        <v>11</v>
      </c>
      <c r="B1718" s="1">
        <v>55.98</v>
      </c>
      <c r="C1718" s="1">
        <v>55.99</v>
      </c>
      <c r="D1718" s="2" t="s">
        <v>208</v>
      </c>
      <c r="E1718" s="8">
        <v>1148.8532</v>
      </c>
      <c r="F1718" s="8">
        <f>F1708</f>
        <v>0.05</v>
      </c>
      <c r="G1718" s="8">
        <f>E1718+F1718</f>
        <v>1148.9032</v>
      </c>
      <c r="H1718" s="3">
        <f>B1718*G1718</f>
        <v>64315.601135999997</v>
      </c>
      <c r="I1718" s="3">
        <f>C1718*G1718</f>
        <v>64327.090168000002</v>
      </c>
    </row>
    <row r="1719" spans="1:9" x14ac:dyDescent="0.25">
      <c r="A1719" t="s">
        <v>12</v>
      </c>
      <c r="B1719" s="1">
        <v>49.9</v>
      </c>
      <c r="C1719" s="1">
        <v>49.91</v>
      </c>
      <c r="D1719" s="2" t="s">
        <v>208</v>
      </c>
      <c r="E1719" s="8">
        <v>1288.9615000000001</v>
      </c>
      <c r="F1719" s="8">
        <f>F1709</f>
        <v>0</v>
      </c>
      <c r="G1719" s="8">
        <f>E1719+F1719</f>
        <v>1288.9615000000001</v>
      </c>
      <c r="H1719" s="3">
        <f>B1719*G1719</f>
        <v>64319.178850000004</v>
      </c>
      <c r="I1719" s="3">
        <f>C1719*G1719</f>
        <v>64332.068465000004</v>
      </c>
    </row>
    <row r="1720" spans="1:9" x14ac:dyDescent="0.25">
      <c r="A1720" t="s">
        <v>13</v>
      </c>
      <c r="B1720" s="1">
        <v>18.190000000000001</v>
      </c>
      <c r="C1720" s="1">
        <v>18.2</v>
      </c>
      <c r="D1720" s="2" t="s">
        <v>208</v>
      </c>
      <c r="E1720" s="8">
        <v>3535.8029000000001</v>
      </c>
      <c r="F1720" s="8">
        <f>F1710</f>
        <v>0</v>
      </c>
      <c r="G1720" s="8">
        <f>E1720+F1720</f>
        <v>3535.8029000000001</v>
      </c>
      <c r="H1720" s="3">
        <f>B1720*G1720</f>
        <v>64316.254751000008</v>
      </c>
      <c r="I1720" s="3">
        <f>C1720*G1720</f>
        <v>64351.612780000003</v>
      </c>
    </row>
    <row r="1721" spans="1:9" x14ac:dyDescent="0.25">
      <c r="A1721" t="s">
        <v>14</v>
      </c>
      <c r="B1721" s="1">
        <v>36.43</v>
      </c>
      <c r="C1721" s="1">
        <v>36.44</v>
      </c>
      <c r="D1721" s="2" t="s">
        <v>208</v>
      </c>
      <c r="E1721" s="8">
        <v>1765.0592999999999</v>
      </c>
      <c r="F1721" s="8">
        <f>F1711</f>
        <v>0.2</v>
      </c>
      <c r="G1721" s="8">
        <f>E1721+F1721</f>
        <v>1765.2592999999999</v>
      </c>
      <c r="H1721" s="3">
        <f>B1721*G1721</f>
        <v>64308.396299</v>
      </c>
      <c r="I1721" s="3">
        <f>C1721*G1721</f>
        <v>64326.048891999992</v>
      </c>
    </row>
    <row r="1722" spans="1:9" x14ac:dyDescent="0.25">
      <c r="A1722" t="s">
        <v>4</v>
      </c>
      <c r="B1722" s="1">
        <v>21.31</v>
      </c>
      <c r="C1722" s="1">
        <v>21.32</v>
      </c>
      <c r="D1722" s="2" t="s">
        <v>209</v>
      </c>
      <c r="E1722" s="8">
        <v>3014.9488000000001</v>
      </c>
      <c r="F1722" s="8">
        <f>F1712</f>
        <v>0</v>
      </c>
      <c r="G1722" s="8">
        <f>E1722+F1722</f>
        <v>3014.9488000000001</v>
      </c>
      <c r="H1722" s="3">
        <f>B1722*G1722</f>
        <v>64248.558927999999</v>
      </c>
      <c r="I1722" s="3">
        <f>C1722*G1722</f>
        <v>64278.708416000001</v>
      </c>
    </row>
    <row r="1723" spans="1:9" x14ac:dyDescent="0.25">
      <c r="A1723" t="s">
        <v>6</v>
      </c>
      <c r="B1723" s="1">
        <v>34.89</v>
      </c>
      <c r="C1723" s="1">
        <v>34.9</v>
      </c>
      <c r="D1723" s="2" t="s">
        <v>209</v>
      </c>
      <c r="E1723" s="8">
        <v>1842.1205</v>
      </c>
      <c r="F1723" s="8">
        <f>F1713</f>
        <v>-0.1</v>
      </c>
      <c r="G1723" s="8">
        <f>E1723+F1723</f>
        <v>1842.0205000000001</v>
      </c>
      <c r="H1723" s="3">
        <f>B1723*G1723</f>
        <v>64268.095245000004</v>
      </c>
      <c r="I1723" s="3">
        <f>C1723*G1723</f>
        <v>64286.515449999999</v>
      </c>
    </row>
    <row r="1724" spans="1:9" x14ac:dyDescent="0.25">
      <c r="A1724" t="s">
        <v>7</v>
      </c>
      <c r="B1724" s="1">
        <v>18.12</v>
      </c>
      <c r="C1724" s="1">
        <v>18.13</v>
      </c>
      <c r="D1724" s="2" t="s">
        <v>209</v>
      </c>
      <c r="E1724" s="8">
        <v>3546.5864999999999</v>
      </c>
      <c r="F1724" s="8">
        <f>F1714</f>
        <v>0</v>
      </c>
      <c r="G1724" s="8">
        <f>E1724+F1724</f>
        <v>3546.5864999999999</v>
      </c>
      <c r="H1724" s="3">
        <f>B1724*G1724</f>
        <v>64264.147380000002</v>
      </c>
      <c r="I1724" s="3">
        <f>C1724*G1724</f>
        <v>64299.613244999993</v>
      </c>
    </row>
    <row r="1725" spans="1:9" x14ac:dyDescent="0.25">
      <c r="A1725" t="s">
        <v>8</v>
      </c>
      <c r="B1725" s="1">
        <v>28.42</v>
      </c>
      <c r="C1725" s="1">
        <v>28.43</v>
      </c>
      <c r="D1725" s="2" t="s">
        <v>209</v>
      </c>
      <c r="E1725" s="8">
        <v>2261.3416000000002</v>
      </c>
      <c r="F1725" s="8">
        <f>F1715</f>
        <v>-0.2</v>
      </c>
      <c r="G1725" s="8">
        <f>E1725+F1725</f>
        <v>2261.1416000000004</v>
      </c>
      <c r="H1725" s="3">
        <f>B1725*G1725</f>
        <v>64261.644272000012</v>
      </c>
      <c r="I1725" s="3">
        <f>C1725*G1725</f>
        <v>64284.255688000012</v>
      </c>
    </row>
    <row r="1726" spans="1:9" x14ac:dyDescent="0.25">
      <c r="A1726" t="s">
        <v>9</v>
      </c>
      <c r="B1726" s="1">
        <v>67.900000000000006</v>
      </c>
      <c r="C1726" s="1">
        <v>68</v>
      </c>
      <c r="D1726" s="2" t="s">
        <v>209</v>
      </c>
      <c r="E1726" s="8">
        <v>946.13639999999998</v>
      </c>
      <c r="F1726" s="8">
        <f>F1716</f>
        <v>0</v>
      </c>
      <c r="G1726" s="8">
        <f>E1726+F1726</f>
        <v>946.13639999999998</v>
      </c>
      <c r="H1726" s="3">
        <f>B1726*G1726</f>
        <v>64242.66156</v>
      </c>
      <c r="I1726" s="3">
        <f>C1726*G1726</f>
        <v>64337.275199999996</v>
      </c>
    </row>
    <row r="1727" spans="1:9" x14ac:dyDescent="0.25">
      <c r="A1727" t="s">
        <v>10</v>
      </c>
      <c r="B1727" s="1">
        <v>37.14</v>
      </c>
      <c r="C1727" s="1">
        <v>37.17</v>
      </c>
      <c r="D1727" s="2" t="s">
        <v>209</v>
      </c>
      <c r="E1727" s="8">
        <v>1730.1178</v>
      </c>
      <c r="F1727" s="8">
        <f>F1717</f>
        <v>0.2</v>
      </c>
      <c r="G1727" s="8">
        <f>E1727+F1727</f>
        <v>1730.3178</v>
      </c>
      <c r="H1727" s="3">
        <f>B1727*G1727</f>
        <v>64264.003091999999</v>
      </c>
      <c r="I1727" s="3">
        <f>C1727*G1727</f>
        <v>64315.912626000005</v>
      </c>
    </row>
    <row r="1728" spans="1:9" x14ac:dyDescent="0.25">
      <c r="A1728" t="s">
        <v>11</v>
      </c>
      <c r="B1728" s="1">
        <v>55.94</v>
      </c>
      <c r="C1728" s="1">
        <v>55.95</v>
      </c>
      <c r="D1728" s="2" t="s">
        <v>209</v>
      </c>
      <c r="E1728" s="8">
        <v>1148.8532</v>
      </c>
      <c r="F1728" s="8">
        <f>F1718</f>
        <v>0.05</v>
      </c>
      <c r="G1728" s="8">
        <f>E1728+F1728</f>
        <v>1148.9032</v>
      </c>
      <c r="H1728" s="3">
        <f>B1728*G1728</f>
        <v>64269.645007999992</v>
      </c>
      <c r="I1728" s="3">
        <f>C1728*G1728</f>
        <v>64281.134040000004</v>
      </c>
    </row>
    <row r="1729" spans="1:9" x14ac:dyDescent="0.25">
      <c r="A1729" t="s">
        <v>12</v>
      </c>
      <c r="B1729" s="1">
        <v>49.86</v>
      </c>
      <c r="C1729" s="1">
        <v>49.88</v>
      </c>
      <c r="D1729" s="2" t="s">
        <v>209</v>
      </c>
      <c r="E1729" s="8">
        <v>1288.9615000000001</v>
      </c>
      <c r="F1729" s="8">
        <f>F1719</f>
        <v>0</v>
      </c>
      <c r="G1729" s="8">
        <f>E1729+F1729</f>
        <v>1288.9615000000001</v>
      </c>
      <c r="H1729" s="3">
        <f>B1729*G1729</f>
        <v>64267.620390000004</v>
      </c>
      <c r="I1729" s="3">
        <f>C1729*G1729</f>
        <v>64293.399620000011</v>
      </c>
    </row>
    <row r="1730" spans="1:9" x14ac:dyDescent="0.25">
      <c r="A1730" t="s">
        <v>13</v>
      </c>
      <c r="B1730" s="1">
        <v>18.170000000000002</v>
      </c>
      <c r="C1730" s="1">
        <v>18.18</v>
      </c>
      <c r="D1730" s="2" t="s">
        <v>209</v>
      </c>
      <c r="E1730" s="8">
        <v>3535.8029000000001</v>
      </c>
      <c r="F1730" s="8">
        <f>F1720</f>
        <v>0</v>
      </c>
      <c r="G1730" s="8">
        <f>E1730+F1730</f>
        <v>3535.8029000000001</v>
      </c>
      <c r="H1730" s="3">
        <f>B1730*G1730</f>
        <v>64245.53869300001</v>
      </c>
      <c r="I1730" s="3">
        <f>C1730*G1730</f>
        <v>64280.896722000005</v>
      </c>
    </row>
    <row r="1731" spans="1:9" x14ac:dyDescent="0.25">
      <c r="A1731" t="s">
        <v>14</v>
      </c>
      <c r="B1731" s="1">
        <v>36.4</v>
      </c>
      <c r="C1731" s="1">
        <v>36.409999999999997</v>
      </c>
      <c r="D1731" s="2" t="s">
        <v>209</v>
      </c>
      <c r="E1731" s="8">
        <v>1765.0592999999999</v>
      </c>
      <c r="F1731" s="8">
        <f>F1721</f>
        <v>0.2</v>
      </c>
      <c r="G1731" s="8">
        <f>E1731+F1731</f>
        <v>1765.2592999999999</v>
      </c>
      <c r="H1731" s="3">
        <f>B1731*G1731</f>
        <v>64255.438519999996</v>
      </c>
      <c r="I1731" s="3">
        <f>C1731*G1731</f>
        <v>64273.091112999995</v>
      </c>
    </row>
    <row r="1732" spans="1:9" x14ac:dyDescent="0.25">
      <c r="A1732" t="s">
        <v>4</v>
      </c>
      <c r="B1732" s="1">
        <v>21.31</v>
      </c>
      <c r="C1732" s="1">
        <v>21.32</v>
      </c>
      <c r="D1732" s="2" t="s">
        <v>210</v>
      </c>
      <c r="E1732" s="8">
        <v>3014.9488000000001</v>
      </c>
      <c r="F1732" s="8">
        <f>F1722</f>
        <v>0</v>
      </c>
      <c r="G1732" s="8">
        <f>E1732+F1732</f>
        <v>3014.9488000000001</v>
      </c>
      <c r="H1732" s="3">
        <f>B1732*G1732</f>
        <v>64248.558927999999</v>
      </c>
      <c r="I1732" s="3">
        <f>C1732*G1732</f>
        <v>64278.708416000001</v>
      </c>
    </row>
    <row r="1733" spans="1:9" x14ac:dyDescent="0.25">
      <c r="A1733" t="s">
        <v>6</v>
      </c>
      <c r="B1733" s="1">
        <v>34.9</v>
      </c>
      <c r="C1733" s="1">
        <v>34.909999999999997</v>
      </c>
      <c r="D1733" s="2" t="s">
        <v>210</v>
      </c>
      <c r="E1733" s="8">
        <v>1842.1205</v>
      </c>
      <c r="F1733" s="8">
        <f>F1723</f>
        <v>-0.1</v>
      </c>
      <c r="G1733" s="8">
        <f>E1733+F1733</f>
        <v>1842.0205000000001</v>
      </c>
      <c r="H1733" s="3">
        <f>B1733*G1733</f>
        <v>64286.515449999999</v>
      </c>
      <c r="I1733" s="3">
        <f>C1733*G1733</f>
        <v>64304.935654999994</v>
      </c>
    </row>
    <row r="1734" spans="1:9" x14ac:dyDescent="0.25">
      <c r="A1734" t="s">
        <v>7</v>
      </c>
      <c r="B1734" s="1">
        <v>18.12</v>
      </c>
      <c r="C1734" s="1">
        <v>18.13</v>
      </c>
      <c r="D1734" s="2" t="s">
        <v>210</v>
      </c>
      <c r="E1734" s="8">
        <v>3546.5864999999999</v>
      </c>
      <c r="F1734" s="8">
        <f>F1724</f>
        <v>0</v>
      </c>
      <c r="G1734" s="8">
        <f>E1734+F1734</f>
        <v>3546.5864999999999</v>
      </c>
      <c r="H1734" s="3">
        <f>B1734*G1734</f>
        <v>64264.147380000002</v>
      </c>
      <c r="I1734" s="3">
        <f>C1734*G1734</f>
        <v>64299.613244999993</v>
      </c>
    </row>
    <row r="1735" spans="1:9" x14ac:dyDescent="0.25">
      <c r="A1735" t="s">
        <v>8</v>
      </c>
      <c r="B1735" s="1">
        <v>28.43</v>
      </c>
      <c r="C1735" s="1">
        <v>28.44</v>
      </c>
      <c r="D1735" s="2" t="s">
        <v>210</v>
      </c>
      <c r="E1735" s="8">
        <v>2261.3416000000002</v>
      </c>
      <c r="F1735" s="8">
        <f>F1725</f>
        <v>-0.2</v>
      </c>
      <c r="G1735" s="8">
        <f>E1735+F1735</f>
        <v>2261.1416000000004</v>
      </c>
      <c r="H1735" s="3">
        <f>B1735*G1735</f>
        <v>64284.255688000012</v>
      </c>
      <c r="I1735" s="3">
        <f>C1735*G1735</f>
        <v>64306.867104000012</v>
      </c>
    </row>
    <row r="1736" spans="1:9" x14ac:dyDescent="0.25">
      <c r="A1736" t="s">
        <v>9</v>
      </c>
      <c r="B1736" s="1">
        <v>67.900000000000006</v>
      </c>
      <c r="C1736" s="1">
        <v>68.03</v>
      </c>
      <c r="D1736" s="2" t="s">
        <v>210</v>
      </c>
      <c r="E1736" s="8">
        <v>946.13639999999998</v>
      </c>
      <c r="F1736" s="8">
        <f>F1726</f>
        <v>0</v>
      </c>
      <c r="G1736" s="8">
        <f>E1736+F1736</f>
        <v>946.13639999999998</v>
      </c>
      <c r="H1736" s="3">
        <f>B1736*G1736</f>
        <v>64242.66156</v>
      </c>
      <c r="I1736" s="3">
        <f>C1736*G1736</f>
        <v>64365.659291999997</v>
      </c>
    </row>
    <row r="1737" spans="1:9" x14ac:dyDescent="0.25">
      <c r="A1737" t="s">
        <v>10</v>
      </c>
      <c r="B1737" s="1">
        <v>37.14</v>
      </c>
      <c r="C1737" s="1">
        <v>37.17</v>
      </c>
      <c r="D1737" s="2" t="s">
        <v>210</v>
      </c>
      <c r="E1737" s="8">
        <v>1730.1178</v>
      </c>
      <c r="F1737" s="8">
        <f>F1727</f>
        <v>0.2</v>
      </c>
      <c r="G1737" s="8">
        <f>E1737+F1737</f>
        <v>1730.3178</v>
      </c>
      <c r="H1737" s="3">
        <f>B1737*G1737</f>
        <v>64264.003091999999</v>
      </c>
      <c r="I1737" s="3">
        <f>C1737*G1737</f>
        <v>64315.912626000005</v>
      </c>
    </row>
    <row r="1738" spans="1:9" x14ac:dyDescent="0.25">
      <c r="A1738" t="s">
        <v>11</v>
      </c>
      <c r="B1738" s="1">
        <v>55.95</v>
      </c>
      <c r="C1738" s="1">
        <v>55.96</v>
      </c>
      <c r="D1738" s="2" t="s">
        <v>210</v>
      </c>
      <c r="E1738" s="8">
        <v>1148.8532</v>
      </c>
      <c r="F1738" s="8">
        <f>F1728</f>
        <v>0.05</v>
      </c>
      <c r="G1738" s="8">
        <f>E1738+F1738</f>
        <v>1148.9032</v>
      </c>
      <c r="H1738" s="3">
        <f>B1738*G1738</f>
        <v>64281.134040000004</v>
      </c>
      <c r="I1738" s="3">
        <f>C1738*G1738</f>
        <v>64292.623072000002</v>
      </c>
    </row>
    <row r="1739" spans="1:9" x14ac:dyDescent="0.25">
      <c r="A1739" t="s">
        <v>12</v>
      </c>
      <c r="B1739" s="1">
        <v>49.87</v>
      </c>
      <c r="C1739" s="1">
        <v>49.88</v>
      </c>
      <c r="D1739" s="2" t="s">
        <v>210</v>
      </c>
      <c r="E1739" s="8">
        <v>1288.9615000000001</v>
      </c>
      <c r="F1739" s="8">
        <f>F1729</f>
        <v>0</v>
      </c>
      <c r="G1739" s="8">
        <f>E1739+F1739</f>
        <v>1288.9615000000001</v>
      </c>
      <c r="H1739" s="3">
        <f>B1739*G1739</f>
        <v>64280.510005000004</v>
      </c>
      <c r="I1739" s="3">
        <f>C1739*G1739</f>
        <v>64293.399620000011</v>
      </c>
    </row>
    <row r="1740" spans="1:9" x14ac:dyDescent="0.25">
      <c r="A1740" t="s">
        <v>13</v>
      </c>
      <c r="B1740" s="1">
        <v>18.170000000000002</v>
      </c>
      <c r="C1740" s="1">
        <v>18.18</v>
      </c>
      <c r="D1740" s="2" t="s">
        <v>210</v>
      </c>
      <c r="E1740" s="8">
        <v>3535.8029000000001</v>
      </c>
      <c r="F1740" s="8">
        <f>F1730</f>
        <v>0</v>
      </c>
      <c r="G1740" s="8">
        <f>E1740+F1740</f>
        <v>3535.8029000000001</v>
      </c>
      <c r="H1740" s="3">
        <f>B1740*G1740</f>
        <v>64245.53869300001</v>
      </c>
      <c r="I1740" s="3">
        <f>C1740*G1740</f>
        <v>64280.896722000005</v>
      </c>
    </row>
    <row r="1741" spans="1:9" x14ac:dyDescent="0.25">
      <c r="A1741" t="s">
        <v>14</v>
      </c>
      <c r="B1741" s="1">
        <v>36.4</v>
      </c>
      <c r="C1741" s="1">
        <v>36.409999999999997</v>
      </c>
      <c r="D1741" s="2" t="s">
        <v>210</v>
      </c>
      <c r="E1741" s="8">
        <v>1765.0592999999999</v>
      </c>
      <c r="F1741" s="8">
        <f>F1731</f>
        <v>0.2</v>
      </c>
      <c r="G1741" s="8">
        <f>E1741+F1741</f>
        <v>1765.2592999999999</v>
      </c>
      <c r="H1741" s="3">
        <f>B1741*G1741</f>
        <v>64255.438519999996</v>
      </c>
      <c r="I1741" s="3">
        <f>C1741*G1741</f>
        <v>64273.091112999995</v>
      </c>
    </row>
    <row r="1742" spans="1:9" x14ac:dyDescent="0.25">
      <c r="A1742" t="s">
        <v>4</v>
      </c>
      <c r="B1742" s="1">
        <v>21.31</v>
      </c>
      <c r="C1742" s="1">
        <v>21.32</v>
      </c>
      <c r="D1742" s="2" t="s">
        <v>211</v>
      </c>
      <c r="E1742" s="8">
        <v>3014.9488000000001</v>
      </c>
      <c r="F1742" s="8">
        <f>F1732</f>
        <v>0</v>
      </c>
      <c r="G1742" s="8">
        <f>E1742+F1742</f>
        <v>3014.9488000000001</v>
      </c>
      <c r="H1742" s="3">
        <f>B1742*G1742</f>
        <v>64248.558927999999</v>
      </c>
      <c r="I1742" s="3">
        <f>C1742*G1742</f>
        <v>64278.708416000001</v>
      </c>
    </row>
    <row r="1743" spans="1:9" x14ac:dyDescent="0.25">
      <c r="A1743" t="s">
        <v>6</v>
      </c>
      <c r="B1743" s="1">
        <v>34.89</v>
      </c>
      <c r="C1743" s="1">
        <v>34.9</v>
      </c>
      <c r="D1743" s="2" t="s">
        <v>211</v>
      </c>
      <c r="E1743" s="8">
        <v>1842.1205</v>
      </c>
      <c r="F1743" s="8">
        <f>F1733</f>
        <v>-0.1</v>
      </c>
      <c r="G1743" s="8">
        <f>E1743+F1743</f>
        <v>1842.0205000000001</v>
      </c>
      <c r="H1743" s="3">
        <f>B1743*G1743</f>
        <v>64268.095245000004</v>
      </c>
      <c r="I1743" s="3">
        <f>C1743*G1743</f>
        <v>64286.515449999999</v>
      </c>
    </row>
    <row r="1744" spans="1:9" x14ac:dyDescent="0.25">
      <c r="A1744" t="s">
        <v>7</v>
      </c>
      <c r="B1744" s="1">
        <v>18.12</v>
      </c>
      <c r="C1744" s="1">
        <v>18.13</v>
      </c>
      <c r="D1744" s="2" t="s">
        <v>211</v>
      </c>
      <c r="E1744" s="8">
        <v>3546.5864999999999</v>
      </c>
      <c r="F1744" s="8">
        <f>F1734</f>
        <v>0</v>
      </c>
      <c r="G1744" s="8">
        <f>E1744+F1744</f>
        <v>3546.5864999999999</v>
      </c>
      <c r="H1744" s="3">
        <f>B1744*G1744</f>
        <v>64264.147380000002</v>
      </c>
      <c r="I1744" s="3">
        <f>C1744*G1744</f>
        <v>64299.613244999993</v>
      </c>
    </row>
    <row r="1745" spans="1:9" x14ac:dyDescent="0.25">
      <c r="A1745" t="s">
        <v>8</v>
      </c>
      <c r="B1745" s="1">
        <v>28.42</v>
      </c>
      <c r="C1745" s="1">
        <v>28.43</v>
      </c>
      <c r="D1745" s="2" t="s">
        <v>211</v>
      </c>
      <c r="E1745" s="8">
        <v>2261.3416000000002</v>
      </c>
      <c r="F1745" s="8">
        <f>F1735</f>
        <v>-0.2</v>
      </c>
      <c r="G1745" s="8">
        <f>E1745+F1745</f>
        <v>2261.1416000000004</v>
      </c>
      <c r="H1745" s="3">
        <f>B1745*G1745</f>
        <v>64261.644272000012</v>
      </c>
      <c r="I1745" s="3">
        <f>C1745*G1745</f>
        <v>64284.255688000012</v>
      </c>
    </row>
    <row r="1746" spans="1:9" x14ac:dyDescent="0.25">
      <c r="A1746" t="s">
        <v>9</v>
      </c>
      <c r="B1746" s="1">
        <v>67.89</v>
      </c>
      <c r="C1746" s="1">
        <v>68</v>
      </c>
      <c r="D1746" s="2" t="s">
        <v>211</v>
      </c>
      <c r="E1746" s="8">
        <v>946.13639999999998</v>
      </c>
      <c r="F1746" s="8">
        <f>F1736</f>
        <v>0</v>
      </c>
      <c r="G1746" s="8">
        <f>E1746+F1746</f>
        <v>946.13639999999998</v>
      </c>
      <c r="H1746" s="3">
        <f>B1746*G1746</f>
        <v>64233.200195999998</v>
      </c>
      <c r="I1746" s="3">
        <f>C1746*G1746</f>
        <v>64337.275199999996</v>
      </c>
    </row>
    <row r="1747" spans="1:9" x14ac:dyDescent="0.25">
      <c r="A1747" t="s">
        <v>10</v>
      </c>
      <c r="B1747" s="1">
        <v>37.14</v>
      </c>
      <c r="C1747" s="1">
        <v>37.159999999999997</v>
      </c>
      <c r="D1747" s="2" t="s">
        <v>211</v>
      </c>
      <c r="E1747" s="8">
        <v>1730.1178</v>
      </c>
      <c r="F1747" s="8">
        <f>F1737</f>
        <v>0.2</v>
      </c>
      <c r="G1747" s="8">
        <f>E1747+F1747</f>
        <v>1730.3178</v>
      </c>
      <c r="H1747" s="3">
        <f>B1747*G1747</f>
        <v>64264.003091999999</v>
      </c>
      <c r="I1747" s="3">
        <f>C1747*G1747</f>
        <v>64298.609447999996</v>
      </c>
    </row>
    <row r="1748" spans="1:9" x14ac:dyDescent="0.25">
      <c r="A1748" t="s">
        <v>11</v>
      </c>
      <c r="B1748" s="1">
        <v>55.93</v>
      </c>
      <c r="C1748" s="1">
        <v>55.94</v>
      </c>
      <c r="D1748" s="2" t="s">
        <v>211</v>
      </c>
      <c r="E1748" s="8">
        <v>1148.8532</v>
      </c>
      <c r="F1748" s="8">
        <f>F1738</f>
        <v>0.05</v>
      </c>
      <c r="G1748" s="8">
        <f>E1748+F1748</f>
        <v>1148.9032</v>
      </c>
      <c r="H1748" s="3">
        <f>B1748*G1748</f>
        <v>64258.155975999995</v>
      </c>
      <c r="I1748" s="3">
        <f>C1748*G1748</f>
        <v>64269.645007999992</v>
      </c>
    </row>
    <row r="1749" spans="1:9" x14ac:dyDescent="0.25">
      <c r="A1749" t="s">
        <v>12</v>
      </c>
      <c r="B1749" s="1">
        <v>49.86</v>
      </c>
      <c r="C1749" s="1">
        <v>49.87</v>
      </c>
      <c r="D1749" s="2" t="s">
        <v>211</v>
      </c>
      <c r="E1749" s="8">
        <v>1288.9615000000001</v>
      </c>
      <c r="F1749" s="8">
        <f>F1739</f>
        <v>0</v>
      </c>
      <c r="G1749" s="8">
        <f>E1749+F1749</f>
        <v>1288.9615000000001</v>
      </c>
      <c r="H1749" s="3">
        <f>B1749*G1749</f>
        <v>64267.620390000004</v>
      </c>
      <c r="I1749" s="3">
        <f>C1749*G1749</f>
        <v>64280.510005000004</v>
      </c>
    </row>
    <row r="1750" spans="1:9" x14ac:dyDescent="0.25">
      <c r="A1750" t="s">
        <v>13</v>
      </c>
      <c r="B1750" s="1">
        <v>18.170000000000002</v>
      </c>
      <c r="C1750" s="1">
        <v>18.18</v>
      </c>
      <c r="D1750" s="2" t="s">
        <v>211</v>
      </c>
      <c r="E1750" s="8">
        <v>3535.8029000000001</v>
      </c>
      <c r="F1750" s="8">
        <f>F1740</f>
        <v>0</v>
      </c>
      <c r="G1750" s="8">
        <f>E1750+F1750</f>
        <v>3535.8029000000001</v>
      </c>
      <c r="H1750" s="3">
        <f>B1750*G1750</f>
        <v>64245.53869300001</v>
      </c>
      <c r="I1750" s="3">
        <f>C1750*G1750</f>
        <v>64280.896722000005</v>
      </c>
    </row>
    <row r="1751" spans="1:9" x14ac:dyDescent="0.25">
      <c r="A1751" t="s">
        <v>14</v>
      </c>
      <c r="B1751" s="1">
        <v>36.4</v>
      </c>
      <c r="C1751" s="1">
        <v>36.409999999999997</v>
      </c>
      <c r="D1751" s="2" t="s">
        <v>211</v>
      </c>
      <c r="E1751" s="8">
        <v>1765.0592999999999</v>
      </c>
      <c r="F1751" s="8">
        <f>F1741</f>
        <v>0.2</v>
      </c>
      <c r="G1751" s="8">
        <f>E1751+F1751</f>
        <v>1765.2592999999999</v>
      </c>
      <c r="H1751" s="3">
        <f>B1751*G1751</f>
        <v>64255.438519999996</v>
      </c>
      <c r="I1751" s="3">
        <f>C1751*G1751</f>
        <v>64273.091112999995</v>
      </c>
    </row>
    <row r="1752" spans="1:9" x14ac:dyDescent="0.25">
      <c r="A1752" t="s">
        <v>4</v>
      </c>
      <c r="B1752" s="1">
        <v>21.31</v>
      </c>
      <c r="C1752" s="1">
        <v>21.32</v>
      </c>
      <c r="D1752" s="2" t="s">
        <v>212</v>
      </c>
      <c r="E1752" s="8">
        <v>3014.9488000000001</v>
      </c>
      <c r="F1752" s="8">
        <f>F1742</f>
        <v>0</v>
      </c>
      <c r="G1752" s="8">
        <f>E1752+F1752</f>
        <v>3014.9488000000001</v>
      </c>
      <c r="H1752" s="3">
        <f>B1752*G1752</f>
        <v>64248.558927999999</v>
      </c>
      <c r="I1752" s="3">
        <f>C1752*G1752</f>
        <v>64278.708416000001</v>
      </c>
    </row>
    <row r="1753" spans="1:9" x14ac:dyDescent="0.25">
      <c r="A1753" t="s">
        <v>6</v>
      </c>
      <c r="B1753" s="1">
        <v>34.89</v>
      </c>
      <c r="C1753" s="1">
        <v>34.9</v>
      </c>
      <c r="D1753" s="2" t="s">
        <v>212</v>
      </c>
      <c r="E1753" s="8">
        <v>1842.1205</v>
      </c>
      <c r="F1753" s="8">
        <f>F1743</f>
        <v>-0.1</v>
      </c>
      <c r="G1753" s="8">
        <f>E1753+F1753</f>
        <v>1842.0205000000001</v>
      </c>
      <c r="H1753" s="3">
        <f>B1753*G1753</f>
        <v>64268.095245000004</v>
      </c>
      <c r="I1753" s="3">
        <f>C1753*G1753</f>
        <v>64286.515449999999</v>
      </c>
    </row>
    <row r="1754" spans="1:9" x14ac:dyDescent="0.25">
      <c r="A1754" t="s">
        <v>7</v>
      </c>
      <c r="B1754" s="1">
        <v>18.12</v>
      </c>
      <c r="C1754" s="1">
        <v>18.13</v>
      </c>
      <c r="D1754" s="2" t="s">
        <v>212</v>
      </c>
      <c r="E1754" s="8">
        <v>3546.5864999999999</v>
      </c>
      <c r="F1754" s="8">
        <f>F1744</f>
        <v>0</v>
      </c>
      <c r="G1754" s="8">
        <f>E1754+F1754</f>
        <v>3546.5864999999999</v>
      </c>
      <c r="H1754" s="3">
        <f>B1754*G1754</f>
        <v>64264.147380000002</v>
      </c>
      <c r="I1754" s="3">
        <f>C1754*G1754</f>
        <v>64299.613244999993</v>
      </c>
    </row>
    <row r="1755" spans="1:9" x14ac:dyDescent="0.25">
      <c r="A1755" t="s">
        <v>8</v>
      </c>
      <c r="B1755" s="1">
        <v>28.42</v>
      </c>
      <c r="C1755" s="1">
        <v>28.43</v>
      </c>
      <c r="D1755" s="2" t="s">
        <v>212</v>
      </c>
      <c r="E1755" s="8">
        <v>2261.3416000000002</v>
      </c>
      <c r="F1755" s="8">
        <f>F1745</f>
        <v>-0.2</v>
      </c>
      <c r="G1755" s="8">
        <f>E1755+F1755</f>
        <v>2261.1416000000004</v>
      </c>
      <c r="H1755" s="3">
        <f>B1755*G1755</f>
        <v>64261.644272000012</v>
      </c>
      <c r="I1755" s="3">
        <f>C1755*G1755</f>
        <v>64284.255688000012</v>
      </c>
    </row>
    <row r="1756" spans="1:9" x14ac:dyDescent="0.25">
      <c r="A1756" t="s">
        <v>9</v>
      </c>
      <c r="B1756" s="1">
        <v>67.88</v>
      </c>
      <c r="C1756" s="1">
        <v>67.97</v>
      </c>
      <c r="D1756" s="2" t="s">
        <v>212</v>
      </c>
      <c r="E1756" s="8">
        <v>946.13639999999998</v>
      </c>
      <c r="F1756" s="8">
        <f>F1746</f>
        <v>0</v>
      </c>
      <c r="G1756" s="8">
        <f>E1756+F1756</f>
        <v>946.13639999999998</v>
      </c>
      <c r="H1756" s="3">
        <f>B1756*G1756</f>
        <v>64223.738831999995</v>
      </c>
      <c r="I1756" s="3">
        <f>C1756*G1756</f>
        <v>64308.891107999996</v>
      </c>
    </row>
    <row r="1757" spans="1:9" x14ac:dyDescent="0.25">
      <c r="A1757" t="s">
        <v>10</v>
      </c>
      <c r="B1757" s="1">
        <v>37.130000000000003</v>
      </c>
      <c r="C1757" s="1">
        <v>37.15</v>
      </c>
      <c r="D1757" s="2" t="s">
        <v>212</v>
      </c>
      <c r="E1757" s="8">
        <v>1730.1178</v>
      </c>
      <c r="F1757" s="8">
        <f>F1747</f>
        <v>0.2</v>
      </c>
      <c r="G1757" s="8">
        <f>E1757+F1757</f>
        <v>1730.3178</v>
      </c>
      <c r="H1757" s="3">
        <f>B1757*G1757</f>
        <v>64246.699914000004</v>
      </c>
      <c r="I1757" s="3">
        <f>C1757*G1757</f>
        <v>64281.306270000001</v>
      </c>
    </row>
    <row r="1758" spans="1:9" x14ac:dyDescent="0.25">
      <c r="A1758" t="s">
        <v>11</v>
      </c>
      <c r="B1758" s="1">
        <v>55.92</v>
      </c>
      <c r="C1758" s="1">
        <v>55.93</v>
      </c>
      <c r="D1758" s="2" t="s">
        <v>212</v>
      </c>
      <c r="E1758" s="8">
        <v>1148.8532</v>
      </c>
      <c r="F1758" s="8">
        <f>F1748</f>
        <v>0.05</v>
      </c>
      <c r="G1758" s="8">
        <f>E1758+F1758</f>
        <v>1148.9032</v>
      </c>
      <c r="H1758" s="3">
        <f>B1758*G1758</f>
        <v>64246.666943999997</v>
      </c>
      <c r="I1758" s="3">
        <f>C1758*G1758</f>
        <v>64258.155975999995</v>
      </c>
    </row>
    <row r="1759" spans="1:9" x14ac:dyDescent="0.25">
      <c r="A1759" t="s">
        <v>12</v>
      </c>
      <c r="B1759" s="1">
        <v>49.86</v>
      </c>
      <c r="C1759" s="1">
        <v>49.87</v>
      </c>
      <c r="D1759" s="2" t="s">
        <v>212</v>
      </c>
      <c r="E1759" s="8">
        <v>1288.9615000000001</v>
      </c>
      <c r="F1759" s="8">
        <f>F1749</f>
        <v>0</v>
      </c>
      <c r="G1759" s="8">
        <f>E1759+F1759</f>
        <v>1288.9615000000001</v>
      </c>
      <c r="H1759" s="3">
        <f>B1759*G1759</f>
        <v>64267.620390000004</v>
      </c>
      <c r="I1759" s="3">
        <f>C1759*G1759</f>
        <v>64280.510005000004</v>
      </c>
    </row>
    <row r="1760" spans="1:9" x14ac:dyDescent="0.25">
      <c r="A1760" t="s">
        <v>13</v>
      </c>
      <c r="B1760" s="1">
        <v>18.170000000000002</v>
      </c>
      <c r="C1760" s="1">
        <v>18.18</v>
      </c>
      <c r="D1760" s="2" t="s">
        <v>212</v>
      </c>
      <c r="E1760" s="8">
        <v>3535.8029000000001</v>
      </c>
      <c r="F1760" s="8">
        <f>F1750</f>
        <v>0</v>
      </c>
      <c r="G1760" s="8">
        <f>E1760+F1760</f>
        <v>3535.8029000000001</v>
      </c>
      <c r="H1760" s="3">
        <f>B1760*G1760</f>
        <v>64245.53869300001</v>
      </c>
      <c r="I1760" s="3">
        <f>C1760*G1760</f>
        <v>64280.896722000005</v>
      </c>
    </row>
    <row r="1761" spans="1:9" x14ac:dyDescent="0.25">
      <c r="A1761" t="s">
        <v>14</v>
      </c>
      <c r="B1761" s="1">
        <v>36.39</v>
      </c>
      <c r="C1761" s="1">
        <v>36.4</v>
      </c>
      <c r="D1761" s="2" t="s">
        <v>212</v>
      </c>
      <c r="E1761" s="8">
        <v>1765.0592999999999</v>
      </c>
      <c r="F1761" s="8">
        <f>F1751</f>
        <v>0.2</v>
      </c>
      <c r="G1761" s="8">
        <f>E1761+F1761</f>
        <v>1765.2592999999999</v>
      </c>
      <c r="H1761" s="3">
        <f>B1761*G1761</f>
        <v>64237.785926999997</v>
      </c>
      <c r="I1761" s="3">
        <f>C1761*G1761</f>
        <v>64255.438519999996</v>
      </c>
    </row>
    <row r="1762" spans="1:9" x14ac:dyDescent="0.25">
      <c r="A1762" t="s">
        <v>4</v>
      </c>
      <c r="B1762" s="1">
        <v>20.68</v>
      </c>
      <c r="C1762" s="1">
        <v>20.69</v>
      </c>
      <c r="D1762" s="2" t="s">
        <v>220</v>
      </c>
      <c r="E1762" s="8">
        <v>3014.9661000000001</v>
      </c>
      <c r="F1762" s="8">
        <f>F1752</f>
        <v>0</v>
      </c>
      <c r="G1762" s="8">
        <f>E1762+F1762</f>
        <v>3014.9661000000001</v>
      </c>
      <c r="H1762" s="3">
        <f>B1762*G1762</f>
        <v>62349.498948</v>
      </c>
      <c r="I1762" s="3">
        <f>C1762*G1762</f>
        <v>62379.648609000003</v>
      </c>
    </row>
    <row r="1763" spans="1:9" x14ac:dyDescent="0.25">
      <c r="A1763" t="s">
        <v>6</v>
      </c>
      <c r="B1763" s="1">
        <v>33.85</v>
      </c>
      <c r="C1763" s="1">
        <v>33.86</v>
      </c>
      <c r="D1763" s="2" t="s">
        <v>220</v>
      </c>
      <c r="E1763" s="8">
        <v>1842.1306</v>
      </c>
      <c r="F1763" s="8">
        <f>F1753</f>
        <v>-0.1</v>
      </c>
      <c r="G1763" s="8">
        <f>E1763+F1763</f>
        <v>1842.0306</v>
      </c>
      <c r="H1763" s="3">
        <f>B1763*G1763</f>
        <v>62352.735810000006</v>
      </c>
      <c r="I1763" s="3">
        <f>C1763*G1763</f>
        <v>62371.156115999998</v>
      </c>
    </row>
    <row r="1764" spans="1:9" x14ac:dyDescent="0.25">
      <c r="A1764" t="s">
        <v>7</v>
      </c>
      <c r="B1764" s="1">
        <v>17.579999999999998</v>
      </c>
      <c r="C1764" s="1">
        <v>17.59</v>
      </c>
      <c r="D1764" s="2" t="s">
        <v>220</v>
      </c>
      <c r="E1764" s="8">
        <v>3546.6107999999999</v>
      </c>
      <c r="F1764" s="8">
        <f>F1754</f>
        <v>0</v>
      </c>
      <c r="G1764" s="8">
        <f>E1764+F1764</f>
        <v>3546.6107999999999</v>
      </c>
      <c r="H1764" s="3">
        <f>B1764*G1764</f>
        <v>62349.417863999995</v>
      </c>
      <c r="I1764" s="3">
        <f>C1764*G1764</f>
        <v>62384.883971999996</v>
      </c>
    </row>
    <row r="1765" spans="1:9" x14ac:dyDescent="0.25">
      <c r="A1765" t="s">
        <v>8</v>
      </c>
      <c r="B1765" s="1">
        <v>27.58</v>
      </c>
      <c r="C1765" s="1">
        <v>27.58</v>
      </c>
      <c r="D1765" s="2" t="s">
        <v>220</v>
      </c>
      <c r="E1765" s="8">
        <v>2261.3508999999999</v>
      </c>
      <c r="F1765" s="8">
        <f>F1755</f>
        <v>-0.2</v>
      </c>
      <c r="G1765" s="8">
        <f>E1765+F1765</f>
        <v>2261.1509000000001</v>
      </c>
      <c r="H1765" s="3">
        <f>B1765*G1765</f>
        <v>62362.541821999999</v>
      </c>
      <c r="I1765" s="3">
        <f>C1765*G1765</f>
        <v>62362.541821999999</v>
      </c>
    </row>
    <row r="1766" spans="1:9" x14ac:dyDescent="0.25">
      <c r="A1766" t="s">
        <v>9</v>
      </c>
      <c r="B1766" s="1">
        <v>65.83</v>
      </c>
      <c r="C1766" s="1">
        <v>65.95</v>
      </c>
      <c r="D1766" s="2" t="s">
        <v>220</v>
      </c>
      <c r="E1766" s="8">
        <v>946.14290000000005</v>
      </c>
      <c r="F1766" s="8">
        <f>F1756</f>
        <v>0</v>
      </c>
      <c r="G1766" s="8">
        <f>E1766+F1766</f>
        <v>946.14290000000005</v>
      </c>
      <c r="H1766" s="3">
        <f>B1766*G1766</f>
        <v>62284.587106999999</v>
      </c>
      <c r="I1766" s="3">
        <f>C1766*G1766</f>
        <v>62398.12425500001</v>
      </c>
    </row>
    <row r="1767" spans="1:9" x14ac:dyDescent="0.25">
      <c r="A1767" t="s">
        <v>10</v>
      </c>
      <c r="B1767" s="1">
        <v>36.03</v>
      </c>
      <c r="C1767" s="1">
        <v>36.04</v>
      </c>
      <c r="D1767" s="2" t="s">
        <v>220</v>
      </c>
      <c r="E1767" s="8">
        <v>1730.1268</v>
      </c>
      <c r="F1767" s="8">
        <f>F1757</f>
        <v>0.2</v>
      </c>
      <c r="G1767" s="8">
        <f>E1767+F1767</f>
        <v>1730.3268</v>
      </c>
      <c r="H1767" s="3">
        <f>B1767*G1767</f>
        <v>62343.674604000007</v>
      </c>
      <c r="I1767" s="3">
        <f>C1767*G1767</f>
        <v>62360.977872000003</v>
      </c>
    </row>
    <row r="1768" spans="1:9" x14ac:dyDescent="0.25">
      <c r="A1768" t="s">
        <v>11</v>
      </c>
      <c r="B1768" s="1">
        <v>54.27</v>
      </c>
      <c r="C1768" s="1">
        <v>54.28</v>
      </c>
      <c r="D1768" s="2" t="s">
        <v>220</v>
      </c>
      <c r="E1768" s="8">
        <v>1148.8611000000001</v>
      </c>
      <c r="F1768" s="8">
        <f>F1758</f>
        <v>0.05</v>
      </c>
      <c r="G1768" s="8">
        <f>E1768+F1768</f>
        <v>1148.9111</v>
      </c>
      <c r="H1768" s="3">
        <f>B1768*G1768</f>
        <v>62351.405397000002</v>
      </c>
      <c r="I1768" s="3">
        <f>C1768*G1768</f>
        <v>62362.894508000005</v>
      </c>
    </row>
    <row r="1769" spans="1:9" x14ac:dyDescent="0.25">
      <c r="A1769" t="s">
        <v>12</v>
      </c>
      <c r="B1769" s="1">
        <v>48.37</v>
      </c>
      <c r="C1769" s="1">
        <v>48.38</v>
      </c>
      <c r="D1769" s="2" t="s">
        <v>220</v>
      </c>
      <c r="E1769" s="8">
        <v>1289.0145</v>
      </c>
      <c r="F1769" s="8">
        <f>F1759</f>
        <v>0</v>
      </c>
      <c r="G1769" s="8">
        <f>E1769+F1769</f>
        <v>1289.0145</v>
      </c>
      <c r="H1769" s="3">
        <f>B1769*G1769</f>
        <v>62349.631364999994</v>
      </c>
      <c r="I1769" s="3">
        <f>C1769*G1769</f>
        <v>62362.521510000006</v>
      </c>
    </row>
    <row r="1770" spans="1:9" x14ac:dyDescent="0.25">
      <c r="A1770" t="s">
        <v>13</v>
      </c>
      <c r="B1770" s="1">
        <v>17.63</v>
      </c>
      <c r="C1770" s="1">
        <v>17.64</v>
      </c>
      <c r="D1770" s="2" t="s">
        <v>220</v>
      </c>
      <c r="E1770" s="8">
        <v>3535.8029000000001</v>
      </c>
      <c r="F1770" s="8">
        <f>F1760</f>
        <v>0</v>
      </c>
      <c r="G1770" s="8">
        <f>E1770+F1770</f>
        <v>3535.8029000000001</v>
      </c>
      <c r="H1770" s="3">
        <f>B1770*G1770</f>
        <v>62336.205127000001</v>
      </c>
      <c r="I1770" s="3">
        <f>C1770*G1770</f>
        <v>62371.563156000004</v>
      </c>
    </row>
    <row r="1771" spans="1:9" x14ac:dyDescent="0.25">
      <c r="A1771" t="s">
        <v>14</v>
      </c>
      <c r="B1771" s="1">
        <v>35.31</v>
      </c>
      <c r="C1771" s="1">
        <v>35.32</v>
      </c>
      <c r="D1771" s="2" t="s">
        <v>220</v>
      </c>
      <c r="E1771" s="8">
        <v>1765.0714</v>
      </c>
      <c r="F1771" s="8">
        <f>F1761</f>
        <v>0.2</v>
      </c>
      <c r="G1771" s="8">
        <f>E1771+F1771</f>
        <v>1765.2714000000001</v>
      </c>
      <c r="H1771" s="3">
        <f>B1771*G1771</f>
        <v>62331.733134000009</v>
      </c>
      <c r="I1771" s="3">
        <f>C1771*G1771</f>
        <v>62349.385848000005</v>
      </c>
    </row>
    <row r="1772" spans="1:9" x14ac:dyDescent="0.25">
      <c r="A1772" t="s">
        <v>4</v>
      </c>
      <c r="B1772" s="1">
        <v>20.7</v>
      </c>
      <c r="C1772" s="1">
        <v>20.71</v>
      </c>
      <c r="D1772" s="2" t="s">
        <v>221</v>
      </c>
      <c r="E1772" s="8">
        <v>3014.9661000000001</v>
      </c>
      <c r="F1772" s="8">
        <f>F1762</f>
        <v>0</v>
      </c>
      <c r="G1772" s="8">
        <f>E1772+F1772</f>
        <v>3014.9661000000001</v>
      </c>
      <c r="H1772" s="3">
        <f>B1772*G1772</f>
        <v>62409.798269999999</v>
      </c>
      <c r="I1772" s="3">
        <f>C1772*G1772</f>
        <v>62439.947931000002</v>
      </c>
    </row>
    <row r="1773" spans="1:9" x14ac:dyDescent="0.25">
      <c r="A1773" t="s">
        <v>6</v>
      </c>
      <c r="B1773" s="1">
        <v>33.89</v>
      </c>
      <c r="C1773" s="1">
        <v>33.9</v>
      </c>
      <c r="D1773" s="2" t="s">
        <v>221</v>
      </c>
      <c r="E1773" s="8">
        <v>1842.1306</v>
      </c>
      <c r="F1773" s="8">
        <f>F1763</f>
        <v>-0.1</v>
      </c>
      <c r="G1773" s="8">
        <f>E1773+F1773</f>
        <v>1842.0306</v>
      </c>
      <c r="H1773" s="3">
        <f>B1773*G1773</f>
        <v>62426.417034000006</v>
      </c>
      <c r="I1773" s="3">
        <f>C1773*G1773</f>
        <v>62444.837339999998</v>
      </c>
    </row>
    <row r="1774" spans="1:9" x14ac:dyDescent="0.25">
      <c r="A1774" t="s">
        <v>7</v>
      </c>
      <c r="B1774" s="1">
        <v>17.600000000000001</v>
      </c>
      <c r="C1774" s="1">
        <v>17.61</v>
      </c>
      <c r="D1774" s="2" t="s">
        <v>221</v>
      </c>
      <c r="E1774" s="8">
        <v>3546.6107999999999</v>
      </c>
      <c r="F1774" s="8">
        <f>F1764</f>
        <v>0</v>
      </c>
      <c r="G1774" s="8">
        <f>E1774+F1774</f>
        <v>3546.6107999999999</v>
      </c>
      <c r="H1774" s="3">
        <f>B1774*G1774</f>
        <v>62420.350080000004</v>
      </c>
      <c r="I1774" s="3">
        <f>C1774*G1774</f>
        <v>62455.816187999997</v>
      </c>
    </row>
    <row r="1775" spans="1:9" x14ac:dyDescent="0.25">
      <c r="A1775" t="s">
        <v>8</v>
      </c>
      <c r="B1775" s="1">
        <v>27.61</v>
      </c>
      <c r="C1775" s="1">
        <v>27.62</v>
      </c>
      <c r="D1775" s="2" t="s">
        <v>221</v>
      </c>
      <c r="E1775" s="8">
        <v>2261.3508999999999</v>
      </c>
      <c r="F1775" s="8">
        <f>F1765</f>
        <v>-0.2</v>
      </c>
      <c r="G1775" s="8">
        <f>E1775+F1775</f>
        <v>2261.1509000000001</v>
      </c>
      <c r="H1775" s="3">
        <f>B1775*G1775</f>
        <v>62430.376348999998</v>
      </c>
      <c r="I1775" s="3">
        <f>C1775*G1775</f>
        <v>62452.987858000008</v>
      </c>
    </row>
    <row r="1776" spans="1:9" x14ac:dyDescent="0.25">
      <c r="A1776" t="s">
        <v>9</v>
      </c>
      <c r="B1776" s="1">
        <v>65.95</v>
      </c>
      <c r="C1776" s="1">
        <v>66.06</v>
      </c>
      <c r="D1776" s="2" t="s">
        <v>221</v>
      </c>
      <c r="E1776" s="8">
        <v>946.14290000000005</v>
      </c>
      <c r="F1776" s="8">
        <f>F1766</f>
        <v>0</v>
      </c>
      <c r="G1776" s="8">
        <f>E1776+F1776</f>
        <v>946.14290000000005</v>
      </c>
      <c r="H1776" s="3">
        <f>B1776*G1776</f>
        <v>62398.12425500001</v>
      </c>
      <c r="I1776" s="3">
        <f>C1776*G1776</f>
        <v>62502.199974000003</v>
      </c>
    </row>
    <row r="1777" spans="1:9" x14ac:dyDescent="0.25">
      <c r="A1777" t="s">
        <v>10</v>
      </c>
      <c r="B1777" s="1">
        <v>36.06</v>
      </c>
      <c r="C1777" s="1">
        <v>36.090000000000003</v>
      </c>
      <c r="D1777" s="2" t="s">
        <v>221</v>
      </c>
      <c r="E1777" s="8">
        <v>1730.1268</v>
      </c>
      <c r="F1777" s="8">
        <f>F1767</f>
        <v>0.2</v>
      </c>
      <c r="G1777" s="8">
        <f>E1777+F1777</f>
        <v>1730.3268</v>
      </c>
      <c r="H1777" s="3">
        <f>B1777*G1777</f>
        <v>62395.584408000002</v>
      </c>
      <c r="I1777" s="3">
        <f>C1777*G1777</f>
        <v>62447.494212000005</v>
      </c>
    </row>
    <row r="1778" spans="1:9" x14ac:dyDescent="0.25">
      <c r="A1778" t="s">
        <v>11</v>
      </c>
      <c r="B1778" s="1">
        <v>54.33</v>
      </c>
      <c r="C1778" s="1">
        <v>54.34</v>
      </c>
      <c r="D1778" s="2" t="s">
        <v>221</v>
      </c>
      <c r="E1778" s="8">
        <v>1148.8611000000001</v>
      </c>
      <c r="F1778" s="8">
        <f>F1768</f>
        <v>0.05</v>
      </c>
      <c r="G1778" s="8">
        <f>E1778+F1778</f>
        <v>1148.9111</v>
      </c>
      <c r="H1778" s="3">
        <f>B1778*G1778</f>
        <v>62420.340063000003</v>
      </c>
      <c r="I1778" s="3">
        <f>C1778*G1778</f>
        <v>62431.829174000006</v>
      </c>
    </row>
    <row r="1779" spans="1:9" x14ac:dyDescent="0.25">
      <c r="A1779" t="s">
        <v>12</v>
      </c>
      <c r="B1779" s="1">
        <v>48.43</v>
      </c>
      <c r="C1779" s="1">
        <v>48.44</v>
      </c>
      <c r="D1779" s="2" t="s">
        <v>221</v>
      </c>
      <c r="E1779" s="8">
        <v>1289.0145</v>
      </c>
      <c r="F1779" s="8">
        <f>F1769</f>
        <v>0</v>
      </c>
      <c r="G1779" s="8">
        <f>E1779+F1779</f>
        <v>1289.0145</v>
      </c>
      <c r="H1779" s="3">
        <f>B1779*G1779</f>
        <v>62426.972235000001</v>
      </c>
      <c r="I1779" s="3">
        <f>C1779*G1779</f>
        <v>62439.862379999999</v>
      </c>
    </row>
    <row r="1780" spans="1:9" x14ac:dyDescent="0.25">
      <c r="A1780" t="s">
        <v>13</v>
      </c>
      <c r="B1780" s="1">
        <v>17.649999999999999</v>
      </c>
      <c r="C1780" s="1">
        <v>17.66</v>
      </c>
      <c r="D1780" s="2" t="s">
        <v>221</v>
      </c>
      <c r="E1780" s="8">
        <v>3535.8029000000001</v>
      </c>
      <c r="F1780" s="8">
        <f>F1770</f>
        <v>0</v>
      </c>
      <c r="G1780" s="8">
        <f>E1780+F1780</f>
        <v>3535.8029000000001</v>
      </c>
      <c r="H1780" s="3">
        <f>B1780*G1780</f>
        <v>62406.921184999999</v>
      </c>
      <c r="I1780" s="3">
        <f>C1780*G1780</f>
        <v>62442.279214000002</v>
      </c>
    </row>
    <row r="1781" spans="1:9" x14ac:dyDescent="0.25">
      <c r="A1781" t="s">
        <v>14</v>
      </c>
      <c r="B1781" s="1">
        <v>35.36</v>
      </c>
      <c r="C1781" s="1">
        <v>35.369999999999997</v>
      </c>
      <c r="D1781" s="2" t="s">
        <v>221</v>
      </c>
      <c r="E1781" s="8">
        <v>1765.0714</v>
      </c>
      <c r="F1781" s="8">
        <f>F1771</f>
        <v>0.2</v>
      </c>
      <c r="G1781" s="8">
        <f>E1781+F1781</f>
        <v>1765.2714000000001</v>
      </c>
      <c r="H1781" s="3">
        <f>B1781*G1781</f>
        <v>62419.996704000005</v>
      </c>
      <c r="I1781" s="3">
        <f>C1781*G1781</f>
        <v>62437.649418000001</v>
      </c>
    </row>
    <row r="1782" spans="1:9" x14ac:dyDescent="0.25">
      <c r="A1782" t="s">
        <v>4</v>
      </c>
      <c r="B1782" s="1">
        <v>20.73</v>
      </c>
      <c r="C1782" s="1">
        <v>20.74</v>
      </c>
      <c r="D1782" s="2" t="s">
        <v>222</v>
      </c>
      <c r="E1782" s="8">
        <v>3014.9661000000001</v>
      </c>
      <c r="F1782" s="8">
        <f>F1772</f>
        <v>0</v>
      </c>
      <c r="G1782" s="8">
        <f>E1782+F1782</f>
        <v>3014.9661000000001</v>
      </c>
      <c r="H1782" s="3">
        <f>B1782*G1782</f>
        <v>62500.247253000001</v>
      </c>
      <c r="I1782" s="3">
        <f>C1782*G1782</f>
        <v>62530.396913999997</v>
      </c>
    </row>
    <row r="1783" spans="1:9" x14ac:dyDescent="0.25">
      <c r="A1783" t="s">
        <v>6</v>
      </c>
      <c r="B1783" s="1">
        <v>33.94</v>
      </c>
      <c r="C1783" s="1">
        <v>33.950000000000003</v>
      </c>
      <c r="D1783" s="2" t="s">
        <v>222</v>
      </c>
      <c r="E1783" s="8">
        <v>1842.1306</v>
      </c>
      <c r="F1783" s="8">
        <f>F1773</f>
        <v>-0.1</v>
      </c>
      <c r="G1783" s="8">
        <f>E1783+F1783</f>
        <v>1842.0306</v>
      </c>
      <c r="H1783" s="3">
        <f>B1783*G1783</f>
        <v>62518.518563999998</v>
      </c>
      <c r="I1783" s="3">
        <f>C1783*G1783</f>
        <v>62536.938870000005</v>
      </c>
    </row>
    <row r="1784" spans="1:9" x14ac:dyDescent="0.25">
      <c r="A1784" t="s">
        <v>7</v>
      </c>
      <c r="B1784" s="1">
        <v>17.63</v>
      </c>
      <c r="C1784" s="1">
        <v>17.64</v>
      </c>
      <c r="D1784" s="2" t="s">
        <v>222</v>
      </c>
      <c r="E1784" s="8">
        <v>3546.6107999999999</v>
      </c>
      <c r="F1784" s="8">
        <f>F1774</f>
        <v>0</v>
      </c>
      <c r="G1784" s="8">
        <f>E1784+F1784</f>
        <v>3546.6107999999999</v>
      </c>
      <c r="H1784" s="3">
        <f>B1784*G1784</f>
        <v>62526.748403999998</v>
      </c>
      <c r="I1784" s="3">
        <f>C1784*G1784</f>
        <v>62562.214511999999</v>
      </c>
    </row>
    <row r="1785" spans="1:9" x14ac:dyDescent="0.25">
      <c r="A1785" t="s">
        <v>8</v>
      </c>
      <c r="B1785" s="1">
        <v>27.65</v>
      </c>
      <c r="C1785" s="1">
        <v>27.66</v>
      </c>
      <c r="D1785" s="2" t="s">
        <v>222</v>
      </c>
      <c r="E1785" s="8">
        <v>2261.3508999999999</v>
      </c>
      <c r="F1785" s="8">
        <f>F1775</f>
        <v>-0.2</v>
      </c>
      <c r="G1785" s="8">
        <f>E1785+F1785</f>
        <v>2261.1509000000001</v>
      </c>
      <c r="H1785" s="3">
        <f>B1785*G1785</f>
        <v>62520.822384999999</v>
      </c>
      <c r="I1785" s="3">
        <f>C1785*G1785</f>
        <v>62543.433894000002</v>
      </c>
    </row>
    <row r="1786" spans="1:9" x14ac:dyDescent="0.25">
      <c r="A1786" t="s">
        <v>9</v>
      </c>
      <c r="B1786" s="1">
        <v>66.03</v>
      </c>
      <c r="C1786" s="1">
        <v>66.150000000000006</v>
      </c>
      <c r="D1786" s="2" t="s">
        <v>222</v>
      </c>
      <c r="E1786" s="8">
        <v>946.14290000000005</v>
      </c>
      <c r="F1786" s="8">
        <f>F1776</f>
        <v>0</v>
      </c>
      <c r="G1786" s="8">
        <f>E1786+F1786</f>
        <v>946.14290000000005</v>
      </c>
      <c r="H1786" s="3">
        <f>B1786*G1786</f>
        <v>62473.815687000002</v>
      </c>
      <c r="I1786" s="3">
        <f>C1786*G1786</f>
        <v>62587.352835000012</v>
      </c>
    </row>
    <row r="1787" spans="1:9" x14ac:dyDescent="0.25">
      <c r="A1787" t="s">
        <v>10</v>
      </c>
      <c r="B1787" s="1">
        <v>36.119999999999997</v>
      </c>
      <c r="C1787" s="1">
        <v>36.14</v>
      </c>
      <c r="D1787" s="2" t="s">
        <v>222</v>
      </c>
      <c r="E1787" s="8">
        <v>1730.1268</v>
      </c>
      <c r="F1787" s="8">
        <f>F1777</f>
        <v>0.2</v>
      </c>
      <c r="G1787" s="8">
        <f>E1787+F1787</f>
        <v>1730.3268</v>
      </c>
      <c r="H1787" s="3">
        <f>B1787*G1787</f>
        <v>62499.404016</v>
      </c>
      <c r="I1787" s="3">
        <f>C1787*G1787</f>
        <v>62534.010552</v>
      </c>
    </row>
    <row r="1788" spans="1:9" x14ac:dyDescent="0.25">
      <c r="A1788" t="s">
        <v>11</v>
      </c>
      <c r="B1788" s="1">
        <v>54.42</v>
      </c>
      <c r="C1788" s="1">
        <v>54.43</v>
      </c>
      <c r="D1788" s="2" t="s">
        <v>222</v>
      </c>
      <c r="E1788" s="8">
        <v>1148.8611000000001</v>
      </c>
      <c r="F1788" s="8">
        <f>F1778</f>
        <v>0.05</v>
      </c>
      <c r="G1788" s="8">
        <f>E1788+F1788</f>
        <v>1148.9111</v>
      </c>
      <c r="H1788" s="3">
        <f>B1788*G1788</f>
        <v>62523.742062000005</v>
      </c>
      <c r="I1788" s="3">
        <f>C1788*G1788</f>
        <v>62535.231173</v>
      </c>
    </row>
    <row r="1789" spans="1:9" x14ac:dyDescent="0.25">
      <c r="A1789" t="s">
        <v>12</v>
      </c>
      <c r="B1789" s="1">
        <v>48.5</v>
      </c>
      <c r="C1789" s="1">
        <v>48.51</v>
      </c>
      <c r="D1789" s="2" t="s">
        <v>222</v>
      </c>
      <c r="E1789" s="8">
        <v>1289.0145</v>
      </c>
      <c r="F1789" s="8">
        <f>F1779</f>
        <v>0</v>
      </c>
      <c r="G1789" s="8">
        <f>E1789+F1789</f>
        <v>1289.0145</v>
      </c>
      <c r="H1789" s="3">
        <f>B1789*G1789</f>
        <v>62517.203249999999</v>
      </c>
      <c r="I1789" s="3">
        <f>C1789*G1789</f>
        <v>62530.093394999996</v>
      </c>
    </row>
    <row r="1790" spans="1:9" x14ac:dyDescent="0.25">
      <c r="A1790" t="s">
        <v>13</v>
      </c>
      <c r="B1790" s="1">
        <v>17.68</v>
      </c>
      <c r="C1790" s="1">
        <v>17.690000000000001</v>
      </c>
      <c r="D1790" s="2" t="s">
        <v>222</v>
      </c>
      <c r="E1790" s="8">
        <v>3535.8029000000001</v>
      </c>
      <c r="F1790" s="8">
        <f>F1780</f>
        <v>0</v>
      </c>
      <c r="G1790" s="8">
        <f>E1790+F1790</f>
        <v>3535.8029000000001</v>
      </c>
      <c r="H1790" s="3">
        <f>B1790*G1790</f>
        <v>62512.995272</v>
      </c>
      <c r="I1790" s="3">
        <f>C1790*G1790</f>
        <v>62548.35330100001</v>
      </c>
    </row>
    <row r="1791" spans="1:9" x14ac:dyDescent="0.25">
      <c r="A1791" t="s">
        <v>14</v>
      </c>
      <c r="B1791" s="1">
        <v>35.409999999999997</v>
      </c>
      <c r="C1791" s="1">
        <v>35.42</v>
      </c>
      <c r="D1791" s="2" t="s">
        <v>222</v>
      </c>
      <c r="E1791" s="8">
        <v>1765.0714</v>
      </c>
      <c r="F1791" s="8">
        <f>F1781</f>
        <v>0.2</v>
      </c>
      <c r="G1791" s="8">
        <f>E1791+F1791</f>
        <v>1765.2714000000001</v>
      </c>
      <c r="H1791" s="3">
        <f>B1791*G1791</f>
        <v>62508.260274</v>
      </c>
      <c r="I1791" s="3">
        <f>C1791*G1791</f>
        <v>62525.912988000004</v>
      </c>
    </row>
    <row r="1792" spans="1:9" x14ac:dyDescent="0.25">
      <c r="A1792" t="s">
        <v>4</v>
      </c>
      <c r="B1792" s="1">
        <v>20.78</v>
      </c>
      <c r="C1792" s="1">
        <v>20.78</v>
      </c>
      <c r="D1792" s="2" t="s">
        <v>223</v>
      </c>
      <c r="E1792" s="8">
        <v>3014.9661000000001</v>
      </c>
      <c r="F1792" s="8">
        <f>F1782</f>
        <v>0</v>
      </c>
      <c r="G1792" s="8">
        <f>E1792+F1792</f>
        <v>3014.9661000000001</v>
      </c>
      <c r="H1792" s="3">
        <f>B1792*G1792</f>
        <v>62650.995558000002</v>
      </c>
      <c r="I1792" s="3">
        <f>C1792*G1792</f>
        <v>62650.995558000002</v>
      </c>
    </row>
    <row r="1793" spans="1:9" x14ac:dyDescent="0.25">
      <c r="A1793" t="s">
        <v>6</v>
      </c>
      <c r="B1793" s="1">
        <v>34.01</v>
      </c>
      <c r="C1793" s="1">
        <v>34.020000000000003</v>
      </c>
      <c r="D1793" s="2" t="s">
        <v>223</v>
      </c>
      <c r="E1793" s="8">
        <v>1842.1306</v>
      </c>
      <c r="F1793" s="8">
        <f>F1783</f>
        <v>-0.1</v>
      </c>
      <c r="G1793" s="8">
        <f>E1793+F1793</f>
        <v>1842.0306</v>
      </c>
      <c r="H1793" s="3">
        <f>B1793*G1793</f>
        <v>62647.460705999998</v>
      </c>
      <c r="I1793" s="3">
        <f>C1793*G1793</f>
        <v>62665.881012000005</v>
      </c>
    </row>
    <row r="1794" spans="1:9" x14ac:dyDescent="0.25">
      <c r="A1794" t="s">
        <v>7</v>
      </c>
      <c r="B1794" s="1">
        <v>17.66</v>
      </c>
      <c r="C1794" s="1">
        <v>17.670000000000002</v>
      </c>
      <c r="D1794" s="2" t="s">
        <v>223</v>
      </c>
      <c r="E1794" s="8">
        <v>3546.6107999999999</v>
      </c>
      <c r="F1794" s="8">
        <f>F1784</f>
        <v>0</v>
      </c>
      <c r="G1794" s="8">
        <f>E1794+F1794</f>
        <v>3546.6107999999999</v>
      </c>
      <c r="H1794" s="3">
        <f>B1794*G1794</f>
        <v>62633.146728</v>
      </c>
      <c r="I1794" s="3">
        <f>C1794*G1794</f>
        <v>62668.612836000008</v>
      </c>
    </row>
    <row r="1795" spans="1:9" x14ac:dyDescent="0.25">
      <c r="A1795" t="s">
        <v>8</v>
      </c>
      <c r="B1795" s="1">
        <v>27.7</v>
      </c>
      <c r="C1795" s="1">
        <v>27.71</v>
      </c>
      <c r="D1795" s="2" t="s">
        <v>223</v>
      </c>
      <c r="E1795" s="8">
        <v>2261.3508999999999</v>
      </c>
      <c r="F1795" s="8">
        <f>F1785</f>
        <v>-0.2</v>
      </c>
      <c r="G1795" s="8">
        <f>E1795+F1795</f>
        <v>2261.1509000000001</v>
      </c>
      <c r="H1795" s="3">
        <f>B1795*G1795</f>
        <v>62633.879930000003</v>
      </c>
      <c r="I1795" s="3">
        <f>C1795*G1795</f>
        <v>62656.491439000005</v>
      </c>
    </row>
    <row r="1796" spans="1:9" x14ac:dyDescent="0.25">
      <c r="A1796" t="s">
        <v>9</v>
      </c>
      <c r="B1796" s="1">
        <v>66.150000000000006</v>
      </c>
      <c r="C1796" s="1">
        <v>66.260000000000005</v>
      </c>
      <c r="D1796" s="2" t="s">
        <v>223</v>
      </c>
      <c r="E1796" s="8">
        <v>946.14290000000005</v>
      </c>
      <c r="F1796" s="8">
        <f>F1786</f>
        <v>0</v>
      </c>
      <c r="G1796" s="8">
        <f>E1796+F1796</f>
        <v>946.14290000000005</v>
      </c>
      <c r="H1796" s="3">
        <f>B1796*G1796</f>
        <v>62587.352835000012</v>
      </c>
      <c r="I1796" s="3">
        <f>C1796*G1796</f>
        <v>62691.428554000006</v>
      </c>
    </row>
    <row r="1797" spans="1:9" x14ac:dyDescent="0.25">
      <c r="A1797" t="s">
        <v>10</v>
      </c>
      <c r="B1797" s="1">
        <v>36.19</v>
      </c>
      <c r="C1797" s="1">
        <v>36.21</v>
      </c>
      <c r="D1797" s="2" t="s">
        <v>223</v>
      </c>
      <c r="E1797" s="8">
        <v>1730.1268</v>
      </c>
      <c r="F1797" s="8">
        <f>F1787</f>
        <v>0.2</v>
      </c>
      <c r="G1797" s="8">
        <f>E1797+F1797</f>
        <v>1730.3268</v>
      </c>
      <c r="H1797" s="3">
        <f>B1797*G1797</f>
        <v>62620.526891999994</v>
      </c>
      <c r="I1797" s="3">
        <f>C1797*G1797</f>
        <v>62655.133428000001</v>
      </c>
    </row>
    <row r="1798" spans="1:9" x14ac:dyDescent="0.25">
      <c r="A1798" t="s">
        <v>11</v>
      </c>
      <c r="B1798" s="1">
        <v>54.52</v>
      </c>
      <c r="C1798" s="1">
        <v>54.53</v>
      </c>
      <c r="D1798" s="2" t="s">
        <v>223</v>
      </c>
      <c r="E1798" s="8">
        <v>1148.8611000000001</v>
      </c>
      <c r="F1798" s="8">
        <f>F1788</f>
        <v>0.05</v>
      </c>
      <c r="G1798" s="8">
        <f>E1798+F1798</f>
        <v>1148.9111</v>
      </c>
      <c r="H1798" s="3">
        <f>B1798*G1798</f>
        <v>62638.633172000009</v>
      </c>
      <c r="I1798" s="3">
        <f>C1798*G1798</f>
        <v>62650.122283000004</v>
      </c>
    </row>
    <row r="1799" spans="1:9" x14ac:dyDescent="0.25">
      <c r="A1799" t="s">
        <v>12</v>
      </c>
      <c r="B1799" s="1">
        <v>48.61</v>
      </c>
      <c r="C1799" s="1">
        <v>48.62</v>
      </c>
      <c r="D1799" s="2" t="s">
        <v>223</v>
      </c>
      <c r="E1799" s="8">
        <v>1289.0145</v>
      </c>
      <c r="F1799" s="8">
        <f>F1789</f>
        <v>0</v>
      </c>
      <c r="G1799" s="8">
        <f>E1799+F1799</f>
        <v>1289.0145</v>
      </c>
      <c r="H1799" s="3">
        <f>B1799*G1799</f>
        <v>62658.994845000001</v>
      </c>
      <c r="I1799" s="3">
        <f>C1799*G1799</f>
        <v>62671.884989999999</v>
      </c>
    </row>
    <row r="1800" spans="1:9" x14ac:dyDescent="0.25">
      <c r="A1800" t="s">
        <v>13</v>
      </c>
      <c r="B1800" s="1">
        <v>17.71</v>
      </c>
      <c r="C1800" s="1">
        <v>17.72</v>
      </c>
      <c r="D1800" s="2" t="s">
        <v>223</v>
      </c>
      <c r="E1800" s="8">
        <v>3535.8029000000001</v>
      </c>
      <c r="F1800" s="8">
        <f>F1790</f>
        <v>0</v>
      </c>
      <c r="G1800" s="8">
        <f>E1800+F1800</f>
        <v>3535.8029000000001</v>
      </c>
      <c r="H1800" s="3">
        <f>B1800*G1800</f>
        <v>62619.069359000008</v>
      </c>
      <c r="I1800" s="3">
        <f>C1800*G1800</f>
        <v>62654.427387999996</v>
      </c>
    </row>
    <row r="1801" spans="1:9" x14ac:dyDescent="0.25">
      <c r="A1801" t="s">
        <v>14</v>
      </c>
      <c r="B1801" s="1">
        <v>35.479999999999997</v>
      </c>
      <c r="C1801" s="1">
        <v>35.49</v>
      </c>
      <c r="D1801" s="2" t="s">
        <v>223</v>
      </c>
      <c r="E1801" s="8">
        <v>1765.0714</v>
      </c>
      <c r="F1801" s="8">
        <f>F1791</f>
        <v>0.2</v>
      </c>
      <c r="G1801" s="8">
        <f>E1801+F1801</f>
        <v>1765.2714000000001</v>
      </c>
      <c r="H1801" s="3">
        <f>B1801*G1801</f>
        <v>62631.829271999995</v>
      </c>
      <c r="I1801" s="3">
        <f>C1801*G1801</f>
        <v>62649.481986000006</v>
      </c>
    </row>
    <row r="1802" spans="1:9" x14ac:dyDescent="0.25">
      <c r="A1802" t="s">
        <v>4</v>
      </c>
      <c r="B1802" s="1">
        <v>20.72</v>
      </c>
      <c r="C1802" s="1">
        <v>20.73</v>
      </c>
      <c r="D1802" s="2" t="s">
        <v>224</v>
      </c>
      <c r="E1802" s="8">
        <v>3014.9661000000001</v>
      </c>
      <c r="F1802" s="8">
        <f>F1792</f>
        <v>0</v>
      </c>
      <c r="G1802" s="8">
        <f>E1802+F1802</f>
        <v>3014.9661000000001</v>
      </c>
      <c r="H1802" s="3">
        <f>B1802*G1802</f>
        <v>62470.097591999998</v>
      </c>
      <c r="I1802" s="3">
        <f>C1802*G1802</f>
        <v>62500.247253000001</v>
      </c>
    </row>
    <row r="1803" spans="1:9" x14ac:dyDescent="0.25">
      <c r="A1803" t="s">
        <v>6</v>
      </c>
      <c r="B1803" s="1">
        <v>33.909999999999997</v>
      </c>
      <c r="C1803" s="1">
        <v>33.92</v>
      </c>
      <c r="D1803" s="2" t="s">
        <v>224</v>
      </c>
      <c r="E1803" s="8">
        <v>1842.1306</v>
      </c>
      <c r="F1803" s="8">
        <f>F1793</f>
        <v>-0.1</v>
      </c>
      <c r="G1803" s="8">
        <f>E1803+F1803</f>
        <v>1842.0306</v>
      </c>
      <c r="H1803" s="3">
        <f>B1803*G1803</f>
        <v>62463.257645999998</v>
      </c>
      <c r="I1803" s="3">
        <f>C1803*G1803</f>
        <v>62481.677952000005</v>
      </c>
    </row>
    <row r="1804" spans="1:9" x14ac:dyDescent="0.25">
      <c r="A1804" t="s">
        <v>7</v>
      </c>
      <c r="B1804" s="1">
        <v>17.61</v>
      </c>
      <c r="C1804" s="1">
        <v>17.62</v>
      </c>
      <c r="D1804" s="2" t="s">
        <v>224</v>
      </c>
      <c r="E1804" s="8">
        <v>3546.6107999999999</v>
      </c>
      <c r="F1804" s="8">
        <f>F1794</f>
        <v>0</v>
      </c>
      <c r="G1804" s="8">
        <f>E1804+F1804</f>
        <v>3546.6107999999999</v>
      </c>
      <c r="H1804" s="3">
        <f>B1804*G1804</f>
        <v>62455.816187999997</v>
      </c>
      <c r="I1804" s="3">
        <f>C1804*G1804</f>
        <v>62491.282296000005</v>
      </c>
    </row>
    <row r="1805" spans="1:9" x14ac:dyDescent="0.25">
      <c r="A1805" t="s">
        <v>8</v>
      </c>
      <c r="B1805" s="1">
        <v>27.62</v>
      </c>
      <c r="C1805" s="1">
        <v>27.63</v>
      </c>
      <c r="D1805" s="2" t="s">
        <v>224</v>
      </c>
      <c r="E1805" s="8">
        <v>2261.3508999999999</v>
      </c>
      <c r="F1805" s="8">
        <f>F1795</f>
        <v>-0.2</v>
      </c>
      <c r="G1805" s="8">
        <f>E1805+F1805</f>
        <v>2261.1509000000001</v>
      </c>
      <c r="H1805" s="3">
        <f>B1805*G1805</f>
        <v>62452.987858000008</v>
      </c>
      <c r="I1805" s="3">
        <f>C1805*G1805</f>
        <v>62475.599367000003</v>
      </c>
    </row>
    <row r="1806" spans="1:9" x14ac:dyDescent="0.25">
      <c r="A1806" t="s">
        <v>9</v>
      </c>
      <c r="B1806" s="1">
        <v>65.97</v>
      </c>
      <c r="C1806" s="1">
        <v>66.08</v>
      </c>
      <c r="D1806" s="2" t="s">
        <v>224</v>
      </c>
      <c r="E1806" s="8">
        <v>946.14290000000005</v>
      </c>
      <c r="F1806" s="8">
        <f>F1796</f>
        <v>0</v>
      </c>
      <c r="G1806" s="8">
        <f>E1806+F1806</f>
        <v>946.14290000000005</v>
      </c>
      <c r="H1806" s="3">
        <f>B1806*G1806</f>
        <v>62417.047113000001</v>
      </c>
      <c r="I1806" s="3">
        <f>C1806*G1806</f>
        <v>62521.122832000001</v>
      </c>
    </row>
    <row r="1807" spans="1:9" x14ac:dyDescent="0.25">
      <c r="A1807" t="s">
        <v>10</v>
      </c>
      <c r="B1807" s="1">
        <v>36.08</v>
      </c>
      <c r="C1807" s="1">
        <v>36.11</v>
      </c>
      <c r="D1807" s="2" t="s">
        <v>224</v>
      </c>
      <c r="E1807" s="8">
        <v>1730.1268</v>
      </c>
      <c r="F1807" s="8">
        <f>F1797</f>
        <v>0.2</v>
      </c>
      <c r="G1807" s="8">
        <f>E1807+F1807</f>
        <v>1730.3268</v>
      </c>
      <c r="H1807" s="3">
        <f>B1807*G1807</f>
        <v>62430.190944000002</v>
      </c>
      <c r="I1807" s="3">
        <f>C1807*G1807</f>
        <v>62482.100748000004</v>
      </c>
    </row>
    <row r="1808" spans="1:9" x14ac:dyDescent="0.25">
      <c r="A1808" t="s">
        <v>11</v>
      </c>
      <c r="B1808" s="1">
        <v>54.36</v>
      </c>
      <c r="C1808" s="1">
        <v>54.37</v>
      </c>
      <c r="D1808" s="2" t="s">
        <v>224</v>
      </c>
      <c r="E1808" s="8">
        <v>1148.8611000000001</v>
      </c>
      <c r="F1808" s="8">
        <f>F1798</f>
        <v>0.05</v>
      </c>
      <c r="G1808" s="8">
        <f>E1808+F1808</f>
        <v>1148.9111</v>
      </c>
      <c r="H1808" s="3">
        <f>B1808*G1808</f>
        <v>62454.807396000004</v>
      </c>
      <c r="I1808" s="3">
        <f>C1808*G1808</f>
        <v>62466.296506999999</v>
      </c>
    </row>
    <row r="1809" spans="1:9" x14ac:dyDescent="0.25">
      <c r="A1809" t="s">
        <v>12</v>
      </c>
      <c r="B1809" s="1">
        <v>48.46</v>
      </c>
      <c r="C1809" s="1">
        <v>48.47</v>
      </c>
      <c r="D1809" s="2" t="s">
        <v>224</v>
      </c>
      <c r="E1809" s="8">
        <v>1289.0145</v>
      </c>
      <c r="F1809" s="8">
        <f>F1799</f>
        <v>0</v>
      </c>
      <c r="G1809" s="8">
        <f>E1809+F1809</f>
        <v>1289.0145</v>
      </c>
      <c r="H1809" s="3">
        <f>B1809*G1809</f>
        <v>62465.642670000001</v>
      </c>
      <c r="I1809" s="3">
        <f>C1809*G1809</f>
        <v>62478.532814999999</v>
      </c>
    </row>
    <row r="1810" spans="1:9" x14ac:dyDescent="0.25">
      <c r="A1810" t="s">
        <v>13</v>
      </c>
      <c r="B1810" s="1">
        <v>17.66</v>
      </c>
      <c r="C1810" s="1">
        <v>17.670000000000002</v>
      </c>
      <c r="D1810" s="2" t="s">
        <v>224</v>
      </c>
      <c r="E1810" s="8">
        <v>3535.8029000000001</v>
      </c>
      <c r="F1810" s="8">
        <f>F1800</f>
        <v>0</v>
      </c>
      <c r="G1810" s="8">
        <f>E1810+F1810</f>
        <v>3535.8029000000001</v>
      </c>
      <c r="H1810" s="3">
        <f>B1810*G1810</f>
        <v>62442.279214000002</v>
      </c>
      <c r="I1810" s="3">
        <f>C1810*G1810</f>
        <v>62477.637243000012</v>
      </c>
    </row>
    <row r="1811" spans="1:9" x14ac:dyDescent="0.25">
      <c r="A1811" t="s">
        <v>14</v>
      </c>
      <c r="B1811" s="1">
        <v>35.380000000000003</v>
      </c>
      <c r="C1811" s="1">
        <v>35.39</v>
      </c>
      <c r="D1811" s="2" t="s">
        <v>224</v>
      </c>
      <c r="E1811" s="8">
        <v>1765.0714</v>
      </c>
      <c r="F1811" s="8">
        <f>F1801</f>
        <v>0.2</v>
      </c>
      <c r="G1811" s="8">
        <f>E1811+F1811</f>
        <v>1765.2714000000001</v>
      </c>
      <c r="H1811" s="3">
        <f>B1811*G1811</f>
        <v>62455.302132000004</v>
      </c>
      <c r="I1811" s="3">
        <f>C1811*G1811</f>
        <v>62472.954846000001</v>
      </c>
    </row>
    <row r="1812" spans="1:9" x14ac:dyDescent="0.25">
      <c r="A1812" t="s">
        <v>4</v>
      </c>
      <c r="B1812" s="1">
        <v>20.67</v>
      </c>
      <c r="C1812" s="1">
        <v>20.68</v>
      </c>
      <c r="D1812" s="2" t="s">
        <v>225</v>
      </c>
      <c r="E1812" s="8">
        <v>3014.9661000000001</v>
      </c>
      <c r="F1812" s="8">
        <f>F1802</f>
        <v>0</v>
      </c>
      <c r="G1812" s="8">
        <f>E1812+F1812</f>
        <v>3014.9661000000001</v>
      </c>
      <c r="H1812" s="3">
        <f>B1812*G1812</f>
        <v>62319.349287000005</v>
      </c>
      <c r="I1812" s="3">
        <f>C1812*G1812</f>
        <v>62349.498948</v>
      </c>
    </row>
    <row r="1813" spans="1:9" x14ac:dyDescent="0.25">
      <c r="A1813" t="s">
        <v>6</v>
      </c>
      <c r="B1813" s="1">
        <v>33.840000000000003</v>
      </c>
      <c r="C1813" s="1">
        <v>33.840000000000003</v>
      </c>
      <c r="D1813" s="2" t="s">
        <v>225</v>
      </c>
      <c r="E1813" s="8">
        <v>1842.1306</v>
      </c>
      <c r="F1813" s="8">
        <f>F1803</f>
        <v>-0.1</v>
      </c>
      <c r="G1813" s="8">
        <f>E1813+F1813</f>
        <v>1842.0306</v>
      </c>
      <c r="H1813" s="3">
        <f>B1813*G1813</f>
        <v>62334.315504000006</v>
      </c>
      <c r="I1813" s="3">
        <f>C1813*G1813</f>
        <v>62334.315504000006</v>
      </c>
    </row>
    <row r="1814" spans="1:9" x14ac:dyDescent="0.25">
      <c r="A1814" t="s">
        <v>7</v>
      </c>
      <c r="B1814" s="1">
        <v>17.57</v>
      </c>
      <c r="C1814" s="1">
        <v>17.579999999999998</v>
      </c>
      <c r="D1814" s="2" t="s">
        <v>225</v>
      </c>
      <c r="E1814" s="8">
        <v>3546.6107999999999</v>
      </c>
      <c r="F1814" s="8">
        <f>F1804</f>
        <v>0</v>
      </c>
      <c r="G1814" s="8">
        <f>E1814+F1814</f>
        <v>3546.6107999999999</v>
      </c>
      <c r="H1814" s="3">
        <f>B1814*G1814</f>
        <v>62313.951756000002</v>
      </c>
      <c r="I1814" s="3">
        <f>C1814*G1814</f>
        <v>62349.417863999995</v>
      </c>
    </row>
    <row r="1815" spans="1:9" x14ac:dyDescent="0.25">
      <c r="A1815" t="s">
        <v>8</v>
      </c>
      <c r="B1815" s="1">
        <v>27.56</v>
      </c>
      <c r="C1815" s="1">
        <v>27.57</v>
      </c>
      <c r="D1815" s="2" t="s">
        <v>225</v>
      </c>
      <c r="E1815" s="8">
        <v>2261.3508999999999</v>
      </c>
      <c r="F1815" s="8">
        <f>F1805</f>
        <v>-0.2</v>
      </c>
      <c r="G1815" s="8">
        <f>E1815+F1815</f>
        <v>2261.1509000000001</v>
      </c>
      <c r="H1815" s="3">
        <f>B1815*G1815</f>
        <v>62317.318804000002</v>
      </c>
      <c r="I1815" s="3">
        <f>C1815*G1815</f>
        <v>62339.930313000004</v>
      </c>
    </row>
    <row r="1816" spans="1:9" x14ac:dyDescent="0.25">
      <c r="A1816" t="s">
        <v>9</v>
      </c>
      <c r="B1816" s="1">
        <v>65.77</v>
      </c>
      <c r="C1816" s="1">
        <v>65.88</v>
      </c>
      <c r="D1816" s="2" t="s">
        <v>225</v>
      </c>
      <c r="E1816" s="8">
        <v>946.14290000000005</v>
      </c>
      <c r="F1816" s="8">
        <f>F1806</f>
        <v>0</v>
      </c>
      <c r="G1816" s="8">
        <f>E1816+F1816</f>
        <v>946.14290000000005</v>
      </c>
      <c r="H1816" s="3">
        <f>B1816*G1816</f>
        <v>62227.818532999998</v>
      </c>
      <c r="I1816" s="3">
        <f>C1816*G1816</f>
        <v>62331.894251999998</v>
      </c>
    </row>
    <row r="1817" spans="1:9" x14ac:dyDescent="0.25">
      <c r="A1817" t="s">
        <v>10</v>
      </c>
      <c r="B1817" s="1">
        <v>36</v>
      </c>
      <c r="C1817" s="1">
        <v>36.03</v>
      </c>
      <c r="D1817" s="2" t="s">
        <v>225</v>
      </c>
      <c r="E1817" s="8">
        <v>1730.1268</v>
      </c>
      <c r="F1817" s="8">
        <f>F1807</f>
        <v>0.2</v>
      </c>
      <c r="G1817" s="8">
        <f>E1817+F1817</f>
        <v>1730.3268</v>
      </c>
      <c r="H1817" s="3">
        <f>B1817*G1817</f>
        <v>62291.764800000004</v>
      </c>
      <c r="I1817" s="3">
        <f>C1817*G1817</f>
        <v>62343.674604000007</v>
      </c>
    </row>
    <row r="1818" spans="1:9" x14ac:dyDescent="0.25">
      <c r="A1818" t="s">
        <v>11</v>
      </c>
      <c r="B1818" s="1">
        <v>54.24</v>
      </c>
      <c r="C1818" s="1">
        <v>54.25</v>
      </c>
      <c r="D1818" s="2" t="s">
        <v>225</v>
      </c>
      <c r="E1818" s="8">
        <v>1148.8611000000001</v>
      </c>
      <c r="F1818" s="8">
        <f>F1808</f>
        <v>0.05</v>
      </c>
      <c r="G1818" s="8">
        <f>E1818+F1818</f>
        <v>1148.9111</v>
      </c>
      <c r="H1818" s="3">
        <f>B1818*G1818</f>
        <v>62316.938064000002</v>
      </c>
      <c r="I1818" s="3">
        <f>C1818*G1818</f>
        <v>62328.427175000004</v>
      </c>
    </row>
    <row r="1819" spans="1:9" x14ac:dyDescent="0.25">
      <c r="A1819" t="s">
        <v>12</v>
      </c>
      <c r="B1819" s="1">
        <v>48.35</v>
      </c>
      <c r="C1819" s="1">
        <v>48.36</v>
      </c>
      <c r="D1819" s="2" t="s">
        <v>225</v>
      </c>
      <c r="E1819" s="8">
        <v>1289.0145</v>
      </c>
      <c r="F1819" s="8">
        <f>F1809</f>
        <v>0</v>
      </c>
      <c r="G1819" s="8">
        <f>E1819+F1819</f>
        <v>1289.0145</v>
      </c>
      <c r="H1819" s="3">
        <f>B1819*G1819</f>
        <v>62323.851074999999</v>
      </c>
      <c r="I1819" s="3">
        <f>C1819*G1819</f>
        <v>62336.741219999996</v>
      </c>
    </row>
    <row r="1820" spans="1:9" x14ac:dyDescent="0.25">
      <c r="A1820" t="s">
        <v>13</v>
      </c>
      <c r="B1820" s="1">
        <v>17.62</v>
      </c>
      <c r="C1820" s="1">
        <v>17.63</v>
      </c>
      <c r="D1820" s="2" t="s">
        <v>225</v>
      </c>
      <c r="E1820" s="8">
        <v>3535.8029000000001</v>
      </c>
      <c r="F1820" s="8">
        <f>F1810</f>
        <v>0</v>
      </c>
      <c r="G1820" s="8">
        <f>E1820+F1820</f>
        <v>3535.8029000000001</v>
      </c>
      <c r="H1820" s="3">
        <f>B1820*G1820</f>
        <v>62300.847098000006</v>
      </c>
      <c r="I1820" s="3">
        <f>C1820*G1820</f>
        <v>62336.205127000001</v>
      </c>
    </row>
    <row r="1821" spans="1:9" x14ac:dyDescent="0.25">
      <c r="A1821" t="s">
        <v>14</v>
      </c>
      <c r="B1821" s="1">
        <v>35.299999999999997</v>
      </c>
      <c r="C1821" s="1">
        <v>35.31</v>
      </c>
      <c r="D1821" s="2" t="s">
        <v>225</v>
      </c>
      <c r="E1821" s="8">
        <v>1765.0714</v>
      </c>
      <c r="F1821" s="8">
        <f>F1811</f>
        <v>0.2</v>
      </c>
      <c r="G1821" s="8">
        <f>E1821+F1821</f>
        <v>1765.2714000000001</v>
      </c>
      <c r="H1821" s="3">
        <f>B1821*G1821</f>
        <v>62314.080419999998</v>
      </c>
      <c r="I1821" s="3">
        <f>C1821*G1821</f>
        <v>62331.733134000009</v>
      </c>
    </row>
    <row r="1822" spans="1:9" x14ac:dyDescent="0.25">
      <c r="A1822" t="s">
        <v>4</v>
      </c>
      <c r="B1822" s="1">
        <v>20.62</v>
      </c>
      <c r="C1822" s="1">
        <v>20.63</v>
      </c>
      <c r="D1822" s="2" t="s">
        <v>226</v>
      </c>
      <c r="E1822" s="8">
        <v>3014.9661000000001</v>
      </c>
      <c r="F1822" s="8">
        <f>F1812</f>
        <v>0</v>
      </c>
      <c r="G1822" s="8">
        <f>E1822+F1822</f>
        <v>3014.9661000000001</v>
      </c>
      <c r="H1822" s="3">
        <f>B1822*G1822</f>
        <v>62168.600982000004</v>
      </c>
      <c r="I1822" s="3">
        <f>C1822*G1822</f>
        <v>62198.750642999999</v>
      </c>
    </row>
    <row r="1823" spans="1:9" x14ac:dyDescent="0.25">
      <c r="A1823" t="s">
        <v>6</v>
      </c>
      <c r="B1823" s="1">
        <v>33.76</v>
      </c>
      <c r="C1823" s="1">
        <v>33.770000000000003</v>
      </c>
      <c r="D1823" s="2" t="s">
        <v>226</v>
      </c>
      <c r="E1823" s="8">
        <v>1842.1306</v>
      </c>
      <c r="F1823" s="8">
        <f>F1813</f>
        <v>-0.1</v>
      </c>
      <c r="G1823" s="8">
        <f>E1823+F1823</f>
        <v>1842.0306</v>
      </c>
      <c r="H1823" s="3">
        <f>B1823*G1823</f>
        <v>62186.953055999998</v>
      </c>
      <c r="I1823" s="3">
        <f>C1823*G1823</f>
        <v>62205.373362000006</v>
      </c>
    </row>
    <row r="1824" spans="1:9" x14ac:dyDescent="0.25">
      <c r="A1824" t="s">
        <v>7</v>
      </c>
      <c r="B1824" s="1">
        <v>17.53</v>
      </c>
      <c r="C1824" s="1">
        <v>17.54</v>
      </c>
      <c r="D1824" s="2" t="s">
        <v>226</v>
      </c>
      <c r="E1824" s="8">
        <v>3546.6107999999999</v>
      </c>
      <c r="F1824" s="8">
        <f>F1814</f>
        <v>0</v>
      </c>
      <c r="G1824" s="8">
        <f>E1824+F1824</f>
        <v>3546.6107999999999</v>
      </c>
      <c r="H1824" s="3">
        <f>B1824*G1824</f>
        <v>62172.087324</v>
      </c>
      <c r="I1824" s="3">
        <f>C1824*G1824</f>
        <v>62207.553431999993</v>
      </c>
    </row>
    <row r="1825" spans="1:9" x14ac:dyDescent="0.25">
      <c r="A1825" t="s">
        <v>8</v>
      </c>
      <c r="B1825" s="1">
        <v>27.5</v>
      </c>
      <c r="C1825" s="1">
        <v>27.51</v>
      </c>
      <c r="D1825" s="2" t="s">
        <v>226</v>
      </c>
      <c r="E1825" s="8">
        <v>2261.3508999999999</v>
      </c>
      <c r="F1825" s="8">
        <f>F1815</f>
        <v>-0.2</v>
      </c>
      <c r="G1825" s="8">
        <f>E1825+F1825</f>
        <v>2261.1509000000001</v>
      </c>
      <c r="H1825" s="3">
        <f>B1825*G1825</f>
        <v>62181.649750000004</v>
      </c>
      <c r="I1825" s="3">
        <f>C1825*G1825</f>
        <v>62204.261259000006</v>
      </c>
    </row>
    <row r="1826" spans="1:9" x14ac:dyDescent="0.25">
      <c r="A1826" t="s">
        <v>9</v>
      </c>
      <c r="B1826" s="1">
        <v>65.69</v>
      </c>
      <c r="C1826" s="1">
        <v>65.78</v>
      </c>
      <c r="D1826" s="2" t="s">
        <v>226</v>
      </c>
      <c r="E1826" s="8">
        <v>946.14290000000005</v>
      </c>
      <c r="F1826" s="8">
        <f>F1816</f>
        <v>0</v>
      </c>
      <c r="G1826" s="8">
        <f>E1826+F1826</f>
        <v>946.14290000000005</v>
      </c>
      <c r="H1826" s="3">
        <f>B1826*G1826</f>
        <v>62152.127100999998</v>
      </c>
      <c r="I1826" s="3">
        <f>C1826*G1826</f>
        <v>62237.279962000008</v>
      </c>
    </row>
    <row r="1827" spans="1:9" x14ac:dyDescent="0.25">
      <c r="A1827" t="s">
        <v>10</v>
      </c>
      <c r="B1827" s="1">
        <v>35.92</v>
      </c>
      <c r="C1827" s="1">
        <v>35.950000000000003</v>
      </c>
      <c r="D1827" s="2" t="s">
        <v>226</v>
      </c>
      <c r="E1827" s="8">
        <v>1730.1268</v>
      </c>
      <c r="F1827" s="8">
        <f>F1817</f>
        <v>0.2</v>
      </c>
      <c r="G1827" s="8">
        <f>E1827+F1827</f>
        <v>1730.3268</v>
      </c>
      <c r="H1827" s="3">
        <f>B1827*G1827</f>
        <v>62153.338656000007</v>
      </c>
      <c r="I1827" s="3">
        <f>C1827*G1827</f>
        <v>62205.24846000001</v>
      </c>
    </row>
    <row r="1828" spans="1:9" x14ac:dyDescent="0.25">
      <c r="A1828" t="s">
        <v>11</v>
      </c>
      <c r="B1828" s="1">
        <v>54.12</v>
      </c>
      <c r="C1828" s="1">
        <v>54.13</v>
      </c>
      <c r="D1828" s="2" t="s">
        <v>226</v>
      </c>
      <c r="E1828" s="8">
        <v>1148.8611000000001</v>
      </c>
      <c r="F1828" s="8">
        <f>F1818</f>
        <v>0.05</v>
      </c>
      <c r="G1828" s="8">
        <f>E1828+F1828</f>
        <v>1148.9111</v>
      </c>
      <c r="H1828" s="3">
        <f>B1828*G1828</f>
        <v>62179.068732</v>
      </c>
      <c r="I1828" s="3">
        <f>C1828*G1828</f>
        <v>62190.557843000002</v>
      </c>
    </row>
    <row r="1829" spans="1:9" x14ac:dyDescent="0.25">
      <c r="A1829" t="s">
        <v>12</v>
      </c>
      <c r="B1829" s="1">
        <v>48.24</v>
      </c>
      <c r="C1829" s="1">
        <v>48.25</v>
      </c>
      <c r="D1829" s="2" t="s">
        <v>226</v>
      </c>
      <c r="E1829" s="8">
        <v>1289.0145</v>
      </c>
      <c r="F1829" s="8">
        <f>F1819</f>
        <v>0</v>
      </c>
      <c r="G1829" s="8">
        <f>E1829+F1829</f>
        <v>1289.0145</v>
      </c>
      <c r="H1829" s="3">
        <f>B1829*G1829</f>
        <v>62182.059480000004</v>
      </c>
      <c r="I1829" s="3">
        <f>C1829*G1829</f>
        <v>62194.949625000001</v>
      </c>
    </row>
    <row r="1830" spans="1:9" x14ac:dyDescent="0.25">
      <c r="A1830" t="s">
        <v>13</v>
      </c>
      <c r="B1830" s="1">
        <v>17.579999999999998</v>
      </c>
      <c r="C1830" s="1">
        <v>17.59</v>
      </c>
      <c r="D1830" s="2" t="s">
        <v>226</v>
      </c>
      <c r="E1830" s="8">
        <v>3535.8029000000001</v>
      </c>
      <c r="F1830" s="8">
        <f>F1820</f>
        <v>0</v>
      </c>
      <c r="G1830" s="8">
        <f>E1830+F1830</f>
        <v>3535.8029000000001</v>
      </c>
      <c r="H1830" s="3">
        <f>B1830*G1830</f>
        <v>62159.414981999995</v>
      </c>
      <c r="I1830" s="3">
        <f>C1830*G1830</f>
        <v>62194.773011000005</v>
      </c>
    </row>
    <row r="1831" spans="1:9" x14ac:dyDescent="0.25">
      <c r="A1831" t="s">
        <v>14</v>
      </c>
      <c r="B1831" s="1">
        <v>35.22</v>
      </c>
      <c r="C1831" s="1">
        <v>35.229999999999997</v>
      </c>
      <c r="D1831" s="2" t="s">
        <v>226</v>
      </c>
      <c r="E1831" s="8">
        <v>1765.0714</v>
      </c>
      <c r="F1831" s="8">
        <f>F1821</f>
        <v>0.2</v>
      </c>
      <c r="G1831" s="8">
        <f>E1831+F1831</f>
        <v>1765.2714000000001</v>
      </c>
      <c r="H1831" s="3">
        <f>B1831*G1831</f>
        <v>62172.858708</v>
      </c>
      <c r="I1831" s="3">
        <f>C1831*G1831</f>
        <v>62190.511421999996</v>
      </c>
    </row>
    <row r="1832" spans="1:9" x14ac:dyDescent="0.25">
      <c r="A1832" t="s">
        <v>4</v>
      </c>
      <c r="B1832" s="1">
        <v>20.66</v>
      </c>
      <c r="C1832" s="1">
        <v>20.67</v>
      </c>
      <c r="D1832" s="2" t="s">
        <v>227</v>
      </c>
      <c r="E1832" s="8">
        <v>3014.9661000000001</v>
      </c>
      <c r="F1832" s="8">
        <f>F1822</f>
        <v>0</v>
      </c>
      <c r="G1832" s="8">
        <f>E1832+F1832</f>
        <v>3014.9661000000001</v>
      </c>
      <c r="H1832" s="3">
        <f>B1832*G1832</f>
        <v>62289.199626000001</v>
      </c>
      <c r="I1832" s="3">
        <f>C1832*G1832</f>
        <v>62319.349287000005</v>
      </c>
    </row>
    <row r="1833" spans="1:9" x14ac:dyDescent="0.25">
      <c r="A1833" t="s">
        <v>6</v>
      </c>
      <c r="B1833" s="1">
        <v>33.82</v>
      </c>
      <c r="C1833" s="1">
        <v>33.83</v>
      </c>
      <c r="D1833" s="2" t="s">
        <v>227</v>
      </c>
      <c r="E1833" s="8">
        <v>1842.1306</v>
      </c>
      <c r="F1833" s="8">
        <f>F1823</f>
        <v>-0.1</v>
      </c>
      <c r="G1833" s="8">
        <f>E1833+F1833</f>
        <v>1842.0306</v>
      </c>
      <c r="H1833" s="3">
        <f>B1833*G1833</f>
        <v>62297.474892000006</v>
      </c>
      <c r="I1833" s="3">
        <f>C1833*G1833</f>
        <v>62315.895197999998</v>
      </c>
    </row>
    <row r="1834" spans="1:9" x14ac:dyDescent="0.25">
      <c r="A1834" t="s">
        <v>7</v>
      </c>
      <c r="B1834" s="1">
        <v>17.559999999999999</v>
      </c>
      <c r="C1834" s="1">
        <v>17.57</v>
      </c>
      <c r="D1834" s="2" t="s">
        <v>227</v>
      </c>
      <c r="E1834" s="8">
        <v>3546.6107999999999</v>
      </c>
      <c r="F1834" s="8">
        <f>F1824</f>
        <v>0</v>
      </c>
      <c r="G1834" s="8">
        <f>E1834+F1834</f>
        <v>3546.6107999999999</v>
      </c>
      <c r="H1834" s="3">
        <f>B1834*G1834</f>
        <v>62278.485647999994</v>
      </c>
      <c r="I1834" s="3">
        <f>C1834*G1834</f>
        <v>62313.951756000002</v>
      </c>
    </row>
    <row r="1835" spans="1:9" x14ac:dyDescent="0.25">
      <c r="A1835" t="s">
        <v>8</v>
      </c>
      <c r="B1835" s="1">
        <v>27.55</v>
      </c>
      <c r="C1835" s="1">
        <v>27.56</v>
      </c>
      <c r="D1835" s="2" t="s">
        <v>227</v>
      </c>
      <c r="E1835" s="8">
        <v>2261.3508999999999</v>
      </c>
      <c r="F1835" s="8">
        <f>F1825</f>
        <v>-0.2</v>
      </c>
      <c r="G1835" s="8">
        <f>E1835+F1835</f>
        <v>2261.1509000000001</v>
      </c>
      <c r="H1835" s="3">
        <f>B1835*G1835</f>
        <v>62294.707295000007</v>
      </c>
      <c r="I1835" s="3">
        <f>C1835*G1835</f>
        <v>62317.318804000002</v>
      </c>
    </row>
    <row r="1836" spans="1:9" x14ac:dyDescent="0.25">
      <c r="A1836" t="s">
        <v>9</v>
      </c>
      <c r="B1836" s="1">
        <v>65.81</v>
      </c>
      <c r="C1836" s="1">
        <v>65.91</v>
      </c>
      <c r="D1836" s="2" t="s">
        <v>227</v>
      </c>
      <c r="E1836" s="8">
        <v>946.14290000000005</v>
      </c>
      <c r="F1836" s="8">
        <f>F1826</f>
        <v>0</v>
      </c>
      <c r="G1836" s="8">
        <f>E1836+F1836</f>
        <v>946.14290000000005</v>
      </c>
      <c r="H1836" s="3">
        <f>B1836*G1836</f>
        <v>62265.664249000009</v>
      </c>
      <c r="I1836" s="3">
        <f>C1836*G1836</f>
        <v>62360.278538999999</v>
      </c>
    </row>
    <row r="1837" spans="1:9" x14ac:dyDescent="0.25">
      <c r="A1837" t="s">
        <v>10</v>
      </c>
      <c r="B1837" s="1">
        <v>35.99</v>
      </c>
      <c r="C1837" s="1">
        <v>36.020000000000003</v>
      </c>
      <c r="D1837" s="2" t="s">
        <v>227</v>
      </c>
      <c r="E1837" s="8">
        <v>1730.1268</v>
      </c>
      <c r="F1837" s="8">
        <f>F1827</f>
        <v>0.2</v>
      </c>
      <c r="G1837" s="8">
        <f>E1837+F1837</f>
        <v>1730.3268</v>
      </c>
      <c r="H1837" s="3">
        <f>B1837*G1837</f>
        <v>62274.461532000008</v>
      </c>
      <c r="I1837" s="3">
        <f>C1837*G1837</f>
        <v>62326.371336000004</v>
      </c>
    </row>
    <row r="1838" spans="1:9" x14ac:dyDescent="0.25">
      <c r="A1838" t="s">
        <v>11</v>
      </c>
      <c r="B1838" s="1">
        <v>54.22</v>
      </c>
      <c r="C1838" s="1">
        <v>54.23</v>
      </c>
      <c r="D1838" s="2" t="s">
        <v>227</v>
      </c>
      <c r="E1838" s="8">
        <v>1148.8611000000001</v>
      </c>
      <c r="F1838" s="8">
        <f>F1828</f>
        <v>0.05</v>
      </c>
      <c r="G1838" s="8">
        <f>E1838+F1838</f>
        <v>1148.9111</v>
      </c>
      <c r="H1838" s="3">
        <f>B1838*G1838</f>
        <v>62293.959842000004</v>
      </c>
      <c r="I1838" s="3">
        <f>C1838*G1838</f>
        <v>62305.448952999999</v>
      </c>
    </row>
    <row r="1839" spans="1:9" x14ac:dyDescent="0.25">
      <c r="A1839" t="s">
        <v>12</v>
      </c>
      <c r="B1839" s="1">
        <v>48.33</v>
      </c>
      <c r="C1839" s="1">
        <v>48.34</v>
      </c>
      <c r="D1839" s="2" t="s">
        <v>227</v>
      </c>
      <c r="E1839" s="8">
        <v>1289.0145</v>
      </c>
      <c r="F1839" s="8">
        <f>F1829</f>
        <v>0</v>
      </c>
      <c r="G1839" s="8">
        <f>E1839+F1839</f>
        <v>1289.0145</v>
      </c>
      <c r="H1839" s="3">
        <f>B1839*G1839</f>
        <v>62298.070784999996</v>
      </c>
      <c r="I1839" s="3">
        <f>C1839*G1839</f>
        <v>62310.960930000001</v>
      </c>
    </row>
    <row r="1840" spans="1:9" x14ac:dyDescent="0.25">
      <c r="A1840" t="s">
        <v>13</v>
      </c>
      <c r="B1840" s="1">
        <v>17.62</v>
      </c>
      <c r="C1840" s="1">
        <v>17.63</v>
      </c>
      <c r="D1840" s="2" t="s">
        <v>227</v>
      </c>
      <c r="E1840" s="8">
        <v>3535.8029000000001</v>
      </c>
      <c r="F1840" s="8">
        <f>F1830</f>
        <v>0</v>
      </c>
      <c r="G1840" s="8">
        <f>E1840+F1840</f>
        <v>3535.8029000000001</v>
      </c>
      <c r="H1840" s="3">
        <f>B1840*G1840</f>
        <v>62300.847098000006</v>
      </c>
      <c r="I1840" s="3">
        <f>C1840*G1840</f>
        <v>62336.205127000001</v>
      </c>
    </row>
    <row r="1841" spans="1:9" x14ac:dyDescent="0.25">
      <c r="A1841" t="s">
        <v>14</v>
      </c>
      <c r="B1841" s="1">
        <v>35.28</v>
      </c>
      <c r="C1841" s="1">
        <v>35.29</v>
      </c>
      <c r="D1841" s="2" t="s">
        <v>227</v>
      </c>
      <c r="E1841" s="8">
        <v>1765.0714</v>
      </c>
      <c r="F1841" s="8">
        <f>F1831</f>
        <v>0.2</v>
      </c>
      <c r="G1841" s="8">
        <f>E1841+F1841</f>
        <v>1765.2714000000001</v>
      </c>
      <c r="H1841" s="3">
        <f>B1841*G1841</f>
        <v>62278.774992000006</v>
      </c>
      <c r="I1841" s="3">
        <f>C1841*G1841</f>
        <v>62296.427706000002</v>
      </c>
    </row>
    <row r="1842" spans="1:9" x14ac:dyDescent="0.25">
      <c r="A1842" t="s">
        <v>4</v>
      </c>
      <c r="B1842" s="1">
        <v>20.64</v>
      </c>
      <c r="C1842" s="1">
        <v>20.65</v>
      </c>
      <c r="D1842" s="2" t="s">
        <v>228</v>
      </c>
      <c r="E1842" s="8">
        <v>3014.9661000000001</v>
      </c>
      <c r="F1842" s="8">
        <f>F1832</f>
        <v>0</v>
      </c>
      <c r="G1842" s="8">
        <f>E1842+F1842</f>
        <v>3014.9661000000001</v>
      </c>
      <c r="H1842" s="3">
        <f>B1842*G1842</f>
        <v>62228.900304000003</v>
      </c>
      <c r="I1842" s="3">
        <f>C1842*G1842</f>
        <v>62259.049964999998</v>
      </c>
    </row>
    <row r="1843" spans="1:9" x14ac:dyDescent="0.25">
      <c r="A1843" t="s">
        <v>6</v>
      </c>
      <c r="B1843" s="1">
        <v>33.79</v>
      </c>
      <c r="C1843" s="1">
        <v>33.799999999999997</v>
      </c>
      <c r="D1843" s="2" t="s">
        <v>228</v>
      </c>
      <c r="E1843" s="8">
        <v>1842.1306</v>
      </c>
      <c r="F1843" s="8">
        <f>F1833</f>
        <v>-0.1</v>
      </c>
      <c r="G1843" s="8">
        <f>E1843+F1843</f>
        <v>1842.0306</v>
      </c>
      <c r="H1843" s="3">
        <f>B1843*G1843</f>
        <v>62242.213973999998</v>
      </c>
      <c r="I1843" s="3">
        <f>C1843*G1843</f>
        <v>62260.634279999998</v>
      </c>
    </row>
    <row r="1844" spans="1:9" x14ac:dyDescent="0.25">
      <c r="A1844" t="s">
        <v>7</v>
      </c>
      <c r="B1844" s="1">
        <v>17.55</v>
      </c>
      <c r="C1844" s="1">
        <v>17.55</v>
      </c>
      <c r="D1844" s="2" t="s">
        <v>228</v>
      </c>
      <c r="E1844" s="8">
        <v>3546.6107999999999</v>
      </c>
      <c r="F1844" s="8">
        <f>F1834</f>
        <v>0</v>
      </c>
      <c r="G1844" s="8">
        <f>E1844+F1844</f>
        <v>3546.6107999999999</v>
      </c>
      <c r="H1844" s="3">
        <f>B1844*G1844</f>
        <v>62243.019540000001</v>
      </c>
      <c r="I1844" s="3">
        <f>C1844*G1844</f>
        <v>62243.019540000001</v>
      </c>
    </row>
    <row r="1845" spans="1:9" x14ac:dyDescent="0.25">
      <c r="A1845" t="s">
        <v>8</v>
      </c>
      <c r="B1845" s="1">
        <v>27.52</v>
      </c>
      <c r="C1845" s="1">
        <v>27.53</v>
      </c>
      <c r="D1845" s="2" t="s">
        <v>228</v>
      </c>
      <c r="E1845" s="8">
        <v>2261.3508999999999</v>
      </c>
      <c r="F1845" s="8">
        <f>F1835</f>
        <v>-0.2</v>
      </c>
      <c r="G1845" s="8">
        <f>E1845+F1845</f>
        <v>2261.1509000000001</v>
      </c>
      <c r="H1845" s="3">
        <f>B1845*G1845</f>
        <v>62226.872768000001</v>
      </c>
      <c r="I1845" s="3">
        <f>C1845*G1845</f>
        <v>62249.484277000003</v>
      </c>
    </row>
    <row r="1846" spans="1:9" x14ac:dyDescent="0.25">
      <c r="A1846" t="s">
        <v>9</v>
      </c>
      <c r="B1846" s="1">
        <v>65.680000000000007</v>
      </c>
      <c r="C1846" s="1">
        <v>65.81</v>
      </c>
      <c r="D1846" s="2" t="s">
        <v>228</v>
      </c>
      <c r="E1846" s="8">
        <v>946.14290000000005</v>
      </c>
      <c r="F1846" s="8">
        <f>F1836</f>
        <v>0</v>
      </c>
      <c r="G1846" s="8">
        <f>E1846+F1846</f>
        <v>946.14290000000005</v>
      </c>
      <c r="H1846" s="3">
        <f>B1846*G1846</f>
        <v>62142.66567200001</v>
      </c>
      <c r="I1846" s="3">
        <f>C1846*G1846</f>
        <v>62265.664249000009</v>
      </c>
    </row>
    <row r="1847" spans="1:9" x14ac:dyDescent="0.25">
      <c r="A1847" t="s">
        <v>10</v>
      </c>
      <c r="B1847" s="1">
        <v>35.950000000000003</v>
      </c>
      <c r="C1847" s="1">
        <v>35.979999999999997</v>
      </c>
      <c r="D1847" s="2" t="s">
        <v>228</v>
      </c>
      <c r="E1847" s="8">
        <v>1730.1268</v>
      </c>
      <c r="F1847" s="8">
        <f>F1837</f>
        <v>0.2</v>
      </c>
      <c r="G1847" s="8">
        <f>E1847+F1847</f>
        <v>1730.3268</v>
      </c>
      <c r="H1847" s="3">
        <f>B1847*G1847</f>
        <v>62205.24846000001</v>
      </c>
      <c r="I1847" s="3">
        <f>C1847*G1847</f>
        <v>62257.158263999998</v>
      </c>
    </row>
    <row r="1848" spans="1:9" x14ac:dyDescent="0.25">
      <c r="A1848" t="s">
        <v>11</v>
      </c>
      <c r="B1848" s="1">
        <v>54.16</v>
      </c>
      <c r="C1848" s="1">
        <v>54.17</v>
      </c>
      <c r="D1848" s="2" t="s">
        <v>228</v>
      </c>
      <c r="E1848" s="8">
        <v>1148.8611000000001</v>
      </c>
      <c r="F1848" s="8">
        <f>F1838</f>
        <v>0.05</v>
      </c>
      <c r="G1848" s="8">
        <f>E1848+F1848</f>
        <v>1148.9111</v>
      </c>
      <c r="H1848" s="3">
        <f>B1848*G1848</f>
        <v>62225.025175999996</v>
      </c>
      <c r="I1848" s="3">
        <f>C1848*G1848</f>
        <v>62236.514287000005</v>
      </c>
    </row>
    <row r="1849" spans="1:9" x14ac:dyDescent="0.25">
      <c r="A1849" t="s">
        <v>12</v>
      </c>
      <c r="B1849" s="1">
        <v>48.28</v>
      </c>
      <c r="C1849" s="1">
        <v>48.29</v>
      </c>
      <c r="D1849" s="2" t="s">
        <v>228</v>
      </c>
      <c r="E1849" s="8">
        <v>1289.0145</v>
      </c>
      <c r="F1849" s="8">
        <f>F1839</f>
        <v>0</v>
      </c>
      <c r="G1849" s="8">
        <f>E1849+F1849</f>
        <v>1289.0145</v>
      </c>
      <c r="H1849" s="3">
        <f>B1849*G1849</f>
        <v>62233.620060000001</v>
      </c>
      <c r="I1849" s="3">
        <f>C1849*G1849</f>
        <v>62246.510204999999</v>
      </c>
    </row>
    <row r="1850" spans="1:9" x14ac:dyDescent="0.25">
      <c r="A1850" t="s">
        <v>13</v>
      </c>
      <c r="B1850" s="1">
        <v>17.600000000000001</v>
      </c>
      <c r="C1850" s="1">
        <v>17.61</v>
      </c>
      <c r="D1850" s="2" t="s">
        <v>228</v>
      </c>
      <c r="E1850" s="8">
        <v>3535.8029000000001</v>
      </c>
      <c r="F1850" s="8">
        <f>F1840</f>
        <v>0</v>
      </c>
      <c r="G1850" s="8">
        <f>E1850+F1850</f>
        <v>3535.8029000000001</v>
      </c>
      <c r="H1850" s="3">
        <f>B1850*G1850</f>
        <v>62230.131040000007</v>
      </c>
      <c r="I1850" s="3">
        <f>C1850*G1850</f>
        <v>62265.489069000003</v>
      </c>
    </row>
    <row r="1851" spans="1:9" x14ac:dyDescent="0.25">
      <c r="A1851" t="s">
        <v>14</v>
      </c>
      <c r="B1851" s="1">
        <v>35.25</v>
      </c>
      <c r="C1851" s="1">
        <v>35.26</v>
      </c>
      <c r="D1851" s="2" t="s">
        <v>228</v>
      </c>
      <c r="E1851" s="8">
        <v>1765.0714</v>
      </c>
      <c r="F1851" s="8">
        <f>F1841</f>
        <v>0.2</v>
      </c>
      <c r="G1851" s="8">
        <f>E1851+F1851</f>
        <v>1765.2714000000001</v>
      </c>
      <c r="H1851" s="3">
        <f>B1851*G1851</f>
        <v>62225.816850000003</v>
      </c>
      <c r="I1851" s="3">
        <f>C1851*G1851</f>
        <v>62243.469563999999</v>
      </c>
    </row>
    <row r="1852" spans="1:9" x14ac:dyDescent="0.25">
      <c r="A1852" t="s">
        <v>4</v>
      </c>
      <c r="B1852" s="1">
        <v>20.77</v>
      </c>
      <c r="C1852" s="1">
        <v>20.78</v>
      </c>
      <c r="D1852" s="2" t="s">
        <v>229</v>
      </c>
      <c r="E1852" s="8">
        <v>3014.9661000000001</v>
      </c>
      <c r="F1852" s="8">
        <f>F1842</f>
        <v>0</v>
      </c>
      <c r="G1852" s="8">
        <f>E1852+F1852</f>
        <v>3014.9661000000001</v>
      </c>
      <c r="H1852" s="3">
        <f>B1852*G1852</f>
        <v>62620.845896999999</v>
      </c>
      <c r="I1852" s="3">
        <f>C1852*G1852</f>
        <v>62650.995558000002</v>
      </c>
    </row>
    <row r="1853" spans="1:9" x14ac:dyDescent="0.25">
      <c r="A1853" t="s">
        <v>6</v>
      </c>
      <c r="B1853" s="1">
        <v>34</v>
      </c>
      <c r="C1853" s="1">
        <v>34.01</v>
      </c>
      <c r="D1853" s="2" t="s">
        <v>229</v>
      </c>
      <c r="E1853" s="8">
        <v>1842.1306</v>
      </c>
      <c r="F1853" s="8">
        <f>F1843</f>
        <v>-0.1</v>
      </c>
      <c r="G1853" s="8">
        <f>E1853+F1853</f>
        <v>1842.0306</v>
      </c>
      <c r="H1853" s="3">
        <f>B1853*G1853</f>
        <v>62629.040399999998</v>
      </c>
      <c r="I1853" s="3">
        <f>C1853*G1853</f>
        <v>62647.460705999998</v>
      </c>
    </row>
    <row r="1854" spans="1:9" x14ac:dyDescent="0.25">
      <c r="A1854" t="s">
        <v>7</v>
      </c>
      <c r="B1854" s="1">
        <v>17.66</v>
      </c>
      <c r="C1854" s="1">
        <v>17.66</v>
      </c>
      <c r="D1854" s="2" t="s">
        <v>229</v>
      </c>
      <c r="E1854" s="8">
        <v>3546.6107999999999</v>
      </c>
      <c r="F1854" s="8">
        <f>F1844</f>
        <v>0</v>
      </c>
      <c r="G1854" s="8">
        <f>E1854+F1854</f>
        <v>3546.6107999999999</v>
      </c>
      <c r="H1854" s="3">
        <f>B1854*G1854</f>
        <v>62633.146728</v>
      </c>
      <c r="I1854" s="3">
        <f>C1854*G1854</f>
        <v>62633.146728</v>
      </c>
    </row>
    <row r="1855" spans="1:9" x14ac:dyDescent="0.25">
      <c r="A1855" t="s">
        <v>8</v>
      </c>
      <c r="B1855" s="1">
        <v>27.69</v>
      </c>
      <c r="C1855" s="1">
        <v>27.7</v>
      </c>
      <c r="D1855" s="2" t="s">
        <v>229</v>
      </c>
      <c r="E1855" s="8">
        <v>2261.3508999999999</v>
      </c>
      <c r="F1855" s="8">
        <f>F1845</f>
        <v>-0.2</v>
      </c>
      <c r="G1855" s="8">
        <f>E1855+F1855</f>
        <v>2261.1509000000001</v>
      </c>
      <c r="H1855" s="3">
        <f>B1855*G1855</f>
        <v>62611.268421000008</v>
      </c>
      <c r="I1855" s="3">
        <f>C1855*G1855</f>
        <v>62633.879930000003</v>
      </c>
    </row>
    <row r="1856" spans="1:9" x14ac:dyDescent="0.25">
      <c r="A1856" t="s">
        <v>9</v>
      </c>
      <c r="B1856" s="1">
        <v>66.14</v>
      </c>
      <c r="C1856" s="1">
        <v>66.239999999999995</v>
      </c>
      <c r="D1856" s="2" t="s">
        <v>229</v>
      </c>
      <c r="E1856" s="8">
        <v>946.14290000000005</v>
      </c>
      <c r="F1856" s="8">
        <f>F1846</f>
        <v>0</v>
      </c>
      <c r="G1856" s="8">
        <f>E1856+F1856</f>
        <v>946.14290000000005</v>
      </c>
      <c r="H1856" s="3">
        <f>B1856*G1856</f>
        <v>62577.891406000002</v>
      </c>
      <c r="I1856" s="3">
        <f>C1856*G1856</f>
        <v>62672.505696</v>
      </c>
    </row>
    <row r="1857" spans="1:9" x14ac:dyDescent="0.25">
      <c r="A1857" t="s">
        <v>10</v>
      </c>
      <c r="B1857" s="1">
        <v>36.159999999999997</v>
      </c>
      <c r="C1857" s="1">
        <v>36.200000000000003</v>
      </c>
      <c r="D1857" s="2" t="s">
        <v>229</v>
      </c>
      <c r="E1857" s="8">
        <v>1730.1268</v>
      </c>
      <c r="F1857" s="8">
        <f>F1847</f>
        <v>0.2</v>
      </c>
      <c r="G1857" s="8">
        <f>E1857+F1857</f>
        <v>1730.3268</v>
      </c>
      <c r="H1857" s="3">
        <f>B1857*G1857</f>
        <v>62568.617087999999</v>
      </c>
      <c r="I1857" s="3">
        <f>C1857*G1857</f>
        <v>62637.830160000005</v>
      </c>
    </row>
    <row r="1858" spans="1:9" x14ac:dyDescent="0.25">
      <c r="A1858" t="s">
        <v>11</v>
      </c>
      <c r="B1858" s="1">
        <v>54.49</v>
      </c>
      <c r="C1858" s="1">
        <v>54.5</v>
      </c>
      <c r="D1858" s="2" t="s">
        <v>229</v>
      </c>
      <c r="E1858" s="8">
        <v>1148.8611000000001</v>
      </c>
      <c r="F1858" s="8">
        <f>F1848</f>
        <v>0.05</v>
      </c>
      <c r="G1858" s="8">
        <f>E1858+F1858</f>
        <v>1148.9111</v>
      </c>
      <c r="H1858" s="3">
        <f>B1858*G1858</f>
        <v>62604.165839000001</v>
      </c>
      <c r="I1858" s="3">
        <f>C1858*G1858</f>
        <v>62615.654950000004</v>
      </c>
    </row>
    <row r="1859" spans="1:9" x14ac:dyDescent="0.25">
      <c r="A1859" t="s">
        <v>12</v>
      </c>
      <c r="B1859" s="1">
        <v>48.58</v>
      </c>
      <c r="C1859" s="1">
        <v>48.59</v>
      </c>
      <c r="D1859" s="2" t="s">
        <v>229</v>
      </c>
      <c r="E1859" s="8">
        <v>1289.0145</v>
      </c>
      <c r="F1859" s="8">
        <f>F1849</f>
        <v>0</v>
      </c>
      <c r="G1859" s="8">
        <f>E1859+F1859</f>
        <v>1289.0145</v>
      </c>
      <c r="H1859" s="3">
        <f>B1859*G1859</f>
        <v>62620.324410000001</v>
      </c>
      <c r="I1859" s="3">
        <f>C1859*G1859</f>
        <v>62633.214555000006</v>
      </c>
    </row>
    <row r="1860" spans="1:9" x14ac:dyDescent="0.25">
      <c r="A1860" t="s">
        <v>13</v>
      </c>
      <c r="B1860" s="1">
        <v>17.71</v>
      </c>
      <c r="C1860" s="1">
        <v>17.72</v>
      </c>
      <c r="D1860" s="2" t="s">
        <v>229</v>
      </c>
      <c r="E1860" s="8">
        <v>3535.8029000000001</v>
      </c>
      <c r="F1860" s="8">
        <f>F1850</f>
        <v>0</v>
      </c>
      <c r="G1860" s="8">
        <f>E1860+F1860</f>
        <v>3535.8029000000001</v>
      </c>
      <c r="H1860" s="3">
        <f>B1860*G1860</f>
        <v>62619.069359000008</v>
      </c>
      <c r="I1860" s="3">
        <f>C1860*G1860</f>
        <v>62654.427387999996</v>
      </c>
    </row>
    <row r="1861" spans="1:9" x14ac:dyDescent="0.25">
      <c r="A1861" t="s">
        <v>14</v>
      </c>
      <c r="B1861" s="1">
        <v>35.46</v>
      </c>
      <c r="C1861" s="1">
        <v>35.47</v>
      </c>
      <c r="D1861" s="2" t="s">
        <v>229</v>
      </c>
      <c r="E1861" s="8">
        <v>1765.0714</v>
      </c>
      <c r="F1861" s="8">
        <f>F1851</f>
        <v>0.2</v>
      </c>
      <c r="G1861" s="8">
        <f>E1861+F1861</f>
        <v>1765.2714000000001</v>
      </c>
      <c r="H1861" s="3">
        <f>B1861*G1861</f>
        <v>62596.523844000003</v>
      </c>
      <c r="I1861" s="3">
        <f>C1861*G1861</f>
        <v>62614.176557999999</v>
      </c>
    </row>
    <row r="1862" spans="1:9" x14ac:dyDescent="0.25">
      <c r="A1862" t="s">
        <v>4</v>
      </c>
      <c r="B1862" s="1">
        <v>20.73</v>
      </c>
      <c r="C1862" s="1">
        <v>20.74</v>
      </c>
      <c r="D1862" s="2" t="s">
        <v>230</v>
      </c>
      <c r="E1862" s="8">
        <v>3014.9661000000001</v>
      </c>
      <c r="F1862" s="8">
        <f>F1852</f>
        <v>0</v>
      </c>
      <c r="G1862" s="8">
        <f>E1862+F1862</f>
        <v>3014.9661000000001</v>
      </c>
      <c r="H1862" s="3">
        <f>B1862*G1862</f>
        <v>62500.247253000001</v>
      </c>
      <c r="I1862" s="3">
        <f>C1862*G1862</f>
        <v>62530.396913999997</v>
      </c>
    </row>
    <row r="1863" spans="1:9" x14ac:dyDescent="0.25">
      <c r="A1863" t="s">
        <v>6</v>
      </c>
      <c r="B1863" s="1">
        <v>33.93</v>
      </c>
      <c r="C1863" s="1">
        <v>33.94</v>
      </c>
      <c r="D1863" s="2" t="s">
        <v>230</v>
      </c>
      <c r="E1863" s="8">
        <v>1842.1306</v>
      </c>
      <c r="F1863" s="8">
        <f>F1853</f>
        <v>-0.1</v>
      </c>
      <c r="G1863" s="8">
        <f>E1863+F1863</f>
        <v>1842.0306</v>
      </c>
      <c r="H1863" s="3">
        <f>B1863*G1863</f>
        <v>62500.098257999998</v>
      </c>
      <c r="I1863" s="3">
        <f>C1863*G1863</f>
        <v>62518.518563999998</v>
      </c>
    </row>
    <row r="1864" spans="1:9" x14ac:dyDescent="0.25">
      <c r="A1864" t="s">
        <v>7</v>
      </c>
      <c r="B1864" s="1">
        <v>17.62</v>
      </c>
      <c r="C1864" s="1">
        <v>17.63</v>
      </c>
      <c r="D1864" s="2" t="s">
        <v>230</v>
      </c>
      <c r="E1864" s="8">
        <v>3546.6107999999999</v>
      </c>
      <c r="F1864" s="8">
        <f>F1854</f>
        <v>0</v>
      </c>
      <c r="G1864" s="8">
        <f>E1864+F1864</f>
        <v>3546.6107999999999</v>
      </c>
      <c r="H1864" s="3">
        <f>B1864*G1864</f>
        <v>62491.282296000005</v>
      </c>
      <c r="I1864" s="3">
        <f>C1864*G1864</f>
        <v>62526.748403999998</v>
      </c>
    </row>
    <row r="1865" spans="1:9" x14ac:dyDescent="0.25">
      <c r="A1865" t="s">
        <v>8</v>
      </c>
      <c r="B1865" s="1">
        <v>27.64</v>
      </c>
      <c r="C1865" s="1">
        <v>27.65</v>
      </c>
      <c r="D1865" s="2" t="s">
        <v>230</v>
      </c>
      <c r="E1865" s="8">
        <v>2261.3508999999999</v>
      </c>
      <c r="F1865" s="8">
        <f>F1855</f>
        <v>-0.2</v>
      </c>
      <c r="G1865" s="8">
        <f>E1865+F1865</f>
        <v>2261.1509000000001</v>
      </c>
      <c r="H1865" s="3">
        <f>B1865*G1865</f>
        <v>62498.210876000005</v>
      </c>
      <c r="I1865" s="3">
        <f>C1865*G1865</f>
        <v>62520.822384999999</v>
      </c>
    </row>
    <row r="1866" spans="1:9" x14ac:dyDescent="0.25">
      <c r="A1866" t="s">
        <v>9</v>
      </c>
      <c r="B1866" s="1">
        <v>66.010000000000005</v>
      </c>
      <c r="C1866" s="1">
        <v>66.14</v>
      </c>
      <c r="D1866" s="2" t="s">
        <v>230</v>
      </c>
      <c r="E1866" s="8">
        <v>946.14290000000005</v>
      </c>
      <c r="F1866" s="8">
        <f>F1856</f>
        <v>0</v>
      </c>
      <c r="G1866" s="8">
        <f>E1866+F1866</f>
        <v>946.14290000000005</v>
      </c>
      <c r="H1866" s="3">
        <f>B1866*G1866</f>
        <v>62454.892829000011</v>
      </c>
      <c r="I1866" s="3">
        <f>C1866*G1866</f>
        <v>62577.891406000002</v>
      </c>
    </row>
    <row r="1867" spans="1:9" x14ac:dyDescent="0.25">
      <c r="A1867" t="s">
        <v>10</v>
      </c>
      <c r="B1867" s="1">
        <v>36.1</v>
      </c>
      <c r="C1867" s="1">
        <v>36.130000000000003</v>
      </c>
      <c r="D1867" s="2" t="s">
        <v>230</v>
      </c>
      <c r="E1867" s="8">
        <v>1730.1268</v>
      </c>
      <c r="F1867" s="8">
        <f>F1857</f>
        <v>0.2</v>
      </c>
      <c r="G1867" s="8">
        <f>E1867+F1867</f>
        <v>1730.3268</v>
      </c>
      <c r="H1867" s="3">
        <f>B1867*G1867</f>
        <v>62464.797480000001</v>
      </c>
      <c r="I1867" s="3">
        <f>C1867*G1867</f>
        <v>62516.707284000004</v>
      </c>
    </row>
    <row r="1868" spans="1:9" x14ac:dyDescent="0.25">
      <c r="A1868" t="s">
        <v>11</v>
      </c>
      <c r="B1868" s="1">
        <v>54.39</v>
      </c>
      <c r="C1868" s="1">
        <v>54.4</v>
      </c>
      <c r="D1868" s="2" t="s">
        <v>230</v>
      </c>
      <c r="E1868" s="8">
        <v>1148.8611000000001</v>
      </c>
      <c r="F1868" s="8">
        <f>F1858</f>
        <v>0.05</v>
      </c>
      <c r="G1868" s="8">
        <f>E1868+F1868</f>
        <v>1148.9111</v>
      </c>
      <c r="H1868" s="3">
        <f>B1868*G1868</f>
        <v>62489.274729000004</v>
      </c>
      <c r="I1868" s="3">
        <f>C1868*G1868</f>
        <v>62500.76384</v>
      </c>
    </row>
    <row r="1869" spans="1:9" x14ac:dyDescent="0.25">
      <c r="A1869" t="s">
        <v>12</v>
      </c>
      <c r="B1869" s="1">
        <v>48.49</v>
      </c>
      <c r="C1869" s="1">
        <v>48.5</v>
      </c>
      <c r="D1869" s="2" t="s">
        <v>230</v>
      </c>
      <c r="E1869" s="8">
        <v>1289.0145</v>
      </c>
      <c r="F1869" s="8">
        <f>F1859</f>
        <v>0</v>
      </c>
      <c r="G1869" s="8">
        <f>E1869+F1869</f>
        <v>1289.0145</v>
      </c>
      <c r="H1869" s="3">
        <f>B1869*G1869</f>
        <v>62504.313105000001</v>
      </c>
      <c r="I1869" s="3">
        <f>C1869*G1869</f>
        <v>62517.203249999999</v>
      </c>
    </row>
    <row r="1870" spans="1:9" x14ac:dyDescent="0.25">
      <c r="A1870" t="s">
        <v>13</v>
      </c>
      <c r="B1870" s="1">
        <v>17.670000000000002</v>
      </c>
      <c r="C1870" s="1">
        <v>17.68</v>
      </c>
      <c r="D1870" s="2" t="s">
        <v>230</v>
      </c>
      <c r="E1870" s="8">
        <v>3535.8029000000001</v>
      </c>
      <c r="F1870" s="8">
        <f>F1860</f>
        <v>0</v>
      </c>
      <c r="G1870" s="8">
        <f>E1870+F1870</f>
        <v>3535.8029000000001</v>
      </c>
      <c r="H1870" s="3">
        <f>B1870*G1870</f>
        <v>62477.637243000012</v>
      </c>
      <c r="I1870" s="3">
        <f>C1870*G1870</f>
        <v>62512.995272</v>
      </c>
    </row>
    <row r="1871" spans="1:9" x14ac:dyDescent="0.25">
      <c r="A1871" t="s">
        <v>14</v>
      </c>
      <c r="B1871" s="1">
        <v>35.39</v>
      </c>
      <c r="C1871" s="1">
        <v>35.4</v>
      </c>
      <c r="D1871" s="2" t="s">
        <v>230</v>
      </c>
      <c r="E1871" s="8">
        <v>1765.0714</v>
      </c>
      <c r="F1871" s="8">
        <f>F1861</f>
        <v>0.2</v>
      </c>
      <c r="G1871" s="8">
        <f>E1871+F1871</f>
        <v>1765.2714000000001</v>
      </c>
      <c r="H1871" s="3">
        <f>B1871*G1871</f>
        <v>62472.954846000001</v>
      </c>
      <c r="I1871" s="3">
        <f>C1871*G1871</f>
        <v>62490.607560000004</v>
      </c>
    </row>
    <row r="1872" spans="1:9" x14ac:dyDescent="0.25">
      <c r="A1872" t="s">
        <v>4</v>
      </c>
      <c r="B1872" s="1">
        <v>20.73</v>
      </c>
      <c r="C1872" s="1">
        <v>20.74</v>
      </c>
      <c r="D1872" s="2" t="s">
        <v>231</v>
      </c>
      <c r="E1872" s="8">
        <v>3014.9661000000001</v>
      </c>
      <c r="F1872" s="8">
        <f>F1862</f>
        <v>0</v>
      </c>
      <c r="G1872" s="8">
        <f>E1872+F1872</f>
        <v>3014.9661000000001</v>
      </c>
      <c r="H1872" s="3">
        <f>B1872*G1872</f>
        <v>62500.247253000001</v>
      </c>
      <c r="I1872" s="3">
        <f>C1872*G1872</f>
        <v>62530.396913999997</v>
      </c>
    </row>
    <row r="1873" spans="1:9" x14ac:dyDescent="0.25">
      <c r="A1873" t="s">
        <v>6</v>
      </c>
      <c r="B1873" s="1">
        <v>33.94</v>
      </c>
      <c r="C1873" s="1">
        <v>33.950000000000003</v>
      </c>
      <c r="D1873" s="2" t="s">
        <v>231</v>
      </c>
      <c r="E1873" s="8">
        <v>1842.1306</v>
      </c>
      <c r="F1873" s="8">
        <f>F1863</f>
        <v>-0.1</v>
      </c>
      <c r="G1873" s="8">
        <f>E1873+F1873</f>
        <v>1842.0306</v>
      </c>
      <c r="H1873" s="3">
        <f>B1873*G1873</f>
        <v>62518.518563999998</v>
      </c>
      <c r="I1873" s="3">
        <f>C1873*G1873</f>
        <v>62536.938870000005</v>
      </c>
    </row>
    <row r="1874" spans="1:9" x14ac:dyDescent="0.25">
      <c r="A1874" t="s">
        <v>7</v>
      </c>
      <c r="B1874" s="1">
        <v>17.62</v>
      </c>
      <c r="C1874" s="1">
        <v>17.63</v>
      </c>
      <c r="D1874" s="2" t="s">
        <v>231</v>
      </c>
      <c r="E1874" s="8">
        <v>3546.6107999999999</v>
      </c>
      <c r="F1874" s="8">
        <f>F1864</f>
        <v>0</v>
      </c>
      <c r="G1874" s="8">
        <f>E1874+F1874</f>
        <v>3546.6107999999999</v>
      </c>
      <c r="H1874" s="3">
        <f>B1874*G1874</f>
        <v>62491.282296000005</v>
      </c>
      <c r="I1874" s="3">
        <f>C1874*G1874</f>
        <v>62526.748403999998</v>
      </c>
    </row>
    <row r="1875" spans="1:9" x14ac:dyDescent="0.25">
      <c r="A1875" t="s">
        <v>8</v>
      </c>
      <c r="B1875" s="1">
        <v>27.65</v>
      </c>
      <c r="C1875" s="1">
        <v>27.66</v>
      </c>
      <c r="D1875" s="2" t="s">
        <v>231</v>
      </c>
      <c r="E1875" s="8">
        <v>2261.3508999999999</v>
      </c>
      <c r="F1875" s="8">
        <f>F1865</f>
        <v>-0.2</v>
      </c>
      <c r="G1875" s="8">
        <f>E1875+F1875</f>
        <v>2261.1509000000001</v>
      </c>
      <c r="H1875" s="3">
        <f>B1875*G1875</f>
        <v>62520.822384999999</v>
      </c>
      <c r="I1875" s="3">
        <f>C1875*G1875</f>
        <v>62543.433894000002</v>
      </c>
    </row>
    <row r="1876" spans="1:9" x14ac:dyDescent="0.25">
      <c r="A1876" t="s">
        <v>9</v>
      </c>
      <c r="B1876" s="1">
        <v>66.040000000000006</v>
      </c>
      <c r="C1876" s="1">
        <v>66.16</v>
      </c>
      <c r="D1876" s="2" t="s">
        <v>231</v>
      </c>
      <c r="E1876" s="8">
        <v>946.14290000000005</v>
      </c>
      <c r="F1876" s="8">
        <f>F1866</f>
        <v>0</v>
      </c>
      <c r="G1876" s="8">
        <f>E1876+F1876</f>
        <v>946.14290000000005</v>
      </c>
      <c r="H1876" s="3">
        <f>B1876*G1876</f>
        <v>62483.277116000012</v>
      </c>
      <c r="I1876" s="3">
        <f>C1876*G1876</f>
        <v>62596.814264000001</v>
      </c>
    </row>
    <row r="1877" spans="1:9" x14ac:dyDescent="0.25">
      <c r="A1877" t="s">
        <v>10</v>
      </c>
      <c r="B1877" s="1">
        <v>36.11</v>
      </c>
      <c r="C1877" s="1">
        <v>36.14</v>
      </c>
      <c r="D1877" s="2" t="s">
        <v>231</v>
      </c>
      <c r="E1877" s="8">
        <v>1730.1268</v>
      </c>
      <c r="F1877" s="8">
        <f>F1867</f>
        <v>0.2</v>
      </c>
      <c r="G1877" s="8">
        <f>E1877+F1877</f>
        <v>1730.3268</v>
      </c>
      <c r="H1877" s="3">
        <f>B1877*G1877</f>
        <v>62482.100748000004</v>
      </c>
      <c r="I1877" s="3">
        <f>C1877*G1877</f>
        <v>62534.010552</v>
      </c>
    </row>
    <row r="1878" spans="1:9" x14ac:dyDescent="0.25">
      <c r="A1878" t="s">
        <v>11</v>
      </c>
      <c r="B1878" s="1">
        <v>54.41</v>
      </c>
      <c r="C1878" s="1">
        <v>54.42</v>
      </c>
      <c r="D1878" s="2" t="s">
        <v>231</v>
      </c>
      <c r="E1878" s="8">
        <v>1148.8611000000001</v>
      </c>
      <c r="F1878" s="8">
        <f>F1868</f>
        <v>0.05</v>
      </c>
      <c r="G1878" s="8">
        <f>E1878+F1878</f>
        <v>1148.9111</v>
      </c>
      <c r="H1878" s="3">
        <f>B1878*G1878</f>
        <v>62512.252950999995</v>
      </c>
      <c r="I1878" s="3">
        <f>C1878*G1878</f>
        <v>62523.742062000005</v>
      </c>
    </row>
    <row r="1879" spans="1:9" x14ac:dyDescent="0.25">
      <c r="A1879" t="s">
        <v>12</v>
      </c>
      <c r="B1879" s="1">
        <v>48.5</v>
      </c>
      <c r="C1879" s="1">
        <v>48.51</v>
      </c>
      <c r="D1879" s="2" t="s">
        <v>231</v>
      </c>
      <c r="E1879" s="8">
        <v>1289.0145</v>
      </c>
      <c r="F1879" s="8">
        <f>F1869</f>
        <v>0</v>
      </c>
      <c r="G1879" s="8">
        <f>E1879+F1879</f>
        <v>1289.0145</v>
      </c>
      <c r="H1879" s="3">
        <f>B1879*G1879</f>
        <v>62517.203249999999</v>
      </c>
      <c r="I1879" s="3">
        <f>C1879*G1879</f>
        <v>62530.093394999996</v>
      </c>
    </row>
    <row r="1880" spans="1:9" x14ac:dyDescent="0.25">
      <c r="A1880" t="s">
        <v>13</v>
      </c>
      <c r="B1880" s="1">
        <v>17.68</v>
      </c>
      <c r="C1880" s="1">
        <v>17.690000000000001</v>
      </c>
      <c r="D1880" s="2" t="s">
        <v>231</v>
      </c>
      <c r="E1880" s="8">
        <v>3535.8029000000001</v>
      </c>
      <c r="F1880" s="8">
        <f>F1870</f>
        <v>0</v>
      </c>
      <c r="G1880" s="8">
        <f>E1880+F1880</f>
        <v>3535.8029000000001</v>
      </c>
      <c r="H1880" s="3">
        <f>B1880*G1880</f>
        <v>62512.995272</v>
      </c>
      <c r="I1880" s="3">
        <f>C1880*G1880</f>
        <v>62548.35330100001</v>
      </c>
    </row>
    <row r="1881" spans="1:9" x14ac:dyDescent="0.25">
      <c r="A1881" t="s">
        <v>14</v>
      </c>
      <c r="B1881" s="1">
        <v>35.4</v>
      </c>
      <c r="C1881" s="1">
        <v>35.409999999999997</v>
      </c>
      <c r="D1881" s="2" t="s">
        <v>231</v>
      </c>
      <c r="E1881" s="8">
        <v>1765.0714</v>
      </c>
      <c r="F1881" s="8">
        <f>F1871</f>
        <v>0.2</v>
      </c>
      <c r="G1881" s="8">
        <f>E1881+F1881</f>
        <v>1765.2714000000001</v>
      </c>
      <c r="H1881" s="3">
        <f>B1881*G1881</f>
        <v>62490.607560000004</v>
      </c>
      <c r="I1881" s="3">
        <f>C1881*G1881</f>
        <v>62508.260274</v>
      </c>
    </row>
    <row r="1882" spans="1:9" x14ac:dyDescent="0.25">
      <c r="A1882" t="s">
        <v>4</v>
      </c>
      <c r="B1882" s="1">
        <v>20.71</v>
      </c>
      <c r="C1882" s="1">
        <v>20.72</v>
      </c>
      <c r="D1882" s="2" t="s">
        <v>232</v>
      </c>
      <c r="E1882" s="8">
        <v>3014.9661000000001</v>
      </c>
      <c r="F1882" s="8">
        <f>F1872</f>
        <v>0</v>
      </c>
      <c r="G1882" s="8">
        <f>E1882+F1882</f>
        <v>3014.9661000000001</v>
      </c>
      <c r="H1882" s="3">
        <f>B1882*G1882</f>
        <v>62439.947931000002</v>
      </c>
      <c r="I1882" s="3">
        <f>C1882*G1882</f>
        <v>62470.097591999998</v>
      </c>
    </row>
    <row r="1883" spans="1:9" x14ac:dyDescent="0.25">
      <c r="A1883" t="s">
        <v>6</v>
      </c>
      <c r="B1883" s="1">
        <v>33.9</v>
      </c>
      <c r="C1883" s="1">
        <v>33.909999999999997</v>
      </c>
      <c r="D1883" s="2" t="s">
        <v>232</v>
      </c>
      <c r="E1883" s="8">
        <v>1842.1306</v>
      </c>
      <c r="F1883" s="8">
        <f>F1873</f>
        <v>-0.1</v>
      </c>
      <c r="G1883" s="8">
        <f>E1883+F1883</f>
        <v>1842.0306</v>
      </c>
      <c r="H1883" s="3">
        <f>B1883*G1883</f>
        <v>62444.837339999998</v>
      </c>
      <c r="I1883" s="3">
        <f>C1883*G1883</f>
        <v>62463.257645999998</v>
      </c>
    </row>
    <row r="1884" spans="1:9" x14ac:dyDescent="0.25">
      <c r="A1884" t="s">
        <v>7</v>
      </c>
      <c r="B1884" s="1">
        <v>17.600000000000001</v>
      </c>
      <c r="C1884" s="1">
        <v>17.61</v>
      </c>
      <c r="D1884" s="2" t="s">
        <v>232</v>
      </c>
      <c r="E1884" s="8">
        <v>3546.6107999999999</v>
      </c>
      <c r="F1884" s="8">
        <f>F1874</f>
        <v>0</v>
      </c>
      <c r="G1884" s="8">
        <f>E1884+F1884</f>
        <v>3546.6107999999999</v>
      </c>
      <c r="H1884" s="3">
        <f>B1884*G1884</f>
        <v>62420.350080000004</v>
      </c>
      <c r="I1884" s="3">
        <f>C1884*G1884</f>
        <v>62455.816187999997</v>
      </c>
    </row>
    <row r="1885" spans="1:9" x14ac:dyDescent="0.25">
      <c r="A1885" t="s">
        <v>8</v>
      </c>
      <c r="B1885" s="1">
        <v>27.61</v>
      </c>
      <c r="C1885" s="1">
        <v>27.62</v>
      </c>
      <c r="D1885" s="2" t="s">
        <v>232</v>
      </c>
      <c r="E1885" s="8">
        <v>2261.3508999999999</v>
      </c>
      <c r="F1885" s="8">
        <f>F1875</f>
        <v>-0.2</v>
      </c>
      <c r="G1885" s="8">
        <f>E1885+F1885</f>
        <v>2261.1509000000001</v>
      </c>
      <c r="H1885" s="3">
        <f>B1885*G1885</f>
        <v>62430.376348999998</v>
      </c>
      <c r="I1885" s="3">
        <f>C1885*G1885</f>
        <v>62452.987858000008</v>
      </c>
    </row>
    <row r="1886" spans="1:9" x14ac:dyDescent="0.25">
      <c r="A1886" t="s">
        <v>9</v>
      </c>
      <c r="B1886" s="1">
        <v>65.95</v>
      </c>
      <c r="C1886" s="1">
        <v>66.05</v>
      </c>
      <c r="D1886" s="2" t="s">
        <v>232</v>
      </c>
      <c r="E1886" s="8">
        <v>946.14290000000005</v>
      </c>
      <c r="F1886" s="8">
        <f>F1876</f>
        <v>0</v>
      </c>
      <c r="G1886" s="8">
        <f>E1886+F1886</f>
        <v>946.14290000000005</v>
      </c>
      <c r="H1886" s="3">
        <f>B1886*G1886</f>
        <v>62398.12425500001</v>
      </c>
      <c r="I1886" s="3">
        <f>C1886*G1886</f>
        <v>62492.738545</v>
      </c>
    </row>
    <row r="1887" spans="1:9" x14ac:dyDescent="0.25">
      <c r="A1887" t="s">
        <v>10</v>
      </c>
      <c r="B1887" s="1">
        <v>36.07</v>
      </c>
      <c r="C1887" s="1">
        <v>36.090000000000003</v>
      </c>
      <c r="D1887" s="2" t="s">
        <v>232</v>
      </c>
      <c r="E1887" s="8">
        <v>1730.1268</v>
      </c>
      <c r="F1887" s="8">
        <f>F1877</f>
        <v>0.2</v>
      </c>
      <c r="G1887" s="8">
        <f>E1887+F1887</f>
        <v>1730.3268</v>
      </c>
      <c r="H1887" s="3">
        <f>B1887*G1887</f>
        <v>62412.887676000006</v>
      </c>
      <c r="I1887" s="3">
        <f>C1887*G1887</f>
        <v>62447.494212000005</v>
      </c>
    </row>
    <row r="1888" spans="1:9" x14ac:dyDescent="0.25">
      <c r="A1888" t="s">
        <v>11</v>
      </c>
      <c r="B1888" s="1">
        <v>54.34</v>
      </c>
      <c r="C1888" s="1">
        <v>54.35</v>
      </c>
      <c r="D1888" s="2" t="s">
        <v>232</v>
      </c>
      <c r="E1888" s="8">
        <v>1148.8611000000001</v>
      </c>
      <c r="F1888" s="8">
        <f>F1878</f>
        <v>0.05</v>
      </c>
      <c r="G1888" s="8">
        <f>E1888+F1888</f>
        <v>1148.9111</v>
      </c>
      <c r="H1888" s="3">
        <f>B1888*G1888</f>
        <v>62431.829174000006</v>
      </c>
      <c r="I1888" s="3">
        <f>C1888*G1888</f>
        <v>62443.318285000001</v>
      </c>
    </row>
    <row r="1889" spans="1:9" x14ac:dyDescent="0.25">
      <c r="A1889" t="s">
        <v>12</v>
      </c>
      <c r="B1889" s="1">
        <v>48.44</v>
      </c>
      <c r="C1889" s="1">
        <v>48.45</v>
      </c>
      <c r="D1889" s="2" t="s">
        <v>232</v>
      </c>
      <c r="E1889" s="8">
        <v>1289.0145</v>
      </c>
      <c r="F1889" s="8">
        <f>F1879</f>
        <v>0</v>
      </c>
      <c r="G1889" s="8">
        <f>E1889+F1889</f>
        <v>1289.0145</v>
      </c>
      <c r="H1889" s="3">
        <f>B1889*G1889</f>
        <v>62439.862379999999</v>
      </c>
      <c r="I1889" s="3">
        <f>C1889*G1889</f>
        <v>62452.752525000004</v>
      </c>
    </row>
    <row r="1890" spans="1:9" x14ac:dyDescent="0.25">
      <c r="A1890" t="s">
        <v>13</v>
      </c>
      <c r="B1890" s="1">
        <v>17.649999999999999</v>
      </c>
      <c r="C1890" s="1">
        <v>17.66</v>
      </c>
      <c r="D1890" s="2" t="s">
        <v>232</v>
      </c>
      <c r="E1890" s="8">
        <v>3535.8029000000001</v>
      </c>
      <c r="F1890" s="8">
        <f>F1880</f>
        <v>0</v>
      </c>
      <c r="G1890" s="8">
        <f>E1890+F1890</f>
        <v>3535.8029000000001</v>
      </c>
      <c r="H1890" s="3">
        <f>B1890*G1890</f>
        <v>62406.921184999999</v>
      </c>
      <c r="I1890" s="3">
        <f>C1890*G1890</f>
        <v>62442.279214000002</v>
      </c>
    </row>
    <row r="1891" spans="1:9" x14ac:dyDescent="0.25">
      <c r="A1891" t="s">
        <v>14</v>
      </c>
      <c r="B1891" s="1">
        <v>35.36</v>
      </c>
      <c r="C1891" s="1">
        <v>35.369999999999997</v>
      </c>
      <c r="D1891" s="2" t="s">
        <v>232</v>
      </c>
      <c r="E1891" s="8">
        <v>1765.0714</v>
      </c>
      <c r="F1891" s="8">
        <f>F1881</f>
        <v>0.2</v>
      </c>
      <c r="G1891" s="8">
        <f>E1891+F1891</f>
        <v>1765.2714000000001</v>
      </c>
      <c r="H1891" s="3">
        <f>B1891*G1891</f>
        <v>62419.996704000005</v>
      </c>
      <c r="I1891" s="3">
        <f>C1891*G1891</f>
        <v>62437.649418000001</v>
      </c>
    </row>
    <row r="1892" spans="1:9" x14ac:dyDescent="0.25">
      <c r="A1892" t="s">
        <v>4</v>
      </c>
      <c r="B1892" s="1">
        <v>20.68</v>
      </c>
      <c r="C1892" s="1">
        <v>20.69</v>
      </c>
      <c r="D1892" s="2" t="s">
        <v>233</v>
      </c>
      <c r="E1892" s="8">
        <v>3014.9661000000001</v>
      </c>
      <c r="F1892" s="8">
        <f>F1882</f>
        <v>0</v>
      </c>
      <c r="G1892" s="8">
        <f>E1892+F1892</f>
        <v>3014.9661000000001</v>
      </c>
      <c r="H1892" s="3">
        <f>B1892*G1892</f>
        <v>62349.498948</v>
      </c>
      <c r="I1892" s="3">
        <f>C1892*G1892</f>
        <v>62379.648609000003</v>
      </c>
    </row>
    <row r="1893" spans="1:9" x14ac:dyDescent="0.25">
      <c r="A1893" t="s">
        <v>6</v>
      </c>
      <c r="B1893" s="1">
        <v>33.85</v>
      </c>
      <c r="C1893" s="1">
        <v>33.86</v>
      </c>
      <c r="D1893" s="2" t="s">
        <v>233</v>
      </c>
      <c r="E1893" s="8">
        <v>1842.1306</v>
      </c>
      <c r="F1893" s="8">
        <f>F1883</f>
        <v>-0.1</v>
      </c>
      <c r="G1893" s="8">
        <f>E1893+F1893</f>
        <v>1842.0306</v>
      </c>
      <c r="H1893" s="3">
        <f>B1893*G1893</f>
        <v>62352.735810000006</v>
      </c>
      <c r="I1893" s="3">
        <f>C1893*G1893</f>
        <v>62371.156115999998</v>
      </c>
    </row>
    <row r="1894" spans="1:9" x14ac:dyDescent="0.25">
      <c r="A1894" t="s">
        <v>7</v>
      </c>
      <c r="B1894" s="1">
        <v>17.579999999999998</v>
      </c>
      <c r="C1894" s="1">
        <v>17.59</v>
      </c>
      <c r="D1894" s="2" t="s">
        <v>233</v>
      </c>
      <c r="E1894" s="8">
        <v>3546.6107999999999</v>
      </c>
      <c r="F1894" s="8">
        <f>F1884</f>
        <v>0</v>
      </c>
      <c r="G1894" s="8">
        <f>E1894+F1894</f>
        <v>3546.6107999999999</v>
      </c>
      <c r="H1894" s="3">
        <f>B1894*G1894</f>
        <v>62349.417863999995</v>
      </c>
      <c r="I1894" s="3">
        <f>C1894*G1894</f>
        <v>62384.883971999996</v>
      </c>
    </row>
    <row r="1895" spans="1:9" x14ac:dyDescent="0.25">
      <c r="A1895" t="s">
        <v>8</v>
      </c>
      <c r="B1895" s="1">
        <v>27.58</v>
      </c>
      <c r="C1895" s="1">
        <v>27.59</v>
      </c>
      <c r="D1895" s="2" t="s">
        <v>233</v>
      </c>
      <c r="E1895" s="8">
        <v>2261.3508999999999</v>
      </c>
      <c r="F1895" s="8">
        <f>F1885</f>
        <v>-0.2</v>
      </c>
      <c r="G1895" s="8">
        <f>E1895+F1895</f>
        <v>2261.1509000000001</v>
      </c>
      <c r="H1895" s="3">
        <f>B1895*G1895</f>
        <v>62362.541821999999</v>
      </c>
      <c r="I1895" s="3">
        <f>C1895*G1895</f>
        <v>62385.153331000001</v>
      </c>
    </row>
    <row r="1896" spans="1:9" x14ac:dyDescent="0.25">
      <c r="A1896" t="s">
        <v>9</v>
      </c>
      <c r="B1896" s="1">
        <v>65.86</v>
      </c>
      <c r="C1896" s="1">
        <v>65.98</v>
      </c>
      <c r="D1896" s="2" t="s">
        <v>233</v>
      </c>
      <c r="E1896" s="8">
        <v>946.14290000000005</v>
      </c>
      <c r="F1896" s="8">
        <f>F1886</f>
        <v>0</v>
      </c>
      <c r="G1896" s="8">
        <f>E1896+F1896</f>
        <v>946.14290000000005</v>
      </c>
      <c r="H1896" s="3">
        <f>B1896*G1896</f>
        <v>62312.971394</v>
      </c>
      <c r="I1896" s="3">
        <f>C1896*G1896</f>
        <v>62426.50854200001</v>
      </c>
    </row>
    <row r="1897" spans="1:9" x14ac:dyDescent="0.25">
      <c r="A1897" t="s">
        <v>10</v>
      </c>
      <c r="B1897" s="1">
        <v>36.020000000000003</v>
      </c>
      <c r="C1897" s="1">
        <v>36.049999999999997</v>
      </c>
      <c r="D1897" s="2" t="s">
        <v>233</v>
      </c>
      <c r="E1897" s="8">
        <v>1730.1268</v>
      </c>
      <c r="F1897" s="8">
        <f>F1887</f>
        <v>0.2</v>
      </c>
      <c r="G1897" s="8">
        <f>E1897+F1897</f>
        <v>1730.3268</v>
      </c>
      <c r="H1897" s="3">
        <f>B1897*G1897</f>
        <v>62326.371336000004</v>
      </c>
      <c r="I1897" s="3">
        <f>C1897*G1897</f>
        <v>62378.281139999999</v>
      </c>
    </row>
    <row r="1898" spans="1:9" x14ac:dyDescent="0.25">
      <c r="A1898" t="s">
        <v>11</v>
      </c>
      <c r="B1898" s="1">
        <v>54.27</v>
      </c>
      <c r="C1898" s="1">
        <v>54.28</v>
      </c>
      <c r="D1898" s="2" t="s">
        <v>233</v>
      </c>
      <c r="E1898" s="8">
        <v>1148.8611000000001</v>
      </c>
      <c r="F1898" s="8">
        <f>F1888</f>
        <v>0.05</v>
      </c>
      <c r="G1898" s="8">
        <f>E1898+F1898</f>
        <v>1148.9111</v>
      </c>
      <c r="H1898" s="3">
        <f>B1898*G1898</f>
        <v>62351.405397000002</v>
      </c>
      <c r="I1898" s="3">
        <f>C1898*G1898</f>
        <v>62362.894508000005</v>
      </c>
    </row>
    <row r="1899" spans="1:9" x14ac:dyDescent="0.25">
      <c r="A1899" t="s">
        <v>12</v>
      </c>
      <c r="B1899" s="1">
        <v>48.38</v>
      </c>
      <c r="C1899" s="1">
        <v>48.39</v>
      </c>
      <c r="D1899" s="2" t="s">
        <v>233</v>
      </c>
      <c r="E1899" s="8">
        <v>1289.0145</v>
      </c>
      <c r="F1899" s="8">
        <f>F1889</f>
        <v>0</v>
      </c>
      <c r="G1899" s="8">
        <f>E1899+F1899</f>
        <v>1289.0145</v>
      </c>
      <c r="H1899" s="3">
        <f>B1899*G1899</f>
        <v>62362.521510000006</v>
      </c>
      <c r="I1899" s="3">
        <f>C1899*G1899</f>
        <v>62375.411655000004</v>
      </c>
    </row>
    <row r="1900" spans="1:9" x14ac:dyDescent="0.25">
      <c r="A1900" t="s">
        <v>13</v>
      </c>
      <c r="B1900" s="1">
        <v>17.63</v>
      </c>
      <c r="C1900" s="1">
        <v>17.64</v>
      </c>
      <c r="D1900" s="2" t="s">
        <v>233</v>
      </c>
      <c r="E1900" s="8">
        <v>3535.8029000000001</v>
      </c>
      <c r="F1900" s="8">
        <f>F1890</f>
        <v>0</v>
      </c>
      <c r="G1900" s="8">
        <f>E1900+F1900</f>
        <v>3535.8029000000001</v>
      </c>
      <c r="H1900" s="3">
        <f>B1900*G1900</f>
        <v>62336.205127000001</v>
      </c>
      <c r="I1900" s="3">
        <f>C1900*G1900</f>
        <v>62371.563156000004</v>
      </c>
    </row>
    <row r="1901" spans="1:9" x14ac:dyDescent="0.25">
      <c r="A1901" t="s">
        <v>14</v>
      </c>
      <c r="B1901" s="1">
        <v>35.32</v>
      </c>
      <c r="C1901" s="1">
        <v>35.33</v>
      </c>
      <c r="D1901" s="2" t="s">
        <v>233</v>
      </c>
      <c r="E1901" s="8">
        <v>1765.0714</v>
      </c>
      <c r="F1901" s="8">
        <f>F1891</f>
        <v>0.2</v>
      </c>
      <c r="G1901" s="8">
        <f>E1901+F1901</f>
        <v>1765.2714000000001</v>
      </c>
      <c r="H1901" s="3">
        <f>B1901*G1901</f>
        <v>62349.385848000005</v>
      </c>
      <c r="I1901" s="3">
        <f>C1901*G1901</f>
        <v>62367.038562000002</v>
      </c>
    </row>
    <row r="1902" spans="1:9" x14ac:dyDescent="0.25">
      <c r="A1902" t="s">
        <v>4</v>
      </c>
      <c r="B1902" s="1">
        <v>20.73</v>
      </c>
      <c r="C1902" s="1">
        <v>20.74</v>
      </c>
      <c r="D1902" s="2" t="s">
        <v>234</v>
      </c>
      <c r="E1902" s="8">
        <v>3014.9661000000001</v>
      </c>
      <c r="F1902" s="8">
        <f>F1892</f>
        <v>0</v>
      </c>
      <c r="G1902" s="8">
        <f>E1902+F1902</f>
        <v>3014.9661000000001</v>
      </c>
      <c r="H1902" s="3">
        <f>B1902*G1902</f>
        <v>62500.247253000001</v>
      </c>
      <c r="I1902" s="3">
        <f>C1902*G1902</f>
        <v>62530.396913999997</v>
      </c>
    </row>
    <row r="1903" spans="1:9" x14ac:dyDescent="0.25">
      <c r="A1903" t="s">
        <v>6</v>
      </c>
      <c r="B1903" s="1">
        <v>33.93</v>
      </c>
      <c r="C1903" s="1">
        <v>33.94</v>
      </c>
      <c r="D1903" s="2" t="s">
        <v>234</v>
      </c>
      <c r="E1903" s="8">
        <v>1842.1306</v>
      </c>
      <c r="F1903" s="8">
        <f>F1893</f>
        <v>-0.1</v>
      </c>
      <c r="G1903" s="8">
        <f>E1903+F1903</f>
        <v>1842.0306</v>
      </c>
      <c r="H1903" s="3">
        <f>B1903*G1903</f>
        <v>62500.098257999998</v>
      </c>
      <c r="I1903" s="3">
        <f>C1903*G1903</f>
        <v>62518.518563999998</v>
      </c>
    </row>
    <row r="1904" spans="1:9" x14ac:dyDescent="0.25">
      <c r="A1904" t="s">
        <v>7</v>
      </c>
      <c r="B1904" s="1">
        <v>17.62</v>
      </c>
      <c r="C1904" s="1">
        <v>17.63</v>
      </c>
      <c r="D1904" s="2" t="s">
        <v>234</v>
      </c>
      <c r="E1904" s="8">
        <v>3546.6107999999999</v>
      </c>
      <c r="F1904" s="8">
        <f>F1894</f>
        <v>0</v>
      </c>
      <c r="G1904" s="8">
        <f>E1904+F1904</f>
        <v>3546.6107999999999</v>
      </c>
      <c r="H1904" s="3">
        <f>B1904*G1904</f>
        <v>62491.282296000005</v>
      </c>
      <c r="I1904" s="3">
        <f>C1904*G1904</f>
        <v>62526.748403999998</v>
      </c>
    </row>
    <row r="1905" spans="1:9" x14ac:dyDescent="0.25">
      <c r="A1905" t="s">
        <v>8</v>
      </c>
      <c r="B1905" s="1">
        <v>27.64</v>
      </c>
      <c r="C1905" s="1">
        <v>27.65</v>
      </c>
      <c r="D1905" s="2" t="s">
        <v>234</v>
      </c>
      <c r="E1905" s="8">
        <v>2261.3508999999999</v>
      </c>
      <c r="F1905" s="8">
        <f>F1895</f>
        <v>-0.2</v>
      </c>
      <c r="G1905" s="8">
        <f>E1905+F1905</f>
        <v>2261.1509000000001</v>
      </c>
      <c r="H1905" s="3">
        <f>B1905*G1905</f>
        <v>62498.210876000005</v>
      </c>
      <c r="I1905" s="3">
        <f>C1905*G1905</f>
        <v>62520.822384999999</v>
      </c>
    </row>
    <row r="1906" spans="1:9" x14ac:dyDescent="0.25">
      <c r="A1906" t="s">
        <v>9</v>
      </c>
      <c r="B1906" s="1">
        <v>66.010000000000005</v>
      </c>
      <c r="C1906" s="1">
        <v>66.13</v>
      </c>
      <c r="D1906" s="2" t="s">
        <v>234</v>
      </c>
      <c r="E1906" s="8">
        <v>946.14290000000005</v>
      </c>
      <c r="F1906" s="8">
        <f>F1896</f>
        <v>0</v>
      </c>
      <c r="G1906" s="8">
        <f>E1906+F1906</f>
        <v>946.14290000000005</v>
      </c>
      <c r="H1906" s="3">
        <f>B1906*G1906</f>
        <v>62454.892829000011</v>
      </c>
      <c r="I1906" s="3">
        <f>C1906*G1906</f>
        <v>62568.429977</v>
      </c>
    </row>
    <row r="1907" spans="1:9" x14ac:dyDescent="0.25">
      <c r="A1907" t="s">
        <v>10</v>
      </c>
      <c r="B1907" s="1">
        <v>36.11</v>
      </c>
      <c r="C1907" s="1">
        <v>36.130000000000003</v>
      </c>
      <c r="D1907" s="2" t="s">
        <v>234</v>
      </c>
      <c r="E1907" s="8">
        <v>1730.1268</v>
      </c>
      <c r="F1907" s="8">
        <f>F1897</f>
        <v>0.2</v>
      </c>
      <c r="G1907" s="8">
        <f>E1907+F1907</f>
        <v>1730.3268</v>
      </c>
      <c r="H1907" s="3">
        <f>B1907*G1907</f>
        <v>62482.100748000004</v>
      </c>
      <c r="I1907" s="3">
        <f>C1907*G1907</f>
        <v>62516.707284000004</v>
      </c>
    </row>
    <row r="1908" spans="1:9" x14ac:dyDescent="0.25">
      <c r="A1908" t="s">
        <v>11</v>
      </c>
      <c r="B1908" s="1">
        <v>54.4</v>
      </c>
      <c r="C1908" s="1">
        <v>54.41</v>
      </c>
      <c r="D1908" s="2" t="s">
        <v>234</v>
      </c>
      <c r="E1908" s="8">
        <v>1148.8611000000001</v>
      </c>
      <c r="F1908" s="8">
        <f>F1898</f>
        <v>0.05</v>
      </c>
      <c r="G1908" s="8">
        <f>E1908+F1908</f>
        <v>1148.9111</v>
      </c>
      <c r="H1908" s="3">
        <f>B1908*G1908</f>
        <v>62500.76384</v>
      </c>
      <c r="I1908" s="3">
        <f>C1908*G1908</f>
        <v>62512.252950999995</v>
      </c>
    </row>
    <row r="1909" spans="1:9" x14ac:dyDescent="0.25">
      <c r="A1909" t="s">
        <v>12</v>
      </c>
      <c r="B1909" s="1">
        <v>48.49</v>
      </c>
      <c r="C1909" s="1">
        <v>48.5</v>
      </c>
      <c r="D1909" s="2" t="s">
        <v>234</v>
      </c>
      <c r="E1909" s="8">
        <v>1289.0145</v>
      </c>
      <c r="F1909" s="8">
        <f>F1899</f>
        <v>0</v>
      </c>
      <c r="G1909" s="8">
        <f>E1909+F1909</f>
        <v>1289.0145</v>
      </c>
      <c r="H1909" s="3">
        <f>B1909*G1909</f>
        <v>62504.313105000001</v>
      </c>
      <c r="I1909" s="3">
        <f>C1909*G1909</f>
        <v>62517.203249999999</v>
      </c>
    </row>
    <row r="1910" spans="1:9" x14ac:dyDescent="0.25">
      <c r="A1910" t="s">
        <v>13</v>
      </c>
      <c r="B1910" s="1">
        <v>17.670000000000002</v>
      </c>
      <c r="C1910" s="1">
        <v>17.68</v>
      </c>
      <c r="D1910" s="2" t="s">
        <v>234</v>
      </c>
      <c r="E1910" s="8">
        <v>3535.8029000000001</v>
      </c>
      <c r="F1910" s="8">
        <f>F1900</f>
        <v>0</v>
      </c>
      <c r="G1910" s="8">
        <f>E1910+F1910</f>
        <v>3535.8029000000001</v>
      </c>
      <c r="H1910" s="3">
        <f>B1910*G1910</f>
        <v>62477.637243000012</v>
      </c>
      <c r="I1910" s="3">
        <f>C1910*G1910</f>
        <v>62512.995272</v>
      </c>
    </row>
    <row r="1911" spans="1:9" x14ac:dyDescent="0.25">
      <c r="A1911" t="s">
        <v>14</v>
      </c>
      <c r="B1911" s="1">
        <v>35.4</v>
      </c>
      <c r="C1911" s="1">
        <v>35.409999999999997</v>
      </c>
      <c r="D1911" s="2" t="s">
        <v>234</v>
      </c>
      <c r="E1911" s="8">
        <v>1765.0714</v>
      </c>
      <c r="F1911" s="8">
        <f>F1901</f>
        <v>0.2</v>
      </c>
      <c r="G1911" s="8">
        <f>E1911+F1911</f>
        <v>1765.2714000000001</v>
      </c>
      <c r="H1911" s="3">
        <f>B1911*G1911</f>
        <v>62490.607560000004</v>
      </c>
      <c r="I1911" s="3">
        <f>C1911*G1911</f>
        <v>62508.260274</v>
      </c>
    </row>
    <row r="1912" spans="1:9" x14ac:dyDescent="0.25">
      <c r="A1912" t="s">
        <v>4</v>
      </c>
      <c r="B1912" s="1">
        <v>20.75</v>
      </c>
      <c r="C1912" s="1">
        <v>20.76</v>
      </c>
      <c r="D1912" s="2" t="s">
        <v>235</v>
      </c>
      <c r="E1912" s="8">
        <v>3014.9661000000001</v>
      </c>
      <c r="F1912" s="8">
        <f>F1902</f>
        <v>0</v>
      </c>
      <c r="G1912" s="8">
        <f>E1912+F1912</f>
        <v>3014.9661000000001</v>
      </c>
      <c r="H1912" s="3">
        <f>B1912*G1912</f>
        <v>62560.546575</v>
      </c>
      <c r="I1912" s="3">
        <f>C1912*G1912</f>
        <v>62590.696236000003</v>
      </c>
    </row>
    <row r="1913" spans="1:9" x14ac:dyDescent="0.25">
      <c r="A1913" t="s">
        <v>6</v>
      </c>
      <c r="B1913" s="1">
        <v>33.97</v>
      </c>
      <c r="C1913" s="1">
        <v>33.979999999999997</v>
      </c>
      <c r="D1913" s="2" t="s">
        <v>235</v>
      </c>
      <c r="E1913" s="8">
        <v>1842.1306</v>
      </c>
      <c r="F1913" s="8">
        <f>F1903</f>
        <v>-0.1</v>
      </c>
      <c r="G1913" s="8">
        <f>E1913+F1913</f>
        <v>1842.0306</v>
      </c>
      <c r="H1913" s="3">
        <f>B1913*G1913</f>
        <v>62573.779481999998</v>
      </c>
      <c r="I1913" s="3">
        <f>C1913*G1913</f>
        <v>62592.199787999998</v>
      </c>
    </row>
    <row r="1914" spans="1:9" x14ac:dyDescent="0.25">
      <c r="A1914" t="s">
        <v>7</v>
      </c>
      <c r="B1914" s="1">
        <v>17.64</v>
      </c>
      <c r="C1914" s="1">
        <v>17.649999999999999</v>
      </c>
      <c r="D1914" s="2" t="s">
        <v>235</v>
      </c>
      <c r="E1914" s="8">
        <v>3546.6107999999999</v>
      </c>
      <c r="F1914" s="8">
        <f>F1904</f>
        <v>0</v>
      </c>
      <c r="G1914" s="8">
        <f>E1914+F1914</f>
        <v>3546.6107999999999</v>
      </c>
      <c r="H1914" s="3">
        <f>B1914*G1914</f>
        <v>62562.214511999999</v>
      </c>
      <c r="I1914" s="3">
        <f>C1914*G1914</f>
        <v>62597.680619999992</v>
      </c>
    </row>
    <row r="1915" spans="1:9" x14ac:dyDescent="0.25">
      <c r="A1915" t="s">
        <v>8</v>
      </c>
      <c r="B1915" s="1">
        <v>27.67</v>
      </c>
      <c r="C1915" s="1">
        <v>27.68</v>
      </c>
      <c r="D1915" s="2" t="s">
        <v>235</v>
      </c>
      <c r="E1915" s="8">
        <v>2261.3508999999999</v>
      </c>
      <c r="F1915" s="8">
        <f>F1905</f>
        <v>-0.2</v>
      </c>
      <c r="G1915" s="8">
        <f>E1915+F1915</f>
        <v>2261.1509000000001</v>
      </c>
      <c r="H1915" s="3">
        <f>B1915*G1915</f>
        <v>62566.045403000004</v>
      </c>
      <c r="I1915" s="3">
        <f>C1915*G1915</f>
        <v>62588.656911999999</v>
      </c>
    </row>
    <row r="1916" spans="1:9" x14ac:dyDescent="0.25">
      <c r="A1916" t="s">
        <v>9</v>
      </c>
      <c r="B1916" s="1">
        <v>66.069999999999993</v>
      </c>
      <c r="C1916" s="1">
        <v>66.2</v>
      </c>
      <c r="D1916" s="2" t="s">
        <v>235</v>
      </c>
      <c r="E1916" s="8">
        <v>946.14290000000005</v>
      </c>
      <c r="F1916" s="8">
        <f>F1906</f>
        <v>0</v>
      </c>
      <c r="G1916" s="8">
        <f>E1916+F1916</f>
        <v>946.14290000000005</v>
      </c>
      <c r="H1916" s="3">
        <f>B1916*G1916</f>
        <v>62511.661402999998</v>
      </c>
      <c r="I1916" s="3">
        <f>C1916*G1916</f>
        <v>62634.659980000004</v>
      </c>
    </row>
    <row r="1917" spans="1:9" x14ac:dyDescent="0.25">
      <c r="A1917" t="s">
        <v>10</v>
      </c>
      <c r="B1917" s="1">
        <v>36.15</v>
      </c>
      <c r="C1917" s="1">
        <v>36.159999999999997</v>
      </c>
      <c r="D1917" s="2" t="s">
        <v>235</v>
      </c>
      <c r="E1917" s="8">
        <v>1730.1268</v>
      </c>
      <c r="F1917" s="8">
        <f>F1907</f>
        <v>0.2</v>
      </c>
      <c r="G1917" s="8">
        <f>E1917+F1917</f>
        <v>1730.3268</v>
      </c>
      <c r="H1917" s="3">
        <f>B1917*G1917</f>
        <v>62551.313819999996</v>
      </c>
      <c r="I1917" s="3">
        <f>C1917*G1917</f>
        <v>62568.617087999999</v>
      </c>
    </row>
    <row r="1918" spans="1:9" x14ac:dyDescent="0.25">
      <c r="A1918" t="s">
        <v>11</v>
      </c>
      <c r="B1918" s="1">
        <v>54.46</v>
      </c>
      <c r="C1918" s="1">
        <v>54.47</v>
      </c>
      <c r="D1918" s="2" t="s">
        <v>235</v>
      </c>
      <c r="E1918" s="8">
        <v>1148.8611000000001</v>
      </c>
      <c r="F1918" s="8">
        <f>F1908</f>
        <v>0.05</v>
      </c>
      <c r="G1918" s="8">
        <f>E1918+F1918</f>
        <v>1148.9111</v>
      </c>
      <c r="H1918" s="3">
        <f>B1918*G1918</f>
        <v>62569.698506000001</v>
      </c>
      <c r="I1918" s="3">
        <f>C1918*G1918</f>
        <v>62581.187617000003</v>
      </c>
    </row>
    <row r="1919" spans="1:9" x14ac:dyDescent="0.25">
      <c r="A1919" t="s">
        <v>12</v>
      </c>
      <c r="B1919" s="1">
        <v>48.55</v>
      </c>
      <c r="C1919" s="1">
        <v>48.56</v>
      </c>
      <c r="D1919" s="2" t="s">
        <v>235</v>
      </c>
      <c r="E1919" s="8">
        <v>1289.0145</v>
      </c>
      <c r="F1919" s="8">
        <f>F1909</f>
        <v>0</v>
      </c>
      <c r="G1919" s="8">
        <f>E1919+F1919</f>
        <v>1289.0145</v>
      </c>
      <c r="H1919" s="3">
        <f>B1919*G1919</f>
        <v>62581.653974999994</v>
      </c>
      <c r="I1919" s="3">
        <f>C1919*G1919</f>
        <v>62594.544120000006</v>
      </c>
    </row>
    <row r="1920" spans="1:9" x14ac:dyDescent="0.25">
      <c r="A1920" t="s">
        <v>13</v>
      </c>
      <c r="B1920" s="1">
        <v>17.690000000000001</v>
      </c>
      <c r="C1920" s="1">
        <v>17.7</v>
      </c>
      <c r="D1920" s="2" t="s">
        <v>235</v>
      </c>
      <c r="E1920" s="8">
        <v>3535.8029000000001</v>
      </c>
      <c r="F1920" s="8">
        <f>F1910</f>
        <v>0</v>
      </c>
      <c r="G1920" s="8">
        <f>E1920+F1920</f>
        <v>3535.8029000000001</v>
      </c>
      <c r="H1920" s="3">
        <f>B1920*G1920</f>
        <v>62548.35330100001</v>
      </c>
      <c r="I1920" s="3">
        <f>C1920*G1920</f>
        <v>62583.711329999998</v>
      </c>
    </row>
    <row r="1921" spans="1:9" x14ac:dyDescent="0.25">
      <c r="A1921" t="s">
        <v>14</v>
      </c>
      <c r="B1921" s="1">
        <v>35.43</v>
      </c>
      <c r="C1921" s="1">
        <v>35.44</v>
      </c>
      <c r="D1921" s="2" t="s">
        <v>235</v>
      </c>
      <c r="E1921" s="8">
        <v>1765.0714</v>
      </c>
      <c r="F1921" s="8">
        <f>F1911</f>
        <v>0.2</v>
      </c>
      <c r="G1921" s="8">
        <f>E1921+F1921</f>
        <v>1765.2714000000001</v>
      </c>
      <c r="H1921" s="3">
        <f>B1921*G1921</f>
        <v>62543.565702</v>
      </c>
      <c r="I1921" s="3">
        <f>C1921*G1921</f>
        <v>62561.218415999996</v>
      </c>
    </row>
    <row r="1922" spans="1:9" x14ac:dyDescent="0.25">
      <c r="A1922" t="s">
        <v>4</v>
      </c>
      <c r="B1922" s="1">
        <v>20.69</v>
      </c>
      <c r="C1922" s="1">
        <v>20.7</v>
      </c>
      <c r="D1922" s="2" t="s">
        <v>236</v>
      </c>
      <c r="E1922" s="8">
        <v>3014.9661000000001</v>
      </c>
      <c r="F1922" s="8">
        <f>F1912</f>
        <v>0</v>
      </c>
      <c r="G1922" s="8">
        <f>E1922+F1922</f>
        <v>3014.9661000000001</v>
      </c>
      <c r="H1922" s="3">
        <f>B1922*G1922</f>
        <v>62379.648609000003</v>
      </c>
      <c r="I1922" s="3">
        <f>C1922*G1922</f>
        <v>62409.798269999999</v>
      </c>
    </row>
    <row r="1923" spans="1:9" x14ac:dyDescent="0.25">
      <c r="A1923" t="s">
        <v>6</v>
      </c>
      <c r="B1923" s="1">
        <v>33.869999999999997</v>
      </c>
      <c r="C1923" s="1">
        <v>33.880000000000003</v>
      </c>
      <c r="D1923" s="2" t="s">
        <v>236</v>
      </c>
      <c r="E1923" s="8">
        <v>1842.1306</v>
      </c>
      <c r="F1923" s="8">
        <f>F1913</f>
        <v>-0.1</v>
      </c>
      <c r="G1923" s="8">
        <f>E1923+F1923</f>
        <v>1842.0306</v>
      </c>
      <c r="H1923" s="3">
        <f>B1923*G1923</f>
        <v>62389.576421999998</v>
      </c>
      <c r="I1923" s="3">
        <f>C1923*G1923</f>
        <v>62407.996728000006</v>
      </c>
    </row>
    <row r="1924" spans="1:9" x14ac:dyDescent="0.25">
      <c r="A1924" t="s">
        <v>7</v>
      </c>
      <c r="B1924" s="1">
        <v>17.59</v>
      </c>
      <c r="C1924" s="1">
        <v>17.600000000000001</v>
      </c>
      <c r="D1924" s="2" t="s">
        <v>236</v>
      </c>
      <c r="E1924" s="8">
        <v>3546.6107999999999</v>
      </c>
      <c r="F1924" s="8">
        <f>F1914</f>
        <v>0</v>
      </c>
      <c r="G1924" s="8">
        <f>E1924+F1924</f>
        <v>3546.6107999999999</v>
      </c>
      <c r="H1924" s="3">
        <f>B1924*G1924</f>
        <v>62384.883971999996</v>
      </c>
      <c r="I1924" s="3">
        <f>C1924*G1924</f>
        <v>62420.350080000004</v>
      </c>
    </row>
    <row r="1925" spans="1:9" x14ac:dyDescent="0.25">
      <c r="A1925" t="s">
        <v>8</v>
      </c>
      <c r="B1925" s="1">
        <v>27.59</v>
      </c>
      <c r="C1925" s="1">
        <v>27.6</v>
      </c>
      <c r="D1925" s="2" t="s">
        <v>236</v>
      </c>
      <c r="E1925" s="8">
        <v>2261.3508999999999</v>
      </c>
      <c r="F1925" s="8">
        <f>F1915</f>
        <v>-0.2</v>
      </c>
      <c r="G1925" s="8">
        <f>E1925+F1925</f>
        <v>2261.1509000000001</v>
      </c>
      <c r="H1925" s="3">
        <f>B1925*G1925</f>
        <v>62385.153331000001</v>
      </c>
      <c r="I1925" s="3">
        <f>C1925*G1925</f>
        <v>62407.764840000003</v>
      </c>
    </row>
    <row r="1926" spans="1:9" x14ac:dyDescent="0.25">
      <c r="A1926" t="s">
        <v>9</v>
      </c>
      <c r="B1926" s="1">
        <v>65.900000000000006</v>
      </c>
      <c r="C1926" s="1">
        <v>66.02</v>
      </c>
      <c r="D1926" s="2" t="s">
        <v>236</v>
      </c>
      <c r="E1926" s="8">
        <v>946.14290000000005</v>
      </c>
      <c r="F1926" s="8">
        <f>F1916</f>
        <v>0</v>
      </c>
      <c r="G1926" s="8">
        <f>E1926+F1926</f>
        <v>946.14290000000005</v>
      </c>
      <c r="H1926" s="3">
        <f>B1926*G1926</f>
        <v>62350.817110000011</v>
      </c>
      <c r="I1926" s="3">
        <f>C1926*G1926</f>
        <v>62464.354257999999</v>
      </c>
    </row>
    <row r="1927" spans="1:9" x14ac:dyDescent="0.25">
      <c r="A1927" t="s">
        <v>10</v>
      </c>
      <c r="B1927" s="1">
        <v>36.04</v>
      </c>
      <c r="C1927" s="1">
        <v>36.07</v>
      </c>
      <c r="D1927" s="2" t="s">
        <v>236</v>
      </c>
      <c r="E1927" s="8">
        <v>1730.1268</v>
      </c>
      <c r="F1927" s="8">
        <f>F1917</f>
        <v>0.2</v>
      </c>
      <c r="G1927" s="8">
        <f>E1927+F1927</f>
        <v>1730.3268</v>
      </c>
      <c r="H1927" s="3">
        <f>B1927*G1927</f>
        <v>62360.977872000003</v>
      </c>
      <c r="I1927" s="3">
        <f>C1927*G1927</f>
        <v>62412.887676000006</v>
      </c>
    </row>
    <row r="1928" spans="1:9" x14ac:dyDescent="0.25">
      <c r="A1928" t="s">
        <v>11</v>
      </c>
      <c r="B1928" s="1">
        <v>54.3</v>
      </c>
      <c r="C1928" s="1">
        <v>54.31</v>
      </c>
      <c r="D1928" s="2" t="s">
        <v>236</v>
      </c>
      <c r="E1928" s="8">
        <v>1148.8611000000001</v>
      </c>
      <c r="F1928" s="8">
        <f>F1918</f>
        <v>0.05</v>
      </c>
      <c r="G1928" s="8">
        <f>E1928+F1928</f>
        <v>1148.9111</v>
      </c>
      <c r="H1928" s="3">
        <f>B1928*G1928</f>
        <v>62385.872729999995</v>
      </c>
      <c r="I1928" s="3">
        <f>C1928*G1928</f>
        <v>62397.361841000005</v>
      </c>
    </row>
    <row r="1929" spans="1:9" x14ac:dyDescent="0.25">
      <c r="A1929" t="s">
        <v>12</v>
      </c>
      <c r="B1929" s="1">
        <v>48.41</v>
      </c>
      <c r="C1929" s="1">
        <v>48.42</v>
      </c>
      <c r="D1929" s="2" t="s">
        <v>236</v>
      </c>
      <c r="E1929" s="8">
        <v>1289.0145</v>
      </c>
      <c r="F1929" s="8">
        <f>F1919</f>
        <v>0</v>
      </c>
      <c r="G1929" s="8">
        <f>E1929+F1929</f>
        <v>1289.0145</v>
      </c>
      <c r="H1929" s="3">
        <f>B1929*G1929</f>
        <v>62401.191944999999</v>
      </c>
      <c r="I1929" s="3">
        <f>C1929*G1929</f>
        <v>62414.082090000004</v>
      </c>
    </row>
    <row r="1930" spans="1:9" x14ac:dyDescent="0.25">
      <c r="A1930" t="s">
        <v>13</v>
      </c>
      <c r="B1930" s="1">
        <v>17.64</v>
      </c>
      <c r="C1930" s="1">
        <v>17.649999999999999</v>
      </c>
      <c r="D1930" s="2" t="s">
        <v>236</v>
      </c>
      <c r="E1930" s="8">
        <v>3535.8029000000001</v>
      </c>
      <c r="F1930" s="8">
        <f>F1920</f>
        <v>0</v>
      </c>
      <c r="G1930" s="8">
        <f>E1930+F1930</f>
        <v>3535.8029000000001</v>
      </c>
      <c r="H1930" s="3">
        <f>B1930*G1930</f>
        <v>62371.563156000004</v>
      </c>
      <c r="I1930" s="3">
        <f>C1930*G1930</f>
        <v>62406.921184999999</v>
      </c>
    </row>
    <row r="1931" spans="1:9" x14ac:dyDescent="0.25">
      <c r="A1931" t="s">
        <v>14</v>
      </c>
      <c r="B1931" s="1">
        <v>35.340000000000003</v>
      </c>
      <c r="C1931" s="1">
        <v>35.35</v>
      </c>
      <c r="D1931" s="2" t="s">
        <v>236</v>
      </c>
      <c r="E1931" s="8">
        <v>1765.0714</v>
      </c>
      <c r="F1931" s="8">
        <f>F1921</f>
        <v>0.2</v>
      </c>
      <c r="G1931" s="8">
        <f>E1931+F1931</f>
        <v>1765.2714000000001</v>
      </c>
      <c r="H1931" s="3">
        <f>B1931*G1931</f>
        <v>62384.691276000012</v>
      </c>
      <c r="I1931" s="3">
        <f>C1931*G1931</f>
        <v>62402.343990000008</v>
      </c>
    </row>
    <row r="1932" spans="1:9" x14ac:dyDescent="0.25">
      <c r="A1932" t="s">
        <v>4</v>
      </c>
      <c r="B1932" s="1">
        <v>20.63</v>
      </c>
      <c r="C1932" s="1">
        <v>20.64</v>
      </c>
      <c r="D1932" s="2" t="s">
        <v>237</v>
      </c>
      <c r="E1932" s="8">
        <v>3014.9661000000001</v>
      </c>
      <c r="F1932" s="8">
        <f>F1922</f>
        <v>0</v>
      </c>
      <c r="G1932" s="8">
        <f>E1932+F1932</f>
        <v>3014.9661000000001</v>
      </c>
      <c r="H1932" s="3">
        <f>B1932*G1932</f>
        <v>62198.750642999999</v>
      </c>
      <c r="I1932" s="3">
        <f>C1932*G1932</f>
        <v>62228.900304000003</v>
      </c>
    </row>
    <row r="1933" spans="1:9" x14ac:dyDescent="0.25">
      <c r="A1933" t="s">
        <v>6</v>
      </c>
      <c r="B1933" s="1">
        <v>33.76</v>
      </c>
      <c r="C1933" s="1">
        <v>33.770000000000003</v>
      </c>
      <c r="D1933" s="2" t="s">
        <v>237</v>
      </c>
      <c r="E1933" s="8">
        <v>1842.1306</v>
      </c>
      <c r="F1933" s="8">
        <f>F1923</f>
        <v>-0.1</v>
      </c>
      <c r="G1933" s="8">
        <f>E1933+F1933</f>
        <v>1842.0306</v>
      </c>
      <c r="H1933" s="3">
        <f>B1933*G1933</f>
        <v>62186.953055999998</v>
      </c>
      <c r="I1933" s="3">
        <f>C1933*G1933</f>
        <v>62205.373362000006</v>
      </c>
    </row>
    <row r="1934" spans="1:9" x14ac:dyDescent="0.25">
      <c r="A1934" t="s">
        <v>7</v>
      </c>
      <c r="B1934" s="1">
        <v>17.53</v>
      </c>
      <c r="C1934" s="1">
        <v>17.54</v>
      </c>
      <c r="D1934" s="2" t="s">
        <v>237</v>
      </c>
      <c r="E1934" s="8">
        <v>3546.6107999999999</v>
      </c>
      <c r="F1934" s="8">
        <f>F1924</f>
        <v>0</v>
      </c>
      <c r="G1934" s="8">
        <f>E1934+F1934</f>
        <v>3546.6107999999999</v>
      </c>
      <c r="H1934" s="3">
        <f>B1934*G1934</f>
        <v>62172.087324</v>
      </c>
      <c r="I1934" s="3">
        <f>C1934*G1934</f>
        <v>62207.553431999993</v>
      </c>
    </row>
    <row r="1935" spans="1:9" x14ac:dyDescent="0.25">
      <c r="A1935" t="s">
        <v>8</v>
      </c>
      <c r="B1935" s="1">
        <v>27.51</v>
      </c>
      <c r="C1935" s="1">
        <v>27.52</v>
      </c>
      <c r="D1935" s="2" t="s">
        <v>237</v>
      </c>
      <c r="E1935" s="8">
        <v>2261.3508999999999</v>
      </c>
      <c r="F1935" s="8">
        <f>F1925</f>
        <v>-0.2</v>
      </c>
      <c r="G1935" s="8">
        <f>E1935+F1935</f>
        <v>2261.1509000000001</v>
      </c>
      <c r="H1935" s="3">
        <f>B1935*G1935</f>
        <v>62204.261259000006</v>
      </c>
      <c r="I1935" s="3">
        <f>C1935*G1935</f>
        <v>62226.872768000001</v>
      </c>
    </row>
    <row r="1936" spans="1:9" x14ac:dyDescent="0.25">
      <c r="A1936" t="s">
        <v>9</v>
      </c>
      <c r="B1936" s="1">
        <v>65.69</v>
      </c>
      <c r="C1936" s="1">
        <v>65.819999999999993</v>
      </c>
      <c r="D1936" s="2" t="s">
        <v>237</v>
      </c>
      <c r="E1936" s="8">
        <v>946.14290000000005</v>
      </c>
      <c r="F1936" s="8">
        <f>F1926</f>
        <v>0</v>
      </c>
      <c r="G1936" s="8">
        <f>E1936+F1936</f>
        <v>946.14290000000005</v>
      </c>
      <c r="H1936" s="3">
        <f>B1936*G1936</f>
        <v>62152.127100999998</v>
      </c>
      <c r="I1936" s="3">
        <f>C1936*G1936</f>
        <v>62275.125677999997</v>
      </c>
    </row>
    <row r="1937" spans="1:9" x14ac:dyDescent="0.25">
      <c r="A1937" t="s">
        <v>10</v>
      </c>
      <c r="B1937" s="1">
        <v>35.93</v>
      </c>
      <c r="C1937" s="1">
        <v>35.96</v>
      </c>
      <c r="D1937" s="2" t="s">
        <v>237</v>
      </c>
      <c r="E1937" s="8">
        <v>1730.1268</v>
      </c>
      <c r="F1937" s="8">
        <f>F1927</f>
        <v>0.2</v>
      </c>
      <c r="G1937" s="8">
        <f>E1937+F1937</f>
        <v>1730.3268</v>
      </c>
      <c r="H1937" s="3">
        <f>B1937*G1937</f>
        <v>62170.641924000003</v>
      </c>
      <c r="I1937" s="3">
        <f>C1937*G1937</f>
        <v>62222.551728000006</v>
      </c>
    </row>
    <row r="1938" spans="1:9" x14ac:dyDescent="0.25">
      <c r="A1938" t="s">
        <v>11</v>
      </c>
      <c r="B1938" s="1">
        <v>54.13</v>
      </c>
      <c r="C1938" s="1">
        <v>54.14</v>
      </c>
      <c r="D1938" s="2" t="s">
        <v>237</v>
      </c>
      <c r="E1938" s="8">
        <v>1148.8611000000001</v>
      </c>
      <c r="F1938" s="8">
        <f>F1928</f>
        <v>0.05</v>
      </c>
      <c r="G1938" s="8">
        <f>E1938+F1938</f>
        <v>1148.9111</v>
      </c>
      <c r="H1938" s="3">
        <f>B1938*G1938</f>
        <v>62190.557843000002</v>
      </c>
      <c r="I1938" s="3">
        <f>C1938*G1938</f>
        <v>62202.046954000005</v>
      </c>
    </row>
    <row r="1939" spans="1:9" x14ac:dyDescent="0.25">
      <c r="A1939" t="s">
        <v>12</v>
      </c>
      <c r="B1939" s="1">
        <v>48.26</v>
      </c>
      <c r="C1939" s="1">
        <v>48.27</v>
      </c>
      <c r="D1939" s="2" t="s">
        <v>237</v>
      </c>
      <c r="E1939" s="8">
        <v>1289.0145</v>
      </c>
      <c r="F1939" s="8">
        <f>F1929</f>
        <v>0</v>
      </c>
      <c r="G1939" s="8">
        <f>E1939+F1939</f>
        <v>1289.0145</v>
      </c>
      <c r="H1939" s="3">
        <f>B1939*G1939</f>
        <v>62207.839769999999</v>
      </c>
      <c r="I1939" s="3">
        <f>C1939*G1939</f>
        <v>62220.729915000004</v>
      </c>
    </row>
    <row r="1940" spans="1:9" x14ac:dyDescent="0.25">
      <c r="A1940" t="s">
        <v>13</v>
      </c>
      <c r="B1940" s="1">
        <v>17.579999999999998</v>
      </c>
      <c r="C1940" s="1">
        <v>17.59</v>
      </c>
      <c r="D1940" s="2" t="s">
        <v>237</v>
      </c>
      <c r="E1940" s="8">
        <v>3535.8029000000001</v>
      </c>
      <c r="F1940" s="8">
        <f>F1930</f>
        <v>0</v>
      </c>
      <c r="G1940" s="8">
        <f>E1940+F1940</f>
        <v>3535.8029000000001</v>
      </c>
      <c r="H1940" s="3">
        <f>B1940*G1940</f>
        <v>62159.414981999995</v>
      </c>
      <c r="I1940" s="3">
        <f>C1940*G1940</f>
        <v>62194.773011000005</v>
      </c>
    </row>
    <row r="1941" spans="1:9" x14ac:dyDescent="0.25">
      <c r="A1941" t="s">
        <v>14</v>
      </c>
      <c r="B1941" s="1">
        <v>35.22</v>
      </c>
      <c r="C1941" s="1">
        <v>35.229999999999997</v>
      </c>
      <c r="D1941" s="2" t="s">
        <v>237</v>
      </c>
      <c r="E1941" s="8">
        <v>1765.0714</v>
      </c>
      <c r="F1941" s="8">
        <f>F1931</f>
        <v>0.2</v>
      </c>
      <c r="G1941" s="8">
        <f>E1941+F1941</f>
        <v>1765.2714000000001</v>
      </c>
      <c r="H1941" s="3">
        <f>B1941*G1941</f>
        <v>62172.858708</v>
      </c>
      <c r="I1941" s="3">
        <f>C1941*G1941</f>
        <v>62190.511421999996</v>
      </c>
    </row>
    <row r="1942" spans="1:9" x14ac:dyDescent="0.25">
      <c r="A1942" t="s">
        <v>4</v>
      </c>
      <c r="B1942" s="1">
        <v>20.66</v>
      </c>
      <c r="C1942" s="1">
        <v>20.67</v>
      </c>
      <c r="D1942" s="2" t="s">
        <v>238</v>
      </c>
      <c r="E1942" s="8">
        <v>3014.9661000000001</v>
      </c>
      <c r="F1942" s="8">
        <f>F1932</f>
        <v>0</v>
      </c>
      <c r="G1942" s="8">
        <f>E1942+F1942</f>
        <v>3014.9661000000001</v>
      </c>
      <c r="H1942" s="3">
        <f>B1942*G1942</f>
        <v>62289.199626000001</v>
      </c>
      <c r="I1942" s="3">
        <f>C1942*G1942</f>
        <v>62319.349287000005</v>
      </c>
    </row>
    <row r="1943" spans="1:9" x14ac:dyDescent="0.25">
      <c r="A1943" t="s">
        <v>6</v>
      </c>
      <c r="B1943" s="1">
        <v>33.81</v>
      </c>
      <c r="C1943" s="1">
        <v>33.82</v>
      </c>
      <c r="D1943" s="2" t="s">
        <v>238</v>
      </c>
      <c r="E1943" s="8">
        <v>1842.1306</v>
      </c>
      <c r="F1943" s="8">
        <f>F1933</f>
        <v>-0.1</v>
      </c>
      <c r="G1943" s="8">
        <f>E1943+F1943</f>
        <v>1842.0306</v>
      </c>
      <c r="H1943" s="3">
        <f>B1943*G1943</f>
        <v>62279.054586000006</v>
      </c>
      <c r="I1943" s="3">
        <f>C1943*G1943</f>
        <v>62297.474892000006</v>
      </c>
    </row>
    <row r="1944" spans="1:9" x14ac:dyDescent="0.25">
      <c r="A1944" t="s">
        <v>7</v>
      </c>
      <c r="B1944" s="1">
        <v>17.559999999999999</v>
      </c>
      <c r="C1944" s="1">
        <v>17.57</v>
      </c>
      <c r="D1944" s="2" t="s">
        <v>238</v>
      </c>
      <c r="E1944" s="8">
        <v>3546.6107999999999</v>
      </c>
      <c r="F1944" s="8">
        <f>F1934</f>
        <v>0</v>
      </c>
      <c r="G1944" s="8">
        <f>E1944+F1944</f>
        <v>3546.6107999999999</v>
      </c>
      <c r="H1944" s="3">
        <f>B1944*G1944</f>
        <v>62278.485647999994</v>
      </c>
      <c r="I1944" s="3">
        <f>C1944*G1944</f>
        <v>62313.951756000002</v>
      </c>
    </row>
    <row r="1945" spans="1:9" x14ac:dyDescent="0.25">
      <c r="A1945" t="s">
        <v>8</v>
      </c>
      <c r="B1945" s="1">
        <v>27.54</v>
      </c>
      <c r="C1945" s="1">
        <v>27.55</v>
      </c>
      <c r="D1945" s="2" t="s">
        <v>238</v>
      </c>
      <c r="E1945" s="8">
        <v>2261.3508999999999</v>
      </c>
      <c r="F1945" s="8">
        <f>F1935</f>
        <v>-0.2</v>
      </c>
      <c r="G1945" s="8">
        <f>E1945+F1945</f>
        <v>2261.1509000000001</v>
      </c>
      <c r="H1945" s="3">
        <f>B1945*G1945</f>
        <v>62272.095785999998</v>
      </c>
      <c r="I1945" s="3">
        <f>C1945*G1945</f>
        <v>62294.707295000007</v>
      </c>
    </row>
    <row r="1946" spans="1:9" x14ac:dyDescent="0.25">
      <c r="A1946" t="s">
        <v>9</v>
      </c>
      <c r="B1946" s="1">
        <v>65.77</v>
      </c>
      <c r="C1946" s="1">
        <v>65.88</v>
      </c>
      <c r="D1946" s="2" t="s">
        <v>238</v>
      </c>
      <c r="E1946" s="8">
        <v>946.14290000000005</v>
      </c>
      <c r="F1946" s="8">
        <f>F1936</f>
        <v>0</v>
      </c>
      <c r="G1946" s="8">
        <f>E1946+F1946</f>
        <v>946.14290000000005</v>
      </c>
      <c r="H1946" s="3">
        <f>B1946*G1946</f>
        <v>62227.818532999998</v>
      </c>
      <c r="I1946" s="3">
        <f>C1946*G1946</f>
        <v>62331.894251999998</v>
      </c>
    </row>
    <row r="1947" spans="1:9" x14ac:dyDescent="0.25">
      <c r="A1947" t="s">
        <v>10</v>
      </c>
      <c r="B1947" s="1">
        <v>35.979999999999997</v>
      </c>
      <c r="C1947" s="1">
        <v>36</v>
      </c>
      <c r="D1947" s="2" t="s">
        <v>238</v>
      </c>
      <c r="E1947" s="8">
        <v>1730.1268</v>
      </c>
      <c r="F1947" s="8">
        <f>F1937</f>
        <v>0.2</v>
      </c>
      <c r="G1947" s="8">
        <f>E1947+F1947</f>
        <v>1730.3268</v>
      </c>
      <c r="H1947" s="3">
        <f>B1947*G1947</f>
        <v>62257.158263999998</v>
      </c>
      <c r="I1947" s="3">
        <f>C1947*G1947</f>
        <v>62291.764800000004</v>
      </c>
    </row>
    <row r="1948" spans="1:9" x14ac:dyDescent="0.25">
      <c r="A1948" t="s">
        <v>11</v>
      </c>
      <c r="B1948" s="1">
        <v>54.21</v>
      </c>
      <c r="C1948" s="1">
        <v>54.22</v>
      </c>
      <c r="D1948" s="2" t="s">
        <v>238</v>
      </c>
      <c r="E1948" s="8">
        <v>1148.8611000000001</v>
      </c>
      <c r="F1948" s="8">
        <f>F1938</f>
        <v>0.05</v>
      </c>
      <c r="G1948" s="8">
        <f>E1948+F1948</f>
        <v>1148.9111</v>
      </c>
      <c r="H1948" s="3">
        <f>B1948*G1948</f>
        <v>62282.470731000001</v>
      </c>
      <c r="I1948" s="3">
        <f>C1948*G1948</f>
        <v>62293.959842000004</v>
      </c>
    </row>
    <row r="1949" spans="1:9" x14ac:dyDescent="0.25">
      <c r="A1949" t="s">
        <v>12</v>
      </c>
      <c r="B1949" s="1">
        <v>48.33</v>
      </c>
      <c r="C1949" s="1">
        <v>48.34</v>
      </c>
      <c r="D1949" s="2" t="s">
        <v>238</v>
      </c>
      <c r="E1949" s="8">
        <v>1289.0145</v>
      </c>
      <c r="F1949" s="8">
        <f>F1939</f>
        <v>0</v>
      </c>
      <c r="G1949" s="8">
        <f>E1949+F1949</f>
        <v>1289.0145</v>
      </c>
      <c r="H1949" s="3">
        <f>B1949*G1949</f>
        <v>62298.070784999996</v>
      </c>
      <c r="I1949" s="3">
        <f>C1949*G1949</f>
        <v>62310.960930000001</v>
      </c>
    </row>
    <row r="1950" spans="1:9" x14ac:dyDescent="0.25">
      <c r="A1950" t="s">
        <v>13</v>
      </c>
      <c r="B1950" s="1">
        <v>17.61</v>
      </c>
      <c r="C1950" s="1">
        <v>17.62</v>
      </c>
      <c r="D1950" s="2" t="s">
        <v>238</v>
      </c>
      <c r="E1950" s="8">
        <v>3535.8029000000001</v>
      </c>
      <c r="F1950" s="8">
        <f>F1940</f>
        <v>0</v>
      </c>
      <c r="G1950" s="8">
        <f>E1950+F1950</f>
        <v>3535.8029000000001</v>
      </c>
      <c r="H1950" s="3">
        <f>B1950*G1950</f>
        <v>62265.489069000003</v>
      </c>
      <c r="I1950" s="3">
        <f>C1950*G1950</f>
        <v>62300.847098000006</v>
      </c>
    </row>
    <row r="1951" spans="1:9" x14ac:dyDescent="0.25">
      <c r="A1951" t="s">
        <v>14</v>
      </c>
      <c r="B1951" s="1">
        <v>35.270000000000003</v>
      </c>
      <c r="C1951" s="1">
        <v>35.28</v>
      </c>
      <c r="D1951" s="2" t="s">
        <v>238</v>
      </c>
      <c r="E1951" s="8">
        <v>1765.0714</v>
      </c>
      <c r="F1951" s="8">
        <f>F1941</f>
        <v>0.2</v>
      </c>
      <c r="G1951" s="8">
        <f>E1951+F1951</f>
        <v>1765.2714000000001</v>
      </c>
      <c r="H1951" s="3">
        <f>B1951*G1951</f>
        <v>62261.12227800001</v>
      </c>
      <c r="I1951" s="3">
        <f>C1951*G1951</f>
        <v>62278.774992000006</v>
      </c>
    </row>
    <row r="1952" spans="1:9" x14ac:dyDescent="0.25">
      <c r="A1952" t="s">
        <v>4</v>
      </c>
      <c r="B1952" s="1">
        <v>20.64</v>
      </c>
      <c r="C1952" s="1">
        <v>20.65</v>
      </c>
      <c r="D1952" s="2" t="s">
        <v>239</v>
      </c>
      <c r="E1952" s="8">
        <v>3014.9661000000001</v>
      </c>
      <c r="F1952" s="8">
        <f>F1942</f>
        <v>0</v>
      </c>
      <c r="G1952" s="8">
        <f>E1952+F1952</f>
        <v>3014.9661000000001</v>
      </c>
      <c r="H1952" s="3">
        <f>B1952*G1952</f>
        <v>62228.900304000003</v>
      </c>
      <c r="I1952" s="3">
        <f>C1952*G1952</f>
        <v>62259.049964999998</v>
      </c>
    </row>
    <row r="1953" spans="1:9" x14ac:dyDescent="0.25">
      <c r="A1953" t="s">
        <v>6</v>
      </c>
      <c r="B1953" s="1">
        <v>33.78</v>
      </c>
      <c r="C1953" s="1">
        <v>33.79</v>
      </c>
      <c r="D1953" s="2" t="s">
        <v>239</v>
      </c>
      <c r="E1953" s="8">
        <v>1842.1306</v>
      </c>
      <c r="F1953" s="8">
        <f>F1943</f>
        <v>-0.1</v>
      </c>
      <c r="G1953" s="8">
        <f>E1953+F1953</f>
        <v>1842.0306</v>
      </c>
      <c r="H1953" s="3">
        <f>B1953*G1953</f>
        <v>62223.793668000006</v>
      </c>
      <c r="I1953" s="3">
        <f>C1953*G1953</f>
        <v>62242.213973999998</v>
      </c>
    </row>
    <row r="1954" spans="1:9" x14ac:dyDescent="0.25">
      <c r="A1954" t="s">
        <v>7</v>
      </c>
      <c r="B1954" s="1">
        <v>17.54</v>
      </c>
      <c r="C1954" s="1">
        <v>17.55</v>
      </c>
      <c r="D1954" s="2" t="s">
        <v>239</v>
      </c>
      <c r="E1954" s="8">
        <v>3546.6107999999999</v>
      </c>
      <c r="F1954" s="8">
        <f>F1944</f>
        <v>0</v>
      </c>
      <c r="G1954" s="8">
        <f>E1954+F1954</f>
        <v>3546.6107999999999</v>
      </c>
      <c r="H1954" s="3">
        <f>B1954*G1954</f>
        <v>62207.553431999993</v>
      </c>
      <c r="I1954" s="3">
        <f>C1954*G1954</f>
        <v>62243.019540000001</v>
      </c>
    </row>
    <row r="1955" spans="1:9" x14ac:dyDescent="0.25">
      <c r="A1955" t="s">
        <v>8</v>
      </c>
      <c r="B1955" s="1">
        <v>27.51</v>
      </c>
      <c r="C1955" s="1">
        <v>27.52</v>
      </c>
      <c r="D1955" s="2" t="s">
        <v>239</v>
      </c>
      <c r="E1955" s="8">
        <v>2261.3508999999999</v>
      </c>
      <c r="F1955" s="8">
        <f>F1945</f>
        <v>-0.2</v>
      </c>
      <c r="G1955" s="8">
        <f>E1955+F1955</f>
        <v>2261.1509000000001</v>
      </c>
      <c r="H1955" s="3">
        <f>B1955*G1955</f>
        <v>62204.261259000006</v>
      </c>
      <c r="I1955" s="3">
        <f>C1955*G1955</f>
        <v>62226.872768000001</v>
      </c>
    </row>
    <row r="1956" spans="1:9" x14ac:dyDescent="0.25">
      <c r="A1956" t="s">
        <v>9</v>
      </c>
      <c r="B1956" s="1">
        <v>65.7</v>
      </c>
      <c r="C1956" s="1">
        <v>65.83</v>
      </c>
      <c r="D1956" s="2" t="s">
        <v>239</v>
      </c>
      <c r="E1956" s="8">
        <v>946.14290000000005</v>
      </c>
      <c r="F1956" s="8">
        <f>F1946</f>
        <v>0</v>
      </c>
      <c r="G1956" s="8">
        <f>E1956+F1956</f>
        <v>946.14290000000005</v>
      </c>
      <c r="H1956" s="3">
        <f>B1956*G1956</f>
        <v>62161.588530000008</v>
      </c>
      <c r="I1956" s="3">
        <f>C1956*G1956</f>
        <v>62284.587106999999</v>
      </c>
    </row>
    <row r="1957" spans="1:9" x14ac:dyDescent="0.25">
      <c r="A1957" t="s">
        <v>10</v>
      </c>
      <c r="B1957" s="1">
        <v>35.94</v>
      </c>
      <c r="C1957" s="1">
        <v>35.96</v>
      </c>
      <c r="D1957" s="2" t="s">
        <v>239</v>
      </c>
      <c r="E1957" s="8">
        <v>1730.1268</v>
      </c>
      <c r="F1957" s="8">
        <f>F1947</f>
        <v>0.2</v>
      </c>
      <c r="G1957" s="8">
        <f>E1957+F1957</f>
        <v>1730.3268</v>
      </c>
      <c r="H1957" s="3">
        <f>B1957*G1957</f>
        <v>62187.945191999999</v>
      </c>
      <c r="I1957" s="3">
        <f>C1957*G1957</f>
        <v>62222.551728000006</v>
      </c>
    </row>
    <row r="1958" spans="1:9" x14ac:dyDescent="0.25">
      <c r="A1958" t="s">
        <v>11</v>
      </c>
      <c r="B1958" s="1">
        <v>54.15</v>
      </c>
      <c r="C1958" s="1">
        <v>54.16</v>
      </c>
      <c r="D1958" s="2" t="s">
        <v>239</v>
      </c>
      <c r="E1958" s="8">
        <v>1148.8611000000001</v>
      </c>
      <c r="F1958" s="8">
        <f>F1948</f>
        <v>0.05</v>
      </c>
      <c r="G1958" s="8">
        <f>E1958+F1958</f>
        <v>1148.9111</v>
      </c>
      <c r="H1958" s="3">
        <f>B1958*G1958</f>
        <v>62213.536065</v>
      </c>
      <c r="I1958" s="3">
        <f>C1958*G1958</f>
        <v>62225.025175999996</v>
      </c>
    </row>
    <row r="1959" spans="1:9" x14ac:dyDescent="0.25">
      <c r="A1959" t="s">
        <v>12</v>
      </c>
      <c r="B1959" s="1">
        <v>48.28</v>
      </c>
      <c r="C1959" s="1">
        <v>48.29</v>
      </c>
      <c r="D1959" s="2" t="s">
        <v>239</v>
      </c>
      <c r="E1959" s="8">
        <v>1289.0145</v>
      </c>
      <c r="F1959" s="8">
        <f>F1949</f>
        <v>0</v>
      </c>
      <c r="G1959" s="8">
        <f>E1959+F1959</f>
        <v>1289.0145</v>
      </c>
      <c r="H1959" s="3">
        <f>B1959*G1959</f>
        <v>62233.620060000001</v>
      </c>
      <c r="I1959" s="3">
        <f>C1959*G1959</f>
        <v>62246.510204999999</v>
      </c>
    </row>
    <row r="1960" spans="1:9" x14ac:dyDescent="0.25">
      <c r="A1960" t="s">
        <v>13</v>
      </c>
      <c r="B1960" s="1">
        <v>17.59</v>
      </c>
      <c r="C1960" s="1">
        <v>17.600000000000001</v>
      </c>
      <c r="D1960" s="2" t="s">
        <v>239</v>
      </c>
      <c r="E1960" s="8">
        <v>3535.8029000000001</v>
      </c>
      <c r="F1960" s="8">
        <f>F1950</f>
        <v>0</v>
      </c>
      <c r="G1960" s="8">
        <f>E1960+F1960</f>
        <v>3535.8029000000001</v>
      </c>
      <c r="H1960" s="3">
        <f>B1960*G1960</f>
        <v>62194.773011000005</v>
      </c>
      <c r="I1960" s="3">
        <f>C1960*G1960</f>
        <v>62230.131040000007</v>
      </c>
    </row>
    <row r="1961" spans="1:9" x14ac:dyDescent="0.25">
      <c r="A1961" t="s">
        <v>14</v>
      </c>
      <c r="B1961" s="1">
        <v>35.24</v>
      </c>
      <c r="C1961" s="1">
        <v>35.25</v>
      </c>
      <c r="D1961" s="2" t="s">
        <v>239</v>
      </c>
      <c r="E1961" s="8">
        <v>1765.0714</v>
      </c>
      <c r="F1961" s="8">
        <f>F1951</f>
        <v>0.2</v>
      </c>
      <c r="G1961" s="8">
        <f>E1961+F1961</f>
        <v>1765.2714000000001</v>
      </c>
      <c r="H1961" s="3">
        <f>B1961*G1961</f>
        <v>62208.164136000007</v>
      </c>
      <c r="I1961" s="3">
        <f>C1961*G1961</f>
        <v>62225.816850000003</v>
      </c>
    </row>
    <row r="1962" spans="1:9" x14ac:dyDescent="0.25">
      <c r="A1962" t="s">
        <v>4</v>
      </c>
      <c r="B1962" s="1">
        <v>20.64</v>
      </c>
      <c r="C1962" s="1">
        <v>20.65</v>
      </c>
      <c r="D1962" s="2" t="s">
        <v>240</v>
      </c>
      <c r="E1962" s="8">
        <v>3014.9661000000001</v>
      </c>
      <c r="F1962" s="8">
        <f>F1952</f>
        <v>0</v>
      </c>
      <c r="G1962" s="8">
        <f>E1962+F1962</f>
        <v>3014.9661000000001</v>
      </c>
      <c r="H1962" s="3">
        <f>B1962*G1962</f>
        <v>62228.900304000003</v>
      </c>
      <c r="I1962" s="3">
        <f>C1962*G1962</f>
        <v>62259.049964999998</v>
      </c>
    </row>
    <row r="1963" spans="1:9" x14ac:dyDescent="0.25">
      <c r="A1963" t="s">
        <v>6</v>
      </c>
      <c r="B1963" s="1">
        <v>33.78</v>
      </c>
      <c r="C1963" s="1">
        <v>33.79</v>
      </c>
      <c r="D1963" s="2" t="s">
        <v>240</v>
      </c>
      <c r="E1963" s="8">
        <v>1842.1306</v>
      </c>
      <c r="F1963" s="8">
        <f>F1953</f>
        <v>-0.1</v>
      </c>
      <c r="G1963" s="8">
        <f>E1963+F1963</f>
        <v>1842.0306</v>
      </c>
      <c r="H1963" s="3">
        <f>B1963*G1963</f>
        <v>62223.793668000006</v>
      </c>
      <c r="I1963" s="3">
        <f>C1963*G1963</f>
        <v>62242.213973999998</v>
      </c>
    </row>
    <row r="1964" spans="1:9" x14ac:dyDescent="0.25">
      <c r="A1964" t="s">
        <v>7</v>
      </c>
      <c r="B1964" s="1">
        <v>17.54</v>
      </c>
      <c r="C1964" s="1">
        <v>17.55</v>
      </c>
      <c r="D1964" s="2" t="s">
        <v>240</v>
      </c>
      <c r="E1964" s="8">
        <v>3546.6107999999999</v>
      </c>
      <c r="F1964" s="8">
        <f>F1954</f>
        <v>0</v>
      </c>
      <c r="G1964" s="8">
        <f>E1964+F1964</f>
        <v>3546.6107999999999</v>
      </c>
      <c r="H1964" s="3">
        <f>B1964*G1964</f>
        <v>62207.553431999993</v>
      </c>
      <c r="I1964" s="3">
        <f>C1964*G1964</f>
        <v>62243.019540000001</v>
      </c>
    </row>
    <row r="1965" spans="1:9" x14ac:dyDescent="0.25">
      <c r="A1965" t="s">
        <v>8</v>
      </c>
      <c r="B1965" s="1">
        <v>27.51</v>
      </c>
      <c r="C1965" s="1">
        <v>27.52</v>
      </c>
      <c r="D1965" s="2" t="s">
        <v>240</v>
      </c>
      <c r="E1965" s="8">
        <v>2261.3508999999999</v>
      </c>
      <c r="F1965" s="8">
        <f>F1955</f>
        <v>-0.2</v>
      </c>
      <c r="G1965" s="8">
        <f>E1965+F1965</f>
        <v>2261.1509000000001</v>
      </c>
      <c r="H1965" s="3">
        <f>B1965*G1965</f>
        <v>62204.261259000006</v>
      </c>
      <c r="I1965" s="3">
        <f>C1965*G1965</f>
        <v>62226.872768000001</v>
      </c>
    </row>
    <row r="1966" spans="1:9" x14ac:dyDescent="0.25">
      <c r="A1966" t="s">
        <v>9</v>
      </c>
      <c r="B1966" s="1">
        <v>65.7</v>
      </c>
      <c r="C1966" s="1">
        <v>65.83</v>
      </c>
      <c r="D1966" s="2" t="s">
        <v>240</v>
      </c>
      <c r="E1966" s="8">
        <v>946.14290000000005</v>
      </c>
      <c r="F1966" s="8">
        <f>F1956</f>
        <v>0</v>
      </c>
      <c r="G1966" s="8">
        <f>E1966+F1966</f>
        <v>946.14290000000005</v>
      </c>
      <c r="H1966" s="3">
        <f>B1966*G1966</f>
        <v>62161.588530000008</v>
      </c>
      <c r="I1966" s="3">
        <f>C1966*G1966</f>
        <v>62284.587106999999</v>
      </c>
    </row>
    <row r="1967" spans="1:9" x14ac:dyDescent="0.25">
      <c r="A1967" t="s">
        <v>10</v>
      </c>
      <c r="B1967" s="1">
        <v>35.94</v>
      </c>
      <c r="C1967" s="1">
        <v>35.96</v>
      </c>
      <c r="D1967" s="2" t="s">
        <v>240</v>
      </c>
      <c r="E1967" s="8">
        <v>1730.1268</v>
      </c>
      <c r="F1967" s="8">
        <f>F1957</f>
        <v>0.2</v>
      </c>
      <c r="G1967" s="8">
        <f>E1967+F1967</f>
        <v>1730.3268</v>
      </c>
      <c r="H1967" s="3">
        <f>B1967*G1967</f>
        <v>62187.945191999999</v>
      </c>
      <c r="I1967" s="3">
        <f>C1967*G1967</f>
        <v>62222.551728000006</v>
      </c>
    </row>
    <row r="1968" spans="1:9" x14ac:dyDescent="0.25">
      <c r="A1968" t="s">
        <v>11</v>
      </c>
      <c r="B1968" s="1">
        <v>54.15</v>
      </c>
      <c r="C1968" s="1">
        <v>54.16</v>
      </c>
      <c r="D1968" s="2" t="s">
        <v>240</v>
      </c>
      <c r="E1968" s="8">
        <v>1148.8611000000001</v>
      </c>
      <c r="F1968" s="8">
        <f>F1958</f>
        <v>0.05</v>
      </c>
      <c r="G1968" s="8">
        <f>E1968+F1968</f>
        <v>1148.9111</v>
      </c>
      <c r="H1968" s="3">
        <f>B1968*G1968</f>
        <v>62213.536065</v>
      </c>
      <c r="I1968" s="3">
        <f>C1968*G1968</f>
        <v>62225.025175999996</v>
      </c>
    </row>
    <row r="1969" spans="1:9" x14ac:dyDescent="0.25">
      <c r="A1969" t="s">
        <v>12</v>
      </c>
      <c r="B1969" s="1">
        <v>48.28</v>
      </c>
      <c r="C1969" s="1">
        <v>48.29</v>
      </c>
      <c r="D1969" s="2" t="s">
        <v>240</v>
      </c>
      <c r="E1969" s="8">
        <v>1289.0145</v>
      </c>
      <c r="F1969" s="8">
        <f>F1959</f>
        <v>0</v>
      </c>
      <c r="G1969" s="8">
        <f>E1969+F1969</f>
        <v>1289.0145</v>
      </c>
      <c r="H1969" s="3">
        <f>B1969*G1969</f>
        <v>62233.620060000001</v>
      </c>
      <c r="I1969" s="3">
        <f>C1969*G1969</f>
        <v>62246.510204999999</v>
      </c>
    </row>
    <row r="1970" spans="1:9" x14ac:dyDescent="0.25">
      <c r="A1970" t="s">
        <v>13</v>
      </c>
      <c r="B1970" s="1">
        <v>17.59</v>
      </c>
      <c r="C1970" s="1">
        <v>17.600000000000001</v>
      </c>
      <c r="D1970" s="2" t="s">
        <v>240</v>
      </c>
      <c r="E1970" s="8">
        <v>3535.8029000000001</v>
      </c>
      <c r="F1970" s="8">
        <f>F1960</f>
        <v>0</v>
      </c>
      <c r="G1970" s="8">
        <f>E1970+F1970</f>
        <v>3535.8029000000001</v>
      </c>
      <c r="H1970" s="3">
        <f>B1970*G1970</f>
        <v>62194.773011000005</v>
      </c>
      <c r="I1970" s="3">
        <f>C1970*G1970</f>
        <v>62230.131040000007</v>
      </c>
    </row>
    <row r="1971" spans="1:9" x14ac:dyDescent="0.25">
      <c r="A1971" t="s">
        <v>14</v>
      </c>
      <c r="B1971" s="1">
        <v>35.24</v>
      </c>
      <c r="C1971" s="1">
        <v>35.25</v>
      </c>
      <c r="D1971" s="2" t="s">
        <v>240</v>
      </c>
      <c r="E1971" s="8">
        <v>1765.0714</v>
      </c>
      <c r="F1971" s="8">
        <f>F1961</f>
        <v>0.2</v>
      </c>
      <c r="G1971" s="8">
        <f>E1971+F1971</f>
        <v>1765.2714000000001</v>
      </c>
      <c r="H1971" s="3">
        <f>B1971*G1971</f>
        <v>62208.164136000007</v>
      </c>
      <c r="I1971" s="3">
        <f>C1971*G1971</f>
        <v>62225.816850000003</v>
      </c>
    </row>
    <row r="1972" spans="1:9" x14ac:dyDescent="0.25">
      <c r="A1972" t="s">
        <v>4</v>
      </c>
      <c r="B1972" s="1">
        <v>20.64</v>
      </c>
      <c r="C1972" s="1">
        <v>20.65</v>
      </c>
      <c r="D1972" s="2" t="s">
        <v>241</v>
      </c>
      <c r="E1972" s="8">
        <v>3014.9661000000001</v>
      </c>
      <c r="F1972" s="8">
        <f>F1962</f>
        <v>0</v>
      </c>
      <c r="G1972" s="8">
        <f>E1972+F1972</f>
        <v>3014.9661000000001</v>
      </c>
      <c r="H1972" s="3">
        <f>B1972*G1972</f>
        <v>62228.900304000003</v>
      </c>
      <c r="I1972" s="3">
        <f>C1972*G1972</f>
        <v>62259.049964999998</v>
      </c>
    </row>
    <row r="1973" spans="1:9" x14ac:dyDescent="0.25">
      <c r="A1973" t="s">
        <v>6</v>
      </c>
      <c r="B1973" s="1">
        <v>33.78</v>
      </c>
      <c r="C1973" s="1">
        <v>33.79</v>
      </c>
      <c r="D1973" s="2" t="s">
        <v>241</v>
      </c>
      <c r="E1973" s="8">
        <v>1842.1306</v>
      </c>
      <c r="F1973" s="8">
        <f>F1963</f>
        <v>-0.1</v>
      </c>
      <c r="G1973" s="8">
        <f>E1973+F1973</f>
        <v>1842.0306</v>
      </c>
      <c r="H1973" s="3">
        <f>B1973*G1973</f>
        <v>62223.793668000006</v>
      </c>
      <c r="I1973" s="3">
        <f>C1973*G1973</f>
        <v>62242.213973999998</v>
      </c>
    </row>
    <row r="1974" spans="1:9" x14ac:dyDescent="0.25">
      <c r="A1974" t="s">
        <v>7</v>
      </c>
      <c r="B1974" s="1">
        <v>17.54</v>
      </c>
      <c r="C1974" s="1">
        <v>17.55</v>
      </c>
      <c r="D1974" s="2" t="s">
        <v>241</v>
      </c>
      <c r="E1974" s="8">
        <v>3546.6107999999999</v>
      </c>
      <c r="F1974" s="8">
        <f>F1964</f>
        <v>0</v>
      </c>
      <c r="G1974" s="8">
        <f>E1974+F1974</f>
        <v>3546.6107999999999</v>
      </c>
      <c r="H1974" s="3">
        <f>B1974*G1974</f>
        <v>62207.553431999993</v>
      </c>
      <c r="I1974" s="3">
        <f>C1974*G1974</f>
        <v>62243.019540000001</v>
      </c>
    </row>
    <row r="1975" spans="1:9" x14ac:dyDescent="0.25">
      <c r="A1975" t="s">
        <v>8</v>
      </c>
      <c r="B1975" s="1">
        <v>27.51</v>
      </c>
      <c r="C1975" s="1">
        <v>27.52</v>
      </c>
      <c r="D1975" s="2" t="s">
        <v>241</v>
      </c>
      <c r="E1975" s="8">
        <v>2261.3508999999999</v>
      </c>
      <c r="F1975" s="8">
        <f>F1965</f>
        <v>-0.2</v>
      </c>
      <c r="G1975" s="8">
        <f>E1975+F1975</f>
        <v>2261.1509000000001</v>
      </c>
      <c r="H1975" s="3">
        <f>B1975*G1975</f>
        <v>62204.261259000006</v>
      </c>
      <c r="I1975" s="3">
        <f>C1975*G1975</f>
        <v>62226.872768000001</v>
      </c>
    </row>
    <row r="1976" spans="1:9" x14ac:dyDescent="0.25">
      <c r="A1976" t="s">
        <v>9</v>
      </c>
      <c r="B1976" s="1">
        <v>65.7</v>
      </c>
      <c r="C1976" s="1">
        <v>65.83</v>
      </c>
      <c r="D1976" s="2" t="s">
        <v>241</v>
      </c>
      <c r="E1976" s="8">
        <v>946.14290000000005</v>
      </c>
      <c r="F1976" s="8">
        <f>F1966</f>
        <v>0</v>
      </c>
      <c r="G1976" s="8">
        <f>E1976+F1976</f>
        <v>946.14290000000005</v>
      </c>
      <c r="H1976" s="3">
        <f>B1976*G1976</f>
        <v>62161.588530000008</v>
      </c>
      <c r="I1976" s="3">
        <f>C1976*G1976</f>
        <v>62284.587106999999</v>
      </c>
    </row>
    <row r="1977" spans="1:9" x14ac:dyDescent="0.25">
      <c r="A1977" t="s">
        <v>10</v>
      </c>
      <c r="B1977" s="1">
        <v>35.94</v>
      </c>
      <c r="C1977" s="1">
        <v>35.96</v>
      </c>
      <c r="D1977" s="2" t="s">
        <v>241</v>
      </c>
      <c r="E1977" s="8">
        <v>1730.1268</v>
      </c>
      <c r="F1977" s="8">
        <f>F1967</f>
        <v>0.2</v>
      </c>
      <c r="G1977" s="8">
        <f>E1977+F1977</f>
        <v>1730.3268</v>
      </c>
      <c r="H1977" s="3">
        <f>B1977*G1977</f>
        <v>62187.945191999999</v>
      </c>
      <c r="I1977" s="3">
        <f>C1977*G1977</f>
        <v>62222.551728000006</v>
      </c>
    </row>
    <row r="1978" spans="1:9" x14ac:dyDescent="0.25">
      <c r="A1978" t="s">
        <v>11</v>
      </c>
      <c r="B1978" s="1">
        <v>54.15</v>
      </c>
      <c r="C1978" s="1">
        <v>54.16</v>
      </c>
      <c r="D1978" s="2" t="s">
        <v>241</v>
      </c>
      <c r="E1978" s="8">
        <v>1148.8611000000001</v>
      </c>
      <c r="F1978" s="8">
        <f>F1968</f>
        <v>0.05</v>
      </c>
      <c r="G1978" s="8">
        <f>E1978+F1978</f>
        <v>1148.9111</v>
      </c>
      <c r="H1978" s="3">
        <f>B1978*G1978</f>
        <v>62213.536065</v>
      </c>
      <c r="I1978" s="3">
        <f>C1978*G1978</f>
        <v>62225.025175999996</v>
      </c>
    </row>
    <row r="1979" spans="1:9" x14ac:dyDescent="0.25">
      <c r="A1979" t="s">
        <v>12</v>
      </c>
      <c r="B1979" s="1">
        <v>48.28</v>
      </c>
      <c r="C1979" s="1">
        <v>48.29</v>
      </c>
      <c r="D1979" s="2" t="s">
        <v>241</v>
      </c>
      <c r="E1979" s="8">
        <v>1289.0145</v>
      </c>
      <c r="F1979" s="8">
        <f>F1969</f>
        <v>0</v>
      </c>
      <c r="G1979" s="8">
        <f>E1979+F1979</f>
        <v>1289.0145</v>
      </c>
      <c r="H1979" s="3">
        <f>B1979*G1979</f>
        <v>62233.620060000001</v>
      </c>
      <c r="I1979" s="3">
        <f>C1979*G1979</f>
        <v>62246.510204999999</v>
      </c>
    </row>
    <row r="1980" spans="1:9" x14ac:dyDescent="0.25">
      <c r="A1980" t="s">
        <v>13</v>
      </c>
      <c r="B1980" s="1">
        <v>17.59</v>
      </c>
      <c r="C1980" s="1">
        <v>17.600000000000001</v>
      </c>
      <c r="D1980" s="2" t="s">
        <v>241</v>
      </c>
      <c r="E1980" s="8">
        <v>3535.8029000000001</v>
      </c>
      <c r="F1980" s="8">
        <f>F1970</f>
        <v>0</v>
      </c>
      <c r="G1980" s="8">
        <f>E1980+F1980</f>
        <v>3535.8029000000001</v>
      </c>
      <c r="H1980" s="3">
        <f>B1980*G1980</f>
        <v>62194.773011000005</v>
      </c>
      <c r="I1980" s="3">
        <f>C1980*G1980</f>
        <v>62230.131040000007</v>
      </c>
    </row>
    <row r="1981" spans="1:9" x14ac:dyDescent="0.25">
      <c r="A1981" t="s">
        <v>14</v>
      </c>
      <c r="B1981" s="1">
        <v>35.24</v>
      </c>
      <c r="C1981" s="1">
        <v>35.25</v>
      </c>
      <c r="D1981" s="2" t="s">
        <v>241</v>
      </c>
      <c r="E1981" s="8">
        <v>1765.0714</v>
      </c>
      <c r="F1981" s="8">
        <f>F1971</f>
        <v>0.2</v>
      </c>
      <c r="G1981" s="8">
        <f>E1981+F1981</f>
        <v>1765.2714000000001</v>
      </c>
      <c r="H1981" s="3">
        <f>B1981*G1981</f>
        <v>62208.164136000007</v>
      </c>
      <c r="I1981" s="3">
        <f>C1981*G1981</f>
        <v>62225.816850000003</v>
      </c>
    </row>
    <row r="1982" spans="1:9" x14ac:dyDescent="0.25">
      <c r="A1982" t="s">
        <v>4</v>
      </c>
      <c r="B1982" s="1">
        <v>20.64</v>
      </c>
      <c r="C1982" s="1">
        <v>20.65</v>
      </c>
      <c r="D1982" s="2" t="s">
        <v>242</v>
      </c>
      <c r="E1982" s="8">
        <v>3014.9661000000001</v>
      </c>
      <c r="F1982" s="8">
        <f>F1972</f>
        <v>0</v>
      </c>
      <c r="G1982" s="8">
        <f>E1982+F1982</f>
        <v>3014.9661000000001</v>
      </c>
      <c r="H1982" s="3">
        <f>B1982*G1982</f>
        <v>62228.900304000003</v>
      </c>
      <c r="I1982" s="3">
        <f>C1982*G1982</f>
        <v>62259.049964999998</v>
      </c>
    </row>
    <row r="1983" spans="1:9" x14ac:dyDescent="0.25">
      <c r="A1983" t="s">
        <v>6</v>
      </c>
      <c r="B1983" s="1">
        <v>33.78</v>
      </c>
      <c r="C1983" s="1">
        <v>33.79</v>
      </c>
      <c r="D1983" s="2" t="s">
        <v>242</v>
      </c>
      <c r="E1983" s="8">
        <v>1842.1306</v>
      </c>
      <c r="F1983" s="8">
        <f>F1973</f>
        <v>-0.1</v>
      </c>
      <c r="G1983" s="8">
        <f>E1983+F1983</f>
        <v>1842.0306</v>
      </c>
      <c r="H1983" s="3">
        <f>B1983*G1983</f>
        <v>62223.793668000006</v>
      </c>
      <c r="I1983" s="3">
        <f>C1983*G1983</f>
        <v>62242.213973999998</v>
      </c>
    </row>
    <row r="1984" spans="1:9" x14ac:dyDescent="0.25">
      <c r="A1984" t="s">
        <v>7</v>
      </c>
      <c r="B1984" s="1">
        <v>17.54</v>
      </c>
      <c r="C1984" s="1">
        <v>17.55</v>
      </c>
      <c r="D1984" s="2" t="s">
        <v>242</v>
      </c>
      <c r="E1984" s="8">
        <v>3546.6107999999999</v>
      </c>
      <c r="F1984" s="8">
        <f>F1974</f>
        <v>0</v>
      </c>
      <c r="G1984" s="8">
        <f>E1984+F1984</f>
        <v>3546.6107999999999</v>
      </c>
      <c r="H1984" s="3">
        <f>B1984*G1984</f>
        <v>62207.553431999993</v>
      </c>
      <c r="I1984" s="3">
        <f>C1984*G1984</f>
        <v>62243.019540000001</v>
      </c>
    </row>
    <row r="1985" spans="1:9" x14ac:dyDescent="0.25">
      <c r="A1985" t="s">
        <v>8</v>
      </c>
      <c r="B1985" s="1">
        <v>27.51</v>
      </c>
      <c r="C1985" s="1">
        <v>27.52</v>
      </c>
      <c r="D1985" s="2" t="s">
        <v>242</v>
      </c>
      <c r="E1985" s="8">
        <v>2261.3508999999999</v>
      </c>
      <c r="F1985" s="8">
        <f>F1975</f>
        <v>-0.2</v>
      </c>
      <c r="G1985" s="8">
        <f>E1985+F1985</f>
        <v>2261.1509000000001</v>
      </c>
      <c r="H1985" s="3">
        <f>B1985*G1985</f>
        <v>62204.261259000006</v>
      </c>
      <c r="I1985" s="3">
        <f>C1985*G1985</f>
        <v>62226.872768000001</v>
      </c>
    </row>
    <row r="1986" spans="1:9" x14ac:dyDescent="0.25">
      <c r="A1986" t="s">
        <v>9</v>
      </c>
      <c r="B1986" s="1">
        <v>65.7</v>
      </c>
      <c r="C1986" s="1">
        <v>65.83</v>
      </c>
      <c r="D1986" s="2" t="s">
        <v>242</v>
      </c>
      <c r="E1986" s="8">
        <v>946.14290000000005</v>
      </c>
      <c r="F1986" s="8">
        <f>F1976</f>
        <v>0</v>
      </c>
      <c r="G1986" s="8">
        <f>E1986+F1986</f>
        <v>946.14290000000005</v>
      </c>
      <c r="H1986" s="3">
        <f>B1986*G1986</f>
        <v>62161.588530000008</v>
      </c>
      <c r="I1986" s="3">
        <f>C1986*G1986</f>
        <v>62284.587106999999</v>
      </c>
    </row>
    <row r="1987" spans="1:9" x14ac:dyDescent="0.25">
      <c r="A1987" t="s">
        <v>10</v>
      </c>
      <c r="B1987" s="1">
        <v>35.94</v>
      </c>
      <c r="C1987" s="1">
        <v>35.96</v>
      </c>
      <c r="D1987" s="2" t="s">
        <v>242</v>
      </c>
      <c r="E1987" s="8">
        <v>1730.1268</v>
      </c>
      <c r="F1987" s="8">
        <f>F1977</f>
        <v>0.2</v>
      </c>
      <c r="G1987" s="8">
        <f>E1987+F1987</f>
        <v>1730.3268</v>
      </c>
      <c r="H1987" s="3">
        <f>B1987*G1987</f>
        <v>62187.945191999999</v>
      </c>
      <c r="I1987" s="3">
        <f>C1987*G1987</f>
        <v>62222.551728000006</v>
      </c>
    </row>
    <row r="1988" spans="1:9" x14ac:dyDescent="0.25">
      <c r="A1988" t="s">
        <v>11</v>
      </c>
      <c r="B1988" s="1">
        <v>54.15</v>
      </c>
      <c r="C1988" s="1">
        <v>54.16</v>
      </c>
      <c r="D1988" s="2" t="s">
        <v>242</v>
      </c>
      <c r="E1988" s="8">
        <v>1148.8611000000001</v>
      </c>
      <c r="F1988" s="8">
        <f>F1978</f>
        <v>0.05</v>
      </c>
      <c r="G1988" s="8">
        <f>E1988+F1988</f>
        <v>1148.9111</v>
      </c>
      <c r="H1988" s="3">
        <f>B1988*G1988</f>
        <v>62213.536065</v>
      </c>
      <c r="I1988" s="3">
        <f>C1988*G1988</f>
        <v>62225.025175999996</v>
      </c>
    </row>
    <row r="1989" spans="1:9" x14ac:dyDescent="0.25">
      <c r="A1989" t="s">
        <v>12</v>
      </c>
      <c r="B1989" s="1">
        <v>48.28</v>
      </c>
      <c r="C1989" s="1">
        <v>48.29</v>
      </c>
      <c r="D1989" s="2" t="s">
        <v>242</v>
      </c>
      <c r="E1989" s="8">
        <v>1289.0145</v>
      </c>
      <c r="F1989" s="8">
        <f>F1979</f>
        <v>0</v>
      </c>
      <c r="G1989" s="8">
        <f>E1989+F1989</f>
        <v>1289.0145</v>
      </c>
      <c r="H1989" s="3">
        <f>B1989*G1989</f>
        <v>62233.620060000001</v>
      </c>
      <c r="I1989" s="3">
        <f>C1989*G1989</f>
        <v>62246.510204999999</v>
      </c>
    </row>
    <row r="1990" spans="1:9" x14ac:dyDescent="0.25">
      <c r="A1990" t="s">
        <v>13</v>
      </c>
      <c r="B1990" s="1">
        <v>17.59</v>
      </c>
      <c r="C1990" s="1">
        <v>17.600000000000001</v>
      </c>
      <c r="D1990" s="2" t="s">
        <v>242</v>
      </c>
      <c r="E1990" s="8">
        <v>3535.8029000000001</v>
      </c>
      <c r="F1990" s="8">
        <f>F1980</f>
        <v>0</v>
      </c>
      <c r="G1990" s="8">
        <f>E1990+F1990</f>
        <v>3535.8029000000001</v>
      </c>
      <c r="H1990" s="3">
        <f>B1990*G1990</f>
        <v>62194.773011000005</v>
      </c>
      <c r="I1990" s="3">
        <f>C1990*G1990</f>
        <v>62230.131040000007</v>
      </c>
    </row>
    <row r="1991" spans="1:9" x14ac:dyDescent="0.25">
      <c r="A1991" t="s">
        <v>14</v>
      </c>
      <c r="B1991" s="1">
        <v>35.24</v>
      </c>
      <c r="C1991" s="1">
        <v>35.25</v>
      </c>
      <c r="D1991" s="2" t="s">
        <v>242</v>
      </c>
      <c r="E1991" s="8">
        <v>1765.0714</v>
      </c>
      <c r="F1991" s="8">
        <f>F1981</f>
        <v>0.2</v>
      </c>
      <c r="G1991" s="8">
        <f>E1991+F1991</f>
        <v>1765.2714000000001</v>
      </c>
      <c r="H1991" s="3">
        <f>B1991*G1991</f>
        <v>62208.164136000007</v>
      </c>
      <c r="I1991" s="3">
        <f>C1991*G1991</f>
        <v>62225.816850000003</v>
      </c>
    </row>
    <row r="1992" spans="1:9" x14ac:dyDescent="0.25">
      <c r="A1992" t="s">
        <v>4</v>
      </c>
      <c r="B1992" s="1">
        <v>20.64</v>
      </c>
      <c r="C1992" s="1">
        <v>20.65</v>
      </c>
      <c r="D1992" s="2" t="s">
        <v>243</v>
      </c>
      <c r="E1992" s="8">
        <v>3014.9661000000001</v>
      </c>
      <c r="F1992" s="8">
        <f>F1982</f>
        <v>0</v>
      </c>
      <c r="G1992" s="8">
        <f>E1992+F1992</f>
        <v>3014.9661000000001</v>
      </c>
      <c r="H1992" s="3">
        <f>B1992*G1992</f>
        <v>62228.900304000003</v>
      </c>
      <c r="I1992" s="3">
        <f>C1992*G1992</f>
        <v>62259.049964999998</v>
      </c>
    </row>
    <row r="1993" spans="1:9" x14ac:dyDescent="0.25">
      <c r="A1993" t="s">
        <v>6</v>
      </c>
      <c r="B1993" s="1">
        <v>33.78</v>
      </c>
      <c r="C1993" s="1">
        <v>33.79</v>
      </c>
      <c r="D1993" s="2" t="s">
        <v>243</v>
      </c>
      <c r="E1993" s="8">
        <v>1842.1306</v>
      </c>
      <c r="F1993" s="8">
        <f>F1983</f>
        <v>-0.1</v>
      </c>
      <c r="G1993" s="8">
        <f>E1993+F1993</f>
        <v>1842.0306</v>
      </c>
      <c r="H1993" s="3">
        <f>B1993*G1993</f>
        <v>62223.793668000006</v>
      </c>
      <c r="I1993" s="3">
        <f>C1993*G1993</f>
        <v>62242.213973999998</v>
      </c>
    </row>
    <row r="1994" spans="1:9" x14ac:dyDescent="0.25">
      <c r="A1994" t="s">
        <v>7</v>
      </c>
      <c r="B1994" s="1">
        <v>17.54</v>
      </c>
      <c r="C1994" s="1">
        <v>17.55</v>
      </c>
      <c r="D1994" s="2" t="s">
        <v>243</v>
      </c>
      <c r="E1994" s="8">
        <v>3546.6107999999999</v>
      </c>
      <c r="F1994" s="8">
        <f>F1984</f>
        <v>0</v>
      </c>
      <c r="G1994" s="8">
        <f>E1994+F1994</f>
        <v>3546.6107999999999</v>
      </c>
      <c r="H1994" s="3">
        <f>B1994*G1994</f>
        <v>62207.553431999993</v>
      </c>
      <c r="I1994" s="3">
        <f>C1994*G1994</f>
        <v>62243.019540000001</v>
      </c>
    </row>
    <row r="1995" spans="1:9" x14ac:dyDescent="0.25">
      <c r="A1995" t="s">
        <v>8</v>
      </c>
      <c r="B1995" s="1">
        <v>27.51</v>
      </c>
      <c r="C1995" s="1">
        <v>27.52</v>
      </c>
      <c r="D1995" s="2" t="s">
        <v>243</v>
      </c>
      <c r="E1995" s="8">
        <v>2261.3508999999999</v>
      </c>
      <c r="F1995" s="8">
        <f>F1985</f>
        <v>-0.2</v>
      </c>
      <c r="G1995" s="8">
        <f>E1995+F1995</f>
        <v>2261.1509000000001</v>
      </c>
      <c r="H1995" s="3">
        <f>B1995*G1995</f>
        <v>62204.261259000006</v>
      </c>
      <c r="I1995" s="3">
        <f>C1995*G1995</f>
        <v>62226.872768000001</v>
      </c>
    </row>
    <row r="1996" spans="1:9" x14ac:dyDescent="0.25">
      <c r="A1996" t="s">
        <v>9</v>
      </c>
      <c r="B1996" s="1">
        <v>65.7</v>
      </c>
      <c r="C1996" s="1">
        <v>65.83</v>
      </c>
      <c r="D1996" s="2" t="s">
        <v>243</v>
      </c>
      <c r="E1996" s="8">
        <v>946.14290000000005</v>
      </c>
      <c r="F1996" s="8">
        <f>F1986</f>
        <v>0</v>
      </c>
      <c r="G1996" s="8">
        <f>E1996+F1996</f>
        <v>946.14290000000005</v>
      </c>
      <c r="H1996" s="3">
        <f>B1996*G1996</f>
        <v>62161.588530000008</v>
      </c>
      <c r="I1996" s="3">
        <f>C1996*G1996</f>
        <v>62284.587106999999</v>
      </c>
    </row>
    <row r="1997" spans="1:9" x14ac:dyDescent="0.25">
      <c r="A1997" t="s">
        <v>10</v>
      </c>
      <c r="B1997" s="1">
        <v>35.94</v>
      </c>
      <c r="C1997" s="1">
        <v>35.96</v>
      </c>
      <c r="D1997" s="2" t="s">
        <v>243</v>
      </c>
      <c r="E1997" s="8">
        <v>1730.1268</v>
      </c>
      <c r="F1997" s="8">
        <f>F1987</f>
        <v>0.2</v>
      </c>
      <c r="G1997" s="8">
        <f>E1997+F1997</f>
        <v>1730.3268</v>
      </c>
      <c r="H1997" s="3">
        <f>B1997*G1997</f>
        <v>62187.945191999999</v>
      </c>
      <c r="I1997" s="3">
        <f>C1997*G1997</f>
        <v>62222.551728000006</v>
      </c>
    </row>
    <row r="1998" spans="1:9" x14ac:dyDescent="0.25">
      <c r="A1998" t="s">
        <v>11</v>
      </c>
      <c r="B1998" s="1">
        <v>54.15</v>
      </c>
      <c r="C1998" s="1">
        <v>54.16</v>
      </c>
      <c r="D1998" s="2" t="s">
        <v>243</v>
      </c>
      <c r="E1998" s="8">
        <v>1148.8611000000001</v>
      </c>
      <c r="F1998" s="8">
        <f>F1988</f>
        <v>0.05</v>
      </c>
      <c r="G1998" s="8">
        <f>E1998+F1998</f>
        <v>1148.9111</v>
      </c>
      <c r="H1998" s="3">
        <f>B1998*G1998</f>
        <v>62213.536065</v>
      </c>
      <c r="I1998" s="3">
        <f>C1998*G1998</f>
        <v>62225.025175999996</v>
      </c>
    </row>
    <row r="1999" spans="1:9" x14ac:dyDescent="0.25">
      <c r="A1999" t="s">
        <v>12</v>
      </c>
      <c r="B1999" s="1">
        <v>48.28</v>
      </c>
      <c r="C1999" s="1">
        <v>48.29</v>
      </c>
      <c r="D1999" s="2" t="s">
        <v>243</v>
      </c>
      <c r="E1999" s="8">
        <v>1289.0145</v>
      </c>
      <c r="F1999" s="8">
        <f>F1989</f>
        <v>0</v>
      </c>
      <c r="G1999" s="8">
        <f>E1999+F1999</f>
        <v>1289.0145</v>
      </c>
      <c r="H1999" s="3">
        <f>B1999*G1999</f>
        <v>62233.620060000001</v>
      </c>
      <c r="I1999" s="3">
        <f>C1999*G1999</f>
        <v>62246.510204999999</v>
      </c>
    </row>
    <row r="2000" spans="1:9" x14ac:dyDescent="0.25">
      <c r="A2000" t="s">
        <v>13</v>
      </c>
      <c r="B2000" s="1">
        <v>17.59</v>
      </c>
      <c r="C2000" s="1">
        <v>17.600000000000001</v>
      </c>
      <c r="D2000" s="2" t="s">
        <v>243</v>
      </c>
      <c r="E2000" s="8">
        <v>3535.8029000000001</v>
      </c>
      <c r="F2000" s="8">
        <f>F1990</f>
        <v>0</v>
      </c>
      <c r="G2000" s="8">
        <f>E2000+F2000</f>
        <v>3535.8029000000001</v>
      </c>
      <c r="H2000" s="3">
        <f>B2000*G2000</f>
        <v>62194.773011000005</v>
      </c>
      <c r="I2000" s="3">
        <f>C2000*G2000</f>
        <v>62230.131040000007</v>
      </c>
    </row>
    <row r="2001" spans="1:9" x14ac:dyDescent="0.25">
      <c r="A2001" t="s">
        <v>14</v>
      </c>
      <c r="B2001" s="1">
        <v>35.24</v>
      </c>
      <c r="C2001" s="1">
        <v>35.25</v>
      </c>
      <c r="D2001" s="2" t="s">
        <v>243</v>
      </c>
      <c r="E2001" s="8">
        <v>1765.0714</v>
      </c>
      <c r="F2001" s="8">
        <f>F1991</f>
        <v>0.2</v>
      </c>
      <c r="G2001" s="8">
        <f>E2001+F2001</f>
        <v>1765.2714000000001</v>
      </c>
      <c r="H2001" s="3">
        <f>B2001*G2001</f>
        <v>62208.164136000007</v>
      </c>
      <c r="I2001" s="3">
        <f>C2001*G2001</f>
        <v>62225.816850000003</v>
      </c>
    </row>
    <row r="2002" spans="1:9" x14ac:dyDescent="0.25">
      <c r="A2002" t="s">
        <v>4</v>
      </c>
      <c r="B2002" s="1">
        <v>20.64</v>
      </c>
      <c r="C2002" s="1">
        <v>20.65</v>
      </c>
      <c r="D2002" s="2" t="s">
        <v>244</v>
      </c>
      <c r="E2002" s="8">
        <v>3014.9661000000001</v>
      </c>
      <c r="F2002" s="8">
        <f>F1992</f>
        <v>0</v>
      </c>
      <c r="G2002" s="8">
        <f>E2002+F2002</f>
        <v>3014.9661000000001</v>
      </c>
      <c r="H2002" s="3">
        <f>B2002*G2002</f>
        <v>62228.900304000003</v>
      </c>
      <c r="I2002" s="3">
        <f>C2002*G2002</f>
        <v>62259.049964999998</v>
      </c>
    </row>
    <row r="2003" spans="1:9" x14ac:dyDescent="0.25">
      <c r="A2003" t="s">
        <v>6</v>
      </c>
      <c r="B2003" s="1">
        <v>33.78</v>
      </c>
      <c r="C2003" s="1">
        <v>33.79</v>
      </c>
      <c r="D2003" s="2" t="s">
        <v>244</v>
      </c>
      <c r="E2003" s="8">
        <v>1842.1306</v>
      </c>
      <c r="F2003" s="8">
        <f>F1993</f>
        <v>-0.1</v>
      </c>
      <c r="G2003" s="8">
        <f>E2003+F2003</f>
        <v>1842.0306</v>
      </c>
      <c r="H2003" s="3">
        <f>B2003*G2003</f>
        <v>62223.793668000006</v>
      </c>
      <c r="I2003" s="3">
        <f>C2003*G2003</f>
        <v>62242.213973999998</v>
      </c>
    </row>
    <row r="2004" spans="1:9" x14ac:dyDescent="0.25">
      <c r="A2004" t="s">
        <v>7</v>
      </c>
      <c r="B2004" s="1">
        <v>17.54</v>
      </c>
      <c r="C2004" s="1">
        <v>17.55</v>
      </c>
      <c r="D2004" s="2" t="s">
        <v>244</v>
      </c>
      <c r="E2004" s="8">
        <v>3546.6107999999999</v>
      </c>
      <c r="F2004" s="8">
        <f>F1994</f>
        <v>0</v>
      </c>
      <c r="G2004" s="8">
        <f>E2004+F2004</f>
        <v>3546.6107999999999</v>
      </c>
      <c r="H2004" s="3">
        <f>B2004*G2004</f>
        <v>62207.553431999993</v>
      </c>
      <c r="I2004" s="3">
        <f>C2004*G2004</f>
        <v>62243.019540000001</v>
      </c>
    </row>
    <row r="2005" spans="1:9" x14ac:dyDescent="0.25">
      <c r="A2005" t="s">
        <v>8</v>
      </c>
      <c r="B2005" s="1">
        <v>27.51</v>
      </c>
      <c r="C2005" s="1">
        <v>27.52</v>
      </c>
      <c r="D2005" s="2" t="s">
        <v>244</v>
      </c>
      <c r="E2005" s="8">
        <v>2261.3508999999999</v>
      </c>
      <c r="F2005" s="8">
        <f>F1995</f>
        <v>-0.2</v>
      </c>
      <c r="G2005" s="8">
        <f>E2005+F2005</f>
        <v>2261.1509000000001</v>
      </c>
      <c r="H2005" s="3">
        <f>B2005*G2005</f>
        <v>62204.261259000006</v>
      </c>
      <c r="I2005" s="3">
        <f>C2005*G2005</f>
        <v>62226.872768000001</v>
      </c>
    </row>
    <row r="2006" spans="1:9" x14ac:dyDescent="0.25">
      <c r="A2006" t="s">
        <v>9</v>
      </c>
      <c r="B2006" s="1">
        <v>65.7</v>
      </c>
      <c r="C2006" s="1">
        <v>65.83</v>
      </c>
      <c r="D2006" s="2" t="s">
        <v>244</v>
      </c>
      <c r="E2006" s="8">
        <v>946.14290000000005</v>
      </c>
      <c r="F2006" s="8">
        <f>F1996</f>
        <v>0</v>
      </c>
      <c r="G2006" s="8">
        <f>E2006+F2006</f>
        <v>946.14290000000005</v>
      </c>
      <c r="H2006" s="3">
        <f>B2006*G2006</f>
        <v>62161.588530000008</v>
      </c>
      <c r="I2006" s="3">
        <f>C2006*G2006</f>
        <v>62284.587106999999</v>
      </c>
    </row>
    <row r="2007" spans="1:9" x14ac:dyDescent="0.25">
      <c r="A2007" t="s">
        <v>10</v>
      </c>
      <c r="B2007" s="1">
        <v>35.94</v>
      </c>
      <c r="C2007" s="1">
        <v>35.96</v>
      </c>
      <c r="D2007" s="2" t="s">
        <v>244</v>
      </c>
      <c r="E2007" s="8">
        <v>1730.1268</v>
      </c>
      <c r="F2007" s="8">
        <f>F1997</f>
        <v>0.2</v>
      </c>
      <c r="G2007" s="8">
        <f>E2007+F2007</f>
        <v>1730.3268</v>
      </c>
      <c r="H2007" s="3">
        <f>B2007*G2007</f>
        <v>62187.945191999999</v>
      </c>
      <c r="I2007" s="3">
        <f>C2007*G2007</f>
        <v>62222.551728000006</v>
      </c>
    </row>
    <row r="2008" spans="1:9" x14ac:dyDescent="0.25">
      <c r="A2008" t="s">
        <v>11</v>
      </c>
      <c r="B2008" s="1">
        <v>54.15</v>
      </c>
      <c r="C2008" s="1">
        <v>54.16</v>
      </c>
      <c r="D2008" s="2" t="s">
        <v>244</v>
      </c>
      <c r="E2008" s="8">
        <v>1148.8611000000001</v>
      </c>
      <c r="F2008" s="8">
        <f>F1998</f>
        <v>0.05</v>
      </c>
      <c r="G2008" s="8">
        <f>E2008+F2008</f>
        <v>1148.9111</v>
      </c>
      <c r="H2008" s="3">
        <f>B2008*G2008</f>
        <v>62213.536065</v>
      </c>
      <c r="I2008" s="3">
        <f>C2008*G2008</f>
        <v>62225.025175999996</v>
      </c>
    </row>
    <row r="2009" spans="1:9" x14ac:dyDescent="0.25">
      <c r="A2009" t="s">
        <v>12</v>
      </c>
      <c r="B2009" s="1">
        <v>48.28</v>
      </c>
      <c r="C2009" s="1">
        <v>48.29</v>
      </c>
      <c r="D2009" s="2" t="s">
        <v>244</v>
      </c>
      <c r="E2009" s="8">
        <v>1289.0145</v>
      </c>
      <c r="F2009" s="8">
        <f>F1999</f>
        <v>0</v>
      </c>
      <c r="G2009" s="8">
        <f>E2009+F2009</f>
        <v>1289.0145</v>
      </c>
      <c r="H2009" s="3">
        <f>B2009*G2009</f>
        <v>62233.620060000001</v>
      </c>
      <c r="I2009" s="3">
        <f>C2009*G2009</f>
        <v>62246.510204999999</v>
      </c>
    </row>
    <row r="2010" spans="1:9" x14ac:dyDescent="0.25">
      <c r="A2010" t="s">
        <v>13</v>
      </c>
      <c r="B2010" s="1">
        <v>17.59</v>
      </c>
      <c r="C2010" s="1">
        <v>17.600000000000001</v>
      </c>
      <c r="D2010" s="2" t="s">
        <v>244</v>
      </c>
      <c r="E2010" s="8">
        <v>3535.8029000000001</v>
      </c>
      <c r="F2010" s="8">
        <f>F2000</f>
        <v>0</v>
      </c>
      <c r="G2010" s="8">
        <f>E2010+F2010</f>
        <v>3535.8029000000001</v>
      </c>
      <c r="H2010" s="3">
        <f>B2010*G2010</f>
        <v>62194.773011000005</v>
      </c>
      <c r="I2010" s="3">
        <f>C2010*G2010</f>
        <v>62230.131040000007</v>
      </c>
    </row>
    <row r="2011" spans="1:9" x14ac:dyDescent="0.25">
      <c r="A2011" t="s">
        <v>14</v>
      </c>
      <c r="B2011" s="1">
        <v>35.24</v>
      </c>
      <c r="C2011" s="1">
        <v>35.25</v>
      </c>
      <c r="D2011" s="2" t="s">
        <v>244</v>
      </c>
      <c r="E2011" s="8">
        <v>1765.0714</v>
      </c>
      <c r="F2011" s="8">
        <f>F2001</f>
        <v>0.2</v>
      </c>
      <c r="G2011" s="8">
        <f>E2011+F2011</f>
        <v>1765.2714000000001</v>
      </c>
      <c r="H2011" s="3">
        <f>B2011*G2011</f>
        <v>62208.164136000007</v>
      </c>
      <c r="I2011" s="3">
        <f>C2011*G2011</f>
        <v>62225.816850000003</v>
      </c>
    </row>
    <row r="2012" spans="1:9" x14ac:dyDescent="0.25">
      <c r="A2012" t="s">
        <v>4</v>
      </c>
      <c r="B2012" s="1">
        <v>20.18</v>
      </c>
      <c r="C2012" s="1">
        <v>20.190000000000001</v>
      </c>
      <c r="D2012" s="2" t="s">
        <v>245</v>
      </c>
      <c r="E2012" s="8">
        <v>3014.9834000000001</v>
      </c>
      <c r="F2012" s="8">
        <f>F2002</f>
        <v>0</v>
      </c>
      <c r="G2012" s="8">
        <f>E2012+F2012</f>
        <v>3014.9834000000001</v>
      </c>
      <c r="H2012" s="3">
        <f>B2012*G2012</f>
        <v>60842.365012000002</v>
      </c>
      <c r="I2012" s="3">
        <f>C2012*G2012</f>
        <v>60872.514846000005</v>
      </c>
    </row>
    <row r="2013" spans="1:9" x14ac:dyDescent="0.25">
      <c r="A2013" t="s">
        <v>6</v>
      </c>
      <c r="B2013" s="1">
        <v>33.03</v>
      </c>
      <c r="C2013" s="1">
        <v>33.04</v>
      </c>
      <c r="D2013" s="2" t="s">
        <v>245</v>
      </c>
      <c r="E2013" s="8">
        <v>1842.1406999999999</v>
      </c>
      <c r="F2013" s="8">
        <f>F2003</f>
        <v>-0.1</v>
      </c>
      <c r="G2013" s="8">
        <f>E2013+F2013</f>
        <v>1842.0407</v>
      </c>
      <c r="H2013" s="3">
        <f>B2013*G2013</f>
        <v>60842.604321000006</v>
      </c>
      <c r="I2013" s="3">
        <f>C2013*G2013</f>
        <v>60861.024727999997</v>
      </c>
    </row>
    <row r="2014" spans="1:9" x14ac:dyDescent="0.25">
      <c r="A2014" t="s">
        <v>7</v>
      </c>
      <c r="B2014" s="1">
        <v>17.149999999999999</v>
      </c>
      <c r="C2014" s="1">
        <v>17.16</v>
      </c>
      <c r="D2014" s="2" t="s">
        <v>245</v>
      </c>
      <c r="E2014" s="8">
        <v>3546.6351</v>
      </c>
      <c r="F2014" s="8">
        <f>F2004</f>
        <v>0</v>
      </c>
      <c r="G2014" s="8">
        <f>E2014+F2014</f>
        <v>3546.6351</v>
      </c>
      <c r="H2014" s="3">
        <f>B2014*G2014</f>
        <v>60824.791964999997</v>
      </c>
      <c r="I2014" s="3">
        <f>C2014*G2014</f>
        <v>60860.258315999999</v>
      </c>
    </row>
    <row r="2015" spans="1:9" x14ac:dyDescent="0.25">
      <c r="A2015" t="s">
        <v>8</v>
      </c>
      <c r="B2015" s="1">
        <v>26.9</v>
      </c>
      <c r="C2015" s="1">
        <v>26.91</v>
      </c>
      <c r="D2015" s="2" t="s">
        <v>245</v>
      </c>
      <c r="E2015" s="8">
        <v>2261.3602000000001</v>
      </c>
      <c r="F2015" s="8">
        <f>F2005</f>
        <v>-0.2</v>
      </c>
      <c r="G2015" s="8">
        <f>E2015+F2015</f>
        <v>2261.1602000000003</v>
      </c>
      <c r="H2015" s="3">
        <f>B2015*G2015</f>
        <v>60825.20938</v>
      </c>
      <c r="I2015" s="3">
        <f>C2015*G2015</f>
        <v>60847.820982000005</v>
      </c>
    </row>
    <row r="2016" spans="1:9" x14ac:dyDescent="0.25">
      <c r="A2016" t="s">
        <v>9</v>
      </c>
      <c r="B2016" s="1">
        <v>64.27</v>
      </c>
      <c r="C2016" s="1">
        <v>64.37</v>
      </c>
      <c r="D2016" s="2" t="s">
        <v>245</v>
      </c>
      <c r="E2016" s="8">
        <v>946.14940000000001</v>
      </c>
      <c r="F2016" s="8">
        <f>F2006</f>
        <v>0</v>
      </c>
      <c r="G2016" s="8">
        <f>E2016+F2016</f>
        <v>946.14940000000001</v>
      </c>
      <c r="H2016" s="3">
        <f>B2016*G2016</f>
        <v>60809.021937999998</v>
      </c>
      <c r="I2016" s="3">
        <f>C2016*G2016</f>
        <v>60903.636878000005</v>
      </c>
    </row>
    <row r="2017" spans="1:9" x14ac:dyDescent="0.25">
      <c r="A2017" t="s">
        <v>10</v>
      </c>
      <c r="B2017" s="1">
        <v>35.15</v>
      </c>
      <c r="C2017" s="1">
        <v>35.17</v>
      </c>
      <c r="D2017" s="2" t="s">
        <v>245</v>
      </c>
      <c r="E2017" s="8">
        <v>1730.1358</v>
      </c>
      <c r="F2017" s="8">
        <f>F2007</f>
        <v>0.2</v>
      </c>
      <c r="G2017" s="8">
        <f>E2017+F2017</f>
        <v>1730.3358000000001</v>
      </c>
      <c r="H2017" s="3">
        <f>B2017*G2017</f>
        <v>60821.303370000001</v>
      </c>
      <c r="I2017" s="3">
        <f>C2017*G2017</f>
        <v>60855.910086000004</v>
      </c>
    </row>
    <row r="2018" spans="1:9" x14ac:dyDescent="0.25">
      <c r="A2018" t="s">
        <v>11</v>
      </c>
      <c r="B2018" s="1">
        <v>52.96</v>
      </c>
      <c r="C2018" s="1">
        <v>52.97</v>
      </c>
      <c r="D2018" s="2" t="s">
        <v>245</v>
      </c>
      <c r="E2018" s="8">
        <v>1148.8689999999999</v>
      </c>
      <c r="F2018" s="8">
        <f>F2008</f>
        <v>0.05</v>
      </c>
      <c r="G2018" s="8">
        <f>E2018+F2018</f>
        <v>1148.9189999999999</v>
      </c>
      <c r="H2018" s="3">
        <f>B2018*G2018</f>
        <v>60846.750239999994</v>
      </c>
      <c r="I2018" s="3">
        <f>C2018*G2018</f>
        <v>60858.239429999994</v>
      </c>
    </row>
    <row r="2019" spans="1:9" x14ac:dyDescent="0.25">
      <c r="A2019" t="s">
        <v>12</v>
      </c>
      <c r="B2019" s="1">
        <v>47.2</v>
      </c>
      <c r="C2019" s="1">
        <v>47.21</v>
      </c>
      <c r="D2019" s="2" t="s">
        <v>245</v>
      </c>
      <c r="E2019" s="8">
        <v>1289.0675000000001</v>
      </c>
      <c r="F2019" s="8">
        <f>F2009</f>
        <v>0</v>
      </c>
      <c r="G2019" s="8">
        <f>E2019+F2019</f>
        <v>1289.0675000000001</v>
      </c>
      <c r="H2019" s="3">
        <f>B2019*G2019</f>
        <v>60843.986000000012</v>
      </c>
      <c r="I2019" s="3">
        <f>C2019*G2019</f>
        <v>60856.876675000007</v>
      </c>
    </row>
    <row r="2020" spans="1:9" x14ac:dyDescent="0.25">
      <c r="A2020" t="s">
        <v>13</v>
      </c>
      <c r="B2020" s="1">
        <v>17.2</v>
      </c>
      <c r="C2020" s="1">
        <v>17.21</v>
      </c>
      <c r="D2020" s="2" t="s">
        <v>245</v>
      </c>
      <c r="E2020" s="8">
        <v>3535.8029000000001</v>
      </c>
      <c r="F2020" s="8">
        <f>F2010</f>
        <v>0</v>
      </c>
      <c r="G2020" s="8">
        <f>E2020+F2020</f>
        <v>3535.8029000000001</v>
      </c>
      <c r="H2020" s="3">
        <f>B2020*G2020</f>
        <v>60815.809880000001</v>
      </c>
      <c r="I2020" s="3">
        <f>C2020*G2020</f>
        <v>60851.167909000003</v>
      </c>
    </row>
    <row r="2021" spans="1:9" x14ac:dyDescent="0.25">
      <c r="A2021" t="s">
        <v>14</v>
      </c>
      <c r="B2021" s="1">
        <v>34.46</v>
      </c>
      <c r="C2021" s="1">
        <v>34.47</v>
      </c>
      <c r="D2021" s="2" t="s">
        <v>245</v>
      </c>
      <c r="E2021" s="8">
        <v>1765.0835</v>
      </c>
      <c r="F2021" s="8">
        <f>F2011</f>
        <v>0.2</v>
      </c>
      <c r="G2021" s="8">
        <f>E2021+F2021</f>
        <v>1765.2835</v>
      </c>
      <c r="H2021" s="3">
        <f>B2021*G2021</f>
        <v>60831.669410000002</v>
      </c>
      <c r="I2021" s="3">
        <f>C2021*G2021</f>
        <v>60849.322244999996</v>
      </c>
    </row>
    <row r="2022" spans="1:9" x14ac:dyDescent="0.25">
      <c r="A2022" t="s">
        <v>4</v>
      </c>
      <c r="B2022" s="1">
        <v>20.2</v>
      </c>
      <c r="C2022" s="1">
        <v>20.21</v>
      </c>
      <c r="D2022" s="2" t="s">
        <v>246</v>
      </c>
      <c r="E2022" s="8">
        <v>3014.9834000000001</v>
      </c>
      <c r="F2022" s="8">
        <f>F2012</f>
        <v>0</v>
      </c>
      <c r="G2022" s="8">
        <f>E2022+F2022</f>
        <v>3014.9834000000001</v>
      </c>
      <c r="H2022" s="3">
        <f>B2022*G2022</f>
        <v>60902.664680000002</v>
      </c>
      <c r="I2022" s="3">
        <f>C2022*G2022</f>
        <v>60932.814514000005</v>
      </c>
    </row>
    <row r="2023" spans="1:9" x14ac:dyDescent="0.25">
      <c r="A2023" t="s">
        <v>6</v>
      </c>
      <c r="B2023" s="1">
        <v>33.07</v>
      </c>
      <c r="C2023" s="1">
        <v>33.08</v>
      </c>
      <c r="D2023" s="2" t="s">
        <v>246</v>
      </c>
      <c r="E2023" s="8">
        <v>1842.1406999999999</v>
      </c>
      <c r="F2023" s="8">
        <f>F2013</f>
        <v>-0.1</v>
      </c>
      <c r="G2023" s="8">
        <f>E2023+F2023</f>
        <v>1842.0407</v>
      </c>
      <c r="H2023" s="3">
        <f>B2023*G2023</f>
        <v>60916.285949000005</v>
      </c>
      <c r="I2023" s="3">
        <f>C2023*G2023</f>
        <v>60934.706355999995</v>
      </c>
    </row>
    <row r="2024" spans="1:9" x14ac:dyDescent="0.25">
      <c r="A2024" t="s">
        <v>7</v>
      </c>
      <c r="B2024" s="1">
        <v>17.170000000000002</v>
      </c>
      <c r="C2024" s="1">
        <v>17.18</v>
      </c>
      <c r="D2024" s="2" t="s">
        <v>246</v>
      </c>
      <c r="E2024" s="8">
        <v>3546.6351</v>
      </c>
      <c r="F2024" s="8">
        <f>F2014</f>
        <v>0</v>
      </c>
      <c r="G2024" s="8">
        <f>E2024+F2024</f>
        <v>3546.6351</v>
      </c>
      <c r="H2024" s="3">
        <f>B2024*G2024</f>
        <v>60895.724667000002</v>
      </c>
      <c r="I2024" s="3">
        <f>C2024*G2024</f>
        <v>60931.191017999998</v>
      </c>
    </row>
    <row r="2025" spans="1:9" x14ac:dyDescent="0.25">
      <c r="A2025" t="s">
        <v>8</v>
      </c>
      <c r="B2025" s="1">
        <v>26.94</v>
      </c>
      <c r="C2025" s="1">
        <v>26.95</v>
      </c>
      <c r="D2025" s="2" t="s">
        <v>246</v>
      </c>
      <c r="E2025" s="8">
        <v>2261.3602000000001</v>
      </c>
      <c r="F2025" s="8">
        <f>F2015</f>
        <v>-0.2</v>
      </c>
      <c r="G2025" s="8">
        <f>E2025+F2025</f>
        <v>2261.1602000000003</v>
      </c>
      <c r="H2025" s="3">
        <f>B2025*G2025</f>
        <v>60915.655788000011</v>
      </c>
      <c r="I2025" s="3">
        <f>C2025*G2025</f>
        <v>60938.267390000008</v>
      </c>
    </row>
    <row r="2026" spans="1:9" x14ac:dyDescent="0.25">
      <c r="A2026" t="s">
        <v>9</v>
      </c>
      <c r="B2026" s="1">
        <v>64.33</v>
      </c>
      <c r="C2026" s="1">
        <v>64.42</v>
      </c>
      <c r="D2026" s="2" t="s">
        <v>246</v>
      </c>
      <c r="E2026" s="8">
        <v>946.14940000000001</v>
      </c>
      <c r="F2026" s="8">
        <f>F2016</f>
        <v>0</v>
      </c>
      <c r="G2026" s="8">
        <f>E2026+F2026</f>
        <v>946.14940000000001</v>
      </c>
      <c r="H2026" s="3">
        <f>B2026*G2026</f>
        <v>60865.790902000001</v>
      </c>
      <c r="I2026" s="3">
        <f>C2026*G2026</f>
        <v>60950.944348000005</v>
      </c>
    </row>
    <row r="2027" spans="1:9" x14ac:dyDescent="0.25">
      <c r="A2027" t="s">
        <v>10</v>
      </c>
      <c r="B2027" s="1">
        <v>35.18</v>
      </c>
      <c r="C2027" s="1">
        <v>35.21</v>
      </c>
      <c r="D2027" s="2" t="s">
        <v>246</v>
      </c>
      <c r="E2027" s="8">
        <v>1730.1358</v>
      </c>
      <c r="F2027" s="8">
        <f>F2017</f>
        <v>0.2</v>
      </c>
      <c r="G2027" s="8">
        <f>E2027+F2027</f>
        <v>1730.3358000000001</v>
      </c>
      <c r="H2027" s="3">
        <f>B2027*G2027</f>
        <v>60873.213444000001</v>
      </c>
      <c r="I2027" s="3">
        <f>C2027*G2027</f>
        <v>60925.123518</v>
      </c>
    </row>
    <row r="2028" spans="1:9" x14ac:dyDescent="0.25">
      <c r="A2028" t="s">
        <v>11</v>
      </c>
      <c r="B2028" s="1">
        <v>53.01</v>
      </c>
      <c r="C2028" s="1">
        <v>53.02</v>
      </c>
      <c r="D2028" s="2" t="s">
        <v>246</v>
      </c>
      <c r="E2028" s="8">
        <v>1148.8689999999999</v>
      </c>
      <c r="F2028" s="8">
        <f>F2018</f>
        <v>0.05</v>
      </c>
      <c r="G2028" s="8">
        <f>E2028+F2028</f>
        <v>1148.9189999999999</v>
      </c>
      <c r="H2028" s="3">
        <f>B2028*G2028</f>
        <v>60904.196189999988</v>
      </c>
      <c r="I2028" s="3">
        <f>C2028*G2028</f>
        <v>60915.685379999995</v>
      </c>
    </row>
    <row r="2029" spans="1:9" x14ac:dyDescent="0.25">
      <c r="A2029" t="s">
        <v>12</v>
      </c>
      <c r="B2029" s="1">
        <v>47.26</v>
      </c>
      <c r="C2029" s="1">
        <v>47.27</v>
      </c>
      <c r="D2029" s="2" t="s">
        <v>246</v>
      </c>
      <c r="E2029" s="8">
        <v>1289.0675000000001</v>
      </c>
      <c r="F2029" s="8">
        <f>F2019</f>
        <v>0</v>
      </c>
      <c r="G2029" s="8">
        <f>E2029+F2029</f>
        <v>1289.0675000000001</v>
      </c>
      <c r="H2029" s="3">
        <f>B2029*G2029</f>
        <v>60921.330050000004</v>
      </c>
      <c r="I2029" s="3">
        <f>C2029*G2029</f>
        <v>60934.220725000006</v>
      </c>
    </row>
    <row r="2030" spans="1:9" x14ac:dyDescent="0.25">
      <c r="A2030" t="s">
        <v>13</v>
      </c>
      <c r="B2030" s="1">
        <v>17.22</v>
      </c>
      <c r="C2030" s="1">
        <v>17.23</v>
      </c>
      <c r="D2030" s="2" t="s">
        <v>246</v>
      </c>
      <c r="E2030" s="8">
        <v>3535.8029000000001</v>
      </c>
      <c r="F2030" s="8">
        <f>F2020</f>
        <v>0</v>
      </c>
      <c r="G2030" s="8">
        <f>E2030+F2030</f>
        <v>3535.8029000000001</v>
      </c>
      <c r="H2030" s="3">
        <f>B2030*G2030</f>
        <v>60886.525937999999</v>
      </c>
      <c r="I2030" s="3">
        <f>C2030*G2030</f>
        <v>60921.883967000002</v>
      </c>
    </row>
    <row r="2031" spans="1:9" x14ac:dyDescent="0.25">
      <c r="A2031" t="s">
        <v>14</v>
      </c>
      <c r="B2031" s="1">
        <v>34.5</v>
      </c>
      <c r="C2031" s="1">
        <v>34.51</v>
      </c>
      <c r="D2031" s="2" t="s">
        <v>246</v>
      </c>
      <c r="E2031" s="8">
        <v>1765.0835</v>
      </c>
      <c r="F2031" s="8">
        <f>F2021</f>
        <v>0.2</v>
      </c>
      <c r="G2031" s="8">
        <f>E2031+F2031</f>
        <v>1765.2835</v>
      </c>
      <c r="H2031" s="3">
        <f>B2031*G2031</f>
        <v>60902.280749999998</v>
      </c>
      <c r="I2031" s="3">
        <f>C2031*G2031</f>
        <v>60919.933584999999</v>
      </c>
    </row>
    <row r="2032" spans="1:9" x14ac:dyDescent="0.25">
      <c r="A2032" t="s">
        <v>4</v>
      </c>
      <c r="B2032" s="1">
        <v>20.11</v>
      </c>
      <c r="C2032" s="1">
        <v>20.12</v>
      </c>
      <c r="D2032" s="2" t="s">
        <v>247</v>
      </c>
      <c r="E2032" s="8">
        <v>3014.9834000000001</v>
      </c>
      <c r="F2032" s="8">
        <f>F2022</f>
        <v>0</v>
      </c>
      <c r="G2032" s="8">
        <f>E2032+F2032</f>
        <v>3014.9834000000001</v>
      </c>
      <c r="H2032" s="3">
        <f>B2032*G2032</f>
        <v>60631.316174</v>
      </c>
      <c r="I2032" s="3">
        <f>C2032*G2032</f>
        <v>60661.466008000003</v>
      </c>
    </row>
    <row r="2033" spans="1:9" x14ac:dyDescent="0.25">
      <c r="A2033" t="s">
        <v>6</v>
      </c>
      <c r="B2033" s="1">
        <v>32.909999999999997</v>
      </c>
      <c r="C2033" s="1">
        <v>32.92</v>
      </c>
      <c r="D2033" s="2" t="s">
        <v>247</v>
      </c>
      <c r="E2033" s="8">
        <v>1842.1406999999999</v>
      </c>
      <c r="F2033" s="8">
        <f>F2023</f>
        <v>-0.1</v>
      </c>
      <c r="G2033" s="8">
        <f>E2033+F2033</f>
        <v>1842.0407</v>
      </c>
      <c r="H2033" s="3">
        <f>B2033*G2033</f>
        <v>60621.559436999996</v>
      </c>
      <c r="I2033" s="3">
        <f>C2033*G2033</f>
        <v>60639.979844000001</v>
      </c>
    </row>
    <row r="2034" spans="1:9" x14ac:dyDescent="0.25">
      <c r="A2034" t="s">
        <v>7</v>
      </c>
      <c r="B2034" s="1">
        <v>17.09</v>
      </c>
      <c r="C2034" s="1">
        <v>17.100000000000001</v>
      </c>
      <c r="D2034" s="2" t="s">
        <v>247</v>
      </c>
      <c r="E2034" s="8">
        <v>3546.6351</v>
      </c>
      <c r="F2034" s="8">
        <f>F2024</f>
        <v>0</v>
      </c>
      <c r="G2034" s="8">
        <f>E2034+F2034</f>
        <v>3546.6351</v>
      </c>
      <c r="H2034" s="3">
        <f>B2034*G2034</f>
        <v>60611.993859000002</v>
      </c>
      <c r="I2034" s="3">
        <f>C2034*G2034</f>
        <v>60647.460210000005</v>
      </c>
    </row>
    <row r="2035" spans="1:9" x14ac:dyDescent="0.25">
      <c r="A2035" t="s">
        <v>8</v>
      </c>
      <c r="B2035" s="1">
        <v>26.81</v>
      </c>
      <c r="C2035" s="1">
        <v>26.82</v>
      </c>
      <c r="D2035" s="2" t="s">
        <v>247</v>
      </c>
      <c r="E2035" s="8">
        <v>2261.3602000000001</v>
      </c>
      <c r="F2035" s="8">
        <f>F2025</f>
        <v>-0.2</v>
      </c>
      <c r="G2035" s="8">
        <f>E2035+F2035</f>
        <v>2261.1602000000003</v>
      </c>
      <c r="H2035" s="3">
        <f>B2035*G2035</f>
        <v>60621.704962000003</v>
      </c>
      <c r="I2035" s="3">
        <f>C2035*G2035</f>
        <v>60644.316564000008</v>
      </c>
    </row>
    <row r="2036" spans="1:9" x14ac:dyDescent="0.25">
      <c r="A2036" t="s">
        <v>9</v>
      </c>
      <c r="B2036" s="1">
        <v>64.02</v>
      </c>
      <c r="C2036" s="1">
        <v>64.14</v>
      </c>
      <c r="D2036" s="2" t="s">
        <v>247</v>
      </c>
      <c r="E2036" s="8">
        <v>946.14940000000001</v>
      </c>
      <c r="F2036" s="8">
        <f>F2026</f>
        <v>0</v>
      </c>
      <c r="G2036" s="8">
        <f>E2036+F2036</f>
        <v>946.14940000000001</v>
      </c>
      <c r="H2036" s="3">
        <f>B2036*G2036</f>
        <v>60572.484587999999</v>
      </c>
      <c r="I2036" s="3">
        <f>C2036*G2036</f>
        <v>60686.022516000005</v>
      </c>
    </row>
    <row r="2037" spans="1:9" x14ac:dyDescent="0.25">
      <c r="A2037" t="s">
        <v>10</v>
      </c>
      <c r="B2037" s="1">
        <v>35.020000000000003</v>
      </c>
      <c r="C2037" s="1">
        <v>35.04</v>
      </c>
      <c r="D2037" s="2" t="s">
        <v>247</v>
      </c>
      <c r="E2037" s="8">
        <v>1730.1358</v>
      </c>
      <c r="F2037" s="8">
        <f>F2027</f>
        <v>0.2</v>
      </c>
      <c r="G2037" s="8">
        <f>E2037+F2037</f>
        <v>1730.3358000000001</v>
      </c>
      <c r="H2037" s="3">
        <f>B2037*G2037</f>
        <v>60596.359716000006</v>
      </c>
      <c r="I2037" s="3">
        <f>C2037*G2037</f>
        <v>60630.966432000001</v>
      </c>
    </row>
    <row r="2038" spans="1:9" x14ac:dyDescent="0.25">
      <c r="A2038" t="s">
        <v>11</v>
      </c>
      <c r="B2038" s="1">
        <v>52.76</v>
      </c>
      <c r="C2038" s="1">
        <v>52.77</v>
      </c>
      <c r="D2038" s="2" t="s">
        <v>247</v>
      </c>
      <c r="E2038" s="8">
        <v>1148.8689999999999</v>
      </c>
      <c r="F2038" s="8">
        <f>F2028</f>
        <v>0.05</v>
      </c>
      <c r="G2038" s="8">
        <f>E2038+F2038</f>
        <v>1148.9189999999999</v>
      </c>
      <c r="H2038" s="3">
        <f>B2038*G2038</f>
        <v>60616.966439999989</v>
      </c>
      <c r="I2038" s="3">
        <f>C2038*G2038</f>
        <v>60628.455629999997</v>
      </c>
    </row>
    <row r="2039" spans="1:9" x14ac:dyDescent="0.25">
      <c r="A2039" t="s">
        <v>12</v>
      </c>
      <c r="B2039" s="1">
        <v>47.03</v>
      </c>
      <c r="C2039" s="1">
        <v>47.04</v>
      </c>
      <c r="D2039" s="2" t="s">
        <v>247</v>
      </c>
      <c r="E2039" s="8">
        <v>1289.0675000000001</v>
      </c>
      <c r="F2039" s="8">
        <f>F2029</f>
        <v>0</v>
      </c>
      <c r="G2039" s="8">
        <f>E2039+F2039</f>
        <v>1289.0675000000001</v>
      </c>
      <c r="H2039" s="3">
        <f>B2039*G2039</f>
        <v>60624.844525000008</v>
      </c>
      <c r="I2039" s="3">
        <f>C2039*G2039</f>
        <v>60637.735200000003</v>
      </c>
    </row>
    <row r="2040" spans="1:9" x14ac:dyDescent="0.25">
      <c r="A2040" t="s">
        <v>13</v>
      </c>
      <c r="B2040" s="1">
        <v>17.14</v>
      </c>
      <c r="C2040" s="1">
        <v>17.149999999999999</v>
      </c>
      <c r="D2040" s="2" t="s">
        <v>247</v>
      </c>
      <c r="E2040" s="8">
        <v>3535.8029000000001</v>
      </c>
      <c r="F2040" s="8">
        <f>F2030</f>
        <v>0</v>
      </c>
      <c r="G2040" s="8">
        <f>E2040+F2040</f>
        <v>3535.8029000000001</v>
      </c>
      <c r="H2040" s="3">
        <f>B2040*G2040</f>
        <v>60603.661706000006</v>
      </c>
      <c r="I2040" s="3">
        <f>C2040*G2040</f>
        <v>60639.019734999994</v>
      </c>
    </row>
    <row r="2041" spans="1:9" x14ac:dyDescent="0.25">
      <c r="A2041" t="s">
        <v>14</v>
      </c>
      <c r="B2041" s="1">
        <v>34.33</v>
      </c>
      <c r="C2041" s="1">
        <v>34.340000000000003</v>
      </c>
      <c r="D2041" s="2" t="s">
        <v>247</v>
      </c>
      <c r="E2041" s="8">
        <v>1765.0835</v>
      </c>
      <c r="F2041" s="8">
        <f>F2031</f>
        <v>0.2</v>
      </c>
      <c r="G2041" s="8">
        <f>E2041+F2041</f>
        <v>1765.2835</v>
      </c>
      <c r="H2041" s="3">
        <f>B2041*G2041</f>
        <v>60602.182554999999</v>
      </c>
      <c r="I2041" s="3">
        <f>C2041*G2041</f>
        <v>60619.835390000007</v>
      </c>
    </row>
    <row r="2042" spans="1:9" x14ac:dyDescent="0.25">
      <c r="A2042" t="s">
        <v>4</v>
      </c>
      <c r="B2042" s="1">
        <v>20.02</v>
      </c>
      <c r="C2042" s="1">
        <v>20.03</v>
      </c>
      <c r="D2042" s="2" t="s">
        <v>248</v>
      </c>
      <c r="E2042" s="8">
        <v>3014.9834000000001</v>
      </c>
      <c r="F2042" s="8">
        <f>F2032</f>
        <v>0</v>
      </c>
      <c r="G2042" s="8">
        <f>E2042+F2042</f>
        <v>3014.9834000000001</v>
      </c>
      <c r="H2042" s="3">
        <f>B2042*G2042</f>
        <v>60359.967667999998</v>
      </c>
      <c r="I2042" s="3">
        <f>C2042*G2042</f>
        <v>60390.117502000008</v>
      </c>
    </row>
    <row r="2043" spans="1:9" x14ac:dyDescent="0.25">
      <c r="A2043" t="s">
        <v>6</v>
      </c>
      <c r="B2043" s="1">
        <v>32.770000000000003</v>
      </c>
      <c r="C2043" s="1">
        <v>32.78</v>
      </c>
      <c r="D2043" s="2" t="s">
        <v>248</v>
      </c>
      <c r="E2043" s="8">
        <v>1842.1406999999999</v>
      </c>
      <c r="F2043" s="8">
        <f>F2033</f>
        <v>-0.1</v>
      </c>
      <c r="G2043" s="8">
        <f>E2043+F2043</f>
        <v>1842.0407</v>
      </c>
      <c r="H2043" s="3">
        <f>B2043*G2043</f>
        <v>60363.673739000005</v>
      </c>
      <c r="I2043" s="3">
        <f>C2043*G2043</f>
        <v>60382.094146000003</v>
      </c>
    </row>
    <row r="2044" spans="1:9" x14ac:dyDescent="0.25">
      <c r="A2044" t="s">
        <v>7</v>
      </c>
      <c r="B2044" s="1">
        <v>17.02</v>
      </c>
      <c r="C2044" s="1">
        <v>17.03</v>
      </c>
      <c r="D2044" s="2" t="s">
        <v>248</v>
      </c>
      <c r="E2044" s="8">
        <v>3546.6351</v>
      </c>
      <c r="F2044" s="8">
        <f>F2034</f>
        <v>0</v>
      </c>
      <c r="G2044" s="8">
        <f>E2044+F2044</f>
        <v>3546.6351</v>
      </c>
      <c r="H2044" s="3">
        <f>B2044*G2044</f>
        <v>60363.729401999997</v>
      </c>
      <c r="I2044" s="3">
        <f>C2044*G2044</f>
        <v>60399.195753</v>
      </c>
    </row>
    <row r="2045" spans="1:9" x14ac:dyDescent="0.25">
      <c r="A2045" t="s">
        <v>8</v>
      </c>
      <c r="B2045" s="1">
        <v>26.7</v>
      </c>
      <c r="C2045" s="1">
        <v>26.71</v>
      </c>
      <c r="D2045" s="2" t="s">
        <v>248</v>
      </c>
      <c r="E2045" s="8">
        <v>2261.3602000000001</v>
      </c>
      <c r="F2045" s="8">
        <f>F2035</f>
        <v>-0.2</v>
      </c>
      <c r="G2045" s="8">
        <f>E2045+F2045</f>
        <v>2261.1602000000003</v>
      </c>
      <c r="H2045" s="3">
        <f>B2045*G2045</f>
        <v>60372.977340000005</v>
      </c>
      <c r="I2045" s="3">
        <f>C2045*G2045</f>
        <v>60395.588942000009</v>
      </c>
    </row>
    <row r="2046" spans="1:9" x14ac:dyDescent="0.25">
      <c r="A2046" t="s">
        <v>9</v>
      </c>
      <c r="B2046" s="1">
        <v>63.76</v>
      </c>
      <c r="C2046" s="1">
        <v>63.88</v>
      </c>
      <c r="D2046" s="2" t="s">
        <v>248</v>
      </c>
      <c r="E2046" s="8">
        <v>946.14940000000001</v>
      </c>
      <c r="F2046" s="8">
        <f>F2036</f>
        <v>0</v>
      </c>
      <c r="G2046" s="8">
        <f>E2046+F2046</f>
        <v>946.14940000000001</v>
      </c>
      <c r="H2046" s="3">
        <f>B2046*G2046</f>
        <v>60326.485743999998</v>
      </c>
      <c r="I2046" s="3">
        <f>C2046*G2046</f>
        <v>60440.023672000003</v>
      </c>
    </row>
    <row r="2047" spans="1:9" x14ac:dyDescent="0.25">
      <c r="A2047" t="s">
        <v>10</v>
      </c>
      <c r="B2047" s="1">
        <v>34.880000000000003</v>
      </c>
      <c r="C2047" s="1">
        <v>34.9</v>
      </c>
      <c r="D2047" s="2" t="s">
        <v>248</v>
      </c>
      <c r="E2047" s="8">
        <v>1730.1358</v>
      </c>
      <c r="F2047" s="8">
        <f>F2037</f>
        <v>0.2</v>
      </c>
      <c r="G2047" s="8">
        <f>E2047+F2047</f>
        <v>1730.3358000000001</v>
      </c>
      <c r="H2047" s="3">
        <f>B2047*G2047</f>
        <v>60354.112704000006</v>
      </c>
      <c r="I2047" s="3">
        <f>C2047*G2047</f>
        <v>60388.719420000001</v>
      </c>
    </row>
    <row r="2048" spans="1:9" x14ac:dyDescent="0.25">
      <c r="A2048" t="s">
        <v>11</v>
      </c>
      <c r="B2048" s="1">
        <v>52.54</v>
      </c>
      <c r="C2048" s="1">
        <v>52.55</v>
      </c>
      <c r="D2048" s="2" t="s">
        <v>248</v>
      </c>
      <c r="E2048" s="8">
        <v>1148.8689999999999</v>
      </c>
      <c r="F2048" s="8">
        <f>F2038</f>
        <v>0.05</v>
      </c>
      <c r="G2048" s="8">
        <f>E2048+F2048</f>
        <v>1148.9189999999999</v>
      </c>
      <c r="H2048" s="3">
        <f>B2048*G2048</f>
        <v>60364.204259999991</v>
      </c>
      <c r="I2048" s="3">
        <f>C2048*G2048</f>
        <v>60375.693449999992</v>
      </c>
    </row>
    <row r="2049" spans="1:9" x14ac:dyDescent="0.25">
      <c r="A2049" t="s">
        <v>12</v>
      </c>
      <c r="B2049" s="1">
        <v>46.83</v>
      </c>
      <c r="C2049" s="1">
        <v>46.84</v>
      </c>
      <c r="D2049" s="2" t="s">
        <v>248</v>
      </c>
      <c r="E2049" s="8">
        <v>1289.0675000000001</v>
      </c>
      <c r="F2049" s="8">
        <f>F2039</f>
        <v>0</v>
      </c>
      <c r="G2049" s="8">
        <f>E2049+F2049</f>
        <v>1289.0675000000001</v>
      </c>
      <c r="H2049" s="3">
        <f>B2049*G2049</f>
        <v>60367.031025000004</v>
      </c>
      <c r="I2049" s="3">
        <f>C2049*G2049</f>
        <v>60379.921700000006</v>
      </c>
    </row>
    <row r="2050" spans="1:9" x14ac:dyDescent="0.25">
      <c r="A2050" t="s">
        <v>13</v>
      </c>
      <c r="B2050" s="1">
        <v>17.07</v>
      </c>
      <c r="C2050" s="1">
        <v>17.079999999999998</v>
      </c>
      <c r="D2050" s="2" t="s">
        <v>248</v>
      </c>
      <c r="E2050" s="8">
        <v>3535.8029000000001</v>
      </c>
      <c r="F2050" s="8">
        <f>F2040</f>
        <v>0</v>
      </c>
      <c r="G2050" s="8">
        <f>E2050+F2050</f>
        <v>3535.8029000000001</v>
      </c>
      <c r="H2050" s="3">
        <f>B2050*G2050</f>
        <v>60356.155503000002</v>
      </c>
      <c r="I2050" s="3">
        <f>C2050*G2050</f>
        <v>60391.513531999997</v>
      </c>
    </row>
    <row r="2051" spans="1:9" x14ac:dyDescent="0.25">
      <c r="A2051" t="s">
        <v>14</v>
      </c>
      <c r="B2051" s="1">
        <v>34.19</v>
      </c>
      <c r="C2051" s="1">
        <v>34.200000000000003</v>
      </c>
      <c r="D2051" s="2" t="s">
        <v>248</v>
      </c>
      <c r="E2051" s="8">
        <v>1765.0835</v>
      </c>
      <c r="F2051" s="8">
        <f>F2041</f>
        <v>0.2</v>
      </c>
      <c r="G2051" s="8">
        <f>E2051+F2051</f>
        <v>1765.2835</v>
      </c>
      <c r="H2051" s="3">
        <f>B2051*G2051</f>
        <v>60355.042864999996</v>
      </c>
      <c r="I2051" s="3">
        <f>C2051*G2051</f>
        <v>60372.695700000004</v>
      </c>
    </row>
    <row r="2052" spans="1:9" x14ac:dyDescent="0.25">
      <c r="A2052" t="s">
        <v>4</v>
      </c>
      <c r="B2052" s="1">
        <v>19.97</v>
      </c>
      <c r="C2052" s="1">
        <v>19.98</v>
      </c>
      <c r="D2052" s="2" t="s">
        <v>249</v>
      </c>
      <c r="E2052" s="8">
        <v>3014.9834000000001</v>
      </c>
      <c r="F2052" s="8">
        <f>F2042</f>
        <v>0</v>
      </c>
      <c r="G2052" s="8">
        <f>E2052+F2052</f>
        <v>3014.9834000000001</v>
      </c>
      <c r="H2052" s="3">
        <f>B2052*G2052</f>
        <v>60209.218497999995</v>
      </c>
      <c r="I2052" s="3">
        <f>C2052*G2052</f>
        <v>60239.368332000005</v>
      </c>
    </row>
    <row r="2053" spans="1:9" x14ac:dyDescent="0.25">
      <c r="A2053" t="s">
        <v>6</v>
      </c>
      <c r="B2053" s="1">
        <v>32.68</v>
      </c>
      <c r="C2053" s="1">
        <v>32.69</v>
      </c>
      <c r="D2053" s="2" t="s">
        <v>249</v>
      </c>
      <c r="E2053" s="8">
        <v>1842.1406999999999</v>
      </c>
      <c r="F2053" s="8">
        <f>F2043</f>
        <v>-0.1</v>
      </c>
      <c r="G2053" s="8">
        <f>E2053+F2053</f>
        <v>1842.0407</v>
      </c>
      <c r="H2053" s="3">
        <f>B2053*G2053</f>
        <v>60197.890076000003</v>
      </c>
      <c r="I2053" s="3">
        <f>C2053*G2053</f>
        <v>60216.310482999994</v>
      </c>
    </row>
    <row r="2054" spans="1:9" x14ac:dyDescent="0.25">
      <c r="A2054" t="s">
        <v>7</v>
      </c>
      <c r="B2054" s="1">
        <v>16.97</v>
      </c>
      <c r="C2054" s="1">
        <v>16.98</v>
      </c>
      <c r="D2054" s="2" t="s">
        <v>249</v>
      </c>
      <c r="E2054" s="8">
        <v>3546.6351</v>
      </c>
      <c r="F2054" s="8">
        <f>F2044</f>
        <v>0</v>
      </c>
      <c r="G2054" s="8">
        <f>E2054+F2054</f>
        <v>3546.6351</v>
      </c>
      <c r="H2054" s="3">
        <f>B2054*G2054</f>
        <v>60186.397646999998</v>
      </c>
      <c r="I2054" s="3">
        <f>C2054*G2054</f>
        <v>60221.863998000001</v>
      </c>
    </row>
    <row r="2055" spans="1:9" x14ac:dyDescent="0.25">
      <c r="A2055" t="s">
        <v>8</v>
      </c>
      <c r="B2055" s="1">
        <v>26.62</v>
      </c>
      <c r="C2055" s="1">
        <v>26.63</v>
      </c>
      <c r="D2055" s="2" t="s">
        <v>249</v>
      </c>
      <c r="E2055" s="8">
        <v>2261.3602000000001</v>
      </c>
      <c r="F2055" s="8">
        <f>F2045</f>
        <v>-0.2</v>
      </c>
      <c r="G2055" s="8">
        <f>E2055+F2055</f>
        <v>2261.1602000000003</v>
      </c>
      <c r="H2055" s="3">
        <f>B2055*G2055</f>
        <v>60192.084524000013</v>
      </c>
      <c r="I2055" s="3">
        <f>C2055*G2055</f>
        <v>60214.696126000003</v>
      </c>
    </row>
    <row r="2056" spans="1:9" x14ac:dyDescent="0.25">
      <c r="A2056" t="s">
        <v>9</v>
      </c>
      <c r="B2056" s="1">
        <v>63.56</v>
      </c>
      <c r="C2056" s="1">
        <v>63.65</v>
      </c>
      <c r="D2056" s="2" t="s">
        <v>249</v>
      </c>
      <c r="E2056" s="8">
        <v>946.14940000000001</v>
      </c>
      <c r="F2056" s="8">
        <f>F2046</f>
        <v>0</v>
      </c>
      <c r="G2056" s="8">
        <f>E2056+F2056</f>
        <v>946.14940000000001</v>
      </c>
      <c r="H2056" s="3">
        <f>B2056*G2056</f>
        <v>60137.255864000006</v>
      </c>
      <c r="I2056" s="3">
        <f>C2056*G2056</f>
        <v>60222.409310000003</v>
      </c>
    </row>
    <row r="2057" spans="1:9" x14ac:dyDescent="0.25">
      <c r="A2057" t="s">
        <v>10</v>
      </c>
      <c r="B2057" s="1">
        <v>34.770000000000003</v>
      </c>
      <c r="C2057" s="1">
        <v>34.799999999999997</v>
      </c>
      <c r="D2057" s="2" t="s">
        <v>249</v>
      </c>
      <c r="E2057" s="8">
        <v>1730.1358</v>
      </c>
      <c r="F2057" s="8">
        <f>F2047</f>
        <v>0.2</v>
      </c>
      <c r="G2057" s="8">
        <f>E2057+F2057</f>
        <v>1730.3358000000001</v>
      </c>
      <c r="H2057" s="3">
        <f>B2057*G2057</f>
        <v>60163.775766000006</v>
      </c>
      <c r="I2057" s="3">
        <f>C2057*G2057</f>
        <v>60215.685839999998</v>
      </c>
    </row>
    <row r="2058" spans="1:9" x14ac:dyDescent="0.25">
      <c r="A2058" t="s">
        <v>11</v>
      </c>
      <c r="B2058" s="1">
        <v>52.38</v>
      </c>
      <c r="C2058" s="1">
        <v>52.39</v>
      </c>
      <c r="D2058" s="2" t="s">
        <v>249</v>
      </c>
      <c r="E2058" s="8">
        <v>1148.8689999999999</v>
      </c>
      <c r="F2058" s="8">
        <f>F2048</f>
        <v>0.05</v>
      </c>
      <c r="G2058" s="8">
        <f>E2058+F2058</f>
        <v>1148.9189999999999</v>
      </c>
      <c r="H2058" s="3">
        <f>B2058*G2058</f>
        <v>60180.377219999995</v>
      </c>
      <c r="I2058" s="3">
        <f>C2058*G2058</f>
        <v>60191.866409999995</v>
      </c>
    </row>
    <row r="2059" spans="1:9" x14ac:dyDescent="0.25">
      <c r="A2059" t="s">
        <v>12</v>
      </c>
      <c r="B2059" s="1">
        <v>46.69</v>
      </c>
      <c r="C2059" s="1">
        <v>46.7</v>
      </c>
      <c r="D2059" s="2" t="s">
        <v>249</v>
      </c>
      <c r="E2059" s="8">
        <v>1289.0675000000001</v>
      </c>
      <c r="F2059" s="8">
        <f>F2049</f>
        <v>0</v>
      </c>
      <c r="G2059" s="8">
        <f>E2059+F2059</f>
        <v>1289.0675000000001</v>
      </c>
      <c r="H2059" s="3">
        <f>B2059*G2059</f>
        <v>60186.561575</v>
      </c>
      <c r="I2059" s="3">
        <f>C2059*G2059</f>
        <v>60199.452250000009</v>
      </c>
    </row>
    <row r="2060" spans="1:9" x14ac:dyDescent="0.25">
      <c r="A2060" t="s">
        <v>13</v>
      </c>
      <c r="B2060" s="1">
        <v>17.02</v>
      </c>
      <c r="C2060" s="1">
        <v>17.03</v>
      </c>
      <c r="D2060" s="2" t="s">
        <v>249</v>
      </c>
      <c r="E2060" s="8">
        <v>3535.8029000000001</v>
      </c>
      <c r="F2060" s="8">
        <f>F2050</f>
        <v>0</v>
      </c>
      <c r="G2060" s="8">
        <f>E2060+F2060</f>
        <v>3535.8029000000001</v>
      </c>
      <c r="H2060" s="3">
        <f>B2060*G2060</f>
        <v>60179.365358000003</v>
      </c>
      <c r="I2060" s="3">
        <f>C2060*G2060</f>
        <v>60214.723387000005</v>
      </c>
    </row>
    <row r="2061" spans="1:9" x14ac:dyDescent="0.25">
      <c r="A2061" t="s">
        <v>14</v>
      </c>
      <c r="B2061" s="1">
        <v>34.08</v>
      </c>
      <c r="C2061" s="1">
        <v>34.090000000000003</v>
      </c>
      <c r="D2061" s="2" t="s">
        <v>249</v>
      </c>
      <c r="E2061" s="8">
        <v>1765.0835</v>
      </c>
      <c r="F2061" s="8">
        <f>F2051</f>
        <v>0.2</v>
      </c>
      <c r="G2061" s="8">
        <f>E2061+F2061</f>
        <v>1765.2835</v>
      </c>
      <c r="H2061" s="3">
        <f>B2061*G2061</f>
        <v>60160.861679999995</v>
      </c>
      <c r="I2061" s="3">
        <f>C2061*G2061</f>
        <v>60178.514515000003</v>
      </c>
    </row>
    <row r="2062" spans="1:9" x14ac:dyDescent="0.25">
      <c r="A2062" t="s">
        <v>4</v>
      </c>
      <c r="B2062" s="1">
        <v>20.03</v>
      </c>
      <c r="C2062" s="1">
        <v>20.04</v>
      </c>
      <c r="D2062" s="2" t="s">
        <v>250</v>
      </c>
      <c r="E2062" s="8">
        <v>3014.9834000000001</v>
      </c>
      <c r="F2062" s="8">
        <f>F2052</f>
        <v>0</v>
      </c>
      <c r="G2062" s="8">
        <f>E2062+F2062</f>
        <v>3014.9834000000001</v>
      </c>
      <c r="H2062" s="3">
        <f>B2062*G2062</f>
        <v>60390.117502000008</v>
      </c>
      <c r="I2062" s="3">
        <f>C2062*G2062</f>
        <v>60420.267335999997</v>
      </c>
    </row>
    <row r="2063" spans="1:9" x14ac:dyDescent="0.25">
      <c r="A2063" t="s">
        <v>6</v>
      </c>
      <c r="B2063" s="1">
        <v>32.79</v>
      </c>
      <c r="C2063" s="1">
        <v>32.799999999999997</v>
      </c>
      <c r="D2063" s="2" t="s">
        <v>250</v>
      </c>
      <c r="E2063" s="8">
        <v>1842.1406999999999</v>
      </c>
      <c r="F2063" s="8">
        <f>F2053</f>
        <v>-0.1</v>
      </c>
      <c r="G2063" s="8">
        <f>E2063+F2063</f>
        <v>1842.0407</v>
      </c>
      <c r="H2063" s="3">
        <f>B2063*G2063</f>
        <v>60400.514553000001</v>
      </c>
      <c r="I2063" s="3">
        <f>C2063*G2063</f>
        <v>60418.934959999999</v>
      </c>
    </row>
    <row r="2064" spans="1:9" x14ac:dyDescent="0.25">
      <c r="A2064" t="s">
        <v>7</v>
      </c>
      <c r="B2064" s="1">
        <v>17.03</v>
      </c>
      <c r="C2064" s="1">
        <v>17.04</v>
      </c>
      <c r="D2064" s="2" t="s">
        <v>250</v>
      </c>
      <c r="E2064" s="8">
        <v>3546.6351</v>
      </c>
      <c r="F2064" s="8">
        <f>F2054</f>
        <v>0</v>
      </c>
      <c r="G2064" s="8">
        <f>E2064+F2064</f>
        <v>3546.6351</v>
      </c>
      <c r="H2064" s="3">
        <f>B2064*G2064</f>
        <v>60399.195753</v>
      </c>
      <c r="I2064" s="3">
        <f>C2064*G2064</f>
        <v>60434.662103999995</v>
      </c>
    </row>
    <row r="2065" spans="1:9" x14ac:dyDescent="0.25">
      <c r="A2065" t="s">
        <v>8</v>
      </c>
      <c r="B2065" s="1">
        <v>26.71</v>
      </c>
      <c r="C2065" s="1">
        <v>26.72</v>
      </c>
      <c r="D2065" s="2" t="s">
        <v>250</v>
      </c>
      <c r="E2065" s="8">
        <v>2261.3602000000001</v>
      </c>
      <c r="F2065" s="8">
        <f>F2055</f>
        <v>-0.2</v>
      </c>
      <c r="G2065" s="8">
        <f>E2065+F2065</f>
        <v>2261.1602000000003</v>
      </c>
      <c r="H2065" s="3">
        <f>B2065*G2065</f>
        <v>60395.588942000009</v>
      </c>
      <c r="I2065" s="3">
        <f>C2065*G2065</f>
        <v>60418.200544000007</v>
      </c>
    </row>
    <row r="2066" spans="1:9" x14ac:dyDescent="0.25">
      <c r="A2066" t="s">
        <v>9</v>
      </c>
      <c r="B2066" s="1">
        <v>63.79</v>
      </c>
      <c r="C2066" s="1">
        <v>63.89</v>
      </c>
      <c r="D2066" s="2" t="s">
        <v>250</v>
      </c>
      <c r="E2066" s="8">
        <v>946.14940000000001</v>
      </c>
      <c r="F2066" s="8">
        <f>F2056</f>
        <v>0</v>
      </c>
      <c r="G2066" s="8">
        <f>E2066+F2066</f>
        <v>946.14940000000001</v>
      </c>
      <c r="H2066" s="3">
        <f>B2066*G2066</f>
        <v>60354.870225999999</v>
      </c>
      <c r="I2066" s="3">
        <f>C2066*G2066</f>
        <v>60449.485165999999</v>
      </c>
    </row>
    <row r="2067" spans="1:9" x14ac:dyDescent="0.25">
      <c r="A2067" t="s">
        <v>10</v>
      </c>
      <c r="B2067" s="1">
        <v>34.89</v>
      </c>
      <c r="C2067" s="1">
        <v>34.909999999999997</v>
      </c>
      <c r="D2067" s="2" t="s">
        <v>250</v>
      </c>
      <c r="E2067" s="8">
        <v>1730.1358</v>
      </c>
      <c r="F2067" s="8">
        <f>F2057</f>
        <v>0.2</v>
      </c>
      <c r="G2067" s="8">
        <f>E2067+F2067</f>
        <v>1730.3358000000001</v>
      </c>
      <c r="H2067" s="3">
        <f>B2067*G2067</f>
        <v>60371.416062000004</v>
      </c>
      <c r="I2067" s="3">
        <f>C2067*G2067</f>
        <v>60406.022777999999</v>
      </c>
    </row>
    <row r="2068" spans="1:9" x14ac:dyDescent="0.25">
      <c r="A2068" t="s">
        <v>11</v>
      </c>
      <c r="B2068" s="1">
        <v>52.56</v>
      </c>
      <c r="C2068" s="1">
        <v>52.57</v>
      </c>
      <c r="D2068" s="2" t="s">
        <v>250</v>
      </c>
      <c r="E2068" s="8">
        <v>1148.8689999999999</v>
      </c>
      <c r="F2068" s="8">
        <f>F2058</f>
        <v>0.05</v>
      </c>
      <c r="G2068" s="8">
        <f>E2068+F2068</f>
        <v>1148.9189999999999</v>
      </c>
      <c r="H2068" s="3">
        <f>B2068*G2068</f>
        <v>60387.182639999999</v>
      </c>
      <c r="I2068" s="3">
        <f>C2068*G2068</f>
        <v>60398.671829999992</v>
      </c>
    </row>
    <row r="2069" spans="1:9" x14ac:dyDescent="0.25">
      <c r="A2069" t="s">
        <v>12</v>
      </c>
      <c r="B2069" s="1">
        <v>46.85</v>
      </c>
      <c r="C2069" s="1">
        <v>46.86</v>
      </c>
      <c r="D2069" s="2" t="s">
        <v>250</v>
      </c>
      <c r="E2069" s="8">
        <v>1289.0675000000001</v>
      </c>
      <c r="F2069" s="8">
        <f>F2059</f>
        <v>0</v>
      </c>
      <c r="G2069" s="8">
        <f>E2069+F2069</f>
        <v>1289.0675000000001</v>
      </c>
      <c r="H2069" s="3">
        <f>B2069*G2069</f>
        <v>60392.812375000009</v>
      </c>
      <c r="I2069" s="3">
        <f>C2069*G2069</f>
        <v>60405.703050000004</v>
      </c>
    </row>
    <row r="2070" spans="1:9" x14ac:dyDescent="0.25">
      <c r="A2070" t="s">
        <v>13</v>
      </c>
      <c r="B2070" s="1">
        <v>17.079999999999998</v>
      </c>
      <c r="C2070" s="1">
        <v>17.09</v>
      </c>
      <c r="D2070" s="2" t="s">
        <v>250</v>
      </c>
      <c r="E2070" s="8">
        <v>3535.8029000000001</v>
      </c>
      <c r="F2070" s="8">
        <f>F2060</f>
        <v>0</v>
      </c>
      <c r="G2070" s="8">
        <f>E2070+F2070</f>
        <v>3535.8029000000001</v>
      </c>
      <c r="H2070" s="3">
        <f>B2070*G2070</f>
        <v>60391.513531999997</v>
      </c>
      <c r="I2070" s="3">
        <f>C2070*G2070</f>
        <v>60426.871561</v>
      </c>
    </row>
    <row r="2071" spans="1:9" x14ac:dyDescent="0.25">
      <c r="A2071" t="s">
        <v>14</v>
      </c>
      <c r="B2071" s="1">
        <v>34.200000000000003</v>
      </c>
      <c r="C2071" s="1">
        <v>34.21</v>
      </c>
      <c r="D2071" s="2" t="s">
        <v>250</v>
      </c>
      <c r="E2071" s="8">
        <v>1765.0835</v>
      </c>
      <c r="F2071" s="8">
        <f>F2061</f>
        <v>0.2</v>
      </c>
      <c r="G2071" s="8">
        <f>E2071+F2071</f>
        <v>1765.2835</v>
      </c>
      <c r="H2071" s="3">
        <f>B2071*G2071</f>
        <v>60372.695700000004</v>
      </c>
      <c r="I2071" s="3">
        <f>C2071*G2071</f>
        <v>60390.348535000005</v>
      </c>
    </row>
    <row r="2072" spans="1:9" x14ac:dyDescent="0.25">
      <c r="A2072" t="s">
        <v>4</v>
      </c>
      <c r="B2072" s="1">
        <v>20.02</v>
      </c>
      <c r="C2072" s="1">
        <v>20.03</v>
      </c>
      <c r="D2072" s="2" t="s">
        <v>251</v>
      </c>
      <c r="E2072" s="8">
        <v>3014.9834000000001</v>
      </c>
      <c r="F2072" s="8">
        <f>F2062</f>
        <v>0</v>
      </c>
      <c r="G2072" s="8">
        <f>E2072+F2072</f>
        <v>3014.9834000000001</v>
      </c>
      <c r="H2072" s="3">
        <f>B2072*G2072</f>
        <v>60359.967667999998</v>
      </c>
      <c r="I2072" s="3">
        <f>C2072*G2072</f>
        <v>60390.117502000008</v>
      </c>
    </row>
    <row r="2073" spans="1:9" x14ac:dyDescent="0.25">
      <c r="A2073" t="s">
        <v>6</v>
      </c>
      <c r="B2073" s="1">
        <v>32.770000000000003</v>
      </c>
      <c r="C2073" s="1">
        <v>32.78</v>
      </c>
      <c r="D2073" s="2" t="s">
        <v>251</v>
      </c>
      <c r="E2073" s="8">
        <v>1842.1406999999999</v>
      </c>
      <c r="F2073" s="8">
        <f>F2063</f>
        <v>-0.1</v>
      </c>
      <c r="G2073" s="8">
        <f>E2073+F2073</f>
        <v>1842.0407</v>
      </c>
      <c r="H2073" s="3">
        <f>B2073*G2073</f>
        <v>60363.673739000005</v>
      </c>
      <c r="I2073" s="3">
        <f>C2073*G2073</f>
        <v>60382.094146000003</v>
      </c>
    </row>
    <row r="2074" spans="1:9" x14ac:dyDescent="0.25">
      <c r="A2074" t="s">
        <v>7</v>
      </c>
      <c r="B2074" s="1">
        <v>17.02</v>
      </c>
      <c r="C2074" s="1">
        <v>17.03</v>
      </c>
      <c r="D2074" s="2" t="s">
        <v>251</v>
      </c>
      <c r="E2074" s="8">
        <v>3546.6351</v>
      </c>
      <c r="F2074" s="8">
        <f>F2064</f>
        <v>0</v>
      </c>
      <c r="G2074" s="8">
        <f>E2074+F2074</f>
        <v>3546.6351</v>
      </c>
      <c r="H2074" s="3">
        <f>B2074*G2074</f>
        <v>60363.729401999997</v>
      </c>
      <c r="I2074" s="3">
        <f>C2074*G2074</f>
        <v>60399.195753</v>
      </c>
    </row>
    <row r="2075" spans="1:9" x14ac:dyDescent="0.25">
      <c r="A2075" t="s">
        <v>8</v>
      </c>
      <c r="B2075" s="1">
        <v>26.7</v>
      </c>
      <c r="C2075" s="1">
        <v>26.71</v>
      </c>
      <c r="D2075" s="2" t="s">
        <v>251</v>
      </c>
      <c r="E2075" s="8">
        <v>2261.3602000000001</v>
      </c>
      <c r="F2075" s="8">
        <f>F2065</f>
        <v>-0.2</v>
      </c>
      <c r="G2075" s="8">
        <f>E2075+F2075</f>
        <v>2261.1602000000003</v>
      </c>
      <c r="H2075" s="3">
        <f>B2075*G2075</f>
        <v>60372.977340000005</v>
      </c>
      <c r="I2075" s="3">
        <f>C2075*G2075</f>
        <v>60395.588942000009</v>
      </c>
    </row>
    <row r="2076" spans="1:9" x14ac:dyDescent="0.25">
      <c r="A2076" t="s">
        <v>9</v>
      </c>
      <c r="B2076" s="1">
        <v>63.76</v>
      </c>
      <c r="C2076" s="1">
        <v>63.87</v>
      </c>
      <c r="D2076" s="2" t="s">
        <v>251</v>
      </c>
      <c r="E2076" s="8">
        <v>946.14940000000001</v>
      </c>
      <c r="F2076" s="8">
        <f>F2066</f>
        <v>0</v>
      </c>
      <c r="G2076" s="8">
        <f>E2076+F2076</f>
        <v>946.14940000000001</v>
      </c>
      <c r="H2076" s="3">
        <f>B2076*G2076</f>
        <v>60326.485743999998</v>
      </c>
      <c r="I2076" s="3">
        <f>C2076*G2076</f>
        <v>60430.562178</v>
      </c>
    </row>
    <row r="2077" spans="1:9" x14ac:dyDescent="0.25">
      <c r="A2077" t="s">
        <v>10</v>
      </c>
      <c r="B2077" s="1">
        <v>34.869999999999997</v>
      </c>
      <c r="C2077" s="1">
        <v>34.89</v>
      </c>
      <c r="D2077" s="2" t="s">
        <v>251</v>
      </c>
      <c r="E2077" s="8">
        <v>1730.1358</v>
      </c>
      <c r="F2077" s="8">
        <f>F2067</f>
        <v>0.2</v>
      </c>
      <c r="G2077" s="8">
        <f>E2077+F2077</f>
        <v>1730.3358000000001</v>
      </c>
      <c r="H2077" s="3">
        <f>B2077*G2077</f>
        <v>60336.809345999995</v>
      </c>
      <c r="I2077" s="3">
        <f>C2077*G2077</f>
        <v>60371.416062000004</v>
      </c>
    </row>
    <row r="2078" spans="1:9" x14ac:dyDescent="0.25">
      <c r="A2078" t="s">
        <v>11</v>
      </c>
      <c r="B2078" s="1">
        <v>52.54</v>
      </c>
      <c r="C2078" s="1">
        <v>52.55</v>
      </c>
      <c r="D2078" s="2" t="s">
        <v>251</v>
      </c>
      <c r="E2078" s="8">
        <v>1148.8689999999999</v>
      </c>
      <c r="F2078" s="8">
        <f>F2068</f>
        <v>0.05</v>
      </c>
      <c r="G2078" s="8">
        <f>E2078+F2078</f>
        <v>1148.9189999999999</v>
      </c>
      <c r="H2078" s="3">
        <f>B2078*G2078</f>
        <v>60364.204259999991</v>
      </c>
      <c r="I2078" s="3">
        <f>C2078*G2078</f>
        <v>60375.693449999992</v>
      </c>
    </row>
    <row r="2079" spans="1:9" x14ac:dyDescent="0.25">
      <c r="A2079" t="s">
        <v>12</v>
      </c>
      <c r="B2079" s="1">
        <v>46.82</v>
      </c>
      <c r="C2079" s="1">
        <v>46.83</v>
      </c>
      <c r="D2079" s="2" t="s">
        <v>251</v>
      </c>
      <c r="E2079" s="8">
        <v>1289.0675000000001</v>
      </c>
      <c r="F2079" s="8">
        <f>F2069</f>
        <v>0</v>
      </c>
      <c r="G2079" s="8">
        <f>E2079+F2079</f>
        <v>1289.0675000000001</v>
      </c>
      <c r="H2079" s="3">
        <f>B2079*G2079</f>
        <v>60354.140350000009</v>
      </c>
      <c r="I2079" s="3">
        <f>C2079*G2079</f>
        <v>60367.031025000004</v>
      </c>
    </row>
    <row r="2080" spans="1:9" x14ac:dyDescent="0.25">
      <c r="A2080" t="s">
        <v>13</v>
      </c>
      <c r="B2080" s="1">
        <v>17.07</v>
      </c>
      <c r="C2080" s="1">
        <v>17.079999999999998</v>
      </c>
      <c r="D2080" s="2" t="s">
        <v>251</v>
      </c>
      <c r="E2080" s="8">
        <v>3535.8029000000001</v>
      </c>
      <c r="F2080" s="8">
        <f>F2070</f>
        <v>0</v>
      </c>
      <c r="G2080" s="8">
        <f>E2080+F2080</f>
        <v>3535.8029000000001</v>
      </c>
      <c r="H2080" s="3">
        <f>B2080*G2080</f>
        <v>60356.155503000002</v>
      </c>
      <c r="I2080" s="3">
        <f>C2080*G2080</f>
        <v>60391.513531999997</v>
      </c>
    </row>
    <row r="2081" spans="1:9" x14ac:dyDescent="0.25">
      <c r="A2081" t="s">
        <v>14</v>
      </c>
      <c r="B2081" s="1">
        <v>34.18</v>
      </c>
      <c r="C2081" s="1">
        <v>34.19</v>
      </c>
      <c r="D2081" s="2" t="s">
        <v>251</v>
      </c>
      <c r="E2081" s="8">
        <v>1765.0835</v>
      </c>
      <c r="F2081" s="8">
        <f>F2071</f>
        <v>0.2</v>
      </c>
      <c r="G2081" s="8">
        <f>E2081+F2081</f>
        <v>1765.2835</v>
      </c>
      <c r="H2081" s="3">
        <f>B2081*G2081</f>
        <v>60337.390030000002</v>
      </c>
      <c r="I2081" s="3">
        <f>C2081*G2081</f>
        <v>60355.042864999996</v>
      </c>
    </row>
    <row r="2082" spans="1:9" x14ac:dyDescent="0.25">
      <c r="A2082" t="s">
        <v>4</v>
      </c>
      <c r="B2082" s="1">
        <v>19.77</v>
      </c>
      <c r="C2082" s="1">
        <v>19.78</v>
      </c>
      <c r="D2082" s="2" t="s">
        <v>252</v>
      </c>
      <c r="E2082" s="8">
        <v>3014.9834000000001</v>
      </c>
      <c r="F2082" s="8">
        <f>F2072</f>
        <v>0</v>
      </c>
      <c r="G2082" s="8">
        <f>E2082+F2082</f>
        <v>3014.9834000000001</v>
      </c>
      <c r="H2082" s="3">
        <f>B2082*G2082</f>
        <v>59606.221817999998</v>
      </c>
      <c r="I2082" s="3">
        <f>C2082*G2082</f>
        <v>59636.371652000002</v>
      </c>
    </row>
    <row r="2083" spans="1:9" x14ac:dyDescent="0.25">
      <c r="A2083" t="s">
        <v>6</v>
      </c>
      <c r="B2083" s="1">
        <v>32.36</v>
      </c>
      <c r="C2083" s="1">
        <v>32.369999999999997</v>
      </c>
      <c r="D2083" s="2" t="s">
        <v>252</v>
      </c>
      <c r="E2083" s="8">
        <v>1842.1406999999999</v>
      </c>
      <c r="F2083" s="8">
        <f>F2073</f>
        <v>-0.1</v>
      </c>
      <c r="G2083" s="8">
        <f>E2083+F2083</f>
        <v>1842.0407</v>
      </c>
      <c r="H2083" s="3">
        <f>B2083*G2083</f>
        <v>59608.437052000001</v>
      </c>
      <c r="I2083" s="3">
        <f>C2083*G2083</f>
        <v>59626.857458999999</v>
      </c>
    </row>
    <row r="2084" spans="1:9" x14ac:dyDescent="0.25">
      <c r="A2084" t="s">
        <v>7</v>
      </c>
      <c r="B2084" s="1">
        <v>16.8</v>
      </c>
      <c r="C2084" s="1">
        <v>16.809999999999999</v>
      </c>
      <c r="D2084" s="2" t="s">
        <v>252</v>
      </c>
      <c r="E2084" s="8">
        <v>3546.6351</v>
      </c>
      <c r="F2084" s="8">
        <f>F2074</f>
        <v>0</v>
      </c>
      <c r="G2084" s="8">
        <f>E2084+F2084</f>
        <v>3546.6351</v>
      </c>
      <c r="H2084" s="3">
        <f>B2084*G2084</f>
        <v>59583.469680000002</v>
      </c>
      <c r="I2084" s="3">
        <f>C2084*G2084</f>
        <v>59618.936030999997</v>
      </c>
    </row>
    <row r="2085" spans="1:9" x14ac:dyDescent="0.25">
      <c r="A2085" t="s">
        <v>8</v>
      </c>
      <c r="B2085" s="1">
        <v>26.36</v>
      </c>
      <c r="C2085" s="1">
        <v>26.37</v>
      </c>
      <c r="D2085" s="2" t="s">
        <v>252</v>
      </c>
      <c r="E2085" s="8">
        <v>2261.3602000000001</v>
      </c>
      <c r="F2085" s="8">
        <f>F2075</f>
        <v>-0.2</v>
      </c>
      <c r="G2085" s="8">
        <f>E2085+F2085</f>
        <v>2261.1602000000003</v>
      </c>
      <c r="H2085" s="3">
        <f>B2085*G2085</f>
        <v>59604.182872000005</v>
      </c>
      <c r="I2085" s="3">
        <f>C2085*G2085</f>
        <v>59626.794474000009</v>
      </c>
    </row>
    <row r="2086" spans="1:9" x14ac:dyDescent="0.25">
      <c r="A2086" t="s">
        <v>9</v>
      </c>
      <c r="B2086" s="1">
        <v>62.99</v>
      </c>
      <c r="C2086" s="1">
        <v>63.1</v>
      </c>
      <c r="D2086" s="2" t="s">
        <v>252</v>
      </c>
      <c r="E2086" s="8">
        <v>946.14940000000001</v>
      </c>
      <c r="F2086" s="8">
        <f>F2076</f>
        <v>0</v>
      </c>
      <c r="G2086" s="8">
        <f>E2086+F2086</f>
        <v>946.14940000000001</v>
      </c>
      <c r="H2086" s="3">
        <f>B2086*G2086</f>
        <v>59597.950706000003</v>
      </c>
      <c r="I2086" s="3">
        <f>C2086*G2086</f>
        <v>59702.027140000006</v>
      </c>
    </row>
    <row r="2087" spans="1:9" x14ac:dyDescent="0.25">
      <c r="A2087" t="s">
        <v>10</v>
      </c>
      <c r="B2087" s="1">
        <v>34.43</v>
      </c>
      <c r="C2087" s="1">
        <v>34.47</v>
      </c>
      <c r="D2087" s="2" t="s">
        <v>252</v>
      </c>
      <c r="E2087" s="8">
        <v>1730.1358</v>
      </c>
      <c r="F2087" s="8">
        <f>F2077</f>
        <v>0.2</v>
      </c>
      <c r="G2087" s="8">
        <f>E2087+F2087</f>
        <v>1730.3358000000001</v>
      </c>
      <c r="H2087" s="3">
        <f>B2087*G2087</f>
        <v>59575.461594</v>
      </c>
      <c r="I2087" s="3">
        <f>C2087*G2087</f>
        <v>59644.675025999997</v>
      </c>
    </row>
    <row r="2088" spans="1:9" x14ac:dyDescent="0.25">
      <c r="A2088" t="s">
        <v>11</v>
      </c>
      <c r="B2088" s="1">
        <v>51.89</v>
      </c>
      <c r="C2088" s="1">
        <v>51.9</v>
      </c>
      <c r="D2088" s="2" t="s">
        <v>252</v>
      </c>
      <c r="E2088" s="8">
        <v>1148.8689999999999</v>
      </c>
      <c r="F2088" s="8">
        <f>F2078</f>
        <v>0.05</v>
      </c>
      <c r="G2088" s="8">
        <f>E2088+F2088</f>
        <v>1148.9189999999999</v>
      </c>
      <c r="H2088" s="3">
        <f>B2088*G2088</f>
        <v>59617.406909999991</v>
      </c>
      <c r="I2088" s="3">
        <f>C2088*G2088</f>
        <v>59628.896099999991</v>
      </c>
    </row>
    <row r="2089" spans="1:9" x14ac:dyDescent="0.25">
      <c r="A2089" t="s">
        <v>12</v>
      </c>
      <c r="B2089" s="1">
        <v>46.25</v>
      </c>
      <c r="C2089" s="1">
        <v>46.26</v>
      </c>
      <c r="D2089" s="2" t="s">
        <v>252</v>
      </c>
      <c r="E2089" s="8">
        <v>1289.0675000000001</v>
      </c>
      <c r="F2089" s="8">
        <f>F2079</f>
        <v>0</v>
      </c>
      <c r="G2089" s="8">
        <f>E2089+F2089</f>
        <v>1289.0675000000001</v>
      </c>
      <c r="H2089" s="3">
        <f>B2089*G2089</f>
        <v>59619.371875000004</v>
      </c>
      <c r="I2089" s="3">
        <f>C2089*G2089</f>
        <v>59632.262549999999</v>
      </c>
    </row>
    <row r="2090" spans="1:9" x14ac:dyDescent="0.25">
      <c r="A2090" t="s">
        <v>13</v>
      </c>
      <c r="B2090" s="1">
        <v>16.86</v>
      </c>
      <c r="C2090" s="1">
        <v>16.87</v>
      </c>
      <c r="D2090" s="2" t="s">
        <v>252</v>
      </c>
      <c r="E2090" s="8">
        <v>3535.8029000000001</v>
      </c>
      <c r="F2090" s="8">
        <f>F2080</f>
        <v>0</v>
      </c>
      <c r="G2090" s="8">
        <f>E2090+F2090</f>
        <v>3535.8029000000001</v>
      </c>
      <c r="H2090" s="3">
        <f>B2090*G2090</f>
        <v>59613.636894000003</v>
      </c>
      <c r="I2090" s="3">
        <f>C2090*G2090</f>
        <v>59648.994923000006</v>
      </c>
    </row>
    <row r="2091" spans="1:9" x14ac:dyDescent="0.25">
      <c r="A2091" t="s">
        <v>14</v>
      </c>
      <c r="B2091" s="1">
        <v>33.76</v>
      </c>
      <c r="C2091" s="1">
        <v>33.770000000000003</v>
      </c>
      <c r="D2091" s="2" t="s">
        <v>252</v>
      </c>
      <c r="E2091" s="8">
        <v>1765.0835</v>
      </c>
      <c r="F2091" s="8">
        <f>F2081</f>
        <v>0.2</v>
      </c>
      <c r="G2091" s="8">
        <f>E2091+F2091</f>
        <v>1765.2835</v>
      </c>
      <c r="H2091" s="3">
        <f>B2091*G2091</f>
        <v>59595.970959999999</v>
      </c>
      <c r="I2091" s="3">
        <f>C2091*G2091</f>
        <v>59613.623795000007</v>
      </c>
    </row>
    <row r="2092" spans="1:9" x14ac:dyDescent="0.25">
      <c r="A2092" t="s">
        <v>4</v>
      </c>
      <c r="B2092" s="1">
        <v>19.829999999999998</v>
      </c>
      <c r="C2092" s="1">
        <v>19.84</v>
      </c>
      <c r="D2092" s="2" t="s">
        <v>253</v>
      </c>
      <c r="E2092" s="8">
        <v>3014.9834000000001</v>
      </c>
      <c r="F2092" s="8">
        <f>F2082</f>
        <v>0</v>
      </c>
      <c r="G2092" s="8">
        <f>E2092+F2092</f>
        <v>3014.9834000000001</v>
      </c>
      <c r="H2092" s="3">
        <f>B2092*G2092</f>
        <v>59787.120821999997</v>
      </c>
      <c r="I2092" s="3">
        <f>C2092*G2092</f>
        <v>59817.270656000001</v>
      </c>
    </row>
    <row r="2093" spans="1:9" x14ac:dyDescent="0.25">
      <c r="A2093" t="s">
        <v>6</v>
      </c>
      <c r="B2093" s="1">
        <v>32.46</v>
      </c>
      <c r="C2093" s="1">
        <v>32.47</v>
      </c>
      <c r="D2093" s="2" t="s">
        <v>253</v>
      </c>
      <c r="E2093" s="8">
        <v>1842.1406999999999</v>
      </c>
      <c r="F2093" s="8">
        <f>F2083</f>
        <v>-0.1</v>
      </c>
      <c r="G2093" s="8">
        <f>E2093+F2093</f>
        <v>1842.0407</v>
      </c>
      <c r="H2093" s="3">
        <f>B2093*G2093</f>
        <v>59792.641122000001</v>
      </c>
      <c r="I2093" s="3">
        <f>C2093*G2093</f>
        <v>59811.061528999999</v>
      </c>
    </row>
    <row r="2094" spans="1:9" x14ac:dyDescent="0.25">
      <c r="A2094" t="s">
        <v>7</v>
      </c>
      <c r="B2094" s="1">
        <v>16.850000000000001</v>
      </c>
      <c r="C2094" s="1">
        <v>16.86</v>
      </c>
      <c r="D2094" s="2" t="s">
        <v>253</v>
      </c>
      <c r="E2094" s="8">
        <v>3546.6351</v>
      </c>
      <c r="F2094" s="8">
        <f>F2084</f>
        <v>0</v>
      </c>
      <c r="G2094" s="8">
        <f>E2094+F2094</f>
        <v>3546.6351</v>
      </c>
      <c r="H2094" s="3">
        <f>B2094*G2094</f>
        <v>59760.801435000001</v>
      </c>
      <c r="I2094" s="3">
        <f>C2094*G2094</f>
        <v>59796.267785999997</v>
      </c>
    </row>
    <row r="2095" spans="1:9" x14ac:dyDescent="0.25">
      <c r="A2095" t="s">
        <v>8</v>
      </c>
      <c r="B2095" s="1">
        <v>26.43</v>
      </c>
      <c r="C2095" s="1">
        <v>26.44</v>
      </c>
      <c r="D2095" s="2" t="s">
        <v>253</v>
      </c>
      <c r="E2095" s="8">
        <v>2261.3602000000001</v>
      </c>
      <c r="F2095" s="8">
        <f>F2085</f>
        <v>-0.2</v>
      </c>
      <c r="G2095" s="8">
        <f>E2095+F2095</f>
        <v>2261.1602000000003</v>
      </c>
      <c r="H2095" s="3">
        <f>B2095*G2095</f>
        <v>59762.464086000007</v>
      </c>
      <c r="I2095" s="3">
        <f>C2095*G2095</f>
        <v>59785.075688000012</v>
      </c>
    </row>
    <row r="2096" spans="1:9" x14ac:dyDescent="0.25">
      <c r="A2096" t="s">
        <v>9</v>
      </c>
      <c r="B2096" s="1">
        <v>63.15</v>
      </c>
      <c r="C2096" s="1">
        <v>63.26</v>
      </c>
      <c r="D2096" s="2" t="s">
        <v>253</v>
      </c>
      <c r="E2096" s="8">
        <v>946.14940000000001</v>
      </c>
      <c r="F2096" s="8">
        <f>F2086</f>
        <v>0</v>
      </c>
      <c r="G2096" s="8">
        <f>E2096+F2096</f>
        <v>946.14940000000001</v>
      </c>
      <c r="H2096" s="3">
        <f>B2096*G2096</f>
        <v>59749.334609999998</v>
      </c>
      <c r="I2096" s="3">
        <f>C2096*G2096</f>
        <v>59853.411044</v>
      </c>
    </row>
    <row r="2097" spans="1:9" x14ac:dyDescent="0.25">
      <c r="A2097" t="s">
        <v>10</v>
      </c>
      <c r="B2097" s="1">
        <v>34.53</v>
      </c>
      <c r="C2097" s="1">
        <v>34.56</v>
      </c>
      <c r="D2097" s="2" t="s">
        <v>253</v>
      </c>
      <c r="E2097" s="8">
        <v>1730.1358</v>
      </c>
      <c r="F2097" s="8">
        <f>F2087</f>
        <v>0.2</v>
      </c>
      <c r="G2097" s="8">
        <f>E2097+F2097</f>
        <v>1730.3358000000001</v>
      </c>
      <c r="H2097" s="3">
        <f>B2097*G2097</f>
        <v>59748.495174000003</v>
      </c>
      <c r="I2097" s="3">
        <f>C2097*G2097</f>
        <v>59800.405248000003</v>
      </c>
    </row>
    <row r="2098" spans="1:9" x14ac:dyDescent="0.25">
      <c r="A2098" t="s">
        <v>11</v>
      </c>
      <c r="B2098" s="1">
        <v>52.03</v>
      </c>
      <c r="C2098" s="1">
        <v>52.04</v>
      </c>
      <c r="D2098" s="2" t="s">
        <v>253</v>
      </c>
      <c r="E2098" s="8">
        <v>1148.8689999999999</v>
      </c>
      <c r="F2098" s="8">
        <f>F2088</f>
        <v>0.05</v>
      </c>
      <c r="G2098" s="8">
        <f>E2098+F2098</f>
        <v>1148.9189999999999</v>
      </c>
      <c r="H2098" s="3">
        <f>B2098*G2098</f>
        <v>59778.255569999994</v>
      </c>
      <c r="I2098" s="3">
        <f>C2098*G2098</f>
        <v>59789.744759999994</v>
      </c>
    </row>
    <row r="2099" spans="1:9" x14ac:dyDescent="0.25">
      <c r="A2099" t="s">
        <v>12</v>
      </c>
      <c r="B2099" s="1">
        <v>46.38</v>
      </c>
      <c r="C2099" s="1">
        <v>46.39</v>
      </c>
      <c r="D2099" s="2" t="s">
        <v>253</v>
      </c>
      <c r="E2099" s="8">
        <v>1289.0675000000001</v>
      </c>
      <c r="F2099" s="8">
        <f>F2089</f>
        <v>0</v>
      </c>
      <c r="G2099" s="8">
        <f>E2099+F2099</f>
        <v>1289.0675000000001</v>
      </c>
      <c r="H2099" s="3">
        <f>B2099*G2099</f>
        <v>59786.950650000006</v>
      </c>
      <c r="I2099" s="3">
        <f>C2099*G2099</f>
        <v>59799.841325000009</v>
      </c>
    </row>
    <row r="2100" spans="1:9" x14ac:dyDescent="0.25">
      <c r="A2100" t="s">
        <v>13</v>
      </c>
      <c r="B2100" s="1">
        <v>16.899999999999999</v>
      </c>
      <c r="C2100" s="1">
        <v>16.91</v>
      </c>
      <c r="D2100" s="2" t="s">
        <v>253</v>
      </c>
      <c r="E2100" s="8">
        <v>3535.8029000000001</v>
      </c>
      <c r="F2100" s="8">
        <f>F2090</f>
        <v>0</v>
      </c>
      <c r="G2100" s="8">
        <f>E2100+F2100</f>
        <v>3535.8029000000001</v>
      </c>
      <c r="H2100" s="3">
        <f>B2100*G2100</f>
        <v>59755.069009999999</v>
      </c>
      <c r="I2100" s="3">
        <f>C2100*G2100</f>
        <v>59790.427039000002</v>
      </c>
    </row>
    <row r="2101" spans="1:9" x14ac:dyDescent="0.25">
      <c r="A2101" t="s">
        <v>14</v>
      </c>
      <c r="B2101" s="1">
        <v>33.85</v>
      </c>
      <c r="C2101" s="1">
        <v>33.86</v>
      </c>
      <c r="D2101" s="2" t="s">
        <v>253</v>
      </c>
      <c r="E2101" s="8">
        <v>1765.0835</v>
      </c>
      <c r="F2101" s="8">
        <f>F2091</f>
        <v>0.2</v>
      </c>
      <c r="G2101" s="8">
        <f>E2101+F2101</f>
        <v>1765.2835</v>
      </c>
      <c r="H2101" s="3">
        <f>B2101*G2101</f>
        <v>59754.846475000006</v>
      </c>
      <c r="I2101" s="3">
        <f>C2101*G2101</f>
        <v>59772.499309999999</v>
      </c>
    </row>
    <row r="2102" spans="1:9" x14ac:dyDescent="0.25">
      <c r="A2102" t="s">
        <v>4</v>
      </c>
      <c r="B2102" s="1">
        <v>19.68</v>
      </c>
      <c r="C2102" s="1">
        <v>19.690000000000001</v>
      </c>
      <c r="D2102" s="2" t="s">
        <v>254</v>
      </c>
      <c r="E2102" s="8">
        <v>3014.9834000000001</v>
      </c>
      <c r="F2102" s="8">
        <f>F2092</f>
        <v>0</v>
      </c>
      <c r="G2102" s="8">
        <f>E2102+F2102</f>
        <v>3014.9834000000001</v>
      </c>
      <c r="H2102" s="3">
        <f>B2102*G2102</f>
        <v>59334.873312000003</v>
      </c>
      <c r="I2102" s="3">
        <f>C2102*G2102</f>
        <v>59365.023146000007</v>
      </c>
    </row>
    <row r="2103" spans="1:9" x14ac:dyDescent="0.25">
      <c r="A2103" t="s">
        <v>6</v>
      </c>
      <c r="B2103" s="1">
        <v>32.22</v>
      </c>
      <c r="C2103" s="1">
        <v>32.229999999999997</v>
      </c>
      <c r="D2103" s="2" t="s">
        <v>254</v>
      </c>
      <c r="E2103" s="8">
        <v>1842.1406999999999</v>
      </c>
      <c r="F2103" s="8">
        <f>F2093</f>
        <v>-0.1</v>
      </c>
      <c r="G2103" s="8">
        <f>E2103+F2103</f>
        <v>1842.0407</v>
      </c>
      <c r="H2103" s="3">
        <f>B2103*G2103</f>
        <v>59350.551353999996</v>
      </c>
      <c r="I2103" s="3">
        <f>C2103*G2103</f>
        <v>59368.971760999993</v>
      </c>
    </row>
    <row r="2104" spans="1:9" x14ac:dyDescent="0.25">
      <c r="A2104" t="s">
        <v>7</v>
      </c>
      <c r="B2104" s="1">
        <v>16.73</v>
      </c>
      <c r="C2104" s="1">
        <v>16.739999999999998</v>
      </c>
      <c r="D2104" s="2" t="s">
        <v>254</v>
      </c>
      <c r="E2104" s="8">
        <v>3546.6351</v>
      </c>
      <c r="F2104" s="8">
        <f>F2094</f>
        <v>0</v>
      </c>
      <c r="G2104" s="8">
        <f>E2104+F2104</f>
        <v>3546.6351</v>
      </c>
      <c r="H2104" s="3">
        <f>B2104*G2104</f>
        <v>59335.205223000004</v>
      </c>
      <c r="I2104" s="3">
        <f>C2104*G2104</f>
        <v>59370.671573999993</v>
      </c>
    </row>
    <row r="2105" spans="1:9" x14ac:dyDescent="0.25">
      <c r="A2105" t="s">
        <v>8</v>
      </c>
      <c r="B2105" s="1">
        <v>26.24</v>
      </c>
      <c r="C2105" s="1">
        <v>26.25</v>
      </c>
      <c r="D2105" s="2" t="s">
        <v>254</v>
      </c>
      <c r="E2105" s="8">
        <v>2261.3602000000001</v>
      </c>
      <c r="F2105" s="8">
        <f>F2095</f>
        <v>-0.2</v>
      </c>
      <c r="G2105" s="8">
        <f>E2105+F2105</f>
        <v>2261.1602000000003</v>
      </c>
      <c r="H2105" s="3">
        <f>B2105*G2105</f>
        <v>59332.843648000002</v>
      </c>
      <c r="I2105" s="3">
        <f>C2105*G2105</f>
        <v>59355.455250000006</v>
      </c>
    </row>
    <row r="2106" spans="1:9" x14ac:dyDescent="0.25">
      <c r="A2106" t="s">
        <v>9</v>
      </c>
      <c r="B2106" s="1">
        <v>62.66</v>
      </c>
      <c r="C2106" s="1">
        <v>62.73</v>
      </c>
      <c r="D2106" s="2" t="s">
        <v>254</v>
      </c>
      <c r="E2106" s="8">
        <v>946.14940000000001</v>
      </c>
      <c r="F2106" s="8">
        <f>F2096</f>
        <v>0</v>
      </c>
      <c r="G2106" s="8">
        <f>E2106+F2106</f>
        <v>946.14940000000001</v>
      </c>
      <c r="H2106" s="3">
        <f>B2106*G2106</f>
        <v>59285.721403999996</v>
      </c>
      <c r="I2106" s="3">
        <f>C2106*G2106</f>
        <v>59351.951861999994</v>
      </c>
    </row>
    <row r="2107" spans="1:9" x14ac:dyDescent="0.25">
      <c r="A2107" t="s">
        <v>10</v>
      </c>
      <c r="B2107" s="1">
        <v>34.270000000000003</v>
      </c>
      <c r="C2107" s="1">
        <v>34.29</v>
      </c>
      <c r="D2107" s="2" t="s">
        <v>254</v>
      </c>
      <c r="E2107" s="8">
        <v>1730.1358</v>
      </c>
      <c r="F2107" s="8">
        <f>F2097</f>
        <v>0.2</v>
      </c>
      <c r="G2107" s="8">
        <f>E2107+F2107</f>
        <v>1730.3358000000001</v>
      </c>
      <c r="H2107" s="3">
        <f>B2107*G2107</f>
        <v>59298.607866000006</v>
      </c>
      <c r="I2107" s="3">
        <f>C2107*G2107</f>
        <v>59333.214582000001</v>
      </c>
    </row>
    <row r="2108" spans="1:9" x14ac:dyDescent="0.25">
      <c r="A2108" t="s">
        <v>11</v>
      </c>
      <c r="B2108" s="1">
        <v>51.65</v>
      </c>
      <c r="C2108" s="1">
        <v>51.66</v>
      </c>
      <c r="D2108" s="2" t="s">
        <v>254</v>
      </c>
      <c r="E2108" s="8">
        <v>1148.8689999999999</v>
      </c>
      <c r="F2108" s="8">
        <f>F2098</f>
        <v>0.05</v>
      </c>
      <c r="G2108" s="8">
        <f>E2108+F2108</f>
        <v>1148.9189999999999</v>
      </c>
      <c r="H2108" s="3">
        <f>B2108*G2108</f>
        <v>59341.666349999992</v>
      </c>
      <c r="I2108" s="3">
        <f>C2108*G2108</f>
        <v>59353.155539999992</v>
      </c>
    </row>
    <row r="2109" spans="1:9" x14ac:dyDescent="0.25">
      <c r="A2109" t="s">
        <v>12</v>
      </c>
      <c r="B2109" s="1">
        <v>46.04</v>
      </c>
      <c r="C2109" s="1">
        <v>46.05</v>
      </c>
      <c r="D2109" s="2" t="s">
        <v>254</v>
      </c>
      <c r="E2109" s="8">
        <v>1289.0675000000001</v>
      </c>
      <c r="F2109" s="8">
        <f>F2099</f>
        <v>0</v>
      </c>
      <c r="G2109" s="8">
        <f>E2109+F2109</f>
        <v>1289.0675000000001</v>
      </c>
      <c r="H2109" s="3">
        <f>B2109*G2109</f>
        <v>59348.667700000005</v>
      </c>
      <c r="I2109" s="3">
        <f>C2109*G2109</f>
        <v>59361.558375000001</v>
      </c>
    </row>
    <row r="2110" spans="1:9" x14ac:dyDescent="0.25">
      <c r="A2110" t="s">
        <v>13</v>
      </c>
      <c r="B2110" s="1">
        <v>16.78</v>
      </c>
      <c r="C2110" s="1">
        <v>16.79</v>
      </c>
      <c r="D2110" s="2" t="s">
        <v>254</v>
      </c>
      <c r="E2110" s="8">
        <v>3535.8029000000001</v>
      </c>
      <c r="F2110" s="8">
        <f>F2100</f>
        <v>0</v>
      </c>
      <c r="G2110" s="8">
        <f>E2110+F2110</f>
        <v>3535.8029000000001</v>
      </c>
      <c r="H2110" s="3">
        <f>B2110*G2110</f>
        <v>59330.772662000003</v>
      </c>
      <c r="I2110" s="3">
        <f>C2110*G2110</f>
        <v>59366.130690999998</v>
      </c>
    </row>
    <row r="2111" spans="1:9" x14ac:dyDescent="0.25">
      <c r="A2111" t="s">
        <v>14</v>
      </c>
      <c r="B2111" s="1">
        <v>33.6</v>
      </c>
      <c r="C2111" s="1">
        <v>33.61</v>
      </c>
      <c r="D2111" s="2" t="s">
        <v>254</v>
      </c>
      <c r="E2111" s="8">
        <v>1765.0835</v>
      </c>
      <c r="F2111" s="8">
        <f>F2101</f>
        <v>0.2</v>
      </c>
      <c r="G2111" s="8">
        <f>E2111+F2111</f>
        <v>1765.2835</v>
      </c>
      <c r="H2111" s="3">
        <f>B2111*G2111</f>
        <v>59313.525600000001</v>
      </c>
      <c r="I2111" s="3">
        <f>C2111*G2111</f>
        <v>59331.178435000002</v>
      </c>
    </row>
    <row r="2112" spans="1:9" x14ac:dyDescent="0.25">
      <c r="A2112" t="s">
        <v>4</v>
      </c>
      <c r="B2112" s="1">
        <v>19.71</v>
      </c>
      <c r="C2112" s="1">
        <v>19.72</v>
      </c>
      <c r="D2112" s="2" t="s">
        <v>255</v>
      </c>
      <c r="E2112" s="8">
        <v>3014.9834000000001</v>
      </c>
      <c r="F2112" s="8">
        <f>F2102</f>
        <v>0</v>
      </c>
      <c r="G2112" s="8">
        <f>E2112+F2112</f>
        <v>3014.9834000000001</v>
      </c>
      <c r="H2112" s="3">
        <f>B2112*G2112</f>
        <v>59425.322814000006</v>
      </c>
      <c r="I2112" s="3">
        <f>C2112*G2112</f>
        <v>59455.472647999995</v>
      </c>
    </row>
    <row r="2113" spans="1:9" x14ac:dyDescent="0.25">
      <c r="A2113" t="s">
        <v>6</v>
      </c>
      <c r="B2113" s="1">
        <v>32.270000000000003</v>
      </c>
      <c r="C2113" s="1">
        <v>32.28</v>
      </c>
      <c r="D2113" s="2" t="s">
        <v>255</v>
      </c>
      <c r="E2113" s="8">
        <v>1842.1406999999999</v>
      </c>
      <c r="F2113" s="8">
        <f>F2103</f>
        <v>-0.1</v>
      </c>
      <c r="G2113" s="8">
        <f>E2113+F2113</f>
        <v>1842.0407</v>
      </c>
      <c r="H2113" s="3">
        <f>B2113*G2113</f>
        <v>59442.653389000006</v>
      </c>
      <c r="I2113" s="3">
        <f>C2113*G2113</f>
        <v>59461.073796000004</v>
      </c>
    </row>
    <row r="2114" spans="1:9" x14ac:dyDescent="0.25">
      <c r="A2114" t="s">
        <v>7</v>
      </c>
      <c r="B2114" s="1">
        <v>16.760000000000002</v>
      </c>
      <c r="C2114" s="1">
        <v>16.77</v>
      </c>
      <c r="D2114" s="2" t="s">
        <v>255</v>
      </c>
      <c r="E2114" s="8">
        <v>3546.6351</v>
      </c>
      <c r="F2114" s="8">
        <f>F2104</f>
        <v>0</v>
      </c>
      <c r="G2114" s="8">
        <f>E2114+F2114</f>
        <v>3546.6351</v>
      </c>
      <c r="H2114" s="3">
        <f>B2114*G2114</f>
        <v>59441.604276000005</v>
      </c>
      <c r="I2114" s="3">
        <f>C2114*G2114</f>
        <v>59477.070627000001</v>
      </c>
    </row>
    <row r="2115" spans="1:9" x14ac:dyDescent="0.25">
      <c r="A2115" t="s">
        <v>8</v>
      </c>
      <c r="B2115" s="1">
        <v>26.29</v>
      </c>
      <c r="C2115" s="1">
        <v>26.3</v>
      </c>
      <c r="D2115" s="2" t="s">
        <v>255</v>
      </c>
      <c r="E2115" s="8">
        <v>2261.3602000000001</v>
      </c>
      <c r="F2115" s="8">
        <f>F2105</f>
        <v>-0.2</v>
      </c>
      <c r="G2115" s="8">
        <f>E2115+F2115</f>
        <v>2261.1602000000003</v>
      </c>
      <c r="H2115" s="3">
        <f>B2115*G2115</f>
        <v>59445.901658000002</v>
      </c>
      <c r="I2115" s="3">
        <f>C2115*G2115</f>
        <v>59468.513260000007</v>
      </c>
    </row>
    <row r="2116" spans="1:9" x14ac:dyDescent="0.25">
      <c r="A2116" t="s">
        <v>9</v>
      </c>
      <c r="B2116" s="1">
        <v>62.77</v>
      </c>
      <c r="C2116" s="1">
        <v>62.9</v>
      </c>
      <c r="D2116" s="2" t="s">
        <v>255</v>
      </c>
      <c r="E2116" s="8">
        <v>946.14940000000001</v>
      </c>
      <c r="F2116" s="8">
        <f>F2106</f>
        <v>0</v>
      </c>
      <c r="G2116" s="8">
        <f>E2116+F2116</f>
        <v>946.14940000000001</v>
      </c>
      <c r="H2116" s="3">
        <f>B2116*G2116</f>
        <v>59389.797838000006</v>
      </c>
      <c r="I2116" s="3">
        <f>C2116*G2116</f>
        <v>59512.797259999999</v>
      </c>
    </row>
    <row r="2117" spans="1:9" x14ac:dyDescent="0.25">
      <c r="A2117" t="s">
        <v>10</v>
      </c>
      <c r="B2117" s="1">
        <v>34.33</v>
      </c>
      <c r="C2117" s="1">
        <v>34.36</v>
      </c>
      <c r="D2117" s="2" t="s">
        <v>255</v>
      </c>
      <c r="E2117" s="8">
        <v>1730.1358</v>
      </c>
      <c r="F2117" s="8">
        <f>F2107</f>
        <v>0.2</v>
      </c>
      <c r="G2117" s="8">
        <f>E2117+F2117</f>
        <v>1730.3358000000001</v>
      </c>
      <c r="H2117" s="3">
        <f>B2117*G2117</f>
        <v>59402.428013999997</v>
      </c>
      <c r="I2117" s="3">
        <f>C2117*G2117</f>
        <v>59454.338088000004</v>
      </c>
    </row>
    <row r="2118" spans="1:9" x14ac:dyDescent="0.25">
      <c r="A2118" t="s">
        <v>11</v>
      </c>
      <c r="B2118" s="1">
        <v>51.73</v>
      </c>
      <c r="C2118" s="1">
        <v>51.74</v>
      </c>
      <c r="D2118" s="2" t="s">
        <v>255</v>
      </c>
      <c r="E2118" s="8">
        <v>1148.8689999999999</v>
      </c>
      <c r="F2118" s="8">
        <f>F2108</f>
        <v>0.05</v>
      </c>
      <c r="G2118" s="8">
        <f>E2118+F2118</f>
        <v>1148.9189999999999</v>
      </c>
      <c r="H2118" s="3">
        <f>B2118*G2118</f>
        <v>59433.579869999987</v>
      </c>
      <c r="I2118" s="3">
        <f>C2118*G2118</f>
        <v>59445.069059999994</v>
      </c>
    </row>
    <row r="2119" spans="1:9" x14ac:dyDescent="0.25">
      <c r="A2119" t="s">
        <v>12</v>
      </c>
      <c r="B2119" s="1">
        <v>46.11</v>
      </c>
      <c r="C2119" s="1">
        <v>46.12</v>
      </c>
      <c r="D2119" s="2" t="s">
        <v>255</v>
      </c>
      <c r="E2119" s="8">
        <v>1289.0675000000001</v>
      </c>
      <c r="F2119" s="8">
        <f>F2109</f>
        <v>0</v>
      </c>
      <c r="G2119" s="8">
        <f>E2119+F2119</f>
        <v>1289.0675000000001</v>
      </c>
      <c r="H2119" s="3">
        <f>B2119*G2119</f>
        <v>59438.902425000007</v>
      </c>
      <c r="I2119" s="3">
        <f>C2119*G2119</f>
        <v>59451.793100000003</v>
      </c>
    </row>
    <row r="2120" spans="1:9" x14ac:dyDescent="0.25">
      <c r="A2120" t="s">
        <v>13</v>
      </c>
      <c r="B2120" s="1">
        <v>16.809999999999999</v>
      </c>
      <c r="C2120" s="1">
        <v>16.82</v>
      </c>
      <c r="D2120" s="2" t="s">
        <v>255</v>
      </c>
      <c r="E2120" s="8">
        <v>3535.8029000000001</v>
      </c>
      <c r="F2120" s="8">
        <f>F2110</f>
        <v>0</v>
      </c>
      <c r="G2120" s="8">
        <f>E2120+F2120</f>
        <v>3535.8029000000001</v>
      </c>
      <c r="H2120" s="3">
        <f>B2120*G2120</f>
        <v>59436.846748999997</v>
      </c>
      <c r="I2120" s="3">
        <f>C2120*G2120</f>
        <v>59472.204778000007</v>
      </c>
    </row>
    <row r="2121" spans="1:9" x14ac:dyDescent="0.25">
      <c r="A2121" t="s">
        <v>14</v>
      </c>
      <c r="B2121" s="1">
        <v>33.659999999999997</v>
      </c>
      <c r="C2121" s="1">
        <v>33.67</v>
      </c>
      <c r="D2121" s="2" t="s">
        <v>255</v>
      </c>
      <c r="E2121" s="8">
        <v>1765.0835</v>
      </c>
      <c r="F2121" s="8">
        <f>F2111</f>
        <v>0.2</v>
      </c>
      <c r="G2121" s="8">
        <f>E2121+F2121</f>
        <v>1765.2835</v>
      </c>
      <c r="H2121" s="3">
        <f>B2121*G2121</f>
        <v>59419.442609999991</v>
      </c>
      <c r="I2121" s="3">
        <f>C2121*G2121</f>
        <v>59437.095445000006</v>
      </c>
    </row>
    <row r="2122" spans="1:9" x14ac:dyDescent="0.25">
      <c r="A2122" t="s">
        <v>4</v>
      </c>
      <c r="B2122" s="1">
        <v>19.68</v>
      </c>
      <c r="C2122" s="1">
        <v>19.690000000000001</v>
      </c>
      <c r="D2122" s="2" t="s">
        <v>256</v>
      </c>
      <c r="E2122" s="8">
        <v>3014.9834000000001</v>
      </c>
      <c r="F2122" s="8">
        <f>F2112</f>
        <v>0</v>
      </c>
      <c r="G2122" s="8">
        <f>E2122+F2122</f>
        <v>3014.9834000000001</v>
      </c>
      <c r="H2122" s="3">
        <f>B2122*G2122</f>
        <v>59334.873312000003</v>
      </c>
      <c r="I2122" s="3">
        <f>C2122*G2122</f>
        <v>59365.023146000007</v>
      </c>
    </row>
    <row r="2123" spans="1:9" x14ac:dyDescent="0.25">
      <c r="A2123" t="s">
        <v>6</v>
      </c>
      <c r="B2123" s="1">
        <v>32.200000000000003</v>
      </c>
      <c r="C2123" s="1">
        <v>32.21</v>
      </c>
      <c r="D2123" s="2" t="s">
        <v>256</v>
      </c>
      <c r="E2123" s="8">
        <v>1842.1406999999999</v>
      </c>
      <c r="F2123" s="8">
        <f>F2113</f>
        <v>-0.1</v>
      </c>
      <c r="G2123" s="8">
        <f>E2123+F2123</f>
        <v>1842.0407</v>
      </c>
      <c r="H2123" s="3">
        <f>B2123*G2123</f>
        <v>59313.710540000007</v>
      </c>
      <c r="I2123" s="3">
        <f>C2123*G2123</f>
        <v>59332.130947000005</v>
      </c>
    </row>
    <row r="2124" spans="1:9" x14ac:dyDescent="0.25">
      <c r="A2124" t="s">
        <v>7</v>
      </c>
      <c r="B2124" s="1">
        <v>16.72</v>
      </c>
      <c r="C2124" s="1">
        <v>16.73</v>
      </c>
      <c r="D2124" s="2" t="s">
        <v>256</v>
      </c>
      <c r="E2124" s="8">
        <v>3546.6351</v>
      </c>
      <c r="F2124" s="8">
        <f>F2114</f>
        <v>0</v>
      </c>
      <c r="G2124" s="8">
        <f>E2124+F2124</f>
        <v>3546.6351</v>
      </c>
      <c r="H2124" s="3">
        <f>B2124*G2124</f>
        <v>59299.738871999994</v>
      </c>
      <c r="I2124" s="3">
        <f>C2124*G2124</f>
        <v>59335.205223000004</v>
      </c>
    </row>
    <row r="2125" spans="1:9" x14ac:dyDescent="0.25">
      <c r="A2125" t="s">
        <v>8</v>
      </c>
      <c r="B2125" s="1">
        <v>26.23</v>
      </c>
      <c r="C2125" s="1">
        <v>26.24</v>
      </c>
      <c r="D2125" s="2" t="s">
        <v>256</v>
      </c>
      <c r="E2125" s="8">
        <v>2261.3602000000001</v>
      </c>
      <c r="F2125" s="8">
        <f>F2115</f>
        <v>-0.2</v>
      </c>
      <c r="G2125" s="8">
        <f>E2125+F2125</f>
        <v>2261.1602000000003</v>
      </c>
      <c r="H2125" s="3">
        <f>B2125*G2125</f>
        <v>59310.232046000005</v>
      </c>
      <c r="I2125" s="3">
        <f>C2125*G2125</f>
        <v>59332.843648000002</v>
      </c>
    </row>
    <row r="2126" spans="1:9" x14ac:dyDescent="0.25">
      <c r="A2126" t="s">
        <v>9</v>
      </c>
      <c r="B2126" s="1">
        <v>62.64</v>
      </c>
      <c r="C2126" s="1">
        <v>62.73</v>
      </c>
      <c r="D2126" s="2" t="s">
        <v>256</v>
      </c>
      <c r="E2126" s="8">
        <v>946.14940000000001</v>
      </c>
      <c r="F2126" s="8">
        <f>F2116</f>
        <v>0</v>
      </c>
      <c r="G2126" s="8">
        <f>E2126+F2126</f>
        <v>946.14940000000001</v>
      </c>
      <c r="H2126" s="3">
        <f>B2126*G2126</f>
        <v>59266.798415999998</v>
      </c>
      <c r="I2126" s="3">
        <f>C2126*G2126</f>
        <v>59351.951861999994</v>
      </c>
    </row>
    <row r="2127" spans="1:9" x14ac:dyDescent="0.25">
      <c r="A2127" t="s">
        <v>10</v>
      </c>
      <c r="B2127" s="1">
        <v>34.270000000000003</v>
      </c>
      <c r="C2127" s="1">
        <v>34.29</v>
      </c>
      <c r="D2127" s="2" t="s">
        <v>256</v>
      </c>
      <c r="E2127" s="8">
        <v>1730.1358</v>
      </c>
      <c r="F2127" s="8">
        <f>F2117</f>
        <v>0.2</v>
      </c>
      <c r="G2127" s="8">
        <f>E2127+F2127</f>
        <v>1730.3358000000001</v>
      </c>
      <c r="H2127" s="3">
        <f>B2127*G2127</f>
        <v>59298.607866000006</v>
      </c>
      <c r="I2127" s="3">
        <f>C2127*G2127</f>
        <v>59333.214582000001</v>
      </c>
    </row>
    <row r="2128" spans="1:9" x14ac:dyDescent="0.25">
      <c r="A2128" t="s">
        <v>11</v>
      </c>
      <c r="B2128" s="1">
        <v>51.62</v>
      </c>
      <c r="C2128" s="1">
        <v>51.63</v>
      </c>
      <c r="D2128" s="2" t="s">
        <v>256</v>
      </c>
      <c r="E2128" s="8">
        <v>1148.8689999999999</v>
      </c>
      <c r="F2128" s="8">
        <f>F2118</f>
        <v>0.05</v>
      </c>
      <c r="G2128" s="8">
        <f>E2128+F2128</f>
        <v>1148.9189999999999</v>
      </c>
      <c r="H2128" s="3">
        <f>B2128*G2128</f>
        <v>59307.198779999992</v>
      </c>
      <c r="I2128" s="3">
        <f>C2128*G2128</f>
        <v>59318.687969999999</v>
      </c>
    </row>
    <row r="2129" spans="1:9" x14ac:dyDescent="0.25">
      <c r="A2129" t="s">
        <v>12</v>
      </c>
      <c r="B2129" s="1">
        <v>46.01</v>
      </c>
      <c r="C2129" s="1">
        <v>46.02</v>
      </c>
      <c r="D2129" s="2" t="s">
        <v>256</v>
      </c>
      <c r="E2129" s="8">
        <v>1289.0675000000001</v>
      </c>
      <c r="F2129" s="8">
        <f>F2119</f>
        <v>0</v>
      </c>
      <c r="G2129" s="8">
        <f>E2129+F2129</f>
        <v>1289.0675000000001</v>
      </c>
      <c r="H2129" s="3">
        <f>B2129*G2129</f>
        <v>59309.995675000006</v>
      </c>
      <c r="I2129" s="3">
        <f>C2129*G2129</f>
        <v>59322.886350000008</v>
      </c>
    </row>
    <row r="2130" spans="1:9" x14ac:dyDescent="0.25">
      <c r="A2130" t="s">
        <v>13</v>
      </c>
      <c r="B2130" s="1">
        <v>16.77</v>
      </c>
      <c r="C2130" s="1">
        <v>16.78</v>
      </c>
      <c r="D2130" s="2" t="s">
        <v>256</v>
      </c>
      <c r="E2130" s="8">
        <v>3535.8029000000001</v>
      </c>
      <c r="F2130" s="8">
        <f>F2120</f>
        <v>0</v>
      </c>
      <c r="G2130" s="8">
        <f>E2130+F2130</f>
        <v>3535.8029000000001</v>
      </c>
      <c r="H2130" s="3">
        <f>B2130*G2130</f>
        <v>59295.414633</v>
      </c>
      <c r="I2130" s="3">
        <f>C2130*G2130</f>
        <v>59330.772662000003</v>
      </c>
    </row>
    <row r="2131" spans="1:9" x14ac:dyDescent="0.25">
      <c r="A2131" t="s">
        <v>14</v>
      </c>
      <c r="B2131" s="1">
        <v>33.590000000000003</v>
      </c>
      <c r="C2131" s="1">
        <v>33.6</v>
      </c>
      <c r="D2131" s="2" t="s">
        <v>256</v>
      </c>
      <c r="E2131" s="8">
        <v>1765.0835</v>
      </c>
      <c r="F2131" s="8">
        <f>F2121</f>
        <v>0.2</v>
      </c>
      <c r="G2131" s="8">
        <f>E2131+F2131</f>
        <v>1765.2835</v>
      </c>
      <c r="H2131" s="3">
        <f>B2131*G2131</f>
        <v>59295.872765000007</v>
      </c>
      <c r="I2131" s="3">
        <f>C2131*G2131</f>
        <v>59313.525600000001</v>
      </c>
    </row>
    <row r="2132" spans="1:9" x14ac:dyDescent="0.25">
      <c r="A2132" t="s">
        <v>4</v>
      </c>
      <c r="B2132" s="1">
        <v>19.690000000000001</v>
      </c>
      <c r="C2132" s="1">
        <v>19.7</v>
      </c>
      <c r="D2132" s="2" t="s">
        <v>257</v>
      </c>
      <c r="E2132" s="8">
        <v>3014.9834000000001</v>
      </c>
      <c r="F2132" s="8">
        <f>F2122</f>
        <v>0</v>
      </c>
      <c r="G2132" s="8">
        <f>E2132+F2132</f>
        <v>3014.9834000000001</v>
      </c>
      <c r="H2132" s="3">
        <f>B2132*G2132</f>
        <v>59365.023146000007</v>
      </c>
      <c r="I2132" s="3">
        <f>C2132*G2132</f>
        <v>59395.172979999996</v>
      </c>
    </row>
    <row r="2133" spans="1:9" x14ac:dyDescent="0.25">
      <c r="A2133" t="s">
        <v>6</v>
      </c>
      <c r="B2133" s="1">
        <v>32.22</v>
      </c>
      <c r="C2133" s="1">
        <v>32.229999999999997</v>
      </c>
      <c r="D2133" s="2" t="s">
        <v>257</v>
      </c>
      <c r="E2133" s="8">
        <v>1842.1406999999999</v>
      </c>
      <c r="F2133" s="8">
        <f>F2123</f>
        <v>-0.1</v>
      </c>
      <c r="G2133" s="8">
        <f>E2133+F2133</f>
        <v>1842.0407</v>
      </c>
      <c r="H2133" s="3">
        <f>B2133*G2133</f>
        <v>59350.551353999996</v>
      </c>
      <c r="I2133" s="3">
        <f>C2133*G2133</f>
        <v>59368.971760999993</v>
      </c>
    </row>
    <row r="2134" spans="1:9" x14ac:dyDescent="0.25">
      <c r="A2134" t="s">
        <v>7</v>
      </c>
      <c r="B2134" s="1">
        <v>16.73</v>
      </c>
      <c r="C2134" s="1">
        <v>16.739999999999998</v>
      </c>
      <c r="D2134" s="2" t="s">
        <v>257</v>
      </c>
      <c r="E2134" s="8">
        <v>3546.6351</v>
      </c>
      <c r="F2134" s="8">
        <f>F2124</f>
        <v>0</v>
      </c>
      <c r="G2134" s="8">
        <f>E2134+F2134</f>
        <v>3546.6351</v>
      </c>
      <c r="H2134" s="3">
        <f>B2134*G2134</f>
        <v>59335.205223000004</v>
      </c>
      <c r="I2134" s="3">
        <f>C2134*G2134</f>
        <v>59370.671573999993</v>
      </c>
    </row>
    <row r="2135" spans="1:9" x14ac:dyDescent="0.25">
      <c r="A2135" t="s">
        <v>8</v>
      </c>
      <c r="B2135" s="1">
        <v>26.24</v>
      </c>
      <c r="C2135" s="1">
        <v>26.25</v>
      </c>
      <c r="D2135" s="2" t="s">
        <v>257</v>
      </c>
      <c r="E2135" s="8">
        <v>2261.3602000000001</v>
      </c>
      <c r="F2135" s="8">
        <f>F2125</f>
        <v>-0.2</v>
      </c>
      <c r="G2135" s="8">
        <f>E2135+F2135</f>
        <v>2261.1602000000003</v>
      </c>
      <c r="H2135" s="3">
        <f>B2135*G2135</f>
        <v>59332.843648000002</v>
      </c>
      <c r="I2135" s="3">
        <f>C2135*G2135</f>
        <v>59355.455250000006</v>
      </c>
    </row>
    <row r="2136" spans="1:9" x14ac:dyDescent="0.25">
      <c r="A2136" t="s">
        <v>9</v>
      </c>
      <c r="B2136" s="1">
        <v>62.65</v>
      </c>
      <c r="C2136" s="1">
        <v>62.78</v>
      </c>
      <c r="D2136" s="2" t="s">
        <v>257</v>
      </c>
      <c r="E2136" s="8">
        <v>946.14940000000001</v>
      </c>
      <c r="F2136" s="8">
        <f>F2126</f>
        <v>0</v>
      </c>
      <c r="G2136" s="8">
        <f>E2136+F2136</f>
        <v>946.14940000000001</v>
      </c>
      <c r="H2136" s="3">
        <f>B2136*G2136</f>
        <v>59276.259910000001</v>
      </c>
      <c r="I2136" s="3">
        <f>C2136*G2136</f>
        <v>59399.259332000001</v>
      </c>
    </row>
    <row r="2137" spans="1:9" x14ac:dyDescent="0.25">
      <c r="A2137" t="s">
        <v>10</v>
      </c>
      <c r="B2137" s="1">
        <v>34.270000000000003</v>
      </c>
      <c r="C2137" s="1">
        <v>34.299999999999997</v>
      </c>
      <c r="D2137" s="2" t="s">
        <v>257</v>
      </c>
      <c r="E2137" s="8">
        <v>1730.1358</v>
      </c>
      <c r="F2137" s="8">
        <f>F2127</f>
        <v>0.2</v>
      </c>
      <c r="G2137" s="8">
        <f>E2137+F2137</f>
        <v>1730.3358000000001</v>
      </c>
      <c r="H2137" s="3">
        <f>B2137*G2137</f>
        <v>59298.607866000006</v>
      </c>
      <c r="I2137" s="3">
        <f>C2137*G2137</f>
        <v>59350.517939999998</v>
      </c>
    </row>
    <row r="2138" spans="1:9" x14ac:dyDescent="0.25">
      <c r="A2138" t="s">
        <v>11</v>
      </c>
      <c r="B2138" s="1">
        <v>51.65</v>
      </c>
      <c r="C2138" s="1">
        <v>51.66</v>
      </c>
      <c r="D2138" s="2" t="s">
        <v>257</v>
      </c>
      <c r="E2138" s="8">
        <v>1148.8689999999999</v>
      </c>
      <c r="F2138" s="8">
        <f>F2128</f>
        <v>0.05</v>
      </c>
      <c r="G2138" s="8">
        <f>E2138+F2138</f>
        <v>1148.9189999999999</v>
      </c>
      <c r="H2138" s="3">
        <f>B2138*G2138</f>
        <v>59341.666349999992</v>
      </c>
      <c r="I2138" s="3">
        <f>C2138*G2138</f>
        <v>59353.155539999992</v>
      </c>
    </row>
    <row r="2139" spans="1:9" x14ac:dyDescent="0.25">
      <c r="A2139" t="s">
        <v>12</v>
      </c>
      <c r="B2139" s="1">
        <v>46.04</v>
      </c>
      <c r="C2139" s="1">
        <v>46.05</v>
      </c>
      <c r="D2139" s="2" t="s">
        <v>257</v>
      </c>
      <c r="E2139" s="8">
        <v>1289.0675000000001</v>
      </c>
      <c r="F2139" s="8">
        <f>F2129</f>
        <v>0</v>
      </c>
      <c r="G2139" s="8">
        <f>E2139+F2139</f>
        <v>1289.0675000000001</v>
      </c>
      <c r="H2139" s="3">
        <f>B2139*G2139</f>
        <v>59348.667700000005</v>
      </c>
      <c r="I2139" s="3">
        <f>C2139*G2139</f>
        <v>59361.558375000001</v>
      </c>
    </row>
    <row r="2140" spans="1:9" x14ac:dyDescent="0.25">
      <c r="A2140" t="s">
        <v>13</v>
      </c>
      <c r="B2140" s="1">
        <v>16.78</v>
      </c>
      <c r="C2140" s="1">
        <v>16.79</v>
      </c>
      <c r="D2140" s="2" t="s">
        <v>257</v>
      </c>
      <c r="E2140" s="8">
        <v>3535.8029000000001</v>
      </c>
      <c r="F2140" s="8">
        <f>F2130</f>
        <v>0</v>
      </c>
      <c r="G2140" s="8">
        <f>E2140+F2140</f>
        <v>3535.8029000000001</v>
      </c>
      <c r="H2140" s="3">
        <f>B2140*G2140</f>
        <v>59330.772662000003</v>
      </c>
      <c r="I2140" s="3">
        <f>C2140*G2140</f>
        <v>59366.130690999998</v>
      </c>
    </row>
    <row r="2141" spans="1:9" x14ac:dyDescent="0.25">
      <c r="A2141" t="s">
        <v>14</v>
      </c>
      <c r="B2141" s="1">
        <v>33.61</v>
      </c>
      <c r="C2141" s="1">
        <v>33.619999999999997</v>
      </c>
      <c r="D2141" s="2" t="s">
        <v>257</v>
      </c>
      <c r="E2141" s="8">
        <v>1765.0835</v>
      </c>
      <c r="F2141" s="8">
        <f>F2131</f>
        <v>0.2</v>
      </c>
      <c r="G2141" s="8">
        <f>E2141+F2141</f>
        <v>1765.2835</v>
      </c>
      <c r="H2141" s="3">
        <f>B2141*G2141</f>
        <v>59331.178435000002</v>
      </c>
      <c r="I2141" s="3">
        <f>C2141*G2141</f>
        <v>59348.831269999995</v>
      </c>
    </row>
    <row r="2142" spans="1:9" x14ac:dyDescent="0.25">
      <c r="A2142" t="s">
        <v>4</v>
      </c>
      <c r="B2142" s="1">
        <v>19.82</v>
      </c>
      <c r="C2142" s="1">
        <v>19.829999999999998</v>
      </c>
      <c r="D2142" s="2" t="s">
        <v>258</v>
      </c>
      <c r="E2142" s="8">
        <v>3014.9834000000001</v>
      </c>
      <c r="F2142" s="8">
        <f>F2132</f>
        <v>0</v>
      </c>
      <c r="G2142" s="8">
        <f>E2142+F2142</f>
        <v>3014.9834000000001</v>
      </c>
      <c r="H2142" s="3">
        <f>B2142*G2142</f>
        <v>59756.970988000001</v>
      </c>
      <c r="I2142" s="3">
        <f>C2142*G2142</f>
        <v>59787.120821999997</v>
      </c>
    </row>
    <row r="2143" spans="1:9" x14ac:dyDescent="0.25">
      <c r="A2143" t="s">
        <v>6</v>
      </c>
      <c r="B2143" s="1">
        <v>32.44</v>
      </c>
      <c r="C2143" s="1">
        <v>32.450000000000003</v>
      </c>
      <c r="D2143" s="2" t="s">
        <v>258</v>
      </c>
      <c r="E2143" s="8">
        <v>1842.1406999999999</v>
      </c>
      <c r="F2143" s="8">
        <f>F2133</f>
        <v>-0.1</v>
      </c>
      <c r="G2143" s="8">
        <f>E2143+F2143</f>
        <v>1842.0407</v>
      </c>
      <c r="H2143" s="3">
        <f>B2143*G2143</f>
        <v>59755.800307999998</v>
      </c>
      <c r="I2143" s="3">
        <f>C2143*G2143</f>
        <v>59774.220715000003</v>
      </c>
    </row>
    <row r="2144" spans="1:9" x14ac:dyDescent="0.25">
      <c r="A2144" t="s">
        <v>7</v>
      </c>
      <c r="B2144" s="1">
        <v>16.850000000000001</v>
      </c>
      <c r="C2144" s="1">
        <v>16.86</v>
      </c>
      <c r="D2144" s="2" t="s">
        <v>258</v>
      </c>
      <c r="E2144" s="8">
        <v>3546.6351</v>
      </c>
      <c r="F2144" s="8">
        <f>F2134</f>
        <v>0</v>
      </c>
      <c r="G2144" s="8">
        <f>E2144+F2144</f>
        <v>3546.6351</v>
      </c>
      <c r="H2144" s="3">
        <f>B2144*G2144</f>
        <v>59760.801435000001</v>
      </c>
      <c r="I2144" s="3">
        <f>C2144*G2144</f>
        <v>59796.267785999997</v>
      </c>
    </row>
    <row r="2145" spans="1:9" x14ac:dyDescent="0.25">
      <c r="A2145" t="s">
        <v>8</v>
      </c>
      <c r="B2145" s="1">
        <v>26.42</v>
      </c>
      <c r="C2145" s="1">
        <v>26.43</v>
      </c>
      <c r="D2145" s="2" t="s">
        <v>258</v>
      </c>
      <c r="E2145" s="8">
        <v>2261.3602000000001</v>
      </c>
      <c r="F2145" s="8">
        <f>F2135</f>
        <v>-0.2</v>
      </c>
      <c r="G2145" s="8">
        <f>E2145+F2145</f>
        <v>2261.1602000000003</v>
      </c>
      <c r="H2145" s="3">
        <f>B2145*G2145</f>
        <v>59739.85248400001</v>
      </c>
      <c r="I2145" s="3">
        <f>C2145*G2145</f>
        <v>59762.464086000007</v>
      </c>
    </row>
    <row r="2146" spans="1:9" x14ac:dyDescent="0.25">
      <c r="A2146" t="s">
        <v>9</v>
      </c>
      <c r="B2146" s="1">
        <v>63.08</v>
      </c>
      <c r="C2146" s="1">
        <v>63.16</v>
      </c>
      <c r="D2146" s="2" t="s">
        <v>258</v>
      </c>
      <c r="E2146" s="8">
        <v>946.14940000000001</v>
      </c>
      <c r="F2146" s="8">
        <f>F2136</f>
        <v>0</v>
      </c>
      <c r="G2146" s="8">
        <f>E2146+F2146</f>
        <v>946.14940000000001</v>
      </c>
      <c r="H2146" s="3">
        <f>B2146*G2146</f>
        <v>59683.104152</v>
      </c>
      <c r="I2146" s="3">
        <f>C2146*G2146</f>
        <v>59758.796104000001</v>
      </c>
    </row>
    <row r="2147" spans="1:9" x14ac:dyDescent="0.25">
      <c r="A2147" t="s">
        <v>10</v>
      </c>
      <c r="B2147" s="1">
        <v>34.51</v>
      </c>
      <c r="C2147" s="1">
        <v>34.54</v>
      </c>
      <c r="D2147" s="2" t="s">
        <v>258</v>
      </c>
      <c r="E2147" s="8">
        <v>1730.1358</v>
      </c>
      <c r="F2147" s="8">
        <f>F2137</f>
        <v>0.2</v>
      </c>
      <c r="G2147" s="8">
        <f>E2147+F2147</f>
        <v>1730.3358000000001</v>
      </c>
      <c r="H2147" s="3">
        <f>B2147*G2147</f>
        <v>59713.888458000001</v>
      </c>
      <c r="I2147" s="3">
        <f>C2147*G2147</f>
        <v>59765.798532000001</v>
      </c>
    </row>
    <row r="2148" spans="1:9" x14ac:dyDescent="0.25">
      <c r="A2148" t="s">
        <v>11</v>
      </c>
      <c r="B2148" s="1">
        <v>51.99</v>
      </c>
      <c r="C2148" s="1">
        <v>52</v>
      </c>
      <c r="D2148" s="2" t="s">
        <v>258</v>
      </c>
      <c r="E2148" s="8">
        <v>1148.8689999999999</v>
      </c>
      <c r="F2148" s="8">
        <f>F2138</f>
        <v>0.05</v>
      </c>
      <c r="G2148" s="8">
        <f>E2148+F2148</f>
        <v>1148.9189999999999</v>
      </c>
      <c r="H2148" s="3">
        <f>B2148*G2148</f>
        <v>59732.298809999993</v>
      </c>
      <c r="I2148" s="3">
        <f>C2148*G2148</f>
        <v>59743.787999999993</v>
      </c>
    </row>
    <row r="2149" spans="1:9" x14ac:dyDescent="0.25">
      <c r="A2149" t="s">
        <v>12</v>
      </c>
      <c r="B2149" s="1">
        <v>46.34</v>
      </c>
      <c r="C2149" s="1">
        <v>46.35</v>
      </c>
      <c r="D2149" s="2" t="s">
        <v>258</v>
      </c>
      <c r="E2149" s="8">
        <v>1289.0675000000001</v>
      </c>
      <c r="F2149" s="8">
        <f>F2139</f>
        <v>0</v>
      </c>
      <c r="G2149" s="8">
        <f>E2149+F2149</f>
        <v>1289.0675000000001</v>
      </c>
      <c r="H2149" s="3">
        <f>B2149*G2149</f>
        <v>59735.387950000011</v>
      </c>
      <c r="I2149" s="3">
        <f>C2149*G2149</f>
        <v>59748.278625000006</v>
      </c>
    </row>
    <row r="2150" spans="1:9" x14ac:dyDescent="0.25">
      <c r="A2150" t="s">
        <v>13</v>
      </c>
      <c r="B2150" s="1">
        <v>16.89</v>
      </c>
      <c r="C2150" s="1">
        <v>16.899999999999999</v>
      </c>
      <c r="D2150" s="2" t="s">
        <v>258</v>
      </c>
      <c r="E2150" s="8">
        <v>3535.8029000000001</v>
      </c>
      <c r="F2150" s="8">
        <f>F2140</f>
        <v>0</v>
      </c>
      <c r="G2150" s="8">
        <f>E2150+F2150</f>
        <v>3535.8029000000001</v>
      </c>
      <c r="H2150" s="3">
        <f>B2150*G2150</f>
        <v>59719.710981000004</v>
      </c>
      <c r="I2150" s="3">
        <f>C2150*G2150</f>
        <v>59755.069009999999</v>
      </c>
    </row>
    <row r="2151" spans="1:9" x14ac:dyDescent="0.25">
      <c r="A2151" t="s">
        <v>14</v>
      </c>
      <c r="B2151" s="1">
        <v>33.83</v>
      </c>
      <c r="C2151" s="1">
        <v>33.840000000000003</v>
      </c>
      <c r="D2151" s="2" t="s">
        <v>258</v>
      </c>
      <c r="E2151" s="8">
        <v>1765.0835</v>
      </c>
      <c r="F2151" s="8">
        <f>F2141</f>
        <v>0.2</v>
      </c>
      <c r="G2151" s="8">
        <f>E2151+F2151</f>
        <v>1765.2835</v>
      </c>
      <c r="H2151" s="3">
        <f>B2151*G2151</f>
        <v>59719.540804999997</v>
      </c>
      <c r="I2151" s="3">
        <f>C2151*G2151</f>
        <v>59737.193640000005</v>
      </c>
    </row>
    <row r="2152" spans="1:9" x14ac:dyDescent="0.25">
      <c r="A2152" t="s">
        <v>4</v>
      </c>
      <c r="B2152" s="1">
        <v>19.739999999999998</v>
      </c>
      <c r="C2152" s="1">
        <v>19.75</v>
      </c>
      <c r="D2152" s="2" t="s">
        <v>259</v>
      </c>
      <c r="E2152" s="8">
        <v>3014.9834000000001</v>
      </c>
      <c r="F2152" s="8">
        <f>F2142</f>
        <v>0</v>
      </c>
      <c r="G2152" s="8">
        <f>E2152+F2152</f>
        <v>3014.9834000000001</v>
      </c>
      <c r="H2152" s="3">
        <f>B2152*G2152</f>
        <v>59515.772315999995</v>
      </c>
      <c r="I2152" s="3">
        <f>C2152*G2152</f>
        <v>59545.922149999999</v>
      </c>
    </row>
    <row r="2153" spans="1:9" x14ac:dyDescent="0.25">
      <c r="A2153" t="s">
        <v>6</v>
      </c>
      <c r="B2153" s="1">
        <v>32.31</v>
      </c>
      <c r="C2153" s="1">
        <v>32.32</v>
      </c>
      <c r="D2153" s="2" t="s">
        <v>259</v>
      </c>
      <c r="E2153" s="8">
        <v>1842.1406999999999</v>
      </c>
      <c r="F2153" s="8">
        <f>F2143</f>
        <v>-0.1</v>
      </c>
      <c r="G2153" s="8">
        <f>E2153+F2153</f>
        <v>1842.0407</v>
      </c>
      <c r="H2153" s="3">
        <f>B2153*G2153</f>
        <v>59516.335017000005</v>
      </c>
      <c r="I2153" s="3">
        <f>C2153*G2153</f>
        <v>59534.755424000003</v>
      </c>
    </row>
    <row r="2154" spans="1:9" x14ac:dyDescent="0.25">
      <c r="A2154" t="s">
        <v>7</v>
      </c>
      <c r="B2154" s="1">
        <v>16.78</v>
      </c>
      <c r="C2154" s="1">
        <v>16.79</v>
      </c>
      <c r="D2154" s="2" t="s">
        <v>259</v>
      </c>
      <c r="E2154" s="8">
        <v>3546.6351</v>
      </c>
      <c r="F2154" s="8">
        <f>F2144</f>
        <v>0</v>
      </c>
      <c r="G2154" s="8">
        <f>E2154+F2154</f>
        <v>3546.6351</v>
      </c>
      <c r="H2154" s="3">
        <f>B2154*G2154</f>
        <v>59512.536978000004</v>
      </c>
      <c r="I2154" s="3">
        <f>C2154*G2154</f>
        <v>59548.003328999999</v>
      </c>
    </row>
    <row r="2155" spans="1:9" x14ac:dyDescent="0.25">
      <c r="A2155" t="s">
        <v>8</v>
      </c>
      <c r="B2155" s="1">
        <v>26.31</v>
      </c>
      <c r="C2155" s="1">
        <v>26.32</v>
      </c>
      <c r="D2155" s="2" t="s">
        <v>259</v>
      </c>
      <c r="E2155" s="8">
        <v>2261.3602000000001</v>
      </c>
      <c r="F2155" s="8">
        <f>F2145</f>
        <v>-0.2</v>
      </c>
      <c r="G2155" s="8">
        <f>E2155+F2155</f>
        <v>2261.1602000000003</v>
      </c>
      <c r="H2155" s="3">
        <f>B2155*G2155</f>
        <v>59491.124862000004</v>
      </c>
      <c r="I2155" s="3">
        <f>C2155*G2155</f>
        <v>59513.736464000009</v>
      </c>
    </row>
    <row r="2156" spans="1:9" x14ac:dyDescent="0.25">
      <c r="A2156" t="s">
        <v>9</v>
      </c>
      <c r="B2156" s="1">
        <v>62.84</v>
      </c>
      <c r="C2156" s="1">
        <v>62.96</v>
      </c>
      <c r="D2156" s="2" t="s">
        <v>259</v>
      </c>
      <c r="E2156" s="8">
        <v>946.14940000000001</v>
      </c>
      <c r="F2156" s="8">
        <f>F2146</f>
        <v>0</v>
      </c>
      <c r="G2156" s="8">
        <f>E2156+F2156</f>
        <v>946.14940000000001</v>
      </c>
      <c r="H2156" s="3">
        <f>B2156*G2156</f>
        <v>59456.028296000004</v>
      </c>
      <c r="I2156" s="3">
        <f>C2156*G2156</f>
        <v>59569.566224000002</v>
      </c>
    </row>
    <row r="2157" spans="1:9" x14ac:dyDescent="0.25">
      <c r="A2157" t="s">
        <v>10</v>
      </c>
      <c r="B2157" s="1">
        <v>34.369999999999997</v>
      </c>
      <c r="C2157" s="1">
        <v>34.4</v>
      </c>
      <c r="D2157" s="2" t="s">
        <v>259</v>
      </c>
      <c r="E2157" s="8">
        <v>1730.1358</v>
      </c>
      <c r="F2157" s="8">
        <f>F2147</f>
        <v>0.2</v>
      </c>
      <c r="G2157" s="8">
        <f>E2157+F2157</f>
        <v>1730.3358000000001</v>
      </c>
      <c r="H2157" s="3">
        <f>B2157*G2157</f>
        <v>59471.641445999994</v>
      </c>
      <c r="I2157" s="3">
        <f>C2157*G2157</f>
        <v>59523.551520000001</v>
      </c>
    </row>
    <row r="2158" spans="1:9" x14ac:dyDescent="0.25">
      <c r="A2158" t="s">
        <v>11</v>
      </c>
      <c r="B2158" s="1">
        <v>51.78</v>
      </c>
      <c r="C2158" s="1">
        <v>51.79</v>
      </c>
      <c r="D2158" s="2" t="s">
        <v>259</v>
      </c>
      <c r="E2158" s="8">
        <v>1148.8689999999999</v>
      </c>
      <c r="F2158" s="8">
        <f>F2148</f>
        <v>0.05</v>
      </c>
      <c r="G2158" s="8">
        <f>E2158+F2158</f>
        <v>1148.9189999999999</v>
      </c>
      <c r="H2158" s="3">
        <f>B2158*G2158</f>
        <v>59491.025819999995</v>
      </c>
      <c r="I2158" s="3">
        <f>C2158*G2158</f>
        <v>59502.515009999996</v>
      </c>
    </row>
    <row r="2159" spans="1:9" x14ac:dyDescent="0.25">
      <c r="A2159" t="s">
        <v>12</v>
      </c>
      <c r="B2159" s="1">
        <v>46.16</v>
      </c>
      <c r="C2159" s="1">
        <v>46.17</v>
      </c>
      <c r="D2159" s="2" t="s">
        <v>259</v>
      </c>
      <c r="E2159" s="8">
        <v>1289.0675000000001</v>
      </c>
      <c r="F2159" s="8">
        <f>F2149</f>
        <v>0</v>
      </c>
      <c r="G2159" s="8">
        <f>E2159+F2159</f>
        <v>1289.0675000000001</v>
      </c>
      <c r="H2159" s="3">
        <f>B2159*G2159</f>
        <v>59503.355799999998</v>
      </c>
      <c r="I2159" s="3">
        <f>C2159*G2159</f>
        <v>59516.246475000007</v>
      </c>
    </row>
    <row r="2160" spans="1:9" x14ac:dyDescent="0.25">
      <c r="A2160" t="s">
        <v>13</v>
      </c>
      <c r="B2160" s="1">
        <v>16.82</v>
      </c>
      <c r="C2160" s="1">
        <v>16.829999999999998</v>
      </c>
      <c r="D2160" s="2" t="s">
        <v>259</v>
      </c>
      <c r="E2160" s="8">
        <v>3535.8029000000001</v>
      </c>
      <c r="F2160" s="8">
        <f>F2150</f>
        <v>0</v>
      </c>
      <c r="G2160" s="8">
        <f>E2160+F2160</f>
        <v>3535.8029000000001</v>
      </c>
      <c r="H2160" s="3">
        <f>B2160*G2160</f>
        <v>59472.204778000007</v>
      </c>
      <c r="I2160" s="3">
        <f>C2160*G2160</f>
        <v>59507.562806999995</v>
      </c>
    </row>
    <row r="2161" spans="1:9" x14ac:dyDescent="0.25">
      <c r="A2161" t="s">
        <v>14</v>
      </c>
      <c r="B2161" s="1">
        <v>33.69</v>
      </c>
      <c r="C2161" s="1">
        <v>33.700000000000003</v>
      </c>
      <c r="D2161" s="2" t="s">
        <v>259</v>
      </c>
      <c r="E2161" s="8">
        <v>1765.0835</v>
      </c>
      <c r="F2161" s="8">
        <f>F2151</f>
        <v>0.2</v>
      </c>
      <c r="G2161" s="8">
        <f>E2161+F2161</f>
        <v>1765.2835</v>
      </c>
      <c r="H2161" s="3">
        <f>B2161*G2161</f>
        <v>59472.401114999993</v>
      </c>
      <c r="I2161" s="3">
        <f>C2161*G2161</f>
        <v>59490.053950000009</v>
      </c>
    </row>
    <row r="2162" spans="1:9" x14ac:dyDescent="0.25">
      <c r="A2162" t="s">
        <v>4</v>
      </c>
      <c r="B2162" s="1">
        <v>19.68</v>
      </c>
      <c r="C2162" s="1">
        <v>19.690000000000001</v>
      </c>
      <c r="D2162" s="2" t="s">
        <v>260</v>
      </c>
      <c r="E2162" s="8">
        <v>3014.9834000000001</v>
      </c>
      <c r="F2162" s="8">
        <f>F2152</f>
        <v>0</v>
      </c>
      <c r="G2162" s="8">
        <f>E2162+F2162</f>
        <v>3014.9834000000001</v>
      </c>
      <c r="H2162" s="3">
        <f>B2162*G2162</f>
        <v>59334.873312000003</v>
      </c>
      <c r="I2162" s="3">
        <f>C2162*G2162</f>
        <v>59365.023146000007</v>
      </c>
    </row>
    <row r="2163" spans="1:9" x14ac:dyDescent="0.25">
      <c r="A2163" t="s">
        <v>6</v>
      </c>
      <c r="B2163" s="1">
        <v>32.22</v>
      </c>
      <c r="C2163" s="1">
        <v>32.229999999999997</v>
      </c>
      <c r="D2163" s="2" t="s">
        <v>260</v>
      </c>
      <c r="E2163" s="8">
        <v>1842.1406999999999</v>
      </c>
      <c r="F2163" s="8">
        <f>F2153</f>
        <v>-0.1</v>
      </c>
      <c r="G2163" s="8">
        <f>E2163+F2163</f>
        <v>1842.0407</v>
      </c>
      <c r="H2163" s="3">
        <f>B2163*G2163</f>
        <v>59350.551353999996</v>
      </c>
      <c r="I2163" s="3">
        <f>C2163*G2163</f>
        <v>59368.971760999993</v>
      </c>
    </row>
    <row r="2164" spans="1:9" x14ac:dyDescent="0.25">
      <c r="A2164" t="s">
        <v>7</v>
      </c>
      <c r="B2164" s="1">
        <v>16.73</v>
      </c>
      <c r="C2164" s="1">
        <v>16.739999999999998</v>
      </c>
      <c r="D2164" s="2" t="s">
        <v>260</v>
      </c>
      <c r="E2164" s="8">
        <v>3546.6351</v>
      </c>
      <c r="F2164" s="8">
        <f>F2154</f>
        <v>0</v>
      </c>
      <c r="G2164" s="8">
        <f>E2164+F2164</f>
        <v>3546.6351</v>
      </c>
      <c r="H2164" s="3">
        <f>B2164*G2164</f>
        <v>59335.205223000004</v>
      </c>
      <c r="I2164" s="3">
        <f>C2164*G2164</f>
        <v>59370.671573999993</v>
      </c>
    </row>
    <row r="2165" spans="1:9" x14ac:dyDescent="0.25">
      <c r="A2165" t="s">
        <v>8</v>
      </c>
      <c r="B2165" s="1">
        <v>26.24</v>
      </c>
      <c r="C2165" s="1">
        <v>26.25</v>
      </c>
      <c r="D2165" s="2" t="s">
        <v>260</v>
      </c>
      <c r="E2165" s="8">
        <v>2261.3602000000001</v>
      </c>
      <c r="F2165" s="8">
        <f>F2155</f>
        <v>-0.2</v>
      </c>
      <c r="G2165" s="8">
        <f>E2165+F2165</f>
        <v>2261.1602000000003</v>
      </c>
      <c r="H2165" s="3">
        <f>B2165*G2165</f>
        <v>59332.843648000002</v>
      </c>
      <c r="I2165" s="3">
        <f>C2165*G2165</f>
        <v>59355.455250000006</v>
      </c>
    </row>
    <row r="2166" spans="1:9" x14ac:dyDescent="0.25">
      <c r="A2166" t="s">
        <v>9</v>
      </c>
      <c r="B2166" s="1">
        <v>62.65</v>
      </c>
      <c r="C2166" s="1">
        <v>62.76</v>
      </c>
      <c r="D2166" s="2" t="s">
        <v>260</v>
      </c>
      <c r="E2166" s="8">
        <v>946.14940000000001</v>
      </c>
      <c r="F2166" s="8">
        <f>F2156</f>
        <v>0</v>
      </c>
      <c r="G2166" s="8">
        <f>E2166+F2166</f>
        <v>946.14940000000001</v>
      </c>
      <c r="H2166" s="3">
        <f>B2166*G2166</f>
        <v>59276.259910000001</v>
      </c>
      <c r="I2166" s="3">
        <f>C2166*G2166</f>
        <v>59380.336343999996</v>
      </c>
    </row>
    <row r="2167" spans="1:9" x14ac:dyDescent="0.25">
      <c r="A2167" t="s">
        <v>10</v>
      </c>
      <c r="B2167" s="1">
        <v>34.270000000000003</v>
      </c>
      <c r="C2167" s="1">
        <v>34.29</v>
      </c>
      <c r="D2167" s="2" t="s">
        <v>260</v>
      </c>
      <c r="E2167" s="8">
        <v>1730.1358</v>
      </c>
      <c r="F2167" s="8">
        <f>F2157</f>
        <v>0.2</v>
      </c>
      <c r="G2167" s="8">
        <f>E2167+F2167</f>
        <v>1730.3358000000001</v>
      </c>
      <c r="H2167" s="3">
        <f>B2167*G2167</f>
        <v>59298.607866000006</v>
      </c>
      <c r="I2167" s="3">
        <f>C2167*G2167</f>
        <v>59333.214582000001</v>
      </c>
    </row>
    <row r="2168" spans="1:9" x14ac:dyDescent="0.25">
      <c r="A2168" t="s">
        <v>11</v>
      </c>
      <c r="B2168" s="1">
        <v>51.63</v>
      </c>
      <c r="C2168" s="1">
        <v>51.64</v>
      </c>
      <c r="D2168" s="2" t="s">
        <v>260</v>
      </c>
      <c r="E2168" s="8">
        <v>1148.8689999999999</v>
      </c>
      <c r="F2168" s="8">
        <f>F2158</f>
        <v>0.05</v>
      </c>
      <c r="G2168" s="8">
        <f>E2168+F2168</f>
        <v>1148.9189999999999</v>
      </c>
      <c r="H2168" s="3">
        <f>B2168*G2168</f>
        <v>59318.687969999999</v>
      </c>
      <c r="I2168" s="3">
        <f>C2168*G2168</f>
        <v>59330.177159999992</v>
      </c>
    </row>
    <row r="2169" spans="1:9" x14ac:dyDescent="0.25">
      <c r="A2169" t="s">
        <v>12</v>
      </c>
      <c r="B2169" s="1">
        <v>46.03</v>
      </c>
      <c r="C2169" s="1">
        <v>46.04</v>
      </c>
      <c r="D2169" s="2" t="s">
        <v>260</v>
      </c>
      <c r="E2169" s="8">
        <v>1289.0675000000001</v>
      </c>
      <c r="F2169" s="8">
        <f>F2159</f>
        <v>0</v>
      </c>
      <c r="G2169" s="8">
        <f>E2169+F2169</f>
        <v>1289.0675000000001</v>
      </c>
      <c r="H2169" s="3">
        <f>B2169*G2169</f>
        <v>59335.777025000003</v>
      </c>
      <c r="I2169" s="3">
        <f>C2169*G2169</f>
        <v>59348.667700000005</v>
      </c>
    </row>
    <row r="2170" spans="1:9" x14ac:dyDescent="0.25">
      <c r="A2170" t="s">
        <v>13</v>
      </c>
      <c r="B2170" s="1">
        <v>16.77</v>
      </c>
      <c r="C2170" s="1">
        <v>16.78</v>
      </c>
      <c r="D2170" s="2" t="s">
        <v>260</v>
      </c>
      <c r="E2170" s="8">
        <v>3535.8029000000001</v>
      </c>
      <c r="F2170" s="8">
        <f>F2160</f>
        <v>0</v>
      </c>
      <c r="G2170" s="8">
        <f>E2170+F2170</f>
        <v>3535.8029000000001</v>
      </c>
      <c r="H2170" s="3">
        <f>B2170*G2170</f>
        <v>59295.414633</v>
      </c>
      <c r="I2170" s="3">
        <f>C2170*G2170</f>
        <v>59330.772662000003</v>
      </c>
    </row>
    <row r="2171" spans="1:9" x14ac:dyDescent="0.25">
      <c r="A2171" t="s">
        <v>14</v>
      </c>
      <c r="B2171" s="1">
        <v>33.6</v>
      </c>
      <c r="C2171" s="1">
        <v>33.61</v>
      </c>
      <c r="D2171" s="2" t="s">
        <v>260</v>
      </c>
      <c r="E2171" s="8">
        <v>1765.0835</v>
      </c>
      <c r="F2171" s="8">
        <f>F2161</f>
        <v>0.2</v>
      </c>
      <c r="G2171" s="8">
        <f>E2171+F2171</f>
        <v>1765.2835</v>
      </c>
      <c r="H2171" s="3">
        <f>B2171*G2171</f>
        <v>59313.525600000001</v>
      </c>
      <c r="I2171" s="3">
        <f>C2171*G2171</f>
        <v>59331.178435000002</v>
      </c>
    </row>
    <row r="2172" spans="1:9" x14ac:dyDescent="0.25">
      <c r="A2172" t="s">
        <v>4</v>
      </c>
      <c r="B2172" s="1">
        <v>19.75</v>
      </c>
      <c r="C2172" s="1">
        <v>19.760000000000002</v>
      </c>
      <c r="D2172" s="2" t="s">
        <v>261</v>
      </c>
      <c r="E2172" s="8">
        <v>3014.9834000000001</v>
      </c>
      <c r="F2172" s="8">
        <f>F2162</f>
        <v>0</v>
      </c>
      <c r="G2172" s="8">
        <f>E2172+F2172</f>
        <v>3014.9834000000001</v>
      </c>
      <c r="H2172" s="3">
        <f>B2172*G2172</f>
        <v>59545.922149999999</v>
      </c>
      <c r="I2172" s="3">
        <f>C2172*G2172</f>
        <v>59576.071984000009</v>
      </c>
    </row>
    <row r="2173" spans="1:9" x14ac:dyDescent="0.25">
      <c r="A2173" t="s">
        <v>6</v>
      </c>
      <c r="B2173" s="1">
        <v>32.32</v>
      </c>
      <c r="C2173" s="1">
        <v>32.33</v>
      </c>
      <c r="D2173" s="2" t="s">
        <v>261</v>
      </c>
      <c r="E2173" s="8">
        <v>1842.1406999999999</v>
      </c>
      <c r="F2173" s="8">
        <f>F2163</f>
        <v>-0.1</v>
      </c>
      <c r="G2173" s="8">
        <f>E2173+F2173</f>
        <v>1842.0407</v>
      </c>
      <c r="H2173" s="3">
        <f>B2173*G2173</f>
        <v>59534.755424000003</v>
      </c>
      <c r="I2173" s="3">
        <f>C2173*G2173</f>
        <v>59553.175831</v>
      </c>
    </row>
    <row r="2174" spans="1:9" x14ac:dyDescent="0.25">
      <c r="A2174" t="s">
        <v>7</v>
      </c>
      <c r="B2174" s="1">
        <v>16.78</v>
      </c>
      <c r="C2174" s="1">
        <v>16.79</v>
      </c>
      <c r="D2174" s="2" t="s">
        <v>261</v>
      </c>
      <c r="E2174" s="8">
        <v>3546.6351</v>
      </c>
      <c r="F2174" s="8">
        <f>F2164</f>
        <v>0</v>
      </c>
      <c r="G2174" s="8">
        <f>E2174+F2174</f>
        <v>3546.6351</v>
      </c>
      <c r="H2174" s="3">
        <f>B2174*G2174</f>
        <v>59512.536978000004</v>
      </c>
      <c r="I2174" s="3">
        <f>C2174*G2174</f>
        <v>59548.003328999999</v>
      </c>
    </row>
    <row r="2175" spans="1:9" x14ac:dyDescent="0.25">
      <c r="A2175" t="s">
        <v>8</v>
      </c>
      <c r="B2175" s="1">
        <v>26.32</v>
      </c>
      <c r="C2175" s="1">
        <v>26.33</v>
      </c>
      <c r="D2175" s="2" t="s">
        <v>261</v>
      </c>
      <c r="E2175" s="8">
        <v>2261.3602000000001</v>
      </c>
      <c r="F2175" s="8">
        <f>F2165</f>
        <v>-0.2</v>
      </c>
      <c r="G2175" s="8">
        <f>E2175+F2175</f>
        <v>2261.1602000000003</v>
      </c>
      <c r="H2175" s="3">
        <f>B2175*G2175</f>
        <v>59513.736464000009</v>
      </c>
      <c r="I2175" s="3">
        <f>C2175*G2175</f>
        <v>59536.348066000006</v>
      </c>
    </row>
    <row r="2176" spans="1:9" x14ac:dyDescent="0.25">
      <c r="A2176" t="s">
        <v>9</v>
      </c>
      <c r="B2176" s="1">
        <v>62.87</v>
      </c>
      <c r="C2176" s="1">
        <v>62.96</v>
      </c>
      <c r="D2176" s="2" t="s">
        <v>261</v>
      </c>
      <c r="E2176" s="8">
        <v>946.14940000000001</v>
      </c>
      <c r="F2176" s="8">
        <f>F2166</f>
        <v>0</v>
      </c>
      <c r="G2176" s="8">
        <f>E2176+F2176</f>
        <v>946.14940000000001</v>
      </c>
      <c r="H2176" s="3">
        <f>B2176*G2176</f>
        <v>59484.412777999998</v>
      </c>
      <c r="I2176" s="3">
        <f>C2176*G2176</f>
        <v>59569.566224000002</v>
      </c>
    </row>
    <row r="2177" spans="1:9" x14ac:dyDescent="0.25">
      <c r="A2177" t="s">
        <v>10</v>
      </c>
      <c r="B2177" s="1">
        <v>34.39</v>
      </c>
      <c r="C2177" s="1">
        <v>34.4</v>
      </c>
      <c r="D2177" s="2" t="s">
        <v>261</v>
      </c>
      <c r="E2177" s="8">
        <v>1730.1358</v>
      </c>
      <c r="F2177" s="8">
        <f>F2167</f>
        <v>0.2</v>
      </c>
      <c r="G2177" s="8">
        <f>E2177+F2177</f>
        <v>1730.3358000000001</v>
      </c>
      <c r="H2177" s="3">
        <f>B2177*G2177</f>
        <v>59506.248162000004</v>
      </c>
      <c r="I2177" s="3">
        <f>C2177*G2177</f>
        <v>59523.551520000001</v>
      </c>
    </row>
    <row r="2178" spans="1:9" x14ac:dyDescent="0.25">
      <c r="A2178" t="s">
        <v>11</v>
      </c>
      <c r="B2178" s="1">
        <v>51.8</v>
      </c>
      <c r="C2178" s="1">
        <v>51.81</v>
      </c>
      <c r="D2178" s="2" t="s">
        <v>261</v>
      </c>
      <c r="E2178" s="8">
        <v>1148.8689999999999</v>
      </c>
      <c r="F2178" s="8">
        <f>F2168</f>
        <v>0.05</v>
      </c>
      <c r="G2178" s="8">
        <f>E2178+F2178</f>
        <v>1148.9189999999999</v>
      </c>
      <c r="H2178" s="3">
        <f>B2178*G2178</f>
        <v>59514.004199999988</v>
      </c>
      <c r="I2178" s="3">
        <f>C2178*G2178</f>
        <v>59525.493389999996</v>
      </c>
    </row>
    <row r="2179" spans="1:9" x14ac:dyDescent="0.25">
      <c r="A2179" t="s">
        <v>12</v>
      </c>
      <c r="B2179" s="1">
        <v>46.18</v>
      </c>
      <c r="C2179" s="1">
        <v>46.19</v>
      </c>
      <c r="D2179" s="2" t="s">
        <v>261</v>
      </c>
      <c r="E2179" s="8">
        <v>1289.0675000000001</v>
      </c>
      <c r="F2179" s="8">
        <f>F2169</f>
        <v>0</v>
      </c>
      <c r="G2179" s="8">
        <f>E2179+F2179</f>
        <v>1289.0675000000001</v>
      </c>
      <c r="H2179" s="3">
        <f>B2179*G2179</f>
        <v>59529.137150000002</v>
      </c>
      <c r="I2179" s="3">
        <f>C2179*G2179</f>
        <v>59542.027825000005</v>
      </c>
    </row>
    <row r="2180" spans="1:9" x14ac:dyDescent="0.25">
      <c r="A2180" t="s">
        <v>13</v>
      </c>
      <c r="B2180" s="1">
        <v>16.829999999999998</v>
      </c>
      <c r="C2180" s="1">
        <v>16.84</v>
      </c>
      <c r="D2180" s="2" t="s">
        <v>261</v>
      </c>
      <c r="E2180" s="8">
        <v>3535.8029000000001</v>
      </c>
      <c r="F2180" s="8">
        <f>F2170</f>
        <v>0</v>
      </c>
      <c r="G2180" s="8">
        <f>E2180+F2180</f>
        <v>3535.8029000000001</v>
      </c>
      <c r="H2180" s="3">
        <f>B2180*G2180</f>
        <v>59507.562806999995</v>
      </c>
      <c r="I2180" s="3">
        <f>C2180*G2180</f>
        <v>59542.920836000005</v>
      </c>
    </row>
    <row r="2181" spans="1:9" x14ac:dyDescent="0.25">
      <c r="A2181" t="s">
        <v>14</v>
      </c>
      <c r="B2181" s="1">
        <v>33.71</v>
      </c>
      <c r="C2181" s="1">
        <v>33.72</v>
      </c>
      <c r="D2181" s="2" t="s">
        <v>261</v>
      </c>
      <c r="E2181" s="8">
        <v>1765.0835</v>
      </c>
      <c r="F2181" s="8">
        <f>F2171</f>
        <v>0.2</v>
      </c>
      <c r="G2181" s="8">
        <f>E2181+F2181</f>
        <v>1765.2835</v>
      </c>
      <c r="H2181" s="3">
        <f>B2181*G2181</f>
        <v>59507.706785000002</v>
      </c>
      <c r="I2181" s="3">
        <f>C2181*G2181</f>
        <v>59525.359619999996</v>
      </c>
    </row>
    <row r="2182" spans="1:9" x14ac:dyDescent="0.25">
      <c r="A2182" t="s">
        <v>4</v>
      </c>
      <c r="B2182" s="1">
        <v>19.75</v>
      </c>
      <c r="C2182" s="1">
        <v>19.760000000000002</v>
      </c>
      <c r="D2182" s="2" t="s">
        <v>262</v>
      </c>
      <c r="E2182" s="8">
        <v>3014.9834000000001</v>
      </c>
      <c r="F2182" s="8">
        <f>F2172</f>
        <v>0</v>
      </c>
      <c r="G2182" s="8">
        <f>E2182+F2182</f>
        <v>3014.9834000000001</v>
      </c>
      <c r="H2182" s="3">
        <f>B2182*G2182</f>
        <v>59545.922149999999</v>
      </c>
      <c r="I2182" s="3">
        <f>C2182*G2182</f>
        <v>59576.071984000009</v>
      </c>
    </row>
    <row r="2183" spans="1:9" x14ac:dyDescent="0.25">
      <c r="A2183" t="s">
        <v>6</v>
      </c>
      <c r="B2183" s="1">
        <v>32.31</v>
      </c>
      <c r="C2183" s="1">
        <v>32.32</v>
      </c>
      <c r="D2183" s="2" t="s">
        <v>262</v>
      </c>
      <c r="E2183" s="8">
        <v>1842.1406999999999</v>
      </c>
      <c r="F2183" s="8">
        <f>F2173</f>
        <v>-0.1</v>
      </c>
      <c r="G2183" s="8">
        <f>E2183+F2183</f>
        <v>1842.0407</v>
      </c>
      <c r="H2183" s="3">
        <f>B2183*G2183</f>
        <v>59516.335017000005</v>
      </c>
      <c r="I2183" s="3">
        <f>C2183*G2183</f>
        <v>59534.755424000003</v>
      </c>
    </row>
    <row r="2184" spans="1:9" x14ac:dyDescent="0.25">
      <c r="A2184" t="s">
        <v>7</v>
      </c>
      <c r="B2184" s="1">
        <v>16.78</v>
      </c>
      <c r="C2184" s="1">
        <v>16.79</v>
      </c>
      <c r="D2184" s="2" t="s">
        <v>262</v>
      </c>
      <c r="E2184" s="8">
        <v>3546.6351</v>
      </c>
      <c r="F2184" s="8">
        <f>F2174</f>
        <v>0</v>
      </c>
      <c r="G2184" s="8">
        <f>E2184+F2184</f>
        <v>3546.6351</v>
      </c>
      <c r="H2184" s="3">
        <f>B2184*G2184</f>
        <v>59512.536978000004</v>
      </c>
      <c r="I2184" s="3">
        <f>C2184*G2184</f>
        <v>59548.003328999999</v>
      </c>
    </row>
    <row r="2185" spans="1:9" x14ac:dyDescent="0.25">
      <c r="A2185" t="s">
        <v>8</v>
      </c>
      <c r="B2185" s="1">
        <v>26.32</v>
      </c>
      <c r="C2185" s="1">
        <v>26.33</v>
      </c>
      <c r="D2185" s="2" t="s">
        <v>262</v>
      </c>
      <c r="E2185" s="8">
        <v>2261.3602000000001</v>
      </c>
      <c r="F2185" s="8">
        <f>F2175</f>
        <v>-0.2</v>
      </c>
      <c r="G2185" s="8">
        <f>E2185+F2185</f>
        <v>2261.1602000000003</v>
      </c>
      <c r="H2185" s="3">
        <f>B2185*G2185</f>
        <v>59513.736464000009</v>
      </c>
      <c r="I2185" s="3">
        <f>C2185*G2185</f>
        <v>59536.348066000006</v>
      </c>
    </row>
    <row r="2186" spans="1:9" x14ac:dyDescent="0.25">
      <c r="A2186" t="s">
        <v>9</v>
      </c>
      <c r="B2186" s="1">
        <v>62.85</v>
      </c>
      <c r="C2186" s="1">
        <v>62.98</v>
      </c>
      <c r="D2186" s="2" t="s">
        <v>262</v>
      </c>
      <c r="E2186" s="8">
        <v>946.14940000000001</v>
      </c>
      <c r="F2186" s="8">
        <f>F2176</f>
        <v>0</v>
      </c>
      <c r="G2186" s="8">
        <f>E2186+F2186</f>
        <v>946.14940000000001</v>
      </c>
      <c r="H2186" s="3">
        <f>B2186*G2186</f>
        <v>59465.48979</v>
      </c>
      <c r="I2186" s="3">
        <f>C2186*G2186</f>
        <v>59588.489212</v>
      </c>
    </row>
    <row r="2187" spans="1:9" x14ac:dyDescent="0.25">
      <c r="A2187" t="s">
        <v>10</v>
      </c>
      <c r="B2187" s="1">
        <v>34.380000000000003</v>
      </c>
      <c r="C2187" s="1">
        <v>34.4</v>
      </c>
      <c r="D2187" s="2" t="s">
        <v>262</v>
      </c>
      <c r="E2187" s="8">
        <v>1730.1358</v>
      </c>
      <c r="F2187" s="8">
        <f>F2177</f>
        <v>0.2</v>
      </c>
      <c r="G2187" s="8">
        <f>E2187+F2187</f>
        <v>1730.3358000000001</v>
      </c>
      <c r="H2187" s="3">
        <f>B2187*G2187</f>
        <v>59488.944804000006</v>
      </c>
      <c r="I2187" s="3">
        <f>C2187*G2187</f>
        <v>59523.551520000001</v>
      </c>
    </row>
    <row r="2188" spans="1:9" x14ac:dyDescent="0.25">
      <c r="A2188" t="s">
        <v>11</v>
      </c>
      <c r="B2188" s="1">
        <v>51.78</v>
      </c>
      <c r="C2188" s="1">
        <v>51.79</v>
      </c>
      <c r="D2188" s="2" t="s">
        <v>262</v>
      </c>
      <c r="E2188" s="8">
        <v>1148.8689999999999</v>
      </c>
      <c r="F2188" s="8">
        <f>F2178</f>
        <v>0.05</v>
      </c>
      <c r="G2188" s="8">
        <f>E2188+F2188</f>
        <v>1148.9189999999999</v>
      </c>
      <c r="H2188" s="3">
        <f>B2188*G2188</f>
        <v>59491.025819999995</v>
      </c>
      <c r="I2188" s="3">
        <f>C2188*G2188</f>
        <v>59502.515009999996</v>
      </c>
    </row>
    <row r="2189" spans="1:9" x14ac:dyDescent="0.25">
      <c r="A2189" t="s">
        <v>12</v>
      </c>
      <c r="B2189" s="1">
        <v>46.16</v>
      </c>
      <c r="C2189" s="1">
        <v>46.17</v>
      </c>
      <c r="D2189" s="2" t="s">
        <v>262</v>
      </c>
      <c r="E2189" s="8">
        <v>1289.0675000000001</v>
      </c>
      <c r="F2189" s="8">
        <f>F2179</f>
        <v>0</v>
      </c>
      <c r="G2189" s="8">
        <f>E2189+F2189</f>
        <v>1289.0675000000001</v>
      </c>
      <c r="H2189" s="3">
        <f>B2189*G2189</f>
        <v>59503.355799999998</v>
      </c>
      <c r="I2189" s="3">
        <f>C2189*G2189</f>
        <v>59516.246475000007</v>
      </c>
    </row>
    <row r="2190" spans="1:9" x14ac:dyDescent="0.25">
      <c r="A2190" t="s">
        <v>13</v>
      </c>
      <c r="B2190" s="1">
        <v>16.829999999999998</v>
      </c>
      <c r="C2190" s="1">
        <v>16.84</v>
      </c>
      <c r="D2190" s="2" t="s">
        <v>262</v>
      </c>
      <c r="E2190" s="8">
        <v>3535.8029000000001</v>
      </c>
      <c r="F2190" s="8">
        <f>F2180</f>
        <v>0</v>
      </c>
      <c r="G2190" s="8">
        <f>E2190+F2190</f>
        <v>3535.8029000000001</v>
      </c>
      <c r="H2190" s="3">
        <f>B2190*G2190</f>
        <v>59507.562806999995</v>
      </c>
      <c r="I2190" s="3">
        <f>C2190*G2190</f>
        <v>59542.920836000005</v>
      </c>
    </row>
    <row r="2191" spans="1:9" x14ac:dyDescent="0.25">
      <c r="A2191" t="s">
        <v>14</v>
      </c>
      <c r="B2191" s="1">
        <v>33.700000000000003</v>
      </c>
      <c r="C2191" s="1">
        <v>33.71</v>
      </c>
      <c r="D2191" s="2" t="s">
        <v>262</v>
      </c>
      <c r="E2191" s="8">
        <v>1765.0835</v>
      </c>
      <c r="F2191" s="8">
        <f>F2181</f>
        <v>0.2</v>
      </c>
      <c r="G2191" s="8">
        <f>E2191+F2191</f>
        <v>1765.2835</v>
      </c>
      <c r="H2191" s="3">
        <f>B2191*G2191</f>
        <v>59490.053950000009</v>
      </c>
      <c r="I2191" s="3">
        <f>C2191*G2191</f>
        <v>59507.706785000002</v>
      </c>
    </row>
    <row r="2192" spans="1:9" x14ac:dyDescent="0.25">
      <c r="A2192" t="s">
        <v>4</v>
      </c>
      <c r="B2192" s="1">
        <v>19.829999999999998</v>
      </c>
      <c r="C2192" s="1">
        <v>19.84</v>
      </c>
      <c r="D2192" s="2" t="s">
        <v>263</v>
      </c>
      <c r="E2192" s="8">
        <v>3014.9834000000001</v>
      </c>
      <c r="F2192" s="8">
        <f>F2182</f>
        <v>0</v>
      </c>
      <c r="G2192" s="8">
        <f>E2192+F2192</f>
        <v>3014.9834000000001</v>
      </c>
      <c r="H2192" s="3">
        <f>B2192*G2192</f>
        <v>59787.120821999997</v>
      </c>
      <c r="I2192" s="3">
        <f>C2192*G2192</f>
        <v>59817.270656000001</v>
      </c>
    </row>
    <row r="2193" spans="1:9" x14ac:dyDescent="0.25">
      <c r="A2193" t="s">
        <v>6</v>
      </c>
      <c r="B2193" s="1">
        <v>32.450000000000003</v>
      </c>
      <c r="C2193" s="1">
        <v>32.46</v>
      </c>
      <c r="D2193" s="2" t="s">
        <v>263</v>
      </c>
      <c r="E2193" s="8">
        <v>1842.1406999999999</v>
      </c>
      <c r="F2193" s="8">
        <f>F2183</f>
        <v>-0.1</v>
      </c>
      <c r="G2193" s="8">
        <f>E2193+F2193</f>
        <v>1842.0407</v>
      </c>
      <c r="H2193" s="3">
        <f>B2193*G2193</f>
        <v>59774.220715000003</v>
      </c>
      <c r="I2193" s="3">
        <f>C2193*G2193</f>
        <v>59792.641122000001</v>
      </c>
    </row>
    <row r="2194" spans="1:9" x14ac:dyDescent="0.25">
      <c r="A2194" t="s">
        <v>7</v>
      </c>
      <c r="B2194" s="1">
        <v>16.850000000000001</v>
      </c>
      <c r="C2194" s="1">
        <v>16.86</v>
      </c>
      <c r="D2194" s="2" t="s">
        <v>263</v>
      </c>
      <c r="E2194" s="8">
        <v>3546.6351</v>
      </c>
      <c r="F2194" s="8">
        <f>F2184</f>
        <v>0</v>
      </c>
      <c r="G2194" s="8">
        <f>E2194+F2194</f>
        <v>3546.6351</v>
      </c>
      <c r="H2194" s="3">
        <f>B2194*G2194</f>
        <v>59760.801435000001</v>
      </c>
      <c r="I2194" s="3">
        <f>C2194*G2194</f>
        <v>59796.267785999997</v>
      </c>
    </row>
    <row r="2195" spans="1:9" x14ac:dyDescent="0.25">
      <c r="A2195" t="s">
        <v>8</v>
      </c>
      <c r="B2195" s="1">
        <v>26.43</v>
      </c>
      <c r="C2195" s="1">
        <v>26.44</v>
      </c>
      <c r="D2195" s="2" t="s">
        <v>263</v>
      </c>
      <c r="E2195" s="8">
        <v>2261.3602000000001</v>
      </c>
      <c r="F2195" s="8">
        <f>F2185</f>
        <v>-0.2</v>
      </c>
      <c r="G2195" s="8">
        <f>E2195+F2195</f>
        <v>2261.1602000000003</v>
      </c>
      <c r="H2195" s="3">
        <f>B2195*G2195</f>
        <v>59762.464086000007</v>
      </c>
      <c r="I2195" s="3">
        <f>C2195*G2195</f>
        <v>59785.075688000012</v>
      </c>
    </row>
    <row r="2196" spans="1:9" x14ac:dyDescent="0.25">
      <c r="A2196" t="s">
        <v>9</v>
      </c>
      <c r="B2196" s="1">
        <v>63.13</v>
      </c>
      <c r="C2196" s="1">
        <v>63.22</v>
      </c>
      <c r="D2196" s="2" t="s">
        <v>263</v>
      </c>
      <c r="E2196" s="8">
        <v>946.14940000000001</v>
      </c>
      <c r="F2196" s="8">
        <f>F2186</f>
        <v>0</v>
      </c>
      <c r="G2196" s="8">
        <f>E2196+F2196</f>
        <v>946.14940000000001</v>
      </c>
      <c r="H2196" s="3">
        <f>B2196*G2196</f>
        <v>59730.411622000007</v>
      </c>
      <c r="I2196" s="3">
        <f>C2196*G2196</f>
        <v>59815.565067999996</v>
      </c>
    </row>
    <row r="2197" spans="1:9" x14ac:dyDescent="0.25">
      <c r="A2197" t="s">
        <v>10</v>
      </c>
      <c r="B2197" s="1">
        <v>34.520000000000003</v>
      </c>
      <c r="C2197" s="1">
        <v>34.54</v>
      </c>
      <c r="D2197" s="2" t="s">
        <v>263</v>
      </c>
      <c r="E2197" s="8">
        <v>1730.1358</v>
      </c>
      <c r="F2197" s="8">
        <f>F2187</f>
        <v>0.2</v>
      </c>
      <c r="G2197" s="8">
        <f>E2197+F2197</f>
        <v>1730.3358000000001</v>
      </c>
      <c r="H2197" s="3">
        <f>B2197*G2197</f>
        <v>59731.191816000006</v>
      </c>
      <c r="I2197" s="3">
        <f>C2197*G2197</f>
        <v>59765.798532000001</v>
      </c>
    </row>
    <row r="2198" spans="1:9" x14ac:dyDescent="0.25">
      <c r="A2198" t="s">
        <v>11</v>
      </c>
      <c r="B2198" s="1">
        <v>52</v>
      </c>
      <c r="C2198" s="1">
        <v>52.01</v>
      </c>
      <c r="D2198" s="2" t="s">
        <v>263</v>
      </c>
      <c r="E2198" s="8">
        <v>1148.8689999999999</v>
      </c>
      <c r="F2198" s="8">
        <f>F2188</f>
        <v>0.05</v>
      </c>
      <c r="G2198" s="8">
        <f>E2198+F2198</f>
        <v>1148.9189999999999</v>
      </c>
      <c r="H2198" s="3">
        <f>B2198*G2198</f>
        <v>59743.787999999993</v>
      </c>
      <c r="I2198" s="3">
        <f>C2198*G2198</f>
        <v>59755.277189999993</v>
      </c>
    </row>
    <row r="2199" spans="1:9" x14ac:dyDescent="0.25">
      <c r="A2199" t="s">
        <v>12</v>
      </c>
      <c r="B2199" s="1">
        <v>46.35</v>
      </c>
      <c r="C2199" s="1">
        <v>46.36</v>
      </c>
      <c r="D2199" s="2" t="s">
        <v>263</v>
      </c>
      <c r="E2199" s="8">
        <v>1289.0675000000001</v>
      </c>
      <c r="F2199" s="8">
        <f>F2189</f>
        <v>0</v>
      </c>
      <c r="G2199" s="8">
        <f>E2199+F2199</f>
        <v>1289.0675000000001</v>
      </c>
      <c r="H2199" s="3">
        <f>B2199*G2199</f>
        <v>59748.278625000006</v>
      </c>
      <c r="I2199" s="3">
        <f>C2199*G2199</f>
        <v>59761.169300000001</v>
      </c>
    </row>
    <row r="2200" spans="1:9" x14ac:dyDescent="0.25">
      <c r="A2200" t="s">
        <v>13</v>
      </c>
      <c r="B2200" s="1">
        <v>16.899999999999999</v>
      </c>
      <c r="C2200" s="1">
        <v>16.91</v>
      </c>
      <c r="D2200" s="2" t="s">
        <v>263</v>
      </c>
      <c r="E2200" s="8">
        <v>3535.8029000000001</v>
      </c>
      <c r="F2200" s="8">
        <f>F2190</f>
        <v>0</v>
      </c>
      <c r="G2200" s="8">
        <f>E2200+F2200</f>
        <v>3535.8029000000001</v>
      </c>
      <c r="H2200" s="3">
        <f>B2200*G2200</f>
        <v>59755.069009999999</v>
      </c>
      <c r="I2200" s="3">
        <f>C2200*G2200</f>
        <v>59790.427039000002</v>
      </c>
    </row>
    <row r="2201" spans="1:9" x14ac:dyDescent="0.25">
      <c r="A2201" t="s">
        <v>14</v>
      </c>
      <c r="B2201" s="1">
        <v>33.85</v>
      </c>
      <c r="C2201" s="1">
        <v>33.86</v>
      </c>
      <c r="D2201" s="2" t="s">
        <v>263</v>
      </c>
      <c r="E2201" s="8">
        <v>1765.0835</v>
      </c>
      <c r="F2201" s="8">
        <f>F2191</f>
        <v>0.2</v>
      </c>
      <c r="G2201" s="8">
        <f>E2201+F2201</f>
        <v>1765.2835</v>
      </c>
      <c r="H2201" s="3">
        <f>B2201*G2201</f>
        <v>59754.846475000006</v>
      </c>
      <c r="I2201" s="3">
        <f>C2201*G2201</f>
        <v>59772.499309999999</v>
      </c>
    </row>
    <row r="2202" spans="1:9" x14ac:dyDescent="0.25">
      <c r="A2202" t="s">
        <v>4</v>
      </c>
      <c r="B2202" s="1">
        <v>19.829999999999998</v>
      </c>
      <c r="C2202" s="1">
        <v>19.84</v>
      </c>
      <c r="D2202" s="2" t="s">
        <v>264</v>
      </c>
      <c r="E2202" s="8">
        <v>3014.9834000000001</v>
      </c>
      <c r="F2202" s="8">
        <f>F2192</f>
        <v>0</v>
      </c>
      <c r="G2202" s="8">
        <f>E2202+F2202</f>
        <v>3014.9834000000001</v>
      </c>
      <c r="H2202" s="3">
        <f>B2202*G2202</f>
        <v>59787.120821999997</v>
      </c>
      <c r="I2202" s="3">
        <f>C2202*G2202</f>
        <v>59817.270656000001</v>
      </c>
    </row>
    <row r="2203" spans="1:9" x14ac:dyDescent="0.25">
      <c r="A2203" t="s">
        <v>6</v>
      </c>
      <c r="B2203" s="1">
        <v>32.46</v>
      </c>
      <c r="C2203" s="1">
        <v>32.47</v>
      </c>
      <c r="D2203" s="2" t="s">
        <v>264</v>
      </c>
      <c r="E2203" s="8">
        <v>1842.1406999999999</v>
      </c>
      <c r="F2203" s="8">
        <f>F2193</f>
        <v>-0.1</v>
      </c>
      <c r="G2203" s="8">
        <f>E2203+F2203</f>
        <v>1842.0407</v>
      </c>
      <c r="H2203" s="3">
        <f>B2203*G2203</f>
        <v>59792.641122000001</v>
      </c>
      <c r="I2203" s="3">
        <f>C2203*G2203</f>
        <v>59811.061528999999</v>
      </c>
    </row>
    <row r="2204" spans="1:9" x14ac:dyDescent="0.25">
      <c r="A2204" t="s">
        <v>7</v>
      </c>
      <c r="B2204" s="1">
        <v>16.850000000000001</v>
      </c>
      <c r="C2204" s="1">
        <v>16.86</v>
      </c>
      <c r="D2204" s="2" t="s">
        <v>264</v>
      </c>
      <c r="E2204" s="8">
        <v>3546.6351</v>
      </c>
      <c r="F2204" s="8">
        <f>F2194</f>
        <v>0</v>
      </c>
      <c r="G2204" s="8">
        <f>E2204+F2204</f>
        <v>3546.6351</v>
      </c>
      <c r="H2204" s="3">
        <f>B2204*G2204</f>
        <v>59760.801435000001</v>
      </c>
      <c r="I2204" s="3">
        <f>C2204*G2204</f>
        <v>59796.267785999997</v>
      </c>
    </row>
    <row r="2205" spans="1:9" x14ac:dyDescent="0.25">
      <c r="A2205" t="s">
        <v>8</v>
      </c>
      <c r="B2205" s="1">
        <v>26.44</v>
      </c>
      <c r="C2205" s="1">
        <v>26.45</v>
      </c>
      <c r="D2205" s="2" t="s">
        <v>264</v>
      </c>
      <c r="E2205" s="8">
        <v>2261.3602000000001</v>
      </c>
      <c r="F2205" s="8">
        <f>F2195</f>
        <v>-0.2</v>
      </c>
      <c r="G2205" s="8">
        <f>E2205+F2205</f>
        <v>2261.1602000000003</v>
      </c>
      <c r="H2205" s="3">
        <f>B2205*G2205</f>
        <v>59785.075688000012</v>
      </c>
      <c r="I2205" s="3">
        <f>C2205*G2205</f>
        <v>59807.687290000002</v>
      </c>
    </row>
    <row r="2206" spans="1:9" x14ac:dyDescent="0.25">
      <c r="A2206" t="s">
        <v>9</v>
      </c>
      <c r="B2206" s="1">
        <v>63.13</v>
      </c>
      <c r="C2206" s="1">
        <v>63.22</v>
      </c>
      <c r="D2206" s="2" t="s">
        <v>264</v>
      </c>
      <c r="E2206" s="8">
        <v>946.14940000000001</v>
      </c>
      <c r="F2206" s="8">
        <f>F2196</f>
        <v>0</v>
      </c>
      <c r="G2206" s="8">
        <f>E2206+F2206</f>
        <v>946.14940000000001</v>
      </c>
      <c r="H2206" s="3">
        <f>B2206*G2206</f>
        <v>59730.411622000007</v>
      </c>
      <c r="I2206" s="3">
        <f>C2206*G2206</f>
        <v>59815.565067999996</v>
      </c>
    </row>
    <row r="2207" spans="1:9" x14ac:dyDescent="0.25">
      <c r="A2207" t="s">
        <v>10</v>
      </c>
      <c r="B2207" s="1">
        <v>34.53</v>
      </c>
      <c r="C2207" s="1">
        <v>34.549999999999997</v>
      </c>
      <c r="D2207" s="2" t="s">
        <v>264</v>
      </c>
      <c r="E2207" s="8">
        <v>1730.1358</v>
      </c>
      <c r="F2207" s="8">
        <f>F2197</f>
        <v>0.2</v>
      </c>
      <c r="G2207" s="8">
        <f>E2207+F2207</f>
        <v>1730.3358000000001</v>
      </c>
      <c r="H2207" s="3">
        <f>B2207*G2207</f>
        <v>59748.495174000003</v>
      </c>
      <c r="I2207" s="3">
        <f>C2207*G2207</f>
        <v>59783.101889999998</v>
      </c>
    </row>
    <row r="2208" spans="1:9" x14ac:dyDescent="0.25">
      <c r="A2208" t="s">
        <v>11</v>
      </c>
      <c r="B2208" s="1">
        <v>52.03</v>
      </c>
      <c r="C2208" s="1">
        <v>52.04</v>
      </c>
      <c r="D2208" s="2" t="s">
        <v>264</v>
      </c>
      <c r="E2208" s="8">
        <v>1148.8689999999999</v>
      </c>
      <c r="F2208" s="8">
        <f>F2198</f>
        <v>0.05</v>
      </c>
      <c r="G2208" s="8">
        <f>E2208+F2208</f>
        <v>1148.9189999999999</v>
      </c>
      <c r="H2208" s="3">
        <f>B2208*G2208</f>
        <v>59778.255569999994</v>
      </c>
      <c r="I2208" s="3">
        <f>C2208*G2208</f>
        <v>59789.744759999994</v>
      </c>
    </row>
    <row r="2209" spans="1:9" x14ac:dyDescent="0.25">
      <c r="A2209" t="s">
        <v>12</v>
      </c>
      <c r="B2209" s="1">
        <v>46.37</v>
      </c>
      <c r="C2209" s="1">
        <v>46.38</v>
      </c>
      <c r="D2209" s="2" t="s">
        <v>264</v>
      </c>
      <c r="E2209" s="8">
        <v>1289.0675000000001</v>
      </c>
      <c r="F2209" s="8">
        <f>F2199</f>
        <v>0</v>
      </c>
      <c r="G2209" s="8">
        <f>E2209+F2209</f>
        <v>1289.0675000000001</v>
      </c>
      <c r="H2209" s="3">
        <f>B2209*G2209</f>
        <v>59774.059975000004</v>
      </c>
      <c r="I2209" s="3">
        <f>C2209*G2209</f>
        <v>59786.950650000006</v>
      </c>
    </row>
    <row r="2210" spans="1:9" x14ac:dyDescent="0.25">
      <c r="A2210" t="s">
        <v>13</v>
      </c>
      <c r="B2210" s="1">
        <v>16.899999999999999</v>
      </c>
      <c r="C2210" s="1">
        <v>16.91</v>
      </c>
      <c r="D2210" s="2" t="s">
        <v>264</v>
      </c>
      <c r="E2210" s="8">
        <v>3535.8029000000001</v>
      </c>
      <c r="F2210" s="8">
        <f>F2200</f>
        <v>0</v>
      </c>
      <c r="G2210" s="8">
        <f>E2210+F2210</f>
        <v>3535.8029000000001</v>
      </c>
      <c r="H2210" s="3">
        <f>B2210*G2210</f>
        <v>59755.069009999999</v>
      </c>
      <c r="I2210" s="3">
        <f>C2210*G2210</f>
        <v>59790.427039000002</v>
      </c>
    </row>
    <row r="2211" spans="1:9" x14ac:dyDescent="0.25">
      <c r="A2211" t="s">
        <v>14</v>
      </c>
      <c r="B2211" s="1">
        <v>33.86</v>
      </c>
      <c r="C2211" s="1">
        <v>33.869999999999997</v>
      </c>
      <c r="D2211" s="2" t="s">
        <v>264</v>
      </c>
      <c r="E2211" s="8">
        <v>1765.0835</v>
      </c>
      <c r="F2211" s="8">
        <f>F2201</f>
        <v>0.2</v>
      </c>
      <c r="G2211" s="8">
        <f>E2211+F2211</f>
        <v>1765.2835</v>
      </c>
      <c r="H2211" s="3">
        <f>B2211*G2211</f>
        <v>59772.499309999999</v>
      </c>
      <c r="I2211" s="3">
        <f>C2211*G2211</f>
        <v>59790.152144999993</v>
      </c>
    </row>
    <row r="2212" spans="1:9" x14ac:dyDescent="0.25">
      <c r="A2212" t="s">
        <v>4</v>
      </c>
      <c r="B2212" s="1">
        <v>19.95</v>
      </c>
      <c r="C2212" s="1">
        <v>19.96</v>
      </c>
      <c r="D2212" s="2" t="s">
        <v>265</v>
      </c>
      <c r="E2212" s="8">
        <v>3015.0007000000001</v>
      </c>
      <c r="F2212" s="8">
        <f>F2202</f>
        <v>0</v>
      </c>
      <c r="G2212" s="8">
        <f>E2212+F2212</f>
        <v>3015.0007000000001</v>
      </c>
      <c r="H2212" s="3">
        <f>B2212*G2212</f>
        <v>60149.263964999998</v>
      </c>
      <c r="I2212" s="3">
        <f>C2212*G2212</f>
        <v>60179.413972000002</v>
      </c>
    </row>
    <row r="2213" spans="1:9" x14ac:dyDescent="0.25">
      <c r="A2213" t="s">
        <v>6</v>
      </c>
      <c r="B2213" s="1">
        <v>32.659999999999997</v>
      </c>
      <c r="C2213" s="1">
        <v>32.67</v>
      </c>
      <c r="D2213" s="2" t="s">
        <v>265</v>
      </c>
      <c r="E2213" s="8">
        <v>1842.1507999999999</v>
      </c>
      <c r="F2213" s="8">
        <f>F2203</f>
        <v>-0.1</v>
      </c>
      <c r="G2213" s="8">
        <f>E2213+F2213</f>
        <v>1842.0508</v>
      </c>
      <c r="H2213" s="3">
        <f>B2213*G2213</f>
        <v>60161.379127999993</v>
      </c>
      <c r="I2213" s="3">
        <f>C2213*G2213</f>
        <v>60179.799636000003</v>
      </c>
    </row>
    <row r="2214" spans="1:9" x14ac:dyDescent="0.25">
      <c r="A2214" t="s">
        <v>7</v>
      </c>
      <c r="B2214" s="1">
        <v>16.95</v>
      </c>
      <c r="C2214" s="1">
        <v>16.96</v>
      </c>
      <c r="D2214" s="2" t="s">
        <v>265</v>
      </c>
      <c r="E2214" s="8">
        <v>3546.6594</v>
      </c>
      <c r="F2214" s="8">
        <f>F2204</f>
        <v>0</v>
      </c>
      <c r="G2214" s="8">
        <f>E2214+F2214</f>
        <v>3546.6594</v>
      </c>
      <c r="H2214" s="3">
        <f>B2214*G2214</f>
        <v>60115.876830000001</v>
      </c>
      <c r="I2214" s="3">
        <f>C2214*G2214</f>
        <v>60151.343424000006</v>
      </c>
    </row>
    <row r="2215" spans="1:9" x14ac:dyDescent="0.25">
      <c r="A2215" t="s">
        <v>8</v>
      </c>
      <c r="B2215" s="1">
        <v>26.6</v>
      </c>
      <c r="C2215" s="1">
        <v>26.61</v>
      </c>
      <c r="D2215" s="2" t="s">
        <v>265</v>
      </c>
      <c r="E2215" s="8">
        <v>2261.3694999999998</v>
      </c>
      <c r="F2215" s="8">
        <f>F2205</f>
        <v>-0.2</v>
      </c>
      <c r="G2215" s="8">
        <f>E2215+F2215</f>
        <v>2261.1695</v>
      </c>
      <c r="H2215" s="3">
        <f>B2215*G2215</f>
        <v>60147.108700000004</v>
      </c>
      <c r="I2215" s="3">
        <f>C2215*G2215</f>
        <v>60169.720394999997</v>
      </c>
    </row>
    <row r="2216" spans="1:9" x14ac:dyDescent="0.25">
      <c r="A2216" t="s">
        <v>9</v>
      </c>
      <c r="B2216" s="1">
        <v>63.47</v>
      </c>
      <c r="C2216" s="1">
        <v>63.6</v>
      </c>
      <c r="D2216" s="2" t="s">
        <v>265</v>
      </c>
      <c r="E2216" s="8">
        <v>946.15589999999997</v>
      </c>
      <c r="F2216" s="8">
        <f>F2206</f>
        <v>0</v>
      </c>
      <c r="G2216" s="8">
        <f>E2216+F2216</f>
        <v>946.15589999999997</v>
      </c>
      <c r="H2216" s="3">
        <f>B2216*G2216</f>
        <v>60052.514972999998</v>
      </c>
      <c r="I2216" s="3">
        <f>C2216*G2216</f>
        <v>60175.515240000001</v>
      </c>
    </row>
    <row r="2217" spans="1:9" x14ac:dyDescent="0.25">
      <c r="A2217" t="s">
        <v>10</v>
      </c>
      <c r="B2217" s="1">
        <v>34.729999999999997</v>
      </c>
      <c r="C2217" s="1">
        <v>34.770000000000003</v>
      </c>
      <c r="D2217" s="2" t="s">
        <v>265</v>
      </c>
      <c r="E2217" s="8">
        <v>1730.1448</v>
      </c>
      <c r="F2217" s="8">
        <f>F2207</f>
        <v>0.2</v>
      </c>
      <c r="G2217" s="8">
        <f>E2217+F2217</f>
        <v>1730.3448000000001</v>
      </c>
      <c r="H2217" s="3">
        <f>B2217*G2217</f>
        <v>60094.874903999997</v>
      </c>
      <c r="I2217" s="3">
        <f>C2217*G2217</f>
        <v>60164.088696000006</v>
      </c>
    </row>
    <row r="2218" spans="1:9" x14ac:dyDescent="0.25">
      <c r="A2218" t="s">
        <v>11</v>
      </c>
      <c r="B2218" s="1">
        <v>52.34</v>
      </c>
      <c r="C2218" s="1">
        <v>52.35</v>
      </c>
      <c r="D2218" s="2" t="s">
        <v>265</v>
      </c>
      <c r="E2218" s="8">
        <v>1148.8769</v>
      </c>
      <c r="F2218" s="8">
        <f>F2208</f>
        <v>0.05</v>
      </c>
      <c r="G2218" s="8">
        <f>E2218+F2218</f>
        <v>1148.9268999999999</v>
      </c>
      <c r="H2218" s="3">
        <f>B2218*G2218</f>
        <v>60134.833945999999</v>
      </c>
      <c r="I2218" s="3">
        <f>C2218*G2218</f>
        <v>60146.323214999997</v>
      </c>
    </row>
    <row r="2219" spans="1:9" x14ac:dyDescent="0.25">
      <c r="A2219" t="s">
        <v>12</v>
      </c>
      <c r="B2219" s="1">
        <v>46.66</v>
      </c>
      <c r="C2219" s="1">
        <v>46.67</v>
      </c>
      <c r="D2219" s="2" t="s">
        <v>265</v>
      </c>
      <c r="E2219" s="8">
        <v>1289.1205</v>
      </c>
      <c r="F2219" s="8">
        <f>F2209</f>
        <v>0</v>
      </c>
      <c r="G2219" s="8">
        <f>E2219+F2219</f>
        <v>1289.1205</v>
      </c>
      <c r="H2219" s="3">
        <f>B2219*G2219</f>
        <v>60150.362529999999</v>
      </c>
      <c r="I2219" s="3">
        <f>C2219*G2219</f>
        <v>60163.253734999998</v>
      </c>
    </row>
    <row r="2220" spans="1:9" x14ac:dyDescent="0.25">
      <c r="A2220" t="s">
        <v>13</v>
      </c>
      <c r="B2220" s="1">
        <v>17</v>
      </c>
      <c r="C2220" s="1">
        <v>17.010000000000002</v>
      </c>
      <c r="D2220" s="2" t="s">
        <v>265</v>
      </c>
      <c r="E2220" s="8">
        <v>3535.8029000000001</v>
      </c>
      <c r="F2220" s="8">
        <f>F2210</f>
        <v>0</v>
      </c>
      <c r="G2220" s="8">
        <f>E2220+F2220</f>
        <v>3535.8029000000001</v>
      </c>
      <c r="H2220" s="3">
        <f>B2220*G2220</f>
        <v>60108.649300000005</v>
      </c>
      <c r="I2220" s="3">
        <f>C2220*G2220</f>
        <v>60144.007329000007</v>
      </c>
    </row>
    <row r="2221" spans="1:9" x14ac:dyDescent="0.25">
      <c r="A2221" t="s">
        <v>14</v>
      </c>
      <c r="B2221" s="1">
        <v>34.06</v>
      </c>
      <c r="C2221" s="1">
        <v>34.07</v>
      </c>
      <c r="D2221" s="2" t="s">
        <v>265</v>
      </c>
      <c r="E2221" s="8">
        <v>1765.0956000000001</v>
      </c>
      <c r="F2221" s="8">
        <f>F2211</f>
        <v>0.2</v>
      </c>
      <c r="G2221" s="8">
        <f>E2221+F2221</f>
        <v>1765.2956000000001</v>
      </c>
      <c r="H2221" s="3">
        <f>B2221*G2221</f>
        <v>60125.96813600001</v>
      </c>
      <c r="I2221" s="3">
        <f>C2221*G2221</f>
        <v>60143.621092000009</v>
      </c>
    </row>
    <row r="2222" spans="1:9" x14ac:dyDescent="0.25">
      <c r="A2222" t="s">
        <v>4</v>
      </c>
      <c r="B2222" s="1">
        <v>19.690000000000001</v>
      </c>
      <c r="C2222" s="1">
        <v>19.7</v>
      </c>
      <c r="D2222" s="2" t="s">
        <v>266</v>
      </c>
      <c r="E2222" s="8">
        <v>3015.0007000000001</v>
      </c>
      <c r="F2222" s="8">
        <f>F2212</f>
        <v>0</v>
      </c>
      <c r="G2222" s="8">
        <f>E2222+F2222</f>
        <v>3015.0007000000001</v>
      </c>
      <c r="H2222" s="3">
        <f>B2222*G2222</f>
        <v>59365.363783000008</v>
      </c>
      <c r="I2222" s="3">
        <f>C2222*G2222</f>
        <v>59395.513789999997</v>
      </c>
    </row>
    <row r="2223" spans="1:9" x14ac:dyDescent="0.25">
      <c r="A2223" t="s">
        <v>6</v>
      </c>
      <c r="B2223" s="1">
        <v>32.229999999999997</v>
      </c>
      <c r="C2223" s="1">
        <v>32.24</v>
      </c>
      <c r="D2223" s="2" t="s">
        <v>266</v>
      </c>
      <c r="E2223" s="8">
        <v>1842.1507999999999</v>
      </c>
      <c r="F2223" s="8">
        <f>F2213</f>
        <v>-0.1</v>
      </c>
      <c r="G2223" s="8">
        <f>E2223+F2223</f>
        <v>1842.0508</v>
      </c>
      <c r="H2223" s="3">
        <f>B2223*G2223</f>
        <v>59369.297283999993</v>
      </c>
      <c r="I2223" s="3">
        <f>C2223*G2223</f>
        <v>59387.717792000003</v>
      </c>
    </row>
    <row r="2224" spans="1:9" x14ac:dyDescent="0.25">
      <c r="A2224" t="s">
        <v>7</v>
      </c>
      <c r="B2224" s="1">
        <v>16.739999999999998</v>
      </c>
      <c r="C2224" s="1">
        <v>16.75</v>
      </c>
      <c r="D2224" s="2" t="s">
        <v>266</v>
      </c>
      <c r="E2224" s="8">
        <v>3546.6594</v>
      </c>
      <c r="F2224" s="8">
        <f>F2214</f>
        <v>0</v>
      </c>
      <c r="G2224" s="8">
        <f>E2224+F2224</f>
        <v>3546.6594</v>
      </c>
      <c r="H2224" s="3">
        <f>B2224*G2224</f>
        <v>59371.078355999998</v>
      </c>
      <c r="I2224" s="3">
        <f>C2224*G2224</f>
        <v>59406.544950000003</v>
      </c>
    </row>
    <row r="2225" spans="1:9" x14ac:dyDescent="0.25">
      <c r="A2225" t="s">
        <v>8</v>
      </c>
      <c r="B2225" s="1">
        <v>26.24</v>
      </c>
      <c r="C2225" s="1">
        <v>26.25</v>
      </c>
      <c r="D2225" s="2" t="s">
        <v>266</v>
      </c>
      <c r="E2225" s="8">
        <v>2261.3694999999998</v>
      </c>
      <c r="F2225" s="8">
        <f>F2215</f>
        <v>-0.2</v>
      </c>
      <c r="G2225" s="8">
        <f>E2225+F2225</f>
        <v>2261.1695</v>
      </c>
      <c r="H2225" s="3">
        <f>B2225*G2225</f>
        <v>59333.087679999997</v>
      </c>
      <c r="I2225" s="3">
        <f>C2225*G2225</f>
        <v>59355.699374999997</v>
      </c>
    </row>
    <row r="2226" spans="1:9" x14ac:dyDescent="0.25">
      <c r="A2226" t="s">
        <v>9</v>
      </c>
      <c r="B2226" s="1">
        <v>62.64</v>
      </c>
      <c r="C2226" s="1">
        <v>62.8</v>
      </c>
      <c r="D2226" s="2" t="s">
        <v>266</v>
      </c>
      <c r="E2226" s="8">
        <v>946.15589999999997</v>
      </c>
      <c r="F2226" s="8">
        <f>F2216</f>
        <v>0</v>
      </c>
      <c r="G2226" s="8">
        <f>E2226+F2226</f>
        <v>946.15589999999997</v>
      </c>
      <c r="H2226" s="3">
        <f>B2226*G2226</f>
        <v>59267.205576</v>
      </c>
      <c r="I2226" s="3">
        <f>C2226*G2226</f>
        <v>59418.590519999998</v>
      </c>
    </row>
    <row r="2227" spans="1:9" x14ac:dyDescent="0.25">
      <c r="A2227" t="s">
        <v>10</v>
      </c>
      <c r="B2227" s="1">
        <v>34.28</v>
      </c>
      <c r="C2227" s="1">
        <v>34.31</v>
      </c>
      <c r="D2227" s="2" t="s">
        <v>266</v>
      </c>
      <c r="E2227" s="8">
        <v>1730.1448</v>
      </c>
      <c r="F2227" s="8">
        <f>F2217</f>
        <v>0.2</v>
      </c>
      <c r="G2227" s="8">
        <f>E2227+F2227</f>
        <v>1730.3448000000001</v>
      </c>
      <c r="H2227" s="3">
        <f>B2227*G2227</f>
        <v>59316.219744000002</v>
      </c>
      <c r="I2227" s="3">
        <f>C2227*G2227</f>
        <v>59368.130088000005</v>
      </c>
    </row>
    <row r="2228" spans="1:9" x14ac:dyDescent="0.25">
      <c r="A2228" t="s">
        <v>11</v>
      </c>
      <c r="B2228" s="1">
        <v>51.66</v>
      </c>
      <c r="C2228" s="1">
        <v>51.67</v>
      </c>
      <c r="D2228" s="2" t="s">
        <v>266</v>
      </c>
      <c r="E2228" s="8">
        <v>1148.8769</v>
      </c>
      <c r="F2228" s="8">
        <f>F2218</f>
        <v>0.05</v>
      </c>
      <c r="G2228" s="8">
        <f>E2228+F2228</f>
        <v>1148.9268999999999</v>
      </c>
      <c r="H2228" s="3">
        <f>B2228*G2228</f>
        <v>59353.56365399999</v>
      </c>
      <c r="I2228" s="3">
        <f>C2228*G2228</f>
        <v>59365.052922999996</v>
      </c>
    </row>
    <row r="2229" spans="1:9" x14ac:dyDescent="0.25">
      <c r="A2229" t="s">
        <v>12</v>
      </c>
      <c r="B2229" s="1">
        <v>46.03</v>
      </c>
      <c r="C2229" s="1">
        <v>46.05</v>
      </c>
      <c r="D2229" s="2" t="s">
        <v>266</v>
      </c>
      <c r="E2229" s="8">
        <v>1289.1205</v>
      </c>
      <c r="F2229" s="8">
        <f>F2219</f>
        <v>0</v>
      </c>
      <c r="G2229" s="8">
        <f>E2229+F2229</f>
        <v>1289.1205</v>
      </c>
      <c r="H2229" s="3">
        <f>B2229*G2229</f>
        <v>59338.216614999998</v>
      </c>
      <c r="I2229" s="3">
        <f>C2229*G2229</f>
        <v>59363.999024999997</v>
      </c>
    </row>
    <row r="2230" spans="1:9" x14ac:dyDescent="0.25">
      <c r="A2230" t="s">
        <v>13</v>
      </c>
      <c r="B2230" s="1">
        <v>16.78</v>
      </c>
      <c r="C2230" s="1">
        <v>16.79</v>
      </c>
      <c r="D2230" s="2" t="s">
        <v>266</v>
      </c>
      <c r="E2230" s="8">
        <v>3535.8029000000001</v>
      </c>
      <c r="F2230" s="8">
        <f>F2220</f>
        <v>0</v>
      </c>
      <c r="G2230" s="8">
        <f>E2230+F2230</f>
        <v>3535.8029000000001</v>
      </c>
      <c r="H2230" s="3">
        <f>B2230*G2230</f>
        <v>59330.772662000003</v>
      </c>
      <c r="I2230" s="3">
        <f>C2230*G2230</f>
        <v>59366.130690999998</v>
      </c>
    </row>
    <row r="2231" spans="1:9" x14ac:dyDescent="0.25">
      <c r="A2231" t="s">
        <v>14</v>
      </c>
      <c r="B2231" s="1">
        <v>33.61</v>
      </c>
      <c r="C2231" s="1">
        <v>33.619999999999997</v>
      </c>
      <c r="D2231" s="2" t="s">
        <v>266</v>
      </c>
      <c r="E2231" s="8">
        <v>1765.0956000000001</v>
      </c>
      <c r="F2231" s="8">
        <f>F2221</f>
        <v>0.2</v>
      </c>
      <c r="G2231" s="8">
        <f>E2231+F2231</f>
        <v>1765.2956000000001</v>
      </c>
      <c r="H2231" s="3">
        <f>B2231*G2231</f>
        <v>59331.585116000002</v>
      </c>
      <c r="I2231" s="3">
        <f>C2231*G2231</f>
        <v>59349.238072</v>
      </c>
    </row>
    <row r="2232" spans="1:9" x14ac:dyDescent="0.25">
      <c r="A2232" t="s">
        <v>4</v>
      </c>
      <c r="B2232" s="1">
        <v>19.809999999999999</v>
      </c>
      <c r="C2232" s="1">
        <v>19.82</v>
      </c>
      <c r="D2232" s="2" t="s">
        <v>267</v>
      </c>
      <c r="E2232" s="8">
        <v>3015.0007000000001</v>
      </c>
      <c r="F2232" s="8">
        <f>F2222</f>
        <v>0</v>
      </c>
      <c r="G2232" s="8">
        <f>E2232+F2232</f>
        <v>3015.0007000000001</v>
      </c>
      <c r="H2232" s="3">
        <f>B2232*G2232</f>
        <v>59727.163866999996</v>
      </c>
      <c r="I2232" s="3">
        <f>C2232*G2232</f>
        <v>59757.313873999999</v>
      </c>
    </row>
    <row r="2233" spans="1:9" x14ac:dyDescent="0.25">
      <c r="A2233" t="s">
        <v>6</v>
      </c>
      <c r="B2233" s="1">
        <v>32.42</v>
      </c>
      <c r="C2233" s="1">
        <v>32.43</v>
      </c>
      <c r="D2233" s="2" t="s">
        <v>267</v>
      </c>
      <c r="E2233" s="8">
        <v>1842.1507999999999</v>
      </c>
      <c r="F2233" s="8">
        <f>F2223</f>
        <v>-0.1</v>
      </c>
      <c r="G2233" s="8">
        <f>E2233+F2233</f>
        <v>1842.0508</v>
      </c>
      <c r="H2233" s="3">
        <f>B2233*G2233</f>
        <v>59719.286936000004</v>
      </c>
      <c r="I2233" s="3">
        <f>C2233*G2233</f>
        <v>59737.707444</v>
      </c>
    </row>
    <row r="2234" spans="1:9" x14ac:dyDescent="0.25">
      <c r="A2234" t="s">
        <v>7</v>
      </c>
      <c r="B2234" s="1">
        <v>16.84</v>
      </c>
      <c r="C2234" s="1">
        <v>16.850000000000001</v>
      </c>
      <c r="D2234" s="2" t="s">
        <v>267</v>
      </c>
      <c r="E2234" s="8">
        <v>3546.6594</v>
      </c>
      <c r="F2234" s="8">
        <f>F2224</f>
        <v>0</v>
      </c>
      <c r="G2234" s="8">
        <f>E2234+F2234</f>
        <v>3546.6594</v>
      </c>
      <c r="H2234" s="3">
        <f>B2234*G2234</f>
        <v>59725.744295999997</v>
      </c>
      <c r="I2234" s="3">
        <f>C2234*G2234</f>
        <v>59761.210890000002</v>
      </c>
    </row>
    <row r="2235" spans="1:9" x14ac:dyDescent="0.25">
      <c r="A2235" t="s">
        <v>8</v>
      </c>
      <c r="B2235" s="1">
        <v>26.41</v>
      </c>
      <c r="C2235" s="1">
        <v>26.42</v>
      </c>
      <c r="D2235" s="2" t="s">
        <v>267</v>
      </c>
      <c r="E2235" s="8">
        <v>2261.3694999999998</v>
      </c>
      <c r="F2235" s="8">
        <f>F2225</f>
        <v>-0.2</v>
      </c>
      <c r="G2235" s="8">
        <f>E2235+F2235</f>
        <v>2261.1695</v>
      </c>
      <c r="H2235" s="3">
        <f>B2235*G2235</f>
        <v>59717.486494999997</v>
      </c>
      <c r="I2235" s="3">
        <f>C2235*G2235</f>
        <v>59740.098190000004</v>
      </c>
    </row>
    <row r="2236" spans="1:9" x14ac:dyDescent="0.25">
      <c r="A2236" t="s">
        <v>9</v>
      </c>
      <c r="B2236" s="1">
        <v>63.01</v>
      </c>
      <c r="C2236" s="1">
        <v>63.2</v>
      </c>
      <c r="D2236" s="2" t="s">
        <v>267</v>
      </c>
      <c r="E2236" s="8">
        <v>946.15589999999997</v>
      </c>
      <c r="F2236" s="8">
        <f>F2226</f>
        <v>0</v>
      </c>
      <c r="G2236" s="8">
        <f>E2236+F2236</f>
        <v>946.15589999999997</v>
      </c>
      <c r="H2236" s="3">
        <f>B2236*G2236</f>
        <v>59617.283258999996</v>
      </c>
      <c r="I2236" s="3">
        <f>C2236*G2236</f>
        <v>59797.052880000003</v>
      </c>
    </row>
    <row r="2237" spans="1:9" x14ac:dyDescent="0.25">
      <c r="A2237" t="s">
        <v>10</v>
      </c>
      <c r="B2237" s="1">
        <v>34.46</v>
      </c>
      <c r="C2237" s="1">
        <v>34.53</v>
      </c>
      <c r="D2237" s="2" t="s">
        <v>267</v>
      </c>
      <c r="E2237" s="8">
        <v>1730.1448</v>
      </c>
      <c r="F2237" s="8">
        <f>F2227</f>
        <v>0.2</v>
      </c>
      <c r="G2237" s="8">
        <f>E2237+F2237</f>
        <v>1730.3448000000001</v>
      </c>
      <c r="H2237" s="3">
        <f>B2237*G2237</f>
        <v>59627.681808000001</v>
      </c>
      <c r="I2237" s="3">
        <f>C2237*G2237</f>
        <v>59748.805944000007</v>
      </c>
    </row>
    <row r="2238" spans="1:9" x14ac:dyDescent="0.25">
      <c r="A2238" t="s">
        <v>11</v>
      </c>
      <c r="B2238" s="1">
        <v>51.97</v>
      </c>
      <c r="C2238" s="1">
        <v>51.98</v>
      </c>
      <c r="D2238" s="2" t="s">
        <v>267</v>
      </c>
      <c r="E2238" s="8">
        <v>1148.8769</v>
      </c>
      <c r="F2238" s="8">
        <f>F2228</f>
        <v>0.05</v>
      </c>
      <c r="G2238" s="8">
        <f>E2238+F2238</f>
        <v>1148.9268999999999</v>
      </c>
      <c r="H2238" s="3">
        <f>B2238*G2238</f>
        <v>59709.730992999997</v>
      </c>
      <c r="I2238" s="3">
        <f>C2238*G2238</f>
        <v>59721.220261999995</v>
      </c>
    </row>
    <row r="2239" spans="1:9" x14ac:dyDescent="0.25">
      <c r="A2239" t="s">
        <v>12</v>
      </c>
      <c r="B2239" s="1">
        <v>46.32</v>
      </c>
      <c r="C2239" s="1">
        <v>46.33</v>
      </c>
      <c r="D2239" s="2" t="s">
        <v>267</v>
      </c>
      <c r="E2239" s="8">
        <v>1289.1205</v>
      </c>
      <c r="F2239" s="8">
        <f>F2229</f>
        <v>0</v>
      </c>
      <c r="G2239" s="8">
        <f>E2239+F2239</f>
        <v>1289.1205</v>
      </c>
      <c r="H2239" s="3">
        <f>B2239*G2239</f>
        <v>59712.061560000002</v>
      </c>
      <c r="I2239" s="3">
        <f>C2239*G2239</f>
        <v>59724.952764999995</v>
      </c>
    </row>
    <row r="2240" spans="1:9" x14ac:dyDescent="0.25">
      <c r="A2240" t="s">
        <v>13</v>
      </c>
      <c r="B2240" s="1">
        <v>16.88</v>
      </c>
      <c r="C2240" s="1">
        <v>16.89</v>
      </c>
      <c r="D2240" s="2" t="s">
        <v>267</v>
      </c>
      <c r="E2240" s="8">
        <v>3535.8029000000001</v>
      </c>
      <c r="F2240" s="8">
        <f>F2230</f>
        <v>0</v>
      </c>
      <c r="G2240" s="8">
        <f>E2240+F2240</f>
        <v>3535.8029000000001</v>
      </c>
      <c r="H2240" s="3">
        <f>B2240*G2240</f>
        <v>59684.352952000001</v>
      </c>
      <c r="I2240" s="3">
        <f>C2240*G2240</f>
        <v>59719.710981000004</v>
      </c>
    </row>
    <row r="2241" spans="1:9" x14ac:dyDescent="0.25">
      <c r="A2241" t="s">
        <v>14</v>
      </c>
      <c r="B2241" s="1">
        <v>33.82</v>
      </c>
      <c r="C2241" s="1">
        <v>33.83</v>
      </c>
      <c r="D2241" s="2" t="s">
        <v>267</v>
      </c>
      <c r="E2241" s="8">
        <v>1765.0956000000001</v>
      </c>
      <c r="F2241" s="8">
        <f>F2231</f>
        <v>0.2</v>
      </c>
      <c r="G2241" s="8">
        <f>E2241+F2241</f>
        <v>1765.2956000000001</v>
      </c>
      <c r="H2241" s="3">
        <f>B2241*G2241</f>
        <v>59702.297192000005</v>
      </c>
      <c r="I2241" s="3">
        <f>C2241*G2241</f>
        <v>59719.950148000004</v>
      </c>
    </row>
    <row r="2242" spans="1:9" x14ac:dyDescent="0.25">
      <c r="A2242" t="s">
        <v>4</v>
      </c>
      <c r="B2242" s="1">
        <v>19.71</v>
      </c>
      <c r="C2242" s="1">
        <v>19.72</v>
      </c>
      <c r="D2242" s="2" t="s">
        <v>268</v>
      </c>
      <c r="E2242" s="8">
        <v>3015.0007000000001</v>
      </c>
      <c r="F2242" s="8">
        <f>F2232</f>
        <v>0</v>
      </c>
      <c r="G2242" s="8">
        <f>E2242+F2242</f>
        <v>3015.0007000000001</v>
      </c>
      <c r="H2242" s="3">
        <f>B2242*G2242</f>
        <v>59425.663797000001</v>
      </c>
      <c r="I2242" s="3">
        <f>C2242*G2242</f>
        <v>59455.813803999998</v>
      </c>
    </row>
    <row r="2243" spans="1:9" x14ac:dyDescent="0.25">
      <c r="A2243" t="s">
        <v>6</v>
      </c>
      <c r="B2243" s="1">
        <v>32.26</v>
      </c>
      <c r="C2243" s="1">
        <v>32.270000000000003</v>
      </c>
      <c r="D2243" s="2" t="s">
        <v>268</v>
      </c>
      <c r="E2243" s="8">
        <v>1842.1507999999999</v>
      </c>
      <c r="F2243" s="8">
        <f>F2233</f>
        <v>-0.1</v>
      </c>
      <c r="G2243" s="8">
        <f>E2243+F2243</f>
        <v>1842.0508</v>
      </c>
      <c r="H2243" s="3">
        <f>B2243*G2243</f>
        <v>59424.558807999994</v>
      </c>
      <c r="I2243" s="3">
        <f>C2243*G2243</f>
        <v>59442.979316000004</v>
      </c>
    </row>
    <row r="2244" spans="1:9" x14ac:dyDescent="0.25">
      <c r="A2244" t="s">
        <v>7</v>
      </c>
      <c r="B2244" s="1">
        <v>16.75</v>
      </c>
      <c r="C2244" s="1">
        <v>16.760000000000002</v>
      </c>
      <c r="D2244" s="2" t="s">
        <v>268</v>
      </c>
      <c r="E2244" s="8">
        <v>3546.6594</v>
      </c>
      <c r="F2244" s="8">
        <f>F2234</f>
        <v>0</v>
      </c>
      <c r="G2244" s="8">
        <f>E2244+F2244</f>
        <v>3546.6594</v>
      </c>
      <c r="H2244" s="3">
        <f>B2244*G2244</f>
        <v>59406.544950000003</v>
      </c>
      <c r="I2244" s="3">
        <f>C2244*G2244</f>
        <v>59442.011544000008</v>
      </c>
    </row>
    <row r="2245" spans="1:9" x14ac:dyDescent="0.25">
      <c r="A2245" t="s">
        <v>8</v>
      </c>
      <c r="B2245" s="1">
        <v>26.28</v>
      </c>
      <c r="C2245" s="1">
        <v>26.29</v>
      </c>
      <c r="D2245" s="2" t="s">
        <v>268</v>
      </c>
      <c r="E2245" s="8">
        <v>2261.3694999999998</v>
      </c>
      <c r="F2245" s="8">
        <f>F2235</f>
        <v>-0.2</v>
      </c>
      <c r="G2245" s="8">
        <f>E2245+F2245</f>
        <v>2261.1695</v>
      </c>
      <c r="H2245" s="3">
        <f>B2245*G2245</f>
        <v>59423.534460000003</v>
      </c>
      <c r="I2245" s="3">
        <f>C2245*G2245</f>
        <v>59446.146154999995</v>
      </c>
    </row>
    <row r="2246" spans="1:9" x14ac:dyDescent="0.25">
      <c r="A2246" t="s">
        <v>9</v>
      </c>
      <c r="B2246" s="1">
        <v>62.74</v>
      </c>
      <c r="C2246" s="1">
        <v>62.87</v>
      </c>
      <c r="D2246" s="2" t="s">
        <v>268</v>
      </c>
      <c r="E2246" s="8">
        <v>946.15589999999997</v>
      </c>
      <c r="F2246" s="8">
        <f>F2236</f>
        <v>0</v>
      </c>
      <c r="G2246" s="8">
        <f>E2246+F2246</f>
        <v>946.15589999999997</v>
      </c>
      <c r="H2246" s="3">
        <f>B2246*G2246</f>
        <v>59361.821166000002</v>
      </c>
      <c r="I2246" s="3">
        <f>C2246*G2246</f>
        <v>59484.821432999997</v>
      </c>
    </row>
    <row r="2247" spans="1:9" x14ac:dyDescent="0.25">
      <c r="A2247" t="s">
        <v>10</v>
      </c>
      <c r="B2247" s="1">
        <v>34.32</v>
      </c>
      <c r="C2247" s="1">
        <v>34.35</v>
      </c>
      <c r="D2247" s="2" t="s">
        <v>268</v>
      </c>
      <c r="E2247" s="8">
        <v>1730.1448</v>
      </c>
      <c r="F2247" s="8">
        <f>F2237</f>
        <v>0.2</v>
      </c>
      <c r="G2247" s="8">
        <f>E2247+F2247</f>
        <v>1730.3448000000001</v>
      </c>
      <c r="H2247" s="3">
        <f>B2247*G2247</f>
        <v>59385.433536000004</v>
      </c>
      <c r="I2247" s="3">
        <f>C2247*G2247</f>
        <v>59437.343880000008</v>
      </c>
    </row>
    <row r="2248" spans="1:9" x14ac:dyDescent="0.25">
      <c r="A2248" t="s">
        <v>11</v>
      </c>
      <c r="B2248" s="1">
        <v>51.71</v>
      </c>
      <c r="C2248" s="1">
        <v>51.72</v>
      </c>
      <c r="D2248" s="2" t="s">
        <v>268</v>
      </c>
      <c r="E2248" s="8">
        <v>1148.8769</v>
      </c>
      <c r="F2248" s="8">
        <f>F2238</f>
        <v>0.05</v>
      </c>
      <c r="G2248" s="8">
        <f>E2248+F2248</f>
        <v>1148.9268999999999</v>
      </c>
      <c r="H2248" s="3">
        <f>B2248*G2248</f>
        <v>59411.009998999994</v>
      </c>
      <c r="I2248" s="3">
        <f>C2248*G2248</f>
        <v>59422.499267999992</v>
      </c>
    </row>
    <row r="2249" spans="1:9" x14ac:dyDescent="0.25">
      <c r="A2249" t="s">
        <v>12</v>
      </c>
      <c r="B2249" s="1">
        <v>46.09</v>
      </c>
      <c r="C2249" s="1">
        <v>46.1</v>
      </c>
      <c r="D2249" s="2" t="s">
        <v>268</v>
      </c>
      <c r="E2249" s="8">
        <v>1289.1205</v>
      </c>
      <c r="F2249" s="8">
        <f>F2239</f>
        <v>0</v>
      </c>
      <c r="G2249" s="8">
        <f>E2249+F2249</f>
        <v>1289.1205</v>
      </c>
      <c r="H2249" s="3">
        <f>B2249*G2249</f>
        <v>59415.563845000004</v>
      </c>
      <c r="I2249" s="3">
        <f>C2249*G2249</f>
        <v>59428.455050000004</v>
      </c>
    </row>
    <row r="2250" spans="1:9" x14ac:dyDescent="0.25">
      <c r="A2250" t="s">
        <v>13</v>
      </c>
      <c r="B2250" s="1">
        <v>16.8</v>
      </c>
      <c r="C2250" s="1">
        <v>16.809999999999999</v>
      </c>
      <c r="D2250" s="2" t="s">
        <v>268</v>
      </c>
      <c r="E2250" s="8">
        <v>3535.8029000000001</v>
      </c>
      <c r="F2250" s="8">
        <f>F2240</f>
        <v>0</v>
      </c>
      <c r="G2250" s="8">
        <f>E2250+F2250</f>
        <v>3535.8029000000001</v>
      </c>
      <c r="H2250" s="3">
        <f>B2250*G2250</f>
        <v>59401.488720000001</v>
      </c>
      <c r="I2250" s="3">
        <f>C2250*G2250</f>
        <v>59436.846748999997</v>
      </c>
    </row>
    <row r="2251" spans="1:9" x14ac:dyDescent="0.25">
      <c r="A2251" t="s">
        <v>14</v>
      </c>
      <c r="B2251" s="1">
        <v>33.64</v>
      </c>
      <c r="C2251" s="1">
        <v>33.65</v>
      </c>
      <c r="D2251" s="2" t="s">
        <v>268</v>
      </c>
      <c r="E2251" s="8">
        <v>1765.0956000000001</v>
      </c>
      <c r="F2251" s="8">
        <f>F2241</f>
        <v>0.2</v>
      </c>
      <c r="G2251" s="8">
        <f>E2251+F2251</f>
        <v>1765.2956000000001</v>
      </c>
      <c r="H2251" s="3">
        <f>B2251*G2251</f>
        <v>59384.543984000004</v>
      </c>
      <c r="I2251" s="3">
        <f>C2251*G2251</f>
        <v>59402.196940000002</v>
      </c>
    </row>
    <row r="2252" spans="1:9" x14ac:dyDescent="0.25">
      <c r="A2252" t="s">
        <v>4</v>
      </c>
      <c r="B2252" s="1">
        <v>19.600000000000001</v>
      </c>
      <c r="C2252" s="1">
        <v>19.61</v>
      </c>
      <c r="D2252" s="2" t="s">
        <v>269</v>
      </c>
      <c r="E2252" s="8">
        <v>3015.0007000000001</v>
      </c>
      <c r="F2252" s="8">
        <f>F2242</f>
        <v>0</v>
      </c>
      <c r="G2252" s="8">
        <f>E2252+F2252</f>
        <v>3015.0007000000001</v>
      </c>
      <c r="H2252" s="3">
        <f>B2252*G2252</f>
        <v>59094.013720000003</v>
      </c>
      <c r="I2252" s="3">
        <f>C2252*G2252</f>
        <v>59124.163726999999</v>
      </c>
    </row>
    <row r="2253" spans="1:9" x14ac:dyDescent="0.25">
      <c r="A2253" t="s">
        <v>6</v>
      </c>
      <c r="B2253" s="1">
        <v>32.08</v>
      </c>
      <c r="C2253" s="1">
        <v>32.090000000000003</v>
      </c>
      <c r="D2253" s="2" t="s">
        <v>269</v>
      </c>
      <c r="E2253" s="8">
        <v>1842.1507999999999</v>
      </c>
      <c r="F2253" s="8">
        <f>F2243</f>
        <v>-0.1</v>
      </c>
      <c r="G2253" s="8">
        <f>E2253+F2253</f>
        <v>1842.0508</v>
      </c>
      <c r="H2253" s="3">
        <f>B2253*G2253</f>
        <v>59092.989663999993</v>
      </c>
      <c r="I2253" s="3">
        <f>C2253*G2253</f>
        <v>59111.410172000004</v>
      </c>
    </row>
    <row r="2254" spans="1:9" x14ac:dyDescent="0.25">
      <c r="A2254" t="s">
        <v>7</v>
      </c>
      <c r="B2254" s="1">
        <v>16.66</v>
      </c>
      <c r="C2254" s="1">
        <v>16.670000000000002</v>
      </c>
      <c r="D2254" s="2" t="s">
        <v>269</v>
      </c>
      <c r="E2254" s="8">
        <v>3546.6594</v>
      </c>
      <c r="F2254" s="8">
        <f>F2244</f>
        <v>0</v>
      </c>
      <c r="G2254" s="8">
        <f>E2254+F2254</f>
        <v>3546.6594</v>
      </c>
      <c r="H2254" s="3">
        <f>B2254*G2254</f>
        <v>59087.345604000002</v>
      </c>
      <c r="I2254" s="3">
        <f>C2254*G2254</f>
        <v>59122.812198000007</v>
      </c>
    </row>
    <row r="2255" spans="1:9" x14ac:dyDescent="0.25">
      <c r="A2255" t="s">
        <v>8</v>
      </c>
      <c r="B2255" s="1">
        <v>26.13</v>
      </c>
      <c r="C2255" s="1">
        <v>26.14</v>
      </c>
      <c r="D2255" s="2" t="s">
        <v>269</v>
      </c>
      <c r="E2255" s="8">
        <v>2261.3694999999998</v>
      </c>
      <c r="F2255" s="8">
        <f>F2245</f>
        <v>-0.2</v>
      </c>
      <c r="G2255" s="8">
        <f>E2255+F2255</f>
        <v>2261.1695</v>
      </c>
      <c r="H2255" s="3">
        <f>B2255*G2255</f>
        <v>59084.359034999994</v>
      </c>
      <c r="I2255" s="3">
        <f>C2255*G2255</f>
        <v>59106.970730000001</v>
      </c>
    </row>
    <row r="2256" spans="1:9" x14ac:dyDescent="0.25">
      <c r="A2256" t="s">
        <v>9</v>
      </c>
      <c r="B2256" s="1">
        <v>62.43</v>
      </c>
      <c r="C2256" s="1">
        <v>62.54</v>
      </c>
      <c r="D2256" s="2" t="s">
        <v>269</v>
      </c>
      <c r="E2256" s="8">
        <v>946.15589999999997</v>
      </c>
      <c r="F2256" s="8">
        <f>F2246</f>
        <v>0</v>
      </c>
      <c r="G2256" s="8">
        <f>E2256+F2256</f>
        <v>946.15589999999997</v>
      </c>
      <c r="H2256" s="3">
        <f>B2256*G2256</f>
        <v>59068.512836999995</v>
      </c>
      <c r="I2256" s="3">
        <f>C2256*G2256</f>
        <v>59172.589985999999</v>
      </c>
    </row>
    <row r="2257" spans="1:9" x14ac:dyDescent="0.25">
      <c r="A2257" t="s">
        <v>10</v>
      </c>
      <c r="B2257" s="1">
        <v>34.130000000000003</v>
      </c>
      <c r="C2257" s="1">
        <v>34.17</v>
      </c>
      <c r="D2257" s="2" t="s">
        <v>269</v>
      </c>
      <c r="E2257" s="8">
        <v>1730.1448</v>
      </c>
      <c r="F2257" s="8">
        <f>F2247</f>
        <v>0.2</v>
      </c>
      <c r="G2257" s="8">
        <f>E2257+F2257</f>
        <v>1730.3448000000001</v>
      </c>
      <c r="H2257" s="3">
        <f>B2257*G2257</f>
        <v>59056.668024000006</v>
      </c>
      <c r="I2257" s="3">
        <f>C2257*G2257</f>
        <v>59125.881816000008</v>
      </c>
    </row>
    <row r="2258" spans="1:9" x14ac:dyDescent="0.25">
      <c r="A2258" t="s">
        <v>11</v>
      </c>
      <c r="B2258" s="1">
        <v>51.43</v>
      </c>
      <c r="C2258" s="1">
        <v>51.44</v>
      </c>
      <c r="D2258" s="2" t="s">
        <v>269</v>
      </c>
      <c r="E2258" s="8">
        <v>1148.8769</v>
      </c>
      <c r="F2258" s="8">
        <f>F2248</f>
        <v>0.05</v>
      </c>
      <c r="G2258" s="8">
        <f>E2258+F2258</f>
        <v>1148.9268999999999</v>
      </c>
      <c r="H2258" s="3">
        <f>B2258*G2258</f>
        <v>59089.310466999996</v>
      </c>
      <c r="I2258" s="3">
        <f>C2258*G2258</f>
        <v>59100.799735999994</v>
      </c>
    </row>
    <row r="2259" spans="1:9" x14ac:dyDescent="0.25">
      <c r="A2259" t="s">
        <v>12</v>
      </c>
      <c r="B2259" s="1">
        <v>45.84</v>
      </c>
      <c r="C2259" s="1">
        <v>45.85</v>
      </c>
      <c r="D2259" s="2" t="s">
        <v>269</v>
      </c>
      <c r="E2259" s="8">
        <v>1289.1205</v>
      </c>
      <c r="F2259" s="8">
        <f>F2249</f>
        <v>0</v>
      </c>
      <c r="G2259" s="8">
        <f>E2259+F2259</f>
        <v>1289.1205</v>
      </c>
      <c r="H2259" s="3">
        <f>B2259*G2259</f>
        <v>59093.283720000007</v>
      </c>
      <c r="I2259" s="3">
        <f>C2259*G2259</f>
        <v>59106.174924999999</v>
      </c>
    </row>
    <row r="2260" spans="1:9" x14ac:dyDescent="0.25">
      <c r="A2260" t="s">
        <v>13</v>
      </c>
      <c r="B2260" s="1">
        <v>16.71</v>
      </c>
      <c r="C2260" s="1">
        <v>16.72</v>
      </c>
      <c r="D2260" s="2" t="s">
        <v>269</v>
      </c>
      <c r="E2260" s="8">
        <v>3535.8029000000001</v>
      </c>
      <c r="F2260" s="8">
        <f>F2250</f>
        <v>0</v>
      </c>
      <c r="G2260" s="8">
        <f>E2260+F2260</f>
        <v>3535.8029000000001</v>
      </c>
      <c r="H2260" s="3">
        <f>B2260*G2260</f>
        <v>59083.266459000006</v>
      </c>
      <c r="I2260" s="3">
        <f>C2260*G2260</f>
        <v>59118.624488000001</v>
      </c>
    </row>
    <row r="2261" spans="1:9" x14ac:dyDescent="0.25">
      <c r="A2261" t="s">
        <v>14</v>
      </c>
      <c r="B2261" s="1">
        <v>33.46</v>
      </c>
      <c r="C2261" s="1">
        <v>33.47</v>
      </c>
      <c r="D2261" s="2" t="s">
        <v>269</v>
      </c>
      <c r="E2261" s="8">
        <v>1765.0956000000001</v>
      </c>
      <c r="F2261" s="8">
        <f>F2251</f>
        <v>0.2</v>
      </c>
      <c r="G2261" s="8">
        <f>E2261+F2261</f>
        <v>1765.2956000000001</v>
      </c>
      <c r="H2261" s="3">
        <f>B2261*G2261</f>
        <v>59066.790776000009</v>
      </c>
      <c r="I2261" s="3">
        <f>C2261*G2261</f>
        <v>59084.443732</v>
      </c>
    </row>
    <row r="2262" spans="1:9" x14ac:dyDescent="0.25">
      <c r="A2262" t="s">
        <v>4</v>
      </c>
      <c r="B2262" s="1">
        <v>19.59</v>
      </c>
      <c r="C2262" s="1">
        <v>19.600000000000001</v>
      </c>
      <c r="D2262" s="2" t="s">
        <v>270</v>
      </c>
      <c r="E2262" s="8">
        <v>3015.0007000000001</v>
      </c>
      <c r="F2262" s="8">
        <f>F2252</f>
        <v>0</v>
      </c>
      <c r="G2262" s="8">
        <f>E2262+F2262</f>
        <v>3015.0007000000001</v>
      </c>
      <c r="H2262" s="3">
        <f>B2262*G2262</f>
        <v>59063.863712999999</v>
      </c>
      <c r="I2262" s="3">
        <f>C2262*G2262</f>
        <v>59094.013720000003</v>
      </c>
    </row>
    <row r="2263" spans="1:9" x14ac:dyDescent="0.25">
      <c r="A2263" t="s">
        <v>6</v>
      </c>
      <c r="B2263" s="1">
        <v>32.07</v>
      </c>
      <c r="C2263" s="1">
        <v>32.08</v>
      </c>
      <c r="D2263" s="2" t="s">
        <v>270</v>
      </c>
      <c r="E2263" s="8">
        <v>1842.1507999999999</v>
      </c>
      <c r="F2263" s="8">
        <f>F2253</f>
        <v>-0.1</v>
      </c>
      <c r="G2263" s="8">
        <f>E2263+F2263</f>
        <v>1842.0508</v>
      </c>
      <c r="H2263" s="3">
        <f>B2263*G2263</f>
        <v>59074.569155999998</v>
      </c>
      <c r="I2263" s="3">
        <f>C2263*G2263</f>
        <v>59092.989663999993</v>
      </c>
    </row>
    <row r="2264" spans="1:9" x14ac:dyDescent="0.25">
      <c r="A2264" t="s">
        <v>7</v>
      </c>
      <c r="B2264" s="1">
        <v>16.66</v>
      </c>
      <c r="C2264" s="1">
        <v>16.670000000000002</v>
      </c>
      <c r="D2264" s="2" t="s">
        <v>270</v>
      </c>
      <c r="E2264" s="8">
        <v>3546.6594</v>
      </c>
      <c r="F2264" s="8">
        <f>F2254</f>
        <v>0</v>
      </c>
      <c r="G2264" s="8">
        <f>E2264+F2264</f>
        <v>3546.6594</v>
      </c>
      <c r="H2264" s="3">
        <f>B2264*G2264</f>
        <v>59087.345604000002</v>
      </c>
      <c r="I2264" s="3">
        <f>C2264*G2264</f>
        <v>59122.812198000007</v>
      </c>
    </row>
    <row r="2265" spans="1:9" x14ac:dyDescent="0.25">
      <c r="A2265" t="s">
        <v>8</v>
      </c>
      <c r="B2265" s="1">
        <v>26.12</v>
      </c>
      <c r="C2265" s="1">
        <v>26.13</v>
      </c>
      <c r="D2265" s="2" t="s">
        <v>270</v>
      </c>
      <c r="E2265" s="8">
        <v>2261.3694999999998</v>
      </c>
      <c r="F2265" s="8">
        <f>F2255</f>
        <v>-0.2</v>
      </c>
      <c r="G2265" s="8">
        <f>E2265+F2265</f>
        <v>2261.1695</v>
      </c>
      <c r="H2265" s="3">
        <f>B2265*G2265</f>
        <v>59061.747340000002</v>
      </c>
      <c r="I2265" s="3">
        <f>C2265*G2265</f>
        <v>59084.359034999994</v>
      </c>
    </row>
    <row r="2266" spans="1:9" x14ac:dyDescent="0.25">
      <c r="A2266" t="s">
        <v>9</v>
      </c>
      <c r="B2266" s="1">
        <v>62.34</v>
      </c>
      <c r="C2266" s="1">
        <v>62.48</v>
      </c>
      <c r="D2266" s="2" t="s">
        <v>270</v>
      </c>
      <c r="E2266" s="8">
        <v>946.15589999999997</v>
      </c>
      <c r="F2266" s="8">
        <f>F2256</f>
        <v>0</v>
      </c>
      <c r="G2266" s="8">
        <f>E2266+F2266</f>
        <v>946.15589999999997</v>
      </c>
      <c r="H2266" s="3">
        <f>B2266*G2266</f>
        <v>58983.358806000004</v>
      </c>
      <c r="I2266" s="3">
        <f>C2266*G2266</f>
        <v>59115.820631999995</v>
      </c>
    </row>
    <row r="2267" spans="1:9" x14ac:dyDescent="0.25">
      <c r="A2267" t="s">
        <v>10</v>
      </c>
      <c r="B2267" s="1">
        <v>34.11</v>
      </c>
      <c r="C2267" s="1">
        <v>34.15</v>
      </c>
      <c r="D2267" s="2" t="s">
        <v>270</v>
      </c>
      <c r="E2267" s="8">
        <v>1730.1448</v>
      </c>
      <c r="F2267" s="8">
        <f>F2257</f>
        <v>0.2</v>
      </c>
      <c r="G2267" s="8">
        <f>E2267+F2267</f>
        <v>1730.3448000000001</v>
      </c>
      <c r="H2267" s="3">
        <f>B2267*G2267</f>
        <v>59022.061128000001</v>
      </c>
      <c r="I2267" s="3">
        <f>C2267*G2267</f>
        <v>59091.274920000003</v>
      </c>
    </row>
    <row r="2268" spans="1:9" x14ac:dyDescent="0.25">
      <c r="A2268" t="s">
        <v>11</v>
      </c>
      <c r="B2268" s="1">
        <v>51.4</v>
      </c>
      <c r="C2268" s="1">
        <v>51.41</v>
      </c>
      <c r="D2268" s="2" t="s">
        <v>270</v>
      </c>
      <c r="E2268" s="8">
        <v>1148.8769</v>
      </c>
      <c r="F2268" s="8">
        <f>F2258</f>
        <v>0.05</v>
      </c>
      <c r="G2268" s="8">
        <f>E2268+F2268</f>
        <v>1148.9268999999999</v>
      </c>
      <c r="H2268" s="3">
        <f>B2268*G2268</f>
        <v>59054.842659999995</v>
      </c>
      <c r="I2268" s="3">
        <f>C2268*G2268</f>
        <v>59066.331928999993</v>
      </c>
    </row>
    <row r="2269" spans="1:9" x14ac:dyDescent="0.25">
      <c r="A2269" t="s">
        <v>12</v>
      </c>
      <c r="B2269" s="1">
        <v>45.82</v>
      </c>
      <c r="C2269" s="1">
        <v>45.83</v>
      </c>
      <c r="D2269" s="2" t="s">
        <v>270</v>
      </c>
      <c r="E2269" s="8">
        <v>1289.1205</v>
      </c>
      <c r="F2269" s="8">
        <f>F2259</f>
        <v>0</v>
      </c>
      <c r="G2269" s="8">
        <f>E2269+F2269</f>
        <v>1289.1205</v>
      </c>
      <c r="H2269" s="3">
        <f>B2269*G2269</f>
        <v>59067.50131</v>
      </c>
      <c r="I2269" s="3">
        <f>C2269*G2269</f>
        <v>59080.392515</v>
      </c>
    </row>
    <row r="2270" spans="1:9" x14ac:dyDescent="0.25">
      <c r="A2270" t="s">
        <v>13</v>
      </c>
      <c r="B2270" s="1">
        <v>16.7</v>
      </c>
      <c r="C2270" s="1">
        <v>16.71</v>
      </c>
      <c r="D2270" s="2" t="s">
        <v>270</v>
      </c>
      <c r="E2270" s="8">
        <v>3535.8029000000001</v>
      </c>
      <c r="F2270" s="8">
        <f>F2260</f>
        <v>0</v>
      </c>
      <c r="G2270" s="8">
        <f>E2270+F2270</f>
        <v>3535.8029000000001</v>
      </c>
      <c r="H2270" s="3">
        <f>B2270*G2270</f>
        <v>59047.908430000003</v>
      </c>
      <c r="I2270" s="3">
        <f>C2270*G2270</f>
        <v>59083.266459000006</v>
      </c>
    </row>
    <row r="2271" spans="1:9" x14ac:dyDescent="0.25">
      <c r="A2271" t="s">
        <v>14</v>
      </c>
      <c r="B2271" s="1">
        <v>33.44</v>
      </c>
      <c r="C2271" s="1">
        <v>33.450000000000003</v>
      </c>
      <c r="D2271" s="2" t="s">
        <v>270</v>
      </c>
      <c r="E2271" s="8">
        <v>1765.0956000000001</v>
      </c>
      <c r="F2271" s="8">
        <f>F2261</f>
        <v>0.2</v>
      </c>
      <c r="G2271" s="8">
        <f>E2271+F2271</f>
        <v>1765.2956000000001</v>
      </c>
      <c r="H2271" s="3">
        <f>B2271*G2271</f>
        <v>59031.484863999998</v>
      </c>
      <c r="I2271" s="3">
        <f>C2271*G2271</f>
        <v>59049.137820000011</v>
      </c>
    </row>
    <row r="2272" spans="1:9" x14ac:dyDescent="0.25">
      <c r="A2272" t="s">
        <v>4</v>
      </c>
      <c r="B2272" s="1">
        <v>19.66</v>
      </c>
      <c r="C2272" s="1">
        <v>19.670000000000002</v>
      </c>
      <c r="D2272" s="2" t="s">
        <v>271</v>
      </c>
      <c r="E2272" s="8">
        <v>3015.0007000000001</v>
      </c>
      <c r="F2272" s="8">
        <f>F2262</f>
        <v>0</v>
      </c>
      <c r="G2272" s="8">
        <f>E2272+F2272</f>
        <v>3015.0007000000001</v>
      </c>
      <c r="H2272" s="3">
        <f>B2272*G2272</f>
        <v>59274.913762000004</v>
      </c>
      <c r="I2272" s="3">
        <f>C2272*G2272</f>
        <v>59305.063769000008</v>
      </c>
    </row>
    <row r="2273" spans="1:9" x14ac:dyDescent="0.25">
      <c r="A2273" t="s">
        <v>6</v>
      </c>
      <c r="B2273" s="1">
        <v>32.17</v>
      </c>
      <c r="C2273" s="1">
        <v>32.18</v>
      </c>
      <c r="D2273" s="2" t="s">
        <v>271</v>
      </c>
      <c r="E2273" s="8">
        <v>1842.1507999999999</v>
      </c>
      <c r="F2273" s="8">
        <f>F2263</f>
        <v>-0.1</v>
      </c>
      <c r="G2273" s="8">
        <f>E2273+F2273</f>
        <v>1842.0508</v>
      </c>
      <c r="H2273" s="3">
        <f>B2273*G2273</f>
        <v>59258.774236000005</v>
      </c>
      <c r="I2273" s="3">
        <f>C2273*G2273</f>
        <v>59277.194744</v>
      </c>
    </row>
    <row r="2274" spans="1:9" x14ac:dyDescent="0.25">
      <c r="A2274" t="s">
        <v>7</v>
      </c>
      <c r="B2274" s="1">
        <v>16.71</v>
      </c>
      <c r="C2274" s="1">
        <v>16.72</v>
      </c>
      <c r="D2274" s="2" t="s">
        <v>271</v>
      </c>
      <c r="E2274" s="8">
        <v>3546.6594</v>
      </c>
      <c r="F2274" s="8">
        <f>F2264</f>
        <v>0</v>
      </c>
      <c r="G2274" s="8">
        <f>E2274+F2274</f>
        <v>3546.6594</v>
      </c>
      <c r="H2274" s="3">
        <f>B2274*G2274</f>
        <v>59264.678574000005</v>
      </c>
      <c r="I2274" s="3">
        <f>C2274*G2274</f>
        <v>59300.145167999995</v>
      </c>
    </row>
    <row r="2275" spans="1:9" x14ac:dyDescent="0.25">
      <c r="A2275" t="s">
        <v>8</v>
      </c>
      <c r="B2275" s="1">
        <v>26.21</v>
      </c>
      <c r="C2275" s="1">
        <v>26.22</v>
      </c>
      <c r="D2275" s="2" t="s">
        <v>271</v>
      </c>
      <c r="E2275" s="8">
        <v>2261.3694999999998</v>
      </c>
      <c r="F2275" s="8">
        <f>F2265</f>
        <v>-0.2</v>
      </c>
      <c r="G2275" s="8">
        <f>E2275+F2275</f>
        <v>2261.1695</v>
      </c>
      <c r="H2275" s="3">
        <f>B2275*G2275</f>
        <v>59265.252594999998</v>
      </c>
      <c r="I2275" s="3">
        <f>C2275*G2275</f>
        <v>59287.864289999998</v>
      </c>
    </row>
    <row r="2276" spans="1:9" x14ac:dyDescent="0.25">
      <c r="A2276" t="s">
        <v>9</v>
      </c>
      <c r="B2276" s="1">
        <v>62.57</v>
      </c>
      <c r="C2276" s="1">
        <v>62.67</v>
      </c>
      <c r="D2276" s="2" t="s">
        <v>271</v>
      </c>
      <c r="E2276" s="8">
        <v>946.15589999999997</v>
      </c>
      <c r="F2276" s="8">
        <f>F2266</f>
        <v>0</v>
      </c>
      <c r="G2276" s="8">
        <f>E2276+F2276</f>
        <v>946.15589999999997</v>
      </c>
      <c r="H2276" s="3">
        <f>B2276*G2276</f>
        <v>59200.974663000001</v>
      </c>
      <c r="I2276" s="3">
        <f>C2276*G2276</f>
        <v>59295.590253000002</v>
      </c>
    </row>
    <row r="2277" spans="1:9" x14ac:dyDescent="0.25">
      <c r="A2277" t="s">
        <v>10</v>
      </c>
      <c r="B2277" s="1">
        <v>34.229999999999997</v>
      </c>
      <c r="C2277" s="1">
        <v>34.26</v>
      </c>
      <c r="D2277" s="2" t="s">
        <v>271</v>
      </c>
      <c r="E2277" s="8">
        <v>1730.1448</v>
      </c>
      <c r="F2277" s="8">
        <f>F2267</f>
        <v>0.2</v>
      </c>
      <c r="G2277" s="8">
        <f>E2277+F2277</f>
        <v>1730.3448000000001</v>
      </c>
      <c r="H2277" s="3">
        <f>B2277*G2277</f>
        <v>59229.702504000001</v>
      </c>
      <c r="I2277" s="3">
        <f>C2277*G2277</f>
        <v>59281.612847999997</v>
      </c>
    </row>
    <row r="2278" spans="1:9" x14ac:dyDescent="0.25">
      <c r="A2278" t="s">
        <v>11</v>
      </c>
      <c r="B2278" s="1">
        <v>51.57</v>
      </c>
      <c r="C2278" s="1">
        <v>51.58</v>
      </c>
      <c r="D2278" s="2" t="s">
        <v>271</v>
      </c>
      <c r="E2278" s="8">
        <v>1148.8769</v>
      </c>
      <c r="F2278" s="8">
        <f>F2268</f>
        <v>0.05</v>
      </c>
      <c r="G2278" s="8">
        <f>E2278+F2278</f>
        <v>1148.9268999999999</v>
      </c>
      <c r="H2278" s="3">
        <f>B2278*G2278</f>
        <v>59250.160232999995</v>
      </c>
      <c r="I2278" s="3">
        <f>C2278*G2278</f>
        <v>59261.649501999993</v>
      </c>
    </row>
    <row r="2279" spans="1:9" x14ac:dyDescent="0.25">
      <c r="A2279" t="s">
        <v>12</v>
      </c>
      <c r="B2279" s="1">
        <v>45.98</v>
      </c>
      <c r="C2279" s="1">
        <v>45.99</v>
      </c>
      <c r="D2279" s="2" t="s">
        <v>271</v>
      </c>
      <c r="E2279" s="8">
        <v>1289.1205</v>
      </c>
      <c r="F2279" s="8">
        <f>F2269</f>
        <v>0</v>
      </c>
      <c r="G2279" s="8">
        <f>E2279+F2279</f>
        <v>1289.1205</v>
      </c>
      <c r="H2279" s="3">
        <f>B2279*G2279</f>
        <v>59273.760589999998</v>
      </c>
      <c r="I2279" s="3">
        <f>C2279*G2279</f>
        <v>59286.651795000005</v>
      </c>
    </row>
    <row r="2280" spans="1:9" x14ac:dyDescent="0.25">
      <c r="A2280" t="s">
        <v>13</v>
      </c>
      <c r="B2280" s="1">
        <v>16.760000000000002</v>
      </c>
      <c r="C2280" s="1">
        <v>16.77</v>
      </c>
      <c r="D2280" s="2" t="s">
        <v>271</v>
      </c>
      <c r="E2280" s="8">
        <v>3535.8029000000001</v>
      </c>
      <c r="F2280" s="8">
        <f>F2270</f>
        <v>0</v>
      </c>
      <c r="G2280" s="8">
        <f>E2280+F2280</f>
        <v>3535.8029000000001</v>
      </c>
      <c r="H2280" s="3">
        <f>B2280*G2280</f>
        <v>59260.056604000005</v>
      </c>
      <c r="I2280" s="3">
        <f>C2280*G2280</f>
        <v>59295.414633</v>
      </c>
    </row>
    <row r="2281" spans="1:9" x14ac:dyDescent="0.25">
      <c r="A2281" t="s">
        <v>14</v>
      </c>
      <c r="B2281" s="1">
        <v>33.549999999999997</v>
      </c>
      <c r="C2281" s="1">
        <v>33.56</v>
      </c>
      <c r="D2281" s="2" t="s">
        <v>271</v>
      </c>
      <c r="E2281" s="8">
        <v>1765.0956000000001</v>
      </c>
      <c r="F2281" s="8">
        <f>F2271</f>
        <v>0.2</v>
      </c>
      <c r="G2281" s="8">
        <f>E2281+F2281</f>
        <v>1765.2956000000001</v>
      </c>
      <c r="H2281" s="3">
        <f>B2281*G2281</f>
        <v>59225.667379999999</v>
      </c>
      <c r="I2281" s="3">
        <f>C2281*G2281</f>
        <v>59243.320336000012</v>
      </c>
    </row>
    <row r="2282" spans="1:9" x14ac:dyDescent="0.25">
      <c r="A2282" t="s">
        <v>4</v>
      </c>
      <c r="B2282" s="1">
        <v>19.649999999999999</v>
      </c>
      <c r="C2282" s="1">
        <v>19.66</v>
      </c>
      <c r="D2282" s="2" t="s">
        <v>272</v>
      </c>
      <c r="E2282" s="8">
        <v>3015.0007000000001</v>
      </c>
      <c r="F2282" s="8">
        <f>F2272</f>
        <v>0</v>
      </c>
      <c r="G2282" s="8">
        <f>E2282+F2282</f>
        <v>3015.0007000000001</v>
      </c>
      <c r="H2282" s="3">
        <f>B2282*G2282</f>
        <v>59244.763755</v>
      </c>
      <c r="I2282" s="3">
        <f>C2282*G2282</f>
        <v>59274.913762000004</v>
      </c>
    </row>
    <row r="2283" spans="1:9" x14ac:dyDescent="0.25">
      <c r="A2283" t="s">
        <v>6</v>
      </c>
      <c r="B2283" s="1">
        <v>32.17</v>
      </c>
      <c r="C2283" s="1">
        <v>32.18</v>
      </c>
      <c r="D2283" s="2" t="s">
        <v>272</v>
      </c>
      <c r="E2283" s="8">
        <v>1842.1507999999999</v>
      </c>
      <c r="F2283" s="8">
        <f>F2273</f>
        <v>-0.1</v>
      </c>
      <c r="G2283" s="8">
        <f>E2283+F2283</f>
        <v>1842.0508</v>
      </c>
      <c r="H2283" s="3">
        <f>B2283*G2283</f>
        <v>59258.774236000005</v>
      </c>
      <c r="I2283" s="3">
        <f>C2283*G2283</f>
        <v>59277.194744</v>
      </c>
    </row>
    <row r="2284" spans="1:9" x14ac:dyDescent="0.25">
      <c r="A2284" t="s">
        <v>7</v>
      </c>
      <c r="B2284" s="1">
        <v>16.71</v>
      </c>
      <c r="C2284" s="1">
        <v>16.72</v>
      </c>
      <c r="D2284" s="2" t="s">
        <v>272</v>
      </c>
      <c r="E2284" s="8">
        <v>3546.6594</v>
      </c>
      <c r="F2284" s="8">
        <f>F2274</f>
        <v>0</v>
      </c>
      <c r="G2284" s="8">
        <f>E2284+F2284</f>
        <v>3546.6594</v>
      </c>
      <c r="H2284" s="3">
        <f>B2284*G2284</f>
        <v>59264.678574000005</v>
      </c>
      <c r="I2284" s="3">
        <f>C2284*G2284</f>
        <v>59300.145167999995</v>
      </c>
    </row>
    <row r="2285" spans="1:9" x14ac:dyDescent="0.25">
      <c r="A2285" t="s">
        <v>8</v>
      </c>
      <c r="B2285" s="1">
        <v>26.2</v>
      </c>
      <c r="C2285" s="1">
        <v>26.21</v>
      </c>
      <c r="D2285" s="2" t="s">
        <v>272</v>
      </c>
      <c r="E2285" s="8">
        <v>2261.3694999999998</v>
      </c>
      <c r="F2285" s="8">
        <f>F2275</f>
        <v>-0.2</v>
      </c>
      <c r="G2285" s="8">
        <f>E2285+F2285</f>
        <v>2261.1695</v>
      </c>
      <c r="H2285" s="3">
        <f>B2285*G2285</f>
        <v>59242.640899999999</v>
      </c>
      <c r="I2285" s="3">
        <f>C2285*G2285</f>
        <v>59265.252594999998</v>
      </c>
    </row>
    <row r="2286" spans="1:9" x14ac:dyDescent="0.25">
      <c r="A2286" t="s">
        <v>9</v>
      </c>
      <c r="B2286" s="1">
        <v>62.54</v>
      </c>
      <c r="C2286" s="1">
        <v>62.65</v>
      </c>
      <c r="D2286" s="2" t="s">
        <v>272</v>
      </c>
      <c r="E2286" s="8">
        <v>946.15589999999997</v>
      </c>
      <c r="F2286" s="8">
        <f>F2276</f>
        <v>0</v>
      </c>
      <c r="G2286" s="8">
        <f>E2286+F2286</f>
        <v>946.15589999999997</v>
      </c>
      <c r="H2286" s="3">
        <f>B2286*G2286</f>
        <v>59172.589985999999</v>
      </c>
      <c r="I2286" s="3">
        <f>C2286*G2286</f>
        <v>59276.667134999996</v>
      </c>
    </row>
    <row r="2287" spans="1:9" x14ac:dyDescent="0.25">
      <c r="A2287" t="s">
        <v>10</v>
      </c>
      <c r="B2287" s="1">
        <v>34.229999999999997</v>
      </c>
      <c r="C2287" s="1">
        <v>34.25</v>
      </c>
      <c r="D2287" s="2" t="s">
        <v>272</v>
      </c>
      <c r="E2287" s="8">
        <v>1730.1448</v>
      </c>
      <c r="F2287" s="8">
        <f>F2277</f>
        <v>0.2</v>
      </c>
      <c r="G2287" s="8">
        <f>E2287+F2287</f>
        <v>1730.3448000000001</v>
      </c>
      <c r="H2287" s="3">
        <f>B2287*G2287</f>
        <v>59229.702504000001</v>
      </c>
      <c r="I2287" s="3">
        <f>C2287*G2287</f>
        <v>59264.309400000006</v>
      </c>
    </row>
    <row r="2288" spans="1:9" x14ac:dyDescent="0.25">
      <c r="A2288" t="s">
        <v>11</v>
      </c>
      <c r="B2288" s="1">
        <v>51.57</v>
      </c>
      <c r="C2288" s="1">
        <v>51.58</v>
      </c>
      <c r="D2288" s="2" t="s">
        <v>272</v>
      </c>
      <c r="E2288" s="8">
        <v>1148.8769</v>
      </c>
      <c r="F2288" s="8">
        <f>F2278</f>
        <v>0.05</v>
      </c>
      <c r="G2288" s="8">
        <f>E2288+F2288</f>
        <v>1148.9268999999999</v>
      </c>
      <c r="H2288" s="3">
        <f>B2288*G2288</f>
        <v>59250.160232999995</v>
      </c>
      <c r="I2288" s="3">
        <f>C2288*G2288</f>
        <v>59261.649501999993</v>
      </c>
    </row>
    <row r="2289" spans="1:9" x14ac:dyDescent="0.25">
      <c r="A2289" t="s">
        <v>12</v>
      </c>
      <c r="B2289" s="1">
        <v>45.97</v>
      </c>
      <c r="C2289" s="1">
        <v>45.98</v>
      </c>
      <c r="D2289" s="2" t="s">
        <v>272</v>
      </c>
      <c r="E2289" s="8">
        <v>1289.1205</v>
      </c>
      <c r="F2289" s="8">
        <f>F2279</f>
        <v>0</v>
      </c>
      <c r="G2289" s="8">
        <f>E2289+F2289</f>
        <v>1289.1205</v>
      </c>
      <c r="H2289" s="3">
        <f>B2289*G2289</f>
        <v>59260.869384999998</v>
      </c>
      <c r="I2289" s="3">
        <f>C2289*G2289</f>
        <v>59273.760589999998</v>
      </c>
    </row>
    <row r="2290" spans="1:9" x14ac:dyDescent="0.25">
      <c r="A2290" t="s">
        <v>13</v>
      </c>
      <c r="B2290" s="1">
        <v>16.760000000000002</v>
      </c>
      <c r="C2290" s="1">
        <v>16.77</v>
      </c>
      <c r="D2290" s="2" t="s">
        <v>272</v>
      </c>
      <c r="E2290" s="8">
        <v>3535.8029000000001</v>
      </c>
      <c r="F2290" s="8">
        <f>F2280</f>
        <v>0</v>
      </c>
      <c r="G2290" s="8">
        <f>E2290+F2290</f>
        <v>3535.8029000000001</v>
      </c>
      <c r="H2290" s="3">
        <f>B2290*G2290</f>
        <v>59260.056604000005</v>
      </c>
      <c r="I2290" s="3">
        <f>C2290*G2290</f>
        <v>59295.414633</v>
      </c>
    </row>
    <row r="2291" spans="1:9" x14ac:dyDescent="0.25">
      <c r="A2291" t="s">
        <v>14</v>
      </c>
      <c r="B2291" s="1">
        <v>33.549999999999997</v>
      </c>
      <c r="C2291" s="1">
        <v>33.56</v>
      </c>
      <c r="D2291" s="2" t="s">
        <v>272</v>
      </c>
      <c r="E2291" s="8">
        <v>1765.0956000000001</v>
      </c>
      <c r="F2291" s="8">
        <f>F2281</f>
        <v>0.2</v>
      </c>
      <c r="G2291" s="8">
        <f>E2291+F2291</f>
        <v>1765.2956000000001</v>
      </c>
      <c r="H2291" s="3">
        <f>B2291*G2291</f>
        <v>59225.667379999999</v>
      </c>
      <c r="I2291" s="3">
        <f>C2291*G2291</f>
        <v>59243.320336000012</v>
      </c>
    </row>
    <row r="2292" spans="1:9" x14ac:dyDescent="0.25">
      <c r="A2292" t="s">
        <v>4</v>
      </c>
      <c r="B2292" s="1">
        <v>19.68</v>
      </c>
      <c r="C2292" s="1">
        <v>19.690000000000001</v>
      </c>
      <c r="D2292" s="2" t="s">
        <v>273</v>
      </c>
      <c r="E2292" s="8">
        <v>3015.0007000000001</v>
      </c>
      <c r="F2292" s="8">
        <f>F2282</f>
        <v>0</v>
      </c>
      <c r="G2292" s="8">
        <f>E2292+F2292</f>
        <v>3015.0007000000001</v>
      </c>
      <c r="H2292" s="3">
        <f>B2292*G2292</f>
        <v>59335.213775999997</v>
      </c>
      <c r="I2292" s="3">
        <f>C2292*G2292</f>
        <v>59365.363783000008</v>
      </c>
    </row>
    <row r="2293" spans="1:9" x14ac:dyDescent="0.25">
      <c r="A2293" t="s">
        <v>6</v>
      </c>
      <c r="B2293" s="1">
        <v>32.21</v>
      </c>
      <c r="C2293" s="1">
        <v>32.22</v>
      </c>
      <c r="D2293" s="2" t="s">
        <v>273</v>
      </c>
      <c r="E2293" s="8">
        <v>1842.1507999999999</v>
      </c>
      <c r="F2293" s="8">
        <f>F2283</f>
        <v>-0.1</v>
      </c>
      <c r="G2293" s="8">
        <f>E2293+F2293</f>
        <v>1842.0508</v>
      </c>
      <c r="H2293" s="3">
        <f>B2293*G2293</f>
        <v>59332.456268000002</v>
      </c>
      <c r="I2293" s="3">
        <f>C2293*G2293</f>
        <v>59350.876775999997</v>
      </c>
    </row>
    <row r="2294" spans="1:9" x14ac:dyDescent="0.25">
      <c r="A2294" t="s">
        <v>7</v>
      </c>
      <c r="B2294" s="1">
        <v>16.73</v>
      </c>
      <c r="C2294" s="1">
        <v>16.739999999999998</v>
      </c>
      <c r="D2294" s="2" t="s">
        <v>273</v>
      </c>
      <c r="E2294" s="8">
        <v>3546.6594</v>
      </c>
      <c r="F2294" s="8">
        <f>F2284</f>
        <v>0</v>
      </c>
      <c r="G2294" s="8">
        <f>E2294+F2294</f>
        <v>3546.6594</v>
      </c>
      <c r="H2294" s="3">
        <f>B2294*G2294</f>
        <v>59335.611762</v>
      </c>
      <c r="I2294" s="3">
        <f>C2294*G2294</f>
        <v>59371.078355999998</v>
      </c>
    </row>
    <row r="2295" spans="1:9" x14ac:dyDescent="0.25">
      <c r="A2295" t="s">
        <v>8</v>
      </c>
      <c r="B2295" s="1">
        <v>26.24</v>
      </c>
      <c r="C2295" s="1">
        <v>26.25</v>
      </c>
      <c r="D2295" s="2" t="s">
        <v>273</v>
      </c>
      <c r="E2295" s="8">
        <v>2261.3694999999998</v>
      </c>
      <c r="F2295" s="8">
        <f>F2285</f>
        <v>-0.2</v>
      </c>
      <c r="G2295" s="8">
        <f>E2295+F2295</f>
        <v>2261.1695</v>
      </c>
      <c r="H2295" s="3">
        <f>B2295*G2295</f>
        <v>59333.087679999997</v>
      </c>
      <c r="I2295" s="3">
        <f>C2295*G2295</f>
        <v>59355.699374999997</v>
      </c>
    </row>
    <row r="2296" spans="1:9" x14ac:dyDescent="0.25">
      <c r="A2296" t="s">
        <v>9</v>
      </c>
      <c r="B2296" s="1">
        <v>62.64</v>
      </c>
      <c r="C2296" s="1">
        <v>62.79</v>
      </c>
      <c r="D2296" s="2" t="s">
        <v>273</v>
      </c>
      <c r="E2296" s="8">
        <v>946.15589999999997</v>
      </c>
      <c r="F2296" s="8">
        <f>F2286</f>
        <v>0</v>
      </c>
      <c r="G2296" s="8">
        <f>E2296+F2296</f>
        <v>946.15589999999997</v>
      </c>
      <c r="H2296" s="3">
        <f>B2296*G2296</f>
        <v>59267.205576</v>
      </c>
      <c r="I2296" s="3">
        <f>C2296*G2296</f>
        <v>59409.128960999995</v>
      </c>
    </row>
    <row r="2297" spans="1:9" x14ac:dyDescent="0.25">
      <c r="A2297" t="s">
        <v>10</v>
      </c>
      <c r="B2297" s="1">
        <v>34.270000000000003</v>
      </c>
      <c r="C2297" s="1">
        <v>34.299999999999997</v>
      </c>
      <c r="D2297" s="2" t="s">
        <v>273</v>
      </c>
      <c r="E2297" s="8">
        <v>1730.1448</v>
      </c>
      <c r="F2297" s="8">
        <f>F2287</f>
        <v>0.2</v>
      </c>
      <c r="G2297" s="8">
        <f>E2297+F2297</f>
        <v>1730.3448000000001</v>
      </c>
      <c r="H2297" s="3">
        <f>B2297*G2297</f>
        <v>59298.91629600001</v>
      </c>
      <c r="I2297" s="3">
        <f>C2297*G2297</f>
        <v>59350.826639999999</v>
      </c>
    </row>
    <row r="2298" spans="1:9" x14ac:dyDescent="0.25">
      <c r="A2298" t="s">
        <v>11</v>
      </c>
      <c r="B2298" s="1">
        <v>51.64</v>
      </c>
      <c r="C2298" s="1">
        <v>51.65</v>
      </c>
      <c r="D2298" s="2" t="s">
        <v>273</v>
      </c>
      <c r="E2298" s="8">
        <v>1148.8769</v>
      </c>
      <c r="F2298" s="8">
        <f>F2288</f>
        <v>0.05</v>
      </c>
      <c r="G2298" s="8">
        <f>E2298+F2298</f>
        <v>1148.9268999999999</v>
      </c>
      <c r="H2298" s="3">
        <f>B2298*G2298</f>
        <v>59330.585115999995</v>
      </c>
      <c r="I2298" s="3">
        <f>C2298*G2298</f>
        <v>59342.074384999993</v>
      </c>
    </row>
    <row r="2299" spans="1:9" x14ac:dyDescent="0.25">
      <c r="A2299" t="s">
        <v>12</v>
      </c>
      <c r="B2299" s="1">
        <v>46.03</v>
      </c>
      <c r="C2299" s="1">
        <v>46.04</v>
      </c>
      <c r="D2299" s="2" t="s">
        <v>273</v>
      </c>
      <c r="E2299" s="8">
        <v>1289.1205</v>
      </c>
      <c r="F2299" s="8">
        <f>F2289</f>
        <v>0</v>
      </c>
      <c r="G2299" s="8">
        <f>E2299+F2299</f>
        <v>1289.1205</v>
      </c>
      <c r="H2299" s="3">
        <f>B2299*G2299</f>
        <v>59338.216614999998</v>
      </c>
      <c r="I2299" s="3">
        <f>C2299*G2299</f>
        <v>59351.107819999997</v>
      </c>
    </row>
    <row r="2300" spans="1:9" x14ac:dyDescent="0.25">
      <c r="A2300" t="s">
        <v>13</v>
      </c>
      <c r="B2300" s="1">
        <v>16.78</v>
      </c>
      <c r="C2300" s="1">
        <v>16.79</v>
      </c>
      <c r="D2300" s="2" t="s">
        <v>273</v>
      </c>
      <c r="E2300" s="8">
        <v>3535.8029000000001</v>
      </c>
      <c r="F2300" s="8">
        <f>F2290</f>
        <v>0</v>
      </c>
      <c r="G2300" s="8">
        <f>E2300+F2300</f>
        <v>3535.8029000000001</v>
      </c>
      <c r="H2300" s="3">
        <f>B2300*G2300</f>
        <v>59330.772662000003</v>
      </c>
      <c r="I2300" s="3">
        <f>C2300*G2300</f>
        <v>59366.130690999998</v>
      </c>
    </row>
    <row r="2301" spans="1:9" x14ac:dyDescent="0.25">
      <c r="A2301" t="s">
        <v>14</v>
      </c>
      <c r="B2301" s="1">
        <v>33.590000000000003</v>
      </c>
      <c r="C2301" s="1">
        <v>33.6</v>
      </c>
      <c r="D2301" s="2" t="s">
        <v>273</v>
      </c>
      <c r="E2301" s="8">
        <v>1765.0956000000001</v>
      </c>
      <c r="F2301" s="8">
        <f>F2291</f>
        <v>0.2</v>
      </c>
      <c r="G2301" s="8">
        <f>E2301+F2301</f>
        <v>1765.2956000000001</v>
      </c>
      <c r="H2301" s="3">
        <f>B2301*G2301</f>
        <v>59296.279204000013</v>
      </c>
      <c r="I2301" s="3">
        <f>C2301*G2301</f>
        <v>59313.932160000004</v>
      </c>
    </row>
    <row r="2302" spans="1:9" x14ac:dyDescent="0.25">
      <c r="A2302" t="s">
        <v>4</v>
      </c>
      <c r="B2302" s="1">
        <v>19.77</v>
      </c>
      <c r="C2302" s="1">
        <v>19.78</v>
      </c>
      <c r="D2302" s="2" t="s">
        <v>274</v>
      </c>
      <c r="E2302" s="8">
        <v>3015.0007000000001</v>
      </c>
      <c r="F2302" s="8">
        <f>F2292</f>
        <v>0</v>
      </c>
      <c r="G2302" s="8">
        <f>E2302+F2302</f>
        <v>3015.0007000000001</v>
      </c>
      <c r="H2302" s="3">
        <f>B2302*G2302</f>
        <v>59606.563839000002</v>
      </c>
      <c r="I2302" s="3">
        <f>C2302*G2302</f>
        <v>59636.713846000006</v>
      </c>
    </row>
    <row r="2303" spans="1:9" x14ac:dyDescent="0.25">
      <c r="A2303" t="s">
        <v>6</v>
      </c>
      <c r="B2303" s="1">
        <v>32.369999999999997</v>
      </c>
      <c r="C2303" s="1">
        <v>32.380000000000003</v>
      </c>
      <c r="D2303" s="2" t="s">
        <v>274</v>
      </c>
      <c r="E2303" s="8">
        <v>1842.1507999999999</v>
      </c>
      <c r="F2303" s="8">
        <f>F2293</f>
        <v>-0.1</v>
      </c>
      <c r="G2303" s="8">
        <f>E2303+F2303</f>
        <v>1842.0508</v>
      </c>
      <c r="H2303" s="3">
        <f>B2303*G2303</f>
        <v>59627.184395999997</v>
      </c>
      <c r="I2303" s="3">
        <f>C2303*G2303</f>
        <v>59645.604904000007</v>
      </c>
    </row>
    <row r="2304" spans="1:9" x14ac:dyDescent="0.25">
      <c r="A2304" t="s">
        <v>7</v>
      </c>
      <c r="B2304" s="1">
        <v>16.8</v>
      </c>
      <c r="C2304" s="1">
        <v>16.809999999999999</v>
      </c>
      <c r="D2304" s="2" t="s">
        <v>274</v>
      </c>
      <c r="E2304" s="8">
        <v>3546.6594</v>
      </c>
      <c r="F2304" s="8">
        <f>F2294</f>
        <v>0</v>
      </c>
      <c r="G2304" s="8">
        <f>E2304+F2304</f>
        <v>3546.6594</v>
      </c>
      <c r="H2304" s="3">
        <f>B2304*G2304</f>
        <v>59583.877919999999</v>
      </c>
      <c r="I2304" s="3">
        <f>C2304*G2304</f>
        <v>59619.344513999997</v>
      </c>
    </row>
    <row r="2305" spans="1:9" x14ac:dyDescent="0.25">
      <c r="A2305" t="s">
        <v>8</v>
      </c>
      <c r="B2305" s="1">
        <v>26.36</v>
      </c>
      <c r="C2305" s="1">
        <v>26.37</v>
      </c>
      <c r="D2305" s="2" t="s">
        <v>274</v>
      </c>
      <c r="E2305" s="8">
        <v>2261.3694999999998</v>
      </c>
      <c r="F2305" s="8">
        <f>F2295</f>
        <v>-0.2</v>
      </c>
      <c r="G2305" s="8">
        <f>E2305+F2305</f>
        <v>2261.1695</v>
      </c>
      <c r="H2305" s="3">
        <f>B2305*G2305</f>
        <v>59604.428019999999</v>
      </c>
      <c r="I2305" s="3">
        <f>C2305*G2305</f>
        <v>59627.039714999999</v>
      </c>
    </row>
    <row r="2306" spans="1:9" x14ac:dyDescent="0.25">
      <c r="A2306" t="s">
        <v>9</v>
      </c>
      <c r="B2306" s="1">
        <v>62.94</v>
      </c>
      <c r="C2306" s="1">
        <v>63.07</v>
      </c>
      <c r="D2306" s="2" t="s">
        <v>274</v>
      </c>
      <c r="E2306" s="8">
        <v>946.15589999999997</v>
      </c>
      <c r="F2306" s="8">
        <f>F2296</f>
        <v>0</v>
      </c>
      <c r="G2306" s="8">
        <f>E2306+F2306</f>
        <v>946.15589999999997</v>
      </c>
      <c r="H2306" s="3">
        <f>B2306*G2306</f>
        <v>59551.052345999997</v>
      </c>
      <c r="I2306" s="3">
        <f>C2306*G2306</f>
        <v>59674.052613</v>
      </c>
    </row>
    <row r="2307" spans="1:9" x14ac:dyDescent="0.25">
      <c r="A2307" t="s">
        <v>10</v>
      </c>
      <c r="B2307" s="1">
        <v>34.43</v>
      </c>
      <c r="C2307" s="1">
        <v>34.46</v>
      </c>
      <c r="D2307" s="2" t="s">
        <v>274</v>
      </c>
      <c r="E2307" s="8">
        <v>1730.1448</v>
      </c>
      <c r="F2307" s="8">
        <f>F2297</f>
        <v>0.2</v>
      </c>
      <c r="G2307" s="8">
        <f>E2307+F2307</f>
        <v>1730.3448000000001</v>
      </c>
      <c r="H2307" s="3">
        <f>B2307*G2307</f>
        <v>59575.771464000005</v>
      </c>
      <c r="I2307" s="3">
        <f>C2307*G2307</f>
        <v>59627.681808000001</v>
      </c>
    </row>
    <row r="2308" spans="1:9" x14ac:dyDescent="0.25">
      <c r="A2308" t="s">
        <v>11</v>
      </c>
      <c r="B2308" s="1">
        <v>51.87</v>
      </c>
      <c r="C2308" s="1">
        <v>51.88</v>
      </c>
      <c r="D2308" s="2" t="s">
        <v>274</v>
      </c>
      <c r="E2308" s="8">
        <v>1148.8769</v>
      </c>
      <c r="F2308" s="8">
        <f>F2298</f>
        <v>0.05</v>
      </c>
      <c r="G2308" s="8">
        <f>E2308+F2308</f>
        <v>1148.9268999999999</v>
      </c>
      <c r="H2308" s="3">
        <f>B2308*G2308</f>
        <v>59594.838302999997</v>
      </c>
      <c r="I2308" s="3">
        <f>C2308*G2308</f>
        <v>59606.327572000002</v>
      </c>
    </row>
    <row r="2309" spans="1:9" x14ac:dyDescent="0.25">
      <c r="A2309" t="s">
        <v>12</v>
      </c>
      <c r="B2309" s="1">
        <v>46.23</v>
      </c>
      <c r="C2309" s="1">
        <v>46.24</v>
      </c>
      <c r="D2309" s="2" t="s">
        <v>274</v>
      </c>
      <c r="E2309" s="8">
        <v>1289.1205</v>
      </c>
      <c r="F2309" s="8">
        <f>F2299</f>
        <v>0</v>
      </c>
      <c r="G2309" s="8">
        <f>E2309+F2309</f>
        <v>1289.1205</v>
      </c>
      <c r="H2309" s="3">
        <f>B2309*G2309</f>
        <v>59596.040714999996</v>
      </c>
      <c r="I2309" s="3">
        <f>C2309*G2309</f>
        <v>59608.931920000003</v>
      </c>
    </row>
    <row r="2310" spans="1:9" x14ac:dyDescent="0.25">
      <c r="A2310" t="s">
        <v>13</v>
      </c>
      <c r="B2310" s="1">
        <v>16.86</v>
      </c>
      <c r="C2310" s="1">
        <v>16.87</v>
      </c>
      <c r="D2310" s="2" t="s">
        <v>274</v>
      </c>
      <c r="E2310" s="8">
        <v>3535.8029000000001</v>
      </c>
      <c r="F2310" s="8">
        <f>F2300</f>
        <v>0</v>
      </c>
      <c r="G2310" s="8">
        <f>E2310+F2310</f>
        <v>3535.8029000000001</v>
      </c>
      <c r="H2310" s="3">
        <f>B2310*G2310</f>
        <v>59613.636894000003</v>
      </c>
      <c r="I2310" s="3">
        <f>C2310*G2310</f>
        <v>59648.994923000006</v>
      </c>
    </row>
    <row r="2311" spans="1:9" x14ac:dyDescent="0.25">
      <c r="A2311" t="s">
        <v>14</v>
      </c>
      <c r="B2311" s="1">
        <v>33.75</v>
      </c>
      <c r="C2311" s="1">
        <v>33.76</v>
      </c>
      <c r="D2311" s="2" t="s">
        <v>274</v>
      </c>
      <c r="E2311" s="8">
        <v>1765.0956000000001</v>
      </c>
      <c r="F2311" s="8">
        <f>F2301</f>
        <v>0.2</v>
      </c>
      <c r="G2311" s="8">
        <f>E2311+F2311</f>
        <v>1765.2956000000001</v>
      </c>
      <c r="H2311" s="3">
        <f>B2311*G2311</f>
        <v>59578.726500000004</v>
      </c>
      <c r="I2311" s="3">
        <f>C2311*G2311</f>
        <v>59596.379456000002</v>
      </c>
    </row>
    <row r="2312" spans="1:9" x14ac:dyDescent="0.25">
      <c r="A2312" t="s">
        <v>4</v>
      </c>
      <c r="B2312" s="1">
        <v>19.68</v>
      </c>
      <c r="C2312" s="1">
        <v>19.690000000000001</v>
      </c>
      <c r="D2312" s="2" t="s">
        <v>275</v>
      </c>
      <c r="E2312" s="8">
        <v>3015.0007000000001</v>
      </c>
      <c r="F2312" s="8">
        <f>F2302</f>
        <v>0</v>
      </c>
      <c r="G2312" s="8">
        <f>E2312+F2312</f>
        <v>3015.0007000000001</v>
      </c>
      <c r="H2312" s="3">
        <f>B2312*G2312</f>
        <v>59335.213775999997</v>
      </c>
      <c r="I2312" s="3">
        <f>C2312*G2312</f>
        <v>59365.363783000008</v>
      </c>
    </row>
    <row r="2313" spans="1:9" x14ac:dyDescent="0.25">
      <c r="A2313" t="s">
        <v>6</v>
      </c>
      <c r="B2313" s="1">
        <v>32.22</v>
      </c>
      <c r="C2313" s="1">
        <v>32.229999999999997</v>
      </c>
      <c r="D2313" s="2" t="s">
        <v>275</v>
      </c>
      <c r="E2313" s="8">
        <v>1842.1507999999999</v>
      </c>
      <c r="F2313" s="8">
        <f>F2303</f>
        <v>-0.1</v>
      </c>
      <c r="G2313" s="8">
        <f>E2313+F2313</f>
        <v>1842.0508</v>
      </c>
      <c r="H2313" s="3">
        <f>B2313*G2313</f>
        <v>59350.876775999997</v>
      </c>
      <c r="I2313" s="3">
        <f>C2313*G2313</f>
        <v>59369.297283999993</v>
      </c>
    </row>
    <row r="2314" spans="1:9" x14ac:dyDescent="0.25">
      <c r="A2314" t="s">
        <v>7</v>
      </c>
      <c r="B2314" s="1">
        <v>16.73</v>
      </c>
      <c r="C2314" s="1">
        <v>16.739999999999998</v>
      </c>
      <c r="D2314" s="2" t="s">
        <v>275</v>
      </c>
      <c r="E2314" s="8">
        <v>3546.6594</v>
      </c>
      <c r="F2314" s="8">
        <f>F2304</f>
        <v>0</v>
      </c>
      <c r="G2314" s="8">
        <f>E2314+F2314</f>
        <v>3546.6594</v>
      </c>
      <c r="H2314" s="3">
        <f>B2314*G2314</f>
        <v>59335.611762</v>
      </c>
      <c r="I2314" s="3">
        <f>C2314*G2314</f>
        <v>59371.078355999998</v>
      </c>
    </row>
    <row r="2315" spans="1:9" x14ac:dyDescent="0.25">
      <c r="A2315" t="s">
        <v>8</v>
      </c>
      <c r="B2315" s="1">
        <v>26.25</v>
      </c>
      <c r="C2315" s="1">
        <v>26.26</v>
      </c>
      <c r="D2315" s="2" t="s">
        <v>275</v>
      </c>
      <c r="E2315" s="8">
        <v>2261.3694999999998</v>
      </c>
      <c r="F2315" s="8">
        <f>F2305</f>
        <v>-0.2</v>
      </c>
      <c r="G2315" s="8">
        <f>E2315+F2315</f>
        <v>2261.1695</v>
      </c>
      <c r="H2315" s="3">
        <f>B2315*G2315</f>
        <v>59355.699374999997</v>
      </c>
      <c r="I2315" s="3">
        <f>C2315*G2315</f>
        <v>59378.311070000003</v>
      </c>
    </row>
    <row r="2316" spans="1:9" x14ac:dyDescent="0.25">
      <c r="A2316" t="s">
        <v>9</v>
      </c>
      <c r="B2316" s="1">
        <v>62.65</v>
      </c>
      <c r="C2316" s="1">
        <v>62.74</v>
      </c>
      <c r="D2316" s="2" t="s">
        <v>275</v>
      </c>
      <c r="E2316" s="8">
        <v>946.15589999999997</v>
      </c>
      <c r="F2316" s="8">
        <f>F2306</f>
        <v>0</v>
      </c>
      <c r="G2316" s="8">
        <f>E2316+F2316</f>
        <v>946.15589999999997</v>
      </c>
      <c r="H2316" s="3">
        <f>B2316*G2316</f>
        <v>59276.667134999996</v>
      </c>
      <c r="I2316" s="3">
        <f>C2316*G2316</f>
        <v>59361.821166000002</v>
      </c>
    </row>
    <row r="2317" spans="1:9" x14ac:dyDescent="0.25">
      <c r="A2317" t="s">
        <v>10</v>
      </c>
      <c r="B2317" s="1">
        <v>34.28</v>
      </c>
      <c r="C2317" s="1">
        <v>34.31</v>
      </c>
      <c r="D2317" s="2" t="s">
        <v>275</v>
      </c>
      <c r="E2317" s="8">
        <v>1730.1448</v>
      </c>
      <c r="F2317" s="8">
        <f>F2307</f>
        <v>0.2</v>
      </c>
      <c r="G2317" s="8">
        <f>E2317+F2317</f>
        <v>1730.3448000000001</v>
      </c>
      <c r="H2317" s="3">
        <f>B2317*G2317</f>
        <v>59316.219744000002</v>
      </c>
      <c r="I2317" s="3">
        <f>C2317*G2317</f>
        <v>59368.130088000005</v>
      </c>
    </row>
    <row r="2318" spans="1:9" x14ac:dyDescent="0.25">
      <c r="A2318" t="s">
        <v>11</v>
      </c>
      <c r="B2318" s="1">
        <v>51.65</v>
      </c>
      <c r="C2318" s="1">
        <v>51.66</v>
      </c>
      <c r="D2318" s="2" t="s">
        <v>275</v>
      </c>
      <c r="E2318" s="8">
        <v>1148.8769</v>
      </c>
      <c r="F2318" s="8">
        <f>F2308</f>
        <v>0.05</v>
      </c>
      <c r="G2318" s="8">
        <f>E2318+F2318</f>
        <v>1148.9268999999999</v>
      </c>
      <c r="H2318" s="3">
        <f>B2318*G2318</f>
        <v>59342.074384999993</v>
      </c>
      <c r="I2318" s="3">
        <f>C2318*G2318</f>
        <v>59353.56365399999</v>
      </c>
    </row>
    <row r="2319" spans="1:9" x14ac:dyDescent="0.25">
      <c r="A2319" t="s">
        <v>12</v>
      </c>
      <c r="B2319" s="1">
        <v>46.03</v>
      </c>
      <c r="C2319" s="1">
        <v>46.04</v>
      </c>
      <c r="D2319" s="2" t="s">
        <v>275</v>
      </c>
      <c r="E2319" s="8">
        <v>1289.1205</v>
      </c>
      <c r="F2319" s="8">
        <f>F2309</f>
        <v>0</v>
      </c>
      <c r="G2319" s="8">
        <f>E2319+F2319</f>
        <v>1289.1205</v>
      </c>
      <c r="H2319" s="3">
        <f>B2319*G2319</f>
        <v>59338.216614999998</v>
      </c>
      <c r="I2319" s="3">
        <f>C2319*G2319</f>
        <v>59351.107819999997</v>
      </c>
    </row>
    <row r="2320" spans="1:9" x14ac:dyDescent="0.25">
      <c r="A2320" t="s">
        <v>13</v>
      </c>
      <c r="B2320" s="1">
        <v>16.78</v>
      </c>
      <c r="C2320" s="1">
        <v>16.79</v>
      </c>
      <c r="D2320" s="2" t="s">
        <v>275</v>
      </c>
      <c r="E2320" s="8">
        <v>3535.8029000000001</v>
      </c>
      <c r="F2320" s="8">
        <f>F2310</f>
        <v>0</v>
      </c>
      <c r="G2320" s="8">
        <f>E2320+F2320</f>
        <v>3535.8029000000001</v>
      </c>
      <c r="H2320" s="3">
        <f>B2320*G2320</f>
        <v>59330.772662000003</v>
      </c>
      <c r="I2320" s="3">
        <f>C2320*G2320</f>
        <v>59366.130690999998</v>
      </c>
    </row>
    <row r="2321" spans="1:9" x14ac:dyDescent="0.25">
      <c r="A2321" t="s">
        <v>14</v>
      </c>
      <c r="B2321" s="1">
        <v>33.6</v>
      </c>
      <c r="C2321" s="1">
        <v>33.61</v>
      </c>
      <c r="D2321" s="2" t="s">
        <v>275</v>
      </c>
      <c r="E2321" s="8">
        <v>1765.0956000000001</v>
      </c>
      <c r="F2321" s="8">
        <f>F2311</f>
        <v>0.2</v>
      </c>
      <c r="G2321" s="8">
        <f>E2321+F2321</f>
        <v>1765.2956000000001</v>
      </c>
      <c r="H2321" s="3">
        <f>B2321*G2321</f>
        <v>59313.932160000004</v>
      </c>
      <c r="I2321" s="3">
        <f>C2321*G2321</f>
        <v>59331.585116000002</v>
      </c>
    </row>
    <row r="2322" spans="1:9" x14ac:dyDescent="0.25">
      <c r="A2322" t="s">
        <v>4</v>
      </c>
      <c r="B2322" s="1">
        <v>19.64</v>
      </c>
      <c r="C2322" s="1">
        <v>19.649999999999999</v>
      </c>
      <c r="D2322" s="2" t="s">
        <v>276</v>
      </c>
      <c r="E2322" s="8">
        <v>3015.0007000000001</v>
      </c>
      <c r="F2322" s="8">
        <f>F2312</f>
        <v>0</v>
      </c>
      <c r="G2322" s="8">
        <f>E2322+F2322</f>
        <v>3015.0007000000001</v>
      </c>
      <c r="H2322" s="3">
        <f>B2322*G2322</f>
        <v>59214.613748000003</v>
      </c>
      <c r="I2322" s="3">
        <f>C2322*G2322</f>
        <v>59244.763755</v>
      </c>
    </row>
    <row r="2323" spans="1:9" x14ac:dyDescent="0.25">
      <c r="A2323" t="s">
        <v>6</v>
      </c>
      <c r="B2323" s="1">
        <v>32.15</v>
      </c>
      <c r="C2323" s="1">
        <v>32.159999999999997</v>
      </c>
      <c r="D2323" s="2" t="s">
        <v>276</v>
      </c>
      <c r="E2323" s="8">
        <v>1842.1507999999999</v>
      </c>
      <c r="F2323" s="8">
        <f>F2313</f>
        <v>-0.1</v>
      </c>
      <c r="G2323" s="8">
        <f>E2323+F2323</f>
        <v>1842.0508</v>
      </c>
      <c r="H2323" s="3">
        <f>B2323*G2323</f>
        <v>59221.933219999999</v>
      </c>
      <c r="I2323" s="3">
        <f>C2323*G2323</f>
        <v>59240.353727999995</v>
      </c>
    </row>
    <row r="2324" spans="1:9" x14ac:dyDescent="0.25">
      <c r="A2324" t="s">
        <v>7</v>
      </c>
      <c r="B2324" s="1">
        <v>16.690000000000001</v>
      </c>
      <c r="C2324" s="1">
        <v>16.7</v>
      </c>
      <c r="D2324" s="2" t="s">
        <v>276</v>
      </c>
      <c r="E2324" s="8">
        <v>3546.6594</v>
      </c>
      <c r="F2324" s="8">
        <f>F2314</f>
        <v>0</v>
      </c>
      <c r="G2324" s="8">
        <f>E2324+F2324</f>
        <v>3546.6594</v>
      </c>
      <c r="H2324" s="3">
        <f>B2324*G2324</f>
        <v>59193.745386000002</v>
      </c>
      <c r="I2324" s="3">
        <f>C2324*G2324</f>
        <v>59229.21198</v>
      </c>
    </row>
    <row r="2325" spans="1:9" x14ac:dyDescent="0.25">
      <c r="A2325" t="s">
        <v>8</v>
      </c>
      <c r="B2325" s="1">
        <v>26.19</v>
      </c>
      <c r="C2325" s="1">
        <v>26.2</v>
      </c>
      <c r="D2325" s="2" t="s">
        <v>276</v>
      </c>
      <c r="E2325" s="8">
        <v>2261.3694999999998</v>
      </c>
      <c r="F2325" s="8">
        <f>F2315</f>
        <v>-0.2</v>
      </c>
      <c r="G2325" s="8">
        <f>E2325+F2325</f>
        <v>2261.1695</v>
      </c>
      <c r="H2325" s="3">
        <f>B2325*G2325</f>
        <v>59220.029204999999</v>
      </c>
      <c r="I2325" s="3">
        <f>C2325*G2325</f>
        <v>59242.640899999999</v>
      </c>
    </row>
    <row r="2326" spans="1:9" x14ac:dyDescent="0.25">
      <c r="A2326" t="s">
        <v>9</v>
      </c>
      <c r="B2326" s="1">
        <v>62.51</v>
      </c>
      <c r="C2326" s="1">
        <v>62.63</v>
      </c>
      <c r="D2326" s="2" t="s">
        <v>276</v>
      </c>
      <c r="E2326" s="8">
        <v>946.15589999999997</v>
      </c>
      <c r="F2326" s="8">
        <f>F2316</f>
        <v>0</v>
      </c>
      <c r="G2326" s="8">
        <f>E2326+F2326</f>
        <v>946.15589999999997</v>
      </c>
      <c r="H2326" s="3">
        <f>B2326*G2326</f>
        <v>59144.205308999997</v>
      </c>
      <c r="I2326" s="3">
        <f>C2326*G2326</f>
        <v>59257.744016999997</v>
      </c>
    </row>
    <row r="2327" spans="1:9" x14ac:dyDescent="0.25">
      <c r="A2327" t="s">
        <v>10</v>
      </c>
      <c r="B2327" s="1">
        <v>34.21</v>
      </c>
      <c r="C2327" s="1">
        <v>34.24</v>
      </c>
      <c r="D2327" s="2" t="s">
        <v>276</v>
      </c>
      <c r="E2327" s="8">
        <v>1730.1448</v>
      </c>
      <c r="F2327" s="8">
        <f>F2317</f>
        <v>0.2</v>
      </c>
      <c r="G2327" s="8">
        <f>E2327+F2327</f>
        <v>1730.3448000000001</v>
      </c>
      <c r="H2327" s="3">
        <f>B2327*G2327</f>
        <v>59195.095608000003</v>
      </c>
      <c r="I2327" s="3">
        <f>C2327*G2327</f>
        <v>59247.005952000007</v>
      </c>
    </row>
    <row r="2328" spans="1:9" x14ac:dyDescent="0.25">
      <c r="A2328" t="s">
        <v>11</v>
      </c>
      <c r="B2328" s="1">
        <v>51.54</v>
      </c>
      <c r="C2328" s="1">
        <v>51.55</v>
      </c>
      <c r="D2328" s="2" t="s">
        <v>276</v>
      </c>
      <c r="E2328" s="8">
        <v>1148.8769</v>
      </c>
      <c r="F2328" s="8">
        <f>F2318</f>
        <v>0.05</v>
      </c>
      <c r="G2328" s="8">
        <f>E2328+F2328</f>
        <v>1148.9268999999999</v>
      </c>
      <c r="H2328" s="3">
        <f>B2328*G2328</f>
        <v>59215.692425999994</v>
      </c>
      <c r="I2328" s="3">
        <f>C2328*G2328</f>
        <v>59227.181694999992</v>
      </c>
    </row>
    <row r="2329" spans="1:9" x14ac:dyDescent="0.25">
      <c r="A2329" t="s">
        <v>12</v>
      </c>
      <c r="B2329" s="1">
        <v>45.94</v>
      </c>
      <c r="C2329" s="1">
        <v>45.95</v>
      </c>
      <c r="D2329" s="2" t="s">
        <v>276</v>
      </c>
      <c r="E2329" s="8">
        <v>1289.1205</v>
      </c>
      <c r="F2329" s="8">
        <f>F2319</f>
        <v>0</v>
      </c>
      <c r="G2329" s="8">
        <f>E2329+F2329</f>
        <v>1289.1205</v>
      </c>
      <c r="H2329" s="3">
        <f>B2329*G2329</f>
        <v>59222.195769999998</v>
      </c>
      <c r="I2329" s="3">
        <f>C2329*G2329</f>
        <v>59235.086975000006</v>
      </c>
    </row>
    <row r="2330" spans="1:9" x14ac:dyDescent="0.25">
      <c r="A2330" t="s">
        <v>13</v>
      </c>
      <c r="B2330" s="1">
        <v>16.739999999999998</v>
      </c>
      <c r="C2330" s="1">
        <v>16.75</v>
      </c>
      <c r="D2330" s="2" t="s">
        <v>276</v>
      </c>
      <c r="E2330" s="8">
        <v>3535.8029000000001</v>
      </c>
      <c r="F2330" s="8">
        <f>F2320</f>
        <v>0</v>
      </c>
      <c r="G2330" s="8">
        <f>E2330+F2330</f>
        <v>3535.8029000000001</v>
      </c>
      <c r="H2330" s="3">
        <f>B2330*G2330</f>
        <v>59189.340545999999</v>
      </c>
      <c r="I2330" s="3">
        <f>C2330*G2330</f>
        <v>59224.698575000002</v>
      </c>
    </row>
    <row r="2331" spans="1:9" x14ac:dyDescent="0.25">
      <c r="A2331" t="s">
        <v>14</v>
      </c>
      <c r="B2331" s="1">
        <v>33.53</v>
      </c>
      <c r="C2331" s="1">
        <v>33.54</v>
      </c>
      <c r="D2331" s="2" t="s">
        <v>276</v>
      </c>
      <c r="E2331" s="8">
        <v>1765.0956000000001</v>
      </c>
      <c r="F2331" s="8">
        <f>F2321</f>
        <v>0.2</v>
      </c>
      <c r="G2331" s="8">
        <f>E2331+F2331</f>
        <v>1765.2956000000001</v>
      </c>
      <c r="H2331" s="3">
        <f>B2331*G2331</f>
        <v>59190.36146800001</v>
      </c>
      <c r="I2331" s="3">
        <f>C2331*G2331</f>
        <v>59208.014424000001</v>
      </c>
    </row>
    <row r="2332" spans="1:9" x14ac:dyDescent="0.25">
      <c r="A2332" t="s">
        <v>4</v>
      </c>
      <c r="B2332" s="1">
        <v>19.600000000000001</v>
      </c>
      <c r="C2332" s="1">
        <v>19.61</v>
      </c>
      <c r="D2332" s="2" t="s">
        <v>277</v>
      </c>
      <c r="E2332" s="8">
        <v>3015.0007000000001</v>
      </c>
      <c r="F2332" s="8">
        <f>F2322</f>
        <v>0</v>
      </c>
      <c r="G2332" s="8">
        <f>E2332+F2332</f>
        <v>3015.0007000000001</v>
      </c>
      <c r="H2332" s="3">
        <f>B2332*G2332</f>
        <v>59094.013720000003</v>
      </c>
      <c r="I2332" s="3">
        <f>C2332*G2332</f>
        <v>59124.163726999999</v>
      </c>
    </row>
    <row r="2333" spans="1:9" x14ac:dyDescent="0.25">
      <c r="A2333" t="s">
        <v>6</v>
      </c>
      <c r="B2333" s="1">
        <v>32.08</v>
      </c>
      <c r="C2333" s="1">
        <v>32.090000000000003</v>
      </c>
      <c r="D2333" s="2" t="s">
        <v>277</v>
      </c>
      <c r="E2333" s="8">
        <v>1842.1507999999999</v>
      </c>
      <c r="F2333" s="8">
        <f>F2323</f>
        <v>-0.1</v>
      </c>
      <c r="G2333" s="8">
        <f>E2333+F2333</f>
        <v>1842.0508</v>
      </c>
      <c r="H2333" s="3">
        <f>B2333*G2333</f>
        <v>59092.989663999993</v>
      </c>
      <c r="I2333" s="3">
        <f>C2333*G2333</f>
        <v>59111.410172000004</v>
      </c>
    </row>
    <row r="2334" spans="1:9" x14ac:dyDescent="0.25">
      <c r="A2334" t="s">
        <v>7</v>
      </c>
      <c r="B2334" s="1">
        <v>16.66</v>
      </c>
      <c r="C2334" s="1">
        <v>16.670000000000002</v>
      </c>
      <c r="D2334" s="2" t="s">
        <v>277</v>
      </c>
      <c r="E2334" s="8">
        <v>3546.6594</v>
      </c>
      <c r="F2334" s="8">
        <f>F2324</f>
        <v>0</v>
      </c>
      <c r="G2334" s="8">
        <f>E2334+F2334</f>
        <v>3546.6594</v>
      </c>
      <c r="H2334" s="3">
        <f>B2334*G2334</f>
        <v>59087.345604000002</v>
      </c>
      <c r="I2334" s="3">
        <f>C2334*G2334</f>
        <v>59122.812198000007</v>
      </c>
    </row>
    <row r="2335" spans="1:9" x14ac:dyDescent="0.25">
      <c r="A2335" t="s">
        <v>8</v>
      </c>
      <c r="B2335" s="1">
        <v>26.13</v>
      </c>
      <c r="C2335" s="1">
        <v>26.14</v>
      </c>
      <c r="D2335" s="2" t="s">
        <v>277</v>
      </c>
      <c r="E2335" s="8">
        <v>2261.3694999999998</v>
      </c>
      <c r="F2335" s="8">
        <f>F2325</f>
        <v>-0.2</v>
      </c>
      <c r="G2335" s="8">
        <f>E2335+F2335</f>
        <v>2261.1695</v>
      </c>
      <c r="H2335" s="3">
        <f>B2335*G2335</f>
        <v>59084.359034999994</v>
      </c>
      <c r="I2335" s="3">
        <f>C2335*G2335</f>
        <v>59106.970730000001</v>
      </c>
    </row>
    <row r="2336" spans="1:9" x14ac:dyDescent="0.25">
      <c r="A2336" t="s">
        <v>9</v>
      </c>
      <c r="B2336" s="1">
        <v>62.38</v>
      </c>
      <c r="C2336" s="1">
        <v>62.5</v>
      </c>
      <c r="D2336" s="2" t="s">
        <v>277</v>
      </c>
      <c r="E2336" s="8">
        <v>946.15589999999997</v>
      </c>
      <c r="F2336" s="8">
        <f>F2326</f>
        <v>0</v>
      </c>
      <c r="G2336" s="8">
        <f>E2336+F2336</f>
        <v>946.15589999999997</v>
      </c>
      <c r="H2336" s="3">
        <f>B2336*G2336</f>
        <v>59021.205042000001</v>
      </c>
      <c r="I2336" s="3">
        <f>C2336*G2336</f>
        <v>59134.743750000001</v>
      </c>
    </row>
    <row r="2337" spans="1:9" x14ac:dyDescent="0.25">
      <c r="A2337" t="s">
        <v>10</v>
      </c>
      <c r="B2337" s="1">
        <v>34.14</v>
      </c>
      <c r="C2337" s="1">
        <v>34.159999999999997</v>
      </c>
      <c r="D2337" s="2" t="s">
        <v>277</v>
      </c>
      <c r="E2337" s="8">
        <v>1730.1448</v>
      </c>
      <c r="F2337" s="8">
        <f>F2327</f>
        <v>0.2</v>
      </c>
      <c r="G2337" s="8">
        <f>E2337+F2337</f>
        <v>1730.3448000000001</v>
      </c>
      <c r="H2337" s="3">
        <f>B2337*G2337</f>
        <v>59073.971472000005</v>
      </c>
      <c r="I2337" s="3">
        <f>C2337*G2337</f>
        <v>59108.578367999995</v>
      </c>
    </row>
    <row r="2338" spans="1:9" x14ac:dyDescent="0.25">
      <c r="A2338" t="s">
        <v>11</v>
      </c>
      <c r="B2338" s="1">
        <v>51.44</v>
      </c>
      <c r="C2338" s="1">
        <v>51.45</v>
      </c>
      <c r="D2338" s="2" t="s">
        <v>277</v>
      </c>
      <c r="E2338" s="8">
        <v>1148.8769</v>
      </c>
      <c r="F2338" s="8">
        <f>F2328</f>
        <v>0.05</v>
      </c>
      <c r="G2338" s="8">
        <f>E2338+F2338</f>
        <v>1148.9268999999999</v>
      </c>
      <c r="H2338" s="3">
        <f>B2338*G2338</f>
        <v>59100.799735999994</v>
      </c>
      <c r="I2338" s="3">
        <f>C2338*G2338</f>
        <v>59112.289004999999</v>
      </c>
    </row>
    <row r="2339" spans="1:9" x14ac:dyDescent="0.25">
      <c r="A2339" t="s">
        <v>12</v>
      </c>
      <c r="B2339" s="1">
        <v>45.84</v>
      </c>
      <c r="C2339" s="1">
        <v>45.85</v>
      </c>
      <c r="D2339" s="2" t="s">
        <v>277</v>
      </c>
      <c r="E2339" s="8">
        <v>1289.1205</v>
      </c>
      <c r="F2339" s="8">
        <f>F2329</f>
        <v>0</v>
      </c>
      <c r="G2339" s="8">
        <f>E2339+F2339</f>
        <v>1289.1205</v>
      </c>
      <c r="H2339" s="3">
        <f>B2339*G2339</f>
        <v>59093.283720000007</v>
      </c>
      <c r="I2339" s="3">
        <f>C2339*G2339</f>
        <v>59106.174924999999</v>
      </c>
    </row>
    <row r="2340" spans="1:9" x14ac:dyDescent="0.25">
      <c r="A2340" t="s">
        <v>13</v>
      </c>
      <c r="B2340" s="1">
        <v>16.71</v>
      </c>
      <c r="C2340" s="1">
        <v>16.72</v>
      </c>
      <c r="D2340" s="2" t="s">
        <v>277</v>
      </c>
      <c r="E2340" s="8">
        <v>3535.8029000000001</v>
      </c>
      <c r="F2340" s="8">
        <f>F2330</f>
        <v>0</v>
      </c>
      <c r="G2340" s="8">
        <f>E2340+F2340</f>
        <v>3535.8029000000001</v>
      </c>
      <c r="H2340" s="3">
        <f>B2340*G2340</f>
        <v>59083.266459000006</v>
      </c>
      <c r="I2340" s="3">
        <f>C2340*G2340</f>
        <v>59118.624488000001</v>
      </c>
    </row>
    <row r="2341" spans="1:9" x14ac:dyDescent="0.25">
      <c r="A2341" t="s">
        <v>14</v>
      </c>
      <c r="B2341" s="1">
        <v>33.46</v>
      </c>
      <c r="C2341" s="1">
        <v>33.47</v>
      </c>
      <c r="D2341" s="2" t="s">
        <v>277</v>
      </c>
      <c r="E2341" s="8">
        <v>1765.0956000000001</v>
      </c>
      <c r="F2341" s="8">
        <f>F2331</f>
        <v>0.2</v>
      </c>
      <c r="G2341" s="8">
        <f>E2341+F2341</f>
        <v>1765.2956000000001</v>
      </c>
      <c r="H2341" s="3">
        <f>B2341*G2341</f>
        <v>59066.790776000009</v>
      </c>
      <c r="I2341" s="3">
        <f>C2341*G2341</f>
        <v>59084.443732</v>
      </c>
    </row>
    <row r="2342" spans="1:9" x14ac:dyDescent="0.25">
      <c r="A2342" t="s">
        <v>4</v>
      </c>
      <c r="B2342" s="1">
        <v>19.7</v>
      </c>
      <c r="C2342" s="1">
        <v>19.71</v>
      </c>
      <c r="D2342" s="2" t="s">
        <v>278</v>
      </c>
      <c r="E2342" s="8">
        <v>3015.0007000000001</v>
      </c>
      <c r="F2342" s="8">
        <f>F2332</f>
        <v>0</v>
      </c>
      <c r="G2342" s="8">
        <f>E2342+F2342</f>
        <v>3015.0007000000001</v>
      </c>
      <c r="H2342" s="3">
        <f>B2342*G2342</f>
        <v>59395.513789999997</v>
      </c>
      <c r="I2342" s="3">
        <f>C2342*G2342</f>
        <v>59425.663797000001</v>
      </c>
    </row>
    <row r="2343" spans="1:9" x14ac:dyDescent="0.25">
      <c r="A2343" t="s">
        <v>6</v>
      </c>
      <c r="B2343" s="1">
        <v>32.24</v>
      </c>
      <c r="C2343" s="1">
        <v>32.25</v>
      </c>
      <c r="D2343" s="2" t="s">
        <v>278</v>
      </c>
      <c r="E2343" s="8">
        <v>1842.1507999999999</v>
      </c>
      <c r="F2343" s="8">
        <f>F2333</f>
        <v>-0.1</v>
      </c>
      <c r="G2343" s="8">
        <f>E2343+F2343</f>
        <v>1842.0508</v>
      </c>
      <c r="H2343" s="3">
        <f>B2343*G2343</f>
        <v>59387.717792000003</v>
      </c>
      <c r="I2343" s="3">
        <f>C2343*G2343</f>
        <v>59406.138299999999</v>
      </c>
    </row>
    <row r="2344" spans="1:9" x14ac:dyDescent="0.25">
      <c r="A2344" t="s">
        <v>7</v>
      </c>
      <c r="B2344" s="1">
        <v>16.739999999999998</v>
      </c>
      <c r="C2344" s="1">
        <v>16.75</v>
      </c>
      <c r="D2344" s="2" t="s">
        <v>278</v>
      </c>
      <c r="E2344" s="8">
        <v>3546.6594</v>
      </c>
      <c r="F2344" s="8">
        <f>F2334</f>
        <v>0</v>
      </c>
      <c r="G2344" s="8">
        <f>E2344+F2344</f>
        <v>3546.6594</v>
      </c>
      <c r="H2344" s="3">
        <f>B2344*G2344</f>
        <v>59371.078355999998</v>
      </c>
      <c r="I2344" s="3">
        <f>C2344*G2344</f>
        <v>59406.544950000003</v>
      </c>
    </row>
    <row r="2345" spans="1:9" x14ac:dyDescent="0.25">
      <c r="A2345" t="s">
        <v>8</v>
      </c>
      <c r="B2345" s="1">
        <v>26.26</v>
      </c>
      <c r="C2345" s="1">
        <v>26.27</v>
      </c>
      <c r="D2345" s="2" t="s">
        <v>278</v>
      </c>
      <c r="E2345" s="8">
        <v>2261.3694999999998</v>
      </c>
      <c r="F2345" s="8">
        <f>F2335</f>
        <v>-0.2</v>
      </c>
      <c r="G2345" s="8">
        <f>E2345+F2345</f>
        <v>2261.1695</v>
      </c>
      <c r="H2345" s="3">
        <f>B2345*G2345</f>
        <v>59378.311070000003</v>
      </c>
      <c r="I2345" s="3">
        <f>C2345*G2345</f>
        <v>59400.922764999996</v>
      </c>
    </row>
    <row r="2346" spans="1:9" x14ac:dyDescent="0.25">
      <c r="A2346" t="s">
        <v>9</v>
      </c>
      <c r="B2346" s="1">
        <v>62.69</v>
      </c>
      <c r="C2346" s="1">
        <v>62.81</v>
      </c>
      <c r="D2346" s="2" t="s">
        <v>278</v>
      </c>
      <c r="E2346" s="8">
        <v>946.15589999999997</v>
      </c>
      <c r="F2346" s="8">
        <f>F2336</f>
        <v>0</v>
      </c>
      <c r="G2346" s="8">
        <f>E2346+F2346</f>
        <v>946.15589999999997</v>
      </c>
      <c r="H2346" s="3">
        <f>B2346*G2346</f>
        <v>59314.513370999994</v>
      </c>
      <c r="I2346" s="3">
        <f>C2346*G2346</f>
        <v>59428.052079000001</v>
      </c>
    </row>
    <row r="2347" spans="1:9" x14ac:dyDescent="0.25">
      <c r="A2347" t="s">
        <v>10</v>
      </c>
      <c r="B2347" s="1">
        <v>34.31</v>
      </c>
      <c r="C2347" s="1">
        <v>34.340000000000003</v>
      </c>
      <c r="D2347" s="2" t="s">
        <v>278</v>
      </c>
      <c r="E2347" s="8">
        <v>1730.1448</v>
      </c>
      <c r="F2347" s="8">
        <f>F2337</f>
        <v>0.2</v>
      </c>
      <c r="G2347" s="8">
        <f>E2347+F2347</f>
        <v>1730.3448000000001</v>
      </c>
      <c r="H2347" s="3">
        <f>B2347*G2347</f>
        <v>59368.130088000005</v>
      </c>
      <c r="I2347" s="3">
        <f>C2347*G2347</f>
        <v>59420.040432000009</v>
      </c>
    </row>
    <row r="2348" spans="1:9" x14ac:dyDescent="0.25">
      <c r="A2348" t="s">
        <v>11</v>
      </c>
      <c r="B2348" s="1">
        <v>51.7</v>
      </c>
      <c r="C2348" s="1">
        <v>51.71</v>
      </c>
      <c r="D2348" s="2" t="s">
        <v>278</v>
      </c>
      <c r="E2348" s="8">
        <v>1148.8769</v>
      </c>
      <c r="F2348" s="8">
        <f>F2338</f>
        <v>0.05</v>
      </c>
      <c r="G2348" s="8">
        <f>E2348+F2348</f>
        <v>1148.9268999999999</v>
      </c>
      <c r="H2348" s="3">
        <f>B2348*G2348</f>
        <v>59399.520729999997</v>
      </c>
      <c r="I2348" s="3">
        <f>C2348*G2348</f>
        <v>59411.009998999994</v>
      </c>
    </row>
    <row r="2349" spans="1:9" x14ac:dyDescent="0.25">
      <c r="A2349" t="s">
        <v>12</v>
      </c>
      <c r="B2349" s="1">
        <v>46.06</v>
      </c>
      <c r="C2349" s="1">
        <v>46.07</v>
      </c>
      <c r="D2349" s="2" t="s">
        <v>278</v>
      </c>
      <c r="E2349" s="8">
        <v>1289.1205</v>
      </c>
      <c r="F2349" s="8">
        <f>F2339</f>
        <v>0</v>
      </c>
      <c r="G2349" s="8">
        <f>E2349+F2349</f>
        <v>1289.1205</v>
      </c>
      <c r="H2349" s="3">
        <f>B2349*G2349</f>
        <v>59376.890230000005</v>
      </c>
      <c r="I2349" s="3">
        <f>C2349*G2349</f>
        <v>59389.781434999997</v>
      </c>
    </row>
    <row r="2350" spans="1:9" x14ac:dyDescent="0.25">
      <c r="A2350" t="s">
        <v>13</v>
      </c>
      <c r="B2350" s="1">
        <v>16.79</v>
      </c>
      <c r="C2350" s="1">
        <v>16.8</v>
      </c>
      <c r="D2350" s="2" t="s">
        <v>278</v>
      </c>
      <c r="E2350" s="8">
        <v>3535.8029000000001</v>
      </c>
      <c r="F2350" s="8">
        <f>F2340</f>
        <v>0</v>
      </c>
      <c r="G2350" s="8">
        <f>E2350+F2350</f>
        <v>3535.8029000000001</v>
      </c>
      <c r="H2350" s="3">
        <f>B2350*G2350</f>
        <v>59366.130690999998</v>
      </c>
      <c r="I2350" s="3">
        <f>C2350*G2350</f>
        <v>59401.488720000001</v>
      </c>
    </row>
    <row r="2351" spans="1:9" x14ac:dyDescent="0.25">
      <c r="A2351" t="s">
        <v>14</v>
      </c>
      <c r="B2351" s="1">
        <v>33.619999999999997</v>
      </c>
      <c r="C2351" s="1">
        <v>33.630000000000003</v>
      </c>
      <c r="D2351" s="2" t="s">
        <v>278</v>
      </c>
      <c r="E2351" s="8">
        <v>1765.0956000000001</v>
      </c>
      <c r="F2351" s="8">
        <f>F2341</f>
        <v>0.2</v>
      </c>
      <c r="G2351" s="8">
        <f>E2351+F2351</f>
        <v>1765.2956000000001</v>
      </c>
      <c r="H2351" s="3">
        <f>B2351*G2351</f>
        <v>59349.238072</v>
      </c>
      <c r="I2351" s="3">
        <f>C2351*G2351</f>
        <v>59366.891028000013</v>
      </c>
    </row>
    <row r="2352" spans="1:9" x14ac:dyDescent="0.25">
      <c r="A2352" t="s">
        <v>4</v>
      </c>
      <c r="B2352" s="1">
        <v>19.7</v>
      </c>
      <c r="C2352" s="1">
        <v>19.71</v>
      </c>
      <c r="D2352" s="2" t="s">
        <v>279</v>
      </c>
      <c r="E2352" s="8">
        <v>3015.0007000000001</v>
      </c>
      <c r="F2352" s="8">
        <f>F2342</f>
        <v>0</v>
      </c>
      <c r="G2352" s="8">
        <f>E2352+F2352</f>
        <v>3015.0007000000001</v>
      </c>
      <c r="H2352" s="3">
        <f>B2352*G2352</f>
        <v>59395.513789999997</v>
      </c>
      <c r="I2352" s="3">
        <f>C2352*G2352</f>
        <v>59425.663797000001</v>
      </c>
    </row>
    <row r="2353" spans="1:9" x14ac:dyDescent="0.25">
      <c r="A2353" t="s">
        <v>6</v>
      </c>
      <c r="B2353" s="1">
        <v>32.24</v>
      </c>
      <c r="C2353" s="1">
        <v>32.25</v>
      </c>
      <c r="D2353" s="2" t="s">
        <v>279</v>
      </c>
      <c r="E2353" s="8">
        <v>1842.1507999999999</v>
      </c>
      <c r="F2353" s="8">
        <f>F2343</f>
        <v>-0.1</v>
      </c>
      <c r="G2353" s="8">
        <f>E2353+F2353</f>
        <v>1842.0508</v>
      </c>
      <c r="H2353" s="3">
        <f>B2353*G2353</f>
        <v>59387.717792000003</v>
      </c>
      <c r="I2353" s="3">
        <f>C2353*G2353</f>
        <v>59406.138299999999</v>
      </c>
    </row>
    <row r="2354" spans="1:9" x14ac:dyDescent="0.25">
      <c r="A2354" t="s">
        <v>7</v>
      </c>
      <c r="B2354" s="1">
        <v>16.75</v>
      </c>
      <c r="C2354" s="1">
        <v>16.760000000000002</v>
      </c>
      <c r="D2354" s="2" t="s">
        <v>279</v>
      </c>
      <c r="E2354" s="8">
        <v>3546.6594</v>
      </c>
      <c r="F2354" s="8">
        <f>F2344</f>
        <v>0</v>
      </c>
      <c r="G2354" s="8">
        <f>E2354+F2354</f>
        <v>3546.6594</v>
      </c>
      <c r="H2354" s="3">
        <f>B2354*G2354</f>
        <v>59406.544950000003</v>
      </c>
      <c r="I2354" s="3">
        <f>C2354*G2354</f>
        <v>59442.011544000008</v>
      </c>
    </row>
    <row r="2355" spans="1:9" x14ac:dyDescent="0.25">
      <c r="A2355" t="s">
        <v>8</v>
      </c>
      <c r="B2355" s="1">
        <v>26.26</v>
      </c>
      <c r="C2355" s="1">
        <v>26.27</v>
      </c>
      <c r="D2355" s="2" t="s">
        <v>279</v>
      </c>
      <c r="E2355" s="8">
        <v>2261.3694999999998</v>
      </c>
      <c r="F2355" s="8">
        <f>F2345</f>
        <v>-0.2</v>
      </c>
      <c r="G2355" s="8">
        <f>E2355+F2355</f>
        <v>2261.1695</v>
      </c>
      <c r="H2355" s="3">
        <f>B2355*G2355</f>
        <v>59378.311070000003</v>
      </c>
      <c r="I2355" s="3">
        <f>C2355*G2355</f>
        <v>59400.922764999996</v>
      </c>
    </row>
    <row r="2356" spans="1:9" x14ac:dyDescent="0.25">
      <c r="A2356" t="s">
        <v>9</v>
      </c>
      <c r="B2356" s="1">
        <v>62.68</v>
      </c>
      <c r="C2356" s="1">
        <v>62.82</v>
      </c>
      <c r="D2356" s="2" t="s">
        <v>279</v>
      </c>
      <c r="E2356" s="8">
        <v>946.15589999999997</v>
      </c>
      <c r="F2356" s="8">
        <f>F2346</f>
        <v>0</v>
      </c>
      <c r="G2356" s="8">
        <f>E2356+F2356</f>
        <v>946.15589999999997</v>
      </c>
      <c r="H2356" s="3">
        <f>B2356*G2356</f>
        <v>59305.051811999998</v>
      </c>
      <c r="I2356" s="3">
        <f>C2356*G2356</f>
        <v>59437.513637999997</v>
      </c>
    </row>
    <row r="2357" spans="1:9" x14ac:dyDescent="0.25">
      <c r="A2357" t="s">
        <v>10</v>
      </c>
      <c r="B2357" s="1">
        <v>34.32</v>
      </c>
      <c r="C2357" s="1">
        <v>34.340000000000003</v>
      </c>
      <c r="D2357" s="2" t="s">
        <v>279</v>
      </c>
      <c r="E2357" s="8">
        <v>1730.1448</v>
      </c>
      <c r="F2357" s="8">
        <f>F2347</f>
        <v>0.2</v>
      </c>
      <c r="G2357" s="8">
        <f>E2357+F2357</f>
        <v>1730.3448000000001</v>
      </c>
      <c r="H2357" s="3">
        <f>B2357*G2357</f>
        <v>59385.433536000004</v>
      </c>
      <c r="I2357" s="3">
        <f>C2357*G2357</f>
        <v>59420.040432000009</v>
      </c>
    </row>
    <row r="2358" spans="1:9" x14ac:dyDescent="0.25">
      <c r="A2358" t="s">
        <v>11</v>
      </c>
      <c r="B2358" s="1">
        <v>51.7</v>
      </c>
      <c r="C2358" s="1">
        <v>51.71</v>
      </c>
      <c r="D2358" s="2" t="s">
        <v>279</v>
      </c>
      <c r="E2358" s="8">
        <v>1148.8769</v>
      </c>
      <c r="F2358" s="8">
        <f>F2348</f>
        <v>0.05</v>
      </c>
      <c r="G2358" s="8">
        <f>E2358+F2358</f>
        <v>1148.9268999999999</v>
      </c>
      <c r="H2358" s="3">
        <f>B2358*G2358</f>
        <v>59399.520729999997</v>
      </c>
      <c r="I2358" s="3">
        <f>C2358*G2358</f>
        <v>59411.009998999994</v>
      </c>
    </row>
    <row r="2359" spans="1:9" x14ac:dyDescent="0.25">
      <c r="A2359" t="s">
        <v>12</v>
      </c>
      <c r="B2359" s="1">
        <v>46.06</v>
      </c>
      <c r="C2359" s="1">
        <v>46.07</v>
      </c>
      <c r="D2359" s="2" t="s">
        <v>279</v>
      </c>
      <c r="E2359" s="8">
        <v>1289.1205</v>
      </c>
      <c r="F2359" s="8">
        <f>F2349</f>
        <v>0</v>
      </c>
      <c r="G2359" s="8">
        <f>E2359+F2359</f>
        <v>1289.1205</v>
      </c>
      <c r="H2359" s="3">
        <f>B2359*G2359</f>
        <v>59376.890230000005</v>
      </c>
      <c r="I2359" s="3">
        <f>C2359*G2359</f>
        <v>59389.781434999997</v>
      </c>
    </row>
    <row r="2360" spans="1:9" x14ac:dyDescent="0.25">
      <c r="A2360" t="s">
        <v>13</v>
      </c>
      <c r="B2360" s="1">
        <v>16.79</v>
      </c>
      <c r="C2360" s="1">
        <v>16.8</v>
      </c>
      <c r="D2360" s="2" t="s">
        <v>279</v>
      </c>
      <c r="E2360" s="8">
        <v>3535.8029000000001</v>
      </c>
      <c r="F2360" s="8">
        <f>F2350</f>
        <v>0</v>
      </c>
      <c r="G2360" s="8">
        <f>E2360+F2360</f>
        <v>3535.8029000000001</v>
      </c>
      <c r="H2360" s="3">
        <f>B2360*G2360</f>
        <v>59366.130690999998</v>
      </c>
      <c r="I2360" s="3">
        <f>C2360*G2360</f>
        <v>59401.488720000001</v>
      </c>
    </row>
    <row r="2361" spans="1:9" x14ac:dyDescent="0.25">
      <c r="A2361" t="s">
        <v>14</v>
      </c>
      <c r="B2361" s="1">
        <v>33.619999999999997</v>
      </c>
      <c r="C2361" s="1">
        <v>33.630000000000003</v>
      </c>
      <c r="D2361" s="2" t="s">
        <v>279</v>
      </c>
      <c r="E2361" s="8">
        <v>1765.0956000000001</v>
      </c>
      <c r="F2361" s="8">
        <f>F2351</f>
        <v>0.2</v>
      </c>
      <c r="G2361" s="8">
        <f>E2361+F2361</f>
        <v>1765.2956000000001</v>
      </c>
      <c r="H2361" s="3">
        <f>B2361*G2361</f>
        <v>59349.238072</v>
      </c>
      <c r="I2361" s="3">
        <f>C2361*G2361</f>
        <v>59366.891028000013</v>
      </c>
    </row>
    <row r="2362" spans="1:9" x14ac:dyDescent="0.25">
      <c r="A2362" t="s">
        <v>4</v>
      </c>
      <c r="B2362" s="1">
        <v>19.690000000000001</v>
      </c>
      <c r="C2362" s="1">
        <v>19.7</v>
      </c>
      <c r="D2362" s="2" t="s">
        <v>280</v>
      </c>
      <c r="E2362" s="8">
        <v>3015.0007000000001</v>
      </c>
      <c r="F2362" s="8">
        <f>F2352</f>
        <v>0</v>
      </c>
      <c r="G2362" s="8">
        <f>E2362+F2362</f>
        <v>3015.0007000000001</v>
      </c>
      <c r="H2362" s="3">
        <f>B2362*G2362</f>
        <v>59365.363783000008</v>
      </c>
      <c r="I2362" s="3">
        <f>C2362*G2362</f>
        <v>59395.513789999997</v>
      </c>
    </row>
    <row r="2363" spans="1:9" x14ac:dyDescent="0.25">
      <c r="A2363" t="s">
        <v>6</v>
      </c>
      <c r="B2363" s="1">
        <v>32.229999999999997</v>
      </c>
      <c r="C2363" s="1">
        <v>32.24</v>
      </c>
      <c r="D2363" s="2" t="s">
        <v>280</v>
      </c>
      <c r="E2363" s="8">
        <v>1842.1507999999999</v>
      </c>
      <c r="F2363" s="8">
        <f>F2353</f>
        <v>-0.1</v>
      </c>
      <c r="G2363" s="8">
        <f>E2363+F2363</f>
        <v>1842.0508</v>
      </c>
      <c r="H2363" s="3">
        <f>B2363*G2363</f>
        <v>59369.297283999993</v>
      </c>
      <c r="I2363" s="3">
        <f>C2363*G2363</f>
        <v>59387.717792000003</v>
      </c>
    </row>
    <row r="2364" spans="1:9" x14ac:dyDescent="0.25">
      <c r="A2364" t="s">
        <v>7</v>
      </c>
      <c r="B2364" s="1">
        <v>16.739999999999998</v>
      </c>
      <c r="C2364" s="1">
        <v>16.75</v>
      </c>
      <c r="D2364" s="2" t="s">
        <v>280</v>
      </c>
      <c r="E2364" s="8">
        <v>3546.6594</v>
      </c>
      <c r="F2364" s="8">
        <f>F2354</f>
        <v>0</v>
      </c>
      <c r="G2364" s="8">
        <f>E2364+F2364</f>
        <v>3546.6594</v>
      </c>
      <c r="H2364" s="3">
        <f>B2364*G2364</f>
        <v>59371.078355999998</v>
      </c>
      <c r="I2364" s="3">
        <f>C2364*G2364</f>
        <v>59406.544950000003</v>
      </c>
    </row>
    <row r="2365" spans="1:9" x14ac:dyDescent="0.25">
      <c r="A2365" t="s">
        <v>8</v>
      </c>
      <c r="B2365" s="1">
        <v>26.26</v>
      </c>
      <c r="C2365" s="1">
        <v>26.27</v>
      </c>
      <c r="D2365" s="2" t="s">
        <v>280</v>
      </c>
      <c r="E2365" s="8">
        <v>2261.3694999999998</v>
      </c>
      <c r="F2365" s="8">
        <f>F2355</f>
        <v>-0.2</v>
      </c>
      <c r="G2365" s="8">
        <f>E2365+F2365</f>
        <v>2261.1695</v>
      </c>
      <c r="H2365" s="3">
        <f>B2365*G2365</f>
        <v>59378.311070000003</v>
      </c>
      <c r="I2365" s="3">
        <f>C2365*G2365</f>
        <v>59400.922764999996</v>
      </c>
    </row>
    <row r="2366" spans="1:9" x14ac:dyDescent="0.25">
      <c r="A2366" t="s">
        <v>9</v>
      </c>
      <c r="B2366" s="1">
        <v>62.69</v>
      </c>
      <c r="C2366" s="1">
        <v>62.8</v>
      </c>
      <c r="D2366" s="2" t="s">
        <v>280</v>
      </c>
      <c r="E2366" s="8">
        <v>946.15589999999997</v>
      </c>
      <c r="F2366" s="8">
        <f>F2356</f>
        <v>0</v>
      </c>
      <c r="G2366" s="8">
        <f>E2366+F2366</f>
        <v>946.15589999999997</v>
      </c>
      <c r="H2366" s="3">
        <f>B2366*G2366</f>
        <v>59314.513370999994</v>
      </c>
      <c r="I2366" s="3">
        <f>C2366*G2366</f>
        <v>59418.590519999998</v>
      </c>
    </row>
    <row r="2367" spans="1:9" x14ac:dyDescent="0.25">
      <c r="A2367" t="s">
        <v>10</v>
      </c>
      <c r="B2367" s="1">
        <v>34.28</v>
      </c>
      <c r="C2367" s="1">
        <v>34.33</v>
      </c>
      <c r="D2367" s="2" t="s">
        <v>280</v>
      </c>
      <c r="E2367" s="8">
        <v>1730.1448</v>
      </c>
      <c r="F2367" s="8">
        <f>F2357</f>
        <v>0.2</v>
      </c>
      <c r="G2367" s="8">
        <f>E2367+F2367</f>
        <v>1730.3448000000001</v>
      </c>
      <c r="H2367" s="3">
        <f>B2367*G2367</f>
        <v>59316.219744000002</v>
      </c>
      <c r="I2367" s="3">
        <f>C2367*G2367</f>
        <v>59402.736984000003</v>
      </c>
    </row>
    <row r="2368" spans="1:9" x14ac:dyDescent="0.25">
      <c r="A2368" t="s">
        <v>11</v>
      </c>
      <c r="B2368" s="1">
        <v>51.68</v>
      </c>
      <c r="C2368" s="1">
        <v>51.69</v>
      </c>
      <c r="D2368" s="2" t="s">
        <v>280</v>
      </c>
      <c r="E2368" s="8">
        <v>1148.8769</v>
      </c>
      <c r="F2368" s="8">
        <f>F2358</f>
        <v>0.05</v>
      </c>
      <c r="G2368" s="8">
        <f>E2368+F2368</f>
        <v>1148.9268999999999</v>
      </c>
      <c r="H2368" s="3">
        <f>B2368*G2368</f>
        <v>59376.542191999994</v>
      </c>
      <c r="I2368" s="3">
        <f>C2368*G2368</f>
        <v>59388.031460999991</v>
      </c>
    </row>
    <row r="2369" spans="1:9" x14ac:dyDescent="0.25">
      <c r="A2369" t="s">
        <v>12</v>
      </c>
      <c r="B2369" s="1">
        <v>46.04</v>
      </c>
      <c r="C2369" s="1">
        <v>46.05</v>
      </c>
      <c r="D2369" s="2" t="s">
        <v>280</v>
      </c>
      <c r="E2369" s="8">
        <v>1289.1205</v>
      </c>
      <c r="F2369" s="8">
        <f>F2359</f>
        <v>0</v>
      </c>
      <c r="G2369" s="8">
        <f>E2369+F2369</f>
        <v>1289.1205</v>
      </c>
      <c r="H2369" s="3">
        <f>B2369*G2369</f>
        <v>59351.107819999997</v>
      </c>
      <c r="I2369" s="3">
        <f>C2369*G2369</f>
        <v>59363.999024999997</v>
      </c>
    </row>
    <row r="2370" spans="1:9" x14ac:dyDescent="0.25">
      <c r="A2370" t="s">
        <v>13</v>
      </c>
      <c r="B2370" s="1">
        <v>16.79</v>
      </c>
      <c r="C2370" s="1">
        <v>16.8</v>
      </c>
      <c r="D2370" s="2" t="s">
        <v>280</v>
      </c>
      <c r="E2370" s="8">
        <v>3535.8029000000001</v>
      </c>
      <c r="F2370" s="8">
        <f>F2360</f>
        <v>0</v>
      </c>
      <c r="G2370" s="8">
        <f>E2370+F2370</f>
        <v>3535.8029000000001</v>
      </c>
      <c r="H2370" s="3">
        <f>B2370*G2370</f>
        <v>59366.130690999998</v>
      </c>
      <c r="I2370" s="3">
        <f>C2370*G2370</f>
        <v>59401.488720000001</v>
      </c>
    </row>
    <row r="2371" spans="1:9" x14ac:dyDescent="0.25">
      <c r="A2371" t="s">
        <v>14</v>
      </c>
      <c r="B2371" s="1">
        <v>33.61</v>
      </c>
      <c r="C2371" s="1">
        <v>33.619999999999997</v>
      </c>
      <c r="D2371" s="2" t="s">
        <v>280</v>
      </c>
      <c r="E2371" s="8">
        <v>1765.0956000000001</v>
      </c>
      <c r="F2371" s="8">
        <f>F2361</f>
        <v>0.2</v>
      </c>
      <c r="G2371" s="8">
        <f>E2371+F2371</f>
        <v>1765.2956000000001</v>
      </c>
      <c r="H2371" s="3">
        <f>B2371*G2371</f>
        <v>59331.585116000002</v>
      </c>
      <c r="I2371" s="3">
        <f>C2371*G2371</f>
        <v>59349.238072</v>
      </c>
    </row>
    <row r="2372" spans="1:9" x14ac:dyDescent="0.25">
      <c r="A2372" t="s">
        <v>4</v>
      </c>
      <c r="B2372" s="1">
        <v>19.72</v>
      </c>
      <c r="C2372" s="1">
        <v>19.73</v>
      </c>
      <c r="D2372" s="2" t="s">
        <v>281</v>
      </c>
      <c r="E2372" s="8">
        <v>3015.0007000000001</v>
      </c>
      <c r="F2372" s="8">
        <f>F2362</f>
        <v>0</v>
      </c>
      <c r="G2372" s="8">
        <f>E2372+F2372</f>
        <v>3015.0007000000001</v>
      </c>
      <c r="H2372" s="3">
        <f>B2372*G2372</f>
        <v>59455.813803999998</v>
      </c>
      <c r="I2372" s="3">
        <f>C2372*G2372</f>
        <v>59485.963811000001</v>
      </c>
    </row>
    <row r="2373" spans="1:9" x14ac:dyDescent="0.25">
      <c r="A2373" t="s">
        <v>6</v>
      </c>
      <c r="B2373" s="1">
        <v>32.29</v>
      </c>
      <c r="C2373" s="1">
        <v>32.299999999999997</v>
      </c>
      <c r="D2373" s="2" t="s">
        <v>281</v>
      </c>
      <c r="E2373" s="8">
        <v>1842.1507999999999</v>
      </c>
      <c r="F2373" s="8">
        <f>F2363</f>
        <v>-0.1</v>
      </c>
      <c r="G2373" s="8">
        <f>E2373+F2373</f>
        <v>1842.0508</v>
      </c>
      <c r="H2373" s="3">
        <f>B2373*G2373</f>
        <v>59479.820331999996</v>
      </c>
      <c r="I2373" s="3">
        <f>C2373*G2373</f>
        <v>59498.240839999991</v>
      </c>
    </row>
    <row r="2374" spans="1:9" x14ac:dyDescent="0.25">
      <c r="A2374" t="s">
        <v>7</v>
      </c>
      <c r="B2374" s="1">
        <v>16.77</v>
      </c>
      <c r="C2374" s="1">
        <v>16.78</v>
      </c>
      <c r="D2374" s="2" t="s">
        <v>281</v>
      </c>
      <c r="E2374" s="8">
        <v>3546.6594</v>
      </c>
      <c r="F2374" s="8">
        <f>F2364</f>
        <v>0</v>
      </c>
      <c r="G2374" s="8">
        <f>E2374+F2374</f>
        <v>3546.6594</v>
      </c>
      <c r="H2374" s="3">
        <f>B2374*G2374</f>
        <v>59477.478137999999</v>
      </c>
      <c r="I2374" s="3">
        <f>C2374*G2374</f>
        <v>59512.944732000004</v>
      </c>
    </row>
    <row r="2375" spans="1:9" x14ac:dyDescent="0.25">
      <c r="A2375" t="s">
        <v>8</v>
      </c>
      <c r="B2375" s="1">
        <v>26.3</v>
      </c>
      <c r="C2375" s="1">
        <v>26.31</v>
      </c>
      <c r="D2375" s="2" t="s">
        <v>281</v>
      </c>
      <c r="E2375" s="8">
        <v>2261.3694999999998</v>
      </c>
      <c r="F2375" s="8">
        <f>F2365</f>
        <v>-0.2</v>
      </c>
      <c r="G2375" s="8">
        <f>E2375+F2375</f>
        <v>2261.1695</v>
      </c>
      <c r="H2375" s="3">
        <f>B2375*G2375</f>
        <v>59468.757850000002</v>
      </c>
      <c r="I2375" s="3">
        <f>C2375*G2375</f>
        <v>59491.369544999994</v>
      </c>
    </row>
    <row r="2376" spans="1:9" x14ac:dyDescent="0.25">
      <c r="A2376" t="s">
        <v>9</v>
      </c>
      <c r="B2376" s="1">
        <v>62.8</v>
      </c>
      <c r="C2376" s="1">
        <v>62.92</v>
      </c>
      <c r="D2376" s="2" t="s">
        <v>281</v>
      </c>
      <c r="E2376" s="8">
        <v>946.15589999999997</v>
      </c>
      <c r="F2376" s="8">
        <f>F2366</f>
        <v>0</v>
      </c>
      <c r="G2376" s="8">
        <f>E2376+F2376</f>
        <v>946.15589999999997</v>
      </c>
      <c r="H2376" s="3">
        <f>B2376*G2376</f>
        <v>59418.590519999998</v>
      </c>
      <c r="I2376" s="3">
        <f>C2376*G2376</f>
        <v>59532.129227999998</v>
      </c>
    </row>
    <row r="2377" spans="1:9" x14ac:dyDescent="0.25">
      <c r="A2377" t="s">
        <v>10</v>
      </c>
      <c r="B2377" s="1">
        <v>34.35</v>
      </c>
      <c r="C2377" s="1">
        <v>34.4</v>
      </c>
      <c r="D2377" s="2" t="s">
        <v>281</v>
      </c>
      <c r="E2377" s="8">
        <v>1730.1448</v>
      </c>
      <c r="F2377" s="8">
        <f>F2367</f>
        <v>0.2</v>
      </c>
      <c r="G2377" s="8">
        <f>E2377+F2377</f>
        <v>1730.3448000000001</v>
      </c>
      <c r="H2377" s="3">
        <f>B2377*G2377</f>
        <v>59437.343880000008</v>
      </c>
      <c r="I2377" s="3">
        <f>C2377*G2377</f>
        <v>59523.861120000001</v>
      </c>
    </row>
    <row r="2378" spans="1:9" x14ac:dyDescent="0.25">
      <c r="A2378" t="s">
        <v>11</v>
      </c>
      <c r="B2378" s="1">
        <v>51.76</v>
      </c>
      <c r="C2378" s="1">
        <v>51.77</v>
      </c>
      <c r="D2378" s="2" t="s">
        <v>281</v>
      </c>
      <c r="E2378" s="8">
        <v>1148.8769</v>
      </c>
      <c r="F2378" s="8">
        <f>F2368</f>
        <v>0.05</v>
      </c>
      <c r="G2378" s="8">
        <f>E2378+F2378</f>
        <v>1148.9268999999999</v>
      </c>
      <c r="H2378" s="3">
        <f>B2378*G2378</f>
        <v>59468.456343999991</v>
      </c>
      <c r="I2378" s="3">
        <f>C2378*G2378</f>
        <v>59479.945613000004</v>
      </c>
    </row>
    <row r="2379" spans="1:9" x14ac:dyDescent="0.25">
      <c r="A2379" t="s">
        <v>12</v>
      </c>
      <c r="B2379" s="1">
        <v>46.11</v>
      </c>
      <c r="C2379" s="1">
        <v>46.12</v>
      </c>
      <c r="D2379" s="2" t="s">
        <v>281</v>
      </c>
      <c r="E2379" s="8">
        <v>1289.1205</v>
      </c>
      <c r="F2379" s="8">
        <f>F2369</f>
        <v>0</v>
      </c>
      <c r="G2379" s="8">
        <f>E2379+F2379</f>
        <v>1289.1205</v>
      </c>
      <c r="H2379" s="3">
        <f>B2379*G2379</f>
        <v>59441.346254999997</v>
      </c>
      <c r="I2379" s="3">
        <f>C2379*G2379</f>
        <v>59454.237459999997</v>
      </c>
    </row>
    <row r="2380" spans="1:9" x14ac:dyDescent="0.25">
      <c r="A2380" t="s">
        <v>13</v>
      </c>
      <c r="B2380" s="1">
        <v>16.82</v>
      </c>
      <c r="C2380" s="1">
        <v>16.829999999999998</v>
      </c>
      <c r="D2380" s="2" t="s">
        <v>281</v>
      </c>
      <c r="E2380" s="8">
        <v>3535.8029000000001</v>
      </c>
      <c r="F2380" s="8">
        <f>F2370</f>
        <v>0</v>
      </c>
      <c r="G2380" s="8">
        <f>E2380+F2380</f>
        <v>3535.8029000000001</v>
      </c>
      <c r="H2380" s="3">
        <f>B2380*G2380</f>
        <v>59472.204778000007</v>
      </c>
      <c r="I2380" s="3">
        <f>C2380*G2380</f>
        <v>59507.562806999995</v>
      </c>
    </row>
    <row r="2381" spans="1:9" x14ac:dyDescent="0.25">
      <c r="A2381" t="s">
        <v>14</v>
      </c>
      <c r="B2381" s="1">
        <v>33.67</v>
      </c>
      <c r="C2381" s="1">
        <v>33.68</v>
      </c>
      <c r="D2381" s="2" t="s">
        <v>281</v>
      </c>
      <c r="E2381" s="8">
        <v>1765.0956000000001</v>
      </c>
      <c r="F2381" s="8">
        <f>F2371</f>
        <v>0.2</v>
      </c>
      <c r="G2381" s="8">
        <f>E2381+F2381</f>
        <v>1765.2956000000001</v>
      </c>
      <c r="H2381" s="3">
        <f>B2381*G2381</f>
        <v>59437.502852000005</v>
      </c>
      <c r="I2381" s="3">
        <f>C2381*G2381</f>
        <v>59455.155808000003</v>
      </c>
    </row>
    <row r="2382" spans="1:9" x14ac:dyDescent="0.25">
      <c r="A2382" t="s">
        <v>4</v>
      </c>
      <c r="B2382" s="1">
        <v>19.739999999999998</v>
      </c>
      <c r="C2382" s="1">
        <v>19.75</v>
      </c>
      <c r="D2382" s="2" t="s">
        <v>282</v>
      </c>
      <c r="E2382" s="8">
        <v>3015.0007000000001</v>
      </c>
      <c r="F2382" s="8">
        <f>F2372</f>
        <v>0</v>
      </c>
      <c r="G2382" s="8">
        <f>E2382+F2382</f>
        <v>3015.0007000000001</v>
      </c>
      <c r="H2382" s="3">
        <f>B2382*G2382</f>
        <v>59516.113817999998</v>
      </c>
      <c r="I2382" s="3">
        <f>C2382*G2382</f>
        <v>59546.263825000002</v>
      </c>
    </row>
    <row r="2383" spans="1:9" x14ac:dyDescent="0.25">
      <c r="A2383" t="s">
        <v>6</v>
      </c>
      <c r="B2383" s="1">
        <v>32.31</v>
      </c>
      <c r="C2383" s="1">
        <v>32.32</v>
      </c>
      <c r="D2383" s="2" t="s">
        <v>282</v>
      </c>
      <c r="E2383" s="8">
        <v>1842.1507999999999</v>
      </c>
      <c r="F2383" s="8">
        <f>F2373</f>
        <v>-0.1</v>
      </c>
      <c r="G2383" s="8">
        <f>E2383+F2383</f>
        <v>1842.0508</v>
      </c>
      <c r="H2383" s="3">
        <f>B2383*G2383</f>
        <v>59516.661348000001</v>
      </c>
      <c r="I2383" s="3">
        <f>C2383*G2383</f>
        <v>59535.081855999997</v>
      </c>
    </row>
    <row r="2384" spans="1:9" x14ac:dyDescent="0.25">
      <c r="A2384" t="s">
        <v>7</v>
      </c>
      <c r="B2384" s="1">
        <v>16.78</v>
      </c>
      <c r="C2384" s="1">
        <v>16.79</v>
      </c>
      <c r="D2384" s="2" t="s">
        <v>282</v>
      </c>
      <c r="E2384" s="8">
        <v>3546.6594</v>
      </c>
      <c r="F2384" s="8">
        <f>F2374</f>
        <v>0</v>
      </c>
      <c r="G2384" s="8">
        <f>E2384+F2384</f>
        <v>3546.6594</v>
      </c>
      <c r="H2384" s="3">
        <f>B2384*G2384</f>
        <v>59512.944732000004</v>
      </c>
      <c r="I2384" s="3">
        <f>C2384*G2384</f>
        <v>59548.411325999994</v>
      </c>
    </row>
    <row r="2385" spans="1:9" x14ac:dyDescent="0.25">
      <c r="A2385" t="s">
        <v>8</v>
      </c>
      <c r="B2385" s="1">
        <v>26.32</v>
      </c>
      <c r="C2385" s="1">
        <v>26.33</v>
      </c>
      <c r="D2385" s="2" t="s">
        <v>282</v>
      </c>
      <c r="E2385" s="8">
        <v>2261.3694999999998</v>
      </c>
      <c r="F2385" s="8">
        <f>F2375</f>
        <v>-0.2</v>
      </c>
      <c r="G2385" s="8">
        <f>E2385+F2385</f>
        <v>2261.1695</v>
      </c>
      <c r="H2385" s="3">
        <f>B2385*G2385</f>
        <v>59513.981240000001</v>
      </c>
      <c r="I2385" s="3">
        <f>C2385*G2385</f>
        <v>59536.592934999993</v>
      </c>
    </row>
    <row r="2386" spans="1:9" x14ac:dyDescent="0.25">
      <c r="A2386" t="s">
        <v>9</v>
      </c>
      <c r="B2386" s="1">
        <v>62.84</v>
      </c>
      <c r="C2386" s="1">
        <v>62.98</v>
      </c>
      <c r="D2386" s="2" t="s">
        <v>282</v>
      </c>
      <c r="E2386" s="8">
        <v>946.15589999999997</v>
      </c>
      <c r="F2386" s="8">
        <f>F2376</f>
        <v>0</v>
      </c>
      <c r="G2386" s="8">
        <f>E2386+F2386</f>
        <v>946.15589999999997</v>
      </c>
      <c r="H2386" s="3">
        <f>B2386*G2386</f>
        <v>59456.436756000003</v>
      </c>
      <c r="I2386" s="3">
        <f>C2386*G2386</f>
        <v>59588.898581999994</v>
      </c>
    </row>
    <row r="2387" spans="1:9" x14ac:dyDescent="0.25">
      <c r="A2387" t="s">
        <v>10</v>
      </c>
      <c r="B2387" s="1">
        <v>34.380000000000003</v>
      </c>
      <c r="C2387" s="1">
        <v>34.409999999999997</v>
      </c>
      <c r="D2387" s="2" t="s">
        <v>282</v>
      </c>
      <c r="E2387" s="8">
        <v>1730.1448</v>
      </c>
      <c r="F2387" s="8">
        <f>F2377</f>
        <v>0.2</v>
      </c>
      <c r="G2387" s="8">
        <f>E2387+F2387</f>
        <v>1730.3448000000001</v>
      </c>
      <c r="H2387" s="3">
        <f>B2387*G2387</f>
        <v>59489.254224000004</v>
      </c>
      <c r="I2387" s="3">
        <f>C2387*G2387</f>
        <v>59541.164568</v>
      </c>
    </row>
    <row r="2388" spans="1:9" x14ac:dyDescent="0.25">
      <c r="A2388" t="s">
        <v>11</v>
      </c>
      <c r="B2388" s="1">
        <v>51.81</v>
      </c>
      <c r="C2388" s="1">
        <v>51.82</v>
      </c>
      <c r="D2388" s="2" t="s">
        <v>282</v>
      </c>
      <c r="E2388" s="8">
        <v>1148.8769</v>
      </c>
      <c r="F2388" s="8">
        <f>F2378</f>
        <v>0.05</v>
      </c>
      <c r="G2388" s="8">
        <f>E2388+F2388</f>
        <v>1148.9268999999999</v>
      </c>
      <c r="H2388" s="3">
        <f>B2388*G2388</f>
        <v>59525.902689000002</v>
      </c>
      <c r="I2388" s="3">
        <f>C2388*G2388</f>
        <v>59537.391958</v>
      </c>
    </row>
    <row r="2389" spans="1:9" x14ac:dyDescent="0.25">
      <c r="A2389" t="s">
        <v>12</v>
      </c>
      <c r="B2389" s="1">
        <v>46.15</v>
      </c>
      <c r="C2389" s="1">
        <v>46.16</v>
      </c>
      <c r="D2389" s="2" t="s">
        <v>282</v>
      </c>
      <c r="E2389" s="8">
        <v>1289.1205</v>
      </c>
      <c r="F2389" s="8">
        <f>F2379</f>
        <v>0</v>
      </c>
      <c r="G2389" s="8">
        <f>E2389+F2389</f>
        <v>1289.1205</v>
      </c>
      <c r="H2389" s="3">
        <f>B2389*G2389</f>
        <v>59492.911074999996</v>
      </c>
      <c r="I2389" s="3">
        <f>C2389*G2389</f>
        <v>59505.802279999996</v>
      </c>
    </row>
    <row r="2390" spans="1:9" x14ac:dyDescent="0.25">
      <c r="A2390" t="s">
        <v>13</v>
      </c>
      <c r="B2390" s="1">
        <v>16.829999999999998</v>
      </c>
      <c r="C2390" s="1">
        <v>16.84</v>
      </c>
      <c r="D2390" s="2" t="s">
        <v>282</v>
      </c>
      <c r="E2390" s="8">
        <v>3535.8029000000001</v>
      </c>
      <c r="F2390" s="8">
        <f>F2380</f>
        <v>0</v>
      </c>
      <c r="G2390" s="8">
        <f>E2390+F2390</f>
        <v>3535.8029000000001</v>
      </c>
      <c r="H2390" s="3">
        <f>B2390*G2390</f>
        <v>59507.562806999995</v>
      </c>
      <c r="I2390" s="3">
        <f>C2390*G2390</f>
        <v>59542.920836000005</v>
      </c>
    </row>
    <row r="2391" spans="1:9" x14ac:dyDescent="0.25">
      <c r="A2391" t="s">
        <v>14</v>
      </c>
      <c r="B2391" s="1">
        <v>33.69</v>
      </c>
      <c r="C2391" s="1">
        <v>33.700000000000003</v>
      </c>
      <c r="D2391" s="2" t="s">
        <v>282</v>
      </c>
      <c r="E2391" s="8">
        <v>1765.0956000000001</v>
      </c>
      <c r="F2391" s="8">
        <f>F2381</f>
        <v>0.2</v>
      </c>
      <c r="G2391" s="8">
        <f>E2391+F2391</f>
        <v>1765.2956000000001</v>
      </c>
      <c r="H2391" s="3">
        <f>B2391*G2391</f>
        <v>59472.808764000001</v>
      </c>
      <c r="I2391" s="3">
        <f>C2391*G2391</f>
        <v>59490.461720000007</v>
      </c>
    </row>
    <row r="2392" spans="1:9" x14ac:dyDescent="0.25">
      <c r="A2392" t="s">
        <v>4</v>
      </c>
      <c r="B2392" s="1">
        <v>19.61</v>
      </c>
      <c r="C2392" s="1">
        <v>19.62</v>
      </c>
      <c r="D2392" s="2" t="s">
        <v>283</v>
      </c>
      <c r="E2392" s="8">
        <v>3015.0007000000001</v>
      </c>
      <c r="F2392" s="8">
        <f>F2382</f>
        <v>0</v>
      </c>
      <c r="G2392" s="8">
        <f>E2392+F2392</f>
        <v>3015.0007000000001</v>
      </c>
      <c r="H2392" s="3">
        <f>B2392*G2392</f>
        <v>59124.163726999999</v>
      </c>
      <c r="I2392" s="3">
        <f>C2392*G2392</f>
        <v>59154.313734000003</v>
      </c>
    </row>
    <row r="2393" spans="1:9" x14ac:dyDescent="0.25">
      <c r="A2393" t="s">
        <v>6</v>
      </c>
      <c r="B2393" s="1">
        <v>32.090000000000003</v>
      </c>
      <c r="C2393" s="1">
        <v>32.1</v>
      </c>
      <c r="D2393" s="2" t="s">
        <v>283</v>
      </c>
      <c r="E2393" s="8">
        <v>1842.1507999999999</v>
      </c>
      <c r="F2393" s="8">
        <f>F2383</f>
        <v>-0.1</v>
      </c>
      <c r="G2393" s="8">
        <f>E2393+F2393</f>
        <v>1842.0508</v>
      </c>
      <c r="H2393" s="3">
        <f>B2393*G2393</f>
        <v>59111.410172000004</v>
      </c>
      <c r="I2393" s="3">
        <f>C2393*G2393</f>
        <v>59129.830679999999</v>
      </c>
    </row>
    <row r="2394" spans="1:9" x14ac:dyDescent="0.25">
      <c r="A2394" t="s">
        <v>7</v>
      </c>
      <c r="B2394" s="1">
        <v>16.66</v>
      </c>
      <c r="C2394" s="1">
        <v>16.670000000000002</v>
      </c>
      <c r="D2394" s="2" t="s">
        <v>283</v>
      </c>
      <c r="E2394" s="8">
        <v>3546.6594</v>
      </c>
      <c r="F2394" s="8">
        <f>F2384</f>
        <v>0</v>
      </c>
      <c r="G2394" s="8">
        <f>E2394+F2394</f>
        <v>3546.6594</v>
      </c>
      <c r="H2394" s="3">
        <f>B2394*G2394</f>
        <v>59087.345604000002</v>
      </c>
      <c r="I2394" s="3">
        <f>C2394*G2394</f>
        <v>59122.812198000007</v>
      </c>
    </row>
    <row r="2395" spans="1:9" x14ac:dyDescent="0.25">
      <c r="A2395" t="s">
        <v>8</v>
      </c>
      <c r="B2395" s="1">
        <v>26.14</v>
      </c>
      <c r="C2395" s="1">
        <v>26.15</v>
      </c>
      <c r="D2395" s="2" t="s">
        <v>283</v>
      </c>
      <c r="E2395" s="8">
        <v>2261.3694999999998</v>
      </c>
      <c r="F2395" s="8">
        <f>F2385</f>
        <v>-0.2</v>
      </c>
      <c r="G2395" s="8">
        <f>E2395+F2395</f>
        <v>2261.1695</v>
      </c>
      <c r="H2395" s="3">
        <f>B2395*G2395</f>
        <v>59106.970730000001</v>
      </c>
      <c r="I2395" s="3">
        <f>C2395*G2395</f>
        <v>59129.582424999993</v>
      </c>
    </row>
    <row r="2396" spans="1:9" x14ac:dyDescent="0.25">
      <c r="A2396" t="s">
        <v>9</v>
      </c>
      <c r="B2396" s="1">
        <v>62.42</v>
      </c>
      <c r="C2396" s="1">
        <v>62.53</v>
      </c>
      <c r="D2396" s="2" t="s">
        <v>283</v>
      </c>
      <c r="E2396" s="8">
        <v>946.15589999999997</v>
      </c>
      <c r="F2396" s="8">
        <f>F2386</f>
        <v>0</v>
      </c>
      <c r="G2396" s="8">
        <f>E2396+F2396</f>
        <v>946.15589999999997</v>
      </c>
      <c r="H2396" s="3">
        <f>B2396*G2396</f>
        <v>59059.051277999999</v>
      </c>
      <c r="I2396" s="3">
        <f>C2396*G2396</f>
        <v>59163.128426999996</v>
      </c>
    </row>
    <row r="2397" spans="1:9" x14ac:dyDescent="0.25">
      <c r="A2397" t="s">
        <v>10</v>
      </c>
      <c r="B2397" s="1">
        <v>34.14</v>
      </c>
      <c r="C2397" s="1">
        <v>34.17</v>
      </c>
      <c r="D2397" s="2" t="s">
        <v>283</v>
      </c>
      <c r="E2397" s="8">
        <v>1730.1448</v>
      </c>
      <c r="F2397" s="8">
        <f>F2387</f>
        <v>0.2</v>
      </c>
      <c r="G2397" s="8">
        <f>E2397+F2397</f>
        <v>1730.3448000000001</v>
      </c>
      <c r="H2397" s="3">
        <f>B2397*G2397</f>
        <v>59073.971472000005</v>
      </c>
      <c r="I2397" s="3">
        <f>C2397*G2397</f>
        <v>59125.881816000008</v>
      </c>
    </row>
    <row r="2398" spans="1:9" x14ac:dyDescent="0.25">
      <c r="A2398" t="s">
        <v>11</v>
      </c>
      <c r="B2398" s="1">
        <v>51.45</v>
      </c>
      <c r="C2398" s="1">
        <v>51.46</v>
      </c>
      <c r="D2398" s="2" t="s">
        <v>283</v>
      </c>
      <c r="E2398" s="8">
        <v>1148.8769</v>
      </c>
      <c r="F2398" s="8">
        <f>F2388</f>
        <v>0.05</v>
      </c>
      <c r="G2398" s="8">
        <f>E2398+F2398</f>
        <v>1148.9268999999999</v>
      </c>
      <c r="H2398" s="3">
        <f>B2398*G2398</f>
        <v>59112.289004999999</v>
      </c>
      <c r="I2398" s="3">
        <f>C2398*G2398</f>
        <v>59123.778273999997</v>
      </c>
    </row>
    <row r="2399" spans="1:9" x14ac:dyDescent="0.25">
      <c r="A2399" t="s">
        <v>12</v>
      </c>
      <c r="B2399" s="1">
        <v>45.85</v>
      </c>
      <c r="C2399" s="1">
        <v>45.86</v>
      </c>
      <c r="D2399" s="2" t="s">
        <v>283</v>
      </c>
      <c r="E2399" s="8">
        <v>1289.1205</v>
      </c>
      <c r="F2399" s="8">
        <f>F2389</f>
        <v>0</v>
      </c>
      <c r="G2399" s="8">
        <f>E2399+F2399</f>
        <v>1289.1205</v>
      </c>
      <c r="H2399" s="3">
        <f>B2399*G2399</f>
        <v>59106.174924999999</v>
      </c>
      <c r="I2399" s="3">
        <f>C2399*G2399</f>
        <v>59119.066129999999</v>
      </c>
    </row>
    <row r="2400" spans="1:9" x14ac:dyDescent="0.25">
      <c r="A2400" t="s">
        <v>13</v>
      </c>
      <c r="B2400" s="1">
        <v>16.71</v>
      </c>
      <c r="C2400" s="1">
        <v>16.72</v>
      </c>
      <c r="D2400" s="2" t="s">
        <v>283</v>
      </c>
      <c r="E2400" s="8">
        <v>3535.8029000000001</v>
      </c>
      <c r="F2400" s="8">
        <f>F2390</f>
        <v>0</v>
      </c>
      <c r="G2400" s="8">
        <f>E2400+F2400</f>
        <v>3535.8029000000001</v>
      </c>
      <c r="H2400" s="3">
        <f>B2400*G2400</f>
        <v>59083.266459000006</v>
      </c>
      <c r="I2400" s="3">
        <f>C2400*G2400</f>
        <v>59118.624488000001</v>
      </c>
    </row>
    <row r="2401" spans="1:9" x14ac:dyDescent="0.25">
      <c r="A2401" t="s">
        <v>14</v>
      </c>
      <c r="B2401" s="1">
        <v>33.46</v>
      </c>
      <c r="C2401" s="1">
        <v>33.47</v>
      </c>
      <c r="D2401" s="2" t="s">
        <v>283</v>
      </c>
      <c r="E2401" s="8">
        <v>1765.0956000000001</v>
      </c>
      <c r="F2401" s="8">
        <f>F2391</f>
        <v>0.2</v>
      </c>
      <c r="G2401" s="8">
        <f>E2401+F2401</f>
        <v>1765.2956000000001</v>
      </c>
      <c r="H2401" s="3">
        <f>B2401*G2401</f>
        <v>59066.790776000009</v>
      </c>
      <c r="I2401" s="3">
        <f>C2401*G2401</f>
        <v>59084.443732</v>
      </c>
    </row>
    <row r="2402" spans="1:9" x14ac:dyDescent="0.25">
      <c r="A2402" t="s">
        <v>4</v>
      </c>
      <c r="B2402" s="1">
        <v>19.64</v>
      </c>
      <c r="C2402" s="1">
        <v>19.649999999999999</v>
      </c>
      <c r="D2402" s="2" t="s">
        <v>284</v>
      </c>
      <c r="E2402" s="8">
        <v>3015.0007000000001</v>
      </c>
      <c r="F2402" s="8">
        <f>F2392</f>
        <v>0</v>
      </c>
      <c r="G2402" s="8">
        <f>E2402+F2402</f>
        <v>3015.0007000000001</v>
      </c>
      <c r="H2402" s="3">
        <f>B2402*G2402</f>
        <v>59214.613748000003</v>
      </c>
      <c r="I2402" s="3">
        <f>C2402*G2402</f>
        <v>59244.763755</v>
      </c>
    </row>
    <row r="2403" spans="1:9" x14ac:dyDescent="0.25">
      <c r="A2403" t="s">
        <v>6</v>
      </c>
      <c r="B2403" s="1">
        <v>32.14</v>
      </c>
      <c r="C2403" s="1">
        <v>32.15</v>
      </c>
      <c r="D2403" s="2" t="s">
        <v>284</v>
      </c>
      <c r="E2403" s="8">
        <v>1842.1507999999999</v>
      </c>
      <c r="F2403" s="8">
        <f>F2393</f>
        <v>-0.1</v>
      </c>
      <c r="G2403" s="8">
        <f>E2403+F2403</f>
        <v>1842.0508</v>
      </c>
      <c r="H2403" s="3">
        <f>B2403*G2403</f>
        <v>59203.512712000003</v>
      </c>
      <c r="I2403" s="3">
        <f>C2403*G2403</f>
        <v>59221.933219999999</v>
      </c>
    </row>
    <row r="2404" spans="1:9" x14ac:dyDescent="0.25">
      <c r="A2404" t="s">
        <v>7</v>
      </c>
      <c r="B2404" s="1">
        <v>16.690000000000001</v>
      </c>
      <c r="C2404" s="1">
        <v>16.7</v>
      </c>
      <c r="D2404" s="2" t="s">
        <v>284</v>
      </c>
      <c r="E2404" s="8">
        <v>3546.6594</v>
      </c>
      <c r="F2404" s="8">
        <f>F2394</f>
        <v>0</v>
      </c>
      <c r="G2404" s="8">
        <f>E2404+F2404</f>
        <v>3546.6594</v>
      </c>
      <c r="H2404" s="3">
        <f>B2404*G2404</f>
        <v>59193.745386000002</v>
      </c>
      <c r="I2404" s="3">
        <f>C2404*G2404</f>
        <v>59229.21198</v>
      </c>
    </row>
    <row r="2405" spans="1:9" x14ac:dyDescent="0.25">
      <c r="A2405" t="s">
        <v>8</v>
      </c>
      <c r="B2405" s="1">
        <v>26.18</v>
      </c>
      <c r="C2405" s="1">
        <v>26.19</v>
      </c>
      <c r="D2405" s="2" t="s">
        <v>284</v>
      </c>
      <c r="E2405" s="8">
        <v>2261.3694999999998</v>
      </c>
      <c r="F2405" s="8">
        <f>F2395</f>
        <v>-0.2</v>
      </c>
      <c r="G2405" s="8">
        <f>E2405+F2405</f>
        <v>2261.1695</v>
      </c>
      <c r="H2405" s="3">
        <f>B2405*G2405</f>
        <v>59197.417509999999</v>
      </c>
      <c r="I2405" s="3">
        <f>C2405*G2405</f>
        <v>59220.029204999999</v>
      </c>
    </row>
    <row r="2406" spans="1:9" x14ac:dyDescent="0.25">
      <c r="A2406" t="s">
        <v>9</v>
      </c>
      <c r="B2406" s="1">
        <v>62.53</v>
      </c>
      <c r="C2406" s="1">
        <v>62.63</v>
      </c>
      <c r="D2406" s="2" t="s">
        <v>284</v>
      </c>
      <c r="E2406" s="8">
        <v>946.15589999999997</v>
      </c>
      <c r="F2406" s="8">
        <f>F2396</f>
        <v>0</v>
      </c>
      <c r="G2406" s="8">
        <f>E2406+F2406</f>
        <v>946.15589999999997</v>
      </c>
      <c r="H2406" s="3">
        <f>B2406*G2406</f>
        <v>59163.128426999996</v>
      </c>
      <c r="I2406" s="3">
        <f>C2406*G2406</f>
        <v>59257.744016999997</v>
      </c>
    </row>
    <row r="2407" spans="1:9" x14ac:dyDescent="0.25">
      <c r="A2407" t="s">
        <v>10</v>
      </c>
      <c r="B2407" s="1">
        <v>34.200000000000003</v>
      </c>
      <c r="C2407" s="1">
        <v>34.229999999999997</v>
      </c>
      <c r="D2407" s="2" t="s">
        <v>284</v>
      </c>
      <c r="E2407" s="8">
        <v>1730.1448</v>
      </c>
      <c r="F2407" s="8">
        <f>F2397</f>
        <v>0.2</v>
      </c>
      <c r="G2407" s="8">
        <f>E2407+F2407</f>
        <v>1730.3448000000001</v>
      </c>
      <c r="H2407" s="3">
        <f>B2407*G2407</f>
        <v>59177.792160000005</v>
      </c>
      <c r="I2407" s="3">
        <f>C2407*G2407</f>
        <v>59229.702504000001</v>
      </c>
    </row>
    <row r="2408" spans="1:9" x14ac:dyDescent="0.25">
      <c r="A2408" t="s">
        <v>11</v>
      </c>
      <c r="B2408" s="1">
        <v>51.52</v>
      </c>
      <c r="C2408" s="1">
        <v>51.53</v>
      </c>
      <c r="D2408" s="2" t="s">
        <v>284</v>
      </c>
      <c r="E2408" s="8">
        <v>1148.8769</v>
      </c>
      <c r="F2408" s="8">
        <f>F2398</f>
        <v>0.05</v>
      </c>
      <c r="G2408" s="8">
        <f>E2408+F2408</f>
        <v>1148.9268999999999</v>
      </c>
      <c r="H2408" s="3">
        <f>B2408*G2408</f>
        <v>59192.713887999998</v>
      </c>
      <c r="I2408" s="3">
        <f>C2408*G2408</f>
        <v>59204.203156999996</v>
      </c>
    </row>
    <row r="2409" spans="1:9" x14ac:dyDescent="0.25">
      <c r="A2409" t="s">
        <v>12</v>
      </c>
      <c r="B2409" s="1">
        <v>45.92</v>
      </c>
      <c r="C2409" s="1">
        <v>45.93</v>
      </c>
      <c r="D2409" s="2" t="s">
        <v>284</v>
      </c>
      <c r="E2409" s="8">
        <v>1289.1205</v>
      </c>
      <c r="F2409" s="8">
        <f>F2399</f>
        <v>0</v>
      </c>
      <c r="G2409" s="8">
        <f>E2409+F2409</f>
        <v>1289.1205</v>
      </c>
      <c r="H2409" s="3">
        <f>B2409*G2409</f>
        <v>59196.413359999999</v>
      </c>
      <c r="I2409" s="3">
        <f>C2409*G2409</f>
        <v>59209.304564999999</v>
      </c>
    </row>
    <row r="2410" spans="1:9" x14ac:dyDescent="0.25">
      <c r="A2410" t="s">
        <v>13</v>
      </c>
      <c r="B2410" s="1">
        <v>16.739999999999998</v>
      </c>
      <c r="C2410" s="1">
        <v>16.75</v>
      </c>
      <c r="D2410" s="2" t="s">
        <v>284</v>
      </c>
      <c r="E2410" s="8">
        <v>3535.8029000000001</v>
      </c>
      <c r="F2410" s="8">
        <f>F2400</f>
        <v>0</v>
      </c>
      <c r="G2410" s="8">
        <f>E2410+F2410</f>
        <v>3535.8029000000001</v>
      </c>
      <c r="H2410" s="3">
        <f>B2410*G2410</f>
        <v>59189.340545999999</v>
      </c>
      <c r="I2410" s="3">
        <f>C2410*G2410</f>
        <v>59224.698575000002</v>
      </c>
    </row>
    <row r="2411" spans="1:9" x14ac:dyDescent="0.25">
      <c r="A2411" t="s">
        <v>14</v>
      </c>
      <c r="B2411" s="1">
        <v>33.51</v>
      </c>
      <c r="C2411" s="1">
        <v>33.520000000000003</v>
      </c>
      <c r="D2411" s="2" t="s">
        <v>284</v>
      </c>
      <c r="E2411" s="8">
        <v>1765.0956000000001</v>
      </c>
      <c r="F2411" s="8">
        <f>F2401</f>
        <v>0.2</v>
      </c>
      <c r="G2411" s="8">
        <f>E2411+F2411</f>
        <v>1765.2956000000001</v>
      </c>
      <c r="H2411" s="3">
        <f>B2411*G2411</f>
        <v>59155.055555999999</v>
      </c>
      <c r="I2411" s="3">
        <f>C2411*G2411</f>
        <v>59172.708512000012</v>
      </c>
    </row>
    <row r="2412" spans="1:9" x14ac:dyDescent="0.25">
      <c r="A2412" t="s">
        <v>4</v>
      </c>
      <c r="B2412" s="1">
        <v>19.600000000000001</v>
      </c>
      <c r="C2412" s="1">
        <v>19.61</v>
      </c>
      <c r="D2412" s="2" t="s">
        <v>285</v>
      </c>
      <c r="E2412" s="8">
        <v>3015.0007000000001</v>
      </c>
      <c r="F2412" s="8">
        <f>F2402</f>
        <v>0</v>
      </c>
      <c r="G2412" s="8">
        <f>E2412+F2412</f>
        <v>3015.0007000000001</v>
      </c>
      <c r="H2412" s="3">
        <f>B2412*G2412</f>
        <v>59094.013720000003</v>
      </c>
      <c r="I2412" s="3">
        <f>C2412*G2412</f>
        <v>59124.163726999999</v>
      </c>
    </row>
    <row r="2413" spans="1:9" x14ac:dyDescent="0.25">
      <c r="A2413" t="s">
        <v>6</v>
      </c>
      <c r="B2413" s="1">
        <v>32.08</v>
      </c>
      <c r="C2413" s="1">
        <v>32.090000000000003</v>
      </c>
      <c r="D2413" s="2" t="s">
        <v>285</v>
      </c>
      <c r="E2413" s="8">
        <v>1842.1507999999999</v>
      </c>
      <c r="F2413" s="8">
        <f>F2403</f>
        <v>-0.1</v>
      </c>
      <c r="G2413" s="8">
        <f>E2413+F2413</f>
        <v>1842.0508</v>
      </c>
      <c r="H2413" s="3">
        <f>B2413*G2413</f>
        <v>59092.989663999993</v>
      </c>
      <c r="I2413" s="3">
        <f>C2413*G2413</f>
        <v>59111.410172000004</v>
      </c>
    </row>
    <row r="2414" spans="1:9" x14ac:dyDescent="0.25">
      <c r="A2414" t="s">
        <v>7</v>
      </c>
      <c r="B2414" s="1">
        <v>16.66</v>
      </c>
      <c r="C2414" s="1">
        <v>16.670000000000002</v>
      </c>
      <c r="D2414" s="2" t="s">
        <v>285</v>
      </c>
      <c r="E2414" s="8">
        <v>3546.6594</v>
      </c>
      <c r="F2414" s="8">
        <f>F2404</f>
        <v>0</v>
      </c>
      <c r="G2414" s="8">
        <f>E2414+F2414</f>
        <v>3546.6594</v>
      </c>
      <c r="H2414" s="3">
        <f>B2414*G2414</f>
        <v>59087.345604000002</v>
      </c>
      <c r="I2414" s="3">
        <f>C2414*G2414</f>
        <v>59122.812198000007</v>
      </c>
    </row>
    <row r="2415" spans="1:9" x14ac:dyDescent="0.25">
      <c r="A2415" t="s">
        <v>8</v>
      </c>
      <c r="B2415" s="1">
        <v>26.13</v>
      </c>
      <c r="C2415" s="1">
        <v>26.14</v>
      </c>
      <c r="D2415" s="2" t="s">
        <v>285</v>
      </c>
      <c r="E2415" s="8">
        <v>2261.3694999999998</v>
      </c>
      <c r="F2415" s="8">
        <f>F2405</f>
        <v>-0.2</v>
      </c>
      <c r="G2415" s="8">
        <f>E2415+F2415</f>
        <v>2261.1695</v>
      </c>
      <c r="H2415" s="3">
        <f>B2415*G2415</f>
        <v>59084.359034999994</v>
      </c>
      <c r="I2415" s="3">
        <f>C2415*G2415</f>
        <v>59106.970730000001</v>
      </c>
    </row>
    <row r="2416" spans="1:9" x14ac:dyDescent="0.25">
      <c r="A2416" t="s">
        <v>9</v>
      </c>
      <c r="B2416" s="1">
        <v>62.4</v>
      </c>
      <c r="C2416" s="1">
        <v>62.5</v>
      </c>
      <c r="D2416" s="2" t="s">
        <v>285</v>
      </c>
      <c r="E2416" s="8">
        <v>946.15589999999997</v>
      </c>
      <c r="F2416" s="8">
        <f>F2406</f>
        <v>0</v>
      </c>
      <c r="G2416" s="8">
        <f>E2416+F2416</f>
        <v>946.15589999999997</v>
      </c>
      <c r="H2416" s="3">
        <f>B2416*G2416</f>
        <v>59040.12816</v>
      </c>
      <c r="I2416" s="3">
        <f>C2416*G2416</f>
        <v>59134.743750000001</v>
      </c>
    </row>
    <row r="2417" spans="1:9" x14ac:dyDescent="0.25">
      <c r="A2417" t="s">
        <v>10</v>
      </c>
      <c r="B2417" s="1">
        <v>34.130000000000003</v>
      </c>
      <c r="C2417" s="1">
        <v>34.15</v>
      </c>
      <c r="D2417" s="2" t="s">
        <v>285</v>
      </c>
      <c r="E2417" s="8">
        <v>1730.1448</v>
      </c>
      <c r="F2417" s="8">
        <f>F2407</f>
        <v>0.2</v>
      </c>
      <c r="G2417" s="8">
        <f>E2417+F2417</f>
        <v>1730.3448000000001</v>
      </c>
      <c r="H2417" s="3">
        <f>B2417*G2417</f>
        <v>59056.668024000006</v>
      </c>
      <c r="I2417" s="3">
        <f>C2417*G2417</f>
        <v>59091.274920000003</v>
      </c>
    </row>
    <row r="2418" spans="1:9" x14ac:dyDescent="0.25">
      <c r="A2418" t="s">
        <v>11</v>
      </c>
      <c r="B2418" s="1">
        <v>51.43</v>
      </c>
      <c r="C2418" s="1">
        <v>51.44</v>
      </c>
      <c r="D2418" s="2" t="s">
        <v>285</v>
      </c>
      <c r="E2418" s="8">
        <v>1148.8769</v>
      </c>
      <c r="F2418" s="8">
        <f>F2408</f>
        <v>0.05</v>
      </c>
      <c r="G2418" s="8">
        <f>E2418+F2418</f>
        <v>1148.9268999999999</v>
      </c>
      <c r="H2418" s="3">
        <f>B2418*G2418</f>
        <v>59089.310466999996</v>
      </c>
      <c r="I2418" s="3">
        <f>C2418*G2418</f>
        <v>59100.799735999994</v>
      </c>
    </row>
    <row r="2419" spans="1:9" x14ac:dyDescent="0.25">
      <c r="A2419" t="s">
        <v>12</v>
      </c>
      <c r="B2419" s="1">
        <v>45.83</v>
      </c>
      <c r="C2419" s="1">
        <v>45.84</v>
      </c>
      <c r="D2419" s="2" t="s">
        <v>285</v>
      </c>
      <c r="E2419" s="8">
        <v>1289.1205</v>
      </c>
      <c r="F2419" s="8">
        <f>F2409</f>
        <v>0</v>
      </c>
      <c r="G2419" s="8">
        <f>E2419+F2419</f>
        <v>1289.1205</v>
      </c>
      <c r="H2419" s="3">
        <f>B2419*G2419</f>
        <v>59080.392515</v>
      </c>
      <c r="I2419" s="3">
        <f>C2419*G2419</f>
        <v>59093.283720000007</v>
      </c>
    </row>
    <row r="2420" spans="1:9" x14ac:dyDescent="0.25">
      <c r="A2420" t="s">
        <v>13</v>
      </c>
      <c r="B2420" s="1">
        <v>16.71</v>
      </c>
      <c r="C2420" s="1">
        <v>16.72</v>
      </c>
      <c r="D2420" s="2" t="s">
        <v>285</v>
      </c>
      <c r="E2420" s="8">
        <v>3535.8029000000001</v>
      </c>
      <c r="F2420" s="8">
        <f>F2410</f>
        <v>0</v>
      </c>
      <c r="G2420" s="8">
        <f>E2420+F2420</f>
        <v>3535.8029000000001</v>
      </c>
      <c r="H2420" s="3">
        <f>B2420*G2420</f>
        <v>59083.266459000006</v>
      </c>
      <c r="I2420" s="3">
        <f>C2420*G2420</f>
        <v>59118.624488000001</v>
      </c>
    </row>
    <row r="2421" spans="1:9" x14ac:dyDescent="0.25">
      <c r="A2421" t="s">
        <v>14</v>
      </c>
      <c r="B2421" s="1">
        <v>33.44</v>
      </c>
      <c r="C2421" s="1">
        <v>33.450000000000003</v>
      </c>
      <c r="D2421" s="2" t="s">
        <v>285</v>
      </c>
      <c r="E2421" s="8">
        <v>1765.0956000000001</v>
      </c>
      <c r="F2421" s="8">
        <f>F2411</f>
        <v>0.2</v>
      </c>
      <c r="G2421" s="8">
        <f>E2421+F2421</f>
        <v>1765.2956000000001</v>
      </c>
      <c r="H2421" s="3">
        <f>B2421*G2421</f>
        <v>59031.484863999998</v>
      </c>
      <c r="I2421" s="3">
        <f>C2421*G2421</f>
        <v>59049.137820000011</v>
      </c>
    </row>
    <row r="2422" spans="1:9" x14ac:dyDescent="0.25">
      <c r="A2422" t="s">
        <v>4</v>
      </c>
      <c r="B2422" s="1">
        <v>19.79</v>
      </c>
      <c r="C2422" s="1">
        <v>19.8</v>
      </c>
      <c r="D2422" s="2" t="s">
        <v>286</v>
      </c>
      <c r="E2422" s="8">
        <v>3015.0526</v>
      </c>
      <c r="F2422" s="8">
        <f>F2412</f>
        <v>0</v>
      </c>
      <c r="G2422" s="8">
        <f>E2422+F2422</f>
        <v>3015.0526</v>
      </c>
      <c r="H2422" s="3">
        <f>B2422*G2422</f>
        <v>59667.890953999995</v>
      </c>
      <c r="I2422" s="3">
        <f>C2422*G2422</f>
        <v>59698.04148</v>
      </c>
    </row>
    <row r="2423" spans="1:9" x14ac:dyDescent="0.25">
      <c r="A2423" t="s">
        <v>6</v>
      </c>
      <c r="B2423" s="1">
        <v>32.39</v>
      </c>
      <c r="C2423" s="1">
        <v>32.4</v>
      </c>
      <c r="D2423" s="2" t="s">
        <v>286</v>
      </c>
      <c r="E2423" s="8">
        <v>1842.1811</v>
      </c>
      <c r="F2423" s="8">
        <f>F2413</f>
        <v>-0.1</v>
      </c>
      <c r="G2423" s="8">
        <f>E2423+F2423</f>
        <v>1842.0811000000001</v>
      </c>
      <c r="H2423" s="3">
        <f>B2423*G2423</f>
        <v>59665.006829000005</v>
      </c>
      <c r="I2423" s="3">
        <f>C2423*G2423</f>
        <v>59683.427640000002</v>
      </c>
    </row>
    <row r="2424" spans="1:9" x14ac:dyDescent="0.25">
      <c r="A2424" t="s">
        <v>7</v>
      </c>
      <c r="B2424" s="1">
        <v>16.82</v>
      </c>
      <c r="C2424" s="1">
        <v>16.829999999999998</v>
      </c>
      <c r="D2424" s="2" t="s">
        <v>286</v>
      </c>
      <c r="E2424" s="8">
        <v>3546.7323000000001</v>
      </c>
      <c r="F2424" s="8">
        <f>F2414</f>
        <v>0</v>
      </c>
      <c r="G2424" s="8">
        <f>E2424+F2424</f>
        <v>3546.7323000000001</v>
      </c>
      <c r="H2424" s="3">
        <f>B2424*G2424</f>
        <v>59656.037286000006</v>
      </c>
      <c r="I2424" s="3">
        <f>C2424*G2424</f>
        <v>59691.504608999996</v>
      </c>
    </row>
    <row r="2425" spans="1:9" x14ac:dyDescent="0.25">
      <c r="A2425" t="s">
        <v>8</v>
      </c>
      <c r="B2425" s="1">
        <v>26.39</v>
      </c>
      <c r="C2425" s="1">
        <v>26.4</v>
      </c>
      <c r="D2425" s="2" t="s">
        <v>286</v>
      </c>
      <c r="E2425" s="8">
        <v>2261.3973999999998</v>
      </c>
      <c r="F2425" s="8">
        <f>F2415</f>
        <v>-0.2</v>
      </c>
      <c r="G2425" s="8">
        <f>E2425+F2425</f>
        <v>2261.1974</v>
      </c>
      <c r="H2425" s="3">
        <f>B2425*G2425</f>
        <v>59672.999386000003</v>
      </c>
      <c r="I2425" s="3">
        <f>C2425*G2425</f>
        <v>59695.611359999995</v>
      </c>
    </row>
    <row r="2426" spans="1:9" x14ac:dyDescent="0.25">
      <c r="A2426" t="s">
        <v>9</v>
      </c>
      <c r="B2426" s="1">
        <v>63.01</v>
      </c>
      <c r="C2426" s="1">
        <v>63.08</v>
      </c>
      <c r="D2426" s="2" t="s">
        <v>286</v>
      </c>
      <c r="E2426" s="8">
        <v>946.17539999999997</v>
      </c>
      <c r="F2426" s="8">
        <f>F2416</f>
        <v>0</v>
      </c>
      <c r="G2426" s="8">
        <f>E2426+F2426</f>
        <v>946.17539999999997</v>
      </c>
      <c r="H2426" s="3">
        <f>B2426*G2426</f>
        <v>59618.511953999994</v>
      </c>
      <c r="I2426" s="3">
        <f>C2426*G2426</f>
        <v>59684.744231999997</v>
      </c>
    </row>
    <row r="2427" spans="1:9" x14ac:dyDescent="0.25">
      <c r="A2427" t="s">
        <v>10</v>
      </c>
      <c r="B2427" s="1">
        <v>34.479999999999997</v>
      </c>
      <c r="C2427" s="1">
        <v>34.5</v>
      </c>
      <c r="D2427" s="2" t="s">
        <v>286</v>
      </c>
      <c r="E2427" s="8">
        <v>1730.1718000000001</v>
      </c>
      <c r="F2427" s="8">
        <f>F2417</f>
        <v>0.2</v>
      </c>
      <c r="G2427" s="8">
        <f>E2427+F2427</f>
        <v>1730.3718000000001</v>
      </c>
      <c r="H2427" s="3">
        <f>B2427*G2427</f>
        <v>59663.219663999997</v>
      </c>
      <c r="I2427" s="3">
        <f>C2427*G2427</f>
        <v>59697.827100000002</v>
      </c>
    </row>
    <row r="2428" spans="1:9" x14ac:dyDescent="0.25">
      <c r="A2428" t="s">
        <v>11</v>
      </c>
      <c r="B2428" s="1">
        <v>51.94</v>
      </c>
      <c r="C2428" s="1">
        <v>51.95</v>
      </c>
      <c r="D2428" s="2" t="s">
        <v>286</v>
      </c>
      <c r="E2428" s="8">
        <v>1148.9005999999999</v>
      </c>
      <c r="F2428" s="8">
        <f>F2418</f>
        <v>0.05</v>
      </c>
      <c r="G2428" s="8">
        <f>E2428+F2428</f>
        <v>1148.9505999999999</v>
      </c>
      <c r="H2428" s="3">
        <f>B2428*G2428</f>
        <v>59676.494163999989</v>
      </c>
      <c r="I2428" s="3">
        <f>C2428*G2428</f>
        <v>59687.983670000001</v>
      </c>
    </row>
    <row r="2429" spans="1:9" x14ac:dyDescent="0.25">
      <c r="A2429" t="s">
        <v>12</v>
      </c>
      <c r="B2429" s="1">
        <v>46.28</v>
      </c>
      <c r="C2429" s="1">
        <v>46.29</v>
      </c>
      <c r="D2429" s="2" t="s">
        <v>286</v>
      </c>
      <c r="E2429" s="8">
        <v>1289.2795000000001</v>
      </c>
      <c r="F2429" s="8">
        <f>F2419</f>
        <v>0</v>
      </c>
      <c r="G2429" s="8">
        <f>E2429+F2429</f>
        <v>1289.2795000000001</v>
      </c>
      <c r="H2429" s="3">
        <f>B2429*G2429</f>
        <v>59667.855260000004</v>
      </c>
      <c r="I2429" s="3">
        <f>C2429*G2429</f>
        <v>59680.748055000004</v>
      </c>
    </row>
    <row r="2430" spans="1:9" x14ac:dyDescent="0.25">
      <c r="A2430" t="s">
        <v>13</v>
      </c>
      <c r="B2430" s="1">
        <v>16.87</v>
      </c>
      <c r="C2430" s="1">
        <v>16.88</v>
      </c>
      <c r="D2430" s="2" t="s">
        <v>286</v>
      </c>
      <c r="E2430" s="8">
        <v>3535.8029000000001</v>
      </c>
      <c r="F2430" s="8">
        <f>F2420</f>
        <v>0</v>
      </c>
      <c r="G2430" s="8">
        <f>E2430+F2430</f>
        <v>3535.8029000000001</v>
      </c>
      <c r="H2430" s="3">
        <f>B2430*G2430</f>
        <v>59648.994923000006</v>
      </c>
      <c r="I2430" s="3">
        <f>C2430*G2430</f>
        <v>59684.352952000001</v>
      </c>
    </row>
    <row r="2431" spans="1:9" x14ac:dyDescent="0.25">
      <c r="A2431" t="s">
        <v>14</v>
      </c>
      <c r="B2431" s="1">
        <v>33.78</v>
      </c>
      <c r="C2431" s="1">
        <v>33.79</v>
      </c>
      <c r="D2431" s="2" t="s">
        <v>286</v>
      </c>
      <c r="E2431" s="8">
        <v>1765.1319000000001</v>
      </c>
      <c r="F2431" s="8">
        <f>F2421</f>
        <v>0.2</v>
      </c>
      <c r="G2431" s="8">
        <f>E2431+F2431</f>
        <v>1765.3319000000001</v>
      </c>
      <c r="H2431" s="3">
        <f>B2431*G2431</f>
        <v>59632.911582000008</v>
      </c>
      <c r="I2431" s="3">
        <f>C2431*G2431</f>
        <v>59650.564901000005</v>
      </c>
    </row>
    <row r="2432" spans="1:9" x14ac:dyDescent="0.25">
      <c r="A2432" t="s">
        <v>4</v>
      </c>
      <c r="B2432" s="1">
        <v>19.78</v>
      </c>
      <c r="C2432" s="1">
        <v>19.79</v>
      </c>
      <c r="D2432" s="2" t="s">
        <v>287</v>
      </c>
      <c r="E2432" s="8">
        <v>3015.0526</v>
      </c>
      <c r="F2432" s="8">
        <f>F2422</f>
        <v>0</v>
      </c>
      <c r="G2432" s="8">
        <f>E2432+F2432</f>
        <v>3015.0526</v>
      </c>
      <c r="H2432" s="3">
        <f>B2432*G2432</f>
        <v>59637.740428000005</v>
      </c>
      <c r="I2432" s="3">
        <f>C2432*G2432</f>
        <v>59667.890953999995</v>
      </c>
    </row>
    <row r="2433" spans="1:9" x14ac:dyDescent="0.25">
      <c r="A2433" t="s">
        <v>6</v>
      </c>
      <c r="B2433" s="1">
        <v>32.380000000000003</v>
      </c>
      <c r="C2433" s="1">
        <v>32.39</v>
      </c>
      <c r="D2433" s="2" t="s">
        <v>287</v>
      </c>
      <c r="E2433" s="8">
        <v>1842.1811</v>
      </c>
      <c r="F2433" s="8">
        <f>F2423</f>
        <v>-0.1</v>
      </c>
      <c r="G2433" s="8">
        <f>E2433+F2433</f>
        <v>1842.0811000000001</v>
      </c>
      <c r="H2433" s="3">
        <f>B2433*G2433</f>
        <v>59646.586018000009</v>
      </c>
      <c r="I2433" s="3">
        <f>C2433*G2433</f>
        <v>59665.006829000005</v>
      </c>
    </row>
    <row r="2434" spans="1:9" x14ac:dyDescent="0.25">
      <c r="A2434" t="s">
        <v>7</v>
      </c>
      <c r="B2434" s="1">
        <v>16.82</v>
      </c>
      <c r="C2434" s="1">
        <v>16.829999999999998</v>
      </c>
      <c r="D2434" s="2" t="s">
        <v>287</v>
      </c>
      <c r="E2434" s="8">
        <v>3546.7323000000001</v>
      </c>
      <c r="F2434" s="8">
        <f>F2424</f>
        <v>0</v>
      </c>
      <c r="G2434" s="8">
        <f>E2434+F2434</f>
        <v>3546.7323000000001</v>
      </c>
      <c r="H2434" s="3">
        <f>B2434*G2434</f>
        <v>59656.037286000006</v>
      </c>
      <c r="I2434" s="3">
        <f>C2434*G2434</f>
        <v>59691.504608999996</v>
      </c>
    </row>
    <row r="2435" spans="1:9" x14ac:dyDescent="0.25">
      <c r="A2435" t="s">
        <v>8</v>
      </c>
      <c r="B2435" s="1">
        <v>26.37</v>
      </c>
      <c r="C2435" s="1">
        <v>26.38</v>
      </c>
      <c r="D2435" s="2" t="s">
        <v>287</v>
      </c>
      <c r="E2435" s="8">
        <v>2261.3973999999998</v>
      </c>
      <c r="F2435" s="8">
        <f>F2425</f>
        <v>-0.2</v>
      </c>
      <c r="G2435" s="8">
        <f>E2435+F2435</f>
        <v>2261.1974</v>
      </c>
      <c r="H2435" s="3">
        <f>B2435*G2435</f>
        <v>59627.775438000004</v>
      </c>
      <c r="I2435" s="3">
        <f>C2435*G2435</f>
        <v>59650.387411999996</v>
      </c>
    </row>
    <row r="2436" spans="1:9" x14ac:dyDescent="0.25">
      <c r="A2436" t="s">
        <v>9</v>
      </c>
      <c r="B2436" s="1">
        <v>62.97</v>
      </c>
      <c r="C2436" s="1">
        <v>63.05</v>
      </c>
      <c r="D2436" s="2" t="s">
        <v>287</v>
      </c>
      <c r="E2436" s="8">
        <v>946.17539999999997</v>
      </c>
      <c r="F2436" s="8">
        <f>F2426</f>
        <v>0</v>
      </c>
      <c r="G2436" s="8">
        <f>E2436+F2436</f>
        <v>946.17539999999997</v>
      </c>
      <c r="H2436" s="3">
        <f>B2436*G2436</f>
        <v>59580.664937999994</v>
      </c>
      <c r="I2436" s="3">
        <f>C2436*G2436</f>
        <v>59656.358969999994</v>
      </c>
    </row>
    <row r="2437" spans="1:9" x14ac:dyDescent="0.25">
      <c r="A2437" t="s">
        <v>10</v>
      </c>
      <c r="B2437" s="1">
        <v>34.46</v>
      </c>
      <c r="C2437" s="1">
        <v>34.479999999999997</v>
      </c>
      <c r="D2437" s="2" t="s">
        <v>287</v>
      </c>
      <c r="E2437" s="8">
        <v>1730.1718000000001</v>
      </c>
      <c r="F2437" s="8">
        <f>F2427</f>
        <v>0.2</v>
      </c>
      <c r="G2437" s="8">
        <f>E2437+F2437</f>
        <v>1730.3718000000001</v>
      </c>
      <c r="H2437" s="3">
        <f>B2437*G2437</f>
        <v>59628.612228000005</v>
      </c>
      <c r="I2437" s="3">
        <f>C2437*G2437</f>
        <v>59663.219663999997</v>
      </c>
    </row>
    <row r="2438" spans="1:9" x14ac:dyDescent="0.25">
      <c r="A2438" t="s">
        <v>11</v>
      </c>
      <c r="B2438" s="1">
        <v>51.92</v>
      </c>
      <c r="C2438" s="1">
        <v>51.93</v>
      </c>
      <c r="D2438" s="2" t="s">
        <v>287</v>
      </c>
      <c r="E2438" s="8">
        <v>1148.9005999999999</v>
      </c>
      <c r="F2438" s="8">
        <f>F2428</f>
        <v>0.05</v>
      </c>
      <c r="G2438" s="8">
        <f>E2438+F2438</f>
        <v>1148.9505999999999</v>
      </c>
      <c r="H2438" s="3">
        <f>B2438*G2438</f>
        <v>59653.515152</v>
      </c>
      <c r="I2438" s="3">
        <f>C2438*G2438</f>
        <v>59665.004657999991</v>
      </c>
    </row>
    <row r="2439" spans="1:9" x14ac:dyDescent="0.25">
      <c r="A2439" t="s">
        <v>12</v>
      </c>
      <c r="B2439" s="1">
        <v>46.27</v>
      </c>
      <c r="C2439" s="1">
        <v>46.28</v>
      </c>
      <c r="D2439" s="2" t="s">
        <v>287</v>
      </c>
      <c r="E2439" s="8">
        <v>1289.2795000000001</v>
      </c>
      <c r="F2439" s="8">
        <f>F2429</f>
        <v>0</v>
      </c>
      <c r="G2439" s="8">
        <f>E2439+F2439</f>
        <v>1289.2795000000001</v>
      </c>
      <c r="H2439" s="3">
        <f>B2439*G2439</f>
        <v>59654.962465000011</v>
      </c>
      <c r="I2439" s="3">
        <f>C2439*G2439</f>
        <v>59667.855260000004</v>
      </c>
    </row>
    <row r="2440" spans="1:9" x14ac:dyDescent="0.25">
      <c r="A2440" t="s">
        <v>13</v>
      </c>
      <c r="B2440" s="1">
        <v>16.86</v>
      </c>
      <c r="C2440" s="1">
        <v>16.87</v>
      </c>
      <c r="D2440" s="2" t="s">
        <v>287</v>
      </c>
      <c r="E2440" s="8">
        <v>3535.8029000000001</v>
      </c>
      <c r="F2440" s="8">
        <f>F2430</f>
        <v>0</v>
      </c>
      <c r="G2440" s="8">
        <f>E2440+F2440</f>
        <v>3535.8029000000001</v>
      </c>
      <c r="H2440" s="3">
        <f>B2440*G2440</f>
        <v>59613.636894000003</v>
      </c>
      <c r="I2440" s="3">
        <f>C2440*G2440</f>
        <v>59648.994923000006</v>
      </c>
    </row>
    <row r="2441" spans="1:9" x14ac:dyDescent="0.25">
      <c r="A2441" t="s">
        <v>14</v>
      </c>
      <c r="B2441" s="1">
        <v>33.770000000000003</v>
      </c>
      <c r="C2441" s="1">
        <v>33.78</v>
      </c>
      <c r="D2441" s="2" t="s">
        <v>287</v>
      </c>
      <c r="E2441" s="8">
        <v>1765.1319000000001</v>
      </c>
      <c r="F2441" s="8">
        <f>F2431</f>
        <v>0.2</v>
      </c>
      <c r="G2441" s="8">
        <f>E2441+F2441</f>
        <v>1765.3319000000001</v>
      </c>
      <c r="H2441" s="3">
        <f>B2441*G2441</f>
        <v>59615.258263000011</v>
      </c>
      <c r="I2441" s="3">
        <f>C2441*G2441</f>
        <v>59632.911582000008</v>
      </c>
    </row>
    <row r="2442" spans="1:9" x14ac:dyDescent="0.25">
      <c r="A2442" t="s">
        <v>4</v>
      </c>
      <c r="B2442" s="1">
        <v>19.7</v>
      </c>
      <c r="C2442" s="1">
        <v>19.71</v>
      </c>
      <c r="D2442" s="2" t="s">
        <v>288</v>
      </c>
      <c r="E2442" s="8">
        <v>3015.0526</v>
      </c>
      <c r="F2442" s="8">
        <f>F2432</f>
        <v>0</v>
      </c>
      <c r="G2442" s="8">
        <f>E2442+F2442</f>
        <v>3015.0526</v>
      </c>
      <c r="H2442" s="3">
        <f>B2442*G2442</f>
        <v>59396.536219999995</v>
      </c>
      <c r="I2442" s="3">
        <f>C2442*G2442</f>
        <v>59426.686745999999</v>
      </c>
    </row>
    <row r="2443" spans="1:9" x14ac:dyDescent="0.25">
      <c r="A2443" t="s">
        <v>6</v>
      </c>
      <c r="B2443" s="1">
        <v>32.24</v>
      </c>
      <c r="C2443" s="1">
        <v>32.25</v>
      </c>
      <c r="D2443" s="2" t="s">
        <v>288</v>
      </c>
      <c r="E2443" s="8">
        <v>1842.1811</v>
      </c>
      <c r="F2443" s="8">
        <f>F2433</f>
        <v>-0.1</v>
      </c>
      <c r="G2443" s="8">
        <f>E2443+F2443</f>
        <v>1842.0811000000001</v>
      </c>
      <c r="H2443" s="3">
        <f>B2443*G2443</f>
        <v>59388.69466400001</v>
      </c>
      <c r="I2443" s="3">
        <f>C2443*G2443</f>
        <v>59407.115475000006</v>
      </c>
    </row>
    <row r="2444" spans="1:9" x14ac:dyDescent="0.25">
      <c r="A2444" t="s">
        <v>7</v>
      </c>
      <c r="B2444" s="1">
        <v>16.75</v>
      </c>
      <c r="C2444" s="1">
        <v>16.760000000000002</v>
      </c>
      <c r="D2444" s="2" t="s">
        <v>288</v>
      </c>
      <c r="E2444" s="8">
        <v>3546.7323000000001</v>
      </c>
      <c r="F2444" s="8">
        <f>F2434</f>
        <v>0</v>
      </c>
      <c r="G2444" s="8">
        <f>E2444+F2444</f>
        <v>3546.7323000000001</v>
      </c>
      <c r="H2444" s="3">
        <f>B2444*G2444</f>
        <v>59407.766025000004</v>
      </c>
      <c r="I2444" s="3">
        <f>C2444*G2444</f>
        <v>59443.233348000009</v>
      </c>
    </row>
    <row r="2445" spans="1:9" x14ac:dyDescent="0.25">
      <c r="A2445" t="s">
        <v>8</v>
      </c>
      <c r="B2445" s="1">
        <v>26.27</v>
      </c>
      <c r="C2445" s="1">
        <v>26.28</v>
      </c>
      <c r="D2445" s="2" t="s">
        <v>288</v>
      </c>
      <c r="E2445" s="8">
        <v>2261.3973999999998</v>
      </c>
      <c r="F2445" s="8">
        <f>F2435</f>
        <v>-0.2</v>
      </c>
      <c r="G2445" s="8">
        <f>E2445+F2445</f>
        <v>2261.1974</v>
      </c>
      <c r="H2445" s="3">
        <f>B2445*G2445</f>
        <v>59401.655698000002</v>
      </c>
      <c r="I2445" s="3">
        <f>C2445*G2445</f>
        <v>59424.267672000002</v>
      </c>
    </row>
    <row r="2446" spans="1:9" x14ac:dyDescent="0.25">
      <c r="A2446" t="s">
        <v>9</v>
      </c>
      <c r="B2446" s="1">
        <v>62.72</v>
      </c>
      <c r="C2446" s="1">
        <v>62.79</v>
      </c>
      <c r="D2446" s="2" t="s">
        <v>288</v>
      </c>
      <c r="E2446" s="8">
        <v>946.17539999999997</v>
      </c>
      <c r="F2446" s="8">
        <f>F2436</f>
        <v>0</v>
      </c>
      <c r="G2446" s="8">
        <f>E2446+F2446</f>
        <v>946.17539999999997</v>
      </c>
      <c r="H2446" s="3">
        <f>B2446*G2446</f>
        <v>59344.121088</v>
      </c>
      <c r="I2446" s="3">
        <f>C2446*G2446</f>
        <v>59410.353365999996</v>
      </c>
    </row>
    <row r="2447" spans="1:9" x14ac:dyDescent="0.25">
      <c r="A2447" t="s">
        <v>10</v>
      </c>
      <c r="B2447" s="1">
        <v>34.31</v>
      </c>
      <c r="C2447" s="1">
        <v>34.340000000000003</v>
      </c>
      <c r="D2447" s="2" t="s">
        <v>288</v>
      </c>
      <c r="E2447" s="8">
        <v>1730.1718000000001</v>
      </c>
      <c r="F2447" s="8">
        <f>F2437</f>
        <v>0.2</v>
      </c>
      <c r="G2447" s="8">
        <f>E2447+F2447</f>
        <v>1730.3718000000001</v>
      </c>
      <c r="H2447" s="3">
        <f>B2447*G2447</f>
        <v>59369.056458000006</v>
      </c>
      <c r="I2447" s="3">
        <f>C2447*G2447</f>
        <v>59420.967612000008</v>
      </c>
    </row>
    <row r="2448" spans="1:9" x14ac:dyDescent="0.25">
      <c r="A2448" t="s">
        <v>11</v>
      </c>
      <c r="B2448" s="1">
        <v>51.7</v>
      </c>
      <c r="C2448" s="1">
        <v>51.71</v>
      </c>
      <c r="D2448" s="2" t="s">
        <v>288</v>
      </c>
      <c r="E2448" s="8">
        <v>1148.9005999999999</v>
      </c>
      <c r="F2448" s="8">
        <f>F2438</f>
        <v>0.05</v>
      </c>
      <c r="G2448" s="8">
        <f>E2448+F2448</f>
        <v>1148.9505999999999</v>
      </c>
      <c r="H2448" s="3">
        <f>B2448*G2448</f>
        <v>59400.746019999999</v>
      </c>
      <c r="I2448" s="3">
        <f>C2448*G2448</f>
        <v>59412.235525999997</v>
      </c>
    </row>
    <row r="2449" spans="1:9" x14ac:dyDescent="0.25">
      <c r="A2449" t="s">
        <v>12</v>
      </c>
      <c r="B2449" s="1">
        <v>46.07</v>
      </c>
      <c r="C2449" s="1">
        <v>46.08</v>
      </c>
      <c r="D2449" s="2" t="s">
        <v>288</v>
      </c>
      <c r="E2449" s="8">
        <v>1289.2795000000001</v>
      </c>
      <c r="F2449" s="8">
        <f>F2439</f>
        <v>0</v>
      </c>
      <c r="G2449" s="8">
        <f>E2449+F2449</f>
        <v>1289.2795000000001</v>
      </c>
      <c r="H2449" s="3">
        <f>B2449*G2449</f>
        <v>59397.106565000002</v>
      </c>
      <c r="I2449" s="3">
        <f>C2449*G2449</f>
        <v>59409.999360000002</v>
      </c>
    </row>
    <row r="2450" spans="1:9" x14ac:dyDescent="0.25">
      <c r="A2450" t="s">
        <v>13</v>
      </c>
      <c r="B2450" s="1">
        <v>16.79</v>
      </c>
      <c r="C2450" s="1">
        <v>16.8</v>
      </c>
      <c r="D2450" s="2" t="s">
        <v>288</v>
      </c>
      <c r="E2450" s="8">
        <v>3535.8029000000001</v>
      </c>
      <c r="F2450" s="8">
        <f>F2440</f>
        <v>0</v>
      </c>
      <c r="G2450" s="8">
        <f>E2450+F2450</f>
        <v>3535.8029000000001</v>
      </c>
      <c r="H2450" s="3">
        <f>B2450*G2450</f>
        <v>59366.130690999998</v>
      </c>
      <c r="I2450" s="3">
        <f>C2450*G2450</f>
        <v>59401.488720000001</v>
      </c>
    </row>
    <row r="2451" spans="1:9" x14ac:dyDescent="0.25">
      <c r="A2451" t="s">
        <v>14</v>
      </c>
      <c r="B2451" s="1">
        <v>33.630000000000003</v>
      </c>
      <c r="C2451" s="1">
        <v>33.64</v>
      </c>
      <c r="D2451" s="2" t="s">
        <v>288</v>
      </c>
      <c r="E2451" s="8">
        <v>1765.1319000000001</v>
      </c>
      <c r="F2451" s="8">
        <f>F2441</f>
        <v>0.2</v>
      </c>
      <c r="G2451" s="8">
        <f>E2451+F2451</f>
        <v>1765.3319000000001</v>
      </c>
      <c r="H2451" s="3">
        <f>B2451*G2451</f>
        <v>59368.111797000012</v>
      </c>
      <c r="I2451" s="3">
        <f>C2451*G2451</f>
        <v>59385.765116000002</v>
      </c>
    </row>
    <row r="2452" spans="1:9" x14ac:dyDescent="0.25">
      <c r="A2452" t="s">
        <v>4</v>
      </c>
      <c r="B2452" s="1">
        <v>19.86</v>
      </c>
      <c r="C2452" s="1">
        <v>19.87</v>
      </c>
      <c r="D2452" s="2" t="s">
        <v>289</v>
      </c>
      <c r="E2452" s="8">
        <v>3015.0526</v>
      </c>
      <c r="F2452" s="8">
        <f>F2442</f>
        <v>0</v>
      </c>
      <c r="G2452" s="8">
        <f>E2452+F2452</f>
        <v>3015.0526</v>
      </c>
      <c r="H2452" s="3">
        <f>B2452*G2452</f>
        <v>59878.944636</v>
      </c>
      <c r="I2452" s="3">
        <f>C2452*G2452</f>
        <v>59909.095162000005</v>
      </c>
    </row>
    <row r="2453" spans="1:9" x14ac:dyDescent="0.25">
      <c r="A2453" t="s">
        <v>6</v>
      </c>
      <c r="B2453" s="1">
        <v>32.51</v>
      </c>
      <c r="C2453" s="1">
        <v>32.520000000000003</v>
      </c>
      <c r="D2453" s="2" t="s">
        <v>289</v>
      </c>
      <c r="E2453" s="8">
        <v>1842.1811</v>
      </c>
      <c r="F2453" s="8">
        <f>F2443</f>
        <v>-0.1</v>
      </c>
      <c r="G2453" s="8">
        <f>E2453+F2453</f>
        <v>1842.0811000000001</v>
      </c>
      <c r="H2453" s="3">
        <f>B2453*G2453</f>
        <v>59886.056560999998</v>
      </c>
      <c r="I2453" s="3">
        <f>C2453*G2453</f>
        <v>59904.477372000008</v>
      </c>
    </row>
    <row r="2454" spans="1:9" x14ac:dyDescent="0.25">
      <c r="A2454" t="s">
        <v>7</v>
      </c>
      <c r="B2454" s="1">
        <v>16.88</v>
      </c>
      <c r="C2454" s="1">
        <v>16.89</v>
      </c>
      <c r="D2454" s="2" t="s">
        <v>289</v>
      </c>
      <c r="E2454" s="8">
        <v>3546.7323000000001</v>
      </c>
      <c r="F2454" s="8">
        <f>F2444</f>
        <v>0</v>
      </c>
      <c r="G2454" s="8">
        <f>E2454+F2454</f>
        <v>3546.7323000000001</v>
      </c>
      <c r="H2454" s="3">
        <f>B2454*G2454</f>
        <v>59868.841223999996</v>
      </c>
      <c r="I2454" s="3">
        <f>C2454*G2454</f>
        <v>59904.308547000001</v>
      </c>
    </row>
    <row r="2455" spans="1:9" x14ac:dyDescent="0.25">
      <c r="A2455" t="s">
        <v>8</v>
      </c>
      <c r="B2455" s="1">
        <v>26.48</v>
      </c>
      <c r="C2455" s="1">
        <v>26.49</v>
      </c>
      <c r="D2455" s="2" t="s">
        <v>289</v>
      </c>
      <c r="E2455" s="8">
        <v>2261.3973999999998</v>
      </c>
      <c r="F2455" s="8">
        <f>F2445</f>
        <v>-0.2</v>
      </c>
      <c r="G2455" s="8">
        <f>E2455+F2455</f>
        <v>2261.1974</v>
      </c>
      <c r="H2455" s="3">
        <f>B2455*G2455</f>
        <v>59876.507151999998</v>
      </c>
      <c r="I2455" s="3">
        <f>C2455*G2455</f>
        <v>59899.119125999998</v>
      </c>
    </row>
    <row r="2456" spans="1:9" x14ac:dyDescent="0.25">
      <c r="A2456" t="s">
        <v>9</v>
      </c>
      <c r="B2456" s="1">
        <v>63.24</v>
      </c>
      <c r="C2456" s="1">
        <v>63.37</v>
      </c>
      <c r="D2456" s="2" t="s">
        <v>289</v>
      </c>
      <c r="E2456" s="8">
        <v>946.17539999999997</v>
      </c>
      <c r="F2456" s="8">
        <f>F2446</f>
        <v>0</v>
      </c>
      <c r="G2456" s="8">
        <f>E2456+F2456</f>
        <v>946.17539999999997</v>
      </c>
      <c r="H2456" s="3">
        <f>B2456*G2456</f>
        <v>59836.132296000003</v>
      </c>
      <c r="I2456" s="3">
        <f>C2456*G2456</f>
        <v>59959.135097999999</v>
      </c>
    </row>
    <row r="2457" spans="1:9" x14ac:dyDescent="0.25">
      <c r="A2457" t="s">
        <v>10</v>
      </c>
      <c r="B2457" s="1">
        <v>34.6</v>
      </c>
      <c r="C2457" s="1">
        <v>34.619999999999997</v>
      </c>
      <c r="D2457" s="2" t="s">
        <v>289</v>
      </c>
      <c r="E2457" s="8">
        <v>1730.1718000000001</v>
      </c>
      <c r="F2457" s="8">
        <f>F2447</f>
        <v>0.2</v>
      </c>
      <c r="G2457" s="8">
        <f>E2457+F2457</f>
        <v>1730.3718000000001</v>
      </c>
      <c r="H2457" s="3">
        <f>B2457*G2457</f>
        <v>59870.864280000009</v>
      </c>
      <c r="I2457" s="3">
        <f>C2457*G2457</f>
        <v>59905.471716</v>
      </c>
    </row>
    <row r="2458" spans="1:9" x14ac:dyDescent="0.25">
      <c r="A2458" t="s">
        <v>11</v>
      </c>
      <c r="B2458" s="1">
        <v>52.13</v>
      </c>
      <c r="C2458" s="1">
        <v>52.14</v>
      </c>
      <c r="D2458" s="2" t="s">
        <v>289</v>
      </c>
      <c r="E2458" s="8">
        <v>1148.9005999999999</v>
      </c>
      <c r="F2458" s="8">
        <f>F2448</f>
        <v>0.05</v>
      </c>
      <c r="G2458" s="8">
        <f>E2458+F2458</f>
        <v>1148.9505999999999</v>
      </c>
      <c r="H2458" s="3">
        <f>B2458*G2458</f>
        <v>59894.794777999996</v>
      </c>
      <c r="I2458" s="3">
        <f>C2458*G2458</f>
        <v>59906.284283999994</v>
      </c>
    </row>
    <row r="2459" spans="1:9" x14ac:dyDescent="0.25">
      <c r="A2459" t="s">
        <v>12</v>
      </c>
      <c r="B2459" s="1">
        <v>46.45</v>
      </c>
      <c r="C2459" s="1">
        <v>46.46</v>
      </c>
      <c r="D2459" s="2" t="s">
        <v>289</v>
      </c>
      <c r="E2459" s="8">
        <v>1289.2795000000001</v>
      </c>
      <c r="F2459" s="8">
        <f>F2449</f>
        <v>0</v>
      </c>
      <c r="G2459" s="8">
        <f>E2459+F2459</f>
        <v>1289.2795000000001</v>
      </c>
      <c r="H2459" s="3">
        <f>B2459*G2459</f>
        <v>59887.032775000007</v>
      </c>
      <c r="I2459" s="3">
        <f>C2459*G2459</f>
        <v>59899.925570000007</v>
      </c>
    </row>
    <row r="2460" spans="1:9" x14ac:dyDescent="0.25">
      <c r="A2460" t="s">
        <v>13</v>
      </c>
      <c r="B2460" s="1">
        <v>16.93</v>
      </c>
      <c r="C2460" s="1">
        <v>16.940000000000001</v>
      </c>
      <c r="D2460" s="2" t="s">
        <v>289</v>
      </c>
      <c r="E2460" s="8">
        <v>3535.8029000000001</v>
      </c>
      <c r="F2460" s="8">
        <f>F2450</f>
        <v>0</v>
      </c>
      <c r="G2460" s="8">
        <f>E2460+F2460</f>
        <v>3535.8029000000001</v>
      </c>
      <c r="H2460" s="3">
        <f>B2460*G2460</f>
        <v>59861.143097</v>
      </c>
      <c r="I2460" s="3">
        <f>C2460*G2460</f>
        <v>59896.50112600001</v>
      </c>
    </row>
    <row r="2461" spans="1:9" x14ac:dyDescent="0.25">
      <c r="A2461" t="s">
        <v>14</v>
      </c>
      <c r="B2461" s="1">
        <v>33.909999999999997</v>
      </c>
      <c r="C2461" s="1">
        <v>33.92</v>
      </c>
      <c r="D2461" s="2" t="s">
        <v>289</v>
      </c>
      <c r="E2461" s="8">
        <v>1765.1319000000001</v>
      </c>
      <c r="F2461" s="8">
        <f>F2451</f>
        <v>0.2</v>
      </c>
      <c r="G2461" s="8">
        <f>E2461+F2461</f>
        <v>1765.3319000000001</v>
      </c>
      <c r="H2461" s="3">
        <f>B2461*G2461</f>
        <v>59862.404729000002</v>
      </c>
      <c r="I2461" s="3">
        <f>C2461*G2461</f>
        <v>59880.058048000006</v>
      </c>
    </row>
    <row r="2462" spans="1:9" x14ac:dyDescent="0.25">
      <c r="A2462" t="s">
        <v>4</v>
      </c>
      <c r="B2462" s="1">
        <v>19.91</v>
      </c>
      <c r="C2462" s="1">
        <v>19.920000000000002</v>
      </c>
      <c r="D2462" s="2" t="s">
        <v>290</v>
      </c>
      <c r="E2462" s="8">
        <v>3015.0526</v>
      </c>
      <c r="F2462" s="8">
        <f>F2452</f>
        <v>0</v>
      </c>
      <c r="G2462" s="8">
        <f>E2462+F2462</f>
        <v>3015.0526</v>
      </c>
      <c r="H2462" s="3">
        <f>B2462*G2462</f>
        <v>60029.697266000003</v>
      </c>
      <c r="I2462" s="3">
        <f>C2462*G2462</f>
        <v>60059.847792000008</v>
      </c>
    </row>
    <row r="2463" spans="1:9" x14ac:dyDescent="0.25">
      <c r="A2463" t="s">
        <v>6</v>
      </c>
      <c r="B2463" s="1">
        <v>32.590000000000003</v>
      </c>
      <c r="C2463" s="1">
        <v>32.6</v>
      </c>
      <c r="D2463" s="2" t="s">
        <v>290</v>
      </c>
      <c r="E2463" s="8">
        <v>1842.1811</v>
      </c>
      <c r="F2463" s="8">
        <f>F2453</f>
        <v>-0.1</v>
      </c>
      <c r="G2463" s="8">
        <f>E2463+F2463</f>
        <v>1842.0811000000001</v>
      </c>
      <c r="H2463" s="3">
        <f>B2463*G2463</f>
        <v>60033.423049000012</v>
      </c>
      <c r="I2463" s="3">
        <f>C2463*G2463</f>
        <v>60051.843860000008</v>
      </c>
    </row>
    <row r="2464" spans="1:9" x14ac:dyDescent="0.25">
      <c r="A2464" t="s">
        <v>7</v>
      </c>
      <c r="B2464" s="1">
        <v>16.920000000000002</v>
      </c>
      <c r="C2464" s="1">
        <v>16.93</v>
      </c>
      <c r="D2464" s="2" t="s">
        <v>290</v>
      </c>
      <c r="E2464" s="8">
        <v>3546.7323000000001</v>
      </c>
      <c r="F2464" s="8">
        <f>F2454</f>
        <v>0</v>
      </c>
      <c r="G2464" s="8">
        <f>E2464+F2464</f>
        <v>3546.7323000000001</v>
      </c>
      <c r="H2464" s="3">
        <f>B2464*G2464</f>
        <v>60010.710516000006</v>
      </c>
      <c r="I2464" s="3">
        <f>C2464*G2464</f>
        <v>60046.177839000004</v>
      </c>
    </row>
    <row r="2465" spans="1:9" x14ac:dyDescent="0.25">
      <c r="A2465" t="s">
        <v>8</v>
      </c>
      <c r="B2465" s="1">
        <v>26.55</v>
      </c>
      <c r="C2465" s="1">
        <v>26.56</v>
      </c>
      <c r="D2465" s="2" t="s">
        <v>290</v>
      </c>
      <c r="E2465" s="8">
        <v>2261.3973999999998</v>
      </c>
      <c r="F2465" s="8">
        <f>F2455</f>
        <v>-0.2</v>
      </c>
      <c r="G2465" s="8">
        <f>E2465+F2465</f>
        <v>2261.1974</v>
      </c>
      <c r="H2465" s="3">
        <f>B2465*G2465</f>
        <v>60034.790970000002</v>
      </c>
      <c r="I2465" s="3">
        <f>C2465*G2465</f>
        <v>60057.402943999994</v>
      </c>
    </row>
    <row r="2466" spans="1:9" x14ac:dyDescent="0.25">
      <c r="A2466" t="s">
        <v>9</v>
      </c>
      <c r="B2466" s="1">
        <v>63.39</v>
      </c>
      <c r="C2466" s="1">
        <v>63.52</v>
      </c>
      <c r="D2466" s="2" t="s">
        <v>290</v>
      </c>
      <c r="E2466" s="8">
        <v>946.17539999999997</v>
      </c>
      <c r="F2466" s="8">
        <f>F2456</f>
        <v>0</v>
      </c>
      <c r="G2466" s="8">
        <f>E2466+F2466</f>
        <v>946.17539999999997</v>
      </c>
      <c r="H2466" s="3">
        <f>B2466*G2466</f>
        <v>59978.058605999999</v>
      </c>
      <c r="I2466" s="3">
        <f>C2466*G2466</f>
        <v>60101.061408000001</v>
      </c>
    </row>
    <row r="2467" spans="1:9" x14ac:dyDescent="0.25">
      <c r="A2467" t="s">
        <v>10</v>
      </c>
      <c r="B2467" s="1">
        <v>34.68</v>
      </c>
      <c r="C2467" s="1">
        <v>34.71</v>
      </c>
      <c r="D2467" s="2" t="s">
        <v>290</v>
      </c>
      <c r="E2467" s="8">
        <v>1730.1718000000001</v>
      </c>
      <c r="F2467" s="8">
        <f>F2457</f>
        <v>0.2</v>
      </c>
      <c r="G2467" s="8">
        <f>E2467+F2467</f>
        <v>1730.3718000000001</v>
      </c>
      <c r="H2467" s="3">
        <f>B2467*G2467</f>
        <v>60009.294024000003</v>
      </c>
      <c r="I2467" s="3">
        <f>C2467*G2467</f>
        <v>60061.205178000004</v>
      </c>
    </row>
    <row r="2468" spans="1:9" x14ac:dyDescent="0.25">
      <c r="A2468" t="s">
        <v>11</v>
      </c>
      <c r="B2468" s="1">
        <v>52.25</v>
      </c>
      <c r="C2468" s="1">
        <v>52.26</v>
      </c>
      <c r="D2468" s="2" t="s">
        <v>290</v>
      </c>
      <c r="E2468" s="8">
        <v>1148.9005999999999</v>
      </c>
      <c r="F2468" s="8">
        <f>F2458</f>
        <v>0.05</v>
      </c>
      <c r="G2468" s="8">
        <f>E2468+F2468</f>
        <v>1148.9505999999999</v>
      </c>
      <c r="H2468" s="3">
        <f>B2468*G2468</f>
        <v>60032.668849999995</v>
      </c>
      <c r="I2468" s="3">
        <f>C2468*G2468</f>
        <v>60044.158355999993</v>
      </c>
    </row>
    <row r="2469" spans="1:9" x14ac:dyDescent="0.25">
      <c r="A2469" t="s">
        <v>12</v>
      </c>
      <c r="B2469" s="1">
        <v>46.56</v>
      </c>
      <c r="C2469" s="1">
        <v>46.57</v>
      </c>
      <c r="D2469" s="2" t="s">
        <v>290</v>
      </c>
      <c r="E2469" s="8">
        <v>1289.2795000000001</v>
      </c>
      <c r="F2469" s="8">
        <f>F2459</f>
        <v>0</v>
      </c>
      <c r="G2469" s="8">
        <f>E2469+F2469</f>
        <v>1289.2795000000001</v>
      </c>
      <c r="H2469" s="3">
        <f>B2469*G2469</f>
        <v>60028.853520000004</v>
      </c>
      <c r="I2469" s="3">
        <f>C2469*G2469</f>
        <v>60041.746315000004</v>
      </c>
    </row>
    <row r="2470" spans="1:9" x14ac:dyDescent="0.25">
      <c r="A2470" t="s">
        <v>13</v>
      </c>
      <c r="B2470" s="1">
        <v>16.97</v>
      </c>
      <c r="C2470" s="1">
        <v>16.98</v>
      </c>
      <c r="D2470" s="2" t="s">
        <v>290</v>
      </c>
      <c r="E2470" s="8">
        <v>3535.8029000000001</v>
      </c>
      <c r="F2470" s="8">
        <f>F2460</f>
        <v>0</v>
      </c>
      <c r="G2470" s="8">
        <f>E2470+F2470</f>
        <v>3535.8029000000001</v>
      </c>
      <c r="H2470" s="3">
        <f>B2470*G2470</f>
        <v>60002.575212999996</v>
      </c>
      <c r="I2470" s="3">
        <f>C2470*G2470</f>
        <v>60037.933242000006</v>
      </c>
    </row>
    <row r="2471" spans="1:9" x14ac:dyDescent="0.25">
      <c r="A2471" t="s">
        <v>14</v>
      </c>
      <c r="B2471" s="1">
        <v>33.99</v>
      </c>
      <c r="C2471" s="1">
        <v>34</v>
      </c>
      <c r="D2471" s="2" t="s">
        <v>290</v>
      </c>
      <c r="E2471" s="8">
        <v>1765.1319000000001</v>
      </c>
      <c r="F2471" s="8">
        <f>F2461</f>
        <v>0.2</v>
      </c>
      <c r="G2471" s="8">
        <f>E2471+F2471</f>
        <v>1765.3319000000001</v>
      </c>
      <c r="H2471" s="3">
        <f>B2471*G2471</f>
        <v>60003.631281000009</v>
      </c>
      <c r="I2471" s="3">
        <f>C2471*G2471</f>
        <v>60021.284600000006</v>
      </c>
    </row>
    <row r="2472" spans="1:9" x14ac:dyDescent="0.25">
      <c r="A2472" t="s">
        <v>4</v>
      </c>
      <c r="B2472" s="1">
        <v>20.02</v>
      </c>
      <c r="C2472" s="1">
        <v>20.03</v>
      </c>
      <c r="D2472" s="2" t="s">
        <v>291</v>
      </c>
      <c r="E2472" s="8">
        <v>3015.0526</v>
      </c>
      <c r="F2472" s="8">
        <f>F2462</f>
        <v>0</v>
      </c>
      <c r="G2472" s="8">
        <f>E2472+F2472</f>
        <v>3015.0526</v>
      </c>
      <c r="H2472" s="3">
        <f>B2472*G2472</f>
        <v>60361.353051999999</v>
      </c>
      <c r="I2472" s="3">
        <f>C2472*G2472</f>
        <v>60391.503578000003</v>
      </c>
    </row>
    <row r="2473" spans="1:9" x14ac:dyDescent="0.25">
      <c r="A2473" t="s">
        <v>6</v>
      </c>
      <c r="B2473" s="1">
        <v>32.78</v>
      </c>
      <c r="C2473" s="1">
        <v>32.79</v>
      </c>
      <c r="D2473" s="2" t="s">
        <v>291</v>
      </c>
      <c r="E2473" s="8">
        <v>1842.1811</v>
      </c>
      <c r="F2473" s="8">
        <f>F2463</f>
        <v>-0.1</v>
      </c>
      <c r="G2473" s="8">
        <f>E2473+F2473</f>
        <v>1842.0811000000001</v>
      </c>
      <c r="H2473" s="3">
        <f>B2473*G2473</f>
        <v>60383.418458000007</v>
      </c>
      <c r="I2473" s="3">
        <f>C2473*G2473</f>
        <v>60401.839269000004</v>
      </c>
    </row>
    <row r="2474" spans="1:9" x14ac:dyDescent="0.25">
      <c r="A2474" t="s">
        <v>7</v>
      </c>
      <c r="B2474" s="1">
        <v>17.02</v>
      </c>
      <c r="C2474" s="1">
        <v>17.03</v>
      </c>
      <c r="D2474" s="2" t="s">
        <v>291</v>
      </c>
      <c r="E2474" s="8">
        <v>3546.7323000000001</v>
      </c>
      <c r="F2474" s="8">
        <f>F2464</f>
        <v>0</v>
      </c>
      <c r="G2474" s="8">
        <f>E2474+F2474</f>
        <v>3546.7323000000001</v>
      </c>
      <c r="H2474" s="3">
        <f>B2474*G2474</f>
        <v>60365.383746</v>
      </c>
      <c r="I2474" s="3">
        <f>C2474*G2474</f>
        <v>60400.851069000004</v>
      </c>
    </row>
    <row r="2475" spans="1:9" x14ac:dyDescent="0.25">
      <c r="A2475" t="s">
        <v>8</v>
      </c>
      <c r="B2475" s="1">
        <v>26.7</v>
      </c>
      <c r="C2475" s="1">
        <v>26.71</v>
      </c>
      <c r="D2475" s="2" t="s">
        <v>291</v>
      </c>
      <c r="E2475" s="8">
        <v>2261.3973999999998</v>
      </c>
      <c r="F2475" s="8">
        <f>F2465</f>
        <v>-0.2</v>
      </c>
      <c r="G2475" s="8">
        <f>E2475+F2475</f>
        <v>2261.1974</v>
      </c>
      <c r="H2475" s="3">
        <f>B2475*G2475</f>
        <v>60373.970580000001</v>
      </c>
      <c r="I2475" s="3">
        <f>C2475*G2475</f>
        <v>60396.582554000001</v>
      </c>
    </row>
    <row r="2476" spans="1:9" x14ac:dyDescent="0.25">
      <c r="A2476" t="s">
        <v>9</v>
      </c>
      <c r="B2476" s="1">
        <v>63.74</v>
      </c>
      <c r="C2476" s="1">
        <v>63.82</v>
      </c>
      <c r="D2476" s="2" t="s">
        <v>291</v>
      </c>
      <c r="E2476" s="8">
        <v>946.17539999999997</v>
      </c>
      <c r="F2476" s="8">
        <f>F2466</f>
        <v>0</v>
      </c>
      <c r="G2476" s="8">
        <f>E2476+F2476</f>
        <v>946.17539999999997</v>
      </c>
      <c r="H2476" s="3">
        <f>B2476*G2476</f>
        <v>60309.219996</v>
      </c>
      <c r="I2476" s="3">
        <f>C2476*G2476</f>
        <v>60384.914027999999</v>
      </c>
    </row>
    <row r="2477" spans="1:9" x14ac:dyDescent="0.25">
      <c r="A2477" t="s">
        <v>10</v>
      </c>
      <c r="B2477" s="1">
        <v>34.880000000000003</v>
      </c>
      <c r="C2477" s="1">
        <v>34.9</v>
      </c>
      <c r="D2477" s="2" t="s">
        <v>291</v>
      </c>
      <c r="E2477" s="8">
        <v>1730.1718000000001</v>
      </c>
      <c r="F2477" s="8">
        <f>F2467</f>
        <v>0.2</v>
      </c>
      <c r="G2477" s="8">
        <f>E2477+F2477</f>
        <v>1730.3718000000001</v>
      </c>
      <c r="H2477" s="3">
        <f>B2477*G2477</f>
        <v>60355.368384000009</v>
      </c>
      <c r="I2477" s="3">
        <f>C2477*G2477</f>
        <v>60389.97582</v>
      </c>
    </row>
    <row r="2478" spans="1:9" x14ac:dyDescent="0.25">
      <c r="A2478" t="s">
        <v>11</v>
      </c>
      <c r="B2478" s="1">
        <v>52.54</v>
      </c>
      <c r="C2478" s="1">
        <v>52.55</v>
      </c>
      <c r="D2478" s="2" t="s">
        <v>291</v>
      </c>
      <c r="E2478" s="8">
        <v>1148.9005999999999</v>
      </c>
      <c r="F2478" s="8">
        <f>F2468</f>
        <v>0.05</v>
      </c>
      <c r="G2478" s="8">
        <f>E2478+F2478</f>
        <v>1148.9505999999999</v>
      </c>
      <c r="H2478" s="3">
        <f>B2478*G2478</f>
        <v>60365.864523999997</v>
      </c>
      <c r="I2478" s="3">
        <f>C2478*G2478</f>
        <v>60377.354029999988</v>
      </c>
    </row>
    <row r="2479" spans="1:9" x14ac:dyDescent="0.25">
      <c r="A2479" t="s">
        <v>12</v>
      </c>
      <c r="B2479" s="1">
        <v>46.82</v>
      </c>
      <c r="C2479" s="1">
        <v>46.83</v>
      </c>
      <c r="D2479" s="2" t="s">
        <v>291</v>
      </c>
      <c r="E2479" s="8">
        <v>1289.2795000000001</v>
      </c>
      <c r="F2479" s="8">
        <f>F2469</f>
        <v>0</v>
      </c>
      <c r="G2479" s="8">
        <f>E2479+F2479</f>
        <v>1289.2795000000001</v>
      </c>
      <c r="H2479" s="3">
        <f>B2479*G2479</f>
        <v>60364.066190000005</v>
      </c>
      <c r="I2479" s="3">
        <f>C2479*G2479</f>
        <v>60376.958985000005</v>
      </c>
    </row>
    <row r="2480" spans="1:9" x14ac:dyDescent="0.25">
      <c r="A2480" t="s">
        <v>13</v>
      </c>
      <c r="B2480" s="1">
        <v>17.059999999999999</v>
      </c>
      <c r="C2480" s="1">
        <v>17.07</v>
      </c>
      <c r="D2480" s="2" t="s">
        <v>291</v>
      </c>
      <c r="E2480" s="8">
        <v>3535.8029000000001</v>
      </c>
      <c r="F2480" s="8">
        <f>F2470</f>
        <v>0</v>
      </c>
      <c r="G2480" s="8">
        <f>E2480+F2480</f>
        <v>3535.8029000000001</v>
      </c>
      <c r="H2480" s="3">
        <f>B2480*G2480</f>
        <v>60320.797473999999</v>
      </c>
      <c r="I2480" s="3">
        <f>C2480*G2480</f>
        <v>60356.155503000002</v>
      </c>
    </row>
    <row r="2481" spans="1:9" x14ac:dyDescent="0.25">
      <c r="A2481" t="s">
        <v>14</v>
      </c>
      <c r="B2481" s="1">
        <v>34.19</v>
      </c>
      <c r="C2481" s="1">
        <v>34.200000000000003</v>
      </c>
      <c r="D2481" s="2" t="s">
        <v>291</v>
      </c>
      <c r="E2481" s="8">
        <v>1765.1319000000001</v>
      </c>
      <c r="F2481" s="8">
        <f>F2471</f>
        <v>0.2</v>
      </c>
      <c r="G2481" s="8">
        <f>E2481+F2481</f>
        <v>1765.3319000000001</v>
      </c>
      <c r="H2481" s="3">
        <f>B2481*G2481</f>
        <v>60356.697660999998</v>
      </c>
      <c r="I2481" s="3">
        <f>C2481*G2481</f>
        <v>60374.35098000001</v>
      </c>
    </row>
    <row r="2482" spans="1:9" x14ac:dyDescent="0.25">
      <c r="A2482" t="s">
        <v>4</v>
      </c>
      <c r="B2482" s="1">
        <v>19.96</v>
      </c>
      <c r="C2482" s="1">
        <v>19.97</v>
      </c>
      <c r="D2482" s="2" t="s">
        <v>292</v>
      </c>
      <c r="E2482" s="8">
        <v>3015.0526</v>
      </c>
      <c r="F2482" s="8">
        <f>F2472</f>
        <v>0</v>
      </c>
      <c r="G2482" s="8">
        <f>E2482+F2482</f>
        <v>3015.0526</v>
      </c>
      <c r="H2482" s="3">
        <f>B2482*G2482</f>
        <v>60180.449896000006</v>
      </c>
      <c r="I2482" s="3">
        <f>C2482*G2482</f>
        <v>60210.600421999996</v>
      </c>
    </row>
    <row r="2483" spans="1:9" x14ac:dyDescent="0.25">
      <c r="A2483" t="s">
        <v>6</v>
      </c>
      <c r="B2483" s="1">
        <v>32.67</v>
      </c>
      <c r="C2483" s="1">
        <v>32.68</v>
      </c>
      <c r="D2483" s="2" t="s">
        <v>292</v>
      </c>
      <c r="E2483" s="8">
        <v>1842.1811</v>
      </c>
      <c r="F2483" s="8">
        <f>F2473</f>
        <v>-0.1</v>
      </c>
      <c r="G2483" s="8">
        <f>E2483+F2483</f>
        <v>1842.0811000000001</v>
      </c>
      <c r="H2483" s="3">
        <f>B2483*G2483</f>
        <v>60180.789537000004</v>
      </c>
      <c r="I2483" s="3">
        <f>C2483*G2483</f>
        <v>60199.210348000001</v>
      </c>
    </row>
    <row r="2484" spans="1:9" x14ac:dyDescent="0.25">
      <c r="A2484" t="s">
        <v>7</v>
      </c>
      <c r="B2484" s="1">
        <v>16.96</v>
      </c>
      <c r="C2484" s="1">
        <v>16.97</v>
      </c>
      <c r="D2484" s="2" t="s">
        <v>292</v>
      </c>
      <c r="E2484" s="8">
        <v>3546.7323000000001</v>
      </c>
      <c r="F2484" s="8">
        <f>F2474</f>
        <v>0</v>
      </c>
      <c r="G2484" s="8">
        <f>E2484+F2484</f>
        <v>3546.7323000000001</v>
      </c>
      <c r="H2484" s="3">
        <f>B2484*G2484</f>
        <v>60152.579808000002</v>
      </c>
      <c r="I2484" s="3">
        <f>C2484*G2484</f>
        <v>60188.047130999999</v>
      </c>
    </row>
    <row r="2485" spans="1:9" x14ac:dyDescent="0.25">
      <c r="A2485" t="s">
        <v>8</v>
      </c>
      <c r="B2485" s="1">
        <v>26.61</v>
      </c>
      <c r="C2485" s="1">
        <v>26.62</v>
      </c>
      <c r="D2485" s="2" t="s">
        <v>292</v>
      </c>
      <c r="E2485" s="8">
        <v>2261.3973999999998</v>
      </c>
      <c r="F2485" s="8">
        <f>F2475</f>
        <v>-0.2</v>
      </c>
      <c r="G2485" s="8">
        <f>E2485+F2485</f>
        <v>2261.1974</v>
      </c>
      <c r="H2485" s="3">
        <f>B2485*G2485</f>
        <v>60170.462813999999</v>
      </c>
      <c r="I2485" s="3">
        <f>C2485*G2485</f>
        <v>60193.074788000005</v>
      </c>
    </row>
    <row r="2486" spans="1:9" x14ac:dyDescent="0.25">
      <c r="A2486" t="s">
        <v>9</v>
      </c>
      <c r="B2486" s="1">
        <v>63.56</v>
      </c>
      <c r="C2486" s="1">
        <v>63.62</v>
      </c>
      <c r="D2486" s="2" t="s">
        <v>292</v>
      </c>
      <c r="E2486" s="8">
        <v>946.17539999999997</v>
      </c>
      <c r="F2486" s="8">
        <f>F2476</f>
        <v>0</v>
      </c>
      <c r="G2486" s="8">
        <f>E2486+F2486</f>
        <v>946.17539999999997</v>
      </c>
      <c r="H2486" s="3">
        <f>B2486*G2486</f>
        <v>60138.908424000001</v>
      </c>
      <c r="I2486" s="3">
        <f>C2486*G2486</f>
        <v>60195.678947999993</v>
      </c>
    </row>
    <row r="2487" spans="1:9" x14ac:dyDescent="0.25">
      <c r="A2487" t="s">
        <v>10</v>
      </c>
      <c r="B2487" s="1">
        <v>34.770000000000003</v>
      </c>
      <c r="C2487" s="1">
        <v>34.799999999999997</v>
      </c>
      <c r="D2487" s="2" t="s">
        <v>292</v>
      </c>
      <c r="E2487" s="8">
        <v>1730.1718000000001</v>
      </c>
      <c r="F2487" s="8">
        <f>F2477</f>
        <v>0.2</v>
      </c>
      <c r="G2487" s="8">
        <f>E2487+F2487</f>
        <v>1730.3718000000001</v>
      </c>
      <c r="H2487" s="3">
        <f>B2487*G2487</f>
        <v>60165.027486000006</v>
      </c>
      <c r="I2487" s="3">
        <f>C2487*G2487</f>
        <v>60216.93864</v>
      </c>
    </row>
    <row r="2488" spans="1:9" x14ac:dyDescent="0.25">
      <c r="A2488" t="s">
        <v>11</v>
      </c>
      <c r="B2488" s="1">
        <v>52.38</v>
      </c>
      <c r="C2488" s="1">
        <v>52.39</v>
      </c>
      <c r="D2488" s="2" t="s">
        <v>292</v>
      </c>
      <c r="E2488" s="8">
        <v>1148.9005999999999</v>
      </c>
      <c r="F2488" s="8">
        <f>F2478</f>
        <v>0.05</v>
      </c>
      <c r="G2488" s="8">
        <f>E2488+F2488</f>
        <v>1148.9505999999999</v>
      </c>
      <c r="H2488" s="3">
        <f>B2488*G2488</f>
        <v>60182.032427999999</v>
      </c>
      <c r="I2488" s="3">
        <f>C2488*G2488</f>
        <v>60193.521933999997</v>
      </c>
    </row>
    <row r="2489" spans="1:9" x14ac:dyDescent="0.25">
      <c r="A2489" t="s">
        <v>12</v>
      </c>
      <c r="B2489" s="1">
        <v>46.68</v>
      </c>
      <c r="C2489" s="1">
        <v>46.69</v>
      </c>
      <c r="D2489" s="2" t="s">
        <v>292</v>
      </c>
      <c r="E2489" s="8">
        <v>1289.2795000000001</v>
      </c>
      <c r="F2489" s="8">
        <f>F2479</f>
        <v>0</v>
      </c>
      <c r="G2489" s="8">
        <f>E2489+F2489</f>
        <v>1289.2795000000001</v>
      </c>
      <c r="H2489" s="3">
        <f>B2489*G2489</f>
        <v>60183.567060000001</v>
      </c>
      <c r="I2489" s="3">
        <f>C2489*G2489</f>
        <v>60196.459855000001</v>
      </c>
    </row>
    <row r="2490" spans="1:9" x14ac:dyDescent="0.25">
      <c r="A2490" t="s">
        <v>13</v>
      </c>
      <c r="B2490" s="1">
        <v>17.010000000000002</v>
      </c>
      <c r="C2490" s="1">
        <v>17.02</v>
      </c>
      <c r="D2490" s="2" t="s">
        <v>292</v>
      </c>
      <c r="E2490" s="8">
        <v>3535.8029000000001</v>
      </c>
      <c r="F2490" s="8">
        <f>F2480</f>
        <v>0</v>
      </c>
      <c r="G2490" s="8">
        <f>E2490+F2490</f>
        <v>3535.8029000000001</v>
      </c>
      <c r="H2490" s="3">
        <f>B2490*G2490</f>
        <v>60144.007329000007</v>
      </c>
      <c r="I2490" s="3">
        <f>C2490*G2490</f>
        <v>60179.365358000003</v>
      </c>
    </row>
    <row r="2491" spans="1:9" x14ac:dyDescent="0.25">
      <c r="A2491" t="s">
        <v>14</v>
      </c>
      <c r="B2491" s="1">
        <v>34.08</v>
      </c>
      <c r="C2491" s="1">
        <v>34.090000000000003</v>
      </c>
      <c r="D2491" s="2" t="s">
        <v>292</v>
      </c>
      <c r="E2491" s="8">
        <v>1765.1319000000001</v>
      </c>
      <c r="F2491" s="8">
        <f>F2481</f>
        <v>0.2</v>
      </c>
      <c r="G2491" s="8">
        <f>E2491+F2491</f>
        <v>1765.3319000000001</v>
      </c>
      <c r="H2491" s="3">
        <f>B2491*G2491</f>
        <v>60162.511151999999</v>
      </c>
      <c r="I2491" s="3">
        <f>C2491*G2491</f>
        <v>60180.164471000011</v>
      </c>
    </row>
    <row r="2492" spans="1:9" x14ac:dyDescent="0.25">
      <c r="A2492" t="s">
        <v>4</v>
      </c>
      <c r="B2492" s="1">
        <v>19.95</v>
      </c>
      <c r="C2492" s="1">
        <v>19.96</v>
      </c>
      <c r="D2492" s="2" t="s">
        <v>293</v>
      </c>
      <c r="E2492" s="8">
        <v>3015.0526</v>
      </c>
      <c r="F2492" s="8">
        <f>F2482</f>
        <v>0</v>
      </c>
      <c r="G2492" s="8">
        <f>E2492+F2492</f>
        <v>3015.0526</v>
      </c>
      <c r="H2492" s="3">
        <f>B2492*G2492</f>
        <v>60150.299370000001</v>
      </c>
      <c r="I2492" s="3">
        <f>C2492*G2492</f>
        <v>60180.449896000006</v>
      </c>
    </row>
    <row r="2493" spans="1:9" x14ac:dyDescent="0.25">
      <c r="A2493" t="s">
        <v>6</v>
      </c>
      <c r="B2493" s="1">
        <v>32.65</v>
      </c>
      <c r="C2493" s="1">
        <v>32.659999999999997</v>
      </c>
      <c r="D2493" s="2" t="s">
        <v>293</v>
      </c>
      <c r="E2493" s="8">
        <v>1842.1811</v>
      </c>
      <c r="F2493" s="8">
        <f>F2483</f>
        <v>-0.1</v>
      </c>
      <c r="G2493" s="8">
        <f>E2493+F2493</f>
        <v>1842.0811000000001</v>
      </c>
      <c r="H2493" s="3">
        <f>B2493*G2493</f>
        <v>60143.947915000004</v>
      </c>
      <c r="I2493" s="3">
        <f>C2493*G2493</f>
        <v>60162.368726000001</v>
      </c>
    </row>
    <row r="2494" spans="1:9" x14ac:dyDescent="0.25">
      <c r="A2494" t="s">
        <v>7</v>
      </c>
      <c r="B2494" s="1">
        <v>16.95</v>
      </c>
      <c r="C2494" s="1">
        <v>16.96</v>
      </c>
      <c r="D2494" s="2" t="s">
        <v>293</v>
      </c>
      <c r="E2494" s="8">
        <v>3546.7323000000001</v>
      </c>
      <c r="F2494" s="8">
        <f>F2484</f>
        <v>0</v>
      </c>
      <c r="G2494" s="8">
        <f>E2494+F2494</f>
        <v>3546.7323000000001</v>
      </c>
      <c r="H2494" s="3">
        <f>B2494*G2494</f>
        <v>60117.112484999998</v>
      </c>
      <c r="I2494" s="3">
        <f>C2494*G2494</f>
        <v>60152.579808000002</v>
      </c>
    </row>
    <row r="2495" spans="1:9" x14ac:dyDescent="0.25">
      <c r="A2495" t="s">
        <v>8</v>
      </c>
      <c r="B2495" s="1">
        <v>26.6</v>
      </c>
      <c r="C2495" s="1">
        <v>26.61</v>
      </c>
      <c r="D2495" s="2" t="s">
        <v>293</v>
      </c>
      <c r="E2495" s="8">
        <v>2261.3973999999998</v>
      </c>
      <c r="F2495" s="8">
        <f>F2485</f>
        <v>-0.2</v>
      </c>
      <c r="G2495" s="8">
        <f>E2495+F2495</f>
        <v>2261.1974</v>
      </c>
      <c r="H2495" s="3">
        <f>B2495*G2495</f>
        <v>60147.850840000006</v>
      </c>
      <c r="I2495" s="3">
        <f>C2495*G2495</f>
        <v>60170.462813999999</v>
      </c>
    </row>
    <row r="2496" spans="1:9" x14ac:dyDescent="0.25">
      <c r="A2496" t="s">
        <v>9</v>
      </c>
      <c r="B2496" s="1">
        <v>63.51</v>
      </c>
      <c r="C2496" s="1">
        <v>63.59</v>
      </c>
      <c r="D2496" s="2" t="s">
        <v>293</v>
      </c>
      <c r="E2496" s="8">
        <v>946.17539999999997</v>
      </c>
      <c r="F2496" s="8">
        <f>F2486</f>
        <v>0</v>
      </c>
      <c r="G2496" s="8">
        <f>E2496+F2496</f>
        <v>946.17539999999997</v>
      </c>
      <c r="H2496" s="3">
        <f>B2496*G2496</f>
        <v>60091.599653999998</v>
      </c>
      <c r="I2496" s="3">
        <f>C2496*G2496</f>
        <v>60167.293686000005</v>
      </c>
    </row>
    <row r="2497" spans="1:9" x14ac:dyDescent="0.25">
      <c r="A2497" t="s">
        <v>10</v>
      </c>
      <c r="B2497" s="1">
        <v>34.75</v>
      </c>
      <c r="C2497" s="1">
        <v>34.78</v>
      </c>
      <c r="D2497" s="2" t="s">
        <v>293</v>
      </c>
      <c r="E2497" s="8">
        <v>1730.1718000000001</v>
      </c>
      <c r="F2497" s="8">
        <f>F2487</f>
        <v>0.2</v>
      </c>
      <c r="G2497" s="8">
        <f>E2497+F2497</f>
        <v>1730.3718000000001</v>
      </c>
      <c r="H2497" s="3">
        <f>B2497*G2497</f>
        <v>60130.420050000001</v>
      </c>
      <c r="I2497" s="3">
        <f>C2497*G2497</f>
        <v>60182.331204000009</v>
      </c>
    </row>
    <row r="2498" spans="1:9" x14ac:dyDescent="0.25">
      <c r="A2498" t="s">
        <v>11</v>
      </c>
      <c r="B2498" s="1">
        <v>52.35</v>
      </c>
      <c r="C2498" s="1">
        <v>52.36</v>
      </c>
      <c r="D2498" s="2" t="s">
        <v>293</v>
      </c>
      <c r="E2498" s="8">
        <v>1148.9005999999999</v>
      </c>
      <c r="F2498" s="8">
        <f>F2488</f>
        <v>0.05</v>
      </c>
      <c r="G2498" s="8">
        <f>E2498+F2498</f>
        <v>1148.9505999999999</v>
      </c>
      <c r="H2498" s="3">
        <f>B2498*G2498</f>
        <v>60147.563909999997</v>
      </c>
      <c r="I2498" s="3">
        <f>C2498*G2498</f>
        <v>60159.053415999995</v>
      </c>
    </row>
    <row r="2499" spans="1:9" x14ac:dyDescent="0.25">
      <c r="A2499" t="s">
        <v>12</v>
      </c>
      <c r="B2499" s="1">
        <v>46.65</v>
      </c>
      <c r="C2499" s="1">
        <v>46.66</v>
      </c>
      <c r="D2499" s="2" t="s">
        <v>293</v>
      </c>
      <c r="E2499" s="8">
        <v>1289.2795000000001</v>
      </c>
      <c r="F2499" s="8">
        <f>F2489</f>
        <v>0</v>
      </c>
      <c r="G2499" s="8">
        <f>E2499+F2499</f>
        <v>1289.2795000000001</v>
      </c>
      <c r="H2499" s="3">
        <f>B2499*G2499</f>
        <v>60144.888675000002</v>
      </c>
      <c r="I2499" s="3">
        <f>C2499*G2499</f>
        <v>60157.781470000002</v>
      </c>
    </row>
    <row r="2500" spans="1:9" x14ac:dyDescent="0.25">
      <c r="A2500" t="s">
        <v>13</v>
      </c>
      <c r="B2500" s="1">
        <v>17</v>
      </c>
      <c r="C2500" s="1">
        <v>17.010000000000002</v>
      </c>
      <c r="D2500" s="2" t="s">
        <v>293</v>
      </c>
      <c r="E2500" s="8">
        <v>3535.8029000000001</v>
      </c>
      <c r="F2500" s="8">
        <f>F2490</f>
        <v>0</v>
      </c>
      <c r="G2500" s="8">
        <f>E2500+F2500</f>
        <v>3535.8029000000001</v>
      </c>
      <c r="H2500" s="3">
        <f>B2500*G2500</f>
        <v>60108.649300000005</v>
      </c>
      <c r="I2500" s="3">
        <f>C2500*G2500</f>
        <v>60144.007329000007</v>
      </c>
    </row>
    <row r="2501" spans="1:9" x14ac:dyDescent="0.25">
      <c r="A2501" t="s">
        <v>14</v>
      </c>
      <c r="B2501" s="1">
        <v>34.06</v>
      </c>
      <c r="C2501" s="1">
        <v>34.07</v>
      </c>
      <c r="D2501" s="2" t="s">
        <v>293</v>
      </c>
      <c r="E2501" s="8">
        <v>1765.1319000000001</v>
      </c>
      <c r="F2501" s="8">
        <f>F2491</f>
        <v>0.2</v>
      </c>
      <c r="G2501" s="8">
        <f>E2501+F2501</f>
        <v>1765.3319000000001</v>
      </c>
      <c r="H2501" s="3">
        <f>B2501*G2501</f>
        <v>60127.204514000012</v>
      </c>
      <c r="I2501" s="3">
        <f>C2501*G2501</f>
        <v>60144.857833000002</v>
      </c>
    </row>
    <row r="2502" spans="1:9" x14ac:dyDescent="0.25">
      <c r="A2502" t="s">
        <v>4</v>
      </c>
      <c r="B2502" s="1">
        <v>19.88</v>
      </c>
      <c r="C2502" s="1">
        <v>19.89</v>
      </c>
      <c r="D2502" s="2" t="s">
        <v>294</v>
      </c>
      <c r="E2502" s="8">
        <v>3015.0526</v>
      </c>
      <c r="F2502" s="8">
        <f>F2492</f>
        <v>0</v>
      </c>
      <c r="G2502" s="8">
        <f>E2502+F2502</f>
        <v>3015.0526</v>
      </c>
      <c r="H2502" s="3">
        <f>B2502*G2502</f>
        <v>59939.245687999995</v>
      </c>
      <c r="I2502" s="3">
        <f>C2502*G2502</f>
        <v>59969.396214</v>
      </c>
    </row>
    <row r="2503" spans="1:9" x14ac:dyDescent="0.25">
      <c r="A2503" t="s">
        <v>6</v>
      </c>
      <c r="B2503" s="1">
        <v>32.54</v>
      </c>
      <c r="C2503" s="1">
        <v>32.549999999999997</v>
      </c>
      <c r="D2503" s="2" t="s">
        <v>294</v>
      </c>
      <c r="E2503" s="8">
        <v>1842.1811</v>
      </c>
      <c r="F2503" s="8">
        <f>F2493</f>
        <v>-0.1</v>
      </c>
      <c r="G2503" s="8">
        <f>E2503+F2503</f>
        <v>1842.0811000000001</v>
      </c>
      <c r="H2503" s="3">
        <f>B2503*G2503</f>
        <v>59941.318994000001</v>
      </c>
      <c r="I2503" s="3">
        <f>C2503*G2503</f>
        <v>59959.739804999997</v>
      </c>
    </row>
    <row r="2504" spans="1:9" x14ac:dyDescent="0.25">
      <c r="A2504" t="s">
        <v>7</v>
      </c>
      <c r="B2504" s="1">
        <v>16.899999999999999</v>
      </c>
      <c r="C2504" s="1">
        <v>16.91</v>
      </c>
      <c r="D2504" s="2" t="s">
        <v>294</v>
      </c>
      <c r="E2504" s="8">
        <v>3546.7323000000001</v>
      </c>
      <c r="F2504" s="8">
        <f>F2494</f>
        <v>0</v>
      </c>
      <c r="G2504" s="8">
        <f>E2504+F2504</f>
        <v>3546.7323000000001</v>
      </c>
      <c r="H2504" s="3">
        <f>B2504*G2504</f>
        <v>59939.775869999998</v>
      </c>
      <c r="I2504" s="3">
        <f>C2504*G2504</f>
        <v>59975.243193000002</v>
      </c>
    </row>
    <row r="2505" spans="1:9" x14ac:dyDescent="0.25">
      <c r="A2505" t="s">
        <v>8</v>
      </c>
      <c r="B2505" s="1">
        <v>26.51</v>
      </c>
      <c r="C2505" s="1">
        <v>26.52</v>
      </c>
      <c r="D2505" s="2" t="s">
        <v>294</v>
      </c>
      <c r="E2505" s="8">
        <v>2261.3973999999998</v>
      </c>
      <c r="F2505" s="8">
        <f>F2495</f>
        <v>-0.2</v>
      </c>
      <c r="G2505" s="8">
        <f>E2505+F2505</f>
        <v>2261.1974</v>
      </c>
      <c r="H2505" s="3">
        <f>B2505*G2505</f>
        <v>59944.343074000004</v>
      </c>
      <c r="I2505" s="3">
        <f>C2505*G2505</f>
        <v>59966.955047999996</v>
      </c>
    </row>
    <row r="2506" spans="1:9" x14ac:dyDescent="0.25">
      <c r="A2506" t="s">
        <v>9</v>
      </c>
      <c r="B2506" s="1">
        <v>63.28</v>
      </c>
      <c r="C2506" s="1">
        <v>63.41</v>
      </c>
      <c r="D2506" s="2" t="s">
        <v>294</v>
      </c>
      <c r="E2506" s="8">
        <v>946.17539999999997</v>
      </c>
      <c r="F2506" s="8">
        <f>F2496</f>
        <v>0</v>
      </c>
      <c r="G2506" s="8">
        <f>E2506+F2506</f>
        <v>946.17539999999997</v>
      </c>
      <c r="H2506" s="3">
        <f>B2506*G2506</f>
        <v>59873.979311999996</v>
      </c>
      <c r="I2506" s="3">
        <f>C2506*G2506</f>
        <v>59996.982113999991</v>
      </c>
    </row>
    <row r="2507" spans="1:9" x14ac:dyDescent="0.25">
      <c r="A2507" t="s">
        <v>10</v>
      </c>
      <c r="B2507" s="1">
        <v>34.619999999999997</v>
      </c>
      <c r="C2507" s="1">
        <v>34.659999999999997</v>
      </c>
      <c r="D2507" s="2" t="s">
        <v>294</v>
      </c>
      <c r="E2507" s="8">
        <v>1730.1718000000001</v>
      </c>
      <c r="F2507" s="8">
        <f>F2497</f>
        <v>0.2</v>
      </c>
      <c r="G2507" s="8">
        <f>E2507+F2507</f>
        <v>1730.3718000000001</v>
      </c>
      <c r="H2507" s="3">
        <f>B2507*G2507</f>
        <v>59905.471716</v>
      </c>
      <c r="I2507" s="3">
        <f>C2507*G2507</f>
        <v>59974.686587999997</v>
      </c>
    </row>
    <row r="2508" spans="1:9" x14ac:dyDescent="0.25">
      <c r="A2508" t="s">
        <v>11</v>
      </c>
      <c r="B2508" s="1">
        <v>52.17</v>
      </c>
      <c r="C2508" s="1">
        <v>52.18</v>
      </c>
      <c r="D2508" s="2" t="s">
        <v>294</v>
      </c>
      <c r="E2508" s="8">
        <v>1148.9005999999999</v>
      </c>
      <c r="F2508" s="8">
        <f>F2498</f>
        <v>0.05</v>
      </c>
      <c r="G2508" s="8">
        <f>E2508+F2508</f>
        <v>1148.9505999999999</v>
      </c>
      <c r="H2508" s="3">
        <f>B2508*G2508</f>
        <v>59940.752801999995</v>
      </c>
      <c r="I2508" s="3">
        <f>C2508*G2508</f>
        <v>59952.242307999993</v>
      </c>
    </row>
    <row r="2509" spans="1:9" x14ac:dyDescent="0.25">
      <c r="A2509" t="s">
        <v>12</v>
      </c>
      <c r="B2509" s="1">
        <v>46.5</v>
      </c>
      <c r="C2509" s="1">
        <v>46.51</v>
      </c>
      <c r="D2509" s="2" t="s">
        <v>294</v>
      </c>
      <c r="E2509" s="8">
        <v>1289.2795000000001</v>
      </c>
      <c r="F2509" s="8">
        <f>F2499</f>
        <v>0</v>
      </c>
      <c r="G2509" s="8">
        <f>E2509+F2509</f>
        <v>1289.2795000000001</v>
      </c>
      <c r="H2509" s="3">
        <f>B2509*G2509</f>
        <v>59951.496750000006</v>
      </c>
      <c r="I2509" s="3">
        <f>C2509*G2509</f>
        <v>59964.389545000005</v>
      </c>
    </row>
    <row r="2510" spans="1:9" x14ac:dyDescent="0.25">
      <c r="A2510" t="s">
        <v>13</v>
      </c>
      <c r="B2510" s="1">
        <v>16.95</v>
      </c>
      <c r="C2510" s="1">
        <v>16.96</v>
      </c>
      <c r="D2510" s="2" t="s">
        <v>294</v>
      </c>
      <c r="E2510" s="8">
        <v>3535.8029000000001</v>
      </c>
      <c r="F2510" s="8">
        <f>F2500</f>
        <v>0</v>
      </c>
      <c r="G2510" s="8">
        <f>E2510+F2510</f>
        <v>3535.8029000000001</v>
      </c>
      <c r="H2510" s="3">
        <f>B2510*G2510</f>
        <v>59931.859154999998</v>
      </c>
      <c r="I2510" s="3">
        <f>C2510*G2510</f>
        <v>59967.217184000008</v>
      </c>
    </row>
    <row r="2511" spans="1:9" x14ac:dyDescent="0.25">
      <c r="A2511" t="s">
        <v>14</v>
      </c>
      <c r="B2511" s="1">
        <v>33.950000000000003</v>
      </c>
      <c r="C2511" s="1">
        <v>33.96</v>
      </c>
      <c r="D2511" s="2" t="s">
        <v>294</v>
      </c>
      <c r="E2511" s="8">
        <v>1765.1319000000001</v>
      </c>
      <c r="F2511" s="8">
        <f>F2501</f>
        <v>0.2</v>
      </c>
      <c r="G2511" s="8">
        <f>E2511+F2511</f>
        <v>1765.3319000000001</v>
      </c>
      <c r="H2511" s="3">
        <f>B2511*G2511</f>
        <v>59933.018005000013</v>
      </c>
      <c r="I2511" s="3">
        <f>C2511*G2511</f>
        <v>59950.671324000003</v>
      </c>
    </row>
    <row r="2512" spans="1:9" x14ac:dyDescent="0.25">
      <c r="A2512" t="s">
        <v>4</v>
      </c>
      <c r="B2512" s="1">
        <v>19.96</v>
      </c>
      <c r="C2512" s="1">
        <v>19.97</v>
      </c>
      <c r="D2512" s="2" t="s">
        <v>295</v>
      </c>
      <c r="E2512" s="8">
        <v>3015.0526</v>
      </c>
      <c r="F2512" s="8">
        <f>F2502</f>
        <v>0</v>
      </c>
      <c r="G2512" s="8">
        <f>E2512+F2512</f>
        <v>3015.0526</v>
      </c>
      <c r="H2512" s="3">
        <f>B2512*G2512</f>
        <v>60180.449896000006</v>
      </c>
      <c r="I2512" s="3">
        <f>C2512*G2512</f>
        <v>60210.600421999996</v>
      </c>
    </row>
    <row r="2513" spans="1:9" x14ac:dyDescent="0.25">
      <c r="A2513" t="s">
        <v>6</v>
      </c>
      <c r="B2513" s="1">
        <v>32.659999999999997</v>
      </c>
      <c r="C2513" s="1">
        <v>32.67</v>
      </c>
      <c r="D2513" s="2" t="s">
        <v>295</v>
      </c>
      <c r="E2513" s="8">
        <v>1842.1811</v>
      </c>
      <c r="F2513" s="8">
        <f>F2503</f>
        <v>-0.1</v>
      </c>
      <c r="G2513" s="8">
        <f>E2513+F2513</f>
        <v>1842.0811000000001</v>
      </c>
      <c r="H2513" s="3">
        <f>B2513*G2513</f>
        <v>60162.368726000001</v>
      </c>
      <c r="I2513" s="3">
        <f>C2513*G2513</f>
        <v>60180.789537000004</v>
      </c>
    </row>
    <row r="2514" spans="1:9" x14ac:dyDescent="0.25">
      <c r="A2514" t="s">
        <v>7</v>
      </c>
      <c r="B2514" s="1">
        <v>16.96</v>
      </c>
      <c r="C2514" s="1">
        <v>16.97</v>
      </c>
      <c r="D2514" s="2" t="s">
        <v>295</v>
      </c>
      <c r="E2514" s="8">
        <v>3546.7323000000001</v>
      </c>
      <c r="F2514" s="8">
        <f>F2504</f>
        <v>0</v>
      </c>
      <c r="G2514" s="8">
        <f>E2514+F2514</f>
        <v>3546.7323000000001</v>
      </c>
      <c r="H2514" s="3">
        <f>B2514*G2514</f>
        <v>60152.579808000002</v>
      </c>
      <c r="I2514" s="3">
        <f>C2514*G2514</f>
        <v>60188.047130999999</v>
      </c>
    </row>
    <row r="2515" spans="1:9" x14ac:dyDescent="0.25">
      <c r="A2515" t="s">
        <v>8</v>
      </c>
      <c r="B2515" s="1">
        <v>26.61</v>
      </c>
      <c r="C2515" s="1">
        <v>26.62</v>
      </c>
      <c r="D2515" s="2" t="s">
        <v>295</v>
      </c>
      <c r="E2515" s="8">
        <v>2261.3973999999998</v>
      </c>
      <c r="F2515" s="8">
        <f>F2505</f>
        <v>-0.2</v>
      </c>
      <c r="G2515" s="8">
        <f>E2515+F2515</f>
        <v>2261.1974</v>
      </c>
      <c r="H2515" s="3">
        <f>B2515*G2515</f>
        <v>60170.462813999999</v>
      </c>
      <c r="I2515" s="3">
        <f>C2515*G2515</f>
        <v>60193.074788000005</v>
      </c>
    </row>
    <row r="2516" spans="1:9" x14ac:dyDescent="0.25">
      <c r="A2516" t="s">
        <v>9</v>
      </c>
      <c r="B2516" s="1">
        <v>63.52</v>
      </c>
      <c r="C2516" s="1">
        <v>63.62</v>
      </c>
      <c r="D2516" s="2" t="s">
        <v>295</v>
      </c>
      <c r="E2516" s="8">
        <v>946.17539999999997</v>
      </c>
      <c r="F2516" s="8">
        <f>F2506</f>
        <v>0</v>
      </c>
      <c r="G2516" s="8">
        <f>E2516+F2516</f>
        <v>946.17539999999997</v>
      </c>
      <c r="H2516" s="3">
        <f>B2516*G2516</f>
        <v>60101.061408000001</v>
      </c>
      <c r="I2516" s="3">
        <f>C2516*G2516</f>
        <v>60195.678947999993</v>
      </c>
    </row>
    <row r="2517" spans="1:9" x14ac:dyDescent="0.25">
      <c r="A2517" t="s">
        <v>10</v>
      </c>
      <c r="B2517" s="1">
        <v>34.770000000000003</v>
      </c>
      <c r="C2517" s="1">
        <v>34.79</v>
      </c>
      <c r="D2517" s="2" t="s">
        <v>295</v>
      </c>
      <c r="E2517" s="8">
        <v>1730.1718000000001</v>
      </c>
      <c r="F2517" s="8">
        <f>F2507</f>
        <v>0.2</v>
      </c>
      <c r="G2517" s="8">
        <f>E2517+F2517</f>
        <v>1730.3718000000001</v>
      </c>
      <c r="H2517" s="3">
        <f>B2517*G2517</f>
        <v>60165.027486000006</v>
      </c>
      <c r="I2517" s="3">
        <f>C2517*G2517</f>
        <v>60199.634922000005</v>
      </c>
    </row>
    <row r="2518" spans="1:9" x14ac:dyDescent="0.25">
      <c r="A2518" t="s">
        <v>11</v>
      </c>
      <c r="B2518" s="1">
        <v>52.37</v>
      </c>
      <c r="C2518" s="1">
        <v>52.38</v>
      </c>
      <c r="D2518" s="2" t="s">
        <v>295</v>
      </c>
      <c r="E2518" s="8">
        <v>1148.9005999999999</v>
      </c>
      <c r="F2518" s="8">
        <f>F2508</f>
        <v>0.05</v>
      </c>
      <c r="G2518" s="8">
        <f>E2518+F2518</f>
        <v>1148.9505999999999</v>
      </c>
      <c r="H2518" s="3">
        <f>B2518*G2518</f>
        <v>60170.542921999993</v>
      </c>
      <c r="I2518" s="3">
        <f>C2518*G2518</f>
        <v>60182.032427999999</v>
      </c>
    </row>
    <row r="2519" spans="1:9" x14ac:dyDescent="0.25">
      <c r="A2519" t="s">
        <v>12</v>
      </c>
      <c r="B2519" s="1">
        <v>46.67</v>
      </c>
      <c r="C2519" s="1">
        <v>46.68</v>
      </c>
      <c r="D2519" s="2" t="s">
        <v>295</v>
      </c>
      <c r="E2519" s="8">
        <v>1289.2795000000001</v>
      </c>
      <c r="F2519" s="8">
        <f>F2509</f>
        <v>0</v>
      </c>
      <c r="G2519" s="8">
        <f>E2519+F2519</f>
        <v>1289.2795000000001</v>
      </c>
      <c r="H2519" s="3">
        <f>B2519*G2519</f>
        <v>60170.674265000009</v>
      </c>
      <c r="I2519" s="3">
        <f>C2519*G2519</f>
        <v>60183.567060000001</v>
      </c>
    </row>
    <row r="2520" spans="1:9" x14ac:dyDescent="0.25">
      <c r="A2520" t="s">
        <v>13</v>
      </c>
      <c r="B2520" s="1">
        <v>17.010000000000002</v>
      </c>
      <c r="C2520" s="1">
        <v>17.02</v>
      </c>
      <c r="D2520" s="2" t="s">
        <v>295</v>
      </c>
      <c r="E2520" s="8">
        <v>3535.8029000000001</v>
      </c>
      <c r="F2520" s="8">
        <f>F2510</f>
        <v>0</v>
      </c>
      <c r="G2520" s="8">
        <f>E2520+F2520</f>
        <v>3535.8029000000001</v>
      </c>
      <c r="H2520" s="3">
        <f>B2520*G2520</f>
        <v>60144.007329000007</v>
      </c>
      <c r="I2520" s="3">
        <f>C2520*G2520</f>
        <v>60179.365358000003</v>
      </c>
    </row>
    <row r="2521" spans="1:9" x14ac:dyDescent="0.25">
      <c r="A2521" t="s">
        <v>14</v>
      </c>
      <c r="B2521" s="1">
        <v>34.08</v>
      </c>
      <c r="C2521" s="1">
        <v>34.090000000000003</v>
      </c>
      <c r="D2521" s="2" t="s">
        <v>295</v>
      </c>
      <c r="E2521" s="8">
        <v>1765.1319000000001</v>
      </c>
      <c r="F2521" s="8">
        <f>F2511</f>
        <v>0.2</v>
      </c>
      <c r="G2521" s="8">
        <f>E2521+F2521</f>
        <v>1765.3319000000001</v>
      </c>
      <c r="H2521" s="3">
        <f>B2521*G2521</f>
        <v>60162.511151999999</v>
      </c>
      <c r="I2521" s="3">
        <f>C2521*G2521</f>
        <v>60180.164471000011</v>
      </c>
    </row>
    <row r="2522" spans="1:9" x14ac:dyDescent="0.25">
      <c r="A2522" t="s">
        <v>4</v>
      </c>
      <c r="B2522" s="1">
        <v>19.91</v>
      </c>
      <c r="C2522" s="1">
        <v>19.920000000000002</v>
      </c>
      <c r="D2522" s="2" t="s">
        <v>296</v>
      </c>
      <c r="E2522" s="8">
        <v>3015.0526</v>
      </c>
      <c r="F2522" s="8">
        <f>F2512</f>
        <v>0</v>
      </c>
      <c r="G2522" s="8">
        <f>E2522+F2522</f>
        <v>3015.0526</v>
      </c>
      <c r="H2522" s="3">
        <f>B2522*G2522</f>
        <v>60029.697266000003</v>
      </c>
      <c r="I2522" s="3">
        <f>C2522*G2522</f>
        <v>60059.847792000008</v>
      </c>
    </row>
    <row r="2523" spans="1:9" x14ac:dyDescent="0.25">
      <c r="A2523" t="s">
        <v>6</v>
      </c>
      <c r="B2523" s="1">
        <v>32.57</v>
      </c>
      <c r="C2523" s="1">
        <v>32.58</v>
      </c>
      <c r="D2523" s="2" t="s">
        <v>296</v>
      </c>
      <c r="E2523" s="8">
        <v>1842.1811</v>
      </c>
      <c r="F2523" s="8">
        <f>F2513</f>
        <v>-0.1</v>
      </c>
      <c r="G2523" s="8">
        <f>E2523+F2523</f>
        <v>1842.0811000000001</v>
      </c>
      <c r="H2523" s="3">
        <f>B2523*G2523</f>
        <v>59996.581427000005</v>
      </c>
      <c r="I2523" s="3">
        <f>C2523*G2523</f>
        <v>60015.002238000001</v>
      </c>
    </row>
    <row r="2524" spans="1:9" x14ac:dyDescent="0.25">
      <c r="A2524" t="s">
        <v>7</v>
      </c>
      <c r="B2524" s="1">
        <v>16.91</v>
      </c>
      <c r="C2524" s="1">
        <v>16.920000000000002</v>
      </c>
      <c r="D2524" s="2" t="s">
        <v>296</v>
      </c>
      <c r="E2524" s="8">
        <v>3546.7323000000001</v>
      </c>
      <c r="F2524" s="8">
        <f>F2514</f>
        <v>0</v>
      </c>
      <c r="G2524" s="8">
        <f>E2524+F2524</f>
        <v>3546.7323000000001</v>
      </c>
      <c r="H2524" s="3">
        <f>B2524*G2524</f>
        <v>59975.243193000002</v>
      </c>
      <c r="I2524" s="3">
        <f>C2524*G2524</f>
        <v>60010.710516000006</v>
      </c>
    </row>
    <row r="2525" spans="1:9" x14ac:dyDescent="0.25">
      <c r="A2525" t="s">
        <v>8</v>
      </c>
      <c r="B2525" s="1">
        <v>26.54</v>
      </c>
      <c r="C2525" s="1">
        <v>26.55</v>
      </c>
      <c r="D2525" s="2" t="s">
        <v>296</v>
      </c>
      <c r="E2525" s="8">
        <v>2261.3973999999998</v>
      </c>
      <c r="F2525" s="8">
        <f>F2515</f>
        <v>-0.2</v>
      </c>
      <c r="G2525" s="8">
        <f>E2525+F2525</f>
        <v>2261.1974</v>
      </c>
      <c r="H2525" s="3">
        <f>B2525*G2525</f>
        <v>60012.178995999995</v>
      </c>
      <c r="I2525" s="3">
        <f>C2525*G2525</f>
        <v>60034.790970000002</v>
      </c>
    </row>
    <row r="2526" spans="1:9" x14ac:dyDescent="0.25">
      <c r="A2526" t="s">
        <v>9</v>
      </c>
      <c r="B2526" s="1">
        <v>63.37</v>
      </c>
      <c r="C2526" s="1">
        <v>63.47</v>
      </c>
      <c r="D2526" s="2" t="s">
        <v>296</v>
      </c>
      <c r="E2526" s="8">
        <v>946.17539999999997</v>
      </c>
      <c r="F2526" s="8">
        <f>F2516</f>
        <v>0</v>
      </c>
      <c r="G2526" s="8">
        <f>E2526+F2526</f>
        <v>946.17539999999997</v>
      </c>
      <c r="H2526" s="3">
        <f>B2526*G2526</f>
        <v>59959.135097999999</v>
      </c>
      <c r="I2526" s="3">
        <f>C2526*G2526</f>
        <v>60053.752637999998</v>
      </c>
    </row>
    <row r="2527" spans="1:9" x14ac:dyDescent="0.25">
      <c r="A2527" t="s">
        <v>10</v>
      </c>
      <c r="B2527" s="1">
        <v>34.67</v>
      </c>
      <c r="C2527" s="1">
        <v>34.69</v>
      </c>
      <c r="D2527" s="2" t="s">
        <v>296</v>
      </c>
      <c r="E2527" s="8">
        <v>1730.1718000000001</v>
      </c>
      <c r="F2527" s="8">
        <f>F2517</f>
        <v>0.2</v>
      </c>
      <c r="G2527" s="8">
        <f>E2527+F2527</f>
        <v>1730.3718000000001</v>
      </c>
      <c r="H2527" s="3">
        <f>B2527*G2527</f>
        <v>59991.990306000007</v>
      </c>
      <c r="I2527" s="3">
        <f>C2527*G2527</f>
        <v>60026.597741999998</v>
      </c>
    </row>
    <row r="2528" spans="1:9" x14ac:dyDescent="0.25">
      <c r="A2528" t="s">
        <v>11</v>
      </c>
      <c r="B2528" s="1">
        <v>52.22</v>
      </c>
      <c r="C2528" s="1">
        <v>52.23</v>
      </c>
      <c r="D2528" s="2" t="s">
        <v>296</v>
      </c>
      <c r="E2528" s="8">
        <v>1148.9005999999999</v>
      </c>
      <c r="F2528" s="8">
        <f>F2518</f>
        <v>0.05</v>
      </c>
      <c r="G2528" s="8">
        <f>E2528+F2528</f>
        <v>1148.9505999999999</v>
      </c>
      <c r="H2528" s="3">
        <f>B2528*G2528</f>
        <v>59998.200331999993</v>
      </c>
      <c r="I2528" s="3">
        <f>C2528*G2528</f>
        <v>60009.689837999991</v>
      </c>
    </row>
    <row r="2529" spans="1:9" x14ac:dyDescent="0.25">
      <c r="A2529" t="s">
        <v>12</v>
      </c>
      <c r="B2529" s="1">
        <v>46.54</v>
      </c>
      <c r="C2529" s="1">
        <v>46.55</v>
      </c>
      <c r="D2529" s="2" t="s">
        <v>296</v>
      </c>
      <c r="E2529" s="8">
        <v>1289.2795000000001</v>
      </c>
      <c r="F2529" s="8">
        <f>F2519</f>
        <v>0</v>
      </c>
      <c r="G2529" s="8">
        <f>E2529+F2529</f>
        <v>1289.2795000000001</v>
      </c>
      <c r="H2529" s="3">
        <f>B2529*G2529</f>
        <v>60003.067930000005</v>
      </c>
      <c r="I2529" s="3">
        <f>C2529*G2529</f>
        <v>60015.960725000004</v>
      </c>
    </row>
    <row r="2530" spans="1:9" x14ac:dyDescent="0.25">
      <c r="A2530" t="s">
        <v>13</v>
      </c>
      <c r="B2530" s="1">
        <v>16.97</v>
      </c>
      <c r="C2530" s="1">
        <v>16.98</v>
      </c>
      <c r="D2530" s="2" t="s">
        <v>296</v>
      </c>
      <c r="E2530" s="8">
        <v>3535.8029000000001</v>
      </c>
      <c r="F2530" s="8">
        <f>F2520</f>
        <v>0</v>
      </c>
      <c r="G2530" s="8">
        <f>E2530+F2530</f>
        <v>3535.8029000000001</v>
      </c>
      <c r="H2530" s="3">
        <f>B2530*G2530</f>
        <v>60002.575212999996</v>
      </c>
      <c r="I2530" s="3">
        <f>C2530*G2530</f>
        <v>60037.933242000006</v>
      </c>
    </row>
    <row r="2531" spans="1:9" x14ac:dyDescent="0.25">
      <c r="A2531" t="s">
        <v>14</v>
      </c>
      <c r="B2531" s="1">
        <v>33.979999999999997</v>
      </c>
      <c r="C2531" s="1">
        <v>33.99</v>
      </c>
      <c r="D2531" s="2" t="s">
        <v>296</v>
      </c>
      <c r="E2531" s="8">
        <v>1765.1319000000001</v>
      </c>
      <c r="F2531" s="8">
        <f>F2521</f>
        <v>0.2</v>
      </c>
      <c r="G2531" s="8">
        <f>E2531+F2531</f>
        <v>1765.3319000000001</v>
      </c>
      <c r="H2531" s="3">
        <f>B2531*G2531</f>
        <v>59985.977961999997</v>
      </c>
      <c r="I2531" s="3">
        <f>C2531*G2531</f>
        <v>60003.631281000009</v>
      </c>
    </row>
    <row r="2532" spans="1:9" x14ac:dyDescent="0.25">
      <c r="A2532" t="s">
        <v>4</v>
      </c>
      <c r="B2532" s="1">
        <v>19.95</v>
      </c>
      <c r="C2532" s="1">
        <v>19.96</v>
      </c>
      <c r="D2532" s="2" t="s">
        <v>297</v>
      </c>
      <c r="E2532" s="8">
        <v>3015.0526</v>
      </c>
      <c r="F2532" s="8">
        <f>F2522</f>
        <v>0</v>
      </c>
      <c r="G2532" s="8">
        <f>E2532+F2532</f>
        <v>3015.0526</v>
      </c>
      <c r="H2532" s="3">
        <f>B2532*G2532</f>
        <v>60150.299370000001</v>
      </c>
      <c r="I2532" s="3">
        <f>C2532*G2532</f>
        <v>60180.449896000006</v>
      </c>
    </row>
    <row r="2533" spans="1:9" x14ac:dyDescent="0.25">
      <c r="A2533" t="s">
        <v>6</v>
      </c>
      <c r="B2533" s="1">
        <v>32.65</v>
      </c>
      <c r="C2533" s="1">
        <v>32.659999999999997</v>
      </c>
      <c r="D2533" s="2" t="s">
        <v>297</v>
      </c>
      <c r="E2533" s="8">
        <v>1842.1811</v>
      </c>
      <c r="F2533" s="8">
        <f>F2523</f>
        <v>-0.1</v>
      </c>
      <c r="G2533" s="8">
        <f>E2533+F2533</f>
        <v>1842.0811000000001</v>
      </c>
      <c r="H2533" s="3">
        <f>B2533*G2533</f>
        <v>60143.947915000004</v>
      </c>
      <c r="I2533" s="3">
        <f>C2533*G2533</f>
        <v>60162.368726000001</v>
      </c>
    </row>
    <row r="2534" spans="1:9" x14ac:dyDescent="0.25">
      <c r="A2534" t="s">
        <v>7</v>
      </c>
      <c r="B2534" s="1">
        <v>16.95</v>
      </c>
      <c r="C2534" s="1">
        <v>16.96</v>
      </c>
      <c r="D2534" s="2" t="s">
        <v>297</v>
      </c>
      <c r="E2534" s="8">
        <v>3546.7323000000001</v>
      </c>
      <c r="F2534" s="8">
        <f>F2524</f>
        <v>0</v>
      </c>
      <c r="G2534" s="8">
        <f>E2534+F2534</f>
        <v>3546.7323000000001</v>
      </c>
      <c r="H2534" s="3">
        <f>B2534*G2534</f>
        <v>60117.112484999998</v>
      </c>
      <c r="I2534" s="3">
        <f>C2534*G2534</f>
        <v>60152.579808000002</v>
      </c>
    </row>
    <row r="2535" spans="1:9" x14ac:dyDescent="0.25">
      <c r="A2535" t="s">
        <v>8</v>
      </c>
      <c r="B2535" s="1">
        <v>26.6</v>
      </c>
      <c r="C2535" s="1">
        <v>26.61</v>
      </c>
      <c r="D2535" s="2" t="s">
        <v>297</v>
      </c>
      <c r="E2535" s="8">
        <v>2261.3973999999998</v>
      </c>
      <c r="F2535" s="8">
        <f>F2525</f>
        <v>-0.2</v>
      </c>
      <c r="G2535" s="8">
        <f>E2535+F2535</f>
        <v>2261.1974</v>
      </c>
      <c r="H2535" s="3">
        <f>B2535*G2535</f>
        <v>60147.850840000006</v>
      </c>
      <c r="I2535" s="3">
        <f>C2535*G2535</f>
        <v>60170.462813999999</v>
      </c>
    </row>
    <row r="2536" spans="1:9" x14ac:dyDescent="0.25">
      <c r="A2536" t="s">
        <v>9</v>
      </c>
      <c r="B2536" s="1">
        <v>63.48</v>
      </c>
      <c r="C2536" s="1">
        <v>63.6</v>
      </c>
      <c r="D2536" s="2" t="s">
        <v>297</v>
      </c>
      <c r="E2536" s="8">
        <v>946.17539999999997</v>
      </c>
      <c r="F2536" s="8">
        <f>F2526</f>
        <v>0</v>
      </c>
      <c r="G2536" s="8">
        <f>E2536+F2536</f>
        <v>946.17539999999997</v>
      </c>
      <c r="H2536" s="3">
        <f>B2536*G2536</f>
        <v>60063.214391999994</v>
      </c>
      <c r="I2536" s="3">
        <f>C2536*G2536</f>
        <v>60176.755440000001</v>
      </c>
    </row>
    <row r="2537" spans="1:9" x14ac:dyDescent="0.25">
      <c r="A2537" t="s">
        <v>10</v>
      </c>
      <c r="B2537" s="1">
        <v>34.75</v>
      </c>
      <c r="C2537" s="1">
        <v>34.78</v>
      </c>
      <c r="D2537" s="2" t="s">
        <v>297</v>
      </c>
      <c r="E2537" s="8">
        <v>1730.1718000000001</v>
      </c>
      <c r="F2537" s="8">
        <f>F2527</f>
        <v>0.2</v>
      </c>
      <c r="G2537" s="8">
        <f>E2537+F2537</f>
        <v>1730.3718000000001</v>
      </c>
      <c r="H2537" s="3">
        <f>B2537*G2537</f>
        <v>60130.420050000001</v>
      </c>
      <c r="I2537" s="3">
        <f>C2537*G2537</f>
        <v>60182.331204000009</v>
      </c>
    </row>
    <row r="2538" spans="1:9" x14ac:dyDescent="0.25">
      <c r="A2538" t="s">
        <v>11</v>
      </c>
      <c r="B2538" s="1">
        <v>52.36</v>
      </c>
      <c r="C2538" s="1">
        <v>52.37</v>
      </c>
      <c r="D2538" s="2" t="s">
        <v>297</v>
      </c>
      <c r="E2538" s="8">
        <v>1148.9005999999999</v>
      </c>
      <c r="F2538" s="8">
        <f>F2528</f>
        <v>0.05</v>
      </c>
      <c r="G2538" s="8">
        <f>E2538+F2538</f>
        <v>1148.9505999999999</v>
      </c>
      <c r="H2538" s="3">
        <f>B2538*G2538</f>
        <v>60159.053415999995</v>
      </c>
      <c r="I2538" s="3">
        <f>C2538*G2538</f>
        <v>60170.542921999993</v>
      </c>
    </row>
    <row r="2539" spans="1:9" x14ac:dyDescent="0.25">
      <c r="A2539" t="s">
        <v>12</v>
      </c>
      <c r="B2539" s="1">
        <v>46.66</v>
      </c>
      <c r="C2539" s="1">
        <v>46.67</v>
      </c>
      <c r="D2539" s="2" t="s">
        <v>297</v>
      </c>
      <c r="E2539" s="8">
        <v>1289.2795000000001</v>
      </c>
      <c r="F2539" s="8">
        <f>F2529</f>
        <v>0</v>
      </c>
      <c r="G2539" s="8">
        <f>E2539+F2539</f>
        <v>1289.2795000000001</v>
      </c>
      <c r="H2539" s="3">
        <f>B2539*G2539</f>
        <v>60157.781470000002</v>
      </c>
      <c r="I2539" s="3">
        <f>C2539*G2539</f>
        <v>60170.674265000009</v>
      </c>
    </row>
    <row r="2540" spans="1:9" x14ac:dyDescent="0.25">
      <c r="A2540" t="s">
        <v>13</v>
      </c>
      <c r="B2540" s="1">
        <v>17.010000000000002</v>
      </c>
      <c r="C2540" s="1">
        <v>17.02</v>
      </c>
      <c r="D2540" s="2" t="s">
        <v>297</v>
      </c>
      <c r="E2540" s="8">
        <v>3535.8029000000001</v>
      </c>
      <c r="F2540" s="8">
        <f>F2530</f>
        <v>0</v>
      </c>
      <c r="G2540" s="8">
        <f>E2540+F2540</f>
        <v>3535.8029000000001</v>
      </c>
      <c r="H2540" s="3">
        <f>B2540*G2540</f>
        <v>60144.007329000007</v>
      </c>
      <c r="I2540" s="3">
        <f>C2540*G2540</f>
        <v>60179.365358000003</v>
      </c>
    </row>
    <row r="2541" spans="1:9" x14ac:dyDescent="0.25">
      <c r="A2541" t="s">
        <v>14</v>
      </c>
      <c r="B2541" s="1">
        <v>34.06</v>
      </c>
      <c r="C2541" s="1">
        <v>34.07</v>
      </c>
      <c r="D2541" s="2" t="s">
        <v>297</v>
      </c>
      <c r="E2541" s="8">
        <v>1765.1319000000001</v>
      </c>
      <c r="F2541" s="8">
        <f>F2531</f>
        <v>0.2</v>
      </c>
      <c r="G2541" s="8">
        <f>E2541+F2541</f>
        <v>1765.3319000000001</v>
      </c>
      <c r="H2541" s="3">
        <f>B2541*G2541</f>
        <v>60127.204514000012</v>
      </c>
      <c r="I2541" s="3">
        <f>C2541*G2541</f>
        <v>60144.857833000002</v>
      </c>
    </row>
    <row r="2542" spans="1:9" x14ac:dyDescent="0.25">
      <c r="A2542" t="s">
        <v>4</v>
      </c>
      <c r="B2542" s="1">
        <v>19.899999999999999</v>
      </c>
      <c r="C2542" s="1">
        <v>19.91</v>
      </c>
      <c r="D2542" s="2" t="s">
        <v>298</v>
      </c>
      <c r="E2542" s="8">
        <v>3015.0526</v>
      </c>
      <c r="F2542" s="8">
        <f>F2532</f>
        <v>0</v>
      </c>
      <c r="G2542" s="8">
        <f>E2542+F2542</f>
        <v>3015.0526</v>
      </c>
      <c r="H2542" s="3">
        <f>B2542*G2542</f>
        <v>59999.546739999998</v>
      </c>
      <c r="I2542" s="3">
        <f>C2542*G2542</f>
        <v>60029.697266000003</v>
      </c>
    </row>
    <row r="2543" spans="1:9" x14ac:dyDescent="0.25">
      <c r="A2543" t="s">
        <v>6</v>
      </c>
      <c r="B2543" s="1">
        <v>32.56</v>
      </c>
      <c r="C2543" s="1">
        <v>32.57</v>
      </c>
      <c r="D2543" s="2" t="s">
        <v>298</v>
      </c>
      <c r="E2543" s="8">
        <v>1842.1811</v>
      </c>
      <c r="F2543" s="8">
        <f>F2533</f>
        <v>-0.1</v>
      </c>
      <c r="G2543" s="8">
        <f>E2543+F2543</f>
        <v>1842.0811000000001</v>
      </c>
      <c r="H2543" s="3">
        <f>B2543*G2543</f>
        <v>59978.160616000008</v>
      </c>
      <c r="I2543" s="3">
        <f>C2543*G2543</f>
        <v>59996.581427000005</v>
      </c>
    </row>
    <row r="2544" spans="1:9" x14ac:dyDescent="0.25">
      <c r="A2544" t="s">
        <v>7</v>
      </c>
      <c r="B2544" s="1">
        <v>16.91</v>
      </c>
      <c r="C2544" s="1">
        <v>16.920000000000002</v>
      </c>
      <c r="D2544" s="2" t="s">
        <v>298</v>
      </c>
      <c r="E2544" s="8">
        <v>3546.7323000000001</v>
      </c>
      <c r="F2544" s="8">
        <f>F2534</f>
        <v>0</v>
      </c>
      <c r="G2544" s="8">
        <f>E2544+F2544</f>
        <v>3546.7323000000001</v>
      </c>
      <c r="H2544" s="3">
        <f>B2544*G2544</f>
        <v>59975.243193000002</v>
      </c>
      <c r="I2544" s="3">
        <f>C2544*G2544</f>
        <v>60010.710516000006</v>
      </c>
    </row>
    <row r="2545" spans="1:9" x14ac:dyDescent="0.25">
      <c r="A2545" t="s">
        <v>8</v>
      </c>
      <c r="B2545" s="1">
        <v>26.53</v>
      </c>
      <c r="C2545" s="1">
        <v>26.54</v>
      </c>
      <c r="D2545" s="2" t="s">
        <v>298</v>
      </c>
      <c r="E2545" s="8">
        <v>2261.3973999999998</v>
      </c>
      <c r="F2545" s="8">
        <f>F2535</f>
        <v>-0.2</v>
      </c>
      <c r="G2545" s="8">
        <f>E2545+F2545</f>
        <v>2261.1974</v>
      </c>
      <c r="H2545" s="3">
        <f>B2545*G2545</f>
        <v>59989.567022000003</v>
      </c>
      <c r="I2545" s="3">
        <f>C2545*G2545</f>
        <v>60012.178995999995</v>
      </c>
    </row>
    <row r="2546" spans="1:9" x14ac:dyDescent="0.25">
      <c r="A2546" t="s">
        <v>9</v>
      </c>
      <c r="B2546" s="1">
        <v>63.37</v>
      </c>
      <c r="C2546" s="1">
        <v>63.47</v>
      </c>
      <c r="D2546" s="2" t="s">
        <v>298</v>
      </c>
      <c r="E2546" s="8">
        <v>946.17539999999997</v>
      </c>
      <c r="F2546" s="8">
        <f>F2536</f>
        <v>0</v>
      </c>
      <c r="G2546" s="8">
        <f>E2546+F2546</f>
        <v>946.17539999999997</v>
      </c>
      <c r="H2546" s="3">
        <f>B2546*G2546</f>
        <v>59959.135097999999</v>
      </c>
      <c r="I2546" s="3">
        <f>C2546*G2546</f>
        <v>60053.752637999998</v>
      </c>
    </row>
    <row r="2547" spans="1:9" x14ac:dyDescent="0.25">
      <c r="A2547" t="s">
        <v>10</v>
      </c>
      <c r="B2547" s="1">
        <v>34.67</v>
      </c>
      <c r="C2547" s="1">
        <v>34.69</v>
      </c>
      <c r="D2547" s="2" t="s">
        <v>298</v>
      </c>
      <c r="E2547" s="8">
        <v>1730.1718000000001</v>
      </c>
      <c r="F2547" s="8">
        <f>F2537</f>
        <v>0.2</v>
      </c>
      <c r="G2547" s="8">
        <f>E2547+F2547</f>
        <v>1730.3718000000001</v>
      </c>
      <c r="H2547" s="3">
        <f>B2547*G2547</f>
        <v>59991.990306000007</v>
      </c>
      <c r="I2547" s="3">
        <f>C2547*G2547</f>
        <v>60026.597741999998</v>
      </c>
    </row>
    <row r="2548" spans="1:9" x14ac:dyDescent="0.25">
      <c r="A2548" t="s">
        <v>11</v>
      </c>
      <c r="B2548" s="1">
        <v>52.22</v>
      </c>
      <c r="C2548" s="1">
        <v>52.23</v>
      </c>
      <c r="D2548" s="2" t="s">
        <v>298</v>
      </c>
      <c r="E2548" s="8">
        <v>1148.9005999999999</v>
      </c>
      <c r="F2548" s="8">
        <f>F2538</f>
        <v>0.05</v>
      </c>
      <c r="G2548" s="8">
        <f>E2548+F2548</f>
        <v>1148.9505999999999</v>
      </c>
      <c r="H2548" s="3">
        <f>B2548*G2548</f>
        <v>59998.200331999993</v>
      </c>
      <c r="I2548" s="3">
        <f>C2548*G2548</f>
        <v>60009.689837999991</v>
      </c>
    </row>
    <row r="2549" spans="1:9" x14ac:dyDescent="0.25">
      <c r="A2549" t="s">
        <v>12</v>
      </c>
      <c r="B2549" s="1">
        <v>46.54</v>
      </c>
      <c r="C2549" s="1">
        <v>46.55</v>
      </c>
      <c r="D2549" s="2" t="s">
        <v>298</v>
      </c>
      <c r="E2549" s="8">
        <v>1289.2795000000001</v>
      </c>
      <c r="F2549" s="8">
        <f>F2539</f>
        <v>0</v>
      </c>
      <c r="G2549" s="8">
        <f>E2549+F2549</f>
        <v>1289.2795000000001</v>
      </c>
      <c r="H2549" s="3">
        <f>B2549*G2549</f>
        <v>60003.067930000005</v>
      </c>
      <c r="I2549" s="3">
        <f>C2549*G2549</f>
        <v>60015.960725000004</v>
      </c>
    </row>
    <row r="2550" spans="1:9" x14ac:dyDescent="0.25">
      <c r="A2550" t="s">
        <v>13</v>
      </c>
      <c r="B2550" s="1">
        <v>16.96</v>
      </c>
      <c r="C2550" s="1">
        <v>16.97</v>
      </c>
      <c r="D2550" s="2" t="s">
        <v>298</v>
      </c>
      <c r="E2550" s="8">
        <v>3535.8029000000001</v>
      </c>
      <c r="F2550" s="8">
        <f>F2540</f>
        <v>0</v>
      </c>
      <c r="G2550" s="8">
        <f>E2550+F2550</f>
        <v>3535.8029000000001</v>
      </c>
      <c r="H2550" s="3">
        <f>B2550*G2550</f>
        <v>59967.217184000008</v>
      </c>
      <c r="I2550" s="3">
        <f>C2550*G2550</f>
        <v>60002.575212999996</v>
      </c>
    </row>
    <row r="2551" spans="1:9" x14ac:dyDescent="0.25">
      <c r="A2551" t="s">
        <v>14</v>
      </c>
      <c r="B2551" s="1">
        <v>33.979999999999997</v>
      </c>
      <c r="C2551" s="1">
        <v>33.99</v>
      </c>
      <c r="D2551" s="2" t="s">
        <v>298</v>
      </c>
      <c r="E2551" s="8">
        <v>1765.1319000000001</v>
      </c>
      <c r="F2551" s="8">
        <f>F2541</f>
        <v>0.2</v>
      </c>
      <c r="G2551" s="8">
        <f>E2551+F2551</f>
        <v>1765.3319000000001</v>
      </c>
      <c r="H2551" s="3">
        <f>B2551*G2551</f>
        <v>59985.977961999997</v>
      </c>
      <c r="I2551" s="3">
        <f>C2551*G2551</f>
        <v>60003.631281000009</v>
      </c>
    </row>
    <row r="2552" spans="1:9" x14ac:dyDescent="0.25">
      <c r="A2552" t="s">
        <v>4</v>
      </c>
      <c r="B2552" s="1">
        <v>19.86</v>
      </c>
      <c r="C2552" s="1">
        <v>19.87</v>
      </c>
      <c r="D2552" s="2" t="s">
        <v>299</v>
      </c>
      <c r="E2552" s="8">
        <v>3015.0526</v>
      </c>
      <c r="F2552" s="8">
        <f>F2542</f>
        <v>0</v>
      </c>
      <c r="G2552" s="8">
        <f>E2552+F2552</f>
        <v>3015.0526</v>
      </c>
      <c r="H2552" s="3">
        <f>B2552*G2552</f>
        <v>59878.944636</v>
      </c>
      <c r="I2552" s="3">
        <f>C2552*G2552</f>
        <v>59909.095162000005</v>
      </c>
    </row>
    <row r="2553" spans="1:9" x14ac:dyDescent="0.25">
      <c r="A2553" t="s">
        <v>6</v>
      </c>
      <c r="B2553" s="1">
        <v>32.5</v>
      </c>
      <c r="C2553" s="1">
        <v>32.51</v>
      </c>
      <c r="D2553" s="2" t="s">
        <v>299</v>
      </c>
      <c r="E2553" s="8">
        <v>1842.1811</v>
      </c>
      <c r="F2553" s="8">
        <f>F2543</f>
        <v>-0.1</v>
      </c>
      <c r="G2553" s="8">
        <f>E2553+F2553</f>
        <v>1842.0811000000001</v>
      </c>
      <c r="H2553" s="3">
        <f>B2553*G2553</f>
        <v>59867.635750000001</v>
      </c>
      <c r="I2553" s="3">
        <f>C2553*G2553</f>
        <v>59886.056560999998</v>
      </c>
    </row>
    <row r="2554" spans="1:9" x14ac:dyDescent="0.25">
      <c r="A2554" t="s">
        <v>7</v>
      </c>
      <c r="B2554" s="1">
        <v>16.89</v>
      </c>
      <c r="C2554" s="1">
        <v>16.899999999999999</v>
      </c>
      <c r="D2554" s="2" t="s">
        <v>299</v>
      </c>
      <c r="E2554" s="8">
        <v>3546.7323000000001</v>
      </c>
      <c r="F2554" s="8">
        <f>F2544</f>
        <v>0</v>
      </c>
      <c r="G2554" s="8">
        <f>E2554+F2554</f>
        <v>3546.7323000000001</v>
      </c>
      <c r="H2554" s="3">
        <f>B2554*G2554</f>
        <v>59904.308547000001</v>
      </c>
      <c r="I2554" s="3">
        <f>C2554*G2554</f>
        <v>59939.775869999998</v>
      </c>
    </row>
    <row r="2555" spans="1:9" x14ac:dyDescent="0.25">
      <c r="A2555" t="s">
        <v>8</v>
      </c>
      <c r="B2555" s="1">
        <v>26.48</v>
      </c>
      <c r="C2555" s="1">
        <v>26.49</v>
      </c>
      <c r="D2555" s="2" t="s">
        <v>299</v>
      </c>
      <c r="E2555" s="8">
        <v>2261.3973999999998</v>
      </c>
      <c r="F2555" s="8">
        <f>F2545</f>
        <v>-0.2</v>
      </c>
      <c r="G2555" s="8">
        <f>E2555+F2555</f>
        <v>2261.1974</v>
      </c>
      <c r="H2555" s="3">
        <f>B2555*G2555</f>
        <v>59876.507151999998</v>
      </c>
      <c r="I2555" s="3">
        <f>C2555*G2555</f>
        <v>59899.119125999998</v>
      </c>
    </row>
    <row r="2556" spans="1:9" x14ac:dyDescent="0.25">
      <c r="A2556" t="s">
        <v>9</v>
      </c>
      <c r="B2556" s="1">
        <v>63.26</v>
      </c>
      <c r="C2556" s="1">
        <v>63.32</v>
      </c>
      <c r="D2556" s="2" t="s">
        <v>299</v>
      </c>
      <c r="E2556" s="8">
        <v>946.17539999999997</v>
      </c>
      <c r="F2556" s="8">
        <f>F2546</f>
        <v>0</v>
      </c>
      <c r="G2556" s="8">
        <f>E2556+F2556</f>
        <v>946.17539999999997</v>
      </c>
      <c r="H2556" s="3">
        <f>B2556*G2556</f>
        <v>59855.055803999996</v>
      </c>
      <c r="I2556" s="3">
        <f>C2556*G2556</f>
        <v>59911.826327999996</v>
      </c>
    </row>
    <row r="2557" spans="1:9" x14ac:dyDescent="0.25">
      <c r="A2557" t="s">
        <v>10</v>
      </c>
      <c r="B2557" s="1">
        <v>34.6</v>
      </c>
      <c r="C2557" s="1">
        <v>34.619999999999997</v>
      </c>
      <c r="D2557" s="2" t="s">
        <v>299</v>
      </c>
      <c r="E2557" s="8">
        <v>1730.1718000000001</v>
      </c>
      <c r="F2557" s="8">
        <f>F2547</f>
        <v>0.2</v>
      </c>
      <c r="G2557" s="8">
        <f>E2557+F2557</f>
        <v>1730.3718000000001</v>
      </c>
      <c r="H2557" s="3">
        <f>B2557*G2557</f>
        <v>59870.864280000009</v>
      </c>
      <c r="I2557" s="3">
        <f>C2557*G2557</f>
        <v>59905.471716</v>
      </c>
    </row>
    <row r="2558" spans="1:9" x14ac:dyDescent="0.25">
      <c r="A2558" t="s">
        <v>11</v>
      </c>
      <c r="B2558" s="1">
        <v>52.12</v>
      </c>
      <c r="C2558" s="1">
        <v>52.13</v>
      </c>
      <c r="D2558" s="2" t="s">
        <v>299</v>
      </c>
      <c r="E2558" s="8">
        <v>1148.9005999999999</v>
      </c>
      <c r="F2558" s="8">
        <f>F2548</f>
        <v>0.05</v>
      </c>
      <c r="G2558" s="8">
        <f>E2558+F2558</f>
        <v>1148.9505999999999</v>
      </c>
      <c r="H2558" s="3">
        <f>B2558*G2558</f>
        <v>59883.305271999991</v>
      </c>
      <c r="I2558" s="3">
        <f>C2558*G2558</f>
        <v>59894.794777999996</v>
      </c>
    </row>
    <row r="2559" spans="1:9" x14ac:dyDescent="0.25">
      <c r="A2559" t="s">
        <v>12</v>
      </c>
      <c r="B2559" s="1">
        <v>46.45</v>
      </c>
      <c r="C2559" s="1">
        <v>46.46</v>
      </c>
      <c r="D2559" s="2" t="s">
        <v>299</v>
      </c>
      <c r="E2559" s="8">
        <v>1289.2795000000001</v>
      </c>
      <c r="F2559" s="8">
        <f>F2549</f>
        <v>0</v>
      </c>
      <c r="G2559" s="8">
        <f>E2559+F2559</f>
        <v>1289.2795000000001</v>
      </c>
      <c r="H2559" s="3">
        <f>B2559*G2559</f>
        <v>59887.032775000007</v>
      </c>
      <c r="I2559" s="3">
        <f>C2559*G2559</f>
        <v>59899.925570000007</v>
      </c>
    </row>
    <row r="2560" spans="1:9" x14ac:dyDescent="0.25">
      <c r="A2560" t="s">
        <v>13</v>
      </c>
      <c r="B2560" s="1">
        <v>16.93</v>
      </c>
      <c r="C2560" s="1">
        <v>16.940000000000001</v>
      </c>
      <c r="D2560" s="2" t="s">
        <v>299</v>
      </c>
      <c r="E2560" s="8">
        <v>3535.8029000000001</v>
      </c>
      <c r="F2560" s="8">
        <f>F2550</f>
        <v>0</v>
      </c>
      <c r="G2560" s="8">
        <f>E2560+F2560</f>
        <v>3535.8029000000001</v>
      </c>
      <c r="H2560" s="3">
        <f>B2560*G2560</f>
        <v>59861.143097</v>
      </c>
      <c r="I2560" s="3">
        <f>C2560*G2560</f>
        <v>59896.50112600001</v>
      </c>
    </row>
    <row r="2561" spans="1:9" x14ac:dyDescent="0.25">
      <c r="A2561" t="s">
        <v>14</v>
      </c>
      <c r="B2561" s="1">
        <v>33.92</v>
      </c>
      <c r="C2561" s="1">
        <v>33.93</v>
      </c>
      <c r="D2561" s="2" t="s">
        <v>299</v>
      </c>
      <c r="E2561" s="8">
        <v>1765.1319000000001</v>
      </c>
      <c r="F2561" s="8">
        <f>F2551</f>
        <v>0.2</v>
      </c>
      <c r="G2561" s="8">
        <f>E2561+F2561</f>
        <v>1765.3319000000001</v>
      </c>
      <c r="H2561" s="3">
        <f>B2561*G2561</f>
        <v>59880.058048000006</v>
      </c>
      <c r="I2561" s="3">
        <f>C2561*G2561</f>
        <v>59897.711367000004</v>
      </c>
    </row>
    <row r="2562" spans="1:9" x14ac:dyDescent="0.25">
      <c r="A2562" t="s">
        <v>4</v>
      </c>
      <c r="B2562" s="1">
        <v>19.87</v>
      </c>
      <c r="C2562" s="1">
        <v>19.88</v>
      </c>
      <c r="D2562" s="2" t="s">
        <v>300</v>
      </c>
      <c r="E2562" s="8">
        <v>3015.0526</v>
      </c>
      <c r="F2562" s="8">
        <f>F2552</f>
        <v>0</v>
      </c>
      <c r="G2562" s="8">
        <f>E2562+F2562</f>
        <v>3015.0526</v>
      </c>
      <c r="H2562" s="3">
        <f>B2562*G2562</f>
        <v>59909.095162000005</v>
      </c>
      <c r="I2562" s="3">
        <f>C2562*G2562</f>
        <v>59939.245687999995</v>
      </c>
    </row>
    <row r="2563" spans="1:9" x14ac:dyDescent="0.25">
      <c r="A2563" t="s">
        <v>6</v>
      </c>
      <c r="B2563" s="1">
        <v>32.53</v>
      </c>
      <c r="C2563" s="1">
        <v>32.54</v>
      </c>
      <c r="D2563" s="2" t="s">
        <v>300</v>
      </c>
      <c r="E2563" s="8">
        <v>1842.1811</v>
      </c>
      <c r="F2563" s="8">
        <f>F2553</f>
        <v>-0.1</v>
      </c>
      <c r="G2563" s="8">
        <f>E2563+F2563</f>
        <v>1842.0811000000001</v>
      </c>
      <c r="H2563" s="3">
        <f>B2563*G2563</f>
        <v>59922.898183000005</v>
      </c>
      <c r="I2563" s="3">
        <f>C2563*G2563</f>
        <v>59941.318994000001</v>
      </c>
    </row>
    <row r="2564" spans="1:9" x14ac:dyDescent="0.25">
      <c r="A2564" t="s">
        <v>7</v>
      </c>
      <c r="B2564" s="1">
        <v>16.89</v>
      </c>
      <c r="C2564" s="1">
        <v>16.899999999999999</v>
      </c>
      <c r="D2564" s="2" t="s">
        <v>300</v>
      </c>
      <c r="E2564" s="8">
        <v>3546.7323000000001</v>
      </c>
      <c r="F2564" s="8">
        <f>F2554</f>
        <v>0</v>
      </c>
      <c r="G2564" s="8">
        <f>E2564+F2564</f>
        <v>3546.7323000000001</v>
      </c>
      <c r="H2564" s="3">
        <f>B2564*G2564</f>
        <v>59904.308547000001</v>
      </c>
      <c r="I2564" s="3">
        <f>C2564*G2564</f>
        <v>59939.775869999998</v>
      </c>
    </row>
    <row r="2565" spans="1:9" x14ac:dyDescent="0.25">
      <c r="A2565" t="s">
        <v>8</v>
      </c>
      <c r="B2565" s="1">
        <v>26.5</v>
      </c>
      <c r="C2565" s="1">
        <v>26.51</v>
      </c>
      <c r="D2565" s="2" t="s">
        <v>300</v>
      </c>
      <c r="E2565" s="8">
        <v>2261.3973999999998</v>
      </c>
      <c r="F2565" s="8">
        <f>F2555</f>
        <v>-0.2</v>
      </c>
      <c r="G2565" s="8">
        <f>E2565+F2565</f>
        <v>2261.1974</v>
      </c>
      <c r="H2565" s="3">
        <f>B2565*G2565</f>
        <v>59921.731099999997</v>
      </c>
      <c r="I2565" s="3">
        <f>C2565*G2565</f>
        <v>59944.343074000004</v>
      </c>
    </row>
    <row r="2566" spans="1:9" x14ac:dyDescent="0.25">
      <c r="A2566" t="s">
        <v>9</v>
      </c>
      <c r="B2566" s="1">
        <v>63.3</v>
      </c>
      <c r="C2566" s="1">
        <v>63.35</v>
      </c>
      <c r="D2566" s="2" t="s">
        <v>300</v>
      </c>
      <c r="E2566" s="8">
        <v>946.17539999999997</v>
      </c>
      <c r="F2566" s="8">
        <f>F2556</f>
        <v>0</v>
      </c>
      <c r="G2566" s="8">
        <f>E2566+F2566</f>
        <v>946.17539999999997</v>
      </c>
      <c r="H2566" s="3">
        <f>B2566*G2566</f>
        <v>59892.902819999996</v>
      </c>
      <c r="I2566" s="3">
        <f>C2566*G2566</f>
        <v>59940.211589999999</v>
      </c>
    </row>
    <row r="2567" spans="1:9" x14ac:dyDescent="0.25">
      <c r="A2567" t="s">
        <v>10</v>
      </c>
      <c r="B2567" s="1">
        <v>34.619999999999997</v>
      </c>
      <c r="C2567" s="1">
        <v>34.64</v>
      </c>
      <c r="D2567" s="2" t="s">
        <v>300</v>
      </c>
      <c r="E2567" s="8">
        <v>1730.1718000000001</v>
      </c>
      <c r="F2567" s="8">
        <f>F2557</f>
        <v>0.2</v>
      </c>
      <c r="G2567" s="8">
        <f>E2567+F2567</f>
        <v>1730.3718000000001</v>
      </c>
      <c r="H2567" s="3">
        <f>B2567*G2567</f>
        <v>59905.471716</v>
      </c>
      <c r="I2567" s="3">
        <f>C2567*G2567</f>
        <v>59940.079152000006</v>
      </c>
    </row>
    <row r="2568" spans="1:9" x14ac:dyDescent="0.25">
      <c r="A2568" t="s">
        <v>11</v>
      </c>
      <c r="B2568" s="1">
        <v>52.16</v>
      </c>
      <c r="C2568" s="1">
        <v>52.17</v>
      </c>
      <c r="D2568" s="2" t="s">
        <v>300</v>
      </c>
      <c r="E2568" s="8">
        <v>1148.9005999999999</v>
      </c>
      <c r="F2568" s="8">
        <f>F2558</f>
        <v>0.05</v>
      </c>
      <c r="G2568" s="8">
        <f>E2568+F2568</f>
        <v>1148.9505999999999</v>
      </c>
      <c r="H2568" s="3">
        <f>B2568*G2568</f>
        <v>59929.26329599999</v>
      </c>
      <c r="I2568" s="3">
        <f>C2568*G2568</f>
        <v>59940.752801999995</v>
      </c>
    </row>
    <row r="2569" spans="1:9" x14ac:dyDescent="0.25">
      <c r="A2569" t="s">
        <v>12</v>
      </c>
      <c r="B2569" s="1">
        <v>46.48</v>
      </c>
      <c r="C2569" s="1">
        <v>46.49</v>
      </c>
      <c r="D2569" s="2" t="s">
        <v>300</v>
      </c>
      <c r="E2569" s="8">
        <v>1289.2795000000001</v>
      </c>
      <c r="F2569" s="8">
        <f>F2559</f>
        <v>0</v>
      </c>
      <c r="G2569" s="8">
        <f>E2569+F2569</f>
        <v>1289.2795000000001</v>
      </c>
      <c r="H2569" s="3">
        <f>B2569*G2569</f>
        <v>59925.711159999999</v>
      </c>
      <c r="I2569" s="3">
        <f>C2569*G2569</f>
        <v>59938.603955000006</v>
      </c>
    </row>
    <row r="2570" spans="1:9" x14ac:dyDescent="0.25">
      <c r="A2570" t="s">
        <v>13</v>
      </c>
      <c r="B2570" s="1">
        <v>16.940000000000001</v>
      </c>
      <c r="C2570" s="1">
        <v>16.95</v>
      </c>
      <c r="D2570" s="2" t="s">
        <v>300</v>
      </c>
      <c r="E2570" s="8">
        <v>3535.8029000000001</v>
      </c>
      <c r="F2570" s="8">
        <f>F2560</f>
        <v>0</v>
      </c>
      <c r="G2570" s="8">
        <f>E2570+F2570</f>
        <v>3535.8029000000001</v>
      </c>
      <c r="H2570" s="3">
        <f>B2570*G2570</f>
        <v>59896.50112600001</v>
      </c>
      <c r="I2570" s="3">
        <f>C2570*G2570</f>
        <v>59931.859154999998</v>
      </c>
    </row>
    <row r="2571" spans="1:9" x14ac:dyDescent="0.25">
      <c r="A2571" t="s">
        <v>14</v>
      </c>
      <c r="B2571" s="1">
        <v>33.94</v>
      </c>
      <c r="C2571" s="1">
        <v>33.950000000000003</v>
      </c>
      <c r="D2571" s="2" t="s">
        <v>300</v>
      </c>
      <c r="E2571" s="8">
        <v>1765.1319000000001</v>
      </c>
      <c r="F2571" s="8">
        <f>F2561</f>
        <v>0.2</v>
      </c>
      <c r="G2571" s="8">
        <f>E2571+F2571</f>
        <v>1765.3319000000001</v>
      </c>
      <c r="H2571" s="3">
        <f>B2571*G2571</f>
        <v>59915.364686000001</v>
      </c>
      <c r="I2571" s="3">
        <f>C2571*G2571</f>
        <v>59933.018005000013</v>
      </c>
    </row>
    <row r="2572" spans="1:9" x14ac:dyDescent="0.25">
      <c r="A2572" t="s">
        <v>4</v>
      </c>
      <c r="B2572" s="1">
        <v>19.899999999999999</v>
      </c>
      <c r="C2572" s="1">
        <v>19.91</v>
      </c>
      <c r="D2572" s="2" t="s">
        <v>301</v>
      </c>
      <c r="E2572" s="8">
        <v>3015.0526</v>
      </c>
      <c r="F2572" s="8">
        <f>F2562</f>
        <v>0</v>
      </c>
      <c r="G2572" s="8">
        <f>E2572+F2572</f>
        <v>3015.0526</v>
      </c>
      <c r="H2572" s="3">
        <f>B2572*G2572</f>
        <v>59999.546739999998</v>
      </c>
      <c r="I2572" s="3">
        <f>C2572*G2572</f>
        <v>60029.697266000003</v>
      </c>
    </row>
    <row r="2573" spans="1:9" x14ac:dyDescent="0.25">
      <c r="A2573" t="s">
        <v>6</v>
      </c>
      <c r="B2573" s="1">
        <v>32.56</v>
      </c>
      <c r="C2573" s="1">
        <v>32.57</v>
      </c>
      <c r="D2573" s="2" t="s">
        <v>301</v>
      </c>
      <c r="E2573" s="8">
        <v>1842.1811</v>
      </c>
      <c r="F2573" s="8">
        <f>F2563</f>
        <v>-0.1</v>
      </c>
      <c r="G2573" s="8">
        <f>E2573+F2573</f>
        <v>1842.0811000000001</v>
      </c>
      <c r="H2573" s="3">
        <f>B2573*G2573</f>
        <v>59978.160616000008</v>
      </c>
      <c r="I2573" s="3">
        <f>C2573*G2573</f>
        <v>59996.581427000005</v>
      </c>
    </row>
    <row r="2574" spans="1:9" x14ac:dyDescent="0.25">
      <c r="A2574" t="s">
        <v>7</v>
      </c>
      <c r="B2574" s="1">
        <v>16.91</v>
      </c>
      <c r="C2574" s="1">
        <v>16.920000000000002</v>
      </c>
      <c r="D2574" s="2" t="s">
        <v>301</v>
      </c>
      <c r="E2574" s="8">
        <v>3546.7323000000001</v>
      </c>
      <c r="F2574" s="8">
        <f>F2564</f>
        <v>0</v>
      </c>
      <c r="G2574" s="8">
        <f>E2574+F2574</f>
        <v>3546.7323000000001</v>
      </c>
      <c r="H2574" s="3">
        <f>B2574*G2574</f>
        <v>59975.243193000002</v>
      </c>
      <c r="I2574" s="3">
        <f>C2574*G2574</f>
        <v>60010.710516000006</v>
      </c>
    </row>
    <row r="2575" spans="1:9" x14ac:dyDescent="0.25">
      <c r="A2575" t="s">
        <v>8</v>
      </c>
      <c r="B2575" s="1">
        <v>26.53</v>
      </c>
      <c r="C2575" s="1">
        <v>26.54</v>
      </c>
      <c r="D2575" s="2" t="s">
        <v>301</v>
      </c>
      <c r="E2575" s="8">
        <v>2261.3973999999998</v>
      </c>
      <c r="F2575" s="8">
        <f>F2565</f>
        <v>-0.2</v>
      </c>
      <c r="G2575" s="8">
        <f>E2575+F2575</f>
        <v>2261.1974</v>
      </c>
      <c r="H2575" s="3">
        <f>B2575*G2575</f>
        <v>59989.567022000003</v>
      </c>
      <c r="I2575" s="3">
        <f>C2575*G2575</f>
        <v>60012.178995999995</v>
      </c>
    </row>
    <row r="2576" spans="1:9" x14ac:dyDescent="0.25">
      <c r="A2576" t="s">
        <v>9</v>
      </c>
      <c r="B2576" s="1">
        <v>63.37</v>
      </c>
      <c r="C2576" s="1">
        <v>63.43</v>
      </c>
      <c r="D2576" s="2" t="s">
        <v>301</v>
      </c>
      <c r="E2576" s="8">
        <v>946.17539999999997</v>
      </c>
      <c r="F2576" s="8">
        <f>F2566</f>
        <v>0</v>
      </c>
      <c r="G2576" s="8">
        <f>E2576+F2576</f>
        <v>946.17539999999997</v>
      </c>
      <c r="H2576" s="3">
        <f>B2576*G2576</f>
        <v>59959.135097999999</v>
      </c>
      <c r="I2576" s="3">
        <f>C2576*G2576</f>
        <v>60015.905621999998</v>
      </c>
    </row>
    <row r="2577" spans="1:9" x14ac:dyDescent="0.25">
      <c r="A2577" t="s">
        <v>10</v>
      </c>
      <c r="B2577" s="1">
        <v>34.659999999999997</v>
      </c>
      <c r="C2577" s="1">
        <v>34.68</v>
      </c>
      <c r="D2577" s="2" t="s">
        <v>301</v>
      </c>
      <c r="E2577" s="8">
        <v>1730.1718000000001</v>
      </c>
      <c r="F2577" s="8">
        <f>F2567</f>
        <v>0.2</v>
      </c>
      <c r="G2577" s="8">
        <f>E2577+F2577</f>
        <v>1730.3718000000001</v>
      </c>
      <c r="H2577" s="3">
        <f>B2577*G2577</f>
        <v>59974.686587999997</v>
      </c>
      <c r="I2577" s="3">
        <f>C2577*G2577</f>
        <v>60009.294024000003</v>
      </c>
    </row>
    <row r="2578" spans="1:9" x14ac:dyDescent="0.25">
      <c r="A2578" t="s">
        <v>11</v>
      </c>
      <c r="B2578" s="1">
        <v>52.21</v>
      </c>
      <c r="C2578" s="1">
        <v>52.22</v>
      </c>
      <c r="D2578" s="2" t="s">
        <v>301</v>
      </c>
      <c r="E2578" s="8">
        <v>1148.9005999999999</v>
      </c>
      <c r="F2578" s="8">
        <f>F2568</f>
        <v>0.05</v>
      </c>
      <c r="G2578" s="8">
        <f>E2578+F2578</f>
        <v>1148.9505999999999</v>
      </c>
      <c r="H2578" s="3">
        <f>B2578*G2578</f>
        <v>59986.710825999995</v>
      </c>
      <c r="I2578" s="3">
        <f>C2578*G2578</f>
        <v>59998.200331999993</v>
      </c>
    </row>
    <row r="2579" spans="1:9" x14ac:dyDescent="0.25">
      <c r="A2579" t="s">
        <v>12</v>
      </c>
      <c r="B2579" s="1">
        <v>46.53</v>
      </c>
      <c r="C2579" s="1">
        <v>46.54</v>
      </c>
      <c r="D2579" s="2" t="s">
        <v>301</v>
      </c>
      <c r="E2579" s="8">
        <v>1289.2795000000001</v>
      </c>
      <c r="F2579" s="8">
        <f>F2569</f>
        <v>0</v>
      </c>
      <c r="G2579" s="8">
        <f>E2579+F2579</f>
        <v>1289.2795000000001</v>
      </c>
      <c r="H2579" s="3">
        <f>B2579*G2579</f>
        <v>59990.175135000005</v>
      </c>
      <c r="I2579" s="3">
        <f>C2579*G2579</f>
        <v>60003.067930000005</v>
      </c>
    </row>
    <row r="2580" spans="1:9" x14ac:dyDescent="0.25">
      <c r="A2580" t="s">
        <v>13</v>
      </c>
      <c r="B2580" s="1">
        <v>16.96</v>
      </c>
      <c r="C2580" s="1">
        <v>16.97</v>
      </c>
      <c r="D2580" s="2" t="s">
        <v>301</v>
      </c>
      <c r="E2580" s="8">
        <v>3535.8029000000001</v>
      </c>
      <c r="F2580" s="8">
        <f>F2570</f>
        <v>0</v>
      </c>
      <c r="G2580" s="8">
        <f>E2580+F2580</f>
        <v>3535.8029000000001</v>
      </c>
      <c r="H2580" s="3">
        <f>B2580*G2580</f>
        <v>59967.217184000008</v>
      </c>
      <c r="I2580" s="3">
        <f>C2580*G2580</f>
        <v>60002.575212999996</v>
      </c>
    </row>
    <row r="2581" spans="1:9" x14ac:dyDescent="0.25">
      <c r="A2581" t="s">
        <v>14</v>
      </c>
      <c r="B2581" s="1">
        <v>33.979999999999997</v>
      </c>
      <c r="C2581" s="1">
        <v>33.99</v>
      </c>
      <c r="D2581" s="2" t="s">
        <v>301</v>
      </c>
      <c r="E2581" s="8">
        <v>1765.1319000000001</v>
      </c>
      <c r="F2581" s="8">
        <f>F2571</f>
        <v>0.2</v>
      </c>
      <c r="G2581" s="8">
        <f>E2581+F2581</f>
        <v>1765.3319000000001</v>
      </c>
      <c r="H2581" s="3">
        <f>B2581*G2581</f>
        <v>59985.977961999997</v>
      </c>
      <c r="I2581" s="3">
        <f>C2581*G2581</f>
        <v>60003.631281000009</v>
      </c>
    </row>
    <row r="2582" spans="1:9" x14ac:dyDescent="0.25">
      <c r="A2582" t="s">
        <v>4</v>
      </c>
      <c r="B2582" s="1">
        <v>19.88</v>
      </c>
      <c r="C2582" s="1">
        <v>19.89</v>
      </c>
      <c r="D2582" s="2" t="s">
        <v>302</v>
      </c>
      <c r="E2582" s="8">
        <v>3015.0526</v>
      </c>
      <c r="F2582" s="8">
        <f>F2572</f>
        <v>0</v>
      </c>
      <c r="G2582" s="8">
        <f>E2582+F2582</f>
        <v>3015.0526</v>
      </c>
      <c r="H2582" s="3">
        <f>B2582*G2582</f>
        <v>59939.245687999995</v>
      </c>
      <c r="I2582" s="3">
        <f>C2582*G2582</f>
        <v>59969.396214</v>
      </c>
    </row>
    <row r="2583" spans="1:9" x14ac:dyDescent="0.25">
      <c r="A2583" t="s">
        <v>6</v>
      </c>
      <c r="B2583" s="1">
        <v>32.53</v>
      </c>
      <c r="C2583" s="1">
        <v>32.54</v>
      </c>
      <c r="D2583" s="2" t="s">
        <v>302</v>
      </c>
      <c r="E2583" s="8">
        <v>1842.1811</v>
      </c>
      <c r="F2583" s="8">
        <f>F2573</f>
        <v>-0.1</v>
      </c>
      <c r="G2583" s="8">
        <f>E2583+F2583</f>
        <v>1842.0811000000001</v>
      </c>
      <c r="H2583" s="3">
        <f>B2583*G2583</f>
        <v>59922.898183000005</v>
      </c>
      <c r="I2583" s="3">
        <f>C2583*G2583</f>
        <v>59941.318994000001</v>
      </c>
    </row>
    <row r="2584" spans="1:9" x14ac:dyDescent="0.25">
      <c r="A2584" t="s">
        <v>7</v>
      </c>
      <c r="B2584" s="1">
        <v>16.899999999999999</v>
      </c>
      <c r="C2584" s="1">
        <v>16.91</v>
      </c>
      <c r="D2584" s="2" t="s">
        <v>302</v>
      </c>
      <c r="E2584" s="8">
        <v>3546.7323000000001</v>
      </c>
      <c r="F2584" s="8">
        <f>F2574</f>
        <v>0</v>
      </c>
      <c r="G2584" s="8">
        <f>E2584+F2584</f>
        <v>3546.7323000000001</v>
      </c>
      <c r="H2584" s="3">
        <f>B2584*G2584</f>
        <v>59939.775869999998</v>
      </c>
      <c r="I2584" s="3">
        <f>C2584*G2584</f>
        <v>59975.243193000002</v>
      </c>
    </row>
    <row r="2585" spans="1:9" x14ac:dyDescent="0.25">
      <c r="A2585" t="s">
        <v>8</v>
      </c>
      <c r="B2585" s="1">
        <v>26.5</v>
      </c>
      <c r="C2585" s="1">
        <v>26.51</v>
      </c>
      <c r="D2585" s="2" t="s">
        <v>302</v>
      </c>
      <c r="E2585" s="8">
        <v>2261.3973999999998</v>
      </c>
      <c r="F2585" s="8">
        <f>F2575</f>
        <v>-0.2</v>
      </c>
      <c r="G2585" s="8">
        <f>E2585+F2585</f>
        <v>2261.1974</v>
      </c>
      <c r="H2585" s="3">
        <f>B2585*G2585</f>
        <v>59921.731099999997</v>
      </c>
      <c r="I2585" s="3">
        <f>C2585*G2585</f>
        <v>59944.343074000004</v>
      </c>
    </row>
    <row r="2586" spans="1:9" x14ac:dyDescent="0.25">
      <c r="A2586" t="s">
        <v>9</v>
      </c>
      <c r="B2586" s="1">
        <v>63.28</v>
      </c>
      <c r="C2586" s="1">
        <v>63.36</v>
      </c>
      <c r="D2586" s="2" t="s">
        <v>302</v>
      </c>
      <c r="E2586" s="8">
        <v>946.17539999999997</v>
      </c>
      <c r="F2586" s="8">
        <f>F2576</f>
        <v>0</v>
      </c>
      <c r="G2586" s="8">
        <f>E2586+F2586</f>
        <v>946.17539999999997</v>
      </c>
      <c r="H2586" s="3">
        <f>B2586*G2586</f>
        <v>59873.979311999996</v>
      </c>
      <c r="I2586" s="3">
        <f>C2586*G2586</f>
        <v>59949.673343999995</v>
      </c>
    </row>
    <row r="2587" spans="1:9" x14ac:dyDescent="0.25">
      <c r="A2587" t="s">
        <v>10</v>
      </c>
      <c r="B2587" s="1">
        <v>34.619999999999997</v>
      </c>
      <c r="C2587" s="1">
        <v>34.65</v>
      </c>
      <c r="D2587" s="2" t="s">
        <v>302</v>
      </c>
      <c r="E2587" s="8">
        <v>1730.1718000000001</v>
      </c>
      <c r="F2587" s="8">
        <f>F2577</f>
        <v>0.2</v>
      </c>
      <c r="G2587" s="8">
        <f>E2587+F2587</f>
        <v>1730.3718000000001</v>
      </c>
      <c r="H2587" s="3">
        <f>B2587*G2587</f>
        <v>59905.471716</v>
      </c>
      <c r="I2587" s="3">
        <f>C2587*G2587</f>
        <v>59957.382870000001</v>
      </c>
    </row>
    <row r="2588" spans="1:9" x14ac:dyDescent="0.25">
      <c r="A2588" t="s">
        <v>11</v>
      </c>
      <c r="B2588" s="1">
        <v>52.16</v>
      </c>
      <c r="C2588" s="1">
        <v>52.17</v>
      </c>
      <c r="D2588" s="2" t="s">
        <v>302</v>
      </c>
      <c r="E2588" s="8">
        <v>1148.9005999999999</v>
      </c>
      <c r="F2588" s="8">
        <f>F2578</f>
        <v>0.05</v>
      </c>
      <c r="G2588" s="8">
        <f>E2588+F2588</f>
        <v>1148.9505999999999</v>
      </c>
      <c r="H2588" s="3">
        <f>B2588*G2588</f>
        <v>59929.26329599999</v>
      </c>
      <c r="I2588" s="3">
        <f>C2588*G2588</f>
        <v>59940.752801999995</v>
      </c>
    </row>
    <row r="2589" spans="1:9" x14ac:dyDescent="0.25">
      <c r="A2589" t="s">
        <v>12</v>
      </c>
      <c r="B2589" s="1">
        <v>46.48</v>
      </c>
      <c r="C2589" s="1">
        <v>46.49</v>
      </c>
      <c r="D2589" s="2" t="s">
        <v>302</v>
      </c>
      <c r="E2589" s="8">
        <v>1289.2795000000001</v>
      </c>
      <c r="F2589" s="8">
        <f>F2579</f>
        <v>0</v>
      </c>
      <c r="G2589" s="8">
        <f>E2589+F2589</f>
        <v>1289.2795000000001</v>
      </c>
      <c r="H2589" s="3">
        <f>B2589*G2589</f>
        <v>59925.711159999999</v>
      </c>
      <c r="I2589" s="3">
        <f>C2589*G2589</f>
        <v>59938.603955000006</v>
      </c>
    </row>
    <row r="2590" spans="1:9" x14ac:dyDescent="0.25">
      <c r="A2590" t="s">
        <v>13</v>
      </c>
      <c r="B2590" s="1">
        <v>16.940000000000001</v>
      </c>
      <c r="C2590" s="1">
        <v>16.95</v>
      </c>
      <c r="D2590" s="2" t="s">
        <v>302</v>
      </c>
      <c r="E2590" s="8">
        <v>3535.8029000000001</v>
      </c>
      <c r="F2590" s="8">
        <f>F2580</f>
        <v>0</v>
      </c>
      <c r="G2590" s="8">
        <f>E2590+F2590</f>
        <v>3535.8029000000001</v>
      </c>
      <c r="H2590" s="3">
        <f>B2590*G2590</f>
        <v>59896.50112600001</v>
      </c>
      <c r="I2590" s="3">
        <f>C2590*G2590</f>
        <v>59931.859154999998</v>
      </c>
    </row>
    <row r="2591" spans="1:9" x14ac:dyDescent="0.25">
      <c r="A2591" t="s">
        <v>14</v>
      </c>
      <c r="B2591" s="1">
        <v>33.94</v>
      </c>
      <c r="C2591" s="1">
        <v>33.950000000000003</v>
      </c>
      <c r="D2591" s="2" t="s">
        <v>302</v>
      </c>
      <c r="E2591" s="8">
        <v>1765.1319000000001</v>
      </c>
      <c r="F2591" s="8">
        <f>F2581</f>
        <v>0.2</v>
      </c>
      <c r="G2591" s="8">
        <f>E2591+F2591</f>
        <v>1765.3319000000001</v>
      </c>
      <c r="H2591" s="3">
        <f>B2591*G2591</f>
        <v>59915.364686000001</v>
      </c>
      <c r="I2591" s="3">
        <f>C2591*G2591</f>
        <v>59933.018005000013</v>
      </c>
    </row>
    <row r="2592" spans="1:9" x14ac:dyDescent="0.25">
      <c r="A2592" t="s">
        <v>4</v>
      </c>
      <c r="B2592" s="1">
        <v>19.809999999999999</v>
      </c>
      <c r="C2592" s="1">
        <v>19.82</v>
      </c>
      <c r="D2592" s="2" t="s">
        <v>303</v>
      </c>
      <c r="E2592" s="8">
        <v>3015.0526</v>
      </c>
      <c r="F2592" s="8">
        <f>F2582</f>
        <v>0</v>
      </c>
      <c r="G2592" s="8">
        <f>E2592+F2592</f>
        <v>3015.0526</v>
      </c>
      <c r="H2592" s="3">
        <f>B2592*G2592</f>
        <v>59728.192005999997</v>
      </c>
      <c r="I2592" s="3">
        <f>C2592*G2592</f>
        <v>59758.342532000002</v>
      </c>
    </row>
    <row r="2593" spans="1:9" x14ac:dyDescent="0.25">
      <c r="A2593" t="s">
        <v>6</v>
      </c>
      <c r="B2593" s="1">
        <v>32.42</v>
      </c>
      <c r="C2593" s="1">
        <v>32.43</v>
      </c>
      <c r="D2593" s="2" t="s">
        <v>303</v>
      </c>
      <c r="E2593" s="8">
        <v>1842.1811</v>
      </c>
      <c r="F2593" s="8">
        <f>F2583</f>
        <v>-0.1</v>
      </c>
      <c r="G2593" s="8">
        <f>E2593+F2593</f>
        <v>1842.0811000000001</v>
      </c>
      <c r="H2593" s="3">
        <f>B2593*G2593</f>
        <v>59720.269262000009</v>
      </c>
      <c r="I2593" s="3">
        <f>C2593*G2593</f>
        <v>59738.690073000005</v>
      </c>
    </row>
    <row r="2594" spans="1:9" x14ac:dyDescent="0.25">
      <c r="A2594" t="s">
        <v>7</v>
      </c>
      <c r="B2594" s="1">
        <v>16.84</v>
      </c>
      <c r="C2594" s="1">
        <v>16.850000000000001</v>
      </c>
      <c r="D2594" s="2" t="s">
        <v>303</v>
      </c>
      <c r="E2594" s="8">
        <v>3546.7323000000001</v>
      </c>
      <c r="F2594" s="8">
        <f>F2584</f>
        <v>0</v>
      </c>
      <c r="G2594" s="8">
        <f>E2594+F2594</f>
        <v>3546.7323000000001</v>
      </c>
      <c r="H2594" s="3">
        <f>B2594*G2594</f>
        <v>59726.971932</v>
      </c>
      <c r="I2594" s="3">
        <f>C2594*G2594</f>
        <v>59762.439255000005</v>
      </c>
    </row>
    <row r="2595" spans="1:9" x14ac:dyDescent="0.25">
      <c r="A2595" t="s">
        <v>8</v>
      </c>
      <c r="B2595" s="1">
        <v>26.42</v>
      </c>
      <c r="C2595" s="1">
        <v>26.43</v>
      </c>
      <c r="D2595" s="2" t="s">
        <v>303</v>
      </c>
      <c r="E2595" s="8">
        <v>2261.3973999999998</v>
      </c>
      <c r="F2595" s="8">
        <f>F2585</f>
        <v>-0.2</v>
      </c>
      <c r="G2595" s="8">
        <f>E2595+F2595</f>
        <v>2261.1974</v>
      </c>
      <c r="H2595" s="3">
        <f>B2595*G2595</f>
        <v>59740.835308000002</v>
      </c>
      <c r="I2595" s="3">
        <f>C2595*G2595</f>
        <v>59763.447282000001</v>
      </c>
    </row>
    <row r="2596" spans="1:9" x14ac:dyDescent="0.25">
      <c r="A2596" t="s">
        <v>9</v>
      </c>
      <c r="B2596" s="1">
        <v>63.09</v>
      </c>
      <c r="C2596" s="1">
        <v>63.15</v>
      </c>
      <c r="D2596" s="2" t="s">
        <v>303</v>
      </c>
      <c r="E2596" s="8">
        <v>946.17539999999997</v>
      </c>
      <c r="F2596" s="8">
        <f>F2586</f>
        <v>0</v>
      </c>
      <c r="G2596" s="8">
        <f>E2596+F2596</f>
        <v>946.17539999999997</v>
      </c>
      <c r="H2596" s="3">
        <f>B2596*G2596</f>
        <v>59694.205986000001</v>
      </c>
      <c r="I2596" s="3">
        <f>C2596*G2596</f>
        <v>59750.976509999993</v>
      </c>
    </row>
    <row r="2597" spans="1:9" x14ac:dyDescent="0.25">
      <c r="A2597" t="s">
        <v>10</v>
      </c>
      <c r="B2597" s="1">
        <v>34.51</v>
      </c>
      <c r="C2597" s="1">
        <v>34.53</v>
      </c>
      <c r="D2597" s="2" t="s">
        <v>303</v>
      </c>
      <c r="E2597" s="8">
        <v>1730.1718000000001</v>
      </c>
      <c r="F2597" s="8">
        <f>F2587</f>
        <v>0.2</v>
      </c>
      <c r="G2597" s="8">
        <f>E2597+F2597</f>
        <v>1730.3718000000001</v>
      </c>
      <c r="H2597" s="3">
        <f>B2597*G2597</f>
        <v>59715.130817999998</v>
      </c>
      <c r="I2597" s="3">
        <f>C2597*G2597</f>
        <v>59749.738254000004</v>
      </c>
    </row>
    <row r="2598" spans="1:9" x14ac:dyDescent="0.25">
      <c r="A2598" t="s">
        <v>11</v>
      </c>
      <c r="B2598" s="1">
        <v>51.99</v>
      </c>
      <c r="C2598" s="1">
        <v>52</v>
      </c>
      <c r="D2598" s="2" t="s">
        <v>303</v>
      </c>
      <c r="E2598" s="8">
        <v>1148.9005999999999</v>
      </c>
      <c r="F2598" s="8">
        <f>F2588</f>
        <v>0.05</v>
      </c>
      <c r="G2598" s="8">
        <f>E2598+F2598</f>
        <v>1148.9505999999999</v>
      </c>
      <c r="H2598" s="3">
        <f>B2598*G2598</f>
        <v>59733.941693999994</v>
      </c>
      <c r="I2598" s="3">
        <f>C2598*G2598</f>
        <v>59745.431199999992</v>
      </c>
    </row>
    <row r="2599" spans="1:9" x14ac:dyDescent="0.25">
      <c r="A2599" t="s">
        <v>12</v>
      </c>
      <c r="B2599" s="1">
        <v>46.33</v>
      </c>
      <c r="C2599" s="1">
        <v>46.34</v>
      </c>
      <c r="D2599" s="2" t="s">
        <v>303</v>
      </c>
      <c r="E2599" s="8">
        <v>1289.2795000000001</v>
      </c>
      <c r="F2599" s="8">
        <f>F2589</f>
        <v>0</v>
      </c>
      <c r="G2599" s="8">
        <f>E2599+F2599</f>
        <v>1289.2795000000001</v>
      </c>
      <c r="H2599" s="3">
        <f>B2599*G2599</f>
        <v>59732.319235000003</v>
      </c>
      <c r="I2599" s="3">
        <f>C2599*G2599</f>
        <v>59745.21203000001</v>
      </c>
    </row>
    <row r="2600" spans="1:9" x14ac:dyDescent="0.25">
      <c r="A2600" t="s">
        <v>13</v>
      </c>
      <c r="B2600" s="1">
        <v>16.89</v>
      </c>
      <c r="C2600" s="1">
        <v>16.899999999999999</v>
      </c>
      <c r="D2600" s="2" t="s">
        <v>303</v>
      </c>
      <c r="E2600" s="8">
        <v>3535.8029000000001</v>
      </c>
      <c r="F2600" s="8">
        <f>F2590</f>
        <v>0</v>
      </c>
      <c r="G2600" s="8">
        <f>E2600+F2600</f>
        <v>3535.8029000000001</v>
      </c>
      <c r="H2600" s="3">
        <f>B2600*G2600</f>
        <v>59719.710981000004</v>
      </c>
      <c r="I2600" s="3">
        <f>C2600*G2600</f>
        <v>59755.069009999999</v>
      </c>
    </row>
    <row r="2601" spans="1:9" x14ac:dyDescent="0.25">
      <c r="A2601" t="s">
        <v>14</v>
      </c>
      <c r="B2601" s="1">
        <v>33.83</v>
      </c>
      <c r="C2601" s="1">
        <v>33.840000000000003</v>
      </c>
      <c r="D2601" s="2" t="s">
        <v>303</v>
      </c>
      <c r="E2601" s="8">
        <v>1765.1319000000001</v>
      </c>
      <c r="F2601" s="8">
        <f>F2591</f>
        <v>0.2</v>
      </c>
      <c r="G2601" s="8">
        <f>E2601+F2601</f>
        <v>1765.3319000000001</v>
      </c>
      <c r="H2601" s="3">
        <f>B2601*G2601</f>
        <v>59721.178177000002</v>
      </c>
      <c r="I2601" s="3">
        <f>C2601*G2601</f>
        <v>59738.831496000013</v>
      </c>
    </row>
    <row r="2602" spans="1:9" x14ac:dyDescent="0.25">
      <c r="A2602" t="s">
        <v>4</v>
      </c>
      <c r="B2602" s="1">
        <v>19.739999999999998</v>
      </c>
      <c r="C2602" s="1">
        <v>19.75</v>
      </c>
      <c r="D2602" s="2" t="s">
        <v>304</v>
      </c>
      <c r="E2602" s="8">
        <v>3015.0526</v>
      </c>
      <c r="F2602" s="8">
        <f>F2592</f>
        <v>0</v>
      </c>
      <c r="G2602" s="8">
        <f>E2602+F2602</f>
        <v>3015.0526</v>
      </c>
      <c r="H2602" s="3">
        <f>B2602*G2602</f>
        <v>59517.138323999992</v>
      </c>
      <c r="I2602" s="3">
        <f>C2602*G2602</f>
        <v>59547.288849999997</v>
      </c>
    </row>
    <row r="2603" spans="1:9" x14ac:dyDescent="0.25">
      <c r="A2603" t="s">
        <v>6</v>
      </c>
      <c r="B2603" s="1">
        <v>32.32</v>
      </c>
      <c r="C2603" s="1">
        <v>32.33</v>
      </c>
      <c r="D2603" s="2" t="s">
        <v>304</v>
      </c>
      <c r="E2603" s="8">
        <v>1842.1811</v>
      </c>
      <c r="F2603" s="8">
        <f>F2593</f>
        <v>-0.1</v>
      </c>
      <c r="G2603" s="8">
        <f>E2603+F2603</f>
        <v>1842.0811000000001</v>
      </c>
      <c r="H2603" s="3">
        <f>B2603*G2603</f>
        <v>59536.061152000002</v>
      </c>
      <c r="I2603" s="3">
        <f>C2603*G2603</f>
        <v>59554.481962999998</v>
      </c>
    </row>
    <row r="2604" spans="1:9" x14ac:dyDescent="0.25">
      <c r="A2604" t="s">
        <v>7</v>
      </c>
      <c r="B2604" s="1">
        <v>16.79</v>
      </c>
      <c r="C2604" s="1">
        <v>16.8</v>
      </c>
      <c r="D2604" s="2" t="s">
        <v>304</v>
      </c>
      <c r="E2604" s="8">
        <v>3546.7323000000001</v>
      </c>
      <c r="F2604" s="8">
        <f>F2594</f>
        <v>0</v>
      </c>
      <c r="G2604" s="8">
        <f>E2604+F2604</f>
        <v>3546.7323000000001</v>
      </c>
      <c r="H2604" s="3">
        <f>B2604*G2604</f>
        <v>59549.635317</v>
      </c>
      <c r="I2604" s="3">
        <f>C2604*G2604</f>
        <v>59585.102640000005</v>
      </c>
    </row>
    <row r="2605" spans="1:9" x14ac:dyDescent="0.25">
      <c r="A2605" t="s">
        <v>8</v>
      </c>
      <c r="B2605" s="1">
        <v>26.33</v>
      </c>
      <c r="C2605" s="1">
        <v>26.34</v>
      </c>
      <c r="D2605" s="2" t="s">
        <v>304</v>
      </c>
      <c r="E2605" s="8">
        <v>2261.3973999999998</v>
      </c>
      <c r="F2605" s="8">
        <f>F2595</f>
        <v>-0.2</v>
      </c>
      <c r="G2605" s="8">
        <f>E2605+F2605</f>
        <v>2261.1974</v>
      </c>
      <c r="H2605" s="3">
        <f>B2605*G2605</f>
        <v>59537.327541999999</v>
      </c>
      <c r="I2605" s="3">
        <f>C2605*G2605</f>
        <v>59559.939515999999</v>
      </c>
    </row>
    <row r="2606" spans="1:9" x14ac:dyDescent="0.25">
      <c r="A2606" t="s">
        <v>9</v>
      </c>
      <c r="B2606" s="1">
        <v>62.86</v>
      </c>
      <c r="C2606" s="1">
        <v>62.93</v>
      </c>
      <c r="D2606" s="2" t="s">
        <v>304</v>
      </c>
      <c r="E2606" s="8">
        <v>946.17539999999997</v>
      </c>
      <c r="F2606" s="8">
        <f>F2596</f>
        <v>0</v>
      </c>
      <c r="G2606" s="8">
        <f>E2606+F2606</f>
        <v>946.17539999999997</v>
      </c>
      <c r="H2606" s="3">
        <f>B2606*G2606</f>
        <v>59476.585643999999</v>
      </c>
      <c r="I2606" s="3">
        <f>C2606*G2606</f>
        <v>59542.817921999995</v>
      </c>
    </row>
    <row r="2607" spans="1:9" x14ac:dyDescent="0.25">
      <c r="A2607" t="s">
        <v>10</v>
      </c>
      <c r="B2607" s="1">
        <v>34.4</v>
      </c>
      <c r="C2607" s="1">
        <v>34.42</v>
      </c>
      <c r="D2607" s="2" t="s">
        <v>304</v>
      </c>
      <c r="E2607" s="8">
        <v>1730.1718000000001</v>
      </c>
      <c r="F2607" s="8">
        <f>F2597</f>
        <v>0.2</v>
      </c>
      <c r="G2607" s="8">
        <f>E2607+F2607</f>
        <v>1730.3718000000001</v>
      </c>
      <c r="H2607" s="3">
        <f>B2607*G2607</f>
        <v>59524.789920000003</v>
      </c>
      <c r="I2607" s="3">
        <f>C2607*G2607</f>
        <v>59559.397356000009</v>
      </c>
    </row>
    <row r="2608" spans="1:9" x14ac:dyDescent="0.25">
      <c r="A2608" t="s">
        <v>11</v>
      </c>
      <c r="B2608" s="1">
        <v>51.83</v>
      </c>
      <c r="C2608" s="1">
        <v>51.84</v>
      </c>
      <c r="D2608" s="2" t="s">
        <v>304</v>
      </c>
      <c r="E2608" s="8">
        <v>1148.9005999999999</v>
      </c>
      <c r="F2608" s="8">
        <f>F2598</f>
        <v>0.05</v>
      </c>
      <c r="G2608" s="8">
        <f>E2608+F2608</f>
        <v>1148.9505999999999</v>
      </c>
      <c r="H2608" s="3">
        <f>B2608*G2608</f>
        <v>59550.109597999995</v>
      </c>
      <c r="I2608" s="3">
        <f>C2608*G2608</f>
        <v>59561.599104000001</v>
      </c>
    </row>
    <row r="2609" spans="1:9" x14ac:dyDescent="0.25">
      <c r="A2609" t="s">
        <v>12</v>
      </c>
      <c r="B2609" s="1">
        <v>46.18</v>
      </c>
      <c r="C2609" s="1">
        <v>46.19</v>
      </c>
      <c r="D2609" s="2" t="s">
        <v>304</v>
      </c>
      <c r="E2609" s="8">
        <v>1289.2795000000001</v>
      </c>
      <c r="F2609" s="8">
        <f>F2599</f>
        <v>0</v>
      </c>
      <c r="G2609" s="8">
        <f>E2609+F2609</f>
        <v>1289.2795000000001</v>
      </c>
      <c r="H2609" s="3">
        <f>B2609*G2609</f>
        <v>59538.927310000006</v>
      </c>
      <c r="I2609" s="3">
        <f>C2609*G2609</f>
        <v>59551.820104999999</v>
      </c>
    </row>
    <row r="2610" spans="1:9" x14ac:dyDescent="0.25">
      <c r="A2610" t="s">
        <v>13</v>
      </c>
      <c r="B2610" s="1">
        <v>16.829999999999998</v>
      </c>
      <c r="C2610" s="1">
        <v>16.84</v>
      </c>
      <c r="D2610" s="2" t="s">
        <v>304</v>
      </c>
      <c r="E2610" s="8">
        <v>3535.8029000000001</v>
      </c>
      <c r="F2610" s="8">
        <f>F2600</f>
        <v>0</v>
      </c>
      <c r="G2610" s="8">
        <f>E2610+F2610</f>
        <v>3535.8029000000001</v>
      </c>
      <c r="H2610" s="3">
        <f>B2610*G2610</f>
        <v>59507.562806999995</v>
      </c>
      <c r="I2610" s="3">
        <f>C2610*G2610</f>
        <v>59542.920836000005</v>
      </c>
    </row>
    <row r="2611" spans="1:9" x14ac:dyDescent="0.25">
      <c r="A2611" t="s">
        <v>14</v>
      </c>
      <c r="B2611" s="1">
        <v>33.71</v>
      </c>
      <c r="C2611" s="1">
        <v>33.72</v>
      </c>
      <c r="D2611" s="2" t="s">
        <v>304</v>
      </c>
      <c r="E2611" s="8">
        <v>1765.1319000000001</v>
      </c>
      <c r="F2611" s="8">
        <f>F2601</f>
        <v>0.2</v>
      </c>
      <c r="G2611" s="8">
        <f>E2611+F2611</f>
        <v>1765.3319000000001</v>
      </c>
      <c r="H2611" s="3">
        <f>B2611*G2611</f>
        <v>59509.338349000005</v>
      </c>
      <c r="I2611" s="3">
        <f>C2611*G2611</f>
        <v>59526.991668000002</v>
      </c>
    </row>
    <row r="2612" spans="1:9" x14ac:dyDescent="0.25">
      <c r="A2612" t="s">
        <v>4</v>
      </c>
      <c r="B2612" s="1">
        <v>19.88</v>
      </c>
      <c r="C2612" s="1">
        <v>19.89</v>
      </c>
      <c r="D2612" s="2" t="s">
        <v>305</v>
      </c>
      <c r="E2612" s="8">
        <v>3015.0526</v>
      </c>
      <c r="F2612" s="8">
        <f>F2602</f>
        <v>0</v>
      </c>
      <c r="G2612" s="8">
        <f>E2612+F2612</f>
        <v>3015.0526</v>
      </c>
      <c r="H2612" s="3">
        <f>B2612*G2612</f>
        <v>59939.245687999995</v>
      </c>
      <c r="I2612" s="3">
        <f>C2612*G2612</f>
        <v>59969.396214</v>
      </c>
    </row>
    <row r="2613" spans="1:9" x14ac:dyDescent="0.25">
      <c r="A2613" t="s">
        <v>6</v>
      </c>
      <c r="B2613" s="1">
        <v>32.53</v>
      </c>
      <c r="C2613" s="1">
        <v>32.54</v>
      </c>
      <c r="D2613" s="2" t="s">
        <v>305</v>
      </c>
      <c r="E2613" s="8">
        <v>1842.1811</v>
      </c>
      <c r="F2613" s="8">
        <f>F2603</f>
        <v>-0.1</v>
      </c>
      <c r="G2613" s="8">
        <f>E2613+F2613</f>
        <v>1842.0811000000001</v>
      </c>
      <c r="H2613" s="3">
        <f>B2613*G2613</f>
        <v>59922.898183000005</v>
      </c>
      <c r="I2613" s="3">
        <f>C2613*G2613</f>
        <v>59941.318994000001</v>
      </c>
    </row>
    <row r="2614" spans="1:9" x14ac:dyDescent="0.25">
      <c r="A2614" t="s">
        <v>7</v>
      </c>
      <c r="B2614" s="1">
        <v>16.899999999999999</v>
      </c>
      <c r="C2614" s="1">
        <v>16.91</v>
      </c>
      <c r="D2614" s="2" t="s">
        <v>305</v>
      </c>
      <c r="E2614" s="8">
        <v>3546.7323000000001</v>
      </c>
      <c r="F2614" s="8">
        <f>F2604</f>
        <v>0</v>
      </c>
      <c r="G2614" s="8">
        <f>E2614+F2614</f>
        <v>3546.7323000000001</v>
      </c>
      <c r="H2614" s="3">
        <f>B2614*G2614</f>
        <v>59939.775869999998</v>
      </c>
      <c r="I2614" s="3">
        <f>C2614*G2614</f>
        <v>59975.243193000002</v>
      </c>
    </row>
    <row r="2615" spans="1:9" x14ac:dyDescent="0.25">
      <c r="A2615" t="s">
        <v>8</v>
      </c>
      <c r="B2615" s="1">
        <v>26.5</v>
      </c>
      <c r="C2615" s="1">
        <v>26.51</v>
      </c>
      <c r="D2615" s="2" t="s">
        <v>305</v>
      </c>
      <c r="E2615" s="8">
        <v>2261.3973999999998</v>
      </c>
      <c r="F2615" s="8">
        <f>F2605</f>
        <v>-0.2</v>
      </c>
      <c r="G2615" s="8">
        <f>E2615+F2615</f>
        <v>2261.1974</v>
      </c>
      <c r="H2615" s="3">
        <f>B2615*G2615</f>
        <v>59921.731099999997</v>
      </c>
      <c r="I2615" s="3">
        <f>C2615*G2615</f>
        <v>59944.343074000004</v>
      </c>
    </row>
    <row r="2616" spans="1:9" x14ac:dyDescent="0.25">
      <c r="A2616" t="s">
        <v>9</v>
      </c>
      <c r="B2616" s="1">
        <v>63.29</v>
      </c>
      <c r="C2616" s="1">
        <v>63.36</v>
      </c>
      <c r="D2616" s="2" t="s">
        <v>305</v>
      </c>
      <c r="E2616" s="8">
        <v>946.17539999999997</v>
      </c>
      <c r="F2616" s="8">
        <f>F2606</f>
        <v>0</v>
      </c>
      <c r="G2616" s="8">
        <f>E2616+F2616</f>
        <v>946.17539999999997</v>
      </c>
      <c r="H2616" s="3">
        <f>B2616*G2616</f>
        <v>59883.441065999999</v>
      </c>
      <c r="I2616" s="3">
        <f>C2616*G2616</f>
        <v>59949.673343999995</v>
      </c>
    </row>
    <row r="2617" spans="1:9" x14ac:dyDescent="0.25">
      <c r="A2617" t="s">
        <v>10</v>
      </c>
      <c r="B2617" s="1">
        <v>34.630000000000003</v>
      </c>
      <c r="C2617" s="1">
        <v>34.65</v>
      </c>
      <c r="D2617" s="2" t="s">
        <v>305</v>
      </c>
      <c r="E2617" s="8">
        <v>1730.1718000000001</v>
      </c>
      <c r="F2617" s="8">
        <f>F2607</f>
        <v>0.2</v>
      </c>
      <c r="G2617" s="8">
        <f>E2617+F2617</f>
        <v>1730.3718000000001</v>
      </c>
      <c r="H2617" s="3">
        <f>B2617*G2617</f>
        <v>59922.77543400001</v>
      </c>
      <c r="I2617" s="3">
        <f>C2617*G2617</f>
        <v>59957.382870000001</v>
      </c>
    </row>
    <row r="2618" spans="1:9" x14ac:dyDescent="0.25">
      <c r="A2618" t="s">
        <v>11</v>
      </c>
      <c r="B2618" s="1">
        <v>52.17</v>
      </c>
      <c r="C2618" s="1">
        <v>52.18</v>
      </c>
      <c r="D2618" s="2" t="s">
        <v>305</v>
      </c>
      <c r="E2618" s="8">
        <v>1148.9005999999999</v>
      </c>
      <c r="F2618" s="8">
        <f>F2608</f>
        <v>0.05</v>
      </c>
      <c r="G2618" s="8">
        <f>E2618+F2618</f>
        <v>1148.9505999999999</v>
      </c>
      <c r="H2618" s="3">
        <f>B2618*G2618</f>
        <v>59940.752801999995</v>
      </c>
      <c r="I2618" s="3">
        <f>C2618*G2618</f>
        <v>59952.242307999993</v>
      </c>
    </row>
    <row r="2619" spans="1:9" x14ac:dyDescent="0.25">
      <c r="A2619" t="s">
        <v>12</v>
      </c>
      <c r="B2619" s="1">
        <v>46.49</v>
      </c>
      <c r="C2619" s="1">
        <v>46.5</v>
      </c>
      <c r="D2619" s="2" t="s">
        <v>305</v>
      </c>
      <c r="E2619" s="8">
        <v>1289.2795000000001</v>
      </c>
      <c r="F2619" s="8">
        <f>F2609</f>
        <v>0</v>
      </c>
      <c r="G2619" s="8">
        <f>E2619+F2619</f>
        <v>1289.2795000000001</v>
      </c>
      <c r="H2619" s="3">
        <f>B2619*G2619</f>
        <v>59938.603955000006</v>
      </c>
      <c r="I2619" s="3">
        <f>C2619*G2619</f>
        <v>59951.496750000006</v>
      </c>
    </row>
    <row r="2620" spans="1:9" x14ac:dyDescent="0.25">
      <c r="A2620" t="s">
        <v>13</v>
      </c>
      <c r="B2620" s="1">
        <v>16.95</v>
      </c>
      <c r="C2620" s="1">
        <v>16.96</v>
      </c>
      <c r="D2620" s="2" t="s">
        <v>305</v>
      </c>
      <c r="E2620" s="8">
        <v>3535.8029000000001</v>
      </c>
      <c r="F2620" s="8">
        <f>F2610</f>
        <v>0</v>
      </c>
      <c r="G2620" s="8">
        <f>E2620+F2620</f>
        <v>3535.8029000000001</v>
      </c>
      <c r="H2620" s="3">
        <f>B2620*G2620</f>
        <v>59931.859154999998</v>
      </c>
      <c r="I2620" s="3">
        <f>C2620*G2620</f>
        <v>59967.217184000008</v>
      </c>
    </row>
    <row r="2621" spans="1:9" x14ac:dyDescent="0.25">
      <c r="A2621" t="s">
        <v>14</v>
      </c>
      <c r="B2621" s="1">
        <v>33.94</v>
      </c>
      <c r="C2621" s="1">
        <v>33.950000000000003</v>
      </c>
      <c r="D2621" s="2" t="s">
        <v>305</v>
      </c>
      <c r="E2621" s="8">
        <v>1765.1319000000001</v>
      </c>
      <c r="F2621" s="8">
        <f>F2611</f>
        <v>0.2</v>
      </c>
      <c r="G2621" s="8">
        <f>E2621+F2621</f>
        <v>1765.3319000000001</v>
      </c>
      <c r="H2621" s="3">
        <f>B2621*G2621</f>
        <v>59915.364686000001</v>
      </c>
      <c r="I2621" s="3">
        <f>C2621*G2621</f>
        <v>59933.018005000013</v>
      </c>
    </row>
    <row r="2622" spans="1:9" x14ac:dyDescent="0.25">
      <c r="A2622" t="s">
        <v>4</v>
      </c>
      <c r="B2622" s="1">
        <v>19.84</v>
      </c>
      <c r="C2622" s="1">
        <v>19.850000000000001</v>
      </c>
      <c r="D2622" s="2" t="s">
        <v>306</v>
      </c>
      <c r="E2622" s="8">
        <v>3015.0526</v>
      </c>
      <c r="F2622" s="8">
        <f>F2612</f>
        <v>0</v>
      </c>
      <c r="G2622" s="8">
        <f>E2622+F2622</f>
        <v>3015.0526</v>
      </c>
      <c r="H2622" s="3">
        <f>B2622*G2622</f>
        <v>59818.643583999998</v>
      </c>
      <c r="I2622" s="3">
        <f>C2622*G2622</f>
        <v>59848.794110000003</v>
      </c>
    </row>
    <row r="2623" spans="1:9" x14ac:dyDescent="0.25">
      <c r="A2623" t="s">
        <v>6</v>
      </c>
      <c r="B2623" s="1">
        <v>32.47</v>
      </c>
      <c r="C2623" s="1">
        <v>32.479999999999997</v>
      </c>
      <c r="D2623" s="2" t="s">
        <v>306</v>
      </c>
      <c r="E2623" s="8">
        <v>1842.1811</v>
      </c>
      <c r="F2623" s="8">
        <f>F2613</f>
        <v>-0.1</v>
      </c>
      <c r="G2623" s="8">
        <f>E2623+F2623</f>
        <v>1842.0811000000001</v>
      </c>
      <c r="H2623" s="3">
        <f>B2623*G2623</f>
        <v>59812.373316999998</v>
      </c>
      <c r="I2623" s="3">
        <f>C2623*G2623</f>
        <v>59830.794127999994</v>
      </c>
    </row>
    <row r="2624" spans="1:9" x14ac:dyDescent="0.25">
      <c r="A2624" t="s">
        <v>7</v>
      </c>
      <c r="B2624" s="1">
        <v>16.87</v>
      </c>
      <c r="C2624" s="1">
        <v>16.88</v>
      </c>
      <c r="D2624" s="2" t="s">
        <v>306</v>
      </c>
      <c r="E2624" s="8">
        <v>3546.7323000000001</v>
      </c>
      <c r="F2624" s="8">
        <f>F2614</f>
        <v>0</v>
      </c>
      <c r="G2624" s="8">
        <f>E2624+F2624</f>
        <v>3546.7323000000001</v>
      </c>
      <c r="H2624" s="3">
        <f>B2624*G2624</f>
        <v>59833.373901000006</v>
      </c>
      <c r="I2624" s="3">
        <f>C2624*G2624</f>
        <v>59868.841223999996</v>
      </c>
    </row>
    <row r="2625" spans="1:9" x14ac:dyDescent="0.25">
      <c r="A2625" t="s">
        <v>8</v>
      </c>
      <c r="B2625" s="1">
        <v>26.46</v>
      </c>
      <c r="C2625" s="1">
        <v>26.47</v>
      </c>
      <c r="D2625" s="2" t="s">
        <v>306</v>
      </c>
      <c r="E2625" s="8">
        <v>2261.3973999999998</v>
      </c>
      <c r="F2625" s="8">
        <f>F2615</f>
        <v>-0.2</v>
      </c>
      <c r="G2625" s="8">
        <f>E2625+F2625</f>
        <v>2261.1974</v>
      </c>
      <c r="H2625" s="3">
        <f>B2625*G2625</f>
        <v>59831.283203999999</v>
      </c>
      <c r="I2625" s="3">
        <f>C2625*G2625</f>
        <v>59853.895177999999</v>
      </c>
    </row>
    <row r="2626" spans="1:9" x14ac:dyDescent="0.25">
      <c r="A2626" t="s">
        <v>9</v>
      </c>
      <c r="B2626" s="1">
        <v>63.19</v>
      </c>
      <c r="C2626" s="1">
        <v>63.28</v>
      </c>
      <c r="D2626" s="2" t="s">
        <v>306</v>
      </c>
      <c r="E2626" s="8">
        <v>946.17539999999997</v>
      </c>
      <c r="F2626" s="8">
        <f>F2616</f>
        <v>0</v>
      </c>
      <c r="G2626" s="8">
        <f>E2626+F2626</f>
        <v>946.17539999999997</v>
      </c>
      <c r="H2626" s="3">
        <f>B2626*G2626</f>
        <v>59788.823525999993</v>
      </c>
      <c r="I2626" s="3">
        <f>C2626*G2626</f>
        <v>59873.979311999996</v>
      </c>
    </row>
    <row r="2627" spans="1:9" x14ac:dyDescent="0.25">
      <c r="A2627" t="s">
        <v>10</v>
      </c>
      <c r="B2627" s="1">
        <v>34.56</v>
      </c>
      <c r="C2627" s="1">
        <v>34.590000000000003</v>
      </c>
      <c r="D2627" s="2" t="s">
        <v>306</v>
      </c>
      <c r="E2627" s="8">
        <v>1730.1718000000001</v>
      </c>
      <c r="F2627" s="8">
        <f>F2617</f>
        <v>0.2</v>
      </c>
      <c r="G2627" s="8">
        <f>E2627+F2627</f>
        <v>1730.3718000000001</v>
      </c>
      <c r="H2627" s="3">
        <f>B2627*G2627</f>
        <v>59801.649408000005</v>
      </c>
      <c r="I2627" s="3">
        <f>C2627*G2627</f>
        <v>59853.560562000013</v>
      </c>
    </row>
    <row r="2628" spans="1:9" x14ac:dyDescent="0.25">
      <c r="A2628" t="s">
        <v>11</v>
      </c>
      <c r="B2628" s="1">
        <v>52.07</v>
      </c>
      <c r="C2628" s="1">
        <v>52.08</v>
      </c>
      <c r="D2628" s="2" t="s">
        <v>306</v>
      </c>
      <c r="E2628" s="8">
        <v>1148.9005999999999</v>
      </c>
      <c r="F2628" s="8">
        <f>F2618</f>
        <v>0.05</v>
      </c>
      <c r="G2628" s="8">
        <f>E2628+F2628</f>
        <v>1148.9505999999999</v>
      </c>
      <c r="H2628" s="3">
        <f>B2628*G2628</f>
        <v>59825.857741999993</v>
      </c>
      <c r="I2628" s="3">
        <f>C2628*G2628</f>
        <v>59837.347247999991</v>
      </c>
    </row>
    <row r="2629" spans="1:9" x14ac:dyDescent="0.25">
      <c r="A2629" t="s">
        <v>12</v>
      </c>
      <c r="B2629" s="1">
        <v>46.41</v>
      </c>
      <c r="C2629" s="1">
        <v>46.42</v>
      </c>
      <c r="D2629" s="2" t="s">
        <v>306</v>
      </c>
      <c r="E2629" s="8">
        <v>1289.2795000000001</v>
      </c>
      <c r="F2629" s="8">
        <f>F2619</f>
        <v>0</v>
      </c>
      <c r="G2629" s="8">
        <f>E2629+F2629</f>
        <v>1289.2795000000001</v>
      </c>
      <c r="H2629" s="3">
        <f>B2629*G2629</f>
        <v>59835.461595000001</v>
      </c>
      <c r="I2629" s="3">
        <f>C2629*G2629</f>
        <v>59848.354390000008</v>
      </c>
    </row>
    <row r="2630" spans="1:9" x14ac:dyDescent="0.25">
      <c r="A2630" t="s">
        <v>13</v>
      </c>
      <c r="B2630" s="1">
        <v>16.91</v>
      </c>
      <c r="C2630" s="1">
        <v>16.920000000000002</v>
      </c>
      <c r="D2630" s="2" t="s">
        <v>306</v>
      </c>
      <c r="E2630" s="8">
        <v>3535.8029000000001</v>
      </c>
      <c r="F2630" s="8">
        <f>F2620</f>
        <v>0</v>
      </c>
      <c r="G2630" s="8">
        <f>E2630+F2630</f>
        <v>3535.8029000000001</v>
      </c>
      <c r="H2630" s="3">
        <f>B2630*G2630</f>
        <v>59790.427039000002</v>
      </c>
      <c r="I2630" s="3">
        <f>C2630*G2630</f>
        <v>59825.785068000012</v>
      </c>
    </row>
    <row r="2631" spans="1:9" x14ac:dyDescent="0.25">
      <c r="A2631" t="s">
        <v>14</v>
      </c>
      <c r="B2631" s="1">
        <v>33.880000000000003</v>
      </c>
      <c r="C2631" s="1">
        <v>33.89</v>
      </c>
      <c r="D2631" s="2" t="s">
        <v>306</v>
      </c>
      <c r="E2631" s="8">
        <v>1765.1319000000001</v>
      </c>
      <c r="F2631" s="8">
        <f>F2621</f>
        <v>0.2</v>
      </c>
      <c r="G2631" s="8">
        <f>E2631+F2631</f>
        <v>1765.3319000000001</v>
      </c>
      <c r="H2631" s="3">
        <f>B2631*G2631</f>
        <v>59809.44477200001</v>
      </c>
      <c r="I2631" s="3">
        <f>C2631*G2631</f>
        <v>59827.098091000007</v>
      </c>
    </row>
    <row r="2632" spans="1:9" x14ac:dyDescent="0.25">
      <c r="A2632" t="s">
        <v>4</v>
      </c>
      <c r="B2632" s="1">
        <v>19.829999999999998</v>
      </c>
      <c r="C2632" s="1">
        <v>19.84</v>
      </c>
      <c r="D2632" s="2" t="s">
        <v>307</v>
      </c>
      <c r="E2632" s="8">
        <v>3015.0526</v>
      </c>
      <c r="F2632" s="8">
        <f>F2622</f>
        <v>0</v>
      </c>
      <c r="G2632" s="8">
        <f>E2632+F2632</f>
        <v>3015.0526</v>
      </c>
      <c r="H2632" s="3">
        <f>B2632*G2632</f>
        <v>59788.493057999993</v>
      </c>
      <c r="I2632" s="3">
        <f>C2632*G2632</f>
        <v>59818.643583999998</v>
      </c>
    </row>
    <row r="2633" spans="1:9" x14ac:dyDescent="0.25">
      <c r="A2633" t="s">
        <v>6</v>
      </c>
      <c r="B2633" s="1">
        <v>32.46</v>
      </c>
      <c r="C2633" s="1">
        <v>32.47</v>
      </c>
      <c r="D2633" s="2" t="s">
        <v>307</v>
      </c>
      <c r="E2633" s="8">
        <v>1842.1811</v>
      </c>
      <c r="F2633" s="8">
        <f>F2623</f>
        <v>-0.1</v>
      </c>
      <c r="G2633" s="8">
        <f>E2633+F2633</f>
        <v>1842.0811000000001</v>
      </c>
      <c r="H2633" s="3">
        <f>B2633*G2633</f>
        <v>59793.952506000001</v>
      </c>
      <c r="I2633" s="3">
        <f>C2633*G2633</f>
        <v>59812.373316999998</v>
      </c>
    </row>
    <row r="2634" spans="1:9" x14ac:dyDescent="0.25">
      <c r="A2634" t="s">
        <v>7</v>
      </c>
      <c r="B2634" s="1">
        <v>16.86</v>
      </c>
      <c r="C2634" s="1">
        <v>16.87</v>
      </c>
      <c r="D2634" s="2" t="s">
        <v>307</v>
      </c>
      <c r="E2634" s="8">
        <v>3546.7323000000001</v>
      </c>
      <c r="F2634" s="8">
        <f>F2624</f>
        <v>0</v>
      </c>
      <c r="G2634" s="8">
        <f>E2634+F2634</f>
        <v>3546.7323000000001</v>
      </c>
      <c r="H2634" s="3">
        <f>B2634*G2634</f>
        <v>59797.906578000002</v>
      </c>
      <c r="I2634" s="3">
        <f>C2634*G2634</f>
        <v>59833.373901000006</v>
      </c>
    </row>
    <row r="2635" spans="1:9" x14ac:dyDescent="0.25">
      <c r="A2635" t="s">
        <v>8</v>
      </c>
      <c r="B2635" s="1">
        <v>26.44</v>
      </c>
      <c r="C2635" s="1">
        <v>26.45</v>
      </c>
      <c r="D2635" s="2" t="s">
        <v>307</v>
      </c>
      <c r="E2635" s="8">
        <v>2261.3973999999998</v>
      </c>
      <c r="F2635" s="8">
        <f>F2625</f>
        <v>-0.2</v>
      </c>
      <c r="G2635" s="8">
        <f>E2635+F2635</f>
        <v>2261.1974</v>
      </c>
      <c r="H2635" s="3">
        <f>B2635*G2635</f>
        <v>59786.059256</v>
      </c>
      <c r="I2635" s="3">
        <f>C2635*G2635</f>
        <v>59808.67123</v>
      </c>
    </row>
    <row r="2636" spans="1:9" x14ac:dyDescent="0.25">
      <c r="A2636" t="s">
        <v>9</v>
      </c>
      <c r="B2636" s="1">
        <v>63.17</v>
      </c>
      <c r="C2636" s="1">
        <v>63.28</v>
      </c>
      <c r="D2636" s="2" t="s">
        <v>307</v>
      </c>
      <c r="E2636" s="8">
        <v>946.17539999999997</v>
      </c>
      <c r="F2636" s="8">
        <f>F2626</f>
        <v>0</v>
      </c>
      <c r="G2636" s="8">
        <f>E2636+F2636</f>
        <v>946.17539999999997</v>
      </c>
      <c r="H2636" s="3">
        <f>B2636*G2636</f>
        <v>59769.900018</v>
      </c>
      <c r="I2636" s="3">
        <f>C2636*G2636</f>
        <v>59873.979311999996</v>
      </c>
    </row>
    <row r="2637" spans="1:9" x14ac:dyDescent="0.25">
      <c r="A2637" t="s">
        <v>10</v>
      </c>
      <c r="B2637" s="1">
        <v>34.56</v>
      </c>
      <c r="C2637" s="1">
        <v>34.57</v>
      </c>
      <c r="D2637" s="2" t="s">
        <v>307</v>
      </c>
      <c r="E2637" s="8">
        <v>1730.1718000000001</v>
      </c>
      <c r="F2637" s="8">
        <f>F2627</f>
        <v>0.2</v>
      </c>
      <c r="G2637" s="8">
        <f>E2637+F2637</f>
        <v>1730.3718000000001</v>
      </c>
      <c r="H2637" s="3">
        <f>B2637*G2637</f>
        <v>59801.649408000005</v>
      </c>
      <c r="I2637" s="3">
        <f>C2637*G2637</f>
        <v>59818.953126000008</v>
      </c>
    </row>
    <row r="2638" spans="1:9" x14ac:dyDescent="0.25">
      <c r="A2638" t="s">
        <v>11</v>
      </c>
      <c r="B2638" s="1">
        <v>52.04</v>
      </c>
      <c r="C2638" s="1">
        <v>52.05</v>
      </c>
      <c r="D2638" s="2" t="s">
        <v>307</v>
      </c>
      <c r="E2638" s="8">
        <v>1148.9005999999999</v>
      </c>
      <c r="F2638" s="8">
        <f>F2628</f>
        <v>0.05</v>
      </c>
      <c r="G2638" s="8">
        <f>E2638+F2638</f>
        <v>1148.9505999999999</v>
      </c>
      <c r="H2638" s="3">
        <f>B2638*G2638</f>
        <v>59791.389223999991</v>
      </c>
      <c r="I2638" s="3">
        <f>C2638*G2638</f>
        <v>59802.878729999989</v>
      </c>
    </row>
    <row r="2639" spans="1:9" x14ac:dyDescent="0.25">
      <c r="A2639" t="s">
        <v>12</v>
      </c>
      <c r="B2639" s="1">
        <v>46.39</v>
      </c>
      <c r="C2639" s="1">
        <v>46.4</v>
      </c>
      <c r="D2639" s="2" t="s">
        <v>307</v>
      </c>
      <c r="E2639" s="8">
        <v>1289.2795000000001</v>
      </c>
      <c r="F2639" s="8">
        <f>F2629</f>
        <v>0</v>
      </c>
      <c r="G2639" s="8">
        <f>E2639+F2639</f>
        <v>1289.2795000000001</v>
      </c>
      <c r="H2639" s="3">
        <f>B2639*G2639</f>
        <v>59809.676005000008</v>
      </c>
      <c r="I2639" s="3">
        <f>C2639*G2639</f>
        <v>59822.568800000001</v>
      </c>
    </row>
    <row r="2640" spans="1:9" x14ac:dyDescent="0.25">
      <c r="A2640" t="s">
        <v>13</v>
      </c>
      <c r="B2640" s="1">
        <v>16.91</v>
      </c>
      <c r="C2640" s="1">
        <v>16.920000000000002</v>
      </c>
      <c r="D2640" s="2" t="s">
        <v>307</v>
      </c>
      <c r="E2640" s="8">
        <v>3535.8029000000001</v>
      </c>
      <c r="F2640" s="8">
        <f>F2630</f>
        <v>0</v>
      </c>
      <c r="G2640" s="8">
        <f>E2640+F2640</f>
        <v>3535.8029000000001</v>
      </c>
      <c r="H2640" s="3">
        <f>B2640*G2640</f>
        <v>59790.427039000002</v>
      </c>
      <c r="I2640" s="3">
        <f>C2640*G2640</f>
        <v>59825.785068000012</v>
      </c>
    </row>
    <row r="2641" spans="1:9" x14ac:dyDescent="0.25">
      <c r="A2641" t="s">
        <v>14</v>
      </c>
      <c r="B2641" s="1">
        <v>33.869999999999997</v>
      </c>
      <c r="C2641" s="1">
        <v>33.880000000000003</v>
      </c>
      <c r="D2641" s="2" t="s">
        <v>307</v>
      </c>
      <c r="E2641" s="8">
        <v>1765.1319000000001</v>
      </c>
      <c r="F2641" s="8">
        <f>F2631</f>
        <v>0.2</v>
      </c>
      <c r="G2641" s="8">
        <f>E2641+F2641</f>
        <v>1765.3319000000001</v>
      </c>
      <c r="H2641" s="3">
        <f>B2641*G2641</f>
        <v>59791.791452999998</v>
      </c>
      <c r="I2641" s="3">
        <f>C2641*G2641</f>
        <v>59809.44477200001</v>
      </c>
    </row>
    <row r="2642" spans="1:9" x14ac:dyDescent="0.25">
      <c r="A2642" t="s">
        <v>4</v>
      </c>
      <c r="B2642" s="1">
        <v>19.82</v>
      </c>
      <c r="C2642" s="1">
        <v>19.829999999999998</v>
      </c>
      <c r="D2642" s="2" t="s">
        <v>308</v>
      </c>
      <c r="E2642" s="8">
        <v>3015.0526</v>
      </c>
      <c r="F2642" s="8">
        <f>F2632</f>
        <v>0</v>
      </c>
      <c r="G2642" s="8">
        <f>E2642+F2642</f>
        <v>3015.0526</v>
      </c>
      <c r="H2642" s="3">
        <f>B2642*G2642</f>
        <v>59758.342532000002</v>
      </c>
      <c r="I2642" s="3">
        <f>C2642*G2642</f>
        <v>59788.493057999993</v>
      </c>
    </row>
    <row r="2643" spans="1:9" x14ac:dyDescent="0.25">
      <c r="A2643" t="s">
        <v>6</v>
      </c>
      <c r="B2643" s="1">
        <v>32.43</v>
      </c>
      <c r="C2643" s="1">
        <v>32.44</v>
      </c>
      <c r="D2643" s="2" t="s">
        <v>308</v>
      </c>
      <c r="E2643" s="8">
        <v>1842.1811</v>
      </c>
      <c r="F2643" s="8">
        <f>F2633</f>
        <v>-0.1</v>
      </c>
      <c r="G2643" s="8">
        <f>E2643+F2643</f>
        <v>1842.0811000000001</v>
      </c>
      <c r="H2643" s="3">
        <f>B2643*G2643</f>
        <v>59738.690073000005</v>
      </c>
      <c r="I2643" s="3">
        <f>C2643*G2643</f>
        <v>59757.110884000002</v>
      </c>
    </row>
    <row r="2644" spans="1:9" x14ac:dyDescent="0.25">
      <c r="A2644" t="s">
        <v>7</v>
      </c>
      <c r="B2644" s="1">
        <v>16.850000000000001</v>
      </c>
      <c r="C2644" s="1">
        <v>16.86</v>
      </c>
      <c r="D2644" s="2" t="s">
        <v>308</v>
      </c>
      <c r="E2644" s="8">
        <v>3546.7323000000001</v>
      </c>
      <c r="F2644" s="8">
        <f>F2634</f>
        <v>0</v>
      </c>
      <c r="G2644" s="8">
        <f>E2644+F2644</f>
        <v>3546.7323000000001</v>
      </c>
      <c r="H2644" s="3">
        <f>B2644*G2644</f>
        <v>59762.439255000005</v>
      </c>
      <c r="I2644" s="3">
        <f>C2644*G2644</f>
        <v>59797.906578000002</v>
      </c>
    </row>
    <row r="2645" spans="1:9" x14ac:dyDescent="0.25">
      <c r="A2645" t="s">
        <v>8</v>
      </c>
      <c r="B2645" s="1">
        <v>26.43</v>
      </c>
      <c r="C2645" s="1">
        <v>26.44</v>
      </c>
      <c r="D2645" s="2" t="s">
        <v>308</v>
      </c>
      <c r="E2645" s="8">
        <v>2261.3973999999998</v>
      </c>
      <c r="F2645" s="8">
        <f>F2635</f>
        <v>-0.2</v>
      </c>
      <c r="G2645" s="8">
        <f>E2645+F2645</f>
        <v>2261.1974</v>
      </c>
      <c r="H2645" s="3">
        <f>B2645*G2645</f>
        <v>59763.447282000001</v>
      </c>
      <c r="I2645" s="3">
        <f>C2645*G2645</f>
        <v>59786.059256</v>
      </c>
    </row>
    <row r="2646" spans="1:9" x14ac:dyDescent="0.25">
      <c r="A2646" t="s">
        <v>9</v>
      </c>
      <c r="B2646" s="1">
        <v>63.11</v>
      </c>
      <c r="C2646" s="1">
        <v>63.21</v>
      </c>
      <c r="D2646" s="2" t="s">
        <v>308</v>
      </c>
      <c r="E2646" s="8">
        <v>946.17539999999997</v>
      </c>
      <c r="F2646" s="8">
        <f>F2636</f>
        <v>0</v>
      </c>
      <c r="G2646" s="8">
        <f>E2646+F2646</f>
        <v>946.17539999999997</v>
      </c>
      <c r="H2646" s="3">
        <f>B2646*G2646</f>
        <v>59713.129494000001</v>
      </c>
      <c r="I2646" s="3">
        <f>C2646*G2646</f>
        <v>59807.747034</v>
      </c>
    </row>
    <row r="2647" spans="1:9" x14ac:dyDescent="0.25">
      <c r="A2647" t="s">
        <v>10</v>
      </c>
      <c r="B2647" s="1">
        <v>34.520000000000003</v>
      </c>
      <c r="C2647" s="1">
        <v>34.549999999999997</v>
      </c>
      <c r="D2647" s="2" t="s">
        <v>308</v>
      </c>
      <c r="E2647" s="8">
        <v>1730.1718000000001</v>
      </c>
      <c r="F2647" s="8">
        <f>F2637</f>
        <v>0.2</v>
      </c>
      <c r="G2647" s="8">
        <f>E2647+F2647</f>
        <v>1730.3718000000001</v>
      </c>
      <c r="H2647" s="3">
        <f>B2647*G2647</f>
        <v>59732.434536000008</v>
      </c>
      <c r="I2647" s="3">
        <f>C2647*G2647</f>
        <v>59784.345690000002</v>
      </c>
    </row>
    <row r="2648" spans="1:9" x14ac:dyDescent="0.25">
      <c r="A2648" t="s">
        <v>11</v>
      </c>
      <c r="B2648" s="1">
        <v>52</v>
      </c>
      <c r="C2648" s="1">
        <v>52.01</v>
      </c>
      <c r="D2648" s="2" t="s">
        <v>308</v>
      </c>
      <c r="E2648" s="8">
        <v>1148.9005999999999</v>
      </c>
      <c r="F2648" s="8">
        <f>F2638</f>
        <v>0.05</v>
      </c>
      <c r="G2648" s="8">
        <f>E2648+F2648</f>
        <v>1148.9505999999999</v>
      </c>
      <c r="H2648" s="3">
        <f>B2648*G2648</f>
        <v>59745.431199999992</v>
      </c>
      <c r="I2648" s="3">
        <f>C2648*G2648</f>
        <v>59756.92070599999</v>
      </c>
    </row>
    <row r="2649" spans="1:9" x14ac:dyDescent="0.25">
      <c r="A2649" t="s">
        <v>12</v>
      </c>
      <c r="B2649" s="1">
        <v>46.35</v>
      </c>
      <c r="C2649" s="1">
        <v>46.36</v>
      </c>
      <c r="D2649" s="2" t="s">
        <v>308</v>
      </c>
      <c r="E2649" s="8">
        <v>1289.2795000000001</v>
      </c>
      <c r="F2649" s="8">
        <f>F2639</f>
        <v>0</v>
      </c>
      <c r="G2649" s="8">
        <f>E2649+F2649</f>
        <v>1289.2795000000001</v>
      </c>
      <c r="H2649" s="3">
        <f>B2649*G2649</f>
        <v>59758.104825000009</v>
      </c>
      <c r="I2649" s="3">
        <f>C2649*G2649</f>
        <v>59770.997620000002</v>
      </c>
    </row>
    <row r="2650" spans="1:9" x14ac:dyDescent="0.25">
      <c r="A2650" t="s">
        <v>13</v>
      </c>
      <c r="B2650" s="1">
        <v>16.899999999999999</v>
      </c>
      <c r="C2650" s="1">
        <v>16.91</v>
      </c>
      <c r="D2650" s="2" t="s">
        <v>308</v>
      </c>
      <c r="E2650" s="8">
        <v>3535.8029000000001</v>
      </c>
      <c r="F2650" s="8">
        <f>F2640</f>
        <v>0</v>
      </c>
      <c r="G2650" s="8">
        <f>E2650+F2650</f>
        <v>3535.8029000000001</v>
      </c>
      <c r="H2650" s="3">
        <f>B2650*G2650</f>
        <v>59755.069009999999</v>
      </c>
      <c r="I2650" s="3">
        <f>C2650*G2650</f>
        <v>59790.427039000002</v>
      </c>
    </row>
    <row r="2651" spans="1:9" x14ac:dyDescent="0.25">
      <c r="A2651" t="s">
        <v>14</v>
      </c>
      <c r="B2651" s="1">
        <v>33.840000000000003</v>
      </c>
      <c r="C2651" s="1">
        <v>33.85</v>
      </c>
      <c r="D2651" s="2" t="s">
        <v>308</v>
      </c>
      <c r="E2651" s="8">
        <v>1765.1319000000001</v>
      </c>
      <c r="F2651" s="8">
        <f>F2641</f>
        <v>0.2</v>
      </c>
      <c r="G2651" s="8">
        <f>E2651+F2651</f>
        <v>1765.3319000000001</v>
      </c>
      <c r="H2651" s="3">
        <f>B2651*G2651</f>
        <v>59738.831496000013</v>
      </c>
      <c r="I2651" s="3">
        <f>C2651*G2651</f>
        <v>59756.484815000003</v>
      </c>
    </row>
    <row r="2652" spans="1:9" x14ac:dyDescent="0.25">
      <c r="A2652" t="s">
        <v>4</v>
      </c>
      <c r="B2652" s="1">
        <v>19.649999999999999</v>
      </c>
      <c r="C2652" s="1">
        <v>19.66</v>
      </c>
      <c r="D2652" s="2" t="s">
        <v>309</v>
      </c>
      <c r="E2652" s="8">
        <v>3015.0699</v>
      </c>
      <c r="F2652" s="8">
        <f>F2642</f>
        <v>0</v>
      </c>
      <c r="G2652" s="8">
        <f>E2652+F2652</f>
        <v>3015.0699</v>
      </c>
      <c r="H2652" s="3">
        <f>B2652*G2652</f>
        <v>59246.123534999992</v>
      </c>
      <c r="I2652" s="3">
        <f>C2652*G2652</f>
        <v>59276.274233999997</v>
      </c>
    </row>
    <row r="2653" spans="1:9" x14ac:dyDescent="0.25">
      <c r="A2653" t="s">
        <v>6</v>
      </c>
      <c r="B2653" s="1">
        <v>32.15</v>
      </c>
      <c r="C2653" s="1">
        <v>32.159999999999997</v>
      </c>
      <c r="D2653" s="2" t="s">
        <v>309</v>
      </c>
      <c r="E2653" s="8">
        <v>1842.1912</v>
      </c>
      <c r="F2653" s="8">
        <f>F2643</f>
        <v>-0.1</v>
      </c>
      <c r="G2653" s="8">
        <f>E2653+F2653</f>
        <v>1842.0912000000001</v>
      </c>
      <c r="H2653" s="3">
        <f>B2653*G2653</f>
        <v>59223.232080000002</v>
      </c>
      <c r="I2653" s="3">
        <f>C2653*G2653</f>
        <v>59241.652991999996</v>
      </c>
    </row>
    <row r="2654" spans="1:9" x14ac:dyDescent="0.25">
      <c r="A2654" t="s">
        <v>7</v>
      </c>
      <c r="B2654" s="1">
        <v>16.7</v>
      </c>
      <c r="C2654" s="1">
        <v>16.71</v>
      </c>
      <c r="D2654" s="2" t="s">
        <v>309</v>
      </c>
      <c r="E2654" s="8">
        <v>3546.7566000000002</v>
      </c>
      <c r="F2654" s="8">
        <f>F2644</f>
        <v>0</v>
      </c>
      <c r="G2654" s="8">
        <f>E2654+F2654</f>
        <v>3546.7566000000002</v>
      </c>
      <c r="H2654" s="3">
        <f>B2654*G2654</f>
        <v>59230.835220000001</v>
      </c>
      <c r="I2654" s="3">
        <f>C2654*G2654</f>
        <v>59266.302786000007</v>
      </c>
    </row>
    <row r="2655" spans="1:9" x14ac:dyDescent="0.25">
      <c r="A2655" t="s">
        <v>8</v>
      </c>
      <c r="B2655" s="1">
        <v>26.2</v>
      </c>
      <c r="C2655" s="1">
        <v>26.21</v>
      </c>
      <c r="D2655" s="2" t="s">
        <v>309</v>
      </c>
      <c r="E2655" s="8">
        <v>2261.4067</v>
      </c>
      <c r="F2655" s="8">
        <f>F2645</f>
        <v>-0.2</v>
      </c>
      <c r="G2655" s="8">
        <f>E2655+F2655</f>
        <v>2261.2067000000002</v>
      </c>
      <c r="H2655" s="3">
        <f>B2655*G2655</f>
        <v>59243.615540000006</v>
      </c>
      <c r="I2655" s="3">
        <f>C2655*G2655</f>
        <v>59266.227607000008</v>
      </c>
    </row>
    <row r="2656" spans="1:9" x14ac:dyDescent="0.25">
      <c r="A2656" t="s">
        <v>9</v>
      </c>
      <c r="B2656" s="1">
        <v>62.54</v>
      </c>
      <c r="C2656" s="1">
        <v>62.65</v>
      </c>
      <c r="D2656" s="2" t="s">
        <v>309</v>
      </c>
      <c r="E2656" s="8">
        <v>946.18190000000004</v>
      </c>
      <c r="F2656" s="8">
        <f>F2646</f>
        <v>0</v>
      </c>
      <c r="G2656" s="8">
        <f>E2656+F2656</f>
        <v>946.18190000000004</v>
      </c>
      <c r="H2656" s="3">
        <f>B2656*G2656</f>
        <v>59174.216026000002</v>
      </c>
      <c r="I2656" s="3">
        <f>C2656*G2656</f>
        <v>59278.296034999999</v>
      </c>
    </row>
    <row r="2657" spans="1:9" x14ac:dyDescent="0.25">
      <c r="A2657" t="s">
        <v>10</v>
      </c>
      <c r="B2657" s="1">
        <v>34.229999999999997</v>
      </c>
      <c r="C2657" s="1">
        <v>34.25</v>
      </c>
      <c r="D2657" s="2" t="s">
        <v>309</v>
      </c>
      <c r="E2657" s="8">
        <v>1730.1808000000001</v>
      </c>
      <c r="F2657" s="8">
        <f>F2647</f>
        <v>0.2</v>
      </c>
      <c r="G2657" s="8">
        <f>E2657+F2657</f>
        <v>1730.3808000000001</v>
      </c>
      <c r="H2657" s="3">
        <f>B2657*G2657</f>
        <v>59230.934783999997</v>
      </c>
      <c r="I2657" s="3">
        <f>C2657*G2657</f>
        <v>59265.542400000006</v>
      </c>
    </row>
    <row r="2658" spans="1:9" x14ac:dyDescent="0.25">
      <c r="A2658" t="s">
        <v>11</v>
      </c>
      <c r="B2658" s="1">
        <v>51.56</v>
      </c>
      <c r="C2658" s="1">
        <v>51.57</v>
      </c>
      <c r="D2658" s="2" t="s">
        <v>309</v>
      </c>
      <c r="E2658" s="8">
        <v>1148.9085</v>
      </c>
      <c r="F2658" s="8">
        <f>F2648</f>
        <v>0.05</v>
      </c>
      <c r="G2658" s="8">
        <f>E2658+F2658</f>
        <v>1148.9585</v>
      </c>
      <c r="H2658" s="3">
        <f>B2658*G2658</f>
        <v>59240.300260000004</v>
      </c>
      <c r="I2658" s="3">
        <f>C2658*G2658</f>
        <v>59251.789844999999</v>
      </c>
    </row>
    <row r="2659" spans="1:9" x14ac:dyDescent="0.25">
      <c r="A2659" t="s">
        <v>12</v>
      </c>
      <c r="B2659" s="1">
        <v>45.95</v>
      </c>
      <c r="C2659" s="1">
        <v>45.96</v>
      </c>
      <c r="D2659" s="2" t="s">
        <v>309</v>
      </c>
      <c r="E2659" s="8">
        <v>1289.3325</v>
      </c>
      <c r="F2659" s="8">
        <f>F2649</f>
        <v>0</v>
      </c>
      <c r="G2659" s="8">
        <f>E2659+F2659</f>
        <v>1289.3325</v>
      </c>
      <c r="H2659" s="3">
        <f>B2659*G2659</f>
        <v>59244.828375000005</v>
      </c>
      <c r="I2659" s="3">
        <f>C2659*G2659</f>
        <v>59257.721700000002</v>
      </c>
    </row>
    <row r="2660" spans="1:9" x14ac:dyDescent="0.25">
      <c r="A2660" t="s">
        <v>13</v>
      </c>
      <c r="B2660" s="1">
        <v>16.760000000000002</v>
      </c>
      <c r="C2660" s="1">
        <v>16.77</v>
      </c>
      <c r="D2660" s="2" t="s">
        <v>309</v>
      </c>
      <c r="E2660" s="8">
        <v>3535.8029000000001</v>
      </c>
      <c r="F2660" s="8">
        <f>F2650</f>
        <v>0</v>
      </c>
      <c r="G2660" s="8">
        <f>E2660+F2660</f>
        <v>3535.8029000000001</v>
      </c>
      <c r="H2660" s="3">
        <f>B2660*G2660</f>
        <v>59260.056604000005</v>
      </c>
      <c r="I2660" s="3">
        <f>C2660*G2660</f>
        <v>59295.414633</v>
      </c>
    </row>
    <row r="2661" spans="1:9" x14ac:dyDescent="0.25">
      <c r="A2661" t="s">
        <v>14</v>
      </c>
      <c r="B2661" s="1">
        <v>33.549999999999997</v>
      </c>
      <c r="C2661" s="1">
        <v>33.56</v>
      </c>
      <c r="D2661" s="2" t="s">
        <v>309</v>
      </c>
      <c r="E2661" s="8">
        <v>1765.144</v>
      </c>
      <c r="F2661" s="8">
        <f>F2651</f>
        <v>0.2</v>
      </c>
      <c r="G2661" s="8">
        <f>E2661+F2661</f>
        <v>1765.3440000000001</v>
      </c>
      <c r="H2661" s="3">
        <f>B2661*G2661</f>
        <v>59227.2912</v>
      </c>
      <c r="I2661" s="3">
        <f>C2661*G2661</f>
        <v>59244.944640000009</v>
      </c>
    </row>
    <row r="2662" spans="1:9" x14ac:dyDescent="0.25">
      <c r="A2662" t="s">
        <v>4</v>
      </c>
      <c r="B2662" s="1">
        <v>19.68</v>
      </c>
      <c r="C2662" s="1">
        <v>19.690000000000001</v>
      </c>
      <c r="D2662" s="2" t="s">
        <v>310</v>
      </c>
      <c r="E2662" s="8">
        <v>3015.0699</v>
      </c>
      <c r="F2662" s="8">
        <f>F2652</f>
        <v>0</v>
      </c>
      <c r="G2662" s="8">
        <f>E2662+F2662</f>
        <v>3015.0699</v>
      </c>
      <c r="H2662" s="3">
        <f>B2662*G2662</f>
        <v>59336.575632</v>
      </c>
      <c r="I2662" s="3">
        <f>C2662*G2662</f>
        <v>59366.726331000005</v>
      </c>
    </row>
    <row r="2663" spans="1:9" x14ac:dyDescent="0.25">
      <c r="A2663" t="s">
        <v>6</v>
      </c>
      <c r="B2663" s="1">
        <v>32.21</v>
      </c>
      <c r="C2663" s="1">
        <v>32.22</v>
      </c>
      <c r="D2663" s="2" t="s">
        <v>310</v>
      </c>
      <c r="E2663" s="8">
        <v>1842.1912</v>
      </c>
      <c r="F2663" s="8">
        <f>F2653</f>
        <v>-0.1</v>
      </c>
      <c r="G2663" s="8">
        <f>E2663+F2663</f>
        <v>1842.0912000000001</v>
      </c>
      <c r="H2663" s="3">
        <f>B2663*G2663</f>
        <v>59333.757552000003</v>
      </c>
      <c r="I2663" s="3">
        <f>C2663*G2663</f>
        <v>59352.178463999997</v>
      </c>
    </row>
    <row r="2664" spans="1:9" x14ac:dyDescent="0.25">
      <c r="A2664" t="s">
        <v>7</v>
      </c>
      <c r="B2664" s="1">
        <v>16.73</v>
      </c>
      <c r="C2664" s="1">
        <v>16.739999999999998</v>
      </c>
      <c r="D2664" s="2" t="s">
        <v>310</v>
      </c>
      <c r="E2664" s="8">
        <v>3546.7566000000002</v>
      </c>
      <c r="F2664" s="8">
        <f>F2654</f>
        <v>0</v>
      </c>
      <c r="G2664" s="8">
        <f>E2664+F2664</f>
        <v>3546.7566000000002</v>
      </c>
      <c r="H2664" s="3">
        <f>B2664*G2664</f>
        <v>59337.237918000006</v>
      </c>
      <c r="I2664" s="3">
        <f>C2664*G2664</f>
        <v>59372.705483999998</v>
      </c>
    </row>
    <row r="2665" spans="1:9" x14ac:dyDescent="0.25">
      <c r="A2665" t="s">
        <v>8</v>
      </c>
      <c r="B2665" s="1">
        <v>26.24</v>
      </c>
      <c r="C2665" s="1">
        <v>26.25</v>
      </c>
      <c r="D2665" s="2" t="s">
        <v>310</v>
      </c>
      <c r="E2665" s="8">
        <v>2261.4067</v>
      </c>
      <c r="F2665" s="8">
        <f>F2655</f>
        <v>-0.2</v>
      </c>
      <c r="G2665" s="8">
        <f>E2665+F2665</f>
        <v>2261.2067000000002</v>
      </c>
      <c r="H2665" s="3">
        <f>B2665*G2665</f>
        <v>59334.063807999999</v>
      </c>
      <c r="I2665" s="3">
        <f>C2665*G2665</f>
        <v>59356.675875000008</v>
      </c>
    </row>
    <row r="2666" spans="1:9" x14ac:dyDescent="0.25">
      <c r="A2666" t="s">
        <v>9</v>
      </c>
      <c r="B2666" s="1">
        <v>62.61</v>
      </c>
      <c r="C2666" s="1">
        <v>62.74</v>
      </c>
      <c r="D2666" s="2" t="s">
        <v>310</v>
      </c>
      <c r="E2666" s="8">
        <v>946.18190000000004</v>
      </c>
      <c r="F2666" s="8">
        <f>F2656</f>
        <v>0</v>
      </c>
      <c r="G2666" s="8">
        <f>E2666+F2666</f>
        <v>946.18190000000004</v>
      </c>
      <c r="H2666" s="3">
        <f>B2666*G2666</f>
        <v>59240.448758999999</v>
      </c>
      <c r="I2666" s="3">
        <f>C2666*G2666</f>
        <v>59363.452406000004</v>
      </c>
    </row>
    <row r="2667" spans="1:9" x14ac:dyDescent="0.25">
      <c r="A2667" t="s">
        <v>10</v>
      </c>
      <c r="B2667" s="1">
        <v>34.28</v>
      </c>
      <c r="C2667" s="1">
        <v>34.299999999999997</v>
      </c>
      <c r="D2667" s="2" t="s">
        <v>310</v>
      </c>
      <c r="E2667" s="8">
        <v>1730.1808000000001</v>
      </c>
      <c r="F2667" s="8">
        <f>F2657</f>
        <v>0.2</v>
      </c>
      <c r="G2667" s="8">
        <f>E2667+F2667</f>
        <v>1730.3808000000001</v>
      </c>
      <c r="H2667" s="3">
        <f>B2667*G2667</f>
        <v>59317.453824000004</v>
      </c>
      <c r="I2667" s="3">
        <f>C2667*G2667</f>
        <v>59352.061439999998</v>
      </c>
    </row>
    <row r="2668" spans="1:9" x14ac:dyDescent="0.25">
      <c r="A2668" t="s">
        <v>11</v>
      </c>
      <c r="B2668" s="1">
        <v>51.64</v>
      </c>
      <c r="C2668" s="1">
        <v>51.65</v>
      </c>
      <c r="D2668" s="2" t="s">
        <v>310</v>
      </c>
      <c r="E2668" s="8">
        <v>1148.9085</v>
      </c>
      <c r="F2668" s="8">
        <f>F2658</f>
        <v>0.05</v>
      </c>
      <c r="G2668" s="8">
        <f>E2668+F2668</f>
        <v>1148.9585</v>
      </c>
      <c r="H2668" s="3">
        <f>B2668*G2668</f>
        <v>59332.216939999998</v>
      </c>
      <c r="I2668" s="3">
        <f>C2668*G2668</f>
        <v>59343.706524999994</v>
      </c>
    </row>
    <row r="2669" spans="1:9" x14ac:dyDescent="0.25">
      <c r="A2669" t="s">
        <v>12</v>
      </c>
      <c r="B2669" s="1">
        <v>46.02</v>
      </c>
      <c r="C2669" s="1">
        <v>46.03</v>
      </c>
      <c r="D2669" s="2" t="s">
        <v>310</v>
      </c>
      <c r="E2669" s="8">
        <v>1289.3325</v>
      </c>
      <c r="F2669" s="8">
        <f>F2659</f>
        <v>0</v>
      </c>
      <c r="G2669" s="8">
        <f>E2669+F2669</f>
        <v>1289.3325</v>
      </c>
      <c r="H2669" s="3">
        <f>B2669*G2669</f>
        <v>59335.08165</v>
      </c>
      <c r="I2669" s="3">
        <f>C2669*G2669</f>
        <v>59347.974974999997</v>
      </c>
    </row>
    <row r="2670" spans="1:9" x14ac:dyDescent="0.25">
      <c r="A2670" t="s">
        <v>13</v>
      </c>
      <c r="B2670" s="1">
        <v>16.78</v>
      </c>
      <c r="C2670" s="1">
        <v>16.79</v>
      </c>
      <c r="D2670" s="2" t="s">
        <v>310</v>
      </c>
      <c r="E2670" s="8">
        <v>3535.8029000000001</v>
      </c>
      <c r="F2670" s="8">
        <f>F2660</f>
        <v>0</v>
      </c>
      <c r="G2670" s="8">
        <f>E2670+F2670</f>
        <v>3535.8029000000001</v>
      </c>
      <c r="H2670" s="3">
        <f>B2670*G2670</f>
        <v>59330.772662000003</v>
      </c>
      <c r="I2670" s="3">
        <f>C2670*G2670</f>
        <v>59366.130690999998</v>
      </c>
    </row>
    <row r="2671" spans="1:9" x14ac:dyDescent="0.25">
      <c r="A2671" t="s">
        <v>14</v>
      </c>
      <c r="B2671" s="1">
        <v>33.6</v>
      </c>
      <c r="C2671" s="1">
        <v>33.61</v>
      </c>
      <c r="D2671" s="2" t="s">
        <v>310</v>
      </c>
      <c r="E2671" s="8">
        <v>1765.144</v>
      </c>
      <c r="F2671" s="8">
        <f>F2661</f>
        <v>0.2</v>
      </c>
      <c r="G2671" s="8">
        <f>E2671+F2671</f>
        <v>1765.3440000000001</v>
      </c>
      <c r="H2671" s="3">
        <f>B2671*G2671</f>
        <v>59315.558400000002</v>
      </c>
      <c r="I2671" s="3">
        <f>C2671*G2671</f>
        <v>59333.211840000004</v>
      </c>
    </row>
    <row r="2672" spans="1:9" x14ac:dyDescent="0.25">
      <c r="A2672" t="s">
        <v>4</v>
      </c>
      <c r="B2672" s="1">
        <v>19.61</v>
      </c>
      <c r="C2672" s="1">
        <v>19.62</v>
      </c>
      <c r="D2672" s="2" t="s">
        <v>311</v>
      </c>
      <c r="E2672" s="8">
        <v>3015.0699</v>
      </c>
      <c r="F2672" s="8">
        <f>F2662</f>
        <v>0</v>
      </c>
      <c r="G2672" s="8">
        <f>E2672+F2672</f>
        <v>3015.0699</v>
      </c>
      <c r="H2672" s="3">
        <f>B2672*G2672</f>
        <v>59125.520739</v>
      </c>
      <c r="I2672" s="3">
        <f>C2672*G2672</f>
        <v>59155.671438000005</v>
      </c>
    </row>
    <row r="2673" spans="1:9" x14ac:dyDescent="0.25">
      <c r="A2673" t="s">
        <v>6</v>
      </c>
      <c r="B2673" s="1">
        <v>32.1</v>
      </c>
      <c r="C2673" s="1">
        <v>32.11</v>
      </c>
      <c r="D2673" s="2" t="s">
        <v>311</v>
      </c>
      <c r="E2673" s="8">
        <v>1842.1912</v>
      </c>
      <c r="F2673" s="8">
        <f>F2663</f>
        <v>-0.1</v>
      </c>
      <c r="G2673" s="8">
        <f>E2673+F2673</f>
        <v>1842.0912000000001</v>
      </c>
      <c r="H2673" s="3">
        <f>B2673*G2673</f>
        <v>59131.127520000002</v>
      </c>
      <c r="I2673" s="3">
        <f>C2673*G2673</f>
        <v>59149.548432000003</v>
      </c>
    </row>
    <row r="2674" spans="1:9" x14ac:dyDescent="0.25">
      <c r="A2674" t="s">
        <v>7</v>
      </c>
      <c r="B2674" s="1">
        <v>16.670000000000002</v>
      </c>
      <c r="C2674" s="1">
        <v>16.68</v>
      </c>
      <c r="D2674" s="2" t="s">
        <v>311</v>
      </c>
      <c r="E2674" s="8">
        <v>3546.7566000000002</v>
      </c>
      <c r="F2674" s="8">
        <f>F2664</f>
        <v>0</v>
      </c>
      <c r="G2674" s="8">
        <f>E2674+F2674</f>
        <v>3546.7566000000002</v>
      </c>
      <c r="H2674" s="3">
        <f>B2674*G2674</f>
        <v>59124.43252200001</v>
      </c>
      <c r="I2674" s="3">
        <f>C2674*G2674</f>
        <v>59159.900088000002</v>
      </c>
    </row>
    <row r="2675" spans="1:9" x14ac:dyDescent="0.25">
      <c r="A2675" t="s">
        <v>8</v>
      </c>
      <c r="B2675" s="1">
        <v>26.15</v>
      </c>
      <c r="C2675" s="1">
        <v>26.16</v>
      </c>
      <c r="D2675" s="2" t="s">
        <v>311</v>
      </c>
      <c r="E2675" s="8">
        <v>2261.4067</v>
      </c>
      <c r="F2675" s="8">
        <f>F2665</f>
        <v>-0.2</v>
      </c>
      <c r="G2675" s="8">
        <f>E2675+F2675</f>
        <v>2261.2067000000002</v>
      </c>
      <c r="H2675" s="3">
        <f>B2675*G2675</f>
        <v>59130.555205000004</v>
      </c>
      <c r="I2675" s="3">
        <f>C2675*G2675</f>
        <v>59153.167272000006</v>
      </c>
    </row>
    <row r="2676" spans="1:9" x14ac:dyDescent="0.25">
      <c r="A2676" t="s">
        <v>9</v>
      </c>
      <c r="B2676" s="1">
        <v>62.43</v>
      </c>
      <c r="C2676" s="1">
        <v>62.53</v>
      </c>
      <c r="D2676" s="2" t="s">
        <v>311</v>
      </c>
      <c r="E2676" s="8">
        <v>946.18190000000004</v>
      </c>
      <c r="F2676" s="8">
        <f>F2666</f>
        <v>0</v>
      </c>
      <c r="G2676" s="8">
        <f>E2676+F2676</f>
        <v>946.18190000000004</v>
      </c>
      <c r="H2676" s="3">
        <f>B2676*G2676</f>
        <v>59070.136017000004</v>
      </c>
      <c r="I2676" s="3">
        <f>C2676*G2676</f>
        <v>59164.754207000005</v>
      </c>
    </row>
    <row r="2677" spans="1:9" x14ac:dyDescent="0.25">
      <c r="A2677" t="s">
        <v>10</v>
      </c>
      <c r="B2677" s="1">
        <v>34.159999999999997</v>
      </c>
      <c r="C2677" s="1">
        <v>34.19</v>
      </c>
      <c r="D2677" s="2" t="s">
        <v>311</v>
      </c>
      <c r="E2677" s="8">
        <v>1730.1808000000001</v>
      </c>
      <c r="F2677" s="8">
        <f>F2667</f>
        <v>0.2</v>
      </c>
      <c r="G2677" s="8">
        <f>E2677+F2677</f>
        <v>1730.3808000000001</v>
      </c>
      <c r="H2677" s="3">
        <f>B2677*G2677</f>
        <v>59109.808127999997</v>
      </c>
      <c r="I2677" s="3">
        <f>C2677*G2677</f>
        <v>59161.719552000002</v>
      </c>
    </row>
    <row r="2678" spans="1:9" x14ac:dyDescent="0.25">
      <c r="A2678" t="s">
        <v>11</v>
      </c>
      <c r="B2678" s="1">
        <v>51.46</v>
      </c>
      <c r="C2678" s="1">
        <v>51.47</v>
      </c>
      <c r="D2678" s="2" t="s">
        <v>311</v>
      </c>
      <c r="E2678" s="8">
        <v>1148.9085</v>
      </c>
      <c r="F2678" s="8">
        <f>F2668</f>
        <v>0.05</v>
      </c>
      <c r="G2678" s="8">
        <f>E2678+F2678</f>
        <v>1148.9585</v>
      </c>
      <c r="H2678" s="3">
        <f>B2678*G2678</f>
        <v>59125.404409999996</v>
      </c>
      <c r="I2678" s="3">
        <f>C2678*G2678</f>
        <v>59136.893994999999</v>
      </c>
    </row>
    <row r="2679" spans="1:9" x14ac:dyDescent="0.25">
      <c r="A2679" t="s">
        <v>12</v>
      </c>
      <c r="B2679" s="1">
        <v>45.86</v>
      </c>
      <c r="C2679" s="1">
        <v>45.87</v>
      </c>
      <c r="D2679" s="2" t="s">
        <v>311</v>
      </c>
      <c r="E2679" s="8">
        <v>1289.3325</v>
      </c>
      <c r="F2679" s="8">
        <f>F2669</f>
        <v>0</v>
      </c>
      <c r="G2679" s="8">
        <f>E2679+F2679</f>
        <v>1289.3325</v>
      </c>
      <c r="H2679" s="3">
        <f>B2679*G2679</f>
        <v>59128.78845</v>
      </c>
      <c r="I2679" s="3">
        <f>C2679*G2679</f>
        <v>59141.681774999997</v>
      </c>
    </row>
    <row r="2680" spans="1:9" x14ac:dyDescent="0.25">
      <c r="A2680" t="s">
        <v>13</v>
      </c>
      <c r="B2680" s="1">
        <v>16.72</v>
      </c>
      <c r="C2680" s="1">
        <v>16.73</v>
      </c>
      <c r="D2680" s="2" t="s">
        <v>311</v>
      </c>
      <c r="E2680" s="8">
        <v>3535.8029000000001</v>
      </c>
      <c r="F2680" s="8">
        <f>F2670</f>
        <v>0</v>
      </c>
      <c r="G2680" s="8">
        <f>E2680+F2680</f>
        <v>3535.8029000000001</v>
      </c>
      <c r="H2680" s="3">
        <f>B2680*G2680</f>
        <v>59118.624488000001</v>
      </c>
      <c r="I2680" s="3">
        <f>C2680*G2680</f>
        <v>59153.982517000004</v>
      </c>
    </row>
    <row r="2681" spans="1:9" x14ac:dyDescent="0.25">
      <c r="A2681" t="s">
        <v>14</v>
      </c>
      <c r="B2681" s="1">
        <v>33.479999999999997</v>
      </c>
      <c r="C2681" s="1">
        <v>33.49</v>
      </c>
      <c r="D2681" s="2" t="s">
        <v>311</v>
      </c>
      <c r="E2681" s="8">
        <v>1765.144</v>
      </c>
      <c r="F2681" s="8">
        <f>F2671</f>
        <v>0.2</v>
      </c>
      <c r="G2681" s="8">
        <f>E2681+F2681</f>
        <v>1765.3440000000001</v>
      </c>
      <c r="H2681" s="3">
        <f>B2681*G2681</f>
        <v>59103.717119999994</v>
      </c>
      <c r="I2681" s="3">
        <f>C2681*G2681</f>
        <v>59121.370560000003</v>
      </c>
    </row>
    <row r="2682" spans="1:9" x14ac:dyDescent="0.25">
      <c r="A2682" t="s">
        <v>4</v>
      </c>
      <c r="B2682" s="1">
        <v>19.690000000000001</v>
      </c>
      <c r="C2682" s="1">
        <v>19.7</v>
      </c>
      <c r="D2682" s="2" t="s">
        <v>312</v>
      </c>
      <c r="E2682" s="8">
        <v>3015.0699</v>
      </c>
      <c r="F2682" s="8">
        <f>F2672</f>
        <v>0</v>
      </c>
      <c r="G2682" s="8">
        <f>E2682+F2682</f>
        <v>3015.0699</v>
      </c>
      <c r="H2682" s="3">
        <f>B2682*G2682</f>
        <v>59366.726331000005</v>
      </c>
      <c r="I2682" s="3">
        <f>C2682*G2682</f>
        <v>59396.877029999996</v>
      </c>
    </row>
    <row r="2683" spans="1:9" x14ac:dyDescent="0.25">
      <c r="A2683" t="s">
        <v>6</v>
      </c>
      <c r="B2683" s="1">
        <v>32.229999999999997</v>
      </c>
      <c r="C2683" s="1">
        <v>32.24</v>
      </c>
      <c r="D2683" s="2" t="s">
        <v>312</v>
      </c>
      <c r="E2683" s="8">
        <v>1842.1912</v>
      </c>
      <c r="F2683" s="8">
        <f>F2673</f>
        <v>-0.1</v>
      </c>
      <c r="G2683" s="8">
        <f>E2683+F2683</f>
        <v>1842.0912000000001</v>
      </c>
      <c r="H2683" s="3">
        <f>B2683*G2683</f>
        <v>59370.599375999998</v>
      </c>
      <c r="I2683" s="3">
        <f>C2683*G2683</f>
        <v>59389.020288000007</v>
      </c>
    </row>
    <row r="2684" spans="1:9" x14ac:dyDescent="0.25">
      <c r="A2684" t="s">
        <v>7</v>
      </c>
      <c r="B2684" s="1">
        <v>16.739999999999998</v>
      </c>
      <c r="C2684" s="1">
        <v>16.75</v>
      </c>
      <c r="D2684" s="2" t="s">
        <v>312</v>
      </c>
      <c r="E2684" s="8">
        <v>3546.7566000000002</v>
      </c>
      <c r="F2684" s="8">
        <f>F2674</f>
        <v>0</v>
      </c>
      <c r="G2684" s="8">
        <f>E2684+F2684</f>
        <v>3546.7566000000002</v>
      </c>
      <c r="H2684" s="3">
        <f>B2684*G2684</f>
        <v>59372.705483999998</v>
      </c>
      <c r="I2684" s="3">
        <f>C2684*G2684</f>
        <v>59408.173050000005</v>
      </c>
    </row>
    <row r="2685" spans="1:9" x14ac:dyDescent="0.25">
      <c r="A2685" t="s">
        <v>8</v>
      </c>
      <c r="B2685" s="1">
        <v>26.25</v>
      </c>
      <c r="C2685" s="1">
        <v>26.26</v>
      </c>
      <c r="D2685" s="2" t="s">
        <v>312</v>
      </c>
      <c r="E2685" s="8">
        <v>2261.4067</v>
      </c>
      <c r="F2685" s="8">
        <f>F2675</f>
        <v>-0.2</v>
      </c>
      <c r="G2685" s="8">
        <f>E2685+F2685</f>
        <v>2261.2067000000002</v>
      </c>
      <c r="H2685" s="3">
        <f>B2685*G2685</f>
        <v>59356.675875000008</v>
      </c>
      <c r="I2685" s="3">
        <f>C2685*G2685</f>
        <v>59379.28794200001</v>
      </c>
    </row>
    <row r="2686" spans="1:9" x14ac:dyDescent="0.25">
      <c r="A2686" t="s">
        <v>9</v>
      </c>
      <c r="B2686" s="1">
        <v>62.67</v>
      </c>
      <c r="C2686" s="1">
        <v>62.78</v>
      </c>
      <c r="D2686" s="2" t="s">
        <v>312</v>
      </c>
      <c r="E2686" s="8">
        <v>946.18190000000004</v>
      </c>
      <c r="F2686" s="8">
        <f>F2676</f>
        <v>0</v>
      </c>
      <c r="G2686" s="8">
        <f>E2686+F2686</f>
        <v>946.18190000000004</v>
      </c>
      <c r="H2686" s="3">
        <f>B2686*G2686</f>
        <v>59297.219673000007</v>
      </c>
      <c r="I2686" s="3">
        <f>C2686*G2686</f>
        <v>59401.299682000004</v>
      </c>
    </row>
    <row r="2687" spans="1:9" x14ac:dyDescent="0.25">
      <c r="A2687" t="s">
        <v>10</v>
      </c>
      <c r="B2687" s="1">
        <v>34.31</v>
      </c>
      <c r="C2687" s="1">
        <v>34.32</v>
      </c>
      <c r="D2687" s="2" t="s">
        <v>312</v>
      </c>
      <c r="E2687" s="8">
        <v>1730.1808000000001</v>
      </c>
      <c r="F2687" s="8">
        <f>F2677</f>
        <v>0.2</v>
      </c>
      <c r="G2687" s="8">
        <f>E2687+F2687</f>
        <v>1730.3808000000001</v>
      </c>
      <c r="H2687" s="3">
        <f>B2687*G2687</f>
        <v>59369.365248000009</v>
      </c>
      <c r="I2687" s="3">
        <f>C2687*G2687</f>
        <v>59386.669056000006</v>
      </c>
    </row>
    <row r="2688" spans="1:9" x14ac:dyDescent="0.25">
      <c r="A2688" t="s">
        <v>11</v>
      </c>
      <c r="B2688" s="1">
        <v>51.67</v>
      </c>
      <c r="C2688" s="1">
        <v>51.67</v>
      </c>
      <c r="D2688" s="2" t="s">
        <v>312</v>
      </c>
      <c r="E2688" s="8">
        <v>1148.9085</v>
      </c>
      <c r="F2688" s="8">
        <f>F2678</f>
        <v>0.05</v>
      </c>
      <c r="G2688" s="8">
        <f>E2688+F2688</f>
        <v>1148.9585</v>
      </c>
      <c r="H2688" s="3">
        <f>B2688*G2688</f>
        <v>59366.685695</v>
      </c>
      <c r="I2688" s="3">
        <f>C2688*G2688</f>
        <v>59366.685695</v>
      </c>
    </row>
    <row r="2689" spans="1:9" x14ac:dyDescent="0.25">
      <c r="A2689" t="s">
        <v>12</v>
      </c>
      <c r="B2689" s="1">
        <v>46.05</v>
      </c>
      <c r="C2689" s="1">
        <v>46.06</v>
      </c>
      <c r="D2689" s="2" t="s">
        <v>312</v>
      </c>
      <c r="E2689" s="8">
        <v>1289.3325</v>
      </c>
      <c r="F2689" s="8">
        <f>F2679</f>
        <v>0</v>
      </c>
      <c r="G2689" s="8">
        <f>E2689+F2689</f>
        <v>1289.3325</v>
      </c>
      <c r="H2689" s="3">
        <f>B2689*G2689</f>
        <v>59373.761624999992</v>
      </c>
      <c r="I2689" s="3">
        <f>C2689*G2689</f>
        <v>59386.654950000004</v>
      </c>
    </row>
    <row r="2690" spans="1:9" x14ac:dyDescent="0.25">
      <c r="A2690" t="s">
        <v>13</v>
      </c>
      <c r="B2690" s="1">
        <v>16.79</v>
      </c>
      <c r="C2690" s="1">
        <v>16.8</v>
      </c>
      <c r="D2690" s="2" t="s">
        <v>312</v>
      </c>
      <c r="E2690" s="8">
        <v>3535.8029000000001</v>
      </c>
      <c r="F2690" s="8">
        <f>F2680</f>
        <v>0</v>
      </c>
      <c r="G2690" s="8">
        <f>E2690+F2690</f>
        <v>3535.8029000000001</v>
      </c>
      <c r="H2690" s="3">
        <f>B2690*G2690</f>
        <v>59366.130690999998</v>
      </c>
      <c r="I2690" s="3">
        <f>C2690*G2690</f>
        <v>59401.488720000001</v>
      </c>
    </row>
    <row r="2691" spans="1:9" x14ac:dyDescent="0.25">
      <c r="A2691" t="s">
        <v>14</v>
      </c>
      <c r="B2691" s="1">
        <v>33.630000000000003</v>
      </c>
      <c r="C2691" s="1">
        <v>33.64</v>
      </c>
      <c r="D2691" s="2" t="s">
        <v>312</v>
      </c>
      <c r="E2691" s="8">
        <v>1765.144</v>
      </c>
      <c r="F2691" s="8">
        <f>F2681</f>
        <v>0.2</v>
      </c>
      <c r="G2691" s="8">
        <f>E2691+F2691</f>
        <v>1765.3440000000001</v>
      </c>
      <c r="H2691" s="3">
        <f>B2691*G2691</f>
        <v>59368.518720000007</v>
      </c>
      <c r="I2691" s="3">
        <f>C2691*G2691</f>
        <v>59386.172160000002</v>
      </c>
    </row>
    <row r="2692" spans="1:9" x14ac:dyDescent="0.25">
      <c r="A2692" t="s">
        <v>4</v>
      </c>
      <c r="B2692" s="1">
        <v>19.8</v>
      </c>
      <c r="C2692" s="1">
        <v>19.809999999999999</v>
      </c>
      <c r="D2692" s="2" t="s">
        <v>313</v>
      </c>
      <c r="E2692" s="8">
        <v>3015.0699</v>
      </c>
      <c r="F2692" s="8">
        <f>F2682</f>
        <v>0</v>
      </c>
      <c r="G2692" s="8">
        <f>E2692+F2692</f>
        <v>3015.0699</v>
      </c>
      <c r="H2692" s="3">
        <f>B2692*G2692</f>
        <v>59698.384020000005</v>
      </c>
      <c r="I2692" s="3">
        <f>C2692*G2692</f>
        <v>59728.534718999996</v>
      </c>
    </row>
    <row r="2693" spans="1:9" x14ac:dyDescent="0.25">
      <c r="A2693" t="s">
        <v>6</v>
      </c>
      <c r="B2693" s="1">
        <v>32.4</v>
      </c>
      <c r="C2693" s="1">
        <v>32.409999999999997</v>
      </c>
      <c r="D2693" s="2" t="s">
        <v>313</v>
      </c>
      <c r="E2693" s="8">
        <v>1842.1912</v>
      </c>
      <c r="F2693" s="8">
        <f>F2683</f>
        <v>-0.1</v>
      </c>
      <c r="G2693" s="8">
        <f>E2693+F2693</f>
        <v>1842.0912000000001</v>
      </c>
      <c r="H2693" s="3">
        <f>B2693*G2693</f>
        <v>59683.75488</v>
      </c>
      <c r="I2693" s="3">
        <f>C2693*G2693</f>
        <v>59702.175791999995</v>
      </c>
    </row>
    <row r="2694" spans="1:9" x14ac:dyDescent="0.25">
      <c r="A2694" t="s">
        <v>7</v>
      </c>
      <c r="B2694" s="1">
        <v>16.829999999999998</v>
      </c>
      <c r="C2694" s="1">
        <v>16.84</v>
      </c>
      <c r="D2694" s="2" t="s">
        <v>313</v>
      </c>
      <c r="E2694" s="8">
        <v>3546.7566000000002</v>
      </c>
      <c r="F2694" s="8">
        <f>F2684</f>
        <v>0</v>
      </c>
      <c r="G2694" s="8">
        <f>E2694+F2694</f>
        <v>3546.7566000000002</v>
      </c>
      <c r="H2694" s="3">
        <f>B2694*G2694</f>
        <v>59691.913578</v>
      </c>
      <c r="I2694" s="3">
        <f>C2694*G2694</f>
        <v>59727.381143999999</v>
      </c>
    </row>
    <row r="2695" spans="1:9" x14ac:dyDescent="0.25">
      <c r="A2695" t="s">
        <v>8</v>
      </c>
      <c r="B2695" s="1">
        <v>26.4</v>
      </c>
      <c r="C2695" s="1">
        <v>26.41</v>
      </c>
      <c r="D2695" s="2" t="s">
        <v>313</v>
      </c>
      <c r="E2695" s="8">
        <v>2261.4067</v>
      </c>
      <c r="F2695" s="8">
        <f>F2685</f>
        <v>-0.2</v>
      </c>
      <c r="G2695" s="8">
        <f>E2695+F2695</f>
        <v>2261.2067000000002</v>
      </c>
      <c r="H2695" s="3">
        <f>B2695*G2695</f>
        <v>59695.856879999999</v>
      </c>
      <c r="I2695" s="3">
        <f>C2695*G2695</f>
        <v>59718.468947000008</v>
      </c>
    </row>
    <row r="2696" spans="1:9" x14ac:dyDescent="0.25">
      <c r="A2696" t="s">
        <v>9</v>
      </c>
      <c r="B2696" s="1">
        <v>63.05</v>
      </c>
      <c r="C2696" s="1">
        <v>63.13</v>
      </c>
      <c r="D2696" s="2" t="s">
        <v>313</v>
      </c>
      <c r="E2696" s="8">
        <v>946.18190000000004</v>
      </c>
      <c r="F2696" s="8">
        <f>F2686</f>
        <v>0</v>
      </c>
      <c r="G2696" s="8">
        <f>E2696+F2696</f>
        <v>946.18190000000004</v>
      </c>
      <c r="H2696" s="3">
        <f>B2696*G2696</f>
        <v>59656.768794999996</v>
      </c>
      <c r="I2696" s="3">
        <f>C2696*G2696</f>
        <v>59732.463347000004</v>
      </c>
    </row>
    <row r="2697" spans="1:9" x14ac:dyDescent="0.25">
      <c r="A2697" t="s">
        <v>10</v>
      </c>
      <c r="B2697" s="1">
        <v>34.5</v>
      </c>
      <c r="C2697" s="1">
        <v>34.520000000000003</v>
      </c>
      <c r="D2697" s="2" t="s">
        <v>313</v>
      </c>
      <c r="E2697" s="8">
        <v>1730.1808000000001</v>
      </c>
      <c r="F2697" s="8">
        <f>F2687</f>
        <v>0.2</v>
      </c>
      <c r="G2697" s="8">
        <f>E2697+F2697</f>
        <v>1730.3808000000001</v>
      </c>
      <c r="H2697" s="3">
        <f>B2697*G2697</f>
        <v>59698.137600000002</v>
      </c>
      <c r="I2697" s="3">
        <f>C2697*G2697</f>
        <v>59732.74521600001</v>
      </c>
    </row>
    <row r="2698" spans="1:9" x14ac:dyDescent="0.25">
      <c r="A2698" t="s">
        <v>11</v>
      </c>
      <c r="B2698" s="1">
        <v>51.95</v>
      </c>
      <c r="C2698" s="1">
        <v>51.96</v>
      </c>
      <c r="D2698" s="2" t="s">
        <v>313</v>
      </c>
      <c r="E2698" s="8">
        <v>1148.9085</v>
      </c>
      <c r="F2698" s="8">
        <f>F2688</f>
        <v>0.05</v>
      </c>
      <c r="G2698" s="8">
        <f>E2698+F2698</f>
        <v>1148.9585</v>
      </c>
      <c r="H2698" s="3">
        <f>B2698*G2698</f>
        <v>59688.394075000004</v>
      </c>
      <c r="I2698" s="3">
        <f>C2698*G2698</f>
        <v>59699.88366</v>
      </c>
    </row>
    <row r="2699" spans="1:9" x14ac:dyDescent="0.25">
      <c r="A2699" t="s">
        <v>12</v>
      </c>
      <c r="B2699" s="1">
        <v>46.3</v>
      </c>
      <c r="C2699" s="1">
        <v>46.31</v>
      </c>
      <c r="D2699" s="2" t="s">
        <v>313</v>
      </c>
      <c r="E2699" s="8">
        <v>1289.3325</v>
      </c>
      <c r="F2699" s="8">
        <f>F2689</f>
        <v>0</v>
      </c>
      <c r="G2699" s="8">
        <f>E2699+F2699</f>
        <v>1289.3325</v>
      </c>
      <c r="H2699" s="3">
        <f>B2699*G2699</f>
        <v>59696.094749999997</v>
      </c>
      <c r="I2699" s="3">
        <f>C2699*G2699</f>
        <v>59708.988075000001</v>
      </c>
    </row>
    <row r="2700" spans="1:9" x14ac:dyDescent="0.25">
      <c r="A2700" t="s">
        <v>13</v>
      </c>
      <c r="B2700" s="1">
        <v>16.88</v>
      </c>
      <c r="C2700" s="1">
        <v>16.89</v>
      </c>
      <c r="D2700" s="2" t="s">
        <v>313</v>
      </c>
      <c r="E2700" s="8">
        <v>3535.8029000000001</v>
      </c>
      <c r="F2700" s="8">
        <f>F2690</f>
        <v>0</v>
      </c>
      <c r="G2700" s="8">
        <f>E2700+F2700</f>
        <v>3535.8029000000001</v>
      </c>
      <c r="H2700" s="3">
        <f>B2700*G2700</f>
        <v>59684.352952000001</v>
      </c>
      <c r="I2700" s="3">
        <f>C2700*G2700</f>
        <v>59719.710981000004</v>
      </c>
    </row>
    <row r="2701" spans="1:9" x14ac:dyDescent="0.25">
      <c r="A2701" t="s">
        <v>14</v>
      </c>
      <c r="B2701" s="1">
        <v>33.81</v>
      </c>
      <c r="C2701" s="1">
        <v>33.82</v>
      </c>
      <c r="D2701" s="2" t="s">
        <v>313</v>
      </c>
      <c r="E2701" s="8">
        <v>1765.144</v>
      </c>
      <c r="F2701" s="8">
        <f>F2691</f>
        <v>0.2</v>
      </c>
      <c r="G2701" s="8">
        <f>E2701+F2701</f>
        <v>1765.3440000000001</v>
      </c>
      <c r="H2701" s="3">
        <f>B2701*G2701</f>
        <v>59686.280640000004</v>
      </c>
      <c r="I2701" s="3">
        <f>C2701*G2701</f>
        <v>59703.934079999999</v>
      </c>
    </row>
    <row r="2702" spans="1:9" x14ac:dyDescent="0.25">
      <c r="A2702" t="s">
        <v>4</v>
      </c>
      <c r="B2702" s="1">
        <v>19.8</v>
      </c>
      <c r="C2702" s="1">
        <v>19.809999999999999</v>
      </c>
      <c r="D2702" s="2" t="s">
        <v>314</v>
      </c>
      <c r="E2702" s="8">
        <v>3015.0699</v>
      </c>
      <c r="F2702" s="8">
        <f>F2692</f>
        <v>0</v>
      </c>
      <c r="G2702" s="8">
        <f>E2702+F2702</f>
        <v>3015.0699</v>
      </c>
      <c r="H2702" s="3">
        <f>B2702*G2702</f>
        <v>59698.384020000005</v>
      </c>
      <c r="I2702" s="3">
        <f>C2702*G2702</f>
        <v>59728.534718999996</v>
      </c>
    </row>
    <row r="2703" spans="1:9" x14ac:dyDescent="0.25">
      <c r="A2703" t="s">
        <v>6</v>
      </c>
      <c r="B2703" s="1">
        <v>32.4</v>
      </c>
      <c r="C2703" s="1">
        <v>32.409999999999997</v>
      </c>
      <c r="D2703" s="2" t="s">
        <v>314</v>
      </c>
      <c r="E2703" s="8">
        <v>1842.1912</v>
      </c>
      <c r="F2703" s="8">
        <f>F2693</f>
        <v>-0.1</v>
      </c>
      <c r="G2703" s="8">
        <f>E2703+F2703</f>
        <v>1842.0912000000001</v>
      </c>
      <c r="H2703" s="3">
        <f>B2703*G2703</f>
        <v>59683.75488</v>
      </c>
      <c r="I2703" s="3">
        <f>C2703*G2703</f>
        <v>59702.175791999995</v>
      </c>
    </row>
    <row r="2704" spans="1:9" x14ac:dyDescent="0.25">
      <c r="A2704" t="s">
        <v>7</v>
      </c>
      <c r="B2704" s="1">
        <v>16.829999999999998</v>
      </c>
      <c r="C2704" s="1">
        <v>16.84</v>
      </c>
      <c r="D2704" s="2" t="s">
        <v>314</v>
      </c>
      <c r="E2704" s="8">
        <v>3546.7566000000002</v>
      </c>
      <c r="F2704" s="8">
        <f>F2694</f>
        <v>0</v>
      </c>
      <c r="G2704" s="8">
        <f>E2704+F2704</f>
        <v>3546.7566000000002</v>
      </c>
      <c r="H2704" s="3">
        <f>B2704*G2704</f>
        <v>59691.913578</v>
      </c>
      <c r="I2704" s="3">
        <f>C2704*G2704</f>
        <v>59727.381143999999</v>
      </c>
    </row>
    <row r="2705" spans="1:9" x14ac:dyDescent="0.25">
      <c r="A2705" t="s">
        <v>8</v>
      </c>
      <c r="B2705" s="1">
        <v>26.39</v>
      </c>
      <c r="C2705" s="1">
        <v>26.4</v>
      </c>
      <c r="D2705" s="2" t="s">
        <v>314</v>
      </c>
      <c r="E2705" s="8">
        <v>2261.4067</v>
      </c>
      <c r="F2705" s="8">
        <f>F2695</f>
        <v>-0.2</v>
      </c>
      <c r="G2705" s="8">
        <f>E2705+F2705</f>
        <v>2261.2067000000002</v>
      </c>
      <c r="H2705" s="3">
        <f>B2705*G2705</f>
        <v>59673.244813000005</v>
      </c>
      <c r="I2705" s="3">
        <f>C2705*G2705</f>
        <v>59695.856879999999</v>
      </c>
    </row>
    <row r="2706" spans="1:9" x14ac:dyDescent="0.25">
      <c r="A2706" t="s">
        <v>9</v>
      </c>
      <c r="B2706" s="1">
        <v>63.03</v>
      </c>
      <c r="C2706" s="1">
        <v>63.14</v>
      </c>
      <c r="D2706" s="2" t="s">
        <v>314</v>
      </c>
      <c r="E2706" s="8">
        <v>946.18190000000004</v>
      </c>
      <c r="F2706" s="8">
        <f>F2696</f>
        <v>0</v>
      </c>
      <c r="G2706" s="8">
        <f>E2706+F2706</f>
        <v>946.18190000000004</v>
      </c>
      <c r="H2706" s="3">
        <f>B2706*G2706</f>
        <v>59637.845157000003</v>
      </c>
      <c r="I2706" s="3">
        <f>C2706*G2706</f>
        <v>59741.925166000001</v>
      </c>
    </row>
    <row r="2707" spans="1:9" x14ac:dyDescent="0.25">
      <c r="A2707" t="s">
        <v>10</v>
      </c>
      <c r="B2707" s="1">
        <v>34.49</v>
      </c>
      <c r="C2707" s="1">
        <v>34.51</v>
      </c>
      <c r="D2707" s="2" t="s">
        <v>314</v>
      </c>
      <c r="E2707" s="8">
        <v>1730.1808000000001</v>
      </c>
      <c r="F2707" s="8">
        <f>F2697</f>
        <v>0.2</v>
      </c>
      <c r="G2707" s="8">
        <f>E2707+F2707</f>
        <v>1730.3808000000001</v>
      </c>
      <c r="H2707" s="3">
        <f>B2707*G2707</f>
        <v>59680.833792000005</v>
      </c>
      <c r="I2707" s="3">
        <f>C2707*G2707</f>
        <v>59715.441407999999</v>
      </c>
    </row>
    <row r="2708" spans="1:9" x14ac:dyDescent="0.25">
      <c r="A2708" t="s">
        <v>11</v>
      </c>
      <c r="B2708" s="1">
        <v>51.96</v>
      </c>
      <c r="C2708" s="1">
        <v>51.97</v>
      </c>
      <c r="D2708" s="2" t="s">
        <v>314</v>
      </c>
      <c r="E2708" s="8">
        <v>1148.9085</v>
      </c>
      <c r="F2708" s="8">
        <f>F2698</f>
        <v>0.05</v>
      </c>
      <c r="G2708" s="8">
        <f>E2708+F2708</f>
        <v>1148.9585</v>
      </c>
      <c r="H2708" s="3">
        <f>B2708*G2708</f>
        <v>59699.88366</v>
      </c>
      <c r="I2708" s="3">
        <f>C2708*G2708</f>
        <v>59711.373244999995</v>
      </c>
    </row>
    <row r="2709" spans="1:9" x14ac:dyDescent="0.25">
      <c r="A2709" t="s">
        <v>12</v>
      </c>
      <c r="B2709" s="1">
        <v>46.3</v>
      </c>
      <c r="C2709" s="1">
        <v>46.31</v>
      </c>
      <c r="D2709" s="2" t="s">
        <v>314</v>
      </c>
      <c r="E2709" s="8">
        <v>1289.3325</v>
      </c>
      <c r="F2709" s="8">
        <f>F2699</f>
        <v>0</v>
      </c>
      <c r="G2709" s="8">
        <f>E2709+F2709</f>
        <v>1289.3325</v>
      </c>
      <c r="H2709" s="3">
        <f>B2709*G2709</f>
        <v>59696.094749999997</v>
      </c>
      <c r="I2709" s="3">
        <f>C2709*G2709</f>
        <v>59708.988075000001</v>
      </c>
    </row>
    <row r="2710" spans="1:9" x14ac:dyDescent="0.25">
      <c r="A2710" t="s">
        <v>13</v>
      </c>
      <c r="B2710" s="1">
        <v>16.88</v>
      </c>
      <c r="C2710" s="1">
        <v>16.89</v>
      </c>
      <c r="D2710" s="2" t="s">
        <v>314</v>
      </c>
      <c r="E2710" s="8">
        <v>3535.8029000000001</v>
      </c>
      <c r="F2710" s="8">
        <f>F2700</f>
        <v>0</v>
      </c>
      <c r="G2710" s="8">
        <f>E2710+F2710</f>
        <v>3535.8029000000001</v>
      </c>
      <c r="H2710" s="3">
        <f>B2710*G2710</f>
        <v>59684.352952000001</v>
      </c>
      <c r="I2710" s="3">
        <f>C2710*G2710</f>
        <v>59719.710981000004</v>
      </c>
    </row>
    <row r="2711" spans="1:9" x14ac:dyDescent="0.25">
      <c r="A2711" t="s">
        <v>14</v>
      </c>
      <c r="B2711" s="1">
        <v>33.81</v>
      </c>
      <c r="C2711" s="1">
        <v>33.82</v>
      </c>
      <c r="D2711" s="2" t="s">
        <v>314</v>
      </c>
      <c r="E2711" s="8">
        <v>1765.144</v>
      </c>
      <c r="F2711" s="8">
        <f>F2701</f>
        <v>0.2</v>
      </c>
      <c r="G2711" s="8">
        <f>E2711+F2711</f>
        <v>1765.3440000000001</v>
      </c>
      <c r="H2711" s="3">
        <f>B2711*G2711</f>
        <v>59686.280640000004</v>
      </c>
      <c r="I2711" s="3">
        <f>C2711*G2711</f>
        <v>59703.934079999999</v>
      </c>
    </row>
    <row r="2712" spans="1:9" x14ac:dyDescent="0.25">
      <c r="A2712" t="s">
        <v>4</v>
      </c>
      <c r="B2712" s="1">
        <v>19.77</v>
      </c>
      <c r="C2712" s="1">
        <v>19.78</v>
      </c>
      <c r="D2712" s="2" t="s">
        <v>315</v>
      </c>
      <c r="E2712" s="8">
        <v>3015.0699</v>
      </c>
      <c r="F2712" s="8">
        <f>F2702</f>
        <v>0</v>
      </c>
      <c r="G2712" s="8">
        <f>E2712+F2712</f>
        <v>3015.0699</v>
      </c>
      <c r="H2712" s="3">
        <f>B2712*G2712</f>
        <v>59607.931922999996</v>
      </c>
      <c r="I2712" s="3">
        <f>C2712*G2712</f>
        <v>59638.082622000002</v>
      </c>
    </row>
    <row r="2713" spans="1:9" x14ac:dyDescent="0.25">
      <c r="A2713" t="s">
        <v>6</v>
      </c>
      <c r="B2713" s="1">
        <v>32.36</v>
      </c>
      <c r="C2713" s="1">
        <v>32.369999999999997</v>
      </c>
      <c r="D2713" s="2" t="s">
        <v>315</v>
      </c>
      <c r="E2713" s="8">
        <v>1842.1912</v>
      </c>
      <c r="F2713" s="8">
        <f>F2703</f>
        <v>-0.1</v>
      </c>
      <c r="G2713" s="8">
        <f>E2713+F2713</f>
        <v>1842.0912000000001</v>
      </c>
      <c r="H2713" s="3">
        <f>B2713*G2713</f>
        <v>59610.071232000002</v>
      </c>
      <c r="I2713" s="3">
        <f>C2713*G2713</f>
        <v>59628.492143999996</v>
      </c>
    </row>
    <row r="2714" spans="1:9" x14ac:dyDescent="0.25">
      <c r="A2714" t="s">
        <v>7</v>
      </c>
      <c r="B2714" s="1">
        <v>16.8</v>
      </c>
      <c r="C2714" s="1">
        <v>16.809999999999999</v>
      </c>
      <c r="D2714" s="2" t="s">
        <v>315</v>
      </c>
      <c r="E2714" s="8">
        <v>3546.7566000000002</v>
      </c>
      <c r="F2714" s="8">
        <f>F2704</f>
        <v>0</v>
      </c>
      <c r="G2714" s="8">
        <f>E2714+F2714</f>
        <v>3546.7566000000002</v>
      </c>
      <c r="H2714" s="3">
        <f>B2714*G2714</f>
        <v>59585.510880000002</v>
      </c>
      <c r="I2714" s="3">
        <f>C2714*G2714</f>
        <v>59620.978446000001</v>
      </c>
    </row>
    <row r="2715" spans="1:9" x14ac:dyDescent="0.25">
      <c r="A2715" t="s">
        <v>8</v>
      </c>
      <c r="B2715" s="1">
        <v>26.36</v>
      </c>
      <c r="C2715" s="1">
        <v>26.37</v>
      </c>
      <c r="D2715" s="2" t="s">
        <v>315</v>
      </c>
      <c r="E2715" s="8">
        <v>2261.4067</v>
      </c>
      <c r="F2715" s="8">
        <f>F2705</f>
        <v>-0.2</v>
      </c>
      <c r="G2715" s="8">
        <f>E2715+F2715</f>
        <v>2261.2067000000002</v>
      </c>
      <c r="H2715" s="3">
        <f>B2715*G2715</f>
        <v>59605.408612000007</v>
      </c>
      <c r="I2715" s="3">
        <f>C2715*G2715</f>
        <v>59628.020679000008</v>
      </c>
    </row>
    <row r="2716" spans="1:9" x14ac:dyDescent="0.25">
      <c r="A2716" t="s">
        <v>9</v>
      </c>
      <c r="B2716" s="1">
        <v>62.94</v>
      </c>
      <c r="C2716" s="1">
        <v>63.04</v>
      </c>
      <c r="D2716" s="2" t="s">
        <v>315</v>
      </c>
      <c r="E2716" s="8">
        <v>946.18190000000004</v>
      </c>
      <c r="F2716" s="8">
        <f>F2706</f>
        <v>0</v>
      </c>
      <c r="G2716" s="8">
        <f>E2716+F2716</f>
        <v>946.18190000000004</v>
      </c>
      <c r="H2716" s="3">
        <f>B2716*G2716</f>
        <v>59552.688785999999</v>
      </c>
      <c r="I2716" s="3">
        <f>C2716*G2716</f>
        <v>59647.306976</v>
      </c>
    </row>
    <row r="2717" spans="1:9" x14ac:dyDescent="0.25">
      <c r="A2717" t="s">
        <v>10</v>
      </c>
      <c r="B2717" s="1">
        <v>34.44</v>
      </c>
      <c r="C2717" s="1">
        <v>34.46</v>
      </c>
      <c r="D2717" s="2" t="s">
        <v>315</v>
      </c>
      <c r="E2717" s="8">
        <v>1730.1808000000001</v>
      </c>
      <c r="F2717" s="8">
        <f>F2707</f>
        <v>0.2</v>
      </c>
      <c r="G2717" s="8">
        <f>E2717+F2717</f>
        <v>1730.3808000000001</v>
      </c>
      <c r="H2717" s="3">
        <f>B2717*G2717</f>
        <v>59594.314751999998</v>
      </c>
      <c r="I2717" s="3">
        <f>C2717*G2717</f>
        <v>59628.922368000007</v>
      </c>
    </row>
    <row r="2718" spans="1:9" x14ac:dyDescent="0.25">
      <c r="A2718" t="s">
        <v>11</v>
      </c>
      <c r="B2718" s="1">
        <v>51.88</v>
      </c>
      <c r="C2718" s="1">
        <v>51.89</v>
      </c>
      <c r="D2718" s="2" t="s">
        <v>315</v>
      </c>
      <c r="E2718" s="8">
        <v>1148.9085</v>
      </c>
      <c r="F2718" s="8">
        <f>F2708</f>
        <v>0.05</v>
      </c>
      <c r="G2718" s="8">
        <f>E2718+F2718</f>
        <v>1148.9585</v>
      </c>
      <c r="H2718" s="3">
        <f>B2718*G2718</f>
        <v>59607.966979999997</v>
      </c>
      <c r="I2718" s="3">
        <f>C2718*G2718</f>
        <v>59619.456565</v>
      </c>
    </row>
    <row r="2719" spans="1:9" x14ac:dyDescent="0.25">
      <c r="A2719" t="s">
        <v>12</v>
      </c>
      <c r="B2719" s="1">
        <v>46.24</v>
      </c>
      <c r="C2719" s="1">
        <v>46.25</v>
      </c>
      <c r="D2719" s="2" t="s">
        <v>315</v>
      </c>
      <c r="E2719" s="8">
        <v>1289.3325</v>
      </c>
      <c r="F2719" s="8">
        <f>F2709</f>
        <v>0</v>
      </c>
      <c r="G2719" s="8">
        <f>E2719+F2719</f>
        <v>1289.3325</v>
      </c>
      <c r="H2719" s="3">
        <f>B2719*G2719</f>
        <v>59618.734799999998</v>
      </c>
      <c r="I2719" s="3">
        <f>C2719*G2719</f>
        <v>59631.628124999996</v>
      </c>
    </row>
    <row r="2720" spans="1:9" x14ac:dyDescent="0.25">
      <c r="A2720" t="s">
        <v>13</v>
      </c>
      <c r="B2720" s="1">
        <v>16.86</v>
      </c>
      <c r="C2720" s="1">
        <v>16.87</v>
      </c>
      <c r="D2720" s="2" t="s">
        <v>315</v>
      </c>
      <c r="E2720" s="8">
        <v>3535.8029000000001</v>
      </c>
      <c r="F2720" s="8">
        <f>F2710</f>
        <v>0</v>
      </c>
      <c r="G2720" s="8">
        <f>E2720+F2720</f>
        <v>3535.8029000000001</v>
      </c>
      <c r="H2720" s="3">
        <f>B2720*G2720</f>
        <v>59613.636894000003</v>
      </c>
      <c r="I2720" s="3">
        <f>C2720*G2720</f>
        <v>59648.994923000006</v>
      </c>
    </row>
    <row r="2721" spans="1:9" x14ac:dyDescent="0.25">
      <c r="A2721" t="s">
        <v>14</v>
      </c>
      <c r="B2721" s="1">
        <v>33.76</v>
      </c>
      <c r="C2721" s="1">
        <v>33.770000000000003</v>
      </c>
      <c r="D2721" s="2" t="s">
        <v>315</v>
      </c>
      <c r="E2721" s="8">
        <v>1765.144</v>
      </c>
      <c r="F2721" s="8">
        <f>F2711</f>
        <v>0.2</v>
      </c>
      <c r="G2721" s="8">
        <f>E2721+F2721</f>
        <v>1765.3440000000001</v>
      </c>
      <c r="H2721" s="3">
        <f>B2721*G2721</f>
        <v>59598.013439999995</v>
      </c>
      <c r="I2721" s="3">
        <f>C2721*G2721</f>
        <v>59615.666880000004</v>
      </c>
    </row>
    <row r="2722" spans="1:9" x14ac:dyDescent="0.25">
      <c r="A2722" t="s">
        <v>4</v>
      </c>
      <c r="B2722" s="1">
        <v>19.73</v>
      </c>
      <c r="C2722" s="1">
        <v>19.739999999999998</v>
      </c>
      <c r="D2722" s="2" t="s">
        <v>316</v>
      </c>
      <c r="E2722" s="8">
        <v>3015.0699</v>
      </c>
      <c r="F2722" s="8">
        <f>F2712</f>
        <v>0</v>
      </c>
      <c r="G2722" s="8">
        <f>E2722+F2722</f>
        <v>3015.0699</v>
      </c>
      <c r="H2722" s="3">
        <f>B2722*G2722</f>
        <v>59487.329126999997</v>
      </c>
      <c r="I2722" s="3">
        <f>C2722*G2722</f>
        <v>59517.479825999995</v>
      </c>
    </row>
    <row r="2723" spans="1:9" x14ac:dyDescent="0.25">
      <c r="A2723" t="s">
        <v>6</v>
      </c>
      <c r="B2723" s="1">
        <v>32.299999999999997</v>
      </c>
      <c r="C2723" s="1">
        <v>32.31</v>
      </c>
      <c r="D2723" s="2" t="s">
        <v>316</v>
      </c>
      <c r="E2723" s="8">
        <v>1842.1912</v>
      </c>
      <c r="F2723" s="8">
        <f>F2713</f>
        <v>-0.1</v>
      </c>
      <c r="G2723" s="8">
        <f>E2723+F2723</f>
        <v>1842.0912000000001</v>
      </c>
      <c r="H2723" s="3">
        <f>B2723*G2723</f>
        <v>59499.545759999994</v>
      </c>
      <c r="I2723" s="3">
        <f>C2723*G2723</f>
        <v>59517.96667200001</v>
      </c>
    </row>
    <row r="2724" spans="1:9" x14ac:dyDescent="0.25">
      <c r="A2724" t="s">
        <v>7</v>
      </c>
      <c r="B2724" s="1">
        <v>16.77</v>
      </c>
      <c r="C2724" s="1">
        <v>16.78</v>
      </c>
      <c r="D2724" s="2" t="s">
        <v>316</v>
      </c>
      <c r="E2724" s="8">
        <v>3546.7566000000002</v>
      </c>
      <c r="F2724" s="8">
        <f>F2714</f>
        <v>0</v>
      </c>
      <c r="G2724" s="8">
        <f>E2724+F2724</f>
        <v>3546.7566000000002</v>
      </c>
      <c r="H2724" s="3">
        <f>B2724*G2724</f>
        <v>59479.108182000004</v>
      </c>
      <c r="I2724" s="3">
        <f>C2724*G2724</f>
        <v>59514.57574800001</v>
      </c>
    </row>
    <row r="2725" spans="1:9" x14ac:dyDescent="0.25">
      <c r="A2725" t="s">
        <v>8</v>
      </c>
      <c r="B2725" s="1">
        <v>26.31</v>
      </c>
      <c r="C2725" s="1">
        <v>26.32</v>
      </c>
      <c r="D2725" s="2" t="s">
        <v>316</v>
      </c>
      <c r="E2725" s="8">
        <v>2261.4067</v>
      </c>
      <c r="F2725" s="8">
        <f>F2715</f>
        <v>-0.2</v>
      </c>
      <c r="G2725" s="8">
        <f>E2725+F2725</f>
        <v>2261.2067000000002</v>
      </c>
      <c r="H2725" s="3">
        <f>B2725*G2725</f>
        <v>59492.348277000005</v>
      </c>
      <c r="I2725" s="3">
        <f>C2725*G2725</f>
        <v>59514.960344000006</v>
      </c>
    </row>
    <row r="2726" spans="1:9" x14ac:dyDescent="0.25">
      <c r="A2726" t="s">
        <v>9</v>
      </c>
      <c r="B2726" s="1">
        <v>62.8</v>
      </c>
      <c r="C2726" s="1">
        <v>62.91</v>
      </c>
      <c r="D2726" s="2" t="s">
        <v>316</v>
      </c>
      <c r="E2726" s="8">
        <v>946.18190000000004</v>
      </c>
      <c r="F2726" s="8">
        <f>F2716</f>
        <v>0</v>
      </c>
      <c r="G2726" s="8">
        <f>E2726+F2726</f>
        <v>946.18190000000004</v>
      </c>
      <c r="H2726" s="3">
        <f>B2726*G2726</f>
        <v>59420.223319999997</v>
      </c>
      <c r="I2726" s="3">
        <f>C2726*G2726</f>
        <v>59524.303329000002</v>
      </c>
    </row>
    <row r="2727" spans="1:9" x14ac:dyDescent="0.25">
      <c r="A2727" t="s">
        <v>10</v>
      </c>
      <c r="B2727" s="1">
        <v>34.380000000000003</v>
      </c>
      <c r="C2727" s="1">
        <v>34.4</v>
      </c>
      <c r="D2727" s="2" t="s">
        <v>316</v>
      </c>
      <c r="E2727" s="8">
        <v>1730.1808000000001</v>
      </c>
      <c r="F2727" s="8">
        <f>F2717</f>
        <v>0.2</v>
      </c>
      <c r="G2727" s="8">
        <f>E2727+F2727</f>
        <v>1730.3808000000001</v>
      </c>
      <c r="H2727" s="3">
        <f>B2727*G2727</f>
        <v>59490.49190400001</v>
      </c>
      <c r="I2727" s="3">
        <f>C2727*G2727</f>
        <v>59525.099520000003</v>
      </c>
    </row>
    <row r="2728" spans="1:9" x14ac:dyDescent="0.25">
      <c r="A2728" t="s">
        <v>11</v>
      </c>
      <c r="B2728" s="1">
        <v>51.79</v>
      </c>
      <c r="C2728" s="1">
        <v>51.8</v>
      </c>
      <c r="D2728" s="2" t="s">
        <v>316</v>
      </c>
      <c r="E2728" s="8">
        <v>1148.9085</v>
      </c>
      <c r="F2728" s="8">
        <f>F2718</f>
        <v>0.05</v>
      </c>
      <c r="G2728" s="8">
        <f>E2728+F2728</f>
        <v>1148.9585</v>
      </c>
      <c r="H2728" s="3">
        <f>B2728*G2728</f>
        <v>59504.560715</v>
      </c>
      <c r="I2728" s="3">
        <f>C2728*G2728</f>
        <v>59516.050299999995</v>
      </c>
    </row>
    <row r="2729" spans="1:9" x14ac:dyDescent="0.25">
      <c r="A2729" t="s">
        <v>12</v>
      </c>
      <c r="B2729" s="1">
        <v>46.15</v>
      </c>
      <c r="C2729" s="1">
        <v>46.16</v>
      </c>
      <c r="D2729" s="2" t="s">
        <v>316</v>
      </c>
      <c r="E2729" s="8">
        <v>1289.3325</v>
      </c>
      <c r="F2729" s="8">
        <f>F2719</f>
        <v>0</v>
      </c>
      <c r="G2729" s="8">
        <f>E2729+F2729</f>
        <v>1289.3325</v>
      </c>
      <c r="H2729" s="3">
        <f>B2729*G2729</f>
        <v>59502.694874999994</v>
      </c>
      <c r="I2729" s="3">
        <f>C2729*G2729</f>
        <v>59515.588199999998</v>
      </c>
    </row>
    <row r="2730" spans="1:9" x14ac:dyDescent="0.25">
      <c r="A2730" t="s">
        <v>13</v>
      </c>
      <c r="B2730" s="1">
        <v>16.829999999999998</v>
      </c>
      <c r="C2730" s="1">
        <v>16.84</v>
      </c>
      <c r="D2730" s="2" t="s">
        <v>316</v>
      </c>
      <c r="E2730" s="8">
        <v>3535.8029000000001</v>
      </c>
      <c r="F2730" s="8">
        <f>F2720</f>
        <v>0</v>
      </c>
      <c r="G2730" s="8">
        <f>E2730+F2730</f>
        <v>3535.8029000000001</v>
      </c>
      <c r="H2730" s="3">
        <f>B2730*G2730</f>
        <v>59507.562806999995</v>
      </c>
      <c r="I2730" s="3">
        <f>C2730*G2730</f>
        <v>59542.920836000005</v>
      </c>
    </row>
    <row r="2731" spans="1:9" x14ac:dyDescent="0.25">
      <c r="A2731" t="s">
        <v>14</v>
      </c>
      <c r="B2731" s="1">
        <v>33.700000000000003</v>
      </c>
      <c r="C2731" s="1">
        <v>33.71</v>
      </c>
      <c r="D2731" s="2" t="s">
        <v>316</v>
      </c>
      <c r="E2731" s="8">
        <v>1765.144</v>
      </c>
      <c r="F2731" s="8">
        <f>F2721</f>
        <v>0.2</v>
      </c>
      <c r="G2731" s="8">
        <f>E2731+F2731</f>
        <v>1765.3440000000001</v>
      </c>
      <c r="H2731" s="3">
        <f>B2731*G2731</f>
        <v>59492.092800000006</v>
      </c>
      <c r="I2731" s="3">
        <f>C2731*G2731</f>
        <v>59509.74624</v>
      </c>
    </row>
    <row r="2732" spans="1:9" x14ac:dyDescent="0.25">
      <c r="A2732" t="s">
        <v>4</v>
      </c>
      <c r="B2732" s="1">
        <v>19.82</v>
      </c>
      <c r="C2732" s="1">
        <v>19.829999999999998</v>
      </c>
      <c r="D2732" s="2" t="s">
        <v>317</v>
      </c>
      <c r="E2732" s="8">
        <v>3015.0699</v>
      </c>
      <c r="F2732" s="8">
        <f>F2722</f>
        <v>0</v>
      </c>
      <c r="G2732" s="8">
        <f>E2732+F2732</f>
        <v>3015.0699</v>
      </c>
      <c r="H2732" s="3">
        <f>B2732*G2732</f>
        <v>59758.685418000001</v>
      </c>
      <c r="I2732" s="3">
        <f>C2732*G2732</f>
        <v>59788.836116999992</v>
      </c>
    </row>
    <row r="2733" spans="1:9" x14ac:dyDescent="0.25">
      <c r="A2733" t="s">
        <v>6</v>
      </c>
      <c r="B2733" s="1">
        <v>32.44</v>
      </c>
      <c r="C2733" s="1">
        <v>32.450000000000003</v>
      </c>
      <c r="D2733" s="2" t="s">
        <v>317</v>
      </c>
      <c r="E2733" s="8">
        <v>1842.1912</v>
      </c>
      <c r="F2733" s="8">
        <f>F2723</f>
        <v>-0.1</v>
      </c>
      <c r="G2733" s="8">
        <f>E2733+F2733</f>
        <v>1842.0912000000001</v>
      </c>
      <c r="H2733" s="3">
        <f>B2733*G2733</f>
        <v>59757.438527999999</v>
      </c>
      <c r="I2733" s="3">
        <f>C2733*G2733</f>
        <v>59775.859440000007</v>
      </c>
    </row>
    <row r="2734" spans="1:9" x14ac:dyDescent="0.25">
      <c r="A2734" t="s">
        <v>7</v>
      </c>
      <c r="B2734" s="1">
        <v>16.850000000000001</v>
      </c>
      <c r="C2734" s="1">
        <v>16.86</v>
      </c>
      <c r="D2734" s="2" t="s">
        <v>317</v>
      </c>
      <c r="E2734" s="8">
        <v>3546.7566000000002</v>
      </c>
      <c r="F2734" s="8">
        <f>F2724</f>
        <v>0</v>
      </c>
      <c r="G2734" s="8">
        <f>E2734+F2734</f>
        <v>3546.7566000000002</v>
      </c>
      <c r="H2734" s="3">
        <f>B2734*G2734</f>
        <v>59762.848710000006</v>
      </c>
      <c r="I2734" s="3">
        <f>C2734*G2734</f>
        <v>59798.316275999998</v>
      </c>
    </row>
    <row r="2735" spans="1:9" x14ac:dyDescent="0.25">
      <c r="A2735" t="s">
        <v>8</v>
      </c>
      <c r="B2735" s="1">
        <v>26.43</v>
      </c>
      <c r="C2735" s="1">
        <v>26.44</v>
      </c>
      <c r="D2735" s="2" t="s">
        <v>317</v>
      </c>
      <c r="E2735" s="8">
        <v>2261.4067</v>
      </c>
      <c r="F2735" s="8">
        <f>F2725</f>
        <v>-0.2</v>
      </c>
      <c r="G2735" s="8">
        <f>E2735+F2735</f>
        <v>2261.2067000000002</v>
      </c>
      <c r="H2735" s="3">
        <f>B2735*G2735</f>
        <v>59763.693081000005</v>
      </c>
      <c r="I2735" s="3">
        <f>C2735*G2735</f>
        <v>59786.305148000007</v>
      </c>
    </row>
    <row r="2736" spans="1:9" x14ac:dyDescent="0.25">
      <c r="A2736" t="s">
        <v>9</v>
      </c>
      <c r="B2736" s="1">
        <v>63.09</v>
      </c>
      <c r="C2736" s="1">
        <v>63.19</v>
      </c>
      <c r="D2736" s="2" t="s">
        <v>317</v>
      </c>
      <c r="E2736" s="8">
        <v>946.18190000000004</v>
      </c>
      <c r="F2736" s="8">
        <f>F2726</f>
        <v>0</v>
      </c>
      <c r="G2736" s="8">
        <f>E2736+F2736</f>
        <v>946.18190000000004</v>
      </c>
      <c r="H2736" s="3">
        <f>B2736*G2736</f>
        <v>59694.616071000004</v>
      </c>
      <c r="I2736" s="3">
        <f>C2736*G2736</f>
        <v>59789.234260999998</v>
      </c>
    </row>
    <row r="2737" spans="1:9" x14ac:dyDescent="0.25">
      <c r="A2737" t="s">
        <v>10</v>
      </c>
      <c r="B2737" s="1">
        <v>34.53</v>
      </c>
      <c r="C2737" s="1">
        <v>34.56</v>
      </c>
      <c r="D2737" s="2" t="s">
        <v>317</v>
      </c>
      <c r="E2737" s="8">
        <v>1730.1808000000001</v>
      </c>
      <c r="F2737" s="8">
        <f>F2727</f>
        <v>0.2</v>
      </c>
      <c r="G2737" s="8">
        <f>E2737+F2737</f>
        <v>1730.3808000000001</v>
      </c>
      <c r="H2737" s="3">
        <f>B2737*G2737</f>
        <v>59750.049024000007</v>
      </c>
      <c r="I2737" s="3">
        <f>C2737*G2737</f>
        <v>59801.960448000005</v>
      </c>
    </row>
    <row r="2738" spans="1:9" x14ac:dyDescent="0.25">
      <c r="A2738" t="s">
        <v>11</v>
      </c>
      <c r="B2738" s="1">
        <v>52.02</v>
      </c>
      <c r="C2738" s="1">
        <v>52.03</v>
      </c>
      <c r="D2738" s="2" t="s">
        <v>317</v>
      </c>
      <c r="E2738" s="8">
        <v>1148.9085</v>
      </c>
      <c r="F2738" s="8">
        <f>F2728</f>
        <v>0.05</v>
      </c>
      <c r="G2738" s="8">
        <f>E2738+F2738</f>
        <v>1148.9585</v>
      </c>
      <c r="H2738" s="3">
        <f>B2738*G2738</f>
        <v>59768.821170000003</v>
      </c>
      <c r="I2738" s="3">
        <f>C2738*G2738</f>
        <v>59780.310754999999</v>
      </c>
    </row>
    <row r="2739" spans="1:9" x14ac:dyDescent="0.25">
      <c r="A2739" t="s">
        <v>12</v>
      </c>
      <c r="B2739" s="1">
        <v>46.36</v>
      </c>
      <c r="C2739" s="1">
        <v>46.37</v>
      </c>
      <c r="D2739" s="2" t="s">
        <v>317</v>
      </c>
      <c r="E2739" s="8">
        <v>1289.3325</v>
      </c>
      <c r="F2739" s="8">
        <f>F2729</f>
        <v>0</v>
      </c>
      <c r="G2739" s="8">
        <f>E2739+F2739</f>
        <v>1289.3325</v>
      </c>
      <c r="H2739" s="3">
        <f>B2739*G2739</f>
        <v>59773.454700000002</v>
      </c>
      <c r="I2739" s="3">
        <f>C2739*G2739</f>
        <v>59786.348024999999</v>
      </c>
    </row>
    <row r="2740" spans="1:9" x14ac:dyDescent="0.25">
      <c r="A2740" t="s">
        <v>13</v>
      </c>
      <c r="B2740" s="1">
        <v>16.899999999999999</v>
      </c>
      <c r="C2740" s="1">
        <v>16.91</v>
      </c>
      <c r="D2740" s="2" t="s">
        <v>317</v>
      </c>
      <c r="E2740" s="8">
        <v>3535.8029000000001</v>
      </c>
      <c r="F2740" s="8">
        <f>F2730</f>
        <v>0</v>
      </c>
      <c r="G2740" s="8">
        <f>E2740+F2740</f>
        <v>3535.8029000000001</v>
      </c>
      <c r="H2740" s="3">
        <f>B2740*G2740</f>
        <v>59755.069009999999</v>
      </c>
      <c r="I2740" s="3">
        <f>C2740*G2740</f>
        <v>59790.427039000002</v>
      </c>
    </row>
    <row r="2741" spans="1:9" x14ac:dyDescent="0.25">
      <c r="A2741" t="s">
        <v>14</v>
      </c>
      <c r="B2741" s="1">
        <v>33.85</v>
      </c>
      <c r="C2741" s="1">
        <v>33.86</v>
      </c>
      <c r="D2741" s="2" t="s">
        <v>317</v>
      </c>
      <c r="E2741" s="8">
        <v>1765.144</v>
      </c>
      <c r="F2741" s="8">
        <f>F2731</f>
        <v>0.2</v>
      </c>
      <c r="G2741" s="8">
        <f>E2741+F2741</f>
        <v>1765.3440000000001</v>
      </c>
      <c r="H2741" s="3">
        <f>B2741*G2741</f>
        <v>59756.894400000005</v>
      </c>
      <c r="I2741" s="3">
        <f>C2741*G2741</f>
        <v>59774.547839999999</v>
      </c>
    </row>
    <row r="2742" spans="1:9" x14ac:dyDescent="0.25">
      <c r="A2742" t="s">
        <v>4</v>
      </c>
      <c r="B2742" s="1">
        <v>20.03</v>
      </c>
      <c r="C2742" s="1">
        <v>20.04</v>
      </c>
      <c r="D2742" s="2" t="s">
        <v>318</v>
      </c>
      <c r="E2742" s="8">
        <v>3015.0699</v>
      </c>
      <c r="F2742" s="8">
        <f>F2732</f>
        <v>0</v>
      </c>
      <c r="G2742" s="8">
        <f>E2742+F2742</f>
        <v>3015.0699</v>
      </c>
      <c r="H2742" s="3">
        <f>B2742*G2742</f>
        <v>60391.850097000002</v>
      </c>
      <c r="I2742" s="3">
        <f>C2742*G2742</f>
        <v>60422.000796</v>
      </c>
    </row>
    <row r="2743" spans="1:9" x14ac:dyDescent="0.25">
      <c r="A2743" t="s">
        <v>6</v>
      </c>
      <c r="B2743" s="1">
        <v>32.78</v>
      </c>
      <c r="C2743" s="1">
        <v>32.79</v>
      </c>
      <c r="D2743" s="2" t="s">
        <v>318</v>
      </c>
      <c r="E2743" s="8">
        <v>1842.1912</v>
      </c>
      <c r="F2743" s="8">
        <f>F2733</f>
        <v>-0.1</v>
      </c>
      <c r="G2743" s="8">
        <f>E2743+F2743</f>
        <v>1842.0912000000001</v>
      </c>
      <c r="H2743" s="3">
        <f>B2743*G2743</f>
        <v>60383.749536000003</v>
      </c>
      <c r="I2743" s="3">
        <f>C2743*G2743</f>
        <v>60402.170448000004</v>
      </c>
    </row>
    <row r="2744" spans="1:9" x14ac:dyDescent="0.25">
      <c r="A2744" t="s">
        <v>7</v>
      </c>
      <c r="B2744" s="1">
        <v>17.02</v>
      </c>
      <c r="C2744" s="1">
        <v>17.03</v>
      </c>
      <c r="D2744" s="2" t="s">
        <v>318</v>
      </c>
      <c r="E2744" s="8">
        <v>3546.7566000000002</v>
      </c>
      <c r="F2744" s="8">
        <f>F2734</f>
        <v>0</v>
      </c>
      <c r="G2744" s="8">
        <f>E2744+F2744</f>
        <v>3546.7566000000002</v>
      </c>
      <c r="H2744" s="3">
        <f>B2744*G2744</f>
        <v>60365.797332000002</v>
      </c>
      <c r="I2744" s="3">
        <f>C2744*G2744</f>
        <v>60401.264898000009</v>
      </c>
    </row>
    <row r="2745" spans="1:9" x14ac:dyDescent="0.25">
      <c r="A2745" t="s">
        <v>8</v>
      </c>
      <c r="B2745" s="1">
        <v>26.71</v>
      </c>
      <c r="C2745" s="1">
        <v>26.72</v>
      </c>
      <c r="D2745" s="2" t="s">
        <v>318</v>
      </c>
      <c r="E2745" s="8">
        <v>2261.4067</v>
      </c>
      <c r="F2745" s="8">
        <f>F2735</f>
        <v>-0.2</v>
      </c>
      <c r="G2745" s="8">
        <f>E2745+F2745</f>
        <v>2261.2067000000002</v>
      </c>
      <c r="H2745" s="3">
        <f>B2745*G2745</f>
        <v>60396.830957000006</v>
      </c>
      <c r="I2745" s="3">
        <f>C2745*G2745</f>
        <v>60419.443024</v>
      </c>
    </row>
    <row r="2746" spans="1:9" x14ac:dyDescent="0.25">
      <c r="A2746" t="s">
        <v>9</v>
      </c>
      <c r="B2746" s="1">
        <v>63.77</v>
      </c>
      <c r="C2746" s="1">
        <v>63.9</v>
      </c>
      <c r="D2746" s="2" t="s">
        <v>318</v>
      </c>
      <c r="E2746" s="8">
        <v>946.18190000000004</v>
      </c>
      <c r="F2746" s="8">
        <f>F2736</f>
        <v>0</v>
      </c>
      <c r="G2746" s="8">
        <f>E2746+F2746</f>
        <v>946.18190000000004</v>
      </c>
      <c r="H2746" s="3">
        <f>B2746*G2746</f>
        <v>60338.019763000004</v>
      </c>
      <c r="I2746" s="3">
        <f>C2746*G2746</f>
        <v>60461.023410000002</v>
      </c>
    </row>
    <row r="2747" spans="1:9" x14ac:dyDescent="0.25">
      <c r="A2747" t="s">
        <v>10</v>
      </c>
      <c r="B2747" s="1">
        <v>34.9</v>
      </c>
      <c r="C2747" s="1">
        <v>34.92</v>
      </c>
      <c r="D2747" s="2" t="s">
        <v>318</v>
      </c>
      <c r="E2747" s="8">
        <v>1730.1808000000001</v>
      </c>
      <c r="F2747" s="8">
        <f>F2737</f>
        <v>0.2</v>
      </c>
      <c r="G2747" s="8">
        <f>E2747+F2747</f>
        <v>1730.3808000000001</v>
      </c>
      <c r="H2747" s="3">
        <f>B2747*G2747</f>
        <v>60390.289920000003</v>
      </c>
      <c r="I2747" s="3">
        <f>C2747*G2747</f>
        <v>60424.897536000011</v>
      </c>
    </row>
    <row r="2748" spans="1:9" x14ac:dyDescent="0.25">
      <c r="A2748" t="s">
        <v>11</v>
      </c>
      <c r="B2748" s="1">
        <v>52.57</v>
      </c>
      <c r="C2748" s="1">
        <v>52.58</v>
      </c>
      <c r="D2748" s="2" t="s">
        <v>318</v>
      </c>
      <c r="E2748" s="8">
        <v>1148.9085</v>
      </c>
      <c r="F2748" s="8">
        <f>F2738</f>
        <v>0.05</v>
      </c>
      <c r="G2748" s="8">
        <f>E2748+F2748</f>
        <v>1148.9585</v>
      </c>
      <c r="H2748" s="3">
        <f>B2748*G2748</f>
        <v>60400.748345</v>
      </c>
      <c r="I2748" s="3">
        <f>C2748*G2748</f>
        <v>60412.237929999996</v>
      </c>
    </row>
    <row r="2749" spans="1:9" x14ac:dyDescent="0.25">
      <c r="A2749" t="s">
        <v>12</v>
      </c>
      <c r="B2749" s="1">
        <v>46.85</v>
      </c>
      <c r="C2749" s="1">
        <v>46.86</v>
      </c>
      <c r="D2749" s="2" t="s">
        <v>318</v>
      </c>
      <c r="E2749" s="8">
        <v>1289.3325</v>
      </c>
      <c r="F2749" s="8">
        <f>F2739</f>
        <v>0</v>
      </c>
      <c r="G2749" s="8">
        <f>E2749+F2749</f>
        <v>1289.3325</v>
      </c>
      <c r="H2749" s="3">
        <f>B2749*G2749</f>
        <v>60405.227625</v>
      </c>
      <c r="I2749" s="3">
        <f>C2749*G2749</f>
        <v>60418.120949999997</v>
      </c>
    </row>
    <row r="2750" spans="1:9" x14ac:dyDescent="0.25">
      <c r="A2750" t="s">
        <v>13</v>
      </c>
      <c r="B2750" s="1">
        <v>17.079999999999998</v>
      </c>
      <c r="C2750" s="1">
        <v>17.09</v>
      </c>
      <c r="D2750" s="2" t="s">
        <v>318</v>
      </c>
      <c r="E2750" s="8">
        <v>3535.8029000000001</v>
      </c>
      <c r="F2750" s="8">
        <f>F2740</f>
        <v>0</v>
      </c>
      <c r="G2750" s="8">
        <f>E2750+F2750</f>
        <v>3535.8029000000001</v>
      </c>
      <c r="H2750" s="3">
        <f>B2750*G2750</f>
        <v>60391.513531999997</v>
      </c>
      <c r="I2750" s="3">
        <f>C2750*G2750</f>
        <v>60426.871561</v>
      </c>
    </row>
    <row r="2751" spans="1:9" x14ac:dyDescent="0.25">
      <c r="A2751" t="s">
        <v>14</v>
      </c>
      <c r="B2751" s="1">
        <v>34.21</v>
      </c>
      <c r="C2751" s="1">
        <v>34.22</v>
      </c>
      <c r="D2751" s="2" t="s">
        <v>318</v>
      </c>
      <c r="E2751" s="8">
        <v>1765.144</v>
      </c>
      <c r="F2751" s="8">
        <f>F2741</f>
        <v>0.2</v>
      </c>
      <c r="G2751" s="8">
        <f>E2751+F2751</f>
        <v>1765.3440000000001</v>
      </c>
      <c r="H2751" s="3">
        <f>B2751*G2751</f>
        <v>60392.418240000006</v>
      </c>
      <c r="I2751" s="3">
        <f>C2751*G2751</f>
        <v>60410.071680000001</v>
      </c>
    </row>
    <row r="2752" spans="1:9" x14ac:dyDescent="0.25">
      <c r="A2752" t="s">
        <v>4</v>
      </c>
      <c r="B2752" s="1">
        <v>20.03</v>
      </c>
      <c r="C2752" s="1">
        <v>20.04</v>
      </c>
      <c r="D2752" s="2" t="s">
        <v>319</v>
      </c>
      <c r="E2752" s="8">
        <v>3015.0699</v>
      </c>
      <c r="F2752" s="8">
        <f>F2742</f>
        <v>0</v>
      </c>
      <c r="G2752" s="8">
        <f>E2752+F2752</f>
        <v>3015.0699</v>
      </c>
      <c r="H2752" s="3">
        <f>B2752*G2752</f>
        <v>60391.850097000002</v>
      </c>
      <c r="I2752" s="3">
        <f>C2752*G2752</f>
        <v>60422.000796</v>
      </c>
    </row>
    <row r="2753" spans="1:9" x14ac:dyDescent="0.25">
      <c r="A2753" t="s">
        <v>6</v>
      </c>
      <c r="B2753" s="1">
        <v>32.799999999999997</v>
      </c>
      <c r="C2753" s="1">
        <v>32.81</v>
      </c>
      <c r="D2753" s="2" t="s">
        <v>319</v>
      </c>
      <c r="E2753" s="8">
        <v>1842.1912</v>
      </c>
      <c r="F2753" s="8">
        <f>F2743</f>
        <v>-0.1</v>
      </c>
      <c r="G2753" s="8">
        <f>E2753+F2753</f>
        <v>1842.0912000000001</v>
      </c>
      <c r="H2753" s="3">
        <f>B2753*G2753</f>
        <v>60420.591359999999</v>
      </c>
      <c r="I2753" s="3">
        <f>C2753*G2753</f>
        <v>60439.012272000007</v>
      </c>
    </row>
    <row r="2754" spans="1:9" x14ac:dyDescent="0.25">
      <c r="A2754" t="s">
        <v>7</v>
      </c>
      <c r="B2754" s="1">
        <v>17.03</v>
      </c>
      <c r="C2754" s="1">
        <v>17.04</v>
      </c>
      <c r="D2754" s="2" t="s">
        <v>319</v>
      </c>
      <c r="E2754" s="8">
        <v>3546.7566000000002</v>
      </c>
      <c r="F2754" s="8">
        <f>F2744</f>
        <v>0</v>
      </c>
      <c r="G2754" s="8">
        <f>E2754+F2754</f>
        <v>3546.7566000000002</v>
      </c>
      <c r="H2754" s="3">
        <f>B2754*G2754</f>
        <v>60401.264898000009</v>
      </c>
      <c r="I2754" s="3">
        <f>C2754*G2754</f>
        <v>60436.732464000001</v>
      </c>
    </row>
    <row r="2755" spans="1:9" x14ac:dyDescent="0.25">
      <c r="A2755" t="s">
        <v>8</v>
      </c>
      <c r="B2755" s="1">
        <v>26.71</v>
      </c>
      <c r="C2755" s="1">
        <v>26.72</v>
      </c>
      <c r="D2755" s="2" t="s">
        <v>319</v>
      </c>
      <c r="E2755" s="8">
        <v>2261.4067</v>
      </c>
      <c r="F2755" s="8">
        <f>F2745</f>
        <v>-0.2</v>
      </c>
      <c r="G2755" s="8">
        <f>E2755+F2755</f>
        <v>2261.2067000000002</v>
      </c>
      <c r="H2755" s="3">
        <f>B2755*G2755</f>
        <v>60396.830957000006</v>
      </c>
      <c r="I2755" s="3">
        <f>C2755*G2755</f>
        <v>60419.443024</v>
      </c>
    </row>
    <row r="2756" spans="1:9" x14ac:dyDescent="0.25">
      <c r="A2756" t="s">
        <v>9</v>
      </c>
      <c r="B2756" s="1">
        <v>63.77</v>
      </c>
      <c r="C2756" s="1">
        <v>63.9</v>
      </c>
      <c r="D2756" s="2" t="s">
        <v>319</v>
      </c>
      <c r="E2756" s="8">
        <v>946.18190000000004</v>
      </c>
      <c r="F2756" s="8">
        <f>F2746</f>
        <v>0</v>
      </c>
      <c r="G2756" s="8">
        <f>E2756+F2756</f>
        <v>946.18190000000004</v>
      </c>
      <c r="H2756" s="3">
        <f>B2756*G2756</f>
        <v>60338.019763000004</v>
      </c>
      <c r="I2756" s="3">
        <f>C2756*G2756</f>
        <v>60461.023410000002</v>
      </c>
    </row>
    <row r="2757" spans="1:9" x14ac:dyDescent="0.25">
      <c r="A2757" t="s">
        <v>10</v>
      </c>
      <c r="B2757" s="1">
        <v>34.909999999999997</v>
      </c>
      <c r="C2757" s="1">
        <v>34.93</v>
      </c>
      <c r="D2757" s="2" t="s">
        <v>319</v>
      </c>
      <c r="E2757" s="8">
        <v>1730.1808000000001</v>
      </c>
      <c r="F2757" s="8">
        <f>F2747</f>
        <v>0.2</v>
      </c>
      <c r="G2757" s="8">
        <f>E2757+F2757</f>
        <v>1730.3808000000001</v>
      </c>
      <c r="H2757" s="3">
        <f>B2757*G2757</f>
        <v>60407.593728</v>
      </c>
      <c r="I2757" s="3">
        <f>C2757*G2757</f>
        <v>60442.201344000001</v>
      </c>
    </row>
    <row r="2758" spans="1:9" x14ac:dyDescent="0.25">
      <c r="A2758" t="s">
        <v>11</v>
      </c>
      <c r="B2758" s="1">
        <v>52.59</v>
      </c>
      <c r="C2758" s="1">
        <v>52.6</v>
      </c>
      <c r="D2758" s="2" t="s">
        <v>319</v>
      </c>
      <c r="E2758" s="8">
        <v>1148.9085</v>
      </c>
      <c r="F2758" s="8">
        <f>F2748</f>
        <v>0.05</v>
      </c>
      <c r="G2758" s="8">
        <f>E2758+F2758</f>
        <v>1148.9585</v>
      </c>
      <c r="H2758" s="3">
        <f>B2758*G2758</f>
        <v>60423.727514999999</v>
      </c>
      <c r="I2758" s="3">
        <f>C2758*G2758</f>
        <v>60435.217100000002</v>
      </c>
    </row>
    <row r="2759" spans="1:9" x14ac:dyDescent="0.25">
      <c r="A2759" t="s">
        <v>12</v>
      </c>
      <c r="B2759" s="1">
        <v>46.86</v>
      </c>
      <c r="C2759" s="1">
        <v>46.87</v>
      </c>
      <c r="D2759" s="2" t="s">
        <v>319</v>
      </c>
      <c r="E2759" s="8">
        <v>1289.3325</v>
      </c>
      <c r="F2759" s="8">
        <f>F2749</f>
        <v>0</v>
      </c>
      <c r="G2759" s="8">
        <f>E2759+F2759</f>
        <v>1289.3325</v>
      </c>
      <c r="H2759" s="3">
        <f>B2759*G2759</f>
        <v>60418.120949999997</v>
      </c>
      <c r="I2759" s="3">
        <f>C2759*G2759</f>
        <v>60431.014274999994</v>
      </c>
    </row>
    <row r="2760" spans="1:9" x14ac:dyDescent="0.25">
      <c r="A2760" t="s">
        <v>13</v>
      </c>
      <c r="B2760" s="1">
        <v>17.079999999999998</v>
      </c>
      <c r="C2760" s="1">
        <v>17.09</v>
      </c>
      <c r="D2760" s="2" t="s">
        <v>319</v>
      </c>
      <c r="E2760" s="8">
        <v>3535.8029000000001</v>
      </c>
      <c r="F2760" s="8">
        <f>F2750</f>
        <v>0</v>
      </c>
      <c r="G2760" s="8">
        <f>E2760+F2760</f>
        <v>3535.8029000000001</v>
      </c>
      <c r="H2760" s="3">
        <f>B2760*G2760</f>
        <v>60391.513531999997</v>
      </c>
      <c r="I2760" s="3">
        <f>C2760*G2760</f>
        <v>60426.871561</v>
      </c>
    </row>
    <row r="2761" spans="1:9" x14ac:dyDescent="0.25">
      <c r="A2761" t="s">
        <v>14</v>
      </c>
      <c r="B2761" s="1">
        <v>34.22</v>
      </c>
      <c r="C2761" s="1">
        <v>34.229999999999997</v>
      </c>
      <c r="D2761" s="2" t="s">
        <v>319</v>
      </c>
      <c r="E2761" s="8">
        <v>1765.144</v>
      </c>
      <c r="F2761" s="8">
        <f>F2751</f>
        <v>0.2</v>
      </c>
      <c r="G2761" s="8">
        <f>E2761+F2761</f>
        <v>1765.3440000000001</v>
      </c>
      <c r="H2761" s="3">
        <f>B2761*G2761</f>
        <v>60410.071680000001</v>
      </c>
      <c r="I2761" s="3">
        <f>C2761*G2761</f>
        <v>60427.725119999996</v>
      </c>
    </row>
    <row r="2762" spans="1:9" x14ac:dyDescent="0.25">
      <c r="A2762" t="s">
        <v>4</v>
      </c>
      <c r="B2762" s="1">
        <v>19.93</v>
      </c>
      <c r="C2762" s="1">
        <v>19.940000000000001</v>
      </c>
      <c r="D2762" s="2" t="s">
        <v>320</v>
      </c>
      <c r="E2762" s="8">
        <v>3015.0699</v>
      </c>
      <c r="F2762" s="8">
        <f>F2752</f>
        <v>0</v>
      </c>
      <c r="G2762" s="8">
        <f>E2762+F2762</f>
        <v>3015.0699</v>
      </c>
      <c r="H2762" s="3">
        <f>B2762*G2762</f>
        <v>60090.343107000001</v>
      </c>
      <c r="I2762" s="3">
        <f>C2762*G2762</f>
        <v>60120.493806000006</v>
      </c>
    </row>
    <row r="2763" spans="1:9" x14ac:dyDescent="0.25">
      <c r="A2763" t="s">
        <v>6</v>
      </c>
      <c r="B2763" s="1">
        <v>32.630000000000003</v>
      </c>
      <c r="C2763" s="1">
        <v>32.64</v>
      </c>
      <c r="D2763" s="2" t="s">
        <v>320</v>
      </c>
      <c r="E2763" s="8">
        <v>1842.1912</v>
      </c>
      <c r="F2763" s="8">
        <f>F2753</f>
        <v>-0.1</v>
      </c>
      <c r="G2763" s="8">
        <f>E2763+F2763</f>
        <v>1842.0912000000001</v>
      </c>
      <c r="H2763" s="3">
        <f>B2763*G2763</f>
        <v>60107.435856000004</v>
      </c>
      <c r="I2763" s="3">
        <f>C2763*G2763</f>
        <v>60125.856768000005</v>
      </c>
    </row>
    <row r="2764" spans="1:9" x14ac:dyDescent="0.25">
      <c r="A2764" t="s">
        <v>7</v>
      </c>
      <c r="B2764" s="1">
        <v>16.940000000000001</v>
      </c>
      <c r="C2764" s="1">
        <v>16.95</v>
      </c>
      <c r="D2764" s="2" t="s">
        <v>320</v>
      </c>
      <c r="E2764" s="8">
        <v>3546.7566000000002</v>
      </c>
      <c r="F2764" s="8">
        <f>F2754</f>
        <v>0</v>
      </c>
      <c r="G2764" s="8">
        <f>E2764+F2764</f>
        <v>3546.7566000000002</v>
      </c>
      <c r="H2764" s="3">
        <f>B2764*G2764</f>
        <v>60082.056804000007</v>
      </c>
      <c r="I2764" s="3">
        <f>C2764*G2764</f>
        <v>60117.524369999999</v>
      </c>
    </row>
    <row r="2765" spans="1:9" x14ac:dyDescent="0.25">
      <c r="A2765" t="s">
        <v>8</v>
      </c>
      <c r="B2765" s="1">
        <v>26.58</v>
      </c>
      <c r="C2765" s="1">
        <v>26.59</v>
      </c>
      <c r="D2765" s="2" t="s">
        <v>320</v>
      </c>
      <c r="E2765" s="8">
        <v>2261.4067</v>
      </c>
      <c r="F2765" s="8">
        <f>F2755</f>
        <v>-0.2</v>
      </c>
      <c r="G2765" s="8">
        <f>E2765+F2765</f>
        <v>2261.2067000000002</v>
      </c>
      <c r="H2765" s="3">
        <f>B2765*G2765</f>
        <v>60102.874086000003</v>
      </c>
      <c r="I2765" s="3">
        <f>C2765*G2765</f>
        <v>60125.486153000005</v>
      </c>
    </row>
    <row r="2766" spans="1:9" x14ac:dyDescent="0.25">
      <c r="A2766" t="s">
        <v>9</v>
      </c>
      <c r="B2766" s="1">
        <v>63.46</v>
      </c>
      <c r="C2766" s="1">
        <v>63.56</v>
      </c>
      <c r="D2766" s="2" t="s">
        <v>320</v>
      </c>
      <c r="E2766" s="8">
        <v>946.18190000000004</v>
      </c>
      <c r="F2766" s="8">
        <f>F2756</f>
        <v>0</v>
      </c>
      <c r="G2766" s="8">
        <f>E2766+F2766</f>
        <v>946.18190000000004</v>
      </c>
      <c r="H2766" s="3">
        <f>B2766*G2766</f>
        <v>60044.703374000004</v>
      </c>
      <c r="I2766" s="3">
        <f>C2766*G2766</f>
        <v>60139.321564000005</v>
      </c>
    </row>
    <row r="2767" spans="1:9" x14ac:dyDescent="0.25">
      <c r="A2767" t="s">
        <v>10</v>
      </c>
      <c r="B2767" s="1">
        <v>34.729999999999997</v>
      </c>
      <c r="C2767" s="1">
        <v>34.75</v>
      </c>
      <c r="D2767" s="2" t="s">
        <v>320</v>
      </c>
      <c r="E2767" s="8">
        <v>1730.1808000000001</v>
      </c>
      <c r="F2767" s="8">
        <f>F2757</f>
        <v>0.2</v>
      </c>
      <c r="G2767" s="8">
        <f>E2767+F2767</f>
        <v>1730.3808000000001</v>
      </c>
      <c r="H2767" s="3">
        <f>B2767*G2767</f>
        <v>60096.125183999997</v>
      </c>
      <c r="I2767" s="3">
        <f>C2767*G2767</f>
        <v>60130.732800000005</v>
      </c>
    </row>
    <row r="2768" spans="1:9" x14ac:dyDescent="0.25">
      <c r="A2768" t="s">
        <v>11</v>
      </c>
      <c r="B2768" s="1">
        <v>52.31</v>
      </c>
      <c r="C2768" s="1">
        <v>52.32</v>
      </c>
      <c r="D2768" s="2" t="s">
        <v>320</v>
      </c>
      <c r="E2768" s="8">
        <v>1148.9085</v>
      </c>
      <c r="F2768" s="8">
        <f>F2758</f>
        <v>0.05</v>
      </c>
      <c r="G2768" s="8">
        <f>E2768+F2768</f>
        <v>1148.9585</v>
      </c>
      <c r="H2768" s="3">
        <f>B2768*G2768</f>
        <v>60102.019135000002</v>
      </c>
      <c r="I2768" s="3">
        <f>C2768*G2768</f>
        <v>60113.508719999998</v>
      </c>
    </row>
    <row r="2769" spans="1:9" x14ac:dyDescent="0.25">
      <c r="A2769" t="s">
        <v>12</v>
      </c>
      <c r="B2769" s="1">
        <v>46.62</v>
      </c>
      <c r="C2769" s="1">
        <v>46.64</v>
      </c>
      <c r="D2769" s="2" t="s">
        <v>320</v>
      </c>
      <c r="E2769" s="8">
        <v>1289.3325</v>
      </c>
      <c r="F2769" s="8">
        <f>F2759</f>
        <v>0</v>
      </c>
      <c r="G2769" s="8">
        <f>E2769+F2769</f>
        <v>1289.3325</v>
      </c>
      <c r="H2769" s="3">
        <f>B2769*G2769</f>
        <v>60108.681149999997</v>
      </c>
      <c r="I2769" s="3">
        <f>C2769*G2769</f>
        <v>60134.467799999999</v>
      </c>
    </row>
    <row r="2770" spans="1:9" x14ac:dyDescent="0.25">
      <c r="A2770" t="s">
        <v>13</v>
      </c>
      <c r="B2770" s="1">
        <v>17</v>
      </c>
      <c r="C2770" s="1">
        <v>17.010000000000002</v>
      </c>
      <c r="D2770" s="2" t="s">
        <v>320</v>
      </c>
      <c r="E2770" s="8">
        <v>3535.8029000000001</v>
      </c>
      <c r="F2770" s="8">
        <f>F2760</f>
        <v>0</v>
      </c>
      <c r="G2770" s="8">
        <f>E2770+F2770</f>
        <v>3535.8029000000001</v>
      </c>
      <c r="H2770" s="3">
        <f>B2770*G2770</f>
        <v>60108.649300000005</v>
      </c>
      <c r="I2770" s="3">
        <f>C2770*G2770</f>
        <v>60144.007329000007</v>
      </c>
    </row>
    <row r="2771" spans="1:9" x14ac:dyDescent="0.25">
      <c r="A2771" t="s">
        <v>14</v>
      </c>
      <c r="B2771" s="1">
        <v>34.04</v>
      </c>
      <c r="C2771" s="1">
        <v>34.049999999999997</v>
      </c>
      <c r="D2771" s="2" t="s">
        <v>320</v>
      </c>
      <c r="E2771" s="8">
        <v>1765.144</v>
      </c>
      <c r="F2771" s="8">
        <f>F2761</f>
        <v>0.2</v>
      </c>
      <c r="G2771" s="8">
        <f>E2771+F2771</f>
        <v>1765.3440000000001</v>
      </c>
      <c r="H2771" s="3">
        <f>B2771*G2771</f>
        <v>60092.309760000004</v>
      </c>
      <c r="I2771" s="3">
        <f>C2771*G2771</f>
        <v>60109.963199999998</v>
      </c>
    </row>
    <row r="2772" spans="1:9" x14ac:dyDescent="0.25">
      <c r="A2772" t="s">
        <v>4</v>
      </c>
      <c r="B2772" s="1">
        <v>20.010000000000002</v>
      </c>
      <c r="C2772" s="1">
        <v>20.02</v>
      </c>
      <c r="D2772" s="2" t="s">
        <v>321</v>
      </c>
      <c r="E2772" s="8">
        <v>3015.0699</v>
      </c>
      <c r="F2772" s="8">
        <f>F2762</f>
        <v>0</v>
      </c>
      <c r="G2772" s="8">
        <f>E2772+F2772</f>
        <v>3015.0699</v>
      </c>
      <c r="H2772" s="3">
        <f>B2772*G2772</f>
        <v>60331.548699000006</v>
      </c>
      <c r="I2772" s="3">
        <f>C2772*G2772</f>
        <v>60361.699397999997</v>
      </c>
    </row>
    <row r="2773" spans="1:9" x14ac:dyDescent="0.25">
      <c r="A2773" t="s">
        <v>6</v>
      </c>
      <c r="B2773" s="1">
        <v>32.75</v>
      </c>
      <c r="C2773" s="1">
        <v>32.76</v>
      </c>
      <c r="D2773" s="2" t="s">
        <v>321</v>
      </c>
      <c r="E2773" s="8">
        <v>1842.1912</v>
      </c>
      <c r="F2773" s="8">
        <f>F2763</f>
        <v>-0.1</v>
      </c>
      <c r="G2773" s="8">
        <f>E2773+F2773</f>
        <v>1842.0912000000001</v>
      </c>
      <c r="H2773" s="3">
        <f>B2773*G2773</f>
        <v>60328.486799999999</v>
      </c>
      <c r="I2773" s="3">
        <f>C2773*G2773</f>
        <v>60346.907712</v>
      </c>
    </row>
    <row r="2774" spans="1:9" x14ac:dyDescent="0.25">
      <c r="A2774" t="s">
        <v>7</v>
      </c>
      <c r="B2774" s="1">
        <v>17</v>
      </c>
      <c r="C2774" s="1">
        <v>17.010000000000002</v>
      </c>
      <c r="D2774" s="2" t="s">
        <v>321</v>
      </c>
      <c r="E2774" s="8">
        <v>3546.7566000000002</v>
      </c>
      <c r="F2774" s="8">
        <f>F2764</f>
        <v>0</v>
      </c>
      <c r="G2774" s="8">
        <f>E2774+F2774</f>
        <v>3546.7566000000002</v>
      </c>
      <c r="H2774" s="3">
        <f>B2774*G2774</f>
        <v>60294.862200000003</v>
      </c>
      <c r="I2774" s="3">
        <f>C2774*G2774</f>
        <v>60330.32976600001</v>
      </c>
    </row>
    <row r="2775" spans="1:9" x14ac:dyDescent="0.25">
      <c r="A2775" t="s">
        <v>8</v>
      </c>
      <c r="B2775" s="1">
        <v>26.68</v>
      </c>
      <c r="C2775" s="1">
        <v>26.69</v>
      </c>
      <c r="D2775" s="2" t="s">
        <v>321</v>
      </c>
      <c r="E2775" s="8">
        <v>2261.4067</v>
      </c>
      <c r="F2775" s="8">
        <f>F2765</f>
        <v>-0.2</v>
      </c>
      <c r="G2775" s="8">
        <f>E2775+F2775</f>
        <v>2261.2067000000002</v>
      </c>
      <c r="H2775" s="3">
        <f>B2775*G2775</f>
        <v>60328.994756000007</v>
      </c>
      <c r="I2775" s="3">
        <f>C2775*G2775</f>
        <v>60351.606823000009</v>
      </c>
    </row>
    <row r="2776" spans="1:9" x14ac:dyDescent="0.25">
      <c r="A2776" t="s">
        <v>9</v>
      </c>
      <c r="B2776" s="1">
        <v>63.66</v>
      </c>
      <c r="C2776" s="1">
        <v>63.79</v>
      </c>
      <c r="D2776" s="2" t="s">
        <v>321</v>
      </c>
      <c r="E2776" s="8">
        <v>946.18190000000004</v>
      </c>
      <c r="F2776" s="8">
        <f>F2766</f>
        <v>0</v>
      </c>
      <c r="G2776" s="8">
        <f>E2776+F2776</f>
        <v>946.18190000000004</v>
      </c>
      <c r="H2776" s="3">
        <f>B2776*G2776</f>
        <v>60233.939753999999</v>
      </c>
      <c r="I2776" s="3">
        <f>C2776*G2776</f>
        <v>60356.943401000004</v>
      </c>
    </row>
    <row r="2777" spans="1:9" x14ac:dyDescent="0.25">
      <c r="A2777" t="s">
        <v>10</v>
      </c>
      <c r="B2777" s="1">
        <v>34.85</v>
      </c>
      <c r="C2777" s="1">
        <v>34.880000000000003</v>
      </c>
      <c r="D2777" s="2" t="s">
        <v>321</v>
      </c>
      <c r="E2777" s="8">
        <v>1730.1808000000001</v>
      </c>
      <c r="F2777" s="8">
        <f>F2767</f>
        <v>0.2</v>
      </c>
      <c r="G2777" s="8">
        <f>E2777+F2777</f>
        <v>1730.3808000000001</v>
      </c>
      <c r="H2777" s="3">
        <f>B2777*G2777</f>
        <v>60303.770880000004</v>
      </c>
      <c r="I2777" s="3">
        <f>C2777*G2777</f>
        <v>60355.682304000009</v>
      </c>
    </row>
    <row r="2778" spans="1:9" x14ac:dyDescent="0.25">
      <c r="A2778" t="s">
        <v>11</v>
      </c>
      <c r="B2778" s="1">
        <v>52.5</v>
      </c>
      <c r="C2778" s="1">
        <v>52.51</v>
      </c>
      <c r="D2778" s="2" t="s">
        <v>321</v>
      </c>
      <c r="E2778" s="8">
        <v>1148.9085</v>
      </c>
      <c r="F2778" s="8">
        <f>F2768</f>
        <v>0.05</v>
      </c>
      <c r="G2778" s="8">
        <f>E2778+F2778</f>
        <v>1148.9585</v>
      </c>
      <c r="H2778" s="3">
        <f>B2778*G2778</f>
        <v>60320.321250000001</v>
      </c>
      <c r="I2778" s="3">
        <f>C2778*G2778</f>
        <v>60331.810834999997</v>
      </c>
    </row>
    <row r="2779" spans="1:9" x14ac:dyDescent="0.25">
      <c r="A2779" t="s">
        <v>12</v>
      </c>
      <c r="B2779" s="1">
        <v>46.79</v>
      </c>
      <c r="C2779" s="1">
        <v>46.8</v>
      </c>
      <c r="D2779" s="2" t="s">
        <v>321</v>
      </c>
      <c r="E2779" s="8">
        <v>1289.3325</v>
      </c>
      <c r="F2779" s="8">
        <f>F2769</f>
        <v>0</v>
      </c>
      <c r="G2779" s="8">
        <f>E2779+F2779</f>
        <v>1289.3325</v>
      </c>
      <c r="H2779" s="3">
        <f>B2779*G2779</f>
        <v>60327.867675000001</v>
      </c>
      <c r="I2779" s="3">
        <f>C2779*G2779</f>
        <v>60340.760999999999</v>
      </c>
    </row>
    <row r="2780" spans="1:9" x14ac:dyDescent="0.25">
      <c r="A2780" t="s">
        <v>13</v>
      </c>
      <c r="B2780" s="1">
        <v>17.059999999999999</v>
      </c>
      <c r="C2780" s="1">
        <v>17.07</v>
      </c>
      <c r="D2780" s="2" t="s">
        <v>321</v>
      </c>
      <c r="E2780" s="8">
        <v>3535.8029000000001</v>
      </c>
      <c r="F2780" s="8">
        <f>F2770</f>
        <v>0</v>
      </c>
      <c r="G2780" s="8">
        <f>E2780+F2780</f>
        <v>3535.8029000000001</v>
      </c>
      <c r="H2780" s="3">
        <f>B2780*G2780</f>
        <v>60320.797473999999</v>
      </c>
      <c r="I2780" s="3">
        <f>C2780*G2780</f>
        <v>60356.155503000002</v>
      </c>
    </row>
    <row r="2781" spans="1:9" x14ac:dyDescent="0.25">
      <c r="A2781" t="s">
        <v>14</v>
      </c>
      <c r="B2781" s="1">
        <v>34.159999999999997</v>
      </c>
      <c r="C2781" s="1">
        <v>34.17</v>
      </c>
      <c r="D2781" s="2" t="s">
        <v>321</v>
      </c>
      <c r="E2781" s="8">
        <v>1765.144</v>
      </c>
      <c r="F2781" s="8">
        <f>F2771</f>
        <v>0.2</v>
      </c>
      <c r="G2781" s="8">
        <f>E2781+F2781</f>
        <v>1765.3440000000001</v>
      </c>
      <c r="H2781" s="3">
        <f>B2781*G2781</f>
        <v>60304.151039999997</v>
      </c>
      <c r="I2781" s="3">
        <f>C2781*G2781</f>
        <v>60321.804480000006</v>
      </c>
    </row>
    <row r="2782" spans="1:9" x14ac:dyDescent="0.25">
      <c r="A2782" t="s">
        <v>4</v>
      </c>
      <c r="B2782" s="1">
        <v>19.989999999999998</v>
      </c>
      <c r="C2782" s="1">
        <v>20</v>
      </c>
      <c r="D2782" s="2" t="s">
        <v>322</v>
      </c>
      <c r="E2782" s="8">
        <v>3015.0699</v>
      </c>
      <c r="F2782" s="8">
        <f>F2772</f>
        <v>0</v>
      </c>
      <c r="G2782" s="8">
        <f>E2782+F2782</f>
        <v>3015.0699</v>
      </c>
      <c r="H2782" s="3">
        <f>B2782*G2782</f>
        <v>60271.247300999996</v>
      </c>
      <c r="I2782" s="3">
        <f>C2782*G2782</f>
        <v>60301.398000000001</v>
      </c>
    </row>
    <row r="2783" spans="1:9" x14ac:dyDescent="0.25">
      <c r="A2783" t="s">
        <v>6</v>
      </c>
      <c r="B2783" s="1">
        <v>32.72</v>
      </c>
      <c r="C2783" s="1">
        <v>32.729999999999997</v>
      </c>
      <c r="D2783" s="2" t="s">
        <v>322</v>
      </c>
      <c r="E2783" s="8">
        <v>1842.1912</v>
      </c>
      <c r="F2783" s="8">
        <f>F2773</f>
        <v>-0.1</v>
      </c>
      <c r="G2783" s="8">
        <f>E2783+F2783</f>
        <v>1842.0912000000001</v>
      </c>
      <c r="H2783" s="3">
        <f>B2783*G2783</f>
        <v>60273.224064000002</v>
      </c>
      <c r="I2783" s="3">
        <f>C2783*G2783</f>
        <v>60291.644975999996</v>
      </c>
    </row>
    <row r="2784" spans="1:9" x14ac:dyDescent="0.25">
      <c r="A2784" t="s">
        <v>7</v>
      </c>
      <c r="B2784" s="1">
        <v>16.989999999999998</v>
      </c>
      <c r="C2784" s="1">
        <v>17</v>
      </c>
      <c r="D2784" s="2" t="s">
        <v>322</v>
      </c>
      <c r="E2784" s="8">
        <v>3546.7566000000002</v>
      </c>
      <c r="F2784" s="8">
        <f>F2774</f>
        <v>0</v>
      </c>
      <c r="G2784" s="8">
        <f>E2784+F2784</f>
        <v>3546.7566000000002</v>
      </c>
      <c r="H2784" s="3">
        <f>B2784*G2784</f>
        <v>60259.394633999997</v>
      </c>
      <c r="I2784" s="3">
        <f>C2784*G2784</f>
        <v>60294.862200000003</v>
      </c>
    </row>
    <row r="2785" spans="1:9" x14ac:dyDescent="0.25">
      <c r="A2785" t="s">
        <v>8</v>
      </c>
      <c r="B2785" s="1">
        <v>26.66</v>
      </c>
      <c r="C2785" s="1">
        <v>26.67</v>
      </c>
      <c r="D2785" s="2" t="s">
        <v>322</v>
      </c>
      <c r="E2785" s="8">
        <v>2261.4067</v>
      </c>
      <c r="F2785" s="8">
        <f>F2775</f>
        <v>-0.2</v>
      </c>
      <c r="G2785" s="8">
        <f>E2785+F2785</f>
        <v>2261.2067000000002</v>
      </c>
      <c r="H2785" s="3">
        <f>B2785*G2785</f>
        <v>60283.770622000004</v>
      </c>
      <c r="I2785" s="3">
        <f>C2785*G2785</f>
        <v>60306.382689000005</v>
      </c>
    </row>
    <row r="2786" spans="1:9" x14ac:dyDescent="0.25">
      <c r="A2786" t="s">
        <v>9</v>
      </c>
      <c r="B2786" s="1">
        <v>63.63</v>
      </c>
      <c r="C2786" s="1">
        <v>63.74</v>
      </c>
      <c r="D2786" s="2" t="s">
        <v>322</v>
      </c>
      <c r="E2786" s="8">
        <v>946.18190000000004</v>
      </c>
      <c r="F2786" s="8">
        <f>F2776</f>
        <v>0</v>
      </c>
      <c r="G2786" s="8">
        <f>E2786+F2786</f>
        <v>946.18190000000004</v>
      </c>
      <c r="H2786" s="3">
        <f>B2786*G2786</f>
        <v>60205.554297000002</v>
      </c>
      <c r="I2786" s="3">
        <f>C2786*G2786</f>
        <v>60309.634306000007</v>
      </c>
    </row>
    <row r="2787" spans="1:9" x14ac:dyDescent="0.25">
      <c r="A2787" t="s">
        <v>10</v>
      </c>
      <c r="B2787" s="1">
        <v>34.83</v>
      </c>
      <c r="C2787" s="1">
        <v>34.85</v>
      </c>
      <c r="D2787" s="2" t="s">
        <v>322</v>
      </c>
      <c r="E2787" s="8">
        <v>1730.1808000000001</v>
      </c>
      <c r="F2787" s="8">
        <f>F2777</f>
        <v>0.2</v>
      </c>
      <c r="G2787" s="8">
        <f>E2787+F2787</f>
        <v>1730.3808000000001</v>
      </c>
      <c r="H2787" s="3">
        <f>B2787*G2787</f>
        <v>60269.163264000003</v>
      </c>
      <c r="I2787" s="3">
        <f>C2787*G2787</f>
        <v>60303.770880000004</v>
      </c>
    </row>
    <row r="2788" spans="1:9" x14ac:dyDescent="0.25">
      <c r="A2788" t="s">
        <v>11</v>
      </c>
      <c r="B2788" s="1">
        <v>52.47</v>
      </c>
      <c r="C2788" s="1">
        <v>52.48</v>
      </c>
      <c r="D2788" s="2" t="s">
        <v>322</v>
      </c>
      <c r="E2788" s="8">
        <v>1148.9085</v>
      </c>
      <c r="F2788" s="8">
        <f>F2778</f>
        <v>0.05</v>
      </c>
      <c r="G2788" s="8">
        <f>E2788+F2788</f>
        <v>1148.9585</v>
      </c>
      <c r="H2788" s="3">
        <f>B2788*G2788</f>
        <v>60285.852494999999</v>
      </c>
      <c r="I2788" s="3">
        <f>C2788*G2788</f>
        <v>60297.342079999995</v>
      </c>
    </row>
    <row r="2789" spans="1:9" x14ac:dyDescent="0.25">
      <c r="A2789" t="s">
        <v>12</v>
      </c>
      <c r="B2789" s="1">
        <v>46.76</v>
      </c>
      <c r="C2789" s="1">
        <v>46.77</v>
      </c>
      <c r="D2789" s="2" t="s">
        <v>322</v>
      </c>
      <c r="E2789" s="8">
        <v>1289.3325</v>
      </c>
      <c r="F2789" s="8">
        <f>F2779</f>
        <v>0</v>
      </c>
      <c r="G2789" s="8">
        <f>E2789+F2789</f>
        <v>1289.3325</v>
      </c>
      <c r="H2789" s="3">
        <f>B2789*G2789</f>
        <v>60289.187699999995</v>
      </c>
      <c r="I2789" s="3">
        <f>C2789*G2789</f>
        <v>60302.081025000007</v>
      </c>
    </row>
    <row r="2790" spans="1:9" x14ac:dyDescent="0.25">
      <c r="A2790" t="s">
        <v>13</v>
      </c>
      <c r="B2790" s="1">
        <v>17.05</v>
      </c>
      <c r="C2790" s="1">
        <v>17.059999999999999</v>
      </c>
      <c r="D2790" s="2" t="s">
        <v>322</v>
      </c>
      <c r="E2790" s="8">
        <v>3535.8029000000001</v>
      </c>
      <c r="F2790" s="8">
        <f>F2780</f>
        <v>0</v>
      </c>
      <c r="G2790" s="8">
        <f>E2790+F2790</f>
        <v>3535.8029000000001</v>
      </c>
      <c r="H2790" s="3">
        <f>B2790*G2790</f>
        <v>60285.439445000004</v>
      </c>
      <c r="I2790" s="3">
        <f>C2790*G2790</f>
        <v>60320.797473999999</v>
      </c>
    </row>
    <row r="2791" spans="1:9" x14ac:dyDescent="0.25">
      <c r="A2791" t="s">
        <v>14</v>
      </c>
      <c r="B2791" s="1">
        <v>34.14</v>
      </c>
      <c r="C2791" s="1">
        <v>34.15</v>
      </c>
      <c r="D2791" s="2" t="s">
        <v>322</v>
      </c>
      <c r="E2791" s="8">
        <v>1765.144</v>
      </c>
      <c r="F2791" s="8">
        <f>F2781</f>
        <v>0.2</v>
      </c>
      <c r="G2791" s="8">
        <f>E2791+F2791</f>
        <v>1765.3440000000001</v>
      </c>
      <c r="H2791" s="3">
        <f>B2791*G2791</f>
        <v>60268.844160000001</v>
      </c>
      <c r="I2791" s="3">
        <f>C2791*G2791</f>
        <v>60286.497600000002</v>
      </c>
    </row>
    <row r="2792" spans="1:9" x14ac:dyDescent="0.25">
      <c r="A2792" t="s">
        <v>4</v>
      </c>
      <c r="B2792" s="1">
        <v>20.010000000000002</v>
      </c>
      <c r="C2792" s="1">
        <v>20.02</v>
      </c>
      <c r="D2792" s="2" t="s">
        <v>323</v>
      </c>
      <c r="E2792" s="8">
        <v>3015.0699</v>
      </c>
      <c r="F2792" s="8">
        <f>F2782</f>
        <v>0</v>
      </c>
      <c r="G2792" s="8">
        <f>E2792+F2792</f>
        <v>3015.0699</v>
      </c>
      <c r="H2792" s="3">
        <f>B2792*G2792</f>
        <v>60331.548699000006</v>
      </c>
      <c r="I2792" s="3">
        <f>C2792*G2792</f>
        <v>60361.699397999997</v>
      </c>
    </row>
    <row r="2793" spans="1:9" x14ac:dyDescent="0.25">
      <c r="A2793" t="s">
        <v>6</v>
      </c>
      <c r="B2793" s="1">
        <v>32.76</v>
      </c>
      <c r="C2793" s="1">
        <v>32.770000000000003</v>
      </c>
      <c r="D2793" s="2" t="s">
        <v>323</v>
      </c>
      <c r="E2793" s="8">
        <v>1842.1912</v>
      </c>
      <c r="F2793" s="8">
        <f>F2783</f>
        <v>-0.1</v>
      </c>
      <c r="G2793" s="8">
        <f>E2793+F2793</f>
        <v>1842.0912000000001</v>
      </c>
      <c r="H2793" s="3">
        <f>B2793*G2793</f>
        <v>60346.907712</v>
      </c>
      <c r="I2793" s="3">
        <f>C2793*G2793</f>
        <v>60365.328624000009</v>
      </c>
    </row>
    <row r="2794" spans="1:9" x14ac:dyDescent="0.25">
      <c r="A2794" t="s">
        <v>7</v>
      </c>
      <c r="B2794" s="1">
        <v>17.010000000000002</v>
      </c>
      <c r="C2794" s="1">
        <v>17.02</v>
      </c>
      <c r="D2794" s="2" t="s">
        <v>323</v>
      </c>
      <c r="E2794" s="8">
        <v>3546.7566000000002</v>
      </c>
      <c r="F2794" s="8">
        <f>F2784</f>
        <v>0</v>
      </c>
      <c r="G2794" s="8">
        <f>E2794+F2794</f>
        <v>3546.7566000000002</v>
      </c>
      <c r="H2794" s="3">
        <f>B2794*G2794</f>
        <v>60330.32976600001</v>
      </c>
      <c r="I2794" s="3">
        <f>C2794*G2794</f>
        <v>60365.797332000002</v>
      </c>
    </row>
    <row r="2795" spans="1:9" x14ac:dyDescent="0.25">
      <c r="A2795" t="s">
        <v>8</v>
      </c>
      <c r="B2795" s="1">
        <v>26.69</v>
      </c>
      <c r="C2795" s="1">
        <v>26.7</v>
      </c>
      <c r="D2795" s="2" t="s">
        <v>323</v>
      </c>
      <c r="E2795" s="8">
        <v>2261.4067</v>
      </c>
      <c r="F2795" s="8">
        <f>F2785</f>
        <v>-0.2</v>
      </c>
      <c r="G2795" s="8">
        <f>E2795+F2795</f>
        <v>2261.2067000000002</v>
      </c>
      <c r="H2795" s="3">
        <f>B2795*G2795</f>
        <v>60351.606823000009</v>
      </c>
      <c r="I2795" s="3">
        <f>C2795*G2795</f>
        <v>60374.218890000004</v>
      </c>
    </row>
    <row r="2796" spans="1:9" x14ac:dyDescent="0.25">
      <c r="A2796" t="s">
        <v>9</v>
      </c>
      <c r="B2796" s="1">
        <v>63.71</v>
      </c>
      <c r="C2796" s="1">
        <v>63.81</v>
      </c>
      <c r="D2796" s="2" t="s">
        <v>323</v>
      </c>
      <c r="E2796" s="8">
        <v>946.18190000000004</v>
      </c>
      <c r="F2796" s="8">
        <f>F2786</f>
        <v>0</v>
      </c>
      <c r="G2796" s="8">
        <f>E2796+F2796</f>
        <v>946.18190000000004</v>
      </c>
      <c r="H2796" s="3">
        <f>B2796*G2796</f>
        <v>60281.248849000003</v>
      </c>
      <c r="I2796" s="3">
        <f>C2796*G2796</f>
        <v>60375.867039000004</v>
      </c>
    </row>
    <row r="2797" spans="1:9" x14ac:dyDescent="0.25">
      <c r="A2797" t="s">
        <v>10</v>
      </c>
      <c r="B2797" s="1">
        <v>34.869999999999997</v>
      </c>
      <c r="C2797" s="1">
        <v>34.880000000000003</v>
      </c>
      <c r="D2797" s="2" t="s">
        <v>323</v>
      </c>
      <c r="E2797" s="8">
        <v>1730.1808000000001</v>
      </c>
      <c r="F2797" s="8">
        <f>F2787</f>
        <v>0.2</v>
      </c>
      <c r="G2797" s="8">
        <f>E2797+F2797</f>
        <v>1730.3808000000001</v>
      </c>
      <c r="H2797" s="3">
        <f>B2797*G2797</f>
        <v>60338.378495999998</v>
      </c>
      <c r="I2797" s="3">
        <f>C2797*G2797</f>
        <v>60355.682304000009</v>
      </c>
    </row>
    <row r="2798" spans="1:9" x14ac:dyDescent="0.25">
      <c r="A2798" t="s">
        <v>11</v>
      </c>
      <c r="B2798" s="1">
        <v>52.52</v>
      </c>
      <c r="C2798" s="1">
        <v>52.53</v>
      </c>
      <c r="D2798" s="2" t="s">
        <v>323</v>
      </c>
      <c r="E2798" s="8">
        <v>1148.9085</v>
      </c>
      <c r="F2798" s="8">
        <f>F2788</f>
        <v>0.05</v>
      </c>
      <c r="G2798" s="8">
        <f>E2798+F2798</f>
        <v>1148.9585</v>
      </c>
      <c r="H2798" s="3">
        <f>B2798*G2798</f>
        <v>60343.30042</v>
      </c>
      <c r="I2798" s="3">
        <f>C2798*G2798</f>
        <v>60354.790005000003</v>
      </c>
    </row>
    <row r="2799" spans="1:9" x14ac:dyDescent="0.25">
      <c r="A2799" t="s">
        <v>12</v>
      </c>
      <c r="B2799" s="1">
        <v>46.8</v>
      </c>
      <c r="C2799" s="1">
        <v>46.81</v>
      </c>
      <c r="D2799" s="2" t="s">
        <v>323</v>
      </c>
      <c r="E2799" s="8">
        <v>1289.3325</v>
      </c>
      <c r="F2799" s="8">
        <f>F2789</f>
        <v>0</v>
      </c>
      <c r="G2799" s="8">
        <f>E2799+F2799</f>
        <v>1289.3325</v>
      </c>
      <c r="H2799" s="3">
        <f>B2799*G2799</f>
        <v>60340.760999999999</v>
      </c>
      <c r="I2799" s="3">
        <f>C2799*G2799</f>
        <v>60353.654325000003</v>
      </c>
    </row>
    <row r="2800" spans="1:9" x14ac:dyDescent="0.25">
      <c r="A2800" t="s">
        <v>13</v>
      </c>
      <c r="B2800" s="1">
        <v>17.07</v>
      </c>
      <c r="C2800" s="1">
        <v>17.079999999999998</v>
      </c>
      <c r="D2800" s="2" t="s">
        <v>323</v>
      </c>
      <c r="E2800" s="8">
        <v>3535.8029000000001</v>
      </c>
      <c r="F2800" s="8">
        <f>F2790</f>
        <v>0</v>
      </c>
      <c r="G2800" s="8">
        <f>E2800+F2800</f>
        <v>3535.8029000000001</v>
      </c>
      <c r="H2800" s="3">
        <f>B2800*G2800</f>
        <v>60356.155503000002</v>
      </c>
      <c r="I2800" s="3">
        <f>C2800*G2800</f>
        <v>60391.513531999997</v>
      </c>
    </row>
    <row r="2801" spans="1:9" x14ac:dyDescent="0.25">
      <c r="A2801" t="s">
        <v>14</v>
      </c>
      <c r="B2801" s="1">
        <v>34.18</v>
      </c>
      <c r="C2801" s="1">
        <v>34.19</v>
      </c>
      <c r="D2801" s="2" t="s">
        <v>323</v>
      </c>
      <c r="E2801" s="8">
        <v>1765.144</v>
      </c>
      <c r="F2801" s="8">
        <f>F2791</f>
        <v>0.2</v>
      </c>
      <c r="G2801" s="8">
        <f>E2801+F2801</f>
        <v>1765.3440000000001</v>
      </c>
      <c r="H2801" s="3">
        <f>B2801*G2801</f>
        <v>60339.457920000001</v>
      </c>
      <c r="I2801" s="3">
        <f>C2801*G2801</f>
        <v>60357.111359999995</v>
      </c>
    </row>
    <row r="2802" spans="1:9" x14ac:dyDescent="0.25">
      <c r="A2802" t="s">
        <v>4</v>
      </c>
      <c r="B2802" s="1">
        <v>19.29</v>
      </c>
      <c r="C2802" s="1">
        <v>19.3</v>
      </c>
      <c r="D2802" s="2" t="s">
        <v>324</v>
      </c>
      <c r="E2802" s="8">
        <v>3015.0871999999999</v>
      </c>
      <c r="F2802" s="8">
        <f>F2792</f>
        <v>0</v>
      </c>
      <c r="G2802" s="8">
        <f>E2802+F2802</f>
        <v>3015.0871999999999</v>
      </c>
      <c r="H2802" s="3">
        <f>B2802*G2802</f>
        <v>58161.032087999993</v>
      </c>
      <c r="I2802" s="3">
        <f>C2802*G2802</f>
        <v>58191.182959999998</v>
      </c>
    </row>
    <row r="2803" spans="1:9" x14ac:dyDescent="0.25">
      <c r="A2803" t="s">
        <v>6</v>
      </c>
      <c r="B2803" s="1">
        <v>31.57</v>
      </c>
      <c r="C2803" s="1">
        <v>31.58</v>
      </c>
      <c r="D2803" s="2" t="s">
        <v>324</v>
      </c>
      <c r="E2803" s="8">
        <v>1842.2012999999999</v>
      </c>
      <c r="F2803" s="8">
        <f>F2793</f>
        <v>-0.1</v>
      </c>
      <c r="G2803" s="8">
        <f>E2803+F2803</f>
        <v>1842.1013</v>
      </c>
      <c r="H2803" s="3">
        <f>B2803*G2803</f>
        <v>58155.138040999998</v>
      </c>
      <c r="I2803" s="3">
        <f>C2803*G2803</f>
        <v>58173.559053999998</v>
      </c>
    </row>
    <row r="2804" spans="1:9" x14ac:dyDescent="0.25">
      <c r="A2804" t="s">
        <v>7</v>
      </c>
      <c r="B2804" s="1">
        <v>16.39</v>
      </c>
      <c r="C2804" s="1">
        <v>16.399999999999999</v>
      </c>
      <c r="D2804" s="2" t="s">
        <v>324</v>
      </c>
      <c r="E2804" s="8">
        <v>3546.7809000000002</v>
      </c>
      <c r="F2804" s="8">
        <f>F2794</f>
        <v>0</v>
      </c>
      <c r="G2804" s="8">
        <f>E2804+F2804</f>
        <v>3546.7809000000002</v>
      </c>
      <c r="H2804" s="3">
        <f>B2804*G2804</f>
        <v>58131.738951000007</v>
      </c>
      <c r="I2804" s="3">
        <f>C2804*G2804</f>
        <v>58167.206760000001</v>
      </c>
    </row>
    <row r="2805" spans="1:9" x14ac:dyDescent="0.25">
      <c r="A2805" t="s">
        <v>8</v>
      </c>
      <c r="B2805" s="1">
        <v>25.72</v>
      </c>
      <c r="C2805" s="1">
        <v>25.73</v>
      </c>
      <c r="D2805" s="2" t="s">
        <v>324</v>
      </c>
      <c r="E2805" s="8">
        <v>2261.4160000000002</v>
      </c>
      <c r="F2805" s="8">
        <f>F2795</f>
        <v>-0.2</v>
      </c>
      <c r="G2805" s="8">
        <f>E2805+F2805</f>
        <v>2261.2160000000003</v>
      </c>
      <c r="H2805" s="3">
        <f>B2805*G2805</f>
        <v>58158.475520000007</v>
      </c>
      <c r="I2805" s="3">
        <f>C2805*G2805</f>
        <v>58181.087680000011</v>
      </c>
    </row>
    <row r="2806" spans="1:9" x14ac:dyDescent="0.25">
      <c r="A2806" t="s">
        <v>9</v>
      </c>
      <c r="B2806" s="1">
        <v>61.42</v>
      </c>
      <c r="C2806" s="1">
        <v>61.54</v>
      </c>
      <c r="D2806" s="2" t="s">
        <v>324</v>
      </c>
      <c r="E2806" s="8">
        <v>946.1884</v>
      </c>
      <c r="F2806" s="8">
        <f>F2796</f>
        <v>0</v>
      </c>
      <c r="G2806" s="8">
        <f>E2806+F2806</f>
        <v>946.1884</v>
      </c>
      <c r="H2806" s="3">
        <f>B2806*G2806</f>
        <v>58114.891528</v>
      </c>
      <c r="I2806" s="3">
        <f>C2806*G2806</f>
        <v>58228.434135999996</v>
      </c>
    </row>
    <row r="2807" spans="1:9" x14ac:dyDescent="0.25">
      <c r="A2807" t="s">
        <v>10</v>
      </c>
      <c r="B2807" s="1">
        <v>33.61</v>
      </c>
      <c r="C2807" s="1">
        <v>33.619999999999997</v>
      </c>
      <c r="D2807" s="2" t="s">
        <v>324</v>
      </c>
      <c r="E2807" s="8">
        <v>1730.1898000000001</v>
      </c>
      <c r="F2807" s="8">
        <f>F2797</f>
        <v>0.2</v>
      </c>
      <c r="G2807" s="8">
        <f>E2807+F2807</f>
        <v>1730.3898000000002</v>
      </c>
      <c r="H2807" s="3">
        <f>B2807*G2807</f>
        <v>58158.401178000007</v>
      </c>
      <c r="I2807" s="3">
        <f>C2807*G2807</f>
        <v>58175.705075999998</v>
      </c>
    </row>
    <row r="2808" spans="1:9" x14ac:dyDescent="0.25">
      <c r="A2808" t="s">
        <v>11</v>
      </c>
      <c r="B2808" s="1">
        <v>50.62</v>
      </c>
      <c r="C2808" s="1">
        <v>50.63</v>
      </c>
      <c r="D2808" s="2" t="s">
        <v>324</v>
      </c>
      <c r="E2808" s="8">
        <v>1148.9164000000001</v>
      </c>
      <c r="F2808" s="8">
        <f>F2798</f>
        <v>0.05</v>
      </c>
      <c r="G2808" s="8">
        <f>E2808+F2808</f>
        <v>1148.9664</v>
      </c>
      <c r="H2808" s="3">
        <f>B2808*G2808</f>
        <v>58160.679167999995</v>
      </c>
      <c r="I2808" s="3">
        <f>C2808*G2808</f>
        <v>58172.168832000003</v>
      </c>
    </row>
    <row r="2809" spans="1:9" x14ac:dyDescent="0.25">
      <c r="A2809" t="s">
        <v>12</v>
      </c>
      <c r="B2809" s="1">
        <v>45.11</v>
      </c>
      <c r="C2809" s="1">
        <v>45.12</v>
      </c>
      <c r="D2809" s="2" t="s">
        <v>324</v>
      </c>
      <c r="E2809" s="8">
        <v>1289.3855000000001</v>
      </c>
      <c r="F2809" s="8">
        <f>F2799</f>
        <v>0</v>
      </c>
      <c r="G2809" s="8">
        <f>E2809+F2809</f>
        <v>1289.3855000000001</v>
      </c>
      <c r="H2809" s="3">
        <f>B2809*G2809</f>
        <v>58164.179905000005</v>
      </c>
      <c r="I2809" s="3">
        <f>C2809*G2809</f>
        <v>58177.073759999999</v>
      </c>
    </row>
    <row r="2810" spans="1:9" x14ac:dyDescent="0.25">
      <c r="A2810" t="s">
        <v>13</v>
      </c>
      <c r="B2810" s="1">
        <v>16.45</v>
      </c>
      <c r="C2810" s="1">
        <v>16.46</v>
      </c>
      <c r="D2810" s="2" t="s">
        <v>324</v>
      </c>
      <c r="E2810" s="8">
        <v>3535.8029000000001</v>
      </c>
      <c r="F2810" s="8">
        <f>F2800</f>
        <v>0</v>
      </c>
      <c r="G2810" s="8">
        <f>E2810+F2810</f>
        <v>3535.8029000000001</v>
      </c>
      <c r="H2810" s="3">
        <f>B2810*G2810</f>
        <v>58163.957705000001</v>
      </c>
      <c r="I2810" s="3">
        <f>C2810*G2810</f>
        <v>58199.315734000003</v>
      </c>
    </row>
    <row r="2811" spans="1:9" x14ac:dyDescent="0.25">
      <c r="A2811" t="s">
        <v>14</v>
      </c>
      <c r="B2811" s="1">
        <v>32.94</v>
      </c>
      <c r="C2811" s="1">
        <v>32.950000000000003</v>
      </c>
      <c r="D2811" s="2" t="s">
        <v>324</v>
      </c>
      <c r="E2811" s="8">
        <v>1765.1560999999999</v>
      </c>
      <c r="F2811" s="8">
        <f>F2801</f>
        <v>0.2</v>
      </c>
      <c r="G2811" s="8">
        <f>E2811+F2811</f>
        <v>1765.3561</v>
      </c>
      <c r="H2811" s="3">
        <f>B2811*G2811</f>
        <v>58150.829933999994</v>
      </c>
      <c r="I2811" s="3">
        <f>C2811*G2811</f>
        <v>58168.483495</v>
      </c>
    </row>
    <row r="2812" spans="1:9" x14ac:dyDescent="0.25">
      <c r="A2812" t="s">
        <v>4</v>
      </c>
      <c r="B2812" s="1">
        <v>19.38</v>
      </c>
      <c r="C2812" s="1">
        <v>19.39</v>
      </c>
      <c r="D2812" s="2" t="s">
        <v>325</v>
      </c>
      <c r="E2812" s="8">
        <v>3015.0871999999999</v>
      </c>
      <c r="F2812" s="8">
        <f>F2802</f>
        <v>0</v>
      </c>
      <c r="G2812" s="8">
        <f>E2812+F2812</f>
        <v>3015.0871999999999</v>
      </c>
      <c r="H2812" s="3">
        <f>B2812*G2812</f>
        <v>58432.389935999992</v>
      </c>
      <c r="I2812" s="3">
        <f>C2812*G2812</f>
        <v>58462.540807999998</v>
      </c>
    </row>
    <row r="2813" spans="1:9" x14ac:dyDescent="0.25">
      <c r="A2813" t="s">
        <v>6</v>
      </c>
      <c r="B2813" s="1">
        <v>31.72</v>
      </c>
      <c r="C2813" s="1">
        <v>31.73</v>
      </c>
      <c r="D2813" s="2" t="s">
        <v>325</v>
      </c>
      <c r="E2813" s="8">
        <v>1842.2012999999999</v>
      </c>
      <c r="F2813" s="8">
        <f>F2803</f>
        <v>-0.1</v>
      </c>
      <c r="G2813" s="8">
        <f>E2813+F2813</f>
        <v>1842.1013</v>
      </c>
      <c r="H2813" s="3">
        <f>B2813*G2813</f>
        <v>58431.453236000001</v>
      </c>
      <c r="I2813" s="3">
        <f>C2813*G2813</f>
        <v>58449.874249</v>
      </c>
    </row>
    <row r="2814" spans="1:9" x14ac:dyDescent="0.25">
      <c r="A2814" t="s">
        <v>7</v>
      </c>
      <c r="B2814" s="1">
        <v>16.47</v>
      </c>
      <c r="C2814" s="1">
        <v>16.48</v>
      </c>
      <c r="D2814" s="2" t="s">
        <v>325</v>
      </c>
      <c r="E2814" s="8">
        <v>3546.7809000000002</v>
      </c>
      <c r="F2814" s="8">
        <f>F2804</f>
        <v>0</v>
      </c>
      <c r="G2814" s="8">
        <f>E2814+F2814</f>
        <v>3546.7809000000002</v>
      </c>
      <c r="H2814" s="3">
        <f>B2814*G2814</f>
        <v>58415.481422999997</v>
      </c>
      <c r="I2814" s="3">
        <f>C2814*G2814</f>
        <v>58450.949232000006</v>
      </c>
    </row>
    <row r="2815" spans="1:9" x14ac:dyDescent="0.25">
      <c r="A2815" t="s">
        <v>8</v>
      </c>
      <c r="B2815" s="1">
        <v>25.84</v>
      </c>
      <c r="C2815" s="1">
        <v>25.85</v>
      </c>
      <c r="D2815" s="2" t="s">
        <v>325</v>
      </c>
      <c r="E2815" s="8">
        <v>2261.4160000000002</v>
      </c>
      <c r="F2815" s="8">
        <f>F2805</f>
        <v>-0.2</v>
      </c>
      <c r="G2815" s="8">
        <f>E2815+F2815</f>
        <v>2261.2160000000003</v>
      </c>
      <c r="H2815" s="3">
        <f>B2815*G2815</f>
        <v>58429.821440000007</v>
      </c>
      <c r="I2815" s="3">
        <f>C2815*G2815</f>
        <v>58452.433600000011</v>
      </c>
    </row>
    <row r="2816" spans="1:9" x14ac:dyDescent="0.25">
      <c r="A2816" t="s">
        <v>9</v>
      </c>
      <c r="B2816" s="1">
        <v>61.7</v>
      </c>
      <c r="C2816" s="1">
        <v>61.81</v>
      </c>
      <c r="D2816" s="2" t="s">
        <v>325</v>
      </c>
      <c r="E2816" s="8">
        <v>946.1884</v>
      </c>
      <c r="F2816" s="8">
        <f>F2806</f>
        <v>0</v>
      </c>
      <c r="G2816" s="8">
        <f>E2816+F2816</f>
        <v>946.1884</v>
      </c>
      <c r="H2816" s="3">
        <f>B2816*G2816</f>
        <v>58379.824280000001</v>
      </c>
      <c r="I2816" s="3">
        <f>C2816*G2816</f>
        <v>58483.905004</v>
      </c>
    </row>
    <row r="2817" spans="1:9" x14ac:dyDescent="0.25">
      <c r="A2817" t="s">
        <v>10</v>
      </c>
      <c r="B2817" s="1">
        <v>33.76</v>
      </c>
      <c r="C2817" s="1">
        <v>33.79</v>
      </c>
      <c r="D2817" s="2" t="s">
        <v>325</v>
      </c>
      <c r="E2817" s="8">
        <v>1730.1898000000001</v>
      </c>
      <c r="F2817" s="8">
        <f>F2807</f>
        <v>0.2</v>
      </c>
      <c r="G2817" s="8">
        <f>E2817+F2817</f>
        <v>1730.3898000000002</v>
      </c>
      <c r="H2817" s="3">
        <f>B2817*G2817</f>
        <v>58417.959648000004</v>
      </c>
      <c r="I2817" s="3">
        <f>C2817*G2817</f>
        <v>58469.871342000006</v>
      </c>
    </row>
    <row r="2818" spans="1:9" x14ac:dyDescent="0.25">
      <c r="A2818" t="s">
        <v>11</v>
      </c>
      <c r="B2818" s="1">
        <v>50.85</v>
      </c>
      <c r="C2818" s="1">
        <v>50.86</v>
      </c>
      <c r="D2818" s="2" t="s">
        <v>325</v>
      </c>
      <c r="E2818" s="8">
        <v>1148.9164000000001</v>
      </c>
      <c r="F2818" s="8">
        <f>F2808</f>
        <v>0.05</v>
      </c>
      <c r="G2818" s="8">
        <f>E2818+F2818</f>
        <v>1148.9664</v>
      </c>
      <c r="H2818" s="3">
        <f>B2818*G2818</f>
        <v>58424.941440000002</v>
      </c>
      <c r="I2818" s="3">
        <f>C2818*G2818</f>
        <v>58436.431104000003</v>
      </c>
    </row>
    <row r="2819" spans="1:9" x14ac:dyDescent="0.25">
      <c r="A2819" t="s">
        <v>12</v>
      </c>
      <c r="B2819" s="1">
        <v>45.33</v>
      </c>
      <c r="C2819" s="1">
        <v>45.34</v>
      </c>
      <c r="D2819" s="2" t="s">
        <v>325</v>
      </c>
      <c r="E2819" s="8">
        <v>1289.3855000000001</v>
      </c>
      <c r="F2819" s="8">
        <f>F2809</f>
        <v>0</v>
      </c>
      <c r="G2819" s="8">
        <f>E2819+F2819</f>
        <v>1289.3855000000001</v>
      </c>
      <c r="H2819" s="3">
        <f>B2819*G2819</f>
        <v>58447.844714999999</v>
      </c>
      <c r="I2819" s="3">
        <f>C2819*G2819</f>
        <v>58460.738570000009</v>
      </c>
    </row>
    <row r="2820" spans="1:9" x14ac:dyDescent="0.25">
      <c r="A2820" t="s">
        <v>13</v>
      </c>
      <c r="B2820" s="1">
        <v>16.53</v>
      </c>
      <c r="C2820" s="1">
        <v>16.54</v>
      </c>
      <c r="D2820" s="2" t="s">
        <v>325</v>
      </c>
      <c r="E2820" s="8">
        <v>3535.8029000000001</v>
      </c>
      <c r="F2820" s="8">
        <f>F2810</f>
        <v>0</v>
      </c>
      <c r="G2820" s="8">
        <f>E2820+F2820</f>
        <v>3535.8029000000001</v>
      </c>
      <c r="H2820" s="3">
        <f>B2820*G2820</f>
        <v>58446.821937000008</v>
      </c>
      <c r="I2820" s="3">
        <f>C2820*G2820</f>
        <v>58482.179965999996</v>
      </c>
    </row>
    <row r="2821" spans="1:9" x14ac:dyDescent="0.25">
      <c r="A2821" t="s">
        <v>14</v>
      </c>
      <c r="B2821" s="1">
        <v>33.1</v>
      </c>
      <c r="C2821" s="1">
        <v>33.11</v>
      </c>
      <c r="D2821" s="2" t="s">
        <v>325</v>
      </c>
      <c r="E2821" s="8">
        <v>1765.1560999999999</v>
      </c>
      <c r="F2821" s="8">
        <f>F2811</f>
        <v>0.2</v>
      </c>
      <c r="G2821" s="8">
        <f>E2821+F2821</f>
        <v>1765.3561</v>
      </c>
      <c r="H2821" s="3">
        <f>B2821*G2821</f>
        <v>58433.286910000003</v>
      </c>
      <c r="I2821" s="3">
        <f>C2821*G2821</f>
        <v>58450.940470999994</v>
      </c>
    </row>
    <row r="2822" spans="1:9" x14ac:dyDescent="0.25">
      <c r="A2822" t="s">
        <v>4</v>
      </c>
      <c r="B2822" s="1">
        <v>19.52</v>
      </c>
      <c r="C2822" s="1">
        <v>19.53</v>
      </c>
      <c r="D2822" s="2" t="s">
        <v>326</v>
      </c>
      <c r="E2822" s="8">
        <v>3015.0871999999999</v>
      </c>
      <c r="F2822" s="8">
        <f>F2812</f>
        <v>0</v>
      </c>
      <c r="G2822" s="8">
        <f>E2822+F2822</f>
        <v>3015.0871999999999</v>
      </c>
      <c r="H2822" s="3">
        <f>B2822*G2822</f>
        <v>58854.502143999998</v>
      </c>
      <c r="I2822" s="3">
        <f>C2822*G2822</f>
        <v>58884.653016000004</v>
      </c>
    </row>
    <row r="2823" spans="1:9" x14ac:dyDescent="0.25">
      <c r="A2823" t="s">
        <v>6</v>
      </c>
      <c r="B2823" s="1">
        <v>31.96</v>
      </c>
      <c r="C2823" s="1">
        <v>31.97</v>
      </c>
      <c r="D2823" s="2" t="s">
        <v>326</v>
      </c>
      <c r="E2823" s="8">
        <v>1842.2012999999999</v>
      </c>
      <c r="F2823" s="8">
        <f>F2813</f>
        <v>-0.1</v>
      </c>
      <c r="G2823" s="8">
        <f>E2823+F2823</f>
        <v>1842.1013</v>
      </c>
      <c r="H2823" s="3">
        <f>B2823*G2823</f>
        <v>58873.557548000004</v>
      </c>
      <c r="I2823" s="3">
        <f>C2823*G2823</f>
        <v>58891.978560999996</v>
      </c>
    </row>
    <row r="2824" spans="1:9" x14ac:dyDescent="0.25">
      <c r="A2824" t="s">
        <v>7</v>
      </c>
      <c r="B2824" s="1">
        <v>16.59</v>
      </c>
      <c r="C2824" s="1">
        <v>16.600000000000001</v>
      </c>
      <c r="D2824" s="2" t="s">
        <v>326</v>
      </c>
      <c r="E2824" s="8">
        <v>3546.7809000000002</v>
      </c>
      <c r="F2824" s="8">
        <f>F2814</f>
        <v>0</v>
      </c>
      <c r="G2824" s="8">
        <f>E2824+F2824</f>
        <v>3546.7809000000002</v>
      </c>
      <c r="H2824" s="3">
        <f>B2824*G2824</f>
        <v>58841.095131000002</v>
      </c>
      <c r="I2824" s="3">
        <f>C2824*G2824</f>
        <v>58876.562940000011</v>
      </c>
    </row>
    <row r="2825" spans="1:9" x14ac:dyDescent="0.25">
      <c r="A2825" t="s">
        <v>8</v>
      </c>
      <c r="B2825" s="1">
        <v>26.03</v>
      </c>
      <c r="C2825" s="1">
        <v>26.04</v>
      </c>
      <c r="D2825" s="2" t="s">
        <v>326</v>
      </c>
      <c r="E2825" s="8">
        <v>2261.4160000000002</v>
      </c>
      <c r="F2825" s="8">
        <f>F2815</f>
        <v>-0.2</v>
      </c>
      <c r="G2825" s="8">
        <f>E2825+F2825</f>
        <v>2261.2160000000003</v>
      </c>
      <c r="H2825" s="3">
        <f>B2825*G2825</f>
        <v>58859.452480000014</v>
      </c>
      <c r="I2825" s="3">
        <f>C2825*G2825</f>
        <v>58882.064640000004</v>
      </c>
    </row>
    <row r="2826" spans="1:9" x14ac:dyDescent="0.25">
      <c r="A2826" t="s">
        <v>9</v>
      </c>
      <c r="B2826" s="1">
        <v>62.16</v>
      </c>
      <c r="C2826" s="1">
        <v>62.25</v>
      </c>
      <c r="D2826" s="2" t="s">
        <v>326</v>
      </c>
      <c r="E2826" s="8">
        <v>946.1884</v>
      </c>
      <c r="F2826" s="8">
        <f>F2816</f>
        <v>0</v>
      </c>
      <c r="G2826" s="8">
        <f>E2826+F2826</f>
        <v>946.1884</v>
      </c>
      <c r="H2826" s="3">
        <f>B2826*G2826</f>
        <v>58815.070943999999</v>
      </c>
      <c r="I2826" s="3">
        <f>C2826*G2826</f>
        <v>58900.227899999998</v>
      </c>
    </row>
    <row r="2827" spans="1:9" x14ac:dyDescent="0.25">
      <c r="A2827" t="s">
        <v>10</v>
      </c>
      <c r="B2827" s="1">
        <v>34.01</v>
      </c>
      <c r="C2827" s="1">
        <v>34.04</v>
      </c>
      <c r="D2827" s="2" t="s">
        <v>326</v>
      </c>
      <c r="E2827" s="8">
        <v>1730.1898000000001</v>
      </c>
      <c r="F2827" s="8">
        <f>F2817</f>
        <v>0.2</v>
      </c>
      <c r="G2827" s="8">
        <f>E2827+F2827</f>
        <v>1730.3898000000002</v>
      </c>
      <c r="H2827" s="3">
        <f>B2827*G2827</f>
        <v>58850.557098000005</v>
      </c>
      <c r="I2827" s="3">
        <f>C2827*G2827</f>
        <v>58902.468792000007</v>
      </c>
    </row>
    <row r="2828" spans="1:9" x14ac:dyDescent="0.25">
      <c r="A2828" t="s">
        <v>11</v>
      </c>
      <c r="B2828" s="1">
        <v>51.23</v>
      </c>
      <c r="C2828" s="1">
        <v>51.24</v>
      </c>
      <c r="D2828" s="2" t="s">
        <v>326</v>
      </c>
      <c r="E2828" s="8">
        <v>1148.9164000000001</v>
      </c>
      <c r="F2828" s="8">
        <f>F2818</f>
        <v>0.05</v>
      </c>
      <c r="G2828" s="8">
        <f>E2828+F2828</f>
        <v>1148.9664</v>
      </c>
      <c r="H2828" s="3">
        <f>B2828*G2828</f>
        <v>58861.548671999997</v>
      </c>
      <c r="I2828" s="3">
        <f>C2828*G2828</f>
        <v>58873.038336000005</v>
      </c>
    </row>
    <row r="2829" spans="1:9" x14ac:dyDescent="0.25">
      <c r="A2829" t="s">
        <v>12</v>
      </c>
      <c r="B2829" s="1">
        <v>45.66</v>
      </c>
      <c r="C2829" s="1">
        <v>45.67</v>
      </c>
      <c r="D2829" s="2" t="s">
        <v>326</v>
      </c>
      <c r="E2829" s="8">
        <v>1289.3855000000001</v>
      </c>
      <c r="F2829" s="8">
        <f>F2819</f>
        <v>0</v>
      </c>
      <c r="G2829" s="8">
        <f>E2829+F2829</f>
        <v>1289.3855000000001</v>
      </c>
      <c r="H2829" s="3">
        <f>B2829*G2829</f>
        <v>58873.341930000002</v>
      </c>
      <c r="I2829" s="3">
        <f>C2829*G2829</f>
        <v>58886.235785000004</v>
      </c>
    </row>
    <row r="2830" spans="1:9" x14ac:dyDescent="0.25">
      <c r="A2830" t="s">
        <v>13</v>
      </c>
      <c r="B2830" s="1">
        <v>16.649999999999999</v>
      </c>
      <c r="C2830" s="1">
        <v>16.66</v>
      </c>
      <c r="D2830" s="2" t="s">
        <v>326</v>
      </c>
      <c r="E2830" s="8">
        <v>3535.8029000000001</v>
      </c>
      <c r="F2830" s="8">
        <f>F2820</f>
        <v>0</v>
      </c>
      <c r="G2830" s="8">
        <f>E2830+F2830</f>
        <v>3535.8029000000001</v>
      </c>
      <c r="H2830" s="3">
        <f>B2830*G2830</f>
        <v>58871.118284999997</v>
      </c>
      <c r="I2830" s="3">
        <f>C2830*G2830</f>
        <v>58906.476314</v>
      </c>
    </row>
    <row r="2831" spans="1:9" x14ac:dyDescent="0.25">
      <c r="A2831" t="s">
        <v>14</v>
      </c>
      <c r="B2831" s="1">
        <v>33.340000000000003</v>
      </c>
      <c r="C2831" s="1">
        <v>33.35</v>
      </c>
      <c r="D2831" s="2" t="s">
        <v>326</v>
      </c>
      <c r="E2831" s="8">
        <v>1765.1560999999999</v>
      </c>
      <c r="F2831" s="8">
        <f>F2821</f>
        <v>0.2</v>
      </c>
      <c r="G2831" s="8">
        <f>E2831+F2831</f>
        <v>1765.3561</v>
      </c>
      <c r="H2831" s="3">
        <f>B2831*G2831</f>
        <v>58856.972374000004</v>
      </c>
      <c r="I2831" s="3">
        <f>C2831*G2831</f>
        <v>58874.625935000004</v>
      </c>
    </row>
    <row r="2832" spans="1:9" x14ac:dyDescent="0.25">
      <c r="A2832" t="s">
        <v>4</v>
      </c>
      <c r="B2832" s="1">
        <v>19.510000000000002</v>
      </c>
      <c r="C2832" s="1">
        <v>19.52</v>
      </c>
      <c r="D2832" s="2" t="s">
        <v>327</v>
      </c>
      <c r="E2832" s="8">
        <v>3015.0871999999999</v>
      </c>
      <c r="F2832" s="8">
        <f>F2822</f>
        <v>0</v>
      </c>
      <c r="G2832" s="8">
        <f>E2832+F2832</f>
        <v>3015.0871999999999</v>
      </c>
      <c r="H2832" s="3">
        <f>B2832*G2832</f>
        <v>58824.351272000007</v>
      </c>
      <c r="I2832" s="3">
        <f>C2832*G2832</f>
        <v>58854.502143999998</v>
      </c>
    </row>
    <row r="2833" spans="1:9" x14ac:dyDescent="0.25">
      <c r="A2833" t="s">
        <v>6</v>
      </c>
      <c r="B2833" s="1">
        <v>31.93</v>
      </c>
      <c r="C2833" s="1">
        <v>31.94</v>
      </c>
      <c r="D2833" s="2" t="s">
        <v>327</v>
      </c>
      <c r="E2833" s="8">
        <v>1842.2012999999999</v>
      </c>
      <c r="F2833" s="8">
        <f>F2823</f>
        <v>-0.1</v>
      </c>
      <c r="G2833" s="8">
        <f>E2833+F2833</f>
        <v>1842.1013</v>
      </c>
      <c r="H2833" s="3">
        <f>B2833*G2833</f>
        <v>58818.294508999999</v>
      </c>
      <c r="I2833" s="3">
        <f>C2833*G2833</f>
        <v>58836.715522000006</v>
      </c>
    </row>
    <row r="2834" spans="1:9" x14ac:dyDescent="0.25">
      <c r="A2834" t="s">
        <v>7</v>
      </c>
      <c r="B2834" s="1">
        <v>16.579999999999998</v>
      </c>
      <c r="C2834" s="1">
        <v>16.59</v>
      </c>
      <c r="D2834" s="2" t="s">
        <v>327</v>
      </c>
      <c r="E2834" s="8">
        <v>3546.7809000000002</v>
      </c>
      <c r="F2834" s="8">
        <f>F2824</f>
        <v>0</v>
      </c>
      <c r="G2834" s="8">
        <f>E2834+F2834</f>
        <v>3546.7809000000002</v>
      </c>
      <c r="H2834" s="3">
        <f>B2834*G2834</f>
        <v>58805.627322</v>
      </c>
      <c r="I2834" s="3">
        <f>C2834*G2834</f>
        <v>58841.095131000002</v>
      </c>
    </row>
    <row r="2835" spans="1:9" x14ac:dyDescent="0.25">
      <c r="A2835" t="s">
        <v>8</v>
      </c>
      <c r="B2835" s="1">
        <v>26.01</v>
      </c>
      <c r="C2835" s="1">
        <v>26.02</v>
      </c>
      <c r="D2835" s="2" t="s">
        <v>327</v>
      </c>
      <c r="E2835" s="8">
        <v>2261.4160000000002</v>
      </c>
      <c r="F2835" s="8">
        <f>F2825</f>
        <v>-0.2</v>
      </c>
      <c r="G2835" s="8">
        <f>E2835+F2835</f>
        <v>2261.2160000000003</v>
      </c>
      <c r="H2835" s="3">
        <f>B2835*G2835</f>
        <v>58814.228160000013</v>
      </c>
      <c r="I2835" s="3">
        <f>C2835*G2835</f>
        <v>58836.84032000001</v>
      </c>
    </row>
    <row r="2836" spans="1:9" x14ac:dyDescent="0.25">
      <c r="A2836" t="s">
        <v>9</v>
      </c>
      <c r="B2836" s="1">
        <v>62.1</v>
      </c>
      <c r="C2836" s="1">
        <v>62.21</v>
      </c>
      <c r="D2836" s="2" t="s">
        <v>327</v>
      </c>
      <c r="E2836" s="8">
        <v>946.1884</v>
      </c>
      <c r="F2836" s="8">
        <f>F2826</f>
        <v>0</v>
      </c>
      <c r="G2836" s="8">
        <f>E2836+F2836</f>
        <v>946.1884</v>
      </c>
      <c r="H2836" s="3">
        <f>B2836*G2836</f>
        <v>58758.299640000005</v>
      </c>
      <c r="I2836" s="3">
        <f>C2836*G2836</f>
        <v>58862.380364000004</v>
      </c>
    </row>
    <row r="2837" spans="1:9" x14ac:dyDescent="0.25">
      <c r="A2837" t="s">
        <v>10</v>
      </c>
      <c r="B2837" s="1">
        <v>33.99</v>
      </c>
      <c r="C2837" s="1">
        <v>34.01</v>
      </c>
      <c r="D2837" s="2" t="s">
        <v>327</v>
      </c>
      <c r="E2837" s="8">
        <v>1730.1898000000001</v>
      </c>
      <c r="F2837" s="8">
        <f>F2827</f>
        <v>0.2</v>
      </c>
      <c r="G2837" s="8">
        <f>E2837+F2837</f>
        <v>1730.3898000000002</v>
      </c>
      <c r="H2837" s="3">
        <f>B2837*G2837</f>
        <v>58815.949302000008</v>
      </c>
      <c r="I2837" s="3">
        <f>C2837*G2837</f>
        <v>58850.557098000005</v>
      </c>
    </row>
    <row r="2838" spans="1:9" x14ac:dyDescent="0.25">
      <c r="A2838" t="s">
        <v>11</v>
      </c>
      <c r="B2838" s="1">
        <v>51.2</v>
      </c>
      <c r="C2838" s="1">
        <v>51.21</v>
      </c>
      <c r="D2838" s="2" t="s">
        <v>327</v>
      </c>
      <c r="E2838" s="8">
        <v>1148.9164000000001</v>
      </c>
      <c r="F2838" s="8">
        <f>F2828</f>
        <v>0.05</v>
      </c>
      <c r="G2838" s="8">
        <f>E2838+F2838</f>
        <v>1148.9664</v>
      </c>
      <c r="H2838" s="3">
        <f>B2838*G2838</f>
        <v>58827.079680000003</v>
      </c>
      <c r="I2838" s="3">
        <f>C2838*G2838</f>
        <v>58838.569344000003</v>
      </c>
    </row>
    <row r="2839" spans="1:9" x14ac:dyDescent="0.25">
      <c r="A2839" t="s">
        <v>12</v>
      </c>
      <c r="B2839" s="1">
        <v>45.63</v>
      </c>
      <c r="C2839" s="1">
        <v>45.64</v>
      </c>
      <c r="D2839" s="2" t="s">
        <v>327</v>
      </c>
      <c r="E2839" s="8">
        <v>1289.3855000000001</v>
      </c>
      <c r="F2839" s="8">
        <f>F2829</f>
        <v>0</v>
      </c>
      <c r="G2839" s="8">
        <f>E2839+F2839</f>
        <v>1289.3855000000001</v>
      </c>
      <c r="H2839" s="3">
        <f>B2839*G2839</f>
        <v>58834.660365000011</v>
      </c>
      <c r="I2839" s="3">
        <f>C2839*G2839</f>
        <v>58847.554220000005</v>
      </c>
    </row>
    <row r="2840" spans="1:9" x14ac:dyDescent="0.25">
      <c r="A2840" t="s">
        <v>13</v>
      </c>
      <c r="B2840" s="1">
        <v>16.63</v>
      </c>
      <c r="C2840" s="1">
        <v>16.64</v>
      </c>
      <c r="D2840" s="2" t="s">
        <v>327</v>
      </c>
      <c r="E2840" s="8">
        <v>3535.8029000000001</v>
      </c>
      <c r="F2840" s="8">
        <f>F2830</f>
        <v>0</v>
      </c>
      <c r="G2840" s="8">
        <f>E2840+F2840</f>
        <v>3535.8029000000001</v>
      </c>
      <c r="H2840" s="3">
        <f>B2840*G2840</f>
        <v>58800.402226999999</v>
      </c>
      <c r="I2840" s="3">
        <f>C2840*G2840</f>
        <v>58835.760256000001</v>
      </c>
    </row>
    <row r="2841" spans="1:9" x14ac:dyDescent="0.25">
      <c r="A2841" t="s">
        <v>14</v>
      </c>
      <c r="B2841" s="1">
        <v>33.31</v>
      </c>
      <c r="C2841" s="1">
        <v>33.32</v>
      </c>
      <c r="D2841" s="2" t="s">
        <v>327</v>
      </c>
      <c r="E2841" s="8">
        <v>1765.1560999999999</v>
      </c>
      <c r="F2841" s="8">
        <f>F2831</f>
        <v>0.2</v>
      </c>
      <c r="G2841" s="8">
        <f>E2841+F2841</f>
        <v>1765.3561</v>
      </c>
      <c r="H2841" s="3">
        <f>B2841*G2841</f>
        <v>58804.011691</v>
      </c>
      <c r="I2841" s="3">
        <f>C2841*G2841</f>
        <v>58821.665251999999</v>
      </c>
    </row>
    <row r="2842" spans="1:9" x14ac:dyDescent="0.25">
      <c r="A2842" t="s">
        <v>4</v>
      </c>
      <c r="B2842" s="1">
        <v>19.52</v>
      </c>
      <c r="C2842" s="1">
        <v>19.53</v>
      </c>
      <c r="D2842" s="2" t="s">
        <v>328</v>
      </c>
      <c r="E2842" s="8">
        <v>3015.0871999999999</v>
      </c>
      <c r="F2842" s="8">
        <f>F2832</f>
        <v>0</v>
      </c>
      <c r="G2842" s="8">
        <f>E2842+F2842</f>
        <v>3015.0871999999999</v>
      </c>
      <c r="H2842" s="3">
        <f>B2842*G2842</f>
        <v>58854.502143999998</v>
      </c>
      <c r="I2842" s="3">
        <f>C2842*G2842</f>
        <v>58884.653016000004</v>
      </c>
    </row>
    <row r="2843" spans="1:9" x14ac:dyDescent="0.25">
      <c r="A2843" t="s">
        <v>6</v>
      </c>
      <c r="B2843" s="1">
        <v>31.96</v>
      </c>
      <c r="C2843" s="1">
        <v>31.97</v>
      </c>
      <c r="D2843" s="2" t="s">
        <v>328</v>
      </c>
      <c r="E2843" s="8">
        <v>1842.2012999999999</v>
      </c>
      <c r="F2843" s="8">
        <f>F2833</f>
        <v>-0.1</v>
      </c>
      <c r="G2843" s="8">
        <f>E2843+F2843</f>
        <v>1842.1013</v>
      </c>
      <c r="H2843" s="3">
        <f>B2843*G2843</f>
        <v>58873.557548000004</v>
      </c>
      <c r="I2843" s="3">
        <f>C2843*G2843</f>
        <v>58891.978560999996</v>
      </c>
    </row>
    <row r="2844" spans="1:9" x14ac:dyDescent="0.25">
      <c r="A2844" t="s">
        <v>7</v>
      </c>
      <c r="B2844" s="1">
        <v>16.59</v>
      </c>
      <c r="C2844" s="1">
        <v>16.600000000000001</v>
      </c>
      <c r="D2844" s="2" t="s">
        <v>328</v>
      </c>
      <c r="E2844" s="8">
        <v>3546.7809000000002</v>
      </c>
      <c r="F2844" s="8">
        <f>F2834</f>
        <v>0</v>
      </c>
      <c r="G2844" s="8">
        <f>E2844+F2844</f>
        <v>3546.7809000000002</v>
      </c>
      <c r="H2844" s="3">
        <f>B2844*G2844</f>
        <v>58841.095131000002</v>
      </c>
      <c r="I2844" s="3">
        <f>C2844*G2844</f>
        <v>58876.562940000011</v>
      </c>
    </row>
    <row r="2845" spans="1:9" x14ac:dyDescent="0.25">
      <c r="A2845" t="s">
        <v>8</v>
      </c>
      <c r="B2845" s="1">
        <v>26.03</v>
      </c>
      <c r="C2845" s="1">
        <v>26.04</v>
      </c>
      <c r="D2845" s="2" t="s">
        <v>328</v>
      </c>
      <c r="E2845" s="8">
        <v>2261.4160000000002</v>
      </c>
      <c r="F2845" s="8">
        <f>F2835</f>
        <v>-0.2</v>
      </c>
      <c r="G2845" s="8">
        <f>E2845+F2845</f>
        <v>2261.2160000000003</v>
      </c>
      <c r="H2845" s="3">
        <f>B2845*G2845</f>
        <v>58859.452480000014</v>
      </c>
      <c r="I2845" s="3">
        <f>C2845*G2845</f>
        <v>58882.064640000004</v>
      </c>
    </row>
    <row r="2846" spans="1:9" x14ac:dyDescent="0.25">
      <c r="A2846" t="s">
        <v>9</v>
      </c>
      <c r="B2846" s="1">
        <v>62.13</v>
      </c>
      <c r="C2846" s="1">
        <v>62.25</v>
      </c>
      <c r="D2846" s="2" t="s">
        <v>328</v>
      </c>
      <c r="E2846" s="8">
        <v>946.1884</v>
      </c>
      <c r="F2846" s="8">
        <f>F2836</f>
        <v>0</v>
      </c>
      <c r="G2846" s="8">
        <f>E2846+F2846</f>
        <v>946.1884</v>
      </c>
      <c r="H2846" s="3">
        <f>B2846*G2846</f>
        <v>58786.685292000002</v>
      </c>
      <c r="I2846" s="3">
        <f>C2846*G2846</f>
        <v>58900.227899999998</v>
      </c>
    </row>
    <row r="2847" spans="1:9" x14ac:dyDescent="0.25">
      <c r="A2847" t="s">
        <v>10</v>
      </c>
      <c r="B2847" s="1">
        <v>34.01</v>
      </c>
      <c r="C2847" s="1">
        <v>34.03</v>
      </c>
      <c r="D2847" s="2" t="s">
        <v>328</v>
      </c>
      <c r="E2847" s="8">
        <v>1730.1898000000001</v>
      </c>
      <c r="F2847" s="8">
        <f>F2837</f>
        <v>0.2</v>
      </c>
      <c r="G2847" s="8">
        <f>E2847+F2847</f>
        <v>1730.3898000000002</v>
      </c>
      <c r="H2847" s="3">
        <f>B2847*G2847</f>
        <v>58850.557098000005</v>
      </c>
      <c r="I2847" s="3">
        <f>C2847*G2847</f>
        <v>58885.164894000009</v>
      </c>
    </row>
    <row r="2848" spans="1:9" x14ac:dyDescent="0.25">
      <c r="A2848" t="s">
        <v>11</v>
      </c>
      <c r="B2848" s="1">
        <v>51.23</v>
      </c>
      <c r="C2848" s="1">
        <v>51.24</v>
      </c>
      <c r="D2848" s="2" t="s">
        <v>328</v>
      </c>
      <c r="E2848" s="8">
        <v>1148.9164000000001</v>
      </c>
      <c r="F2848" s="8">
        <f>F2838</f>
        <v>0.05</v>
      </c>
      <c r="G2848" s="8">
        <f>E2848+F2848</f>
        <v>1148.9664</v>
      </c>
      <c r="H2848" s="3">
        <f>B2848*G2848</f>
        <v>58861.548671999997</v>
      </c>
      <c r="I2848" s="3">
        <f>C2848*G2848</f>
        <v>58873.038336000005</v>
      </c>
    </row>
    <row r="2849" spans="1:9" x14ac:dyDescent="0.25">
      <c r="A2849" t="s">
        <v>12</v>
      </c>
      <c r="B2849" s="1">
        <v>45.66</v>
      </c>
      <c r="C2849" s="1">
        <v>45.67</v>
      </c>
      <c r="D2849" s="2" t="s">
        <v>328</v>
      </c>
      <c r="E2849" s="8">
        <v>1289.3855000000001</v>
      </c>
      <c r="F2849" s="8">
        <f>F2839</f>
        <v>0</v>
      </c>
      <c r="G2849" s="8">
        <f>E2849+F2849</f>
        <v>1289.3855000000001</v>
      </c>
      <c r="H2849" s="3">
        <f>B2849*G2849</f>
        <v>58873.341930000002</v>
      </c>
      <c r="I2849" s="3">
        <f>C2849*G2849</f>
        <v>58886.235785000004</v>
      </c>
    </row>
    <row r="2850" spans="1:9" x14ac:dyDescent="0.25">
      <c r="A2850" t="s">
        <v>13</v>
      </c>
      <c r="B2850" s="1">
        <v>16.649999999999999</v>
      </c>
      <c r="C2850" s="1">
        <v>16.66</v>
      </c>
      <c r="D2850" s="2" t="s">
        <v>328</v>
      </c>
      <c r="E2850" s="8">
        <v>3535.8029000000001</v>
      </c>
      <c r="F2850" s="8">
        <f>F2840</f>
        <v>0</v>
      </c>
      <c r="G2850" s="8">
        <f>E2850+F2850</f>
        <v>3535.8029000000001</v>
      </c>
      <c r="H2850" s="3">
        <f>B2850*G2850</f>
        <v>58871.118284999997</v>
      </c>
      <c r="I2850" s="3">
        <f>C2850*G2850</f>
        <v>58906.476314</v>
      </c>
    </row>
    <row r="2851" spans="1:9" x14ac:dyDescent="0.25">
      <c r="A2851" t="s">
        <v>14</v>
      </c>
      <c r="B2851" s="1">
        <v>33.340000000000003</v>
      </c>
      <c r="C2851" s="1">
        <v>33.35</v>
      </c>
      <c r="D2851" s="2" t="s">
        <v>328</v>
      </c>
      <c r="E2851" s="8">
        <v>1765.1560999999999</v>
      </c>
      <c r="F2851" s="8">
        <f>F2841</f>
        <v>0.2</v>
      </c>
      <c r="G2851" s="8">
        <f>E2851+F2851</f>
        <v>1765.3561</v>
      </c>
      <c r="H2851" s="3">
        <f>B2851*G2851</f>
        <v>58856.972374000004</v>
      </c>
      <c r="I2851" s="3">
        <f>C2851*G2851</f>
        <v>58874.625935000004</v>
      </c>
    </row>
    <row r="2852" spans="1:9" x14ac:dyDescent="0.25">
      <c r="A2852" t="s">
        <v>4</v>
      </c>
      <c r="B2852" s="1">
        <v>19.399999999999999</v>
      </c>
      <c r="C2852" s="1">
        <v>19.41</v>
      </c>
      <c r="D2852" s="2" t="s">
        <v>329</v>
      </c>
      <c r="E2852" s="8">
        <v>3015.0871999999999</v>
      </c>
      <c r="F2852" s="8">
        <f>F2842</f>
        <v>0</v>
      </c>
      <c r="G2852" s="8">
        <f>E2852+F2852</f>
        <v>3015.0871999999999</v>
      </c>
      <c r="H2852" s="3">
        <f>B2852*G2852</f>
        <v>58492.691679999996</v>
      </c>
      <c r="I2852" s="3">
        <f>C2852*G2852</f>
        <v>58522.842552000002</v>
      </c>
    </row>
    <row r="2853" spans="1:9" x14ac:dyDescent="0.25">
      <c r="A2853" t="s">
        <v>6</v>
      </c>
      <c r="B2853" s="1">
        <v>31.76</v>
      </c>
      <c r="C2853" s="1">
        <v>31.77</v>
      </c>
      <c r="D2853" s="2" t="s">
        <v>329</v>
      </c>
      <c r="E2853" s="8">
        <v>1842.2012999999999</v>
      </c>
      <c r="F2853" s="8">
        <f>F2843</f>
        <v>-0.1</v>
      </c>
      <c r="G2853" s="8">
        <f>E2853+F2853</f>
        <v>1842.1013</v>
      </c>
      <c r="H2853" s="3">
        <f>B2853*G2853</f>
        <v>58505.137288000005</v>
      </c>
      <c r="I2853" s="3">
        <f>C2853*G2853</f>
        <v>58523.558300999997</v>
      </c>
    </row>
    <row r="2854" spans="1:9" x14ac:dyDescent="0.25">
      <c r="A2854" t="s">
        <v>7</v>
      </c>
      <c r="B2854" s="1">
        <v>16.5</v>
      </c>
      <c r="C2854" s="1">
        <v>16.510000000000002</v>
      </c>
      <c r="D2854" s="2" t="s">
        <v>329</v>
      </c>
      <c r="E2854" s="8">
        <v>3546.7809000000002</v>
      </c>
      <c r="F2854" s="8">
        <f>F2844</f>
        <v>0</v>
      </c>
      <c r="G2854" s="8">
        <f>E2854+F2854</f>
        <v>3546.7809000000002</v>
      </c>
      <c r="H2854" s="3">
        <f>B2854*G2854</f>
        <v>58521.884850000002</v>
      </c>
      <c r="I2854" s="3">
        <f>C2854*G2854</f>
        <v>58557.352659000011</v>
      </c>
    </row>
    <row r="2855" spans="1:9" x14ac:dyDescent="0.25">
      <c r="A2855" t="s">
        <v>8</v>
      </c>
      <c r="B2855" s="1">
        <v>25.88</v>
      </c>
      <c r="C2855" s="1">
        <v>25.89</v>
      </c>
      <c r="D2855" s="2" t="s">
        <v>329</v>
      </c>
      <c r="E2855" s="8">
        <v>2261.4160000000002</v>
      </c>
      <c r="F2855" s="8">
        <f>F2845</f>
        <v>-0.2</v>
      </c>
      <c r="G2855" s="8">
        <f>E2855+F2855</f>
        <v>2261.2160000000003</v>
      </c>
      <c r="H2855" s="3">
        <f>B2855*G2855</f>
        <v>58520.270080000009</v>
      </c>
      <c r="I2855" s="3">
        <f>C2855*G2855</f>
        <v>58542.882240000014</v>
      </c>
    </row>
    <row r="2856" spans="1:9" x14ac:dyDescent="0.25">
      <c r="A2856" t="s">
        <v>9</v>
      </c>
      <c r="B2856" s="1">
        <v>61.79</v>
      </c>
      <c r="C2856" s="1">
        <v>61.92</v>
      </c>
      <c r="D2856" s="2" t="s">
        <v>329</v>
      </c>
      <c r="E2856" s="8">
        <v>946.1884</v>
      </c>
      <c r="F2856" s="8">
        <f>F2846</f>
        <v>0</v>
      </c>
      <c r="G2856" s="8">
        <f>E2856+F2856</f>
        <v>946.1884</v>
      </c>
      <c r="H2856" s="3">
        <f>B2856*G2856</f>
        <v>58464.981236</v>
      </c>
      <c r="I2856" s="3">
        <f>C2856*G2856</f>
        <v>58587.985728</v>
      </c>
    </row>
    <row r="2857" spans="1:9" x14ac:dyDescent="0.25">
      <c r="A2857" t="s">
        <v>10</v>
      </c>
      <c r="B2857" s="1">
        <v>33.799999999999997</v>
      </c>
      <c r="C2857" s="1">
        <v>33.840000000000003</v>
      </c>
      <c r="D2857" s="2" t="s">
        <v>329</v>
      </c>
      <c r="E2857" s="8">
        <v>1730.1898000000001</v>
      </c>
      <c r="F2857" s="8">
        <f>F2847</f>
        <v>0.2</v>
      </c>
      <c r="G2857" s="8">
        <f>E2857+F2857</f>
        <v>1730.3898000000002</v>
      </c>
      <c r="H2857" s="3">
        <f>B2857*G2857</f>
        <v>58487.175239999997</v>
      </c>
      <c r="I2857" s="3">
        <f>C2857*G2857</f>
        <v>58556.390832000012</v>
      </c>
    </row>
    <row r="2858" spans="1:9" x14ac:dyDescent="0.25">
      <c r="A2858" t="s">
        <v>11</v>
      </c>
      <c r="B2858" s="1">
        <v>50.92</v>
      </c>
      <c r="C2858" s="1">
        <v>50.93</v>
      </c>
      <c r="D2858" s="2" t="s">
        <v>329</v>
      </c>
      <c r="E2858" s="8">
        <v>1148.9164000000001</v>
      </c>
      <c r="F2858" s="8">
        <f>F2848</f>
        <v>0.05</v>
      </c>
      <c r="G2858" s="8">
        <f>E2858+F2858</f>
        <v>1148.9664</v>
      </c>
      <c r="H2858" s="3">
        <f>B2858*G2858</f>
        <v>58505.369087999999</v>
      </c>
      <c r="I2858" s="3">
        <f>C2858*G2858</f>
        <v>58516.858752</v>
      </c>
    </row>
    <row r="2859" spans="1:9" x14ac:dyDescent="0.25">
      <c r="A2859" t="s">
        <v>12</v>
      </c>
      <c r="B2859" s="1">
        <v>45.39</v>
      </c>
      <c r="C2859" s="1">
        <v>45.4</v>
      </c>
      <c r="D2859" s="2" t="s">
        <v>329</v>
      </c>
      <c r="E2859" s="8">
        <v>1289.3855000000001</v>
      </c>
      <c r="F2859" s="8">
        <f>F2849</f>
        <v>0</v>
      </c>
      <c r="G2859" s="8">
        <f>E2859+F2859</f>
        <v>1289.3855000000001</v>
      </c>
      <c r="H2859" s="3">
        <f>B2859*G2859</f>
        <v>58525.207845000004</v>
      </c>
      <c r="I2859" s="3">
        <f>C2859*G2859</f>
        <v>58538.101699999999</v>
      </c>
    </row>
    <row r="2860" spans="1:9" x14ac:dyDescent="0.25">
      <c r="A2860" t="s">
        <v>13</v>
      </c>
      <c r="B2860" s="1">
        <v>16.55</v>
      </c>
      <c r="C2860" s="1">
        <v>16.559999999999999</v>
      </c>
      <c r="D2860" s="2" t="s">
        <v>329</v>
      </c>
      <c r="E2860" s="8">
        <v>3535.8029000000001</v>
      </c>
      <c r="F2860" s="8">
        <f>F2850</f>
        <v>0</v>
      </c>
      <c r="G2860" s="8">
        <f>E2860+F2860</f>
        <v>3535.8029000000001</v>
      </c>
      <c r="H2860" s="3">
        <f>B2860*G2860</f>
        <v>58517.537995000006</v>
      </c>
      <c r="I2860" s="3">
        <f>C2860*G2860</f>
        <v>58552.896023999994</v>
      </c>
    </row>
    <row r="2861" spans="1:9" x14ac:dyDescent="0.25">
      <c r="A2861" t="s">
        <v>14</v>
      </c>
      <c r="B2861" s="1">
        <v>33.14</v>
      </c>
      <c r="C2861" s="1">
        <v>33.15</v>
      </c>
      <c r="D2861" s="2" t="s">
        <v>329</v>
      </c>
      <c r="E2861" s="8">
        <v>1765.1560999999999</v>
      </c>
      <c r="F2861" s="8">
        <f>F2851</f>
        <v>0.2</v>
      </c>
      <c r="G2861" s="8">
        <f>E2861+F2861</f>
        <v>1765.3561</v>
      </c>
      <c r="H2861" s="3">
        <f>B2861*G2861</f>
        <v>58503.901153999999</v>
      </c>
      <c r="I2861" s="3">
        <f>C2861*G2861</f>
        <v>58521.554714999998</v>
      </c>
    </row>
    <row r="2862" spans="1:9" x14ac:dyDescent="0.25">
      <c r="A2862" t="s">
        <v>4</v>
      </c>
      <c r="B2862" s="1">
        <v>19.27</v>
      </c>
      <c r="C2862" s="1">
        <v>19.28</v>
      </c>
      <c r="D2862" s="2" t="s">
        <v>330</v>
      </c>
      <c r="E2862" s="8">
        <v>3015.0871999999999</v>
      </c>
      <c r="F2862" s="8">
        <f>F2852</f>
        <v>0</v>
      </c>
      <c r="G2862" s="8">
        <f>E2862+F2862</f>
        <v>3015.0871999999999</v>
      </c>
      <c r="H2862" s="3">
        <f>B2862*G2862</f>
        <v>58100.730343999996</v>
      </c>
      <c r="I2862" s="3">
        <f>C2862*G2862</f>
        <v>58130.881216000002</v>
      </c>
    </row>
    <row r="2863" spans="1:9" x14ac:dyDescent="0.25">
      <c r="A2863" t="s">
        <v>6</v>
      </c>
      <c r="B2863" s="1">
        <v>31.55</v>
      </c>
      <c r="C2863" s="1">
        <v>31.56</v>
      </c>
      <c r="D2863" s="2" t="s">
        <v>330</v>
      </c>
      <c r="E2863" s="8">
        <v>1842.2012999999999</v>
      </c>
      <c r="F2863" s="8">
        <f>F2853</f>
        <v>-0.1</v>
      </c>
      <c r="G2863" s="8">
        <f>E2863+F2863</f>
        <v>1842.1013</v>
      </c>
      <c r="H2863" s="3">
        <f>B2863*G2863</f>
        <v>58118.296015</v>
      </c>
      <c r="I2863" s="3">
        <f>C2863*G2863</f>
        <v>58136.717027999999</v>
      </c>
    </row>
    <row r="2864" spans="1:9" x14ac:dyDescent="0.25">
      <c r="A2864" t="s">
        <v>7</v>
      </c>
      <c r="B2864" s="1">
        <v>16.38</v>
      </c>
      <c r="C2864" s="1">
        <v>16.39</v>
      </c>
      <c r="D2864" s="2" t="s">
        <v>330</v>
      </c>
      <c r="E2864" s="8">
        <v>3546.7809000000002</v>
      </c>
      <c r="F2864" s="8">
        <f>F2854</f>
        <v>0</v>
      </c>
      <c r="G2864" s="8">
        <f>E2864+F2864</f>
        <v>3546.7809000000002</v>
      </c>
      <c r="H2864" s="3">
        <f>B2864*G2864</f>
        <v>58096.271141999998</v>
      </c>
      <c r="I2864" s="3">
        <f>C2864*G2864</f>
        <v>58131.738951000007</v>
      </c>
    </row>
    <row r="2865" spans="1:9" x14ac:dyDescent="0.25">
      <c r="A2865" t="s">
        <v>8</v>
      </c>
      <c r="B2865" s="1">
        <v>25.7</v>
      </c>
      <c r="C2865" s="1">
        <v>25.71</v>
      </c>
      <c r="D2865" s="2" t="s">
        <v>330</v>
      </c>
      <c r="E2865" s="8">
        <v>2261.4160000000002</v>
      </c>
      <c r="F2865" s="8">
        <f>F2855</f>
        <v>-0.2</v>
      </c>
      <c r="G2865" s="8">
        <f>E2865+F2865</f>
        <v>2261.2160000000003</v>
      </c>
      <c r="H2865" s="3">
        <f>B2865*G2865</f>
        <v>58113.251200000006</v>
      </c>
      <c r="I2865" s="3">
        <f>C2865*G2865</f>
        <v>58135.86336000001</v>
      </c>
    </row>
    <row r="2866" spans="1:9" x14ac:dyDescent="0.25">
      <c r="A2866" t="s">
        <v>9</v>
      </c>
      <c r="B2866" s="1">
        <v>61.35</v>
      </c>
      <c r="C2866" s="1">
        <v>61.49</v>
      </c>
      <c r="D2866" s="2" t="s">
        <v>330</v>
      </c>
      <c r="E2866" s="8">
        <v>946.1884</v>
      </c>
      <c r="F2866" s="8">
        <f>F2856</f>
        <v>0</v>
      </c>
      <c r="G2866" s="8">
        <f>E2866+F2866</f>
        <v>946.1884</v>
      </c>
      <c r="H2866" s="3">
        <f>B2866*G2866</f>
        <v>58048.658340000002</v>
      </c>
      <c r="I2866" s="3">
        <f>C2866*G2866</f>
        <v>58181.124715999998</v>
      </c>
    </row>
    <row r="2867" spans="1:9" x14ac:dyDescent="0.25">
      <c r="A2867" t="s">
        <v>10</v>
      </c>
      <c r="B2867" s="1">
        <v>33.58</v>
      </c>
      <c r="C2867" s="1">
        <v>33.590000000000003</v>
      </c>
      <c r="D2867" s="2" t="s">
        <v>330</v>
      </c>
      <c r="E2867" s="8">
        <v>1730.1898000000001</v>
      </c>
      <c r="F2867" s="8">
        <f>F2857</f>
        <v>0.2</v>
      </c>
      <c r="G2867" s="8">
        <f>E2867+F2867</f>
        <v>1730.3898000000002</v>
      </c>
      <c r="H2867" s="3">
        <f>B2867*G2867</f>
        <v>58106.489484000005</v>
      </c>
      <c r="I2867" s="3">
        <f>C2867*G2867</f>
        <v>58123.793382000011</v>
      </c>
    </row>
    <row r="2868" spans="1:9" x14ac:dyDescent="0.25">
      <c r="A2868" t="s">
        <v>11</v>
      </c>
      <c r="B2868" s="1">
        <v>50.58</v>
      </c>
      <c r="C2868" s="1">
        <v>50.59</v>
      </c>
      <c r="D2868" s="2" t="s">
        <v>330</v>
      </c>
      <c r="E2868" s="8">
        <v>1148.9164000000001</v>
      </c>
      <c r="F2868" s="8">
        <f>F2858</f>
        <v>0.05</v>
      </c>
      <c r="G2868" s="8">
        <f>E2868+F2868</f>
        <v>1148.9664</v>
      </c>
      <c r="H2868" s="3">
        <f>B2868*G2868</f>
        <v>58114.720512</v>
      </c>
      <c r="I2868" s="3">
        <f>C2868*G2868</f>
        <v>58126.210176000008</v>
      </c>
    </row>
    <row r="2869" spans="1:9" x14ac:dyDescent="0.25">
      <c r="A2869" t="s">
        <v>12</v>
      </c>
      <c r="B2869" s="1">
        <v>45.08</v>
      </c>
      <c r="C2869" s="1">
        <v>45.09</v>
      </c>
      <c r="D2869" s="2" t="s">
        <v>330</v>
      </c>
      <c r="E2869" s="8">
        <v>1289.3855000000001</v>
      </c>
      <c r="F2869" s="8">
        <f>F2859</f>
        <v>0</v>
      </c>
      <c r="G2869" s="8">
        <f>E2869+F2869</f>
        <v>1289.3855000000001</v>
      </c>
      <c r="H2869" s="3">
        <f>B2869*G2869</f>
        <v>58125.498340000006</v>
      </c>
      <c r="I2869" s="3">
        <f>C2869*G2869</f>
        <v>58138.392195000008</v>
      </c>
    </row>
    <row r="2870" spans="1:9" x14ac:dyDescent="0.25">
      <c r="A2870" t="s">
        <v>13</v>
      </c>
      <c r="B2870" s="1">
        <v>16.440000000000001</v>
      </c>
      <c r="C2870" s="1">
        <v>16.45</v>
      </c>
      <c r="D2870" s="2" t="s">
        <v>330</v>
      </c>
      <c r="E2870" s="8">
        <v>3535.8029000000001</v>
      </c>
      <c r="F2870" s="8">
        <f>F2860</f>
        <v>0</v>
      </c>
      <c r="G2870" s="8">
        <f>E2870+F2870</f>
        <v>3535.8029000000001</v>
      </c>
      <c r="H2870" s="3">
        <f>B2870*G2870</f>
        <v>58128.599676000005</v>
      </c>
      <c r="I2870" s="3">
        <f>C2870*G2870</f>
        <v>58163.957705000001</v>
      </c>
    </row>
    <row r="2871" spans="1:9" x14ac:dyDescent="0.25">
      <c r="A2871" t="s">
        <v>14</v>
      </c>
      <c r="B2871" s="1">
        <v>32.909999999999997</v>
      </c>
      <c r="C2871" s="1">
        <v>32.92</v>
      </c>
      <c r="D2871" s="2" t="s">
        <v>330</v>
      </c>
      <c r="E2871" s="8">
        <v>1765.1560999999999</v>
      </c>
      <c r="F2871" s="8">
        <f>F2861</f>
        <v>0.2</v>
      </c>
      <c r="G2871" s="8">
        <f>E2871+F2871</f>
        <v>1765.3561</v>
      </c>
      <c r="H2871" s="3">
        <f>B2871*G2871</f>
        <v>58097.869250999996</v>
      </c>
      <c r="I2871" s="3">
        <f>C2871*G2871</f>
        <v>58115.522812000003</v>
      </c>
    </row>
    <row r="2872" spans="1:9" x14ac:dyDescent="0.25">
      <c r="A2872" t="s">
        <v>4</v>
      </c>
      <c r="B2872" s="1">
        <v>19.329999999999998</v>
      </c>
      <c r="C2872" s="1">
        <v>19.34</v>
      </c>
      <c r="D2872" s="2" t="s">
        <v>331</v>
      </c>
      <c r="E2872" s="8">
        <v>3015.0871999999999</v>
      </c>
      <c r="F2872" s="8">
        <f>F2862</f>
        <v>0</v>
      </c>
      <c r="G2872" s="8">
        <f>E2872+F2872</f>
        <v>3015.0871999999999</v>
      </c>
      <c r="H2872" s="3">
        <f>B2872*G2872</f>
        <v>58281.635575999993</v>
      </c>
      <c r="I2872" s="3">
        <f>C2872*G2872</f>
        <v>58311.786447999999</v>
      </c>
    </row>
    <row r="2873" spans="1:9" x14ac:dyDescent="0.25">
      <c r="A2873" t="s">
        <v>6</v>
      </c>
      <c r="B2873" s="1">
        <v>31.64</v>
      </c>
      <c r="C2873" s="1">
        <v>31.65</v>
      </c>
      <c r="D2873" s="2" t="s">
        <v>331</v>
      </c>
      <c r="E2873" s="8">
        <v>1842.2012999999999</v>
      </c>
      <c r="F2873" s="8">
        <f>F2863</f>
        <v>-0.1</v>
      </c>
      <c r="G2873" s="8">
        <f>E2873+F2873</f>
        <v>1842.1013</v>
      </c>
      <c r="H2873" s="3">
        <f>B2873*G2873</f>
        <v>58284.085132</v>
      </c>
      <c r="I2873" s="3">
        <f>C2873*G2873</f>
        <v>58302.506144999999</v>
      </c>
    </row>
    <row r="2874" spans="1:9" x14ac:dyDescent="0.25">
      <c r="A2874" t="s">
        <v>7</v>
      </c>
      <c r="B2874" s="1">
        <v>16.43</v>
      </c>
      <c r="C2874" s="1">
        <v>16.440000000000001</v>
      </c>
      <c r="D2874" s="2" t="s">
        <v>331</v>
      </c>
      <c r="E2874" s="8">
        <v>3546.7809000000002</v>
      </c>
      <c r="F2874" s="8">
        <f>F2864</f>
        <v>0</v>
      </c>
      <c r="G2874" s="8">
        <f>E2874+F2874</f>
        <v>3546.7809000000002</v>
      </c>
      <c r="H2874" s="3">
        <f>B2874*G2874</f>
        <v>58273.610187000006</v>
      </c>
      <c r="I2874" s="3">
        <f>C2874*G2874</f>
        <v>58309.077996000007</v>
      </c>
    </row>
    <row r="2875" spans="1:9" x14ac:dyDescent="0.25">
      <c r="A2875" t="s">
        <v>8</v>
      </c>
      <c r="B2875" s="1">
        <v>25.77</v>
      </c>
      <c r="C2875" s="1">
        <v>25.78</v>
      </c>
      <c r="D2875" s="2" t="s">
        <v>331</v>
      </c>
      <c r="E2875" s="8">
        <v>2261.4160000000002</v>
      </c>
      <c r="F2875" s="8">
        <f>F2865</f>
        <v>-0.2</v>
      </c>
      <c r="G2875" s="8">
        <f>E2875+F2875</f>
        <v>2261.2160000000003</v>
      </c>
      <c r="H2875" s="3">
        <f>B2875*G2875</f>
        <v>58271.536320000007</v>
      </c>
      <c r="I2875" s="3">
        <f>C2875*G2875</f>
        <v>58294.148480000011</v>
      </c>
    </row>
    <row r="2876" spans="1:9" x14ac:dyDescent="0.25">
      <c r="A2876" t="s">
        <v>9</v>
      </c>
      <c r="B2876" s="1">
        <v>61.53</v>
      </c>
      <c r="C2876" s="1">
        <v>61.63</v>
      </c>
      <c r="D2876" s="2" t="s">
        <v>331</v>
      </c>
      <c r="E2876" s="8">
        <v>946.1884</v>
      </c>
      <c r="F2876" s="8">
        <f>F2866</f>
        <v>0</v>
      </c>
      <c r="G2876" s="8">
        <f>E2876+F2876</f>
        <v>946.1884</v>
      </c>
      <c r="H2876" s="3">
        <f>B2876*G2876</f>
        <v>58218.972252</v>
      </c>
      <c r="I2876" s="3">
        <f>C2876*G2876</f>
        <v>58313.591092000002</v>
      </c>
    </row>
    <row r="2877" spans="1:9" x14ac:dyDescent="0.25">
      <c r="A2877" t="s">
        <v>10</v>
      </c>
      <c r="B2877" s="1">
        <v>33.67</v>
      </c>
      <c r="C2877" s="1">
        <v>33.69</v>
      </c>
      <c r="D2877" s="2" t="s">
        <v>331</v>
      </c>
      <c r="E2877" s="8">
        <v>1730.1898000000001</v>
      </c>
      <c r="F2877" s="8">
        <f>F2867</f>
        <v>0.2</v>
      </c>
      <c r="G2877" s="8">
        <f>E2877+F2877</f>
        <v>1730.3898000000002</v>
      </c>
      <c r="H2877" s="3">
        <f>B2877*G2877</f>
        <v>58262.224566000004</v>
      </c>
      <c r="I2877" s="3">
        <f>C2877*G2877</f>
        <v>58296.832362000001</v>
      </c>
    </row>
    <row r="2878" spans="1:9" x14ac:dyDescent="0.25">
      <c r="A2878" t="s">
        <v>11</v>
      </c>
      <c r="B2878" s="1">
        <v>50.71</v>
      </c>
      <c r="C2878" s="1">
        <v>50.72</v>
      </c>
      <c r="D2878" s="2" t="s">
        <v>331</v>
      </c>
      <c r="E2878" s="8">
        <v>1148.9164000000001</v>
      </c>
      <c r="F2878" s="8">
        <f>F2868</f>
        <v>0.05</v>
      </c>
      <c r="G2878" s="8">
        <f>E2878+F2878</f>
        <v>1148.9664</v>
      </c>
      <c r="H2878" s="3">
        <f>B2878*G2878</f>
        <v>58264.086144000001</v>
      </c>
      <c r="I2878" s="3">
        <f>C2878*G2878</f>
        <v>58275.575808000001</v>
      </c>
    </row>
    <row r="2879" spans="1:9" x14ac:dyDescent="0.25">
      <c r="A2879" t="s">
        <v>12</v>
      </c>
      <c r="B2879" s="1">
        <v>45.21</v>
      </c>
      <c r="C2879" s="1">
        <v>45.22</v>
      </c>
      <c r="D2879" s="2" t="s">
        <v>331</v>
      </c>
      <c r="E2879" s="8">
        <v>1289.3855000000001</v>
      </c>
      <c r="F2879" s="8">
        <f>F2869</f>
        <v>0</v>
      </c>
      <c r="G2879" s="8">
        <f>E2879+F2879</f>
        <v>1289.3855000000001</v>
      </c>
      <c r="H2879" s="3">
        <f>B2879*G2879</f>
        <v>58293.118455000003</v>
      </c>
      <c r="I2879" s="3">
        <f>C2879*G2879</f>
        <v>58306.012310000006</v>
      </c>
    </row>
    <row r="2880" spans="1:9" x14ac:dyDescent="0.25">
      <c r="A2880" t="s">
        <v>13</v>
      </c>
      <c r="B2880" s="1">
        <v>16.48</v>
      </c>
      <c r="C2880" s="1">
        <v>16.489999999999998</v>
      </c>
      <c r="D2880" s="2" t="s">
        <v>331</v>
      </c>
      <c r="E2880" s="8">
        <v>3535.8029000000001</v>
      </c>
      <c r="F2880" s="8">
        <f>F2870</f>
        <v>0</v>
      </c>
      <c r="G2880" s="8">
        <f>E2880+F2880</f>
        <v>3535.8029000000001</v>
      </c>
      <c r="H2880" s="3">
        <f>B2880*G2880</f>
        <v>58270.031792000002</v>
      </c>
      <c r="I2880" s="3">
        <f>C2880*G2880</f>
        <v>58305.389820999997</v>
      </c>
    </row>
    <row r="2881" spans="1:9" x14ac:dyDescent="0.25">
      <c r="A2881" t="s">
        <v>14</v>
      </c>
      <c r="B2881" s="1">
        <v>33</v>
      </c>
      <c r="C2881" s="1">
        <v>33.01</v>
      </c>
      <c r="D2881" s="2" t="s">
        <v>331</v>
      </c>
      <c r="E2881" s="8">
        <v>1765.1560999999999</v>
      </c>
      <c r="F2881" s="8">
        <f>F2871</f>
        <v>0.2</v>
      </c>
      <c r="G2881" s="8">
        <f>E2881+F2881</f>
        <v>1765.3561</v>
      </c>
      <c r="H2881" s="3">
        <f>B2881*G2881</f>
        <v>58256.751299999996</v>
      </c>
      <c r="I2881" s="3">
        <f>C2881*G2881</f>
        <v>58274.404860999995</v>
      </c>
    </row>
    <row r="2882" spans="1:9" x14ac:dyDescent="0.25">
      <c r="A2882" t="s">
        <v>4</v>
      </c>
      <c r="B2882" s="1">
        <v>19.34</v>
      </c>
      <c r="C2882" s="1">
        <v>19.350000000000001</v>
      </c>
      <c r="D2882" s="2" t="s">
        <v>332</v>
      </c>
      <c r="E2882" s="8">
        <v>3015.0871999999999</v>
      </c>
      <c r="F2882" s="8">
        <f>F2872</f>
        <v>0</v>
      </c>
      <c r="G2882" s="8">
        <f>E2882+F2882</f>
        <v>3015.0871999999999</v>
      </c>
      <c r="H2882" s="3">
        <f>B2882*G2882</f>
        <v>58311.786447999999</v>
      </c>
      <c r="I2882" s="3">
        <f>C2882*G2882</f>
        <v>58341.937320000005</v>
      </c>
    </row>
    <row r="2883" spans="1:9" x14ac:dyDescent="0.25">
      <c r="A2883" t="s">
        <v>6</v>
      </c>
      <c r="B2883" s="1">
        <v>31.66</v>
      </c>
      <c r="C2883" s="1">
        <v>31.67</v>
      </c>
      <c r="D2883" s="2" t="s">
        <v>332</v>
      </c>
      <c r="E2883" s="8">
        <v>1842.2012999999999</v>
      </c>
      <c r="F2883" s="8">
        <f>F2873</f>
        <v>-0.1</v>
      </c>
      <c r="G2883" s="8">
        <f>E2883+F2883</f>
        <v>1842.1013</v>
      </c>
      <c r="H2883" s="3">
        <f>B2883*G2883</f>
        <v>58320.927157999999</v>
      </c>
      <c r="I2883" s="3">
        <f>C2883*G2883</f>
        <v>58339.348171000005</v>
      </c>
    </row>
    <row r="2884" spans="1:9" x14ac:dyDescent="0.25">
      <c r="A2884" t="s">
        <v>7</v>
      </c>
      <c r="B2884" s="1">
        <v>16.440000000000001</v>
      </c>
      <c r="C2884" s="1">
        <v>16.45</v>
      </c>
      <c r="D2884" s="2" t="s">
        <v>332</v>
      </c>
      <c r="E2884" s="8">
        <v>3546.7809000000002</v>
      </c>
      <c r="F2884" s="8">
        <f>F2874</f>
        <v>0</v>
      </c>
      <c r="G2884" s="8">
        <f>E2884+F2884</f>
        <v>3546.7809000000002</v>
      </c>
      <c r="H2884" s="3">
        <f>B2884*G2884</f>
        <v>58309.077996000007</v>
      </c>
      <c r="I2884" s="3">
        <f>C2884*G2884</f>
        <v>58344.545805000002</v>
      </c>
    </row>
    <row r="2885" spans="1:9" x14ac:dyDescent="0.25">
      <c r="A2885" t="s">
        <v>8</v>
      </c>
      <c r="B2885" s="1">
        <v>25.79</v>
      </c>
      <c r="C2885" s="1">
        <v>25.8</v>
      </c>
      <c r="D2885" s="2" t="s">
        <v>332</v>
      </c>
      <c r="E2885" s="8">
        <v>2261.4160000000002</v>
      </c>
      <c r="F2885" s="8">
        <f>F2875</f>
        <v>-0.2</v>
      </c>
      <c r="G2885" s="8">
        <f>E2885+F2885</f>
        <v>2261.2160000000003</v>
      </c>
      <c r="H2885" s="3">
        <f>B2885*G2885</f>
        <v>58316.760640000008</v>
      </c>
      <c r="I2885" s="3">
        <f>C2885*G2885</f>
        <v>58339.372800000012</v>
      </c>
    </row>
    <row r="2886" spans="1:9" x14ac:dyDescent="0.25">
      <c r="A2886" t="s">
        <v>9</v>
      </c>
      <c r="B2886" s="1">
        <v>61.57</v>
      </c>
      <c r="C2886" s="1">
        <v>61.65</v>
      </c>
      <c r="D2886" s="2" t="s">
        <v>332</v>
      </c>
      <c r="E2886" s="8">
        <v>946.1884</v>
      </c>
      <c r="F2886" s="8">
        <f>F2876</f>
        <v>0</v>
      </c>
      <c r="G2886" s="8">
        <f>E2886+F2886</f>
        <v>946.1884</v>
      </c>
      <c r="H2886" s="3">
        <f>B2886*G2886</f>
        <v>58256.819788000001</v>
      </c>
      <c r="I2886" s="3">
        <f>C2886*G2886</f>
        <v>58332.514859999996</v>
      </c>
    </row>
    <row r="2887" spans="1:9" x14ac:dyDescent="0.25">
      <c r="A2887" t="s">
        <v>10</v>
      </c>
      <c r="B2887" s="1">
        <v>33.69</v>
      </c>
      <c r="C2887" s="1">
        <v>33.72</v>
      </c>
      <c r="D2887" s="2" t="s">
        <v>332</v>
      </c>
      <c r="E2887" s="8">
        <v>1730.1898000000001</v>
      </c>
      <c r="F2887" s="8">
        <f>F2877</f>
        <v>0.2</v>
      </c>
      <c r="G2887" s="8">
        <f>E2887+F2887</f>
        <v>1730.3898000000002</v>
      </c>
      <c r="H2887" s="3">
        <f>B2887*G2887</f>
        <v>58296.832362000001</v>
      </c>
      <c r="I2887" s="3">
        <f>C2887*G2887</f>
        <v>58348.744056000003</v>
      </c>
    </row>
    <row r="2888" spans="1:9" x14ac:dyDescent="0.25">
      <c r="A2888" t="s">
        <v>11</v>
      </c>
      <c r="B2888" s="1">
        <v>50.76</v>
      </c>
      <c r="C2888" s="1">
        <v>50.77</v>
      </c>
      <c r="D2888" s="2" t="s">
        <v>332</v>
      </c>
      <c r="E2888" s="8">
        <v>1148.9164000000001</v>
      </c>
      <c r="F2888" s="8">
        <f>F2878</f>
        <v>0.05</v>
      </c>
      <c r="G2888" s="8">
        <f>E2888+F2888</f>
        <v>1148.9664</v>
      </c>
      <c r="H2888" s="3">
        <f>B2888*G2888</f>
        <v>58321.534463999997</v>
      </c>
      <c r="I2888" s="3">
        <f>C2888*G2888</f>
        <v>58333.024128000005</v>
      </c>
    </row>
    <row r="2889" spans="1:9" x14ac:dyDescent="0.25">
      <c r="A2889" t="s">
        <v>12</v>
      </c>
      <c r="B2889" s="1">
        <v>45.24</v>
      </c>
      <c r="C2889" s="1">
        <v>45.25</v>
      </c>
      <c r="D2889" s="2" t="s">
        <v>332</v>
      </c>
      <c r="E2889" s="8">
        <v>1289.3855000000001</v>
      </c>
      <c r="F2889" s="8">
        <f>F2879</f>
        <v>0</v>
      </c>
      <c r="G2889" s="8">
        <f>E2889+F2889</f>
        <v>1289.3855000000001</v>
      </c>
      <c r="H2889" s="3">
        <f>B2889*G2889</f>
        <v>58331.80002000001</v>
      </c>
      <c r="I2889" s="3">
        <f>C2889*G2889</f>
        <v>58344.693875000004</v>
      </c>
    </row>
    <row r="2890" spans="1:9" x14ac:dyDescent="0.25">
      <c r="A2890" t="s">
        <v>13</v>
      </c>
      <c r="B2890" s="1">
        <v>16.489999999999998</v>
      </c>
      <c r="C2890" s="1">
        <v>16.5</v>
      </c>
      <c r="D2890" s="2" t="s">
        <v>332</v>
      </c>
      <c r="E2890" s="8">
        <v>3535.8029000000001</v>
      </c>
      <c r="F2890" s="8">
        <f>F2880</f>
        <v>0</v>
      </c>
      <c r="G2890" s="8">
        <f>E2890+F2890</f>
        <v>3535.8029000000001</v>
      </c>
      <c r="H2890" s="3">
        <f>B2890*G2890</f>
        <v>58305.389820999997</v>
      </c>
      <c r="I2890" s="3">
        <f>C2890*G2890</f>
        <v>58340.74785</v>
      </c>
    </row>
    <row r="2891" spans="1:9" x14ac:dyDescent="0.25">
      <c r="A2891" t="s">
        <v>14</v>
      </c>
      <c r="B2891" s="1">
        <v>33.03</v>
      </c>
      <c r="C2891" s="1">
        <v>33.04</v>
      </c>
      <c r="D2891" s="2" t="s">
        <v>332</v>
      </c>
      <c r="E2891" s="8">
        <v>1765.1560999999999</v>
      </c>
      <c r="F2891" s="8">
        <f>F2881</f>
        <v>0.2</v>
      </c>
      <c r="G2891" s="8">
        <f>E2891+F2891</f>
        <v>1765.3561</v>
      </c>
      <c r="H2891" s="3">
        <f>B2891*G2891</f>
        <v>58309.711983000001</v>
      </c>
      <c r="I2891" s="3">
        <f>C2891*G2891</f>
        <v>58327.365544</v>
      </c>
    </row>
    <row r="2892" spans="1:9" x14ac:dyDescent="0.25">
      <c r="A2892" t="s">
        <v>4</v>
      </c>
      <c r="B2892" s="1">
        <v>19.399999999999999</v>
      </c>
      <c r="C2892" s="1">
        <v>19.41</v>
      </c>
      <c r="D2892" s="2" t="s">
        <v>333</v>
      </c>
      <c r="E2892" s="8">
        <v>3015.0871999999999</v>
      </c>
      <c r="F2892" s="8">
        <f>F2882</f>
        <v>0</v>
      </c>
      <c r="G2892" s="8">
        <f>E2892+F2892</f>
        <v>3015.0871999999999</v>
      </c>
      <c r="H2892" s="3">
        <f>B2892*G2892</f>
        <v>58492.691679999996</v>
      </c>
      <c r="I2892" s="3">
        <f>C2892*G2892</f>
        <v>58522.842552000002</v>
      </c>
    </row>
    <row r="2893" spans="1:9" x14ac:dyDescent="0.25">
      <c r="A2893" t="s">
        <v>6</v>
      </c>
      <c r="B2893" s="1">
        <v>31.76</v>
      </c>
      <c r="C2893" s="1">
        <v>31.77</v>
      </c>
      <c r="D2893" s="2" t="s">
        <v>333</v>
      </c>
      <c r="E2893" s="8">
        <v>1842.2012999999999</v>
      </c>
      <c r="F2893" s="8">
        <f>F2883</f>
        <v>-0.1</v>
      </c>
      <c r="G2893" s="8">
        <f>E2893+F2893</f>
        <v>1842.1013</v>
      </c>
      <c r="H2893" s="3">
        <f>B2893*G2893</f>
        <v>58505.137288000005</v>
      </c>
      <c r="I2893" s="3">
        <f>C2893*G2893</f>
        <v>58523.558300999997</v>
      </c>
    </row>
    <row r="2894" spans="1:9" x14ac:dyDescent="0.25">
      <c r="A2894" t="s">
        <v>7</v>
      </c>
      <c r="B2894" s="1">
        <v>16.489999999999998</v>
      </c>
      <c r="C2894" s="1">
        <v>16.5</v>
      </c>
      <c r="D2894" s="2" t="s">
        <v>333</v>
      </c>
      <c r="E2894" s="8">
        <v>3546.7809000000002</v>
      </c>
      <c r="F2894" s="8">
        <f>F2884</f>
        <v>0</v>
      </c>
      <c r="G2894" s="8">
        <f>E2894+F2894</f>
        <v>3546.7809000000002</v>
      </c>
      <c r="H2894" s="3">
        <f>B2894*G2894</f>
        <v>58486.417041000001</v>
      </c>
      <c r="I2894" s="3">
        <f>C2894*G2894</f>
        <v>58521.884850000002</v>
      </c>
    </row>
    <row r="2895" spans="1:9" x14ac:dyDescent="0.25">
      <c r="A2895" t="s">
        <v>8</v>
      </c>
      <c r="B2895" s="1">
        <v>25.87</v>
      </c>
      <c r="C2895" s="1">
        <v>25.88</v>
      </c>
      <c r="D2895" s="2" t="s">
        <v>333</v>
      </c>
      <c r="E2895" s="8">
        <v>2261.4160000000002</v>
      </c>
      <c r="F2895" s="8">
        <f>F2885</f>
        <v>-0.2</v>
      </c>
      <c r="G2895" s="8">
        <f>E2895+F2895</f>
        <v>2261.2160000000003</v>
      </c>
      <c r="H2895" s="3">
        <f>B2895*G2895</f>
        <v>58497.657920000012</v>
      </c>
      <c r="I2895" s="3">
        <f>C2895*G2895</f>
        <v>58520.270080000009</v>
      </c>
    </row>
    <row r="2896" spans="1:9" x14ac:dyDescent="0.25">
      <c r="A2896" t="s">
        <v>9</v>
      </c>
      <c r="B2896" s="1">
        <v>61.77</v>
      </c>
      <c r="C2896" s="1">
        <v>61.88</v>
      </c>
      <c r="D2896" s="2" t="s">
        <v>333</v>
      </c>
      <c r="E2896" s="8">
        <v>946.1884</v>
      </c>
      <c r="F2896" s="8">
        <f>F2886</f>
        <v>0</v>
      </c>
      <c r="G2896" s="8">
        <f>E2896+F2896</f>
        <v>946.1884</v>
      </c>
      <c r="H2896" s="3">
        <f>B2896*G2896</f>
        <v>58446.057468000006</v>
      </c>
      <c r="I2896" s="3">
        <f>C2896*G2896</f>
        <v>58550.138192000006</v>
      </c>
    </row>
    <row r="2897" spans="1:9" x14ac:dyDescent="0.25">
      <c r="A2897" t="s">
        <v>10</v>
      </c>
      <c r="B2897" s="1">
        <v>33.799999999999997</v>
      </c>
      <c r="C2897" s="1">
        <v>33.82</v>
      </c>
      <c r="D2897" s="2" t="s">
        <v>333</v>
      </c>
      <c r="E2897" s="8">
        <v>1730.1898000000001</v>
      </c>
      <c r="F2897" s="8">
        <f>F2887</f>
        <v>0.2</v>
      </c>
      <c r="G2897" s="8">
        <f>E2897+F2897</f>
        <v>1730.3898000000002</v>
      </c>
      <c r="H2897" s="3">
        <f>B2897*G2897</f>
        <v>58487.175239999997</v>
      </c>
      <c r="I2897" s="3">
        <f>C2897*G2897</f>
        <v>58521.783036000008</v>
      </c>
    </row>
    <row r="2898" spans="1:9" x14ac:dyDescent="0.25">
      <c r="A2898" t="s">
        <v>11</v>
      </c>
      <c r="B2898" s="1">
        <v>50.91</v>
      </c>
      <c r="C2898" s="1">
        <v>50.92</v>
      </c>
      <c r="D2898" s="2" t="s">
        <v>333</v>
      </c>
      <c r="E2898" s="8">
        <v>1148.9164000000001</v>
      </c>
      <c r="F2898" s="8">
        <f>F2888</f>
        <v>0.05</v>
      </c>
      <c r="G2898" s="8">
        <f>E2898+F2898</f>
        <v>1148.9664</v>
      </c>
      <c r="H2898" s="3">
        <f>B2898*G2898</f>
        <v>58493.879423999999</v>
      </c>
      <c r="I2898" s="3">
        <f>C2898*G2898</f>
        <v>58505.369087999999</v>
      </c>
    </row>
    <row r="2899" spans="1:9" x14ac:dyDescent="0.25">
      <c r="A2899" t="s">
        <v>12</v>
      </c>
      <c r="B2899" s="1">
        <v>45.37</v>
      </c>
      <c r="C2899" s="1">
        <v>45.38</v>
      </c>
      <c r="D2899" s="2" t="s">
        <v>333</v>
      </c>
      <c r="E2899" s="8">
        <v>1289.3855000000001</v>
      </c>
      <c r="F2899" s="8">
        <f>F2889</f>
        <v>0</v>
      </c>
      <c r="G2899" s="8">
        <f>E2899+F2899</f>
        <v>1289.3855000000001</v>
      </c>
      <c r="H2899" s="3">
        <f>B2899*G2899</f>
        <v>58499.420135</v>
      </c>
      <c r="I2899" s="3">
        <f>C2899*G2899</f>
        <v>58512.31399000001</v>
      </c>
    </row>
    <row r="2900" spans="1:9" x14ac:dyDescent="0.25">
      <c r="A2900" t="s">
        <v>13</v>
      </c>
      <c r="B2900" s="1">
        <v>16.54</v>
      </c>
      <c r="C2900" s="1">
        <v>16.55</v>
      </c>
      <c r="D2900" s="2" t="s">
        <v>333</v>
      </c>
      <c r="E2900" s="8">
        <v>3535.8029000000001</v>
      </c>
      <c r="F2900" s="8">
        <f>F2890</f>
        <v>0</v>
      </c>
      <c r="G2900" s="8">
        <f>E2900+F2900</f>
        <v>3535.8029000000001</v>
      </c>
      <c r="H2900" s="3">
        <f>B2900*G2900</f>
        <v>58482.179965999996</v>
      </c>
      <c r="I2900" s="3">
        <f>C2900*G2900</f>
        <v>58517.537995000006</v>
      </c>
    </row>
    <row r="2901" spans="1:9" x14ac:dyDescent="0.25">
      <c r="A2901" t="s">
        <v>14</v>
      </c>
      <c r="B2901" s="1">
        <v>33.130000000000003</v>
      </c>
      <c r="C2901" s="1">
        <v>33.14</v>
      </c>
      <c r="D2901" s="2" t="s">
        <v>333</v>
      </c>
      <c r="E2901" s="8">
        <v>1765.1560999999999</v>
      </c>
      <c r="F2901" s="8">
        <f>F2891</f>
        <v>0.2</v>
      </c>
      <c r="G2901" s="8">
        <f>E2901+F2901</f>
        <v>1765.3561</v>
      </c>
      <c r="H2901" s="3">
        <f>B2901*G2901</f>
        <v>58486.247593</v>
      </c>
      <c r="I2901" s="3">
        <f>C2901*G2901</f>
        <v>58503.901153999999</v>
      </c>
    </row>
    <row r="2902" spans="1:9" x14ac:dyDescent="0.25">
      <c r="A2902" t="s">
        <v>4</v>
      </c>
      <c r="B2902" s="1">
        <v>19.43</v>
      </c>
      <c r="C2902" s="1">
        <v>19.440000000000001</v>
      </c>
      <c r="D2902" s="2" t="s">
        <v>334</v>
      </c>
      <c r="E2902" s="8">
        <v>3015.0871999999999</v>
      </c>
      <c r="F2902" s="8">
        <f>F2892</f>
        <v>0</v>
      </c>
      <c r="G2902" s="8">
        <f>E2902+F2902</f>
        <v>3015.0871999999999</v>
      </c>
      <c r="H2902" s="3">
        <f>B2902*G2902</f>
        <v>58583.144295999999</v>
      </c>
      <c r="I2902" s="3">
        <f>C2902*G2902</f>
        <v>58613.295168000004</v>
      </c>
    </row>
    <row r="2903" spans="1:9" x14ac:dyDescent="0.25">
      <c r="A2903" t="s">
        <v>6</v>
      </c>
      <c r="B2903" s="1">
        <v>31.81</v>
      </c>
      <c r="C2903" s="1">
        <v>31.82</v>
      </c>
      <c r="D2903" s="2" t="s">
        <v>334</v>
      </c>
      <c r="E2903" s="8">
        <v>1842.2012999999999</v>
      </c>
      <c r="F2903" s="8">
        <f>F2893</f>
        <v>-0.1</v>
      </c>
      <c r="G2903" s="8">
        <f>E2903+F2903</f>
        <v>1842.1013</v>
      </c>
      <c r="H2903" s="3">
        <f>B2903*G2903</f>
        <v>58597.242353000001</v>
      </c>
      <c r="I2903" s="3">
        <f>C2903*G2903</f>
        <v>58615.663366000001</v>
      </c>
    </row>
    <row r="2904" spans="1:9" x14ac:dyDescent="0.25">
      <c r="A2904" t="s">
        <v>7</v>
      </c>
      <c r="B2904" s="1">
        <v>16.52</v>
      </c>
      <c r="C2904" s="1">
        <v>16.53</v>
      </c>
      <c r="D2904" s="2" t="s">
        <v>334</v>
      </c>
      <c r="E2904" s="8">
        <v>3546.7809000000002</v>
      </c>
      <c r="F2904" s="8">
        <f>F2894</f>
        <v>0</v>
      </c>
      <c r="G2904" s="8">
        <f>E2904+F2904</f>
        <v>3546.7809000000002</v>
      </c>
      <c r="H2904" s="3">
        <f>B2904*G2904</f>
        <v>58592.820468000005</v>
      </c>
      <c r="I2904" s="3">
        <f>C2904*G2904</f>
        <v>58628.288277000007</v>
      </c>
    </row>
    <row r="2905" spans="1:9" x14ac:dyDescent="0.25">
      <c r="A2905" t="s">
        <v>8</v>
      </c>
      <c r="B2905" s="1">
        <v>25.91</v>
      </c>
      <c r="C2905" s="1">
        <v>25.92</v>
      </c>
      <c r="D2905" s="2" t="s">
        <v>334</v>
      </c>
      <c r="E2905" s="8">
        <v>2261.4160000000002</v>
      </c>
      <c r="F2905" s="8">
        <f>F2895</f>
        <v>-0.2</v>
      </c>
      <c r="G2905" s="8">
        <f>E2905+F2905</f>
        <v>2261.2160000000003</v>
      </c>
      <c r="H2905" s="3">
        <f>B2905*G2905</f>
        <v>58588.106560000007</v>
      </c>
      <c r="I2905" s="3">
        <f>C2905*G2905</f>
        <v>58610.718720000012</v>
      </c>
    </row>
    <row r="2906" spans="1:9" x14ac:dyDescent="0.25">
      <c r="A2906" t="s">
        <v>9</v>
      </c>
      <c r="B2906" s="1">
        <v>61.85</v>
      </c>
      <c r="C2906" s="1">
        <v>61.95</v>
      </c>
      <c r="D2906" s="2" t="s">
        <v>334</v>
      </c>
      <c r="E2906" s="8">
        <v>946.1884</v>
      </c>
      <c r="F2906" s="8">
        <f>F2896</f>
        <v>0</v>
      </c>
      <c r="G2906" s="8">
        <f>E2906+F2906</f>
        <v>946.1884</v>
      </c>
      <c r="H2906" s="3">
        <f>B2906*G2906</f>
        <v>58521.752540000001</v>
      </c>
      <c r="I2906" s="3">
        <f>C2906*G2906</f>
        <v>58616.371380000004</v>
      </c>
    </row>
    <row r="2907" spans="1:9" x14ac:dyDescent="0.25">
      <c r="A2907" t="s">
        <v>10</v>
      </c>
      <c r="B2907" s="1">
        <v>33.85</v>
      </c>
      <c r="C2907" s="1">
        <v>33.880000000000003</v>
      </c>
      <c r="D2907" s="2" t="s">
        <v>334</v>
      </c>
      <c r="E2907" s="8">
        <v>1730.1898000000001</v>
      </c>
      <c r="F2907" s="8">
        <f>F2897</f>
        <v>0.2</v>
      </c>
      <c r="G2907" s="8">
        <f>E2907+F2907</f>
        <v>1730.3898000000002</v>
      </c>
      <c r="H2907" s="3">
        <f>B2907*G2907</f>
        <v>58573.69473000001</v>
      </c>
      <c r="I2907" s="3">
        <f>C2907*G2907</f>
        <v>58625.606424000012</v>
      </c>
    </row>
    <row r="2908" spans="1:9" x14ac:dyDescent="0.25">
      <c r="A2908" t="s">
        <v>11</v>
      </c>
      <c r="B2908" s="1">
        <v>51</v>
      </c>
      <c r="C2908" s="1">
        <v>51.01</v>
      </c>
      <c r="D2908" s="2" t="s">
        <v>334</v>
      </c>
      <c r="E2908" s="8">
        <v>1148.9164000000001</v>
      </c>
      <c r="F2908" s="8">
        <f>F2898</f>
        <v>0.05</v>
      </c>
      <c r="G2908" s="8">
        <f>E2908+F2908</f>
        <v>1148.9664</v>
      </c>
      <c r="H2908" s="3">
        <f>B2908*G2908</f>
        <v>58597.286400000005</v>
      </c>
      <c r="I2908" s="3">
        <f>C2908*G2908</f>
        <v>58608.776063999998</v>
      </c>
    </row>
    <row r="2909" spans="1:9" x14ac:dyDescent="0.25">
      <c r="A2909" t="s">
        <v>12</v>
      </c>
      <c r="B2909" s="1">
        <v>45.45</v>
      </c>
      <c r="C2909" s="1">
        <v>45.46</v>
      </c>
      <c r="D2909" s="2" t="s">
        <v>334</v>
      </c>
      <c r="E2909" s="8">
        <v>1289.3855000000001</v>
      </c>
      <c r="F2909" s="8">
        <f>F2899</f>
        <v>0</v>
      </c>
      <c r="G2909" s="8">
        <f>E2909+F2909</f>
        <v>1289.3855000000001</v>
      </c>
      <c r="H2909" s="3">
        <f>B2909*G2909</f>
        <v>58602.57097500001</v>
      </c>
      <c r="I2909" s="3">
        <f>C2909*G2909</f>
        <v>58615.464830000004</v>
      </c>
    </row>
    <row r="2910" spans="1:9" x14ac:dyDescent="0.25">
      <c r="A2910" t="s">
        <v>13</v>
      </c>
      <c r="B2910" s="1">
        <v>16.57</v>
      </c>
      <c r="C2910" s="1">
        <v>16.579999999999998</v>
      </c>
      <c r="D2910" s="2" t="s">
        <v>334</v>
      </c>
      <c r="E2910" s="8">
        <v>3535.8029000000001</v>
      </c>
      <c r="F2910" s="8">
        <f>F2900</f>
        <v>0</v>
      </c>
      <c r="G2910" s="8">
        <f>E2910+F2910</f>
        <v>3535.8029000000001</v>
      </c>
      <c r="H2910" s="3">
        <f>B2910*G2910</f>
        <v>58588.254053000004</v>
      </c>
      <c r="I2910" s="3">
        <f>C2910*G2910</f>
        <v>58623.612082</v>
      </c>
    </row>
    <row r="2911" spans="1:9" x14ac:dyDescent="0.25">
      <c r="A2911" t="s">
        <v>14</v>
      </c>
      <c r="B2911" s="1">
        <v>33.19</v>
      </c>
      <c r="C2911" s="1">
        <v>33.200000000000003</v>
      </c>
      <c r="D2911" s="2" t="s">
        <v>334</v>
      </c>
      <c r="E2911" s="8">
        <v>1765.1560999999999</v>
      </c>
      <c r="F2911" s="8">
        <f>F2901</f>
        <v>0.2</v>
      </c>
      <c r="G2911" s="8">
        <f>E2911+F2911</f>
        <v>1765.3561</v>
      </c>
      <c r="H2911" s="3">
        <f>B2911*G2911</f>
        <v>58592.168958999995</v>
      </c>
      <c r="I2911" s="3">
        <f>C2911*G2911</f>
        <v>58609.822520000002</v>
      </c>
    </row>
    <row r="2912" spans="1:9" x14ac:dyDescent="0.25">
      <c r="A2912" t="s">
        <v>4</v>
      </c>
      <c r="B2912" s="1">
        <v>19.440000000000001</v>
      </c>
      <c r="C2912" s="1">
        <v>19.45</v>
      </c>
      <c r="D2912" s="2" t="s">
        <v>335</v>
      </c>
      <c r="E2912" s="8">
        <v>3015.0871999999999</v>
      </c>
      <c r="F2912" s="8">
        <f>F2902</f>
        <v>0</v>
      </c>
      <c r="G2912" s="8">
        <f>E2912+F2912</f>
        <v>3015.0871999999999</v>
      </c>
      <c r="H2912" s="3">
        <f>B2912*G2912</f>
        <v>58613.295168000004</v>
      </c>
      <c r="I2912" s="3">
        <f>C2912*G2912</f>
        <v>58643.446039999995</v>
      </c>
    </row>
    <row r="2913" spans="1:9" x14ac:dyDescent="0.25">
      <c r="A2913" t="s">
        <v>6</v>
      </c>
      <c r="B2913" s="1">
        <v>31.82</v>
      </c>
      <c r="C2913" s="1">
        <v>31.83</v>
      </c>
      <c r="D2913" s="2" t="s">
        <v>335</v>
      </c>
      <c r="E2913" s="8">
        <v>1842.2012999999999</v>
      </c>
      <c r="F2913" s="8">
        <f>F2903</f>
        <v>-0.1</v>
      </c>
      <c r="G2913" s="8">
        <f>E2913+F2913</f>
        <v>1842.1013</v>
      </c>
      <c r="H2913" s="3">
        <f>B2913*G2913</f>
        <v>58615.663366000001</v>
      </c>
      <c r="I2913" s="3">
        <f>C2913*G2913</f>
        <v>58634.084379</v>
      </c>
    </row>
    <row r="2914" spans="1:9" x14ac:dyDescent="0.25">
      <c r="A2914" t="s">
        <v>7</v>
      </c>
      <c r="B2914" s="1">
        <v>16.53</v>
      </c>
      <c r="C2914" s="1">
        <v>16.54</v>
      </c>
      <c r="D2914" s="2" t="s">
        <v>335</v>
      </c>
      <c r="E2914" s="8">
        <v>3546.7809000000002</v>
      </c>
      <c r="F2914" s="8">
        <f>F2904</f>
        <v>0</v>
      </c>
      <c r="G2914" s="8">
        <f>E2914+F2914</f>
        <v>3546.7809000000002</v>
      </c>
      <c r="H2914" s="3">
        <f>B2914*G2914</f>
        <v>58628.288277000007</v>
      </c>
      <c r="I2914" s="3">
        <f>C2914*G2914</f>
        <v>58663.756086000001</v>
      </c>
    </row>
    <row r="2915" spans="1:9" x14ac:dyDescent="0.25">
      <c r="A2915" t="s">
        <v>8</v>
      </c>
      <c r="B2915" s="1">
        <v>25.92</v>
      </c>
      <c r="C2915" s="1">
        <v>25.93</v>
      </c>
      <c r="D2915" s="2" t="s">
        <v>335</v>
      </c>
      <c r="E2915" s="8">
        <v>2261.4160000000002</v>
      </c>
      <c r="F2915" s="8">
        <f>F2905</f>
        <v>-0.2</v>
      </c>
      <c r="G2915" s="8">
        <f>E2915+F2915</f>
        <v>2261.2160000000003</v>
      </c>
      <c r="H2915" s="3">
        <f>B2915*G2915</f>
        <v>58610.718720000012</v>
      </c>
      <c r="I2915" s="3">
        <f>C2915*G2915</f>
        <v>58633.330880000009</v>
      </c>
    </row>
    <row r="2916" spans="1:9" x14ac:dyDescent="0.25">
      <c r="A2916" t="s">
        <v>9</v>
      </c>
      <c r="B2916" s="1">
        <v>61.91</v>
      </c>
      <c r="C2916" s="1">
        <v>62.02</v>
      </c>
      <c r="D2916" s="2" t="s">
        <v>335</v>
      </c>
      <c r="E2916" s="8">
        <v>946.1884</v>
      </c>
      <c r="F2916" s="8">
        <f>F2906</f>
        <v>0</v>
      </c>
      <c r="G2916" s="8">
        <f>E2916+F2916</f>
        <v>946.1884</v>
      </c>
      <c r="H2916" s="3">
        <f>B2916*G2916</f>
        <v>58578.523843999996</v>
      </c>
      <c r="I2916" s="3">
        <f>C2916*G2916</f>
        <v>58682.604568000002</v>
      </c>
    </row>
    <row r="2917" spans="1:9" x14ac:dyDescent="0.25">
      <c r="A2917" t="s">
        <v>10</v>
      </c>
      <c r="B2917" s="1">
        <v>33.869999999999997</v>
      </c>
      <c r="C2917" s="1">
        <v>33.89</v>
      </c>
      <c r="D2917" s="2" t="s">
        <v>335</v>
      </c>
      <c r="E2917" s="8">
        <v>1730.1898000000001</v>
      </c>
      <c r="F2917" s="8">
        <f>F2907</f>
        <v>0.2</v>
      </c>
      <c r="G2917" s="8">
        <f>E2917+F2917</f>
        <v>1730.3898000000002</v>
      </c>
      <c r="H2917" s="3">
        <f>B2917*G2917</f>
        <v>58608.302525999999</v>
      </c>
      <c r="I2917" s="3">
        <f>C2917*G2917</f>
        <v>58642.910322000003</v>
      </c>
    </row>
    <row r="2918" spans="1:9" x14ac:dyDescent="0.25">
      <c r="A2918" t="s">
        <v>11</v>
      </c>
      <c r="B2918" s="1">
        <v>51.02</v>
      </c>
      <c r="C2918" s="1">
        <v>51.03</v>
      </c>
      <c r="D2918" s="2" t="s">
        <v>335</v>
      </c>
      <c r="E2918" s="8">
        <v>1148.9164000000001</v>
      </c>
      <c r="F2918" s="8">
        <f>F2908</f>
        <v>0.05</v>
      </c>
      <c r="G2918" s="8">
        <f>E2918+F2918</f>
        <v>1148.9664</v>
      </c>
      <c r="H2918" s="3">
        <f>B2918*G2918</f>
        <v>58620.265728000006</v>
      </c>
      <c r="I2918" s="3">
        <f>C2918*G2918</f>
        <v>58631.755391999999</v>
      </c>
    </row>
    <row r="2919" spans="1:9" x14ac:dyDescent="0.25">
      <c r="A2919" t="s">
        <v>12</v>
      </c>
      <c r="B2919" s="1">
        <v>45.46</v>
      </c>
      <c r="C2919" s="1">
        <v>45.47</v>
      </c>
      <c r="D2919" s="2" t="s">
        <v>335</v>
      </c>
      <c r="E2919" s="8">
        <v>1289.3855000000001</v>
      </c>
      <c r="F2919" s="8">
        <f>F2909</f>
        <v>0</v>
      </c>
      <c r="G2919" s="8">
        <f>E2919+F2919</f>
        <v>1289.3855000000001</v>
      </c>
      <c r="H2919" s="3">
        <f>B2919*G2919</f>
        <v>58615.464830000004</v>
      </c>
      <c r="I2919" s="3">
        <f>C2919*G2919</f>
        <v>58628.358684999999</v>
      </c>
    </row>
    <row r="2920" spans="1:9" x14ac:dyDescent="0.25">
      <c r="A2920" t="s">
        <v>13</v>
      </c>
      <c r="B2920" s="1">
        <v>16.579999999999998</v>
      </c>
      <c r="C2920" s="1">
        <v>16.59</v>
      </c>
      <c r="D2920" s="2" t="s">
        <v>335</v>
      </c>
      <c r="E2920" s="8">
        <v>3535.8029000000001</v>
      </c>
      <c r="F2920" s="8">
        <f>F2910</f>
        <v>0</v>
      </c>
      <c r="G2920" s="8">
        <f>E2920+F2920</f>
        <v>3535.8029000000001</v>
      </c>
      <c r="H2920" s="3">
        <f>B2920*G2920</f>
        <v>58623.612082</v>
      </c>
      <c r="I2920" s="3">
        <f>C2920*G2920</f>
        <v>58658.970111000002</v>
      </c>
    </row>
    <row r="2921" spans="1:9" x14ac:dyDescent="0.25">
      <c r="A2921" t="s">
        <v>14</v>
      </c>
      <c r="B2921" s="1">
        <v>33.21</v>
      </c>
      <c r="C2921" s="1">
        <v>33.22</v>
      </c>
      <c r="D2921" s="2" t="s">
        <v>335</v>
      </c>
      <c r="E2921" s="8">
        <v>1765.1560999999999</v>
      </c>
      <c r="F2921" s="8">
        <f>F2911</f>
        <v>0.2</v>
      </c>
      <c r="G2921" s="8">
        <f>E2921+F2921</f>
        <v>1765.3561</v>
      </c>
      <c r="H2921" s="3">
        <f>B2921*G2921</f>
        <v>58627.476081000001</v>
      </c>
      <c r="I2921" s="3">
        <f>C2921*G2921</f>
        <v>58645.129642</v>
      </c>
    </row>
    <row r="2922" spans="1:9" x14ac:dyDescent="0.25">
      <c r="A2922" t="s">
        <v>4</v>
      </c>
      <c r="B2922" s="1">
        <v>19.77</v>
      </c>
      <c r="C2922" s="1">
        <v>19.78</v>
      </c>
      <c r="D2922" s="2" t="s">
        <v>361</v>
      </c>
      <c r="E2922" s="8">
        <v>3015.1044999999999</v>
      </c>
      <c r="F2922" s="8">
        <f t="shared" ref="F2922:F2985" si="0">F2912</f>
        <v>0</v>
      </c>
      <c r="G2922" s="8">
        <f>E2922+F2922</f>
        <v>3015.1044999999999</v>
      </c>
      <c r="H2922" s="3">
        <f>B2922*G2922</f>
        <v>59608.615964999997</v>
      </c>
      <c r="I2922" s="3">
        <f>C2922*G2922</f>
        <v>59638.767010000003</v>
      </c>
    </row>
    <row r="2923" spans="1:9" x14ac:dyDescent="0.25">
      <c r="A2923" t="s">
        <v>6</v>
      </c>
      <c r="B2923" s="1">
        <v>32.36</v>
      </c>
      <c r="C2923" s="1">
        <v>32.369999999999997</v>
      </c>
      <c r="D2923" s="2" t="s">
        <v>361</v>
      </c>
      <c r="E2923" s="8">
        <v>1842.2113999999999</v>
      </c>
      <c r="F2923" s="8">
        <f t="shared" si="0"/>
        <v>-0.1</v>
      </c>
      <c r="G2923" s="8">
        <f>E2923+F2923</f>
        <v>1842.1114</v>
      </c>
      <c r="H2923" s="3">
        <f>B2923*G2923</f>
        <v>59610.724904000002</v>
      </c>
      <c r="I2923" s="3">
        <f>C2923*G2923</f>
        <v>59629.146017999992</v>
      </c>
    </row>
    <row r="2924" spans="1:9" x14ac:dyDescent="0.25">
      <c r="A2924" t="s">
        <v>7</v>
      </c>
      <c r="B2924" s="1">
        <v>16.809999999999999</v>
      </c>
      <c r="C2924" s="1">
        <v>16.82</v>
      </c>
      <c r="D2924" s="2" t="s">
        <v>361</v>
      </c>
      <c r="E2924" s="8">
        <v>3546.8051999999998</v>
      </c>
      <c r="F2924" s="8">
        <f t="shared" si="0"/>
        <v>0</v>
      </c>
      <c r="G2924" s="8">
        <f>E2924+F2924</f>
        <v>3546.8051999999998</v>
      </c>
      <c r="H2924" s="3">
        <f>B2924*G2924</f>
        <v>59621.795411999992</v>
      </c>
      <c r="I2924" s="3">
        <f>C2924*G2924</f>
        <v>59657.263463999996</v>
      </c>
    </row>
    <row r="2925" spans="1:9" x14ac:dyDescent="0.25">
      <c r="A2925" t="s">
        <v>8</v>
      </c>
      <c r="B2925" s="1">
        <v>26.36</v>
      </c>
      <c r="C2925" s="1">
        <v>26.37</v>
      </c>
      <c r="D2925" s="2" t="s">
        <v>361</v>
      </c>
      <c r="E2925" s="8">
        <v>2261.4252999999999</v>
      </c>
      <c r="F2925" s="8">
        <f t="shared" si="0"/>
        <v>-0.2</v>
      </c>
      <c r="G2925" s="8">
        <f>E2925+F2925</f>
        <v>2261.2253000000001</v>
      </c>
      <c r="H2925" s="3">
        <f>B2925*G2925</f>
        <v>59605.898908000003</v>
      </c>
      <c r="I2925" s="3">
        <f>C2925*G2925</f>
        <v>59628.511161000002</v>
      </c>
    </row>
    <row r="2926" spans="1:9" x14ac:dyDescent="0.25">
      <c r="A2926" t="s">
        <v>9</v>
      </c>
      <c r="B2926" s="1">
        <v>62.94</v>
      </c>
      <c r="C2926" s="1">
        <v>63.07</v>
      </c>
      <c r="D2926" s="2" t="s">
        <v>361</v>
      </c>
      <c r="E2926" s="8">
        <v>946.19489999999996</v>
      </c>
      <c r="F2926" s="8">
        <f t="shared" si="0"/>
        <v>0</v>
      </c>
      <c r="G2926" s="8">
        <f>E2926+F2926</f>
        <v>946.19489999999996</v>
      </c>
      <c r="H2926" s="3">
        <f>B2926*G2926</f>
        <v>59553.507005999993</v>
      </c>
      <c r="I2926" s="3">
        <f>C2926*G2926</f>
        <v>59676.512342999995</v>
      </c>
    </row>
    <row r="2927" spans="1:9" x14ac:dyDescent="0.25">
      <c r="A2927" t="s">
        <v>10</v>
      </c>
      <c r="B2927" s="1">
        <v>34.46</v>
      </c>
      <c r="C2927" s="1">
        <v>34.47</v>
      </c>
      <c r="D2927" s="2" t="s">
        <v>361</v>
      </c>
      <c r="E2927" s="8">
        <v>1730.1987999999999</v>
      </c>
      <c r="F2927" s="8">
        <f t="shared" si="0"/>
        <v>0.2</v>
      </c>
      <c r="G2927" s="8">
        <f>E2927+F2927</f>
        <v>1730.3987999999999</v>
      </c>
      <c r="H2927" s="3">
        <f>B2927*G2927</f>
        <v>59629.542648000002</v>
      </c>
      <c r="I2927" s="3">
        <f>C2927*G2927</f>
        <v>59646.846635999995</v>
      </c>
    </row>
    <row r="2928" spans="1:9" x14ac:dyDescent="0.25">
      <c r="A2928" t="s">
        <v>11</v>
      </c>
      <c r="B2928" s="1">
        <v>51.89</v>
      </c>
      <c r="C2928" s="1">
        <v>51.9</v>
      </c>
      <c r="D2928" s="2" t="s">
        <v>361</v>
      </c>
      <c r="E2928" s="8">
        <v>1148.9242999999999</v>
      </c>
      <c r="F2928" s="8">
        <f t="shared" si="0"/>
        <v>0.05</v>
      </c>
      <c r="G2928" s="8">
        <f>E2928+F2928</f>
        <v>1148.9742999999999</v>
      </c>
      <c r="H2928" s="3">
        <f>B2928*G2928</f>
        <v>59620.27642699999</v>
      </c>
      <c r="I2928" s="3">
        <f>C2928*G2928</f>
        <v>59631.766169999988</v>
      </c>
    </row>
    <row r="2929" spans="1:9" x14ac:dyDescent="0.25">
      <c r="A2929" t="s">
        <v>12</v>
      </c>
      <c r="B2929" s="1">
        <v>46.25</v>
      </c>
      <c r="C2929" s="1">
        <v>46.26</v>
      </c>
      <c r="D2929" s="2" t="s">
        <v>361</v>
      </c>
      <c r="E2929" s="8">
        <v>1289.4385000000002</v>
      </c>
      <c r="F2929" s="8">
        <f t="shared" si="0"/>
        <v>0</v>
      </c>
      <c r="G2929" s="8">
        <f>E2929+F2929</f>
        <v>1289.4385000000002</v>
      </c>
      <c r="H2929" s="3">
        <f>B2929*G2929</f>
        <v>59636.530625000007</v>
      </c>
      <c r="I2929" s="3">
        <f>C2929*G2929</f>
        <v>59649.425010000006</v>
      </c>
    </row>
    <row r="2930" spans="1:9" x14ac:dyDescent="0.25">
      <c r="A2930" t="s">
        <v>13</v>
      </c>
      <c r="B2930" s="1">
        <v>16.86</v>
      </c>
      <c r="C2930" s="1">
        <v>16.87</v>
      </c>
      <c r="D2930" s="2" t="s">
        <v>361</v>
      </c>
      <c r="E2930" s="8">
        <v>3535.8029000000001</v>
      </c>
      <c r="F2930" s="8">
        <f t="shared" si="0"/>
        <v>0</v>
      </c>
      <c r="G2930" s="8">
        <f>E2930+F2930</f>
        <v>3535.8029000000001</v>
      </c>
      <c r="H2930" s="3">
        <f>B2930*G2930</f>
        <v>59613.636894000003</v>
      </c>
      <c r="I2930" s="3">
        <f>C2930*G2930</f>
        <v>59648.994923000006</v>
      </c>
    </row>
    <row r="2931" spans="1:9" x14ac:dyDescent="0.25">
      <c r="A2931" t="s">
        <v>14</v>
      </c>
      <c r="B2931" s="1">
        <v>33.78</v>
      </c>
      <c r="C2931" s="1">
        <v>33.79</v>
      </c>
      <c r="D2931" s="2" t="s">
        <v>361</v>
      </c>
      <c r="E2931" s="8">
        <v>1765.1682000000001</v>
      </c>
      <c r="F2931" s="8">
        <f t="shared" si="0"/>
        <v>0.2</v>
      </c>
      <c r="G2931" s="8">
        <f>E2931+F2931</f>
        <v>1765.3682000000001</v>
      </c>
      <c r="H2931" s="3">
        <f>B2931*G2931</f>
        <v>59634.137796000003</v>
      </c>
      <c r="I2931" s="3">
        <f>C2931*G2931</f>
        <v>59651.791477999999</v>
      </c>
    </row>
    <row r="2932" spans="1:9" x14ac:dyDescent="0.25">
      <c r="A2932" t="s">
        <v>4</v>
      </c>
      <c r="B2932" s="1">
        <v>19.850000000000001</v>
      </c>
      <c r="C2932" s="1">
        <v>19.86</v>
      </c>
      <c r="D2932" s="2" t="s">
        <v>362</v>
      </c>
      <c r="E2932" s="8">
        <v>3015.1044999999999</v>
      </c>
      <c r="F2932" s="8">
        <f t="shared" si="0"/>
        <v>0</v>
      </c>
      <c r="G2932" s="8">
        <f>E2932+F2932</f>
        <v>3015.1044999999999</v>
      </c>
      <c r="H2932" s="3">
        <f>B2932*G2932</f>
        <v>59849.824325000001</v>
      </c>
      <c r="I2932" s="3">
        <f>C2932*G2932</f>
        <v>59879.97537</v>
      </c>
    </row>
    <row r="2933" spans="1:9" x14ac:dyDescent="0.25">
      <c r="A2933" t="s">
        <v>6</v>
      </c>
      <c r="B2933" s="1">
        <v>32.49</v>
      </c>
      <c r="C2933" s="1">
        <v>32.5</v>
      </c>
      <c r="D2933" s="2" t="s">
        <v>362</v>
      </c>
      <c r="E2933" s="8">
        <v>1842.2113999999999</v>
      </c>
      <c r="F2933" s="8">
        <f t="shared" si="0"/>
        <v>-0.1</v>
      </c>
      <c r="G2933" s="8">
        <f>E2933+F2933</f>
        <v>1842.1114</v>
      </c>
      <c r="H2933" s="3">
        <f>B2933*G2933</f>
        <v>59850.199386</v>
      </c>
      <c r="I2933" s="3">
        <f>C2933*G2933</f>
        <v>59868.620499999997</v>
      </c>
    </row>
    <row r="2934" spans="1:9" x14ac:dyDescent="0.25">
      <c r="A2934" t="s">
        <v>7</v>
      </c>
      <c r="B2934" s="1">
        <v>16.87</v>
      </c>
      <c r="C2934" s="1">
        <v>16.88</v>
      </c>
      <c r="D2934" s="2" t="s">
        <v>362</v>
      </c>
      <c r="E2934" s="8">
        <v>3546.8051999999998</v>
      </c>
      <c r="F2934" s="8">
        <f t="shared" si="0"/>
        <v>0</v>
      </c>
      <c r="G2934" s="8">
        <f>E2934+F2934</f>
        <v>3546.8051999999998</v>
      </c>
      <c r="H2934" s="3">
        <f>B2934*G2934</f>
        <v>59834.603724000001</v>
      </c>
      <c r="I2934" s="3">
        <f>C2934*G2934</f>
        <v>59870.07177599999</v>
      </c>
    </row>
    <row r="2935" spans="1:9" x14ac:dyDescent="0.25">
      <c r="A2935" t="s">
        <v>8</v>
      </c>
      <c r="B2935" s="1">
        <v>26.47</v>
      </c>
      <c r="C2935" s="1">
        <v>26.48</v>
      </c>
      <c r="D2935" s="2" t="s">
        <v>362</v>
      </c>
      <c r="E2935" s="8">
        <v>2261.4252999999999</v>
      </c>
      <c r="F2935" s="8">
        <f t="shared" si="0"/>
        <v>-0.2</v>
      </c>
      <c r="G2935" s="8">
        <f>E2935+F2935</f>
        <v>2261.2253000000001</v>
      </c>
      <c r="H2935" s="3">
        <f>B2935*G2935</f>
        <v>59854.633690999995</v>
      </c>
      <c r="I2935" s="3">
        <f>C2935*G2935</f>
        <v>59877.245944000002</v>
      </c>
    </row>
    <row r="2936" spans="1:9" x14ac:dyDescent="0.25">
      <c r="A2936" t="s">
        <v>9</v>
      </c>
      <c r="B2936" s="1">
        <v>63.21</v>
      </c>
      <c r="C2936" s="1">
        <v>63.29</v>
      </c>
      <c r="D2936" s="2" t="s">
        <v>362</v>
      </c>
      <c r="E2936" s="8">
        <v>946.19489999999996</v>
      </c>
      <c r="F2936" s="8">
        <f t="shared" si="0"/>
        <v>0</v>
      </c>
      <c r="G2936" s="8">
        <f>E2936+F2936</f>
        <v>946.19489999999996</v>
      </c>
      <c r="H2936" s="3">
        <f>B2936*G2936</f>
        <v>59808.979629000001</v>
      </c>
      <c r="I2936" s="3">
        <f>C2936*G2936</f>
        <v>59884.675220999998</v>
      </c>
    </row>
    <row r="2937" spans="1:9" x14ac:dyDescent="0.25">
      <c r="A2937" t="s">
        <v>10</v>
      </c>
      <c r="B2937" s="1">
        <v>34.590000000000003</v>
      </c>
      <c r="C2937" s="1">
        <v>34.61</v>
      </c>
      <c r="D2937" s="2" t="s">
        <v>362</v>
      </c>
      <c r="E2937" s="8">
        <v>1730.1987999999999</v>
      </c>
      <c r="F2937" s="8">
        <f t="shared" si="0"/>
        <v>0.2</v>
      </c>
      <c r="G2937" s="8">
        <f>E2937+F2937</f>
        <v>1730.3987999999999</v>
      </c>
      <c r="H2937" s="3">
        <f>B2937*G2937</f>
        <v>59854.494492000005</v>
      </c>
      <c r="I2937" s="3">
        <f>C2937*G2937</f>
        <v>59889.102467999997</v>
      </c>
    </row>
    <row r="2938" spans="1:9" x14ac:dyDescent="0.25">
      <c r="A2938" t="s">
        <v>11</v>
      </c>
      <c r="B2938" s="1">
        <v>52.09</v>
      </c>
      <c r="C2938" s="1">
        <v>52.1</v>
      </c>
      <c r="D2938" s="2" t="s">
        <v>362</v>
      </c>
      <c r="E2938" s="8">
        <v>1148.9242999999999</v>
      </c>
      <c r="F2938" s="8">
        <f t="shared" si="0"/>
        <v>0.05</v>
      </c>
      <c r="G2938" s="8">
        <f>E2938+F2938</f>
        <v>1148.9742999999999</v>
      </c>
      <c r="H2938" s="3">
        <f>B2938*G2938</f>
        <v>59850.071286999999</v>
      </c>
      <c r="I2938" s="3">
        <f>C2938*G2938</f>
        <v>59861.561029999997</v>
      </c>
    </row>
    <row r="2939" spans="1:9" x14ac:dyDescent="0.25">
      <c r="A2939" t="s">
        <v>12</v>
      </c>
      <c r="B2939" s="1">
        <v>46.42</v>
      </c>
      <c r="C2939" s="1">
        <v>46.43</v>
      </c>
      <c r="D2939" s="2" t="s">
        <v>362</v>
      </c>
      <c r="E2939" s="8">
        <v>1289.4385000000002</v>
      </c>
      <c r="F2939" s="8">
        <f t="shared" si="0"/>
        <v>0</v>
      </c>
      <c r="G2939" s="8">
        <f>E2939+F2939</f>
        <v>1289.4385000000002</v>
      </c>
      <c r="H2939" s="3">
        <f>B2939*G2939</f>
        <v>59855.735170000014</v>
      </c>
      <c r="I2939" s="3">
        <f>C2939*G2939</f>
        <v>59868.629555000007</v>
      </c>
    </row>
    <row r="2940" spans="1:9" x14ac:dyDescent="0.25">
      <c r="A2940" t="s">
        <v>13</v>
      </c>
      <c r="B2940" s="1">
        <v>16.93</v>
      </c>
      <c r="C2940" s="1">
        <v>16.940000000000001</v>
      </c>
      <c r="D2940" s="2" t="s">
        <v>362</v>
      </c>
      <c r="E2940" s="8">
        <v>3535.8029000000001</v>
      </c>
      <c r="F2940" s="8">
        <f t="shared" si="0"/>
        <v>0</v>
      </c>
      <c r="G2940" s="8">
        <f>E2940+F2940</f>
        <v>3535.8029000000001</v>
      </c>
      <c r="H2940" s="3">
        <f>B2940*G2940</f>
        <v>59861.143097</v>
      </c>
      <c r="I2940" s="3">
        <f>C2940*G2940</f>
        <v>59896.50112600001</v>
      </c>
    </row>
    <row r="2941" spans="1:9" x14ac:dyDescent="0.25">
      <c r="A2941" t="s">
        <v>14</v>
      </c>
      <c r="B2941" s="1">
        <v>33.909999999999997</v>
      </c>
      <c r="C2941" s="1">
        <v>33.92</v>
      </c>
      <c r="D2941" s="2" t="s">
        <v>362</v>
      </c>
      <c r="E2941" s="8">
        <v>1765.1682000000001</v>
      </c>
      <c r="F2941" s="8">
        <f t="shared" si="0"/>
        <v>0.2</v>
      </c>
      <c r="G2941" s="8">
        <f>E2941+F2941</f>
        <v>1765.3682000000001</v>
      </c>
      <c r="H2941" s="3">
        <f>B2941*G2941</f>
        <v>59863.635662000001</v>
      </c>
      <c r="I2941" s="3">
        <f>C2941*G2941</f>
        <v>59881.289344000004</v>
      </c>
    </row>
    <row r="2942" spans="1:9" x14ac:dyDescent="0.25">
      <c r="A2942" t="s">
        <v>4</v>
      </c>
      <c r="B2942" s="1">
        <v>19.760000000000002</v>
      </c>
      <c r="C2942" s="1">
        <v>19.77</v>
      </c>
      <c r="D2942" s="2" t="s">
        <v>363</v>
      </c>
      <c r="E2942" s="8">
        <v>3015.1044999999999</v>
      </c>
      <c r="F2942" s="8">
        <f t="shared" si="0"/>
        <v>0</v>
      </c>
      <c r="G2942" s="8">
        <f>E2942+F2942</f>
        <v>3015.1044999999999</v>
      </c>
      <c r="H2942" s="3">
        <f>B2942*G2942</f>
        <v>59578.464920000006</v>
      </c>
      <c r="I2942" s="3">
        <f>C2942*G2942</f>
        <v>59608.615964999997</v>
      </c>
    </row>
    <row r="2943" spans="1:9" x14ac:dyDescent="0.25">
      <c r="A2943" t="s">
        <v>6</v>
      </c>
      <c r="B2943" s="1">
        <v>32.35</v>
      </c>
      <c r="C2943" s="1">
        <v>32.36</v>
      </c>
      <c r="D2943" s="2" t="s">
        <v>363</v>
      </c>
      <c r="E2943" s="8">
        <v>1842.2113999999999</v>
      </c>
      <c r="F2943" s="8">
        <f t="shared" si="0"/>
        <v>-0.1</v>
      </c>
      <c r="G2943" s="8">
        <f>E2943+F2943</f>
        <v>1842.1114</v>
      </c>
      <c r="H2943" s="3">
        <f>B2943*G2943</f>
        <v>59592.303790000005</v>
      </c>
      <c r="I2943" s="3">
        <f>C2943*G2943</f>
        <v>59610.724904000002</v>
      </c>
    </row>
    <row r="2944" spans="1:9" x14ac:dyDescent="0.25">
      <c r="A2944" t="s">
        <v>7</v>
      </c>
      <c r="B2944" s="1">
        <v>16.8</v>
      </c>
      <c r="C2944" s="1">
        <v>16.809999999999999</v>
      </c>
      <c r="D2944" s="2" t="s">
        <v>363</v>
      </c>
      <c r="E2944" s="8">
        <v>3546.8051999999998</v>
      </c>
      <c r="F2944" s="8">
        <f t="shared" si="0"/>
        <v>0</v>
      </c>
      <c r="G2944" s="8">
        <f>E2944+F2944</f>
        <v>3546.8051999999998</v>
      </c>
      <c r="H2944" s="3">
        <f>B2944*G2944</f>
        <v>59586.327359999996</v>
      </c>
      <c r="I2944" s="3">
        <f>C2944*G2944</f>
        <v>59621.795411999992</v>
      </c>
    </row>
    <row r="2945" spans="1:9" x14ac:dyDescent="0.25">
      <c r="A2945" t="s">
        <v>8</v>
      </c>
      <c r="B2945" s="1">
        <v>26.35</v>
      </c>
      <c r="C2945" s="1">
        <v>26.36</v>
      </c>
      <c r="D2945" s="2" t="s">
        <v>363</v>
      </c>
      <c r="E2945" s="8">
        <v>2261.4252999999999</v>
      </c>
      <c r="F2945" s="8">
        <f t="shared" si="0"/>
        <v>-0.2</v>
      </c>
      <c r="G2945" s="8">
        <f>E2945+F2945</f>
        <v>2261.2253000000001</v>
      </c>
      <c r="H2945" s="3">
        <f>B2945*G2945</f>
        <v>59583.286655000004</v>
      </c>
      <c r="I2945" s="3">
        <f>C2945*G2945</f>
        <v>59605.898908000003</v>
      </c>
    </row>
    <row r="2946" spans="1:9" x14ac:dyDescent="0.25">
      <c r="A2946" t="s">
        <v>9</v>
      </c>
      <c r="B2946" s="1">
        <v>62.93</v>
      </c>
      <c r="C2946" s="1">
        <v>63.02</v>
      </c>
      <c r="D2946" s="2" t="s">
        <v>363</v>
      </c>
      <c r="E2946" s="8">
        <v>946.19489999999996</v>
      </c>
      <c r="F2946" s="8">
        <f t="shared" si="0"/>
        <v>0</v>
      </c>
      <c r="G2946" s="8">
        <f>E2946+F2946</f>
        <v>946.19489999999996</v>
      </c>
      <c r="H2946" s="3">
        <f>B2946*G2946</f>
        <v>59544.045056999996</v>
      </c>
      <c r="I2946" s="3">
        <f>C2946*G2946</f>
        <v>59629.202598000003</v>
      </c>
    </row>
    <row r="2947" spans="1:9" x14ac:dyDescent="0.25">
      <c r="A2947" t="s">
        <v>10</v>
      </c>
      <c r="B2947" s="1">
        <v>34.44</v>
      </c>
      <c r="C2947" s="1">
        <v>34.46</v>
      </c>
      <c r="D2947" s="2" t="s">
        <v>363</v>
      </c>
      <c r="E2947" s="8">
        <v>1730.1987999999999</v>
      </c>
      <c r="F2947" s="8">
        <f t="shared" si="0"/>
        <v>0.2</v>
      </c>
      <c r="G2947" s="8">
        <f>E2947+F2947</f>
        <v>1730.3987999999999</v>
      </c>
      <c r="H2947" s="3">
        <f>B2947*G2947</f>
        <v>59594.934671999996</v>
      </c>
      <c r="I2947" s="3">
        <f>C2947*G2947</f>
        <v>59629.542648000002</v>
      </c>
    </row>
    <row r="2948" spans="1:9" x14ac:dyDescent="0.25">
      <c r="A2948" t="s">
        <v>11</v>
      </c>
      <c r="B2948" s="1">
        <v>51.86</v>
      </c>
      <c r="C2948" s="1">
        <v>51.87</v>
      </c>
      <c r="D2948" s="2" t="s">
        <v>363</v>
      </c>
      <c r="E2948" s="8">
        <v>1148.9242999999999</v>
      </c>
      <c r="F2948" s="8">
        <f t="shared" si="0"/>
        <v>0.05</v>
      </c>
      <c r="G2948" s="8">
        <f>E2948+F2948</f>
        <v>1148.9742999999999</v>
      </c>
      <c r="H2948" s="3">
        <f>B2948*G2948</f>
        <v>59585.807197999995</v>
      </c>
      <c r="I2948" s="3">
        <f>C2948*G2948</f>
        <v>59597.296940999993</v>
      </c>
    </row>
    <row r="2949" spans="1:9" x14ac:dyDescent="0.25">
      <c r="A2949" t="s">
        <v>12</v>
      </c>
      <c r="B2949" s="1">
        <v>46.22</v>
      </c>
      <c r="C2949" s="1">
        <v>46.23</v>
      </c>
      <c r="D2949" s="2" t="s">
        <v>363</v>
      </c>
      <c r="E2949" s="8">
        <v>1289.4385000000002</v>
      </c>
      <c r="F2949" s="8">
        <f t="shared" si="0"/>
        <v>0</v>
      </c>
      <c r="G2949" s="8">
        <f>E2949+F2949</f>
        <v>1289.4385000000002</v>
      </c>
      <c r="H2949" s="3">
        <f>B2949*G2949</f>
        <v>59597.847470000008</v>
      </c>
      <c r="I2949" s="3">
        <f>C2949*G2949</f>
        <v>59610.741855000007</v>
      </c>
    </row>
    <row r="2950" spans="1:9" x14ac:dyDescent="0.25">
      <c r="A2950" t="s">
        <v>13</v>
      </c>
      <c r="B2950" s="1">
        <v>16.850000000000001</v>
      </c>
      <c r="C2950" s="1">
        <v>16.86</v>
      </c>
      <c r="D2950" s="2" t="s">
        <v>363</v>
      </c>
      <c r="E2950" s="8">
        <v>3535.8029000000001</v>
      </c>
      <c r="F2950" s="8">
        <f t="shared" si="0"/>
        <v>0</v>
      </c>
      <c r="G2950" s="8">
        <f>E2950+F2950</f>
        <v>3535.8029000000001</v>
      </c>
      <c r="H2950" s="3">
        <f>B2950*G2950</f>
        <v>59578.278865000007</v>
      </c>
      <c r="I2950" s="3">
        <f>C2950*G2950</f>
        <v>59613.636894000003</v>
      </c>
    </row>
    <row r="2951" spans="1:9" x14ac:dyDescent="0.25">
      <c r="A2951" t="s">
        <v>14</v>
      </c>
      <c r="B2951" s="1">
        <v>33.76</v>
      </c>
      <c r="C2951" s="1">
        <v>33.770000000000003</v>
      </c>
      <c r="D2951" s="2" t="s">
        <v>363</v>
      </c>
      <c r="E2951" s="8">
        <v>1765.1682000000001</v>
      </c>
      <c r="F2951" s="8">
        <f t="shared" si="0"/>
        <v>0.2</v>
      </c>
      <c r="G2951" s="8">
        <f>E2951+F2951</f>
        <v>1765.3682000000001</v>
      </c>
      <c r="H2951" s="3">
        <f>B2951*G2951</f>
        <v>59598.830432000002</v>
      </c>
      <c r="I2951" s="3">
        <f>C2951*G2951</f>
        <v>59616.484114000006</v>
      </c>
    </row>
    <row r="2952" spans="1:9" x14ac:dyDescent="0.25">
      <c r="A2952" t="s">
        <v>4</v>
      </c>
      <c r="B2952" s="1">
        <v>19.72</v>
      </c>
      <c r="C2952" s="1">
        <v>19.73</v>
      </c>
      <c r="D2952" s="2" t="s">
        <v>364</v>
      </c>
      <c r="E2952" s="8">
        <v>3015.1044999999999</v>
      </c>
      <c r="F2952" s="8">
        <f t="shared" si="0"/>
        <v>0</v>
      </c>
      <c r="G2952" s="8">
        <f>E2952+F2952</f>
        <v>3015.1044999999999</v>
      </c>
      <c r="H2952" s="3">
        <f>B2952*G2952</f>
        <v>59457.860739999996</v>
      </c>
      <c r="I2952" s="3">
        <f>C2952*G2952</f>
        <v>59488.011785000002</v>
      </c>
    </row>
    <row r="2953" spans="1:9" x14ac:dyDescent="0.25">
      <c r="A2953" t="s">
        <v>6</v>
      </c>
      <c r="B2953" s="1">
        <v>32.28</v>
      </c>
      <c r="C2953" s="1">
        <v>32.29</v>
      </c>
      <c r="D2953" s="2" t="s">
        <v>364</v>
      </c>
      <c r="E2953" s="8">
        <v>1842.2113999999999</v>
      </c>
      <c r="F2953" s="8">
        <f t="shared" si="0"/>
        <v>-0.1</v>
      </c>
      <c r="G2953" s="8">
        <f>E2953+F2953</f>
        <v>1842.1114</v>
      </c>
      <c r="H2953" s="3">
        <f>B2953*G2953</f>
        <v>59463.355992000004</v>
      </c>
      <c r="I2953" s="3">
        <f>C2953*G2953</f>
        <v>59481.777106000001</v>
      </c>
    </row>
    <row r="2954" spans="1:9" x14ac:dyDescent="0.25">
      <c r="A2954" t="s">
        <v>7</v>
      </c>
      <c r="B2954" s="1">
        <v>16.760000000000002</v>
      </c>
      <c r="C2954" s="1">
        <v>16.77</v>
      </c>
      <c r="D2954" s="2" t="s">
        <v>364</v>
      </c>
      <c r="E2954" s="8">
        <v>3546.8051999999998</v>
      </c>
      <c r="F2954" s="8">
        <f t="shared" si="0"/>
        <v>0</v>
      </c>
      <c r="G2954" s="8">
        <f>E2954+F2954</f>
        <v>3546.8051999999998</v>
      </c>
      <c r="H2954" s="3">
        <f>B2954*G2954</f>
        <v>59444.455152000002</v>
      </c>
      <c r="I2954" s="3">
        <f>C2954*G2954</f>
        <v>59479.923203999992</v>
      </c>
    </row>
    <row r="2955" spans="1:9" x14ac:dyDescent="0.25">
      <c r="A2955" t="s">
        <v>8</v>
      </c>
      <c r="B2955" s="1">
        <v>26.3</v>
      </c>
      <c r="C2955" s="1">
        <v>26.31</v>
      </c>
      <c r="D2955" s="2" t="s">
        <v>364</v>
      </c>
      <c r="E2955" s="8">
        <v>2261.4252999999999</v>
      </c>
      <c r="F2955" s="8">
        <f t="shared" si="0"/>
        <v>-0.2</v>
      </c>
      <c r="G2955" s="8">
        <f>E2955+F2955</f>
        <v>2261.2253000000001</v>
      </c>
      <c r="H2955" s="3">
        <f>B2955*G2955</f>
        <v>59470.22539</v>
      </c>
      <c r="I2955" s="3">
        <f>C2955*G2955</f>
        <v>59492.837642999999</v>
      </c>
    </row>
    <row r="2956" spans="1:9" x14ac:dyDescent="0.25">
      <c r="A2956" t="s">
        <v>9</v>
      </c>
      <c r="B2956" s="1">
        <v>62.8</v>
      </c>
      <c r="C2956" s="1">
        <v>62.92</v>
      </c>
      <c r="D2956" s="2" t="s">
        <v>364</v>
      </c>
      <c r="E2956" s="8">
        <v>946.19489999999996</v>
      </c>
      <c r="F2956" s="8">
        <f t="shared" si="0"/>
        <v>0</v>
      </c>
      <c r="G2956" s="8">
        <f>E2956+F2956</f>
        <v>946.19489999999996</v>
      </c>
      <c r="H2956" s="3">
        <f>B2956*G2956</f>
        <v>59421.039719999993</v>
      </c>
      <c r="I2956" s="3">
        <f>C2956*G2956</f>
        <v>59534.583107999999</v>
      </c>
    </row>
    <row r="2957" spans="1:9" x14ac:dyDescent="0.25">
      <c r="A2957" t="s">
        <v>10</v>
      </c>
      <c r="B2957" s="1">
        <v>34.369999999999997</v>
      </c>
      <c r="C2957" s="1">
        <v>34.39</v>
      </c>
      <c r="D2957" s="2" t="s">
        <v>364</v>
      </c>
      <c r="E2957" s="8">
        <v>1730.1987999999999</v>
      </c>
      <c r="F2957" s="8">
        <f t="shared" si="0"/>
        <v>0.2</v>
      </c>
      <c r="G2957" s="8">
        <f>E2957+F2957</f>
        <v>1730.3987999999999</v>
      </c>
      <c r="H2957" s="3">
        <f>B2957*G2957</f>
        <v>59473.806755999991</v>
      </c>
      <c r="I2957" s="3">
        <f>C2957*G2957</f>
        <v>59508.414731999997</v>
      </c>
    </row>
    <row r="2958" spans="1:9" x14ac:dyDescent="0.25">
      <c r="A2958" t="s">
        <v>11</v>
      </c>
      <c r="B2958" s="1">
        <v>51.77</v>
      </c>
      <c r="C2958" s="1">
        <v>51.78</v>
      </c>
      <c r="D2958" s="2" t="s">
        <v>364</v>
      </c>
      <c r="E2958" s="8">
        <v>1148.9242999999999</v>
      </c>
      <c r="F2958" s="8">
        <f t="shared" si="0"/>
        <v>0.05</v>
      </c>
      <c r="G2958" s="8">
        <f>E2958+F2958</f>
        <v>1148.9742999999999</v>
      </c>
      <c r="H2958" s="3">
        <f>B2958*G2958</f>
        <v>59482.399510999996</v>
      </c>
      <c r="I2958" s="3">
        <f>C2958*G2958</f>
        <v>59493.889253999994</v>
      </c>
    </row>
    <row r="2959" spans="1:9" x14ac:dyDescent="0.25">
      <c r="A2959" t="s">
        <v>12</v>
      </c>
      <c r="B2959" s="1">
        <v>46.13</v>
      </c>
      <c r="C2959" s="1">
        <v>46.14</v>
      </c>
      <c r="D2959" s="2" t="s">
        <v>364</v>
      </c>
      <c r="E2959" s="8">
        <v>1289.4385000000002</v>
      </c>
      <c r="F2959" s="8">
        <f t="shared" si="0"/>
        <v>0</v>
      </c>
      <c r="G2959" s="8">
        <f>E2959+F2959</f>
        <v>1289.4385000000002</v>
      </c>
      <c r="H2959" s="3">
        <f>B2959*G2959</f>
        <v>59481.798005000011</v>
      </c>
      <c r="I2959" s="3">
        <f>C2959*G2959</f>
        <v>59494.692390000011</v>
      </c>
    </row>
    <row r="2960" spans="1:9" x14ac:dyDescent="0.25">
      <c r="A2960" t="s">
        <v>13</v>
      </c>
      <c r="B2960" s="1">
        <v>16.82</v>
      </c>
      <c r="C2960" s="1">
        <v>16.829999999999998</v>
      </c>
      <c r="D2960" s="2" t="s">
        <v>364</v>
      </c>
      <c r="E2960" s="8">
        <v>3535.8029000000001</v>
      </c>
      <c r="F2960" s="8">
        <f t="shared" si="0"/>
        <v>0</v>
      </c>
      <c r="G2960" s="8">
        <f>E2960+F2960</f>
        <v>3535.8029000000001</v>
      </c>
      <c r="H2960" s="3">
        <f>B2960*G2960</f>
        <v>59472.204778000007</v>
      </c>
      <c r="I2960" s="3">
        <f>C2960*G2960</f>
        <v>59507.562806999995</v>
      </c>
    </row>
    <row r="2961" spans="1:9" x14ac:dyDescent="0.25">
      <c r="A2961" t="s">
        <v>14</v>
      </c>
      <c r="B2961" s="1">
        <v>33.68</v>
      </c>
      <c r="C2961" s="1">
        <v>33.69</v>
      </c>
      <c r="D2961" s="2" t="s">
        <v>364</v>
      </c>
      <c r="E2961" s="8">
        <v>1765.1682000000001</v>
      </c>
      <c r="F2961" s="8">
        <f t="shared" si="0"/>
        <v>0.2</v>
      </c>
      <c r="G2961" s="8">
        <f>E2961+F2961</f>
        <v>1765.3682000000001</v>
      </c>
      <c r="H2961" s="3">
        <f>B2961*G2961</f>
        <v>59457.600976000002</v>
      </c>
      <c r="I2961" s="3">
        <f>C2961*G2961</f>
        <v>59475.254657999998</v>
      </c>
    </row>
    <row r="2962" spans="1:9" x14ac:dyDescent="0.25">
      <c r="A2962" t="s">
        <v>4</v>
      </c>
      <c r="B2962" s="1">
        <v>19.850000000000001</v>
      </c>
      <c r="C2962" s="1">
        <v>19.86</v>
      </c>
      <c r="D2962" s="2" t="s">
        <v>365</v>
      </c>
      <c r="E2962" s="8">
        <v>3015.1044999999999</v>
      </c>
      <c r="F2962" s="8">
        <f t="shared" si="0"/>
        <v>0</v>
      </c>
      <c r="G2962" s="8">
        <f>E2962+F2962</f>
        <v>3015.1044999999999</v>
      </c>
      <c r="H2962" s="3">
        <f>B2962*G2962</f>
        <v>59849.824325000001</v>
      </c>
      <c r="I2962" s="3">
        <f>C2962*G2962</f>
        <v>59879.97537</v>
      </c>
    </row>
    <row r="2963" spans="1:9" x14ac:dyDescent="0.25">
      <c r="A2963" t="s">
        <v>6</v>
      </c>
      <c r="B2963" s="1">
        <v>32.49</v>
      </c>
      <c r="C2963" s="1">
        <v>32.5</v>
      </c>
      <c r="D2963" s="2" t="s">
        <v>365</v>
      </c>
      <c r="E2963" s="8">
        <v>1842.2113999999999</v>
      </c>
      <c r="F2963" s="8">
        <f t="shared" si="0"/>
        <v>-0.1</v>
      </c>
      <c r="G2963" s="8">
        <f>E2963+F2963</f>
        <v>1842.1114</v>
      </c>
      <c r="H2963" s="3">
        <f>B2963*G2963</f>
        <v>59850.199386</v>
      </c>
      <c r="I2963" s="3">
        <f>C2963*G2963</f>
        <v>59868.620499999997</v>
      </c>
    </row>
    <row r="2964" spans="1:9" x14ac:dyDescent="0.25">
      <c r="A2964" t="s">
        <v>7</v>
      </c>
      <c r="B2964" s="1">
        <v>16.87</v>
      </c>
      <c r="C2964" s="1">
        <v>16.88</v>
      </c>
      <c r="D2964" s="2" t="s">
        <v>365</v>
      </c>
      <c r="E2964" s="8">
        <v>3546.8051999999998</v>
      </c>
      <c r="F2964" s="8">
        <f t="shared" si="0"/>
        <v>0</v>
      </c>
      <c r="G2964" s="8">
        <f>E2964+F2964</f>
        <v>3546.8051999999998</v>
      </c>
      <c r="H2964" s="3">
        <f>B2964*G2964</f>
        <v>59834.603724000001</v>
      </c>
      <c r="I2964" s="3">
        <f>C2964*G2964</f>
        <v>59870.07177599999</v>
      </c>
    </row>
    <row r="2965" spans="1:9" x14ac:dyDescent="0.25">
      <c r="A2965" t="s">
        <v>8</v>
      </c>
      <c r="B2965" s="1">
        <v>26.47</v>
      </c>
      <c r="C2965" s="1">
        <v>26.48</v>
      </c>
      <c r="D2965" s="2" t="s">
        <v>365</v>
      </c>
      <c r="E2965" s="8">
        <v>2261.4252999999999</v>
      </c>
      <c r="F2965" s="8">
        <f t="shared" si="0"/>
        <v>-0.2</v>
      </c>
      <c r="G2965" s="8">
        <f>E2965+F2965</f>
        <v>2261.2253000000001</v>
      </c>
      <c r="H2965" s="3">
        <f>B2965*G2965</f>
        <v>59854.633690999995</v>
      </c>
      <c r="I2965" s="3">
        <f>C2965*G2965</f>
        <v>59877.245944000002</v>
      </c>
    </row>
    <row r="2966" spans="1:9" x14ac:dyDescent="0.25">
      <c r="A2966" t="s">
        <v>9</v>
      </c>
      <c r="B2966" s="1">
        <v>63.17</v>
      </c>
      <c r="C2966" s="1">
        <v>63.28</v>
      </c>
      <c r="D2966" s="2" t="s">
        <v>365</v>
      </c>
      <c r="E2966" s="8">
        <v>946.19489999999996</v>
      </c>
      <c r="F2966" s="8">
        <f t="shared" si="0"/>
        <v>0</v>
      </c>
      <c r="G2966" s="8">
        <f>E2966+F2966</f>
        <v>946.19489999999996</v>
      </c>
      <c r="H2966" s="3">
        <f>B2966*G2966</f>
        <v>59771.131832999999</v>
      </c>
      <c r="I2966" s="3">
        <f>C2966*G2966</f>
        <v>59875.213272000001</v>
      </c>
    </row>
    <row r="2967" spans="1:9" x14ac:dyDescent="0.25">
      <c r="A2967" t="s">
        <v>10</v>
      </c>
      <c r="B2967" s="1">
        <v>34.58</v>
      </c>
      <c r="C2967" s="1">
        <v>34.61</v>
      </c>
      <c r="D2967" s="2" t="s">
        <v>365</v>
      </c>
      <c r="E2967" s="8">
        <v>1730.1987999999999</v>
      </c>
      <c r="F2967" s="8">
        <f t="shared" si="0"/>
        <v>0.2</v>
      </c>
      <c r="G2967" s="8">
        <f>E2967+F2967</f>
        <v>1730.3987999999999</v>
      </c>
      <c r="H2967" s="3">
        <f>B2967*G2967</f>
        <v>59837.190503999998</v>
      </c>
      <c r="I2967" s="3">
        <f>C2967*G2967</f>
        <v>59889.102467999997</v>
      </c>
    </row>
    <row r="2968" spans="1:9" x14ac:dyDescent="0.25">
      <c r="A2968" t="s">
        <v>11</v>
      </c>
      <c r="B2968" s="1">
        <v>52.09</v>
      </c>
      <c r="C2968" s="1">
        <v>52.1</v>
      </c>
      <c r="D2968" s="2" t="s">
        <v>365</v>
      </c>
      <c r="E2968" s="8">
        <v>1148.9242999999999</v>
      </c>
      <c r="F2968" s="8">
        <f t="shared" si="0"/>
        <v>0.05</v>
      </c>
      <c r="G2968" s="8">
        <f>E2968+F2968</f>
        <v>1148.9742999999999</v>
      </c>
      <c r="H2968" s="3">
        <f>B2968*G2968</f>
        <v>59850.071286999999</v>
      </c>
      <c r="I2968" s="3">
        <f>C2968*G2968</f>
        <v>59861.561029999997</v>
      </c>
    </row>
    <row r="2969" spans="1:9" x14ac:dyDescent="0.25">
      <c r="A2969" t="s">
        <v>12</v>
      </c>
      <c r="B2969" s="1">
        <v>46.42</v>
      </c>
      <c r="C2969" s="1">
        <v>46.43</v>
      </c>
      <c r="D2969" s="2" t="s">
        <v>365</v>
      </c>
      <c r="E2969" s="8">
        <v>1289.4385000000002</v>
      </c>
      <c r="F2969" s="8">
        <f t="shared" si="0"/>
        <v>0</v>
      </c>
      <c r="G2969" s="8">
        <f>E2969+F2969</f>
        <v>1289.4385000000002</v>
      </c>
      <c r="H2969" s="3">
        <f>B2969*G2969</f>
        <v>59855.735170000014</v>
      </c>
      <c r="I2969" s="3">
        <f>C2969*G2969</f>
        <v>59868.629555000007</v>
      </c>
    </row>
    <row r="2970" spans="1:9" x14ac:dyDescent="0.25">
      <c r="A2970" t="s">
        <v>13</v>
      </c>
      <c r="B2970" s="1">
        <v>16.920000000000002</v>
      </c>
      <c r="C2970" s="1">
        <v>16.93</v>
      </c>
      <c r="D2970" s="2" t="s">
        <v>365</v>
      </c>
      <c r="E2970" s="8">
        <v>3535.8029000000001</v>
      </c>
      <c r="F2970" s="8">
        <f t="shared" si="0"/>
        <v>0</v>
      </c>
      <c r="G2970" s="8">
        <f>E2970+F2970</f>
        <v>3535.8029000000001</v>
      </c>
      <c r="H2970" s="3">
        <f>B2970*G2970</f>
        <v>59825.785068000012</v>
      </c>
      <c r="I2970" s="3">
        <f>C2970*G2970</f>
        <v>59861.143097</v>
      </c>
    </row>
    <row r="2971" spans="1:9" x14ac:dyDescent="0.25">
      <c r="A2971" t="s">
        <v>14</v>
      </c>
      <c r="B2971" s="1">
        <v>33.9</v>
      </c>
      <c r="C2971" s="1">
        <v>33.909999999999997</v>
      </c>
      <c r="D2971" s="2" t="s">
        <v>365</v>
      </c>
      <c r="E2971" s="8">
        <v>1765.1682000000001</v>
      </c>
      <c r="F2971" s="8">
        <f t="shared" si="0"/>
        <v>0.2</v>
      </c>
      <c r="G2971" s="8">
        <f>E2971+F2971</f>
        <v>1765.3682000000001</v>
      </c>
      <c r="H2971" s="3">
        <f>B2971*G2971</f>
        <v>59845.981980000004</v>
      </c>
      <c r="I2971" s="3">
        <f>C2971*G2971</f>
        <v>59863.635662000001</v>
      </c>
    </row>
    <row r="2972" spans="1:9" x14ac:dyDescent="0.25">
      <c r="A2972" t="s">
        <v>4</v>
      </c>
      <c r="B2972" s="1">
        <v>19.89</v>
      </c>
      <c r="C2972" s="1">
        <v>19.899999999999999</v>
      </c>
      <c r="D2972" s="2" t="s">
        <v>366</v>
      </c>
      <c r="E2972" s="8">
        <v>3015.1044999999999</v>
      </c>
      <c r="F2972" s="8">
        <f t="shared" si="0"/>
        <v>0</v>
      </c>
      <c r="G2972" s="8">
        <f>E2972+F2972</f>
        <v>3015.1044999999999</v>
      </c>
      <c r="H2972" s="3">
        <f>B2972*G2972</f>
        <v>59970.428505000003</v>
      </c>
      <c r="I2972" s="3">
        <f>C2972*G2972</f>
        <v>60000.579549999995</v>
      </c>
    </row>
    <row r="2973" spans="1:9" x14ac:dyDescent="0.25">
      <c r="A2973" t="s">
        <v>6</v>
      </c>
      <c r="B2973" s="1">
        <v>32.56</v>
      </c>
      <c r="C2973" s="1">
        <v>32.57</v>
      </c>
      <c r="D2973" s="2" t="s">
        <v>366</v>
      </c>
      <c r="E2973" s="8">
        <v>1842.2113999999999</v>
      </c>
      <c r="F2973" s="8">
        <f t="shared" si="0"/>
        <v>-0.1</v>
      </c>
      <c r="G2973" s="8">
        <f>E2973+F2973</f>
        <v>1842.1114</v>
      </c>
      <c r="H2973" s="3">
        <f>B2973*G2973</f>
        <v>59979.147184000001</v>
      </c>
      <c r="I2973" s="3">
        <f>C2973*G2973</f>
        <v>59997.568297999998</v>
      </c>
    </row>
    <row r="2974" spans="1:9" x14ac:dyDescent="0.25">
      <c r="A2974" t="s">
        <v>7</v>
      </c>
      <c r="B2974" s="1">
        <v>16.91</v>
      </c>
      <c r="C2974" s="1">
        <v>16.920000000000002</v>
      </c>
      <c r="D2974" s="2" t="s">
        <v>366</v>
      </c>
      <c r="E2974" s="8">
        <v>3546.8051999999998</v>
      </c>
      <c r="F2974" s="8">
        <f t="shared" si="0"/>
        <v>0</v>
      </c>
      <c r="G2974" s="8">
        <f>E2974+F2974</f>
        <v>3546.8051999999998</v>
      </c>
      <c r="H2974" s="3">
        <f>B2974*G2974</f>
        <v>59976.475931999994</v>
      </c>
      <c r="I2974" s="3">
        <f>C2974*G2974</f>
        <v>60011.943984000005</v>
      </c>
    </row>
    <row r="2975" spans="1:9" x14ac:dyDescent="0.25">
      <c r="A2975" t="s">
        <v>8</v>
      </c>
      <c r="B2975" s="1">
        <v>26.52</v>
      </c>
      <c r="C2975" s="1">
        <v>26.53</v>
      </c>
      <c r="D2975" s="2" t="s">
        <v>366</v>
      </c>
      <c r="E2975" s="8">
        <v>2261.4252999999999</v>
      </c>
      <c r="F2975" s="8">
        <f t="shared" si="0"/>
        <v>-0.2</v>
      </c>
      <c r="G2975" s="8">
        <f>E2975+F2975</f>
        <v>2261.2253000000001</v>
      </c>
      <c r="H2975" s="3">
        <f>B2975*G2975</f>
        <v>59967.694955999999</v>
      </c>
      <c r="I2975" s="3">
        <f>C2975*G2975</f>
        <v>59990.307209000006</v>
      </c>
    </row>
    <row r="2976" spans="1:9" x14ac:dyDescent="0.25">
      <c r="A2976" t="s">
        <v>9</v>
      </c>
      <c r="B2976" s="1">
        <v>63.29</v>
      </c>
      <c r="C2976" s="1">
        <v>63.41</v>
      </c>
      <c r="D2976" s="2" t="s">
        <v>366</v>
      </c>
      <c r="E2976" s="8">
        <v>946.19489999999996</v>
      </c>
      <c r="F2976" s="8">
        <f t="shared" si="0"/>
        <v>0</v>
      </c>
      <c r="G2976" s="8">
        <f>E2976+F2976</f>
        <v>946.19489999999996</v>
      </c>
      <c r="H2976" s="3">
        <f>B2976*G2976</f>
        <v>59884.675220999998</v>
      </c>
      <c r="I2976" s="3">
        <f>C2976*G2976</f>
        <v>59998.218608999996</v>
      </c>
    </row>
    <row r="2977" spans="1:9" x14ac:dyDescent="0.25">
      <c r="A2977" t="s">
        <v>10</v>
      </c>
      <c r="B2977" s="1">
        <v>34.65</v>
      </c>
      <c r="C2977" s="1">
        <v>34.68</v>
      </c>
      <c r="D2977" s="2" t="s">
        <v>366</v>
      </c>
      <c r="E2977" s="8">
        <v>1730.1987999999999</v>
      </c>
      <c r="F2977" s="8">
        <f t="shared" si="0"/>
        <v>0.2</v>
      </c>
      <c r="G2977" s="8">
        <f>E2977+F2977</f>
        <v>1730.3987999999999</v>
      </c>
      <c r="H2977" s="3">
        <f>B2977*G2977</f>
        <v>59958.318419999996</v>
      </c>
      <c r="I2977" s="3">
        <f>C2977*G2977</f>
        <v>60010.230383999995</v>
      </c>
    </row>
    <row r="2978" spans="1:9" x14ac:dyDescent="0.25">
      <c r="A2978" t="s">
        <v>11</v>
      </c>
      <c r="B2978" s="1">
        <v>52.19</v>
      </c>
      <c r="C2978" s="1">
        <v>52.2</v>
      </c>
      <c r="D2978" s="2" t="s">
        <v>366</v>
      </c>
      <c r="E2978" s="8">
        <v>1148.9242999999999</v>
      </c>
      <c r="F2978" s="8">
        <f t="shared" si="0"/>
        <v>0.05</v>
      </c>
      <c r="G2978" s="8">
        <f>E2978+F2978</f>
        <v>1148.9742999999999</v>
      </c>
      <c r="H2978" s="3">
        <f>B2978*G2978</f>
        <v>59964.968716999989</v>
      </c>
      <c r="I2978" s="3">
        <f>C2978*G2978</f>
        <v>59976.458459999994</v>
      </c>
    </row>
    <row r="2979" spans="1:9" x14ac:dyDescent="0.25">
      <c r="A2979" t="s">
        <v>12</v>
      </c>
      <c r="B2979" s="1">
        <v>46.52</v>
      </c>
      <c r="C2979" s="1">
        <v>46.53</v>
      </c>
      <c r="D2979" s="2" t="s">
        <v>366</v>
      </c>
      <c r="E2979" s="8">
        <v>1289.4385000000002</v>
      </c>
      <c r="F2979" s="8">
        <f t="shared" si="0"/>
        <v>0</v>
      </c>
      <c r="G2979" s="8">
        <f>E2979+F2979</f>
        <v>1289.4385000000002</v>
      </c>
      <c r="H2979" s="3">
        <f>B2979*G2979</f>
        <v>59984.67902000001</v>
      </c>
      <c r="I2979" s="3">
        <f>C2979*G2979</f>
        <v>59997.57340500001</v>
      </c>
    </row>
    <row r="2980" spans="1:9" x14ac:dyDescent="0.25">
      <c r="A2980" t="s">
        <v>13</v>
      </c>
      <c r="B2980" s="1">
        <v>16.96</v>
      </c>
      <c r="C2980" s="1">
        <v>16.97</v>
      </c>
      <c r="D2980" s="2" t="s">
        <v>366</v>
      </c>
      <c r="E2980" s="8">
        <v>3535.8029000000001</v>
      </c>
      <c r="F2980" s="8">
        <f t="shared" si="0"/>
        <v>0</v>
      </c>
      <c r="G2980" s="8">
        <f>E2980+F2980</f>
        <v>3535.8029000000001</v>
      </c>
      <c r="H2980" s="3">
        <f>B2980*G2980</f>
        <v>59967.217184000008</v>
      </c>
      <c r="I2980" s="3">
        <f>C2980*G2980</f>
        <v>60002.575212999996</v>
      </c>
    </row>
    <row r="2981" spans="1:9" x14ac:dyDescent="0.25">
      <c r="A2981" t="s">
        <v>14</v>
      </c>
      <c r="B2981" s="1">
        <v>33.97</v>
      </c>
      <c r="C2981" s="1">
        <v>33.979999999999997</v>
      </c>
      <c r="D2981" s="2" t="s">
        <v>366</v>
      </c>
      <c r="E2981" s="8">
        <v>1765.1682000000001</v>
      </c>
      <c r="F2981" s="8">
        <f t="shared" si="0"/>
        <v>0.2</v>
      </c>
      <c r="G2981" s="8">
        <f>E2981+F2981</f>
        <v>1765.3682000000001</v>
      </c>
      <c r="H2981" s="3">
        <f>B2981*G2981</f>
        <v>59969.557754000001</v>
      </c>
      <c r="I2981" s="3">
        <f>C2981*G2981</f>
        <v>59987.211435999998</v>
      </c>
    </row>
    <row r="2982" spans="1:9" x14ac:dyDescent="0.25">
      <c r="A2982" t="s">
        <v>4</v>
      </c>
      <c r="B2982" s="1">
        <v>19.96</v>
      </c>
      <c r="C2982" s="1">
        <v>19.97</v>
      </c>
      <c r="D2982" s="2" t="s">
        <v>367</v>
      </c>
      <c r="E2982" s="8">
        <v>3015.1044999999999</v>
      </c>
      <c r="F2982" s="8">
        <f t="shared" si="0"/>
        <v>0</v>
      </c>
      <c r="G2982" s="8">
        <f>E2982+F2982</f>
        <v>3015.1044999999999</v>
      </c>
      <c r="H2982" s="3">
        <f>B2982*G2982</f>
        <v>60181.485820000002</v>
      </c>
      <c r="I2982" s="3">
        <f>C2982*G2982</f>
        <v>60211.636864999993</v>
      </c>
    </row>
    <row r="2983" spans="1:9" x14ac:dyDescent="0.25">
      <c r="A2983" t="s">
        <v>6</v>
      </c>
      <c r="B2983" s="1">
        <v>32.68</v>
      </c>
      <c r="C2983" s="1">
        <v>32.69</v>
      </c>
      <c r="D2983" s="2" t="s">
        <v>367</v>
      </c>
      <c r="E2983" s="8">
        <v>1842.2113999999999</v>
      </c>
      <c r="F2983" s="8">
        <f t="shared" si="0"/>
        <v>-0.1</v>
      </c>
      <c r="G2983" s="8">
        <f>E2983+F2983</f>
        <v>1842.1114</v>
      </c>
      <c r="H2983" s="3">
        <f>B2983*G2983</f>
        <v>60200.200552000002</v>
      </c>
      <c r="I2983" s="3">
        <f>C2983*G2983</f>
        <v>60218.621665999999</v>
      </c>
    </row>
    <row r="2984" spans="1:9" x14ac:dyDescent="0.25">
      <c r="A2984" t="s">
        <v>7</v>
      </c>
      <c r="B2984" s="1">
        <v>16.97</v>
      </c>
      <c r="C2984" s="1">
        <v>16.98</v>
      </c>
      <c r="D2984" s="2" t="s">
        <v>367</v>
      </c>
      <c r="E2984" s="8">
        <v>3546.8051999999998</v>
      </c>
      <c r="F2984" s="8">
        <f t="shared" si="0"/>
        <v>0</v>
      </c>
      <c r="G2984" s="8">
        <f>E2984+F2984</f>
        <v>3546.8051999999998</v>
      </c>
      <c r="H2984" s="3">
        <f>B2984*G2984</f>
        <v>60189.284243999995</v>
      </c>
      <c r="I2984" s="3">
        <f>C2984*G2984</f>
        <v>60224.752295999999</v>
      </c>
    </row>
    <row r="2985" spans="1:9" x14ac:dyDescent="0.25">
      <c r="A2985" t="s">
        <v>8</v>
      </c>
      <c r="B2985" s="1">
        <v>26.62</v>
      </c>
      <c r="C2985" s="1">
        <v>26.63</v>
      </c>
      <c r="D2985" s="2" t="s">
        <v>367</v>
      </c>
      <c r="E2985" s="8">
        <v>2261.4252999999999</v>
      </c>
      <c r="F2985" s="8">
        <f t="shared" si="0"/>
        <v>-0.2</v>
      </c>
      <c r="G2985" s="8">
        <f>E2985+F2985</f>
        <v>2261.2253000000001</v>
      </c>
      <c r="H2985" s="3">
        <f>B2985*G2985</f>
        <v>60193.817486000007</v>
      </c>
      <c r="I2985" s="3">
        <f>C2985*G2985</f>
        <v>60216.429738999999</v>
      </c>
    </row>
    <row r="2986" spans="1:9" x14ac:dyDescent="0.25">
      <c r="A2986" t="s">
        <v>9</v>
      </c>
      <c r="B2986" s="1">
        <v>63.54</v>
      </c>
      <c r="C2986" s="1">
        <v>63.65</v>
      </c>
      <c r="D2986" s="2" t="s">
        <v>367</v>
      </c>
      <c r="E2986" s="8">
        <v>946.19489999999996</v>
      </c>
      <c r="F2986" s="8">
        <f t="shared" ref="F2986:F3049" si="1">F2976</f>
        <v>0</v>
      </c>
      <c r="G2986" s="8">
        <f>E2986+F2986</f>
        <v>946.19489999999996</v>
      </c>
      <c r="H2986" s="3">
        <f>B2986*G2986</f>
        <v>60121.223945999998</v>
      </c>
      <c r="I2986" s="3">
        <f>C2986*G2986</f>
        <v>60225.305385</v>
      </c>
    </row>
    <row r="2987" spans="1:9" x14ac:dyDescent="0.25">
      <c r="A2987" t="s">
        <v>10</v>
      </c>
      <c r="B2987" s="1">
        <v>34.78</v>
      </c>
      <c r="C2987" s="1">
        <v>34.81</v>
      </c>
      <c r="D2987" s="2" t="s">
        <v>367</v>
      </c>
      <c r="E2987" s="8">
        <v>1730.1987999999999</v>
      </c>
      <c r="F2987" s="8">
        <f t="shared" si="1"/>
        <v>0.2</v>
      </c>
      <c r="G2987" s="8">
        <f>E2987+F2987</f>
        <v>1730.3987999999999</v>
      </c>
      <c r="H2987" s="3">
        <f>B2987*G2987</f>
        <v>60183.270263999999</v>
      </c>
      <c r="I2987" s="3">
        <f>C2987*G2987</f>
        <v>60235.182228000005</v>
      </c>
    </row>
    <row r="2988" spans="1:9" x14ac:dyDescent="0.25">
      <c r="A2988" t="s">
        <v>11</v>
      </c>
      <c r="B2988" s="1">
        <v>52.39</v>
      </c>
      <c r="C2988" s="1">
        <v>52.4</v>
      </c>
      <c r="D2988" s="2" t="s">
        <v>367</v>
      </c>
      <c r="E2988" s="8">
        <v>1148.9242999999999</v>
      </c>
      <c r="F2988" s="8">
        <f t="shared" si="1"/>
        <v>0.05</v>
      </c>
      <c r="G2988" s="8">
        <f>E2988+F2988</f>
        <v>1148.9742999999999</v>
      </c>
      <c r="H2988" s="3">
        <f>B2988*G2988</f>
        <v>60194.763576999991</v>
      </c>
      <c r="I2988" s="3">
        <f>C2988*G2988</f>
        <v>60206.253319999989</v>
      </c>
    </row>
    <row r="2989" spans="1:9" x14ac:dyDescent="0.25">
      <c r="A2989" t="s">
        <v>12</v>
      </c>
      <c r="B2989" s="1">
        <v>46.69</v>
      </c>
      <c r="C2989" s="1">
        <v>46.7</v>
      </c>
      <c r="D2989" s="2" t="s">
        <v>367</v>
      </c>
      <c r="E2989" s="8">
        <v>1289.4385000000002</v>
      </c>
      <c r="F2989" s="8">
        <f t="shared" si="1"/>
        <v>0</v>
      </c>
      <c r="G2989" s="8">
        <f>E2989+F2989</f>
        <v>1289.4385000000002</v>
      </c>
      <c r="H2989" s="3">
        <f>B2989*G2989</f>
        <v>60203.883565000004</v>
      </c>
      <c r="I2989" s="3">
        <f>C2989*G2989</f>
        <v>60216.777950000011</v>
      </c>
    </row>
    <row r="2990" spans="1:9" x14ac:dyDescent="0.25">
      <c r="A2990" t="s">
        <v>13</v>
      </c>
      <c r="B2990" s="1">
        <v>17.02</v>
      </c>
      <c r="C2990" s="1">
        <v>17.03</v>
      </c>
      <c r="D2990" s="2" t="s">
        <v>367</v>
      </c>
      <c r="E2990" s="8">
        <v>3535.8029000000001</v>
      </c>
      <c r="F2990" s="8">
        <f t="shared" si="1"/>
        <v>0</v>
      </c>
      <c r="G2990" s="8">
        <f>E2990+F2990</f>
        <v>3535.8029000000001</v>
      </c>
      <c r="H2990" s="3">
        <f>B2990*G2990</f>
        <v>60179.365358000003</v>
      </c>
      <c r="I2990" s="3">
        <f>C2990*G2990</f>
        <v>60214.723387000005</v>
      </c>
    </row>
    <row r="2991" spans="1:9" x14ac:dyDescent="0.25">
      <c r="A2991" t="s">
        <v>14</v>
      </c>
      <c r="B2991" s="1">
        <v>34.1</v>
      </c>
      <c r="C2991" s="1">
        <v>34.11</v>
      </c>
      <c r="D2991" s="2" t="s">
        <v>367</v>
      </c>
      <c r="E2991" s="8">
        <v>1765.1682000000001</v>
      </c>
      <c r="F2991" s="8">
        <f t="shared" si="1"/>
        <v>0.2</v>
      </c>
      <c r="G2991" s="8">
        <f>E2991+F2991</f>
        <v>1765.3682000000001</v>
      </c>
      <c r="H2991" s="3">
        <f>B2991*G2991</f>
        <v>60199.055620000006</v>
      </c>
      <c r="I2991" s="3">
        <f>C2991*G2991</f>
        <v>60216.709302000003</v>
      </c>
    </row>
    <row r="2992" spans="1:9" x14ac:dyDescent="0.25">
      <c r="A2992" t="s">
        <v>4</v>
      </c>
      <c r="B2992" s="1">
        <v>19.91</v>
      </c>
      <c r="C2992" s="1">
        <v>19.920000000000002</v>
      </c>
      <c r="D2992" s="2" t="s">
        <v>368</v>
      </c>
      <c r="E2992" s="8">
        <v>3015.1044999999999</v>
      </c>
      <c r="F2992" s="8">
        <f t="shared" si="1"/>
        <v>0</v>
      </c>
      <c r="G2992" s="8">
        <f>E2992+F2992</f>
        <v>3015.1044999999999</v>
      </c>
      <c r="H2992" s="3">
        <f>B2992*G2992</f>
        <v>60030.730595000001</v>
      </c>
      <c r="I2992" s="3">
        <f>C2992*G2992</f>
        <v>60060.881640000007</v>
      </c>
    </row>
    <row r="2993" spans="1:9" x14ac:dyDescent="0.25">
      <c r="A2993" t="s">
        <v>6</v>
      </c>
      <c r="B2993" s="1">
        <v>32.590000000000003</v>
      </c>
      <c r="C2993" s="1">
        <v>32.6</v>
      </c>
      <c r="D2993" s="2" t="s">
        <v>368</v>
      </c>
      <c r="E2993" s="8">
        <v>1842.2113999999999</v>
      </c>
      <c r="F2993" s="8">
        <f t="shared" si="1"/>
        <v>-0.1</v>
      </c>
      <c r="G2993" s="8">
        <f>E2993+F2993</f>
        <v>1842.1114</v>
      </c>
      <c r="H2993" s="3">
        <f>B2993*G2993</f>
        <v>60034.410526000007</v>
      </c>
      <c r="I2993" s="3">
        <f>C2993*G2993</f>
        <v>60052.831640000004</v>
      </c>
    </row>
    <row r="2994" spans="1:9" x14ac:dyDescent="0.25">
      <c r="A2994" t="s">
        <v>7</v>
      </c>
      <c r="B2994" s="1">
        <v>16.920000000000002</v>
      </c>
      <c r="C2994" s="1">
        <v>16.93</v>
      </c>
      <c r="D2994" s="2" t="s">
        <v>368</v>
      </c>
      <c r="E2994" s="8">
        <v>3546.8051999999998</v>
      </c>
      <c r="F2994" s="8">
        <f t="shared" si="1"/>
        <v>0</v>
      </c>
      <c r="G2994" s="8">
        <f>E2994+F2994</f>
        <v>3546.8051999999998</v>
      </c>
      <c r="H2994" s="3">
        <f>B2994*G2994</f>
        <v>60011.943984000005</v>
      </c>
      <c r="I2994" s="3">
        <f>C2994*G2994</f>
        <v>60047.412035999994</v>
      </c>
    </row>
    <row r="2995" spans="1:9" x14ac:dyDescent="0.25">
      <c r="A2995" t="s">
        <v>8</v>
      </c>
      <c r="B2995" s="1">
        <v>26.55</v>
      </c>
      <c r="C2995" s="1">
        <v>26.56</v>
      </c>
      <c r="D2995" s="2" t="s">
        <v>368</v>
      </c>
      <c r="E2995" s="8">
        <v>2261.4252999999999</v>
      </c>
      <c r="F2995" s="8">
        <f t="shared" si="1"/>
        <v>-0.2</v>
      </c>
      <c r="G2995" s="8">
        <f>E2995+F2995</f>
        <v>2261.2253000000001</v>
      </c>
      <c r="H2995" s="3">
        <f>B2995*G2995</f>
        <v>60035.531715000005</v>
      </c>
      <c r="I2995" s="3">
        <f>C2995*G2995</f>
        <v>60058.143967999997</v>
      </c>
    </row>
    <row r="2996" spans="1:9" x14ac:dyDescent="0.25">
      <c r="A2996" t="s">
        <v>9</v>
      </c>
      <c r="B2996" s="1">
        <v>63.39</v>
      </c>
      <c r="C2996" s="1">
        <v>63.5</v>
      </c>
      <c r="D2996" s="2" t="s">
        <v>368</v>
      </c>
      <c r="E2996" s="8">
        <v>946.19489999999996</v>
      </c>
      <c r="F2996" s="8">
        <f t="shared" si="1"/>
        <v>0</v>
      </c>
      <c r="G2996" s="8">
        <f>E2996+F2996</f>
        <v>946.19489999999996</v>
      </c>
      <c r="H2996" s="3">
        <f>B2996*G2996</f>
        <v>59979.294710999995</v>
      </c>
      <c r="I2996" s="3">
        <f>C2996*G2996</f>
        <v>60083.376149999996</v>
      </c>
    </row>
    <row r="2997" spans="1:9" x14ac:dyDescent="0.25">
      <c r="A2997" t="s">
        <v>10</v>
      </c>
      <c r="B2997" s="1">
        <v>34.700000000000003</v>
      </c>
      <c r="C2997" s="1">
        <v>34.72</v>
      </c>
      <c r="D2997" s="2" t="s">
        <v>368</v>
      </c>
      <c r="E2997" s="8">
        <v>1730.1987999999999</v>
      </c>
      <c r="F2997" s="8">
        <f t="shared" si="1"/>
        <v>0.2</v>
      </c>
      <c r="G2997" s="8">
        <f>E2997+F2997</f>
        <v>1730.3987999999999</v>
      </c>
      <c r="H2997" s="3">
        <f>B2997*G2997</f>
        <v>60044.838360000002</v>
      </c>
      <c r="I2997" s="3">
        <f>C2997*G2997</f>
        <v>60079.446335999994</v>
      </c>
    </row>
    <row r="2998" spans="1:9" x14ac:dyDescent="0.25">
      <c r="A2998" t="s">
        <v>11</v>
      </c>
      <c r="B2998" s="1">
        <v>52.26</v>
      </c>
      <c r="C2998" s="1">
        <v>52.27</v>
      </c>
      <c r="D2998" s="2" t="s">
        <v>368</v>
      </c>
      <c r="E2998" s="8">
        <v>1148.9242999999999</v>
      </c>
      <c r="F2998" s="8">
        <f t="shared" si="1"/>
        <v>0.05</v>
      </c>
      <c r="G2998" s="8">
        <f>E2998+F2998</f>
        <v>1148.9742999999999</v>
      </c>
      <c r="H2998" s="3">
        <f>B2998*G2998</f>
        <v>60045.396917999991</v>
      </c>
      <c r="I2998" s="3">
        <f>C2998*G2998</f>
        <v>60056.886660999997</v>
      </c>
    </row>
    <row r="2999" spans="1:9" x14ac:dyDescent="0.25">
      <c r="A2999" t="s">
        <v>12</v>
      </c>
      <c r="B2999" s="1">
        <v>46.57</v>
      </c>
      <c r="C2999" s="1">
        <v>46.58</v>
      </c>
      <c r="D2999" s="2" t="s">
        <v>368</v>
      </c>
      <c r="E2999" s="8">
        <v>1289.4385000000002</v>
      </c>
      <c r="F2999" s="8">
        <f t="shared" si="1"/>
        <v>0</v>
      </c>
      <c r="G2999" s="8">
        <f>E2999+F2999</f>
        <v>1289.4385000000002</v>
      </c>
      <c r="H2999" s="3">
        <f>B2999*G2999</f>
        <v>60049.150945000009</v>
      </c>
      <c r="I2999" s="3">
        <f>C2999*G2999</f>
        <v>60062.045330000008</v>
      </c>
    </row>
    <row r="3000" spans="1:9" x14ac:dyDescent="0.25">
      <c r="A3000" t="s">
        <v>13</v>
      </c>
      <c r="B3000" s="1">
        <v>16.98</v>
      </c>
      <c r="C3000" s="1">
        <v>16.989999999999998</v>
      </c>
      <c r="D3000" s="2" t="s">
        <v>368</v>
      </c>
      <c r="E3000" s="8">
        <v>3535.8029000000001</v>
      </c>
      <c r="F3000" s="8">
        <f t="shared" si="1"/>
        <v>0</v>
      </c>
      <c r="G3000" s="8">
        <f>E3000+F3000</f>
        <v>3535.8029000000001</v>
      </c>
      <c r="H3000" s="3">
        <f>B3000*G3000</f>
        <v>60037.933242000006</v>
      </c>
      <c r="I3000" s="3">
        <f>C3000*G3000</f>
        <v>60073.291270999995</v>
      </c>
    </row>
    <row r="3001" spans="1:9" x14ac:dyDescent="0.25">
      <c r="A3001" t="s">
        <v>14</v>
      </c>
      <c r="B3001" s="1">
        <v>34.01</v>
      </c>
      <c r="C3001" s="1">
        <v>34.020000000000003</v>
      </c>
      <c r="D3001" s="2" t="s">
        <v>368</v>
      </c>
      <c r="E3001" s="8">
        <v>1765.1682000000001</v>
      </c>
      <c r="F3001" s="8">
        <f t="shared" si="1"/>
        <v>0.2</v>
      </c>
      <c r="G3001" s="8">
        <f>E3001+F3001</f>
        <v>1765.3682000000001</v>
      </c>
      <c r="H3001" s="3">
        <f>B3001*G3001</f>
        <v>60040.172482000002</v>
      </c>
      <c r="I3001" s="3">
        <f>C3001*G3001</f>
        <v>60057.826164000013</v>
      </c>
    </row>
    <row r="3002" spans="1:9" x14ac:dyDescent="0.25">
      <c r="A3002" t="s">
        <v>4</v>
      </c>
      <c r="B3002" s="1">
        <v>19.93</v>
      </c>
      <c r="C3002" s="1">
        <v>19.940000000000001</v>
      </c>
      <c r="D3002" s="2" t="s">
        <v>369</v>
      </c>
      <c r="E3002" s="8">
        <v>3015.1044999999999</v>
      </c>
      <c r="F3002" s="8">
        <f t="shared" si="1"/>
        <v>0</v>
      </c>
      <c r="G3002" s="8">
        <f>E3002+F3002</f>
        <v>3015.1044999999999</v>
      </c>
      <c r="H3002" s="3">
        <f>B3002*G3002</f>
        <v>60091.032684999998</v>
      </c>
      <c r="I3002" s="3">
        <f>C3002*G3002</f>
        <v>60121.183730000004</v>
      </c>
    </row>
    <row r="3003" spans="1:9" x14ac:dyDescent="0.25">
      <c r="A3003" t="s">
        <v>6</v>
      </c>
      <c r="B3003" s="1">
        <v>32.630000000000003</v>
      </c>
      <c r="C3003" s="1">
        <v>32.64</v>
      </c>
      <c r="D3003" s="2" t="s">
        <v>369</v>
      </c>
      <c r="E3003" s="8">
        <v>1842.2113999999999</v>
      </c>
      <c r="F3003" s="8">
        <f t="shared" si="1"/>
        <v>-0.1</v>
      </c>
      <c r="G3003" s="8">
        <f>E3003+F3003</f>
        <v>1842.1114</v>
      </c>
      <c r="H3003" s="3">
        <f>B3003*G3003</f>
        <v>60108.094982000002</v>
      </c>
      <c r="I3003" s="3">
        <f>C3003*G3003</f>
        <v>60126.516095999999</v>
      </c>
    </row>
    <row r="3004" spans="1:9" x14ac:dyDescent="0.25">
      <c r="A3004" t="s">
        <v>7</v>
      </c>
      <c r="B3004" s="1">
        <v>16.940000000000001</v>
      </c>
      <c r="C3004" s="1">
        <v>16.95</v>
      </c>
      <c r="D3004" s="2" t="s">
        <v>369</v>
      </c>
      <c r="E3004" s="8">
        <v>3546.8051999999998</v>
      </c>
      <c r="F3004" s="8">
        <f t="shared" si="1"/>
        <v>0</v>
      </c>
      <c r="G3004" s="8">
        <f>E3004+F3004</f>
        <v>3546.8051999999998</v>
      </c>
      <c r="H3004" s="3">
        <f>B3004*G3004</f>
        <v>60082.880087999998</v>
      </c>
      <c r="I3004" s="3">
        <f>C3004*G3004</f>
        <v>60118.348139999995</v>
      </c>
    </row>
    <row r="3005" spans="1:9" x14ac:dyDescent="0.25">
      <c r="A3005" t="s">
        <v>8</v>
      </c>
      <c r="B3005" s="1">
        <v>26.57</v>
      </c>
      <c r="C3005" s="1">
        <v>26.58</v>
      </c>
      <c r="D3005" s="2" t="s">
        <v>369</v>
      </c>
      <c r="E3005" s="8">
        <v>2261.4252999999999</v>
      </c>
      <c r="F3005" s="8">
        <f t="shared" si="1"/>
        <v>-0.2</v>
      </c>
      <c r="G3005" s="8">
        <f>E3005+F3005</f>
        <v>2261.2253000000001</v>
      </c>
      <c r="H3005" s="3">
        <f>B3005*G3005</f>
        <v>60080.756221000003</v>
      </c>
      <c r="I3005" s="3">
        <f>C3005*G3005</f>
        <v>60103.368473999995</v>
      </c>
    </row>
    <row r="3006" spans="1:9" x14ac:dyDescent="0.25">
      <c r="A3006" t="s">
        <v>9</v>
      </c>
      <c r="B3006" s="1">
        <v>63.43</v>
      </c>
      <c r="C3006" s="1">
        <v>63.54</v>
      </c>
      <c r="D3006" s="2" t="s">
        <v>369</v>
      </c>
      <c r="E3006" s="8">
        <v>946.19489999999996</v>
      </c>
      <c r="F3006" s="8">
        <f t="shared" si="1"/>
        <v>0</v>
      </c>
      <c r="G3006" s="8">
        <f>E3006+F3006</f>
        <v>946.19489999999996</v>
      </c>
      <c r="H3006" s="3">
        <f>B3006*G3006</f>
        <v>60017.142506999997</v>
      </c>
      <c r="I3006" s="3">
        <f>C3006*G3006</f>
        <v>60121.223945999998</v>
      </c>
    </row>
    <row r="3007" spans="1:9" x14ac:dyDescent="0.25">
      <c r="A3007" t="s">
        <v>10</v>
      </c>
      <c r="B3007" s="1">
        <v>34.729999999999997</v>
      </c>
      <c r="C3007" s="1">
        <v>34.75</v>
      </c>
      <c r="D3007" s="2" t="s">
        <v>369</v>
      </c>
      <c r="E3007" s="8">
        <v>1730.1987999999999</v>
      </c>
      <c r="F3007" s="8">
        <f t="shared" si="1"/>
        <v>0.2</v>
      </c>
      <c r="G3007" s="8">
        <f>E3007+F3007</f>
        <v>1730.3987999999999</v>
      </c>
      <c r="H3007" s="3">
        <f>B3007*G3007</f>
        <v>60096.750323999993</v>
      </c>
      <c r="I3007" s="3">
        <f>C3007*G3007</f>
        <v>60131.3583</v>
      </c>
    </row>
    <row r="3008" spans="1:9" x14ac:dyDescent="0.25">
      <c r="A3008" t="s">
        <v>11</v>
      </c>
      <c r="B3008" s="1">
        <v>52.3</v>
      </c>
      <c r="C3008" s="1">
        <v>52.31</v>
      </c>
      <c r="D3008" s="2" t="s">
        <v>369</v>
      </c>
      <c r="E3008" s="8">
        <v>1148.9242999999999</v>
      </c>
      <c r="F3008" s="8">
        <f t="shared" si="1"/>
        <v>0.05</v>
      </c>
      <c r="G3008" s="8">
        <f>E3008+F3008</f>
        <v>1148.9742999999999</v>
      </c>
      <c r="H3008" s="3">
        <f>B3008*G3008</f>
        <v>60091.355889999992</v>
      </c>
      <c r="I3008" s="3">
        <f>C3008*G3008</f>
        <v>60102.845632999997</v>
      </c>
    </row>
    <row r="3009" spans="1:9" x14ac:dyDescent="0.25">
      <c r="A3009" t="s">
        <v>12</v>
      </c>
      <c r="B3009" s="1">
        <v>46.61</v>
      </c>
      <c r="C3009" s="1">
        <v>46.62</v>
      </c>
      <c r="D3009" s="2" t="s">
        <v>369</v>
      </c>
      <c r="E3009" s="8">
        <v>1289.4385000000002</v>
      </c>
      <c r="F3009" s="8">
        <f t="shared" si="1"/>
        <v>0</v>
      </c>
      <c r="G3009" s="8">
        <f>E3009+F3009</f>
        <v>1289.4385000000002</v>
      </c>
      <c r="H3009" s="3">
        <f>B3009*G3009</f>
        <v>60100.728485000007</v>
      </c>
      <c r="I3009" s="3">
        <f>C3009*G3009</f>
        <v>60113.622870000007</v>
      </c>
    </row>
    <row r="3010" spans="1:9" x14ac:dyDescent="0.25">
      <c r="A3010" t="s">
        <v>13</v>
      </c>
      <c r="B3010" s="1">
        <v>17</v>
      </c>
      <c r="C3010" s="1">
        <v>17.010000000000002</v>
      </c>
      <c r="D3010" s="2" t="s">
        <v>369</v>
      </c>
      <c r="E3010" s="8">
        <v>3535.8029000000001</v>
      </c>
      <c r="F3010" s="8">
        <f t="shared" si="1"/>
        <v>0</v>
      </c>
      <c r="G3010" s="8">
        <f>E3010+F3010</f>
        <v>3535.8029000000001</v>
      </c>
      <c r="H3010" s="3">
        <f>B3010*G3010</f>
        <v>60108.649300000005</v>
      </c>
      <c r="I3010" s="3">
        <f>C3010*G3010</f>
        <v>60144.007329000007</v>
      </c>
    </row>
    <row r="3011" spans="1:9" x14ac:dyDescent="0.25">
      <c r="A3011" t="s">
        <v>14</v>
      </c>
      <c r="B3011" s="1">
        <v>34.049999999999997</v>
      </c>
      <c r="C3011" s="1">
        <v>34.06</v>
      </c>
      <c r="D3011" s="2" t="s">
        <v>369</v>
      </c>
      <c r="E3011" s="8">
        <v>1765.1682000000001</v>
      </c>
      <c r="F3011" s="8">
        <f t="shared" si="1"/>
        <v>0.2</v>
      </c>
      <c r="G3011" s="8">
        <f>E3011+F3011</f>
        <v>1765.3682000000001</v>
      </c>
      <c r="H3011" s="3">
        <f>B3011*G3011</f>
        <v>60110.787210000002</v>
      </c>
      <c r="I3011" s="3">
        <f>C3011*G3011</f>
        <v>60128.440892000006</v>
      </c>
    </row>
    <row r="3012" spans="1:9" x14ac:dyDescent="0.25">
      <c r="A3012" t="s">
        <v>4</v>
      </c>
      <c r="B3012" s="1">
        <v>19.89</v>
      </c>
      <c r="C3012" s="1">
        <v>19.899999999999999</v>
      </c>
      <c r="D3012" s="2" t="s">
        <v>370</v>
      </c>
      <c r="E3012" s="8">
        <v>3015.1044999999999</v>
      </c>
      <c r="F3012" s="8">
        <f t="shared" si="1"/>
        <v>0</v>
      </c>
      <c r="G3012" s="8">
        <f>E3012+F3012</f>
        <v>3015.1044999999999</v>
      </c>
      <c r="H3012" s="3">
        <f>B3012*G3012</f>
        <v>59970.428505000003</v>
      </c>
      <c r="I3012" s="3">
        <f>C3012*G3012</f>
        <v>60000.579549999995</v>
      </c>
    </row>
    <row r="3013" spans="1:9" x14ac:dyDescent="0.25">
      <c r="A3013" t="s">
        <v>6</v>
      </c>
      <c r="B3013" s="1">
        <v>32.57</v>
      </c>
      <c r="C3013" s="1">
        <v>32.58</v>
      </c>
      <c r="D3013" s="2" t="s">
        <v>370</v>
      </c>
      <c r="E3013" s="8">
        <v>1842.2113999999999</v>
      </c>
      <c r="F3013" s="8">
        <f t="shared" si="1"/>
        <v>-0.1</v>
      </c>
      <c r="G3013" s="8">
        <f>E3013+F3013</f>
        <v>1842.1114</v>
      </c>
      <c r="H3013" s="3">
        <f>B3013*G3013</f>
        <v>59997.568297999998</v>
      </c>
      <c r="I3013" s="3">
        <f>C3013*G3013</f>
        <v>60015.989411999995</v>
      </c>
    </row>
    <row r="3014" spans="1:9" x14ac:dyDescent="0.25">
      <c r="A3014" t="s">
        <v>7</v>
      </c>
      <c r="B3014" s="1">
        <v>16.91</v>
      </c>
      <c r="C3014" s="1">
        <v>16.920000000000002</v>
      </c>
      <c r="D3014" s="2" t="s">
        <v>370</v>
      </c>
      <c r="E3014" s="8">
        <v>3546.8051999999998</v>
      </c>
      <c r="F3014" s="8">
        <f t="shared" si="1"/>
        <v>0</v>
      </c>
      <c r="G3014" s="8">
        <f>E3014+F3014</f>
        <v>3546.8051999999998</v>
      </c>
      <c r="H3014" s="3">
        <f>B3014*G3014</f>
        <v>59976.475931999994</v>
      </c>
      <c r="I3014" s="3">
        <f>C3014*G3014</f>
        <v>60011.943984000005</v>
      </c>
    </row>
    <row r="3015" spans="1:9" x14ac:dyDescent="0.25">
      <c r="A3015" t="s">
        <v>8</v>
      </c>
      <c r="B3015" s="1">
        <v>26.53</v>
      </c>
      <c r="C3015" s="1">
        <v>26.54</v>
      </c>
      <c r="D3015" s="2" t="s">
        <v>370</v>
      </c>
      <c r="E3015" s="8">
        <v>2261.4252999999999</v>
      </c>
      <c r="F3015" s="8">
        <f t="shared" si="1"/>
        <v>-0.2</v>
      </c>
      <c r="G3015" s="8">
        <f>E3015+F3015</f>
        <v>2261.2253000000001</v>
      </c>
      <c r="H3015" s="3">
        <f>B3015*G3015</f>
        <v>59990.307209000006</v>
      </c>
      <c r="I3015" s="3">
        <f>C3015*G3015</f>
        <v>60012.919461999998</v>
      </c>
    </row>
    <row r="3016" spans="1:9" x14ac:dyDescent="0.25">
      <c r="A3016" t="s">
        <v>9</v>
      </c>
      <c r="B3016" s="1">
        <v>63.36</v>
      </c>
      <c r="C3016" s="1">
        <v>63.45</v>
      </c>
      <c r="D3016" s="2" t="s">
        <v>370</v>
      </c>
      <c r="E3016" s="8">
        <v>946.19489999999996</v>
      </c>
      <c r="F3016" s="8">
        <f t="shared" si="1"/>
        <v>0</v>
      </c>
      <c r="G3016" s="8">
        <f>E3016+F3016</f>
        <v>946.19489999999996</v>
      </c>
      <c r="H3016" s="3">
        <f>B3016*G3016</f>
        <v>59950.908863999997</v>
      </c>
      <c r="I3016" s="3">
        <f>C3016*G3016</f>
        <v>60036.066404999998</v>
      </c>
    </row>
    <row r="3017" spans="1:9" x14ac:dyDescent="0.25">
      <c r="A3017" t="s">
        <v>10</v>
      </c>
      <c r="B3017" s="1">
        <v>34.67</v>
      </c>
      <c r="C3017" s="1">
        <v>34.69</v>
      </c>
      <c r="D3017" s="2" t="s">
        <v>370</v>
      </c>
      <c r="E3017" s="8">
        <v>1730.1987999999999</v>
      </c>
      <c r="F3017" s="8">
        <f t="shared" si="1"/>
        <v>0.2</v>
      </c>
      <c r="G3017" s="8">
        <f>E3017+F3017</f>
        <v>1730.3987999999999</v>
      </c>
      <c r="H3017" s="3">
        <f>B3017*G3017</f>
        <v>59992.926396000003</v>
      </c>
      <c r="I3017" s="3">
        <f>C3017*G3017</f>
        <v>60027.534371999995</v>
      </c>
    </row>
    <row r="3018" spans="1:9" x14ac:dyDescent="0.25">
      <c r="A3018" t="s">
        <v>11</v>
      </c>
      <c r="B3018" s="1">
        <v>52.21</v>
      </c>
      <c r="C3018" s="1">
        <v>52.22</v>
      </c>
      <c r="D3018" s="2" t="s">
        <v>370</v>
      </c>
      <c r="E3018" s="8">
        <v>1148.9242999999999</v>
      </c>
      <c r="F3018" s="8">
        <f t="shared" si="1"/>
        <v>0.05</v>
      </c>
      <c r="G3018" s="8">
        <f>E3018+F3018</f>
        <v>1148.9742999999999</v>
      </c>
      <c r="H3018" s="3">
        <f>B3018*G3018</f>
        <v>59987.948202999993</v>
      </c>
      <c r="I3018" s="3">
        <f>C3018*G3018</f>
        <v>59999.437945999991</v>
      </c>
    </row>
    <row r="3019" spans="1:9" x14ac:dyDescent="0.25">
      <c r="A3019" t="s">
        <v>12</v>
      </c>
      <c r="B3019" s="1">
        <v>46.53</v>
      </c>
      <c r="C3019" s="1">
        <v>46.54</v>
      </c>
      <c r="D3019" s="2" t="s">
        <v>370</v>
      </c>
      <c r="E3019" s="8">
        <v>1289.4385000000002</v>
      </c>
      <c r="F3019" s="8">
        <f t="shared" si="1"/>
        <v>0</v>
      </c>
      <c r="G3019" s="8">
        <f>E3019+F3019</f>
        <v>1289.4385000000002</v>
      </c>
      <c r="H3019" s="3">
        <f>B3019*G3019</f>
        <v>59997.57340500001</v>
      </c>
      <c r="I3019" s="3">
        <f>C3019*G3019</f>
        <v>60010.46779000001</v>
      </c>
    </row>
    <row r="3020" spans="1:9" x14ac:dyDescent="0.25">
      <c r="A3020" t="s">
        <v>13</v>
      </c>
      <c r="B3020" s="1">
        <v>16.97</v>
      </c>
      <c r="C3020" s="1">
        <v>16.98</v>
      </c>
      <c r="D3020" s="2" t="s">
        <v>370</v>
      </c>
      <c r="E3020" s="8">
        <v>3535.8029000000001</v>
      </c>
      <c r="F3020" s="8">
        <f t="shared" si="1"/>
        <v>0</v>
      </c>
      <c r="G3020" s="8">
        <f>E3020+F3020</f>
        <v>3535.8029000000001</v>
      </c>
      <c r="H3020" s="3">
        <f>B3020*G3020</f>
        <v>60002.575212999996</v>
      </c>
      <c r="I3020" s="3">
        <f>C3020*G3020</f>
        <v>60037.933242000006</v>
      </c>
    </row>
    <row r="3021" spans="1:9" x14ac:dyDescent="0.25">
      <c r="A3021" t="s">
        <v>14</v>
      </c>
      <c r="B3021" s="1">
        <v>33.99</v>
      </c>
      <c r="C3021" s="1">
        <v>34</v>
      </c>
      <c r="D3021" s="2" t="s">
        <v>370</v>
      </c>
      <c r="E3021" s="8">
        <v>1765.1682000000001</v>
      </c>
      <c r="F3021" s="8">
        <f t="shared" si="1"/>
        <v>0.2</v>
      </c>
      <c r="G3021" s="8">
        <f>E3021+F3021</f>
        <v>1765.3682000000001</v>
      </c>
      <c r="H3021" s="3">
        <f>B3021*G3021</f>
        <v>60004.865118000009</v>
      </c>
      <c r="I3021" s="3">
        <f>C3021*G3021</f>
        <v>60022.518800000005</v>
      </c>
    </row>
    <row r="3022" spans="1:9" x14ac:dyDescent="0.25">
      <c r="A3022" t="s">
        <v>4</v>
      </c>
      <c r="B3022" s="1">
        <v>19.899999999999999</v>
      </c>
      <c r="C3022" s="1">
        <v>19.91</v>
      </c>
      <c r="D3022" s="2" t="s">
        <v>371</v>
      </c>
      <c r="E3022" s="8">
        <v>3015.1044999999999</v>
      </c>
      <c r="F3022" s="8">
        <f t="shared" si="1"/>
        <v>0</v>
      </c>
      <c r="G3022" s="8">
        <f>E3022+F3022</f>
        <v>3015.1044999999999</v>
      </c>
      <c r="H3022" s="3">
        <f>B3022*G3022</f>
        <v>60000.579549999995</v>
      </c>
      <c r="I3022" s="3">
        <f>C3022*G3022</f>
        <v>60030.730595000001</v>
      </c>
    </row>
    <row r="3023" spans="1:9" x14ac:dyDescent="0.25">
      <c r="A3023" t="s">
        <v>6</v>
      </c>
      <c r="B3023" s="1">
        <v>32.58</v>
      </c>
      <c r="C3023" s="1">
        <v>32.590000000000003</v>
      </c>
      <c r="D3023" s="2" t="s">
        <v>371</v>
      </c>
      <c r="E3023" s="8">
        <v>1842.2113999999999</v>
      </c>
      <c r="F3023" s="8">
        <f t="shared" si="1"/>
        <v>-0.1</v>
      </c>
      <c r="G3023" s="8">
        <f>E3023+F3023</f>
        <v>1842.1114</v>
      </c>
      <c r="H3023" s="3">
        <f>B3023*G3023</f>
        <v>60015.989411999995</v>
      </c>
      <c r="I3023" s="3">
        <f>C3023*G3023</f>
        <v>60034.410526000007</v>
      </c>
    </row>
    <row r="3024" spans="1:9" x14ac:dyDescent="0.25">
      <c r="A3024" t="s">
        <v>7</v>
      </c>
      <c r="B3024" s="1">
        <v>16.920000000000002</v>
      </c>
      <c r="C3024" s="1">
        <v>16.93</v>
      </c>
      <c r="D3024" s="2" t="s">
        <v>371</v>
      </c>
      <c r="E3024" s="8">
        <v>3546.8051999999998</v>
      </c>
      <c r="F3024" s="8">
        <f t="shared" si="1"/>
        <v>0</v>
      </c>
      <c r="G3024" s="8">
        <f>E3024+F3024</f>
        <v>3546.8051999999998</v>
      </c>
      <c r="H3024" s="3">
        <f>B3024*G3024</f>
        <v>60011.943984000005</v>
      </c>
      <c r="I3024" s="3">
        <f>C3024*G3024</f>
        <v>60047.412035999994</v>
      </c>
    </row>
    <row r="3025" spans="1:9" x14ac:dyDescent="0.25">
      <c r="A3025" t="s">
        <v>8</v>
      </c>
      <c r="B3025" s="1">
        <v>26.53</v>
      </c>
      <c r="C3025" s="1">
        <v>26.54</v>
      </c>
      <c r="D3025" s="2" t="s">
        <v>371</v>
      </c>
      <c r="E3025" s="8">
        <v>2261.4252999999999</v>
      </c>
      <c r="F3025" s="8">
        <f t="shared" si="1"/>
        <v>-0.2</v>
      </c>
      <c r="G3025" s="8">
        <f>E3025+F3025</f>
        <v>2261.2253000000001</v>
      </c>
      <c r="H3025" s="3">
        <f>B3025*G3025</f>
        <v>59990.307209000006</v>
      </c>
      <c r="I3025" s="3">
        <f>C3025*G3025</f>
        <v>60012.919461999998</v>
      </c>
    </row>
    <row r="3026" spans="1:9" x14ac:dyDescent="0.25">
      <c r="A3026" t="s">
        <v>9</v>
      </c>
      <c r="B3026" s="1">
        <v>63.38</v>
      </c>
      <c r="C3026" s="1">
        <v>63.47</v>
      </c>
      <c r="D3026" s="2" t="s">
        <v>371</v>
      </c>
      <c r="E3026" s="8">
        <v>946.19489999999996</v>
      </c>
      <c r="F3026" s="8">
        <f t="shared" si="1"/>
        <v>0</v>
      </c>
      <c r="G3026" s="8">
        <f>E3026+F3026</f>
        <v>946.19489999999996</v>
      </c>
      <c r="H3026" s="3">
        <f>B3026*G3026</f>
        <v>59969.832761999998</v>
      </c>
      <c r="I3026" s="3">
        <f>C3026*G3026</f>
        <v>60054.990302999999</v>
      </c>
    </row>
    <row r="3027" spans="1:9" x14ac:dyDescent="0.25">
      <c r="A3027" t="s">
        <v>10</v>
      </c>
      <c r="B3027" s="1">
        <v>34.67</v>
      </c>
      <c r="C3027" s="1">
        <v>34.700000000000003</v>
      </c>
      <c r="D3027" s="2" t="s">
        <v>371</v>
      </c>
      <c r="E3027" s="8">
        <v>1730.1987999999999</v>
      </c>
      <c r="F3027" s="8">
        <f t="shared" si="1"/>
        <v>0.2</v>
      </c>
      <c r="G3027" s="8">
        <f>E3027+F3027</f>
        <v>1730.3987999999999</v>
      </c>
      <c r="H3027" s="3">
        <f>B3027*G3027</f>
        <v>59992.926396000003</v>
      </c>
      <c r="I3027" s="3">
        <f>C3027*G3027</f>
        <v>60044.838360000002</v>
      </c>
    </row>
    <row r="3028" spans="1:9" x14ac:dyDescent="0.25">
      <c r="A3028" t="s">
        <v>11</v>
      </c>
      <c r="B3028" s="1">
        <v>52.22</v>
      </c>
      <c r="C3028" s="1">
        <v>52.23</v>
      </c>
      <c r="D3028" s="2" t="s">
        <v>371</v>
      </c>
      <c r="E3028" s="8">
        <v>1148.9242999999999</v>
      </c>
      <c r="F3028" s="8">
        <f t="shared" si="1"/>
        <v>0.05</v>
      </c>
      <c r="G3028" s="8">
        <f>E3028+F3028</f>
        <v>1148.9742999999999</v>
      </c>
      <c r="H3028" s="3">
        <f>B3028*G3028</f>
        <v>59999.437945999991</v>
      </c>
      <c r="I3028" s="3">
        <f>C3028*G3028</f>
        <v>60010.927688999989</v>
      </c>
    </row>
    <row r="3029" spans="1:9" x14ac:dyDescent="0.25">
      <c r="A3029" t="s">
        <v>12</v>
      </c>
      <c r="B3029" s="1">
        <v>46.54</v>
      </c>
      <c r="C3029" s="1">
        <v>46.55</v>
      </c>
      <c r="D3029" s="2" t="s">
        <v>371</v>
      </c>
      <c r="E3029" s="8">
        <v>1289.4385000000002</v>
      </c>
      <c r="F3029" s="8">
        <f t="shared" si="1"/>
        <v>0</v>
      </c>
      <c r="G3029" s="8">
        <f>E3029+F3029</f>
        <v>1289.4385000000002</v>
      </c>
      <c r="H3029" s="3">
        <f>B3029*G3029</f>
        <v>60010.46779000001</v>
      </c>
      <c r="I3029" s="3">
        <f>C3029*G3029</f>
        <v>60023.362175000009</v>
      </c>
    </row>
    <row r="3030" spans="1:9" x14ac:dyDescent="0.25">
      <c r="A3030" t="s">
        <v>13</v>
      </c>
      <c r="B3030" s="1">
        <v>16.97</v>
      </c>
      <c r="C3030" s="1">
        <v>16.98</v>
      </c>
      <c r="D3030" s="2" t="s">
        <v>371</v>
      </c>
      <c r="E3030" s="8">
        <v>3535.8029000000001</v>
      </c>
      <c r="F3030" s="8">
        <f t="shared" si="1"/>
        <v>0</v>
      </c>
      <c r="G3030" s="8">
        <f>E3030+F3030</f>
        <v>3535.8029000000001</v>
      </c>
      <c r="H3030" s="3">
        <f>B3030*G3030</f>
        <v>60002.575212999996</v>
      </c>
      <c r="I3030" s="3">
        <f>C3030*G3030</f>
        <v>60037.933242000006</v>
      </c>
    </row>
    <row r="3031" spans="1:9" x14ac:dyDescent="0.25">
      <c r="A3031" t="s">
        <v>14</v>
      </c>
      <c r="B3031" s="1">
        <v>33.99</v>
      </c>
      <c r="C3031" s="1">
        <v>34</v>
      </c>
      <c r="D3031" s="2" t="s">
        <v>371</v>
      </c>
      <c r="E3031" s="8">
        <v>1765.1682000000001</v>
      </c>
      <c r="F3031" s="8">
        <f t="shared" si="1"/>
        <v>0.2</v>
      </c>
      <c r="G3031" s="8">
        <f>E3031+F3031</f>
        <v>1765.3682000000001</v>
      </c>
      <c r="H3031" s="3">
        <f>B3031*G3031</f>
        <v>60004.865118000009</v>
      </c>
      <c r="I3031" s="3">
        <f>C3031*G3031</f>
        <v>60022.518800000005</v>
      </c>
    </row>
    <row r="3032" spans="1:9" x14ac:dyDescent="0.25">
      <c r="A3032" t="s">
        <v>4</v>
      </c>
      <c r="B3032" s="1">
        <v>19.87</v>
      </c>
      <c r="C3032" s="1">
        <v>19.88</v>
      </c>
      <c r="D3032" s="2" t="s">
        <v>372</v>
      </c>
      <c r="E3032" s="8">
        <v>3015.1044999999999</v>
      </c>
      <c r="F3032" s="8">
        <f t="shared" si="1"/>
        <v>0</v>
      </c>
      <c r="G3032" s="8">
        <f>E3032+F3032</f>
        <v>3015.1044999999999</v>
      </c>
      <c r="H3032" s="3">
        <f>B3032*G3032</f>
        <v>59910.126414999999</v>
      </c>
      <c r="I3032" s="3">
        <f>C3032*G3032</f>
        <v>59940.277459999998</v>
      </c>
    </row>
    <row r="3033" spans="1:9" x14ac:dyDescent="0.25">
      <c r="A3033" t="s">
        <v>6</v>
      </c>
      <c r="B3033" s="1">
        <v>32.53</v>
      </c>
      <c r="C3033" s="1">
        <v>32.54</v>
      </c>
      <c r="D3033" s="2" t="s">
        <v>372</v>
      </c>
      <c r="E3033" s="8">
        <v>1842.2113999999999</v>
      </c>
      <c r="F3033" s="8">
        <f t="shared" si="1"/>
        <v>-0.1</v>
      </c>
      <c r="G3033" s="8">
        <f>E3033+F3033</f>
        <v>1842.1114</v>
      </c>
      <c r="H3033" s="3">
        <f>B3033*G3033</f>
        <v>59923.883842000003</v>
      </c>
      <c r="I3033" s="3">
        <f>C3033*G3033</f>
        <v>59942.304956</v>
      </c>
    </row>
    <row r="3034" spans="1:9" x14ac:dyDescent="0.25">
      <c r="A3034" t="s">
        <v>7</v>
      </c>
      <c r="B3034" s="1">
        <v>16.89</v>
      </c>
      <c r="C3034" s="1">
        <v>16.899999999999999</v>
      </c>
      <c r="D3034" s="2" t="s">
        <v>372</v>
      </c>
      <c r="E3034" s="8">
        <v>3546.8051999999998</v>
      </c>
      <c r="F3034" s="8">
        <f t="shared" si="1"/>
        <v>0</v>
      </c>
      <c r="G3034" s="8">
        <f>E3034+F3034</f>
        <v>3546.8051999999998</v>
      </c>
      <c r="H3034" s="3">
        <f>B3034*G3034</f>
        <v>59905.539828000001</v>
      </c>
      <c r="I3034" s="3">
        <f>C3034*G3034</f>
        <v>59941.00787999999</v>
      </c>
    </row>
    <row r="3035" spans="1:9" x14ac:dyDescent="0.25">
      <c r="A3035" t="s">
        <v>8</v>
      </c>
      <c r="B3035" s="1">
        <v>26.5</v>
      </c>
      <c r="C3035" s="1">
        <v>26.51</v>
      </c>
      <c r="D3035" s="2" t="s">
        <v>372</v>
      </c>
      <c r="E3035" s="8">
        <v>2261.4252999999999</v>
      </c>
      <c r="F3035" s="8">
        <f t="shared" si="1"/>
        <v>-0.2</v>
      </c>
      <c r="G3035" s="8">
        <f>E3035+F3035</f>
        <v>2261.2253000000001</v>
      </c>
      <c r="H3035" s="3">
        <f>B3035*G3035</f>
        <v>59922.470450000001</v>
      </c>
      <c r="I3035" s="3">
        <f>C3035*G3035</f>
        <v>59945.082703000007</v>
      </c>
    </row>
    <row r="3036" spans="1:9" x14ac:dyDescent="0.25">
      <c r="A3036" t="s">
        <v>9</v>
      </c>
      <c r="B3036" s="1">
        <v>63.28</v>
      </c>
      <c r="C3036" s="1">
        <v>63.39</v>
      </c>
      <c r="D3036" s="2" t="s">
        <v>372</v>
      </c>
      <c r="E3036" s="8">
        <v>946.19489999999996</v>
      </c>
      <c r="F3036" s="8">
        <f t="shared" si="1"/>
        <v>0</v>
      </c>
      <c r="G3036" s="8">
        <f>E3036+F3036</f>
        <v>946.19489999999996</v>
      </c>
      <c r="H3036" s="3">
        <f>B3036*G3036</f>
        <v>59875.213272000001</v>
      </c>
      <c r="I3036" s="3">
        <f>C3036*G3036</f>
        <v>59979.294710999995</v>
      </c>
    </row>
    <row r="3037" spans="1:9" x14ac:dyDescent="0.25">
      <c r="A3037" t="s">
        <v>10</v>
      </c>
      <c r="B3037" s="1">
        <v>34.630000000000003</v>
      </c>
      <c r="C3037" s="1">
        <v>34.65</v>
      </c>
      <c r="D3037" s="2" t="s">
        <v>372</v>
      </c>
      <c r="E3037" s="8">
        <v>1730.1987999999999</v>
      </c>
      <c r="F3037" s="8">
        <f t="shared" si="1"/>
        <v>0.2</v>
      </c>
      <c r="G3037" s="8">
        <f>E3037+F3037</f>
        <v>1730.3987999999999</v>
      </c>
      <c r="H3037" s="3">
        <f>B3037*G3037</f>
        <v>59923.710444000004</v>
      </c>
      <c r="I3037" s="3">
        <f>C3037*G3037</f>
        <v>59958.318419999996</v>
      </c>
    </row>
    <row r="3038" spans="1:9" x14ac:dyDescent="0.25">
      <c r="A3038" t="s">
        <v>11</v>
      </c>
      <c r="B3038" s="1">
        <v>52.15</v>
      </c>
      <c r="C3038" s="1">
        <v>52.16</v>
      </c>
      <c r="D3038" s="2" t="s">
        <v>372</v>
      </c>
      <c r="E3038" s="8">
        <v>1148.9242999999999</v>
      </c>
      <c r="F3038" s="8">
        <f t="shared" si="1"/>
        <v>0.05</v>
      </c>
      <c r="G3038" s="8">
        <f>E3038+F3038</f>
        <v>1148.9742999999999</v>
      </c>
      <c r="H3038" s="3">
        <f>B3038*G3038</f>
        <v>59919.009744999988</v>
      </c>
      <c r="I3038" s="3">
        <f>C3038*G3038</f>
        <v>59930.499487999987</v>
      </c>
    </row>
    <row r="3039" spans="1:9" x14ac:dyDescent="0.25">
      <c r="A3039" t="s">
        <v>12</v>
      </c>
      <c r="B3039" s="1">
        <v>46.47</v>
      </c>
      <c r="C3039" s="1">
        <v>46.48</v>
      </c>
      <c r="D3039" s="2" t="s">
        <v>372</v>
      </c>
      <c r="E3039" s="8">
        <v>1289.4385000000002</v>
      </c>
      <c r="F3039" s="8">
        <f t="shared" si="1"/>
        <v>0</v>
      </c>
      <c r="G3039" s="8">
        <f>E3039+F3039</f>
        <v>1289.4385000000002</v>
      </c>
      <c r="H3039" s="3">
        <f>B3039*G3039</f>
        <v>59920.207095000005</v>
      </c>
      <c r="I3039" s="3">
        <f>C3039*G3039</f>
        <v>59933.101480000005</v>
      </c>
    </row>
    <row r="3040" spans="1:9" x14ac:dyDescent="0.25">
      <c r="A3040" t="s">
        <v>13</v>
      </c>
      <c r="B3040" s="1">
        <v>16.95</v>
      </c>
      <c r="C3040" s="1">
        <v>16.96</v>
      </c>
      <c r="D3040" s="2" t="s">
        <v>372</v>
      </c>
      <c r="E3040" s="8">
        <v>3535.8029000000001</v>
      </c>
      <c r="F3040" s="8">
        <f t="shared" si="1"/>
        <v>0</v>
      </c>
      <c r="G3040" s="8">
        <f>E3040+F3040</f>
        <v>3535.8029000000001</v>
      </c>
      <c r="H3040" s="3">
        <f>B3040*G3040</f>
        <v>59931.859154999998</v>
      </c>
      <c r="I3040" s="3">
        <f>C3040*G3040</f>
        <v>59967.217184000008</v>
      </c>
    </row>
    <row r="3041" spans="1:9" x14ac:dyDescent="0.25">
      <c r="A3041" t="s">
        <v>14</v>
      </c>
      <c r="B3041" s="1">
        <v>33.950000000000003</v>
      </c>
      <c r="C3041" s="1">
        <v>33.96</v>
      </c>
      <c r="D3041" s="2" t="s">
        <v>372</v>
      </c>
      <c r="E3041" s="8">
        <v>1765.1682000000001</v>
      </c>
      <c r="F3041" s="8">
        <f t="shared" si="1"/>
        <v>0.2</v>
      </c>
      <c r="G3041" s="8">
        <f>E3041+F3041</f>
        <v>1765.3682000000001</v>
      </c>
      <c r="H3041" s="3">
        <f>B3041*G3041</f>
        <v>59934.250390000008</v>
      </c>
      <c r="I3041" s="3">
        <f>C3041*G3041</f>
        <v>59951.904072000005</v>
      </c>
    </row>
    <row r="3042" spans="1:9" x14ac:dyDescent="0.25">
      <c r="A3042" t="s">
        <v>4</v>
      </c>
      <c r="B3042" s="1">
        <v>19.8</v>
      </c>
      <c r="C3042" s="1">
        <v>19.809999999999999</v>
      </c>
      <c r="D3042" s="2" t="s">
        <v>373</v>
      </c>
      <c r="E3042" s="8">
        <v>3015.1044999999999</v>
      </c>
      <c r="F3042" s="8">
        <f t="shared" si="1"/>
        <v>0</v>
      </c>
      <c r="G3042" s="8">
        <f>E3042+F3042</f>
        <v>3015.1044999999999</v>
      </c>
      <c r="H3042" s="3">
        <f>B3042*G3042</f>
        <v>59699.069100000001</v>
      </c>
      <c r="I3042" s="3">
        <f>C3042*G3042</f>
        <v>59729.220144999992</v>
      </c>
    </row>
    <row r="3043" spans="1:9" x14ac:dyDescent="0.25">
      <c r="A3043" t="s">
        <v>6</v>
      </c>
      <c r="B3043" s="1">
        <v>32.42</v>
      </c>
      <c r="C3043" s="1">
        <v>32.43</v>
      </c>
      <c r="D3043" s="2" t="s">
        <v>373</v>
      </c>
      <c r="E3043" s="8">
        <v>1842.2113999999999</v>
      </c>
      <c r="F3043" s="8">
        <f t="shared" si="1"/>
        <v>-0.1</v>
      </c>
      <c r="G3043" s="8">
        <f>E3043+F3043</f>
        <v>1842.1114</v>
      </c>
      <c r="H3043" s="3">
        <f>B3043*G3043</f>
        <v>59721.251588000006</v>
      </c>
      <c r="I3043" s="3">
        <f>C3043*G3043</f>
        <v>59739.672701999996</v>
      </c>
    </row>
    <row r="3044" spans="1:9" x14ac:dyDescent="0.25">
      <c r="A3044" t="s">
        <v>7</v>
      </c>
      <c r="B3044" s="1">
        <v>16.829999999999998</v>
      </c>
      <c r="C3044" s="1">
        <v>16.84</v>
      </c>
      <c r="D3044" s="2" t="s">
        <v>373</v>
      </c>
      <c r="E3044" s="8">
        <v>3546.8051999999998</v>
      </c>
      <c r="F3044" s="8">
        <f t="shared" si="1"/>
        <v>0</v>
      </c>
      <c r="G3044" s="8">
        <f>E3044+F3044</f>
        <v>3546.8051999999998</v>
      </c>
      <c r="H3044" s="3">
        <f>B3044*G3044</f>
        <v>59692.731515999993</v>
      </c>
      <c r="I3044" s="3">
        <f>C3044*G3044</f>
        <v>59728.199567999996</v>
      </c>
    </row>
    <row r="3045" spans="1:9" x14ac:dyDescent="0.25">
      <c r="A3045" t="s">
        <v>8</v>
      </c>
      <c r="B3045" s="1">
        <v>26.41</v>
      </c>
      <c r="C3045" s="1">
        <v>26.42</v>
      </c>
      <c r="D3045" s="2" t="s">
        <v>373</v>
      </c>
      <c r="E3045" s="8">
        <v>2261.4252999999999</v>
      </c>
      <c r="F3045" s="8">
        <f t="shared" si="1"/>
        <v>-0.2</v>
      </c>
      <c r="G3045" s="8">
        <f>E3045+F3045</f>
        <v>2261.2253000000001</v>
      </c>
      <c r="H3045" s="3">
        <f>B3045*G3045</f>
        <v>59718.960172999999</v>
      </c>
      <c r="I3045" s="3">
        <f>C3045*G3045</f>
        <v>59741.572426000006</v>
      </c>
    </row>
    <row r="3046" spans="1:9" x14ac:dyDescent="0.25">
      <c r="A3046" t="s">
        <v>9</v>
      </c>
      <c r="B3046" s="1">
        <v>63.07</v>
      </c>
      <c r="C3046" s="1">
        <v>63.17</v>
      </c>
      <c r="D3046" s="2" t="s">
        <v>373</v>
      </c>
      <c r="E3046" s="8">
        <v>946.19489999999996</v>
      </c>
      <c r="F3046" s="8">
        <f t="shared" si="1"/>
        <v>0</v>
      </c>
      <c r="G3046" s="8">
        <f>E3046+F3046</f>
        <v>946.19489999999996</v>
      </c>
      <c r="H3046" s="3">
        <f>B3046*G3046</f>
        <v>59676.512342999995</v>
      </c>
      <c r="I3046" s="3">
        <f>C3046*G3046</f>
        <v>59771.131832999999</v>
      </c>
    </row>
    <row r="3047" spans="1:9" x14ac:dyDescent="0.25">
      <c r="A3047" t="s">
        <v>10</v>
      </c>
      <c r="B3047" s="1">
        <v>34.51</v>
      </c>
      <c r="C3047" s="1">
        <v>34.53</v>
      </c>
      <c r="D3047" s="2" t="s">
        <v>373</v>
      </c>
      <c r="E3047" s="8">
        <v>1730.1987999999999</v>
      </c>
      <c r="F3047" s="8">
        <f t="shared" si="1"/>
        <v>0.2</v>
      </c>
      <c r="G3047" s="8">
        <f>E3047+F3047</f>
        <v>1730.3987999999999</v>
      </c>
      <c r="H3047" s="3">
        <f>B3047*G3047</f>
        <v>59716.062587999993</v>
      </c>
      <c r="I3047" s="3">
        <f>C3047*G3047</f>
        <v>59750.670564</v>
      </c>
    </row>
    <row r="3048" spans="1:9" x14ac:dyDescent="0.25">
      <c r="A3048" t="s">
        <v>11</v>
      </c>
      <c r="B3048" s="1">
        <v>51.97</v>
      </c>
      <c r="C3048" s="1">
        <v>51.98</v>
      </c>
      <c r="D3048" s="2" t="s">
        <v>373</v>
      </c>
      <c r="E3048" s="8">
        <v>1148.9242999999999</v>
      </c>
      <c r="F3048" s="8">
        <f t="shared" si="1"/>
        <v>0.05</v>
      </c>
      <c r="G3048" s="8">
        <f>E3048+F3048</f>
        <v>1148.9742999999999</v>
      </c>
      <c r="H3048" s="3">
        <f>B3048*G3048</f>
        <v>59712.19437099999</v>
      </c>
      <c r="I3048" s="3">
        <f>C3048*G3048</f>
        <v>59723.684113999989</v>
      </c>
    </row>
    <row r="3049" spans="1:9" x14ac:dyDescent="0.25">
      <c r="A3049" t="s">
        <v>12</v>
      </c>
      <c r="B3049" s="1">
        <v>46.32</v>
      </c>
      <c r="C3049" s="1">
        <v>46.33</v>
      </c>
      <c r="D3049" s="2" t="s">
        <v>373</v>
      </c>
      <c r="E3049" s="8">
        <v>1289.4385000000002</v>
      </c>
      <c r="F3049" s="8">
        <f t="shared" si="1"/>
        <v>0</v>
      </c>
      <c r="G3049" s="8">
        <f>E3049+F3049</f>
        <v>1289.4385000000002</v>
      </c>
      <c r="H3049" s="3">
        <f>B3049*G3049</f>
        <v>59726.791320000011</v>
      </c>
      <c r="I3049" s="3">
        <f>C3049*G3049</f>
        <v>59739.685705000011</v>
      </c>
    </row>
    <row r="3050" spans="1:9" x14ac:dyDescent="0.25">
      <c r="A3050" t="s">
        <v>13</v>
      </c>
      <c r="B3050" s="1">
        <v>16.89</v>
      </c>
      <c r="C3050" s="1">
        <v>16.899999999999999</v>
      </c>
      <c r="D3050" s="2" t="s">
        <v>373</v>
      </c>
      <c r="E3050" s="8">
        <v>3535.8029000000001</v>
      </c>
      <c r="F3050" s="8">
        <f t="shared" ref="F3050:F3113" si="2">F3040</f>
        <v>0</v>
      </c>
      <c r="G3050" s="8">
        <f>E3050+F3050</f>
        <v>3535.8029000000001</v>
      </c>
      <c r="H3050" s="3">
        <f>B3050*G3050</f>
        <v>59719.710981000004</v>
      </c>
      <c r="I3050" s="3">
        <f>C3050*G3050</f>
        <v>59755.069009999999</v>
      </c>
    </row>
    <row r="3051" spans="1:9" x14ac:dyDescent="0.25">
      <c r="A3051" t="s">
        <v>14</v>
      </c>
      <c r="B3051" s="1">
        <v>33.83</v>
      </c>
      <c r="C3051" s="1">
        <v>33.840000000000003</v>
      </c>
      <c r="D3051" s="2" t="s">
        <v>373</v>
      </c>
      <c r="E3051" s="8">
        <v>1765.1682000000001</v>
      </c>
      <c r="F3051" s="8">
        <f t="shared" si="2"/>
        <v>0.2</v>
      </c>
      <c r="G3051" s="8">
        <f>E3051+F3051</f>
        <v>1765.3682000000001</v>
      </c>
      <c r="H3051" s="3">
        <f>B3051*G3051</f>
        <v>59722.406206</v>
      </c>
      <c r="I3051" s="3">
        <f>C3051*G3051</f>
        <v>59740.059888000011</v>
      </c>
    </row>
    <row r="3052" spans="1:9" x14ac:dyDescent="0.25">
      <c r="A3052" t="s">
        <v>4</v>
      </c>
      <c r="B3052" s="1">
        <v>19.899999999999999</v>
      </c>
      <c r="C3052" s="1">
        <v>19.91</v>
      </c>
      <c r="D3052" s="2" t="s">
        <v>374</v>
      </c>
      <c r="E3052" s="8">
        <v>3015.1044999999999</v>
      </c>
      <c r="F3052" s="8">
        <f t="shared" si="2"/>
        <v>0</v>
      </c>
      <c r="G3052" s="8">
        <f>E3052+F3052</f>
        <v>3015.1044999999999</v>
      </c>
      <c r="H3052" s="3">
        <f>B3052*G3052</f>
        <v>60000.579549999995</v>
      </c>
      <c r="I3052" s="3">
        <f>C3052*G3052</f>
        <v>60030.730595000001</v>
      </c>
    </row>
    <row r="3053" spans="1:9" x14ac:dyDescent="0.25">
      <c r="A3053" t="s">
        <v>6</v>
      </c>
      <c r="B3053" s="1">
        <v>32.58</v>
      </c>
      <c r="C3053" s="1">
        <v>32.590000000000003</v>
      </c>
      <c r="D3053" s="2" t="s">
        <v>374</v>
      </c>
      <c r="E3053" s="8">
        <v>1842.2113999999999</v>
      </c>
      <c r="F3053" s="8">
        <f t="shared" si="2"/>
        <v>-0.1</v>
      </c>
      <c r="G3053" s="8">
        <f>E3053+F3053</f>
        <v>1842.1114</v>
      </c>
      <c r="H3053" s="3">
        <f>B3053*G3053</f>
        <v>60015.989411999995</v>
      </c>
      <c r="I3053" s="3">
        <f>C3053*G3053</f>
        <v>60034.410526000007</v>
      </c>
    </row>
    <row r="3054" spans="1:9" x14ac:dyDescent="0.25">
      <c r="A3054" t="s">
        <v>7</v>
      </c>
      <c r="B3054" s="1">
        <v>16.920000000000002</v>
      </c>
      <c r="C3054" s="1">
        <v>16.93</v>
      </c>
      <c r="D3054" s="2" t="s">
        <v>374</v>
      </c>
      <c r="E3054" s="8">
        <v>3546.8051999999998</v>
      </c>
      <c r="F3054" s="8">
        <f t="shared" si="2"/>
        <v>0</v>
      </c>
      <c r="G3054" s="8">
        <f>E3054+F3054</f>
        <v>3546.8051999999998</v>
      </c>
      <c r="H3054" s="3">
        <f>B3054*G3054</f>
        <v>60011.943984000005</v>
      </c>
      <c r="I3054" s="3">
        <f>C3054*G3054</f>
        <v>60047.412035999994</v>
      </c>
    </row>
    <row r="3055" spans="1:9" x14ac:dyDescent="0.25">
      <c r="A3055" t="s">
        <v>8</v>
      </c>
      <c r="B3055" s="1">
        <v>26.54</v>
      </c>
      <c r="C3055" s="1">
        <v>26.55</v>
      </c>
      <c r="D3055" s="2" t="s">
        <v>374</v>
      </c>
      <c r="E3055" s="8">
        <v>2261.4252999999999</v>
      </c>
      <c r="F3055" s="8">
        <f t="shared" si="2"/>
        <v>-0.2</v>
      </c>
      <c r="G3055" s="8">
        <f>E3055+F3055</f>
        <v>2261.2253000000001</v>
      </c>
      <c r="H3055" s="3">
        <f>B3055*G3055</f>
        <v>60012.919461999998</v>
      </c>
      <c r="I3055" s="3">
        <f>C3055*G3055</f>
        <v>60035.531715000005</v>
      </c>
    </row>
    <row r="3056" spans="1:9" x14ac:dyDescent="0.25">
      <c r="A3056" t="s">
        <v>9</v>
      </c>
      <c r="B3056" s="1">
        <v>63.38</v>
      </c>
      <c r="C3056" s="1">
        <v>63.47</v>
      </c>
      <c r="D3056" s="2" t="s">
        <v>374</v>
      </c>
      <c r="E3056" s="8">
        <v>946.19489999999996</v>
      </c>
      <c r="F3056" s="8">
        <f t="shared" si="2"/>
        <v>0</v>
      </c>
      <c r="G3056" s="8">
        <f>E3056+F3056</f>
        <v>946.19489999999996</v>
      </c>
      <c r="H3056" s="3">
        <f>B3056*G3056</f>
        <v>59969.832761999998</v>
      </c>
      <c r="I3056" s="3">
        <f>C3056*G3056</f>
        <v>60054.990302999999</v>
      </c>
    </row>
    <row r="3057" spans="1:9" x14ac:dyDescent="0.25">
      <c r="A3057" t="s">
        <v>10</v>
      </c>
      <c r="B3057" s="1">
        <v>34.68</v>
      </c>
      <c r="C3057" s="1">
        <v>34.700000000000003</v>
      </c>
      <c r="D3057" s="2" t="s">
        <v>374</v>
      </c>
      <c r="E3057" s="8">
        <v>1730.1987999999999</v>
      </c>
      <c r="F3057" s="8">
        <f t="shared" si="2"/>
        <v>0.2</v>
      </c>
      <c r="G3057" s="8">
        <f>E3057+F3057</f>
        <v>1730.3987999999999</v>
      </c>
      <c r="H3057" s="3">
        <f>B3057*G3057</f>
        <v>60010.230383999995</v>
      </c>
      <c r="I3057" s="3">
        <f>C3057*G3057</f>
        <v>60044.838360000002</v>
      </c>
    </row>
    <row r="3058" spans="1:9" x14ac:dyDescent="0.25">
      <c r="A3058" t="s">
        <v>11</v>
      </c>
      <c r="B3058" s="1">
        <v>52.23</v>
      </c>
      <c r="C3058" s="1">
        <v>52.24</v>
      </c>
      <c r="D3058" s="2" t="s">
        <v>374</v>
      </c>
      <c r="E3058" s="8">
        <v>1148.9242999999999</v>
      </c>
      <c r="F3058" s="8">
        <f t="shared" si="2"/>
        <v>0.05</v>
      </c>
      <c r="G3058" s="8">
        <f>E3058+F3058</f>
        <v>1148.9742999999999</v>
      </c>
      <c r="H3058" s="3">
        <f>B3058*G3058</f>
        <v>60010.927688999989</v>
      </c>
      <c r="I3058" s="3">
        <f>C3058*G3058</f>
        <v>60022.417431999995</v>
      </c>
    </row>
    <row r="3059" spans="1:9" x14ac:dyDescent="0.25">
      <c r="A3059" t="s">
        <v>12</v>
      </c>
      <c r="B3059" s="1">
        <v>46.54</v>
      </c>
      <c r="C3059" s="1">
        <v>46.55</v>
      </c>
      <c r="D3059" s="2" t="s">
        <v>374</v>
      </c>
      <c r="E3059" s="8">
        <v>1289.4385000000002</v>
      </c>
      <c r="F3059" s="8">
        <f t="shared" si="2"/>
        <v>0</v>
      </c>
      <c r="G3059" s="8">
        <f>E3059+F3059</f>
        <v>1289.4385000000002</v>
      </c>
      <c r="H3059" s="3">
        <f>B3059*G3059</f>
        <v>60010.46779000001</v>
      </c>
      <c r="I3059" s="3">
        <f>C3059*G3059</f>
        <v>60023.362175000009</v>
      </c>
    </row>
    <row r="3060" spans="1:9" x14ac:dyDescent="0.25">
      <c r="A3060" t="s">
        <v>13</v>
      </c>
      <c r="B3060" s="1">
        <v>16.97</v>
      </c>
      <c r="C3060" s="1">
        <v>16.98</v>
      </c>
      <c r="D3060" s="2" t="s">
        <v>374</v>
      </c>
      <c r="E3060" s="8">
        <v>3535.8029000000001</v>
      </c>
      <c r="F3060" s="8">
        <f t="shared" si="2"/>
        <v>0</v>
      </c>
      <c r="G3060" s="8">
        <f>E3060+F3060</f>
        <v>3535.8029000000001</v>
      </c>
      <c r="H3060" s="3">
        <f>B3060*G3060</f>
        <v>60002.575212999996</v>
      </c>
      <c r="I3060" s="3">
        <f>C3060*G3060</f>
        <v>60037.933242000006</v>
      </c>
    </row>
    <row r="3061" spans="1:9" x14ac:dyDescent="0.25">
      <c r="A3061" t="s">
        <v>14</v>
      </c>
      <c r="B3061" s="1">
        <v>34</v>
      </c>
      <c r="C3061" s="1">
        <v>34.01</v>
      </c>
      <c r="D3061" s="2" t="s">
        <v>374</v>
      </c>
      <c r="E3061" s="8">
        <v>1765.1682000000001</v>
      </c>
      <c r="F3061" s="8">
        <f t="shared" si="2"/>
        <v>0.2</v>
      </c>
      <c r="G3061" s="8">
        <f>E3061+F3061</f>
        <v>1765.3682000000001</v>
      </c>
      <c r="H3061" s="3">
        <f>B3061*G3061</f>
        <v>60022.518800000005</v>
      </c>
      <c r="I3061" s="3">
        <f>C3061*G3061</f>
        <v>60040.172482000002</v>
      </c>
    </row>
    <row r="3062" spans="1:9" x14ac:dyDescent="0.25">
      <c r="A3062" t="s">
        <v>4</v>
      </c>
      <c r="B3062" s="1">
        <v>19.96</v>
      </c>
      <c r="C3062" s="1">
        <v>19.97</v>
      </c>
      <c r="D3062" s="2" t="s">
        <v>375</v>
      </c>
      <c r="E3062" s="8">
        <v>3015.1044999999999</v>
      </c>
      <c r="F3062" s="8">
        <f t="shared" si="2"/>
        <v>0</v>
      </c>
      <c r="G3062" s="8">
        <f>E3062+F3062</f>
        <v>3015.1044999999999</v>
      </c>
      <c r="H3062" s="3">
        <f>B3062*G3062</f>
        <v>60181.485820000002</v>
      </c>
      <c r="I3062" s="3">
        <f>C3062*G3062</f>
        <v>60211.636864999993</v>
      </c>
    </row>
    <row r="3063" spans="1:9" x14ac:dyDescent="0.25">
      <c r="A3063" t="s">
        <v>6</v>
      </c>
      <c r="B3063" s="1">
        <v>32.67</v>
      </c>
      <c r="C3063" s="1">
        <v>32.68</v>
      </c>
      <c r="D3063" s="2" t="s">
        <v>375</v>
      </c>
      <c r="E3063" s="8">
        <v>1842.2113999999999</v>
      </c>
      <c r="F3063" s="8">
        <f t="shared" si="2"/>
        <v>-0.1</v>
      </c>
      <c r="G3063" s="8">
        <f>E3063+F3063</f>
        <v>1842.1114</v>
      </c>
      <c r="H3063" s="3">
        <f>B3063*G3063</f>
        <v>60181.779438000005</v>
      </c>
      <c r="I3063" s="3">
        <f>C3063*G3063</f>
        <v>60200.200552000002</v>
      </c>
    </row>
    <row r="3064" spans="1:9" x14ac:dyDescent="0.25">
      <c r="A3064" t="s">
        <v>7</v>
      </c>
      <c r="B3064" s="1">
        <v>16.97</v>
      </c>
      <c r="C3064" s="1">
        <v>16.98</v>
      </c>
      <c r="D3064" s="2" t="s">
        <v>375</v>
      </c>
      <c r="E3064" s="8">
        <v>3546.8051999999998</v>
      </c>
      <c r="F3064" s="8">
        <f t="shared" si="2"/>
        <v>0</v>
      </c>
      <c r="G3064" s="8">
        <f>E3064+F3064</f>
        <v>3546.8051999999998</v>
      </c>
      <c r="H3064" s="3">
        <f>B3064*G3064</f>
        <v>60189.284243999995</v>
      </c>
      <c r="I3064" s="3">
        <f>C3064*G3064</f>
        <v>60224.752295999999</v>
      </c>
    </row>
    <row r="3065" spans="1:9" x14ac:dyDescent="0.25">
      <c r="A3065" t="s">
        <v>8</v>
      </c>
      <c r="B3065" s="1">
        <v>26.61</v>
      </c>
      <c r="C3065" s="1">
        <v>26.62</v>
      </c>
      <c r="D3065" s="2" t="s">
        <v>375</v>
      </c>
      <c r="E3065" s="8">
        <v>2261.4252999999999</v>
      </c>
      <c r="F3065" s="8">
        <f t="shared" si="2"/>
        <v>-0.2</v>
      </c>
      <c r="G3065" s="8">
        <f>E3065+F3065</f>
        <v>2261.2253000000001</v>
      </c>
      <c r="H3065" s="3">
        <f>B3065*G3065</f>
        <v>60171.205233000001</v>
      </c>
      <c r="I3065" s="3">
        <f>C3065*G3065</f>
        <v>60193.817486000007</v>
      </c>
    </row>
    <row r="3066" spans="1:9" x14ac:dyDescent="0.25">
      <c r="A3066" t="s">
        <v>9</v>
      </c>
      <c r="B3066" s="1">
        <v>63.54</v>
      </c>
      <c r="C3066" s="1">
        <v>63.66</v>
      </c>
      <c r="D3066" s="2" t="s">
        <v>375</v>
      </c>
      <c r="E3066" s="8">
        <v>946.19489999999996</v>
      </c>
      <c r="F3066" s="8">
        <f t="shared" si="2"/>
        <v>0</v>
      </c>
      <c r="G3066" s="8">
        <f>E3066+F3066</f>
        <v>946.19489999999996</v>
      </c>
      <c r="H3066" s="3">
        <f>B3066*G3066</f>
        <v>60121.223945999998</v>
      </c>
      <c r="I3066" s="3">
        <f>C3066*G3066</f>
        <v>60234.767333999996</v>
      </c>
    </row>
    <row r="3067" spans="1:9" x14ac:dyDescent="0.25">
      <c r="A3067" t="s">
        <v>10</v>
      </c>
      <c r="B3067" s="1">
        <v>34.78</v>
      </c>
      <c r="C3067" s="1">
        <v>34.799999999999997</v>
      </c>
      <c r="D3067" s="2" t="s">
        <v>375</v>
      </c>
      <c r="E3067" s="8">
        <v>1730.1987999999999</v>
      </c>
      <c r="F3067" s="8">
        <f t="shared" si="2"/>
        <v>0.2</v>
      </c>
      <c r="G3067" s="8">
        <f>E3067+F3067</f>
        <v>1730.3987999999999</v>
      </c>
      <c r="H3067" s="3">
        <f>B3067*G3067</f>
        <v>60183.270263999999</v>
      </c>
      <c r="I3067" s="3">
        <f>C3067*G3067</f>
        <v>60217.878239999991</v>
      </c>
    </row>
    <row r="3068" spans="1:9" x14ac:dyDescent="0.25">
      <c r="A3068" t="s">
        <v>11</v>
      </c>
      <c r="B3068" s="1">
        <v>52.37</v>
      </c>
      <c r="C3068" s="1">
        <v>52.38</v>
      </c>
      <c r="D3068" s="2" t="s">
        <v>375</v>
      </c>
      <c r="E3068" s="8">
        <v>1148.9242999999999</v>
      </c>
      <c r="F3068" s="8">
        <f t="shared" si="2"/>
        <v>0.05</v>
      </c>
      <c r="G3068" s="8">
        <f>E3068+F3068</f>
        <v>1148.9742999999999</v>
      </c>
      <c r="H3068" s="3">
        <f>B3068*G3068</f>
        <v>60171.784090999987</v>
      </c>
      <c r="I3068" s="3">
        <f>C3068*G3068</f>
        <v>60183.273833999992</v>
      </c>
    </row>
    <row r="3069" spans="1:9" x14ac:dyDescent="0.25">
      <c r="A3069" t="s">
        <v>12</v>
      </c>
      <c r="B3069" s="1">
        <v>46.67</v>
      </c>
      <c r="C3069" s="1">
        <v>46.68</v>
      </c>
      <c r="D3069" s="2" t="s">
        <v>375</v>
      </c>
      <c r="E3069" s="8">
        <v>1289.4385000000002</v>
      </c>
      <c r="F3069" s="8">
        <f t="shared" si="2"/>
        <v>0</v>
      </c>
      <c r="G3069" s="8">
        <f>E3069+F3069</f>
        <v>1289.4385000000002</v>
      </c>
      <c r="H3069" s="3">
        <f>B3069*G3069</f>
        <v>60178.094795000012</v>
      </c>
      <c r="I3069" s="3">
        <f>C3069*G3069</f>
        <v>60190.989180000011</v>
      </c>
    </row>
    <row r="3070" spans="1:9" x14ac:dyDescent="0.25">
      <c r="A3070" t="s">
        <v>13</v>
      </c>
      <c r="B3070" s="1">
        <v>17.02</v>
      </c>
      <c r="C3070" s="1">
        <v>17.03</v>
      </c>
      <c r="D3070" s="2" t="s">
        <v>375</v>
      </c>
      <c r="E3070" s="8">
        <v>3535.8029000000001</v>
      </c>
      <c r="F3070" s="8">
        <f t="shared" si="2"/>
        <v>0</v>
      </c>
      <c r="G3070" s="8">
        <f>E3070+F3070</f>
        <v>3535.8029000000001</v>
      </c>
      <c r="H3070" s="3">
        <f>B3070*G3070</f>
        <v>60179.365358000003</v>
      </c>
      <c r="I3070" s="3">
        <f>C3070*G3070</f>
        <v>60214.723387000005</v>
      </c>
    </row>
    <row r="3071" spans="1:9" x14ac:dyDescent="0.25">
      <c r="A3071" t="s">
        <v>14</v>
      </c>
      <c r="B3071" s="1">
        <v>34.090000000000003</v>
      </c>
      <c r="C3071" s="1">
        <v>34.1</v>
      </c>
      <c r="D3071" s="2" t="s">
        <v>375</v>
      </c>
      <c r="E3071" s="8">
        <v>1765.1682000000001</v>
      </c>
      <c r="F3071" s="8">
        <f t="shared" si="2"/>
        <v>0.2</v>
      </c>
      <c r="G3071" s="8">
        <f>E3071+F3071</f>
        <v>1765.3682000000001</v>
      </c>
      <c r="H3071" s="3">
        <f>B3071*G3071</f>
        <v>60181.40193800001</v>
      </c>
      <c r="I3071" s="3">
        <f>C3071*G3071</f>
        <v>60199.055620000006</v>
      </c>
    </row>
    <row r="3072" spans="1:9" x14ac:dyDescent="0.25">
      <c r="A3072" t="s">
        <v>4</v>
      </c>
      <c r="B3072" s="1">
        <v>19.93</v>
      </c>
      <c r="C3072" s="1">
        <v>19.940000000000001</v>
      </c>
      <c r="D3072" s="2" t="s">
        <v>376</v>
      </c>
      <c r="E3072" s="8">
        <v>3015.1044999999999</v>
      </c>
      <c r="F3072" s="8">
        <f t="shared" si="2"/>
        <v>0</v>
      </c>
      <c r="G3072" s="8">
        <f>E3072+F3072</f>
        <v>3015.1044999999999</v>
      </c>
      <c r="H3072" s="3">
        <f>B3072*G3072</f>
        <v>60091.032684999998</v>
      </c>
      <c r="I3072" s="3">
        <f>C3072*G3072</f>
        <v>60121.183730000004</v>
      </c>
    </row>
    <row r="3073" spans="1:9" x14ac:dyDescent="0.25">
      <c r="A3073" t="s">
        <v>6</v>
      </c>
      <c r="B3073" s="1">
        <v>32.630000000000003</v>
      </c>
      <c r="C3073" s="1">
        <v>32.64</v>
      </c>
      <c r="D3073" s="2" t="s">
        <v>376</v>
      </c>
      <c r="E3073" s="8">
        <v>1842.2113999999999</v>
      </c>
      <c r="F3073" s="8">
        <f t="shared" si="2"/>
        <v>-0.1</v>
      </c>
      <c r="G3073" s="8">
        <f>E3073+F3073</f>
        <v>1842.1114</v>
      </c>
      <c r="H3073" s="3">
        <f>B3073*G3073</f>
        <v>60108.094982000002</v>
      </c>
      <c r="I3073" s="3">
        <f>C3073*G3073</f>
        <v>60126.516095999999</v>
      </c>
    </row>
    <row r="3074" spans="1:9" x14ac:dyDescent="0.25">
      <c r="A3074" t="s">
        <v>7</v>
      </c>
      <c r="B3074" s="1">
        <v>16.940000000000001</v>
      </c>
      <c r="C3074" s="1">
        <v>16.95</v>
      </c>
      <c r="D3074" s="2" t="s">
        <v>376</v>
      </c>
      <c r="E3074" s="8">
        <v>3546.8051999999998</v>
      </c>
      <c r="F3074" s="8">
        <f t="shared" si="2"/>
        <v>0</v>
      </c>
      <c r="G3074" s="8">
        <f>E3074+F3074</f>
        <v>3546.8051999999998</v>
      </c>
      <c r="H3074" s="3">
        <f>B3074*G3074</f>
        <v>60082.880087999998</v>
      </c>
      <c r="I3074" s="3">
        <f>C3074*G3074</f>
        <v>60118.348139999995</v>
      </c>
    </row>
    <row r="3075" spans="1:9" x14ac:dyDescent="0.25">
      <c r="A3075" t="s">
        <v>8</v>
      </c>
      <c r="B3075" s="1">
        <v>26.57</v>
      </c>
      <c r="C3075" s="1">
        <v>26.58</v>
      </c>
      <c r="D3075" s="2" t="s">
        <v>376</v>
      </c>
      <c r="E3075" s="8">
        <v>2261.4252999999999</v>
      </c>
      <c r="F3075" s="8">
        <f t="shared" si="2"/>
        <v>-0.2</v>
      </c>
      <c r="G3075" s="8">
        <f>E3075+F3075</f>
        <v>2261.2253000000001</v>
      </c>
      <c r="H3075" s="3">
        <f>B3075*G3075</f>
        <v>60080.756221000003</v>
      </c>
      <c r="I3075" s="3">
        <f>C3075*G3075</f>
        <v>60103.368473999995</v>
      </c>
    </row>
    <row r="3076" spans="1:9" x14ac:dyDescent="0.25">
      <c r="A3076" t="s">
        <v>9</v>
      </c>
      <c r="B3076" s="1">
        <v>63.45</v>
      </c>
      <c r="C3076" s="1">
        <v>63.56</v>
      </c>
      <c r="D3076" s="2" t="s">
        <v>376</v>
      </c>
      <c r="E3076" s="8">
        <v>946.19489999999996</v>
      </c>
      <c r="F3076" s="8">
        <f t="shared" si="2"/>
        <v>0</v>
      </c>
      <c r="G3076" s="8">
        <f>E3076+F3076</f>
        <v>946.19489999999996</v>
      </c>
      <c r="H3076" s="3">
        <f>B3076*G3076</f>
        <v>60036.066404999998</v>
      </c>
      <c r="I3076" s="3">
        <f>C3076*G3076</f>
        <v>60140.147843999999</v>
      </c>
    </row>
    <row r="3077" spans="1:9" x14ac:dyDescent="0.25">
      <c r="A3077" t="s">
        <v>10</v>
      </c>
      <c r="B3077" s="1">
        <v>34.729999999999997</v>
      </c>
      <c r="C3077" s="1">
        <v>34.74</v>
      </c>
      <c r="D3077" s="2" t="s">
        <v>376</v>
      </c>
      <c r="E3077" s="8">
        <v>1730.1987999999999</v>
      </c>
      <c r="F3077" s="8">
        <f t="shared" si="2"/>
        <v>0.2</v>
      </c>
      <c r="G3077" s="8">
        <f>E3077+F3077</f>
        <v>1730.3987999999999</v>
      </c>
      <c r="H3077" s="3">
        <f>B3077*G3077</f>
        <v>60096.750323999993</v>
      </c>
      <c r="I3077" s="3">
        <f>C3077*G3077</f>
        <v>60114.054312</v>
      </c>
    </row>
    <row r="3078" spans="1:9" x14ac:dyDescent="0.25">
      <c r="A3078" t="s">
        <v>11</v>
      </c>
      <c r="B3078" s="1">
        <v>52.3</v>
      </c>
      <c r="C3078" s="1">
        <v>52.31</v>
      </c>
      <c r="D3078" s="2" t="s">
        <v>376</v>
      </c>
      <c r="E3078" s="8">
        <v>1148.9242999999999</v>
      </c>
      <c r="F3078" s="8">
        <f t="shared" si="2"/>
        <v>0.05</v>
      </c>
      <c r="G3078" s="8">
        <f>E3078+F3078</f>
        <v>1148.9742999999999</v>
      </c>
      <c r="H3078" s="3">
        <f>B3078*G3078</f>
        <v>60091.355889999992</v>
      </c>
      <c r="I3078" s="3">
        <f>C3078*G3078</f>
        <v>60102.845632999997</v>
      </c>
    </row>
    <row r="3079" spans="1:9" x14ac:dyDescent="0.25">
      <c r="A3079" t="s">
        <v>12</v>
      </c>
      <c r="B3079" s="1">
        <v>46.61</v>
      </c>
      <c r="C3079" s="1">
        <v>46.62</v>
      </c>
      <c r="D3079" s="2" t="s">
        <v>376</v>
      </c>
      <c r="E3079" s="8">
        <v>1289.4385000000002</v>
      </c>
      <c r="F3079" s="8">
        <f t="shared" si="2"/>
        <v>0</v>
      </c>
      <c r="G3079" s="8">
        <f>E3079+F3079</f>
        <v>1289.4385000000002</v>
      </c>
      <c r="H3079" s="3">
        <f>B3079*G3079</f>
        <v>60100.728485000007</v>
      </c>
      <c r="I3079" s="3">
        <f>C3079*G3079</f>
        <v>60113.622870000007</v>
      </c>
    </row>
    <row r="3080" spans="1:9" x14ac:dyDescent="0.25">
      <c r="A3080" t="s">
        <v>13</v>
      </c>
      <c r="B3080" s="1">
        <v>17</v>
      </c>
      <c r="C3080" s="1">
        <v>17.010000000000002</v>
      </c>
      <c r="D3080" s="2" t="s">
        <v>376</v>
      </c>
      <c r="E3080" s="8">
        <v>3535.8029000000001</v>
      </c>
      <c r="F3080" s="8">
        <f t="shared" si="2"/>
        <v>0</v>
      </c>
      <c r="G3080" s="8">
        <f>E3080+F3080</f>
        <v>3535.8029000000001</v>
      </c>
      <c r="H3080" s="3">
        <f>B3080*G3080</f>
        <v>60108.649300000005</v>
      </c>
      <c r="I3080" s="3">
        <f>C3080*G3080</f>
        <v>60144.007329000007</v>
      </c>
    </row>
    <row r="3081" spans="1:9" x14ac:dyDescent="0.25">
      <c r="A3081" t="s">
        <v>14</v>
      </c>
      <c r="B3081" s="1">
        <v>34.04</v>
      </c>
      <c r="C3081" s="1">
        <v>34.049999999999997</v>
      </c>
      <c r="D3081" s="2" t="s">
        <v>376</v>
      </c>
      <c r="E3081" s="8">
        <v>1765.1682000000001</v>
      </c>
      <c r="F3081" s="8">
        <f t="shared" si="2"/>
        <v>0.2</v>
      </c>
      <c r="G3081" s="8">
        <f>E3081+F3081</f>
        <v>1765.3682000000001</v>
      </c>
      <c r="H3081" s="3">
        <f>B3081*G3081</f>
        <v>60093.133528000006</v>
      </c>
      <c r="I3081" s="3">
        <f>C3081*G3081</f>
        <v>60110.787210000002</v>
      </c>
    </row>
    <row r="3082" spans="1:9" x14ac:dyDescent="0.25">
      <c r="A3082" t="s">
        <v>4</v>
      </c>
      <c r="B3082" s="1">
        <v>19.940000000000001</v>
      </c>
      <c r="C3082" s="1">
        <v>19.95</v>
      </c>
      <c r="D3082" s="2" t="s">
        <v>377</v>
      </c>
      <c r="E3082" s="8">
        <v>3015.1044999999999</v>
      </c>
      <c r="F3082" s="8">
        <f t="shared" si="2"/>
        <v>0</v>
      </c>
      <c r="G3082" s="8">
        <f>E3082+F3082</f>
        <v>3015.1044999999999</v>
      </c>
      <c r="H3082" s="3">
        <f>B3082*G3082</f>
        <v>60121.183730000004</v>
      </c>
      <c r="I3082" s="3">
        <f>C3082*G3082</f>
        <v>60151.334774999996</v>
      </c>
    </row>
    <row r="3083" spans="1:9" x14ac:dyDescent="0.25">
      <c r="A3083" t="s">
        <v>6</v>
      </c>
      <c r="B3083" s="1">
        <v>32.64</v>
      </c>
      <c r="C3083" s="1">
        <v>32.65</v>
      </c>
      <c r="D3083" s="2" t="s">
        <v>377</v>
      </c>
      <c r="E3083" s="8">
        <v>1842.2113999999999</v>
      </c>
      <c r="F3083" s="8">
        <f t="shared" si="2"/>
        <v>-0.1</v>
      </c>
      <c r="G3083" s="8">
        <f>E3083+F3083</f>
        <v>1842.1114</v>
      </c>
      <c r="H3083" s="3">
        <f>B3083*G3083</f>
        <v>60126.516095999999</v>
      </c>
      <c r="I3083" s="3">
        <f>C3083*G3083</f>
        <v>60144.937209999996</v>
      </c>
    </row>
    <row r="3084" spans="1:9" x14ac:dyDescent="0.25">
      <c r="A3084" t="s">
        <v>7</v>
      </c>
      <c r="B3084" s="1">
        <v>16.95</v>
      </c>
      <c r="C3084" s="1">
        <v>16.96</v>
      </c>
      <c r="D3084" s="2" t="s">
        <v>377</v>
      </c>
      <c r="E3084" s="8">
        <v>3546.8051999999998</v>
      </c>
      <c r="F3084" s="8">
        <f t="shared" si="2"/>
        <v>0</v>
      </c>
      <c r="G3084" s="8">
        <f>E3084+F3084</f>
        <v>3546.8051999999998</v>
      </c>
      <c r="H3084" s="3">
        <f>B3084*G3084</f>
        <v>60118.348139999995</v>
      </c>
      <c r="I3084" s="3">
        <f>C3084*G3084</f>
        <v>60153.816191999998</v>
      </c>
    </row>
    <row r="3085" spans="1:9" x14ac:dyDescent="0.25">
      <c r="A3085" t="s">
        <v>8</v>
      </c>
      <c r="B3085" s="1">
        <v>26.58</v>
      </c>
      <c r="C3085" s="1">
        <v>26.59</v>
      </c>
      <c r="D3085" s="2" t="s">
        <v>377</v>
      </c>
      <c r="E3085" s="8">
        <v>2261.4252999999999</v>
      </c>
      <c r="F3085" s="8">
        <f t="shared" si="2"/>
        <v>-0.2</v>
      </c>
      <c r="G3085" s="8">
        <f>E3085+F3085</f>
        <v>2261.2253000000001</v>
      </c>
      <c r="H3085" s="3">
        <f>B3085*G3085</f>
        <v>60103.368473999995</v>
      </c>
      <c r="I3085" s="3">
        <f>C3085*G3085</f>
        <v>60125.980727000002</v>
      </c>
    </row>
    <row r="3086" spans="1:9" x14ac:dyDescent="0.25">
      <c r="A3086" t="s">
        <v>9</v>
      </c>
      <c r="B3086" s="1">
        <v>63.47</v>
      </c>
      <c r="C3086" s="1">
        <v>63.57</v>
      </c>
      <c r="D3086" s="2" t="s">
        <v>377</v>
      </c>
      <c r="E3086" s="8">
        <v>946.19489999999996</v>
      </c>
      <c r="F3086" s="8">
        <f t="shared" si="2"/>
        <v>0</v>
      </c>
      <c r="G3086" s="8">
        <f>E3086+F3086</f>
        <v>946.19489999999996</v>
      </c>
      <c r="H3086" s="3">
        <f>B3086*G3086</f>
        <v>60054.990302999999</v>
      </c>
      <c r="I3086" s="3">
        <f>C3086*G3086</f>
        <v>60149.609792999996</v>
      </c>
    </row>
    <row r="3087" spans="1:9" x14ac:dyDescent="0.25">
      <c r="A3087" t="s">
        <v>10</v>
      </c>
      <c r="B3087" s="1">
        <v>34.74</v>
      </c>
      <c r="C3087" s="1">
        <v>34.76</v>
      </c>
      <c r="D3087" s="2" t="s">
        <v>377</v>
      </c>
      <c r="E3087" s="8">
        <v>1730.1987999999999</v>
      </c>
      <c r="F3087" s="8">
        <f t="shared" si="2"/>
        <v>0.2</v>
      </c>
      <c r="G3087" s="8">
        <f>E3087+F3087</f>
        <v>1730.3987999999999</v>
      </c>
      <c r="H3087" s="3">
        <f>B3087*G3087</f>
        <v>60114.054312</v>
      </c>
      <c r="I3087" s="3">
        <f>C3087*G3087</f>
        <v>60148.662287999992</v>
      </c>
    </row>
    <row r="3088" spans="1:9" x14ac:dyDescent="0.25">
      <c r="A3088" t="s">
        <v>11</v>
      </c>
      <c r="B3088" s="1">
        <v>52.32</v>
      </c>
      <c r="C3088" s="1">
        <v>52.33</v>
      </c>
      <c r="D3088" s="2" t="s">
        <v>377</v>
      </c>
      <c r="E3088" s="8">
        <v>1148.9242999999999</v>
      </c>
      <c r="F3088" s="8">
        <f t="shared" si="2"/>
        <v>0.05</v>
      </c>
      <c r="G3088" s="8">
        <f>E3088+F3088</f>
        <v>1148.9742999999999</v>
      </c>
      <c r="H3088" s="3">
        <f>B3088*G3088</f>
        <v>60114.335375999995</v>
      </c>
      <c r="I3088" s="3">
        <f>C3088*G3088</f>
        <v>60125.825118999994</v>
      </c>
    </row>
    <row r="3089" spans="1:9" x14ac:dyDescent="0.25">
      <c r="A3089" t="s">
        <v>12</v>
      </c>
      <c r="B3089" s="1">
        <v>46.63</v>
      </c>
      <c r="C3089" s="1">
        <v>46.64</v>
      </c>
      <c r="D3089" s="2" t="s">
        <v>377</v>
      </c>
      <c r="E3089" s="8">
        <v>1289.4385000000002</v>
      </c>
      <c r="F3089" s="8">
        <f t="shared" si="2"/>
        <v>0</v>
      </c>
      <c r="G3089" s="8">
        <f>E3089+F3089</f>
        <v>1289.4385000000002</v>
      </c>
      <c r="H3089" s="3">
        <f>B3089*G3089</f>
        <v>60126.517255000013</v>
      </c>
      <c r="I3089" s="3">
        <f>C3089*G3089</f>
        <v>60139.411640000013</v>
      </c>
    </row>
    <row r="3090" spans="1:9" x14ac:dyDescent="0.25">
      <c r="A3090" t="s">
        <v>13</v>
      </c>
      <c r="B3090" s="1">
        <v>17</v>
      </c>
      <c r="C3090" s="1">
        <v>17.010000000000002</v>
      </c>
      <c r="D3090" s="2" t="s">
        <v>377</v>
      </c>
      <c r="E3090" s="8">
        <v>3535.8029000000001</v>
      </c>
      <c r="F3090" s="8">
        <f t="shared" si="2"/>
        <v>0</v>
      </c>
      <c r="G3090" s="8">
        <f>E3090+F3090</f>
        <v>3535.8029000000001</v>
      </c>
      <c r="H3090" s="3">
        <f>B3090*G3090</f>
        <v>60108.649300000005</v>
      </c>
      <c r="I3090" s="3">
        <f>C3090*G3090</f>
        <v>60144.007329000007</v>
      </c>
    </row>
    <row r="3091" spans="1:9" x14ac:dyDescent="0.25">
      <c r="A3091" t="s">
        <v>14</v>
      </c>
      <c r="B3091" s="1">
        <v>34.049999999999997</v>
      </c>
      <c r="C3091" s="1">
        <v>34.06</v>
      </c>
      <c r="D3091" s="2" t="s">
        <v>377</v>
      </c>
      <c r="E3091" s="8">
        <v>1765.1682000000001</v>
      </c>
      <c r="F3091" s="8">
        <f t="shared" si="2"/>
        <v>0.2</v>
      </c>
      <c r="G3091" s="8">
        <f>E3091+F3091</f>
        <v>1765.3682000000001</v>
      </c>
      <c r="H3091" s="3">
        <f>B3091*G3091</f>
        <v>60110.787210000002</v>
      </c>
      <c r="I3091" s="3">
        <f>C3091*G3091</f>
        <v>60128.440892000006</v>
      </c>
    </row>
    <row r="3092" spans="1:9" x14ac:dyDescent="0.25">
      <c r="A3092" t="s">
        <v>4</v>
      </c>
      <c r="B3092" s="1">
        <v>20.51</v>
      </c>
      <c r="C3092" s="1">
        <v>20.52</v>
      </c>
      <c r="D3092" s="2" t="s">
        <v>336</v>
      </c>
      <c r="E3092" s="8">
        <v>3015.1736999999998</v>
      </c>
      <c r="F3092" s="8">
        <f t="shared" si="2"/>
        <v>0</v>
      </c>
      <c r="G3092" s="8">
        <f>E3092+F3092</f>
        <v>3015.1736999999998</v>
      </c>
      <c r="H3092" s="3">
        <f>B3092*G3092</f>
        <v>61841.212587000002</v>
      </c>
      <c r="I3092" s="3">
        <f>C3092*G3092</f>
        <v>61871.364323999995</v>
      </c>
    </row>
    <row r="3093" spans="1:9" x14ac:dyDescent="0.25">
      <c r="A3093" t="s">
        <v>6</v>
      </c>
      <c r="B3093" s="1">
        <v>33.57</v>
      </c>
      <c r="C3093" s="1">
        <v>33.58</v>
      </c>
      <c r="D3093" s="2" t="s">
        <v>336</v>
      </c>
      <c r="E3093" s="8">
        <v>1842.2518</v>
      </c>
      <c r="F3093" s="8">
        <f t="shared" si="2"/>
        <v>-0.1</v>
      </c>
      <c r="G3093" s="8">
        <f>E3093+F3093</f>
        <v>1842.1518000000001</v>
      </c>
      <c r="H3093" s="3">
        <f>B3093*G3093</f>
        <v>61841.035926000004</v>
      </c>
      <c r="I3093" s="3">
        <f>C3093*G3093</f>
        <v>61859.457444</v>
      </c>
    </row>
    <row r="3094" spans="1:9" x14ac:dyDescent="0.25">
      <c r="A3094" t="s">
        <v>7</v>
      </c>
      <c r="B3094" s="1">
        <v>17.43</v>
      </c>
      <c r="C3094" s="1">
        <v>17.440000000000001</v>
      </c>
      <c r="D3094" s="2" t="s">
        <v>336</v>
      </c>
      <c r="E3094" s="8">
        <v>3546.9023999999999</v>
      </c>
      <c r="F3094" s="8">
        <f t="shared" si="2"/>
        <v>0</v>
      </c>
      <c r="G3094" s="8">
        <f>E3094+F3094</f>
        <v>3546.9023999999999</v>
      </c>
      <c r="H3094" s="3">
        <f>B3094*G3094</f>
        <v>61822.508832</v>
      </c>
      <c r="I3094" s="3">
        <f>C3094*G3094</f>
        <v>61857.977856000005</v>
      </c>
    </row>
    <row r="3095" spans="1:9" x14ac:dyDescent="0.25">
      <c r="A3095" t="s">
        <v>8</v>
      </c>
      <c r="B3095" s="1">
        <v>27.35</v>
      </c>
      <c r="C3095" s="1">
        <v>27.36</v>
      </c>
      <c r="D3095" s="2" t="s">
        <v>336</v>
      </c>
      <c r="E3095" s="8">
        <v>2261.4625000000001</v>
      </c>
      <c r="F3095" s="8">
        <f t="shared" si="2"/>
        <v>-0.2</v>
      </c>
      <c r="G3095" s="8">
        <f>E3095+F3095</f>
        <v>2261.2625000000003</v>
      </c>
      <c r="H3095" s="3">
        <f>B3095*G3095</f>
        <v>61845.529375000013</v>
      </c>
      <c r="I3095" s="3">
        <f>C3095*G3095</f>
        <v>61868.142000000007</v>
      </c>
    </row>
    <row r="3096" spans="1:9" x14ac:dyDescent="0.25">
      <c r="A3096" t="s">
        <v>9</v>
      </c>
      <c r="B3096" s="1">
        <v>65.290000000000006</v>
      </c>
      <c r="C3096" s="1">
        <v>65.39</v>
      </c>
      <c r="D3096" s="2" t="s">
        <v>336</v>
      </c>
      <c r="E3096" s="8">
        <v>946.22090000000003</v>
      </c>
      <c r="F3096" s="8">
        <f t="shared" si="2"/>
        <v>0</v>
      </c>
      <c r="G3096" s="8">
        <f>E3096+F3096</f>
        <v>946.22090000000003</v>
      </c>
      <c r="H3096" s="3">
        <f>B3096*G3096</f>
        <v>61778.76256100001</v>
      </c>
      <c r="I3096" s="3">
        <f>C3096*G3096</f>
        <v>61873.384651</v>
      </c>
    </row>
    <row r="3097" spans="1:9" x14ac:dyDescent="0.25">
      <c r="A3097" t="s">
        <v>10</v>
      </c>
      <c r="B3097" s="1">
        <v>35.729999999999997</v>
      </c>
      <c r="C3097" s="1">
        <v>35.75</v>
      </c>
      <c r="D3097" s="2" t="s">
        <v>336</v>
      </c>
      <c r="E3097" s="8">
        <v>1730.2348</v>
      </c>
      <c r="F3097" s="8">
        <f t="shared" si="2"/>
        <v>0.2</v>
      </c>
      <c r="G3097" s="8">
        <f>E3097+F3097</f>
        <v>1730.4348</v>
      </c>
      <c r="H3097" s="3">
        <f>B3097*G3097</f>
        <v>61828.435403999996</v>
      </c>
      <c r="I3097" s="3">
        <f>C3097*G3097</f>
        <v>61863.044099999999</v>
      </c>
    </row>
    <row r="3098" spans="1:9" x14ac:dyDescent="0.25">
      <c r="A3098" t="s">
        <v>11</v>
      </c>
      <c r="B3098" s="1">
        <v>53.82</v>
      </c>
      <c r="C3098" s="1">
        <v>53.83</v>
      </c>
      <c r="D3098" s="2" t="s">
        <v>336</v>
      </c>
      <c r="E3098" s="8">
        <v>1148.9558999999999</v>
      </c>
      <c r="F3098" s="8">
        <f t="shared" si="2"/>
        <v>0.05</v>
      </c>
      <c r="G3098" s="8">
        <f>E3098+F3098</f>
        <v>1149.0058999999999</v>
      </c>
      <c r="H3098" s="3">
        <f>B3098*G3098</f>
        <v>61839.497537999996</v>
      </c>
      <c r="I3098" s="3">
        <f>C3098*G3098</f>
        <v>61850.987596999992</v>
      </c>
    </row>
    <row r="3099" spans="1:9" x14ac:dyDescent="0.25">
      <c r="A3099" t="s">
        <v>12</v>
      </c>
      <c r="B3099" s="1">
        <v>47.96</v>
      </c>
      <c r="C3099" s="1">
        <v>47.97</v>
      </c>
      <c r="D3099" s="2" t="s">
        <v>336</v>
      </c>
      <c r="E3099" s="8">
        <v>1289.6505000000002</v>
      </c>
      <c r="F3099" s="8">
        <f t="shared" si="2"/>
        <v>0</v>
      </c>
      <c r="G3099" s="8">
        <f>E3099+F3099</f>
        <v>1289.6505000000002</v>
      </c>
      <c r="H3099" s="3">
        <f>B3099*G3099</f>
        <v>61851.637980000007</v>
      </c>
      <c r="I3099" s="3">
        <f>C3099*G3099</f>
        <v>61864.534485000011</v>
      </c>
    </row>
    <row r="3100" spans="1:9" x14ac:dyDescent="0.25">
      <c r="A3100" t="s">
        <v>13</v>
      </c>
      <c r="B3100" s="1">
        <v>17.489999999999998</v>
      </c>
      <c r="C3100" s="1">
        <v>17.5</v>
      </c>
      <c r="D3100" s="2" t="s">
        <v>336</v>
      </c>
      <c r="E3100" s="8">
        <v>3535.8029000000001</v>
      </c>
      <c r="F3100" s="8">
        <f t="shared" si="2"/>
        <v>0</v>
      </c>
      <c r="G3100" s="8">
        <f>E3100+F3100</f>
        <v>3535.8029000000001</v>
      </c>
      <c r="H3100" s="3">
        <f>B3100*G3100</f>
        <v>61841.192720999999</v>
      </c>
      <c r="I3100" s="3">
        <f>C3100*G3100</f>
        <v>61876.550750000002</v>
      </c>
    </row>
    <row r="3101" spans="1:9" x14ac:dyDescent="0.25">
      <c r="A3101" t="s">
        <v>14</v>
      </c>
      <c r="B3101" s="1">
        <v>35.03</v>
      </c>
      <c r="C3101" s="1">
        <v>35.04</v>
      </c>
      <c r="D3101" s="2" t="s">
        <v>336</v>
      </c>
      <c r="E3101" s="8">
        <v>1765.2166</v>
      </c>
      <c r="F3101" s="8">
        <f t="shared" si="2"/>
        <v>0.2</v>
      </c>
      <c r="G3101" s="8">
        <f>E3101+F3101</f>
        <v>1765.4166</v>
      </c>
      <c r="H3101" s="3">
        <f>B3101*G3101</f>
        <v>61842.543497999999</v>
      </c>
      <c r="I3101" s="3">
        <f>C3101*G3101</f>
        <v>61860.197663999999</v>
      </c>
    </row>
    <row r="3102" spans="1:9" x14ac:dyDescent="0.25">
      <c r="A3102" t="s">
        <v>4</v>
      </c>
      <c r="B3102" s="1">
        <v>20.52</v>
      </c>
      <c r="C3102" s="1">
        <v>20.53</v>
      </c>
      <c r="D3102" s="2" t="s">
        <v>337</v>
      </c>
      <c r="E3102" s="8">
        <v>3015.1736999999998</v>
      </c>
      <c r="F3102" s="8">
        <f t="shared" si="2"/>
        <v>0</v>
      </c>
      <c r="G3102" s="8">
        <f>E3102+F3102</f>
        <v>3015.1736999999998</v>
      </c>
      <c r="H3102" s="3">
        <f>B3102*G3102</f>
        <v>61871.364323999995</v>
      </c>
      <c r="I3102" s="3">
        <f>C3102*G3102</f>
        <v>61901.516061000002</v>
      </c>
    </row>
    <row r="3103" spans="1:9" x14ac:dyDescent="0.25">
      <c r="A3103" t="s">
        <v>6</v>
      </c>
      <c r="B3103" s="1">
        <v>33.58</v>
      </c>
      <c r="C3103" s="1">
        <v>33.590000000000003</v>
      </c>
      <c r="D3103" s="2" t="s">
        <v>337</v>
      </c>
      <c r="E3103" s="8">
        <v>1842.2518</v>
      </c>
      <c r="F3103" s="8">
        <f t="shared" si="2"/>
        <v>-0.1</v>
      </c>
      <c r="G3103" s="8">
        <f>E3103+F3103</f>
        <v>1842.1518000000001</v>
      </c>
      <c r="H3103" s="3">
        <f>B3103*G3103</f>
        <v>61859.457444</v>
      </c>
      <c r="I3103" s="3">
        <f>C3103*G3103</f>
        <v>61877.87896200001</v>
      </c>
    </row>
    <row r="3104" spans="1:9" x14ac:dyDescent="0.25">
      <c r="A3104" t="s">
        <v>7</v>
      </c>
      <c r="B3104" s="1">
        <v>17.440000000000001</v>
      </c>
      <c r="C3104" s="1">
        <v>17.45</v>
      </c>
      <c r="D3104" s="2" t="s">
        <v>337</v>
      </c>
      <c r="E3104" s="8">
        <v>3546.9023999999999</v>
      </c>
      <c r="F3104" s="8">
        <f t="shared" si="2"/>
        <v>0</v>
      </c>
      <c r="G3104" s="8">
        <f>E3104+F3104</f>
        <v>3546.9023999999999</v>
      </c>
      <c r="H3104" s="3">
        <f>B3104*G3104</f>
        <v>61857.977856000005</v>
      </c>
      <c r="I3104" s="3">
        <f>C3104*G3104</f>
        <v>61893.446879999996</v>
      </c>
    </row>
    <row r="3105" spans="1:9" x14ac:dyDescent="0.25">
      <c r="A3105" t="s">
        <v>8</v>
      </c>
      <c r="B3105" s="1">
        <v>27.36</v>
      </c>
      <c r="C3105" s="1">
        <v>27.37</v>
      </c>
      <c r="D3105" s="2" t="s">
        <v>337</v>
      </c>
      <c r="E3105" s="8">
        <v>2261.4625000000001</v>
      </c>
      <c r="F3105" s="8">
        <f t="shared" si="2"/>
        <v>-0.2</v>
      </c>
      <c r="G3105" s="8">
        <f>E3105+F3105</f>
        <v>2261.2625000000003</v>
      </c>
      <c r="H3105" s="3">
        <f>B3105*G3105</f>
        <v>61868.142000000007</v>
      </c>
      <c r="I3105" s="3">
        <f>C3105*G3105</f>
        <v>61890.754625000009</v>
      </c>
    </row>
    <row r="3106" spans="1:9" x14ac:dyDescent="0.25">
      <c r="A3106" t="s">
        <v>9</v>
      </c>
      <c r="B3106" s="1">
        <v>65.349999999999994</v>
      </c>
      <c r="C3106" s="1">
        <v>65.44</v>
      </c>
      <c r="D3106" s="2" t="s">
        <v>337</v>
      </c>
      <c r="E3106" s="8">
        <v>946.22090000000003</v>
      </c>
      <c r="F3106" s="8">
        <f t="shared" si="2"/>
        <v>0</v>
      </c>
      <c r="G3106" s="8">
        <f>E3106+F3106</f>
        <v>946.22090000000003</v>
      </c>
      <c r="H3106" s="3">
        <f>B3106*G3106</f>
        <v>61835.535814999996</v>
      </c>
      <c r="I3106" s="3">
        <f>C3106*G3106</f>
        <v>61920.695696000002</v>
      </c>
    </row>
    <row r="3107" spans="1:9" x14ac:dyDescent="0.25">
      <c r="A3107" t="s">
        <v>10</v>
      </c>
      <c r="B3107" s="1">
        <v>35.74</v>
      </c>
      <c r="C3107" s="1">
        <v>35.76</v>
      </c>
      <c r="D3107" s="2" t="s">
        <v>337</v>
      </c>
      <c r="E3107" s="8">
        <v>1730.2348</v>
      </c>
      <c r="F3107" s="8">
        <f t="shared" si="2"/>
        <v>0.2</v>
      </c>
      <c r="G3107" s="8">
        <f>E3107+F3107</f>
        <v>1730.4348</v>
      </c>
      <c r="H3107" s="3">
        <f>B3107*G3107</f>
        <v>61845.739752000001</v>
      </c>
      <c r="I3107" s="3">
        <f>C3107*G3107</f>
        <v>61880.348447999997</v>
      </c>
    </row>
    <row r="3108" spans="1:9" x14ac:dyDescent="0.25">
      <c r="A3108" t="s">
        <v>11</v>
      </c>
      <c r="B3108" s="1">
        <v>53.85</v>
      </c>
      <c r="C3108" s="1">
        <v>53.86</v>
      </c>
      <c r="D3108" s="2" t="s">
        <v>337</v>
      </c>
      <c r="E3108" s="8">
        <v>1148.9558999999999</v>
      </c>
      <c r="F3108" s="8">
        <f t="shared" si="2"/>
        <v>0.05</v>
      </c>
      <c r="G3108" s="8">
        <f>E3108+F3108</f>
        <v>1149.0058999999999</v>
      </c>
      <c r="H3108" s="3">
        <f>B3108*G3108</f>
        <v>61873.967714999999</v>
      </c>
      <c r="I3108" s="3">
        <f>C3108*G3108</f>
        <v>61885.457773999995</v>
      </c>
    </row>
    <row r="3109" spans="1:9" x14ac:dyDescent="0.25">
      <c r="A3109" t="s">
        <v>12</v>
      </c>
      <c r="B3109" s="1">
        <v>47.99</v>
      </c>
      <c r="C3109" s="1">
        <v>48</v>
      </c>
      <c r="D3109" s="2" t="s">
        <v>337</v>
      </c>
      <c r="E3109" s="8">
        <v>1289.6505000000002</v>
      </c>
      <c r="F3109" s="8">
        <f t="shared" si="2"/>
        <v>0</v>
      </c>
      <c r="G3109" s="8">
        <f>E3109+F3109</f>
        <v>1289.6505000000002</v>
      </c>
      <c r="H3109" s="3">
        <f>B3109*G3109</f>
        <v>61890.327495000012</v>
      </c>
      <c r="I3109" s="3">
        <f>C3109*G3109</f>
        <v>61903.224000000009</v>
      </c>
    </row>
    <row r="3110" spans="1:9" x14ac:dyDescent="0.25">
      <c r="A3110" t="s">
        <v>13</v>
      </c>
      <c r="B3110" s="1">
        <v>17.5</v>
      </c>
      <c r="C3110" s="1">
        <v>17.510000000000002</v>
      </c>
      <c r="D3110" s="2" t="s">
        <v>337</v>
      </c>
      <c r="E3110" s="8">
        <v>3535.8029000000001</v>
      </c>
      <c r="F3110" s="8">
        <f t="shared" si="2"/>
        <v>0</v>
      </c>
      <c r="G3110" s="8">
        <f>E3110+F3110</f>
        <v>3535.8029000000001</v>
      </c>
      <c r="H3110" s="3">
        <f>B3110*G3110</f>
        <v>61876.550750000002</v>
      </c>
      <c r="I3110" s="3">
        <f>C3110*G3110</f>
        <v>61911.908779000005</v>
      </c>
    </row>
    <row r="3111" spans="1:9" x14ac:dyDescent="0.25">
      <c r="A3111" t="s">
        <v>14</v>
      </c>
      <c r="B3111" s="1">
        <v>35.049999999999997</v>
      </c>
      <c r="C3111" s="1">
        <v>35.06</v>
      </c>
      <c r="D3111" s="2" t="s">
        <v>337</v>
      </c>
      <c r="E3111" s="8">
        <v>1765.2166</v>
      </c>
      <c r="F3111" s="8">
        <f t="shared" si="2"/>
        <v>0.2</v>
      </c>
      <c r="G3111" s="8">
        <f>E3111+F3111</f>
        <v>1765.4166</v>
      </c>
      <c r="H3111" s="3">
        <f>B3111*G3111</f>
        <v>61877.851829999992</v>
      </c>
      <c r="I3111" s="3">
        <f>C3111*G3111</f>
        <v>61895.505996000007</v>
      </c>
    </row>
    <row r="3112" spans="1:9" x14ac:dyDescent="0.25">
      <c r="A3112" t="s">
        <v>4</v>
      </c>
      <c r="B3112" s="1">
        <v>20.58</v>
      </c>
      <c r="C3112" s="1">
        <v>20.59</v>
      </c>
      <c r="D3112" s="2" t="s">
        <v>338</v>
      </c>
      <c r="E3112" s="8">
        <v>3015.1736999999998</v>
      </c>
      <c r="F3112" s="8">
        <f t="shared" si="2"/>
        <v>0</v>
      </c>
      <c r="G3112" s="8">
        <f>E3112+F3112</f>
        <v>3015.1736999999998</v>
      </c>
      <c r="H3112" s="3">
        <f>B3112*G3112</f>
        <v>62052.274745999988</v>
      </c>
      <c r="I3112" s="3">
        <f>C3112*G3112</f>
        <v>62082.426482999996</v>
      </c>
    </row>
    <row r="3113" spans="1:9" x14ac:dyDescent="0.25">
      <c r="A3113" t="s">
        <v>6</v>
      </c>
      <c r="B3113" s="1">
        <v>33.69</v>
      </c>
      <c r="C3113" s="1">
        <v>33.700000000000003</v>
      </c>
      <c r="D3113" s="2" t="s">
        <v>338</v>
      </c>
      <c r="E3113" s="8">
        <v>1842.2518</v>
      </c>
      <c r="F3113" s="8">
        <f t="shared" si="2"/>
        <v>-0.1</v>
      </c>
      <c r="G3113" s="8">
        <f>E3113+F3113</f>
        <v>1842.1518000000001</v>
      </c>
      <c r="H3113" s="3">
        <f>B3113*G3113</f>
        <v>62062.094142000002</v>
      </c>
      <c r="I3113" s="3">
        <f>C3113*G3113</f>
        <v>62080.515660000012</v>
      </c>
    </row>
    <row r="3114" spans="1:9" x14ac:dyDescent="0.25">
      <c r="A3114" t="s">
        <v>7</v>
      </c>
      <c r="B3114" s="1">
        <v>17.489999999999998</v>
      </c>
      <c r="C3114" s="1">
        <v>17.5</v>
      </c>
      <c r="D3114" s="2" t="s">
        <v>338</v>
      </c>
      <c r="E3114" s="8">
        <v>3546.9023999999999</v>
      </c>
      <c r="F3114" s="8">
        <f t="shared" ref="F3114:F3177" si="3">F3104</f>
        <v>0</v>
      </c>
      <c r="G3114" s="8">
        <f>E3114+F3114</f>
        <v>3546.9023999999999</v>
      </c>
      <c r="H3114" s="3">
        <f>B3114*G3114</f>
        <v>62035.322975999996</v>
      </c>
      <c r="I3114" s="3">
        <f>C3114*G3114</f>
        <v>62070.792000000001</v>
      </c>
    </row>
    <row r="3115" spans="1:9" x14ac:dyDescent="0.25">
      <c r="A3115" t="s">
        <v>8</v>
      </c>
      <c r="B3115" s="1">
        <v>27.44</v>
      </c>
      <c r="C3115" s="1">
        <v>27.45</v>
      </c>
      <c r="D3115" s="2" t="s">
        <v>338</v>
      </c>
      <c r="E3115" s="8">
        <v>2261.4625000000001</v>
      </c>
      <c r="F3115" s="8">
        <f t="shared" si="3"/>
        <v>-0.2</v>
      </c>
      <c r="G3115" s="8">
        <f>E3115+F3115</f>
        <v>2261.2625000000003</v>
      </c>
      <c r="H3115" s="3">
        <f>B3115*G3115</f>
        <v>62049.043000000012</v>
      </c>
      <c r="I3115" s="3">
        <f>C3115*G3115</f>
        <v>62071.655625000007</v>
      </c>
    </row>
    <row r="3116" spans="1:9" x14ac:dyDescent="0.25">
      <c r="A3116" t="s">
        <v>9</v>
      </c>
      <c r="B3116" s="1">
        <v>65.53</v>
      </c>
      <c r="C3116" s="1">
        <v>65.62</v>
      </c>
      <c r="D3116" s="2" t="s">
        <v>338</v>
      </c>
      <c r="E3116" s="8">
        <v>946.22090000000003</v>
      </c>
      <c r="F3116" s="8">
        <f t="shared" si="3"/>
        <v>0</v>
      </c>
      <c r="G3116" s="8">
        <f>E3116+F3116</f>
        <v>946.22090000000003</v>
      </c>
      <c r="H3116" s="3">
        <f>B3116*G3116</f>
        <v>62005.855577000002</v>
      </c>
      <c r="I3116" s="3">
        <f>C3116*G3116</f>
        <v>62091.015458000009</v>
      </c>
    </row>
    <row r="3117" spans="1:9" x14ac:dyDescent="0.25">
      <c r="A3117" t="s">
        <v>10</v>
      </c>
      <c r="B3117" s="1">
        <v>35.86</v>
      </c>
      <c r="C3117" s="1">
        <v>35.880000000000003</v>
      </c>
      <c r="D3117" s="2" t="s">
        <v>338</v>
      </c>
      <c r="E3117" s="8">
        <v>1730.2348</v>
      </c>
      <c r="F3117" s="8">
        <f t="shared" si="3"/>
        <v>0.2</v>
      </c>
      <c r="G3117" s="8">
        <f>E3117+F3117</f>
        <v>1730.4348</v>
      </c>
      <c r="H3117" s="3">
        <f>B3117*G3117</f>
        <v>62053.391927999997</v>
      </c>
      <c r="I3117" s="3">
        <f>C3117*G3117</f>
        <v>62088.000624000008</v>
      </c>
    </row>
    <row r="3118" spans="1:9" x14ac:dyDescent="0.25">
      <c r="A3118" t="s">
        <v>11</v>
      </c>
      <c r="B3118" s="1">
        <v>54.01</v>
      </c>
      <c r="C3118" s="1">
        <v>54.02</v>
      </c>
      <c r="D3118" s="2" t="s">
        <v>338</v>
      </c>
      <c r="E3118" s="8">
        <v>1148.9558999999999</v>
      </c>
      <c r="F3118" s="8">
        <f t="shared" si="3"/>
        <v>0.05</v>
      </c>
      <c r="G3118" s="8">
        <f>E3118+F3118</f>
        <v>1149.0058999999999</v>
      </c>
      <c r="H3118" s="3">
        <f>B3118*G3118</f>
        <v>62057.808658999995</v>
      </c>
      <c r="I3118" s="3">
        <f>C3118*G3118</f>
        <v>62069.298717999998</v>
      </c>
    </row>
    <row r="3119" spans="1:9" x14ac:dyDescent="0.25">
      <c r="A3119" t="s">
        <v>12</v>
      </c>
      <c r="B3119" s="1">
        <v>48.13</v>
      </c>
      <c r="C3119" s="1">
        <v>48.14</v>
      </c>
      <c r="D3119" s="2" t="s">
        <v>338</v>
      </c>
      <c r="E3119" s="8">
        <v>1289.6505000000002</v>
      </c>
      <c r="F3119" s="8">
        <f t="shared" si="3"/>
        <v>0</v>
      </c>
      <c r="G3119" s="8">
        <f>E3119+F3119</f>
        <v>1289.6505000000002</v>
      </c>
      <c r="H3119" s="3">
        <f>B3119*G3119</f>
        <v>62070.878565000014</v>
      </c>
      <c r="I3119" s="3">
        <f>C3119*G3119</f>
        <v>62083.775070000011</v>
      </c>
    </row>
    <row r="3120" spans="1:9" x14ac:dyDescent="0.25">
      <c r="A3120" t="s">
        <v>13</v>
      </c>
      <c r="B3120" s="1">
        <v>17.55</v>
      </c>
      <c r="C3120" s="1">
        <v>17.559999999999999</v>
      </c>
      <c r="D3120" s="2" t="s">
        <v>338</v>
      </c>
      <c r="E3120" s="8">
        <v>3535.8029000000001</v>
      </c>
      <c r="F3120" s="8">
        <f t="shared" si="3"/>
        <v>0</v>
      </c>
      <c r="G3120" s="8">
        <f>E3120+F3120</f>
        <v>3535.8029000000001</v>
      </c>
      <c r="H3120" s="3">
        <f>B3120*G3120</f>
        <v>62053.340895000008</v>
      </c>
      <c r="I3120" s="3">
        <f>C3120*G3120</f>
        <v>62088.698923999997</v>
      </c>
    </row>
    <row r="3121" spans="1:9" x14ac:dyDescent="0.25">
      <c r="A3121" t="s">
        <v>14</v>
      </c>
      <c r="B3121" s="1">
        <v>35.159999999999997</v>
      </c>
      <c r="C3121" s="1">
        <v>35.17</v>
      </c>
      <c r="D3121" s="2" t="s">
        <v>338</v>
      </c>
      <c r="E3121" s="8">
        <v>1765.2166</v>
      </c>
      <c r="F3121" s="8">
        <f t="shared" si="3"/>
        <v>0.2</v>
      </c>
      <c r="G3121" s="8">
        <f>E3121+F3121</f>
        <v>1765.4166</v>
      </c>
      <c r="H3121" s="3">
        <f>B3121*G3121</f>
        <v>62072.047655999995</v>
      </c>
      <c r="I3121" s="3">
        <f>C3121*G3121</f>
        <v>62089.701822000003</v>
      </c>
    </row>
    <row r="3122" spans="1:9" x14ac:dyDescent="0.25">
      <c r="A3122" t="s">
        <v>4</v>
      </c>
      <c r="B3122" s="1">
        <v>20.45</v>
      </c>
      <c r="C3122" s="1">
        <v>20.46</v>
      </c>
      <c r="D3122" s="2" t="s">
        <v>339</v>
      </c>
      <c r="E3122" s="8">
        <v>3015.1736999999998</v>
      </c>
      <c r="F3122" s="8">
        <f t="shared" si="3"/>
        <v>0</v>
      </c>
      <c r="G3122" s="8">
        <f>E3122+F3122</f>
        <v>3015.1736999999998</v>
      </c>
      <c r="H3122" s="3">
        <f>B3122*G3122</f>
        <v>61660.302164999994</v>
      </c>
      <c r="I3122" s="3">
        <f>C3122*G3122</f>
        <v>61690.453902000001</v>
      </c>
    </row>
    <row r="3123" spans="1:9" x14ac:dyDescent="0.25">
      <c r="A3123" t="s">
        <v>6</v>
      </c>
      <c r="B3123" s="1">
        <v>33.479999999999997</v>
      </c>
      <c r="C3123" s="1">
        <v>33.49</v>
      </c>
      <c r="D3123" s="2" t="s">
        <v>339</v>
      </c>
      <c r="E3123" s="8">
        <v>1842.2518</v>
      </c>
      <c r="F3123" s="8">
        <f t="shared" si="3"/>
        <v>-0.1</v>
      </c>
      <c r="G3123" s="8">
        <f>E3123+F3123</f>
        <v>1842.1518000000001</v>
      </c>
      <c r="H3123" s="3">
        <f>B3123*G3123</f>
        <v>61675.242264</v>
      </c>
      <c r="I3123" s="3">
        <f>C3123*G3123</f>
        <v>61693.663782000003</v>
      </c>
    </row>
    <row r="3124" spans="1:9" x14ac:dyDescent="0.25">
      <c r="A3124" t="s">
        <v>7</v>
      </c>
      <c r="B3124" s="1">
        <v>17.39</v>
      </c>
      <c r="C3124" s="1">
        <v>17.399999999999999</v>
      </c>
      <c r="D3124" s="2" t="s">
        <v>339</v>
      </c>
      <c r="E3124" s="8">
        <v>3546.9023999999999</v>
      </c>
      <c r="F3124" s="8">
        <f t="shared" si="3"/>
        <v>0</v>
      </c>
      <c r="G3124" s="8">
        <f>E3124+F3124</f>
        <v>3546.9023999999999</v>
      </c>
      <c r="H3124" s="3">
        <f>B3124*G3124</f>
        <v>61680.632736</v>
      </c>
      <c r="I3124" s="3">
        <f>C3124*G3124</f>
        <v>61716.10175999999</v>
      </c>
    </row>
    <row r="3125" spans="1:9" x14ac:dyDescent="0.25">
      <c r="A3125" t="s">
        <v>8</v>
      </c>
      <c r="B3125" s="1">
        <v>27.27</v>
      </c>
      <c r="C3125" s="1">
        <v>27.28</v>
      </c>
      <c r="D3125" s="2" t="s">
        <v>339</v>
      </c>
      <c r="E3125" s="8">
        <v>2261.4625000000001</v>
      </c>
      <c r="F3125" s="8">
        <f t="shared" si="3"/>
        <v>-0.2</v>
      </c>
      <c r="G3125" s="8">
        <f>E3125+F3125</f>
        <v>2261.2625000000003</v>
      </c>
      <c r="H3125" s="3">
        <f>B3125*G3125</f>
        <v>61664.628375000008</v>
      </c>
      <c r="I3125" s="3">
        <f>C3125*G3125</f>
        <v>61687.241000000009</v>
      </c>
    </row>
    <row r="3126" spans="1:9" x14ac:dyDescent="0.25">
      <c r="A3126" t="s">
        <v>9</v>
      </c>
      <c r="B3126" s="1">
        <v>65.14</v>
      </c>
      <c r="C3126" s="1">
        <v>65.22</v>
      </c>
      <c r="D3126" s="2" t="s">
        <v>339</v>
      </c>
      <c r="E3126" s="8">
        <v>946.22090000000003</v>
      </c>
      <c r="F3126" s="8">
        <f t="shared" si="3"/>
        <v>0</v>
      </c>
      <c r="G3126" s="8">
        <f>E3126+F3126</f>
        <v>946.22090000000003</v>
      </c>
      <c r="H3126" s="3">
        <f>B3126*G3126</f>
        <v>61636.829426000004</v>
      </c>
      <c r="I3126" s="3">
        <f>C3126*G3126</f>
        <v>61712.527097999999</v>
      </c>
    </row>
    <row r="3127" spans="1:9" x14ac:dyDescent="0.25">
      <c r="A3127" t="s">
        <v>10</v>
      </c>
      <c r="B3127" s="1">
        <v>35.64</v>
      </c>
      <c r="C3127" s="1">
        <v>35.659999999999997</v>
      </c>
      <c r="D3127" s="2" t="s">
        <v>339</v>
      </c>
      <c r="E3127" s="8">
        <v>1730.2348</v>
      </c>
      <c r="F3127" s="8">
        <f t="shared" si="3"/>
        <v>0.2</v>
      </c>
      <c r="G3127" s="8">
        <f>E3127+F3127</f>
        <v>1730.4348</v>
      </c>
      <c r="H3127" s="3">
        <f>B3127*G3127</f>
        <v>61672.696272000001</v>
      </c>
      <c r="I3127" s="3">
        <f>C3127*G3127</f>
        <v>61707.304967999997</v>
      </c>
    </row>
    <row r="3128" spans="1:9" x14ac:dyDescent="0.25">
      <c r="A3128" t="s">
        <v>11</v>
      </c>
      <c r="B3128" s="1">
        <v>53.69</v>
      </c>
      <c r="C3128" s="1">
        <v>53.7</v>
      </c>
      <c r="D3128" s="2" t="s">
        <v>339</v>
      </c>
      <c r="E3128" s="8">
        <v>1148.9558999999999</v>
      </c>
      <c r="F3128" s="8">
        <f t="shared" si="3"/>
        <v>0.05</v>
      </c>
      <c r="G3128" s="8">
        <f>E3128+F3128</f>
        <v>1149.0058999999999</v>
      </c>
      <c r="H3128" s="3">
        <f>B3128*G3128</f>
        <v>61690.126770999988</v>
      </c>
      <c r="I3128" s="3">
        <f>C3128*G3128</f>
        <v>61701.616829999999</v>
      </c>
    </row>
    <row r="3129" spans="1:9" x14ac:dyDescent="0.25">
      <c r="A3129" t="s">
        <v>12</v>
      </c>
      <c r="B3129" s="1">
        <v>47.84</v>
      </c>
      <c r="C3129" s="1">
        <v>47.85</v>
      </c>
      <c r="D3129" s="2" t="s">
        <v>339</v>
      </c>
      <c r="E3129" s="8">
        <v>1289.6505000000002</v>
      </c>
      <c r="F3129" s="8">
        <f t="shared" si="3"/>
        <v>0</v>
      </c>
      <c r="G3129" s="8">
        <f>E3129+F3129</f>
        <v>1289.6505000000002</v>
      </c>
      <c r="H3129" s="3">
        <f>B3129*G3129</f>
        <v>61696.879920000014</v>
      </c>
      <c r="I3129" s="3">
        <f>C3129*G3129</f>
        <v>61709.776425000011</v>
      </c>
    </row>
    <row r="3130" spans="1:9" x14ac:dyDescent="0.25">
      <c r="A3130" t="s">
        <v>13</v>
      </c>
      <c r="B3130" s="1">
        <v>17.45</v>
      </c>
      <c r="C3130" s="1">
        <v>17.46</v>
      </c>
      <c r="D3130" s="2" t="s">
        <v>339</v>
      </c>
      <c r="E3130" s="8">
        <v>3535.8029000000001</v>
      </c>
      <c r="F3130" s="8">
        <f t="shared" si="3"/>
        <v>0</v>
      </c>
      <c r="G3130" s="8">
        <f>E3130+F3130</f>
        <v>3535.8029000000001</v>
      </c>
      <c r="H3130" s="3">
        <f>B3130*G3130</f>
        <v>61699.760605000003</v>
      </c>
      <c r="I3130" s="3">
        <f>C3130*G3130</f>
        <v>61735.118634000006</v>
      </c>
    </row>
    <row r="3131" spans="1:9" x14ac:dyDescent="0.25">
      <c r="A3131" t="s">
        <v>14</v>
      </c>
      <c r="B3131" s="1">
        <v>34.950000000000003</v>
      </c>
      <c r="C3131" s="1">
        <v>34.96</v>
      </c>
      <c r="D3131" s="2" t="s">
        <v>339</v>
      </c>
      <c r="E3131" s="8">
        <v>1765.2166</v>
      </c>
      <c r="F3131" s="8">
        <f t="shared" si="3"/>
        <v>0.2</v>
      </c>
      <c r="G3131" s="8">
        <f>E3131+F3131</f>
        <v>1765.4166</v>
      </c>
      <c r="H3131" s="3">
        <f>B3131*G3131</f>
        <v>61701.310170000004</v>
      </c>
      <c r="I3131" s="3">
        <f>C3131*G3131</f>
        <v>61718.964336000005</v>
      </c>
    </row>
    <row r="3132" spans="1:9" x14ac:dyDescent="0.25">
      <c r="A3132" t="s">
        <v>4</v>
      </c>
      <c r="B3132" s="1">
        <v>20.37</v>
      </c>
      <c r="C3132" s="1">
        <v>20.38</v>
      </c>
      <c r="D3132" s="2" t="s">
        <v>340</v>
      </c>
      <c r="E3132" s="8">
        <v>3015.1736999999998</v>
      </c>
      <c r="F3132" s="8">
        <f t="shared" si="3"/>
        <v>0</v>
      </c>
      <c r="G3132" s="8">
        <f>E3132+F3132</f>
        <v>3015.1736999999998</v>
      </c>
      <c r="H3132" s="3">
        <f>B3132*G3132</f>
        <v>61419.088269</v>
      </c>
      <c r="I3132" s="3">
        <f>C3132*G3132</f>
        <v>61449.240005999993</v>
      </c>
    </row>
    <row r="3133" spans="1:9" x14ac:dyDescent="0.25">
      <c r="A3133" t="s">
        <v>6</v>
      </c>
      <c r="B3133" s="1">
        <v>33.35</v>
      </c>
      <c r="C3133" s="1">
        <v>33.36</v>
      </c>
      <c r="D3133" s="2" t="s">
        <v>340</v>
      </c>
      <c r="E3133" s="8">
        <v>1842.2518</v>
      </c>
      <c r="F3133" s="8">
        <f t="shared" si="3"/>
        <v>-0.1</v>
      </c>
      <c r="G3133" s="8">
        <f>E3133+F3133</f>
        <v>1842.1518000000001</v>
      </c>
      <c r="H3133" s="3">
        <f>B3133*G3133</f>
        <v>61435.762530000007</v>
      </c>
      <c r="I3133" s="3">
        <f>C3133*G3133</f>
        <v>61454.184048000003</v>
      </c>
    </row>
    <row r="3134" spans="1:9" x14ac:dyDescent="0.25">
      <c r="A3134" t="s">
        <v>7</v>
      </c>
      <c r="B3134" s="1">
        <v>17.32</v>
      </c>
      <c r="C3134" s="1">
        <v>17.329999999999998</v>
      </c>
      <c r="D3134" s="2" t="s">
        <v>340</v>
      </c>
      <c r="E3134" s="8">
        <v>3546.9023999999999</v>
      </c>
      <c r="F3134" s="8">
        <f t="shared" si="3"/>
        <v>0</v>
      </c>
      <c r="G3134" s="8">
        <f>E3134+F3134</f>
        <v>3546.9023999999999</v>
      </c>
      <c r="H3134" s="3">
        <f>B3134*G3134</f>
        <v>61432.349567999998</v>
      </c>
      <c r="I3134" s="3">
        <f>C3134*G3134</f>
        <v>61467.818591999996</v>
      </c>
    </row>
    <row r="3135" spans="1:9" x14ac:dyDescent="0.25">
      <c r="A3135" t="s">
        <v>8</v>
      </c>
      <c r="B3135" s="1">
        <v>27.17</v>
      </c>
      <c r="C3135" s="1">
        <v>27.18</v>
      </c>
      <c r="D3135" s="2" t="s">
        <v>340</v>
      </c>
      <c r="E3135" s="8">
        <v>2261.4625000000001</v>
      </c>
      <c r="F3135" s="8">
        <f t="shared" si="3"/>
        <v>-0.2</v>
      </c>
      <c r="G3135" s="8">
        <f>E3135+F3135</f>
        <v>2261.2625000000003</v>
      </c>
      <c r="H3135" s="3">
        <f>B3135*G3135</f>
        <v>61438.502125000014</v>
      </c>
      <c r="I3135" s="3">
        <f>C3135*G3135</f>
        <v>61461.114750000008</v>
      </c>
    </row>
    <row r="3136" spans="1:9" x14ac:dyDescent="0.25">
      <c r="A3136" t="s">
        <v>9</v>
      </c>
      <c r="B3136" s="1">
        <v>64.88</v>
      </c>
      <c r="C3136" s="1">
        <v>64.97</v>
      </c>
      <c r="D3136" s="2" t="s">
        <v>340</v>
      </c>
      <c r="E3136" s="8">
        <v>946.22090000000003</v>
      </c>
      <c r="F3136" s="8">
        <f t="shared" si="3"/>
        <v>0</v>
      </c>
      <c r="G3136" s="8">
        <f>E3136+F3136</f>
        <v>946.22090000000003</v>
      </c>
      <c r="H3136" s="3">
        <f>B3136*G3136</f>
        <v>61390.811991999995</v>
      </c>
      <c r="I3136" s="3">
        <f>C3136*G3136</f>
        <v>61475.971873000002</v>
      </c>
    </row>
    <row r="3137" spans="1:9" x14ac:dyDescent="0.25">
      <c r="A3137" t="s">
        <v>10</v>
      </c>
      <c r="B3137" s="1">
        <v>35.5</v>
      </c>
      <c r="C3137" s="1">
        <v>35.53</v>
      </c>
      <c r="D3137" s="2" t="s">
        <v>340</v>
      </c>
      <c r="E3137" s="8">
        <v>1730.2348</v>
      </c>
      <c r="F3137" s="8">
        <f t="shared" si="3"/>
        <v>0.2</v>
      </c>
      <c r="G3137" s="8">
        <f>E3137+F3137</f>
        <v>1730.4348</v>
      </c>
      <c r="H3137" s="3">
        <f>B3137*G3137</f>
        <v>61430.435400000002</v>
      </c>
      <c r="I3137" s="3">
        <f>C3137*G3137</f>
        <v>61482.348444000003</v>
      </c>
    </row>
    <row r="3138" spans="1:9" x14ac:dyDescent="0.25">
      <c r="A3138" t="s">
        <v>11</v>
      </c>
      <c r="B3138" s="1">
        <v>53.49</v>
      </c>
      <c r="C3138" s="1">
        <v>53.5</v>
      </c>
      <c r="D3138" s="2" t="s">
        <v>340</v>
      </c>
      <c r="E3138" s="8">
        <v>1148.9558999999999</v>
      </c>
      <c r="F3138" s="8">
        <f t="shared" si="3"/>
        <v>0.05</v>
      </c>
      <c r="G3138" s="8">
        <f>E3138+F3138</f>
        <v>1149.0058999999999</v>
      </c>
      <c r="H3138" s="3">
        <f>B3138*G3138</f>
        <v>61460.325590999993</v>
      </c>
      <c r="I3138" s="3">
        <f>C3138*G3138</f>
        <v>61471.815649999997</v>
      </c>
    </row>
    <row r="3139" spans="1:9" x14ac:dyDescent="0.25">
      <c r="A3139" t="s">
        <v>12</v>
      </c>
      <c r="B3139" s="1">
        <v>47.66</v>
      </c>
      <c r="C3139" s="1">
        <v>47.67</v>
      </c>
      <c r="D3139" s="2" t="s">
        <v>340</v>
      </c>
      <c r="E3139" s="8">
        <v>1289.6505000000002</v>
      </c>
      <c r="F3139" s="8">
        <f t="shared" si="3"/>
        <v>0</v>
      </c>
      <c r="G3139" s="8">
        <f>E3139+F3139</f>
        <v>1289.6505000000002</v>
      </c>
      <c r="H3139" s="3">
        <f>B3139*G3139</f>
        <v>61464.742830000003</v>
      </c>
      <c r="I3139" s="3">
        <f>C3139*G3139</f>
        <v>61477.639335000014</v>
      </c>
    </row>
    <row r="3140" spans="1:9" x14ac:dyDescent="0.25">
      <c r="A3140" t="s">
        <v>13</v>
      </c>
      <c r="B3140" s="1">
        <v>17.38</v>
      </c>
      <c r="C3140" s="1">
        <v>17.39</v>
      </c>
      <c r="D3140" s="2" t="s">
        <v>340</v>
      </c>
      <c r="E3140" s="8">
        <v>3535.8029000000001</v>
      </c>
      <c r="F3140" s="8">
        <f t="shared" si="3"/>
        <v>0</v>
      </c>
      <c r="G3140" s="8">
        <f>E3140+F3140</f>
        <v>3535.8029000000001</v>
      </c>
      <c r="H3140" s="3">
        <f>B3140*G3140</f>
        <v>61452.254401999999</v>
      </c>
      <c r="I3140" s="3">
        <f>C3140*G3140</f>
        <v>61487.612431000001</v>
      </c>
    </row>
    <row r="3141" spans="1:9" x14ac:dyDescent="0.25">
      <c r="A3141" t="s">
        <v>14</v>
      </c>
      <c r="B3141" s="1">
        <v>34.81</v>
      </c>
      <c r="C3141" s="1">
        <v>34.82</v>
      </c>
      <c r="D3141" s="2" t="s">
        <v>340</v>
      </c>
      <c r="E3141" s="8">
        <v>1765.2166</v>
      </c>
      <c r="F3141" s="8">
        <f t="shared" si="3"/>
        <v>0.2</v>
      </c>
      <c r="G3141" s="8">
        <f>E3141+F3141</f>
        <v>1765.4166</v>
      </c>
      <c r="H3141" s="3">
        <f>B3141*G3141</f>
        <v>61454.151846000008</v>
      </c>
      <c r="I3141" s="3">
        <f>C3141*G3141</f>
        <v>61471.806012000001</v>
      </c>
    </row>
    <row r="3142" spans="1:9" x14ac:dyDescent="0.25">
      <c r="A3142" t="s">
        <v>4</v>
      </c>
      <c r="B3142" s="1">
        <v>20.45</v>
      </c>
      <c r="C3142" s="1">
        <v>20.46</v>
      </c>
      <c r="D3142" s="2" t="s">
        <v>341</v>
      </c>
      <c r="E3142" s="8">
        <v>3015.1736999999998</v>
      </c>
      <c r="F3142" s="8">
        <f t="shared" si="3"/>
        <v>0</v>
      </c>
      <c r="G3142" s="8">
        <f>E3142+F3142</f>
        <v>3015.1736999999998</v>
      </c>
      <c r="H3142" s="3">
        <f>B3142*G3142</f>
        <v>61660.302164999994</v>
      </c>
      <c r="I3142" s="3">
        <f>C3142*G3142</f>
        <v>61690.453902000001</v>
      </c>
    </row>
    <row r="3143" spans="1:9" x14ac:dyDescent="0.25">
      <c r="A3143" t="s">
        <v>6</v>
      </c>
      <c r="B3143" s="1">
        <v>33.479999999999997</v>
      </c>
      <c r="C3143" s="1">
        <v>33.49</v>
      </c>
      <c r="D3143" s="2" t="s">
        <v>341</v>
      </c>
      <c r="E3143" s="8">
        <v>1842.2518</v>
      </c>
      <c r="F3143" s="8">
        <f t="shared" si="3"/>
        <v>-0.1</v>
      </c>
      <c r="G3143" s="8">
        <f>E3143+F3143</f>
        <v>1842.1518000000001</v>
      </c>
      <c r="H3143" s="3">
        <f>B3143*G3143</f>
        <v>61675.242264</v>
      </c>
      <c r="I3143" s="3">
        <f>C3143*G3143</f>
        <v>61693.663782000003</v>
      </c>
    </row>
    <row r="3144" spans="1:9" x14ac:dyDescent="0.25">
      <c r="A3144" t="s">
        <v>7</v>
      </c>
      <c r="B3144" s="1">
        <v>17.39</v>
      </c>
      <c r="C3144" s="1">
        <v>17.399999999999999</v>
      </c>
      <c r="D3144" s="2" t="s">
        <v>341</v>
      </c>
      <c r="E3144" s="8">
        <v>3546.9023999999999</v>
      </c>
      <c r="F3144" s="8">
        <f t="shared" si="3"/>
        <v>0</v>
      </c>
      <c r="G3144" s="8">
        <f>E3144+F3144</f>
        <v>3546.9023999999999</v>
      </c>
      <c r="H3144" s="3">
        <f>B3144*G3144</f>
        <v>61680.632736</v>
      </c>
      <c r="I3144" s="3">
        <f>C3144*G3144</f>
        <v>61716.10175999999</v>
      </c>
    </row>
    <row r="3145" spans="1:9" x14ac:dyDescent="0.25">
      <c r="A3145" t="s">
        <v>8</v>
      </c>
      <c r="B3145" s="1">
        <v>27.27</v>
      </c>
      <c r="C3145" s="1">
        <v>27.28</v>
      </c>
      <c r="D3145" s="2" t="s">
        <v>341</v>
      </c>
      <c r="E3145" s="8">
        <v>2261.4625000000001</v>
      </c>
      <c r="F3145" s="8">
        <f t="shared" si="3"/>
        <v>-0.2</v>
      </c>
      <c r="G3145" s="8">
        <f>E3145+F3145</f>
        <v>2261.2625000000003</v>
      </c>
      <c r="H3145" s="3">
        <f>B3145*G3145</f>
        <v>61664.628375000008</v>
      </c>
      <c r="I3145" s="3">
        <f>C3145*G3145</f>
        <v>61687.241000000009</v>
      </c>
    </row>
    <row r="3146" spans="1:9" x14ac:dyDescent="0.25">
      <c r="A3146" t="s">
        <v>9</v>
      </c>
      <c r="B3146" s="1">
        <v>65.14</v>
      </c>
      <c r="C3146" s="1">
        <v>65.22</v>
      </c>
      <c r="D3146" s="2" t="s">
        <v>341</v>
      </c>
      <c r="E3146" s="8">
        <v>946.22090000000003</v>
      </c>
      <c r="F3146" s="8">
        <f t="shared" si="3"/>
        <v>0</v>
      </c>
      <c r="G3146" s="8">
        <f>E3146+F3146</f>
        <v>946.22090000000003</v>
      </c>
      <c r="H3146" s="3">
        <f>B3146*G3146</f>
        <v>61636.829426000004</v>
      </c>
      <c r="I3146" s="3">
        <f>C3146*G3146</f>
        <v>61712.527097999999</v>
      </c>
    </row>
    <row r="3147" spans="1:9" x14ac:dyDescent="0.25">
      <c r="A3147" t="s">
        <v>10</v>
      </c>
      <c r="B3147" s="1">
        <v>35.64</v>
      </c>
      <c r="C3147" s="1">
        <v>35.659999999999997</v>
      </c>
      <c r="D3147" s="2" t="s">
        <v>341</v>
      </c>
      <c r="E3147" s="8">
        <v>1730.2348</v>
      </c>
      <c r="F3147" s="8">
        <f t="shared" si="3"/>
        <v>0.2</v>
      </c>
      <c r="G3147" s="8">
        <f>E3147+F3147</f>
        <v>1730.4348</v>
      </c>
      <c r="H3147" s="3">
        <f>B3147*G3147</f>
        <v>61672.696272000001</v>
      </c>
      <c r="I3147" s="3">
        <f>C3147*G3147</f>
        <v>61707.304967999997</v>
      </c>
    </row>
    <row r="3148" spans="1:9" x14ac:dyDescent="0.25">
      <c r="A3148" t="s">
        <v>11</v>
      </c>
      <c r="B3148" s="1">
        <v>53.69</v>
      </c>
      <c r="C3148" s="1">
        <v>53.7</v>
      </c>
      <c r="D3148" s="2" t="s">
        <v>341</v>
      </c>
      <c r="E3148" s="8">
        <v>1148.9558999999999</v>
      </c>
      <c r="F3148" s="8">
        <f t="shared" si="3"/>
        <v>0.05</v>
      </c>
      <c r="G3148" s="8">
        <f>E3148+F3148</f>
        <v>1149.0058999999999</v>
      </c>
      <c r="H3148" s="3">
        <f>B3148*G3148</f>
        <v>61690.126770999988</v>
      </c>
      <c r="I3148" s="3">
        <f>C3148*G3148</f>
        <v>61701.616829999999</v>
      </c>
    </row>
    <row r="3149" spans="1:9" x14ac:dyDescent="0.25">
      <c r="A3149" t="s">
        <v>12</v>
      </c>
      <c r="B3149" s="1">
        <v>47.84</v>
      </c>
      <c r="C3149" s="1">
        <v>47.85</v>
      </c>
      <c r="D3149" s="2" t="s">
        <v>341</v>
      </c>
      <c r="E3149" s="8">
        <v>1289.6505000000002</v>
      </c>
      <c r="F3149" s="8">
        <f t="shared" si="3"/>
        <v>0</v>
      </c>
      <c r="G3149" s="8">
        <f>E3149+F3149</f>
        <v>1289.6505000000002</v>
      </c>
      <c r="H3149" s="3">
        <f>B3149*G3149</f>
        <v>61696.879920000014</v>
      </c>
      <c r="I3149" s="3">
        <f>C3149*G3149</f>
        <v>61709.776425000011</v>
      </c>
    </row>
    <row r="3150" spans="1:9" x14ac:dyDescent="0.25">
      <c r="A3150" t="s">
        <v>13</v>
      </c>
      <c r="B3150" s="1">
        <v>17.440000000000001</v>
      </c>
      <c r="C3150" s="1">
        <v>17.45</v>
      </c>
      <c r="D3150" s="2" t="s">
        <v>341</v>
      </c>
      <c r="E3150" s="8">
        <v>3535.8029000000001</v>
      </c>
      <c r="F3150" s="8">
        <f t="shared" si="3"/>
        <v>0</v>
      </c>
      <c r="G3150" s="8">
        <f>E3150+F3150</f>
        <v>3535.8029000000001</v>
      </c>
      <c r="H3150" s="3">
        <f>B3150*G3150</f>
        <v>61664.402576000008</v>
      </c>
      <c r="I3150" s="3">
        <f>C3150*G3150</f>
        <v>61699.760605000003</v>
      </c>
    </row>
    <row r="3151" spans="1:9" x14ac:dyDescent="0.25">
      <c r="A3151" t="s">
        <v>14</v>
      </c>
      <c r="B3151" s="1">
        <v>34.950000000000003</v>
      </c>
      <c r="C3151" s="1">
        <v>34.96</v>
      </c>
      <c r="D3151" s="2" t="s">
        <v>341</v>
      </c>
      <c r="E3151" s="8">
        <v>1765.2166</v>
      </c>
      <c r="F3151" s="8">
        <f t="shared" si="3"/>
        <v>0.2</v>
      </c>
      <c r="G3151" s="8">
        <f>E3151+F3151</f>
        <v>1765.4166</v>
      </c>
      <c r="H3151" s="3">
        <f>B3151*G3151</f>
        <v>61701.310170000004</v>
      </c>
      <c r="I3151" s="3">
        <f>C3151*G3151</f>
        <v>61718.964336000005</v>
      </c>
    </row>
    <row r="3152" spans="1:9" x14ac:dyDescent="0.25">
      <c r="A3152" t="s">
        <v>4</v>
      </c>
      <c r="B3152" s="1">
        <v>20.41</v>
      </c>
      <c r="C3152" s="1">
        <v>20.420000000000002</v>
      </c>
      <c r="D3152" s="2" t="s">
        <v>342</v>
      </c>
      <c r="E3152" s="8">
        <v>3015.1736999999998</v>
      </c>
      <c r="F3152" s="8">
        <f t="shared" si="3"/>
        <v>0</v>
      </c>
      <c r="G3152" s="8">
        <f>E3152+F3152</f>
        <v>3015.1736999999998</v>
      </c>
      <c r="H3152" s="3">
        <f>B3152*G3152</f>
        <v>61539.695217</v>
      </c>
      <c r="I3152" s="3">
        <f>C3152*G3152</f>
        <v>61569.846954000001</v>
      </c>
    </row>
    <row r="3153" spans="1:9" x14ac:dyDescent="0.25">
      <c r="A3153" t="s">
        <v>6</v>
      </c>
      <c r="B3153" s="1">
        <v>33.42</v>
      </c>
      <c r="C3153" s="1">
        <v>33.43</v>
      </c>
      <c r="D3153" s="2" t="s">
        <v>342</v>
      </c>
      <c r="E3153" s="8">
        <v>1842.2518</v>
      </c>
      <c r="F3153" s="8">
        <f t="shared" si="3"/>
        <v>-0.1</v>
      </c>
      <c r="G3153" s="8">
        <f>E3153+F3153</f>
        <v>1842.1518000000001</v>
      </c>
      <c r="H3153" s="3">
        <f>B3153*G3153</f>
        <v>61564.713156000005</v>
      </c>
      <c r="I3153" s="3">
        <f>C3153*G3153</f>
        <v>61583.134674000001</v>
      </c>
    </row>
    <row r="3154" spans="1:9" x14ac:dyDescent="0.25">
      <c r="A3154" t="s">
        <v>7</v>
      </c>
      <c r="B3154" s="1">
        <v>17.36</v>
      </c>
      <c r="C3154" s="1">
        <v>17.37</v>
      </c>
      <c r="D3154" s="2" t="s">
        <v>342</v>
      </c>
      <c r="E3154" s="8">
        <v>3546.9023999999999</v>
      </c>
      <c r="F3154" s="8">
        <f t="shared" si="3"/>
        <v>0</v>
      </c>
      <c r="G3154" s="8">
        <f>E3154+F3154</f>
        <v>3546.9023999999999</v>
      </c>
      <c r="H3154" s="3">
        <f>B3154*G3154</f>
        <v>61574.225663999998</v>
      </c>
      <c r="I3154" s="3">
        <f>C3154*G3154</f>
        <v>61609.694688000003</v>
      </c>
    </row>
    <row r="3155" spans="1:9" x14ac:dyDescent="0.25">
      <c r="A3155" t="s">
        <v>8</v>
      </c>
      <c r="B3155" s="1">
        <v>27.23</v>
      </c>
      <c r="C3155" s="1">
        <v>27.24</v>
      </c>
      <c r="D3155" s="2" t="s">
        <v>342</v>
      </c>
      <c r="E3155" s="8">
        <v>2261.4625000000001</v>
      </c>
      <c r="F3155" s="8">
        <f t="shared" si="3"/>
        <v>-0.2</v>
      </c>
      <c r="G3155" s="8">
        <f>E3155+F3155</f>
        <v>2261.2625000000003</v>
      </c>
      <c r="H3155" s="3">
        <f>B3155*G3155</f>
        <v>61574.177875000008</v>
      </c>
      <c r="I3155" s="3">
        <f>C3155*G3155</f>
        <v>61596.790500000003</v>
      </c>
    </row>
    <row r="3156" spans="1:9" x14ac:dyDescent="0.25">
      <c r="A3156" t="s">
        <v>9</v>
      </c>
      <c r="B3156" s="1">
        <v>65.03</v>
      </c>
      <c r="C3156" s="1">
        <v>65.13</v>
      </c>
      <c r="D3156" s="2" t="s">
        <v>342</v>
      </c>
      <c r="E3156" s="8">
        <v>946.22090000000003</v>
      </c>
      <c r="F3156" s="8">
        <f t="shared" si="3"/>
        <v>0</v>
      </c>
      <c r="G3156" s="8">
        <f>E3156+F3156</f>
        <v>946.22090000000003</v>
      </c>
      <c r="H3156" s="3">
        <f>B3156*G3156</f>
        <v>61532.745127000002</v>
      </c>
      <c r="I3156" s="3">
        <f>C3156*G3156</f>
        <v>61627.367216999999</v>
      </c>
    </row>
    <row r="3157" spans="1:9" x14ac:dyDescent="0.25">
      <c r="A3157" t="s">
        <v>10</v>
      </c>
      <c r="B3157" s="1">
        <v>35.57</v>
      </c>
      <c r="C3157" s="1">
        <v>35.6</v>
      </c>
      <c r="D3157" s="2" t="s">
        <v>342</v>
      </c>
      <c r="E3157" s="8">
        <v>1730.2348</v>
      </c>
      <c r="F3157" s="8">
        <f t="shared" si="3"/>
        <v>0.2</v>
      </c>
      <c r="G3157" s="8">
        <f>E3157+F3157</f>
        <v>1730.4348</v>
      </c>
      <c r="H3157" s="3">
        <f>B3157*G3157</f>
        <v>61551.565836000002</v>
      </c>
      <c r="I3157" s="3">
        <f>C3157*G3157</f>
        <v>61603.478880000002</v>
      </c>
    </row>
    <row r="3158" spans="1:9" x14ac:dyDescent="0.25">
      <c r="A3158" t="s">
        <v>11</v>
      </c>
      <c r="B3158" s="1">
        <v>53.59</v>
      </c>
      <c r="C3158" s="1">
        <v>53.6</v>
      </c>
      <c r="D3158" s="2" t="s">
        <v>342</v>
      </c>
      <c r="E3158" s="8">
        <v>1148.9558999999999</v>
      </c>
      <c r="F3158" s="8">
        <f t="shared" si="3"/>
        <v>0.05</v>
      </c>
      <c r="G3158" s="8">
        <f>E3158+F3158</f>
        <v>1149.0058999999999</v>
      </c>
      <c r="H3158" s="3">
        <f>B3158*G3158</f>
        <v>61575.226180999998</v>
      </c>
      <c r="I3158" s="3">
        <f>C3158*G3158</f>
        <v>61586.716239999994</v>
      </c>
    </row>
    <row r="3159" spans="1:9" x14ac:dyDescent="0.25">
      <c r="A3159" t="s">
        <v>12</v>
      </c>
      <c r="B3159" s="1">
        <v>47.75</v>
      </c>
      <c r="C3159" s="1">
        <v>47.76</v>
      </c>
      <c r="D3159" s="2" t="s">
        <v>342</v>
      </c>
      <c r="E3159" s="8">
        <v>1289.6505000000002</v>
      </c>
      <c r="F3159" s="8">
        <f t="shared" si="3"/>
        <v>0</v>
      </c>
      <c r="G3159" s="8">
        <f>E3159+F3159</f>
        <v>1289.6505000000002</v>
      </c>
      <c r="H3159" s="3">
        <f>B3159*G3159</f>
        <v>61580.811375000012</v>
      </c>
      <c r="I3159" s="3">
        <f>C3159*G3159</f>
        <v>61593.707880000009</v>
      </c>
    </row>
    <row r="3160" spans="1:9" x14ac:dyDescent="0.25">
      <c r="A3160" t="s">
        <v>13</v>
      </c>
      <c r="B3160" s="1">
        <v>17.41</v>
      </c>
      <c r="C3160" s="1">
        <v>17.420000000000002</v>
      </c>
      <c r="D3160" s="2" t="s">
        <v>342</v>
      </c>
      <c r="E3160" s="8">
        <v>3535.8029000000001</v>
      </c>
      <c r="F3160" s="8">
        <f t="shared" si="3"/>
        <v>0</v>
      </c>
      <c r="G3160" s="8">
        <f>E3160+F3160</f>
        <v>3535.8029000000001</v>
      </c>
      <c r="H3160" s="3">
        <f>B3160*G3160</f>
        <v>61558.328489</v>
      </c>
      <c r="I3160" s="3">
        <f>C3160*G3160</f>
        <v>61593.68651800001</v>
      </c>
    </row>
    <row r="3161" spans="1:9" x14ac:dyDescent="0.25">
      <c r="A3161" t="s">
        <v>14</v>
      </c>
      <c r="B3161" s="1">
        <v>34.880000000000003</v>
      </c>
      <c r="C3161" s="1">
        <v>34.89</v>
      </c>
      <c r="D3161" s="2" t="s">
        <v>342</v>
      </c>
      <c r="E3161" s="8">
        <v>1765.2166</v>
      </c>
      <c r="F3161" s="8">
        <f t="shared" si="3"/>
        <v>0.2</v>
      </c>
      <c r="G3161" s="8">
        <f>E3161+F3161</f>
        <v>1765.4166</v>
      </c>
      <c r="H3161" s="3">
        <f>B3161*G3161</f>
        <v>61577.731008000002</v>
      </c>
      <c r="I3161" s="3">
        <f>C3161*G3161</f>
        <v>61595.385174000003</v>
      </c>
    </row>
    <row r="3162" spans="1:9" x14ac:dyDescent="0.25">
      <c r="A3162" t="s">
        <v>4</v>
      </c>
      <c r="B3162" s="1">
        <v>20.45</v>
      </c>
      <c r="C3162" s="1">
        <v>20.46</v>
      </c>
      <c r="D3162" s="2" t="s">
        <v>343</v>
      </c>
      <c r="E3162" s="8">
        <v>3015.1736999999998</v>
      </c>
      <c r="F3162" s="8">
        <f t="shared" si="3"/>
        <v>0</v>
      </c>
      <c r="G3162" s="8">
        <f>E3162+F3162</f>
        <v>3015.1736999999998</v>
      </c>
      <c r="H3162" s="3">
        <f>B3162*G3162</f>
        <v>61660.302164999994</v>
      </c>
      <c r="I3162" s="3">
        <f>C3162*G3162</f>
        <v>61690.453902000001</v>
      </c>
    </row>
    <row r="3163" spans="1:9" x14ac:dyDescent="0.25">
      <c r="A3163" t="s">
        <v>6</v>
      </c>
      <c r="B3163" s="1">
        <v>33.479999999999997</v>
      </c>
      <c r="C3163" s="1">
        <v>33.49</v>
      </c>
      <c r="D3163" s="2" t="s">
        <v>343</v>
      </c>
      <c r="E3163" s="8">
        <v>1842.2518</v>
      </c>
      <c r="F3163" s="8">
        <f t="shared" si="3"/>
        <v>-0.1</v>
      </c>
      <c r="G3163" s="8">
        <f>E3163+F3163</f>
        <v>1842.1518000000001</v>
      </c>
      <c r="H3163" s="3">
        <f>B3163*G3163</f>
        <v>61675.242264</v>
      </c>
      <c r="I3163" s="3">
        <f>C3163*G3163</f>
        <v>61693.663782000003</v>
      </c>
    </row>
    <row r="3164" spans="1:9" x14ac:dyDescent="0.25">
      <c r="A3164" t="s">
        <v>7</v>
      </c>
      <c r="B3164" s="1">
        <v>17.39</v>
      </c>
      <c r="C3164" s="1">
        <v>17.399999999999999</v>
      </c>
      <c r="D3164" s="2" t="s">
        <v>343</v>
      </c>
      <c r="E3164" s="8">
        <v>3546.9023999999999</v>
      </c>
      <c r="F3164" s="8">
        <f t="shared" si="3"/>
        <v>0</v>
      </c>
      <c r="G3164" s="8">
        <f>E3164+F3164</f>
        <v>3546.9023999999999</v>
      </c>
      <c r="H3164" s="3">
        <f>B3164*G3164</f>
        <v>61680.632736</v>
      </c>
      <c r="I3164" s="3">
        <f>C3164*G3164</f>
        <v>61716.10175999999</v>
      </c>
    </row>
    <row r="3165" spans="1:9" x14ac:dyDescent="0.25">
      <c r="A3165" t="s">
        <v>8</v>
      </c>
      <c r="B3165" s="1">
        <v>27.27</v>
      </c>
      <c r="C3165" s="1">
        <v>27.28</v>
      </c>
      <c r="D3165" s="2" t="s">
        <v>343</v>
      </c>
      <c r="E3165" s="8">
        <v>2261.4625000000001</v>
      </c>
      <c r="F3165" s="8">
        <f t="shared" si="3"/>
        <v>-0.2</v>
      </c>
      <c r="G3165" s="8">
        <f>E3165+F3165</f>
        <v>2261.2625000000003</v>
      </c>
      <c r="H3165" s="3">
        <f>B3165*G3165</f>
        <v>61664.628375000008</v>
      </c>
      <c r="I3165" s="3">
        <f>C3165*G3165</f>
        <v>61687.241000000009</v>
      </c>
    </row>
    <row r="3166" spans="1:9" x14ac:dyDescent="0.25">
      <c r="A3166" t="s">
        <v>9</v>
      </c>
      <c r="B3166" s="1">
        <v>65.14</v>
      </c>
      <c r="C3166" s="1">
        <v>65.23</v>
      </c>
      <c r="D3166" s="2" t="s">
        <v>343</v>
      </c>
      <c r="E3166" s="8">
        <v>946.22090000000003</v>
      </c>
      <c r="F3166" s="8">
        <f t="shared" si="3"/>
        <v>0</v>
      </c>
      <c r="G3166" s="8">
        <f>E3166+F3166</f>
        <v>946.22090000000003</v>
      </c>
      <c r="H3166" s="3">
        <f>B3166*G3166</f>
        <v>61636.829426000004</v>
      </c>
      <c r="I3166" s="3">
        <f>C3166*G3166</f>
        <v>61721.989307000003</v>
      </c>
    </row>
    <row r="3167" spans="1:9" x14ac:dyDescent="0.25">
      <c r="A3167" t="s">
        <v>10</v>
      </c>
      <c r="B3167" s="1">
        <v>35.64</v>
      </c>
      <c r="C3167" s="1">
        <v>35.659999999999997</v>
      </c>
      <c r="D3167" s="2" t="s">
        <v>343</v>
      </c>
      <c r="E3167" s="8">
        <v>1730.2348</v>
      </c>
      <c r="F3167" s="8">
        <f t="shared" si="3"/>
        <v>0.2</v>
      </c>
      <c r="G3167" s="8">
        <f>E3167+F3167</f>
        <v>1730.4348</v>
      </c>
      <c r="H3167" s="3">
        <f>B3167*G3167</f>
        <v>61672.696272000001</v>
      </c>
      <c r="I3167" s="3">
        <f>C3167*G3167</f>
        <v>61707.304967999997</v>
      </c>
    </row>
    <row r="3168" spans="1:9" x14ac:dyDescent="0.25">
      <c r="A3168" t="s">
        <v>11</v>
      </c>
      <c r="B3168" s="1">
        <v>53.69</v>
      </c>
      <c r="C3168" s="1">
        <v>53.7</v>
      </c>
      <c r="D3168" s="2" t="s">
        <v>343</v>
      </c>
      <c r="E3168" s="8">
        <v>1148.9558999999999</v>
      </c>
      <c r="F3168" s="8">
        <f t="shared" si="3"/>
        <v>0.05</v>
      </c>
      <c r="G3168" s="8">
        <f>E3168+F3168</f>
        <v>1149.0058999999999</v>
      </c>
      <c r="H3168" s="3">
        <f>B3168*G3168</f>
        <v>61690.126770999988</v>
      </c>
      <c r="I3168" s="3">
        <f>C3168*G3168</f>
        <v>61701.616829999999</v>
      </c>
    </row>
    <row r="3169" spans="1:9" x14ac:dyDescent="0.25">
      <c r="A3169" t="s">
        <v>12</v>
      </c>
      <c r="B3169" s="1">
        <v>47.84</v>
      </c>
      <c r="C3169" s="1">
        <v>47.85</v>
      </c>
      <c r="D3169" s="2" t="s">
        <v>343</v>
      </c>
      <c r="E3169" s="8">
        <v>1289.6505000000002</v>
      </c>
      <c r="F3169" s="8">
        <f t="shared" si="3"/>
        <v>0</v>
      </c>
      <c r="G3169" s="8">
        <f>E3169+F3169</f>
        <v>1289.6505000000002</v>
      </c>
      <c r="H3169" s="3">
        <f>B3169*G3169</f>
        <v>61696.879920000014</v>
      </c>
      <c r="I3169" s="3">
        <f>C3169*G3169</f>
        <v>61709.776425000011</v>
      </c>
    </row>
    <row r="3170" spans="1:9" x14ac:dyDescent="0.25">
      <c r="A3170" t="s">
        <v>13</v>
      </c>
      <c r="B3170" s="1">
        <v>17.440000000000001</v>
      </c>
      <c r="C3170" s="1">
        <v>17.45</v>
      </c>
      <c r="D3170" s="2" t="s">
        <v>343</v>
      </c>
      <c r="E3170" s="8">
        <v>3535.8029000000001</v>
      </c>
      <c r="F3170" s="8">
        <f t="shared" si="3"/>
        <v>0</v>
      </c>
      <c r="G3170" s="8">
        <f>E3170+F3170</f>
        <v>3535.8029000000001</v>
      </c>
      <c r="H3170" s="3">
        <f>B3170*G3170</f>
        <v>61664.402576000008</v>
      </c>
      <c r="I3170" s="3">
        <f>C3170*G3170</f>
        <v>61699.760605000003</v>
      </c>
    </row>
    <row r="3171" spans="1:9" x14ac:dyDescent="0.25">
      <c r="A3171" t="s">
        <v>14</v>
      </c>
      <c r="B3171" s="1">
        <v>34.950000000000003</v>
      </c>
      <c r="C3171" s="1">
        <v>34.96</v>
      </c>
      <c r="D3171" s="2" t="s">
        <v>343</v>
      </c>
      <c r="E3171" s="8">
        <v>1765.2166</v>
      </c>
      <c r="F3171" s="8">
        <f t="shared" si="3"/>
        <v>0.2</v>
      </c>
      <c r="G3171" s="8">
        <f>E3171+F3171</f>
        <v>1765.4166</v>
      </c>
      <c r="H3171" s="3">
        <f>B3171*G3171</f>
        <v>61701.310170000004</v>
      </c>
      <c r="I3171" s="3">
        <f>C3171*G3171</f>
        <v>61718.964336000005</v>
      </c>
    </row>
    <row r="3172" spans="1:9" x14ac:dyDescent="0.25">
      <c r="A3172" t="s">
        <v>4</v>
      </c>
      <c r="B3172" s="1">
        <v>20.399999999999999</v>
      </c>
      <c r="C3172" s="1">
        <v>20.41</v>
      </c>
      <c r="D3172" s="2" t="s">
        <v>344</v>
      </c>
      <c r="E3172" s="8">
        <v>3015.1736999999998</v>
      </c>
      <c r="F3172" s="8">
        <f t="shared" si="3"/>
        <v>0</v>
      </c>
      <c r="G3172" s="8">
        <f>E3172+F3172</f>
        <v>3015.1736999999998</v>
      </c>
      <c r="H3172" s="3">
        <f>B3172*G3172</f>
        <v>61509.543479999993</v>
      </c>
      <c r="I3172" s="3">
        <f>C3172*G3172</f>
        <v>61539.695217</v>
      </c>
    </row>
    <row r="3173" spans="1:9" x14ac:dyDescent="0.25">
      <c r="A3173" t="s">
        <v>6</v>
      </c>
      <c r="B3173" s="1">
        <v>33.4</v>
      </c>
      <c r="C3173" s="1">
        <v>33.409999999999997</v>
      </c>
      <c r="D3173" s="2" t="s">
        <v>344</v>
      </c>
      <c r="E3173" s="8">
        <v>1842.2518</v>
      </c>
      <c r="F3173" s="8">
        <f t="shared" si="3"/>
        <v>-0.1</v>
      </c>
      <c r="G3173" s="8">
        <f>E3173+F3173</f>
        <v>1842.1518000000001</v>
      </c>
      <c r="H3173" s="3">
        <f>B3173*G3173</f>
        <v>61527.87012</v>
      </c>
      <c r="I3173" s="3">
        <f>C3173*G3173</f>
        <v>61546.291637999995</v>
      </c>
    </row>
    <row r="3174" spans="1:9" x14ac:dyDescent="0.25">
      <c r="A3174" t="s">
        <v>7</v>
      </c>
      <c r="B3174" s="1">
        <v>17.34</v>
      </c>
      <c r="C3174" s="1">
        <v>17.350000000000001</v>
      </c>
      <c r="D3174" s="2" t="s">
        <v>344</v>
      </c>
      <c r="E3174" s="8">
        <v>3546.9023999999999</v>
      </c>
      <c r="F3174" s="8">
        <f t="shared" si="3"/>
        <v>0</v>
      </c>
      <c r="G3174" s="8">
        <f>E3174+F3174</f>
        <v>3546.9023999999999</v>
      </c>
      <c r="H3174" s="3">
        <f>B3174*G3174</f>
        <v>61503.287616000001</v>
      </c>
      <c r="I3174" s="3">
        <f>C3174*G3174</f>
        <v>61538.756640000007</v>
      </c>
    </row>
    <row r="3175" spans="1:9" x14ac:dyDescent="0.25">
      <c r="A3175" t="s">
        <v>8</v>
      </c>
      <c r="B3175" s="1">
        <v>27.21</v>
      </c>
      <c r="C3175" s="1">
        <v>27.22</v>
      </c>
      <c r="D3175" s="2" t="s">
        <v>344</v>
      </c>
      <c r="E3175" s="8">
        <v>2261.4625000000001</v>
      </c>
      <c r="F3175" s="8">
        <f t="shared" si="3"/>
        <v>-0.2</v>
      </c>
      <c r="G3175" s="8">
        <f>E3175+F3175</f>
        <v>2261.2625000000003</v>
      </c>
      <c r="H3175" s="3">
        <f>B3175*G3175</f>
        <v>61528.952625000013</v>
      </c>
      <c r="I3175" s="3">
        <f>C3175*G3175</f>
        <v>61551.565250000007</v>
      </c>
    </row>
    <row r="3176" spans="1:9" x14ac:dyDescent="0.25">
      <c r="A3176" t="s">
        <v>9</v>
      </c>
      <c r="B3176" s="1">
        <v>64.989999999999995</v>
      </c>
      <c r="C3176" s="1">
        <v>65.099999999999994</v>
      </c>
      <c r="D3176" s="2" t="s">
        <v>344</v>
      </c>
      <c r="E3176" s="8">
        <v>946.22090000000003</v>
      </c>
      <c r="F3176" s="8">
        <f t="shared" si="3"/>
        <v>0</v>
      </c>
      <c r="G3176" s="8">
        <f>E3176+F3176</f>
        <v>946.22090000000003</v>
      </c>
      <c r="H3176" s="3">
        <f>B3176*G3176</f>
        <v>61494.896290999997</v>
      </c>
      <c r="I3176" s="3">
        <f>C3176*G3176</f>
        <v>61598.980589999999</v>
      </c>
    </row>
    <row r="3177" spans="1:9" x14ac:dyDescent="0.25">
      <c r="A3177" t="s">
        <v>10</v>
      </c>
      <c r="B3177" s="1">
        <v>35.549999999999997</v>
      </c>
      <c r="C3177" s="1">
        <v>35.58</v>
      </c>
      <c r="D3177" s="2" t="s">
        <v>344</v>
      </c>
      <c r="E3177" s="8">
        <v>1730.2348</v>
      </c>
      <c r="F3177" s="8">
        <f t="shared" si="3"/>
        <v>0.2</v>
      </c>
      <c r="G3177" s="8">
        <f>E3177+F3177</f>
        <v>1730.4348</v>
      </c>
      <c r="H3177" s="3">
        <f>B3177*G3177</f>
        <v>61516.957139999991</v>
      </c>
      <c r="I3177" s="3">
        <f>C3177*G3177</f>
        <v>61568.870183999999</v>
      </c>
    </row>
    <row r="3178" spans="1:9" x14ac:dyDescent="0.25">
      <c r="A3178" t="s">
        <v>11</v>
      </c>
      <c r="B3178" s="1">
        <v>53.56</v>
      </c>
      <c r="C3178" s="1">
        <v>53.57</v>
      </c>
      <c r="D3178" s="2" t="s">
        <v>344</v>
      </c>
      <c r="E3178" s="8">
        <v>1148.9558999999999</v>
      </c>
      <c r="F3178" s="8">
        <f t="shared" ref="F3178:F3241" si="4">F3168</f>
        <v>0.05</v>
      </c>
      <c r="G3178" s="8">
        <f>E3178+F3178</f>
        <v>1149.0058999999999</v>
      </c>
      <c r="H3178" s="3">
        <f>B3178*G3178</f>
        <v>61540.756003999995</v>
      </c>
      <c r="I3178" s="3">
        <f>C3178*G3178</f>
        <v>61552.246062999991</v>
      </c>
    </row>
    <row r="3179" spans="1:9" x14ac:dyDescent="0.25">
      <c r="A3179" t="s">
        <v>12</v>
      </c>
      <c r="B3179" s="1">
        <v>47.72</v>
      </c>
      <c r="C3179" s="1">
        <v>47.73</v>
      </c>
      <c r="D3179" s="2" t="s">
        <v>344</v>
      </c>
      <c r="E3179" s="8">
        <v>1289.6505000000002</v>
      </c>
      <c r="F3179" s="8">
        <f t="shared" si="4"/>
        <v>0</v>
      </c>
      <c r="G3179" s="8">
        <f>E3179+F3179</f>
        <v>1289.6505000000002</v>
      </c>
      <c r="H3179" s="3">
        <f>B3179*G3179</f>
        <v>61542.121860000007</v>
      </c>
      <c r="I3179" s="3">
        <f>C3179*G3179</f>
        <v>61555.018365000004</v>
      </c>
    </row>
    <row r="3180" spans="1:9" x14ac:dyDescent="0.25">
      <c r="A3180" t="s">
        <v>13</v>
      </c>
      <c r="B3180" s="1">
        <v>17.399999999999999</v>
      </c>
      <c r="C3180" s="1">
        <v>17.41</v>
      </c>
      <c r="D3180" s="2" t="s">
        <v>344</v>
      </c>
      <c r="E3180" s="8">
        <v>3535.8029000000001</v>
      </c>
      <c r="F3180" s="8">
        <f t="shared" si="4"/>
        <v>0</v>
      </c>
      <c r="G3180" s="8">
        <f>E3180+F3180</f>
        <v>3535.8029000000001</v>
      </c>
      <c r="H3180" s="3">
        <f>B3180*G3180</f>
        <v>61522.970459999997</v>
      </c>
      <c r="I3180" s="3">
        <f>C3180*G3180</f>
        <v>61558.328489</v>
      </c>
    </row>
    <row r="3181" spans="1:9" x14ac:dyDescent="0.25">
      <c r="A3181" t="s">
        <v>14</v>
      </c>
      <c r="B3181" s="1">
        <v>34.86</v>
      </c>
      <c r="C3181" s="1">
        <v>34.869999999999997</v>
      </c>
      <c r="D3181" s="2" t="s">
        <v>344</v>
      </c>
      <c r="E3181" s="8">
        <v>1765.2166</v>
      </c>
      <c r="F3181" s="8">
        <f t="shared" si="4"/>
        <v>0.2</v>
      </c>
      <c r="G3181" s="8">
        <f>E3181+F3181</f>
        <v>1765.4166</v>
      </c>
      <c r="H3181" s="3">
        <f>B3181*G3181</f>
        <v>61542.422676000002</v>
      </c>
      <c r="I3181" s="3">
        <f>C3181*G3181</f>
        <v>61560.076841999995</v>
      </c>
    </row>
    <row r="3182" spans="1:9" x14ac:dyDescent="0.25">
      <c r="A3182" t="s">
        <v>4</v>
      </c>
      <c r="B3182" s="1">
        <v>20.45</v>
      </c>
      <c r="C3182" s="1">
        <v>20.46</v>
      </c>
      <c r="D3182" s="2" t="s">
        <v>345</v>
      </c>
      <c r="E3182" s="8">
        <v>3015.1736999999998</v>
      </c>
      <c r="F3182" s="8">
        <f t="shared" si="4"/>
        <v>0</v>
      </c>
      <c r="G3182" s="8">
        <f>E3182+F3182</f>
        <v>3015.1736999999998</v>
      </c>
      <c r="H3182" s="3">
        <f>B3182*G3182</f>
        <v>61660.302164999994</v>
      </c>
      <c r="I3182" s="3">
        <f>C3182*G3182</f>
        <v>61690.453902000001</v>
      </c>
    </row>
    <row r="3183" spans="1:9" x14ac:dyDescent="0.25">
      <c r="A3183" t="s">
        <v>6</v>
      </c>
      <c r="B3183" s="1">
        <v>33.479999999999997</v>
      </c>
      <c r="C3183" s="1">
        <v>33.49</v>
      </c>
      <c r="D3183" s="2" t="s">
        <v>345</v>
      </c>
      <c r="E3183" s="8">
        <v>1842.2518</v>
      </c>
      <c r="F3183" s="8">
        <f t="shared" si="4"/>
        <v>-0.1</v>
      </c>
      <c r="G3183" s="8">
        <f>E3183+F3183</f>
        <v>1842.1518000000001</v>
      </c>
      <c r="H3183" s="3">
        <f>B3183*G3183</f>
        <v>61675.242264</v>
      </c>
      <c r="I3183" s="3">
        <f>C3183*G3183</f>
        <v>61693.663782000003</v>
      </c>
    </row>
    <row r="3184" spans="1:9" x14ac:dyDescent="0.25">
      <c r="A3184" t="s">
        <v>7</v>
      </c>
      <c r="B3184" s="1">
        <v>17.39</v>
      </c>
      <c r="C3184" s="1">
        <v>17.399999999999999</v>
      </c>
      <c r="D3184" s="2" t="s">
        <v>345</v>
      </c>
      <c r="E3184" s="8">
        <v>3546.9023999999999</v>
      </c>
      <c r="F3184" s="8">
        <f t="shared" si="4"/>
        <v>0</v>
      </c>
      <c r="G3184" s="8">
        <f>E3184+F3184</f>
        <v>3546.9023999999999</v>
      </c>
      <c r="H3184" s="3">
        <f>B3184*G3184</f>
        <v>61680.632736</v>
      </c>
      <c r="I3184" s="3">
        <f>C3184*G3184</f>
        <v>61716.10175999999</v>
      </c>
    </row>
    <row r="3185" spans="1:9" x14ac:dyDescent="0.25">
      <c r="A3185" t="s">
        <v>8</v>
      </c>
      <c r="B3185" s="1">
        <v>27.28</v>
      </c>
      <c r="C3185" s="1">
        <v>27.29</v>
      </c>
      <c r="D3185" s="2" t="s">
        <v>345</v>
      </c>
      <c r="E3185" s="8">
        <v>2261.4625000000001</v>
      </c>
      <c r="F3185" s="8">
        <f t="shared" si="4"/>
        <v>-0.2</v>
      </c>
      <c r="G3185" s="8">
        <f>E3185+F3185</f>
        <v>2261.2625000000003</v>
      </c>
      <c r="H3185" s="3">
        <f>B3185*G3185</f>
        <v>61687.241000000009</v>
      </c>
      <c r="I3185" s="3">
        <f>C3185*G3185</f>
        <v>61709.853625000003</v>
      </c>
    </row>
    <row r="3186" spans="1:9" x14ac:dyDescent="0.25">
      <c r="A3186" t="s">
        <v>9</v>
      </c>
      <c r="B3186" s="1">
        <v>65.11</v>
      </c>
      <c r="C3186" s="1">
        <v>65.23</v>
      </c>
      <c r="D3186" s="2" t="s">
        <v>345</v>
      </c>
      <c r="E3186" s="8">
        <v>946.22090000000003</v>
      </c>
      <c r="F3186" s="8">
        <f t="shared" si="4"/>
        <v>0</v>
      </c>
      <c r="G3186" s="8">
        <f>E3186+F3186</f>
        <v>946.22090000000003</v>
      </c>
      <c r="H3186" s="3">
        <f>B3186*G3186</f>
        <v>61608.442799000004</v>
      </c>
      <c r="I3186" s="3">
        <f>C3186*G3186</f>
        <v>61721.989307000003</v>
      </c>
    </row>
    <row r="3187" spans="1:9" x14ac:dyDescent="0.25">
      <c r="A3187" t="s">
        <v>10</v>
      </c>
      <c r="B3187" s="1">
        <v>35.64</v>
      </c>
      <c r="C3187" s="1">
        <v>35.659999999999997</v>
      </c>
      <c r="D3187" s="2" t="s">
        <v>345</v>
      </c>
      <c r="E3187" s="8">
        <v>1730.2348</v>
      </c>
      <c r="F3187" s="8">
        <f t="shared" si="4"/>
        <v>0.2</v>
      </c>
      <c r="G3187" s="8">
        <f>E3187+F3187</f>
        <v>1730.4348</v>
      </c>
      <c r="H3187" s="3">
        <f>B3187*G3187</f>
        <v>61672.696272000001</v>
      </c>
      <c r="I3187" s="3">
        <f>C3187*G3187</f>
        <v>61707.304967999997</v>
      </c>
    </row>
    <row r="3188" spans="1:9" x14ac:dyDescent="0.25">
      <c r="A3188" t="s">
        <v>11</v>
      </c>
      <c r="B3188" s="1">
        <v>53.67</v>
      </c>
      <c r="C3188" s="1">
        <v>53.68</v>
      </c>
      <c r="D3188" s="2" t="s">
        <v>345</v>
      </c>
      <c r="E3188" s="8">
        <v>1148.9558999999999</v>
      </c>
      <c r="F3188" s="8">
        <f t="shared" si="4"/>
        <v>0.05</v>
      </c>
      <c r="G3188" s="8">
        <f>E3188+F3188</f>
        <v>1149.0058999999999</v>
      </c>
      <c r="H3188" s="3">
        <f>B3188*G3188</f>
        <v>61667.146652999996</v>
      </c>
      <c r="I3188" s="3">
        <f>C3188*G3188</f>
        <v>61678.636711999992</v>
      </c>
    </row>
    <row r="3189" spans="1:9" x14ac:dyDescent="0.25">
      <c r="A3189" t="s">
        <v>12</v>
      </c>
      <c r="B3189" s="1">
        <v>47.82</v>
      </c>
      <c r="C3189" s="1">
        <v>47.83</v>
      </c>
      <c r="D3189" s="2" t="s">
        <v>345</v>
      </c>
      <c r="E3189" s="8">
        <v>1289.6505000000002</v>
      </c>
      <c r="F3189" s="8">
        <f t="shared" si="4"/>
        <v>0</v>
      </c>
      <c r="G3189" s="8">
        <f>E3189+F3189</f>
        <v>1289.6505000000002</v>
      </c>
      <c r="H3189" s="3">
        <f>B3189*G3189</f>
        <v>61671.086910000013</v>
      </c>
      <c r="I3189" s="3">
        <f>C3189*G3189</f>
        <v>61683.98341500001</v>
      </c>
    </row>
    <row r="3190" spans="1:9" x14ac:dyDescent="0.25">
      <c r="A3190" t="s">
        <v>13</v>
      </c>
      <c r="B3190" s="1">
        <v>17.440000000000001</v>
      </c>
      <c r="C3190" s="1">
        <v>17.45</v>
      </c>
      <c r="D3190" s="2" t="s">
        <v>345</v>
      </c>
      <c r="E3190" s="8">
        <v>3535.8029000000001</v>
      </c>
      <c r="F3190" s="8">
        <f t="shared" si="4"/>
        <v>0</v>
      </c>
      <c r="G3190" s="8">
        <f>E3190+F3190</f>
        <v>3535.8029000000001</v>
      </c>
      <c r="H3190" s="3">
        <f>B3190*G3190</f>
        <v>61664.402576000008</v>
      </c>
      <c r="I3190" s="3">
        <f>C3190*G3190</f>
        <v>61699.760605000003</v>
      </c>
    </row>
    <row r="3191" spans="1:9" x14ac:dyDescent="0.25">
      <c r="A3191" t="s">
        <v>14</v>
      </c>
      <c r="B3191" s="1">
        <v>34.94</v>
      </c>
      <c r="C3191" s="1">
        <v>34.950000000000003</v>
      </c>
      <c r="D3191" s="2" t="s">
        <v>345</v>
      </c>
      <c r="E3191" s="8">
        <v>1765.2166</v>
      </c>
      <c r="F3191" s="8">
        <f t="shared" si="4"/>
        <v>0.2</v>
      </c>
      <c r="G3191" s="8">
        <f>E3191+F3191</f>
        <v>1765.4166</v>
      </c>
      <c r="H3191" s="3">
        <f>B3191*G3191</f>
        <v>61683.656003999997</v>
      </c>
      <c r="I3191" s="3">
        <f>C3191*G3191</f>
        <v>61701.310170000004</v>
      </c>
    </row>
    <row r="3192" spans="1:9" x14ac:dyDescent="0.25">
      <c r="A3192" t="s">
        <v>4</v>
      </c>
      <c r="B3192" s="1">
        <v>20.28</v>
      </c>
      <c r="C3192" s="1">
        <v>20.29</v>
      </c>
      <c r="D3192" s="2" t="s">
        <v>346</v>
      </c>
      <c r="E3192" s="8">
        <v>3015.1736999999998</v>
      </c>
      <c r="F3192" s="8">
        <f t="shared" si="4"/>
        <v>0</v>
      </c>
      <c r="G3192" s="8">
        <f>E3192+F3192</f>
        <v>3015.1736999999998</v>
      </c>
      <c r="H3192" s="3">
        <f>B3192*G3192</f>
        <v>61147.722635999999</v>
      </c>
      <c r="I3192" s="3">
        <f>C3192*G3192</f>
        <v>61177.874372999991</v>
      </c>
    </row>
    <row r="3193" spans="1:9" x14ac:dyDescent="0.25">
      <c r="A3193" t="s">
        <v>6</v>
      </c>
      <c r="B3193" s="1">
        <v>33.200000000000003</v>
      </c>
      <c r="C3193" s="1">
        <v>33.21</v>
      </c>
      <c r="D3193" s="2" t="s">
        <v>346</v>
      </c>
      <c r="E3193" s="8">
        <v>1842.2518</v>
      </c>
      <c r="F3193" s="8">
        <f t="shared" si="4"/>
        <v>-0.1</v>
      </c>
      <c r="G3193" s="8">
        <f>E3193+F3193</f>
        <v>1842.1518000000001</v>
      </c>
      <c r="H3193" s="3">
        <f>B3193*G3193</f>
        <v>61159.439760000008</v>
      </c>
      <c r="I3193" s="3">
        <f>C3193*G3193</f>
        <v>61177.861278000004</v>
      </c>
    </row>
    <row r="3194" spans="1:9" x14ac:dyDescent="0.25">
      <c r="A3194" t="s">
        <v>7</v>
      </c>
      <c r="B3194" s="1">
        <v>17.239999999999998</v>
      </c>
      <c r="C3194" s="1">
        <v>17.25</v>
      </c>
      <c r="D3194" s="2" t="s">
        <v>346</v>
      </c>
      <c r="E3194" s="8">
        <v>3546.9023999999999</v>
      </c>
      <c r="F3194" s="8">
        <f t="shared" si="4"/>
        <v>0</v>
      </c>
      <c r="G3194" s="8">
        <f>E3194+F3194</f>
        <v>3546.9023999999999</v>
      </c>
      <c r="H3194" s="3">
        <f>B3194*G3194</f>
        <v>61148.597375999991</v>
      </c>
      <c r="I3194" s="3">
        <f>C3194*G3194</f>
        <v>61184.066399999996</v>
      </c>
    </row>
    <row r="3195" spans="1:9" x14ac:dyDescent="0.25">
      <c r="A3195" t="s">
        <v>8</v>
      </c>
      <c r="B3195" s="1">
        <v>27.05</v>
      </c>
      <c r="C3195" s="1">
        <v>27.06</v>
      </c>
      <c r="D3195" s="2" t="s">
        <v>346</v>
      </c>
      <c r="E3195" s="8">
        <v>2261.4625000000001</v>
      </c>
      <c r="F3195" s="8">
        <f t="shared" si="4"/>
        <v>-0.2</v>
      </c>
      <c r="G3195" s="8">
        <f>E3195+F3195</f>
        <v>2261.2625000000003</v>
      </c>
      <c r="H3195" s="3">
        <f>B3195*G3195</f>
        <v>61167.150625000009</v>
      </c>
      <c r="I3195" s="3">
        <f>C3195*G3195</f>
        <v>61189.763250000004</v>
      </c>
    </row>
    <row r="3196" spans="1:9" x14ac:dyDescent="0.25">
      <c r="A3196" t="s">
        <v>9</v>
      </c>
      <c r="B3196" s="1">
        <v>64.599999999999994</v>
      </c>
      <c r="C3196" s="1">
        <v>64.7</v>
      </c>
      <c r="D3196" s="2" t="s">
        <v>346</v>
      </c>
      <c r="E3196" s="8">
        <v>946.22090000000003</v>
      </c>
      <c r="F3196" s="8">
        <f t="shared" si="4"/>
        <v>0</v>
      </c>
      <c r="G3196" s="8">
        <f>E3196+F3196</f>
        <v>946.22090000000003</v>
      </c>
      <c r="H3196" s="3">
        <f>B3196*G3196</f>
        <v>61125.870139999999</v>
      </c>
      <c r="I3196" s="3">
        <f>C3196*G3196</f>
        <v>61220.492230000003</v>
      </c>
    </row>
    <row r="3197" spans="1:9" x14ac:dyDescent="0.25">
      <c r="A3197" t="s">
        <v>10</v>
      </c>
      <c r="B3197" s="1">
        <v>35.340000000000003</v>
      </c>
      <c r="C3197" s="1">
        <v>35.36</v>
      </c>
      <c r="D3197" s="2" t="s">
        <v>346</v>
      </c>
      <c r="E3197" s="8">
        <v>1730.2348</v>
      </c>
      <c r="F3197" s="8">
        <f t="shared" si="4"/>
        <v>0.2</v>
      </c>
      <c r="G3197" s="8">
        <f>E3197+F3197</f>
        <v>1730.4348</v>
      </c>
      <c r="H3197" s="3">
        <f>B3197*G3197</f>
        <v>61153.565832000008</v>
      </c>
      <c r="I3197" s="3">
        <f>C3197*G3197</f>
        <v>61188.174527999996</v>
      </c>
    </row>
    <row r="3198" spans="1:9" x14ac:dyDescent="0.25">
      <c r="A3198" t="s">
        <v>11</v>
      </c>
      <c r="B3198" s="1">
        <v>53.24</v>
      </c>
      <c r="C3198" s="1">
        <v>53.25</v>
      </c>
      <c r="D3198" s="2" t="s">
        <v>346</v>
      </c>
      <c r="E3198" s="8">
        <v>1148.9558999999999</v>
      </c>
      <c r="F3198" s="8">
        <f t="shared" si="4"/>
        <v>0.05</v>
      </c>
      <c r="G3198" s="8">
        <f>E3198+F3198</f>
        <v>1149.0058999999999</v>
      </c>
      <c r="H3198" s="3">
        <f>B3198*G3198</f>
        <v>61173.074115999996</v>
      </c>
      <c r="I3198" s="3">
        <f>C3198*G3198</f>
        <v>61184.564174999992</v>
      </c>
    </row>
    <row r="3199" spans="1:9" x14ac:dyDescent="0.25">
      <c r="A3199" t="s">
        <v>12</v>
      </c>
      <c r="B3199" s="1">
        <v>47.44</v>
      </c>
      <c r="C3199" s="1">
        <v>47.45</v>
      </c>
      <c r="D3199" s="2" t="s">
        <v>346</v>
      </c>
      <c r="E3199" s="8">
        <v>1289.6505000000002</v>
      </c>
      <c r="F3199" s="8">
        <f t="shared" si="4"/>
        <v>0</v>
      </c>
      <c r="G3199" s="8">
        <f>E3199+F3199</f>
        <v>1289.6505000000002</v>
      </c>
      <c r="H3199" s="3">
        <f>B3199*G3199</f>
        <v>61181.019720000004</v>
      </c>
      <c r="I3199" s="3">
        <f>C3199*G3199</f>
        <v>61193.916225000015</v>
      </c>
    </row>
    <row r="3200" spans="1:9" x14ac:dyDescent="0.25">
      <c r="A3200" t="s">
        <v>13</v>
      </c>
      <c r="B3200" s="1">
        <v>17.3</v>
      </c>
      <c r="C3200" s="1">
        <v>17.309999999999999</v>
      </c>
      <c r="D3200" s="2" t="s">
        <v>346</v>
      </c>
      <c r="E3200" s="8">
        <v>3535.8029000000001</v>
      </c>
      <c r="F3200" s="8">
        <f t="shared" si="4"/>
        <v>0</v>
      </c>
      <c r="G3200" s="8">
        <f>E3200+F3200</f>
        <v>3535.8029000000001</v>
      </c>
      <c r="H3200" s="3">
        <f>B3200*G3200</f>
        <v>61169.390170000006</v>
      </c>
      <c r="I3200" s="3">
        <f>C3200*G3200</f>
        <v>61204.748198999994</v>
      </c>
    </row>
    <row r="3201" spans="1:9" x14ac:dyDescent="0.25">
      <c r="A3201" t="s">
        <v>14</v>
      </c>
      <c r="B3201" s="1">
        <v>34.65</v>
      </c>
      <c r="C3201" s="1">
        <v>34.659999999999997</v>
      </c>
      <c r="D3201" s="2" t="s">
        <v>346</v>
      </c>
      <c r="E3201" s="8">
        <v>1765.2166</v>
      </c>
      <c r="F3201" s="8">
        <f t="shared" si="4"/>
        <v>0.2</v>
      </c>
      <c r="G3201" s="8">
        <f>E3201+F3201</f>
        <v>1765.4166</v>
      </c>
      <c r="H3201" s="3">
        <f>B3201*G3201</f>
        <v>61171.685189999997</v>
      </c>
      <c r="I3201" s="3">
        <f>C3201*G3201</f>
        <v>61189.339355999997</v>
      </c>
    </row>
    <row r="3202" spans="1:9" x14ac:dyDescent="0.25">
      <c r="A3202" t="s">
        <v>4</v>
      </c>
      <c r="B3202" s="1">
        <v>20.34</v>
      </c>
      <c r="C3202" s="1">
        <v>20.350000000000001</v>
      </c>
      <c r="D3202" s="2" t="s">
        <v>347</v>
      </c>
      <c r="E3202" s="8">
        <v>3015.1736999999998</v>
      </c>
      <c r="F3202" s="8">
        <f t="shared" si="4"/>
        <v>0</v>
      </c>
      <c r="G3202" s="8">
        <f>E3202+F3202</f>
        <v>3015.1736999999998</v>
      </c>
      <c r="H3202" s="3">
        <f>B3202*G3202</f>
        <v>61328.633057999999</v>
      </c>
      <c r="I3202" s="3">
        <f>C3202*G3202</f>
        <v>61358.784795</v>
      </c>
    </row>
    <row r="3203" spans="1:9" x14ac:dyDescent="0.25">
      <c r="A3203" t="s">
        <v>6</v>
      </c>
      <c r="B3203" s="1">
        <v>33.299999999999997</v>
      </c>
      <c r="C3203" s="1">
        <v>33.31</v>
      </c>
      <c r="D3203" s="2" t="s">
        <v>347</v>
      </c>
      <c r="E3203" s="8">
        <v>1842.2518</v>
      </c>
      <c r="F3203" s="8">
        <f t="shared" si="4"/>
        <v>-0.1</v>
      </c>
      <c r="G3203" s="8">
        <f>E3203+F3203</f>
        <v>1842.1518000000001</v>
      </c>
      <c r="H3203" s="3">
        <f>B3203*G3203</f>
        <v>61343.65494</v>
      </c>
      <c r="I3203" s="3">
        <f>C3203*G3203</f>
        <v>61362.07645800001</v>
      </c>
    </row>
    <row r="3204" spans="1:9" x14ac:dyDescent="0.25">
      <c r="A3204" t="s">
        <v>7</v>
      </c>
      <c r="B3204" s="1">
        <v>17.3</v>
      </c>
      <c r="C3204" s="1">
        <v>17.309999999999999</v>
      </c>
      <c r="D3204" s="2" t="s">
        <v>347</v>
      </c>
      <c r="E3204" s="8">
        <v>3546.9023999999999</v>
      </c>
      <c r="F3204" s="8">
        <f t="shared" si="4"/>
        <v>0</v>
      </c>
      <c r="G3204" s="8">
        <f>E3204+F3204</f>
        <v>3546.9023999999999</v>
      </c>
      <c r="H3204" s="3">
        <f>B3204*G3204</f>
        <v>61361.411520000001</v>
      </c>
      <c r="I3204" s="3">
        <f>C3204*G3204</f>
        <v>61396.880543999992</v>
      </c>
    </row>
    <row r="3205" spans="1:9" x14ac:dyDescent="0.25">
      <c r="A3205" t="s">
        <v>8</v>
      </c>
      <c r="B3205" s="1">
        <v>27.13</v>
      </c>
      <c r="C3205" s="1">
        <v>27.14</v>
      </c>
      <c r="D3205" s="2" t="s">
        <v>347</v>
      </c>
      <c r="E3205" s="8">
        <v>2261.4625000000001</v>
      </c>
      <c r="F3205" s="8">
        <f t="shared" si="4"/>
        <v>-0.2</v>
      </c>
      <c r="G3205" s="8">
        <f>E3205+F3205</f>
        <v>2261.2625000000003</v>
      </c>
      <c r="H3205" s="3">
        <f>B3205*G3205</f>
        <v>61348.051625000007</v>
      </c>
      <c r="I3205" s="3">
        <f>C3205*G3205</f>
        <v>61370.664250000009</v>
      </c>
    </row>
    <row r="3206" spans="1:9" x14ac:dyDescent="0.25">
      <c r="A3206" t="s">
        <v>9</v>
      </c>
      <c r="B3206" s="1">
        <v>64.8</v>
      </c>
      <c r="C3206" s="1">
        <v>64.89</v>
      </c>
      <c r="D3206" s="2" t="s">
        <v>347</v>
      </c>
      <c r="E3206" s="8">
        <v>946.22090000000003</v>
      </c>
      <c r="F3206" s="8">
        <f t="shared" si="4"/>
        <v>0</v>
      </c>
      <c r="G3206" s="8">
        <f>E3206+F3206</f>
        <v>946.22090000000003</v>
      </c>
      <c r="H3206" s="3">
        <f>B3206*G3206</f>
        <v>61315.114320000001</v>
      </c>
      <c r="I3206" s="3">
        <f>C3206*G3206</f>
        <v>61400.274201</v>
      </c>
    </row>
    <row r="3207" spans="1:9" x14ac:dyDescent="0.25">
      <c r="A3207" t="s">
        <v>10</v>
      </c>
      <c r="B3207" s="1">
        <v>35.450000000000003</v>
      </c>
      <c r="C3207" s="1">
        <v>35.47</v>
      </c>
      <c r="D3207" s="2" t="s">
        <v>347</v>
      </c>
      <c r="E3207" s="8">
        <v>1730.2348</v>
      </c>
      <c r="F3207" s="8">
        <f t="shared" si="4"/>
        <v>0.2</v>
      </c>
      <c r="G3207" s="8">
        <f>E3207+F3207</f>
        <v>1730.4348</v>
      </c>
      <c r="H3207" s="3">
        <f>B3207*G3207</f>
        <v>61343.913660000006</v>
      </c>
      <c r="I3207" s="3">
        <f>C3207*G3207</f>
        <v>61378.522356000001</v>
      </c>
    </row>
    <row r="3208" spans="1:9" x14ac:dyDescent="0.25">
      <c r="A3208" t="s">
        <v>11</v>
      </c>
      <c r="B3208" s="1">
        <v>53.41</v>
      </c>
      <c r="C3208" s="1">
        <v>53.42</v>
      </c>
      <c r="D3208" s="2" t="s">
        <v>347</v>
      </c>
      <c r="E3208" s="8">
        <v>1148.9558999999999</v>
      </c>
      <c r="F3208" s="8">
        <f t="shared" si="4"/>
        <v>0.05</v>
      </c>
      <c r="G3208" s="8">
        <f>E3208+F3208</f>
        <v>1149.0058999999999</v>
      </c>
      <c r="H3208" s="3">
        <f>B3208*G3208</f>
        <v>61368.405118999988</v>
      </c>
      <c r="I3208" s="3">
        <f>C3208*G3208</f>
        <v>61379.895177999999</v>
      </c>
    </row>
    <row r="3209" spans="1:9" x14ac:dyDescent="0.25">
      <c r="A3209" t="s">
        <v>12</v>
      </c>
      <c r="B3209" s="1">
        <v>47.58</v>
      </c>
      <c r="C3209" s="1">
        <v>47.59</v>
      </c>
      <c r="D3209" s="2" t="s">
        <v>347</v>
      </c>
      <c r="E3209" s="8">
        <v>1289.6505000000002</v>
      </c>
      <c r="F3209" s="8">
        <f t="shared" si="4"/>
        <v>0</v>
      </c>
      <c r="G3209" s="8">
        <f>E3209+F3209</f>
        <v>1289.6505000000002</v>
      </c>
      <c r="H3209" s="3">
        <f>B3209*G3209</f>
        <v>61361.570790000005</v>
      </c>
      <c r="I3209" s="3">
        <f>C3209*G3209</f>
        <v>61374.467295000017</v>
      </c>
    </row>
    <row r="3210" spans="1:9" x14ac:dyDescent="0.25">
      <c r="A3210" t="s">
        <v>13</v>
      </c>
      <c r="B3210" s="1">
        <v>17.350000000000001</v>
      </c>
      <c r="C3210" s="1">
        <v>17.36</v>
      </c>
      <c r="D3210" s="2" t="s">
        <v>347</v>
      </c>
      <c r="E3210" s="8">
        <v>3535.8029000000001</v>
      </c>
      <c r="F3210" s="8">
        <f t="shared" si="4"/>
        <v>0</v>
      </c>
      <c r="G3210" s="8">
        <f>E3210+F3210</f>
        <v>3535.8029000000001</v>
      </c>
      <c r="H3210" s="3">
        <f>B3210*G3210</f>
        <v>61346.180315000005</v>
      </c>
      <c r="I3210" s="3">
        <f>C3210*G3210</f>
        <v>61381.538344000001</v>
      </c>
    </row>
    <row r="3211" spans="1:9" x14ac:dyDescent="0.25">
      <c r="A3211" t="s">
        <v>14</v>
      </c>
      <c r="B3211" s="1">
        <v>34.76</v>
      </c>
      <c r="C3211" s="1">
        <v>34.770000000000003</v>
      </c>
      <c r="D3211" s="2" t="s">
        <v>347</v>
      </c>
      <c r="E3211" s="8">
        <v>1765.2166</v>
      </c>
      <c r="F3211" s="8">
        <f t="shared" si="4"/>
        <v>0.2</v>
      </c>
      <c r="G3211" s="8">
        <f>E3211+F3211</f>
        <v>1765.4166</v>
      </c>
      <c r="H3211" s="3">
        <f>B3211*G3211</f>
        <v>61365.881015999999</v>
      </c>
      <c r="I3211" s="3">
        <f>C3211*G3211</f>
        <v>61383.535182000007</v>
      </c>
    </row>
    <row r="3212" spans="1:9" x14ac:dyDescent="0.25">
      <c r="A3212" t="s">
        <v>4</v>
      </c>
      <c r="B3212" s="1">
        <v>20.420000000000002</v>
      </c>
      <c r="C3212" s="1">
        <v>20.43</v>
      </c>
      <c r="D3212" s="2" t="s">
        <v>348</v>
      </c>
      <c r="E3212" s="8">
        <v>3015.1736999999998</v>
      </c>
      <c r="F3212" s="8">
        <f t="shared" si="4"/>
        <v>0</v>
      </c>
      <c r="G3212" s="8">
        <f>E3212+F3212</f>
        <v>3015.1736999999998</v>
      </c>
      <c r="H3212" s="3">
        <f>B3212*G3212</f>
        <v>61569.846954000001</v>
      </c>
      <c r="I3212" s="3">
        <f>C3212*G3212</f>
        <v>61599.998690999993</v>
      </c>
    </row>
    <row r="3213" spans="1:9" x14ac:dyDescent="0.25">
      <c r="A3213" t="s">
        <v>6</v>
      </c>
      <c r="B3213" s="1">
        <v>33.43</v>
      </c>
      <c r="C3213" s="1">
        <v>33.44</v>
      </c>
      <c r="D3213" s="2" t="s">
        <v>348</v>
      </c>
      <c r="E3213" s="8">
        <v>1842.2518</v>
      </c>
      <c r="F3213" s="8">
        <f t="shared" si="4"/>
        <v>-0.1</v>
      </c>
      <c r="G3213" s="8">
        <f>E3213+F3213</f>
        <v>1842.1518000000001</v>
      </c>
      <c r="H3213" s="3">
        <f>B3213*G3213</f>
        <v>61583.134674000001</v>
      </c>
      <c r="I3213" s="3">
        <f>C3213*G3213</f>
        <v>61601.556191999996</v>
      </c>
    </row>
    <row r="3214" spans="1:9" x14ac:dyDescent="0.25">
      <c r="A3214" t="s">
        <v>7</v>
      </c>
      <c r="B3214" s="1">
        <v>17.36</v>
      </c>
      <c r="C3214" s="1">
        <v>17.37</v>
      </c>
      <c r="D3214" s="2" t="s">
        <v>348</v>
      </c>
      <c r="E3214" s="8">
        <v>3546.9023999999999</v>
      </c>
      <c r="F3214" s="8">
        <f t="shared" si="4"/>
        <v>0</v>
      </c>
      <c r="G3214" s="8">
        <f>E3214+F3214</f>
        <v>3546.9023999999999</v>
      </c>
      <c r="H3214" s="3">
        <f>B3214*G3214</f>
        <v>61574.225663999998</v>
      </c>
      <c r="I3214" s="3">
        <f>C3214*G3214</f>
        <v>61609.694688000003</v>
      </c>
    </row>
    <row r="3215" spans="1:9" x14ac:dyDescent="0.25">
      <c r="A3215" t="s">
        <v>8</v>
      </c>
      <c r="B3215" s="1">
        <v>27.23</v>
      </c>
      <c r="C3215" s="1">
        <v>27.24</v>
      </c>
      <c r="D3215" s="2" t="s">
        <v>348</v>
      </c>
      <c r="E3215" s="8">
        <v>2261.4625000000001</v>
      </c>
      <c r="F3215" s="8">
        <f t="shared" si="4"/>
        <v>-0.2</v>
      </c>
      <c r="G3215" s="8">
        <f>E3215+F3215</f>
        <v>2261.2625000000003</v>
      </c>
      <c r="H3215" s="3">
        <f>B3215*G3215</f>
        <v>61574.177875000008</v>
      </c>
      <c r="I3215" s="3">
        <f>C3215*G3215</f>
        <v>61596.790500000003</v>
      </c>
    </row>
    <row r="3216" spans="1:9" x14ac:dyDescent="0.25">
      <c r="A3216" t="s">
        <v>9</v>
      </c>
      <c r="B3216" s="1">
        <v>65.05</v>
      </c>
      <c r="C3216" s="1">
        <v>65.150000000000006</v>
      </c>
      <c r="D3216" s="2" t="s">
        <v>348</v>
      </c>
      <c r="E3216" s="8">
        <v>946.22090000000003</v>
      </c>
      <c r="F3216" s="8">
        <f t="shared" si="4"/>
        <v>0</v>
      </c>
      <c r="G3216" s="8">
        <f>E3216+F3216</f>
        <v>946.22090000000003</v>
      </c>
      <c r="H3216" s="3">
        <f>B3216*G3216</f>
        <v>61551.669544999997</v>
      </c>
      <c r="I3216" s="3">
        <f>C3216*G3216</f>
        <v>61646.291635000009</v>
      </c>
    </row>
    <row r="3217" spans="1:9" x14ac:dyDescent="0.25">
      <c r="A3217" t="s">
        <v>10</v>
      </c>
      <c r="B3217" s="1">
        <v>35.590000000000003</v>
      </c>
      <c r="C3217" s="1">
        <v>35.61</v>
      </c>
      <c r="D3217" s="2" t="s">
        <v>348</v>
      </c>
      <c r="E3217" s="8">
        <v>1730.2348</v>
      </c>
      <c r="F3217" s="8">
        <f t="shared" si="4"/>
        <v>0.2</v>
      </c>
      <c r="G3217" s="8">
        <f>E3217+F3217</f>
        <v>1730.4348</v>
      </c>
      <c r="H3217" s="3">
        <f>B3217*G3217</f>
        <v>61586.174532000005</v>
      </c>
      <c r="I3217" s="3">
        <f>C3217*G3217</f>
        <v>61620.783228</v>
      </c>
    </row>
    <row r="3218" spans="1:9" x14ac:dyDescent="0.25">
      <c r="A3218" t="s">
        <v>11</v>
      </c>
      <c r="B3218" s="1">
        <v>53.6</v>
      </c>
      <c r="C3218" s="1">
        <v>53.61</v>
      </c>
      <c r="D3218" s="2" t="s">
        <v>348</v>
      </c>
      <c r="E3218" s="8">
        <v>1148.9558999999999</v>
      </c>
      <c r="F3218" s="8">
        <f t="shared" si="4"/>
        <v>0.05</v>
      </c>
      <c r="G3218" s="8">
        <f>E3218+F3218</f>
        <v>1149.0058999999999</v>
      </c>
      <c r="H3218" s="3">
        <f>B3218*G3218</f>
        <v>61586.716239999994</v>
      </c>
      <c r="I3218" s="3">
        <f>C3218*G3218</f>
        <v>61598.20629899999</v>
      </c>
    </row>
    <row r="3219" spans="1:9" x14ac:dyDescent="0.25">
      <c r="A3219" t="s">
        <v>12</v>
      </c>
      <c r="B3219" s="1">
        <v>47.76</v>
      </c>
      <c r="C3219" s="1">
        <v>47.77</v>
      </c>
      <c r="D3219" s="2" t="s">
        <v>348</v>
      </c>
      <c r="E3219" s="8">
        <v>1289.6505000000002</v>
      </c>
      <c r="F3219" s="8">
        <f t="shared" si="4"/>
        <v>0</v>
      </c>
      <c r="G3219" s="8">
        <f>E3219+F3219</f>
        <v>1289.6505000000002</v>
      </c>
      <c r="H3219" s="3">
        <f>B3219*G3219</f>
        <v>61593.707880000009</v>
      </c>
      <c r="I3219" s="3">
        <f>C3219*G3219</f>
        <v>61606.604385000013</v>
      </c>
    </row>
    <row r="3220" spans="1:9" x14ac:dyDescent="0.25">
      <c r="A3220" t="s">
        <v>13</v>
      </c>
      <c r="B3220" s="1">
        <v>17.420000000000002</v>
      </c>
      <c r="C3220" s="1">
        <v>17.43</v>
      </c>
      <c r="D3220" s="2" t="s">
        <v>348</v>
      </c>
      <c r="E3220" s="8">
        <v>3535.8029000000001</v>
      </c>
      <c r="F3220" s="8">
        <f t="shared" si="4"/>
        <v>0</v>
      </c>
      <c r="G3220" s="8">
        <f>E3220+F3220</f>
        <v>3535.8029000000001</v>
      </c>
      <c r="H3220" s="3">
        <f>B3220*G3220</f>
        <v>61593.68651800001</v>
      </c>
      <c r="I3220" s="3">
        <f>C3220*G3220</f>
        <v>61629.044547000005</v>
      </c>
    </row>
    <row r="3221" spans="1:9" x14ac:dyDescent="0.25">
      <c r="A3221" t="s">
        <v>14</v>
      </c>
      <c r="B3221" s="1">
        <v>34.89</v>
      </c>
      <c r="C3221" s="1">
        <v>34.9</v>
      </c>
      <c r="D3221" s="2" t="s">
        <v>348</v>
      </c>
      <c r="E3221" s="8">
        <v>1765.2166</v>
      </c>
      <c r="F3221" s="8">
        <f t="shared" si="4"/>
        <v>0.2</v>
      </c>
      <c r="G3221" s="8">
        <f>E3221+F3221</f>
        <v>1765.4166</v>
      </c>
      <c r="H3221" s="3">
        <f>B3221*G3221</f>
        <v>61595.385174000003</v>
      </c>
      <c r="I3221" s="3">
        <f>C3221*G3221</f>
        <v>61613.039339999996</v>
      </c>
    </row>
    <row r="3222" spans="1:9" x14ac:dyDescent="0.25">
      <c r="A3222" t="s">
        <v>4</v>
      </c>
      <c r="B3222" s="1">
        <v>20.440000000000001</v>
      </c>
      <c r="C3222" s="1">
        <v>20.45</v>
      </c>
      <c r="D3222" s="2" t="s">
        <v>349</v>
      </c>
      <c r="E3222" s="8">
        <v>3015.1736999999998</v>
      </c>
      <c r="F3222" s="8">
        <f t="shared" si="4"/>
        <v>0</v>
      </c>
      <c r="G3222" s="8">
        <f>E3222+F3222</f>
        <v>3015.1736999999998</v>
      </c>
      <c r="H3222" s="3">
        <f>B3222*G3222</f>
        <v>61630.150428000001</v>
      </c>
      <c r="I3222" s="3">
        <f>C3222*G3222</f>
        <v>61660.302164999994</v>
      </c>
    </row>
    <row r="3223" spans="1:9" x14ac:dyDescent="0.25">
      <c r="A3223" t="s">
        <v>6</v>
      </c>
      <c r="B3223" s="1">
        <v>33.47</v>
      </c>
      <c r="C3223" s="1">
        <v>33.479999999999997</v>
      </c>
      <c r="D3223" s="2" t="s">
        <v>349</v>
      </c>
      <c r="E3223" s="8">
        <v>1842.2518</v>
      </c>
      <c r="F3223" s="8">
        <f t="shared" si="4"/>
        <v>-0.1</v>
      </c>
      <c r="G3223" s="8">
        <f>E3223+F3223</f>
        <v>1842.1518000000001</v>
      </c>
      <c r="H3223" s="3">
        <f>B3223*G3223</f>
        <v>61656.820745999998</v>
      </c>
      <c r="I3223" s="3">
        <f>C3223*G3223</f>
        <v>61675.242264</v>
      </c>
    </row>
    <row r="3224" spans="1:9" x14ac:dyDescent="0.25">
      <c r="A3224" t="s">
        <v>7</v>
      </c>
      <c r="B3224" s="1">
        <v>17.38</v>
      </c>
      <c r="C3224" s="1">
        <v>17.39</v>
      </c>
      <c r="D3224" s="2" t="s">
        <v>349</v>
      </c>
      <c r="E3224" s="8">
        <v>3546.9023999999999</v>
      </c>
      <c r="F3224" s="8">
        <f t="shared" si="4"/>
        <v>0</v>
      </c>
      <c r="G3224" s="8">
        <f>E3224+F3224</f>
        <v>3546.9023999999999</v>
      </c>
      <c r="H3224" s="3">
        <f>B3224*G3224</f>
        <v>61645.163711999994</v>
      </c>
      <c r="I3224" s="3">
        <f>C3224*G3224</f>
        <v>61680.632736</v>
      </c>
    </row>
    <row r="3225" spans="1:9" x14ac:dyDescent="0.25">
      <c r="A3225" t="s">
        <v>8</v>
      </c>
      <c r="B3225" s="1">
        <v>27.27</v>
      </c>
      <c r="C3225" s="1">
        <v>27.28</v>
      </c>
      <c r="D3225" s="2" t="s">
        <v>349</v>
      </c>
      <c r="E3225" s="8">
        <v>2261.4625000000001</v>
      </c>
      <c r="F3225" s="8">
        <f t="shared" si="4"/>
        <v>-0.2</v>
      </c>
      <c r="G3225" s="8">
        <f>E3225+F3225</f>
        <v>2261.2625000000003</v>
      </c>
      <c r="H3225" s="3">
        <f>B3225*G3225</f>
        <v>61664.628375000008</v>
      </c>
      <c r="I3225" s="3">
        <f>C3225*G3225</f>
        <v>61687.241000000009</v>
      </c>
    </row>
    <row r="3226" spans="1:9" x14ac:dyDescent="0.25">
      <c r="A3226" t="s">
        <v>9</v>
      </c>
      <c r="B3226" s="1">
        <v>65.11</v>
      </c>
      <c r="C3226" s="1">
        <v>65.23</v>
      </c>
      <c r="D3226" s="2" t="s">
        <v>349</v>
      </c>
      <c r="E3226" s="8">
        <v>946.22090000000003</v>
      </c>
      <c r="F3226" s="8">
        <f t="shared" si="4"/>
        <v>0</v>
      </c>
      <c r="G3226" s="8">
        <f>E3226+F3226</f>
        <v>946.22090000000003</v>
      </c>
      <c r="H3226" s="3">
        <f>B3226*G3226</f>
        <v>61608.442799000004</v>
      </c>
      <c r="I3226" s="3">
        <f>C3226*G3226</f>
        <v>61721.989307000003</v>
      </c>
    </row>
    <row r="3227" spans="1:9" x14ac:dyDescent="0.25">
      <c r="A3227" t="s">
        <v>10</v>
      </c>
      <c r="B3227" s="1">
        <v>35.630000000000003</v>
      </c>
      <c r="C3227" s="1">
        <v>35.65</v>
      </c>
      <c r="D3227" s="2" t="s">
        <v>349</v>
      </c>
      <c r="E3227" s="8">
        <v>1730.2348</v>
      </c>
      <c r="F3227" s="8">
        <f t="shared" si="4"/>
        <v>0.2</v>
      </c>
      <c r="G3227" s="8">
        <f>E3227+F3227</f>
        <v>1730.4348</v>
      </c>
      <c r="H3227" s="3">
        <f>B3227*G3227</f>
        <v>61655.391924000003</v>
      </c>
      <c r="I3227" s="3">
        <f>C3227*G3227</f>
        <v>61690.000619999999</v>
      </c>
    </row>
    <row r="3228" spans="1:9" x14ac:dyDescent="0.25">
      <c r="A3228" t="s">
        <v>11</v>
      </c>
      <c r="B3228" s="1">
        <v>53.66</v>
      </c>
      <c r="C3228" s="1">
        <v>53.67</v>
      </c>
      <c r="D3228" s="2" t="s">
        <v>349</v>
      </c>
      <c r="E3228" s="8">
        <v>1148.9558999999999</v>
      </c>
      <c r="F3228" s="8">
        <f t="shared" si="4"/>
        <v>0.05</v>
      </c>
      <c r="G3228" s="8">
        <f>E3228+F3228</f>
        <v>1149.0058999999999</v>
      </c>
      <c r="H3228" s="3">
        <f>B3228*G3228</f>
        <v>61655.656593999993</v>
      </c>
      <c r="I3228" s="3">
        <f>C3228*G3228</f>
        <v>61667.146652999996</v>
      </c>
    </row>
    <row r="3229" spans="1:9" x14ac:dyDescent="0.25">
      <c r="A3229" t="s">
        <v>12</v>
      </c>
      <c r="B3229" s="1">
        <v>47.82</v>
      </c>
      <c r="C3229" s="1">
        <v>47.83</v>
      </c>
      <c r="D3229" s="2" t="s">
        <v>349</v>
      </c>
      <c r="E3229" s="8">
        <v>1289.6505000000002</v>
      </c>
      <c r="F3229" s="8">
        <f t="shared" si="4"/>
        <v>0</v>
      </c>
      <c r="G3229" s="8">
        <f>E3229+F3229</f>
        <v>1289.6505000000002</v>
      </c>
      <c r="H3229" s="3">
        <f>B3229*G3229</f>
        <v>61671.086910000013</v>
      </c>
      <c r="I3229" s="3">
        <f>C3229*G3229</f>
        <v>61683.98341500001</v>
      </c>
    </row>
    <row r="3230" spans="1:9" x14ac:dyDescent="0.25">
      <c r="A3230" t="s">
        <v>13</v>
      </c>
      <c r="B3230" s="1">
        <v>17.440000000000001</v>
      </c>
      <c r="C3230" s="1">
        <v>17.45</v>
      </c>
      <c r="D3230" s="2" t="s">
        <v>349</v>
      </c>
      <c r="E3230" s="8">
        <v>3535.8029000000001</v>
      </c>
      <c r="F3230" s="8">
        <f t="shared" si="4"/>
        <v>0</v>
      </c>
      <c r="G3230" s="8">
        <f>E3230+F3230</f>
        <v>3535.8029000000001</v>
      </c>
      <c r="H3230" s="3">
        <f>B3230*G3230</f>
        <v>61664.402576000008</v>
      </c>
      <c r="I3230" s="3">
        <f>C3230*G3230</f>
        <v>61699.760605000003</v>
      </c>
    </row>
    <row r="3231" spans="1:9" x14ac:dyDescent="0.25">
      <c r="A3231" t="s">
        <v>14</v>
      </c>
      <c r="B3231" s="1">
        <v>34.93</v>
      </c>
      <c r="C3231" s="1">
        <v>34.94</v>
      </c>
      <c r="D3231" s="2" t="s">
        <v>349</v>
      </c>
      <c r="E3231" s="8">
        <v>1765.2166</v>
      </c>
      <c r="F3231" s="8">
        <f t="shared" si="4"/>
        <v>0.2</v>
      </c>
      <c r="G3231" s="8">
        <f>E3231+F3231</f>
        <v>1765.4166</v>
      </c>
      <c r="H3231" s="3">
        <f>B3231*G3231</f>
        <v>61666.001837999996</v>
      </c>
      <c r="I3231" s="3">
        <f>C3231*G3231</f>
        <v>61683.656003999997</v>
      </c>
    </row>
    <row r="3232" spans="1:9" x14ac:dyDescent="0.25">
      <c r="A3232" t="s">
        <v>4</v>
      </c>
      <c r="B3232" s="1">
        <v>20.5</v>
      </c>
      <c r="C3232" s="1">
        <v>20.51</v>
      </c>
      <c r="D3232" s="2" t="s">
        <v>350</v>
      </c>
      <c r="E3232" s="8">
        <v>3015.1736999999998</v>
      </c>
      <c r="F3232" s="8">
        <f t="shared" si="4"/>
        <v>0</v>
      </c>
      <c r="G3232" s="8">
        <f>E3232+F3232</f>
        <v>3015.1736999999998</v>
      </c>
      <c r="H3232" s="3">
        <f>B3232*G3232</f>
        <v>61811.060849999994</v>
      </c>
      <c r="I3232" s="3">
        <f>C3232*G3232</f>
        <v>61841.212587000002</v>
      </c>
    </row>
    <row r="3233" spans="1:9" x14ac:dyDescent="0.25">
      <c r="A3233" t="s">
        <v>6</v>
      </c>
      <c r="B3233" s="1">
        <v>33.56</v>
      </c>
      <c r="C3233" s="1">
        <v>33.57</v>
      </c>
      <c r="D3233" s="2" t="s">
        <v>350</v>
      </c>
      <c r="E3233" s="8">
        <v>1842.2518</v>
      </c>
      <c r="F3233" s="8">
        <f t="shared" si="4"/>
        <v>-0.1</v>
      </c>
      <c r="G3233" s="8">
        <f>E3233+F3233</f>
        <v>1842.1518000000001</v>
      </c>
      <c r="H3233" s="3">
        <f>B3233*G3233</f>
        <v>61822.614408000009</v>
      </c>
      <c r="I3233" s="3">
        <f>C3233*G3233</f>
        <v>61841.035926000004</v>
      </c>
    </row>
    <row r="3234" spans="1:9" x14ac:dyDescent="0.25">
      <c r="A3234" t="s">
        <v>7</v>
      </c>
      <c r="B3234" s="1">
        <v>17.43</v>
      </c>
      <c r="C3234" s="1">
        <v>17.440000000000001</v>
      </c>
      <c r="D3234" s="2" t="s">
        <v>350</v>
      </c>
      <c r="E3234" s="8">
        <v>3546.9023999999999</v>
      </c>
      <c r="F3234" s="8">
        <f t="shared" si="4"/>
        <v>0</v>
      </c>
      <c r="G3234" s="8">
        <f>E3234+F3234</f>
        <v>3546.9023999999999</v>
      </c>
      <c r="H3234" s="3">
        <f>B3234*G3234</f>
        <v>61822.508832</v>
      </c>
      <c r="I3234" s="3">
        <f>C3234*G3234</f>
        <v>61857.977856000005</v>
      </c>
    </row>
    <row r="3235" spans="1:9" x14ac:dyDescent="0.25">
      <c r="A3235" t="s">
        <v>8</v>
      </c>
      <c r="B3235" s="1">
        <v>27.34</v>
      </c>
      <c r="C3235" s="1">
        <v>27.35</v>
      </c>
      <c r="D3235" s="2" t="s">
        <v>350</v>
      </c>
      <c r="E3235" s="8">
        <v>2261.4625000000001</v>
      </c>
      <c r="F3235" s="8">
        <f t="shared" si="4"/>
        <v>-0.2</v>
      </c>
      <c r="G3235" s="8">
        <f>E3235+F3235</f>
        <v>2261.2625000000003</v>
      </c>
      <c r="H3235" s="3">
        <f>B3235*G3235</f>
        <v>61822.916750000004</v>
      </c>
      <c r="I3235" s="3">
        <f>C3235*G3235</f>
        <v>61845.529375000013</v>
      </c>
    </row>
    <row r="3236" spans="1:9" x14ac:dyDescent="0.25">
      <c r="A3236" t="s">
        <v>9</v>
      </c>
      <c r="B3236" s="1">
        <v>65.27</v>
      </c>
      <c r="C3236" s="1">
        <v>65.38</v>
      </c>
      <c r="D3236" s="2" t="s">
        <v>350</v>
      </c>
      <c r="E3236" s="8">
        <v>946.22090000000003</v>
      </c>
      <c r="F3236" s="8">
        <f t="shared" si="4"/>
        <v>0</v>
      </c>
      <c r="G3236" s="8">
        <f>E3236+F3236</f>
        <v>946.22090000000003</v>
      </c>
      <c r="H3236" s="3">
        <f>B3236*G3236</f>
        <v>61759.838143000001</v>
      </c>
      <c r="I3236" s="3">
        <f>C3236*G3236</f>
        <v>61863.922441999995</v>
      </c>
    </row>
    <row r="3237" spans="1:9" x14ac:dyDescent="0.25">
      <c r="A3237" t="s">
        <v>10</v>
      </c>
      <c r="B3237" s="1">
        <v>35.729999999999997</v>
      </c>
      <c r="C3237" s="1">
        <v>35.75</v>
      </c>
      <c r="D3237" s="2" t="s">
        <v>350</v>
      </c>
      <c r="E3237" s="8">
        <v>1730.2348</v>
      </c>
      <c r="F3237" s="8">
        <f t="shared" si="4"/>
        <v>0.2</v>
      </c>
      <c r="G3237" s="8">
        <f>E3237+F3237</f>
        <v>1730.4348</v>
      </c>
      <c r="H3237" s="3">
        <f>B3237*G3237</f>
        <v>61828.435403999996</v>
      </c>
      <c r="I3237" s="3">
        <f>C3237*G3237</f>
        <v>61863.044099999999</v>
      </c>
    </row>
    <row r="3238" spans="1:9" x14ac:dyDescent="0.25">
      <c r="A3238" t="s">
        <v>11</v>
      </c>
      <c r="B3238" s="1">
        <v>53.81</v>
      </c>
      <c r="C3238" s="1">
        <v>53.82</v>
      </c>
      <c r="D3238" s="2" t="s">
        <v>350</v>
      </c>
      <c r="E3238" s="8">
        <v>1148.9558999999999</v>
      </c>
      <c r="F3238" s="8">
        <f t="shared" si="4"/>
        <v>0.05</v>
      </c>
      <c r="G3238" s="8">
        <f>E3238+F3238</f>
        <v>1149.0058999999999</v>
      </c>
      <c r="H3238" s="3">
        <f>B3238*G3238</f>
        <v>61828.007479</v>
      </c>
      <c r="I3238" s="3">
        <f>C3238*G3238</f>
        <v>61839.497537999996</v>
      </c>
    </row>
    <row r="3239" spans="1:9" x14ac:dyDescent="0.25">
      <c r="A3239" t="s">
        <v>12</v>
      </c>
      <c r="B3239" s="1">
        <v>47.95</v>
      </c>
      <c r="C3239" s="1">
        <v>47.96</v>
      </c>
      <c r="D3239" s="2" t="s">
        <v>350</v>
      </c>
      <c r="E3239" s="8">
        <v>1289.6505000000002</v>
      </c>
      <c r="F3239" s="8">
        <f t="shared" si="4"/>
        <v>0</v>
      </c>
      <c r="G3239" s="8">
        <f>E3239+F3239</f>
        <v>1289.6505000000002</v>
      </c>
      <c r="H3239" s="3">
        <f>B3239*G3239</f>
        <v>61838.74147500001</v>
      </c>
      <c r="I3239" s="3">
        <f>C3239*G3239</f>
        <v>61851.637980000007</v>
      </c>
    </row>
    <row r="3240" spans="1:9" x14ac:dyDescent="0.25">
      <c r="A3240" t="s">
        <v>13</v>
      </c>
      <c r="B3240" s="1">
        <v>17.489999999999998</v>
      </c>
      <c r="C3240" s="1">
        <v>17.5</v>
      </c>
      <c r="D3240" s="2" t="s">
        <v>350</v>
      </c>
      <c r="E3240" s="8">
        <v>3535.8029000000001</v>
      </c>
      <c r="F3240" s="8">
        <f t="shared" si="4"/>
        <v>0</v>
      </c>
      <c r="G3240" s="8">
        <f>E3240+F3240</f>
        <v>3535.8029000000001</v>
      </c>
      <c r="H3240" s="3">
        <f>B3240*G3240</f>
        <v>61841.192720999999</v>
      </c>
      <c r="I3240" s="3">
        <f>C3240*G3240</f>
        <v>61876.550750000002</v>
      </c>
    </row>
    <row r="3241" spans="1:9" x14ac:dyDescent="0.25">
      <c r="A3241" t="s">
        <v>14</v>
      </c>
      <c r="B3241" s="1">
        <v>35.03</v>
      </c>
      <c r="C3241" s="1">
        <v>35.04</v>
      </c>
      <c r="D3241" s="2" t="s">
        <v>350</v>
      </c>
      <c r="E3241" s="8">
        <v>1765.2166</v>
      </c>
      <c r="F3241" s="8">
        <f t="shared" si="4"/>
        <v>0.2</v>
      </c>
      <c r="G3241" s="8">
        <f>E3241+F3241</f>
        <v>1765.4166</v>
      </c>
      <c r="H3241" s="3">
        <f>B3241*G3241</f>
        <v>61842.543497999999</v>
      </c>
      <c r="I3241" s="3">
        <f>C3241*G3241</f>
        <v>61860.197663999999</v>
      </c>
    </row>
    <row r="3242" spans="1:9" x14ac:dyDescent="0.25">
      <c r="A3242" t="s">
        <v>4</v>
      </c>
      <c r="B3242" s="1">
        <v>20.48</v>
      </c>
      <c r="C3242" s="1">
        <v>20.49</v>
      </c>
      <c r="D3242" s="2" t="s">
        <v>351</v>
      </c>
      <c r="E3242" s="8">
        <v>3015.1736999999998</v>
      </c>
      <c r="F3242" s="8">
        <f t="shared" ref="F3242:F3305" si="5">F3232</f>
        <v>0</v>
      </c>
      <c r="G3242" s="8">
        <f>E3242+F3242</f>
        <v>3015.1736999999998</v>
      </c>
      <c r="H3242" s="3">
        <f>B3242*G3242</f>
        <v>61750.757375999994</v>
      </c>
      <c r="I3242" s="3">
        <f>C3242*G3242</f>
        <v>61780.909112999994</v>
      </c>
    </row>
    <row r="3243" spans="1:9" x14ac:dyDescent="0.25">
      <c r="A3243" t="s">
        <v>6</v>
      </c>
      <c r="B3243" s="1">
        <v>33.53</v>
      </c>
      <c r="C3243" s="1">
        <v>33.54</v>
      </c>
      <c r="D3243" s="2" t="s">
        <v>351</v>
      </c>
      <c r="E3243" s="8">
        <v>1842.2518</v>
      </c>
      <c r="F3243" s="8">
        <f t="shared" si="5"/>
        <v>-0.1</v>
      </c>
      <c r="G3243" s="8">
        <f>E3243+F3243</f>
        <v>1842.1518000000001</v>
      </c>
      <c r="H3243" s="3">
        <f>B3243*G3243</f>
        <v>61767.349854000007</v>
      </c>
      <c r="I3243" s="3">
        <f>C3243*G3243</f>
        <v>61785.771372000003</v>
      </c>
    </row>
    <row r="3244" spans="1:9" x14ac:dyDescent="0.25">
      <c r="A3244" t="s">
        <v>7</v>
      </c>
      <c r="B3244" s="1">
        <v>17.41</v>
      </c>
      <c r="C3244" s="1">
        <v>17.420000000000002</v>
      </c>
      <c r="D3244" s="2" t="s">
        <v>351</v>
      </c>
      <c r="E3244" s="8">
        <v>3546.9023999999999</v>
      </c>
      <c r="F3244" s="8">
        <f t="shared" si="5"/>
        <v>0</v>
      </c>
      <c r="G3244" s="8">
        <f>E3244+F3244</f>
        <v>3546.9023999999999</v>
      </c>
      <c r="H3244" s="3">
        <f>B3244*G3244</f>
        <v>61751.570783999996</v>
      </c>
      <c r="I3244" s="3">
        <f>C3244*G3244</f>
        <v>61787.039808000009</v>
      </c>
    </row>
    <row r="3245" spans="1:9" x14ac:dyDescent="0.25">
      <c r="A3245" t="s">
        <v>8</v>
      </c>
      <c r="B3245" s="1">
        <v>27.31</v>
      </c>
      <c r="C3245" s="1">
        <v>27.32</v>
      </c>
      <c r="D3245" s="2" t="s">
        <v>351</v>
      </c>
      <c r="E3245" s="8">
        <v>2261.4625000000001</v>
      </c>
      <c r="F3245" s="8">
        <f t="shared" si="5"/>
        <v>-0.2</v>
      </c>
      <c r="G3245" s="8">
        <f>E3245+F3245</f>
        <v>2261.2625000000003</v>
      </c>
      <c r="H3245" s="3">
        <f>B3245*G3245</f>
        <v>61755.078875000007</v>
      </c>
      <c r="I3245" s="3">
        <f>C3245*G3245</f>
        <v>61777.691500000008</v>
      </c>
    </row>
    <row r="3246" spans="1:9" x14ac:dyDescent="0.25">
      <c r="A3246" t="s">
        <v>9</v>
      </c>
      <c r="B3246" s="1">
        <v>65.2</v>
      </c>
      <c r="C3246" s="1">
        <v>65.33</v>
      </c>
      <c r="D3246" s="2" t="s">
        <v>351</v>
      </c>
      <c r="E3246" s="8">
        <v>946.22090000000003</v>
      </c>
      <c r="F3246" s="8">
        <f t="shared" si="5"/>
        <v>0</v>
      </c>
      <c r="G3246" s="8">
        <f>E3246+F3246</f>
        <v>946.22090000000003</v>
      </c>
      <c r="H3246" s="3">
        <f>B3246*G3246</f>
        <v>61693.602680000004</v>
      </c>
      <c r="I3246" s="3">
        <f>C3246*G3246</f>
        <v>61816.611397000001</v>
      </c>
    </row>
    <row r="3247" spans="1:9" x14ac:dyDescent="0.25">
      <c r="A3247" t="s">
        <v>10</v>
      </c>
      <c r="B3247" s="1">
        <v>35.69</v>
      </c>
      <c r="C3247" s="1">
        <v>35.71</v>
      </c>
      <c r="D3247" s="2" t="s">
        <v>351</v>
      </c>
      <c r="E3247" s="8">
        <v>1730.2348</v>
      </c>
      <c r="F3247" s="8">
        <f t="shared" si="5"/>
        <v>0.2</v>
      </c>
      <c r="G3247" s="8">
        <f>E3247+F3247</f>
        <v>1730.4348</v>
      </c>
      <c r="H3247" s="3">
        <f>B3247*G3247</f>
        <v>61759.218011999998</v>
      </c>
      <c r="I3247" s="3">
        <f>C3247*G3247</f>
        <v>61793.826708000001</v>
      </c>
    </row>
    <row r="3248" spans="1:9" x14ac:dyDescent="0.25">
      <c r="A3248" t="s">
        <v>11</v>
      </c>
      <c r="B3248" s="1">
        <v>53.75</v>
      </c>
      <c r="C3248" s="1">
        <v>53.76</v>
      </c>
      <c r="D3248" s="2" t="s">
        <v>351</v>
      </c>
      <c r="E3248" s="8">
        <v>1148.9558999999999</v>
      </c>
      <c r="F3248" s="8">
        <f t="shared" si="5"/>
        <v>0.05</v>
      </c>
      <c r="G3248" s="8">
        <f>E3248+F3248</f>
        <v>1149.0058999999999</v>
      </c>
      <c r="H3248" s="3">
        <f>B3248*G3248</f>
        <v>61759.067124999994</v>
      </c>
      <c r="I3248" s="3">
        <f>C3248*G3248</f>
        <v>61770.55718399999</v>
      </c>
    </row>
    <row r="3249" spans="1:9" x14ac:dyDescent="0.25">
      <c r="A3249" t="s">
        <v>12</v>
      </c>
      <c r="B3249" s="1">
        <v>47.89</v>
      </c>
      <c r="C3249" s="1">
        <v>47.9</v>
      </c>
      <c r="D3249" s="2" t="s">
        <v>351</v>
      </c>
      <c r="E3249" s="8">
        <v>1289.6505000000002</v>
      </c>
      <c r="F3249" s="8">
        <f t="shared" si="5"/>
        <v>0</v>
      </c>
      <c r="G3249" s="8">
        <f>E3249+F3249</f>
        <v>1289.6505000000002</v>
      </c>
      <c r="H3249" s="3">
        <f>B3249*G3249</f>
        <v>61761.362445000013</v>
      </c>
      <c r="I3249" s="3">
        <f>C3249*G3249</f>
        <v>61774.25895000001</v>
      </c>
    </row>
    <row r="3250" spans="1:9" x14ac:dyDescent="0.25">
      <c r="A3250" t="s">
        <v>13</v>
      </c>
      <c r="B3250" s="1">
        <v>17.47</v>
      </c>
      <c r="C3250" s="1">
        <v>17.48</v>
      </c>
      <c r="D3250" s="2" t="s">
        <v>351</v>
      </c>
      <c r="E3250" s="8">
        <v>3535.8029000000001</v>
      </c>
      <c r="F3250" s="8">
        <f t="shared" si="5"/>
        <v>0</v>
      </c>
      <c r="G3250" s="8">
        <f>E3250+F3250</f>
        <v>3535.8029000000001</v>
      </c>
      <c r="H3250" s="3">
        <f>B3250*G3250</f>
        <v>61770.476663000001</v>
      </c>
      <c r="I3250" s="3">
        <f>C3250*G3250</f>
        <v>61805.834692000004</v>
      </c>
    </row>
    <row r="3251" spans="1:9" x14ac:dyDescent="0.25">
      <c r="A3251" t="s">
        <v>14</v>
      </c>
      <c r="B3251" s="1">
        <v>34.99</v>
      </c>
      <c r="C3251" s="1">
        <v>35</v>
      </c>
      <c r="D3251" s="2" t="s">
        <v>351</v>
      </c>
      <c r="E3251" s="8">
        <v>1765.2166</v>
      </c>
      <c r="F3251" s="8">
        <f t="shared" si="5"/>
        <v>0.2</v>
      </c>
      <c r="G3251" s="8">
        <f>E3251+F3251</f>
        <v>1765.4166</v>
      </c>
      <c r="H3251" s="3">
        <f>B3251*G3251</f>
        <v>61771.926834000005</v>
      </c>
      <c r="I3251" s="3">
        <f>C3251*G3251</f>
        <v>61789.580999999998</v>
      </c>
    </row>
    <row r="3252" spans="1:9" x14ac:dyDescent="0.25">
      <c r="A3252" t="s">
        <v>4</v>
      </c>
      <c r="B3252" s="1">
        <v>20.43</v>
      </c>
      <c r="C3252" s="1">
        <v>20.440000000000001</v>
      </c>
      <c r="D3252" s="2" t="s">
        <v>352</v>
      </c>
      <c r="E3252" s="8">
        <v>3015.1736999999998</v>
      </c>
      <c r="F3252" s="8">
        <f t="shared" si="5"/>
        <v>0</v>
      </c>
      <c r="G3252" s="8">
        <f>E3252+F3252</f>
        <v>3015.1736999999998</v>
      </c>
      <c r="H3252" s="3">
        <f>B3252*G3252</f>
        <v>61599.998690999993</v>
      </c>
      <c r="I3252" s="3">
        <f>C3252*G3252</f>
        <v>61630.150428000001</v>
      </c>
    </row>
    <row r="3253" spans="1:9" x14ac:dyDescent="0.25">
      <c r="A3253" t="s">
        <v>6</v>
      </c>
      <c r="B3253" s="1">
        <v>33.450000000000003</v>
      </c>
      <c r="C3253" s="1">
        <v>33.46</v>
      </c>
      <c r="D3253" s="2" t="s">
        <v>352</v>
      </c>
      <c r="E3253" s="8">
        <v>1842.2518</v>
      </c>
      <c r="F3253" s="8">
        <f t="shared" si="5"/>
        <v>-0.1</v>
      </c>
      <c r="G3253" s="8">
        <f>E3253+F3253</f>
        <v>1842.1518000000001</v>
      </c>
      <c r="H3253" s="3">
        <f>B3253*G3253</f>
        <v>61619.977710000006</v>
      </c>
      <c r="I3253" s="3">
        <f>C3253*G3253</f>
        <v>61638.399228000002</v>
      </c>
    </row>
    <row r="3254" spans="1:9" x14ac:dyDescent="0.25">
      <c r="A3254" t="s">
        <v>7</v>
      </c>
      <c r="B3254" s="1">
        <v>17.38</v>
      </c>
      <c r="C3254" s="1">
        <v>17.39</v>
      </c>
      <c r="D3254" s="2" t="s">
        <v>352</v>
      </c>
      <c r="E3254" s="8">
        <v>3546.9023999999999</v>
      </c>
      <c r="F3254" s="8">
        <f t="shared" si="5"/>
        <v>0</v>
      </c>
      <c r="G3254" s="8">
        <f>E3254+F3254</f>
        <v>3546.9023999999999</v>
      </c>
      <c r="H3254" s="3">
        <f>B3254*G3254</f>
        <v>61645.163711999994</v>
      </c>
      <c r="I3254" s="3">
        <f>C3254*G3254</f>
        <v>61680.632736</v>
      </c>
    </row>
    <row r="3255" spans="1:9" x14ac:dyDescent="0.25">
      <c r="A3255" t="s">
        <v>8</v>
      </c>
      <c r="B3255" s="1">
        <v>27.25</v>
      </c>
      <c r="C3255" s="1">
        <v>27.26</v>
      </c>
      <c r="D3255" s="2" t="s">
        <v>352</v>
      </c>
      <c r="E3255" s="8">
        <v>2261.4625000000001</v>
      </c>
      <c r="F3255" s="8">
        <f t="shared" si="5"/>
        <v>-0.2</v>
      </c>
      <c r="G3255" s="8">
        <f>E3255+F3255</f>
        <v>2261.2625000000003</v>
      </c>
      <c r="H3255" s="3">
        <f>B3255*G3255</f>
        <v>61619.403125000004</v>
      </c>
      <c r="I3255" s="3">
        <f>C3255*G3255</f>
        <v>61642.015750000013</v>
      </c>
    </row>
    <row r="3256" spans="1:9" x14ac:dyDescent="0.25">
      <c r="A3256" t="s">
        <v>9</v>
      </c>
      <c r="B3256" s="1">
        <v>65.08</v>
      </c>
      <c r="C3256" s="1">
        <v>65.19</v>
      </c>
      <c r="D3256" s="2" t="s">
        <v>352</v>
      </c>
      <c r="E3256" s="8">
        <v>946.22090000000003</v>
      </c>
      <c r="F3256" s="8">
        <f t="shared" si="5"/>
        <v>0</v>
      </c>
      <c r="G3256" s="8">
        <f>E3256+F3256</f>
        <v>946.22090000000003</v>
      </c>
      <c r="H3256" s="3">
        <f>B3256*G3256</f>
        <v>61580.056171999997</v>
      </c>
      <c r="I3256" s="3">
        <f>C3256*G3256</f>
        <v>61684.140470999999</v>
      </c>
    </row>
    <row r="3257" spans="1:9" x14ac:dyDescent="0.25">
      <c r="A3257" t="s">
        <v>10</v>
      </c>
      <c r="B3257" s="1">
        <v>35.61</v>
      </c>
      <c r="C3257" s="1">
        <v>35.64</v>
      </c>
      <c r="D3257" s="2" t="s">
        <v>352</v>
      </c>
      <c r="E3257" s="8">
        <v>1730.2348</v>
      </c>
      <c r="F3257" s="8">
        <f t="shared" si="5"/>
        <v>0.2</v>
      </c>
      <c r="G3257" s="8">
        <f>E3257+F3257</f>
        <v>1730.4348</v>
      </c>
      <c r="H3257" s="3">
        <f>B3257*G3257</f>
        <v>61620.783228</v>
      </c>
      <c r="I3257" s="3">
        <f>C3257*G3257</f>
        <v>61672.696272000001</v>
      </c>
    </row>
    <row r="3258" spans="1:9" x14ac:dyDescent="0.25">
      <c r="A3258" t="s">
        <v>11</v>
      </c>
      <c r="B3258" s="1">
        <v>53.65</v>
      </c>
      <c r="C3258" s="1">
        <v>53.66</v>
      </c>
      <c r="D3258" s="2" t="s">
        <v>352</v>
      </c>
      <c r="E3258" s="8">
        <v>1148.9558999999999</v>
      </c>
      <c r="F3258" s="8">
        <f t="shared" si="5"/>
        <v>0.05</v>
      </c>
      <c r="G3258" s="8">
        <f>E3258+F3258</f>
        <v>1149.0058999999999</v>
      </c>
      <c r="H3258" s="3">
        <f>B3258*G3258</f>
        <v>61644.166534999989</v>
      </c>
      <c r="I3258" s="3">
        <f>C3258*G3258</f>
        <v>61655.656593999993</v>
      </c>
    </row>
    <row r="3259" spans="1:9" x14ac:dyDescent="0.25">
      <c r="A3259" t="s">
        <v>12</v>
      </c>
      <c r="B3259" s="1">
        <v>47.8</v>
      </c>
      <c r="C3259" s="1">
        <v>47.81</v>
      </c>
      <c r="D3259" s="2" t="s">
        <v>352</v>
      </c>
      <c r="E3259" s="8">
        <v>1289.6505000000002</v>
      </c>
      <c r="F3259" s="8">
        <f t="shared" si="5"/>
        <v>0</v>
      </c>
      <c r="G3259" s="8">
        <f>E3259+F3259</f>
        <v>1289.6505000000002</v>
      </c>
      <c r="H3259" s="3">
        <f>B3259*G3259</f>
        <v>61645.293900000004</v>
      </c>
      <c r="I3259" s="3">
        <f>C3259*G3259</f>
        <v>61658.190405000016</v>
      </c>
    </row>
    <row r="3260" spans="1:9" x14ac:dyDescent="0.25">
      <c r="A3260" t="s">
        <v>13</v>
      </c>
      <c r="B3260" s="1">
        <v>17.43</v>
      </c>
      <c r="C3260" s="1">
        <v>17.440000000000001</v>
      </c>
      <c r="D3260" s="2" t="s">
        <v>352</v>
      </c>
      <c r="E3260" s="8">
        <v>3535.8029000000001</v>
      </c>
      <c r="F3260" s="8">
        <f t="shared" si="5"/>
        <v>0</v>
      </c>
      <c r="G3260" s="8">
        <f>E3260+F3260</f>
        <v>3535.8029000000001</v>
      </c>
      <c r="H3260" s="3">
        <f>B3260*G3260</f>
        <v>61629.044547000005</v>
      </c>
      <c r="I3260" s="3">
        <f>C3260*G3260</f>
        <v>61664.402576000008</v>
      </c>
    </row>
    <row r="3261" spans="1:9" x14ac:dyDescent="0.25">
      <c r="A3261" t="s">
        <v>14</v>
      </c>
      <c r="B3261" s="1">
        <v>34.92</v>
      </c>
      <c r="C3261" s="1">
        <v>34.93</v>
      </c>
      <c r="D3261" s="2" t="s">
        <v>352</v>
      </c>
      <c r="E3261" s="8">
        <v>1765.2166</v>
      </c>
      <c r="F3261" s="8">
        <f t="shared" si="5"/>
        <v>0.2</v>
      </c>
      <c r="G3261" s="8">
        <f>E3261+F3261</f>
        <v>1765.4166</v>
      </c>
      <c r="H3261" s="3">
        <f>B3261*G3261</f>
        <v>61648.347672000004</v>
      </c>
      <c r="I3261" s="3">
        <f>C3261*G3261</f>
        <v>61666.001837999996</v>
      </c>
    </row>
    <row r="3262" spans="1:9" x14ac:dyDescent="0.25">
      <c r="A3262" t="s">
        <v>4</v>
      </c>
      <c r="B3262" s="1">
        <v>20.48</v>
      </c>
      <c r="C3262" s="1">
        <v>20.49</v>
      </c>
      <c r="D3262" s="2" t="s">
        <v>353</v>
      </c>
      <c r="E3262" s="8">
        <v>3015.1736999999998</v>
      </c>
      <c r="F3262" s="8">
        <f t="shared" si="5"/>
        <v>0</v>
      </c>
      <c r="G3262" s="8">
        <f>E3262+F3262</f>
        <v>3015.1736999999998</v>
      </c>
      <c r="H3262" s="3">
        <f>B3262*G3262</f>
        <v>61750.757375999994</v>
      </c>
      <c r="I3262" s="3">
        <f>C3262*G3262</f>
        <v>61780.909112999994</v>
      </c>
    </row>
    <row r="3263" spans="1:9" x14ac:dyDescent="0.25">
      <c r="A3263" t="s">
        <v>6</v>
      </c>
      <c r="B3263" s="1">
        <v>33.53</v>
      </c>
      <c r="C3263" s="1">
        <v>33.54</v>
      </c>
      <c r="D3263" s="2" t="s">
        <v>353</v>
      </c>
      <c r="E3263" s="8">
        <v>1842.2518</v>
      </c>
      <c r="F3263" s="8">
        <f t="shared" si="5"/>
        <v>-0.1</v>
      </c>
      <c r="G3263" s="8">
        <f>E3263+F3263</f>
        <v>1842.1518000000001</v>
      </c>
      <c r="H3263" s="3">
        <f>B3263*G3263</f>
        <v>61767.349854000007</v>
      </c>
      <c r="I3263" s="3">
        <f>C3263*G3263</f>
        <v>61785.771372000003</v>
      </c>
    </row>
    <row r="3264" spans="1:9" x14ac:dyDescent="0.25">
      <c r="A3264" t="s">
        <v>7</v>
      </c>
      <c r="B3264" s="1">
        <v>17.420000000000002</v>
      </c>
      <c r="C3264" s="1">
        <v>17.43</v>
      </c>
      <c r="D3264" s="2" t="s">
        <v>353</v>
      </c>
      <c r="E3264" s="8">
        <v>3546.9023999999999</v>
      </c>
      <c r="F3264" s="8">
        <f t="shared" si="5"/>
        <v>0</v>
      </c>
      <c r="G3264" s="8">
        <f>E3264+F3264</f>
        <v>3546.9023999999999</v>
      </c>
      <c r="H3264" s="3">
        <f>B3264*G3264</f>
        <v>61787.039808000009</v>
      </c>
      <c r="I3264" s="3">
        <f>C3264*G3264</f>
        <v>61822.508832</v>
      </c>
    </row>
    <row r="3265" spans="1:9" x14ac:dyDescent="0.25">
      <c r="A3265" t="s">
        <v>8</v>
      </c>
      <c r="B3265" s="1">
        <v>27.32</v>
      </c>
      <c r="C3265" s="1">
        <v>27.33</v>
      </c>
      <c r="D3265" s="2" t="s">
        <v>353</v>
      </c>
      <c r="E3265" s="8">
        <v>2261.4625000000001</v>
      </c>
      <c r="F3265" s="8">
        <f t="shared" si="5"/>
        <v>-0.2</v>
      </c>
      <c r="G3265" s="8">
        <f>E3265+F3265</f>
        <v>2261.2625000000003</v>
      </c>
      <c r="H3265" s="3">
        <f>B3265*G3265</f>
        <v>61777.691500000008</v>
      </c>
      <c r="I3265" s="3">
        <f>C3265*G3265</f>
        <v>61800.304125000002</v>
      </c>
    </row>
    <row r="3266" spans="1:9" x14ac:dyDescent="0.25">
      <c r="A3266" t="s">
        <v>9</v>
      </c>
      <c r="B3266" s="1">
        <v>65.209999999999994</v>
      </c>
      <c r="C3266" s="1">
        <v>65.319999999999993</v>
      </c>
      <c r="D3266" s="2" t="s">
        <v>353</v>
      </c>
      <c r="E3266" s="8">
        <v>946.22090000000003</v>
      </c>
      <c r="F3266" s="8">
        <f t="shared" si="5"/>
        <v>0</v>
      </c>
      <c r="G3266" s="8">
        <f>E3266+F3266</f>
        <v>946.22090000000003</v>
      </c>
      <c r="H3266" s="3">
        <f>B3266*G3266</f>
        <v>61703.064888999994</v>
      </c>
      <c r="I3266" s="3">
        <f>C3266*G3266</f>
        <v>61807.149187999996</v>
      </c>
    </row>
    <row r="3267" spans="1:9" x14ac:dyDescent="0.25">
      <c r="A3267" t="s">
        <v>10</v>
      </c>
      <c r="B3267" s="1">
        <v>35.700000000000003</v>
      </c>
      <c r="C3267" s="1">
        <v>35.72</v>
      </c>
      <c r="D3267" s="2" t="s">
        <v>353</v>
      </c>
      <c r="E3267" s="8">
        <v>1730.2348</v>
      </c>
      <c r="F3267" s="8">
        <f t="shared" si="5"/>
        <v>0.2</v>
      </c>
      <c r="G3267" s="8">
        <f>E3267+F3267</f>
        <v>1730.4348</v>
      </c>
      <c r="H3267" s="3">
        <f>B3267*G3267</f>
        <v>61776.522360000003</v>
      </c>
      <c r="I3267" s="3">
        <f>C3267*G3267</f>
        <v>61811.131055999998</v>
      </c>
    </row>
    <row r="3268" spans="1:9" x14ac:dyDescent="0.25">
      <c r="A3268" t="s">
        <v>11</v>
      </c>
      <c r="B3268" s="1">
        <v>53.77</v>
      </c>
      <c r="C3268" s="1">
        <v>53.78</v>
      </c>
      <c r="D3268" s="2" t="s">
        <v>353</v>
      </c>
      <c r="E3268" s="8">
        <v>1148.9558999999999</v>
      </c>
      <c r="F3268" s="8">
        <f t="shared" si="5"/>
        <v>0.05</v>
      </c>
      <c r="G3268" s="8">
        <f>E3268+F3268</f>
        <v>1149.0058999999999</v>
      </c>
      <c r="H3268" s="3">
        <f>B3268*G3268</f>
        <v>61782.047243000001</v>
      </c>
      <c r="I3268" s="3">
        <f>C3268*G3268</f>
        <v>61793.537301999997</v>
      </c>
    </row>
    <row r="3269" spans="1:9" x14ac:dyDescent="0.25">
      <c r="A3269" t="s">
        <v>12</v>
      </c>
      <c r="B3269" s="1">
        <v>47.91</v>
      </c>
      <c r="C3269" s="1">
        <v>47.92</v>
      </c>
      <c r="D3269" s="2" t="s">
        <v>353</v>
      </c>
      <c r="E3269" s="8">
        <v>1289.6505000000002</v>
      </c>
      <c r="F3269" s="8">
        <f t="shared" si="5"/>
        <v>0</v>
      </c>
      <c r="G3269" s="8">
        <f>E3269+F3269</f>
        <v>1289.6505000000002</v>
      </c>
      <c r="H3269" s="3">
        <f>B3269*G3269</f>
        <v>61787.155455000007</v>
      </c>
      <c r="I3269" s="3">
        <f>C3269*G3269</f>
        <v>61800.051960000012</v>
      </c>
    </row>
    <row r="3270" spans="1:9" x14ac:dyDescent="0.25">
      <c r="A3270" t="s">
        <v>13</v>
      </c>
      <c r="B3270" s="1">
        <v>17.47</v>
      </c>
      <c r="C3270" s="1">
        <v>17.48</v>
      </c>
      <c r="D3270" s="2" t="s">
        <v>353</v>
      </c>
      <c r="E3270" s="8">
        <v>3535.8029000000001</v>
      </c>
      <c r="F3270" s="8">
        <f t="shared" si="5"/>
        <v>0</v>
      </c>
      <c r="G3270" s="8">
        <f>E3270+F3270</f>
        <v>3535.8029000000001</v>
      </c>
      <c r="H3270" s="3">
        <f>B3270*G3270</f>
        <v>61770.476663000001</v>
      </c>
      <c r="I3270" s="3">
        <f>C3270*G3270</f>
        <v>61805.834692000004</v>
      </c>
    </row>
    <row r="3271" spans="1:9" x14ac:dyDescent="0.25">
      <c r="A3271" t="s">
        <v>14</v>
      </c>
      <c r="B3271" s="1">
        <v>35</v>
      </c>
      <c r="C3271" s="1">
        <v>35.01</v>
      </c>
      <c r="D3271" s="2" t="s">
        <v>353</v>
      </c>
      <c r="E3271" s="8">
        <v>1765.2166</v>
      </c>
      <c r="F3271" s="8">
        <f t="shared" si="5"/>
        <v>0.2</v>
      </c>
      <c r="G3271" s="8">
        <f>E3271+F3271</f>
        <v>1765.4166</v>
      </c>
      <c r="H3271" s="3">
        <f>B3271*G3271</f>
        <v>61789.580999999998</v>
      </c>
      <c r="I3271" s="3">
        <f>C3271*G3271</f>
        <v>61807.235165999999</v>
      </c>
    </row>
    <row r="3272" spans="1:9" x14ac:dyDescent="0.25">
      <c r="A3272" t="s">
        <v>4</v>
      </c>
      <c r="B3272" s="1">
        <v>20.48</v>
      </c>
      <c r="C3272" s="1">
        <v>20.49</v>
      </c>
      <c r="D3272" s="2" t="s">
        <v>354</v>
      </c>
      <c r="E3272" s="8">
        <v>3015.1736999999998</v>
      </c>
      <c r="F3272" s="8">
        <f t="shared" si="5"/>
        <v>0</v>
      </c>
      <c r="G3272" s="8">
        <f>E3272+F3272</f>
        <v>3015.1736999999998</v>
      </c>
      <c r="H3272" s="3">
        <f>B3272*G3272</f>
        <v>61750.757375999994</v>
      </c>
      <c r="I3272" s="3">
        <f>C3272*G3272</f>
        <v>61780.909112999994</v>
      </c>
    </row>
    <row r="3273" spans="1:9" x14ac:dyDescent="0.25">
      <c r="A3273" t="s">
        <v>6</v>
      </c>
      <c r="B3273" s="1">
        <v>33.520000000000003</v>
      </c>
      <c r="C3273" s="1">
        <v>33.53</v>
      </c>
      <c r="D3273" s="2" t="s">
        <v>354</v>
      </c>
      <c r="E3273" s="8">
        <v>1842.2518</v>
      </c>
      <c r="F3273" s="8">
        <f t="shared" si="5"/>
        <v>-0.1</v>
      </c>
      <c r="G3273" s="8">
        <f>E3273+F3273</f>
        <v>1842.1518000000001</v>
      </c>
      <c r="H3273" s="3">
        <f>B3273*G3273</f>
        <v>61748.928336000012</v>
      </c>
      <c r="I3273" s="3">
        <f>C3273*G3273</f>
        <v>61767.349854000007</v>
      </c>
    </row>
    <row r="3274" spans="1:9" x14ac:dyDescent="0.25">
      <c r="A3274" t="s">
        <v>7</v>
      </c>
      <c r="B3274" s="1">
        <v>17.41</v>
      </c>
      <c r="C3274" s="1">
        <v>17.420000000000002</v>
      </c>
      <c r="D3274" s="2" t="s">
        <v>354</v>
      </c>
      <c r="E3274" s="8">
        <v>3546.9023999999999</v>
      </c>
      <c r="F3274" s="8">
        <f t="shared" si="5"/>
        <v>0</v>
      </c>
      <c r="G3274" s="8">
        <f>E3274+F3274</f>
        <v>3546.9023999999999</v>
      </c>
      <c r="H3274" s="3">
        <f>B3274*G3274</f>
        <v>61751.570783999996</v>
      </c>
      <c r="I3274" s="3">
        <f>C3274*G3274</f>
        <v>61787.039808000009</v>
      </c>
    </row>
    <row r="3275" spans="1:9" x14ac:dyDescent="0.25">
      <c r="A3275" t="s">
        <v>8</v>
      </c>
      <c r="B3275" s="1">
        <v>27.31</v>
      </c>
      <c r="C3275" s="1">
        <v>27.32</v>
      </c>
      <c r="D3275" s="2" t="s">
        <v>354</v>
      </c>
      <c r="E3275" s="8">
        <v>2261.4625000000001</v>
      </c>
      <c r="F3275" s="8">
        <f t="shared" si="5"/>
        <v>-0.2</v>
      </c>
      <c r="G3275" s="8">
        <f>E3275+F3275</f>
        <v>2261.2625000000003</v>
      </c>
      <c r="H3275" s="3">
        <f>B3275*G3275</f>
        <v>61755.078875000007</v>
      </c>
      <c r="I3275" s="3">
        <f>C3275*G3275</f>
        <v>61777.691500000008</v>
      </c>
    </row>
    <row r="3276" spans="1:9" x14ac:dyDescent="0.25">
      <c r="A3276" t="s">
        <v>9</v>
      </c>
      <c r="B3276" s="1">
        <v>65.2</v>
      </c>
      <c r="C3276" s="1">
        <v>65.319999999999993</v>
      </c>
      <c r="D3276" s="2" t="s">
        <v>354</v>
      </c>
      <c r="E3276" s="8">
        <v>946.22090000000003</v>
      </c>
      <c r="F3276" s="8">
        <f t="shared" si="5"/>
        <v>0</v>
      </c>
      <c r="G3276" s="8">
        <f>E3276+F3276</f>
        <v>946.22090000000003</v>
      </c>
      <c r="H3276" s="3">
        <f>B3276*G3276</f>
        <v>61693.602680000004</v>
      </c>
      <c r="I3276" s="3">
        <f>C3276*G3276</f>
        <v>61807.149187999996</v>
      </c>
    </row>
    <row r="3277" spans="1:9" x14ac:dyDescent="0.25">
      <c r="A3277" t="s">
        <v>10</v>
      </c>
      <c r="B3277" s="1">
        <v>35.69</v>
      </c>
      <c r="C3277" s="1">
        <v>35.71</v>
      </c>
      <c r="D3277" s="2" t="s">
        <v>354</v>
      </c>
      <c r="E3277" s="8">
        <v>1730.2348</v>
      </c>
      <c r="F3277" s="8">
        <f t="shared" si="5"/>
        <v>0.2</v>
      </c>
      <c r="G3277" s="8">
        <f>E3277+F3277</f>
        <v>1730.4348</v>
      </c>
      <c r="H3277" s="3">
        <f>B3277*G3277</f>
        <v>61759.218011999998</v>
      </c>
      <c r="I3277" s="3">
        <f>C3277*G3277</f>
        <v>61793.826708000001</v>
      </c>
    </row>
    <row r="3278" spans="1:9" x14ac:dyDescent="0.25">
      <c r="A3278" t="s">
        <v>11</v>
      </c>
      <c r="B3278" s="1">
        <v>53.75</v>
      </c>
      <c r="C3278" s="1">
        <v>53.76</v>
      </c>
      <c r="D3278" s="2" t="s">
        <v>354</v>
      </c>
      <c r="E3278" s="8">
        <v>1148.9558999999999</v>
      </c>
      <c r="F3278" s="8">
        <f t="shared" si="5"/>
        <v>0.05</v>
      </c>
      <c r="G3278" s="8">
        <f>E3278+F3278</f>
        <v>1149.0058999999999</v>
      </c>
      <c r="H3278" s="3">
        <f>B3278*G3278</f>
        <v>61759.067124999994</v>
      </c>
      <c r="I3278" s="3">
        <f>C3278*G3278</f>
        <v>61770.55718399999</v>
      </c>
    </row>
    <row r="3279" spans="1:9" x14ac:dyDescent="0.25">
      <c r="A3279" t="s">
        <v>12</v>
      </c>
      <c r="B3279" s="1">
        <v>47.89</v>
      </c>
      <c r="C3279" s="1">
        <v>47.9</v>
      </c>
      <c r="D3279" s="2" t="s">
        <v>354</v>
      </c>
      <c r="E3279" s="8">
        <v>1289.6505000000002</v>
      </c>
      <c r="F3279" s="8">
        <f t="shared" si="5"/>
        <v>0</v>
      </c>
      <c r="G3279" s="8">
        <f>E3279+F3279</f>
        <v>1289.6505000000002</v>
      </c>
      <c r="H3279" s="3">
        <f>B3279*G3279</f>
        <v>61761.362445000013</v>
      </c>
      <c r="I3279" s="3">
        <f>C3279*G3279</f>
        <v>61774.25895000001</v>
      </c>
    </row>
    <row r="3280" spans="1:9" x14ac:dyDescent="0.25">
      <c r="A3280" t="s">
        <v>13</v>
      </c>
      <c r="B3280" s="1">
        <v>17.47</v>
      </c>
      <c r="C3280" s="1">
        <v>17.48</v>
      </c>
      <c r="D3280" s="2" t="s">
        <v>354</v>
      </c>
      <c r="E3280" s="8">
        <v>3535.8029000000001</v>
      </c>
      <c r="F3280" s="8">
        <f t="shared" si="5"/>
        <v>0</v>
      </c>
      <c r="G3280" s="8">
        <f>E3280+F3280</f>
        <v>3535.8029000000001</v>
      </c>
      <c r="H3280" s="3">
        <f>B3280*G3280</f>
        <v>61770.476663000001</v>
      </c>
      <c r="I3280" s="3">
        <f>C3280*G3280</f>
        <v>61805.834692000004</v>
      </c>
    </row>
    <row r="3281" spans="1:9" x14ac:dyDescent="0.25">
      <c r="A3281" t="s">
        <v>14</v>
      </c>
      <c r="B3281" s="1">
        <v>34.99</v>
      </c>
      <c r="C3281" s="1">
        <v>35</v>
      </c>
      <c r="D3281" s="2" t="s">
        <v>354</v>
      </c>
      <c r="E3281" s="8">
        <v>1765.2166</v>
      </c>
      <c r="F3281" s="8">
        <f t="shared" si="5"/>
        <v>0.2</v>
      </c>
      <c r="G3281" s="8">
        <f>E3281+F3281</f>
        <v>1765.4166</v>
      </c>
      <c r="H3281" s="3">
        <f>B3281*G3281</f>
        <v>61771.926834000005</v>
      </c>
      <c r="I3281" s="3">
        <f>C3281*G3281</f>
        <v>61789.580999999998</v>
      </c>
    </row>
    <row r="3282" spans="1:9" x14ac:dyDescent="0.25">
      <c r="A3282" t="s">
        <v>4</v>
      </c>
      <c r="B3282" s="1">
        <v>20.47</v>
      </c>
      <c r="C3282" s="1">
        <v>20.48</v>
      </c>
      <c r="D3282" s="2" t="s">
        <v>355</v>
      </c>
      <c r="E3282" s="8">
        <v>3015.1736999999998</v>
      </c>
      <c r="F3282" s="8">
        <f t="shared" si="5"/>
        <v>0</v>
      </c>
      <c r="G3282" s="8">
        <f>E3282+F3282</f>
        <v>3015.1736999999998</v>
      </c>
      <c r="H3282" s="3">
        <f>B3282*G3282</f>
        <v>61720.605638999994</v>
      </c>
      <c r="I3282" s="3">
        <f>C3282*G3282</f>
        <v>61750.757375999994</v>
      </c>
    </row>
    <row r="3283" spans="1:9" x14ac:dyDescent="0.25">
      <c r="A3283" t="s">
        <v>6</v>
      </c>
      <c r="B3283" s="1">
        <v>33.51</v>
      </c>
      <c r="C3283" s="1">
        <v>33.520000000000003</v>
      </c>
      <c r="D3283" s="2" t="s">
        <v>355</v>
      </c>
      <c r="E3283" s="8">
        <v>1842.2518</v>
      </c>
      <c r="F3283" s="8">
        <f t="shared" si="5"/>
        <v>-0.1</v>
      </c>
      <c r="G3283" s="8">
        <f>E3283+F3283</f>
        <v>1842.1518000000001</v>
      </c>
      <c r="H3283" s="3">
        <f>B3283*G3283</f>
        <v>61730.506818000002</v>
      </c>
      <c r="I3283" s="3">
        <f>C3283*G3283</f>
        <v>61748.928336000012</v>
      </c>
    </row>
    <row r="3284" spans="1:9" x14ac:dyDescent="0.25">
      <c r="A3284" t="s">
        <v>7</v>
      </c>
      <c r="B3284" s="1">
        <v>17.41</v>
      </c>
      <c r="C3284" s="1">
        <v>17.420000000000002</v>
      </c>
      <c r="D3284" s="2" t="s">
        <v>355</v>
      </c>
      <c r="E3284" s="8">
        <v>3546.9023999999999</v>
      </c>
      <c r="F3284" s="8">
        <f t="shared" si="5"/>
        <v>0</v>
      </c>
      <c r="G3284" s="8">
        <f>E3284+F3284</f>
        <v>3546.9023999999999</v>
      </c>
      <c r="H3284" s="3">
        <f>B3284*G3284</f>
        <v>61751.570783999996</v>
      </c>
      <c r="I3284" s="3">
        <f>C3284*G3284</f>
        <v>61787.039808000009</v>
      </c>
    </row>
    <row r="3285" spans="1:9" x14ac:dyDescent="0.25">
      <c r="A3285" t="s">
        <v>8</v>
      </c>
      <c r="B3285" s="1">
        <v>27.3</v>
      </c>
      <c r="C3285" s="1">
        <v>27.31</v>
      </c>
      <c r="D3285" s="2" t="s">
        <v>355</v>
      </c>
      <c r="E3285" s="8">
        <v>2261.4625000000001</v>
      </c>
      <c r="F3285" s="8">
        <f t="shared" si="5"/>
        <v>-0.2</v>
      </c>
      <c r="G3285" s="8">
        <f>E3285+F3285</f>
        <v>2261.2625000000003</v>
      </c>
      <c r="H3285" s="3">
        <f>B3285*G3285</f>
        <v>61732.466250000012</v>
      </c>
      <c r="I3285" s="3">
        <f>C3285*G3285</f>
        <v>61755.078875000007</v>
      </c>
    </row>
    <row r="3286" spans="1:9" x14ac:dyDescent="0.25">
      <c r="A3286" t="s">
        <v>9</v>
      </c>
      <c r="B3286" s="1">
        <v>65.19</v>
      </c>
      <c r="C3286" s="1">
        <v>65.3</v>
      </c>
      <c r="D3286" s="2" t="s">
        <v>355</v>
      </c>
      <c r="E3286" s="8">
        <v>946.22090000000003</v>
      </c>
      <c r="F3286" s="8">
        <f t="shared" si="5"/>
        <v>0</v>
      </c>
      <c r="G3286" s="8">
        <f>E3286+F3286</f>
        <v>946.22090000000003</v>
      </c>
      <c r="H3286" s="3">
        <f>B3286*G3286</f>
        <v>61684.140470999999</v>
      </c>
      <c r="I3286" s="3">
        <f>C3286*G3286</f>
        <v>61788.224770000001</v>
      </c>
    </row>
    <row r="3287" spans="1:9" x14ac:dyDescent="0.25">
      <c r="A3287" t="s">
        <v>10</v>
      </c>
      <c r="B3287" s="1">
        <v>35.68</v>
      </c>
      <c r="C3287" s="1">
        <v>35.700000000000003</v>
      </c>
      <c r="D3287" s="2" t="s">
        <v>355</v>
      </c>
      <c r="E3287" s="8">
        <v>1730.2348</v>
      </c>
      <c r="F3287" s="8">
        <f t="shared" si="5"/>
        <v>0.2</v>
      </c>
      <c r="G3287" s="8">
        <f>E3287+F3287</f>
        <v>1730.4348</v>
      </c>
      <c r="H3287" s="3">
        <f>B3287*G3287</f>
        <v>61741.913664</v>
      </c>
      <c r="I3287" s="3">
        <f>C3287*G3287</f>
        <v>61776.522360000003</v>
      </c>
    </row>
    <row r="3288" spans="1:9" x14ac:dyDescent="0.25">
      <c r="A3288" t="s">
        <v>11</v>
      </c>
      <c r="B3288" s="1">
        <v>53.74</v>
      </c>
      <c r="C3288" s="1">
        <v>53.75</v>
      </c>
      <c r="D3288" s="2" t="s">
        <v>355</v>
      </c>
      <c r="E3288" s="8">
        <v>1148.9558999999999</v>
      </c>
      <c r="F3288" s="8">
        <f t="shared" si="5"/>
        <v>0.05</v>
      </c>
      <c r="G3288" s="8">
        <f>E3288+F3288</f>
        <v>1149.0058999999999</v>
      </c>
      <c r="H3288" s="3">
        <f>B3288*G3288</f>
        <v>61747.577065999998</v>
      </c>
      <c r="I3288" s="3">
        <f>C3288*G3288</f>
        <v>61759.067124999994</v>
      </c>
    </row>
    <row r="3289" spans="1:9" x14ac:dyDescent="0.25">
      <c r="A3289" t="s">
        <v>12</v>
      </c>
      <c r="B3289" s="1">
        <v>47.88</v>
      </c>
      <c r="C3289" s="1">
        <v>47.89</v>
      </c>
      <c r="D3289" s="2" t="s">
        <v>355</v>
      </c>
      <c r="E3289" s="8">
        <v>1289.6505000000002</v>
      </c>
      <c r="F3289" s="8">
        <f t="shared" si="5"/>
        <v>0</v>
      </c>
      <c r="G3289" s="8">
        <f>E3289+F3289</f>
        <v>1289.6505000000002</v>
      </c>
      <c r="H3289" s="3">
        <f>B3289*G3289</f>
        <v>61748.465940000009</v>
      </c>
      <c r="I3289" s="3">
        <f>C3289*G3289</f>
        <v>61761.362445000013</v>
      </c>
    </row>
    <row r="3290" spans="1:9" x14ac:dyDescent="0.25">
      <c r="A3290" t="s">
        <v>13</v>
      </c>
      <c r="B3290" s="1">
        <v>17.46</v>
      </c>
      <c r="C3290" s="1">
        <v>17.47</v>
      </c>
      <c r="D3290" s="2" t="s">
        <v>355</v>
      </c>
      <c r="E3290" s="8">
        <v>3535.8029000000001</v>
      </c>
      <c r="F3290" s="8">
        <f t="shared" si="5"/>
        <v>0</v>
      </c>
      <c r="G3290" s="8">
        <f>E3290+F3290</f>
        <v>3535.8029000000001</v>
      </c>
      <c r="H3290" s="3">
        <f>B3290*G3290</f>
        <v>61735.118634000006</v>
      </c>
      <c r="I3290" s="3">
        <f>C3290*G3290</f>
        <v>61770.476663000001</v>
      </c>
    </row>
    <row r="3291" spans="1:9" x14ac:dyDescent="0.25">
      <c r="A3291" t="s">
        <v>14</v>
      </c>
      <c r="B3291" s="1">
        <v>34.979999999999997</v>
      </c>
      <c r="C3291" s="1">
        <v>34.99</v>
      </c>
      <c r="D3291" s="2" t="s">
        <v>355</v>
      </c>
      <c r="E3291" s="8">
        <v>1765.2166</v>
      </c>
      <c r="F3291" s="8">
        <f t="shared" si="5"/>
        <v>0.2</v>
      </c>
      <c r="G3291" s="8">
        <f>E3291+F3291</f>
        <v>1765.4166</v>
      </c>
      <c r="H3291" s="3">
        <f>B3291*G3291</f>
        <v>61754.272667999998</v>
      </c>
      <c r="I3291" s="3">
        <f>C3291*G3291</f>
        <v>61771.926834000005</v>
      </c>
    </row>
    <row r="3292" spans="1:9" x14ac:dyDescent="0.25">
      <c r="A3292" t="s">
        <v>4</v>
      </c>
      <c r="B3292" s="1">
        <v>20.45</v>
      </c>
      <c r="C3292" s="1">
        <v>20.46</v>
      </c>
      <c r="D3292" s="2" t="s">
        <v>356</v>
      </c>
      <c r="E3292" s="8">
        <v>3015.1736999999998</v>
      </c>
      <c r="F3292" s="8">
        <f t="shared" si="5"/>
        <v>0</v>
      </c>
      <c r="G3292" s="8">
        <f>E3292+F3292</f>
        <v>3015.1736999999998</v>
      </c>
      <c r="H3292" s="3">
        <f>B3292*G3292</f>
        <v>61660.302164999994</v>
      </c>
      <c r="I3292" s="3">
        <f>C3292*G3292</f>
        <v>61690.453902000001</v>
      </c>
    </row>
    <row r="3293" spans="1:9" x14ac:dyDescent="0.25">
      <c r="A3293" t="s">
        <v>6</v>
      </c>
      <c r="B3293" s="1">
        <v>33.479999999999997</v>
      </c>
      <c r="C3293" s="1">
        <v>33.49</v>
      </c>
      <c r="D3293" s="2" t="s">
        <v>356</v>
      </c>
      <c r="E3293" s="8">
        <v>1842.2518</v>
      </c>
      <c r="F3293" s="8">
        <f t="shared" si="5"/>
        <v>-0.1</v>
      </c>
      <c r="G3293" s="8">
        <f>E3293+F3293</f>
        <v>1842.1518000000001</v>
      </c>
      <c r="H3293" s="3">
        <f>B3293*G3293</f>
        <v>61675.242264</v>
      </c>
      <c r="I3293" s="3">
        <f>C3293*G3293</f>
        <v>61693.663782000003</v>
      </c>
    </row>
    <row r="3294" spans="1:9" x14ac:dyDescent="0.25">
      <c r="A3294" t="s">
        <v>7</v>
      </c>
      <c r="B3294" s="1">
        <v>17.39</v>
      </c>
      <c r="C3294" s="1">
        <v>17.399999999999999</v>
      </c>
      <c r="D3294" s="2" t="s">
        <v>356</v>
      </c>
      <c r="E3294" s="8">
        <v>3546.9023999999999</v>
      </c>
      <c r="F3294" s="8">
        <f t="shared" si="5"/>
        <v>0</v>
      </c>
      <c r="G3294" s="8">
        <f>E3294+F3294</f>
        <v>3546.9023999999999</v>
      </c>
      <c r="H3294" s="3">
        <f>B3294*G3294</f>
        <v>61680.632736</v>
      </c>
      <c r="I3294" s="3">
        <f>C3294*G3294</f>
        <v>61716.10175999999</v>
      </c>
    </row>
    <row r="3295" spans="1:9" x14ac:dyDescent="0.25">
      <c r="A3295" t="s">
        <v>8</v>
      </c>
      <c r="B3295" s="1">
        <v>27.27</v>
      </c>
      <c r="C3295" s="1">
        <v>27.28</v>
      </c>
      <c r="D3295" s="2" t="s">
        <v>356</v>
      </c>
      <c r="E3295" s="8">
        <v>2261.4625000000001</v>
      </c>
      <c r="F3295" s="8">
        <f t="shared" si="5"/>
        <v>-0.2</v>
      </c>
      <c r="G3295" s="8">
        <f>E3295+F3295</f>
        <v>2261.2625000000003</v>
      </c>
      <c r="H3295" s="3">
        <f>B3295*G3295</f>
        <v>61664.628375000008</v>
      </c>
      <c r="I3295" s="3">
        <f>C3295*G3295</f>
        <v>61687.241000000009</v>
      </c>
    </row>
    <row r="3296" spans="1:9" x14ac:dyDescent="0.25">
      <c r="A3296" t="s">
        <v>9</v>
      </c>
      <c r="B3296" s="1">
        <v>65.11</v>
      </c>
      <c r="C3296" s="1">
        <v>65.209999999999994</v>
      </c>
      <c r="D3296" s="2" t="s">
        <v>356</v>
      </c>
      <c r="E3296" s="8">
        <v>946.22090000000003</v>
      </c>
      <c r="F3296" s="8">
        <f t="shared" si="5"/>
        <v>0</v>
      </c>
      <c r="G3296" s="8">
        <f>E3296+F3296</f>
        <v>946.22090000000003</v>
      </c>
      <c r="H3296" s="3">
        <f>B3296*G3296</f>
        <v>61608.442799000004</v>
      </c>
      <c r="I3296" s="3">
        <f>C3296*G3296</f>
        <v>61703.064888999994</v>
      </c>
    </row>
    <row r="3297" spans="1:9" x14ac:dyDescent="0.25">
      <c r="A3297" t="s">
        <v>10</v>
      </c>
      <c r="B3297" s="1">
        <v>35.64</v>
      </c>
      <c r="C3297" s="1">
        <v>35.659999999999997</v>
      </c>
      <c r="D3297" s="2" t="s">
        <v>356</v>
      </c>
      <c r="E3297" s="8">
        <v>1730.2348</v>
      </c>
      <c r="F3297" s="8">
        <f t="shared" si="5"/>
        <v>0.2</v>
      </c>
      <c r="G3297" s="8">
        <f>E3297+F3297</f>
        <v>1730.4348</v>
      </c>
      <c r="H3297" s="3">
        <f>B3297*G3297</f>
        <v>61672.696272000001</v>
      </c>
      <c r="I3297" s="3">
        <f>C3297*G3297</f>
        <v>61707.304967999997</v>
      </c>
    </row>
    <row r="3298" spans="1:9" x14ac:dyDescent="0.25">
      <c r="A3298" t="s">
        <v>11</v>
      </c>
      <c r="B3298" s="1">
        <v>53.68</v>
      </c>
      <c r="C3298" s="1">
        <v>53.69</v>
      </c>
      <c r="D3298" s="2" t="s">
        <v>356</v>
      </c>
      <c r="E3298" s="8">
        <v>1148.9558999999999</v>
      </c>
      <c r="F3298" s="8">
        <f t="shared" si="5"/>
        <v>0.05</v>
      </c>
      <c r="G3298" s="8">
        <f>E3298+F3298</f>
        <v>1149.0058999999999</v>
      </c>
      <c r="H3298" s="3">
        <f>B3298*G3298</f>
        <v>61678.636711999992</v>
      </c>
      <c r="I3298" s="3">
        <f>C3298*G3298</f>
        <v>61690.126770999988</v>
      </c>
    </row>
    <row r="3299" spans="1:9" x14ac:dyDescent="0.25">
      <c r="A3299" t="s">
        <v>12</v>
      </c>
      <c r="B3299" s="1">
        <v>47.83</v>
      </c>
      <c r="C3299" s="1">
        <v>47.84</v>
      </c>
      <c r="D3299" s="2" t="s">
        <v>356</v>
      </c>
      <c r="E3299" s="8">
        <v>1289.6505000000002</v>
      </c>
      <c r="F3299" s="8">
        <f t="shared" si="5"/>
        <v>0</v>
      </c>
      <c r="G3299" s="8">
        <f>E3299+F3299</f>
        <v>1289.6505000000002</v>
      </c>
      <c r="H3299" s="3">
        <f>B3299*G3299</f>
        <v>61683.98341500001</v>
      </c>
      <c r="I3299" s="3">
        <f>C3299*G3299</f>
        <v>61696.879920000014</v>
      </c>
    </row>
    <row r="3300" spans="1:9" x14ac:dyDescent="0.25">
      <c r="A3300" t="s">
        <v>13</v>
      </c>
      <c r="B3300" s="1">
        <v>17.440000000000001</v>
      </c>
      <c r="C3300" s="1">
        <v>17.45</v>
      </c>
      <c r="D3300" s="2" t="s">
        <v>356</v>
      </c>
      <c r="E3300" s="8">
        <v>3535.8029000000001</v>
      </c>
      <c r="F3300" s="8">
        <f t="shared" si="5"/>
        <v>0</v>
      </c>
      <c r="G3300" s="8">
        <f>E3300+F3300</f>
        <v>3535.8029000000001</v>
      </c>
      <c r="H3300" s="3">
        <f>B3300*G3300</f>
        <v>61664.402576000008</v>
      </c>
      <c r="I3300" s="3">
        <f>C3300*G3300</f>
        <v>61699.760605000003</v>
      </c>
    </row>
    <row r="3301" spans="1:9" x14ac:dyDescent="0.25">
      <c r="A3301" t="s">
        <v>14</v>
      </c>
      <c r="B3301" s="1">
        <v>34.94</v>
      </c>
      <c r="C3301" s="1">
        <v>34.950000000000003</v>
      </c>
      <c r="D3301" s="2" t="s">
        <v>356</v>
      </c>
      <c r="E3301" s="8">
        <v>1765.2166</v>
      </c>
      <c r="F3301" s="8">
        <f t="shared" si="5"/>
        <v>0.2</v>
      </c>
      <c r="G3301" s="8">
        <f>E3301+F3301</f>
        <v>1765.4166</v>
      </c>
      <c r="H3301" s="3">
        <f>B3301*G3301</f>
        <v>61683.656003999997</v>
      </c>
      <c r="I3301" s="3">
        <f>C3301*G3301</f>
        <v>61701.310170000004</v>
      </c>
    </row>
    <row r="3302" spans="1:9" x14ac:dyDescent="0.25">
      <c r="A3302" t="s">
        <v>4</v>
      </c>
      <c r="B3302" s="1">
        <v>20.420000000000002</v>
      </c>
      <c r="C3302" s="1">
        <v>20.43</v>
      </c>
      <c r="D3302" s="2" t="s">
        <v>357</v>
      </c>
      <c r="E3302" s="8">
        <v>3015.1736999999998</v>
      </c>
      <c r="F3302" s="8">
        <f t="shared" si="5"/>
        <v>0</v>
      </c>
      <c r="G3302" s="8">
        <f>E3302+F3302</f>
        <v>3015.1736999999998</v>
      </c>
      <c r="H3302" s="3">
        <f>B3302*G3302</f>
        <v>61569.846954000001</v>
      </c>
      <c r="I3302" s="3">
        <f>C3302*G3302</f>
        <v>61599.998690999993</v>
      </c>
    </row>
    <row r="3303" spans="1:9" x14ac:dyDescent="0.25">
      <c r="A3303" t="s">
        <v>6</v>
      </c>
      <c r="B3303" s="1">
        <v>33.43</v>
      </c>
      <c r="C3303" s="1">
        <v>33.44</v>
      </c>
      <c r="D3303" s="2" t="s">
        <v>357</v>
      </c>
      <c r="E3303" s="8">
        <v>1842.2518</v>
      </c>
      <c r="F3303" s="8">
        <f t="shared" si="5"/>
        <v>-0.1</v>
      </c>
      <c r="G3303" s="8">
        <f>E3303+F3303</f>
        <v>1842.1518000000001</v>
      </c>
      <c r="H3303" s="3">
        <f>B3303*G3303</f>
        <v>61583.134674000001</v>
      </c>
      <c r="I3303" s="3">
        <f>C3303*G3303</f>
        <v>61601.556191999996</v>
      </c>
    </row>
    <row r="3304" spans="1:9" x14ac:dyDescent="0.25">
      <c r="A3304" t="s">
        <v>7</v>
      </c>
      <c r="B3304" s="1">
        <v>17.36</v>
      </c>
      <c r="C3304" s="1">
        <v>17.37</v>
      </c>
      <c r="D3304" s="2" t="s">
        <v>357</v>
      </c>
      <c r="E3304" s="8">
        <v>3546.9023999999999</v>
      </c>
      <c r="F3304" s="8">
        <f t="shared" si="5"/>
        <v>0</v>
      </c>
      <c r="G3304" s="8">
        <f>E3304+F3304</f>
        <v>3546.9023999999999</v>
      </c>
      <c r="H3304" s="3">
        <f>B3304*G3304</f>
        <v>61574.225663999998</v>
      </c>
      <c r="I3304" s="3">
        <f>C3304*G3304</f>
        <v>61609.694688000003</v>
      </c>
    </row>
    <row r="3305" spans="1:9" x14ac:dyDescent="0.25">
      <c r="A3305" t="s">
        <v>8</v>
      </c>
      <c r="B3305" s="1">
        <v>27.23</v>
      </c>
      <c r="C3305" s="1">
        <v>27.24</v>
      </c>
      <c r="D3305" s="2" t="s">
        <v>357</v>
      </c>
      <c r="E3305" s="8">
        <v>2261.4625000000001</v>
      </c>
      <c r="F3305" s="8">
        <f t="shared" si="5"/>
        <v>-0.2</v>
      </c>
      <c r="G3305" s="8">
        <f>E3305+F3305</f>
        <v>2261.2625000000003</v>
      </c>
      <c r="H3305" s="3">
        <f>B3305*G3305</f>
        <v>61574.177875000008</v>
      </c>
      <c r="I3305" s="3">
        <f>C3305*G3305</f>
        <v>61596.790500000003</v>
      </c>
    </row>
    <row r="3306" spans="1:9" x14ac:dyDescent="0.25">
      <c r="A3306" t="s">
        <v>9</v>
      </c>
      <c r="B3306" s="1">
        <v>65.010000000000005</v>
      </c>
      <c r="C3306" s="1">
        <v>65.12</v>
      </c>
      <c r="D3306" s="2" t="s">
        <v>357</v>
      </c>
      <c r="E3306" s="8">
        <v>946.22090000000003</v>
      </c>
      <c r="F3306" s="8">
        <f t="shared" ref="F3306:F3341" si="6">F3296</f>
        <v>0</v>
      </c>
      <c r="G3306" s="8">
        <f>E3306+F3306</f>
        <v>946.22090000000003</v>
      </c>
      <c r="H3306" s="3">
        <f>B3306*G3306</f>
        <v>61513.820709000007</v>
      </c>
      <c r="I3306" s="3">
        <f>C3306*G3306</f>
        <v>61617.905008000009</v>
      </c>
    </row>
    <row r="3307" spans="1:9" x14ac:dyDescent="0.25">
      <c r="A3307" t="s">
        <v>10</v>
      </c>
      <c r="B3307" s="1">
        <v>35.58</v>
      </c>
      <c r="C3307" s="1">
        <v>35.61</v>
      </c>
      <c r="D3307" s="2" t="s">
        <v>357</v>
      </c>
      <c r="E3307" s="8">
        <v>1730.2348</v>
      </c>
      <c r="F3307" s="8">
        <f t="shared" si="6"/>
        <v>0.2</v>
      </c>
      <c r="G3307" s="8">
        <f>E3307+F3307</f>
        <v>1730.4348</v>
      </c>
      <c r="H3307" s="3">
        <f>B3307*G3307</f>
        <v>61568.870183999999</v>
      </c>
      <c r="I3307" s="3">
        <f>C3307*G3307</f>
        <v>61620.783228</v>
      </c>
    </row>
    <row r="3308" spans="1:9" x14ac:dyDescent="0.25">
      <c r="A3308" t="s">
        <v>11</v>
      </c>
      <c r="B3308" s="1">
        <v>53.61</v>
      </c>
      <c r="C3308" s="1">
        <v>53.62</v>
      </c>
      <c r="D3308" s="2" t="s">
        <v>357</v>
      </c>
      <c r="E3308" s="8">
        <v>1148.9558999999999</v>
      </c>
      <c r="F3308" s="8">
        <f t="shared" si="6"/>
        <v>0.05</v>
      </c>
      <c r="G3308" s="8">
        <f>E3308+F3308</f>
        <v>1149.0058999999999</v>
      </c>
      <c r="H3308" s="3">
        <f>B3308*G3308</f>
        <v>61598.20629899999</v>
      </c>
      <c r="I3308" s="3">
        <f>C3308*G3308</f>
        <v>61609.696357999994</v>
      </c>
    </row>
    <row r="3309" spans="1:9" x14ac:dyDescent="0.25">
      <c r="A3309" t="s">
        <v>12</v>
      </c>
      <c r="B3309" s="1">
        <v>47.76</v>
      </c>
      <c r="C3309" s="1">
        <v>47.77</v>
      </c>
      <c r="D3309" s="2" t="s">
        <v>357</v>
      </c>
      <c r="E3309" s="8">
        <v>1289.6505000000002</v>
      </c>
      <c r="F3309" s="8">
        <f t="shared" si="6"/>
        <v>0</v>
      </c>
      <c r="G3309" s="8">
        <f>E3309+F3309</f>
        <v>1289.6505000000002</v>
      </c>
      <c r="H3309" s="3">
        <f>B3309*G3309</f>
        <v>61593.707880000009</v>
      </c>
      <c r="I3309" s="3">
        <f>C3309*G3309</f>
        <v>61606.604385000013</v>
      </c>
    </row>
    <row r="3310" spans="1:9" x14ac:dyDescent="0.25">
      <c r="A3310" t="s">
        <v>13</v>
      </c>
      <c r="B3310" s="1">
        <v>17.420000000000002</v>
      </c>
      <c r="C3310" s="1">
        <v>17.43</v>
      </c>
      <c r="D3310" s="2" t="s">
        <v>357</v>
      </c>
      <c r="E3310" s="8">
        <v>3535.8029000000001</v>
      </c>
      <c r="F3310" s="8">
        <f t="shared" si="6"/>
        <v>0</v>
      </c>
      <c r="G3310" s="8">
        <f>E3310+F3310</f>
        <v>3535.8029000000001</v>
      </c>
      <c r="H3310" s="3">
        <f>B3310*G3310</f>
        <v>61593.68651800001</v>
      </c>
      <c r="I3310" s="3">
        <f>C3310*G3310</f>
        <v>61629.044547000005</v>
      </c>
    </row>
    <row r="3311" spans="1:9" x14ac:dyDescent="0.25">
      <c r="A3311" t="s">
        <v>14</v>
      </c>
      <c r="B3311" s="1">
        <v>34.89</v>
      </c>
      <c r="C3311" s="1">
        <v>34.9</v>
      </c>
      <c r="D3311" s="2" t="s">
        <v>357</v>
      </c>
      <c r="E3311" s="8">
        <v>1765.2166</v>
      </c>
      <c r="F3311" s="8">
        <f t="shared" si="6"/>
        <v>0.2</v>
      </c>
      <c r="G3311" s="8">
        <f>E3311+F3311</f>
        <v>1765.4166</v>
      </c>
      <c r="H3311" s="3">
        <f>B3311*G3311</f>
        <v>61595.385174000003</v>
      </c>
      <c r="I3311" s="3">
        <f>C3311*G3311</f>
        <v>61613.039339999996</v>
      </c>
    </row>
    <row r="3312" spans="1:9" x14ac:dyDescent="0.25">
      <c r="A3312" t="s">
        <v>4</v>
      </c>
      <c r="B3312" s="1">
        <v>20.39</v>
      </c>
      <c r="C3312" s="1">
        <v>20.399999999999999</v>
      </c>
      <c r="D3312" s="2" t="s">
        <v>358</v>
      </c>
      <c r="E3312" s="8">
        <v>3015.1736999999998</v>
      </c>
      <c r="F3312" s="8">
        <f t="shared" si="6"/>
        <v>0</v>
      </c>
      <c r="G3312" s="8">
        <f>E3312+F3312</f>
        <v>3015.1736999999998</v>
      </c>
      <c r="H3312" s="3">
        <f>B3312*G3312</f>
        <v>61479.391743</v>
      </c>
      <c r="I3312" s="3">
        <f>C3312*G3312</f>
        <v>61509.543479999993</v>
      </c>
    </row>
    <row r="3313" spans="1:9" x14ac:dyDescent="0.25">
      <c r="A3313" t="s">
        <v>6</v>
      </c>
      <c r="B3313" s="1">
        <v>33.39</v>
      </c>
      <c r="C3313" s="1">
        <v>33.4</v>
      </c>
      <c r="D3313" s="2" t="s">
        <v>358</v>
      </c>
      <c r="E3313" s="8">
        <v>1842.2518</v>
      </c>
      <c r="F3313" s="8">
        <f t="shared" si="6"/>
        <v>-0.1</v>
      </c>
      <c r="G3313" s="8">
        <f>E3313+F3313</f>
        <v>1842.1518000000001</v>
      </c>
      <c r="H3313" s="3">
        <f>B3313*G3313</f>
        <v>61509.448602000004</v>
      </c>
      <c r="I3313" s="3">
        <f>C3313*G3313</f>
        <v>61527.87012</v>
      </c>
    </row>
    <row r="3314" spans="1:9" x14ac:dyDescent="0.25">
      <c r="A3314" t="s">
        <v>7</v>
      </c>
      <c r="B3314" s="1">
        <v>17.350000000000001</v>
      </c>
      <c r="C3314" s="1">
        <v>17.36</v>
      </c>
      <c r="D3314" s="2" t="s">
        <v>358</v>
      </c>
      <c r="E3314" s="8">
        <v>3546.9023999999999</v>
      </c>
      <c r="F3314" s="8">
        <f t="shared" si="6"/>
        <v>0</v>
      </c>
      <c r="G3314" s="8">
        <f>E3314+F3314</f>
        <v>3546.9023999999999</v>
      </c>
      <c r="H3314" s="3">
        <f>B3314*G3314</f>
        <v>61538.756640000007</v>
      </c>
      <c r="I3314" s="3">
        <f>C3314*G3314</f>
        <v>61574.225663999998</v>
      </c>
    </row>
    <row r="3315" spans="1:9" x14ac:dyDescent="0.25">
      <c r="A3315" t="s">
        <v>8</v>
      </c>
      <c r="B3315" s="1">
        <v>27.2</v>
      </c>
      <c r="C3315" s="1">
        <v>27.21</v>
      </c>
      <c r="D3315" s="2" t="s">
        <v>358</v>
      </c>
      <c r="E3315" s="8">
        <v>2261.4625000000001</v>
      </c>
      <c r="F3315" s="8">
        <f t="shared" si="6"/>
        <v>-0.2</v>
      </c>
      <c r="G3315" s="8">
        <f>E3315+F3315</f>
        <v>2261.2625000000003</v>
      </c>
      <c r="H3315" s="3">
        <f>B3315*G3315</f>
        <v>61506.340000000004</v>
      </c>
      <c r="I3315" s="3">
        <f>C3315*G3315</f>
        <v>61528.952625000013</v>
      </c>
    </row>
    <row r="3316" spans="1:9" x14ac:dyDescent="0.25">
      <c r="A3316" t="s">
        <v>9</v>
      </c>
      <c r="B3316" s="1">
        <v>64.930000000000007</v>
      </c>
      <c r="C3316" s="1">
        <v>65.05</v>
      </c>
      <c r="D3316" s="2" t="s">
        <v>358</v>
      </c>
      <c r="E3316" s="8">
        <v>946.22090000000003</v>
      </c>
      <c r="F3316" s="8">
        <f t="shared" si="6"/>
        <v>0</v>
      </c>
      <c r="G3316" s="8">
        <f>E3316+F3316</f>
        <v>946.22090000000003</v>
      </c>
      <c r="H3316" s="3">
        <f>B3316*G3316</f>
        <v>61438.123037000005</v>
      </c>
      <c r="I3316" s="3">
        <f>C3316*G3316</f>
        <v>61551.669544999997</v>
      </c>
    </row>
    <row r="3317" spans="1:9" x14ac:dyDescent="0.25">
      <c r="A3317" t="s">
        <v>10</v>
      </c>
      <c r="B3317" s="1">
        <v>35.549999999999997</v>
      </c>
      <c r="C3317" s="1">
        <v>35.57</v>
      </c>
      <c r="D3317" s="2" t="s">
        <v>358</v>
      </c>
      <c r="E3317" s="8">
        <v>1730.2348</v>
      </c>
      <c r="F3317" s="8">
        <f t="shared" si="6"/>
        <v>0.2</v>
      </c>
      <c r="G3317" s="8">
        <f>E3317+F3317</f>
        <v>1730.4348</v>
      </c>
      <c r="H3317" s="3">
        <f>B3317*G3317</f>
        <v>61516.957139999991</v>
      </c>
      <c r="I3317" s="3">
        <f>C3317*G3317</f>
        <v>61551.565836000002</v>
      </c>
    </row>
    <row r="3318" spans="1:9" x14ac:dyDescent="0.25">
      <c r="A3318" t="s">
        <v>11</v>
      </c>
      <c r="B3318" s="1">
        <v>53.55</v>
      </c>
      <c r="C3318" s="1">
        <v>53.56</v>
      </c>
      <c r="D3318" s="2" t="s">
        <v>358</v>
      </c>
      <c r="E3318" s="8">
        <v>1148.9558999999999</v>
      </c>
      <c r="F3318" s="8">
        <f t="shared" si="6"/>
        <v>0.05</v>
      </c>
      <c r="G3318" s="8">
        <f>E3318+F3318</f>
        <v>1149.0058999999999</v>
      </c>
      <c r="H3318" s="3">
        <f>B3318*G3318</f>
        <v>61529.265944999992</v>
      </c>
      <c r="I3318" s="3">
        <f>C3318*G3318</f>
        <v>61540.756003999995</v>
      </c>
    </row>
    <row r="3319" spans="1:9" x14ac:dyDescent="0.25">
      <c r="A3319" t="s">
        <v>12</v>
      </c>
      <c r="B3319" s="1">
        <v>47.71</v>
      </c>
      <c r="C3319" s="1">
        <v>47.72</v>
      </c>
      <c r="D3319" s="2" t="s">
        <v>358</v>
      </c>
      <c r="E3319" s="8">
        <v>1289.6505000000002</v>
      </c>
      <c r="F3319" s="8">
        <f t="shared" si="6"/>
        <v>0</v>
      </c>
      <c r="G3319" s="8">
        <f>E3319+F3319</f>
        <v>1289.6505000000002</v>
      </c>
      <c r="H3319" s="3">
        <f>B3319*G3319</f>
        <v>61529.22535500001</v>
      </c>
      <c r="I3319" s="3">
        <f>C3319*G3319</f>
        <v>61542.121860000007</v>
      </c>
    </row>
    <row r="3320" spans="1:9" x14ac:dyDescent="0.25">
      <c r="A3320" t="s">
        <v>13</v>
      </c>
      <c r="B3320" s="1">
        <v>17.399999999999999</v>
      </c>
      <c r="C3320" s="1">
        <v>17.41</v>
      </c>
      <c r="D3320" s="2" t="s">
        <v>358</v>
      </c>
      <c r="E3320" s="8">
        <v>3535.8029000000001</v>
      </c>
      <c r="F3320" s="8">
        <f t="shared" si="6"/>
        <v>0</v>
      </c>
      <c r="G3320" s="8">
        <f>E3320+F3320</f>
        <v>3535.8029000000001</v>
      </c>
      <c r="H3320" s="3">
        <f>B3320*G3320</f>
        <v>61522.970459999997</v>
      </c>
      <c r="I3320" s="3">
        <f>C3320*G3320</f>
        <v>61558.328489</v>
      </c>
    </row>
    <row r="3321" spans="1:9" x14ac:dyDescent="0.25">
      <c r="A3321" t="s">
        <v>14</v>
      </c>
      <c r="B3321" s="1">
        <v>34.85</v>
      </c>
      <c r="C3321" s="1">
        <v>34.86</v>
      </c>
      <c r="D3321" s="2" t="s">
        <v>358</v>
      </c>
      <c r="E3321" s="8">
        <v>1765.2166</v>
      </c>
      <c r="F3321" s="8">
        <f t="shared" si="6"/>
        <v>0.2</v>
      </c>
      <c r="G3321" s="8">
        <f>E3321+F3321</f>
        <v>1765.4166</v>
      </c>
      <c r="H3321" s="3">
        <f>B3321*G3321</f>
        <v>61524.768510000002</v>
      </c>
      <c r="I3321" s="3">
        <f>C3321*G3321</f>
        <v>61542.422676000002</v>
      </c>
    </row>
    <row r="3322" spans="1:9" x14ac:dyDescent="0.25">
      <c r="A3322" t="s">
        <v>4</v>
      </c>
      <c r="B3322" s="1">
        <v>20.399999999999999</v>
      </c>
      <c r="C3322" s="1">
        <v>20.41</v>
      </c>
      <c r="D3322" s="2" t="s">
        <v>359</v>
      </c>
      <c r="E3322" s="8">
        <v>3015.1736999999998</v>
      </c>
      <c r="F3322" s="8">
        <f t="shared" si="6"/>
        <v>0</v>
      </c>
      <c r="G3322" s="8">
        <f>E3322+F3322</f>
        <v>3015.1736999999998</v>
      </c>
      <c r="H3322" s="3">
        <f>B3322*G3322</f>
        <v>61509.543479999993</v>
      </c>
      <c r="I3322" s="3">
        <f>C3322*G3322</f>
        <v>61539.695217</v>
      </c>
    </row>
    <row r="3323" spans="1:9" x14ac:dyDescent="0.25">
      <c r="A3323" t="s">
        <v>6</v>
      </c>
      <c r="B3323" s="1">
        <v>33.4</v>
      </c>
      <c r="C3323" s="1">
        <v>33.409999999999997</v>
      </c>
      <c r="D3323" s="2" t="s">
        <v>359</v>
      </c>
      <c r="E3323" s="8">
        <v>1842.2518</v>
      </c>
      <c r="F3323" s="8">
        <f t="shared" si="6"/>
        <v>-0.1</v>
      </c>
      <c r="G3323" s="8">
        <f>E3323+F3323</f>
        <v>1842.1518000000001</v>
      </c>
      <c r="H3323" s="3">
        <f>B3323*G3323</f>
        <v>61527.87012</v>
      </c>
      <c r="I3323" s="3">
        <f>C3323*G3323</f>
        <v>61546.291637999995</v>
      </c>
    </row>
    <row r="3324" spans="1:9" x14ac:dyDescent="0.25">
      <c r="A3324" t="s">
        <v>7</v>
      </c>
      <c r="B3324" s="1">
        <v>17.350000000000001</v>
      </c>
      <c r="C3324" s="1">
        <v>17.36</v>
      </c>
      <c r="D3324" s="2" t="s">
        <v>359</v>
      </c>
      <c r="E3324" s="8">
        <v>3546.9023999999999</v>
      </c>
      <c r="F3324" s="8">
        <f t="shared" si="6"/>
        <v>0</v>
      </c>
      <c r="G3324" s="8">
        <f>E3324+F3324</f>
        <v>3546.9023999999999</v>
      </c>
      <c r="H3324" s="3">
        <f>B3324*G3324</f>
        <v>61538.756640000007</v>
      </c>
      <c r="I3324" s="3">
        <f>C3324*G3324</f>
        <v>61574.225663999998</v>
      </c>
    </row>
    <row r="3325" spans="1:9" x14ac:dyDescent="0.25">
      <c r="A3325" t="s">
        <v>8</v>
      </c>
      <c r="B3325" s="1">
        <v>27.21</v>
      </c>
      <c r="C3325" s="1">
        <v>27.22</v>
      </c>
      <c r="D3325" s="2" t="s">
        <v>359</v>
      </c>
      <c r="E3325" s="8">
        <v>2261.4625000000001</v>
      </c>
      <c r="F3325" s="8">
        <f t="shared" si="6"/>
        <v>-0.2</v>
      </c>
      <c r="G3325" s="8">
        <f>E3325+F3325</f>
        <v>2261.2625000000003</v>
      </c>
      <c r="H3325" s="3">
        <f>B3325*G3325</f>
        <v>61528.952625000013</v>
      </c>
      <c r="I3325" s="3">
        <f>C3325*G3325</f>
        <v>61551.565250000007</v>
      </c>
    </row>
    <row r="3326" spans="1:9" x14ac:dyDescent="0.25">
      <c r="A3326" t="s">
        <v>9</v>
      </c>
      <c r="B3326" s="1">
        <v>64.959999999999994</v>
      </c>
      <c r="C3326" s="1">
        <v>65.069999999999993</v>
      </c>
      <c r="D3326" s="2" t="s">
        <v>359</v>
      </c>
      <c r="E3326" s="8">
        <v>946.22090000000003</v>
      </c>
      <c r="F3326" s="8">
        <f t="shared" si="6"/>
        <v>0</v>
      </c>
      <c r="G3326" s="8">
        <f>E3326+F3326</f>
        <v>946.22090000000003</v>
      </c>
      <c r="H3326" s="3">
        <f>B3326*G3326</f>
        <v>61466.509663999997</v>
      </c>
      <c r="I3326" s="3">
        <f>C3326*G3326</f>
        <v>61570.593962999992</v>
      </c>
    </row>
    <row r="3327" spans="1:9" x14ac:dyDescent="0.25">
      <c r="A3327" t="s">
        <v>10</v>
      </c>
      <c r="B3327" s="1">
        <v>35.56</v>
      </c>
      <c r="C3327" s="1">
        <v>35.58</v>
      </c>
      <c r="D3327" s="2" t="s">
        <v>359</v>
      </c>
      <c r="E3327" s="8">
        <v>1730.2348</v>
      </c>
      <c r="F3327" s="8">
        <f t="shared" si="6"/>
        <v>0.2</v>
      </c>
      <c r="G3327" s="8">
        <f>E3327+F3327</f>
        <v>1730.4348</v>
      </c>
      <c r="H3327" s="3">
        <f>B3327*G3327</f>
        <v>61534.261488000004</v>
      </c>
      <c r="I3327" s="3">
        <f>C3327*G3327</f>
        <v>61568.870183999999</v>
      </c>
    </row>
    <row r="3328" spans="1:9" x14ac:dyDescent="0.25">
      <c r="A3328" t="s">
        <v>11</v>
      </c>
      <c r="B3328" s="1">
        <v>53.57</v>
      </c>
      <c r="C3328" s="1">
        <v>53.58</v>
      </c>
      <c r="D3328" s="2" t="s">
        <v>359</v>
      </c>
      <c r="E3328" s="8">
        <v>1148.9558999999999</v>
      </c>
      <c r="F3328" s="8">
        <f t="shared" si="6"/>
        <v>0.05</v>
      </c>
      <c r="G3328" s="8">
        <f>E3328+F3328</f>
        <v>1149.0058999999999</v>
      </c>
      <c r="H3328" s="3">
        <f>B3328*G3328</f>
        <v>61552.246062999991</v>
      </c>
      <c r="I3328" s="3">
        <f>C3328*G3328</f>
        <v>61563.736121999995</v>
      </c>
    </row>
    <row r="3329" spans="1:9" x14ac:dyDescent="0.25">
      <c r="A3329" t="s">
        <v>12</v>
      </c>
      <c r="B3329" s="1">
        <v>47.72</v>
      </c>
      <c r="C3329" s="1">
        <v>47.73</v>
      </c>
      <c r="D3329" s="2" t="s">
        <v>359</v>
      </c>
      <c r="E3329" s="8">
        <v>1289.6505000000002</v>
      </c>
      <c r="F3329" s="8">
        <f t="shared" si="6"/>
        <v>0</v>
      </c>
      <c r="G3329" s="8">
        <f>E3329+F3329</f>
        <v>1289.6505000000002</v>
      </c>
      <c r="H3329" s="3">
        <f>B3329*G3329</f>
        <v>61542.121860000007</v>
      </c>
      <c r="I3329" s="3">
        <f>C3329*G3329</f>
        <v>61555.018365000004</v>
      </c>
    </row>
    <row r="3330" spans="1:9" x14ac:dyDescent="0.25">
      <c r="A3330" t="s">
        <v>13</v>
      </c>
      <c r="B3330" s="1">
        <v>17.399999999999999</v>
      </c>
      <c r="C3330" s="1">
        <v>17.41</v>
      </c>
      <c r="D3330" s="2" t="s">
        <v>359</v>
      </c>
      <c r="E3330" s="8">
        <v>3535.8029000000001</v>
      </c>
      <c r="F3330" s="8">
        <f t="shared" si="6"/>
        <v>0</v>
      </c>
      <c r="G3330" s="8">
        <f>E3330+F3330</f>
        <v>3535.8029000000001</v>
      </c>
      <c r="H3330" s="3">
        <f>B3330*G3330</f>
        <v>61522.970459999997</v>
      </c>
      <c r="I3330" s="3">
        <f>C3330*G3330</f>
        <v>61558.328489</v>
      </c>
    </row>
    <row r="3331" spans="1:9" x14ac:dyDescent="0.25">
      <c r="A3331" t="s">
        <v>14</v>
      </c>
      <c r="B3331" s="1">
        <v>34.869999999999997</v>
      </c>
      <c r="C3331" s="1">
        <v>34.880000000000003</v>
      </c>
      <c r="D3331" s="2" t="s">
        <v>359</v>
      </c>
      <c r="E3331" s="8">
        <v>1765.2166</v>
      </c>
      <c r="F3331" s="8">
        <f t="shared" si="6"/>
        <v>0.2</v>
      </c>
      <c r="G3331" s="8">
        <f>E3331+F3331</f>
        <v>1765.4166</v>
      </c>
      <c r="H3331" s="3">
        <f>B3331*G3331</f>
        <v>61560.076841999995</v>
      </c>
      <c r="I3331" s="3">
        <f>C3331*G3331</f>
        <v>61577.731008000002</v>
      </c>
    </row>
    <row r="3332" spans="1:9" x14ac:dyDescent="0.25">
      <c r="A3332" t="s">
        <v>4</v>
      </c>
      <c r="B3332" s="1">
        <v>20.399999999999999</v>
      </c>
      <c r="C3332" s="1">
        <v>20.41</v>
      </c>
      <c r="D3332" s="2" t="s">
        <v>360</v>
      </c>
      <c r="E3332" s="8">
        <v>3015.1736999999998</v>
      </c>
      <c r="F3332" s="8">
        <f t="shared" si="6"/>
        <v>0</v>
      </c>
      <c r="G3332" s="8">
        <f>E3332+F3332</f>
        <v>3015.1736999999998</v>
      </c>
      <c r="H3332" s="3">
        <f>B3332*G3332</f>
        <v>61509.543479999993</v>
      </c>
      <c r="I3332" s="3">
        <f>C3332*G3332</f>
        <v>61539.695217</v>
      </c>
    </row>
    <row r="3333" spans="1:9" x14ac:dyDescent="0.25">
      <c r="A3333" t="s">
        <v>6</v>
      </c>
      <c r="B3333" s="1">
        <v>33.4</v>
      </c>
      <c r="C3333" s="1">
        <v>33.409999999999997</v>
      </c>
      <c r="D3333" s="2" t="s">
        <v>360</v>
      </c>
      <c r="E3333" s="8">
        <v>1842.2518</v>
      </c>
      <c r="F3333" s="8">
        <f t="shared" si="6"/>
        <v>-0.1</v>
      </c>
      <c r="G3333" s="8">
        <f>E3333+F3333</f>
        <v>1842.1518000000001</v>
      </c>
      <c r="H3333" s="3">
        <f>B3333*G3333</f>
        <v>61527.87012</v>
      </c>
      <c r="I3333" s="3">
        <f>C3333*G3333</f>
        <v>61546.291637999995</v>
      </c>
    </row>
    <row r="3334" spans="1:9" x14ac:dyDescent="0.25">
      <c r="A3334" t="s">
        <v>7</v>
      </c>
      <c r="B3334" s="1">
        <v>17.350000000000001</v>
      </c>
      <c r="C3334" s="1">
        <v>17.36</v>
      </c>
      <c r="D3334" s="2" t="s">
        <v>360</v>
      </c>
      <c r="E3334" s="8">
        <v>3546.9023999999999</v>
      </c>
      <c r="F3334" s="8">
        <f t="shared" si="6"/>
        <v>0</v>
      </c>
      <c r="G3334" s="8">
        <f>E3334+F3334</f>
        <v>3546.9023999999999</v>
      </c>
      <c r="H3334" s="3">
        <f>B3334*G3334</f>
        <v>61538.756640000007</v>
      </c>
      <c r="I3334" s="3">
        <f>C3334*G3334</f>
        <v>61574.225663999998</v>
      </c>
    </row>
    <row r="3335" spans="1:9" x14ac:dyDescent="0.25">
      <c r="A3335" t="s">
        <v>8</v>
      </c>
      <c r="B3335" s="1">
        <v>27.21</v>
      </c>
      <c r="C3335" s="1">
        <v>27.22</v>
      </c>
      <c r="D3335" s="2" t="s">
        <v>360</v>
      </c>
      <c r="E3335" s="8">
        <v>2261.4625000000001</v>
      </c>
      <c r="F3335" s="8">
        <f t="shared" si="6"/>
        <v>-0.2</v>
      </c>
      <c r="G3335" s="8">
        <f>E3335+F3335</f>
        <v>2261.2625000000003</v>
      </c>
      <c r="H3335" s="3">
        <f>B3335*G3335</f>
        <v>61528.952625000013</v>
      </c>
      <c r="I3335" s="3">
        <f>C3335*G3335</f>
        <v>61551.565250000007</v>
      </c>
    </row>
    <row r="3336" spans="1:9" x14ac:dyDescent="0.25">
      <c r="A3336" t="s">
        <v>9</v>
      </c>
      <c r="B3336" s="1">
        <v>64.98</v>
      </c>
      <c r="C3336" s="1">
        <v>65.09</v>
      </c>
      <c r="D3336" s="2" t="s">
        <v>360</v>
      </c>
      <c r="E3336" s="8">
        <v>946.22090000000003</v>
      </c>
      <c r="F3336" s="8">
        <f t="shared" si="6"/>
        <v>0</v>
      </c>
      <c r="G3336" s="8">
        <f>E3336+F3336</f>
        <v>946.22090000000003</v>
      </c>
      <c r="H3336" s="3">
        <f>B3336*G3336</f>
        <v>61485.434082000007</v>
      </c>
      <c r="I3336" s="3">
        <f>C3336*G3336</f>
        <v>61589.518381000002</v>
      </c>
    </row>
    <row r="3337" spans="1:9" x14ac:dyDescent="0.25">
      <c r="A3337" t="s">
        <v>10</v>
      </c>
      <c r="B3337" s="1">
        <v>35.56</v>
      </c>
      <c r="C3337" s="1">
        <v>35.58</v>
      </c>
      <c r="D3337" s="2" t="s">
        <v>360</v>
      </c>
      <c r="E3337" s="8">
        <v>1730.2348</v>
      </c>
      <c r="F3337" s="8">
        <f t="shared" si="6"/>
        <v>0.2</v>
      </c>
      <c r="G3337" s="8">
        <f>E3337+F3337</f>
        <v>1730.4348</v>
      </c>
      <c r="H3337" s="3">
        <f>B3337*G3337</f>
        <v>61534.261488000004</v>
      </c>
      <c r="I3337" s="3">
        <f>C3337*G3337</f>
        <v>61568.870183999999</v>
      </c>
    </row>
    <row r="3338" spans="1:9" x14ac:dyDescent="0.25">
      <c r="A3338" t="s">
        <v>11</v>
      </c>
      <c r="B3338" s="1">
        <v>53.57</v>
      </c>
      <c r="C3338" s="1">
        <v>53.58</v>
      </c>
      <c r="D3338" s="2" t="s">
        <v>360</v>
      </c>
      <c r="E3338" s="8">
        <v>1148.9558999999999</v>
      </c>
      <c r="F3338" s="8">
        <f t="shared" si="6"/>
        <v>0.05</v>
      </c>
      <c r="G3338" s="8">
        <f>E3338+F3338</f>
        <v>1149.0058999999999</v>
      </c>
      <c r="H3338" s="3">
        <f>B3338*G3338</f>
        <v>61552.246062999991</v>
      </c>
      <c r="I3338" s="3">
        <f>C3338*G3338</f>
        <v>61563.736121999995</v>
      </c>
    </row>
    <row r="3339" spans="1:9" x14ac:dyDescent="0.25">
      <c r="A3339" t="s">
        <v>12</v>
      </c>
      <c r="B3339" s="1">
        <v>47.72</v>
      </c>
      <c r="C3339" s="1">
        <v>47.73</v>
      </c>
      <c r="D3339" s="2" t="s">
        <v>360</v>
      </c>
      <c r="E3339" s="8">
        <v>1289.6505000000002</v>
      </c>
      <c r="F3339" s="8">
        <f t="shared" si="6"/>
        <v>0</v>
      </c>
      <c r="G3339" s="8">
        <f>E3339+F3339</f>
        <v>1289.6505000000002</v>
      </c>
      <c r="H3339" s="3">
        <f>B3339*G3339</f>
        <v>61542.121860000007</v>
      </c>
      <c r="I3339" s="3">
        <f>C3339*G3339</f>
        <v>61555.018365000004</v>
      </c>
    </row>
    <row r="3340" spans="1:9" x14ac:dyDescent="0.25">
      <c r="A3340" t="s">
        <v>13</v>
      </c>
      <c r="B3340" s="1">
        <v>17.399999999999999</v>
      </c>
      <c r="C3340" s="1">
        <v>17.41</v>
      </c>
      <c r="D3340" s="2" t="s">
        <v>360</v>
      </c>
      <c r="E3340" s="8">
        <v>3535.8029000000001</v>
      </c>
      <c r="F3340" s="8">
        <f t="shared" si="6"/>
        <v>0</v>
      </c>
      <c r="G3340" s="8">
        <f>E3340+F3340</f>
        <v>3535.8029000000001</v>
      </c>
      <c r="H3340" s="3">
        <f>B3340*G3340</f>
        <v>61522.970459999997</v>
      </c>
      <c r="I3340" s="3">
        <f>C3340*G3340</f>
        <v>61558.328489</v>
      </c>
    </row>
    <row r="3341" spans="1:9" x14ac:dyDescent="0.25">
      <c r="A3341" t="s">
        <v>14</v>
      </c>
      <c r="B3341" s="1">
        <v>34.869999999999997</v>
      </c>
      <c r="C3341" s="1">
        <v>34.880000000000003</v>
      </c>
      <c r="D3341" s="2" t="s">
        <v>360</v>
      </c>
      <c r="E3341" s="8">
        <v>1765.2166</v>
      </c>
      <c r="F3341" s="8">
        <f t="shared" si="6"/>
        <v>0.2</v>
      </c>
      <c r="G3341" s="8">
        <f>E3341+F3341</f>
        <v>1765.4166</v>
      </c>
      <c r="H3341" s="3">
        <f>B3341*G3341</f>
        <v>61560.076841999995</v>
      </c>
      <c r="I3341" s="3">
        <f>C3341*G3341</f>
        <v>61577.731008000002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B294-C262-4E1C-81C5-64E61E31435A}">
  <dimension ref="A1:X335"/>
  <sheetViews>
    <sheetView tabSelected="1" workbookViewId="0">
      <selection activeCell="R34" sqref="R34"/>
    </sheetView>
  </sheetViews>
  <sheetFormatPr defaultRowHeight="15" x14ac:dyDescent="0.25"/>
  <cols>
    <col min="1" max="1" width="19" bestFit="1" customWidth="1"/>
    <col min="2" max="2" width="14.28515625" bestFit="1" customWidth="1"/>
    <col min="3" max="3" width="14.140625" bestFit="1" customWidth="1"/>
    <col min="4" max="4" width="12.7109375" customWidth="1"/>
    <col min="5" max="5" width="9.28515625" style="9" bestFit="1" customWidth="1"/>
    <col min="6" max="6" width="9.5703125" style="9" bestFit="1" customWidth="1"/>
    <col min="8" max="12" width="10.85546875" customWidth="1"/>
    <col min="13" max="14" width="10.85546875" style="1" customWidth="1"/>
    <col min="17" max="17" width="11.28515625" bestFit="1" customWidth="1"/>
    <col min="20" max="20" width="9.7109375" bestFit="1" customWidth="1"/>
    <col min="22" max="22" width="10.5703125" bestFit="1" customWidth="1"/>
  </cols>
  <sheetData>
    <row r="1" spans="1:24" ht="15.75" thickBot="1" x14ac:dyDescent="0.3">
      <c r="A1" s="4" t="s">
        <v>34</v>
      </c>
      <c r="B1" t="s">
        <v>35</v>
      </c>
      <c r="C1" t="s">
        <v>36</v>
      </c>
      <c r="D1" s="10" t="s">
        <v>39</v>
      </c>
      <c r="E1" s="10" t="s">
        <v>43</v>
      </c>
      <c r="F1" s="10" t="s">
        <v>44</v>
      </c>
    </row>
    <row r="2" spans="1:24" x14ac:dyDescent="0.25">
      <c r="A2" s="5" t="s">
        <v>5</v>
      </c>
      <c r="B2" s="3">
        <v>62506.665043999987</v>
      </c>
      <c r="C2" s="3">
        <v>62509.558112000013</v>
      </c>
      <c r="D2" s="3">
        <f>B2-C2</f>
        <v>-2.8930680000266875</v>
      </c>
      <c r="E2" s="13" t="str" cm="1">
        <f t="array" ref="E2">_xlfn.XLOOKUP(1,(Table1[time]=A2)*(Table1[unit bid]=B2),Table1[my_fi_name],"Not found")</f>
        <v>FBTC</v>
      </c>
      <c r="F2" s="13" t="str" cm="1">
        <f t="array" ref="F2">_xlfn.XLOOKUP(1,(Table1[time]=A2)*(Table1[unit ask]=C2),Table1[my_fi_name],"Not found")</f>
        <v>GBTC</v>
      </c>
      <c r="H2" s="15"/>
      <c r="I2" s="16" t="s">
        <v>37</v>
      </c>
      <c r="J2" s="16" t="s">
        <v>38</v>
      </c>
      <c r="K2" s="16" t="s">
        <v>39</v>
      </c>
      <c r="L2" s="16" t="s">
        <v>40</v>
      </c>
      <c r="M2" s="17" t="s">
        <v>41</v>
      </c>
      <c r="N2" s="16" t="s">
        <v>42</v>
      </c>
      <c r="O2" s="18" t="s">
        <v>47</v>
      </c>
      <c r="P2" s="10" t="s">
        <v>133</v>
      </c>
      <c r="Q2" s="28"/>
      <c r="R2" s="29" t="s">
        <v>37</v>
      </c>
      <c r="S2" s="29" t="s">
        <v>38</v>
      </c>
      <c r="T2" s="29" t="s">
        <v>39</v>
      </c>
      <c r="U2" s="29" t="s">
        <v>40</v>
      </c>
      <c r="V2" s="30" t="s">
        <v>41</v>
      </c>
      <c r="W2" s="29" t="s">
        <v>42</v>
      </c>
      <c r="X2" s="31" t="s">
        <v>47</v>
      </c>
    </row>
    <row r="3" spans="1:24" x14ac:dyDescent="0.25">
      <c r="A3" s="5" t="s">
        <v>15</v>
      </c>
      <c r="B3" s="3">
        <v>62368.808035999995</v>
      </c>
      <c r="C3" s="3">
        <v>62367.842296000003</v>
      </c>
      <c r="D3" s="3">
        <f t="shared" ref="D3:D64" si="0">B3-C3</f>
        <v>0.96573999999236548</v>
      </c>
      <c r="E3" s="13" t="str" cm="1">
        <f t="array" ref="E3">_xlfn.XLOOKUP(1,(Table1[time]=A3)*(Table1[unit bid]=B3),Table1[my_fi_name],"Not found")</f>
        <v>FBTC</v>
      </c>
      <c r="F3" s="13" t="str" cm="1">
        <f t="array" ref="F3">_xlfn.XLOOKUP(1,(Table1[time]=A3)*(Table1[unit ask]=C3),Table1[my_fi_name],"Not found")</f>
        <v>GBTC</v>
      </c>
      <c r="G3" s="7"/>
      <c r="H3" s="19" t="s">
        <v>4</v>
      </c>
      <c r="I3">
        <f>-COUNTIF(E:E,H3)</f>
        <v>-32</v>
      </c>
      <c r="J3">
        <f>COUNTIF(F:F,H3)</f>
        <v>20</v>
      </c>
      <c r="K3">
        <f>I3+J3</f>
        <v>-12</v>
      </c>
      <c r="L3" s="57"/>
      <c r="M3" s="20">
        <f>ALL!C2</f>
        <v>20.74</v>
      </c>
      <c r="N3" s="20">
        <f t="shared" ref="N3:N12" si="1">L3*M3</f>
        <v>0</v>
      </c>
      <c r="O3" s="21">
        <f t="shared" ref="O3:O12" si="2">N3/C3</f>
        <v>0</v>
      </c>
      <c r="P3" s="9">
        <f t="shared" ref="P3:P12" si="3">+K3-T3</f>
        <v>-21</v>
      </c>
      <c r="Q3" s="32" t="s">
        <v>4</v>
      </c>
      <c r="R3" s="33">
        <v>-20</v>
      </c>
      <c r="S3" s="33">
        <v>29</v>
      </c>
      <c r="T3" s="33">
        <v>9</v>
      </c>
      <c r="U3" s="34"/>
      <c r="V3" s="35">
        <v>20.74</v>
      </c>
      <c r="W3" s="35">
        <v>0</v>
      </c>
      <c r="X3" s="36">
        <v>0</v>
      </c>
    </row>
    <row r="4" spans="1:24" x14ac:dyDescent="0.25">
      <c r="A4" s="5" t="s">
        <v>16</v>
      </c>
      <c r="B4" s="3">
        <v>62242.439111999993</v>
      </c>
      <c r="C4" s="3">
        <v>62237.475494999999</v>
      </c>
      <c r="D4" s="3">
        <f t="shared" si="0"/>
        <v>4.9636169999939739</v>
      </c>
      <c r="E4" s="13" t="str" cm="1">
        <f t="array" ref="E4">_xlfn.XLOOKUP(1,(Table1[time]=A4)*(Table1[unit bid]=B4),Table1[my_fi_name],"Not found")</f>
        <v>FBTC</v>
      </c>
      <c r="F4" s="13" t="str" cm="1">
        <f t="array" ref="F4">_xlfn.XLOOKUP(1,(Table1[time]=A4)*(Table1[unit ask]=C4),Table1[my_fi_name],"Not found")</f>
        <v>BRRR</v>
      </c>
      <c r="G4" s="7"/>
      <c r="H4" s="19" t="s">
        <v>6</v>
      </c>
      <c r="I4">
        <f t="shared" ref="I4:I12" si="4">-COUNTIF(E:E,H4)</f>
        <v>-33</v>
      </c>
      <c r="J4">
        <f t="shared" ref="J4:J12" si="5">COUNTIF(F:F,H4)</f>
        <v>18</v>
      </c>
      <c r="K4">
        <f t="shared" ref="K4:K12" si="6">I4+J4</f>
        <v>-15</v>
      </c>
      <c r="L4" s="57">
        <v>-0.1</v>
      </c>
      <c r="M4" s="20">
        <f>ALL!C3</f>
        <v>33.94</v>
      </c>
      <c r="N4" s="20">
        <f t="shared" si="1"/>
        <v>-3.3940000000000001</v>
      </c>
      <c r="O4" s="21">
        <f t="shared" si="2"/>
        <v>-5.4533060234306347E-5</v>
      </c>
      <c r="P4" s="9">
        <f t="shared" si="3"/>
        <v>41</v>
      </c>
      <c r="Q4" s="32" t="s">
        <v>6</v>
      </c>
      <c r="R4" s="33">
        <v>-58</v>
      </c>
      <c r="S4" s="58">
        <v>2</v>
      </c>
      <c r="T4" s="33">
        <v>-56</v>
      </c>
      <c r="U4" s="34"/>
      <c r="V4" s="35">
        <v>33.94</v>
      </c>
      <c r="W4" s="35">
        <v>0</v>
      </c>
      <c r="X4" s="36">
        <v>0</v>
      </c>
    </row>
    <row r="5" spans="1:24" x14ac:dyDescent="0.25">
      <c r="A5" s="5" t="s">
        <v>17</v>
      </c>
      <c r="B5" s="3">
        <v>62288.391447999995</v>
      </c>
      <c r="C5" s="3">
        <v>62277.65950400001</v>
      </c>
      <c r="D5" s="3">
        <f t="shared" si="0"/>
        <v>10.731943999984651</v>
      </c>
      <c r="E5" s="13" t="str" cm="1">
        <f t="array" ref="E5">_xlfn.XLOOKUP(1,(Table1[time]=A5)*(Table1[unit bid]=B5),Table1[my_fi_name],"Not found")</f>
        <v>FBTC</v>
      </c>
      <c r="F5" s="13" t="str" cm="1">
        <f t="array" ref="F5">_xlfn.XLOOKUP(1,(Table1[time]=A5)*(Table1[unit ask]=C5),Table1[my_fi_name],"Not found")</f>
        <v>GBTC</v>
      </c>
      <c r="G5" s="7"/>
      <c r="H5" s="19" t="s">
        <v>7</v>
      </c>
      <c r="I5">
        <f t="shared" si="4"/>
        <v>-32</v>
      </c>
      <c r="J5">
        <f t="shared" si="5"/>
        <v>15</v>
      </c>
      <c r="K5">
        <f t="shared" si="6"/>
        <v>-17</v>
      </c>
      <c r="L5" s="57"/>
      <c r="M5" s="20">
        <f>ALL!C4</f>
        <v>17.63</v>
      </c>
      <c r="N5" s="20">
        <f t="shared" si="1"/>
        <v>0</v>
      </c>
      <c r="O5" s="21">
        <f t="shared" si="2"/>
        <v>0</v>
      </c>
      <c r="P5" s="9">
        <f t="shared" si="3"/>
        <v>-1</v>
      </c>
      <c r="Q5" s="32" t="s">
        <v>7</v>
      </c>
      <c r="R5" s="33">
        <v>-26</v>
      </c>
      <c r="S5" s="33">
        <v>10</v>
      </c>
      <c r="T5" s="33">
        <v>-16</v>
      </c>
      <c r="U5" s="34"/>
      <c r="V5" s="35">
        <v>17.63</v>
      </c>
      <c r="W5" s="35">
        <v>0</v>
      </c>
      <c r="X5" s="36">
        <v>0</v>
      </c>
    </row>
    <row r="6" spans="1:24" x14ac:dyDescent="0.25">
      <c r="A6" s="5" t="s">
        <v>18</v>
      </c>
      <c r="B6" s="3">
        <v>62081.605935999993</v>
      </c>
      <c r="C6" s="3">
        <v>62071.527408000009</v>
      </c>
      <c r="D6" s="3">
        <f t="shared" si="0"/>
        <v>10.078527999983635</v>
      </c>
      <c r="E6" s="13" t="str" cm="1">
        <f t="array" ref="E6">_xlfn.XLOOKUP(1,(Table1[time]=A6)*(Table1[unit bid]=B6),Table1[my_fi_name],"Not found")</f>
        <v>FBTC</v>
      </c>
      <c r="F6" s="13" t="str" cm="1">
        <f t="array" ref="F6">_xlfn.XLOOKUP(1,(Table1[time]=A6)*(Table1[unit ask]=C6),Table1[my_fi_name],"Not found")</f>
        <v>GBTC</v>
      </c>
      <c r="G6" s="7"/>
      <c r="H6" s="19" t="s">
        <v>8</v>
      </c>
      <c r="I6">
        <f t="shared" si="4"/>
        <v>-36</v>
      </c>
      <c r="J6">
        <f t="shared" si="5"/>
        <v>12</v>
      </c>
      <c r="K6">
        <f t="shared" si="6"/>
        <v>-24</v>
      </c>
      <c r="L6" s="57">
        <v>-0.2</v>
      </c>
      <c r="M6" s="20">
        <f>ALL!C5</f>
        <v>27.65</v>
      </c>
      <c r="N6" s="20">
        <f t="shared" si="1"/>
        <v>-5.53</v>
      </c>
      <c r="O6" s="21">
        <f t="shared" si="2"/>
        <v>-8.90907672313421E-5</v>
      </c>
      <c r="P6" s="9">
        <f t="shared" si="3"/>
        <v>52</v>
      </c>
      <c r="Q6" s="32" t="s">
        <v>8</v>
      </c>
      <c r="R6" s="33">
        <v>-76</v>
      </c>
      <c r="S6" s="58">
        <v>0</v>
      </c>
      <c r="T6" s="33">
        <v>-76</v>
      </c>
      <c r="U6" s="34"/>
      <c r="V6" s="35">
        <v>27.65</v>
      </c>
      <c r="W6" s="35">
        <v>0</v>
      </c>
      <c r="X6" s="36">
        <v>0</v>
      </c>
    </row>
    <row r="7" spans="1:24" x14ac:dyDescent="0.25">
      <c r="A7" s="5" t="s">
        <v>19</v>
      </c>
      <c r="B7" s="3">
        <v>62116.070187999998</v>
      </c>
      <c r="C7" s="3">
        <v>62103.668720000001</v>
      </c>
      <c r="D7" s="3">
        <f t="shared" si="0"/>
        <v>12.401467999996385</v>
      </c>
      <c r="E7" s="13" t="str" cm="1">
        <f t="array" ref="E7">_xlfn.XLOOKUP(1,(Table1[time]=A7)*(Table1[unit bid]=B7),Table1[my_fi_name],"Not found")</f>
        <v>FBTC</v>
      </c>
      <c r="F7" s="13" t="str" cm="1">
        <f t="array" ref="F7">_xlfn.XLOOKUP(1,(Table1[time]=A7)*(Table1[unit ask]=C7),Table1[my_fi_name],"Not found")</f>
        <v>ARKB</v>
      </c>
      <c r="G7" s="7"/>
      <c r="H7" s="19" t="s">
        <v>9</v>
      </c>
      <c r="I7" s="61">
        <f t="shared" si="4"/>
        <v>-6</v>
      </c>
      <c r="J7" s="61">
        <f t="shared" si="5"/>
        <v>0</v>
      </c>
      <c r="K7">
        <f t="shared" si="6"/>
        <v>-6</v>
      </c>
      <c r="L7" s="57"/>
      <c r="M7" s="20">
        <f>ALL!C6</f>
        <v>66.17</v>
      </c>
      <c r="N7" s="20">
        <f t="shared" si="1"/>
        <v>0</v>
      </c>
      <c r="O7" s="21">
        <f t="shared" si="2"/>
        <v>0</v>
      </c>
      <c r="P7" s="9">
        <f t="shared" si="3"/>
        <v>-1</v>
      </c>
      <c r="Q7" s="32" t="s">
        <v>9</v>
      </c>
      <c r="R7" s="60">
        <v>-5</v>
      </c>
      <c r="S7" s="60">
        <v>0</v>
      </c>
      <c r="T7" s="33">
        <v>-5</v>
      </c>
      <c r="U7" s="34"/>
      <c r="V7" s="35">
        <v>66.17</v>
      </c>
      <c r="W7" s="35">
        <v>0</v>
      </c>
      <c r="X7" s="36">
        <v>0</v>
      </c>
    </row>
    <row r="8" spans="1:24" x14ac:dyDescent="0.25">
      <c r="A8" s="5" t="s">
        <v>20</v>
      </c>
      <c r="B8" s="3">
        <v>62016.749431000004</v>
      </c>
      <c r="C8" s="3">
        <v>61994.227872000003</v>
      </c>
      <c r="D8" s="3">
        <f t="shared" si="0"/>
        <v>22.521559000000707</v>
      </c>
      <c r="E8" s="13" t="str" cm="1">
        <f t="array" ref="E8">_xlfn.XLOOKUP(1,(Table1[time]=A8)*(Table1[unit bid]=B8),Table1[my_fi_name],"Not found")</f>
        <v>BITB</v>
      </c>
      <c r="F8" s="13" t="str" cm="1">
        <f t="array" ref="F8">_xlfn.XLOOKUP(1,(Table1[time]=A8)*(Table1[unit ask]=C8),Table1[my_fi_name],"Not found")</f>
        <v>GBTC</v>
      </c>
      <c r="G8" s="7"/>
      <c r="H8" s="19" t="s">
        <v>10</v>
      </c>
      <c r="I8" s="61">
        <f t="shared" si="4"/>
        <v>-4</v>
      </c>
      <c r="J8" s="61">
        <f t="shared" si="5"/>
        <v>11</v>
      </c>
      <c r="K8">
        <f t="shared" si="6"/>
        <v>7</v>
      </c>
      <c r="L8" s="57">
        <v>0.2</v>
      </c>
      <c r="M8" s="20">
        <f>ALL!C7</f>
        <v>36.14</v>
      </c>
      <c r="N8" s="20">
        <f t="shared" si="1"/>
        <v>7.2280000000000006</v>
      </c>
      <c r="O8" s="21">
        <f t="shared" si="2"/>
        <v>1.1659149969451531E-4</v>
      </c>
      <c r="P8" s="9">
        <f t="shared" si="3"/>
        <v>-19</v>
      </c>
      <c r="Q8" s="32" t="s">
        <v>10</v>
      </c>
      <c r="R8" s="58">
        <v>0</v>
      </c>
      <c r="S8" s="33">
        <v>26</v>
      </c>
      <c r="T8" s="33">
        <v>26</v>
      </c>
      <c r="U8" s="34"/>
      <c r="V8" s="35">
        <v>36.14</v>
      </c>
      <c r="W8" s="35">
        <v>0</v>
      </c>
      <c r="X8" s="36">
        <v>0</v>
      </c>
    </row>
    <row r="9" spans="1:24" x14ac:dyDescent="0.25">
      <c r="A9" s="5" t="s">
        <v>21</v>
      </c>
      <c r="B9" s="3">
        <v>61668.034911999996</v>
      </c>
      <c r="C9" s="3">
        <v>61659.263216000007</v>
      </c>
      <c r="D9" s="3">
        <f t="shared" si="0"/>
        <v>8.7716959999888786</v>
      </c>
      <c r="E9" s="13" t="str" cm="1">
        <f t="array" ref="E9">_xlfn.XLOOKUP(1,(Table1[time]=A9)*(Table1[unit bid]=B9),Table1[my_fi_name],"Not found")</f>
        <v>FBTC</v>
      </c>
      <c r="F9" s="13" t="str" cm="1">
        <f t="array" ref="F9">_xlfn.XLOOKUP(1,(Table1[time]=A9)*(Table1[unit ask]=C9),Table1[my_fi_name],"Not found")</f>
        <v>GBTC</v>
      </c>
      <c r="G9" s="7"/>
      <c r="H9" s="19" t="s">
        <v>11</v>
      </c>
      <c r="I9">
        <f t="shared" si="4"/>
        <v>-60</v>
      </c>
      <c r="J9">
        <f t="shared" si="5"/>
        <v>61</v>
      </c>
      <c r="K9">
        <f t="shared" si="6"/>
        <v>1</v>
      </c>
      <c r="L9" s="57">
        <v>0.05</v>
      </c>
      <c r="M9" s="20">
        <f>ALL!C8</f>
        <v>54.42</v>
      </c>
      <c r="N9" s="20">
        <f t="shared" si="1"/>
        <v>2.7210000000000001</v>
      </c>
      <c r="O9" s="21">
        <f t="shared" si="2"/>
        <v>4.4129622348356671E-5</v>
      </c>
      <c r="P9" s="9">
        <f t="shared" si="3"/>
        <v>-46</v>
      </c>
      <c r="Q9" s="32" t="s">
        <v>11</v>
      </c>
      <c r="R9" s="33">
        <v>-16</v>
      </c>
      <c r="S9" s="33">
        <v>63</v>
      </c>
      <c r="T9" s="33">
        <v>47</v>
      </c>
      <c r="U9" s="34"/>
      <c r="V9" s="35">
        <v>54.42</v>
      </c>
      <c r="W9" s="35">
        <v>0</v>
      </c>
      <c r="X9" s="36">
        <v>0</v>
      </c>
    </row>
    <row r="10" spans="1:24" x14ac:dyDescent="0.25">
      <c r="A10" s="5" t="s">
        <v>22</v>
      </c>
      <c r="B10" s="3">
        <v>61782.915751999994</v>
      </c>
      <c r="C10" s="3">
        <v>61770.476663000001</v>
      </c>
      <c r="D10" s="3">
        <f t="shared" si="0"/>
        <v>12.439088999992236</v>
      </c>
      <c r="E10" s="13" t="str" cm="1">
        <f t="array" ref="E10">_xlfn.XLOOKUP(1,(Table1[time]=A10)*(Table1[unit bid]=B10),Table1[my_fi_name],"Not found")</f>
        <v>FBTC</v>
      </c>
      <c r="F10" s="13" t="str" cm="1">
        <f t="array" ref="F10">_xlfn.XLOOKUP(1,(Table1[time]=A10)*(Table1[unit ask]=C10),Table1[my_fi_name],"Not found")</f>
        <v>HODL</v>
      </c>
      <c r="G10" s="7"/>
      <c r="H10" s="19" t="s">
        <v>12</v>
      </c>
      <c r="I10">
        <f t="shared" si="4"/>
        <v>-68</v>
      </c>
      <c r="J10">
        <f t="shared" si="5"/>
        <v>80</v>
      </c>
      <c r="K10">
        <f t="shared" si="6"/>
        <v>12</v>
      </c>
      <c r="L10" s="57"/>
      <c r="M10" s="20">
        <f>ALL!C9</f>
        <v>48.52</v>
      </c>
      <c r="N10" s="20">
        <f t="shared" si="1"/>
        <v>0</v>
      </c>
      <c r="O10" s="21">
        <f t="shared" si="2"/>
        <v>0</v>
      </c>
      <c r="P10" s="9">
        <f t="shared" si="3"/>
        <v>81</v>
      </c>
      <c r="Q10" s="32" t="s">
        <v>12</v>
      </c>
      <c r="R10" s="33">
        <v>-112</v>
      </c>
      <c r="S10" s="33">
        <v>43</v>
      </c>
      <c r="T10" s="33">
        <v>-69</v>
      </c>
      <c r="U10" s="34"/>
      <c r="V10" s="35">
        <v>48.52</v>
      </c>
      <c r="W10" s="35">
        <v>0</v>
      </c>
      <c r="X10" s="36">
        <v>0</v>
      </c>
    </row>
    <row r="11" spans="1:24" x14ac:dyDescent="0.25">
      <c r="A11" s="5" t="s">
        <v>23</v>
      </c>
      <c r="B11" s="3">
        <v>61979.911444999998</v>
      </c>
      <c r="C11" s="3">
        <v>61968.461360000008</v>
      </c>
      <c r="D11" s="3">
        <f t="shared" si="0"/>
        <v>11.450084999989485</v>
      </c>
      <c r="E11" s="13" t="str" cm="1">
        <f t="array" ref="E11">_xlfn.XLOOKUP(1,(Table1[time]=A11)*(Table1[unit bid]=B11),Table1[my_fi_name],"Not found")</f>
        <v>BITB</v>
      </c>
      <c r="F11" s="13" t="str" cm="1">
        <f t="array" ref="F11">_xlfn.XLOOKUP(1,(Table1[time]=A11)*(Table1[unit ask]=C11),Table1[my_fi_name],"Not found")</f>
        <v>GBTC</v>
      </c>
      <c r="G11" s="7"/>
      <c r="H11" s="19" t="s">
        <v>13</v>
      </c>
      <c r="I11">
        <f t="shared" si="4"/>
        <v>-14</v>
      </c>
      <c r="J11">
        <f t="shared" si="5"/>
        <v>20</v>
      </c>
      <c r="K11">
        <f t="shared" si="6"/>
        <v>6</v>
      </c>
      <c r="L11" s="57"/>
      <c r="M11" s="20">
        <f>ALL!C10</f>
        <v>17.68</v>
      </c>
      <c r="N11" s="20">
        <f t="shared" si="1"/>
        <v>0</v>
      </c>
      <c r="O11" s="21">
        <f t="shared" si="2"/>
        <v>0</v>
      </c>
      <c r="P11" s="9">
        <f t="shared" si="3"/>
        <v>10</v>
      </c>
      <c r="Q11" s="32" t="s">
        <v>13</v>
      </c>
      <c r="R11" s="33">
        <v>-14</v>
      </c>
      <c r="S11" s="33">
        <v>10</v>
      </c>
      <c r="T11" s="33">
        <v>-4</v>
      </c>
      <c r="U11" s="34"/>
      <c r="V11" s="35">
        <v>17.68</v>
      </c>
      <c r="W11" s="35">
        <v>0</v>
      </c>
      <c r="X11" s="36">
        <v>0</v>
      </c>
    </row>
    <row r="12" spans="1:24" x14ac:dyDescent="0.25">
      <c r="A12" s="5" t="s">
        <v>24</v>
      </c>
      <c r="B12" s="3">
        <v>61874.82042399999</v>
      </c>
      <c r="C12" s="3">
        <v>61862.489423999999</v>
      </c>
      <c r="D12" s="3">
        <f t="shared" si="0"/>
        <v>12.330999999991036</v>
      </c>
      <c r="E12" s="13" t="str" cm="1">
        <f t="array" ref="E12">_xlfn.XLOOKUP(1,(Table1[time]=A12)*(Table1[unit bid]=B12),Table1[my_fi_name],"Not found")</f>
        <v>FBTC</v>
      </c>
      <c r="F12" s="13" t="str" cm="1">
        <f t="array" ref="F12">_xlfn.XLOOKUP(1,(Table1[time]=A12)*(Table1[unit ask]=C12),Table1[my_fi_name],"Not found")</f>
        <v>ARKB</v>
      </c>
      <c r="G12" s="7"/>
      <c r="H12" s="19" t="s">
        <v>14</v>
      </c>
      <c r="I12" s="22">
        <f t="shared" si="4"/>
        <v>-49</v>
      </c>
      <c r="J12" s="22">
        <f t="shared" si="5"/>
        <v>97</v>
      </c>
      <c r="K12" s="22">
        <f t="shared" si="6"/>
        <v>48</v>
      </c>
      <c r="L12" s="57">
        <v>0.2</v>
      </c>
      <c r="M12" s="20">
        <f>ALL!C11</f>
        <v>35.42</v>
      </c>
      <c r="N12" s="20">
        <f t="shared" si="1"/>
        <v>7.0840000000000005</v>
      </c>
      <c r="O12" s="21">
        <f t="shared" si="2"/>
        <v>1.1451204220778919E-4</v>
      </c>
      <c r="P12" s="9">
        <f t="shared" si="3"/>
        <v>-96</v>
      </c>
      <c r="Q12" s="32" t="s">
        <v>14</v>
      </c>
      <c r="R12" s="59">
        <v>-7</v>
      </c>
      <c r="S12" s="37">
        <v>151</v>
      </c>
      <c r="T12" s="37">
        <v>144</v>
      </c>
      <c r="U12" s="34"/>
      <c r="V12" s="35">
        <v>35.42</v>
      </c>
      <c r="W12" s="35">
        <v>0</v>
      </c>
      <c r="X12" s="36">
        <v>0</v>
      </c>
    </row>
    <row r="13" spans="1:24" ht="15.75" thickBot="1" x14ac:dyDescent="0.3">
      <c r="A13" s="5" t="s">
        <v>25</v>
      </c>
      <c r="B13" s="3">
        <v>61740.464536000007</v>
      </c>
      <c r="C13" s="3">
        <v>61723.679496000004</v>
      </c>
      <c r="D13" s="3">
        <f t="shared" si="0"/>
        <v>16.785040000002482</v>
      </c>
      <c r="E13" s="13" t="str" cm="1">
        <f t="array" ref="E13">_xlfn.XLOOKUP(1,(Table1[time]=A13)*(Table1[unit bid]=B13),Table1[my_fi_name],"Not found")</f>
        <v>BITB</v>
      </c>
      <c r="F13" s="13" t="str" cm="1">
        <f t="array" ref="F13">_xlfn.XLOOKUP(1,(Table1[time]=A13)*(Table1[unit ask]=C13),Table1[my_fi_name],"Not found")</f>
        <v>GBTC</v>
      </c>
      <c r="G13" s="7"/>
      <c r="H13" s="23"/>
      <c r="I13" s="24">
        <f>SUM(I3:I12)</f>
        <v>-334</v>
      </c>
      <c r="J13" s="24">
        <f t="shared" ref="J13:K13" si="7">SUM(J3:J12)</f>
        <v>334</v>
      </c>
      <c r="K13" s="24">
        <f t="shared" si="7"/>
        <v>0</v>
      </c>
      <c r="L13" s="25"/>
      <c r="M13" s="26"/>
      <c r="N13" s="26"/>
      <c r="O13" s="27"/>
      <c r="Q13" s="38"/>
      <c r="R13" s="39">
        <v>-334</v>
      </c>
      <c r="S13" s="39">
        <v>334</v>
      </c>
      <c r="T13" s="39">
        <v>0</v>
      </c>
      <c r="U13" s="40"/>
      <c r="V13" s="41"/>
      <c r="W13" s="41"/>
      <c r="X13" s="42"/>
    </row>
    <row r="14" spans="1:24" x14ac:dyDescent="0.25">
      <c r="A14" s="5" t="s">
        <v>26</v>
      </c>
      <c r="B14" s="3">
        <v>61726.040076999998</v>
      </c>
      <c r="C14" s="3">
        <v>61723.679496000004</v>
      </c>
      <c r="D14" s="3">
        <f t="shared" si="0"/>
        <v>2.3605809999935445</v>
      </c>
      <c r="E14" s="13" t="str" cm="1">
        <f t="array" ref="E14">_xlfn.XLOOKUP(1,(Table1[time]=A14)*(Table1[unit bid]=B14),Table1[my_fi_name],"Not found")</f>
        <v>IBIT</v>
      </c>
      <c r="F14" s="13" t="str" cm="1">
        <f t="array" ref="F14">_xlfn.XLOOKUP(1,(Table1[time]=A14)*(Table1[unit ask]=C14),Table1[my_fi_name],"Not found")</f>
        <v>GBTC</v>
      </c>
    </row>
    <row r="15" spans="1:24" ht="15.75" thickBot="1" x14ac:dyDescent="0.3">
      <c r="A15" s="5" t="s">
        <v>27</v>
      </c>
      <c r="B15" s="3">
        <v>61851.844255999997</v>
      </c>
      <c r="C15" s="3">
        <v>61841.192720999999</v>
      </c>
      <c r="D15" s="3">
        <f t="shared" si="0"/>
        <v>10.651534999997239</v>
      </c>
      <c r="E15" s="13" t="str" cm="1">
        <f t="array" ref="E15">_xlfn.XLOOKUP(1,(Table1[time]=A15)*(Table1[unit bid]=B15),Table1[my_fi_name],"Not found")</f>
        <v>FBTC</v>
      </c>
      <c r="F15" s="13" t="str" cm="1">
        <f t="array" ref="F15">_xlfn.XLOOKUP(1,(Table1[time]=A15)*(Table1[unit ask]=C15),Table1[my_fi_name],"Not found")</f>
        <v>HODL</v>
      </c>
    </row>
    <row r="16" spans="1:24" x14ac:dyDescent="0.25">
      <c r="A16" s="5" t="s">
        <v>28</v>
      </c>
      <c r="B16" s="3">
        <v>61633.57065999999</v>
      </c>
      <c r="C16" s="3">
        <v>61620.613448000004</v>
      </c>
      <c r="D16" s="3">
        <f t="shared" si="0"/>
        <v>12.957211999986612</v>
      </c>
      <c r="E16" s="13" t="str" cm="1">
        <f t="array" ref="E16">_xlfn.XLOOKUP(1,(Table1[time]=A16)*(Table1[unit bid]=B16),Table1[my_fi_name],"Not found")</f>
        <v>FBTC</v>
      </c>
      <c r="F16" s="13" t="str" cm="1">
        <f t="array" ref="F16">_xlfn.XLOOKUP(1,(Table1[time]=A16)*(Table1[unit ask]=C16),Table1[my_fi_name],"Not found")</f>
        <v>GBTC</v>
      </c>
      <c r="N16" s="43" t="s">
        <v>154</v>
      </c>
      <c r="O16" s="44"/>
      <c r="P16" s="45"/>
      <c r="Q16" s="45"/>
      <c r="R16" s="44"/>
      <c r="S16" s="46"/>
      <c r="T16" s="45" t="s">
        <v>155</v>
      </c>
      <c r="U16" s="44"/>
      <c r="V16" s="47"/>
    </row>
    <row r="17" spans="1:22" x14ac:dyDescent="0.25">
      <c r="A17" s="5" t="s">
        <v>29</v>
      </c>
      <c r="B17" s="3">
        <v>61928.982863999998</v>
      </c>
      <c r="C17" s="3">
        <v>61911.908779000005</v>
      </c>
      <c r="D17" s="3">
        <f t="shared" si="0"/>
        <v>17.07408499999292</v>
      </c>
      <c r="E17" s="13" t="str" cm="1">
        <f t="array" ref="E17">_xlfn.XLOOKUP(1,(Table1[time]=A17)*(Table1[unit bid]=B17),Table1[my_fi_name],"Not found")</f>
        <v>BTCW</v>
      </c>
      <c r="F17" s="13" t="str" cm="1">
        <f t="array" ref="F17">_xlfn.XLOOKUP(1,(Table1[time]=A17)*(Table1[unit ask]=C17),Table1[my_fi_name],"Not found")</f>
        <v>HODL</v>
      </c>
      <c r="N17" s="48" t="str">
        <f>H3</f>
        <v>ARKB</v>
      </c>
      <c r="O17" s="20">
        <v>16.581742649999999</v>
      </c>
      <c r="P17">
        <f t="shared" ref="P17:P26" si="8">I3-J3</f>
        <v>-52</v>
      </c>
      <c r="Q17" s="3">
        <f>O17*P17</f>
        <v>-862.25061779999999</v>
      </c>
      <c r="S17">
        <f>COUNT(D:D)</f>
        <v>334</v>
      </c>
      <c r="T17" t="s">
        <v>157</v>
      </c>
      <c r="V17" s="49">
        <f>SUM(D:D)</f>
        <v>3226.9866729998903</v>
      </c>
    </row>
    <row r="18" spans="1:22" x14ac:dyDescent="0.25">
      <c r="A18" s="5" t="s">
        <v>30</v>
      </c>
      <c r="B18" s="3">
        <v>61943.748927999994</v>
      </c>
      <c r="C18" s="3">
        <v>61929.811592000005</v>
      </c>
      <c r="D18" s="3">
        <f t="shared" si="0"/>
        <v>13.937335999988136</v>
      </c>
      <c r="E18" s="13" t="str" cm="1">
        <f t="array" ref="E18">_xlfn.XLOOKUP(1,(Table1[time]=A18)*(Table1[unit bid]=B18),Table1[my_fi_name],"Not found")</f>
        <v>FBTC</v>
      </c>
      <c r="F18" s="13" t="str" cm="1">
        <f t="array" ref="F18">_xlfn.XLOOKUP(1,(Table1[time]=A18)*(Table1[unit ask]=C18),Table1[my_fi_name],"Not found")</f>
        <v>GBTC</v>
      </c>
      <c r="N18" s="48" t="str">
        <f t="shared" ref="N18:N26" si="9">H4</f>
        <v>BITB</v>
      </c>
      <c r="O18" s="20">
        <v>10.131385</v>
      </c>
      <c r="P18">
        <f t="shared" si="8"/>
        <v>-51</v>
      </c>
      <c r="Q18" s="3">
        <f t="shared" ref="Q18:Q26" si="10">O18*P18</f>
        <v>-516.70063500000003</v>
      </c>
      <c r="S18">
        <f>COUNTIF(D:D,"&gt;0")</f>
        <v>281</v>
      </c>
      <c r="T18" t="s">
        <v>158</v>
      </c>
      <c r="V18" s="49">
        <f>SUMIF(D:D,"&gt;0")</f>
        <v>3400.2280269998737</v>
      </c>
    </row>
    <row r="19" spans="1:22" x14ac:dyDescent="0.25">
      <c r="A19" s="5" t="s">
        <v>48</v>
      </c>
      <c r="B19" s="3">
        <v>62607.347517000009</v>
      </c>
      <c r="C19" s="3">
        <v>62591.37505200001</v>
      </c>
      <c r="D19" s="3">
        <f t="shared" si="0"/>
        <v>15.97246499999892</v>
      </c>
      <c r="E19" s="13" t="str" cm="1">
        <f t="array" ref="E19">_xlfn.XLOOKUP(1,(Table1[time]=A19)*(Table1[unit bid]=B19),Table1[my_fi_name],"Not found")</f>
        <v>BTC</v>
      </c>
      <c r="F19" s="13" t="str" cm="1">
        <f t="array" ref="F19">_xlfn.XLOOKUP(1,(Table1[time]=A19)*(Table1[unit ask]=C19),Table1[my_fi_name],"Not found")</f>
        <v>IBIT</v>
      </c>
      <c r="N19" s="48" t="str">
        <f t="shared" si="9"/>
        <v>BRRR</v>
      </c>
      <c r="O19" s="20">
        <v>19.505557499999998</v>
      </c>
      <c r="P19">
        <f t="shared" si="8"/>
        <v>-47</v>
      </c>
      <c r="Q19" s="3">
        <f t="shared" si="10"/>
        <v>-916.76120249999997</v>
      </c>
      <c r="S19" s="50">
        <f>S18/S17</f>
        <v>0.8413173652694611</v>
      </c>
      <c r="T19" t="s">
        <v>156</v>
      </c>
      <c r="V19" s="51"/>
    </row>
    <row r="20" spans="1:22" x14ac:dyDescent="0.25">
      <c r="A20" s="5" t="s">
        <v>49</v>
      </c>
      <c r="B20" s="3">
        <v>62982.628992000005</v>
      </c>
      <c r="C20" s="3">
        <v>62975.941080000004</v>
      </c>
      <c r="D20" s="3">
        <f t="shared" si="0"/>
        <v>6.6879120000012335</v>
      </c>
      <c r="E20" s="13" t="str" cm="1">
        <f t="array" ref="E20">_xlfn.XLOOKUP(1,(Table1[time]=A20)*(Table1[unit bid]=B20),Table1[my_fi_name],"Not found")</f>
        <v>BRRR</v>
      </c>
      <c r="F20" s="13" t="str" cm="1">
        <f t="array" ref="F20">_xlfn.XLOOKUP(1,(Table1[time]=A20)*(Table1[unit ask]=C20),Table1[my_fi_name],"Not found")</f>
        <v>GBTC</v>
      </c>
      <c r="N20" s="48" t="str">
        <f t="shared" si="9"/>
        <v>BTC</v>
      </c>
      <c r="O20" s="20">
        <v>12.437123049999999</v>
      </c>
      <c r="P20">
        <f t="shared" si="8"/>
        <v>-48</v>
      </c>
      <c r="Q20" s="3">
        <f t="shared" si="10"/>
        <v>-596.98190639999996</v>
      </c>
      <c r="V20" s="51"/>
    </row>
    <row r="21" spans="1:22" x14ac:dyDescent="0.25">
      <c r="A21" s="5" t="s">
        <v>50</v>
      </c>
      <c r="B21" s="3">
        <v>62926.749030000006</v>
      </c>
      <c r="C21" s="3">
        <v>62924.405940000004</v>
      </c>
      <c r="D21" s="3">
        <f t="shared" si="0"/>
        <v>2.3430900000021211</v>
      </c>
      <c r="E21" s="13" t="str" cm="1">
        <f t="array" ref="E21">_xlfn.XLOOKUP(1,(Table1[time]=A21)*(Table1[unit bid]=B21),Table1[my_fi_name],"Not found")</f>
        <v>IBIT</v>
      </c>
      <c r="F21" s="13" t="str" cm="1">
        <f t="array" ref="F21">_xlfn.XLOOKUP(1,(Table1[time]=A21)*(Table1[unit ask]=C21),Table1[my_fi_name],"Not found")</f>
        <v>GBTC</v>
      </c>
      <c r="N21" s="48" t="str">
        <f t="shared" si="9"/>
        <v>BTCW</v>
      </c>
      <c r="O21" s="20">
        <v>5.2035714499999992</v>
      </c>
      <c r="P21">
        <f t="shared" si="8"/>
        <v>-6</v>
      </c>
      <c r="Q21" s="3">
        <f t="shared" si="10"/>
        <v>-31.221428699999997</v>
      </c>
      <c r="V21" s="51"/>
    </row>
    <row r="22" spans="1:22" x14ac:dyDescent="0.25">
      <c r="A22" s="5" t="s">
        <v>51</v>
      </c>
      <c r="B22" s="3">
        <v>62856.058540000005</v>
      </c>
      <c r="C22" s="3">
        <v>62847.103230000001</v>
      </c>
      <c r="D22" s="3">
        <f t="shared" si="0"/>
        <v>8.9553100000048289</v>
      </c>
      <c r="E22" s="13" t="str" cm="1">
        <f t="array" ref="E22">_xlfn.XLOOKUP(1,(Table1[time]=A22)*(Table1[unit bid]=B22),Table1[my_fi_name],"Not found")</f>
        <v>BTC</v>
      </c>
      <c r="F22" s="13" t="str" cm="1">
        <f t="array" ref="F22">_xlfn.XLOOKUP(1,(Table1[time]=A22)*(Table1[unit ask]=C22),Table1[my_fi_name],"Not found")</f>
        <v>GBTC</v>
      </c>
      <c r="N22" s="48" t="str">
        <f t="shared" si="9"/>
        <v>EZBC</v>
      </c>
      <c r="O22" s="20">
        <v>9.5160053999999992</v>
      </c>
      <c r="P22">
        <f t="shared" si="8"/>
        <v>-15</v>
      </c>
      <c r="Q22" s="3">
        <f t="shared" si="10"/>
        <v>-142.74008099999998</v>
      </c>
      <c r="V22" s="51"/>
    </row>
    <row r="23" spans="1:22" x14ac:dyDescent="0.25">
      <c r="A23" s="5" t="s">
        <v>52</v>
      </c>
      <c r="B23" s="3">
        <v>62805.787121000001</v>
      </c>
      <c r="C23" s="3">
        <v>62795.568090000001</v>
      </c>
      <c r="D23" s="3">
        <f t="shared" si="0"/>
        <v>10.219031000000541</v>
      </c>
      <c r="E23" s="13" t="str" cm="1">
        <f t="array" ref="E23">_xlfn.XLOOKUP(1,(Table1[time]=A23)*(Table1[unit bid]=B23),Table1[my_fi_name],"Not found")</f>
        <v>FBTC</v>
      </c>
      <c r="F23" s="13" t="str" cm="1">
        <f t="array" ref="F23">_xlfn.XLOOKUP(1,(Table1[time]=A23)*(Table1[unit ask]=C23),Table1[my_fi_name],"Not found")</f>
        <v>GBTC</v>
      </c>
      <c r="N23" s="48" t="str">
        <f t="shared" si="9"/>
        <v>FBTC</v>
      </c>
      <c r="O23" s="20">
        <v>6.318475349999999</v>
      </c>
      <c r="P23">
        <f t="shared" si="8"/>
        <v>-121</v>
      </c>
      <c r="Q23" s="3">
        <f t="shared" si="10"/>
        <v>-764.53551734999985</v>
      </c>
      <c r="V23" s="51"/>
    </row>
    <row r="24" spans="1:22" x14ac:dyDescent="0.25">
      <c r="A24" s="5" t="s">
        <v>53</v>
      </c>
      <c r="B24" s="3">
        <v>62667.929164999994</v>
      </c>
      <c r="C24" s="3">
        <v>62653.846455000006</v>
      </c>
      <c r="D24" s="3">
        <f t="shared" si="0"/>
        <v>14.082709999987856</v>
      </c>
      <c r="E24" s="13" t="str" cm="1">
        <f t="array" ref="E24">_xlfn.XLOOKUP(1,(Table1[time]=A24)*(Table1[unit bid]=B24),Table1[my_fi_name],"Not found")</f>
        <v>FBTC</v>
      </c>
      <c r="F24" s="13" t="str" cm="1">
        <f t="array" ref="F24">_xlfn.XLOOKUP(1,(Table1[time]=A24)*(Table1[unit ask]=C24),Table1[my_fi_name],"Not found")</f>
        <v>GBTC</v>
      </c>
      <c r="N24" s="48" t="str">
        <f t="shared" si="9"/>
        <v>GBTC</v>
      </c>
      <c r="O24" s="20">
        <v>7.0883807499999989</v>
      </c>
      <c r="P24">
        <f t="shared" si="8"/>
        <v>-148</v>
      </c>
      <c r="Q24" s="3">
        <f t="shared" si="10"/>
        <v>-1049.0803509999998</v>
      </c>
      <c r="V24" s="51"/>
    </row>
    <row r="25" spans="1:22" x14ac:dyDescent="0.25">
      <c r="A25" s="5" t="s">
        <v>54</v>
      </c>
      <c r="B25" s="3">
        <v>62690.905490999998</v>
      </c>
      <c r="C25" s="3">
        <v>62689.785417000006</v>
      </c>
      <c r="D25" s="3">
        <f t="shared" si="0"/>
        <v>1.1200739999912912</v>
      </c>
      <c r="E25" s="13" t="str" cm="1">
        <f t="array" ref="E25">_xlfn.XLOOKUP(1,(Table1[time]=A25)*(Table1[unit bid]=B25),Table1[my_fi_name],"Not found")</f>
        <v>FBTC</v>
      </c>
      <c r="F25" s="13" t="str" cm="1">
        <f t="array" ref="F25">_xlfn.XLOOKUP(1,(Table1[time]=A25)*(Table1[unit ask]=C25),Table1[my_fi_name],"Not found")</f>
        <v>HODL</v>
      </c>
      <c r="N25" s="48" t="str">
        <f t="shared" si="9"/>
        <v>HODL</v>
      </c>
      <c r="O25" s="20">
        <v>19.446915950000001</v>
      </c>
      <c r="P25">
        <f t="shared" si="8"/>
        <v>-34</v>
      </c>
      <c r="Q25" s="3">
        <f t="shared" si="10"/>
        <v>-661.19514230000004</v>
      </c>
      <c r="V25" s="51"/>
    </row>
    <row r="26" spans="1:22" ht="17.25" x14ac:dyDescent="0.4">
      <c r="A26" s="5" t="s">
        <v>55</v>
      </c>
      <c r="B26" s="3">
        <v>62797.419554999993</v>
      </c>
      <c r="C26" s="3">
        <v>62782.684304999995</v>
      </c>
      <c r="D26" s="3">
        <f t="shared" si="0"/>
        <v>14.735249999997905</v>
      </c>
      <c r="E26" s="13" t="str" cm="1">
        <f t="array" ref="E26">_xlfn.XLOOKUP(1,(Table1[time]=A26)*(Table1[unit bid]=B26),Table1[my_fi_name],"Not found")</f>
        <v>ARKB</v>
      </c>
      <c r="F26" s="13" t="str" cm="1">
        <f t="array" ref="F26">_xlfn.XLOOKUP(1,(Table1[time]=A26)*(Table1[unit ask]=C26),Table1[my_fi_name],"Not found")</f>
        <v>GBTC</v>
      </c>
      <c r="N26" s="48" t="str">
        <f t="shared" si="9"/>
        <v>IBIT</v>
      </c>
      <c r="O26" s="20">
        <v>9.7074934000000006</v>
      </c>
      <c r="P26" s="22">
        <f t="shared" si="8"/>
        <v>-146</v>
      </c>
      <c r="Q26" s="52">
        <f t="shared" si="10"/>
        <v>-1417.2940364000001</v>
      </c>
      <c r="V26" s="51"/>
    </row>
    <row r="27" spans="1:22" ht="15.75" thickBot="1" x14ac:dyDescent="0.3">
      <c r="A27" s="5" t="s">
        <v>56</v>
      </c>
      <c r="B27" s="3">
        <v>62576.023860999994</v>
      </c>
      <c r="C27" s="3">
        <v>62563.659960000005</v>
      </c>
      <c r="D27" s="3">
        <f t="shared" si="0"/>
        <v>12.36390099998971</v>
      </c>
      <c r="E27" s="13" t="str" cm="1">
        <f t="array" ref="E27">_xlfn.XLOOKUP(1,(Table1[time]=A27)*(Table1[unit bid]=B27),Table1[my_fi_name],"Not found")</f>
        <v>FBTC</v>
      </c>
      <c r="F27" s="13" t="str" cm="1">
        <f t="array" ref="F27">_xlfn.XLOOKUP(1,(Table1[time]=A27)*(Table1[unit ask]=C27),Table1[my_fi_name],"Not found")</f>
        <v>GBTC</v>
      </c>
      <c r="N27" s="53"/>
      <c r="O27" s="24"/>
      <c r="P27" s="24">
        <f>SUM(P17:P26)</f>
        <v>-668</v>
      </c>
      <c r="Q27" s="54">
        <f>SUM(Q17:Q26)</f>
        <v>-6958.7609184499997</v>
      </c>
      <c r="R27" s="24"/>
      <c r="S27" s="24"/>
      <c r="T27" s="24"/>
      <c r="U27" s="24"/>
      <c r="V27" s="27"/>
    </row>
    <row r="28" spans="1:22" x14ac:dyDescent="0.25">
      <c r="A28" s="5" t="s">
        <v>57</v>
      </c>
      <c r="B28" s="3">
        <v>62656.441002</v>
      </c>
      <c r="C28" s="3">
        <v>62653.616802000004</v>
      </c>
      <c r="D28" s="3">
        <f t="shared" si="0"/>
        <v>2.8241999999954714</v>
      </c>
      <c r="E28" s="13" t="str" cm="1">
        <f t="array" ref="E28">_xlfn.XLOOKUP(1,(Table1[time]=A28)*(Table1[unit bid]=B28),Table1[my_fi_name],"Not found")</f>
        <v>FBTC</v>
      </c>
      <c r="F28" s="13" t="str" cm="1">
        <f t="array" ref="F28">_xlfn.XLOOKUP(1,(Table1[time]=A28)*(Table1[unit ask]=C28),Table1[my_fi_name],"Not found")</f>
        <v>BITB</v>
      </c>
    </row>
    <row r="29" spans="1:22" x14ac:dyDescent="0.25">
      <c r="A29" s="5" t="s">
        <v>58</v>
      </c>
      <c r="B29" s="3">
        <v>62486.144304000001</v>
      </c>
      <c r="C29" s="3">
        <v>62486.357250000001</v>
      </c>
      <c r="D29" s="3">
        <f t="shared" si="0"/>
        <v>-0.21294599999964703</v>
      </c>
      <c r="E29" s="13" t="str" cm="1">
        <f t="array" ref="E29">_xlfn.XLOOKUP(1,(Table1[time]=A29)*(Table1[unit bid]=B29),Table1[my_fi_name],"Not found")</f>
        <v>BRRR</v>
      </c>
      <c r="F29" s="13" t="str" cm="1">
        <f t="array" ref="F29">_xlfn.XLOOKUP(1,(Table1[time]=A29)*(Table1[unit ask]=C29),Table1[my_fi_name],"Not found")</f>
        <v>GBTC</v>
      </c>
      <c r="L29" s="6"/>
    </row>
    <row r="30" spans="1:22" x14ac:dyDescent="0.25">
      <c r="A30" s="5" t="s">
        <v>59</v>
      </c>
      <c r="B30" s="3">
        <v>62616.534045</v>
      </c>
      <c r="C30" s="3">
        <v>62615.195100000004</v>
      </c>
      <c r="D30" s="3">
        <f t="shared" si="0"/>
        <v>1.3389449999958742</v>
      </c>
      <c r="E30" s="13" t="str" cm="1">
        <f t="array" ref="E30">_xlfn.XLOOKUP(1,(Table1[time]=A30)*(Table1[unit bid]=B30),Table1[my_fi_name],"Not found")</f>
        <v>ARKB</v>
      </c>
      <c r="F30" s="13" t="str" cm="1">
        <f t="array" ref="F30">_xlfn.XLOOKUP(1,(Table1[time]=A30)*(Table1[unit ask]=C30),Table1[my_fi_name],"Not found")</f>
        <v>GBTC</v>
      </c>
    </row>
    <row r="31" spans="1:22" x14ac:dyDescent="0.25">
      <c r="A31" s="5" t="s">
        <v>60</v>
      </c>
      <c r="B31" s="3">
        <v>62499.241034999999</v>
      </c>
      <c r="C31" s="3">
        <v>62503.118741999999</v>
      </c>
      <c r="D31" s="3">
        <f t="shared" si="0"/>
        <v>-3.8777069999996456</v>
      </c>
      <c r="E31" s="13" t="str" cm="1">
        <f t="array" ref="E31">_xlfn.XLOOKUP(1,(Table1[time]=A31)*(Table1[unit bid]=B31),Table1[my_fi_name],"Not found")</f>
        <v>GBTC</v>
      </c>
      <c r="F31" s="13" t="str" cm="1">
        <f t="array" ref="F31">_xlfn.XLOOKUP(1,(Table1[time]=A31)*(Table1[unit ask]=C31),Table1[my_fi_name],"Not found")</f>
        <v>IBIT</v>
      </c>
      <c r="L31" s="6"/>
    </row>
    <row r="32" spans="1:22" x14ac:dyDescent="0.25">
      <c r="A32" s="5" t="s">
        <v>61</v>
      </c>
      <c r="B32" s="3">
        <v>62477.637243000012</v>
      </c>
      <c r="C32" s="3">
        <v>62460.589679999997</v>
      </c>
      <c r="D32" s="3">
        <f t="shared" si="0"/>
        <v>17.047563000014634</v>
      </c>
      <c r="E32" s="13" t="str" cm="1">
        <f t="array" ref="E32">_xlfn.XLOOKUP(1,(Table1[time]=A32)*(Table1[unit bid]=B32),Table1[my_fi_name],"Not found")</f>
        <v>HODL</v>
      </c>
      <c r="F32" s="13" t="str" cm="1">
        <f t="array" ref="F32">_xlfn.XLOOKUP(1,(Table1[time]=A32)*(Table1[unit ask]=C32),Table1[my_fi_name],"Not found")</f>
        <v>GBTC</v>
      </c>
    </row>
    <row r="33" spans="1:12" x14ac:dyDescent="0.25">
      <c r="A33" s="5" t="s">
        <v>62</v>
      </c>
      <c r="B33" s="3">
        <v>62300.847098000006</v>
      </c>
      <c r="C33" s="3">
        <v>62303.699482999997</v>
      </c>
      <c r="D33" s="3">
        <f t="shared" si="0"/>
        <v>-2.8523849999910453</v>
      </c>
      <c r="E33" s="13" t="str" cm="1">
        <f t="array" ref="E33">_xlfn.XLOOKUP(1,(Table1[time]=A33)*(Table1[unit bid]=B33),Table1[my_fi_name],"Not found")</f>
        <v>HODL</v>
      </c>
      <c r="F33" s="13" t="str" cm="1">
        <f t="array" ref="F33">_xlfn.XLOOKUP(1,(Table1[time]=A33)*(Table1[unit ask]=C33),Table1[my_fi_name],"Not found")</f>
        <v>BITB</v>
      </c>
      <c r="L33" s="6"/>
    </row>
    <row r="34" spans="1:12" x14ac:dyDescent="0.25">
      <c r="A34" s="5" t="s">
        <v>63</v>
      </c>
      <c r="B34" s="3">
        <v>63255.513881000006</v>
      </c>
      <c r="C34" s="3">
        <v>63259.38435</v>
      </c>
      <c r="D34" s="3">
        <f t="shared" si="0"/>
        <v>-3.8704689999940456</v>
      </c>
      <c r="E34" s="13" t="str" cm="1">
        <f t="array" ref="E34">_xlfn.XLOOKUP(1,(Table1[time]=A34)*(Table1[unit bid]=B34),Table1[my_fi_name],"Not found")</f>
        <v>HODL</v>
      </c>
      <c r="F34" s="13" t="str" cm="1">
        <f t="array" ref="F34">_xlfn.XLOOKUP(1,(Table1[time]=A34)*(Table1[unit ask]=C34),Table1[my_fi_name],"Not found")</f>
        <v>GBTC</v>
      </c>
    </row>
    <row r="35" spans="1:12" x14ac:dyDescent="0.25">
      <c r="A35" s="5" t="s">
        <v>64</v>
      </c>
      <c r="B35" s="3">
        <v>63391.683433999999</v>
      </c>
      <c r="C35" s="3">
        <v>63388.222200000004</v>
      </c>
      <c r="D35" s="3">
        <f t="shared" si="0"/>
        <v>3.4612339999948745</v>
      </c>
      <c r="E35" s="13" t="str" cm="1">
        <f t="array" ref="E35">_xlfn.XLOOKUP(1,(Table1[time]=A35)*(Table1[unit bid]=B35),Table1[my_fi_name],"Not found")</f>
        <v>FBTC</v>
      </c>
      <c r="F35" s="13" t="str" cm="1">
        <f t="array" ref="F35">_xlfn.XLOOKUP(1,(Table1[time]=A35)*(Table1[unit ask]=C35),Table1[my_fi_name],"Not found")</f>
        <v>GBTC</v>
      </c>
      <c r="L35" s="6"/>
    </row>
    <row r="36" spans="1:12" x14ac:dyDescent="0.25">
      <c r="A36" s="5" t="s">
        <v>65</v>
      </c>
      <c r="B36" s="3">
        <v>63288.289967000004</v>
      </c>
      <c r="C36" s="3">
        <v>63279.780914999996</v>
      </c>
      <c r="D36" s="3">
        <f t="shared" si="0"/>
        <v>8.5090520000085235</v>
      </c>
      <c r="E36" s="13" t="str" cm="1">
        <f t="array" ref="E36">_xlfn.XLOOKUP(1,(Table1[time]=A36)*(Table1[unit bid]=B36),Table1[my_fi_name],"Not found")</f>
        <v>FBTC</v>
      </c>
      <c r="F36" s="13" t="str" cm="1">
        <f t="array" ref="F36">_xlfn.XLOOKUP(1,(Table1[time]=A36)*(Table1[unit ask]=C36),Table1[my_fi_name],"Not found")</f>
        <v>ARKB</v>
      </c>
    </row>
    <row r="37" spans="1:12" x14ac:dyDescent="0.25">
      <c r="A37" s="5" t="s">
        <v>66</v>
      </c>
      <c r="B37" s="3">
        <v>63376.090679000008</v>
      </c>
      <c r="C37" s="3">
        <v>63362.45463</v>
      </c>
      <c r="D37" s="3">
        <f t="shared" si="0"/>
        <v>13.636049000007915</v>
      </c>
      <c r="E37" s="13" t="str" cm="1">
        <f t="array" ref="E37">_xlfn.XLOOKUP(1,(Table1[time]=A37)*(Table1[unit bid]=B37),Table1[my_fi_name],"Not found")</f>
        <v>BTC</v>
      </c>
      <c r="F37" s="13" t="str" cm="1">
        <f t="array" ref="F37">_xlfn.XLOOKUP(1,(Table1[time]=A37)*(Table1[unit ask]=C37),Table1[my_fi_name],"Not found")</f>
        <v>GBTC</v>
      </c>
      <c r="L37" s="6"/>
    </row>
    <row r="38" spans="1:12" x14ac:dyDescent="0.25">
      <c r="A38" s="5" t="s">
        <v>67</v>
      </c>
      <c r="B38" s="3">
        <v>63426.147922999997</v>
      </c>
      <c r="C38" s="3">
        <v>63426.873554999998</v>
      </c>
      <c r="D38" s="3">
        <f t="shared" si="0"/>
        <v>-0.72563200000149664</v>
      </c>
      <c r="E38" s="13" t="str" cm="1">
        <f t="array" ref="E38">_xlfn.XLOOKUP(1,(Table1[time]=A38)*(Table1[unit bid]=B38),Table1[my_fi_name],"Not found")</f>
        <v>FBTC</v>
      </c>
      <c r="F38" s="13" t="str" cm="1">
        <f t="array" ref="F38">_xlfn.XLOOKUP(1,(Table1[time]=A38)*(Table1[unit ask]=C38),Table1[my_fi_name],"Not found")</f>
        <v>GBTC</v>
      </c>
    </row>
    <row r="39" spans="1:12" x14ac:dyDescent="0.25">
      <c r="A39" s="5" t="s">
        <v>68</v>
      </c>
      <c r="B39" s="3">
        <v>63426.147922999997</v>
      </c>
      <c r="C39" s="3">
        <v>63412.51902</v>
      </c>
      <c r="D39" s="3">
        <f t="shared" si="0"/>
        <v>13.628902999997081</v>
      </c>
      <c r="E39" s="13" t="str" cm="1">
        <f t="array" ref="E39">_xlfn.XLOOKUP(1,(Table1[time]=A39)*(Table1[unit bid]=B39),Table1[my_fi_name],"Not found")</f>
        <v>FBTC</v>
      </c>
      <c r="F39" s="13" t="str" cm="1">
        <f t="array" ref="F39">_xlfn.XLOOKUP(1,(Table1[time]=A39)*(Table1[unit ask]=C39),Table1[my_fi_name],"Not found")</f>
        <v>EZBC</v>
      </c>
      <c r="L39" s="6"/>
    </row>
    <row r="40" spans="1:12" x14ac:dyDescent="0.25">
      <c r="A40" s="5" t="s">
        <v>69</v>
      </c>
      <c r="B40" s="3">
        <v>63396.945997000003</v>
      </c>
      <c r="C40" s="3">
        <v>63388.222200000004</v>
      </c>
      <c r="D40" s="3">
        <f t="shared" si="0"/>
        <v>8.7237969999987399</v>
      </c>
      <c r="E40" s="13" t="str" cm="1">
        <f t="array" ref="E40">_xlfn.XLOOKUP(1,(Table1[time]=A40)*(Table1[unit bid]=B40),Table1[my_fi_name],"Not found")</f>
        <v>HODL</v>
      </c>
      <c r="F40" s="13" t="str" cm="1">
        <f t="array" ref="F40">_xlfn.XLOOKUP(1,(Table1[time]=A40)*(Table1[unit ask]=C40),Table1[my_fi_name],"Not found")</f>
        <v>GBTC</v>
      </c>
    </row>
    <row r="41" spans="1:12" x14ac:dyDescent="0.25">
      <c r="A41" s="5" t="s">
        <v>70</v>
      </c>
      <c r="B41" s="3">
        <v>63598.470367999995</v>
      </c>
      <c r="C41" s="3">
        <v>63594.362760000004</v>
      </c>
      <c r="D41" s="3">
        <f t="shared" si="0"/>
        <v>4.1076079999911599</v>
      </c>
      <c r="E41" s="13" t="str" cm="1">
        <f t="array" ref="E41">_xlfn.XLOOKUP(1,(Table1[time]=A41)*(Table1[unit bid]=B41),Table1[my_fi_name],"Not found")</f>
        <v>FBTC</v>
      </c>
      <c r="F41" s="13" t="str" cm="1">
        <f t="array" ref="F41">_xlfn.XLOOKUP(1,(Table1[time]=A41)*(Table1[unit ask]=C41),Table1[my_fi_name],"Not found")</f>
        <v>GBTC</v>
      </c>
      <c r="L41" s="6"/>
    </row>
    <row r="42" spans="1:12" x14ac:dyDescent="0.25">
      <c r="A42" s="5" t="s">
        <v>71</v>
      </c>
      <c r="B42" s="3">
        <v>63690.375671999995</v>
      </c>
      <c r="C42" s="3">
        <v>63684.549254999998</v>
      </c>
      <c r="D42" s="3">
        <f t="shared" si="0"/>
        <v>5.8264169999965816</v>
      </c>
      <c r="E42" s="13" t="str" cm="1">
        <f t="array" ref="E42">_xlfn.XLOOKUP(1,(Table1[time]=A42)*(Table1[unit bid]=B42),Table1[my_fi_name],"Not found")</f>
        <v>FBTC</v>
      </c>
      <c r="F42" s="13" t="str" cm="1">
        <f t="array" ref="F42">_xlfn.XLOOKUP(1,(Table1[time]=A42)*(Table1[unit ask]=C42),Table1[my_fi_name],"Not found")</f>
        <v>GBTC</v>
      </c>
    </row>
    <row r="43" spans="1:12" x14ac:dyDescent="0.25">
      <c r="A43" s="5" t="s">
        <v>72</v>
      </c>
      <c r="B43" s="3">
        <v>63615.148248000005</v>
      </c>
      <c r="C43" s="3">
        <v>63607.246545000002</v>
      </c>
      <c r="D43" s="3">
        <f t="shared" si="0"/>
        <v>7.9017030000031809</v>
      </c>
      <c r="E43" s="13" t="str" cm="1">
        <f t="array" ref="E43">_xlfn.XLOOKUP(1,(Table1[time]=A43)*(Table1[unit bid]=B43),Table1[my_fi_name],"Not found")</f>
        <v>IBIT</v>
      </c>
      <c r="F43" s="13" t="str" cm="1">
        <f t="array" ref="F43">_xlfn.XLOOKUP(1,(Table1[time]=A43)*(Table1[unit ask]=C43),Table1[my_fi_name],"Not found")</f>
        <v>GBTC</v>
      </c>
    </row>
    <row r="44" spans="1:12" x14ac:dyDescent="0.25">
      <c r="A44" s="5" t="s">
        <v>73</v>
      </c>
      <c r="B44" s="3">
        <v>63278.107199999991</v>
      </c>
      <c r="C44" s="3">
        <v>63280.076625000009</v>
      </c>
      <c r="D44" s="3">
        <f t="shared" si="0"/>
        <v>-1.9694250000175089</v>
      </c>
      <c r="E44" s="13" t="str" cm="1">
        <f t="array" ref="E44">_xlfn.XLOOKUP(1,(Table1[time]=A44)*(Table1[unit bid]=B44),Table1[my_fi_name],"Not found")</f>
        <v>FBTC</v>
      </c>
      <c r="F44" s="13" t="str" cm="1">
        <f t="array" ref="F44">_xlfn.XLOOKUP(1,(Table1[time]=A44)*(Table1[unit ask]=C44),Table1[my_fi_name],"Not found")</f>
        <v>GBTC</v>
      </c>
    </row>
    <row r="45" spans="1:12" x14ac:dyDescent="0.25">
      <c r="A45" s="5" t="s">
        <v>74</v>
      </c>
      <c r="B45" s="3">
        <v>63186.2</v>
      </c>
      <c r="C45" s="3">
        <v>63188.576616000013</v>
      </c>
      <c r="D45" s="3">
        <f t="shared" si="0"/>
        <v>-2.3766160000159289</v>
      </c>
      <c r="E45" s="13" t="str" cm="1">
        <f t="array" ref="E45">_xlfn.XLOOKUP(1,(Table1[time]=A45)*(Table1[unit bid]=B45),Table1[my_fi_name],"Not found")</f>
        <v>FBTC</v>
      </c>
      <c r="F45" s="13" t="str" cm="1">
        <f t="array" ref="F45">_xlfn.XLOOKUP(1,(Table1[time]=A45)*(Table1[unit ask]=C45),Table1[my_fi_name],"Not found")</f>
        <v>EZBC</v>
      </c>
    </row>
    <row r="46" spans="1:12" x14ac:dyDescent="0.25">
      <c r="A46" s="5" t="s">
        <v>75</v>
      </c>
      <c r="B46" s="3">
        <v>63324.060799999992</v>
      </c>
      <c r="C46" s="3">
        <v>63318.73275000001</v>
      </c>
      <c r="D46" s="3">
        <f t="shared" si="0"/>
        <v>5.3280499999818858</v>
      </c>
      <c r="E46" s="13" t="str" cm="1">
        <f t="array" ref="E46">_xlfn.XLOOKUP(1,(Table1[time]=A46)*(Table1[unit bid]=B46),Table1[my_fi_name],"Not found")</f>
        <v>FBTC</v>
      </c>
      <c r="F46" s="13" t="str" cm="1">
        <f t="array" ref="F46">_xlfn.XLOOKUP(1,(Table1[time]=A46)*(Table1[unit ask]=C46),Table1[my_fi_name],"Not found")</f>
        <v>GBTC</v>
      </c>
    </row>
    <row r="47" spans="1:12" x14ac:dyDescent="0.25">
      <c r="A47" s="5" t="s">
        <v>76</v>
      </c>
      <c r="B47" s="3">
        <v>63810.624374999999</v>
      </c>
      <c r="C47" s="3">
        <v>63818.061999999991</v>
      </c>
      <c r="D47" s="3">
        <f t="shared" si="0"/>
        <v>-7.4376249999913853</v>
      </c>
      <c r="E47" s="13" t="str" cm="1">
        <f t="array" ref="E47">_xlfn.XLOOKUP(1,(Table1[time]=A47)*(Table1[unit bid]=B47),Table1[my_fi_name],"Not found")</f>
        <v>IBIT</v>
      </c>
      <c r="F47" s="13" t="str" cm="1">
        <f t="array" ref="F47">_xlfn.XLOOKUP(1,(Table1[time]=A47)*(Table1[unit ask]=C47),Table1[my_fi_name],"Not found")</f>
        <v>FBTC</v>
      </c>
    </row>
    <row r="48" spans="1:12" x14ac:dyDescent="0.25">
      <c r="A48" s="5" t="s">
        <v>77</v>
      </c>
      <c r="B48" s="3">
        <v>63881.230875000001</v>
      </c>
      <c r="C48" s="3">
        <v>63878.468796000001</v>
      </c>
      <c r="D48" s="3">
        <f t="shared" si="0"/>
        <v>2.7620790000000852</v>
      </c>
      <c r="E48" s="13" t="str" cm="1">
        <f t="array" ref="E48">_xlfn.XLOOKUP(1,(Table1[time]=A48)*(Table1[unit bid]=B48),Table1[my_fi_name],"Not found")</f>
        <v>IBIT</v>
      </c>
      <c r="F48" s="13" t="str" cm="1">
        <f t="array" ref="F48">_xlfn.XLOOKUP(1,(Table1[time]=A48)*(Table1[unit ask]=C48),Table1[my_fi_name],"Not found")</f>
        <v>BITB</v>
      </c>
    </row>
    <row r="49" spans="1:6" x14ac:dyDescent="0.25">
      <c r="A49" s="5" t="s">
        <v>78</v>
      </c>
      <c r="B49" s="3">
        <v>63602.177841000004</v>
      </c>
      <c r="C49" s="3">
        <v>63602.211000000003</v>
      </c>
      <c r="D49" s="3">
        <f t="shared" si="0"/>
        <v>-3.315899999870453E-2</v>
      </c>
      <c r="E49" s="13" t="str" cm="1">
        <f t="array" ref="E49">_xlfn.XLOOKUP(1,(Table1[time]=A49)*(Table1[unit bid]=B49),Table1[my_fi_name],"Not found")</f>
        <v>BITB</v>
      </c>
      <c r="F49" s="13" t="str" cm="1">
        <f t="array" ref="F49">_xlfn.XLOOKUP(1,(Table1[time]=A49)*(Table1[unit ask]=C49),Table1[my_fi_name],"Not found")</f>
        <v>GBTC</v>
      </c>
    </row>
    <row r="50" spans="1:6" x14ac:dyDescent="0.25">
      <c r="A50" s="5" t="s">
        <v>79</v>
      </c>
      <c r="B50" s="3">
        <v>63881.230875000001</v>
      </c>
      <c r="C50" s="3">
        <v>63883.832375999998</v>
      </c>
      <c r="D50" s="3">
        <f t="shared" si="0"/>
        <v>-2.6015009999973699</v>
      </c>
      <c r="E50" s="13" t="str" cm="1">
        <f t="array" ref="E50">_xlfn.XLOOKUP(1,(Table1[time]=A50)*(Table1[unit bid]=B50),Table1[my_fi_name],"Not found")</f>
        <v>IBIT</v>
      </c>
      <c r="F50" s="13" t="str" cm="1">
        <f t="array" ref="F50">_xlfn.XLOOKUP(1,(Table1[time]=A50)*(Table1[unit ask]=C50),Table1[my_fi_name],"Not found")</f>
        <v>ARKB</v>
      </c>
    </row>
    <row r="51" spans="1:6" x14ac:dyDescent="0.25">
      <c r="A51" s="5" t="s">
        <v>80</v>
      </c>
      <c r="B51" s="3">
        <v>63863.579250000003</v>
      </c>
      <c r="C51" s="3">
        <v>63853.684271999999</v>
      </c>
      <c r="D51" s="3">
        <f t="shared" si="0"/>
        <v>9.8949780000039027</v>
      </c>
      <c r="E51" s="13" t="str" cm="1">
        <f t="array" ref="E51">_xlfn.XLOOKUP(1,(Table1[time]=A51)*(Table1[unit bid]=B51),Table1[my_fi_name],"Not found")</f>
        <v>IBIT</v>
      </c>
      <c r="F51" s="13" t="str" cm="1">
        <f t="array" ref="F51">_xlfn.XLOOKUP(1,(Table1[time]=A51)*(Table1[unit ask]=C51),Table1[my_fi_name],"Not found")</f>
        <v>ARKB</v>
      </c>
    </row>
    <row r="52" spans="1:6" x14ac:dyDescent="0.25">
      <c r="A52" s="5" t="s">
        <v>81</v>
      </c>
      <c r="B52" s="3">
        <v>63828.275999999998</v>
      </c>
      <c r="C52" s="3">
        <v>63821.242345000006</v>
      </c>
      <c r="D52" s="3">
        <f t="shared" si="0"/>
        <v>7.0336549999919953</v>
      </c>
      <c r="E52" s="13" t="str" cm="1">
        <f t="array" ref="E52">_xlfn.XLOOKUP(1,(Table1[time]=A52)*(Table1[unit bid]=B52),Table1[my_fi_name],"Not found")</f>
        <v>IBIT</v>
      </c>
      <c r="F52" s="13" t="str" cm="1">
        <f t="array" ref="F52">_xlfn.XLOOKUP(1,(Table1[time]=A52)*(Table1[unit ask]=C52),Table1[my_fi_name],"Not found")</f>
        <v>HODL</v>
      </c>
    </row>
    <row r="53" spans="1:6" x14ac:dyDescent="0.25">
      <c r="A53" s="5" t="s">
        <v>82</v>
      </c>
      <c r="B53" s="3">
        <v>63951.837375000003</v>
      </c>
      <c r="C53" s="3">
        <v>63937.230750000002</v>
      </c>
      <c r="D53" s="3">
        <f t="shared" si="0"/>
        <v>14.606625000000349</v>
      </c>
      <c r="E53" s="13" t="str" cm="1">
        <f t="array" ref="E53">_xlfn.XLOOKUP(1,(Table1[time]=A53)*(Table1[unit bid]=B53),Table1[my_fi_name],"Not found")</f>
        <v>IBIT</v>
      </c>
      <c r="F53" s="13" t="str" cm="1">
        <f t="array" ref="F53">_xlfn.XLOOKUP(1,(Table1[time]=A53)*(Table1[unit ask]=C53),Table1[my_fi_name],"Not found")</f>
        <v>GBTC</v>
      </c>
    </row>
    <row r="54" spans="1:6" x14ac:dyDescent="0.25">
      <c r="A54" s="5" t="s">
        <v>83</v>
      </c>
      <c r="B54" s="3">
        <v>63863.579250000003</v>
      </c>
      <c r="C54" s="3">
        <v>63853.684271999999</v>
      </c>
      <c r="D54" s="3">
        <f t="shared" si="0"/>
        <v>9.8949780000039027</v>
      </c>
      <c r="E54" s="13" t="str" cm="1">
        <f t="array" ref="E54">_xlfn.XLOOKUP(1,(Table1[time]=A54)*(Table1[unit bid]=B54),Table1[my_fi_name],"Not found")</f>
        <v>IBIT</v>
      </c>
      <c r="F54" s="13" t="str" cm="1">
        <f t="array" ref="F54">_xlfn.XLOOKUP(1,(Table1[time]=A54)*(Table1[unit ask]=C54),Table1[my_fi_name],"Not found")</f>
        <v>ARKB</v>
      </c>
    </row>
    <row r="55" spans="1:6" x14ac:dyDescent="0.25">
      <c r="A55" s="5" t="s">
        <v>84</v>
      </c>
      <c r="B55" s="3">
        <v>63810.624374999999</v>
      </c>
      <c r="C55" s="3">
        <v>63795.491625000002</v>
      </c>
      <c r="D55" s="3">
        <f t="shared" si="0"/>
        <v>15.132749999997031</v>
      </c>
      <c r="E55" s="13" t="str" cm="1">
        <f t="array" ref="E55">_xlfn.XLOOKUP(1,(Table1[time]=A55)*(Table1[unit bid]=B55),Table1[my_fi_name],"Not found")</f>
        <v>IBIT</v>
      </c>
      <c r="F55" s="13" t="str" cm="1">
        <f t="array" ref="F55">_xlfn.XLOOKUP(1,(Table1[time]=A55)*(Table1[unit ask]=C55),Table1[my_fi_name],"Not found")</f>
        <v>GBTC</v>
      </c>
    </row>
    <row r="56" spans="1:6" x14ac:dyDescent="0.25">
      <c r="A56" s="5" t="s">
        <v>85</v>
      </c>
      <c r="B56" s="3">
        <v>63810.624374999999</v>
      </c>
      <c r="C56" s="3">
        <v>63818.061999999991</v>
      </c>
      <c r="D56" s="3">
        <f t="shared" si="0"/>
        <v>-7.4376249999913853</v>
      </c>
      <c r="E56" s="13" t="str" cm="1">
        <f t="array" ref="E56">_xlfn.XLOOKUP(1,(Table1[time]=A56)*(Table1[unit bid]=B56),Table1[my_fi_name],"Not found")</f>
        <v>IBIT</v>
      </c>
      <c r="F56" s="13" t="str" cm="1">
        <f t="array" ref="F56">_xlfn.XLOOKUP(1,(Table1[time]=A56)*(Table1[unit ask]=C56),Table1[my_fi_name],"Not found")</f>
        <v>FBTC</v>
      </c>
    </row>
    <row r="57" spans="1:6" x14ac:dyDescent="0.25">
      <c r="A57" s="5" t="s">
        <v>86</v>
      </c>
      <c r="B57" s="3">
        <v>63845.927625000011</v>
      </c>
      <c r="C57" s="3">
        <v>63834.147750000004</v>
      </c>
      <c r="D57" s="3">
        <f t="shared" si="0"/>
        <v>11.779875000007451</v>
      </c>
      <c r="E57" s="13" t="str" cm="1">
        <f t="array" ref="E57">_xlfn.XLOOKUP(1,(Table1[time]=A57)*(Table1[unit bid]=B57),Table1[my_fi_name],"Not found")</f>
        <v>IBIT</v>
      </c>
      <c r="F57" s="13" t="str" cm="1">
        <f t="array" ref="F57">_xlfn.XLOOKUP(1,(Table1[time]=A57)*(Table1[unit ask]=C57),Table1[my_fi_name],"Not found")</f>
        <v>GBTC</v>
      </c>
    </row>
    <row r="58" spans="1:6" x14ac:dyDescent="0.25">
      <c r="A58" s="5" t="s">
        <v>87</v>
      </c>
      <c r="B58" s="3">
        <v>63799.593878999993</v>
      </c>
      <c r="C58" s="3">
        <v>63793.388063999999</v>
      </c>
      <c r="D58" s="3">
        <f t="shared" si="0"/>
        <v>6.2058149999938905</v>
      </c>
      <c r="E58" s="13" t="str" cm="1">
        <f t="array" ref="E58">_xlfn.XLOOKUP(1,(Table1[time]=A58)*(Table1[unit bid]=B58),Table1[my_fi_name],"Not found")</f>
        <v>BRRR</v>
      </c>
      <c r="F58" s="13" t="str" cm="1">
        <f t="array" ref="F58">_xlfn.XLOOKUP(1,(Table1[time]=A58)*(Table1[unit ask]=C58),Table1[my_fi_name],"Not found")</f>
        <v>ARKB</v>
      </c>
    </row>
    <row r="59" spans="1:6" x14ac:dyDescent="0.25">
      <c r="A59" s="5" t="s">
        <v>88</v>
      </c>
      <c r="B59" s="3">
        <v>63740.017875000005</v>
      </c>
      <c r="C59" s="3">
        <v>63733.091855999999</v>
      </c>
      <c r="D59" s="3">
        <f t="shared" si="0"/>
        <v>6.9260190000059083</v>
      </c>
      <c r="E59" s="13" t="str" cm="1">
        <f t="array" ref="E59">_xlfn.XLOOKUP(1,(Table1[time]=A59)*(Table1[unit bid]=B59),Table1[my_fi_name],"Not found")</f>
        <v>IBIT</v>
      </c>
      <c r="F59" s="13" t="str" cm="1">
        <f t="array" ref="F59">_xlfn.XLOOKUP(1,(Table1[time]=A59)*(Table1[unit ask]=C59),Table1[my_fi_name],"Not found")</f>
        <v>ARKB</v>
      </c>
    </row>
    <row r="60" spans="1:6" x14ac:dyDescent="0.25">
      <c r="A60" s="5" t="s">
        <v>89</v>
      </c>
      <c r="B60" s="3">
        <v>63845.927625000011</v>
      </c>
      <c r="C60" s="3">
        <v>63821.262375000006</v>
      </c>
      <c r="D60" s="3">
        <f t="shared" si="0"/>
        <v>24.665250000005472</v>
      </c>
      <c r="E60" s="13" t="str" cm="1">
        <f t="array" ref="E60">_xlfn.XLOOKUP(1,(Table1[time]=A60)*(Table1[unit bid]=B60),Table1[my_fi_name],"Not found")</f>
        <v>IBIT</v>
      </c>
      <c r="F60" s="13" t="str" cm="1">
        <f t="array" ref="F60">_xlfn.XLOOKUP(1,(Table1[time]=A60)*(Table1[unit ask]=C60),Table1[my_fi_name],"Not found")</f>
        <v>GBTC</v>
      </c>
    </row>
    <row r="61" spans="1:6" x14ac:dyDescent="0.25">
      <c r="A61" s="5" t="s">
        <v>90</v>
      </c>
      <c r="B61" s="3">
        <v>63657.738194999998</v>
      </c>
      <c r="C61" s="3">
        <v>63642.647543999992</v>
      </c>
      <c r="D61" s="3">
        <f t="shared" si="0"/>
        <v>15.090651000005892</v>
      </c>
      <c r="E61" s="13" t="str" cm="1">
        <f t="array" ref="E61">_xlfn.XLOOKUP(1,(Table1[time]=A61)*(Table1[unit bid]=B61),Table1[my_fi_name],"Not found")</f>
        <v>BRRR</v>
      </c>
      <c r="F61" s="13" t="str" cm="1">
        <f t="array" ref="F61">_xlfn.XLOOKUP(1,(Table1[time]=A61)*(Table1[unit ask]=C61),Table1[my_fi_name],"Not found")</f>
        <v>ARKB</v>
      </c>
    </row>
    <row r="62" spans="1:6" x14ac:dyDescent="0.25">
      <c r="A62" s="5" t="s">
        <v>91</v>
      </c>
      <c r="B62" s="3">
        <v>63671.652351999997</v>
      </c>
      <c r="C62" s="3">
        <v>63672.795647999999</v>
      </c>
      <c r="D62" s="3">
        <f t="shared" si="0"/>
        <v>-1.1432960000020103</v>
      </c>
      <c r="E62" s="13" t="str" cm="1">
        <f t="array" ref="E62">_xlfn.XLOOKUP(1,(Table1[time]=A62)*(Table1[unit bid]=B62),Table1[my_fi_name],"Not found")</f>
        <v>BTC</v>
      </c>
      <c r="F62" s="13" t="str" cm="1">
        <f t="array" ref="F62">_xlfn.XLOOKUP(1,(Table1[time]=A62)*(Table1[unit ask]=C62),Table1[my_fi_name],"Not found")</f>
        <v>ARKB</v>
      </c>
    </row>
    <row r="63" spans="1:6" x14ac:dyDescent="0.25">
      <c r="A63" s="5" t="s">
        <v>92</v>
      </c>
      <c r="B63" s="3">
        <v>63694.263024</v>
      </c>
      <c r="C63" s="3">
        <v>63691.689599999991</v>
      </c>
      <c r="D63" s="3">
        <f t="shared" si="0"/>
        <v>2.5734240000092541</v>
      </c>
      <c r="E63" s="13" t="str" cm="1">
        <f t="array" ref="E63">_xlfn.XLOOKUP(1,(Table1[time]=A63)*(Table1[unit bid]=B63),Table1[my_fi_name],"Not found")</f>
        <v>BTC</v>
      </c>
      <c r="F63" s="13" t="str" cm="1">
        <f t="array" ref="F63">_xlfn.XLOOKUP(1,(Table1[time]=A63)*(Table1[unit ask]=C63),Table1[my_fi_name],"Not found")</f>
        <v>FBTC</v>
      </c>
    </row>
    <row r="64" spans="1:6" x14ac:dyDescent="0.25">
      <c r="A64" s="5" t="s">
        <v>93</v>
      </c>
      <c r="B64" s="3">
        <v>63634.247599999995</v>
      </c>
      <c r="C64" s="3">
        <v>63638.440524000005</v>
      </c>
      <c r="D64" s="3">
        <f t="shared" si="0"/>
        <v>-4.1929240000099526</v>
      </c>
      <c r="E64" s="13" t="str" cm="1">
        <f t="array" ref="E64">_xlfn.XLOOKUP(1,(Table1[time]=A64)*(Table1[unit bid]=B64),Table1[my_fi_name],"Not found")</f>
        <v>FBTC</v>
      </c>
      <c r="F64" s="13" t="str" cm="1">
        <f t="array" ref="F64">_xlfn.XLOOKUP(1,(Table1[time]=A64)*(Table1[unit ask]=C64),Table1[my_fi_name],"Not found")</f>
        <v>EZBC</v>
      </c>
    </row>
    <row r="65" spans="1:6" x14ac:dyDescent="0.25">
      <c r="A65" s="5" t="s">
        <v>94</v>
      </c>
      <c r="B65" s="3">
        <v>67179.553815000007</v>
      </c>
      <c r="C65" s="3">
        <v>67181.205100000006</v>
      </c>
      <c r="D65" s="3">
        <f t="shared" ref="D65:D78" si="11">B65-C65</f>
        <v>-1.6512849999999162</v>
      </c>
      <c r="E65" s="13" t="str" cm="1">
        <f t="array" ref="E65">_xlfn.XLOOKUP(1,(Table1[time]=A65)*(Table1[unit bid]=B65),Table1[my_fi_name],"Not found")</f>
        <v>BTC</v>
      </c>
      <c r="F65" s="13" t="str" cm="1">
        <f t="array" ref="F65">_xlfn.XLOOKUP(1,(Table1[time]=A65)*(Table1[unit ask]=C65),Table1[my_fi_name],"Not found")</f>
        <v>HODL</v>
      </c>
    </row>
    <row r="66" spans="1:6" x14ac:dyDescent="0.25">
      <c r="A66" s="5" t="s">
        <v>95</v>
      </c>
      <c r="B66" s="3">
        <v>67140.212878999999</v>
      </c>
      <c r="C66" s="3">
        <v>67083.811716000011</v>
      </c>
      <c r="D66" s="3">
        <f t="shared" si="11"/>
        <v>56.401162999987719</v>
      </c>
      <c r="E66" s="13" t="str" cm="1">
        <f t="array" ref="E66">_xlfn.XLOOKUP(1,(Table1[time]=A66)*(Table1[unit bid]=B66),Table1[my_fi_name],"Not found")</f>
        <v>ARKB</v>
      </c>
      <c r="F66" s="13" t="str" cm="1">
        <f t="array" ref="F66">_xlfn.XLOOKUP(1,(Table1[time]=A66)*(Table1[unit ask]=C66),Table1[my_fi_name],"Not found")</f>
        <v>BITB</v>
      </c>
    </row>
    <row r="67" spans="1:6" x14ac:dyDescent="0.25">
      <c r="A67" s="5" t="s">
        <v>96</v>
      </c>
      <c r="B67" s="3">
        <v>66860.032105000006</v>
      </c>
      <c r="C67" s="3">
        <v>66852.075140000001</v>
      </c>
      <c r="D67" s="3">
        <f t="shared" si="11"/>
        <v>7.9569650000048568</v>
      </c>
      <c r="E67" s="13" t="str" cm="1">
        <f t="array" ref="E67">_xlfn.XLOOKUP(1,(Table1[time]=A67)*(Table1[unit bid]=B67),Table1[my_fi_name],"Not found")</f>
        <v>BTC</v>
      </c>
      <c r="F67" s="13" t="str" cm="1">
        <f t="array" ref="F67">_xlfn.XLOOKUP(1,(Table1[time]=A67)*(Table1[unit ask]=C67),Table1[my_fi_name],"Not found")</f>
        <v>GBTC</v>
      </c>
    </row>
    <row r="68" spans="1:6" x14ac:dyDescent="0.25">
      <c r="A68" s="5" t="s">
        <v>97</v>
      </c>
      <c r="B68" s="3">
        <v>66816.993863999989</v>
      </c>
      <c r="C68" s="3">
        <v>66813.417425000007</v>
      </c>
      <c r="D68" s="3">
        <f t="shared" si="11"/>
        <v>3.5764389999822015</v>
      </c>
      <c r="E68" s="13" t="str" cm="1">
        <f t="array" ref="E68">_xlfn.XLOOKUP(1,(Table1[time]=A68)*(Table1[unit bid]=B68),Table1[my_fi_name],"Not found")</f>
        <v>FBTC</v>
      </c>
      <c r="F68" s="13" t="str" cm="1">
        <f t="array" ref="F68">_xlfn.XLOOKUP(1,(Table1[time]=A68)*(Table1[unit ask]=C68),Table1[my_fi_name],"Not found")</f>
        <v>GBTC</v>
      </c>
    </row>
    <row r="69" spans="1:6" x14ac:dyDescent="0.25">
      <c r="A69" s="5" t="s">
        <v>98</v>
      </c>
      <c r="B69" s="3">
        <v>66743.556647999998</v>
      </c>
      <c r="C69" s="3">
        <v>66723.216090000002</v>
      </c>
      <c r="D69" s="3">
        <f t="shared" si="11"/>
        <v>20.340557999996236</v>
      </c>
      <c r="E69" s="13" t="str" cm="1">
        <f t="array" ref="E69">_xlfn.XLOOKUP(1,(Table1[time]=A69)*(Table1[unit bid]=B69),Table1[my_fi_name],"Not found")</f>
        <v>BRRR</v>
      </c>
      <c r="F69" s="13" t="str" cm="1">
        <f t="array" ref="F69">_xlfn.XLOOKUP(1,(Table1[time]=A69)*(Table1[unit ask]=C69),Table1[my_fi_name],"Not found")</f>
        <v>GBTC</v>
      </c>
    </row>
    <row r="70" spans="1:6" x14ac:dyDescent="0.25">
      <c r="A70" s="5" t="s">
        <v>99</v>
      </c>
      <c r="B70" s="3">
        <v>66885.413304000002</v>
      </c>
      <c r="C70" s="3">
        <v>66864.961045000004</v>
      </c>
      <c r="D70" s="3">
        <f t="shared" si="11"/>
        <v>20.452258999997866</v>
      </c>
      <c r="E70" s="13" t="str" cm="1">
        <f t="array" ref="E70">_xlfn.XLOOKUP(1,(Table1[time]=A70)*(Table1[unit bid]=B70),Table1[my_fi_name],"Not found")</f>
        <v>BRRR</v>
      </c>
      <c r="F70" s="13" t="str" cm="1">
        <f t="array" ref="F70">_xlfn.XLOOKUP(1,(Table1[time]=A70)*(Table1[unit ask]=C70),Table1[my_fi_name],"Not found")</f>
        <v>GBTC</v>
      </c>
    </row>
    <row r="71" spans="1:6" x14ac:dyDescent="0.25">
      <c r="A71" s="5" t="s">
        <v>100</v>
      </c>
      <c r="B71" s="3">
        <v>66758.903372000001</v>
      </c>
      <c r="C71" s="3">
        <v>66748.987899999993</v>
      </c>
      <c r="D71" s="3">
        <f t="shared" si="11"/>
        <v>9.9154720000078669</v>
      </c>
      <c r="E71" s="13" t="str" cm="1">
        <f t="array" ref="E71">_xlfn.XLOOKUP(1,(Table1[time]=A71)*(Table1[unit bid]=B71),Table1[my_fi_name],"Not found")</f>
        <v>IBIT</v>
      </c>
      <c r="F71" s="13" t="str" cm="1">
        <f t="array" ref="F71">_xlfn.XLOOKUP(1,(Table1[time]=A71)*(Table1[unit ask]=C71),Table1[my_fi_name],"Not found")</f>
        <v>GBTC</v>
      </c>
    </row>
    <row r="72" spans="1:6" x14ac:dyDescent="0.25">
      <c r="A72" s="5" t="s">
        <v>101</v>
      </c>
      <c r="B72" s="3">
        <v>66794.206864000007</v>
      </c>
      <c r="C72" s="3">
        <v>66787.645615000001</v>
      </c>
      <c r="D72" s="3">
        <f t="shared" si="11"/>
        <v>6.5612490000057733</v>
      </c>
      <c r="E72" s="13" t="str" cm="1">
        <f t="array" ref="E72">_xlfn.XLOOKUP(1,(Table1[time]=A72)*(Table1[unit bid]=B72),Table1[my_fi_name],"Not found")</f>
        <v>IBIT</v>
      </c>
      <c r="F72" s="13" t="str" cm="1">
        <f t="array" ref="F72">_xlfn.XLOOKUP(1,(Table1[time]=A72)*(Table1[unit ask]=C72),Table1[my_fi_name],"Not found")</f>
        <v>GBTC</v>
      </c>
    </row>
    <row r="73" spans="1:6" x14ac:dyDescent="0.25">
      <c r="A73" s="5" t="s">
        <v>102</v>
      </c>
      <c r="B73" s="3">
        <v>66794.206864000007</v>
      </c>
      <c r="C73" s="3">
        <v>66774.759709999998</v>
      </c>
      <c r="D73" s="3">
        <f t="shared" si="11"/>
        <v>19.447154000008595</v>
      </c>
      <c r="E73" s="13" t="str" cm="1">
        <f t="array" ref="E73">_xlfn.XLOOKUP(1,(Table1[time]=A73)*(Table1[unit bid]=B73),Table1[my_fi_name],"Not found")</f>
        <v>IBIT</v>
      </c>
      <c r="F73" s="13" t="str" cm="1">
        <f t="array" ref="F73">_xlfn.XLOOKUP(1,(Table1[time]=A73)*(Table1[unit ask]=C73),Table1[my_fi_name],"Not found")</f>
        <v>GBTC</v>
      </c>
    </row>
    <row r="74" spans="1:6" x14ac:dyDescent="0.25">
      <c r="A74" s="5" t="s">
        <v>103</v>
      </c>
      <c r="B74" s="3">
        <v>66885.413304000002</v>
      </c>
      <c r="C74" s="3">
        <v>66864.961045000004</v>
      </c>
      <c r="D74" s="3">
        <f t="shared" si="11"/>
        <v>20.452258999997866</v>
      </c>
      <c r="E74" s="13" t="str" cm="1">
        <f t="array" ref="E74">_xlfn.XLOOKUP(1,(Table1[time]=A74)*(Table1[unit bid]=B74),Table1[my_fi_name],"Not found")</f>
        <v>BRRR</v>
      </c>
      <c r="F74" s="13" t="str" cm="1">
        <f t="array" ref="F74">_xlfn.XLOOKUP(1,(Table1[time]=A74)*(Table1[unit ask]=C74),Table1[my_fi_name],"Not found")</f>
        <v>GBTC</v>
      </c>
    </row>
    <row r="75" spans="1:6" x14ac:dyDescent="0.25">
      <c r="A75" s="5" t="s">
        <v>104</v>
      </c>
      <c r="B75" s="3">
        <v>66794.206864000007</v>
      </c>
      <c r="C75" s="3">
        <v>66800.531520000004</v>
      </c>
      <c r="D75" s="3">
        <f t="shared" si="11"/>
        <v>-6.3246559999970486</v>
      </c>
      <c r="E75" s="13" t="str" cm="1">
        <f t="array" ref="E75">_xlfn.XLOOKUP(1,(Table1[time]=A75)*(Table1[unit bid]=B75),Table1[my_fi_name],"Not found")</f>
        <v>IBIT</v>
      </c>
      <c r="F75" s="13" t="str" cm="1">
        <f t="array" ref="F75">_xlfn.XLOOKUP(1,(Table1[time]=A75)*(Table1[unit ask]=C75),Table1[my_fi_name],"Not found")</f>
        <v>GBTC</v>
      </c>
    </row>
    <row r="76" spans="1:6" x14ac:dyDescent="0.25">
      <c r="A76" s="5" t="s">
        <v>105</v>
      </c>
      <c r="B76" s="3">
        <v>66475.649099999995</v>
      </c>
      <c r="C76" s="3">
        <v>66465.497990000003</v>
      </c>
      <c r="D76" s="3">
        <f t="shared" si="11"/>
        <v>10.151109999991604</v>
      </c>
      <c r="E76" s="13" t="str" cm="1">
        <f t="array" ref="E76">_xlfn.XLOOKUP(1,(Table1[time]=A76)*(Table1[unit bid]=B76),Table1[my_fi_name],"Not found")</f>
        <v>BTC</v>
      </c>
      <c r="F76" s="13" t="str" cm="1">
        <f t="array" ref="F76">_xlfn.XLOOKUP(1,(Table1[time]=A76)*(Table1[unit ask]=C76),Table1[my_fi_name],"Not found")</f>
        <v>GBTC</v>
      </c>
    </row>
    <row r="77" spans="1:6" x14ac:dyDescent="0.25">
      <c r="A77" s="5" t="s">
        <v>106</v>
      </c>
      <c r="B77" s="3">
        <v>66637.164155999999</v>
      </c>
      <c r="C77" s="3">
        <v>66633.014754999997</v>
      </c>
      <c r="D77" s="3">
        <f t="shared" si="11"/>
        <v>4.1494010000023991</v>
      </c>
      <c r="E77" s="13" t="str" cm="1">
        <f t="array" ref="E77">_xlfn.XLOOKUP(1,(Table1[time]=A77)*(Table1[unit bid]=B77),Table1[my_fi_name],"Not found")</f>
        <v>BRRR</v>
      </c>
      <c r="F77" s="13" t="str" cm="1">
        <f t="array" ref="F77">_xlfn.XLOOKUP(1,(Table1[time]=A77)*(Table1[unit ask]=C77),Table1[my_fi_name],"Not found")</f>
        <v>GBTC</v>
      </c>
    </row>
    <row r="78" spans="1:6" x14ac:dyDescent="0.25">
      <c r="A78" s="5" t="s">
        <v>107</v>
      </c>
      <c r="B78" s="3">
        <v>66566.235828000004</v>
      </c>
      <c r="C78" s="3">
        <v>66555.699324999994</v>
      </c>
      <c r="D78" s="3">
        <f t="shared" si="11"/>
        <v>10.536503000010271</v>
      </c>
      <c r="E78" s="13" t="str" cm="1">
        <f t="array" ref="E78">_xlfn.XLOOKUP(1,(Table1[time]=A78)*(Table1[unit bid]=B78),Table1[my_fi_name],"Not found")</f>
        <v>BRRR</v>
      </c>
      <c r="F78" s="13" t="str" cm="1">
        <f t="array" ref="F78">_xlfn.XLOOKUP(1,(Table1[time]=A78)*(Table1[unit ask]=C78),Table1[my_fi_name],"Not found")</f>
        <v>GBTC</v>
      </c>
    </row>
    <row r="79" spans="1:6" x14ac:dyDescent="0.25">
      <c r="A79" s="5" t="s">
        <v>108</v>
      </c>
      <c r="B79" s="3">
        <v>66141.545648999992</v>
      </c>
      <c r="C79" s="3">
        <v>66133.184420000005</v>
      </c>
      <c r="D79" s="3">
        <f t="shared" ref="D79:D103" si="12">B79-C79</f>
        <v>8.361228999987361</v>
      </c>
      <c r="E79" s="13" t="str" cm="1">
        <f t="array" ref="E79">_xlfn.XLOOKUP(1,(Table1[time]=A79)*(Table1[unit bid]=B79),Table1[my_fi_name],"Not found")</f>
        <v>IBIT</v>
      </c>
      <c r="F79" s="13" t="str" cm="1">
        <f t="array" ref="F79">_xlfn.XLOOKUP(1,(Table1[time]=A79)*(Table1[unit ask]=C79),Table1[my_fi_name],"Not found")</f>
        <v>GBTC</v>
      </c>
    </row>
    <row r="80" spans="1:6" x14ac:dyDescent="0.25">
      <c r="A80" s="5" t="s">
        <v>109</v>
      </c>
      <c r="B80" s="3">
        <v>66162.605522000013</v>
      </c>
      <c r="C80" s="3">
        <v>66146.070854999998</v>
      </c>
      <c r="D80" s="3">
        <f t="shared" si="12"/>
        <v>16.534667000014451</v>
      </c>
      <c r="E80" s="13" t="str" cm="1">
        <f t="array" ref="E80">_xlfn.XLOOKUP(1,(Table1[time]=A80)*(Table1[unit bid]=B80),Table1[my_fi_name],"Not found")</f>
        <v>FBTC</v>
      </c>
      <c r="F80" s="13" t="str" cm="1">
        <f t="array" ref="F80">_xlfn.XLOOKUP(1,(Table1[time]=A80)*(Table1[unit ask]=C80),Table1[my_fi_name],"Not found")</f>
        <v>GBTC</v>
      </c>
    </row>
    <row r="81" spans="1:6" x14ac:dyDescent="0.25">
      <c r="A81" s="5" t="s">
        <v>110</v>
      </c>
      <c r="B81" s="3">
        <v>65644.61735700001</v>
      </c>
      <c r="C81" s="3">
        <v>65630.613455000013</v>
      </c>
      <c r="D81" s="3">
        <f t="shared" si="12"/>
        <v>14.003901999996742</v>
      </c>
      <c r="E81" s="13" t="str" cm="1">
        <f t="array" ref="E81">_xlfn.XLOOKUP(1,(Table1[time]=A81)*(Table1[unit bid]=B81),Table1[my_fi_name],"Not found")</f>
        <v>BRRR</v>
      </c>
      <c r="F81" s="13" t="str" cm="1">
        <f t="array" ref="F81">_xlfn.XLOOKUP(1,(Table1[time]=A81)*(Table1[unit ask]=C81),Table1[my_fi_name],"Not found")</f>
        <v>GBTC</v>
      </c>
    </row>
    <row r="82" spans="1:6" x14ac:dyDescent="0.25">
      <c r="A82" s="5" t="s">
        <v>111</v>
      </c>
      <c r="B82" s="3">
        <v>65752.375064000007</v>
      </c>
      <c r="C82" s="3">
        <v>65733.704935000002</v>
      </c>
      <c r="D82" s="3">
        <f t="shared" si="12"/>
        <v>18.670129000005545</v>
      </c>
      <c r="E82" s="13" t="str" cm="1">
        <f t="array" ref="E82">_xlfn.XLOOKUP(1,(Table1[time]=A82)*(Table1[unit bid]=B82),Table1[my_fi_name],"Not found")</f>
        <v>BTC</v>
      </c>
      <c r="F82" s="13" t="str" cm="1">
        <f t="array" ref="F82">_xlfn.XLOOKUP(1,(Table1[time]=A82)*(Table1[unit ask]=C82),Table1[my_fi_name],"Not found")</f>
        <v>GBTC</v>
      </c>
    </row>
    <row r="83" spans="1:6" x14ac:dyDescent="0.25">
      <c r="A83" s="5" t="s">
        <v>112</v>
      </c>
      <c r="B83" s="3">
        <v>65684.542490000007</v>
      </c>
      <c r="C83" s="3">
        <v>65669.272760000007</v>
      </c>
      <c r="D83" s="3">
        <f t="shared" si="12"/>
        <v>15.269729999999981</v>
      </c>
      <c r="E83" s="13" t="str" cm="1">
        <f t="array" ref="E83">_xlfn.XLOOKUP(1,(Table1[time]=A83)*(Table1[unit bid]=B83),Table1[my_fi_name],"Not found")</f>
        <v>BTC</v>
      </c>
      <c r="F83" s="13" t="str" cm="1">
        <f t="array" ref="F83">_xlfn.XLOOKUP(1,(Table1[time]=A83)*(Table1[unit ask]=C83),Table1[my_fi_name],"Not found")</f>
        <v>GBTC</v>
      </c>
    </row>
    <row r="84" spans="1:6" x14ac:dyDescent="0.25">
      <c r="A84" s="5" t="s">
        <v>113</v>
      </c>
      <c r="B84" s="3">
        <v>65912.071378000008</v>
      </c>
      <c r="C84" s="3">
        <v>65901.228590000013</v>
      </c>
      <c r="D84" s="3">
        <f t="shared" si="12"/>
        <v>10.842787999994471</v>
      </c>
      <c r="E84" s="13" t="str" cm="1">
        <f t="array" ref="E84">_xlfn.XLOOKUP(1,(Table1[time]=A84)*(Table1[unit bid]=B84),Table1[my_fi_name],"Not found")</f>
        <v>IBIT</v>
      </c>
      <c r="F84" s="13" t="str" cm="1">
        <f t="array" ref="F84">_xlfn.XLOOKUP(1,(Table1[time]=A84)*(Table1[unit ask]=C84),Table1[my_fi_name],"Not found")</f>
        <v>GBTC</v>
      </c>
    </row>
    <row r="85" spans="1:6" x14ac:dyDescent="0.25">
      <c r="A85" s="5" t="s">
        <v>114</v>
      </c>
      <c r="B85" s="3">
        <v>65760.505992000006</v>
      </c>
      <c r="C85" s="3">
        <v>65746.591370000009</v>
      </c>
      <c r="D85" s="3">
        <f t="shared" si="12"/>
        <v>13.914621999996598</v>
      </c>
      <c r="E85" s="13" t="str" cm="1">
        <f t="array" ref="E85">_xlfn.XLOOKUP(1,(Table1[time]=A85)*(Table1[unit bid]=B85),Table1[my_fi_name],"Not found")</f>
        <v>FBTC</v>
      </c>
      <c r="F85" s="13" t="str" cm="1">
        <f t="array" ref="F85">_xlfn.XLOOKUP(1,(Table1[time]=A85)*(Table1[unit ask]=C85),Table1[my_fi_name],"Not found")</f>
        <v>GBTC</v>
      </c>
    </row>
    <row r="86" spans="1:6" x14ac:dyDescent="0.25">
      <c r="A86" s="5" t="s">
        <v>115</v>
      </c>
      <c r="B86" s="3">
        <v>65876.767643999992</v>
      </c>
      <c r="C86" s="3">
        <v>65862.569285000005</v>
      </c>
      <c r="D86" s="3">
        <f t="shared" si="12"/>
        <v>14.198358999987249</v>
      </c>
      <c r="E86" s="13" t="str" cm="1">
        <f t="array" ref="E86">_xlfn.XLOOKUP(1,(Table1[time]=A86)*(Table1[unit bid]=B86),Table1[my_fi_name],"Not found")</f>
        <v>IBIT</v>
      </c>
      <c r="F86" s="13" t="str" cm="1">
        <f t="array" ref="F86">_xlfn.XLOOKUP(1,(Table1[time]=A86)*(Table1[unit ask]=C86),Table1[my_fi_name],"Not found")</f>
        <v>GBTC</v>
      </c>
    </row>
    <row r="87" spans="1:6" x14ac:dyDescent="0.25">
      <c r="A87" s="5" t="s">
        <v>116</v>
      </c>
      <c r="B87" s="3">
        <v>65684.542490000007</v>
      </c>
      <c r="C87" s="3">
        <v>65669.272760000007</v>
      </c>
      <c r="D87" s="3">
        <f t="shared" si="12"/>
        <v>15.269729999999981</v>
      </c>
      <c r="E87" s="13" t="str" cm="1">
        <f t="array" ref="E87">_xlfn.XLOOKUP(1,(Table1[time]=A87)*(Table1[unit bid]=B87),Table1[my_fi_name],"Not found")</f>
        <v>BTC</v>
      </c>
      <c r="F87" s="13" t="str" cm="1">
        <f t="array" ref="F87">_xlfn.XLOOKUP(1,(Table1[time]=A87)*(Table1[unit ask]=C87),Table1[my_fi_name],"Not found")</f>
        <v>GBTC</v>
      </c>
    </row>
    <row r="88" spans="1:6" x14ac:dyDescent="0.25">
      <c r="A88" s="5" t="s">
        <v>117</v>
      </c>
      <c r="B88" s="3">
        <v>65684.542490000007</v>
      </c>
      <c r="C88" s="3">
        <v>65669.272760000007</v>
      </c>
      <c r="D88" s="3">
        <f t="shared" si="12"/>
        <v>15.269729999999981</v>
      </c>
      <c r="E88" s="13" t="str" cm="1">
        <f t="array" ref="E88">_xlfn.XLOOKUP(1,(Table1[time]=A88)*(Table1[unit bid]=B88),Table1[my_fi_name],"Not found")</f>
        <v>BTC</v>
      </c>
      <c r="F88" s="13" t="str" cm="1">
        <f t="array" ref="F88">_xlfn.XLOOKUP(1,(Table1[time]=A88)*(Table1[unit ask]=C88),Table1[my_fi_name],"Not found")</f>
        <v>GBTC</v>
      </c>
    </row>
    <row r="89" spans="1:6" x14ac:dyDescent="0.25">
      <c r="A89" s="5" t="s">
        <v>118</v>
      </c>
      <c r="B89" s="3">
        <v>65760.505992000006</v>
      </c>
      <c r="C89" s="3">
        <v>65759.477805000002</v>
      </c>
      <c r="D89" s="3">
        <f t="shared" si="12"/>
        <v>1.0281870000035269</v>
      </c>
      <c r="E89" s="13" t="str" cm="1">
        <f t="array" ref="E89">_xlfn.XLOOKUP(1,(Table1[time]=A89)*(Table1[unit bid]=B89),Table1[my_fi_name],"Not found")</f>
        <v>FBTC</v>
      </c>
      <c r="F89" s="13" t="str" cm="1">
        <f t="array" ref="F89">_xlfn.XLOOKUP(1,(Table1[time]=A89)*(Table1[unit ask]=C89),Table1[my_fi_name],"Not found")</f>
        <v>GBTC</v>
      </c>
    </row>
    <row r="90" spans="1:6" x14ac:dyDescent="0.25">
      <c r="A90" s="5" t="s">
        <v>119</v>
      </c>
      <c r="B90" s="3">
        <v>65717.900840999995</v>
      </c>
      <c r="C90" s="3">
        <v>65707.932065000015</v>
      </c>
      <c r="D90" s="3">
        <f t="shared" si="12"/>
        <v>9.9687759999796981</v>
      </c>
      <c r="E90" s="13" t="str" cm="1">
        <f t="array" ref="E90">_xlfn.XLOOKUP(1,(Table1[time]=A90)*(Table1[unit bid]=B90),Table1[my_fi_name],"Not found")</f>
        <v>IBIT</v>
      </c>
      <c r="F90" s="13" t="str" cm="1">
        <f t="array" ref="F90">_xlfn.XLOOKUP(1,(Table1[time]=A90)*(Table1[unit ask]=C90),Table1[my_fi_name],"Not found")</f>
        <v>GBTC</v>
      </c>
    </row>
    <row r="91" spans="1:6" x14ac:dyDescent="0.25">
      <c r="A91" s="5" t="s">
        <v>120</v>
      </c>
      <c r="B91" s="3">
        <v>65753.7693</v>
      </c>
      <c r="C91" s="3">
        <v>65733.704935000002</v>
      </c>
      <c r="D91" s="3">
        <f t="shared" si="12"/>
        <v>20.064364999998361</v>
      </c>
      <c r="E91" s="13" t="str" cm="1">
        <f t="array" ref="E91">_xlfn.XLOOKUP(1,(Table1[time]=A91)*(Table1[unit bid]=B91),Table1[my_fi_name],"Not found")</f>
        <v>BTCW</v>
      </c>
      <c r="F91" s="13" t="str" cm="1">
        <f t="array" ref="F91">_xlfn.XLOOKUP(1,(Table1[time]=A91)*(Table1[unit ask]=C91),Table1[my_fi_name],"Not found")</f>
        <v>GBTC</v>
      </c>
    </row>
    <row r="92" spans="1:6" x14ac:dyDescent="0.25">
      <c r="A92" s="5" t="s">
        <v>121</v>
      </c>
      <c r="B92" s="3">
        <v>65707.153348000007</v>
      </c>
      <c r="C92" s="3">
        <v>65695.045630000008</v>
      </c>
      <c r="D92" s="3">
        <f t="shared" si="12"/>
        <v>12.107717999999295</v>
      </c>
      <c r="E92" s="13" t="str" cm="1">
        <f t="array" ref="E92">_xlfn.XLOOKUP(1,(Table1[time]=A92)*(Table1[unit bid]=B92),Table1[my_fi_name],"Not found")</f>
        <v>BTC</v>
      </c>
      <c r="F92" s="13" t="str" cm="1">
        <f t="array" ref="F92">_xlfn.XLOOKUP(1,(Table1[time]=A92)*(Table1[unit ask]=C92),Table1[my_fi_name],"Not found")</f>
        <v>GBTC</v>
      </c>
    </row>
    <row r="93" spans="1:6" x14ac:dyDescent="0.25">
      <c r="A93" s="5" t="s">
        <v>122</v>
      </c>
      <c r="B93" s="3">
        <v>65668.597527999998</v>
      </c>
      <c r="C93" s="3">
        <v>65656.386325000014</v>
      </c>
      <c r="D93" s="3">
        <f t="shared" si="12"/>
        <v>12.21120299998438</v>
      </c>
      <c r="E93" s="13" t="str" cm="1">
        <f t="array" ref="E93">_xlfn.XLOOKUP(1,(Table1[time]=A93)*(Table1[unit bid]=B93),Table1[my_fi_name],"Not found")</f>
        <v>FBTC</v>
      </c>
      <c r="F93" s="13" t="str" cm="1">
        <f t="array" ref="F93">_xlfn.XLOOKUP(1,(Table1[time]=A93)*(Table1[unit ask]=C93),Table1[my_fi_name],"Not found")</f>
        <v>GBTC</v>
      </c>
    </row>
    <row r="94" spans="1:6" x14ac:dyDescent="0.25">
      <c r="A94" s="5" t="s">
        <v>123</v>
      </c>
      <c r="B94" s="3">
        <v>65929.723245000001</v>
      </c>
      <c r="C94" s="3">
        <v>65914.115025000006</v>
      </c>
      <c r="D94" s="3">
        <f t="shared" si="12"/>
        <v>15.608219999994617</v>
      </c>
      <c r="E94" s="13" t="str" cm="1">
        <f t="array" ref="E94">_xlfn.XLOOKUP(1,(Table1[time]=A94)*(Table1[unit bid]=B94),Table1[my_fi_name],"Not found")</f>
        <v>IBIT</v>
      </c>
      <c r="F94" s="13" t="str" cm="1">
        <f t="array" ref="F94">_xlfn.XLOOKUP(1,(Table1[time]=A94)*(Table1[unit ask]=C94),Table1[my_fi_name],"Not found")</f>
        <v>GBTC</v>
      </c>
    </row>
    <row r="95" spans="1:6" x14ac:dyDescent="0.25">
      <c r="A95" s="5" t="s">
        <v>124</v>
      </c>
      <c r="B95" s="3">
        <v>66035.634446999989</v>
      </c>
      <c r="C95" s="3">
        <v>66017.206505000009</v>
      </c>
      <c r="D95" s="3">
        <f t="shared" si="12"/>
        <v>18.427941999980249</v>
      </c>
      <c r="E95" s="13" t="str" cm="1">
        <f t="array" ref="E95">_xlfn.XLOOKUP(1,(Table1[time]=A95)*(Table1[unit bid]=B95),Table1[my_fi_name],"Not found")</f>
        <v>IBIT</v>
      </c>
      <c r="F95" s="13" t="str" cm="1">
        <f t="array" ref="F95">_xlfn.XLOOKUP(1,(Table1[time]=A95)*(Table1[unit ask]=C95),Table1[my_fi_name],"Not found")</f>
        <v>GBTC</v>
      </c>
    </row>
    <row r="96" spans="1:6" x14ac:dyDescent="0.25">
      <c r="A96" s="5" t="s">
        <v>125</v>
      </c>
      <c r="B96" s="3">
        <v>65944.322920000006</v>
      </c>
      <c r="C96" s="3">
        <v>65927.001459999999</v>
      </c>
      <c r="D96" s="3">
        <f t="shared" si="12"/>
        <v>17.321460000006482</v>
      </c>
      <c r="E96" s="13" t="str" cm="1">
        <f t="array" ref="E96">_xlfn.XLOOKUP(1,(Table1[time]=A96)*(Table1[unit bid]=B96),Table1[my_fi_name],"Not found")</f>
        <v>FBTC</v>
      </c>
      <c r="F96" s="13" t="str" cm="1">
        <f t="array" ref="F96">_xlfn.XLOOKUP(1,(Table1[time]=A96)*(Table1[unit ask]=C96),Table1[my_fi_name],"Not found")</f>
        <v>GBTC</v>
      </c>
    </row>
    <row r="97" spans="1:6" x14ac:dyDescent="0.25">
      <c r="A97" s="5" t="s">
        <v>126</v>
      </c>
      <c r="B97" s="3">
        <v>65848.37904</v>
      </c>
      <c r="C97" s="3">
        <v>65836.796415000004</v>
      </c>
      <c r="D97" s="3">
        <f t="shared" si="12"/>
        <v>11.58262499999546</v>
      </c>
      <c r="E97" s="13" t="str" cm="1">
        <f t="array" ref="E97">_xlfn.XLOOKUP(1,(Table1[time]=A97)*(Table1[unit bid]=B97),Table1[my_fi_name],"Not found")</f>
        <v>BTCW</v>
      </c>
      <c r="F97" s="13" t="str" cm="1">
        <f t="array" ref="F97">_xlfn.XLOOKUP(1,(Table1[time]=A97)*(Table1[unit ask]=C97),Table1[my_fi_name],"Not found")</f>
        <v>GBTC</v>
      </c>
    </row>
    <row r="98" spans="1:6" x14ac:dyDescent="0.25">
      <c r="A98" s="5" t="s">
        <v>127</v>
      </c>
      <c r="B98" s="3">
        <v>65842.818496000007</v>
      </c>
      <c r="C98" s="3">
        <v>65823.909980000011</v>
      </c>
      <c r="D98" s="3">
        <f t="shared" si="12"/>
        <v>18.908515999995871</v>
      </c>
      <c r="E98" s="13" t="str" cm="1">
        <f t="array" ref="E98">_xlfn.XLOOKUP(1,(Table1[time]=A98)*(Table1[unit bid]=B98),Table1[my_fi_name],"Not found")</f>
        <v>BTC</v>
      </c>
      <c r="F98" s="13" t="str" cm="1">
        <f t="array" ref="F98">_xlfn.XLOOKUP(1,(Table1[time]=A98)*(Table1[unit ask]=C98),Table1[my_fi_name],"Not found")</f>
        <v>GBTC</v>
      </c>
    </row>
    <row r="99" spans="1:6" x14ac:dyDescent="0.25">
      <c r="A99" s="5" t="s">
        <v>128</v>
      </c>
      <c r="B99" s="3">
        <v>65639.320774000007</v>
      </c>
      <c r="C99" s="3">
        <v>65617.727020000006</v>
      </c>
      <c r="D99" s="3">
        <f t="shared" si="12"/>
        <v>21.593754000001354</v>
      </c>
      <c r="E99" s="13" t="str" cm="1">
        <f t="array" ref="E99">_xlfn.XLOOKUP(1,(Table1[time]=A99)*(Table1[unit bid]=B99),Table1[my_fi_name],"Not found")</f>
        <v>BTC</v>
      </c>
      <c r="F99" s="13" t="str" cm="1">
        <f t="array" ref="F99">_xlfn.XLOOKUP(1,(Table1[time]=A99)*(Table1[unit ask]=C99),Table1[my_fi_name],"Not found")</f>
        <v>GBTC</v>
      </c>
    </row>
    <row r="100" spans="1:6" x14ac:dyDescent="0.25">
      <c r="A100" s="5" t="s">
        <v>129</v>
      </c>
      <c r="B100" s="3">
        <v>65530.734832000002</v>
      </c>
      <c r="C100" s="3">
        <v>65512.581849999995</v>
      </c>
      <c r="D100" s="3">
        <f t="shared" si="12"/>
        <v>18.152982000006887</v>
      </c>
      <c r="E100" s="13" t="str" cm="1">
        <f t="array" ref="E100">_xlfn.XLOOKUP(1,(Table1[time]=A100)*(Table1[unit bid]=B100),Table1[my_fi_name],"Not found")</f>
        <v>FBTC</v>
      </c>
      <c r="F100" s="13" t="str" cm="1">
        <f t="array" ref="F100">_xlfn.XLOOKUP(1,(Table1[time]=A100)*(Table1[unit ask]=C100),Table1[my_fi_name],"Not found")</f>
        <v>ARKB</v>
      </c>
    </row>
    <row r="101" spans="1:6" x14ac:dyDescent="0.25">
      <c r="A101" s="5" t="s">
        <v>130</v>
      </c>
      <c r="B101" s="3">
        <v>65647.293372999993</v>
      </c>
      <c r="C101" s="3">
        <v>65630.613455000013</v>
      </c>
      <c r="D101" s="3">
        <f t="shared" si="12"/>
        <v>16.679917999979807</v>
      </c>
      <c r="E101" s="13" t="str" cm="1">
        <f t="array" ref="E101">_xlfn.XLOOKUP(1,(Table1[time]=A101)*(Table1[unit bid]=B101),Table1[my_fi_name],"Not found")</f>
        <v>IBIT</v>
      </c>
      <c r="F101" s="13" t="str" cm="1">
        <f t="array" ref="F101">_xlfn.XLOOKUP(1,(Table1[time]=A101)*(Table1[unit ask]=C101),Table1[my_fi_name],"Not found")</f>
        <v>GBTC</v>
      </c>
    </row>
    <row r="102" spans="1:6" x14ac:dyDescent="0.25">
      <c r="A102" s="5" t="s">
        <v>131</v>
      </c>
      <c r="B102" s="3">
        <v>65576.689064000006</v>
      </c>
      <c r="C102" s="3">
        <v>65566.181280000004</v>
      </c>
      <c r="D102" s="3">
        <f t="shared" si="12"/>
        <v>10.507784000001266</v>
      </c>
      <c r="E102" s="13" t="str" cm="1">
        <f t="array" ref="E102">_xlfn.XLOOKUP(1,(Table1[time]=A102)*(Table1[unit bid]=B102),Table1[my_fi_name],"Not found")</f>
        <v>FBTC</v>
      </c>
      <c r="F102" s="13" t="str" cm="1">
        <f t="array" ref="F102">_xlfn.XLOOKUP(1,(Table1[time]=A102)*(Table1[unit ask]=C102),Table1[my_fi_name],"Not found")</f>
        <v>GBTC</v>
      </c>
    </row>
    <row r="103" spans="1:6" x14ac:dyDescent="0.25">
      <c r="A103" s="5" t="s">
        <v>132</v>
      </c>
      <c r="B103" s="3">
        <v>65538.224136000004</v>
      </c>
      <c r="C103" s="3">
        <v>65514.63554000001</v>
      </c>
      <c r="D103" s="3">
        <f t="shared" si="12"/>
        <v>23.588595999994141</v>
      </c>
      <c r="E103" s="13" t="str" cm="1">
        <f t="array" ref="E103">_xlfn.XLOOKUP(1,(Table1[time]=A103)*(Table1[unit bid]=B103),Table1[my_fi_name],"Not found")</f>
        <v>BRRR</v>
      </c>
      <c r="F103" s="13" t="str" cm="1">
        <f t="array" ref="F103">_xlfn.XLOOKUP(1,(Table1[time]=A103)*(Table1[unit ask]=C103),Table1[my_fi_name],"Not found")</f>
        <v>GBTC</v>
      </c>
    </row>
    <row r="104" spans="1:6" x14ac:dyDescent="0.25">
      <c r="A104" s="5" t="s">
        <v>134</v>
      </c>
      <c r="B104" s="3">
        <v>65645.067150000003</v>
      </c>
      <c r="C104" s="3">
        <v>65646.071817999997</v>
      </c>
      <c r="D104" s="3">
        <f t="shared" ref="D104:D123" si="13">B104-C104</f>
        <v>-1.0046679999941261</v>
      </c>
      <c r="E104" s="13" t="str" cm="1">
        <f t="array" ref="E104">_xlfn.XLOOKUP(1,(Table1[time]=A104)*(Table1[unit bid]=B104),Table1[my_fi_name],"Not found")</f>
        <v>BRRR</v>
      </c>
      <c r="F104" s="13" t="str" cm="1">
        <f t="array" ref="F104">_xlfn.XLOOKUP(1,(Table1[time]=A104)*(Table1[unit ask]=C104),Table1[my_fi_name],"Not found")</f>
        <v>FBTC</v>
      </c>
    </row>
    <row r="105" spans="1:6" x14ac:dyDescent="0.25">
      <c r="A105" s="5" t="s">
        <v>135</v>
      </c>
      <c r="B105" s="3">
        <v>65763.682088999994</v>
      </c>
      <c r="C105" s="3">
        <v>65765.933940000003</v>
      </c>
      <c r="D105" s="3">
        <f t="shared" si="13"/>
        <v>-2.2518510000081733</v>
      </c>
      <c r="E105" s="13" t="str" cm="1">
        <f t="array" ref="E105">_xlfn.XLOOKUP(1,(Table1[time]=A105)*(Table1[unit bid]=B105),Table1[my_fi_name],"Not found")</f>
        <v>BTCW</v>
      </c>
      <c r="F105" s="13" t="str" cm="1">
        <f t="array" ref="F105">_xlfn.XLOOKUP(1,(Table1[time]=A105)*(Table1[unit ask]=C105),Table1[my_fi_name],"Not found")</f>
        <v>HODL</v>
      </c>
    </row>
    <row r="106" spans="1:6" x14ac:dyDescent="0.25">
      <c r="A106" s="5" t="s">
        <v>136</v>
      </c>
      <c r="B106" s="3">
        <v>65715.996450000006</v>
      </c>
      <c r="C106" s="3">
        <v>65718.351324000003</v>
      </c>
      <c r="D106" s="3">
        <f t="shared" si="13"/>
        <v>-2.3548739999969257</v>
      </c>
      <c r="E106" s="13" t="str" cm="1">
        <f t="array" ref="E106">_xlfn.XLOOKUP(1,(Table1[time]=A106)*(Table1[unit bid]=B106),Table1[my_fi_name],"Not found")</f>
        <v>BRRR</v>
      </c>
      <c r="F106" s="13" t="str" cm="1">
        <f t="array" ref="F106">_xlfn.XLOOKUP(1,(Table1[time]=A106)*(Table1[unit ask]=C106),Table1[my_fi_name],"Not found")</f>
        <v>IBIT</v>
      </c>
    </row>
    <row r="107" spans="1:6" x14ac:dyDescent="0.25">
      <c r="A107" s="5" t="s">
        <v>137</v>
      </c>
      <c r="B107" s="3">
        <v>66124.347048000011</v>
      </c>
      <c r="C107" s="3">
        <v>66126.722999999998</v>
      </c>
      <c r="D107" s="3">
        <f t="shared" si="13"/>
        <v>-2.375951999987592</v>
      </c>
      <c r="E107" s="13" t="str" cm="1">
        <f t="array" ref="E107">_xlfn.XLOOKUP(1,(Table1[time]=A107)*(Table1[unit bid]=B107),Table1[my_fi_name],"Not found")</f>
        <v>IBIT</v>
      </c>
      <c r="F107" s="13" t="str" cm="1">
        <f t="array" ref="F107">_xlfn.XLOOKUP(1,(Table1[time]=A107)*(Table1[unit ask]=C107),Table1[my_fi_name],"Not found")</f>
        <v>BITB</v>
      </c>
    </row>
    <row r="108" spans="1:6" x14ac:dyDescent="0.25">
      <c r="A108" s="5" t="s">
        <v>138</v>
      </c>
      <c r="B108" s="3">
        <v>65935.038501000003</v>
      </c>
      <c r="C108" s="3">
        <v>65942.525999999998</v>
      </c>
      <c r="D108" s="3">
        <f t="shared" si="13"/>
        <v>-7.4874989999952959</v>
      </c>
      <c r="E108" s="13" t="str" cm="1">
        <f t="array" ref="E108">_xlfn.XLOOKUP(1,(Table1[time]=A108)*(Table1[unit bid]=B108),Table1[my_fi_name],"Not found")</f>
        <v>ARKB</v>
      </c>
      <c r="F108" s="13" t="str" cm="1">
        <f t="array" ref="F108">_xlfn.XLOOKUP(1,(Table1[time]=A108)*(Table1[unit ask]=C108),Table1[my_fi_name],"Not found")</f>
        <v>BITB</v>
      </c>
    </row>
    <row r="109" spans="1:6" x14ac:dyDescent="0.25">
      <c r="A109" s="5" t="s">
        <v>139</v>
      </c>
      <c r="B109" s="3">
        <v>65844.592632</v>
      </c>
      <c r="C109" s="3">
        <v>65841.915240000002</v>
      </c>
      <c r="D109" s="3">
        <f t="shared" si="13"/>
        <v>2.6773919999977807</v>
      </c>
      <c r="E109" s="13" t="str" cm="1">
        <f t="array" ref="E109">_xlfn.XLOOKUP(1,(Table1[time]=A109)*(Table1[unit bid]=B109),Table1[my_fi_name],"Not found")</f>
        <v>ARKB</v>
      </c>
      <c r="F109" s="13" t="str" cm="1">
        <f t="array" ref="F109">_xlfn.XLOOKUP(1,(Table1[time]=A109)*(Table1[unit ask]=C109),Table1[my_fi_name],"Not found")</f>
        <v>IBIT</v>
      </c>
    </row>
    <row r="110" spans="1:6" x14ac:dyDescent="0.25">
      <c r="A110" s="5" t="s">
        <v>140</v>
      </c>
      <c r="B110" s="3">
        <v>65875.844557999997</v>
      </c>
      <c r="C110" s="3">
        <v>65872.008027000003</v>
      </c>
      <c r="D110" s="3">
        <f t="shared" si="13"/>
        <v>3.8365309999935562</v>
      </c>
      <c r="E110" s="13" t="str" cm="1">
        <f t="array" ref="E110">_xlfn.XLOOKUP(1,(Table1[time]=A110)*(Table1[unit bid]=B110),Table1[my_fi_name],"Not found")</f>
        <v>FBTC</v>
      </c>
      <c r="F110" s="13" t="str" cm="1">
        <f t="array" ref="F110">_xlfn.XLOOKUP(1,(Table1[time]=A110)*(Table1[unit ask]=C110),Table1[my_fi_name],"Not found")</f>
        <v>HODL</v>
      </c>
    </row>
    <row r="111" spans="1:6" x14ac:dyDescent="0.25">
      <c r="A111" s="5" t="s">
        <v>141</v>
      </c>
      <c r="B111" s="3">
        <v>65898.821831999987</v>
      </c>
      <c r="C111" s="3">
        <v>65891.052045000004</v>
      </c>
      <c r="D111" s="3">
        <f t="shared" si="13"/>
        <v>7.7697869999828981</v>
      </c>
      <c r="E111" s="13" t="str" cm="1">
        <f t="array" ref="E111">_xlfn.XLOOKUP(1,(Table1[time]=A111)*(Table1[unit bid]=B111),Table1[my_fi_name],"Not found")</f>
        <v>FBTC</v>
      </c>
      <c r="F111" s="13" t="str" cm="1">
        <f t="array" ref="F111">_xlfn.XLOOKUP(1,(Table1[time]=A111)*(Table1[unit ask]=C111),Table1[my_fi_name],"Not found")</f>
        <v>GBTC</v>
      </c>
    </row>
    <row r="112" spans="1:6" x14ac:dyDescent="0.25">
      <c r="A112" s="5" t="s">
        <v>142</v>
      </c>
      <c r="B112" s="3">
        <v>65801.291968999998</v>
      </c>
      <c r="C112" s="3">
        <v>65806.611264000006</v>
      </c>
      <c r="D112" s="3">
        <f t="shared" si="13"/>
        <v>-5.3192950000084238</v>
      </c>
      <c r="E112" s="13" t="str" cm="1">
        <f t="array" ref="E112">_xlfn.XLOOKUP(1,(Table1[time]=A112)*(Table1[unit bid]=B112),Table1[my_fi_name],"Not found")</f>
        <v>HODL</v>
      </c>
      <c r="F112" s="13" t="str" cm="1">
        <f t="array" ref="F112">_xlfn.XLOOKUP(1,(Table1[time]=A112)*(Table1[unit ask]=C112),Table1[my_fi_name],"Not found")</f>
        <v>IBIT</v>
      </c>
    </row>
    <row r="113" spans="1:6" x14ac:dyDescent="0.25">
      <c r="A113" s="5" t="s">
        <v>143</v>
      </c>
      <c r="B113" s="3">
        <v>66001.365969000006</v>
      </c>
      <c r="C113" s="3">
        <v>65997.785099999994</v>
      </c>
      <c r="D113" s="3">
        <f t="shared" si="13"/>
        <v>3.5808690000121715</v>
      </c>
      <c r="E113" s="13" t="str" cm="1">
        <f t="array" ref="E113">_xlfn.XLOOKUP(1,(Table1[time]=A113)*(Table1[unit bid]=B113),Table1[my_fi_name],"Not found")</f>
        <v>BTC</v>
      </c>
      <c r="F113" s="13" t="str" cm="1">
        <f t="array" ref="F113">_xlfn.XLOOKUP(1,(Table1[time]=A113)*(Table1[unit ask]=C113),Table1[my_fi_name],"Not found")</f>
        <v>BITB</v>
      </c>
    </row>
    <row r="114" spans="1:6" x14ac:dyDescent="0.25">
      <c r="A114" s="5" t="s">
        <v>144</v>
      </c>
      <c r="B114" s="3">
        <v>65324.389981999993</v>
      </c>
      <c r="C114" s="3">
        <v>65325.885300000009</v>
      </c>
      <c r="D114" s="3">
        <f t="shared" si="13"/>
        <v>-1.4953180000156863</v>
      </c>
      <c r="E114" s="13" t="str" cm="1">
        <f t="array" ref="E114">_xlfn.XLOOKUP(1,(Table1[time]=A114)*(Table1[unit bid]=B114),Table1[my_fi_name],"Not found")</f>
        <v>FBTC</v>
      </c>
      <c r="F114" s="13" t="str" cm="1">
        <f t="array" ref="F114">_xlfn.XLOOKUP(1,(Table1[time]=A114)*(Table1[unit ask]=C114),Table1[my_fi_name],"Not found")</f>
        <v>BRRR</v>
      </c>
    </row>
    <row r="115" spans="1:6" x14ac:dyDescent="0.25">
      <c r="A115" s="5" t="s">
        <v>145</v>
      </c>
      <c r="B115" s="3">
        <v>65301.917417999997</v>
      </c>
      <c r="C115" s="3">
        <v>65297.836500000005</v>
      </c>
      <c r="D115" s="3">
        <f t="shared" si="13"/>
        <v>4.0809179999923799</v>
      </c>
      <c r="E115" s="13" t="str" cm="1">
        <f t="array" ref="E115">_xlfn.XLOOKUP(1,(Table1[time]=A115)*(Table1[unit bid]=B115),Table1[my_fi_name],"Not found")</f>
        <v>ARKB</v>
      </c>
      <c r="F115" s="13" t="str" cm="1">
        <f t="array" ref="F115">_xlfn.XLOOKUP(1,(Table1[time]=A115)*(Table1[unit ask]=C115),Table1[my_fi_name],"Not found")</f>
        <v>BITB</v>
      </c>
    </row>
    <row r="116" spans="1:6" x14ac:dyDescent="0.25">
      <c r="A116" s="5" t="s">
        <v>146</v>
      </c>
      <c r="B116" s="3">
        <v>65623.094543999992</v>
      </c>
      <c r="C116" s="3">
        <v>65620.425780000005</v>
      </c>
      <c r="D116" s="3">
        <f t="shared" si="13"/>
        <v>2.6687639999872772</v>
      </c>
      <c r="E116" s="13" t="str" cm="1">
        <f t="array" ref="E116">_xlfn.XLOOKUP(1,(Table1[time]=A116)*(Table1[unit bid]=B116),Table1[my_fi_name],"Not found")</f>
        <v>FBTC</v>
      </c>
      <c r="F116" s="13" t="str" cm="1">
        <f t="array" ref="F116">_xlfn.XLOOKUP(1,(Table1[time]=A116)*(Table1[unit ask]=C116),Table1[my_fi_name],"Not found")</f>
        <v>GBTC</v>
      </c>
    </row>
    <row r="117" spans="1:6" x14ac:dyDescent="0.25">
      <c r="A117" s="5" t="s">
        <v>147</v>
      </c>
      <c r="B117" s="3">
        <v>65594.651849999995</v>
      </c>
      <c r="C117" s="3">
        <v>65589.143795000011</v>
      </c>
      <c r="D117" s="3">
        <f t="shared" si="13"/>
        <v>5.5080549999838695</v>
      </c>
      <c r="E117" s="13" t="str" cm="1">
        <f t="array" ref="E117">_xlfn.XLOOKUP(1,(Table1[time]=A117)*(Table1[unit bid]=B117),Table1[my_fi_name],"Not found")</f>
        <v>GBTC</v>
      </c>
      <c r="F117" s="13" t="str" cm="1">
        <f t="array" ref="F117">_xlfn.XLOOKUP(1,(Table1[time]=A117)*(Table1[unit ask]=C117),Table1[my_fi_name],"Not found")</f>
        <v>HODL</v>
      </c>
    </row>
    <row r="118" spans="1:6" x14ac:dyDescent="0.25">
      <c r="A118" s="5" t="s">
        <v>148</v>
      </c>
      <c r="B118" s="3">
        <v>65060.151330999994</v>
      </c>
      <c r="C118" s="3">
        <v>65047.575780000006</v>
      </c>
      <c r="D118" s="3">
        <f t="shared" si="13"/>
        <v>12.575550999987172</v>
      </c>
      <c r="E118" s="13" t="str" cm="1">
        <f t="array" ref="E118">_xlfn.XLOOKUP(1,(Table1[time]=A118)*(Table1[unit bid]=B118),Table1[my_fi_name],"Not found")</f>
        <v>FBTC</v>
      </c>
      <c r="F118" s="13" t="str" cm="1">
        <f t="array" ref="F118">_xlfn.XLOOKUP(1,(Table1[time]=A118)*(Table1[unit ask]=C118),Table1[my_fi_name],"Not found")</f>
        <v>IBIT</v>
      </c>
    </row>
    <row r="119" spans="1:6" x14ac:dyDescent="0.25">
      <c r="A119" s="5" t="s">
        <v>149</v>
      </c>
      <c r="B119" s="3">
        <v>64775.909128000007</v>
      </c>
      <c r="C119" s="3">
        <v>64780.374614999993</v>
      </c>
      <c r="D119" s="3">
        <f t="shared" si="13"/>
        <v>-4.4654869999867515</v>
      </c>
      <c r="E119" s="13" t="str" cm="1">
        <f t="array" ref="E119">_xlfn.XLOOKUP(1,(Table1[time]=A119)*(Table1[unit bid]=B119),Table1[my_fi_name],"Not found")</f>
        <v>HODL</v>
      </c>
      <c r="F119" s="13" t="str" cm="1">
        <f t="array" ref="F119">_xlfn.XLOOKUP(1,(Table1[time]=A119)*(Table1[unit ask]=C119),Table1[my_fi_name],"Not found")</f>
        <v>BTC</v>
      </c>
    </row>
    <row r="120" spans="1:6" x14ac:dyDescent="0.25">
      <c r="A120" s="5" t="s">
        <v>150</v>
      </c>
      <c r="B120" s="3">
        <v>64152.549007999995</v>
      </c>
      <c r="C120" s="3">
        <v>64147.32439200001</v>
      </c>
      <c r="D120" s="3">
        <f t="shared" si="13"/>
        <v>5.2246159999849624</v>
      </c>
      <c r="E120" s="13" t="str" cm="1">
        <f t="array" ref="E120">_xlfn.XLOOKUP(1,(Table1[time]=A120)*(Table1[unit bid]=B120),Table1[my_fi_name],"Not found")</f>
        <v>FBTC</v>
      </c>
      <c r="F120" s="13" t="str" cm="1">
        <f t="array" ref="F120">_xlfn.XLOOKUP(1,(Table1[time]=A120)*(Table1[unit ask]=C120),Table1[my_fi_name],"Not found")</f>
        <v>IBIT</v>
      </c>
    </row>
    <row r="121" spans="1:6" x14ac:dyDescent="0.25">
      <c r="A121" s="5" t="s">
        <v>151</v>
      </c>
      <c r="B121" s="3">
        <v>64136.383381</v>
      </c>
      <c r="C121" s="3">
        <v>64112.020416000007</v>
      </c>
      <c r="D121" s="3">
        <f t="shared" si="13"/>
        <v>24.362964999992982</v>
      </c>
      <c r="E121" s="13" t="str" cm="1">
        <f t="array" ref="E121">_xlfn.XLOOKUP(1,(Table1[time]=A121)*(Table1[unit bid]=B121),Table1[my_fi_name],"Not found")</f>
        <v>BTCW</v>
      </c>
      <c r="F121" s="13" t="str" cm="1">
        <f t="array" ref="F121">_xlfn.XLOOKUP(1,(Table1[time]=A121)*(Table1[unit ask]=C121),Table1[my_fi_name],"Not found")</f>
        <v>IBIT</v>
      </c>
    </row>
    <row r="122" spans="1:6" x14ac:dyDescent="0.25">
      <c r="A122" s="5" t="s">
        <v>152</v>
      </c>
      <c r="B122" s="3">
        <v>64267.294454999996</v>
      </c>
      <c r="C122" s="3">
        <v>64253.236320000004</v>
      </c>
      <c r="D122" s="3">
        <f t="shared" si="13"/>
        <v>14.058134999992035</v>
      </c>
      <c r="E122" s="13" t="str" cm="1">
        <f t="array" ref="E122">_xlfn.XLOOKUP(1,(Table1[time]=A122)*(Table1[unit bid]=B122),Table1[my_fi_name],"Not found")</f>
        <v>GBTC</v>
      </c>
      <c r="F122" s="13" t="str" cm="1">
        <f t="array" ref="F122">_xlfn.XLOOKUP(1,(Table1[time]=A122)*(Table1[unit ask]=C122),Table1[my_fi_name],"Not found")</f>
        <v>IBIT</v>
      </c>
    </row>
    <row r="123" spans="1:6" x14ac:dyDescent="0.25">
      <c r="A123" s="5" t="s">
        <v>153</v>
      </c>
      <c r="B123" s="3">
        <v>64367.310104999997</v>
      </c>
      <c r="C123" s="3">
        <v>64376.800236000003</v>
      </c>
      <c r="D123" s="3">
        <f t="shared" si="13"/>
        <v>-9.4901310000059311</v>
      </c>
      <c r="E123" s="13" t="str" cm="1">
        <f t="array" ref="E123">_xlfn.XLOOKUP(1,(Table1[time]=A123)*(Table1[unit bid]=B123),Table1[my_fi_name],"Not found")</f>
        <v>ARKB</v>
      </c>
      <c r="F123" s="13" t="str" cm="1">
        <f t="array" ref="F123">_xlfn.XLOOKUP(1,(Table1[time]=A123)*(Table1[unit ask]=C123),Table1[my_fi_name],"Not found")</f>
        <v>IBIT</v>
      </c>
    </row>
    <row r="124" spans="1:6" x14ac:dyDescent="0.25">
      <c r="A124" s="5" t="s">
        <v>159</v>
      </c>
      <c r="B124" s="3">
        <v>64338.638210000005</v>
      </c>
      <c r="C124" s="3">
        <v>64325.607967999997</v>
      </c>
      <c r="D124" s="3">
        <f t="shared" ref="D124:D150" si="14">B124-C124</f>
        <v>13.030242000008002</v>
      </c>
      <c r="E124" s="13" t="str" cm="1">
        <f t="array" ref="E124">_xlfn.XLOOKUP(1,(Table1[time]=A124)*(Table1[unit bid]=B124),Table1[my_fi_name],"Not found")</f>
        <v>ARKB</v>
      </c>
      <c r="F124" s="13" t="str" cm="1">
        <f t="array" ref="F124">_xlfn.XLOOKUP(1,(Table1[time]=A124)*(Table1[unit ask]=C124),Table1[my_fi_name],"Not found")</f>
        <v>IBIT</v>
      </c>
    </row>
    <row r="125" spans="1:6" x14ac:dyDescent="0.25">
      <c r="A125" s="5" t="s">
        <v>160</v>
      </c>
      <c r="B125" s="3">
        <v>63994.307025000002</v>
      </c>
      <c r="C125" s="3">
        <v>63990.04409000001</v>
      </c>
      <c r="D125" s="3">
        <f t="shared" si="14"/>
        <v>4.2629349999915576</v>
      </c>
      <c r="E125" s="13" t="str" cm="1">
        <f t="array" ref="E125">_xlfn.XLOOKUP(1,(Table1[time]=A125)*(Table1[unit bid]=B125),Table1[my_fi_name],"Not found")</f>
        <v>GBTC</v>
      </c>
      <c r="F125" s="13" t="str" cm="1">
        <f t="array" ref="F125">_xlfn.XLOOKUP(1,(Table1[time]=A125)*(Table1[unit ask]=C125),Table1[my_fi_name],"Not found")</f>
        <v>BTC</v>
      </c>
    </row>
    <row r="126" spans="1:6" x14ac:dyDescent="0.25">
      <c r="A126" s="5" t="s">
        <v>161</v>
      </c>
      <c r="B126" s="3">
        <v>64058.752450000007</v>
      </c>
      <c r="C126" s="3">
        <v>64043.168416</v>
      </c>
      <c r="D126" s="3">
        <f t="shared" si="14"/>
        <v>15.584034000006795</v>
      </c>
      <c r="E126" s="13" t="str" cm="1">
        <f t="array" ref="E126">_xlfn.XLOOKUP(1,(Table1[time]=A126)*(Table1[unit bid]=B126),Table1[my_fi_name],"Not found")</f>
        <v>GBTC</v>
      </c>
      <c r="F126" s="13" t="str" cm="1">
        <f t="array" ref="F126">_xlfn.XLOOKUP(1,(Table1[time]=A126)*(Table1[unit ask]=C126),Table1[my_fi_name],"Not found")</f>
        <v>IBIT</v>
      </c>
    </row>
    <row r="127" spans="1:6" x14ac:dyDescent="0.25">
      <c r="A127" s="5" t="s">
        <v>162</v>
      </c>
      <c r="B127" s="3">
        <v>63878.305260000001</v>
      </c>
      <c r="C127" s="3">
        <v>63866.643695999999</v>
      </c>
      <c r="D127" s="3">
        <f t="shared" si="14"/>
        <v>11.661564000001817</v>
      </c>
      <c r="E127" s="13" t="str" cm="1">
        <f t="array" ref="E127">_xlfn.XLOOKUP(1,(Table1[time]=A127)*(Table1[unit bid]=B127),Table1[my_fi_name],"Not found")</f>
        <v>GBTC</v>
      </c>
      <c r="F127" s="13" t="str" cm="1">
        <f t="array" ref="F127">_xlfn.XLOOKUP(1,(Table1[time]=A127)*(Table1[unit ask]=C127),Table1[my_fi_name],"Not found")</f>
        <v>IBIT</v>
      </c>
    </row>
    <row r="128" spans="1:6" x14ac:dyDescent="0.25">
      <c r="A128" s="5" t="s">
        <v>163</v>
      </c>
      <c r="B128" s="3">
        <v>63922.210121000004</v>
      </c>
      <c r="C128" s="3">
        <v>63916.972515000001</v>
      </c>
      <c r="D128" s="3">
        <f t="shared" si="14"/>
        <v>5.2376060000024154</v>
      </c>
      <c r="E128" s="13" t="str" cm="1">
        <f t="array" ref="E128">_xlfn.XLOOKUP(1,(Table1[time]=A128)*(Table1[unit bid]=B128),Table1[my_fi_name],"Not found")</f>
        <v>BTC</v>
      </c>
      <c r="F128" s="13" t="str" cm="1">
        <f t="array" ref="F128">_xlfn.XLOOKUP(1,(Table1[time]=A128)*(Table1[unit ask]=C128),Table1[my_fi_name],"Not found")</f>
        <v>GBTC</v>
      </c>
    </row>
    <row r="129" spans="1:6" x14ac:dyDescent="0.25">
      <c r="A129" s="5" t="s">
        <v>164</v>
      </c>
      <c r="B129" s="3">
        <v>63807.240256000005</v>
      </c>
      <c r="C129" s="3">
        <v>63785.884315999996</v>
      </c>
      <c r="D129" s="3">
        <f t="shared" si="14"/>
        <v>21.355940000008559</v>
      </c>
      <c r="E129" s="13" t="str" cm="1">
        <f t="array" ref="E129">_xlfn.XLOOKUP(1,(Table1[time]=A129)*(Table1[unit bid]=B129),Table1[my_fi_name],"Not found")</f>
        <v>BITB</v>
      </c>
      <c r="F129" s="13" t="str" cm="1">
        <f t="array" ref="F129">_xlfn.XLOOKUP(1,(Table1[time]=A129)*(Table1[unit ask]=C129),Table1[my_fi_name],"Not found")</f>
        <v>HODL</v>
      </c>
    </row>
    <row r="130" spans="1:6" x14ac:dyDescent="0.25">
      <c r="A130" s="5" t="s">
        <v>165</v>
      </c>
      <c r="B130" s="3">
        <v>63770.400047999996</v>
      </c>
      <c r="C130" s="3">
        <v>63763.689149999998</v>
      </c>
      <c r="D130" s="3">
        <f t="shared" si="14"/>
        <v>6.7108979999975418</v>
      </c>
      <c r="E130" s="13" t="str" cm="1">
        <f t="array" ref="E130">_xlfn.XLOOKUP(1,(Table1[time]=A130)*(Table1[unit bid]=B130),Table1[my_fi_name],"Not found")</f>
        <v>BITB</v>
      </c>
      <c r="F130" s="13" t="str" cm="1">
        <f t="array" ref="F130">_xlfn.XLOOKUP(1,(Table1[time]=A130)*(Table1[unit ask]=C130),Table1[my_fi_name],"Not found")</f>
        <v>FBTC</v>
      </c>
    </row>
    <row r="131" spans="1:6" x14ac:dyDescent="0.25">
      <c r="A131" s="5" t="s">
        <v>166</v>
      </c>
      <c r="B131" s="3">
        <v>63568.967219999999</v>
      </c>
      <c r="C131" s="3">
        <v>63556.887995999998</v>
      </c>
      <c r="D131" s="3">
        <f t="shared" si="14"/>
        <v>12.079224000000977</v>
      </c>
      <c r="E131" s="13" t="str" cm="1">
        <f t="array" ref="E131">_xlfn.XLOOKUP(1,(Table1[time]=A131)*(Table1[unit bid]=B131),Table1[my_fi_name],"Not found")</f>
        <v>GBTC</v>
      </c>
      <c r="F131" s="13" t="str" cm="1">
        <f t="array" ref="F131">_xlfn.XLOOKUP(1,(Table1[time]=A131)*(Table1[unit ask]=C131),Table1[my_fi_name],"Not found")</f>
        <v>FBTC</v>
      </c>
    </row>
    <row r="132" spans="1:6" x14ac:dyDescent="0.25">
      <c r="A132" s="5" t="s">
        <v>167</v>
      </c>
      <c r="B132" s="3">
        <v>63311.185519999999</v>
      </c>
      <c r="C132" s="3">
        <v>63301.764592</v>
      </c>
      <c r="D132" s="3">
        <f t="shared" si="14"/>
        <v>9.4209279999995488</v>
      </c>
      <c r="E132" s="13" t="str" cm="1">
        <f t="array" ref="E132">_xlfn.XLOOKUP(1,(Table1[time]=A132)*(Table1[unit bid]=B132),Table1[my_fi_name],"Not found")</f>
        <v>GBTC</v>
      </c>
      <c r="F132" s="13" t="str" cm="1">
        <f t="array" ref="F132">_xlfn.XLOOKUP(1,(Table1[time]=A132)*(Table1[unit ask]=C132),Table1[my_fi_name],"Not found")</f>
        <v>IBIT</v>
      </c>
    </row>
    <row r="133" spans="1:6" x14ac:dyDescent="0.25">
      <c r="A133" s="5" t="s">
        <v>168</v>
      </c>
      <c r="B133" s="3">
        <v>63092.071075000007</v>
      </c>
      <c r="C133" s="3">
        <v>63085.840922999989</v>
      </c>
      <c r="D133" s="3">
        <f t="shared" si="14"/>
        <v>6.2301520000182791</v>
      </c>
      <c r="E133" s="13" t="str" cm="1">
        <f t="array" ref="E133">_xlfn.XLOOKUP(1,(Table1[time]=A133)*(Table1[unit bid]=B133),Table1[my_fi_name],"Not found")</f>
        <v>GBTC</v>
      </c>
      <c r="F133" s="13" t="str" cm="1">
        <f t="array" ref="F133">_xlfn.XLOOKUP(1,(Table1[time]=A133)*(Table1[unit ask]=C133),Table1[my_fi_name],"Not found")</f>
        <v>FBTC</v>
      </c>
    </row>
    <row r="134" spans="1:6" x14ac:dyDescent="0.25">
      <c r="A134" s="5" t="s">
        <v>169</v>
      </c>
      <c r="B134" s="3">
        <v>62550.729505000003</v>
      </c>
      <c r="C134" s="3">
        <v>62525.891585999991</v>
      </c>
      <c r="D134" s="3">
        <f t="shared" si="14"/>
        <v>24.837919000012334</v>
      </c>
      <c r="E134" s="13" t="str" cm="1">
        <f t="array" ref="E134">_xlfn.XLOOKUP(1,(Table1[time]=A134)*(Table1[unit bid]=B134),Table1[my_fi_name],"Not found")</f>
        <v>GBTC</v>
      </c>
      <c r="F134" s="13" t="str" cm="1">
        <f t="array" ref="F134">_xlfn.XLOOKUP(1,(Table1[time]=A134)*(Table1[unit ask]=C134),Table1[my_fi_name],"Not found")</f>
        <v>BRRR</v>
      </c>
    </row>
    <row r="135" spans="1:6" x14ac:dyDescent="0.25">
      <c r="A135" s="5" t="s">
        <v>170</v>
      </c>
      <c r="B135" s="3">
        <v>62565.53074100001</v>
      </c>
      <c r="C135" s="3">
        <v>62561.357208000001</v>
      </c>
      <c r="D135" s="3">
        <f t="shared" si="14"/>
        <v>4.1735330000083195</v>
      </c>
      <c r="E135" s="13" t="str" cm="1">
        <f t="array" ref="E135">_xlfn.XLOOKUP(1,(Table1[time]=A135)*(Table1[unit bid]=B135),Table1[my_fi_name],"Not found")</f>
        <v>BTC</v>
      </c>
      <c r="F135" s="13" t="str" cm="1">
        <f t="array" ref="F135">_xlfn.XLOOKUP(1,(Table1[time]=A135)*(Table1[unit ask]=C135),Table1[my_fi_name],"Not found")</f>
        <v>BRRR</v>
      </c>
    </row>
    <row r="136" spans="1:6" x14ac:dyDescent="0.25">
      <c r="A136" s="5" t="s">
        <v>171</v>
      </c>
      <c r="B136" s="3">
        <v>62620.127254999999</v>
      </c>
      <c r="C136" s="3">
        <v>62614.793849999995</v>
      </c>
      <c r="D136" s="3">
        <f t="shared" si="14"/>
        <v>5.3334050000048592</v>
      </c>
      <c r="E136" s="13" t="str" cm="1">
        <f t="array" ref="E136">_xlfn.XLOOKUP(1,(Table1[time]=A136)*(Table1[unit bid]=B136),Table1[my_fi_name],"Not found")</f>
        <v>ARKB</v>
      </c>
      <c r="F136" s="13" t="str" cm="1">
        <f t="array" ref="F136">_xlfn.XLOOKUP(1,(Table1[time]=A136)*(Table1[unit ask]=C136),Table1[my_fi_name],"Not found")</f>
        <v>FBTC</v>
      </c>
    </row>
    <row r="137" spans="1:6" x14ac:dyDescent="0.25">
      <c r="A137" s="5" t="s">
        <v>172</v>
      </c>
      <c r="B137" s="3">
        <v>62554.673184000007</v>
      </c>
      <c r="C137" s="3">
        <v>62557.349085000002</v>
      </c>
      <c r="D137" s="3">
        <f t="shared" si="14"/>
        <v>-2.6759009999950649</v>
      </c>
      <c r="E137" s="13" t="str" cm="1">
        <f t="array" ref="E137">_xlfn.XLOOKUP(1,(Table1[time]=A137)*(Table1[unit bid]=B137),Table1[my_fi_name],"Not found")</f>
        <v>BITB</v>
      </c>
      <c r="F137" s="13" t="str" cm="1">
        <f t="array" ref="F137">_xlfn.XLOOKUP(1,(Table1[time]=A137)*(Table1[unit ask]=C137),Table1[my_fi_name],"Not found")</f>
        <v>FBTC</v>
      </c>
    </row>
    <row r="138" spans="1:6" x14ac:dyDescent="0.25">
      <c r="A138" s="5" t="s">
        <v>173</v>
      </c>
      <c r="B138" s="3">
        <v>62591.513392000001</v>
      </c>
      <c r="C138" s="3">
        <v>62580.326990999994</v>
      </c>
      <c r="D138" s="3">
        <f t="shared" si="14"/>
        <v>11.186401000006299</v>
      </c>
      <c r="E138" s="13" t="str" cm="1">
        <f t="array" ref="E138">_xlfn.XLOOKUP(1,(Table1[time]=A138)*(Table1[unit bid]=B138),Table1[my_fi_name],"Not found")</f>
        <v>BITB</v>
      </c>
      <c r="F138" s="13" t="str" cm="1">
        <f t="array" ref="F138">_xlfn.XLOOKUP(1,(Table1[time]=A138)*(Table1[unit ask]=C138),Table1[my_fi_name],"Not found")</f>
        <v>FBTC</v>
      </c>
    </row>
    <row r="139" spans="1:6" x14ac:dyDescent="0.25">
      <c r="A139" s="5" t="s">
        <v>174</v>
      </c>
      <c r="B139" s="3">
        <v>62499.529995000004</v>
      </c>
      <c r="C139" s="3">
        <v>62490.425964000002</v>
      </c>
      <c r="D139" s="3">
        <f t="shared" si="14"/>
        <v>9.1040310000025784</v>
      </c>
      <c r="E139" s="13" t="str" cm="1">
        <f t="array" ref="E139">_xlfn.XLOOKUP(1,(Table1[time]=A139)*(Table1[unit bid]=B139),Table1[my_fi_name],"Not found")</f>
        <v>ARKB</v>
      </c>
      <c r="F139" s="13" t="str" cm="1">
        <f t="array" ref="F139">_xlfn.XLOOKUP(1,(Table1[time]=A139)*(Table1[unit ask]=C139),Table1[my_fi_name],"Not found")</f>
        <v>BRRR</v>
      </c>
    </row>
    <row r="140" spans="1:6" x14ac:dyDescent="0.25">
      <c r="A140" s="5" t="s">
        <v>175</v>
      </c>
      <c r="B140" s="3">
        <v>62522.882225999994</v>
      </c>
      <c r="C140" s="3">
        <v>62524.951334999998</v>
      </c>
      <c r="D140" s="3">
        <f t="shared" si="14"/>
        <v>-2.0691090000036638</v>
      </c>
      <c r="E140" s="13" t="str" cm="1">
        <f t="array" ref="E140">_xlfn.XLOOKUP(1,(Table1[time]=A140)*(Table1[unit bid]=B140),Table1[my_fi_name],"Not found")</f>
        <v>FBTC</v>
      </c>
      <c r="F140" s="13" t="str" cm="1">
        <f t="array" ref="F140">_xlfn.XLOOKUP(1,(Table1[time]=A140)*(Table1[unit ask]=C140),Table1[my_fi_name],"Not found")</f>
        <v>GBTC</v>
      </c>
    </row>
    <row r="141" spans="1:6" x14ac:dyDescent="0.25">
      <c r="A141" s="5" t="s">
        <v>176</v>
      </c>
      <c r="B141" s="3">
        <v>62591.815943999994</v>
      </c>
      <c r="C141" s="3">
        <v>62595.665712000002</v>
      </c>
      <c r="D141" s="3">
        <f t="shared" si="14"/>
        <v>-3.849768000007316</v>
      </c>
      <c r="E141" s="13" t="str" cm="1">
        <f t="array" ref="E141">_xlfn.XLOOKUP(1,(Table1[time]=A141)*(Table1[unit bid]=B141),Table1[my_fi_name],"Not found")</f>
        <v>FBTC</v>
      </c>
      <c r="F141" s="13" t="str" cm="1">
        <f t="array" ref="F141">_xlfn.XLOOKUP(1,(Table1[time]=A141)*(Table1[unit ask]=C141),Table1[my_fi_name],"Not found")</f>
        <v>IBIT</v>
      </c>
    </row>
    <row r="142" spans="1:6" x14ac:dyDescent="0.25">
      <c r="A142" s="5" t="s">
        <v>177</v>
      </c>
      <c r="B142" s="3">
        <v>62615.174930000001</v>
      </c>
      <c r="C142" s="3">
        <v>62596.82282999999</v>
      </c>
      <c r="D142" s="3">
        <f t="shared" si="14"/>
        <v>18.352100000010978</v>
      </c>
      <c r="E142" s="13" t="str" cm="1">
        <f t="array" ref="E142">_xlfn.XLOOKUP(1,(Table1[time]=A142)*(Table1[unit bid]=B142),Table1[my_fi_name],"Not found")</f>
        <v>GBTC</v>
      </c>
      <c r="F142" s="13" t="str" cm="1">
        <f t="array" ref="F142">_xlfn.XLOOKUP(1,(Table1[time]=A142)*(Table1[unit ask]=C142),Table1[my_fi_name],"Not found")</f>
        <v>BRRR</v>
      </c>
    </row>
    <row r="143" spans="1:6" x14ac:dyDescent="0.25">
      <c r="A143" s="5" t="s">
        <v>178</v>
      </c>
      <c r="B143" s="3">
        <v>62615.174930000001</v>
      </c>
      <c r="C143" s="3">
        <v>62596.82282999999</v>
      </c>
      <c r="D143" s="3">
        <f t="shared" si="14"/>
        <v>18.352100000010978</v>
      </c>
      <c r="E143" s="13" t="str" cm="1">
        <f t="array" ref="E143">_xlfn.XLOOKUP(1,(Table1[time]=A143)*(Table1[unit bid]=B143),Table1[my_fi_name],"Not found")</f>
        <v>GBTC</v>
      </c>
      <c r="F143" s="13" t="str" cm="1">
        <f t="array" ref="F143">_xlfn.XLOOKUP(1,(Table1[time]=A143)*(Table1[unit ask]=C143),Table1[my_fi_name],"Not found")</f>
        <v>BRRR</v>
      </c>
    </row>
    <row r="144" spans="1:6" x14ac:dyDescent="0.25">
      <c r="A144" s="5" t="s">
        <v>179</v>
      </c>
      <c r="B144" s="3">
        <v>62821.400290000005</v>
      </c>
      <c r="C144" s="3">
        <v>62809.616562000003</v>
      </c>
      <c r="D144" s="3">
        <f t="shared" si="14"/>
        <v>11.783728000002156</v>
      </c>
      <c r="E144" s="13" t="str" cm="1">
        <f t="array" ref="E144">_xlfn.XLOOKUP(1,(Table1[time]=A144)*(Table1[unit bid]=B144),Table1[my_fi_name],"Not found")</f>
        <v>GBTC</v>
      </c>
      <c r="F144" s="13" t="str" cm="1">
        <f t="array" ref="F144">_xlfn.XLOOKUP(1,(Table1[time]=A144)*(Table1[unit ask]=C144),Table1[my_fi_name],"Not found")</f>
        <v>BRRR</v>
      </c>
    </row>
    <row r="145" spans="1:6" x14ac:dyDescent="0.25">
      <c r="A145" s="5" t="s">
        <v>180</v>
      </c>
      <c r="B145" s="3">
        <v>62723.810002000006</v>
      </c>
      <c r="C145" s="3">
        <v>62725.143445999995</v>
      </c>
      <c r="D145" s="3">
        <f t="shared" si="14"/>
        <v>-1.3334439999889582</v>
      </c>
      <c r="E145" s="13" t="str" cm="1">
        <f t="array" ref="E145">_xlfn.XLOOKUP(1,(Table1[time]=A145)*(Table1[unit bid]=B145),Table1[my_fi_name],"Not found")</f>
        <v>BTC</v>
      </c>
      <c r="F145" s="13" t="str" cm="1">
        <f t="array" ref="F145">_xlfn.XLOOKUP(1,(Table1[time]=A145)*(Table1[unit ask]=C145),Table1[my_fi_name],"Not found")</f>
        <v>HODL</v>
      </c>
    </row>
    <row r="146" spans="1:6" x14ac:dyDescent="0.25">
      <c r="A146" s="5" t="s">
        <v>181</v>
      </c>
      <c r="B146" s="3">
        <v>62746.421325000003</v>
      </c>
      <c r="C146" s="3">
        <v>62738.685318000003</v>
      </c>
      <c r="D146" s="3">
        <f t="shared" si="14"/>
        <v>7.7360069999995176</v>
      </c>
      <c r="E146" s="13" t="str" cm="1">
        <f t="array" ref="E146">_xlfn.XLOOKUP(1,(Table1[time]=A146)*(Table1[unit bid]=B146),Table1[my_fi_name],"Not found")</f>
        <v>BTC</v>
      </c>
      <c r="F146" s="13" t="str" cm="1">
        <f t="array" ref="F146">_xlfn.XLOOKUP(1,(Table1[time]=A146)*(Table1[unit ask]=C146),Table1[my_fi_name],"Not found")</f>
        <v>BRRR</v>
      </c>
    </row>
    <row r="147" spans="1:6" x14ac:dyDescent="0.25">
      <c r="A147" s="5" t="s">
        <v>182</v>
      </c>
      <c r="B147" s="3">
        <v>62591.815943999994</v>
      </c>
      <c r="C147" s="3">
        <v>62595.665712000002</v>
      </c>
      <c r="D147" s="3">
        <f t="shared" si="14"/>
        <v>-3.849768000007316</v>
      </c>
      <c r="E147" s="13" t="str" cm="1">
        <f t="array" ref="E147">_xlfn.XLOOKUP(1,(Table1[time]=A147)*(Table1[unit bid]=B147),Table1[my_fi_name],"Not found")</f>
        <v>FBTC</v>
      </c>
      <c r="F147" s="13" t="str" cm="1">
        <f t="array" ref="F147">_xlfn.XLOOKUP(1,(Table1[time]=A147)*(Table1[unit ask]=C147),Table1[my_fi_name],"Not found")</f>
        <v>IBIT</v>
      </c>
    </row>
    <row r="148" spans="1:6" x14ac:dyDescent="0.25">
      <c r="A148" s="5" t="s">
        <v>183</v>
      </c>
      <c r="B148" s="3">
        <v>62665.193808000011</v>
      </c>
      <c r="C148" s="3">
        <v>62660.749661999995</v>
      </c>
      <c r="D148" s="3">
        <f t="shared" si="14"/>
        <v>4.4441460000161896</v>
      </c>
      <c r="E148" s="13" t="str" cm="1">
        <f t="array" ref="E148">_xlfn.XLOOKUP(1,(Table1[time]=A148)*(Table1[unit bid]=B148),Table1[my_fi_name],"Not found")</f>
        <v>BITB</v>
      </c>
      <c r="F148" s="13" t="str" cm="1">
        <f t="array" ref="F148">_xlfn.XLOOKUP(1,(Table1[time]=A148)*(Table1[unit ask]=C148),Table1[my_fi_name],"Not found")</f>
        <v>FBTC</v>
      </c>
    </row>
    <row r="149" spans="1:6" x14ac:dyDescent="0.25">
      <c r="A149" s="5" t="s">
        <v>184</v>
      </c>
      <c r="B149" s="3">
        <v>62760.501475000005</v>
      </c>
      <c r="C149" s="3">
        <v>62752.661285999995</v>
      </c>
      <c r="D149" s="3">
        <f t="shared" si="14"/>
        <v>7.8401890000095591</v>
      </c>
      <c r="E149" s="13" t="str" cm="1">
        <f t="array" ref="E149">_xlfn.XLOOKUP(1,(Table1[time]=A149)*(Table1[unit bid]=B149),Table1[my_fi_name],"Not found")</f>
        <v>HODL</v>
      </c>
      <c r="F149" s="13" t="str" cm="1">
        <f t="array" ref="F149">_xlfn.XLOOKUP(1,(Table1[time]=A149)*(Table1[unit ask]=C149),Table1[my_fi_name],"Not found")</f>
        <v>FBTC</v>
      </c>
    </row>
    <row r="150" spans="1:6" x14ac:dyDescent="0.25">
      <c r="A150" s="5" t="s">
        <v>185</v>
      </c>
      <c r="B150" s="3">
        <v>62901.933591000001</v>
      </c>
      <c r="C150" s="3">
        <v>62879.039768999988</v>
      </c>
      <c r="D150" s="3">
        <f t="shared" si="14"/>
        <v>22.893822000012733</v>
      </c>
      <c r="E150" s="13" t="str" cm="1">
        <f t="array" ref="E150">_xlfn.XLOOKUP(1,(Table1[time]=A150)*(Table1[unit bid]=B150),Table1[my_fi_name],"Not found")</f>
        <v>HODL</v>
      </c>
      <c r="F150" s="13" t="str" cm="1">
        <f t="array" ref="F150">_xlfn.XLOOKUP(1,(Table1[time]=A150)*(Table1[unit ask]=C150),Table1[my_fi_name],"Not found")</f>
        <v>FBTC</v>
      </c>
    </row>
    <row r="151" spans="1:6" x14ac:dyDescent="0.25">
      <c r="A151" s="5" t="s">
        <v>186</v>
      </c>
      <c r="B151" s="3">
        <v>65032.152612000005</v>
      </c>
      <c r="C151" s="3">
        <v>65049.805204999997</v>
      </c>
      <c r="D151" s="3">
        <f t="shared" ref="D151:D177" si="15">B151-C151</f>
        <v>-17.652592999991612</v>
      </c>
      <c r="E151" s="13" t="str" cm="1">
        <f t="array" ref="E151">_xlfn.XLOOKUP(1,(Table1[time]=A151)*(Table1[unit bid]=B151),Table1[my_fi_name],"Not found")</f>
        <v>IBIT</v>
      </c>
      <c r="F151" s="13" t="str" cm="1">
        <f t="array" ref="F151">_xlfn.XLOOKUP(1,(Table1[time]=A151)*(Table1[unit ask]=C151),Table1[my_fi_name],"Not found")</f>
        <v>IBIT</v>
      </c>
    </row>
    <row r="152" spans="1:6" x14ac:dyDescent="0.25">
      <c r="A152" s="5" t="s">
        <v>187</v>
      </c>
      <c r="B152" s="3">
        <v>65030.432416000018</v>
      </c>
      <c r="C152" s="3">
        <v>65023.323649999998</v>
      </c>
      <c r="D152" s="3">
        <f t="shared" si="15"/>
        <v>7.1087660000193864</v>
      </c>
      <c r="E152" s="13" t="str" cm="1">
        <f t="array" ref="E152">_xlfn.XLOOKUP(1,(Table1[time]=A152)*(Table1[unit bid]=B152),Table1[my_fi_name],"Not found")</f>
        <v>BTC</v>
      </c>
      <c r="F152" s="13" t="str" cm="1">
        <f t="array" ref="F152">_xlfn.XLOOKUP(1,(Table1[time]=A152)*(Table1[unit ask]=C152),Table1[my_fi_name],"Not found")</f>
        <v>BITB</v>
      </c>
    </row>
    <row r="153" spans="1:6" x14ac:dyDescent="0.25">
      <c r="A153" s="5" t="s">
        <v>188</v>
      </c>
      <c r="B153" s="3">
        <v>65392.215072000014</v>
      </c>
      <c r="C153" s="3">
        <v>65384.081111999993</v>
      </c>
      <c r="D153" s="3">
        <f t="shared" si="15"/>
        <v>8.1339600000210339</v>
      </c>
      <c r="E153" s="13" t="str" cm="1">
        <f t="array" ref="E153">_xlfn.XLOOKUP(1,(Table1[time]=A153)*(Table1[unit bid]=B153),Table1[my_fi_name],"Not found")</f>
        <v>BTC</v>
      </c>
      <c r="F153" s="13" t="str" cm="1">
        <f t="array" ref="F153">_xlfn.XLOOKUP(1,(Table1[time]=A153)*(Table1[unit ask]=C153),Table1[my_fi_name],"Not found")</f>
        <v>FBTC</v>
      </c>
    </row>
    <row r="154" spans="1:6" x14ac:dyDescent="0.25">
      <c r="A154" s="5" t="s">
        <v>189</v>
      </c>
      <c r="B154" s="3">
        <v>65385.204471999998</v>
      </c>
      <c r="C154" s="3">
        <v>65372.592079999995</v>
      </c>
      <c r="D154" s="3">
        <f t="shared" si="15"/>
        <v>12.612392000002728</v>
      </c>
      <c r="E154" s="13" t="str" cm="1">
        <f t="array" ref="E154">_xlfn.XLOOKUP(1,(Table1[time]=A154)*(Table1[unit bid]=B154),Table1[my_fi_name],"Not found")</f>
        <v>IBIT</v>
      </c>
      <c r="F154" s="13" t="str" cm="1">
        <f t="array" ref="F154">_xlfn.XLOOKUP(1,(Table1[time]=A154)*(Table1[unit ask]=C154),Table1[my_fi_name],"Not found")</f>
        <v>FBTC</v>
      </c>
    </row>
    <row r="155" spans="1:6" x14ac:dyDescent="0.25">
      <c r="A155" s="5" t="s">
        <v>190</v>
      </c>
      <c r="B155" s="3">
        <v>65160.413868000003</v>
      </c>
      <c r="C155" s="3">
        <v>65154.300472000003</v>
      </c>
      <c r="D155" s="3">
        <f t="shared" si="15"/>
        <v>6.1133960000006482</v>
      </c>
      <c r="E155" s="13" t="str" cm="1">
        <f t="array" ref="E155">_xlfn.XLOOKUP(1,(Table1[time]=A155)*(Table1[unit bid]=B155),Table1[my_fi_name],"Not found")</f>
        <v>BTCW</v>
      </c>
      <c r="F155" s="13" t="str" cm="1">
        <f t="array" ref="F155">_xlfn.XLOOKUP(1,(Table1[time]=A155)*(Table1[unit ask]=C155),Table1[my_fi_name],"Not found")</f>
        <v>FBTC</v>
      </c>
    </row>
    <row r="156" spans="1:6" x14ac:dyDescent="0.25">
      <c r="A156" s="5" t="s">
        <v>191</v>
      </c>
      <c r="B156" s="3">
        <v>64839.121600000006</v>
      </c>
      <c r="C156" s="3">
        <v>64831.601220000004</v>
      </c>
      <c r="D156" s="3">
        <f t="shared" si="15"/>
        <v>7.5203800000017509</v>
      </c>
      <c r="E156" s="13" t="str" cm="1">
        <f t="array" ref="E156">_xlfn.XLOOKUP(1,(Table1[time]=A156)*(Table1[unit bid]=B156),Table1[my_fi_name],"Not found")</f>
        <v>BITB</v>
      </c>
      <c r="F156" s="13" t="str" cm="1">
        <f t="array" ref="F156">_xlfn.XLOOKUP(1,(Table1[time]=A156)*(Table1[unit ask]=C156),Table1[my_fi_name],"Not found")</f>
        <v>BRRR</v>
      </c>
    </row>
    <row r="157" spans="1:6" x14ac:dyDescent="0.25">
      <c r="A157" s="5" t="s">
        <v>192</v>
      </c>
      <c r="B157" s="3">
        <v>64869.614322000001</v>
      </c>
      <c r="C157" s="3">
        <v>64867.067084999995</v>
      </c>
      <c r="D157" s="3">
        <f t="shared" si="15"/>
        <v>2.5472370000061346</v>
      </c>
      <c r="E157" s="13" t="str" cm="1">
        <f t="array" ref="E157">_xlfn.XLOOKUP(1,(Table1[time]=A157)*(Table1[unit bid]=B157),Table1[my_fi_name],"Not found")</f>
        <v>EZBC</v>
      </c>
      <c r="F157" s="13" t="str" cm="1">
        <f t="array" ref="F157">_xlfn.XLOOKUP(1,(Table1[time]=A157)*(Table1[unit ask]=C157),Table1[my_fi_name],"Not found")</f>
        <v>BRRR</v>
      </c>
    </row>
    <row r="158" spans="1:6" x14ac:dyDescent="0.25">
      <c r="A158" s="5" t="s">
        <v>193</v>
      </c>
      <c r="B158" s="3">
        <v>65002.328445000006</v>
      </c>
      <c r="C158" s="3">
        <v>64993.454023999999</v>
      </c>
      <c r="D158" s="3">
        <f t="shared" si="15"/>
        <v>8.8744210000077146</v>
      </c>
      <c r="E158" s="13" t="str" cm="1">
        <f t="array" ref="E158">_xlfn.XLOOKUP(1,(Table1[time]=A158)*(Table1[unit bid]=B158),Table1[my_fi_name],"Not found")</f>
        <v>GBTC</v>
      </c>
      <c r="F158" s="13" t="str" cm="1">
        <f t="array" ref="F158">_xlfn.XLOOKUP(1,(Table1[time]=A158)*(Table1[unit ask]=C158),Table1[my_fi_name],"Not found")</f>
        <v>FBTC</v>
      </c>
    </row>
    <row r="159" spans="1:6" x14ac:dyDescent="0.25">
      <c r="A159" s="5" t="s">
        <v>194</v>
      </c>
      <c r="B159" s="3">
        <v>64963.659600000006</v>
      </c>
      <c r="C159" s="3">
        <v>64958.986927999998</v>
      </c>
      <c r="D159" s="3">
        <f t="shared" si="15"/>
        <v>4.6726720000078785</v>
      </c>
      <c r="E159" s="13" t="str" cm="1">
        <f t="array" ref="E159">_xlfn.XLOOKUP(1,(Table1[time]=A159)*(Table1[unit bid]=B159),Table1[my_fi_name],"Not found")</f>
        <v>GBTC</v>
      </c>
      <c r="F159" s="13" t="str" cm="1">
        <f t="array" ref="F159">_xlfn.XLOOKUP(1,(Table1[time]=A159)*(Table1[unit ask]=C159),Table1[my_fi_name],"Not found")</f>
        <v>FBTC</v>
      </c>
    </row>
    <row r="160" spans="1:6" x14ac:dyDescent="0.25">
      <c r="A160" s="5" t="s">
        <v>195</v>
      </c>
      <c r="B160" s="3">
        <v>64973.464679999997</v>
      </c>
      <c r="C160" s="3">
        <v>64970.475959999996</v>
      </c>
      <c r="D160" s="3">
        <f t="shared" si="15"/>
        <v>2.9887200000011944</v>
      </c>
      <c r="E160" s="13" t="str" cm="1">
        <f t="array" ref="E160">_xlfn.XLOOKUP(1,(Table1[time]=A160)*(Table1[unit bid]=B160),Table1[my_fi_name],"Not found")</f>
        <v>BRRR</v>
      </c>
      <c r="F160" s="13" t="str" cm="1">
        <f t="array" ref="F160">_xlfn.XLOOKUP(1,(Table1[time]=A160)*(Table1[unit ask]=C160),Table1[my_fi_name],"Not found")</f>
        <v>FBTC</v>
      </c>
    </row>
    <row r="161" spans="1:6" x14ac:dyDescent="0.25">
      <c r="A161" s="5" t="s">
        <v>196</v>
      </c>
      <c r="B161" s="3">
        <v>64962.598168000011</v>
      </c>
      <c r="C161" s="3">
        <v>64947.497896000001</v>
      </c>
      <c r="D161" s="3">
        <f t="shared" si="15"/>
        <v>15.100272000010591</v>
      </c>
      <c r="E161" s="13" t="str" cm="1">
        <f t="array" ref="E161">_xlfn.XLOOKUP(1,(Table1[time]=A161)*(Table1[unit bid]=B161),Table1[my_fi_name],"Not found")</f>
        <v>BTC</v>
      </c>
      <c r="F161" s="13" t="str" cm="1">
        <f t="array" ref="F161">_xlfn.XLOOKUP(1,(Table1[time]=A161)*(Table1[unit ask]=C161),Table1[my_fi_name],"Not found")</f>
        <v>FBTC</v>
      </c>
    </row>
    <row r="162" spans="1:6" x14ac:dyDescent="0.25">
      <c r="A162" s="5" t="s">
        <v>197</v>
      </c>
      <c r="B162" s="3">
        <v>64696.582542000004</v>
      </c>
      <c r="C162" s="3">
        <v>64683.250159999996</v>
      </c>
      <c r="D162" s="3">
        <f t="shared" si="15"/>
        <v>13.332382000007783</v>
      </c>
      <c r="E162" s="13" t="str" cm="1">
        <f t="array" ref="E162">_xlfn.XLOOKUP(1,(Table1[time]=A162)*(Table1[unit bid]=B162),Table1[my_fi_name],"Not found")</f>
        <v>EZBC</v>
      </c>
      <c r="F162" s="13" t="str" cm="1">
        <f t="array" ref="F162">_xlfn.XLOOKUP(1,(Table1[time]=A162)*(Table1[unit ask]=C162),Table1[my_fi_name],"Not found")</f>
        <v>FBTC</v>
      </c>
    </row>
    <row r="163" spans="1:6" x14ac:dyDescent="0.25">
      <c r="A163" s="5" t="s">
        <v>198</v>
      </c>
      <c r="B163" s="3">
        <v>64583.340165000001</v>
      </c>
      <c r="C163" s="3">
        <v>64579.848872000002</v>
      </c>
      <c r="D163" s="3">
        <f t="shared" si="15"/>
        <v>3.491292999999132</v>
      </c>
      <c r="E163" s="13" t="str" cm="1">
        <f t="array" ref="E163">_xlfn.XLOOKUP(1,(Table1[time]=A163)*(Table1[unit bid]=B163),Table1[my_fi_name],"Not found")</f>
        <v>BRRR</v>
      </c>
      <c r="F163" s="13" t="str" cm="1">
        <f t="array" ref="F163">_xlfn.XLOOKUP(1,(Table1[time]=A163)*(Table1[unit ask]=C163),Table1[my_fi_name],"Not found")</f>
        <v>FBTC</v>
      </c>
    </row>
    <row r="164" spans="1:6" x14ac:dyDescent="0.25">
      <c r="A164" s="5" t="s">
        <v>199</v>
      </c>
      <c r="B164" s="3">
        <v>64583.340165000001</v>
      </c>
      <c r="C164" s="3">
        <v>64589.860765000005</v>
      </c>
      <c r="D164" s="3">
        <f t="shared" si="15"/>
        <v>-6.5206000000034692</v>
      </c>
      <c r="E164" s="13" t="str" cm="1">
        <f t="array" ref="E164">_xlfn.XLOOKUP(1,(Table1[time]=A164)*(Table1[unit bid]=B164),Table1[my_fi_name],"Not found")</f>
        <v>BRRR</v>
      </c>
      <c r="F164" s="13" t="str" cm="1">
        <f t="array" ref="F164">_xlfn.XLOOKUP(1,(Table1[time]=A164)*(Table1[unit ask]=C164),Table1[my_fi_name],"Not found")</f>
        <v>GBTC</v>
      </c>
    </row>
    <row r="165" spans="1:6" x14ac:dyDescent="0.25">
      <c r="A165" s="5" t="s">
        <v>200</v>
      </c>
      <c r="B165" s="3">
        <v>64489.754832000006</v>
      </c>
      <c r="C165" s="3">
        <v>64484.922229000003</v>
      </c>
      <c r="D165" s="3">
        <f t="shared" si="15"/>
        <v>4.8326030000025639</v>
      </c>
      <c r="E165" s="13" t="str" cm="1">
        <f t="array" ref="E165">_xlfn.XLOOKUP(1,(Table1[time]=A165)*(Table1[unit bid]=B165),Table1[my_fi_name],"Not found")</f>
        <v>ARKB</v>
      </c>
      <c r="F165" s="13" t="str" cm="1">
        <f t="array" ref="F165">_xlfn.XLOOKUP(1,(Table1[time]=A165)*(Table1[unit ask]=C165),Table1[my_fi_name],"Not found")</f>
        <v>IBIT</v>
      </c>
    </row>
    <row r="166" spans="1:6" x14ac:dyDescent="0.25">
      <c r="A166" s="5" t="s">
        <v>201</v>
      </c>
      <c r="B166" s="3">
        <v>64589.860765000005</v>
      </c>
      <c r="C166" s="3">
        <v>64579.848872000002</v>
      </c>
      <c r="D166" s="3">
        <f t="shared" si="15"/>
        <v>10.011893000002601</v>
      </c>
      <c r="E166" s="13" t="str" cm="1">
        <f t="array" ref="E166">_xlfn.XLOOKUP(1,(Table1[time]=A166)*(Table1[unit bid]=B166),Table1[my_fi_name],"Not found")</f>
        <v>GBTC</v>
      </c>
      <c r="F166" s="13" t="str" cm="1">
        <f t="array" ref="F166">_xlfn.XLOOKUP(1,(Table1[time]=A166)*(Table1[unit ask]=C166),Table1[my_fi_name],"Not found")</f>
        <v>FBTC</v>
      </c>
    </row>
    <row r="167" spans="1:6" x14ac:dyDescent="0.25">
      <c r="A167" s="5" t="s">
        <v>202</v>
      </c>
      <c r="B167" s="3">
        <v>64589.860765000005</v>
      </c>
      <c r="C167" s="3">
        <v>64590.837787000004</v>
      </c>
      <c r="D167" s="3">
        <f t="shared" si="15"/>
        <v>-0.97702199999912409</v>
      </c>
      <c r="E167" s="13" t="str" cm="1">
        <f t="array" ref="E167">_xlfn.XLOOKUP(1,(Table1[time]=A167)*(Table1[unit bid]=B167),Table1[my_fi_name],"Not found")</f>
        <v>GBTC</v>
      </c>
      <c r="F167" s="13" t="str" cm="1">
        <f t="array" ref="F167">_xlfn.XLOOKUP(1,(Table1[time]=A167)*(Table1[unit ask]=C167),Table1[my_fi_name],"Not found")</f>
        <v>IBIT</v>
      </c>
    </row>
    <row r="168" spans="1:6" x14ac:dyDescent="0.25">
      <c r="A168" s="5" t="s">
        <v>203</v>
      </c>
      <c r="B168" s="3">
        <v>64341.776065000005</v>
      </c>
      <c r="C168" s="3">
        <v>64338.5792</v>
      </c>
      <c r="D168" s="3">
        <f t="shared" si="15"/>
        <v>3.1968650000053458</v>
      </c>
      <c r="E168" s="13" t="str" cm="1">
        <f t="array" ref="E168">_xlfn.XLOOKUP(1,(Table1[time]=A168)*(Table1[unit bid]=B168),Table1[my_fi_name],"Not found")</f>
        <v>BITB</v>
      </c>
      <c r="F168" s="13" t="str" cm="1">
        <f t="array" ref="F168">_xlfn.XLOOKUP(1,(Table1[time]=A168)*(Table1[unit ask]=C168),Table1[my_fi_name],"Not found")</f>
        <v>FBTC</v>
      </c>
    </row>
    <row r="169" spans="1:6" x14ac:dyDescent="0.25">
      <c r="A169" s="5" t="s">
        <v>204</v>
      </c>
      <c r="B169" s="3">
        <v>64422.295770000004</v>
      </c>
      <c r="C169" s="3">
        <v>64414.311857000001</v>
      </c>
      <c r="D169" s="3">
        <f t="shared" si="15"/>
        <v>7.9839130000036675</v>
      </c>
      <c r="E169" s="13" t="str" cm="1">
        <f t="array" ref="E169">_xlfn.XLOOKUP(1,(Table1[time]=A169)*(Table1[unit bid]=B169),Table1[my_fi_name],"Not found")</f>
        <v>GBTC</v>
      </c>
      <c r="F169" s="13" t="str" cm="1">
        <f t="array" ref="F169">_xlfn.XLOOKUP(1,(Table1[time]=A169)*(Table1[unit ask]=C169),Table1[my_fi_name],"Not found")</f>
        <v>IBIT</v>
      </c>
    </row>
    <row r="170" spans="1:6" x14ac:dyDescent="0.25">
      <c r="A170" s="5" t="s">
        <v>205</v>
      </c>
      <c r="B170" s="3">
        <v>64540.853939999994</v>
      </c>
      <c r="C170" s="3">
        <v>64537.880008</v>
      </c>
      <c r="D170" s="3">
        <f t="shared" si="15"/>
        <v>2.9739319999935105</v>
      </c>
      <c r="E170" s="13" t="str" cm="1">
        <f t="array" ref="E170">_xlfn.XLOOKUP(1,(Table1[time]=A170)*(Table1[unit bid]=B170),Table1[my_fi_name],"Not found")</f>
        <v>EZBC</v>
      </c>
      <c r="F170" s="13" t="str" cm="1">
        <f t="array" ref="F170">_xlfn.XLOOKUP(1,(Table1[time]=A170)*(Table1[unit ask]=C170),Table1[my_fi_name],"Not found")</f>
        <v>IBIT</v>
      </c>
    </row>
    <row r="171" spans="1:6" x14ac:dyDescent="0.25">
      <c r="A171" s="5" t="s">
        <v>206</v>
      </c>
      <c r="B171" s="3">
        <v>64641.419225000005</v>
      </c>
      <c r="C171" s="3">
        <v>64626.142972999995</v>
      </c>
      <c r="D171" s="3">
        <f t="shared" si="15"/>
        <v>15.276252000010572</v>
      </c>
      <c r="E171" s="13" t="str" cm="1">
        <f t="array" ref="E171">_xlfn.XLOOKUP(1,(Table1[time]=A171)*(Table1[unit bid]=B171),Table1[my_fi_name],"Not found")</f>
        <v>GBTC</v>
      </c>
      <c r="F171" s="13" t="str" cm="1">
        <f t="array" ref="F171">_xlfn.XLOOKUP(1,(Table1[time]=A171)*(Table1[unit ask]=C171),Table1[my_fi_name],"Not found")</f>
        <v>IBIT</v>
      </c>
    </row>
    <row r="172" spans="1:6" x14ac:dyDescent="0.25">
      <c r="A172" s="5" t="s">
        <v>207</v>
      </c>
      <c r="B172" s="3">
        <v>64540.853939999994</v>
      </c>
      <c r="C172" s="3">
        <v>64537.880008</v>
      </c>
      <c r="D172" s="3">
        <f t="shared" si="15"/>
        <v>2.9739319999935105</v>
      </c>
      <c r="E172" s="13" t="str" cm="1">
        <f t="array" ref="E172">_xlfn.XLOOKUP(1,(Table1[time]=A172)*(Table1[unit bid]=B172),Table1[my_fi_name],"Not found")</f>
        <v>EZBC</v>
      </c>
      <c r="F172" s="13" t="str" cm="1">
        <f t="array" ref="F172">_xlfn.XLOOKUP(1,(Table1[time]=A172)*(Table1[unit ask]=C172),Table1[my_fi_name],"Not found")</f>
        <v>IBIT</v>
      </c>
    </row>
    <row r="173" spans="1:6" x14ac:dyDescent="0.25">
      <c r="A173" s="5" t="s">
        <v>208</v>
      </c>
      <c r="B173" s="3">
        <v>64323.355860000003</v>
      </c>
      <c r="C173" s="3">
        <v>64326.048891999992</v>
      </c>
      <c r="D173" s="3">
        <f t="shared" si="15"/>
        <v>-2.6930319999883068</v>
      </c>
      <c r="E173" s="13" t="str" cm="1">
        <f t="array" ref="E173">_xlfn.XLOOKUP(1,(Table1[time]=A173)*(Table1[unit bid]=B173),Table1[my_fi_name],"Not found")</f>
        <v>BITB</v>
      </c>
      <c r="F173" s="13" t="str" cm="1">
        <f t="array" ref="F173">_xlfn.XLOOKUP(1,(Table1[time]=A173)*(Table1[unit ask]=C173),Table1[my_fi_name],"Not found")</f>
        <v>IBIT</v>
      </c>
    </row>
    <row r="174" spans="1:6" x14ac:dyDescent="0.25">
      <c r="A174" s="5" t="s">
        <v>209</v>
      </c>
      <c r="B174" s="3">
        <v>64269.645007999992</v>
      </c>
      <c r="C174" s="3">
        <v>64273.091112999995</v>
      </c>
      <c r="D174" s="3">
        <f t="shared" si="15"/>
        <v>-3.4461050000027171</v>
      </c>
      <c r="E174" s="13" t="str" cm="1">
        <f t="array" ref="E174">_xlfn.XLOOKUP(1,(Table1[time]=A174)*(Table1[unit bid]=B174),Table1[my_fi_name],"Not found")</f>
        <v>FBTC</v>
      </c>
      <c r="F174" s="13" t="str" cm="1">
        <f t="array" ref="F174">_xlfn.XLOOKUP(1,(Table1[time]=A174)*(Table1[unit ask]=C174),Table1[my_fi_name],"Not found")</f>
        <v>IBIT</v>
      </c>
    </row>
    <row r="175" spans="1:6" x14ac:dyDescent="0.25">
      <c r="A175" s="5" t="s">
        <v>210</v>
      </c>
      <c r="B175" s="3">
        <v>64286.515449999999</v>
      </c>
      <c r="C175" s="3">
        <v>64273.091112999995</v>
      </c>
      <c r="D175" s="3">
        <f t="shared" si="15"/>
        <v>13.424337000004016</v>
      </c>
      <c r="E175" s="13" t="str" cm="1">
        <f t="array" ref="E175">_xlfn.XLOOKUP(1,(Table1[time]=A175)*(Table1[unit bid]=B175),Table1[my_fi_name],"Not found")</f>
        <v>BITB</v>
      </c>
      <c r="F175" s="13" t="str" cm="1">
        <f t="array" ref="F175">_xlfn.XLOOKUP(1,(Table1[time]=A175)*(Table1[unit ask]=C175),Table1[my_fi_name],"Not found")</f>
        <v>IBIT</v>
      </c>
    </row>
    <row r="176" spans="1:6" x14ac:dyDescent="0.25">
      <c r="A176" s="5" t="s">
        <v>211</v>
      </c>
      <c r="B176" s="3">
        <v>64268.095245000004</v>
      </c>
      <c r="C176" s="3">
        <v>64269.645007999992</v>
      </c>
      <c r="D176" s="3">
        <f t="shared" si="15"/>
        <v>-1.549762999988161</v>
      </c>
      <c r="E176" s="13" t="str" cm="1">
        <f t="array" ref="E176">_xlfn.XLOOKUP(1,(Table1[time]=A176)*(Table1[unit bid]=B176),Table1[my_fi_name],"Not found")</f>
        <v>BITB</v>
      </c>
      <c r="F176" s="13" t="str" cm="1">
        <f t="array" ref="F176">_xlfn.XLOOKUP(1,(Table1[time]=A176)*(Table1[unit ask]=C176),Table1[my_fi_name],"Not found")</f>
        <v>FBTC</v>
      </c>
    </row>
    <row r="177" spans="1:6" x14ac:dyDescent="0.25">
      <c r="A177" s="5" t="s">
        <v>212</v>
      </c>
      <c r="B177" s="3">
        <v>64268.095245000004</v>
      </c>
      <c r="C177" s="3">
        <v>64255.438519999996</v>
      </c>
      <c r="D177" s="3">
        <f t="shared" si="15"/>
        <v>12.656725000008009</v>
      </c>
      <c r="E177" s="13" t="str" cm="1">
        <f t="array" ref="E177">_xlfn.XLOOKUP(1,(Table1[time]=A177)*(Table1[unit bid]=B177),Table1[my_fi_name],"Not found")</f>
        <v>BITB</v>
      </c>
      <c r="F177" s="13" t="str" cm="1">
        <f t="array" ref="F177">_xlfn.XLOOKUP(1,(Table1[time]=A177)*(Table1[unit ask]=C177),Table1[my_fi_name],"Not found")</f>
        <v>IBIT</v>
      </c>
    </row>
    <row r="178" spans="1:6" x14ac:dyDescent="0.25">
      <c r="A178" s="5" t="s">
        <v>220</v>
      </c>
      <c r="B178" s="3">
        <v>62362.541821999999</v>
      </c>
      <c r="C178" s="3">
        <v>62349.385848000005</v>
      </c>
      <c r="D178" s="3">
        <f t="shared" ref="D178:D202" si="16">B178-C178</f>
        <v>13.155973999993876</v>
      </c>
      <c r="E178" s="13" t="str" cm="1">
        <f t="array" ref="E178">_xlfn.XLOOKUP(1,(Table1[time]=A178)*(Table1[unit bid]=B178),Table1[my_fi_name],"Not found")</f>
        <v>BTC</v>
      </c>
      <c r="F178" s="13" t="str" cm="1">
        <f t="array" ref="F178">_xlfn.XLOOKUP(1,(Table1[time]=A178)*(Table1[unit ask]=C178),Table1[my_fi_name],"Not found")</f>
        <v>IBIT</v>
      </c>
    </row>
    <row r="179" spans="1:6" x14ac:dyDescent="0.25">
      <c r="A179" s="5" t="s">
        <v>221</v>
      </c>
      <c r="B179" s="3">
        <v>62430.376348999998</v>
      </c>
      <c r="C179" s="3">
        <v>62431.829174000006</v>
      </c>
      <c r="D179" s="3">
        <f t="shared" si="16"/>
        <v>-1.4528250000075786</v>
      </c>
      <c r="E179" s="13" t="str" cm="1">
        <f t="array" ref="E179">_xlfn.XLOOKUP(1,(Table1[time]=A179)*(Table1[unit bid]=B179),Table1[my_fi_name],"Not found")</f>
        <v>BTC</v>
      </c>
      <c r="F179" s="13" t="str" cm="1">
        <f t="array" ref="F179">_xlfn.XLOOKUP(1,(Table1[time]=A179)*(Table1[unit ask]=C179),Table1[my_fi_name],"Not found")</f>
        <v>FBTC</v>
      </c>
    </row>
    <row r="180" spans="1:6" x14ac:dyDescent="0.25">
      <c r="A180" s="5" t="s">
        <v>222</v>
      </c>
      <c r="B180" s="3">
        <v>62526.748403999998</v>
      </c>
      <c r="C180" s="3">
        <v>62525.912988000004</v>
      </c>
      <c r="D180" s="3">
        <f t="shared" si="16"/>
        <v>0.83541599999443861</v>
      </c>
      <c r="E180" s="13" t="str" cm="1">
        <f t="array" ref="E180">_xlfn.XLOOKUP(1,(Table1[time]=A180)*(Table1[unit bid]=B180),Table1[my_fi_name],"Not found")</f>
        <v>BRRR</v>
      </c>
      <c r="F180" s="13" t="str" cm="1">
        <f t="array" ref="F180">_xlfn.XLOOKUP(1,(Table1[time]=A180)*(Table1[unit ask]=C180),Table1[my_fi_name],"Not found")</f>
        <v>IBIT</v>
      </c>
    </row>
    <row r="181" spans="1:6" x14ac:dyDescent="0.25">
      <c r="A181" s="5" t="s">
        <v>223</v>
      </c>
      <c r="B181" s="3">
        <v>62658.994845000001</v>
      </c>
      <c r="C181" s="3">
        <v>62649.481986000006</v>
      </c>
      <c r="D181" s="3">
        <f t="shared" si="16"/>
        <v>9.5128589999949327</v>
      </c>
      <c r="E181" s="13" t="str" cm="1">
        <f t="array" ref="E181">_xlfn.XLOOKUP(1,(Table1[time]=A181)*(Table1[unit bid]=B181),Table1[my_fi_name],"Not found")</f>
        <v>GBTC</v>
      </c>
      <c r="F181" s="13" t="str" cm="1">
        <f t="array" ref="F181">_xlfn.XLOOKUP(1,(Table1[time]=A181)*(Table1[unit ask]=C181),Table1[my_fi_name],"Not found")</f>
        <v>IBIT</v>
      </c>
    </row>
    <row r="182" spans="1:6" x14ac:dyDescent="0.25">
      <c r="A182" s="5" t="s">
        <v>224</v>
      </c>
      <c r="B182" s="3">
        <v>62470.097591999998</v>
      </c>
      <c r="C182" s="3">
        <v>62466.296506999999</v>
      </c>
      <c r="D182" s="3">
        <f t="shared" si="16"/>
        <v>3.8010849999991478</v>
      </c>
      <c r="E182" s="13" t="str" cm="1">
        <f t="array" ref="E182">_xlfn.XLOOKUP(1,(Table1[time]=A182)*(Table1[unit bid]=B182),Table1[my_fi_name],"Not found")</f>
        <v>ARKB</v>
      </c>
      <c r="F182" s="13" t="str" cm="1">
        <f t="array" ref="F182">_xlfn.XLOOKUP(1,(Table1[time]=A182)*(Table1[unit ask]=C182),Table1[my_fi_name],"Not found")</f>
        <v>FBTC</v>
      </c>
    </row>
    <row r="183" spans="1:6" x14ac:dyDescent="0.25">
      <c r="A183" s="5" t="s">
        <v>225</v>
      </c>
      <c r="B183" s="3">
        <v>62334.315504000006</v>
      </c>
      <c r="C183" s="3">
        <v>62328.427175000004</v>
      </c>
      <c r="D183" s="3">
        <f t="shared" si="16"/>
        <v>5.8883290000012494</v>
      </c>
      <c r="E183" s="13" t="str" cm="1">
        <f t="array" ref="E183">_xlfn.XLOOKUP(1,(Table1[time]=A183)*(Table1[unit bid]=B183),Table1[my_fi_name],"Not found")</f>
        <v>BITB</v>
      </c>
      <c r="F183" s="13" t="str" cm="1">
        <f t="array" ref="F183">_xlfn.XLOOKUP(1,(Table1[time]=A183)*(Table1[unit ask]=C183),Table1[my_fi_name],"Not found")</f>
        <v>FBTC</v>
      </c>
    </row>
    <row r="184" spans="1:6" x14ac:dyDescent="0.25">
      <c r="A184" s="5" t="s">
        <v>226</v>
      </c>
      <c r="B184" s="3">
        <v>62186.953055999998</v>
      </c>
      <c r="C184" s="3">
        <v>62190.511421999996</v>
      </c>
      <c r="D184" s="3">
        <f t="shared" si="16"/>
        <v>-3.558365999997477</v>
      </c>
      <c r="E184" s="13" t="str" cm="1">
        <f t="array" ref="E184">_xlfn.XLOOKUP(1,(Table1[time]=A184)*(Table1[unit bid]=B184),Table1[my_fi_name],"Not found")</f>
        <v>BITB</v>
      </c>
      <c r="F184" s="13" t="str" cm="1">
        <f t="array" ref="F184">_xlfn.XLOOKUP(1,(Table1[time]=A184)*(Table1[unit ask]=C184),Table1[my_fi_name],"Not found")</f>
        <v>IBIT</v>
      </c>
    </row>
    <row r="185" spans="1:6" x14ac:dyDescent="0.25">
      <c r="A185" s="5" t="s">
        <v>227</v>
      </c>
      <c r="B185" s="3">
        <v>62300.847098000006</v>
      </c>
      <c r="C185" s="3">
        <v>62296.427706000002</v>
      </c>
      <c r="D185" s="3">
        <f t="shared" si="16"/>
        <v>4.4193920000034268</v>
      </c>
      <c r="E185" s="13" t="str" cm="1">
        <f t="array" ref="E185">_xlfn.XLOOKUP(1,(Table1[time]=A185)*(Table1[unit bid]=B185),Table1[my_fi_name],"Not found")</f>
        <v>HODL</v>
      </c>
      <c r="F185" s="13" t="str" cm="1">
        <f t="array" ref="F185">_xlfn.XLOOKUP(1,(Table1[time]=A185)*(Table1[unit ask]=C185),Table1[my_fi_name],"Not found")</f>
        <v>IBIT</v>
      </c>
    </row>
    <row r="186" spans="1:6" x14ac:dyDescent="0.25">
      <c r="A186" s="5" t="s">
        <v>228</v>
      </c>
      <c r="B186" s="3">
        <v>62243.019540000001</v>
      </c>
      <c r="C186" s="3">
        <v>62236.514287000005</v>
      </c>
      <c r="D186" s="3">
        <f t="shared" si="16"/>
        <v>6.5052529999957187</v>
      </c>
      <c r="E186" s="13" t="str" cm="1">
        <f t="array" ref="E186">_xlfn.XLOOKUP(1,(Table1[time]=A186)*(Table1[unit bid]=B186),Table1[my_fi_name],"Not found")</f>
        <v>BRRR</v>
      </c>
      <c r="F186" s="13" t="str" cm="1">
        <f t="array" ref="F186">_xlfn.XLOOKUP(1,(Table1[time]=A186)*(Table1[unit ask]=C186),Table1[my_fi_name],"Not found")</f>
        <v>FBTC</v>
      </c>
    </row>
    <row r="187" spans="1:6" x14ac:dyDescent="0.25">
      <c r="A187" s="5" t="s">
        <v>229</v>
      </c>
      <c r="B187" s="3">
        <v>62633.146728</v>
      </c>
      <c r="C187" s="3">
        <v>62614.176557999999</v>
      </c>
      <c r="D187" s="3">
        <f t="shared" si="16"/>
        <v>18.970170000000508</v>
      </c>
      <c r="E187" s="13" t="str" cm="1">
        <f t="array" ref="E187">_xlfn.XLOOKUP(1,(Table1[time]=A187)*(Table1[unit bid]=B187),Table1[my_fi_name],"Not found")</f>
        <v>BRRR</v>
      </c>
      <c r="F187" s="13" t="str" cm="1">
        <f t="array" ref="F187">_xlfn.XLOOKUP(1,(Table1[time]=A187)*(Table1[unit ask]=C187),Table1[my_fi_name],"Not found")</f>
        <v>IBIT</v>
      </c>
    </row>
    <row r="188" spans="1:6" x14ac:dyDescent="0.25">
      <c r="A188" s="5" t="s">
        <v>230</v>
      </c>
      <c r="B188" s="3">
        <v>62504.313105000001</v>
      </c>
      <c r="C188" s="3">
        <v>62490.607560000004</v>
      </c>
      <c r="D188" s="3">
        <f t="shared" si="16"/>
        <v>13.705544999997073</v>
      </c>
      <c r="E188" s="13" t="str" cm="1">
        <f t="array" ref="E188">_xlfn.XLOOKUP(1,(Table1[time]=A188)*(Table1[unit bid]=B188),Table1[my_fi_name],"Not found")</f>
        <v>GBTC</v>
      </c>
      <c r="F188" s="13" t="str" cm="1">
        <f t="array" ref="F188">_xlfn.XLOOKUP(1,(Table1[time]=A188)*(Table1[unit ask]=C188),Table1[my_fi_name],"Not found")</f>
        <v>IBIT</v>
      </c>
    </row>
    <row r="189" spans="1:6" x14ac:dyDescent="0.25">
      <c r="A189" s="5" t="s">
        <v>231</v>
      </c>
      <c r="B189" s="3">
        <v>62520.822384999999</v>
      </c>
      <c r="C189" s="3">
        <v>62508.260274</v>
      </c>
      <c r="D189" s="3">
        <f t="shared" si="16"/>
        <v>12.562110999999277</v>
      </c>
      <c r="E189" s="13" t="str" cm="1">
        <f t="array" ref="E189">_xlfn.XLOOKUP(1,(Table1[time]=A189)*(Table1[unit bid]=B189),Table1[my_fi_name],"Not found")</f>
        <v>BTC</v>
      </c>
      <c r="F189" s="13" t="str" cm="1">
        <f t="array" ref="F189">_xlfn.XLOOKUP(1,(Table1[time]=A189)*(Table1[unit ask]=C189),Table1[my_fi_name],"Not found")</f>
        <v>IBIT</v>
      </c>
    </row>
    <row r="190" spans="1:6" x14ac:dyDescent="0.25">
      <c r="A190" s="5" t="s">
        <v>232</v>
      </c>
      <c r="B190" s="3">
        <v>62444.837339999998</v>
      </c>
      <c r="C190" s="3">
        <v>62437.649418000001</v>
      </c>
      <c r="D190" s="3">
        <f t="shared" si="16"/>
        <v>7.1879219999973429</v>
      </c>
      <c r="E190" s="13" t="str" cm="1">
        <f t="array" ref="E190">_xlfn.XLOOKUP(1,(Table1[time]=A190)*(Table1[unit bid]=B190),Table1[my_fi_name],"Not found")</f>
        <v>BITB</v>
      </c>
      <c r="F190" s="13" t="str" cm="1">
        <f t="array" ref="F190">_xlfn.XLOOKUP(1,(Table1[time]=A190)*(Table1[unit ask]=C190),Table1[my_fi_name],"Not found")</f>
        <v>IBIT</v>
      </c>
    </row>
    <row r="191" spans="1:6" x14ac:dyDescent="0.25">
      <c r="A191" s="5" t="s">
        <v>233</v>
      </c>
      <c r="B191" s="3">
        <v>62362.541821999999</v>
      </c>
      <c r="C191" s="3">
        <v>62362.894508000005</v>
      </c>
      <c r="D191" s="3">
        <f t="shared" si="16"/>
        <v>-0.3526860000056331</v>
      </c>
      <c r="E191" s="13" t="str" cm="1">
        <f t="array" ref="E191">_xlfn.XLOOKUP(1,(Table1[time]=A191)*(Table1[unit bid]=B191),Table1[my_fi_name],"Not found")</f>
        <v>BTC</v>
      </c>
      <c r="F191" s="13" t="str" cm="1">
        <f t="array" ref="F191">_xlfn.XLOOKUP(1,(Table1[time]=A191)*(Table1[unit ask]=C191),Table1[my_fi_name],"Not found")</f>
        <v>FBTC</v>
      </c>
    </row>
    <row r="192" spans="1:6" x14ac:dyDescent="0.25">
      <c r="A192" s="5" t="s">
        <v>234</v>
      </c>
      <c r="B192" s="3">
        <v>62504.313105000001</v>
      </c>
      <c r="C192" s="3">
        <v>62508.260274</v>
      </c>
      <c r="D192" s="3">
        <f t="shared" si="16"/>
        <v>-3.9471689999991213</v>
      </c>
      <c r="E192" s="13" t="str" cm="1">
        <f t="array" ref="E192">_xlfn.XLOOKUP(1,(Table1[time]=A192)*(Table1[unit bid]=B192),Table1[my_fi_name],"Not found")</f>
        <v>GBTC</v>
      </c>
      <c r="F192" s="13" t="str" cm="1">
        <f t="array" ref="F192">_xlfn.XLOOKUP(1,(Table1[time]=A192)*(Table1[unit ask]=C192),Table1[my_fi_name],"Not found")</f>
        <v>IBIT</v>
      </c>
    </row>
    <row r="193" spans="1:6" x14ac:dyDescent="0.25">
      <c r="A193" s="5" t="s">
        <v>235</v>
      </c>
      <c r="B193" s="3">
        <v>62581.653974999994</v>
      </c>
      <c r="C193" s="3">
        <v>62561.218415999996</v>
      </c>
      <c r="D193" s="3">
        <f t="shared" si="16"/>
        <v>20.435558999997738</v>
      </c>
      <c r="E193" s="13" t="str" cm="1">
        <f t="array" ref="E193">_xlfn.XLOOKUP(1,(Table1[time]=A193)*(Table1[unit bid]=B193),Table1[my_fi_name],"Not found")</f>
        <v>GBTC</v>
      </c>
      <c r="F193" s="13" t="str" cm="1">
        <f t="array" ref="F193">_xlfn.XLOOKUP(1,(Table1[time]=A193)*(Table1[unit ask]=C193),Table1[my_fi_name],"Not found")</f>
        <v>IBIT</v>
      </c>
    </row>
    <row r="194" spans="1:6" x14ac:dyDescent="0.25">
      <c r="A194" s="5" t="s">
        <v>236</v>
      </c>
      <c r="B194" s="3">
        <v>62401.191944999999</v>
      </c>
      <c r="C194" s="3">
        <v>62397.361841000005</v>
      </c>
      <c r="D194" s="3">
        <f t="shared" si="16"/>
        <v>3.8301039999932982</v>
      </c>
      <c r="E194" s="13" t="str" cm="1">
        <f t="array" ref="E194">_xlfn.XLOOKUP(1,(Table1[time]=A194)*(Table1[unit bid]=B194),Table1[my_fi_name],"Not found")</f>
        <v>GBTC</v>
      </c>
      <c r="F194" s="13" t="str" cm="1">
        <f t="array" ref="F194">_xlfn.XLOOKUP(1,(Table1[time]=A194)*(Table1[unit ask]=C194),Table1[my_fi_name],"Not found")</f>
        <v>FBTC</v>
      </c>
    </row>
    <row r="195" spans="1:6" x14ac:dyDescent="0.25">
      <c r="A195" s="5" t="s">
        <v>237</v>
      </c>
      <c r="B195" s="3">
        <v>62207.839769999999</v>
      </c>
      <c r="C195" s="3">
        <v>62190.511421999996</v>
      </c>
      <c r="D195" s="3">
        <f t="shared" si="16"/>
        <v>17.328348000002734</v>
      </c>
      <c r="E195" s="13" t="str" cm="1">
        <f t="array" ref="E195">_xlfn.XLOOKUP(1,(Table1[time]=A195)*(Table1[unit bid]=B195),Table1[my_fi_name],"Not found")</f>
        <v>GBTC</v>
      </c>
      <c r="F195" s="13" t="str" cm="1">
        <f t="array" ref="F195">_xlfn.XLOOKUP(1,(Table1[time]=A195)*(Table1[unit ask]=C195),Table1[my_fi_name],"Not found")</f>
        <v>IBIT</v>
      </c>
    </row>
    <row r="196" spans="1:6" x14ac:dyDescent="0.25">
      <c r="A196" s="5" t="s">
        <v>238</v>
      </c>
      <c r="B196" s="3">
        <v>62298.070784999996</v>
      </c>
      <c r="C196" s="3">
        <v>62278.774992000006</v>
      </c>
      <c r="D196" s="3">
        <f t="shared" si="16"/>
        <v>19.295792999990226</v>
      </c>
      <c r="E196" s="13" t="str" cm="1">
        <f t="array" ref="E196">_xlfn.XLOOKUP(1,(Table1[time]=A196)*(Table1[unit bid]=B196),Table1[my_fi_name],"Not found")</f>
        <v>GBTC</v>
      </c>
      <c r="F196" s="13" t="str" cm="1">
        <f t="array" ref="F196">_xlfn.XLOOKUP(1,(Table1[time]=A196)*(Table1[unit ask]=C196),Table1[my_fi_name],"Not found")</f>
        <v>IBIT</v>
      </c>
    </row>
    <row r="197" spans="1:6" x14ac:dyDescent="0.25">
      <c r="A197" s="5" t="s">
        <v>239</v>
      </c>
      <c r="B197" s="3">
        <v>62233.620060000001</v>
      </c>
      <c r="C197" s="3">
        <v>62222.551728000006</v>
      </c>
      <c r="D197" s="3">
        <f t="shared" si="16"/>
        <v>11.06833199999528</v>
      </c>
      <c r="E197" s="13" t="str" cm="1">
        <f t="array" ref="E197">_xlfn.XLOOKUP(1,(Table1[time]=A197)*(Table1[unit bid]=B197),Table1[my_fi_name],"Not found")</f>
        <v>GBTC</v>
      </c>
      <c r="F197" s="13" t="str" cm="1">
        <f t="array" ref="F197">_xlfn.XLOOKUP(1,(Table1[time]=A197)*(Table1[unit ask]=C197),Table1[my_fi_name],"Not found")</f>
        <v>EZBC</v>
      </c>
    </row>
    <row r="198" spans="1:6" x14ac:dyDescent="0.25">
      <c r="A198" s="5" t="s">
        <v>240</v>
      </c>
      <c r="B198" s="3">
        <v>62233.620060000001</v>
      </c>
      <c r="C198" s="3">
        <v>62222.551728000006</v>
      </c>
      <c r="D198" s="3">
        <f t="shared" si="16"/>
        <v>11.06833199999528</v>
      </c>
      <c r="E198" s="13" t="str" cm="1">
        <f t="array" ref="E198">_xlfn.XLOOKUP(1,(Table1[time]=A198)*(Table1[unit bid]=B198),Table1[my_fi_name],"Not found")</f>
        <v>GBTC</v>
      </c>
      <c r="F198" s="13" t="str" cm="1">
        <f t="array" ref="F198">_xlfn.XLOOKUP(1,(Table1[time]=A198)*(Table1[unit ask]=C198),Table1[my_fi_name],"Not found")</f>
        <v>EZBC</v>
      </c>
    </row>
    <row r="199" spans="1:6" x14ac:dyDescent="0.25">
      <c r="A199" s="5" t="s">
        <v>241</v>
      </c>
      <c r="B199" s="3">
        <v>62233.620060000001</v>
      </c>
      <c r="C199" s="3">
        <v>62222.551728000006</v>
      </c>
      <c r="D199" s="3">
        <f t="shared" si="16"/>
        <v>11.06833199999528</v>
      </c>
      <c r="E199" s="13" t="str" cm="1">
        <f t="array" ref="E199">_xlfn.XLOOKUP(1,(Table1[time]=A199)*(Table1[unit bid]=B199),Table1[my_fi_name],"Not found")</f>
        <v>GBTC</v>
      </c>
      <c r="F199" s="13" t="str" cm="1">
        <f t="array" ref="F199">_xlfn.XLOOKUP(1,(Table1[time]=A199)*(Table1[unit ask]=C199),Table1[my_fi_name],"Not found")</f>
        <v>EZBC</v>
      </c>
    </row>
    <row r="200" spans="1:6" x14ac:dyDescent="0.25">
      <c r="A200" s="5" t="s">
        <v>242</v>
      </c>
      <c r="B200" s="3">
        <v>62233.620060000001</v>
      </c>
      <c r="C200" s="3">
        <v>62222.551728000006</v>
      </c>
      <c r="D200" s="3">
        <f t="shared" si="16"/>
        <v>11.06833199999528</v>
      </c>
      <c r="E200" s="13" t="str" cm="1">
        <f t="array" ref="E200">_xlfn.XLOOKUP(1,(Table1[time]=A200)*(Table1[unit bid]=B200),Table1[my_fi_name],"Not found")</f>
        <v>GBTC</v>
      </c>
      <c r="F200" s="13" t="str" cm="1">
        <f t="array" ref="F200">_xlfn.XLOOKUP(1,(Table1[time]=A200)*(Table1[unit ask]=C200),Table1[my_fi_name],"Not found")</f>
        <v>EZBC</v>
      </c>
    </row>
    <row r="201" spans="1:6" x14ac:dyDescent="0.25">
      <c r="A201" s="5" t="s">
        <v>243</v>
      </c>
      <c r="B201" s="3">
        <v>62233.620060000001</v>
      </c>
      <c r="C201" s="3">
        <v>62222.551728000006</v>
      </c>
      <c r="D201" s="3">
        <f t="shared" si="16"/>
        <v>11.06833199999528</v>
      </c>
      <c r="E201" s="13" t="str" cm="1">
        <f t="array" ref="E201">_xlfn.XLOOKUP(1,(Table1[time]=A201)*(Table1[unit bid]=B201),Table1[my_fi_name],"Not found")</f>
        <v>GBTC</v>
      </c>
      <c r="F201" s="13" t="str" cm="1">
        <f t="array" ref="F201">_xlfn.XLOOKUP(1,(Table1[time]=A201)*(Table1[unit ask]=C201),Table1[my_fi_name],"Not found")</f>
        <v>EZBC</v>
      </c>
    </row>
    <row r="202" spans="1:6" x14ac:dyDescent="0.25">
      <c r="A202" s="5" t="s">
        <v>244</v>
      </c>
      <c r="B202" s="3">
        <v>62233.620060000001</v>
      </c>
      <c r="C202" s="3">
        <v>62222.551728000006</v>
      </c>
      <c r="D202" s="3">
        <f t="shared" si="16"/>
        <v>11.06833199999528</v>
      </c>
      <c r="E202" s="13" t="str" cm="1">
        <f t="array" ref="E202">_xlfn.XLOOKUP(1,(Table1[time]=A202)*(Table1[unit bid]=B202),Table1[my_fi_name],"Not found")</f>
        <v>GBTC</v>
      </c>
      <c r="F202" s="13" t="str" cm="1">
        <f t="array" ref="F202">_xlfn.XLOOKUP(1,(Table1[time]=A202)*(Table1[unit ask]=C202),Table1[my_fi_name],"Not found")</f>
        <v>EZBC</v>
      </c>
    </row>
    <row r="203" spans="1:6" x14ac:dyDescent="0.25">
      <c r="A203" s="5" t="s">
        <v>245</v>
      </c>
      <c r="B203" s="3">
        <v>60846.750239999994</v>
      </c>
      <c r="C203" s="3">
        <v>60847.820982000005</v>
      </c>
      <c r="D203" s="3">
        <f t="shared" ref="D203:D242" si="17">B203-C203</f>
        <v>-1.0707420000107959</v>
      </c>
      <c r="E203" s="13" t="str" cm="1">
        <f t="array" ref="E203">_xlfn.XLOOKUP(1,(Table1[time]=A203)*(Table1[unit bid]=B203),Table1[my_fi_name],"Not found")</f>
        <v>FBTC</v>
      </c>
      <c r="F203" s="13" t="str" cm="1">
        <f t="array" ref="F203">_xlfn.XLOOKUP(1,(Table1[time]=A203)*(Table1[unit ask]=C203),Table1[my_fi_name],"Not found")</f>
        <v>BTC</v>
      </c>
    </row>
    <row r="204" spans="1:6" x14ac:dyDescent="0.25">
      <c r="A204" s="5" t="s">
        <v>246</v>
      </c>
      <c r="B204" s="3">
        <v>60921.330050000004</v>
      </c>
      <c r="C204" s="3">
        <v>60915.685379999995</v>
      </c>
      <c r="D204" s="3">
        <f t="shared" si="17"/>
        <v>5.6446700000087731</v>
      </c>
      <c r="E204" s="13" t="str" cm="1">
        <f t="array" ref="E204">_xlfn.XLOOKUP(1,(Table1[time]=A204)*(Table1[unit bid]=B204),Table1[my_fi_name],"Not found")</f>
        <v>GBTC</v>
      </c>
      <c r="F204" s="13" t="str" cm="1">
        <f t="array" ref="F204">_xlfn.XLOOKUP(1,(Table1[time]=A204)*(Table1[unit ask]=C204),Table1[my_fi_name],"Not found")</f>
        <v>FBTC</v>
      </c>
    </row>
    <row r="205" spans="1:6" x14ac:dyDescent="0.25">
      <c r="A205" s="5" t="s">
        <v>247</v>
      </c>
      <c r="B205" s="3">
        <v>60631.316174</v>
      </c>
      <c r="C205" s="3">
        <v>60619.835390000007</v>
      </c>
      <c r="D205" s="3">
        <f t="shared" si="17"/>
        <v>11.480783999992127</v>
      </c>
      <c r="E205" s="13" t="str" cm="1">
        <f t="array" ref="E205">_xlfn.XLOOKUP(1,(Table1[time]=A205)*(Table1[unit bid]=B205),Table1[my_fi_name],"Not found")</f>
        <v>ARKB</v>
      </c>
      <c r="F205" s="13" t="str" cm="1">
        <f t="array" ref="F205">_xlfn.XLOOKUP(1,(Table1[time]=A205)*(Table1[unit ask]=C205),Table1[my_fi_name],"Not found")</f>
        <v>IBIT</v>
      </c>
    </row>
    <row r="206" spans="1:6" x14ac:dyDescent="0.25">
      <c r="A206" s="5" t="s">
        <v>248</v>
      </c>
      <c r="B206" s="3">
        <v>60372.977340000005</v>
      </c>
      <c r="C206" s="3">
        <v>60372.695700000004</v>
      </c>
      <c r="D206" s="3">
        <f t="shared" si="17"/>
        <v>0.28164000000106171</v>
      </c>
      <c r="E206" s="13" t="str" cm="1">
        <f t="array" ref="E206">_xlfn.XLOOKUP(1,(Table1[time]=A206)*(Table1[unit bid]=B206),Table1[my_fi_name],"Not found")</f>
        <v>BTC</v>
      </c>
      <c r="F206" s="13" t="str" cm="1">
        <f t="array" ref="F206">_xlfn.XLOOKUP(1,(Table1[time]=A206)*(Table1[unit ask]=C206),Table1[my_fi_name],"Not found")</f>
        <v>IBIT</v>
      </c>
    </row>
    <row r="207" spans="1:6" x14ac:dyDescent="0.25">
      <c r="A207" s="5" t="s">
        <v>249</v>
      </c>
      <c r="B207" s="3">
        <v>60209.218497999995</v>
      </c>
      <c r="C207" s="3">
        <v>60178.514515000003</v>
      </c>
      <c r="D207" s="3">
        <f t="shared" si="17"/>
        <v>30.703982999992149</v>
      </c>
      <c r="E207" s="13" t="str" cm="1">
        <f t="array" ref="E207">_xlfn.XLOOKUP(1,(Table1[time]=A207)*(Table1[unit bid]=B207),Table1[my_fi_name],"Not found")</f>
        <v>ARKB</v>
      </c>
      <c r="F207" s="13" t="str" cm="1">
        <f t="array" ref="F207">_xlfn.XLOOKUP(1,(Table1[time]=A207)*(Table1[unit ask]=C207),Table1[my_fi_name],"Not found")</f>
        <v>IBIT</v>
      </c>
    </row>
    <row r="208" spans="1:6" x14ac:dyDescent="0.25">
      <c r="A208" s="5" t="s">
        <v>250</v>
      </c>
      <c r="B208" s="3">
        <v>60400.514553000001</v>
      </c>
      <c r="C208" s="3">
        <v>60390.348535000005</v>
      </c>
      <c r="D208" s="3">
        <f t="shared" si="17"/>
        <v>10.166017999996257</v>
      </c>
      <c r="E208" s="13" t="str" cm="1">
        <f t="array" ref="E208">_xlfn.XLOOKUP(1,(Table1[time]=A208)*(Table1[unit bid]=B208),Table1[my_fi_name],"Not found")</f>
        <v>BITB</v>
      </c>
      <c r="F208" s="13" t="str" cm="1">
        <f t="array" ref="F208">_xlfn.XLOOKUP(1,(Table1[time]=A208)*(Table1[unit ask]=C208),Table1[my_fi_name],"Not found")</f>
        <v>IBIT</v>
      </c>
    </row>
    <row r="209" spans="1:6" x14ac:dyDescent="0.25">
      <c r="A209" s="5" t="s">
        <v>251</v>
      </c>
      <c r="B209" s="3">
        <v>60372.977340000005</v>
      </c>
      <c r="C209" s="3">
        <v>60355.042864999996</v>
      </c>
      <c r="D209" s="3">
        <f t="shared" si="17"/>
        <v>17.934475000009115</v>
      </c>
      <c r="E209" s="13" t="str" cm="1">
        <f t="array" ref="E209">_xlfn.XLOOKUP(1,(Table1[time]=A209)*(Table1[unit bid]=B209),Table1[my_fi_name],"Not found")</f>
        <v>BTC</v>
      </c>
      <c r="F209" s="13" t="str" cm="1">
        <f t="array" ref="F209">_xlfn.XLOOKUP(1,(Table1[time]=A209)*(Table1[unit ask]=C209),Table1[my_fi_name],"Not found")</f>
        <v>IBIT</v>
      </c>
    </row>
    <row r="210" spans="1:6" x14ac:dyDescent="0.25">
      <c r="A210" s="5" t="s">
        <v>252</v>
      </c>
      <c r="B210" s="3">
        <v>59619.371875000004</v>
      </c>
      <c r="C210" s="3">
        <v>59613.623795000007</v>
      </c>
      <c r="D210" s="3">
        <f t="shared" si="17"/>
        <v>5.7480799999975716</v>
      </c>
      <c r="E210" s="13" t="str" cm="1">
        <f t="array" ref="E210">_xlfn.XLOOKUP(1,(Table1[time]=A210)*(Table1[unit bid]=B210),Table1[my_fi_name],"Not found")</f>
        <v>GBTC</v>
      </c>
      <c r="F210" s="13" t="str" cm="1">
        <f t="array" ref="F210">_xlfn.XLOOKUP(1,(Table1[time]=A210)*(Table1[unit ask]=C210),Table1[my_fi_name],"Not found")</f>
        <v>IBIT</v>
      </c>
    </row>
    <row r="211" spans="1:6" x14ac:dyDescent="0.25">
      <c r="A211" s="5" t="s">
        <v>253</v>
      </c>
      <c r="B211" s="3">
        <v>59792.641122000001</v>
      </c>
      <c r="C211" s="3">
        <v>59772.499309999999</v>
      </c>
      <c r="D211" s="3">
        <f t="shared" si="17"/>
        <v>20.141812000001664</v>
      </c>
      <c r="E211" s="13" t="str" cm="1">
        <f t="array" ref="E211">_xlfn.XLOOKUP(1,(Table1[time]=A211)*(Table1[unit bid]=B211),Table1[my_fi_name],"Not found")</f>
        <v>BITB</v>
      </c>
      <c r="F211" s="13" t="str" cm="1">
        <f t="array" ref="F211">_xlfn.XLOOKUP(1,(Table1[time]=A211)*(Table1[unit ask]=C211),Table1[my_fi_name],"Not found")</f>
        <v>IBIT</v>
      </c>
    </row>
    <row r="212" spans="1:6" x14ac:dyDescent="0.25">
      <c r="A212" s="5" t="s">
        <v>254</v>
      </c>
      <c r="B212" s="3">
        <v>59350.551353999996</v>
      </c>
      <c r="C212" s="3">
        <v>59331.178435000002</v>
      </c>
      <c r="D212" s="3">
        <f t="shared" si="17"/>
        <v>19.372918999993999</v>
      </c>
      <c r="E212" s="13" t="str" cm="1">
        <f t="array" ref="E212">_xlfn.XLOOKUP(1,(Table1[time]=A212)*(Table1[unit bid]=B212),Table1[my_fi_name],"Not found")</f>
        <v>BITB</v>
      </c>
      <c r="F212" s="13" t="str" cm="1">
        <f t="array" ref="F212">_xlfn.XLOOKUP(1,(Table1[time]=A212)*(Table1[unit ask]=C212),Table1[my_fi_name],"Not found")</f>
        <v>IBIT</v>
      </c>
    </row>
    <row r="213" spans="1:6" x14ac:dyDescent="0.25">
      <c r="A213" s="5" t="s">
        <v>255</v>
      </c>
      <c r="B213" s="3">
        <v>59445.901658000002</v>
      </c>
      <c r="C213" s="3">
        <v>59437.095445000006</v>
      </c>
      <c r="D213" s="3">
        <f t="shared" si="17"/>
        <v>8.8062129999962053</v>
      </c>
      <c r="E213" s="13" t="str" cm="1">
        <f t="array" ref="E213">_xlfn.XLOOKUP(1,(Table1[time]=A213)*(Table1[unit bid]=B213),Table1[my_fi_name],"Not found")</f>
        <v>BTC</v>
      </c>
      <c r="F213" s="13" t="str" cm="1">
        <f t="array" ref="F213">_xlfn.XLOOKUP(1,(Table1[time]=A213)*(Table1[unit ask]=C213),Table1[my_fi_name],"Not found")</f>
        <v>IBIT</v>
      </c>
    </row>
    <row r="214" spans="1:6" x14ac:dyDescent="0.25">
      <c r="A214" s="5" t="s">
        <v>256</v>
      </c>
      <c r="B214" s="3">
        <v>59334.873312000003</v>
      </c>
      <c r="C214" s="3">
        <v>59313.525600000001</v>
      </c>
      <c r="D214" s="3">
        <f t="shared" si="17"/>
        <v>21.347712000002502</v>
      </c>
      <c r="E214" s="13" t="str" cm="1">
        <f t="array" ref="E214">_xlfn.XLOOKUP(1,(Table1[time]=A214)*(Table1[unit bid]=B214),Table1[my_fi_name],"Not found")</f>
        <v>ARKB</v>
      </c>
      <c r="F214" s="13" t="str" cm="1">
        <f t="array" ref="F214">_xlfn.XLOOKUP(1,(Table1[time]=A214)*(Table1[unit ask]=C214),Table1[my_fi_name],"Not found")</f>
        <v>IBIT</v>
      </c>
    </row>
    <row r="215" spans="1:6" x14ac:dyDescent="0.25">
      <c r="A215" s="5" t="s">
        <v>257</v>
      </c>
      <c r="B215" s="3">
        <v>59365.023146000007</v>
      </c>
      <c r="C215" s="3">
        <v>59348.831269999995</v>
      </c>
      <c r="D215" s="3">
        <f t="shared" si="17"/>
        <v>16.191876000011689</v>
      </c>
      <c r="E215" s="13" t="str" cm="1">
        <f t="array" ref="E215">_xlfn.XLOOKUP(1,(Table1[time]=A215)*(Table1[unit bid]=B215),Table1[my_fi_name],"Not found")</f>
        <v>ARKB</v>
      </c>
      <c r="F215" s="13" t="str" cm="1">
        <f t="array" ref="F215">_xlfn.XLOOKUP(1,(Table1[time]=A215)*(Table1[unit ask]=C215),Table1[my_fi_name],"Not found")</f>
        <v>IBIT</v>
      </c>
    </row>
    <row r="216" spans="1:6" x14ac:dyDescent="0.25">
      <c r="A216" s="5" t="s">
        <v>258</v>
      </c>
      <c r="B216" s="3">
        <v>59760.801435000001</v>
      </c>
      <c r="C216" s="3">
        <v>59737.193640000005</v>
      </c>
      <c r="D216" s="3">
        <f t="shared" si="17"/>
        <v>23.607794999996258</v>
      </c>
      <c r="E216" s="13" t="str" cm="1">
        <f t="array" ref="E216">_xlfn.XLOOKUP(1,(Table1[time]=A216)*(Table1[unit bid]=B216),Table1[my_fi_name],"Not found")</f>
        <v>BRRR</v>
      </c>
      <c r="F216" s="13" t="str" cm="1">
        <f t="array" ref="F216">_xlfn.XLOOKUP(1,(Table1[time]=A216)*(Table1[unit ask]=C216),Table1[my_fi_name],"Not found")</f>
        <v>IBIT</v>
      </c>
    </row>
    <row r="217" spans="1:6" x14ac:dyDescent="0.25">
      <c r="A217" s="5" t="s">
        <v>259</v>
      </c>
      <c r="B217" s="3">
        <v>59516.335017000005</v>
      </c>
      <c r="C217" s="3">
        <v>59490.053950000009</v>
      </c>
      <c r="D217" s="3">
        <f t="shared" si="17"/>
        <v>26.281066999996256</v>
      </c>
      <c r="E217" s="13" t="str" cm="1">
        <f t="array" ref="E217">_xlfn.XLOOKUP(1,(Table1[time]=A217)*(Table1[unit bid]=B217),Table1[my_fi_name],"Not found")</f>
        <v>BITB</v>
      </c>
      <c r="F217" s="13" t="str" cm="1">
        <f t="array" ref="F217">_xlfn.XLOOKUP(1,(Table1[time]=A217)*(Table1[unit ask]=C217),Table1[my_fi_name],"Not found")</f>
        <v>IBIT</v>
      </c>
    </row>
    <row r="218" spans="1:6" x14ac:dyDescent="0.25">
      <c r="A218" s="5" t="s">
        <v>260</v>
      </c>
      <c r="B218" s="3">
        <v>59350.551353999996</v>
      </c>
      <c r="C218" s="3">
        <v>59330.177159999992</v>
      </c>
      <c r="D218" s="3">
        <f t="shared" si="17"/>
        <v>20.374194000003627</v>
      </c>
      <c r="E218" s="13" t="str" cm="1">
        <f t="array" ref="E218">_xlfn.XLOOKUP(1,(Table1[time]=A218)*(Table1[unit bid]=B218),Table1[my_fi_name],"Not found")</f>
        <v>BITB</v>
      </c>
      <c r="F218" s="13" t="str" cm="1">
        <f t="array" ref="F218">_xlfn.XLOOKUP(1,(Table1[time]=A218)*(Table1[unit ask]=C218),Table1[my_fi_name],"Not found")</f>
        <v>FBTC</v>
      </c>
    </row>
    <row r="219" spans="1:6" x14ac:dyDescent="0.25">
      <c r="A219" s="5" t="s">
        <v>261</v>
      </c>
      <c r="B219" s="3">
        <v>59545.922149999999</v>
      </c>
      <c r="C219" s="3">
        <v>59523.551520000001</v>
      </c>
      <c r="D219" s="3">
        <f t="shared" si="17"/>
        <v>22.370629999997618</v>
      </c>
      <c r="E219" s="13" t="str" cm="1">
        <f t="array" ref="E219">_xlfn.XLOOKUP(1,(Table1[time]=A219)*(Table1[unit bid]=B219),Table1[my_fi_name],"Not found")</f>
        <v>ARKB</v>
      </c>
      <c r="F219" s="13" t="str" cm="1">
        <f t="array" ref="F219">_xlfn.XLOOKUP(1,(Table1[time]=A219)*(Table1[unit ask]=C219),Table1[my_fi_name],"Not found")</f>
        <v>EZBC</v>
      </c>
    </row>
    <row r="220" spans="1:6" x14ac:dyDescent="0.25">
      <c r="A220" s="5" t="s">
        <v>262</v>
      </c>
      <c r="B220" s="3">
        <v>59545.922149999999</v>
      </c>
      <c r="C220" s="3">
        <v>59502.515009999996</v>
      </c>
      <c r="D220" s="3">
        <f t="shared" si="17"/>
        <v>43.407140000002983</v>
      </c>
      <c r="E220" s="13" t="str" cm="1">
        <f t="array" ref="E220">_xlfn.XLOOKUP(1,(Table1[time]=A220)*(Table1[unit bid]=B220),Table1[my_fi_name],"Not found")</f>
        <v>ARKB</v>
      </c>
      <c r="F220" s="13" t="str" cm="1">
        <f t="array" ref="F220">_xlfn.XLOOKUP(1,(Table1[time]=A220)*(Table1[unit ask]=C220),Table1[my_fi_name],"Not found")</f>
        <v>FBTC</v>
      </c>
    </row>
    <row r="221" spans="1:6" x14ac:dyDescent="0.25">
      <c r="A221" s="5" t="s">
        <v>263</v>
      </c>
      <c r="B221" s="3">
        <v>59787.120821999997</v>
      </c>
      <c r="C221" s="3">
        <v>59755.277189999993</v>
      </c>
      <c r="D221" s="3">
        <f t="shared" si="17"/>
        <v>31.843632000003709</v>
      </c>
      <c r="E221" s="13" t="str" cm="1">
        <f t="array" ref="E221">_xlfn.XLOOKUP(1,(Table1[time]=A221)*(Table1[unit bid]=B221),Table1[my_fi_name],"Not found")</f>
        <v>ARKB</v>
      </c>
      <c r="F221" s="13" t="str" cm="1">
        <f t="array" ref="F221">_xlfn.XLOOKUP(1,(Table1[time]=A221)*(Table1[unit ask]=C221),Table1[my_fi_name],"Not found")</f>
        <v>FBTC</v>
      </c>
    </row>
    <row r="222" spans="1:6" x14ac:dyDescent="0.25">
      <c r="A222" s="5" t="s">
        <v>264</v>
      </c>
      <c r="B222" s="3">
        <v>59792.641122000001</v>
      </c>
      <c r="C222" s="3">
        <v>59783.101889999998</v>
      </c>
      <c r="D222" s="3">
        <f t="shared" si="17"/>
        <v>9.5392320000028121</v>
      </c>
      <c r="E222" s="13" t="str" cm="1">
        <f t="array" ref="E222">_xlfn.XLOOKUP(1,(Table1[time]=A222)*(Table1[unit bid]=B222),Table1[my_fi_name],"Not found")</f>
        <v>BITB</v>
      </c>
      <c r="F222" s="13" t="str" cm="1">
        <f t="array" ref="F222">_xlfn.XLOOKUP(1,(Table1[time]=A222)*(Table1[unit ask]=C222),Table1[my_fi_name],"Not found")</f>
        <v>EZBC</v>
      </c>
    </row>
    <row r="223" spans="1:6" x14ac:dyDescent="0.25">
      <c r="A223" s="5" t="s">
        <v>265</v>
      </c>
      <c r="B223" s="3">
        <v>60161.379127999993</v>
      </c>
      <c r="C223" s="3">
        <v>60143.621092000009</v>
      </c>
      <c r="D223" s="3">
        <f t="shared" si="17"/>
        <v>17.758035999984713</v>
      </c>
      <c r="E223" s="13" t="str" cm="1">
        <f t="array" ref="E223">_xlfn.XLOOKUP(1,(Table1[time]=A223)*(Table1[unit bid]=B223),Table1[my_fi_name],"Not found")</f>
        <v>BITB</v>
      </c>
      <c r="F223" s="13" t="str" cm="1">
        <f t="array" ref="F223">_xlfn.XLOOKUP(1,(Table1[time]=A223)*(Table1[unit ask]=C223),Table1[my_fi_name],"Not found")</f>
        <v>IBIT</v>
      </c>
    </row>
    <row r="224" spans="1:6" x14ac:dyDescent="0.25">
      <c r="A224" s="5" t="s">
        <v>266</v>
      </c>
      <c r="B224" s="3">
        <v>59371.078355999998</v>
      </c>
      <c r="C224" s="3">
        <v>59349.238072</v>
      </c>
      <c r="D224" s="3">
        <f t="shared" si="17"/>
        <v>21.840283999998064</v>
      </c>
      <c r="E224" s="13" t="str" cm="1">
        <f t="array" ref="E224">_xlfn.XLOOKUP(1,(Table1[time]=A224)*(Table1[unit bid]=B224),Table1[my_fi_name],"Not found")</f>
        <v>BRRR</v>
      </c>
      <c r="F224" s="13" t="str" cm="1">
        <f t="array" ref="F224">_xlfn.XLOOKUP(1,(Table1[time]=A224)*(Table1[unit ask]=C224),Table1[my_fi_name],"Not found")</f>
        <v>IBIT</v>
      </c>
    </row>
    <row r="225" spans="1:6" x14ac:dyDescent="0.25">
      <c r="A225" s="5" t="s">
        <v>267</v>
      </c>
      <c r="B225" s="3">
        <v>59727.163866999996</v>
      </c>
      <c r="C225" s="3">
        <v>59719.710981000004</v>
      </c>
      <c r="D225" s="3">
        <f t="shared" si="17"/>
        <v>7.4528859999918495</v>
      </c>
      <c r="E225" s="13" t="str" cm="1">
        <f t="array" ref="E225">_xlfn.XLOOKUP(1,(Table1[time]=A225)*(Table1[unit bid]=B225),Table1[my_fi_name],"Not found")</f>
        <v>ARKB</v>
      </c>
      <c r="F225" s="13" t="str" cm="1">
        <f t="array" ref="F225">_xlfn.XLOOKUP(1,(Table1[time]=A225)*(Table1[unit ask]=C225),Table1[my_fi_name],"Not found")</f>
        <v>HODL</v>
      </c>
    </row>
    <row r="226" spans="1:6" x14ac:dyDescent="0.25">
      <c r="A226" s="5" t="s">
        <v>268</v>
      </c>
      <c r="B226" s="3">
        <v>59425.663797000001</v>
      </c>
      <c r="C226" s="3">
        <v>59402.196940000002</v>
      </c>
      <c r="D226" s="3">
        <f t="shared" si="17"/>
        <v>23.466856999999436</v>
      </c>
      <c r="E226" s="13" t="str" cm="1">
        <f t="array" ref="E226">_xlfn.XLOOKUP(1,(Table1[time]=A226)*(Table1[unit bid]=B226),Table1[my_fi_name],"Not found")</f>
        <v>ARKB</v>
      </c>
      <c r="F226" s="13" t="str" cm="1">
        <f t="array" ref="F226">_xlfn.XLOOKUP(1,(Table1[time]=A226)*(Table1[unit ask]=C226),Table1[my_fi_name],"Not found")</f>
        <v>IBIT</v>
      </c>
    </row>
    <row r="227" spans="1:6" x14ac:dyDescent="0.25">
      <c r="A227" s="5" t="s">
        <v>269</v>
      </c>
      <c r="B227" s="3">
        <v>59094.013720000003</v>
      </c>
      <c r="C227" s="3">
        <v>59084.443732</v>
      </c>
      <c r="D227" s="3">
        <f t="shared" si="17"/>
        <v>9.5699880000029225</v>
      </c>
      <c r="E227" s="13" t="str" cm="1">
        <f t="array" ref="E227">_xlfn.XLOOKUP(1,(Table1[time]=A227)*(Table1[unit bid]=B227),Table1[my_fi_name],"Not found")</f>
        <v>ARKB</v>
      </c>
      <c r="F227" s="13" t="str" cm="1">
        <f t="array" ref="F227">_xlfn.XLOOKUP(1,(Table1[time]=A227)*(Table1[unit ask]=C227),Table1[my_fi_name],"Not found")</f>
        <v>IBIT</v>
      </c>
    </row>
    <row r="228" spans="1:6" x14ac:dyDescent="0.25">
      <c r="A228" s="5" t="s">
        <v>270</v>
      </c>
      <c r="B228" s="3">
        <v>59087.345604000002</v>
      </c>
      <c r="C228" s="3">
        <v>59049.137820000011</v>
      </c>
      <c r="D228" s="3">
        <f t="shared" si="17"/>
        <v>38.207783999991079</v>
      </c>
      <c r="E228" s="13" t="str" cm="1">
        <f t="array" ref="E228">_xlfn.XLOOKUP(1,(Table1[time]=A228)*(Table1[unit bid]=B228),Table1[my_fi_name],"Not found")</f>
        <v>BRRR</v>
      </c>
      <c r="F228" s="13" t="str" cm="1">
        <f t="array" ref="F228">_xlfn.XLOOKUP(1,(Table1[time]=A228)*(Table1[unit ask]=C228),Table1[my_fi_name],"Not found")</f>
        <v>IBIT</v>
      </c>
    </row>
    <row r="229" spans="1:6" x14ac:dyDescent="0.25">
      <c r="A229" s="5" t="s">
        <v>271</v>
      </c>
      <c r="B229" s="3">
        <v>59274.913762000004</v>
      </c>
      <c r="C229" s="3">
        <v>59243.320336000012</v>
      </c>
      <c r="D229" s="3">
        <f t="shared" si="17"/>
        <v>31.593425999992178</v>
      </c>
      <c r="E229" s="13" t="str" cm="1">
        <f t="array" ref="E229">_xlfn.XLOOKUP(1,(Table1[time]=A229)*(Table1[unit bid]=B229),Table1[my_fi_name],"Not found")</f>
        <v>ARKB</v>
      </c>
      <c r="F229" s="13" t="str" cm="1">
        <f t="array" ref="F229">_xlfn.XLOOKUP(1,(Table1[time]=A229)*(Table1[unit ask]=C229),Table1[my_fi_name],"Not found")</f>
        <v>IBIT</v>
      </c>
    </row>
    <row r="230" spans="1:6" x14ac:dyDescent="0.25">
      <c r="A230" s="5" t="s">
        <v>272</v>
      </c>
      <c r="B230" s="3">
        <v>59264.678574000005</v>
      </c>
      <c r="C230" s="3">
        <v>59243.320336000012</v>
      </c>
      <c r="D230" s="3">
        <f t="shared" si="17"/>
        <v>21.358237999993435</v>
      </c>
      <c r="E230" s="13" t="str" cm="1">
        <f t="array" ref="E230">_xlfn.XLOOKUP(1,(Table1[time]=A230)*(Table1[unit bid]=B230),Table1[my_fi_name],"Not found")</f>
        <v>BRRR</v>
      </c>
      <c r="F230" s="13" t="str" cm="1">
        <f t="array" ref="F230">_xlfn.XLOOKUP(1,(Table1[time]=A230)*(Table1[unit ask]=C230),Table1[my_fi_name],"Not found")</f>
        <v>IBIT</v>
      </c>
    </row>
    <row r="231" spans="1:6" x14ac:dyDescent="0.25">
      <c r="A231" s="5" t="s">
        <v>273</v>
      </c>
      <c r="B231" s="3">
        <v>59338.216614999998</v>
      </c>
      <c r="C231" s="3">
        <v>59313.932160000004</v>
      </c>
      <c r="D231" s="3">
        <f t="shared" si="17"/>
        <v>24.284454999993613</v>
      </c>
      <c r="E231" s="13" t="str" cm="1">
        <f t="array" ref="E231">_xlfn.XLOOKUP(1,(Table1[time]=A231)*(Table1[unit bid]=B231),Table1[my_fi_name],"Not found")</f>
        <v>GBTC</v>
      </c>
      <c r="F231" s="13" t="str" cm="1">
        <f t="array" ref="F231">_xlfn.XLOOKUP(1,(Table1[time]=A231)*(Table1[unit ask]=C231),Table1[my_fi_name],"Not found")</f>
        <v>IBIT</v>
      </c>
    </row>
    <row r="232" spans="1:6" x14ac:dyDescent="0.25">
      <c r="A232" s="5" t="s">
        <v>274</v>
      </c>
      <c r="B232" s="3">
        <v>59627.184395999997</v>
      </c>
      <c r="C232" s="3">
        <v>59596.379456000002</v>
      </c>
      <c r="D232" s="3">
        <f t="shared" si="17"/>
        <v>30.804939999994531</v>
      </c>
      <c r="E232" s="13" t="str" cm="1">
        <f t="array" ref="E232">_xlfn.XLOOKUP(1,(Table1[time]=A232)*(Table1[unit bid]=B232),Table1[my_fi_name],"Not found")</f>
        <v>BITB</v>
      </c>
      <c r="F232" s="13" t="str" cm="1">
        <f t="array" ref="F232">_xlfn.XLOOKUP(1,(Table1[time]=A232)*(Table1[unit ask]=C232),Table1[my_fi_name],"Not found")</f>
        <v>IBIT</v>
      </c>
    </row>
    <row r="233" spans="1:6" x14ac:dyDescent="0.25">
      <c r="A233" s="5" t="s">
        <v>275</v>
      </c>
      <c r="B233" s="3">
        <v>59355.699374999997</v>
      </c>
      <c r="C233" s="3">
        <v>59331.585116000002</v>
      </c>
      <c r="D233" s="3">
        <f t="shared" si="17"/>
        <v>24.11425899999449</v>
      </c>
      <c r="E233" s="13" t="str" cm="1">
        <f t="array" ref="E233">_xlfn.XLOOKUP(1,(Table1[time]=A233)*(Table1[unit bid]=B233),Table1[my_fi_name],"Not found")</f>
        <v>BTC</v>
      </c>
      <c r="F233" s="13" t="str" cm="1">
        <f t="array" ref="F233">_xlfn.XLOOKUP(1,(Table1[time]=A233)*(Table1[unit ask]=C233),Table1[my_fi_name],"Not found")</f>
        <v>IBIT</v>
      </c>
    </row>
    <row r="234" spans="1:6" x14ac:dyDescent="0.25">
      <c r="A234" s="5" t="s">
        <v>276</v>
      </c>
      <c r="B234" s="3">
        <v>59222.195769999998</v>
      </c>
      <c r="C234" s="3">
        <v>59208.014424000001</v>
      </c>
      <c r="D234" s="3">
        <f t="shared" si="17"/>
        <v>14.181345999997575</v>
      </c>
      <c r="E234" s="13" t="str" cm="1">
        <f t="array" ref="E234">_xlfn.XLOOKUP(1,(Table1[time]=A234)*(Table1[unit bid]=B234),Table1[my_fi_name],"Not found")</f>
        <v>GBTC</v>
      </c>
      <c r="F234" s="13" t="str" cm="1">
        <f t="array" ref="F234">_xlfn.XLOOKUP(1,(Table1[time]=A234)*(Table1[unit ask]=C234),Table1[my_fi_name],"Not found")</f>
        <v>IBIT</v>
      </c>
    </row>
    <row r="235" spans="1:6" x14ac:dyDescent="0.25">
      <c r="A235" s="5" t="s">
        <v>277</v>
      </c>
      <c r="B235" s="3">
        <v>59100.799735999994</v>
      </c>
      <c r="C235" s="3">
        <v>59084.443732</v>
      </c>
      <c r="D235" s="3">
        <f t="shared" si="17"/>
        <v>16.356003999993845</v>
      </c>
      <c r="E235" s="13" t="str" cm="1">
        <f t="array" ref="E235">_xlfn.XLOOKUP(1,(Table1[time]=A235)*(Table1[unit bid]=B235),Table1[my_fi_name],"Not found")</f>
        <v>FBTC</v>
      </c>
      <c r="F235" s="13" t="str" cm="1">
        <f t="array" ref="F235">_xlfn.XLOOKUP(1,(Table1[time]=A235)*(Table1[unit ask]=C235),Table1[my_fi_name],"Not found")</f>
        <v>IBIT</v>
      </c>
    </row>
    <row r="236" spans="1:6" x14ac:dyDescent="0.25">
      <c r="A236" s="5" t="s">
        <v>278</v>
      </c>
      <c r="B236" s="3">
        <v>59399.520729999997</v>
      </c>
      <c r="C236" s="3">
        <v>59366.891028000013</v>
      </c>
      <c r="D236" s="3">
        <f t="shared" si="17"/>
        <v>32.629701999983808</v>
      </c>
      <c r="E236" s="13" t="str" cm="1">
        <f t="array" ref="E236">_xlfn.XLOOKUP(1,(Table1[time]=A236)*(Table1[unit bid]=B236),Table1[my_fi_name],"Not found")</f>
        <v>FBTC</v>
      </c>
      <c r="F236" s="13" t="str" cm="1">
        <f t="array" ref="F236">_xlfn.XLOOKUP(1,(Table1[time]=A236)*(Table1[unit ask]=C236),Table1[my_fi_name],"Not found")</f>
        <v>IBIT</v>
      </c>
    </row>
    <row r="237" spans="1:6" x14ac:dyDescent="0.25">
      <c r="A237" s="5" t="s">
        <v>279</v>
      </c>
      <c r="B237" s="3">
        <v>59406.544950000003</v>
      </c>
      <c r="C237" s="3">
        <v>59366.891028000013</v>
      </c>
      <c r="D237" s="3">
        <f t="shared" si="17"/>
        <v>39.653921999990416</v>
      </c>
      <c r="E237" s="13" t="str" cm="1">
        <f t="array" ref="E237">_xlfn.XLOOKUP(1,(Table1[time]=A237)*(Table1[unit bid]=B237),Table1[my_fi_name],"Not found")</f>
        <v>BRRR</v>
      </c>
      <c r="F237" s="13" t="str" cm="1">
        <f t="array" ref="F237">_xlfn.XLOOKUP(1,(Table1[time]=A237)*(Table1[unit ask]=C237),Table1[my_fi_name],"Not found")</f>
        <v>IBIT</v>
      </c>
    </row>
    <row r="238" spans="1:6" x14ac:dyDescent="0.25">
      <c r="A238" s="5" t="s">
        <v>280</v>
      </c>
      <c r="B238" s="3">
        <v>59378.311070000003</v>
      </c>
      <c r="C238" s="3">
        <v>59349.238072</v>
      </c>
      <c r="D238" s="3">
        <f t="shared" si="17"/>
        <v>29.072998000003281</v>
      </c>
      <c r="E238" s="13" t="str" cm="1">
        <f t="array" ref="E238">_xlfn.XLOOKUP(1,(Table1[time]=A238)*(Table1[unit bid]=B238),Table1[my_fi_name],"Not found")</f>
        <v>BTC</v>
      </c>
      <c r="F238" s="13" t="str" cm="1">
        <f t="array" ref="F238">_xlfn.XLOOKUP(1,(Table1[time]=A238)*(Table1[unit ask]=C238),Table1[my_fi_name],"Not found")</f>
        <v>IBIT</v>
      </c>
    </row>
    <row r="239" spans="1:6" x14ac:dyDescent="0.25">
      <c r="A239" s="5" t="s">
        <v>281</v>
      </c>
      <c r="B239" s="3">
        <v>59479.820331999996</v>
      </c>
      <c r="C239" s="3">
        <v>59454.237459999997</v>
      </c>
      <c r="D239" s="3">
        <f t="shared" si="17"/>
        <v>25.582871999999043</v>
      </c>
      <c r="E239" s="13" t="str" cm="1">
        <f t="array" ref="E239">_xlfn.XLOOKUP(1,(Table1[time]=A239)*(Table1[unit bid]=B239),Table1[my_fi_name],"Not found")</f>
        <v>BITB</v>
      </c>
      <c r="F239" s="13" t="str" cm="1">
        <f t="array" ref="F239">_xlfn.XLOOKUP(1,(Table1[time]=A239)*(Table1[unit ask]=C239),Table1[my_fi_name],"Not found")</f>
        <v>GBTC</v>
      </c>
    </row>
    <row r="240" spans="1:6" x14ac:dyDescent="0.25">
      <c r="A240" s="5" t="s">
        <v>282</v>
      </c>
      <c r="B240" s="3">
        <v>59525.902689000002</v>
      </c>
      <c r="C240" s="3">
        <v>59490.461720000007</v>
      </c>
      <c r="D240" s="3">
        <f t="shared" si="17"/>
        <v>35.440968999995675</v>
      </c>
      <c r="E240" s="13" t="str" cm="1">
        <f t="array" ref="E240">_xlfn.XLOOKUP(1,(Table1[time]=A240)*(Table1[unit bid]=B240),Table1[my_fi_name],"Not found")</f>
        <v>FBTC</v>
      </c>
      <c r="F240" s="13" t="str" cm="1">
        <f t="array" ref="F240">_xlfn.XLOOKUP(1,(Table1[time]=A240)*(Table1[unit ask]=C240),Table1[my_fi_name],"Not found")</f>
        <v>IBIT</v>
      </c>
    </row>
    <row r="241" spans="1:6" x14ac:dyDescent="0.25">
      <c r="A241" s="5" t="s">
        <v>283</v>
      </c>
      <c r="B241" s="3">
        <v>59124.163726999999</v>
      </c>
      <c r="C241" s="3">
        <v>59084.443732</v>
      </c>
      <c r="D241" s="3">
        <f t="shared" si="17"/>
        <v>39.719994999999471</v>
      </c>
      <c r="E241" s="13" t="str" cm="1">
        <f t="array" ref="E241">_xlfn.XLOOKUP(1,(Table1[time]=A241)*(Table1[unit bid]=B241),Table1[my_fi_name],"Not found")</f>
        <v>ARKB</v>
      </c>
      <c r="F241" s="13" t="str" cm="1">
        <f t="array" ref="F241">_xlfn.XLOOKUP(1,(Table1[time]=A241)*(Table1[unit ask]=C241),Table1[my_fi_name],"Not found")</f>
        <v>IBIT</v>
      </c>
    </row>
    <row r="242" spans="1:6" x14ac:dyDescent="0.25">
      <c r="A242" s="5" t="s">
        <v>284</v>
      </c>
      <c r="B242" s="3">
        <v>59214.613748000003</v>
      </c>
      <c r="C242" s="3">
        <v>59172.708512000012</v>
      </c>
      <c r="D242" s="3">
        <f t="shared" si="17"/>
        <v>41.905235999991419</v>
      </c>
      <c r="E242" s="13" t="str" cm="1">
        <f t="array" ref="E242">_xlfn.XLOOKUP(1,(Table1[time]=A242)*(Table1[unit bid]=B242),Table1[my_fi_name],"Not found")</f>
        <v>ARKB</v>
      </c>
      <c r="F242" s="13" t="str" cm="1">
        <f t="array" ref="F242">_xlfn.XLOOKUP(1,(Table1[time]=A242)*(Table1[unit ask]=C242),Table1[my_fi_name],"Not found")</f>
        <v>IBIT</v>
      </c>
    </row>
    <row r="243" spans="1:6" x14ac:dyDescent="0.25">
      <c r="A243" s="5" t="s">
        <v>285</v>
      </c>
      <c r="B243" s="3">
        <v>59094.013720000003</v>
      </c>
      <c r="C243" s="3">
        <v>59049.137820000011</v>
      </c>
      <c r="D243" s="3">
        <f>B243-C243</f>
        <v>44.875899999991816</v>
      </c>
      <c r="E243" s="13" t="str" cm="1">
        <f t="array" ref="E243">_xlfn.XLOOKUP(1,(Table1[time]=A243)*(Table1[unit bid]=B243),Table1[my_fi_name],"Not found")</f>
        <v>ARKB</v>
      </c>
      <c r="F243" s="13" t="str" cm="1">
        <f t="array" ref="F243">_xlfn.XLOOKUP(1,(Table1[time]=A243)*(Table1[unit ask]=C243),Table1[my_fi_name],"Not found")</f>
        <v>IBIT</v>
      </c>
    </row>
    <row r="244" spans="1:6" x14ac:dyDescent="0.25">
      <c r="A244" s="5" t="s">
        <v>286</v>
      </c>
      <c r="B244" s="3">
        <v>59676.494163999989</v>
      </c>
      <c r="C244" s="3">
        <v>59650.564901000005</v>
      </c>
      <c r="D244" s="3">
        <f t="shared" ref="D244:D293" si="18">B244-C244</f>
        <v>25.929262999983621</v>
      </c>
      <c r="E244" s="13" t="str" cm="1">
        <f t="array" ref="E244">_xlfn.XLOOKUP(1,(Table1[time]=A244)*(Table1[unit bid]=B244),Table1[my_fi_name],"Not found")</f>
        <v>FBTC</v>
      </c>
      <c r="F244" s="13" t="str" cm="1">
        <f t="array" ref="F244">_xlfn.XLOOKUP(1,(Table1[time]=A244)*(Table1[unit ask]=C244),Table1[my_fi_name],"Not found")</f>
        <v>IBIT</v>
      </c>
    </row>
    <row r="245" spans="1:6" x14ac:dyDescent="0.25">
      <c r="A245" s="5" t="s">
        <v>287</v>
      </c>
      <c r="B245" s="3">
        <v>59656.037286000006</v>
      </c>
      <c r="C245" s="3">
        <v>59632.911582000008</v>
      </c>
      <c r="D245" s="3">
        <f t="shared" si="18"/>
        <v>23.125703999998223</v>
      </c>
      <c r="E245" s="13" t="str" cm="1">
        <f t="array" ref="E245">_xlfn.XLOOKUP(1,(Table1[time]=A245)*(Table1[unit bid]=B245),Table1[my_fi_name],"Not found")</f>
        <v>BRRR</v>
      </c>
      <c r="F245" s="13" t="str" cm="1">
        <f t="array" ref="F245">_xlfn.XLOOKUP(1,(Table1[time]=A245)*(Table1[unit ask]=C245),Table1[my_fi_name],"Not found")</f>
        <v>IBIT</v>
      </c>
    </row>
    <row r="246" spans="1:6" x14ac:dyDescent="0.25">
      <c r="A246" s="5" t="s">
        <v>288</v>
      </c>
      <c r="B246" s="3">
        <v>59407.766025000004</v>
      </c>
      <c r="C246" s="3">
        <v>59385.765116000002</v>
      </c>
      <c r="D246" s="3">
        <f t="shared" si="18"/>
        <v>22.000909000002139</v>
      </c>
      <c r="E246" s="13" t="str" cm="1">
        <f t="array" ref="E246">_xlfn.XLOOKUP(1,(Table1[time]=A246)*(Table1[unit bid]=B246),Table1[my_fi_name],"Not found")</f>
        <v>BRRR</v>
      </c>
      <c r="F246" s="13" t="str" cm="1">
        <f t="array" ref="F246">_xlfn.XLOOKUP(1,(Table1[time]=A246)*(Table1[unit ask]=C246),Table1[my_fi_name],"Not found")</f>
        <v>IBIT</v>
      </c>
    </row>
    <row r="247" spans="1:6" x14ac:dyDescent="0.25">
      <c r="A247" s="5" t="s">
        <v>289</v>
      </c>
      <c r="B247" s="3">
        <v>59894.794777999996</v>
      </c>
      <c r="C247" s="3">
        <v>59880.058048000006</v>
      </c>
      <c r="D247" s="3">
        <f t="shared" si="18"/>
        <v>14.73672999998962</v>
      </c>
      <c r="E247" s="13" t="str" cm="1">
        <f t="array" ref="E247">_xlfn.XLOOKUP(1,(Table1[time]=A247)*(Table1[unit bid]=B247),Table1[my_fi_name],"Not found")</f>
        <v>FBTC</v>
      </c>
      <c r="F247" s="13" t="str" cm="1">
        <f t="array" ref="F247">_xlfn.XLOOKUP(1,(Table1[time]=A247)*(Table1[unit ask]=C247),Table1[my_fi_name],"Not found")</f>
        <v>IBIT</v>
      </c>
    </row>
    <row r="248" spans="1:6" x14ac:dyDescent="0.25">
      <c r="A248" s="5" t="s">
        <v>290</v>
      </c>
      <c r="B248" s="3">
        <v>60034.790970000002</v>
      </c>
      <c r="C248" s="3">
        <v>60021.284600000006</v>
      </c>
      <c r="D248" s="3">
        <f t="shared" si="18"/>
        <v>13.506369999995513</v>
      </c>
      <c r="E248" s="13" t="str" cm="1">
        <f t="array" ref="E248">_xlfn.XLOOKUP(1,(Table1[time]=A248)*(Table1[unit bid]=B248),Table1[my_fi_name],"Not found")</f>
        <v>BTC</v>
      </c>
      <c r="F248" s="13" t="str" cm="1">
        <f t="array" ref="F248">_xlfn.XLOOKUP(1,(Table1[time]=A248)*(Table1[unit ask]=C248),Table1[my_fi_name],"Not found")</f>
        <v>IBIT</v>
      </c>
    </row>
    <row r="249" spans="1:6" x14ac:dyDescent="0.25">
      <c r="A249" s="5" t="s">
        <v>291</v>
      </c>
      <c r="B249" s="3">
        <v>60383.418458000007</v>
      </c>
      <c r="C249" s="3">
        <v>60356.155503000002</v>
      </c>
      <c r="D249" s="3">
        <f t="shared" si="18"/>
        <v>27.262955000005604</v>
      </c>
      <c r="E249" s="13" t="str" cm="1">
        <f t="array" ref="E249">_xlfn.XLOOKUP(1,(Table1[time]=A249)*(Table1[unit bid]=B249),Table1[my_fi_name],"Not found")</f>
        <v>BITB</v>
      </c>
      <c r="F249" s="13" t="str" cm="1">
        <f t="array" ref="F249">_xlfn.XLOOKUP(1,(Table1[time]=A249)*(Table1[unit ask]=C249),Table1[my_fi_name],"Not found")</f>
        <v>HODL</v>
      </c>
    </row>
    <row r="250" spans="1:6" x14ac:dyDescent="0.25">
      <c r="A250" s="5" t="s">
        <v>292</v>
      </c>
      <c r="B250" s="3">
        <v>60183.567060000001</v>
      </c>
      <c r="C250" s="3">
        <v>60179.365358000003</v>
      </c>
      <c r="D250" s="3">
        <f t="shared" si="18"/>
        <v>4.2017019999984768</v>
      </c>
      <c r="E250" s="13" t="str" cm="1">
        <f t="array" ref="E250">_xlfn.XLOOKUP(1,(Table1[time]=A250)*(Table1[unit bid]=B250),Table1[my_fi_name],"Not found")</f>
        <v>GBTC</v>
      </c>
      <c r="F250" s="13" t="str" cm="1">
        <f t="array" ref="F250">_xlfn.XLOOKUP(1,(Table1[time]=A250)*(Table1[unit ask]=C250),Table1[my_fi_name],"Not found")</f>
        <v>HODL</v>
      </c>
    </row>
    <row r="251" spans="1:6" x14ac:dyDescent="0.25">
      <c r="A251" s="5" t="s">
        <v>293</v>
      </c>
      <c r="B251" s="3">
        <v>60150.299370000001</v>
      </c>
      <c r="C251" s="3">
        <v>60144.007329000007</v>
      </c>
      <c r="D251" s="3">
        <f t="shared" si="18"/>
        <v>6.2920409999933327</v>
      </c>
      <c r="E251" s="13" t="str" cm="1">
        <f t="array" ref="E251">_xlfn.XLOOKUP(1,(Table1[time]=A251)*(Table1[unit bid]=B251),Table1[my_fi_name],"Not found")</f>
        <v>ARKB</v>
      </c>
      <c r="F251" s="13" t="str" cm="1">
        <f t="array" ref="F251">_xlfn.XLOOKUP(1,(Table1[time]=A251)*(Table1[unit ask]=C251),Table1[my_fi_name],"Not found")</f>
        <v>HODL</v>
      </c>
    </row>
    <row r="252" spans="1:6" x14ac:dyDescent="0.25">
      <c r="A252" s="5" t="s">
        <v>294</v>
      </c>
      <c r="B252" s="3">
        <v>59951.496750000006</v>
      </c>
      <c r="C252" s="3">
        <v>59950.671324000003</v>
      </c>
      <c r="D252" s="3">
        <f t="shared" si="18"/>
        <v>0.82542600000306265</v>
      </c>
      <c r="E252" s="13" t="str" cm="1">
        <f t="array" ref="E252">_xlfn.XLOOKUP(1,(Table1[time]=A252)*(Table1[unit bid]=B252),Table1[my_fi_name],"Not found")</f>
        <v>GBTC</v>
      </c>
      <c r="F252" s="13" t="str" cm="1">
        <f t="array" ref="F252">_xlfn.XLOOKUP(1,(Table1[time]=A252)*(Table1[unit ask]=C252),Table1[my_fi_name],"Not found")</f>
        <v>IBIT</v>
      </c>
    </row>
    <row r="253" spans="1:6" x14ac:dyDescent="0.25">
      <c r="A253" s="5" t="s">
        <v>295</v>
      </c>
      <c r="B253" s="3">
        <v>60180.449896000006</v>
      </c>
      <c r="C253" s="3">
        <v>60179.365358000003</v>
      </c>
      <c r="D253" s="3">
        <f t="shared" si="18"/>
        <v>1.0845380000027944</v>
      </c>
      <c r="E253" s="13" t="str" cm="1">
        <f t="array" ref="E253">_xlfn.XLOOKUP(1,(Table1[time]=A253)*(Table1[unit bid]=B253),Table1[my_fi_name],"Not found")</f>
        <v>ARKB</v>
      </c>
      <c r="F253" s="13" t="str" cm="1">
        <f t="array" ref="F253">_xlfn.XLOOKUP(1,(Table1[time]=A253)*(Table1[unit ask]=C253),Table1[my_fi_name],"Not found")</f>
        <v>HODL</v>
      </c>
    </row>
    <row r="254" spans="1:6" x14ac:dyDescent="0.25">
      <c r="A254" s="5" t="s">
        <v>296</v>
      </c>
      <c r="B254" s="3">
        <v>60029.697266000003</v>
      </c>
      <c r="C254" s="3">
        <v>60003.631281000009</v>
      </c>
      <c r="D254" s="3">
        <f t="shared" si="18"/>
        <v>26.065984999993816</v>
      </c>
      <c r="E254" s="13" t="str" cm="1">
        <f t="array" ref="E254">_xlfn.XLOOKUP(1,(Table1[time]=A254)*(Table1[unit bid]=B254),Table1[my_fi_name],"Not found")</f>
        <v>ARKB</v>
      </c>
      <c r="F254" s="13" t="str" cm="1">
        <f t="array" ref="F254">_xlfn.XLOOKUP(1,(Table1[time]=A254)*(Table1[unit ask]=C254),Table1[my_fi_name],"Not found")</f>
        <v>IBIT</v>
      </c>
    </row>
    <row r="255" spans="1:6" x14ac:dyDescent="0.25">
      <c r="A255" s="5" t="s">
        <v>297</v>
      </c>
      <c r="B255" s="3">
        <v>60159.053415999995</v>
      </c>
      <c r="C255" s="3">
        <v>60144.857833000002</v>
      </c>
      <c r="D255" s="3">
        <f t="shared" si="18"/>
        <v>14.195582999993348</v>
      </c>
      <c r="E255" s="13" t="str" cm="1">
        <f t="array" ref="E255">_xlfn.XLOOKUP(1,(Table1[time]=A255)*(Table1[unit bid]=B255),Table1[my_fi_name],"Not found")</f>
        <v>FBTC</v>
      </c>
      <c r="F255" s="13" t="str" cm="1">
        <f t="array" ref="F255">_xlfn.XLOOKUP(1,(Table1[time]=A255)*(Table1[unit ask]=C255),Table1[my_fi_name],"Not found")</f>
        <v>IBIT</v>
      </c>
    </row>
    <row r="256" spans="1:6" x14ac:dyDescent="0.25">
      <c r="A256" s="5" t="s">
        <v>298</v>
      </c>
      <c r="B256" s="3">
        <v>60003.067930000005</v>
      </c>
      <c r="C256" s="3">
        <v>59996.581427000005</v>
      </c>
      <c r="D256" s="3">
        <f t="shared" si="18"/>
        <v>6.4865030000000843</v>
      </c>
      <c r="E256" s="13" t="str" cm="1">
        <f t="array" ref="E256">_xlfn.XLOOKUP(1,(Table1[time]=A256)*(Table1[unit bid]=B256),Table1[my_fi_name],"Not found")</f>
        <v>GBTC</v>
      </c>
      <c r="F256" s="13" t="str" cm="1">
        <f t="array" ref="F256">_xlfn.XLOOKUP(1,(Table1[time]=A256)*(Table1[unit ask]=C256),Table1[my_fi_name],"Not found")</f>
        <v>BITB</v>
      </c>
    </row>
    <row r="257" spans="1:6" x14ac:dyDescent="0.25">
      <c r="A257" s="5" t="s">
        <v>299</v>
      </c>
      <c r="B257" s="3">
        <v>59904.308547000001</v>
      </c>
      <c r="C257" s="3">
        <v>59886.056560999998</v>
      </c>
      <c r="D257" s="3">
        <f t="shared" si="18"/>
        <v>18.251986000002944</v>
      </c>
      <c r="E257" s="13" t="str" cm="1">
        <f t="array" ref="E257">_xlfn.XLOOKUP(1,(Table1[time]=A257)*(Table1[unit bid]=B257),Table1[my_fi_name],"Not found")</f>
        <v>BRRR</v>
      </c>
      <c r="F257" s="13" t="str" cm="1">
        <f t="array" ref="F257">_xlfn.XLOOKUP(1,(Table1[time]=A257)*(Table1[unit ask]=C257),Table1[my_fi_name],"Not found")</f>
        <v>BITB</v>
      </c>
    </row>
    <row r="258" spans="1:6" x14ac:dyDescent="0.25">
      <c r="A258" s="5" t="s">
        <v>300</v>
      </c>
      <c r="B258" s="3">
        <v>59929.26329599999</v>
      </c>
      <c r="C258" s="3">
        <v>59931.859154999998</v>
      </c>
      <c r="D258" s="3">
        <f t="shared" si="18"/>
        <v>-2.595859000008204</v>
      </c>
      <c r="E258" s="13" t="str" cm="1">
        <f t="array" ref="E258">_xlfn.XLOOKUP(1,(Table1[time]=A258)*(Table1[unit bid]=B258),Table1[my_fi_name],"Not found")</f>
        <v>FBTC</v>
      </c>
      <c r="F258" s="13" t="str" cm="1">
        <f t="array" ref="F258">_xlfn.XLOOKUP(1,(Table1[time]=A258)*(Table1[unit ask]=C258),Table1[my_fi_name],"Not found")</f>
        <v>HODL</v>
      </c>
    </row>
    <row r="259" spans="1:6" x14ac:dyDescent="0.25">
      <c r="A259" s="5" t="s">
        <v>301</v>
      </c>
      <c r="B259" s="3">
        <v>59999.546739999998</v>
      </c>
      <c r="C259" s="3">
        <v>59996.581427000005</v>
      </c>
      <c r="D259" s="3">
        <f t="shared" si="18"/>
        <v>2.9653129999933299</v>
      </c>
      <c r="E259" s="13" t="str" cm="1">
        <f t="array" ref="E259">_xlfn.XLOOKUP(1,(Table1[time]=A259)*(Table1[unit bid]=B259),Table1[my_fi_name],"Not found")</f>
        <v>ARKB</v>
      </c>
      <c r="F259" s="13" t="str" cm="1">
        <f t="array" ref="F259">_xlfn.XLOOKUP(1,(Table1[time]=A259)*(Table1[unit ask]=C259),Table1[my_fi_name],"Not found")</f>
        <v>BITB</v>
      </c>
    </row>
    <row r="260" spans="1:6" x14ac:dyDescent="0.25">
      <c r="A260" s="5" t="s">
        <v>302</v>
      </c>
      <c r="B260" s="3">
        <v>59939.775869999998</v>
      </c>
      <c r="C260" s="3">
        <v>59931.859154999998</v>
      </c>
      <c r="D260" s="3">
        <f t="shared" si="18"/>
        <v>7.9167149999993853</v>
      </c>
      <c r="E260" s="13" t="str" cm="1">
        <f t="array" ref="E260">_xlfn.XLOOKUP(1,(Table1[time]=A260)*(Table1[unit bid]=B260),Table1[my_fi_name],"Not found")</f>
        <v>BRRR</v>
      </c>
      <c r="F260" s="13" t="str" cm="1">
        <f t="array" ref="F260">_xlfn.XLOOKUP(1,(Table1[time]=A260)*(Table1[unit ask]=C260),Table1[my_fi_name],"Not found")</f>
        <v>HODL</v>
      </c>
    </row>
    <row r="261" spans="1:6" x14ac:dyDescent="0.25">
      <c r="A261" s="5" t="s">
        <v>303</v>
      </c>
      <c r="B261" s="3">
        <v>59740.835308000002</v>
      </c>
      <c r="C261" s="3">
        <v>59738.690073000005</v>
      </c>
      <c r="D261" s="3">
        <f t="shared" si="18"/>
        <v>2.1452349999963189</v>
      </c>
      <c r="E261" s="13" t="str" cm="1">
        <f t="array" ref="E261">_xlfn.XLOOKUP(1,(Table1[time]=A261)*(Table1[unit bid]=B261),Table1[my_fi_name],"Not found")</f>
        <v>BTC</v>
      </c>
      <c r="F261" s="13" t="str" cm="1">
        <f t="array" ref="F261">_xlfn.XLOOKUP(1,(Table1[time]=A261)*(Table1[unit ask]=C261),Table1[my_fi_name],"Not found")</f>
        <v>BITB</v>
      </c>
    </row>
    <row r="262" spans="1:6" x14ac:dyDescent="0.25">
      <c r="A262" s="5" t="s">
        <v>304</v>
      </c>
      <c r="B262" s="3">
        <v>59550.109597999995</v>
      </c>
      <c r="C262" s="3">
        <v>59526.991668000002</v>
      </c>
      <c r="D262" s="3">
        <f t="shared" si="18"/>
        <v>23.117929999993066</v>
      </c>
      <c r="E262" s="13" t="str" cm="1">
        <f t="array" ref="E262">_xlfn.XLOOKUP(1,(Table1[time]=A262)*(Table1[unit bid]=B262),Table1[my_fi_name],"Not found")</f>
        <v>FBTC</v>
      </c>
      <c r="F262" s="13" t="str" cm="1">
        <f t="array" ref="F262">_xlfn.XLOOKUP(1,(Table1[time]=A262)*(Table1[unit ask]=C262),Table1[my_fi_name],"Not found")</f>
        <v>IBIT</v>
      </c>
    </row>
    <row r="263" spans="1:6" x14ac:dyDescent="0.25">
      <c r="A263" s="5" t="s">
        <v>305</v>
      </c>
      <c r="B263" s="3">
        <v>59940.752801999995</v>
      </c>
      <c r="C263" s="3">
        <v>59933.018005000013</v>
      </c>
      <c r="D263" s="3">
        <f t="shared" si="18"/>
        <v>7.734796999982791</v>
      </c>
      <c r="E263" s="13" t="str" cm="1">
        <f t="array" ref="E263">_xlfn.XLOOKUP(1,(Table1[time]=A263)*(Table1[unit bid]=B263),Table1[my_fi_name],"Not found")</f>
        <v>FBTC</v>
      </c>
      <c r="F263" s="13" t="str" cm="1">
        <f t="array" ref="F263">_xlfn.XLOOKUP(1,(Table1[time]=A263)*(Table1[unit ask]=C263),Table1[my_fi_name],"Not found")</f>
        <v>IBIT</v>
      </c>
    </row>
    <row r="264" spans="1:6" x14ac:dyDescent="0.25">
      <c r="A264" s="5" t="s">
        <v>306</v>
      </c>
      <c r="B264" s="3">
        <v>59835.461595000001</v>
      </c>
      <c r="C264" s="3">
        <v>59825.785068000012</v>
      </c>
      <c r="D264" s="3">
        <f t="shared" si="18"/>
        <v>9.6765269999887096</v>
      </c>
      <c r="E264" s="13" t="str" cm="1">
        <f t="array" ref="E264">_xlfn.XLOOKUP(1,(Table1[time]=A264)*(Table1[unit bid]=B264),Table1[my_fi_name],"Not found")</f>
        <v>GBTC</v>
      </c>
      <c r="F264" s="13" t="str" cm="1">
        <f t="array" ref="F264">_xlfn.XLOOKUP(1,(Table1[time]=A264)*(Table1[unit ask]=C264),Table1[my_fi_name],"Not found")</f>
        <v>HODL</v>
      </c>
    </row>
    <row r="265" spans="1:6" x14ac:dyDescent="0.25">
      <c r="A265" s="5" t="s">
        <v>307</v>
      </c>
      <c r="B265" s="3">
        <v>59809.676005000008</v>
      </c>
      <c r="C265" s="3">
        <v>59802.878729999989</v>
      </c>
      <c r="D265" s="3">
        <f t="shared" si="18"/>
        <v>6.797275000018999</v>
      </c>
      <c r="E265" s="13" t="str" cm="1">
        <f t="array" ref="E265">_xlfn.XLOOKUP(1,(Table1[time]=A265)*(Table1[unit bid]=B265),Table1[my_fi_name],"Not found")</f>
        <v>GBTC</v>
      </c>
      <c r="F265" s="13" t="str" cm="1">
        <f t="array" ref="F265">_xlfn.XLOOKUP(1,(Table1[time]=A265)*(Table1[unit ask]=C265),Table1[my_fi_name],"Not found")</f>
        <v>FBTC</v>
      </c>
    </row>
    <row r="266" spans="1:6" x14ac:dyDescent="0.25">
      <c r="A266" s="5" t="s">
        <v>308</v>
      </c>
      <c r="B266" s="3">
        <v>59763.447282000001</v>
      </c>
      <c r="C266" s="3">
        <v>59756.484815000003</v>
      </c>
      <c r="D266" s="3">
        <f t="shared" si="18"/>
        <v>6.9624669999975595</v>
      </c>
      <c r="E266" s="13" t="str" cm="1">
        <f t="array" ref="E266">_xlfn.XLOOKUP(1,(Table1[time]=A266)*(Table1[unit bid]=B266),Table1[my_fi_name],"Not found")</f>
        <v>BTC</v>
      </c>
      <c r="F266" s="13" t="str" cm="1">
        <f t="array" ref="F266">_xlfn.XLOOKUP(1,(Table1[time]=A266)*(Table1[unit ask]=C266),Table1[my_fi_name],"Not found")</f>
        <v>IBIT</v>
      </c>
    </row>
    <row r="267" spans="1:6" x14ac:dyDescent="0.25">
      <c r="A267" s="5" t="s">
        <v>309</v>
      </c>
      <c r="B267" s="3">
        <v>59260.056604000005</v>
      </c>
      <c r="C267" s="3">
        <v>59241.652991999996</v>
      </c>
      <c r="D267" s="3">
        <f t="shared" si="18"/>
        <v>18.403612000009161</v>
      </c>
      <c r="E267" s="13" t="str" cm="1">
        <f t="array" ref="E267">_xlfn.XLOOKUP(1,(Table1[time]=A267)*(Table1[unit bid]=B267),Table1[my_fi_name],"Not found")</f>
        <v>HODL</v>
      </c>
      <c r="F267" s="13" t="str" cm="1">
        <f t="array" ref="F267">_xlfn.XLOOKUP(1,(Table1[time]=A267)*(Table1[unit ask]=C267),Table1[my_fi_name],"Not found")</f>
        <v>BITB</v>
      </c>
    </row>
    <row r="268" spans="1:6" x14ac:dyDescent="0.25">
      <c r="A268" s="5" t="s">
        <v>310</v>
      </c>
      <c r="B268" s="3">
        <v>59337.237918000006</v>
      </c>
      <c r="C268" s="3">
        <v>59333.211840000004</v>
      </c>
      <c r="D268" s="3">
        <f t="shared" si="18"/>
        <v>4.0260780000025989</v>
      </c>
      <c r="E268" s="13" t="str" cm="1">
        <f t="array" ref="E268">_xlfn.XLOOKUP(1,(Table1[time]=A268)*(Table1[unit bid]=B268),Table1[my_fi_name],"Not found")</f>
        <v>BRRR</v>
      </c>
      <c r="F268" s="13" t="str" cm="1">
        <f t="array" ref="F268">_xlfn.XLOOKUP(1,(Table1[time]=A268)*(Table1[unit ask]=C268),Table1[my_fi_name],"Not found")</f>
        <v>IBIT</v>
      </c>
    </row>
    <row r="269" spans="1:6" x14ac:dyDescent="0.25">
      <c r="A269" s="5" t="s">
        <v>311</v>
      </c>
      <c r="B269" s="3">
        <v>59131.127520000002</v>
      </c>
      <c r="C269" s="3">
        <v>59121.370560000003</v>
      </c>
      <c r="D269" s="3">
        <f t="shared" si="18"/>
        <v>9.7569599999987986</v>
      </c>
      <c r="E269" s="13" t="str" cm="1">
        <f t="array" ref="E269">_xlfn.XLOOKUP(1,(Table1[time]=A269)*(Table1[unit bid]=B269),Table1[my_fi_name],"Not found")</f>
        <v>BITB</v>
      </c>
      <c r="F269" s="13" t="str" cm="1">
        <f t="array" ref="F269">_xlfn.XLOOKUP(1,(Table1[time]=A269)*(Table1[unit ask]=C269),Table1[my_fi_name],"Not found")</f>
        <v>IBIT</v>
      </c>
    </row>
    <row r="270" spans="1:6" x14ac:dyDescent="0.25">
      <c r="A270" s="5" t="s">
        <v>312</v>
      </c>
      <c r="B270" s="3">
        <v>59373.761624999992</v>
      </c>
      <c r="C270" s="3">
        <v>59366.685695</v>
      </c>
      <c r="D270" s="3">
        <f t="shared" si="18"/>
        <v>7.0759299999917857</v>
      </c>
      <c r="E270" s="13" t="str" cm="1">
        <f t="array" ref="E270">_xlfn.XLOOKUP(1,(Table1[time]=A270)*(Table1[unit bid]=B270),Table1[my_fi_name],"Not found")</f>
        <v>GBTC</v>
      </c>
      <c r="F270" s="13" t="str" cm="1">
        <f t="array" ref="F270">_xlfn.XLOOKUP(1,(Table1[time]=A270)*(Table1[unit ask]=C270),Table1[my_fi_name],"Not found")</f>
        <v>FBTC</v>
      </c>
    </row>
    <row r="271" spans="1:6" x14ac:dyDescent="0.25">
      <c r="A271" s="5" t="s">
        <v>313</v>
      </c>
      <c r="B271" s="3">
        <v>59698.384020000005</v>
      </c>
      <c r="C271" s="3">
        <v>59699.88366</v>
      </c>
      <c r="D271" s="3">
        <f t="shared" si="18"/>
        <v>-1.4996399999945424</v>
      </c>
      <c r="E271" s="13" t="str" cm="1">
        <f t="array" ref="E271">_xlfn.XLOOKUP(1,(Table1[time]=A271)*(Table1[unit bid]=B271),Table1[my_fi_name],"Not found")</f>
        <v>ARKB</v>
      </c>
      <c r="F271" s="13" t="str" cm="1">
        <f t="array" ref="F271">_xlfn.XLOOKUP(1,(Table1[time]=A271)*(Table1[unit ask]=C271),Table1[my_fi_name],"Not found")</f>
        <v>FBTC</v>
      </c>
    </row>
    <row r="272" spans="1:6" x14ac:dyDescent="0.25">
      <c r="A272" s="5" t="s">
        <v>314</v>
      </c>
      <c r="B272" s="3">
        <v>59699.88366</v>
      </c>
      <c r="C272" s="3">
        <v>59695.856879999999</v>
      </c>
      <c r="D272" s="3">
        <f t="shared" si="18"/>
        <v>4.0267800000001444</v>
      </c>
      <c r="E272" s="13" t="str" cm="1">
        <f t="array" ref="E272">_xlfn.XLOOKUP(1,(Table1[time]=A272)*(Table1[unit bid]=B272),Table1[my_fi_name],"Not found")</f>
        <v>FBTC</v>
      </c>
      <c r="F272" s="13" t="str" cm="1">
        <f t="array" ref="F272">_xlfn.XLOOKUP(1,(Table1[time]=A272)*(Table1[unit ask]=C272),Table1[my_fi_name],"Not found")</f>
        <v>BTC</v>
      </c>
    </row>
    <row r="273" spans="1:6" x14ac:dyDescent="0.25">
      <c r="A273" s="5" t="s">
        <v>315</v>
      </c>
      <c r="B273" s="3">
        <v>59618.734799999998</v>
      </c>
      <c r="C273" s="3">
        <v>59615.666880000004</v>
      </c>
      <c r="D273" s="3">
        <f t="shared" si="18"/>
        <v>3.0679199999940465</v>
      </c>
      <c r="E273" s="13" t="str" cm="1">
        <f t="array" ref="E273">_xlfn.XLOOKUP(1,(Table1[time]=A273)*(Table1[unit bid]=B273),Table1[my_fi_name],"Not found")</f>
        <v>GBTC</v>
      </c>
      <c r="F273" s="13" t="str" cm="1">
        <f t="array" ref="F273">_xlfn.XLOOKUP(1,(Table1[time]=A273)*(Table1[unit ask]=C273),Table1[my_fi_name],"Not found")</f>
        <v>IBIT</v>
      </c>
    </row>
    <row r="274" spans="1:6" x14ac:dyDescent="0.25">
      <c r="A274" s="5" t="s">
        <v>316</v>
      </c>
      <c r="B274" s="3">
        <v>59507.562806999995</v>
      </c>
      <c r="C274" s="3">
        <v>59509.74624</v>
      </c>
      <c r="D274" s="3">
        <f t="shared" si="18"/>
        <v>-2.183433000005607</v>
      </c>
      <c r="E274" s="13" t="str" cm="1">
        <f t="array" ref="E274">_xlfn.XLOOKUP(1,(Table1[time]=A274)*(Table1[unit bid]=B274),Table1[my_fi_name],"Not found")</f>
        <v>HODL</v>
      </c>
      <c r="F274" s="13" t="str" cm="1">
        <f t="array" ref="F274">_xlfn.XLOOKUP(1,(Table1[time]=A274)*(Table1[unit ask]=C274),Table1[my_fi_name],"Not found")</f>
        <v>IBIT</v>
      </c>
    </row>
    <row r="275" spans="1:6" x14ac:dyDescent="0.25">
      <c r="A275" s="5" t="s">
        <v>317</v>
      </c>
      <c r="B275" s="3">
        <v>59773.454700000002</v>
      </c>
      <c r="C275" s="3">
        <v>59774.547839999999</v>
      </c>
      <c r="D275" s="3">
        <f t="shared" si="18"/>
        <v>-1.09313999999722</v>
      </c>
      <c r="E275" s="13" t="str" cm="1">
        <f t="array" ref="E275">_xlfn.XLOOKUP(1,(Table1[time]=A275)*(Table1[unit bid]=B275),Table1[my_fi_name],"Not found")</f>
        <v>GBTC</v>
      </c>
      <c r="F275" s="13" t="str" cm="1">
        <f t="array" ref="F275">_xlfn.XLOOKUP(1,(Table1[time]=A275)*(Table1[unit ask]=C275),Table1[my_fi_name],"Not found")</f>
        <v>IBIT</v>
      </c>
    </row>
    <row r="276" spans="1:6" x14ac:dyDescent="0.25">
      <c r="A276" s="5" t="s">
        <v>318</v>
      </c>
      <c r="B276" s="3">
        <v>60405.227625</v>
      </c>
      <c r="C276" s="3">
        <v>60401.264898000009</v>
      </c>
      <c r="D276" s="3">
        <f t="shared" si="18"/>
        <v>3.9627269999909913</v>
      </c>
      <c r="E276" s="13" t="str" cm="1">
        <f t="array" ref="E276">_xlfn.XLOOKUP(1,(Table1[time]=A276)*(Table1[unit bid]=B276),Table1[my_fi_name],"Not found")</f>
        <v>GBTC</v>
      </c>
      <c r="F276" s="13" t="str" cm="1">
        <f t="array" ref="F276">_xlfn.XLOOKUP(1,(Table1[time]=A276)*(Table1[unit ask]=C276),Table1[my_fi_name],"Not found")</f>
        <v>BRRR</v>
      </c>
    </row>
    <row r="277" spans="1:6" x14ac:dyDescent="0.25">
      <c r="A277" s="5" t="s">
        <v>319</v>
      </c>
      <c r="B277" s="3">
        <v>60423.727514999999</v>
      </c>
      <c r="C277" s="3">
        <v>60419.443024</v>
      </c>
      <c r="D277" s="3">
        <f t="shared" si="18"/>
        <v>4.2844909999985248</v>
      </c>
      <c r="E277" s="13" t="str" cm="1">
        <f t="array" ref="E277">_xlfn.XLOOKUP(1,(Table1[time]=A277)*(Table1[unit bid]=B277),Table1[my_fi_name],"Not found")</f>
        <v>FBTC</v>
      </c>
      <c r="F277" s="13" t="str" cm="1">
        <f t="array" ref="F277">_xlfn.XLOOKUP(1,(Table1[time]=A277)*(Table1[unit ask]=C277),Table1[my_fi_name],"Not found")</f>
        <v>BTC</v>
      </c>
    </row>
    <row r="278" spans="1:6" x14ac:dyDescent="0.25">
      <c r="A278" s="5" t="s">
        <v>320</v>
      </c>
      <c r="B278" s="3">
        <v>60108.681149999997</v>
      </c>
      <c r="C278" s="3">
        <v>60109.963199999998</v>
      </c>
      <c r="D278" s="3">
        <f t="shared" si="18"/>
        <v>-1.2820500000016182</v>
      </c>
      <c r="E278" s="13" t="str" cm="1">
        <f t="array" ref="E278">_xlfn.XLOOKUP(1,(Table1[time]=A278)*(Table1[unit bid]=B278),Table1[my_fi_name],"Not found")</f>
        <v>GBTC</v>
      </c>
      <c r="F278" s="13" t="str" cm="1">
        <f t="array" ref="F278">_xlfn.XLOOKUP(1,(Table1[time]=A278)*(Table1[unit ask]=C278),Table1[my_fi_name],"Not found")</f>
        <v>IBIT</v>
      </c>
    </row>
    <row r="279" spans="1:6" x14ac:dyDescent="0.25">
      <c r="A279" s="5" t="s">
        <v>321</v>
      </c>
      <c r="B279" s="3">
        <v>60331.548699000006</v>
      </c>
      <c r="C279" s="3">
        <v>60321.804480000006</v>
      </c>
      <c r="D279" s="3">
        <f t="shared" si="18"/>
        <v>9.7442190000001574</v>
      </c>
      <c r="E279" s="13" t="str" cm="1">
        <f t="array" ref="E279">_xlfn.XLOOKUP(1,(Table1[time]=A279)*(Table1[unit bid]=B279),Table1[my_fi_name],"Not found")</f>
        <v>ARKB</v>
      </c>
      <c r="F279" s="13" t="str" cm="1">
        <f t="array" ref="F279">_xlfn.XLOOKUP(1,(Table1[time]=A279)*(Table1[unit ask]=C279),Table1[my_fi_name],"Not found")</f>
        <v>IBIT</v>
      </c>
    </row>
    <row r="280" spans="1:6" x14ac:dyDescent="0.25">
      <c r="A280" s="5" t="s">
        <v>322</v>
      </c>
      <c r="B280" s="3">
        <v>60289.187699999995</v>
      </c>
      <c r="C280" s="3">
        <v>60286.497600000002</v>
      </c>
      <c r="D280" s="3">
        <f t="shared" si="18"/>
        <v>2.6900999999925261</v>
      </c>
      <c r="E280" s="13" t="str" cm="1">
        <f t="array" ref="E280">_xlfn.XLOOKUP(1,(Table1[time]=A280)*(Table1[unit bid]=B280),Table1[my_fi_name],"Not found")</f>
        <v>GBTC</v>
      </c>
      <c r="F280" s="13" t="str" cm="1">
        <f t="array" ref="F280">_xlfn.XLOOKUP(1,(Table1[time]=A280)*(Table1[unit ask]=C280),Table1[my_fi_name],"Not found")</f>
        <v>IBIT</v>
      </c>
    </row>
    <row r="281" spans="1:6" x14ac:dyDescent="0.25">
      <c r="A281" s="5" t="s">
        <v>323</v>
      </c>
      <c r="B281" s="3">
        <v>60356.155503000002</v>
      </c>
      <c r="C281" s="3">
        <v>60353.654325000003</v>
      </c>
      <c r="D281" s="3">
        <f t="shared" si="18"/>
        <v>2.5011779999986175</v>
      </c>
      <c r="E281" s="13" t="str" cm="1">
        <f t="array" ref="E281">_xlfn.XLOOKUP(1,(Table1[time]=A281)*(Table1[unit bid]=B281),Table1[my_fi_name],"Not found")</f>
        <v>HODL</v>
      </c>
      <c r="F281" s="13" t="str" cm="1">
        <f t="array" ref="F281">_xlfn.XLOOKUP(1,(Table1[time]=A281)*(Table1[unit ask]=C281),Table1[my_fi_name],"Not found")</f>
        <v>GBTC</v>
      </c>
    </row>
    <row r="282" spans="1:6" x14ac:dyDescent="0.25">
      <c r="A282" s="5" t="s">
        <v>324</v>
      </c>
      <c r="B282" s="3">
        <v>58164.179905000005</v>
      </c>
      <c r="C282" s="3">
        <v>58167.206760000001</v>
      </c>
      <c r="D282" s="3">
        <f t="shared" si="18"/>
        <v>-3.0268549999964307</v>
      </c>
      <c r="E282" s="13" t="str" cm="1">
        <f t="array" ref="E282">_xlfn.XLOOKUP(1,(Table1[time]=A282)*(Table1[unit bid]=B282),Table1[my_fi_name],"Not found")</f>
        <v>GBTC</v>
      </c>
      <c r="F282" s="13" t="str" cm="1">
        <f t="array" ref="F282">_xlfn.XLOOKUP(1,(Table1[time]=A282)*(Table1[unit ask]=C282),Table1[my_fi_name],"Not found")</f>
        <v>BRRR</v>
      </c>
    </row>
    <row r="283" spans="1:6" x14ac:dyDescent="0.25">
      <c r="A283" s="5" t="s">
        <v>325</v>
      </c>
      <c r="B283" s="3">
        <v>58447.844714999999</v>
      </c>
      <c r="C283" s="3">
        <v>58436.431104000003</v>
      </c>
      <c r="D283" s="3">
        <f t="shared" si="18"/>
        <v>11.413610999996308</v>
      </c>
      <c r="E283" s="13" t="str" cm="1">
        <f t="array" ref="E283">_xlfn.XLOOKUP(1,(Table1[time]=A283)*(Table1[unit bid]=B283),Table1[my_fi_name],"Not found")</f>
        <v>GBTC</v>
      </c>
      <c r="F283" s="13" t="str" cm="1">
        <f t="array" ref="F283">_xlfn.XLOOKUP(1,(Table1[time]=A283)*(Table1[unit ask]=C283),Table1[my_fi_name],"Not found")</f>
        <v>FBTC</v>
      </c>
    </row>
    <row r="284" spans="1:6" x14ac:dyDescent="0.25">
      <c r="A284" s="5" t="s">
        <v>326</v>
      </c>
      <c r="B284" s="3">
        <v>58873.557548000004</v>
      </c>
      <c r="C284" s="3">
        <v>58873.038336000005</v>
      </c>
      <c r="D284" s="3">
        <f t="shared" si="18"/>
        <v>0.51921199999924283</v>
      </c>
      <c r="E284" s="13" t="str" cm="1">
        <f t="array" ref="E284">_xlfn.XLOOKUP(1,(Table1[time]=A284)*(Table1[unit bid]=B284),Table1[my_fi_name],"Not found")</f>
        <v>BITB</v>
      </c>
      <c r="F284" s="13" t="str" cm="1">
        <f t="array" ref="F284">_xlfn.XLOOKUP(1,(Table1[time]=A284)*(Table1[unit ask]=C284),Table1[my_fi_name],"Not found")</f>
        <v>FBTC</v>
      </c>
    </row>
    <row r="285" spans="1:6" x14ac:dyDescent="0.25">
      <c r="A285" s="5" t="s">
        <v>327</v>
      </c>
      <c r="B285" s="3">
        <v>58834.660365000011</v>
      </c>
      <c r="C285" s="3">
        <v>58821.665251999999</v>
      </c>
      <c r="D285" s="3">
        <f t="shared" si="18"/>
        <v>12.99511300001177</v>
      </c>
      <c r="E285" s="13" t="str" cm="1">
        <f t="array" ref="E285">_xlfn.XLOOKUP(1,(Table1[time]=A285)*(Table1[unit bid]=B285),Table1[my_fi_name],"Not found")</f>
        <v>GBTC</v>
      </c>
      <c r="F285" s="13" t="str" cm="1">
        <f t="array" ref="F285">_xlfn.XLOOKUP(1,(Table1[time]=A285)*(Table1[unit ask]=C285),Table1[my_fi_name],"Not found")</f>
        <v>IBIT</v>
      </c>
    </row>
    <row r="286" spans="1:6" x14ac:dyDescent="0.25">
      <c r="A286" s="5" t="s">
        <v>328</v>
      </c>
      <c r="B286" s="3">
        <v>58873.557548000004</v>
      </c>
      <c r="C286" s="3">
        <v>58873.038336000005</v>
      </c>
      <c r="D286" s="3">
        <f t="shared" si="18"/>
        <v>0.51921199999924283</v>
      </c>
      <c r="E286" s="13" t="str" cm="1">
        <f t="array" ref="E286">_xlfn.XLOOKUP(1,(Table1[time]=A286)*(Table1[unit bid]=B286),Table1[my_fi_name],"Not found")</f>
        <v>BITB</v>
      </c>
      <c r="F286" s="13" t="str" cm="1">
        <f t="array" ref="F286">_xlfn.XLOOKUP(1,(Table1[time]=A286)*(Table1[unit ask]=C286),Table1[my_fi_name],"Not found")</f>
        <v>FBTC</v>
      </c>
    </row>
    <row r="287" spans="1:6" x14ac:dyDescent="0.25">
      <c r="A287" s="5" t="s">
        <v>329</v>
      </c>
      <c r="B287" s="3">
        <v>58525.207845000004</v>
      </c>
      <c r="C287" s="3">
        <v>58516.858752</v>
      </c>
      <c r="D287" s="3">
        <f t="shared" si="18"/>
        <v>8.3490930000043591</v>
      </c>
      <c r="E287" s="13" t="str" cm="1">
        <f t="array" ref="E287">_xlfn.XLOOKUP(1,(Table1[time]=A287)*(Table1[unit bid]=B287),Table1[my_fi_name],"Not found")</f>
        <v>GBTC</v>
      </c>
      <c r="F287" s="13" t="str" cm="1">
        <f t="array" ref="F287">_xlfn.XLOOKUP(1,(Table1[time]=A287)*(Table1[unit ask]=C287),Table1[my_fi_name],"Not found")</f>
        <v>FBTC</v>
      </c>
    </row>
    <row r="288" spans="1:6" x14ac:dyDescent="0.25">
      <c r="A288" s="5" t="s">
        <v>330</v>
      </c>
      <c r="B288" s="3">
        <v>58128.599676000005</v>
      </c>
      <c r="C288" s="3">
        <v>58115.522812000003</v>
      </c>
      <c r="D288" s="3">
        <f t="shared" si="18"/>
        <v>13.076864000002388</v>
      </c>
      <c r="E288" s="13" t="str" cm="1">
        <f t="array" ref="E288">_xlfn.XLOOKUP(1,(Table1[time]=A288)*(Table1[unit bid]=B288),Table1[my_fi_name],"Not found")</f>
        <v>HODL</v>
      </c>
      <c r="F288" s="13" t="str" cm="1">
        <f t="array" ref="F288">_xlfn.XLOOKUP(1,(Table1[time]=A288)*(Table1[unit ask]=C288),Table1[my_fi_name],"Not found")</f>
        <v>IBIT</v>
      </c>
    </row>
    <row r="289" spans="1:6" x14ac:dyDescent="0.25">
      <c r="A289" s="5" t="s">
        <v>331</v>
      </c>
      <c r="B289" s="3">
        <v>58293.118455000003</v>
      </c>
      <c r="C289" s="3">
        <v>58274.404860999995</v>
      </c>
      <c r="D289" s="3">
        <f t="shared" si="18"/>
        <v>18.713594000008015</v>
      </c>
      <c r="E289" s="13" t="str" cm="1">
        <f t="array" ref="E289">_xlfn.XLOOKUP(1,(Table1[time]=A289)*(Table1[unit bid]=B289),Table1[my_fi_name],"Not found")</f>
        <v>GBTC</v>
      </c>
      <c r="F289" s="13" t="str" cm="1">
        <f t="array" ref="F289">_xlfn.XLOOKUP(1,(Table1[time]=A289)*(Table1[unit ask]=C289),Table1[my_fi_name],"Not found")</f>
        <v>IBIT</v>
      </c>
    </row>
    <row r="290" spans="1:6" x14ac:dyDescent="0.25">
      <c r="A290" s="5" t="s">
        <v>332</v>
      </c>
      <c r="B290" s="3">
        <v>58331.80002000001</v>
      </c>
      <c r="C290" s="3">
        <v>58327.365544</v>
      </c>
      <c r="D290" s="3">
        <f t="shared" si="18"/>
        <v>4.4344760000094539</v>
      </c>
      <c r="E290" s="13" t="str" cm="1">
        <f t="array" ref="E290">_xlfn.XLOOKUP(1,(Table1[time]=A290)*(Table1[unit bid]=B290),Table1[my_fi_name],"Not found")</f>
        <v>GBTC</v>
      </c>
      <c r="F290" s="13" t="str" cm="1">
        <f t="array" ref="F290">_xlfn.XLOOKUP(1,(Table1[time]=A290)*(Table1[unit ask]=C290),Table1[my_fi_name],"Not found")</f>
        <v>IBIT</v>
      </c>
    </row>
    <row r="291" spans="1:6" x14ac:dyDescent="0.25">
      <c r="A291" s="5" t="s">
        <v>333</v>
      </c>
      <c r="B291" s="3">
        <v>58505.137288000005</v>
      </c>
      <c r="C291" s="3">
        <v>58503.901153999999</v>
      </c>
      <c r="D291" s="3">
        <f t="shared" si="18"/>
        <v>1.2361340000061318</v>
      </c>
      <c r="E291" s="13" t="str" cm="1">
        <f t="array" ref="E291">_xlfn.XLOOKUP(1,(Table1[time]=A291)*(Table1[unit bid]=B291),Table1[my_fi_name],"Not found")</f>
        <v>BITB</v>
      </c>
      <c r="F291" s="13" t="str" cm="1">
        <f t="array" ref="F291">_xlfn.XLOOKUP(1,(Table1[time]=A291)*(Table1[unit ask]=C291),Table1[my_fi_name],"Not found")</f>
        <v>IBIT</v>
      </c>
    </row>
    <row r="292" spans="1:6" x14ac:dyDescent="0.25">
      <c r="A292" s="5" t="s">
        <v>334</v>
      </c>
      <c r="B292" s="3">
        <v>58602.57097500001</v>
      </c>
      <c r="C292" s="3">
        <v>58608.776063999998</v>
      </c>
      <c r="D292" s="3">
        <f t="shared" si="18"/>
        <v>-6.2050889999882202</v>
      </c>
      <c r="E292" s="13" t="str" cm="1">
        <f t="array" ref="E292">_xlfn.XLOOKUP(1,(Table1[time]=A292)*(Table1[unit bid]=B292),Table1[my_fi_name],"Not found")</f>
        <v>GBTC</v>
      </c>
      <c r="F292" s="13" t="str" cm="1">
        <f t="array" ref="F292">_xlfn.XLOOKUP(1,(Table1[time]=A292)*(Table1[unit ask]=C292),Table1[my_fi_name],"Not found")</f>
        <v>FBTC</v>
      </c>
    </row>
    <row r="293" spans="1:6" x14ac:dyDescent="0.25">
      <c r="A293" s="5" t="s">
        <v>335</v>
      </c>
      <c r="B293" s="3">
        <v>58628.288277000007</v>
      </c>
      <c r="C293" s="3">
        <v>58628.358684999999</v>
      </c>
      <c r="D293" s="3">
        <f t="shared" si="18"/>
        <v>-7.0407999992312398E-2</v>
      </c>
      <c r="E293" s="13" t="str" cm="1">
        <f t="array" ref="E293">_xlfn.XLOOKUP(1,(Table1[time]=A293)*(Table1[unit bid]=B293),Table1[my_fi_name],"Not found")</f>
        <v>BRRR</v>
      </c>
      <c r="F293" s="13" t="str" cm="1">
        <f t="array" ref="F293">_xlfn.XLOOKUP(1,(Table1[time]=A293)*(Table1[unit ask]=C293),Table1[my_fi_name],"Not found")</f>
        <v>GBTC</v>
      </c>
    </row>
    <row r="294" spans="1:6" x14ac:dyDescent="0.25">
      <c r="A294" s="5" t="s">
        <v>361</v>
      </c>
      <c r="B294" s="3">
        <v>59636.530625000007</v>
      </c>
      <c r="C294" s="3">
        <v>59628.511161000002</v>
      </c>
      <c r="D294" s="3">
        <f t="shared" ref="D294:D335" si="19">B294-C294</f>
        <v>8.0194640000045183</v>
      </c>
      <c r="E294" s="13" t="str" cm="1">
        <f t="array" ref="E294">_xlfn.XLOOKUP(1,(Table1[time]=A294)*(Table1[unit bid]=B294),Table1[my_fi_name],"Not found")</f>
        <v>GBTC</v>
      </c>
      <c r="F294" s="13" t="str" cm="1">
        <f t="array" ref="F294">_xlfn.XLOOKUP(1,(Table1[time]=A294)*(Table1[unit ask]=C294),Table1[my_fi_name],"Not found")</f>
        <v>BTC</v>
      </c>
    </row>
    <row r="295" spans="1:6" x14ac:dyDescent="0.25">
      <c r="A295" s="5" t="s">
        <v>362</v>
      </c>
      <c r="B295" s="3">
        <v>59863.635662000001</v>
      </c>
      <c r="C295" s="3">
        <v>59861.561029999997</v>
      </c>
      <c r="D295" s="3">
        <f t="shared" si="19"/>
        <v>2.0746320000034757</v>
      </c>
      <c r="E295" s="13" t="str" cm="1">
        <f t="array" ref="E295">_xlfn.XLOOKUP(1,(Table1[time]=A295)*(Table1[unit bid]=B295),Table1[my_fi_name],"Not found")</f>
        <v>IBIT</v>
      </c>
      <c r="F295" s="13" t="str" cm="1">
        <f t="array" ref="F295">_xlfn.XLOOKUP(1,(Table1[time]=A295)*(Table1[unit ask]=C295),Table1[my_fi_name],"Not found")</f>
        <v>FBTC</v>
      </c>
    </row>
    <row r="296" spans="1:6" x14ac:dyDescent="0.25">
      <c r="A296" s="5" t="s">
        <v>363</v>
      </c>
      <c r="B296" s="3">
        <v>59598.830432000002</v>
      </c>
      <c r="C296" s="3">
        <v>59597.296940999993</v>
      </c>
      <c r="D296" s="3">
        <f t="shared" si="19"/>
        <v>1.533491000009235</v>
      </c>
      <c r="E296" s="13" t="str" cm="1">
        <f t="array" ref="E296">_xlfn.XLOOKUP(1,(Table1[time]=A296)*(Table1[unit bid]=B296),Table1[my_fi_name],"Not found")</f>
        <v>IBIT</v>
      </c>
      <c r="F296" s="13" t="str" cm="1">
        <f t="array" ref="F296">_xlfn.XLOOKUP(1,(Table1[time]=A296)*(Table1[unit ask]=C296),Table1[my_fi_name],"Not found")</f>
        <v>FBTC</v>
      </c>
    </row>
    <row r="297" spans="1:6" x14ac:dyDescent="0.25">
      <c r="A297" s="5" t="s">
        <v>364</v>
      </c>
      <c r="B297" s="3">
        <v>59482.399510999996</v>
      </c>
      <c r="C297" s="3">
        <v>59475.254657999998</v>
      </c>
      <c r="D297" s="3">
        <f t="shared" si="19"/>
        <v>7.1448529999979655</v>
      </c>
      <c r="E297" s="13" t="str" cm="1">
        <f t="array" ref="E297">_xlfn.XLOOKUP(1,(Table1[time]=A297)*(Table1[unit bid]=B297),Table1[my_fi_name],"Not found")</f>
        <v>FBTC</v>
      </c>
      <c r="F297" s="13" t="str" cm="1">
        <f t="array" ref="F297">_xlfn.XLOOKUP(1,(Table1[time]=A297)*(Table1[unit ask]=C297),Table1[my_fi_name],"Not found")</f>
        <v>IBIT</v>
      </c>
    </row>
    <row r="298" spans="1:6" x14ac:dyDescent="0.25">
      <c r="A298" s="5" t="s">
        <v>365</v>
      </c>
      <c r="B298" s="3">
        <v>59855.735170000014</v>
      </c>
      <c r="C298" s="3">
        <v>59861.143097</v>
      </c>
      <c r="D298" s="3">
        <f t="shared" si="19"/>
        <v>-5.4079269999856479</v>
      </c>
      <c r="E298" s="13" t="str" cm="1">
        <f t="array" ref="E298">_xlfn.XLOOKUP(1,(Table1[time]=A298)*(Table1[unit bid]=B298),Table1[my_fi_name],"Not found")</f>
        <v>GBTC</v>
      </c>
      <c r="F298" s="13" t="str" cm="1">
        <f t="array" ref="F298">_xlfn.XLOOKUP(1,(Table1[time]=A298)*(Table1[unit ask]=C298),Table1[my_fi_name],"Not found")</f>
        <v>HODL</v>
      </c>
    </row>
    <row r="299" spans="1:6" x14ac:dyDescent="0.25">
      <c r="A299" s="5" t="s">
        <v>366</v>
      </c>
      <c r="B299" s="3">
        <v>59984.67902000001</v>
      </c>
      <c r="C299" s="3">
        <v>59976.458459999994</v>
      </c>
      <c r="D299" s="3">
        <f t="shared" si="19"/>
        <v>8.2205600000161212</v>
      </c>
      <c r="E299" s="13" t="str" cm="1">
        <f t="array" ref="E299">_xlfn.XLOOKUP(1,(Table1[time]=A299)*(Table1[unit bid]=B299),Table1[my_fi_name],"Not found")</f>
        <v>GBTC</v>
      </c>
      <c r="F299" s="13" t="str" cm="1">
        <f t="array" ref="F299">_xlfn.XLOOKUP(1,(Table1[time]=A299)*(Table1[unit ask]=C299),Table1[my_fi_name],"Not found")</f>
        <v>FBTC</v>
      </c>
    </row>
    <row r="300" spans="1:6" x14ac:dyDescent="0.25">
      <c r="A300" s="5" t="s">
        <v>367</v>
      </c>
      <c r="B300" s="3">
        <v>60203.883565000004</v>
      </c>
      <c r="C300" s="3">
        <v>60206.253319999989</v>
      </c>
      <c r="D300" s="3">
        <f t="shared" si="19"/>
        <v>-2.3697549999851617</v>
      </c>
      <c r="E300" s="13" t="str" cm="1">
        <f t="array" ref="E300">_xlfn.XLOOKUP(1,(Table1[time]=A300)*(Table1[unit bid]=B300),Table1[my_fi_name],"Not found")</f>
        <v>GBTC</v>
      </c>
      <c r="F300" s="13" t="str" cm="1">
        <f t="array" ref="F300">_xlfn.XLOOKUP(1,(Table1[time]=A300)*(Table1[unit ask]=C300),Table1[my_fi_name],"Not found")</f>
        <v>FBTC</v>
      </c>
    </row>
    <row r="301" spans="1:6" x14ac:dyDescent="0.25">
      <c r="A301" s="5" t="s">
        <v>368</v>
      </c>
      <c r="B301" s="3">
        <v>60049.150945000009</v>
      </c>
      <c r="C301" s="3">
        <v>60047.412035999994</v>
      </c>
      <c r="D301" s="3">
        <f t="shared" si="19"/>
        <v>1.738909000014246</v>
      </c>
      <c r="E301" s="13" t="str" cm="1">
        <f t="array" ref="E301">_xlfn.XLOOKUP(1,(Table1[time]=A301)*(Table1[unit bid]=B301),Table1[my_fi_name],"Not found")</f>
        <v>GBTC</v>
      </c>
      <c r="F301" s="13" t="str" cm="1">
        <f t="array" ref="F301">_xlfn.XLOOKUP(1,(Table1[time]=A301)*(Table1[unit ask]=C301),Table1[my_fi_name],"Not found")</f>
        <v>BRRR</v>
      </c>
    </row>
    <row r="302" spans="1:6" x14ac:dyDescent="0.25">
      <c r="A302" s="5" t="s">
        <v>369</v>
      </c>
      <c r="B302" s="3">
        <v>60110.787210000002</v>
      </c>
      <c r="C302" s="3">
        <v>60102.845632999997</v>
      </c>
      <c r="D302" s="3">
        <f t="shared" si="19"/>
        <v>7.9415770000050543</v>
      </c>
      <c r="E302" s="13" t="str" cm="1">
        <f t="array" ref="E302">_xlfn.XLOOKUP(1,(Table1[time]=A302)*(Table1[unit bid]=B302),Table1[my_fi_name],"Not found")</f>
        <v>IBIT</v>
      </c>
      <c r="F302" s="13" t="str" cm="1">
        <f t="array" ref="F302">_xlfn.XLOOKUP(1,(Table1[time]=A302)*(Table1[unit ask]=C302),Table1[my_fi_name],"Not found")</f>
        <v>FBTC</v>
      </c>
    </row>
    <row r="303" spans="1:6" x14ac:dyDescent="0.25">
      <c r="A303" s="5" t="s">
        <v>370</v>
      </c>
      <c r="B303" s="3">
        <v>60004.865118000009</v>
      </c>
      <c r="C303" s="3">
        <v>59999.437945999991</v>
      </c>
      <c r="D303" s="3">
        <f t="shared" si="19"/>
        <v>5.4271720000178902</v>
      </c>
      <c r="E303" s="13" t="str" cm="1">
        <f t="array" ref="E303">_xlfn.XLOOKUP(1,(Table1[time]=A303)*(Table1[unit bid]=B303),Table1[my_fi_name],"Not found")</f>
        <v>IBIT</v>
      </c>
      <c r="F303" s="13" t="str" cm="1">
        <f t="array" ref="F303">_xlfn.XLOOKUP(1,(Table1[time]=A303)*(Table1[unit ask]=C303),Table1[my_fi_name],"Not found")</f>
        <v>FBTC</v>
      </c>
    </row>
    <row r="304" spans="1:6" x14ac:dyDescent="0.25">
      <c r="A304" s="5" t="s">
        <v>371</v>
      </c>
      <c r="B304" s="3">
        <v>60015.989411999995</v>
      </c>
      <c r="C304" s="3">
        <v>60010.927688999989</v>
      </c>
      <c r="D304" s="3">
        <f t="shared" si="19"/>
        <v>5.0617230000061681</v>
      </c>
      <c r="E304" s="13" t="str" cm="1">
        <f t="array" ref="E304">_xlfn.XLOOKUP(1,(Table1[time]=A304)*(Table1[unit bid]=B304),Table1[my_fi_name],"Not found")</f>
        <v>BITB</v>
      </c>
      <c r="F304" s="13" t="str" cm="1">
        <f t="array" ref="F304">_xlfn.XLOOKUP(1,(Table1[time]=A304)*(Table1[unit ask]=C304),Table1[my_fi_name],"Not found")</f>
        <v>FBTC</v>
      </c>
    </row>
    <row r="305" spans="1:6" x14ac:dyDescent="0.25">
      <c r="A305" s="5" t="s">
        <v>372</v>
      </c>
      <c r="B305" s="3">
        <v>59934.250390000008</v>
      </c>
      <c r="C305" s="3">
        <v>59930.499487999987</v>
      </c>
      <c r="D305" s="3">
        <f t="shared" si="19"/>
        <v>3.7509020000215969</v>
      </c>
      <c r="E305" s="13" t="str" cm="1">
        <f t="array" ref="E305">_xlfn.XLOOKUP(1,(Table1[time]=A305)*(Table1[unit bid]=B305),Table1[my_fi_name],"Not found")</f>
        <v>IBIT</v>
      </c>
      <c r="F305" s="13" t="str" cm="1">
        <f t="array" ref="F305">_xlfn.XLOOKUP(1,(Table1[time]=A305)*(Table1[unit ask]=C305),Table1[my_fi_name],"Not found")</f>
        <v>FBTC</v>
      </c>
    </row>
    <row r="306" spans="1:6" x14ac:dyDescent="0.25">
      <c r="A306" s="5" t="s">
        <v>373</v>
      </c>
      <c r="B306" s="3">
        <v>59726.791320000011</v>
      </c>
      <c r="C306" s="3">
        <v>59723.684113999989</v>
      </c>
      <c r="D306" s="3">
        <f t="shared" si="19"/>
        <v>3.1072060000224155</v>
      </c>
      <c r="E306" s="13" t="str" cm="1">
        <f t="array" ref="E306">_xlfn.XLOOKUP(1,(Table1[time]=A306)*(Table1[unit bid]=B306),Table1[my_fi_name],"Not found")</f>
        <v>GBTC</v>
      </c>
      <c r="F306" s="13" t="str" cm="1">
        <f t="array" ref="F306">_xlfn.XLOOKUP(1,(Table1[time]=A306)*(Table1[unit ask]=C306),Table1[my_fi_name],"Not found")</f>
        <v>FBTC</v>
      </c>
    </row>
    <row r="307" spans="1:6" x14ac:dyDescent="0.25">
      <c r="A307" s="5" t="s">
        <v>374</v>
      </c>
      <c r="B307" s="3">
        <v>60022.518800000005</v>
      </c>
      <c r="C307" s="3">
        <v>60022.417431999995</v>
      </c>
      <c r="D307" s="3">
        <f t="shared" si="19"/>
        <v>0.10136800001055235</v>
      </c>
      <c r="E307" s="13" t="str" cm="1">
        <f t="array" ref="E307">_xlfn.XLOOKUP(1,(Table1[time]=A307)*(Table1[unit bid]=B307),Table1[my_fi_name],"Not found")</f>
        <v>IBIT</v>
      </c>
      <c r="F307" s="13" t="str" cm="1">
        <f t="array" ref="F307">_xlfn.XLOOKUP(1,(Table1[time]=A307)*(Table1[unit ask]=C307),Table1[my_fi_name],"Not found")</f>
        <v>FBTC</v>
      </c>
    </row>
    <row r="308" spans="1:6" x14ac:dyDescent="0.25">
      <c r="A308" s="5" t="s">
        <v>375</v>
      </c>
      <c r="B308" s="3">
        <v>60189.284243999995</v>
      </c>
      <c r="C308" s="3">
        <v>60183.273833999992</v>
      </c>
      <c r="D308" s="3">
        <f t="shared" si="19"/>
        <v>6.0104100000025937</v>
      </c>
      <c r="E308" s="13" t="str" cm="1">
        <f t="array" ref="E308">_xlfn.XLOOKUP(1,(Table1[time]=A308)*(Table1[unit bid]=B308),Table1[my_fi_name],"Not found")</f>
        <v>BRRR</v>
      </c>
      <c r="F308" s="13" t="str" cm="1">
        <f t="array" ref="F308">_xlfn.XLOOKUP(1,(Table1[time]=A308)*(Table1[unit ask]=C308),Table1[my_fi_name],"Not found")</f>
        <v>FBTC</v>
      </c>
    </row>
    <row r="309" spans="1:6" x14ac:dyDescent="0.25">
      <c r="A309" s="5" t="s">
        <v>376</v>
      </c>
      <c r="B309" s="3">
        <v>60108.649300000005</v>
      </c>
      <c r="C309" s="3">
        <v>60102.845632999997</v>
      </c>
      <c r="D309" s="3">
        <f t="shared" si="19"/>
        <v>5.8036670000074082</v>
      </c>
      <c r="E309" s="13" t="str" cm="1">
        <f t="array" ref="E309">_xlfn.XLOOKUP(1,(Table1[time]=A309)*(Table1[unit bid]=B309),Table1[my_fi_name],"Not found")</f>
        <v>HODL</v>
      </c>
      <c r="F309" s="13" t="str" cm="1">
        <f t="array" ref="F309">_xlfn.XLOOKUP(1,(Table1[time]=A309)*(Table1[unit ask]=C309),Table1[my_fi_name],"Not found")</f>
        <v>FBTC</v>
      </c>
    </row>
    <row r="310" spans="1:6" x14ac:dyDescent="0.25">
      <c r="A310" s="5" t="s">
        <v>377</v>
      </c>
      <c r="B310" s="3">
        <v>60126.517255000013</v>
      </c>
      <c r="C310" s="3">
        <v>60125.825118999994</v>
      </c>
      <c r="D310" s="3">
        <f t="shared" si="19"/>
        <v>0.69213600001967279</v>
      </c>
      <c r="E310" s="13" t="str" cm="1">
        <f t="array" ref="E310">_xlfn.XLOOKUP(1,(Table1[time]=A310)*(Table1[unit bid]=B310),Table1[my_fi_name],"Not found")</f>
        <v>GBTC</v>
      </c>
      <c r="F310" s="13" t="str" cm="1">
        <f t="array" ref="F310">_xlfn.XLOOKUP(1,(Table1[time]=A310)*(Table1[unit ask]=C310),Table1[my_fi_name],"Not found")</f>
        <v>FBTC</v>
      </c>
    </row>
    <row r="311" spans="1:6" x14ac:dyDescent="0.25">
      <c r="A311" s="5" t="s">
        <v>336</v>
      </c>
      <c r="B311" s="3">
        <v>61851.637980000007</v>
      </c>
      <c r="C311" s="3">
        <v>61850.987596999992</v>
      </c>
      <c r="D311" s="3">
        <f t="shared" si="19"/>
        <v>0.65038300001469906</v>
      </c>
      <c r="E311" s="13" t="str" cm="1">
        <f t="array" ref="E311">_xlfn.XLOOKUP(1,(Table1[time]=A311)*(Table1[unit bid]=B311),Table1[my_fi_name],"Not found")</f>
        <v>GBTC</v>
      </c>
      <c r="F311" s="13" t="str" cm="1">
        <f t="array" ref="F311">_xlfn.XLOOKUP(1,(Table1[time]=A311)*(Table1[unit ask]=C311),Table1[my_fi_name],"Not found")</f>
        <v>FBTC</v>
      </c>
    </row>
    <row r="312" spans="1:6" x14ac:dyDescent="0.25">
      <c r="A312" s="5" t="s">
        <v>337</v>
      </c>
      <c r="B312" s="3">
        <v>61890.327495000012</v>
      </c>
      <c r="C312" s="3">
        <v>61877.87896200001</v>
      </c>
      <c r="D312" s="3">
        <f t="shared" si="19"/>
        <v>12.448533000002499</v>
      </c>
      <c r="E312" s="13" t="str" cm="1">
        <f t="array" ref="E312">_xlfn.XLOOKUP(1,(Table1[time]=A312)*(Table1[unit bid]=B312),Table1[my_fi_name],"Not found")</f>
        <v>GBTC</v>
      </c>
      <c r="F312" s="13" t="str" cm="1">
        <f t="array" ref="F312">_xlfn.XLOOKUP(1,(Table1[time]=A312)*(Table1[unit ask]=C312),Table1[my_fi_name],"Not found")</f>
        <v>BITB</v>
      </c>
    </row>
    <row r="313" spans="1:6" x14ac:dyDescent="0.25">
      <c r="A313" s="5" t="s">
        <v>338</v>
      </c>
      <c r="B313" s="3">
        <v>62072.047655999995</v>
      </c>
      <c r="C313" s="3">
        <v>62069.298717999998</v>
      </c>
      <c r="D313" s="3">
        <f t="shared" si="19"/>
        <v>2.748937999996997</v>
      </c>
      <c r="E313" s="13" t="str" cm="1">
        <f t="array" ref="E313">_xlfn.XLOOKUP(1,(Table1[time]=A313)*(Table1[unit bid]=B313),Table1[my_fi_name],"Not found")</f>
        <v>IBIT</v>
      </c>
      <c r="F313" s="13" t="str" cm="1">
        <f t="array" ref="F313">_xlfn.XLOOKUP(1,(Table1[time]=A313)*(Table1[unit ask]=C313),Table1[my_fi_name],"Not found")</f>
        <v>FBTC</v>
      </c>
    </row>
    <row r="314" spans="1:6" x14ac:dyDescent="0.25">
      <c r="A314" s="5" t="s">
        <v>339</v>
      </c>
      <c r="B314" s="3">
        <v>61701.310170000004</v>
      </c>
      <c r="C314" s="3">
        <v>61687.241000000009</v>
      </c>
      <c r="D314" s="3">
        <f t="shared" si="19"/>
        <v>14.069169999995211</v>
      </c>
      <c r="E314" s="13" t="str" cm="1">
        <f t="array" ref="E314">_xlfn.XLOOKUP(1,(Table1[time]=A314)*(Table1[unit bid]=B314),Table1[my_fi_name],"Not found")</f>
        <v>IBIT</v>
      </c>
      <c r="F314" s="13" t="str" cm="1">
        <f t="array" ref="F314">_xlfn.XLOOKUP(1,(Table1[time]=A314)*(Table1[unit ask]=C314),Table1[my_fi_name],"Not found")</f>
        <v>BTC</v>
      </c>
    </row>
    <row r="315" spans="1:6" x14ac:dyDescent="0.25">
      <c r="A315" s="5" t="s">
        <v>340</v>
      </c>
      <c r="B315" s="3">
        <v>61464.742830000003</v>
      </c>
      <c r="C315" s="3">
        <v>61449.240005999993</v>
      </c>
      <c r="D315" s="3">
        <f t="shared" si="19"/>
        <v>15.50282400001015</v>
      </c>
      <c r="E315" s="13" t="str" cm="1">
        <f t="array" ref="E315">_xlfn.XLOOKUP(1,(Table1[time]=A315)*(Table1[unit bid]=B315),Table1[my_fi_name],"Not found")</f>
        <v>GBTC</v>
      </c>
      <c r="F315" s="13" t="str" cm="1">
        <f t="array" ref="F315">_xlfn.XLOOKUP(1,(Table1[time]=A315)*(Table1[unit ask]=C315),Table1[my_fi_name],"Not found")</f>
        <v>ARKB</v>
      </c>
    </row>
    <row r="316" spans="1:6" x14ac:dyDescent="0.25">
      <c r="A316" s="5" t="s">
        <v>341</v>
      </c>
      <c r="B316" s="3">
        <v>61701.310170000004</v>
      </c>
      <c r="C316" s="3">
        <v>61687.241000000009</v>
      </c>
      <c r="D316" s="3">
        <f t="shared" si="19"/>
        <v>14.069169999995211</v>
      </c>
      <c r="E316" s="13" t="str" cm="1">
        <f t="array" ref="E316">_xlfn.XLOOKUP(1,(Table1[time]=A316)*(Table1[unit bid]=B316),Table1[my_fi_name],"Not found")</f>
        <v>IBIT</v>
      </c>
      <c r="F316" s="13" t="str" cm="1">
        <f t="array" ref="F316">_xlfn.XLOOKUP(1,(Table1[time]=A316)*(Table1[unit ask]=C316),Table1[my_fi_name],"Not found")</f>
        <v>BTC</v>
      </c>
    </row>
    <row r="317" spans="1:6" x14ac:dyDescent="0.25">
      <c r="A317" s="5" t="s">
        <v>342</v>
      </c>
      <c r="B317" s="3">
        <v>61580.811375000012</v>
      </c>
      <c r="C317" s="3">
        <v>61569.846954000001</v>
      </c>
      <c r="D317" s="3">
        <f t="shared" si="19"/>
        <v>10.964421000011498</v>
      </c>
      <c r="E317" s="13" t="str" cm="1">
        <f t="array" ref="E317">_xlfn.XLOOKUP(1,(Table1[time]=A317)*(Table1[unit bid]=B317),Table1[my_fi_name],"Not found")</f>
        <v>GBTC</v>
      </c>
      <c r="F317" s="13" t="str" cm="1">
        <f t="array" ref="F317">_xlfn.XLOOKUP(1,(Table1[time]=A317)*(Table1[unit ask]=C317),Table1[my_fi_name],"Not found")</f>
        <v>ARKB</v>
      </c>
    </row>
    <row r="318" spans="1:6" x14ac:dyDescent="0.25">
      <c r="A318" s="5" t="s">
        <v>343</v>
      </c>
      <c r="B318" s="3">
        <v>61701.310170000004</v>
      </c>
      <c r="C318" s="3">
        <v>61687.241000000009</v>
      </c>
      <c r="D318" s="3">
        <f t="shared" si="19"/>
        <v>14.069169999995211</v>
      </c>
      <c r="E318" s="13" t="str" cm="1">
        <f t="array" ref="E318">_xlfn.XLOOKUP(1,(Table1[time]=A318)*(Table1[unit bid]=B318),Table1[my_fi_name],"Not found")</f>
        <v>IBIT</v>
      </c>
      <c r="F318" s="13" t="str" cm="1">
        <f t="array" ref="F318">_xlfn.XLOOKUP(1,(Table1[time]=A318)*(Table1[unit ask]=C318),Table1[my_fi_name],"Not found")</f>
        <v>BTC</v>
      </c>
    </row>
    <row r="319" spans="1:6" x14ac:dyDescent="0.25">
      <c r="A319" s="5" t="s">
        <v>344</v>
      </c>
      <c r="B319" s="3">
        <v>61542.422676000002</v>
      </c>
      <c r="C319" s="3">
        <v>61538.756640000007</v>
      </c>
      <c r="D319" s="3">
        <f t="shared" si="19"/>
        <v>3.6660359999950742</v>
      </c>
      <c r="E319" s="13" t="str" cm="1">
        <f t="array" ref="E319">_xlfn.XLOOKUP(1,(Table1[time]=A319)*(Table1[unit bid]=B319),Table1[my_fi_name],"Not found")</f>
        <v>IBIT</v>
      </c>
      <c r="F319" s="13" t="str" cm="1">
        <f t="array" ref="F319">_xlfn.XLOOKUP(1,(Table1[time]=A319)*(Table1[unit ask]=C319),Table1[my_fi_name],"Not found")</f>
        <v>BRRR</v>
      </c>
    </row>
    <row r="320" spans="1:6" x14ac:dyDescent="0.25">
      <c r="A320" s="5" t="s">
        <v>345</v>
      </c>
      <c r="B320" s="3">
        <v>61687.241000000009</v>
      </c>
      <c r="C320" s="3">
        <v>61678.636711999992</v>
      </c>
      <c r="D320" s="3">
        <f t="shared" si="19"/>
        <v>8.6042880000168225</v>
      </c>
      <c r="E320" s="13" t="str" cm="1">
        <f t="array" ref="E320">_xlfn.XLOOKUP(1,(Table1[time]=A320)*(Table1[unit bid]=B320),Table1[my_fi_name],"Not found")</f>
        <v>BTC</v>
      </c>
      <c r="F320" s="13" t="str" cm="1">
        <f t="array" ref="F320">_xlfn.XLOOKUP(1,(Table1[time]=A320)*(Table1[unit ask]=C320),Table1[my_fi_name],"Not found")</f>
        <v>FBTC</v>
      </c>
    </row>
    <row r="321" spans="1:6" x14ac:dyDescent="0.25">
      <c r="A321" s="5" t="s">
        <v>346</v>
      </c>
      <c r="B321" s="3">
        <v>61181.019720000004</v>
      </c>
      <c r="C321" s="3">
        <v>61177.861278000004</v>
      </c>
      <c r="D321" s="3">
        <f t="shared" si="19"/>
        <v>3.1584419999999227</v>
      </c>
      <c r="E321" s="13" t="str" cm="1">
        <f t="array" ref="E321">_xlfn.XLOOKUP(1,(Table1[time]=A321)*(Table1[unit bid]=B321),Table1[my_fi_name],"Not found")</f>
        <v>GBTC</v>
      </c>
      <c r="F321" s="13" t="str" cm="1">
        <f t="array" ref="F321">_xlfn.XLOOKUP(1,(Table1[time]=A321)*(Table1[unit ask]=C321),Table1[my_fi_name],"Not found")</f>
        <v>BITB</v>
      </c>
    </row>
    <row r="322" spans="1:6" x14ac:dyDescent="0.25">
      <c r="A322" s="5" t="s">
        <v>347</v>
      </c>
      <c r="B322" s="3">
        <v>61368.405118999988</v>
      </c>
      <c r="C322" s="3">
        <v>61358.784795</v>
      </c>
      <c r="D322" s="3">
        <f t="shared" si="19"/>
        <v>9.6203239999886137</v>
      </c>
      <c r="E322" s="13" t="str" cm="1">
        <f t="array" ref="E322">_xlfn.XLOOKUP(1,(Table1[time]=A322)*(Table1[unit bid]=B322),Table1[my_fi_name],"Not found")</f>
        <v>FBTC</v>
      </c>
      <c r="F322" s="13" t="str" cm="1">
        <f t="array" ref="F322">_xlfn.XLOOKUP(1,(Table1[time]=A322)*(Table1[unit ask]=C322),Table1[my_fi_name],"Not found")</f>
        <v>ARKB</v>
      </c>
    </row>
    <row r="323" spans="1:6" x14ac:dyDescent="0.25">
      <c r="A323" s="5" t="s">
        <v>348</v>
      </c>
      <c r="B323" s="3">
        <v>61595.385174000003</v>
      </c>
      <c r="C323" s="3">
        <v>61596.790500000003</v>
      </c>
      <c r="D323" s="3">
        <f t="shared" si="19"/>
        <v>-1.4053260000000591</v>
      </c>
      <c r="E323" s="13" t="str" cm="1">
        <f t="array" ref="E323">_xlfn.XLOOKUP(1,(Table1[time]=A323)*(Table1[unit bid]=B323),Table1[my_fi_name],"Not found")</f>
        <v>IBIT</v>
      </c>
      <c r="F323" s="13" t="str" cm="1">
        <f t="array" ref="F323">_xlfn.XLOOKUP(1,(Table1[time]=A323)*(Table1[unit ask]=C323),Table1[my_fi_name],"Not found")</f>
        <v>BTC</v>
      </c>
    </row>
    <row r="324" spans="1:6" x14ac:dyDescent="0.25">
      <c r="A324" s="5" t="s">
        <v>349</v>
      </c>
      <c r="B324" s="3">
        <v>61671.086910000013</v>
      </c>
      <c r="C324" s="3">
        <v>61660.302164999994</v>
      </c>
      <c r="D324" s="3">
        <f t="shared" si="19"/>
        <v>10.784745000019029</v>
      </c>
      <c r="E324" s="13" t="str" cm="1">
        <f t="array" ref="E324">_xlfn.XLOOKUP(1,(Table1[time]=A324)*(Table1[unit bid]=B324),Table1[my_fi_name],"Not found")</f>
        <v>GBTC</v>
      </c>
      <c r="F324" s="13" t="str" cm="1">
        <f t="array" ref="F324">_xlfn.XLOOKUP(1,(Table1[time]=A324)*(Table1[unit ask]=C324),Table1[my_fi_name],"Not found")</f>
        <v>ARKB</v>
      </c>
    </row>
    <row r="325" spans="1:6" x14ac:dyDescent="0.25">
      <c r="A325" s="5" t="s">
        <v>350</v>
      </c>
      <c r="B325" s="3">
        <v>61842.543497999999</v>
      </c>
      <c r="C325" s="3">
        <v>61839.497537999996</v>
      </c>
      <c r="D325" s="3">
        <f t="shared" si="19"/>
        <v>3.045960000003106</v>
      </c>
      <c r="E325" s="13" t="str" cm="1">
        <f t="array" ref="E325">_xlfn.XLOOKUP(1,(Table1[time]=A325)*(Table1[unit bid]=B325),Table1[my_fi_name],"Not found")</f>
        <v>IBIT</v>
      </c>
      <c r="F325" s="13" t="str" cm="1">
        <f t="array" ref="F325">_xlfn.XLOOKUP(1,(Table1[time]=A325)*(Table1[unit ask]=C325),Table1[my_fi_name],"Not found")</f>
        <v>FBTC</v>
      </c>
    </row>
    <row r="326" spans="1:6" x14ac:dyDescent="0.25">
      <c r="A326" s="5" t="s">
        <v>351</v>
      </c>
      <c r="B326" s="3">
        <v>61771.926834000005</v>
      </c>
      <c r="C326" s="3">
        <v>61770.55718399999</v>
      </c>
      <c r="D326" s="3">
        <f t="shared" si="19"/>
        <v>1.3696500000150991</v>
      </c>
      <c r="E326" s="13" t="str" cm="1">
        <f t="array" ref="E326">_xlfn.XLOOKUP(1,(Table1[time]=A326)*(Table1[unit bid]=B326),Table1[my_fi_name],"Not found")</f>
        <v>IBIT</v>
      </c>
      <c r="F326" s="13" t="str" cm="1">
        <f t="array" ref="F326">_xlfn.XLOOKUP(1,(Table1[time]=A326)*(Table1[unit ask]=C326),Table1[my_fi_name],"Not found")</f>
        <v>FBTC</v>
      </c>
    </row>
    <row r="327" spans="1:6" x14ac:dyDescent="0.25">
      <c r="A327" s="5" t="s">
        <v>352</v>
      </c>
      <c r="B327" s="3">
        <v>61648.347672000004</v>
      </c>
      <c r="C327" s="3">
        <v>61630.150428000001</v>
      </c>
      <c r="D327" s="3">
        <f t="shared" si="19"/>
        <v>18.197244000002684</v>
      </c>
      <c r="E327" s="13" t="str" cm="1">
        <f t="array" ref="E327">_xlfn.XLOOKUP(1,(Table1[time]=A327)*(Table1[unit bid]=B327),Table1[my_fi_name],"Not found")</f>
        <v>IBIT</v>
      </c>
      <c r="F327" s="13" t="str" cm="1">
        <f t="array" ref="F327">_xlfn.XLOOKUP(1,(Table1[time]=A327)*(Table1[unit ask]=C327),Table1[my_fi_name],"Not found")</f>
        <v>ARKB</v>
      </c>
    </row>
    <row r="328" spans="1:6" x14ac:dyDescent="0.25">
      <c r="A328" s="5" t="s">
        <v>353</v>
      </c>
      <c r="B328" s="3">
        <v>61789.580999999998</v>
      </c>
      <c r="C328" s="3">
        <v>61780.909112999994</v>
      </c>
      <c r="D328" s="3">
        <f t="shared" si="19"/>
        <v>8.6718870000040624</v>
      </c>
      <c r="E328" s="13" t="str" cm="1">
        <f t="array" ref="E328">_xlfn.XLOOKUP(1,(Table1[time]=A328)*(Table1[unit bid]=B328),Table1[my_fi_name],"Not found")</f>
        <v>IBIT</v>
      </c>
      <c r="F328" s="13" t="str" cm="1">
        <f t="array" ref="F328">_xlfn.XLOOKUP(1,(Table1[time]=A328)*(Table1[unit ask]=C328),Table1[my_fi_name],"Not found")</f>
        <v>ARKB</v>
      </c>
    </row>
    <row r="329" spans="1:6" x14ac:dyDescent="0.25">
      <c r="A329" s="5" t="s">
        <v>354</v>
      </c>
      <c r="B329" s="3">
        <v>61771.926834000005</v>
      </c>
      <c r="C329" s="3">
        <v>61767.349854000007</v>
      </c>
      <c r="D329" s="3">
        <f t="shared" si="19"/>
        <v>4.5769799999980023</v>
      </c>
      <c r="E329" s="13" t="str" cm="1">
        <f t="array" ref="E329">_xlfn.XLOOKUP(1,(Table1[time]=A329)*(Table1[unit bid]=B329),Table1[my_fi_name],"Not found")</f>
        <v>IBIT</v>
      </c>
      <c r="F329" s="13" t="str" cm="1">
        <f t="array" ref="F329">_xlfn.XLOOKUP(1,(Table1[time]=A329)*(Table1[unit ask]=C329),Table1[my_fi_name],"Not found")</f>
        <v>BITB</v>
      </c>
    </row>
    <row r="330" spans="1:6" x14ac:dyDescent="0.25">
      <c r="A330" s="5" t="s">
        <v>355</v>
      </c>
      <c r="B330" s="3">
        <v>61754.272667999998</v>
      </c>
      <c r="C330" s="3">
        <v>61748.928336000012</v>
      </c>
      <c r="D330" s="3">
        <f t="shared" si="19"/>
        <v>5.344331999986025</v>
      </c>
      <c r="E330" s="13" t="str" cm="1">
        <f t="array" ref="E330">_xlfn.XLOOKUP(1,(Table1[time]=A330)*(Table1[unit bid]=B330),Table1[my_fi_name],"Not found")</f>
        <v>IBIT</v>
      </c>
      <c r="F330" s="13" t="str" cm="1">
        <f t="array" ref="F330">_xlfn.XLOOKUP(1,(Table1[time]=A330)*(Table1[unit ask]=C330),Table1[my_fi_name],"Not found")</f>
        <v>BITB</v>
      </c>
    </row>
    <row r="331" spans="1:6" x14ac:dyDescent="0.25">
      <c r="A331" s="5" t="s">
        <v>356</v>
      </c>
      <c r="B331" s="3">
        <v>61683.98341500001</v>
      </c>
      <c r="C331" s="3">
        <v>61687.241000000009</v>
      </c>
      <c r="D331" s="3">
        <f t="shared" si="19"/>
        <v>-3.2575849999993807</v>
      </c>
      <c r="E331" s="13" t="str" cm="1">
        <f t="array" ref="E331">_xlfn.XLOOKUP(1,(Table1[time]=A331)*(Table1[unit bid]=B331),Table1[my_fi_name],"Not found")</f>
        <v>GBTC</v>
      </c>
      <c r="F331" s="13" t="str" cm="1">
        <f t="array" ref="F331">_xlfn.XLOOKUP(1,(Table1[time]=A331)*(Table1[unit ask]=C331),Table1[my_fi_name],"Not found")</f>
        <v>BTC</v>
      </c>
    </row>
    <row r="332" spans="1:6" x14ac:dyDescent="0.25">
      <c r="A332" s="5" t="s">
        <v>357</v>
      </c>
      <c r="B332" s="3">
        <v>61598.20629899999</v>
      </c>
      <c r="C332" s="3">
        <v>61596.790500000003</v>
      </c>
      <c r="D332" s="3">
        <f t="shared" si="19"/>
        <v>1.4157989999876008</v>
      </c>
      <c r="E332" s="13" t="str" cm="1">
        <f t="array" ref="E332">_xlfn.XLOOKUP(1,(Table1[time]=A332)*(Table1[unit bid]=B332),Table1[my_fi_name],"Not found")</f>
        <v>FBTC</v>
      </c>
      <c r="F332" s="13" t="str" cm="1">
        <f t="array" ref="F332">_xlfn.XLOOKUP(1,(Table1[time]=A332)*(Table1[unit ask]=C332),Table1[my_fi_name],"Not found")</f>
        <v>BTC</v>
      </c>
    </row>
    <row r="333" spans="1:6" x14ac:dyDescent="0.25">
      <c r="A333" s="5" t="s">
        <v>358</v>
      </c>
      <c r="B333" s="3">
        <v>61538.756640000007</v>
      </c>
      <c r="C333" s="3">
        <v>61509.543479999993</v>
      </c>
      <c r="D333" s="3">
        <f t="shared" si="19"/>
        <v>29.213160000013886</v>
      </c>
      <c r="E333" s="13" t="str" cm="1">
        <f t="array" ref="E333">_xlfn.XLOOKUP(1,(Table1[time]=A333)*(Table1[unit bid]=B333),Table1[my_fi_name],"Not found")</f>
        <v>BRRR</v>
      </c>
      <c r="F333" s="13" t="str" cm="1">
        <f t="array" ref="F333">_xlfn.XLOOKUP(1,(Table1[time]=A333)*(Table1[unit ask]=C333),Table1[my_fi_name],"Not found")</f>
        <v>ARKB</v>
      </c>
    </row>
    <row r="334" spans="1:6" x14ac:dyDescent="0.25">
      <c r="A334" s="5" t="s">
        <v>359</v>
      </c>
      <c r="B334" s="3">
        <v>61560.076841999995</v>
      </c>
      <c r="C334" s="3">
        <v>61539.695217</v>
      </c>
      <c r="D334" s="3">
        <f t="shared" si="19"/>
        <v>20.381624999994528</v>
      </c>
      <c r="E334" s="13" t="str" cm="1">
        <f t="array" ref="E334">_xlfn.XLOOKUP(1,(Table1[time]=A334)*(Table1[unit bid]=B334),Table1[my_fi_name],"Not found")</f>
        <v>IBIT</v>
      </c>
      <c r="F334" s="13" t="str" cm="1">
        <f t="array" ref="F334">_xlfn.XLOOKUP(1,(Table1[time]=A334)*(Table1[unit ask]=C334),Table1[my_fi_name],"Not found")</f>
        <v>ARKB</v>
      </c>
    </row>
    <row r="335" spans="1:6" x14ac:dyDescent="0.25">
      <c r="A335" s="5" t="s">
        <v>360</v>
      </c>
      <c r="B335" s="3">
        <v>61560.076841999995</v>
      </c>
      <c r="C335" s="3">
        <v>61539.695217</v>
      </c>
      <c r="D335" s="3">
        <f t="shared" si="19"/>
        <v>20.381624999994528</v>
      </c>
      <c r="E335" s="13" t="str" cm="1">
        <f t="array" ref="E335">_xlfn.XLOOKUP(1,(Table1[time]=A335)*(Table1[unit bid]=B335),Table1[my_fi_name],"Not found")</f>
        <v>IBIT</v>
      </c>
      <c r="F335" s="13" t="str" cm="1">
        <f t="array" ref="F335">_xlfn.XLOOKUP(1,(Table1[time]=A335)*(Table1[unit ask]=C335),Table1[my_fi_name],"Not found")</f>
        <v>ARKB</v>
      </c>
    </row>
  </sheetData>
  <conditionalFormatting sqref="B1 B336:B1048576">
    <cfRule type="duplicateValues" dxfId="15" priority="8"/>
  </conditionalFormatting>
  <conditionalFormatting sqref="C1 C336:C1048576">
    <cfRule type="duplicateValues" dxfId="14" priority="7"/>
  </conditionalFormatting>
  <conditionalFormatting sqref="K3:K12">
    <cfRule type="top10" dxfId="13" priority="13" bottom="1" rank="3"/>
    <cfRule type="top10" dxfId="12" priority="14" rank="3"/>
  </conditionalFormatting>
  <conditionalFormatting sqref="T3:T12">
    <cfRule type="top10" dxfId="11" priority="4" bottom="1" rank="3"/>
    <cfRule type="top10" dxfId="10" priority="5" rank="3"/>
  </conditionalFormatting>
  <conditionalFormatting sqref="U3:U12">
    <cfRule type="cellIs" dxfId="9" priority="3" operator="notEqual">
      <formula>0</formula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173A-C1F6-4D7F-90A1-3D83124D9721}">
  <dimension ref="A1:N337"/>
  <sheetViews>
    <sheetView workbookViewId="0">
      <selection activeCell="L14" sqref="L14"/>
    </sheetView>
  </sheetViews>
  <sheetFormatPr defaultRowHeight="15" x14ac:dyDescent="0.25"/>
  <cols>
    <col min="1" max="1" width="19" bestFit="1" customWidth="1"/>
    <col min="2" max="2" width="14.7109375" bestFit="1" customWidth="1"/>
    <col min="3" max="3" width="14.85546875" bestFit="1" customWidth="1"/>
    <col min="4" max="4" width="20.5703125" bestFit="1" customWidth="1"/>
    <col min="5" max="5" width="20.7109375" bestFit="1" customWidth="1"/>
    <col min="6" max="11" width="11.5703125" bestFit="1" customWidth="1"/>
    <col min="12" max="14" width="11.5703125" style="1" bestFit="1" customWidth="1"/>
    <col min="15" max="1365" width="11.5703125" bestFit="1" customWidth="1"/>
    <col min="1366" max="1366" width="12.7109375" bestFit="1" customWidth="1"/>
  </cols>
  <sheetData>
    <row r="1" spans="1:14" x14ac:dyDescent="0.25">
      <c r="A1" s="4" t="s">
        <v>0</v>
      </c>
      <c r="B1" t="s">
        <v>14</v>
      </c>
    </row>
    <row r="3" spans="1:14" x14ac:dyDescent="0.25">
      <c r="A3" s="4" t="s">
        <v>34</v>
      </c>
      <c r="B3" t="s">
        <v>213</v>
      </c>
      <c r="C3" t="s">
        <v>214</v>
      </c>
      <c r="D3" t="s">
        <v>215</v>
      </c>
      <c r="E3" t="s">
        <v>216</v>
      </c>
      <c r="F3" s="55" t="str">
        <f>Sheet1!E1</f>
        <v>bid name</v>
      </c>
      <c r="G3" s="55" t="str">
        <f>Sheet1!F1</f>
        <v>ask name</v>
      </c>
      <c r="H3" s="55" t="s">
        <v>217</v>
      </c>
      <c r="I3" s="55" t="s">
        <v>218</v>
      </c>
      <c r="L3" s="56" t="str">
        <f>H3</f>
        <v>sell buy</v>
      </c>
      <c r="M3" s="56" t="str">
        <f>I3</f>
        <v>buy sell</v>
      </c>
      <c r="N3" s="56" t="s">
        <v>219</v>
      </c>
    </row>
    <row r="4" spans="1:14" x14ac:dyDescent="0.25">
      <c r="A4" s="5" t="s">
        <v>5</v>
      </c>
      <c r="B4" s="3">
        <v>62502.690280999996</v>
      </c>
      <c r="C4" s="3">
        <v>62520.341422000005</v>
      </c>
      <c r="D4" s="3">
        <v>35.409999999999997</v>
      </c>
      <c r="E4" s="3">
        <v>35.42</v>
      </c>
      <c r="F4" t="str">
        <f>Sheet1!E2</f>
        <v>FBTC</v>
      </c>
      <c r="G4" t="str">
        <f>Sheet1!F2</f>
        <v>GBTC</v>
      </c>
      <c r="H4" s="3">
        <f>B4-C5</f>
        <v>123.55798699999286</v>
      </c>
      <c r="I4" s="3">
        <f>B5-C4</f>
        <v>-158.86026900000434</v>
      </c>
      <c r="K4" t="str">
        <f>Sheet1!H3</f>
        <v>ARKB</v>
      </c>
      <c r="L4" s="1">
        <f>SUMIF(F$4:F$180,"ARKB",H$4:H$180)</f>
        <v>317.80271599999656</v>
      </c>
      <c r="M4" s="1">
        <f>SUMIF(G$4:G$180,"ARKB",I$4:I$180)</f>
        <v>-352.95620799999568</v>
      </c>
      <c r="N4" s="1">
        <f>L4+M4</f>
        <v>-35.153491999999119</v>
      </c>
    </row>
    <row r="5" spans="1:14" x14ac:dyDescent="0.25">
      <c r="A5" s="5" t="s">
        <v>15</v>
      </c>
      <c r="B5" s="3">
        <v>62361.481153000001</v>
      </c>
      <c r="C5" s="3">
        <v>62379.132294000003</v>
      </c>
      <c r="D5" s="3">
        <v>35.33</v>
      </c>
      <c r="E5" s="3">
        <v>35.340000000000003</v>
      </c>
      <c r="F5" t="str">
        <f>Sheet1!E3</f>
        <v>FBTC</v>
      </c>
      <c r="G5" t="str">
        <f>Sheet1!F3</f>
        <v>GBTC</v>
      </c>
      <c r="H5" s="3">
        <f t="shared" ref="H5:H65" si="0">B5-C6</f>
        <v>123.55798700000742</v>
      </c>
      <c r="I5" s="3">
        <f t="shared" ref="I5:I65" si="1">B6-C5</f>
        <v>-158.86026900000434</v>
      </c>
      <c r="K5" t="str">
        <f>Sheet1!H4</f>
        <v>BITB</v>
      </c>
      <c r="L5" s="1">
        <f>SUMIF(F$4:F$180,"BITB",H$4:H$180)</f>
        <v>105.90861800000653</v>
      </c>
      <c r="M5" s="1">
        <f>SUMIF(G$4:G$180,"BITB",I$4:I$180)</f>
        <v>458.57664099999823</v>
      </c>
      <c r="N5" s="1">
        <f t="shared" ref="N5:N13" si="2">L5+M5</f>
        <v>564.48525900000482</v>
      </c>
    </row>
    <row r="6" spans="1:14" x14ac:dyDescent="0.25">
      <c r="A6" s="5" t="s">
        <v>16</v>
      </c>
      <c r="B6" s="3">
        <v>62220.272024999998</v>
      </c>
      <c r="C6" s="3">
        <v>62237.923165999993</v>
      </c>
      <c r="D6" s="3">
        <v>35.25</v>
      </c>
      <c r="E6" s="3">
        <v>35.26</v>
      </c>
      <c r="F6" t="str">
        <f>Sheet1!E4</f>
        <v>FBTC</v>
      </c>
      <c r="G6" t="str">
        <f>Sheet1!F4</f>
        <v>BRRR</v>
      </c>
      <c r="H6" s="3">
        <f t="shared" si="0"/>
        <v>-70.604564000001119</v>
      </c>
      <c r="I6" s="3">
        <f t="shared" si="1"/>
        <v>35.302282000011473</v>
      </c>
      <c r="K6" t="str">
        <f>Sheet1!H5</f>
        <v>BRRR</v>
      </c>
      <c r="L6" s="1">
        <f>SUMIF(F$4:F$180,"BRRR",H$4:H$180)</f>
        <v>-106.23757199998188</v>
      </c>
      <c r="M6" s="1">
        <f>SUMIF(G$4:G$180,"BRRR",I$4:I$180)</f>
        <v>35.322282000011477</v>
      </c>
      <c r="N6" s="1">
        <f t="shared" si="2"/>
        <v>-70.915289999970412</v>
      </c>
    </row>
    <row r="7" spans="1:14" x14ac:dyDescent="0.25">
      <c r="A7" s="5" t="s">
        <v>17</v>
      </c>
      <c r="B7" s="3">
        <v>62273.225448000005</v>
      </c>
      <c r="C7" s="3">
        <v>62290.876589</v>
      </c>
      <c r="D7" s="3">
        <v>35.28</v>
      </c>
      <c r="E7" s="3">
        <v>35.29</v>
      </c>
      <c r="F7" t="str">
        <f>Sheet1!E5</f>
        <v>FBTC</v>
      </c>
      <c r="G7" t="str">
        <f>Sheet1!F5</f>
        <v>GBTC</v>
      </c>
      <c r="H7" s="3">
        <f t="shared" si="0"/>
        <v>176.51141000000644</v>
      </c>
      <c r="I7" s="3">
        <f t="shared" si="1"/>
        <v>-211.81369199999608</v>
      </c>
      <c r="K7" t="str">
        <f>Sheet1!H6</f>
        <v>BTC</v>
      </c>
      <c r="L7" s="1">
        <f>SUMIF(F$4:F$180,"BTC",H$4:H$180)</f>
        <v>-476.29407400000582</v>
      </c>
      <c r="M7" s="1">
        <f>SUMIF(G$4:G$180,"BTC",I$4:I$180)</f>
        <v>-0.35000000000000142</v>
      </c>
      <c r="N7" s="1">
        <f t="shared" si="2"/>
        <v>-476.64407400000584</v>
      </c>
    </row>
    <row r="8" spans="1:14" x14ac:dyDescent="0.25">
      <c r="A8" s="5" t="s">
        <v>18</v>
      </c>
      <c r="B8" s="3">
        <v>62079.062897000003</v>
      </c>
      <c r="C8" s="3">
        <v>62096.714037999998</v>
      </c>
      <c r="D8" s="3">
        <v>35.17</v>
      </c>
      <c r="E8" s="3">
        <v>35.18</v>
      </c>
      <c r="F8" t="str">
        <f>Sheet1!E6</f>
        <v>FBTC</v>
      </c>
      <c r="G8" t="str">
        <f>Sheet1!F6</f>
        <v>GBTC</v>
      </c>
      <c r="H8" s="3">
        <f t="shared" si="0"/>
        <v>-52.95342299999902</v>
      </c>
      <c r="I8" s="3">
        <f t="shared" si="1"/>
        <v>17.651140999994823</v>
      </c>
      <c r="K8" t="str">
        <f>Sheet1!H7</f>
        <v>BTCW</v>
      </c>
      <c r="L8" s="1">
        <f>SUMIF(F$4:F$180,"BTCW",H$4:H$180)</f>
        <v>-35.192282000004191</v>
      </c>
      <c r="M8" s="1">
        <f>SUMIF(G$4:G$180,"BTCW",I$4:I$180)</f>
        <v>0</v>
      </c>
      <c r="N8" s="1">
        <f t="shared" si="2"/>
        <v>-35.192282000004191</v>
      </c>
    </row>
    <row r="9" spans="1:14" x14ac:dyDescent="0.25">
      <c r="A9" s="5" t="s">
        <v>19</v>
      </c>
      <c r="B9" s="3">
        <v>62114.365178999993</v>
      </c>
      <c r="C9" s="3">
        <v>62132.016320000002</v>
      </c>
      <c r="D9" s="3">
        <v>35.19</v>
      </c>
      <c r="E9" s="3">
        <v>35.200000000000003</v>
      </c>
      <c r="F9" t="str">
        <f>Sheet1!E7</f>
        <v>FBTC</v>
      </c>
      <c r="G9" t="str">
        <f>Sheet1!F7</f>
        <v>ARKB</v>
      </c>
      <c r="H9" s="3">
        <f t="shared" si="0"/>
        <v>88.255704999988666</v>
      </c>
      <c r="I9" s="3">
        <f t="shared" si="1"/>
        <v>-123.55798700000014</v>
      </c>
      <c r="K9" t="str">
        <f>Sheet1!H8</f>
        <v>EZBC</v>
      </c>
      <c r="L9" s="1">
        <f>SUMIF(F$4:F$180,"EZBC",H$4:H$180)</f>
        <v>9.9999999999980105E-3</v>
      </c>
      <c r="M9" s="1">
        <f>SUMIF(G$4:G$180,"EZBC",I$4:I$180)</f>
        <v>88.258850999998685</v>
      </c>
      <c r="N9" s="1">
        <f t="shared" si="2"/>
        <v>88.268850999998676</v>
      </c>
    </row>
    <row r="10" spans="1:14" x14ac:dyDescent="0.25">
      <c r="A10" s="5" t="s">
        <v>20</v>
      </c>
      <c r="B10" s="3">
        <v>62008.458333000002</v>
      </c>
      <c r="C10" s="3">
        <v>62026.109474000004</v>
      </c>
      <c r="D10" s="3">
        <v>35.130000000000003</v>
      </c>
      <c r="E10" s="3">
        <v>35.14</v>
      </c>
      <c r="F10" t="str">
        <f>Sheet1!E8</f>
        <v>BITB</v>
      </c>
      <c r="G10" t="str">
        <f>Sheet1!F8</f>
        <v>GBTC</v>
      </c>
      <c r="H10" s="3">
        <f t="shared" si="0"/>
        <v>335.3716790000035</v>
      </c>
      <c r="I10" s="3">
        <f t="shared" si="1"/>
        <v>-370.67396100000769</v>
      </c>
      <c r="K10" t="str">
        <f>Sheet1!H9</f>
        <v>FBTC</v>
      </c>
      <c r="L10" s="1">
        <f>SUMIF(F$4:F$180,"FBTC",H$4:H$180)</f>
        <v>-1271.2181579999965</v>
      </c>
      <c r="M10" s="1">
        <f>SUMIF(G$4:G$180,"FBTC",I$4:I$180)</f>
        <v>-1.179999999992738</v>
      </c>
      <c r="N10" s="1">
        <f t="shared" si="2"/>
        <v>-1272.3981579999893</v>
      </c>
    </row>
    <row r="11" spans="1:14" x14ac:dyDescent="0.25">
      <c r="A11" s="5" t="s">
        <v>21</v>
      </c>
      <c r="B11" s="3">
        <v>61655.435512999997</v>
      </c>
      <c r="C11" s="3">
        <v>61673.086653999999</v>
      </c>
      <c r="D11" s="3">
        <v>34.93</v>
      </c>
      <c r="E11" s="3">
        <v>34.94</v>
      </c>
      <c r="F11" t="str">
        <f>Sheet1!E9</f>
        <v>FBTC</v>
      </c>
      <c r="G11" t="str">
        <f>Sheet1!F9</f>
        <v>GBTC</v>
      </c>
      <c r="H11" s="3">
        <f t="shared" si="0"/>
        <v>-141.20912800000224</v>
      </c>
      <c r="I11" s="3">
        <f t="shared" si="1"/>
        <v>105.90684599999804</v>
      </c>
      <c r="K11" t="str">
        <f>Sheet1!H10</f>
        <v>GBTC</v>
      </c>
      <c r="L11" s="1">
        <f>SUMIF(F$4:F$180,"GBTC",H$4:H$180)</f>
        <v>18.381261999992105</v>
      </c>
      <c r="M11" s="1">
        <f>SUMIF(G$4:G$180,"GBTC",I$4:I$180)</f>
        <v>-652.49264299998595</v>
      </c>
      <c r="N11" s="1">
        <f t="shared" si="2"/>
        <v>-634.1113809999938</v>
      </c>
    </row>
    <row r="12" spans="1:14" x14ac:dyDescent="0.25">
      <c r="A12" s="5" t="s">
        <v>22</v>
      </c>
      <c r="B12" s="3">
        <v>61778.993499999997</v>
      </c>
      <c r="C12" s="3">
        <v>61796.644640999999</v>
      </c>
      <c r="D12" s="3">
        <v>35</v>
      </c>
      <c r="E12" s="3">
        <v>35.01</v>
      </c>
      <c r="F12" t="str">
        <f>Sheet1!E10</f>
        <v>FBTC</v>
      </c>
      <c r="G12" t="str">
        <f>Sheet1!F10</f>
        <v>HODL</v>
      </c>
      <c r="H12" s="3">
        <f t="shared" si="0"/>
        <v>-211.81369199999608</v>
      </c>
      <c r="I12" s="3">
        <f t="shared" si="1"/>
        <v>176.51140999999916</v>
      </c>
      <c r="K12" t="str">
        <f>Sheet1!H11</f>
        <v>HODL</v>
      </c>
      <c r="L12" s="1">
        <f>SUMIF(F$4:F$180,"HODL",H$4:H$180)</f>
        <v>-1217.7970780000098</v>
      </c>
      <c r="M12" s="1">
        <f>SUMIF(G$4:G$180,"HODL",I$4:I$180)</f>
        <v>123.10149599998027</v>
      </c>
      <c r="N12" s="1">
        <f t="shared" si="2"/>
        <v>-1094.6955820000296</v>
      </c>
    </row>
    <row r="13" spans="1:14" x14ac:dyDescent="0.25">
      <c r="A13" s="5" t="s">
        <v>23</v>
      </c>
      <c r="B13" s="3">
        <v>61973.156050999998</v>
      </c>
      <c r="C13" s="3">
        <v>61990.807191999993</v>
      </c>
      <c r="D13" s="3">
        <v>35.11</v>
      </c>
      <c r="E13" s="3">
        <v>35.119999999999997</v>
      </c>
      <c r="F13" t="str">
        <f>Sheet1!E11</f>
        <v>BITB</v>
      </c>
      <c r="G13" t="str">
        <f>Sheet1!F11</f>
        <v>GBTC</v>
      </c>
      <c r="H13" s="3">
        <f t="shared" si="0"/>
        <v>88.255704999995942</v>
      </c>
      <c r="I13" s="3">
        <f t="shared" si="1"/>
        <v>-123.55798700000014</v>
      </c>
      <c r="K13" t="str">
        <f>Sheet1!H12</f>
        <v>IBIT</v>
      </c>
      <c r="L13" s="1">
        <f>SUMIF(F$4:F$180,"IBIT",H$4:H$180)</f>
        <v>440.44479300001069</v>
      </c>
      <c r="M13" s="1">
        <f>SUMIF(G$4:G$180,"IBIT",I$4:I$180)</f>
        <v>334.99397800000327</v>
      </c>
      <c r="N13" s="1">
        <f t="shared" si="2"/>
        <v>775.43877100001396</v>
      </c>
    </row>
    <row r="14" spans="1:14" x14ac:dyDescent="0.25">
      <c r="A14" s="5" t="s">
        <v>24</v>
      </c>
      <c r="B14" s="3">
        <v>61867.249204999993</v>
      </c>
      <c r="C14" s="3">
        <v>61884.900346000002</v>
      </c>
      <c r="D14" s="3">
        <v>35.049999999999997</v>
      </c>
      <c r="E14" s="3">
        <v>35.06</v>
      </c>
      <c r="F14" t="str">
        <f>Sheet1!E12</f>
        <v>FBTC</v>
      </c>
      <c r="G14" t="str">
        <f>Sheet1!F12</f>
        <v>ARKB</v>
      </c>
      <c r="H14" s="3">
        <f t="shared" si="0"/>
        <v>123.55798700000014</v>
      </c>
      <c r="I14" s="3">
        <f t="shared" si="1"/>
        <v>-158.86026900000434</v>
      </c>
    </row>
    <row r="15" spans="1:14" x14ac:dyDescent="0.25">
      <c r="A15" s="5" t="s">
        <v>25</v>
      </c>
      <c r="B15" s="3">
        <v>61726.040076999998</v>
      </c>
      <c r="C15" s="3">
        <v>61743.691217999993</v>
      </c>
      <c r="D15" s="3">
        <v>34.97</v>
      </c>
      <c r="E15" s="3">
        <v>34.979999999999997</v>
      </c>
      <c r="F15" t="str">
        <f>Sheet1!E13</f>
        <v>BITB</v>
      </c>
      <c r="G15" t="str">
        <f>Sheet1!F13</f>
        <v>GBTC</v>
      </c>
      <c r="H15" s="3">
        <f t="shared" si="0"/>
        <v>-17.651140999994823</v>
      </c>
      <c r="I15" s="3">
        <f t="shared" si="1"/>
        <v>-17.651140999994823</v>
      </c>
    </row>
    <row r="16" spans="1:14" x14ac:dyDescent="0.25">
      <c r="A16" s="5" t="s">
        <v>26</v>
      </c>
      <c r="B16" s="3">
        <v>61726.040076999998</v>
      </c>
      <c r="C16" s="3">
        <v>61743.691217999993</v>
      </c>
      <c r="D16" s="3">
        <v>34.97</v>
      </c>
      <c r="E16" s="3">
        <v>34.979999999999997</v>
      </c>
      <c r="F16" t="str">
        <f>Sheet1!E14</f>
        <v>IBIT</v>
      </c>
      <c r="G16" t="str">
        <f>Sheet1!F14</f>
        <v>GBTC</v>
      </c>
      <c r="H16" s="3">
        <f t="shared" si="0"/>
        <v>-141.20912799999496</v>
      </c>
      <c r="I16" s="3">
        <f t="shared" si="1"/>
        <v>105.90684600000532</v>
      </c>
    </row>
    <row r="17" spans="1:9" x14ac:dyDescent="0.25">
      <c r="A17" s="5" t="s">
        <v>27</v>
      </c>
      <c r="B17" s="3">
        <v>61849.598063999998</v>
      </c>
      <c r="C17" s="3">
        <v>61867.249204999993</v>
      </c>
      <c r="D17" s="3">
        <v>35.04</v>
      </c>
      <c r="E17" s="3">
        <v>35.049999999999997</v>
      </c>
      <c r="F17" t="str">
        <f>Sheet1!E15</f>
        <v>FBTC</v>
      </c>
      <c r="G17" t="str">
        <f>Sheet1!F15</f>
        <v>HODL</v>
      </c>
      <c r="H17" s="3">
        <f t="shared" si="0"/>
        <v>211.81369199999608</v>
      </c>
      <c r="I17" s="3">
        <f t="shared" si="1"/>
        <v>-247.11597400000028</v>
      </c>
    </row>
    <row r="18" spans="1:9" x14ac:dyDescent="0.25">
      <c r="A18" s="5" t="s">
        <v>28</v>
      </c>
      <c r="B18" s="3">
        <v>61620.133230999993</v>
      </c>
      <c r="C18" s="3">
        <v>61637.784372000002</v>
      </c>
      <c r="D18" s="3">
        <v>34.909999999999997</v>
      </c>
      <c r="E18" s="3">
        <v>34.92</v>
      </c>
      <c r="F18" t="str">
        <f>Sheet1!E16</f>
        <v>FBTC</v>
      </c>
      <c r="G18" t="str">
        <f>Sheet1!F16</f>
        <v>GBTC</v>
      </c>
      <c r="H18" s="3">
        <f t="shared" si="0"/>
        <v>-317.72053800001595</v>
      </c>
      <c r="I18" s="3">
        <f t="shared" si="1"/>
        <v>282.4182559999972</v>
      </c>
    </row>
    <row r="19" spans="1:9" x14ac:dyDescent="0.25">
      <c r="A19" s="5" t="s">
        <v>29</v>
      </c>
      <c r="B19" s="3">
        <v>61920.202627999999</v>
      </c>
      <c r="C19" s="3">
        <v>61937.853769000008</v>
      </c>
      <c r="D19" s="3">
        <v>35.08</v>
      </c>
      <c r="E19" s="3">
        <v>35.090000000000003</v>
      </c>
      <c r="F19" t="str">
        <f>Sheet1!E17</f>
        <v>BTCW</v>
      </c>
      <c r="G19" t="str">
        <f>Sheet1!F17</f>
        <v>HODL</v>
      </c>
      <c r="H19" s="3">
        <f t="shared" si="0"/>
        <v>-35.302282000004197</v>
      </c>
      <c r="I19" s="3">
        <f t="shared" si="1"/>
        <v>0</v>
      </c>
    </row>
    <row r="20" spans="1:9" x14ac:dyDescent="0.25">
      <c r="A20" s="5" t="s">
        <v>30</v>
      </c>
      <c r="B20" s="3">
        <v>61937.853769000008</v>
      </c>
      <c r="C20" s="3">
        <v>61955.504910000003</v>
      </c>
      <c r="D20" s="3">
        <v>35.090000000000003</v>
      </c>
      <c r="E20" s="3">
        <v>35.1</v>
      </c>
      <c r="F20" t="str">
        <f>Sheet1!E18</f>
        <v>FBTC</v>
      </c>
      <c r="G20" t="str">
        <f>Sheet1!F18</f>
        <v>GBTC</v>
      </c>
      <c r="H20" s="3">
        <f t="shared" si="0"/>
        <v>-653.52128300000186</v>
      </c>
      <c r="I20" s="3">
        <f t="shared" si="1"/>
        <v>618.21888000000763</v>
      </c>
    </row>
    <row r="21" spans="1:9" x14ac:dyDescent="0.25">
      <c r="A21" s="5" t="s">
        <v>48</v>
      </c>
      <c r="B21" s="3">
        <v>62573.723790000011</v>
      </c>
      <c r="C21" s="3">
        <v>62591.37505200001</v>
      </c>
      <c r="D21" s="3">
        <v>35.450000000000003</v>
      </c>
      <c r="E21" s="3">
        <v>35.46</v>
      </c>
      <c r="F21" t="str">
        <f>Sheet1!E19</f>
        <v>BTC</v>
      </c>
      <c r="G21" t="str">
        <f>Sheet1!F19</f>
        <v>IBIT</v>
      </c>
      <c r="H21" s="3">
        <f t="shared" si="0"/>
        <v>-423.63028799999302</v>
      </c>
      <c r="I21" s="3">
        <f t="shared" si="1"/>
        <v>388.3277639999942</v>
      </c>
    </row>
    <row r="22" spans="1:9" x14ac:dyDescent="0.25">
      <c r="A22" s="5" t="s">
        <v>49</v>
      </c>
      <c r="B22" s="3">
        <v>62979.702816000005</v>
      </c>
      <c r="C22" s="3">
        <v>62997.354078000004</v>
      </c>
      <c r="D22" s="3">
        <v>35.68</v>
      </c>
      <c r="E22" s="3">
        <v>35.69</v>
      </c>
      <c r="F22" t="str">
        <f>Sheet1!E20</f>
        <v>BRRR</v>
      </c>
      <c r="G22" t="str">
        <f>Sheet1!F20</f>
        <v>GBTC</v>
      </c>
      <c r="H22" s="3">
        <f t="shared" si="0"/>
        <v>35.302524000006088</v>
      </c>
      <c r="I22" s="3">
        <f t="shared" si="1"/>
        <v>-70.605047999997623</v>
      </c>
    </row>
    <row r="23" spans="1:9" x14ac:dyDescent="0.25">
      <c r="A23" s="5" t="s">
        <v>50</v>
      </c>
      <c r="B23" s="3">
        <v>62926.749030000006</v>
      </c>
      <c r="C23" s="3">
        <v>62944.400291999998</v>
      </c>
      <c r="D23" s="3">
        <v>35.65</v>
      </c>
      <c r="E23" s="3">
        <v>35.659999999999997</v>
      </c>
      <c r="F23" t="str">
        <f>Sheet1!E21</f>
        <v>IBIT</v>
      </c>
      <c r="G23" t="str">
        <f>Sheet1!F21</f>
        <v>GBTC</v>
      </c>
      <c r="H23" s="3">
        <f t="shared" si="0"/>
        <v>70.605048000004899</v>
      </c>
      <c r="I23" s="3">
        <f t="shared" si="1"/>
        <v>-105.90757199998916</v>
      </c>
    </row>
    <row r="24" spans="1:9" x14ac:dyDescent="0.25">
      <c r="A24" s="5" t="s">
        <v>51</v>
      </c>
      <c r="B24" s="3">
        <v>62838.492720000009</v>
      </c>
      <c r="C24" s="3">
        <v>62856.143982000001</v>
      </c>
      <c r="D24" s="3">
        <v>35.6</v>
      </c>
      <c r="E24" s="3">
        <v>35.61</v>
      </c>
      <c r="F24" t="str">
        <f>Sheet1!E22</f>
        <v>BTC</v>
      </c>
      <c r="G24" t="str">
        <f>Sheet1!F22</f>
        <v>GBTC</v>
      </c>
      <c r="H24" s="3">
        <f t="shared" si="0"/>
        <v>17.651261999999406</v>
      </c>
      <c r="I24" s="3">
        <f t="shared" si="1"/>
        <v>-52.953785999998217</v>
      </c>
    </row>
    <row r="25" spans="1:9" x14ac:dyDescent="0.25">
      <c r="A25" s="5" t="s">
        <v>52</v>
      </c>
      <c r="B25" s="3">
        <v>62803.190196000003</v>
      </c>
      <c r="C25" s="3">
        <v>62820.84145800001</v>
      </c>
      <c r="D25" s="3">
        <v>35.58</v>
      </c>
      <c r="E25" s="3">
        <v>35.590000000000003</v>
      </c>
      <c r="F25" t="str">
        <f>Sheet1!E23</f>
        <v>FBTC</v>
      </c>
      <c r="G25" t="str">
        <f>Sheet1!F23</f>
        <v>GBTC</v>
      </c>
      <c r="H25" s="3">
        <f t="shared" si="0"/>
        <v>123.55883400000312</v>
      </c>
      <c r="I25" s="3">
        <f t="shared" si="1"/>
        <v>-158.86135800000193</v>
      </c>
    </row>
    <row r="26" spans="1:9" x14ac:dyDescent="0.25">
      <c r="A26" s="5" t="s">
        <v>53</v>
      </c>
      <c r="B26" s="3">
        <v>62661.980100000008</v>
      </c>
      <c r="C26" s="3">
        <v>62679.631362</v>
      </c>
      <c r="D26" s="3">
        <v>35.5</v>
      </c>
      <c r="E26" s="3">
        <v>35.51</v>
      </c>
      <c r="F26" t="str">
        <f>Sheet1!E24</f>
        <v>FBTC</v>
      </c>
      <c r="G26" t="str">
        <f>Sheet1!F24</f>
        <v>GBTC</v>
      </c>
      <c r="H26" s="3">
        <f t="shared" si="0"/>
        <v>-35.302524000006088</v>
      </c>
      <c r="I26" s="3">
        <f t="shared" si="1"/>
        <v>0</v>
      </c>
    </row>
    <row r="27" spans="1:9" x14ac:dyDescent="0.25">
      <c r="A27" s="5" t="s">
        <v>54</v>
      </c>
      <c r="B27" s="3">
        <v>62679.631362</v>
      </c>
      <c r="C27" s="3">
        <v>62697.282624000014</v>
      </c>
      <c r="D27" s="3">
        <v>35.51</v>
      </c>
      <c r="E27" s="3">
        <v>35.520000000000003</v>
      </c>
      <c r="F27" t="str">
        <f>Sheet1!E25</f>
        <v>FBTC</v>
      </c>
      <c r="G27" t="str">
        <f>Sheet1!F25</f>
        <v>HODL</v>
      </c>
      <c r="H27" s="3">
        <f t="shared" si="0"/>
        <v>-123.55883400000312</v>
      </c>
      <c r="I27" s="3">
        <f t="shared" si="1"/>
        <v>88.256309999989753</v>
      </c>
    </row>
    <row r="28" spans="1:9" x14ac:dyDescent="0.25">
      <c r="A28" s="5" t="s">
        <v>55</v>
      </c>
      <c r="B28" s="3">
        <v>62785.538934000004</v>
      </c>
      <c r="C28" s="3">
        <v>62803.190196000003</v>
      </c>
      <c r="D28" s="3">
        <v>35.57</v>
      </c>
      <c r="E28" s="3">
        <v>35.58</v>
      </c>
      <c r="F28" t="str">
        <f>Sheet1!E26</f>
        <v>ARKB</v>
      </c>
      <c r="G28" t="str">
        <f>Sheet1!F26</f>
        <v>GBTC</v>
      </c>
      <c r="H28" s="3">
        <f t="shared" si="0"/>
        <v>211.81514399999287</v>
      </c>
      <c r="I28" s="3">
        <f t="shared" si="1"/>
        <v>-247.11766799999896</v>
      </c>
    </row>
    <row r="29" spans="1:9" x14ac:dyDescent="0.25">
      <c r="A29" s="5" t="s">
        <v>56</v>
      </c>
      <c r="B29" s="3">
        <v>62556.072528000004</v>
      </c>
      <c r="C29" s="3">
        <v>62573.723790000011</v>
      </c>
      <c r="D29" s="3">
        <v>35.44</v>
      </c>
      <c r="E29" s="3">
        <v>35.450000000000003</v>
      </c>
      <c r="F29" t="str">
        <f>Sheet1!E27</f>
        <v>FBTC</v>
      </c>
      <c r="G29" t="str">
        <f>Sheet1!F27</f>
        <v>GBTC</v>
      </c>
      <c r="H29" s="3">
        <f t="shared" si="0"/>
        <v>-105.90757200000371</v>
      </c>
      <c r="I29" s="3">
        <f t="shared" si="1"/>
        <v>70.605047999997623</v>
      </c>
    </row>
    <row r="30" spans="1:9" x14ac:dyDescent="0.25">
      <c r="A30" s="5" t="s">
        <v>57</v>
      </c>
      <c r="B30" s="3">
        <v>62644.328838000009</v>
      </c>
      <c r="C30" s="3">
        <v>62661.980100000008</v>
      </c>
      <c r="D30" s="3">
        <v>35.49</v>
      </c>
      <c r="E30" s="3">
        <v>35.5</v>
      </c>
      <c r="F30" t="str">
        <f>Sheet1!E28</f>
        <v>FBTC</v>
      </c>
      <c r="G30" t="str">
        <f>Sheet1!F28</f>
        <v>BITB</v>
      </c>
      <c r="H30" s="3">
        <f t="shared" si="0"/>
        <v>141.2100960000098</v>
      </c>
      <c r="I30" s="3">
        <f t="shared" si="1"/>
        <v>-176.51262000000861</v>
      </c>
    </row>
    <row r="31" spans="1:9" x14ac:dyDescent="0.25">
      <c r="A31" s="5" t="s">
        <v>58</v>
      </c>
      <c r="B31" s="3">
        <v>62485.467479999999</v>
      </c>
      <c r="C31" s="3">
        <v>62503.118741999999</v>
      </c>
      <c r="D31" s="3">
        <v>35.4</v>
      </c>
      <c r="E31" s="3">
        <v>35.409999999999997</v>
      </c>
      <c r="F31" t="str">
        <f>Sheet1!E29</f>
        <v>BRRR</v>
      </c>
      <c r="G31" t="str">
        <f>Sheet1!F29</f>
        <v>GBTC</v>
      </c>
      <c r="H31" s="3">
        <f t="shared" si="0"/>
        <v>-141.21009600000252</v>
      </c>
      <c r="I31" s="3">
        <f t="shared" si="1"/>
        <v>105.90757200000371</v>
      </c>
    </row>
    <row r="32" spans="1:9" x14ac:dyDescent="0.25">
      <c r="A32" s="5" t="s">
        <v>59</v>
      </c>
      <c r="B32" s="3">
        <v>62609.026314000002</v>
      </c>
      <c r="C32" s="3">
        <v>62626.677576000002</v>
      </c>
      <c r="D32" s="3">
        <v>35.47</v>
      </c>
      <c r="E32" s="3">
        <v>35.479999999999997</v>
      </c>
      <c r="F32" t="str">
        <f>Sheet1!E30</f>
        <v>ARKB</v>
      </c>
      <c r="G32" t="str">
        <f>Sheet1!F30</f>
        <v>GBTC</v>
      </c>
      <c r="H32" s="3">
        <f t="shared" si="0"/>
        <v>105.90757200000371</v>
      </c>
      <c r="I32" s="3">
        <f t="shared" si="1"/>
        <v>-141.21009600000252</v>
      </c>
    </row>
    <row r="33" spans="1:9" x14ac:dyDescent="0.25">
      <c r="A33" s="5" t="s">
        <v>60</v>
      </c>
      <c r="B33" s="3">
        <v>62485.467479999999</v>
      </c>
      <c r="C33" s="3">
        <v>62503.118741999999</v>
      </c>
      <c r="D33" s="3">
        <v>35.4</v>
      </c>
      <c r="E33" s="3">
        <v>35.409999999999997</v>
      </c>
      <c r="F33" t="str">
        <f>Sheet1!E31</f>
        <v>GBTC</v>
      </c>
      <c r="G33" t="str">
        <f>Sheet1!F31</f>
        <v>IBIT</v>
      </c>
      <c r="H33" s="3">
        <f t="shared" si="0"/>
        <v>17.65126199999213</v>
      </c>
      <c r="I33" s="3">
        <f t="shared" si="1"/>
        <v>-52.953785999990941</v>
      </c>
    </row>
    <row r="34" spans="1:9" x14ac:dyDescent="0.25">
      <c r="A34" s="5" t="s">
        <v>61</v>
      </c>
      <c r="B34" s="3">
        <v>62450.164956000008</v>
      </c>
      <c r="C34" s="3">
        <v>62467.816218000007</v>
      </c>
      <c r="D34" s="3">
        <v>35.380000000000003</v>
      </c>
      <c r="E34" s="3">
        <v>35.39</v>
      </c>
      <c r="F34" t="str">
        <f>Sheet1!E32</f>
        <v>HODL</v>
      </c>
      <c r="G34" t="str">
        <f>Sheet1!F32</f>
        <v>GBTC</v>
      </c>
      <c r="H34" s="3">
        <f t="shared" si="0"/>
        <v>141.2100960000098</v>
      </c>
      <c r="I34" s="3">
        <f t="shared" si="1"/>
        <v>-176.51262000000133</v>
      </c>
    </row>
    <row r="35" spans="1:9" x14ac:dyDescent="0.25">
      <c r="A35" s="5" t="s">
        <v>62</v>
      </c>
      <c r="B35" s="3">
        <v>62291.303598000006</v>
      </c>
      <c r="C35" s="3">
        <v>62308.954859999998</v>
      </c>
      <c r="D35" s="3">
        <v>35.29</v>
      </c>
      <c r="E35" s="3">
        <v>35.299999999999997</v>
      </c>
      <c r="F35" t="str">
        <f>Sheet1!E33</f>
        <v>HODL</v>
      </c>
      <c r="G35" t="str">
        <f>Sheet1!F33</f>
        <v>BITB</v>
      </c>
      <c r="H35" s="3">
        <f t="shared" si="0"/>
        <v>-970.8194100000037</v>
      </c>
      <c r="I35" s="3">
        <f t="shared" si="1"/>
        <v>935.51688600000489</v>
      </c>
    </row>
    <row r="36" spans="1:9" x14ac:dyDescent="0.25">
      <c r="A36" s="5" t="s">
        <v>63</v>
      </c>
      <c r="B36" s="3">
        <v>63244.471746000003</v>
      </c>
      <c r="C36" s="3">
        <v>63262.12300800001</v>
      </c>
      <c r="D36" s="3">
        <v>35.83</v>
      </c>
      <c r="E36" s="3">
        <v>35.840000000000003</v>
      </c>
      <c r="F36" t="str">
        <f>Sheet1!E34</f>
        <v>HODL</v>
      </c>
      <c r="G36" t="str">
        <f>Sheet1!F34</f>
        <v>GBTC</v>
      </c>
      <c r="H36" s="3">
        <f t="shared" si="0"/>
        <v>-158.8613580000092</v>
      </c>
      <c r="I36" s="3">
        <f t="shared" si="1"/>
        <v>123.55883399998856</v>
      </c>
    </row>
    <row r="37" spans="1:9" x14ac:dyDescent="0.25">
      <c r="A37" s="5" t="s">
        <v>64</v>
      </c>
      <c r="B37" s="3">
        <v>63385.681841999998</v>
      </c>
      <c r="C37" s="3">
        <v>63403.333104000012</v>
      </c>
      <c r="D37" s="3">
        <v>35.909999999999997</v>
      </c>
      <c r="E37" s="3">
        <v>35.92</v>
      </c>
      <c r="F37" t="str">
        <f>Sheet1!E35</f>
        <v>FBTC</v>
      </c>
      <c r="G37" t="str">
        <f>Sheet1!F35</f>
        <v>GBTC</v>
      </c>
      <c r="H37" s="3">
        <f t="shared" si="0"/>
        <v>88.256309999997029</v>
      </c>
      <c r="I37" s="3">
        <f t="shared" si="1"/>
        <v>-123.55883400000312</v>
      </c>
    </row>
    <row r="38" spans="1:9" x14ac:dyDescent="0.25">
      <c r="A38" s="5" t="s">
        <v>65</v>
      </c>
      <c r="B38" s="3">
        <v>63279.774270000009</v>
      </c>
      <c r="C38" s="3">
        <v>63297.425532000001</v>
      </c>
      <c r="D38" s="3">
        <v>35.85</v>
      </c>
      <c r="E38" s="3">
        <v>35.86</v>
      </c>
      <c r="F38" t="str">
        <f>Sheet1!E36</f>
        <v>FBTC</v>
      </c>
      <c r="G38" t="str">
        <f>Sheet1!F36</f>
        <v>ARKB</v>
      </c>
      <c r="H38" s="3">
        <f t="shared" si="0"/>
        <v>-105.90757199998916</v>
      </c>
      <c r="I38" s="3">
        <f t="shared" si="1"/>
        <v>70.605048000004899</v>
      </c>
    </row>
    <row r="39" spans="1:9" x14ac:dyDescent="0.25">
      <c r="A39" s="5" t="s">
        <v>66</v>
      </c>
      <c r="B39" s="3">
        <v>63368.030580000006</v>
      </c>
      <c r="C39" s="3">
        <v>63385.681841999998</v>
      </c>
      <c r="D39" s="3">
        <v>35.9</v>
      </c>
      <c r="E39" s="3">
        <v>35.909999999999997</v>
      </c>
      <c r="F39" t="str">
        <f>Sheet1!E37</f>
        <v>BTC</v>
      </c>
      <c r="G39" t="str">
        <f>Sheet1!F37</f>
        <v>GBTC</v>
      </c>
      <c r="H39" s="3">
        <f t="shared" si="0"/>
        <v>-70.605047999997623</v>
      </c>
      <c r="I39" s="3">
        <f t="shared" si="1"/>
        <v>35.302524000006088</v>
      </c>
    </row>
    <row r="40" spans="1:9" x14ac:dyDescent="0.25">
      <c r="A40" s="5" t="s">
        <v>67</v>
      </c>
      <c r="B40" s="3">
        <v>63420.984366000004</v>
      </c>
      <c r="C40" s="3">
        <v>63438.635628000004</v>
      </c>
      <c r="D40" s="3">
        <v>35.93</v>
      </c>
      <c r="E40" s="3">
        <v>35.94</v>
      </c>
      <c r="F40" t="str">
        <f>Sheet1!E38</f>
        <v>FBTC</v>
      </c>
      <c r="G40" t="str">
        <f>Sheet1!F38</f>
        <v>GBTC</v>
      </c>
      <c r="H40" s="3">
        <f t="shared" si="0"/>
        <v>0</v>
      </c>
      <c r="I40" s="3">
        <f t="shared" si="1"/>
        <v>-35.302523999991536</v>
      </c>
    </row>
    <row r="41" spans="1:9" x14ac:dyDescent="0.25">
      <c r="A41" s="5" t="s">
        <v>68</v>
      </c>
      <c r="B41" s="3">
        <v>63403.333104000012</v>
      </c>
      <c r="C41" s="3">
        <v>63420.984366000004</v>
      </c>
      <c r="D41" s="3">
        <v>35.92</v>
      </c>
      <c r="E41" s="3">
        <v>35.93</v>
      </c>
      <c r="F41" t="str">
        <f>Sheet1!E39</f>
        <v>FBTC</v>
      </c>
      <c r="G41" t="str">
        <f>Sheet1!F39</f>
        <v>EZBC</v>
      </c>
      <c r="H41" s="3">
        <f t="shared" si="0"/>
        <v>0</v>
      </c>
      <c r="I41" s="3">
        <f t="shared" si="1"/>
        <v>-35.302524000006088</v>
      </c>
    </row>
    <row r="42" spans="1:9" x14ac:dyDescent="0.25">
      <c r="A42" s="5" t="s">
        <v>69</v>
      </c>
      <c r="B42" s="3">
        <v>63385.681841999998</v>
      </c>
      <c r="C42" s="3">
        <v>63403.333104000012</v>
      </c>
      <c r="D42" s="3">
        <v>35.909999999999997</v>
      </c>
      <c r="E42" s="3">
        <v>35.92</v>
      </c>
      <c r="F42" t="str">
        <f>Sheet1!E40</f>
        <v>HODL</v>
      </c>
      <c r="G42" t="str">
        <f>Sheet1!F40</f>
        <v>GBTC</v>
      </c>
      <c r="H42" s="3">
        <f t="shared" si="0"/>
        <v>-229.46640600000683</v>
      </c>
      <c r="I42" s="3">
        <f t="shared" si="1"/>
        <v>194.16388199999346</v>
      </c>
    </row>
    <row r="43" spans="1:9" x14ac:dyDescent="0.25">
      <c r="A43" s="5" t="s">
        <v>70</v>
      </c>
      <c r="B43" s="3">
        <v>63597.496986000006</v>
      </c>
      <c r="C43" s="3">
        <v>63615.148248000005</v>
      </c>
      <c r="D43" s="3">
        <v>36.03</v>
      </c>
      <c r="E43" s="3">
        <v>36.04</v>
      </c>
      <c r="F43" t="str">
        <f>Sheet1!E41</f>
        <v>FBTC</v>
      </c>
      <c r="G43" t="str">
        <f>Sheet1!F41</f>
        <v>GBTC</v>
      </c>
      <c r="H43" s="3">
        <f t="shared" si="0"/>
        <v>-105.90757200000371</v>
      </c>
      <c r="I43" s="3">
        <f t="shared" si="1"/>
        <v>70.605047999997623</v>
      </c>
    </row>
    <row r="44" spans="1:9" x14ac:dyDescent="0.25">
      <c r="A44" s="5" t="s">
        <v>71</v>
      </c>
      <c r="B44" s="3">
        <v>63685.753296000003</v>
      </c>
      <c r="C44" s="3">
        <v>63703.404558000009</v>
      </c>
      <c r="D44" s="3">
        <v>36.08</v>
      </c>
      <c r="E44" s="3">
        <v>36.090000000000003</v>
      </c>
      <c r="F44" t="str">
        <f>Sheet1!E42</f>
        <v>FBTC</v>
      </c>
      <c r="G44" t="str">
        <f>Sheet1!F42</f>
        <v>GBTC</v>
      </c>
      <c r="H44" s="3">
        <f t="shared" si="0"/>
        <v>52.953786000005493</v>
      </c>
      <c r="I44" s="3">
        <f t="shared" si="1"/>
        <v>-88.256310000004305</v>
      </c>
    </row>
    <row r="45" spans="1:9" x14ac:dyDescent="0.25">
      <c r="A45" s="5" t="s">
        <v>72</v>
      </c>
      <c r="B45" s="3">
        <v>63615.148248000005</v>
      </c>
      <c r="C45" s="3">
        <v>63632.799509999997</v>
      </c>
      <c r="D45" s="3">
        <v>36.04</v>
      </c>
      <c r="E45" s="3">
        <v>36.049999999999997</v>
      </c>
      <c r="F45" t="str">
        <f>Sheet1!E43</f>
        <v>IBIT</v>
      </c>
      <c r="G45" t="str">
        <f>Sheet1!F43</f>
        <v>GBTC</v>
      </c>
      <c r="H45" s="3">
        <f t="shared" si="0"/>
        <v>334.07262300000002</v>
      </c>
      <c r="I45" s="3">
        <f t="shared" si="1"/>
        <v>-369.37550999998348</v>
      </c>
    </row>
    <row r="46" spans="1:9" x14ac:dyDescent="0.25">
      <c r="A46" s="5" t="s">
        <v>73</v>
      </c>
      <c r="B46" s="3">
        <v>63263.424000000014</v>
      </c>
      <c r="C46" s="3">
        <v>63281.075625000005</v>
      </c>
      <c r="D46" s="3">
        <v>35.840000000000003</v>
      </c>
      <c r="E46" s="3">
        <v>35.85</v>
      </c>
      <c r="F46" t="str">
        <f>Sheet1!E44</f>
        <v>FBTC</v>
      </c>
      <c r="G46" t="str">
        <f>Sheet1!F44</f>
        <v>GBTC</v>
      </c>
      <c r="H46" s="3">
        <f t="shared" si="0"/>
        <v>70.60650000001624</v>
      </c>
      <c r="I46" s="3">
        <f t="shared" si="1"/>
        <v>-105.90974999999889</v>
      </c>
    </row>
    <row r="47" spans="1:9" x14ac:dyDescent="0.25">
      <c r="A47" s="5" t="s">
        <v>74</v>
      </c>
      <c r="B47" s="3">
        <v>63175.165875000006</v>
      </c>
      <c r="C47" s="3">
        <v>63192.817499999997</v>
      </c>
      <c r="D47" s="3">
        <v>35.79</v>
      </c>
      <c r="E47" s="3">
        <v>35.799999999999997</v>
      </c>
      <c r="F47" t="str">
        <f>Sheet1!E45</f>
        <v>FBTC</v>
      </c>
      <c r="G47" t="str">
        <f>Sheet1!F45</f>
        <v>EZBC</v>
      </c>
      <c r="H47" s="3">
        <f t="shared" si="0"/>
        <v>-158.86462500000198</v>
      </c>
      <c r="I47" s="3">
        <f t="shared" si="1"/>
        <v>123.56137500000477</v>
      </c>
    </row>
    <row r="48" spans="1:9" x14ac:dyDescent="0.25">
      <c r="A48" s="5" t="s">
        <v>75</v>
      </c>
      <c r="B48" s="3">
        <v>63316.378875000002</v>
      </c>
      <c r="C48" s="3">
        <v>63334.030500000008</v>
      </c>
      <c r="D48" s="3">
        <v>35.869999999999997</v>
      </c>
      <c r="E48" s="3">
        <v>35.880000000000003</v>
      </c>
      <c r="F48" t="str">
        <f>Sheet1!E46</f>
        <v>FBTC</v>
      </c>
      <c r="G48" t="str">
        <f>Sheet1!F46</f>
        <v>GBTC</v>
      </c>
      <c r="H48" s="3">
        <f t="shared" si="0"/>
        <v>-511.89712499999587</v>
      </c>
      <c r="I48" s="3">
        <f t="shared" si="1"/>
        <v>476.59387499999139</v>
      </c>
    </row>
    <row r="49" spans="1:9" x14ac:dyDescent="0.25">
      <c r="A49" s="5" t="s">
        <v>76</v>
      </c>
      <c r="B49" s="3">
        <v>63810.624374999999</v>
      </c>
      <c r="C49" s="3">
        <v>63828.275999999998</v>
      </c>
      <c r="D49" s="3">
        <v>36.15</v>
      </c>
      <c r="E49" s="3">
        <v>36.159999999999997</v>
      </c>
      <c r="F49" t="str">
        <f>Sheet1!E47</f>
        <v>IBIT</v>
      </c>
      <c r="G49" t="str">
        <f>Sheet1!F47</f>
        <v>FBTC</v>
      </c>
      <c r="H49" s="3">
        <f t="shared" si="0"/>
        <v>-88.258125000007567</v>
      </c>
      <c r="I49" s="3">
        <f t="shared" si="1"/>
        <v>52.954875000003085</v>
      </c>
    </row>
    <row r="50" spans="1:9" x14ac:dyDescent="0.25">
      <c r="A50" s="5" t="s">
        <v>77</v>
      </c>
      <c r="B50" s="3">
        <v>63881.230875000001</v>
      </c>
      <c r="C50" s="3">
        <v>63898.882500000007</v>
      </c>
      <c r="D50" s="3">
        <v>36.19</v>
      </c>
      <c r="E50" s="3">
        <v>36.200000000000003</v>
      </c>
      <c r="F50" t="str">
        <f>Sheet1!E48</f>
        <v>IBIT</v>
      </c>
      <c r="G50" t="str">
        <f>Sheet1!F48</f>
        <v>BITB</v>
      </c>
      <c r="H50" s="3">
        <f t="shared" si="0"/>
        <v>264.77437500000087</v>
      </c>
      <c r="I50" s="3">
        <f t="shared" si="1"/>
        <v>-300.07762499999808</v>
      </c>
    </row>
    <row r="51" spans="1:9" x14ac:dyDescent="0.25">
      <c r="A51" s="5" t="s">
        <v>78</v>
      </c>
      <c r="B51" s="3">
        <v>63598.804875000009</v>
      </c>
      <c r="C51" s="3">
        <v>63616.4565</v>
      </c>
      <c r="D51" s="3">
        <v>36.03</v>
      </c>
      <c r="E51" s="3">
        <v>36.04</v>
      </c>
      <c r="F51" t="str">
        <f>Sheet1!E49</f>
        <v>BITB</v>
      </c>
      <c r="G51" t="str">
        <f>Sheet1!F49</f>
        <v>GBTC</v>
      </c>
      <c r="H51" s="3">
        <f t="shared" si="0"/>
        <v>-300.07762499999808</v>
      </c>
      <c r="I51" s="3">
        <f t="shared" si="1"/>
        <v>264.77437500000087</v>
      </c>
    </row>
    <row r="52" spans="1:9" x14ac:dyDescent="0.25">
      <c r="A52" s="5" t="s">
        <v>79</v>
      </c>
      <c r="B52" s="3">
        <v>63881.230875000001</v>
      </c>
      <c r="C52" s="3">
        <v>63898.882500000007</v>
      </c>
      <c r="D52" s="3">
        <v>36.19</v>
      </c>
      <c r="E52" s="3">
        <v>36.200000000000003</v>
      </c>
      <c r="F52" t="str">
        <f>Sheet1!E50</f>
        <v>IBIT</v>
      </c>
      <c r="G52" t="str">
        <f>Sheet1!F50</f>
        <v>ARKB</v>
      </c>
      <c r="H52" s="3">
        <f t="shared" si="0"/>
        <v>0</v>
      </c>
      <c r="I52" s="3">
        <f t="shared" si="1"/>
        <v>-35.303250000004482</v>
      </c>
    </row>
    <row r="53" spans="1:9" x14ac:dyDescent="0.25">
      <c r="A53" s="5" t="s">
        <v>80</v>
      </c>
      <c r="B53" s="3">
        <v>63863.579250000003</v>
      </c>
      <c r="C53" s="3">
        <v>63881.230875000001</v>
      </c>
      <c r="D53" s="3">
        <v>36.18</v>
      </c>
      <c r="E53" s="3">
        <v>36.19</v>
      </c>
      <c r="F53" t="str">
        <f>Sheet1!E51</f>
        <v>IBIT</v>
      </c>
      <c r="G53" t="str">
        <f>Sheet1!F51</f>
        <v>ARKB</v>
      </c>
      <c r="H53" s="3">
        <f t="shared" si="0"/>
        <v>17.651624999991327</v>
      </c>
      <c r="I53" s="3">
        <f t="shared" si="1"/>
        <v>-52.954875000003085</v>
      </c>
    </row>
    <row r="54" spans="1:9" x14ac:dyDescent="0.25">
      <c r="A54" s="5" t="s">
        <v>81</v>
      </c>
      <c r="B54" s="3">
        <v>63828.275999999998</v>
      </c>
      <c r="C54" s="3">
        <v>63845.927625000011</v>
      </c>
      <c r="D54" s="3">
        <v>36.159999999999997</v>
      </c>
      <c r="E54" s="3">
        <v>36.17</v>
      </c>
      <c r="F54" t="str">
        <f>Sheet1!E52</f>
        <v>IBIT</v>
      </c>
      <c r="G54" t="str">
        <f>Sheet1!F52</f>
        <v>HODL</v>
      </c>
      <c r="H54" s="3">
        <f t="shared" si="0"/>
        <v>-141.21300000001065</v>
      </c>
      <c r="I54" s="3">
        <f t="shared" si="1"/>
        <v>105.90974999999162</v>
      </c>
    </row>
    <row r="55" spans="1:9" x14ac:dyDescent="0.25">
      <c r="A55" s="5" t="s">
        <v>82</v>
      </c>
      <c r="B55" s="3">
        <v>63951.837375000003</v>
      </c>
      <c r="C55" s="3">
        <v>63969.489000000009</v>
      </c>
      <c r="D55" s="3">
        <v>36.229999999999997</v>
      </c>
      <c r="E55" s="3">
        <v>36.24</v>
      </c>
      <c r="F55" t="str">
        <f>Sheet1!E53</f>
        <v>IBIT</v>
      </c>
      <c r="G55" t="str">
        <f>Sheet1!F53</f>
        <v>GBTC</v>
      </c>
      <c r="H55" s="3">
        <f t="shared" si="0"/>
        <v>70.606500000001688</v>
      </c>
      <c r="I55" s="3">
        <f t="shared" si="1"/>
        <v>-105.90975000000617</v>
      </c>
    </row>
    <row r="56" spans="1:9" x14ac:dyDescent="0.25">
      <c r="A56" s="5" t="s">
        <v>83</v>
      </c>
      <c r="B56" s="3">
        <v>63863.579250000003</v>
      </c>
      <c r="C56" s="3">
        <v>63881.230875000001</v>
      </c>
      <c r="D56" s="3">
        <v>36.18</v>
      </c>
      <c r="E56" s="3">
        <v>36.19</v>
      </c>
      <c r="F56" t="str">
        <f>Sheet1!E54</f>
        <v>IBIT</v>
      </c>
      <c r="G56" t="str">
        <f>Sheet1!F54</f>
        <v>ARKB</v>
      </c>
      <c r="H56" s="3">
        <f t="shared" si="0"/>
        <v>35.303250000004482</v>
      </c>
      <c r="I56" s="3">
        <f t="shared" si="1"/>
        <v>-70.606500000001688</v>
      </c>
    </row>
    <row r="57" spans="1:9" x14ac:dyDescent="0.25">
      <c r="A57" s="5" t="s">
        <v>84</v>
      </c>
      <c r="B57" s="3">
        <v>63810.624374999999</v>
      </c>
      <c r="C57" s="3">
        <v>63828.275999999998</v>
      </c>
      <c r="D57" s="3">
        <v>36.15</v>
      </c>
      <c r="E57" s="3">
        <v>36.159999999999997</v>
      </c>
      <c r="F57" t="str">
        <f>Sheet1!E55</f>
        <v>IBIT</v>
      </c>
      <c r="G57" t="str">
        <f>Sheet1!F55</f>
        <v>GBTC</v>
      </c>
      <c r="H57" s="3">
        <f t="shared" si="0"/>
        <v>-17.651624999998603</v>
      </c>
      <c r="I57" s="3">
        <f t="shared" si="1"/>
        <v>-17.651624999998603</v>
      </c>
    </row>
    <row r="58" spans="1:9" x14ac:dyDescent="0.25">
      <c r="A58" s="5" t="s">
        <v>85</v>
      </c>
      <c r="B58" s="3">
        <v>63810.624374999999</v>
      </c>
      <c r="C58" s="3">
        <v>63828.275999999998</v>
      </c>
      <c r="D58" s="3">
        <v>36.15</v>
      </c>
      <c r="E58" s="3">
        <v>36.159999999999997</v>
      </c>
      <c r="F58" t="str">
        <f>Sheet1!E56</f>
        <v>IBIT</v>
      </c>
      <c r="G58" t="str">
        <f>Sheet1!F56</f>
        <v>FBTC</v>
      </c>
      <c r="H58" s="3">
        <f t="shared" si="0"/>
        <v>-52.954875000003085</v>
      </c>
      <c r="I58" s="3">
        <f t="shared" si="1"/>
        <v>17.651625000013155</v>
      </c>
    </row>
    <row r="59" spans="1:9" x14ac:dyDescent="0.25">
      <c r="A59" s="5" t="s">
        <v>86</v>
      </c>
      <c r="B59" s="3">
        <v>63845.927625000011</v>
      </c>
      <c r="C59" s="3">
        <v>63863.579250000003</v>
      </c>
      <c r="D59" s="3">
        <v>36.17</v>
      </c>
      <c r="E59" s="3">
        <v>36.18</v>
      </c>
      <c r="F59" t="str">
        <f>Sheet1!E57</f>
        <v>IBIT</v>
      </c>
      <c r="G59" t="str">
        <f>Sheet1!F57</f>
        <v>GBTC</v>
      </c>
      <c r="H59" s="3">
        <f t="shared" si="0"/>
        <v>35.303250000011758</v>
      </c>
      <c r="I59" s="3">
        <f t="shared" si="1"/>
        <v>-70.606499999994412</v>
      </c>
    </row>
    <row r="60" spans="1:9" x14ac:dyDescent="0.25">
      <c r="A60" s="5" t="s">
        <v>87</v>
      </c>
      <c r="B60" s="3">
        <v>63792.972750000008</v>
      </c>
      <c r="C60" s="3">
        <v>63810.624374999999</v>
      </c>
      <c r="D60" s="3">
        <v>36.14</v>
      </c>
      <c r="E60" s="3">
        <v>36.15</v>
      </c>
      <c r="F60" t="str">
        <f>Sheet1!E58</f>
        <v>BRRR</v>
      </c>
      <c r="G60" t="str">
        <f>Sheet1!F58</f>
        <v>ARKB</v>
      </c>
      <c r="H60" s="3">
        <f t="shared" si="0"/>
        <v>35.303250000004482</v>
      </c>
      <c r="I60" s="3">
        <f t="shared" si="1"/>
        <v>-70.606499999994412</v>
      </c>
    </row>
    <row r="61" spans="1:9" x14ac:dyDescent="0.25">
      <c r="A61" s="5" t="s">
        <v>88</v>
      </c>
      <c r="B61" s="3">
        <v>63740.017875000005</v>
      </c>
      <c r="C61" s="3">
        <v>63757.669500000004</v>
      </c>
      <c r="D61" s="3">
        <v>36.11</v>
      </c>
      <c r="E61" s="3">
        <v>36.119999999999997</v>
      </c>
      <c r="F61" t="str">
        <f>Sheet1!E59</f>
        <v>IBIT</v>
      </c>
      <c r="G61" t="str">
        <f>Sheet1!F59</f>
        <v>ARKB</v>
      </c>
      <c r="H61" s="3">
        <f t="shared" si="0"/>
        <v>-123.5613749999975</v>
      </c>
      <c r="I61" s="3">
        <f t="shared" si="1"/>
        <v>88.258125000007567</v>
      </c>
    </row>
    <row r="62" spans="1:9" x14ac:dyDescent="0.25">
      <c r="A62" s="5" t="s">
        <v>89</v>
      </c>
      <c r="B62" s="3">
        <v>63845.927625000011</v>
      </c>
      <c r="C62" s="3">
        <v>63863.579250000003</v>
      </c>
      <c r="D62" s="3">
        <v>36.17</v>
      </c>
      <c r="E62" s="3">
        <v>36.18</v>
      </c>
      <c r="F62" t="str">
        <f>Sheet1!E60</f>
        <v>IBIT</v>
      </c>
      <c r="G62" t="str">
        <f>Sheet1!F60</f>
        <v>GBTC</v>
      </c>
      <c r="H62" s="3">
        <f t="shared" si="0"/>
        <v>176.51625000000786</v>
      </c>
      <c r="I62" s="3">
        <f t="shared" si="1"/>
        <v>-211.81949999999051</v>
      </c>
    </row>
    <row r="63" spans="1:9" x14ac:dyDescent="0.25">
      <c r="A63" s="5" t="s">
        <v>90</v>
      </c>
      <c r="B63" s="3">
        <v>63651.759750000012</v>
      </c>
      <c r="C63" s="3">
        <v>63669.411375000003</v>
      </c>
      <c r="D63" s="3">
        <v>36.06</v>
      </c>
      <c r="E63" s="3">
        <v>36.07</v>
      </c>
      <c r="F63" t="str">
        <f>Sheet1!E61</f>
        <v>BRRR</v>
      </c>
      <c r="G63" t="str">
        <f>Sheet1!F61</f>
        <v>ARKB</v>
      </c>
      <c r="H63" s="3">
        <f t="shared" si="0"/>
        <v>-35.30324999998993</v>
      </c>
      <c r="I63" s="3">
        <f t="shared" si="1"/>
        <v>0</v>
      </c>
    </row>
    <row r="64" spans="1:9" x14ac:dyDescent="0.25">
      <c r="A64" s="5" t="s">
        <v>91</v>
      </c>
      <c r="B64" s="3">
        <v>63669.411375000003</v>
      </c>
      <c r="C64" s="3">
        <v>63687.063000000002</v>
      </c>
      <c r="D64" s="3">
        <v>36.07</v>
      </c>
      <c r="E64" s="3">
        <v>36.08</v>
      </c>
      <c r="F64" t="str">
        <f>Sheet1!E62</f>
        <v>BTC</v>
      </c>
      <c r="G64" t="str">
        <f>Sheet1!F62</f>
        <v>ARKB</v>
      </c>
      <c r="H64" s="3">
        <f t="shared" si="0"/>
        <v>-35.303250000004482</v>
      </c>
      <c r="I64" s="3">
        <f t="shared" si="1"/>
        <v>0</v>
      </c>
    </row>
    <row r="65" spans="1:9" x14ac:dyDescent="0.25">
      <c r="A65" s="5" t="s">
        <v>92</v>
      </c>
      <c r="B65" s="3">
        <v>63687.063000000002</v>
      </c>
      <c r="C65" s="3">
        <v>63704.714625000008</v>
      </c>
      <c r="D65" s="3">
        <v>36.08</v>
      </c>
      <c r="E65" s="3">
        <v>36.090000000000003</v>
      </c>
      <c r="F65" t="str">
        <f>Sheet1!E63</f>
        <v>BTC</v>
      </c>
      <c r="G65" t="str">
        <f>Sheet1!F63</f>
        <v>FBTC</v>
      </c>
      <c r="H65" s="3">
        <f t="shared" si="0"/>
        <v>35.30324999998993</v>
      </c>
      <c r="I65" s="3">
        <f t="shared" si="1"/>
        <v>-70.606500000008964</v>
      </c>
    </row>
    <row r="66" spans="1:9" x14ac:dyDescent="0.25">
      <c r="A66" s="5" t="s">
        <v>93</v>
      </c>
      <c r="B66" s="3">
        <v>63634.108124999999</v>
      </c>
      <c r="C66" s="3">
        <v>63651.759750000012</v>
      </c>
      <c r="D66" s="3">
        <v>36.049999999999997</v>
      </c>
      <c r="E66" s="3">
        <v>36.06</v>
      </c>
      <c r="F66" t="str">
        <f>Sheet1!E64</f>
        <v>FBTC</v>
      </c>
      <c r="G66" t="str">
        <f>Sheet1!F64</f>
        <v>EZBC</v>
      </c>
      <c r="H66" s="3"/>
      <c r="I66" s="3"/>
    </row>
    <row r="67" spans="1:9" x14ac:dyDescent="0.25">
      <c r="A67" s="5" t="s">
        <v>94</v>
      </c>
      <c r="B67" s="3">
        <v>67171.127276000014</v>
      </c>
      <c r="C67" s="3">
        <v>67188.776022000005</v>
      </c>
      <c r="D67" s="3">
        <v>38.06</v>
      </c>
      <c r="E67" s="3">
        <v>38.07</v>
      </c>
      <c r="F67" t="str">
        <f>Sheet1!E65</f>
        <v>BTC</v>
      </c>
      <c r="G67" t="str">
        <f>Sheet1!F65</f>
        <v>HODL</v>
      </c>
      <c r="H67" s="3">
        <f t="shared" ref="H67:H68" si="3">D67-E68</f>
        <v>5.0000000000004263E-2</v>
      </c>
      <c r="I67" s="3">
        <f t="shared" ref="I67:I68" si="4">D68-E67</f>
        <v>-7.0000000000000284E-2</v>
      </c>
    </row>
    <row r="68" spans="1:9" x14ac:dyDescent="0.25">
      <c r="A68" s="5" t="s">
        <v>95</v>
      </c>
      <c r="B68" s="3">
        <v>67076.6348</v>
      </c>
      <c r="C68" s="3">
        <v>67094.286546000003</v>
      </c>
      <c r="D68" s="3">
        <v>38</v>
      </c>
      <c r="E68" s="3">
        <v>38.01</v>
      </c>
      <c r="F68" t="str">
        <f>Sheet1!E66</f>
        <v>ARKB</v>
      </c>
      <c r="G68" t="str">
        <f>Sheet1!F66</f>
        <v>BITB</v>
      </c>
      <c r="H68" s="3">
        <f t="shared" si="3"/>
        <v>0.11999999999999744</v>
      </c>
      <c r="I68" s="3">
        <f t="shared" si="4"/>
        <v>-0.14000000000000057</v>
      </c>
    </row>
    <row r="69" spans="1:9" x14ac:dyDescent="0.25">
      <c r="A69" s="5" t="s">
        <v>96</v>
      </c>
      <c r="B69" s="3">
        <v>66847.162102000002</v>
      </c>
      <c r="C69" s="3">
        <v>66864.813848000005</v>
      </c>
      <c r="D69" s="3">
        <v>37.869999999999997</v>
      </c>
      <c r="E69" s="3">
        <v>37.880000000000003</v>
      </c>
      <c r="F69" t="str">
        <f>Sheet1!E67</f>
        <v>BTC</v>
      </c>
      <c r="G69" t="str">
        <f>Sheet1!F67</f>
        <v>GBTC</v>
      </c>
      <c r="H69" s="3">
        <f t="shared" ref="H69:H132" si="5">D69-E70</f>
        <v>9.9999999999980105E-3</v>
      </c>
      <c r="I69" s="3">
        <f t="shared" ref="I69:I132" si="6">D70-E69</f>
        <v>-3.0000000000001137E-2</v>
      </c>
    </row>
    <row r="70" spans="1:9" x14ac:dyDescent="0.25">
      <c r="A70" s="5" t="s">
        <v>97</v>
      </c>
      <c r="B70" s="3">
        <v>66811.85861000001</v>
      </c>
      <c r="C70" s="3">
        <v>66829.510355999999</v>
      </c>
      <c r="D70" s="3">
        <v>37.85</v>
      </c>
      <c r="E70" s="3">
        <v>37.86</v>
      </c>
      <c r="F70" t="str">
        <f>Sheet1!E68</f>
        <v>FBTC</v>
      </c>
      <c r="G70" t="str">
        <f>Sheet1!F68</f>
        <v>GBTC</v>
      </c>
      <c r="H70" s="3">
        <f t="shared" si="5"/>
        <v>3.0000000000001137E-2</v>
      </c>
      <c r="I70" s="3">
        <f t="shared" si="6"/>
        <v>-4.9999999999997158E-2</v>
      </c>
    </row>
    <row r="71" spans="1:9" x14ac:dyDescent="0.25">
      <c r="A71" s="5" t="s">
        <v>98</v>
      </c>
      <c r="B71" s="3">
        <v>66741.251626000012</v>
      </c>
      <c r="C71" s="3">
        <v>66758.903372000001</v>
      </c>
      <c r="D71" s="3">
        <v>37.81</v>
      </c>
      <c r="E71" s="3">
        <v>37.82</v>
      </c>
      <c r="F71" t="str">
        <f>Sheet1!E69</f>
        <v>BRRR</v>
      </c>
      <c r="G71" t="str">
        <f>Sheet1!F69</f>
        <v>GBTC</v>
      </c>
      <c r="H71" s="3">
        <f t="shared" si="5"/>
        <v>-8.9999999999996305E-2</v>
      </c>
      <c r="I71" s="3">
        <f t="shared" si="6"/>
        <v>7.0000000000000284E-2</v>
      </c>
    </row>
    <row r="72" spans="1:9" x14ac:dyDescent="0.25">
      <c r="A72" s="5" t="s">
        <v>99</v>
      </c>
      <c r="B72" s="3">
        <v>66882.465594000008</v>
      </c>
      <c r="C72" s="3">
        <v>66900.117339999997</v>
      </c>
      <c r="D72" s="3">
        <v>37.89</v>
      </c>
      <c r="E72" s="3">
        <v>37.9</v>
      </c>
      <c r="F72" t="str">
        <f>Sheet1!E70</f>
        <v>BRRR</v>
      </c>
      <c r="G72" t="str">
        <f>Sheet1!F70</f>
        <v>GBTC</v>
      </c>
      <c r="H72" s="3">
        <f t="shared" si="5"/>
        <v>6.0000000000002274E-2</v>
      </c>
      <c r="I72" s="3">
        <f t="shared" si="6"/>
        <v>-7.9999999999998295E-2</v>
      </c>
    </row>
    <row r="73" spans="1:9" x14ac:dyDescent="0.25">
      <c r="A73" s="5" t="s">
        <v>100</v>
      </c>
      <c r="B73" s="3">
        <v>66758.903372000001</v>
      </c>
      <c r="C73" s="3">
        <v>66776.555118000004</v>
      </c>
      <c r="D73" s="3">
        <v>37.82</v>
      </c>
      <c r="E73" s="3">
        <v>37.83</v>
      </c>
      <c r="F73" t="str">
        <f>Sheet1!E71</f>
        <v>IBIT</v>
      </c>
      <c r="G73" t="str">
        <f>Sheet1!F71</f>
        <v>GBTC</v>
      </c>
      <c r="H73" s="3">
        <f t="shared" si="5"/>
        <v>-3.0000000000001137E-2</v>
      </c>
      <c r="I73" s="3">
        <f t="shared" si="6"/>
        <v>1.0000000000005116E-2</v>
      </c>
    </row>
    <row r="74" spans="1:9" x14ac:dyDescent="0.25">
      <c r="A74" s="5" t="s">
        <v>101</v>
      </c>
      <c r="B74" s="3">
        <v>66794.206864000007</v>
      </c>
      <c r="C74" s="3">
        <v>66811.85861000001</v>
      </c>
      <c r="D74" s="3">
        <v>37.840000000000003</v>
      </c>
      <c r="E74" s="3">
        <v>37.85</v>
      </c>
      <c r="F74" t="str">
        <f>Sheet1!E72</f>
        <v>IBIT</v>
      </c>
      <c r="G74" t="str">
        <f>Sheet1!F72</f>
        <v>GBTC</v>
      </c>
      <c r="H74" s="3">
        <f t="shared" si="5"/>
        <v>-9.9999999999980105E-3</v>
      </c>
      <c r="I74" s="3">
        <f t="shared" si="6"/>
        <v>-9.9999999999980105E-3</v>
      </c>
    </row>
    <row r="75" spans="1:9" x14ac:dyDescent="0.25">
      <c r="A75" s="5" t="s">
        <v>102</v>
      </c>
      <c r="B75" s="3">
        <v>66794.206864000007</v>
      </c>
      <c r="C75" s="3">
        <v>66811.85861000001</v>
      </c>
      <c r="D75" s="3">
        <v>37.840000000000003</v>
      </c>
      <c r="E75" s="3">
        <v>37.85</v>
      </c>
      <c r="F75" t="str">
        <f>Sheet1!E73</f>
        <v>IBIT</v>
      </c>
      <c r="G75" t="str">
        <f>Sheet1!F73</f>
        <v>GBTC</v>
      </c>
      <c r="H75" s="3">
        <f t="shared" si="5"/>
        <v>-4.9999999999997158E-2</v>
      </c>
      <c r="I75" s="3">
        <f t="shared" si="6"/>
        <v>3.0000000000001137E-2</v>
      </c>
    </row>
    <row r="76" spans="1:9" x14ac:dyDescent="0.25">
      <c r="A76" s="5" t="s">
        <v>103</v>
      </c>
      <c r="B76" s="3">
        <v>66864.813848000005</v>
      </c>
      <c r="C76" s="3">
        <v>66882.465594000008</v>
      </c>
      <c r="D76" s="3">
        <v>37.880000000000003</v>
      </c>
      <c r="E76" s="3">
        <v>37.89</v>
      </c>
      <c r="F76" t="str">
        <f>Sheet1!E74</f>
        <v>BRRR</v>
      </c>
      <c r="G76" t="str">
        <f>Sheet1!F74</f>
        <v>GBTC</v>
      </c>
      <c r="H76" s="3">
        <f t="shared" si="5"/>
        <v>3.0000000000001137E-2</v>
      </c>
      <c r="I76" s="3">
        <f t="shared" si="6"/>
        <v>-4.9999999999997158E-2</v>
      </c>
    </row>
    <row r="77" spans="1:9" x14ac:dyDescent="0.25">
      <c r="A77" s="5" t="s">
        <v>104</v>
      </c>
      <c r="B77" s="3">
        <v>66794.206864000007</v>
      </c>
      <c r="C77" s="3">
        <v>66811.85861000001</v>
      </c>
      <c r="D77" s="3">
        <v>37.840000000000003</v>
      </c>
      <c r="E77" s="3">
        <v>37.85</v>
      </c>
      <c r="F77" t="str">
        <f>Sheet1!E75</f>
        <v>IBIT</v>
      </c>
      <c r="G77" t="str">
        <f>Sheet1!F75</f>
        <v>GBTC</v>
      </c>
      <c r="H77" s="3">
        <f t="shared" si="5"/>
        <v>0.18000000000000682</v>
      </c>
      <c r="I77" s="3">
        <f t="shared" si="6"/>
        <v>-0.20000000000000284</v>
      </c>
    </row>
    <row r="78" spans="1:9" x14ac:dyDescent="0.25">
      <c r="A78" s="5" t="s">
        <v>105</v>
      </c>
      <c r="B78" s="3">
        <v>66458.823690000005</v>
      </c>
      <c r="C78" s="3">
        <v>66476.475435999993</v>
      </c>
      <c r="D78" s="3">
        <v>37.65</v>
      </c>
      <c r="E78" s="3">
        <v>37.659999999999997</v>
      </c>
      <c r="F78" t="str">
        <f>Sheet1!E76</f>
        <v>BTC</v>
      </c>
      <c r="G78" t="str">
        <f>Sheet1!F76</f>
        <v>GBTC</v>
      </c>
      <c r="H78" s="3">
        <f t="shared" si="5"/>
        <v>-0.10999999999999943</v>
      </c>
      <c r="I78" s="3">
        <f t="shared" si="6"/>
        <v>9.0000000000003411E-2</v>
      </c>
    </row>
    <row r="79" spans="1:9" x14ac:dyDescent="0.25">
      <c r="A79" s="5" t="s">
        <v>106</v>
      </c>
      <c r="B79" s="3">
        <v>66635.341150000007</v>
      </c>
      <c r="C79" s="3">
        <v>66652.992895999996</v>
      </c>
      <c r="D79" s="3">
        <v>37.75</v>
      </c>
      <c r="E79" s="3">
        <v>37.76</v>
      </c>
      <c r="F79" t="str">
        <f>Sheet1!E77</f>
        <v>BRRR</v>
      </c>
      <c r="G79" t="str">
        <f>Sheet1!F77</f>
        <v>GBTC</v>
      </c>
      <c r="H79" s="3">
        <f t="shared" si="5"/>
        <v>3.0000000000001137E-2</v>
      </c>
      <c r="I79" s="3">
        <f t="shared" si="6"/>
        <v>-4.9999999999997158E-2</v>
      </c>
    </row>
    <row r="80" spans="1:9" x14ac:dyDescent="0.25">
      <c r="A80" s="5" t="s">
        <v>107</v>
      </c>
      <c r="B80" s="3">
        <v>66564.734166000009</v>
      </c>
      <c r="C80" s="3">
        <v>66582.385911999998</v>
      </c>
      <c r="D80" s="3">
        <v>37.71</v>
      </c>
      <c r="E80" s="3">
        <v>37.72</v>
      </c>
      <c r="F80" t="str">
        <f>Sheet1!E78</f>
        <v>BRRR</v>
      </c>
      <c r="G80" t="str">
        <f>Sheet1!F78</f>
        <v>GBTC</v>
      </c>
      <c r="H80" s="3"/>
      <c r="I80" s="3"/>
    </row>
    <row r="81" spans="1:9" x14ac:dyDescent="0.25">
      <c r="A81" s="5" t="s">
        <v>108</v>
      </c>
      <c r="B81" s="3">
        <v>66141.545648999992</v>
      </c>
      <c r="C81" s="3">
        <v>66159.197516</v>
      </c>
      <c r="D81" s="3">
        <v>37.47</v>
      </c>
      <c r="E81" s="3">
        <v>37.479999999999997</v>
      </c>
      <c r="F81" t="str">
        <f>Sheet1!E79</f>
        <v>IBIT</v>
      </c>
      <c r="G81" t="str">
        <f>Sheet1!F79</f>
        <v>GBTC</v>
      </c>
      <c r="H81" s="3">
        <f t="shared" si="5"/>
        <v>-2.0000000000003126E-2</v>
      </c>
      <c r="I81" s="3">
        <f t="shared" si="6"/>
        <v>0</v>
      </c>
    </row>
    <row r="82" spans="1:9" x14ac:dyDescent="0.25">
      <c r="A82" s="5" t="s">
        <v>109</v>
      </c>
      <c r="B82" s="3">
        <v>66159.197516</v>
      </c>
      <c r="C82" s="3">
        <v>66176.849383000008</v>
      </c>
      <c r="D82" s="3">
        <v>37.479999999999997</v>
      </c>
      <c r="E82" s="3">
        <v>37.49</v>
      </c>
      <c r="F82" t="str">
        <f>Sheet1!E80</f>
        <v>FBTC</v>
      </c>
      <c r="G82" t="str">
        <f>Sheet1!F80</f>
        <v>GBTC</v>
      </c>
      <c r="H82" s="3">
        <f t="shared" si="5"/>
        <v>0.28999999999999915</v>
      </c>
      <c r="I82" s="3">
        <f t="shared" si="6"/>
        <v>-0.31000000000000227</v>
      </c>
    </row>
    <row r="83" spans="1:9" x14ac:dyDescent="0.25">
      <c r="A83" s="5" t="s">
        <v>110</v>
      </c>
      <c r="B83" s="3">
        <v>65629.641506</v>
      </c>
      <c r="C83" s="3">
        <v>65647.293372999993</v>
      </c>
      <c r="D83" s="3">
        <v>37.18</v>
      </c>
      <c r="E83" s="3">
        <v>37.19</v>
      </c>
      <c r="F83" t="str">
        <f>Sheet1!E81</f>
        <v>BRRR</v>
      </c>
      <c r="G83" t="str">
        <f>Sheet1!F81</f>
        <v>GBTC</v>
      </c>
      <c r="H83" s="3">
        <f t="shared" si="5"/>
        <v>-7.0000000000000284E-2</v>
      </c>
      <c r="I83" s="3">
        <f t="shared" si="6"/>
        <v>5.0000000000004263E-2</v>
      </c>
    </row>
    <row r="84" spans="1:9" x14ac:dyDescent="0.25">
      <c r="A84" s="5" t="s">
        <v>111</v>
      </c>
      <c r="B84" s="3">
        <v>65735.552708000003</v>
      </c>
      <c r="C84" s="3">
        <v>65753.204574999996</v>
      </c>
      <c r="D84" s="3">
        <v>37.24</v>
      </c>
      <c r="E84" s="3">
        <v>37.25</v>
      </c>
      <c r="F84" t="str">
        <f>Sheet1!E82</f>
        <v>BTC</v>
      </c>
      <c r="G84" t="str">
        <f>Sheet1!F82</f>
        <v>GBTC</v>
      </c>
      <c r="H84" s="3">
        <f t="shared" si="5"/>
        <v>2.0000000000003126E-2</v>
      </c>
      <c r="I84" s="3">
        <f t="shared" si="6"/>
        <v>-3.9999999999999147E-2</v>
      </c>
    </row>
    <row r="85" spans="1:9" x14ac:dyDescent="0.25">
      <c r="A85" s="5" t="s">
        <v>112</v>
      </c>
      <c r="B85" s="3">
        <v>65682.597106999994</v>
      </c>
      <c r="C85" s="3">
        <v>65700.248974000002</v>
      </c>
      <c r="D85" s="3">
        <v>37.21</v>
      </c>
      <c r="E85" s="3">
        <v>37.22</v>
      </c>
      <c r="F85" t="str">
        <f>Sheet1!E83</f>
        <v>BTC</v>
      </c>
      <c r="G85" t="str">
        <f>Sheet1!F83</f>
        <v>GBTC</v>
      </c>
      <c r="H85" s="3">
        <f t="shared" si="5"/>
        <v>-0.14000000000000057</v>
      </c>
      <c r="I85" s="3">
        <f t="shared" si="6"/>
        <v>0.12000000000000455</v>
      </c>
    </row>
    <row r="86" spans="1:9" x14ac:dyDescent="0.25">
      <c r="A86" s="5" t="s">
        <v>113</v>
      </c>
      <c r="B86" s="3">
        <v>65912.071378000008</v>
      </c>
      <c r="C86" s="3">
        <v>65929.723245000001</v>
      </c>
      <c r="D86" s="3">
        <v>37.340000000000003</v>
      </c>
      <c r="E86" s="3">
        <v>37.35</v>
      </c>
      <c r="F86" t="str">
        <f>Sheet1!E84</f>
        <v>IBIT</v>
      </c>
      <c r="G86" t="str">
        <f>Sheet1!F84</f>
        <v>GBTC</v>
      </c>
      <c r="H86" s="3">
        <f t="shared" si="5"/>
        <v>8.00000000000054E-2</v>
      </c>
      <c r="I86" s="3">
        <f t="shared" si="6"/>
        <v>-0.10000000000000142</v>
      </c>
    </row>
    <row r="87" spans="1:9" x14ac:dyDescent="0.25">
      <c r="A87" s="5" t="s">
        <v>114</v>
      </c>
      <c r="B87" s="3">
        <v>65753.204574999996</v>
      </c>
      <c r="C87" s="3">
        <v>65770.856441999989</v>
      </c>
      <c r="D87" s="3">
        <v>37.25</v>
      </c>
      <c r="E87" s="3">
        <v>37.26</v>
      </c>
      <c r="F87" t="str">
        <f>Sheet1!E85</f>
        <v>FBTC</v>
      </c>
      <c r="G87" t="str">
        <f>Sheet1!F85</f>
        <v>GBTC</v>
      </c>
      <c r="H87" s="3">
        <f t="shared" si="5"/>
        <v>-7.9999999999998295E-2</v>
      </c>
      <c r="I87" s="3">
        <f t="shared" si="6"/>
        <v>6.0000000000002274E-2</v>
      </c>
    </row>
    <row r="88" spans="1:9" x14ac:dyDescent="0.25">
      <c r="A88" s="5" t="s">
        <v>115</v>
      </c>
      <c r="B88" s="3">
        <v>65876.767643999992</v>
      </c>
      <c r="C88" s="3">
        <v>65894.419511</v>
      </c>
      <c r="D88" s="3">
        <v>37.32</v>
      </c>
      <c r="E88" s="3">
        <v>37.33</v>
      </c>
      <c r="F88" t="str">
        <f>Sheet1!E86</f>
        <v>IBIT</v>
      </c>
      <c r="G88" t="str">
        <f>Sheet1!F86</f>
        <v>GBTC</v>
      </c>
      <c r="H88" s="3">
        <f t="shared" si="5"/>
        <v>0.10000000000000142</v>
      </c>
      <c r="I88" s="3">
        <f t="shared" si="6"/>
        <v>-0.11999999999999744</v>
      </c>
    </row>
    <row r="89" spans="1:9" x14ac:dyDescent="0.25">
      <c r="A89" s="5" t="s">
        <v>116</v>
      </c>
      <c r="B89" s="3">
        <v>65682.597106999994</v>
      </c>
      <c r="C89" s="3">
        <v>65700.248974000002</v>
      </c>
      <c r="D89" s="3">
        <v>37.21</v>
      </c>
      <c r="E89" s="3">
        <v>37.22</v>
      </c>
      <c r="F89" t="str">
        <f>Sheet1!E87</f>
        <v>BTC</v>
      </c>
      <c r="G89" t="str">
        <f>Sheet1!F87</f>
        <v>GBTC</v>
      </c>
      <c r="H89" s="3">
        <f t="shared" si="5"/>
        <v>-9.9999999999980105E-3</v>
      </c>
      <c r="I89" s="3">
        <f t="shared" si="6"/>
        <v>-9.9999999999980105E-3</v>
      </c>
    </row>
    <row r="90" spans="1:9" x14ac:dyDescent="0.25">
      <c r="A90" s="5" t="s">
        <v>117</v>
      </c>
      <c r="B90" s="3">
        <v>65682.597106999994</v>
      </c>
      <c r="C90" s="3">
        <v>65700.248974000002</v>
      </c>
      <c r="D90" s="3">
        <v>37.21</v>
      </c>
      <c r="E90" s="3">
        <v>37.22</v>
      </c>
      <c r="F90" t="str">
        <f>Sheet1!E88</f>
        <v>BTC</v>
      </c>
      <c r="G90" t="str">
        <f>Sheet1!F88</f>
        <v>GBTC</v>
      </c>
      <c r="H90" s="3">
        <f t="shared" si="5"/>
        <v>-4.9999999999997158E-2</v>
      </c>
      <c r="I90" s="3">
        <f t="shared" si="6"/>
        <v>3.0000000000001137E-2</v>
      </c>
    </row>
    <row r="91" spans="1:9" x14ac:dyDescent="0.25">
      <c r="A91" s="5" t="s">
        <v>118</v>
      </c>
      <c r="B91" s="3">
        <v>65753.204574999996</v>
      </c>
      <c r="C91" s="3">
        <v>65770.856441999989</v>
      </c>
      <c r="D91" s="3">
        <v>37.25</v>
      </c>
      <c r="E91" s="3">
        <v>37.26</v>
      </c>
      <c r="F91" t="str">
        <f>Sheet1!E89</f>
        <v>FBTC</v>
      </c>
      <c r="G91" t="str">
        <f>Sheet1!F89</f>
        <v>GBTC</v>
      </c>
      <c r="H91" s="3">
        <f t="shared" si="5"/>
        <v>9.9999999999980105E-3</v>
      </c>
      <c r="I91" s="3">
        <f t="shared" si="6"/>
        <v>-3.0000000000001137E-2</v>
      </c>
    </row>
    <row r="92" spans="1:9" x14ac:dyDescent="0.25">
      <c r="A92" s="5" t="s">
        <v>119</v>
      </c>
      <c r="B92" s="3">
        <v>65717.900840999995</v>
      </c>
      <c r="C92" s="3">
        <v>65735.552708000003</v>
      </c>
      <c r="D92" s="3">
        <v>37.229999999999997</v>
      </c>
      <c r="E92" s="3">
        <v>37.24</v>
      </c>
      <c r="F92" t="str">
        <f>Sheet1!E90</f>
        <v>IBIT</v>
      </c>
      <c r="G92" t="str">
        <f>Sheet1!F90</f>
        <v>GBTC</v>
      </c>
      <c r="H92" s="3">
        <f t="shared" si="5"/>
        <v>-2.0000000000003126E-2</v>
      </c>
      <c r="I92" s="3">
        <f t="shared" si="6"/>
        <v>0</v>
      </c>
    </row>
    <row r="93" spans="1:9" x14ac:dyDescent="0.25">
      <c r="A93" s="5" t="s">
        <v>120</v>
      </c>
      <c r="B93" s="3">
        <v>65735.552708000003</v>
      </c>
      <c r="C93" s="3">
        <v>65753.204574999996</v>
      </c>
      <c r="D93" s="3">
        <v>37.24</v>
      </c>
      <c r="E93" s="3">
        <v>37.25</v>
      </c>
      <c r="F93" t="str">
        <f>Sheet1!E91</f>
        <v>BTCW</v>
      </c>
      <c r="G93" t="str">
        <f>Sheet1!F91</f>
        <v>GBTC</v>
      </c>
      <c r="H93" s="3">
        <f t="shared" si="5"/>
        <v>1.0000000000005116E-2</v>
      </c>
      <c r="I93" s="3">
        <f t="shared" si="6"/>
        <v>-3.0000000000001137E-2</v>
      </c>
    </row>
    <row r="94" spans="1:9" x14ac:dyDescent="0.25">
      <c r="A94" s="5" t="s">
        <v>121</v>
      </c>
      <c r="B94" s="3">
        <v>65700.248974000002</v>
      </c>
      <c r="C94" s="3">
        <v>65717.900840999995</v>
      </c>
      <c r="D94" s="3">
        <v>37.22</v>
      </c>
      <c r="E94" s="3">
        <v>37.229999999999997</v>
      </c>
      <c r="F94" t="str">
        <f>Sheet1!E92</f>
        <v>BTC</v>
      </c>
      <c r="G94" t="str">
        <f>Sheet1!F92</f>
        <v>GBTC</v>
      </c>
      <c r="H94" s="3">
        <f t="shared" si="5"/>
        <v>9.9999999999980105E-3</v>
      </c>
      <c r="I94" s="3">
        <f t="shared" si="6"/>
        <v>-2.9999999999994031E-2</v>
      </c>
    </row>
    <row r="95" spans="1:9" x14ac:dyDescent="0.25">
      <c r="A95" s="5" t="s">
        <v>122</v>
      </c>
      <c r="B95" s="3">
        <v>65664.945240000001</v>
      </c>
      <c r="C95" s="3">
        <v>65682.597106999994</v>
      </c>
      <c r="D95" s="3">
        <v>37.200000000000003</v>
      </c>
      <c r="E95" s="3">
        <v>37.21</v>
      </c>
      <c r="F95" t="str">
        <f>Sheet1!E93</f>
        <v>FBTC</v>
      </c>
      <c r="G95" t="str">
        <f>Sheet1!F93</f>
        <v>GBTC</v>
      </c>
      <c r="H95" s="3">
        <f t="shared" si="5"/>
        <v>-0.15999999999999659</v>
      </c>
      <c r="I95" s="3">
        <f t="shared" si="6"/>
        <v>0.14000000000000057</v>
      </c>
    </row>
    <row r="96" spans="1:9" x14ac:dyDescent="0.25">
      <c r="A96" s="5" t="s">
        <v>123</v>
      </c>
      <c r="B96" s="3">
        <v>65929.723245000001</v>
      </c>
      <c r="C96" s="3">
        <v>65947.375111999994</v>
      </c>
      <c r="D96" s="3">
        <v>37.35</v>
      </c>
      <c r="E96" s="3">
        <v>37.36</v>
      </c>
      <c r="F96" t="str">
        <f>Sheet1!E94</f>
        <v>IBIT</v>
      </c>
      <c r="G96" t="str">
        <f>Sheet1!F94</f>
        <v>GBTC</v>
      </c>
      <c r="H96" s="3">
        <f t="shared" si="5"/>
        <v>-7.0000000000000284E-2</v>
      </c>
      <c r="I96" s="3">
        <f t="shared" si="6"/>
        <v>4.9999999999997158E-2</v>
      </c>
    </row>
    <row r="97" spans="1:9" x14ac:dyDescent="0.25">
      <c r="A97" s="5" t="s">
        <v>124</v>
      </c>
      <c r="B97" s="3">
        <v>66035.634446999989</v>
      </c>
      <c r="C97" s="3">
        <v>66053.286313999997</v>
      </c>
      <c r="D97" s="3">
        <v>37.409999999999997</v>
      </c>
      <c r="E97" s="3">
        <v>37.42</v>
      </c>
      <c r="F97" t="str">
        <f>Sheet1!E95</f>
        <v>IBIT</v>
      </c>
      <c r="G97" t="str">
        <f>Sheet1!F95</f>
        <v>GBTC</v>
      </c>
      <c r="H97" s="3">
        <f t="shared" si="5"/>
        <v>4.9999999999997158E-2</v>
      </c>
      <c r="I97" s="3">
        <f t="shared" si="6"/>
        <v>-7.0000000000000284E-2</v>
      </c>
    </row>
    <row r="98" spans="1:9" x14ac:dyDescent="0.25">
      <c r="A98" s="5" t="s">
        <v>125</v>
      </c>
      <c r="B98" s="3">
        <v>65929.723245000001</v>
      </c>
      <c r="C98" s="3">
        <v>65947.375111999994</v>
      </c>
      <c r="D98" s="3">
        <v>37.35</v>
      </c>
      <c r="E98" s="3">
        <v>37.36</v>
      </c>
      <c r="F98" t="str">
        <f>Sheet1!E96</f>
        <v>FBTC</v>
      </c>
      <c r="G98" t="str">
        <f>Sheet1!F96</f>
        <v>GBTC</v>
      </c>
      <c r="H98" s="3">
        <f t="shared" si="5"/>
        <v>3.9999999999999147E-2</v>
      </c>
      <c r="I98" s="3">
        <f t="shared" si="6"/>
        <v>-6.0000000000002274E-2</v>
      </c>
    </row>
    <row r="99" spans="1:9" x14ac:dyDescent="0.25">
      <c r="A99" s="5" t="s">
        <v>126</v>
      </c>
      <c r="B99" s="3">
        <v>65841.463909999991</v>
      </c>
      <c r="C99" s="3">
        <v>65859.115776999999</v>
      </c>
      <c r="D99" s="3">
        <v>37.299999999999997</v>
      </c>
      <c r="E99" s="3">
        <v>37.31</v>
      </c>
      <c r="F99" t="str">
        <f>Sheet1!E97</f>
        <v>BTCW</v>
      </c>
      <c r="G99" t="str">
        <f>Sheet1!F97</f>
        <v>GBTC</v>
      </c>
      <c r="H99" s="3">
        <f t="shared" si="5"/>
        <v>0</v>
      </c>
      <c r="I99" s="3">
        <f t="shared" si="6"/>
        <v>-2.0000000000003126E-2</v>
      </c>
    </row>
    <row r="100" spans="1:9" x14ac:dyDescent="0.25">
      <c r="A100" s="5" t="s">
        <v>127</v>
      </c>
      <c r="B100" s="3">
        <v>65823.812042999998</v>
      </c>
      <c r="C100" s="3">
        <v>65841.463909999991</v>
      </c>
      <c r="D100" s="3">
        <v>37.29</v>
      </c>
      <c r="E100" s="3">
        <v>37.299999999999997</v>
      </c>
      <c r="F100" t="str">
        <f>Sheet1!E98</f>
        <v>BTC</v>
      </c>
      <c r="G100" t="str">
        <f>Sheet1!F98</f>
        <v>GBTC</v>
      </c>
      <c r="H100" s="3">
        <f t="shared" si="5"/>
        <v>0.10000000000000142</v>
      </c>
      <c r="I100" s="3">
        <f t="shared" si="6"/>
        <v>-0.11999999999999744</v>
      </c>
    </row>
    <row r="101" spans="1:9" x14ac:dyDescent="0.25">
      <c r="A101" s="5" t="s">
        <v>128</v>
      </c>
      <c r="B101" s="3">
        <v>65629.641506</v>
      </c>
      <c r="C101" s="3">
        <v>65647.293372999993</v>
      </c>
      <c r="D101" s="3">
        <v>37.18</v>
      </c>
      <c r="E101" s="3">
        <v>37.19</v>
      </c>
      <c r="F101" t="str">
        <f>Sheet1!E99</f>
        <v>BTC</v>
      </c>
      <c r="G101" t="str">
        <f>Sheet1!F99</f>
        <v>GBTC</v>
      </c>
      <c r="H101" s="3">
        <f t="shared" si="5"/>
        <v>6.0000000000002274E-2</v>
      </c>
      <c r="I101" s="3">
        <f t="shared" si="6"/>
        <v>-7.9999999999998295E-2</v>
      </c>
    </row>
    <row r="102" spans="1:9" x14ac:dyDescent="0.25">
      <c r="A102" s="5" t="s">
        <v>129</v>
      </c>
      <c r="B102" s="3">
        <v>65506.078436999996</v>
      </c>
      <c r="C102" s="3">
        <v>65523.730303999997</v>
      </c>
      <c r="D102" s="3">
        <v>37.11</v>
      </c>
      <c r="E102" s="3">
        <v>37.119999999999997</v>
      </c>
      <c r="F102" t="str">
        <f>Sheet1!E100</f>
        <v>FBTC</v>
      </c>
      <c r="G102" t="str">
        <f>Sheet1!F100</f>
        <v>ARKB</v>
      </c>
      <c r="H102" s="3">
        <f t="shared" si="5"/>
        <v>-9.0000000000003411E-2</v>
      </c>
      <c r="I102" s="3">
        <f t="shared" si="6"/>
        <v>7.0000000000000284E-2</v>
      </c>
    </row>
    <row r="103" spans="1:9" x14ac:dyDescent="0.25">
      <c r="A103" s="5" t="s">
        <v>130</v>
      </c>
      <c r="B103" s="3">
        <v>65647.293372999993</v>
      </c>
      <c r="C103" s="3">
        <v>65664.945240000001</v>
      </c>
      <c r="D103" s="3">
        <v>37.19</v>
      </c>
      <c r="E103" s="3">
        <v>37.200000000000003</v>
      </c>
      <c r="F103" t="str">
        <f>Sheet1!E101</f>
        <v>IBIT</v>
      </c>
      <c r="G103" t="str">
        <f>Sheet1!F101</f>
        <v>GBTC</v>
      </c>
      <c r="H103" s="3">
        <f t="shared" si="5"/>
        <v>3.0000000000001137E-2</v>
      </c>
      <c r="I103" s="3">
        <f t="shared" si="6"/>
        <v>-5.0000000000004263E-2</v>
      </c>
    </row>
    <row r="104" spans="1:9" x14ac:dyDescent="0.25">
      <c r="A104" s="5" t="s">
        <v>131</v>
      </c>
      <c r="B104" s="3">
        <v>65576.685904999991</v>
      </c>
      <c r="C104" s="3">
        <v>65594.337771999999</v>
      </c>
      <c r="D104" s="3">
        <v>37.15</v>
      </c>
      <c r="E104" s="3">
        <v>37.159999999999997</v>
      </c>
      <c r="F104" t="str">
        <f>Sheet1!E102</f>
        <v>FBTC</v>
      </c>
      <c r="G104" t="str">
        <f>Sheet1!F102</f>
        <v>GBTC</v>
      </c>
      <c r="H104" s="3">
        <f t="shared" si="5"/>
        <v>1.9999999999996021E-2</v>
      </c>
      <c r="I104" s="3">
        <f t="shared" si="6"/>
        <v>-3.9999999999999147E-2</v>
      </c>
    </row>
    <row r="105" spans="1:9" x14ac:dyDescent="0.25">
      <c r="A105" s="5" t="s">
        <v>132</v>
      </c>
      <c r="B105" s="3">
        <v>65523.730303999997</v>
      </c>
      <c r="C105" s="3">
        <v>65541.382171000005</v>
      </c>
      <c r="D105" s="3">
        <v>37.119999999999997</v>
      </c>
      <c r="E105" s="3">
        <v>37.130000000000003</v>
      </c>
      <c r="F105" t="str">
        <f>Sheet1!E103</f>
        <v>BRRR</v>
      </c>
      <c r="G105" t="str">
        <f>Sheet1!F103</f>
        <v>GBTC</v>
      </c>
      <c r="H105" s="3"/>
      <c r="I105" s="3"/>
    </row>
    <row r="106" spans="1:9" x14ac:dyDescent="0.25">
      <c r="A106" s="5" t="s">
        <v>134</v>
      </c>
      <c r="B106" s="3">
        <v>65630.091383999999</v>
      </c>
      <c r="C106" s="3">
        <v>65647.743371999997</v>
      </c>
      <c r="D106" s="3">
        <v>37.18</v>
      </c>
      <c r="E106" s="3">
        <v>37.19</v>
      </c>
      <c r="F106" t="str">
        <f>Sheet1!E104</f>
        <v>BRRR</v>
      </c>
      <c r="G106" t="str">
        <f>Sheet1!F104</f>
        <v>FBTC</v>
      </c>
      <c r="H106" s="3">
        <f t="shared" si="5"/>
        <v>-7.9999999999998295E-2</v>
      </c>
      <c r="I106" s="3">
        <f t="shared" si="6"/>
        <v>6.0000000000002274E-2</v>
      </c>
    </row>
    <row r="107" spans="1:9" x14ac:dyDescent="0.25">
      <c r="A107" s="5" t="s">
        <v>135</v>
      </c>
      <c r="B107" s="3">
        <v>65753.655299999999</v>
      </c>
      <c r="C107" s="3">
        <v>65771.307287999996</v>
      </c>
      <c r="D107" s="3">
        <v>37.25</v>
      </c>
      <c r="E107" s="3">
        <v>37.26</v>
      </c>
      <c r="F107" t="str">
        <f>Sheet1!E105</f>
        <v>BTCW</v>
      </c>
      <c r="G107" t="str">
        <f>Sheet1!F105</f>
        <v>HODL</v>
      </c>
      <c r="H107" s="3">
        <f t="shared" si="5"/>
        <v>2.0000000000003126E-2</v>
      </c>
      <c r="I107" s="3">
        <f t="shared" si="6"/>
        <v>-3.9999999999999147E-2</v>
      </c>
    </row>
    <row r="108" spans="1:9" x14ac:dyDescent="0.25">
      <c r="A108" s="5" t="s">
        <v>136</v>
      </c>
      <c r="B108" s="3">
        <v>65700.699336000005</v>
      </c>
      <c r="C108" s="3">
        <v>65718.351324000003</v>
      </c>
      <c r="D108" s="3">
        <v>37.22</v>
      </c>
      <c r="E108" s="3">
        <v>37.229999999999997</v>
      </c>
      <c r="F108" t="str">
        <f>Sheet1!E106</f>
        <v>BRRR</v>
      </c>
      <c r="G108" t="str">
        <f>Sheet1!F106</f>
        <v>IBIT</v>
      </c>
      <c r="H108" s="3">
        <f t="shared" si="5"/>
        <v>-0.25</v>
      </c>
      <c r="I108" s="3">
        <f t="shared" si="6"/>
        <v>0.23000000000000398</v>
      </c>
    </row>
    <row r="109" spans="1:9" x14ac:dyDescent="0.25">
      <c r="A109" s="5" t="s">
        <v>137</v>
      </c>
      <c r="B109" s="3">
        <v>66124.347048000011</v>
      </c>
      <c r="C109" s="3">
        <v>66141.999036000008</v>
      </c>
      <c r="D109" s="3">
        <v>37.46</v>
      </c>
      <c r="E109" s="3">
        <v>37.47</v>
      </c>
      <c r="F109" t="str">
        <f>Sheet1!E107</f>
        <v>IBIT</v>
      </c>
      <c r="G109" t="str">
        <f>Sheet1!F107</f>
        <v>BITB</v>
      </c>
      <c r="H109" s="3">
        <f t="shared" si="5"/>
        <v>0.10000000000000142</v>
      </c>
      <c r="I109" s="3">
        <f t="shared" si="6"/>
        <v>-0.11999999999999744</v>
      </c>
    </row>
    <row r="110" spans="1:9" x14ac:dyDescent="0.25">
      <c r="A110" s="5" t="s">
        <v>138</v>
      </c>
      <c r="B110" s="3">
        <v>65930.175180000006</v>
      </c>
      <c r="C110" s="3">
        <v>65947.827168000003</v>
      </c>
      <c r="D110" s="3">
        <v>37.35</v>
      </c>
      <c r="E110" s="3">
        <v>37.36</v>
      </c>
      <c r="F110" t="str">
        <f>Sheet1!E108</f>
        <v>ARKB</v>
      </c>
      <c r="G110" t="str">
        <f>Sheet1!F108</f>
        <v>BITB</v>
      </c>
      <c r="H110" s="3">
        <f t="shared" si="5"/>
        <v>5.0000000000004263E-2</v>
      </c>
      <c r="I110" s="3">
        <f t="shared" si="6"/>
        <v>-7.0000000000000284E-2</v>
      </c>
    </row>
    <row r="111" spans="1:9" x14ac:dyDescent="0.25">
      <c r="A111" s="5" t="s">
        <v>139</v>
      </c>
      <c r="B111" s="3">
        <v>65824.263252000004</v>
      </c>
      <c r="C111" s="3">
        <v>65841.915240000002</v>
      </c>
      <c r="D111" s="3">
        <v>37.29</v>
      </c>
      <c r="E111" s="3">
        <v>37.299999999999997</v>
      </c>
      <c r="F111" t="str">
        <f>Sheet1!E109</f>
        <v>ARKB</v>
      </c>
      <c r="G111" t="str">
        <f>Sheet1!F109</f>
        <v>IBIT</v>
      </c>
      <c r="H111" s="3">
        <f t="shared" si="5"/>
        <v>-3.0000000000001137E-2</v>
      </c>
      <c r="I111" s="3">
        <f t="shared" si="6"/>
        <v>1.0000000000005116E-2</v>
      </c>
    </row>
    <row r="112" spans="1:9" x14ac:dyDescent="0.25">
      <c r="A112" s="5" t="s">
        <v>140</v>
      </c>
      <c r="B112" s="3">
        <v>65859.567228000014</v>
      </c>
      <c r="C112" s="3">
        <v>65877.219215999998</v>
      </c>
      <c r="D112" s="3">
        <v>37.31</v>
      </c>
      <c r="E112" s="3">
        <v>37.32</v>
      </c>
      <c r="F112" t="str">
        <f>Sheet1!E110</f>
        <v>FBTC</v>
      </c>
      <c r="G112" t="str">
        <f>Sheet1!F110</f>
        <v>HODL</v>
      </c>
      <c r="H112" s="3">
        <f t="shared" si="5"/>
        <v>-1.9999999999996021E-2</v>
      </c>
      <c r="I112" s="3">
        <f t="shared" si="6"/>
        <v>0</v>
      </c>
    </row>
    <row r="113" spans="1:9" x14ac:dyDescent="0.25">
      <c r="A113" s="5" t="s">
        <v>141</v>
      </c>
      <c r="B113" s="3">
        <v>65877.219215999998</v>
      </c>
      <c r="C113" s="3">
        <v>65894.871203999995</v>
      </c>
      <c r="D113" s="3">
        <v>37.32</v>
      </c>
      <c r="E113" s="3">
        <v>37.33</v>
      </c>
      <c r="F113" t="str">
        <f>Sheet1!E111</f>
        <v>FBTC</v>
      </c>
      <c r="G113" t="str">
        <f>Sheet1!F111</f>
        <v>GBTC</v>
      </c>
      <c r="H113" s="3">
        <f t="shared" si="5"/>
        <v>3.9999999999999147E-2</v>
      </c>
      <c r="I113" s="3">
        <f t="shared" si="6"/>
        <v>-5.9999999999995168E-2</v>
      </c>
    </row>
    <row r="114" spans="1:9" x14ac:dyDescent="0.25">
      <c r="A114" s="5" t="s">
        <v>142</v>
      </c>
      <c r="B114" s="3">
        <v>65788.959276000009</v>
      </c>
      <c r="C114" s="3">
        <v>65806.611264000006</v>
      </c>
      <c r="D114" s="3">
        <v>37.270000000000003</v>
      </c>
      <c r="E114" s="3">
        <v>37.28</v>
      </c>
      <c r="F114" t="str">
        <f>Sheet1!E112</f>
        <v>HODL</v>
      </c>
      <c r="G114" t="str">
        <f>Sheet1!F112</f>
        <v>IBIT</v>
      </c>
      <c r="H114" s="3">
        <f t="shared" si="5"/>
        <v>-0.11999999999999744</v>
      </c>
      <c r="I114" s="3">
        <f t="shared" si="6"/>
        <v>0.10000000000000142</v>
      </c>
    </row>
    <row r="115" spans="1:9" x14ac:dyDescent="0.25">
      <c r="A115" s="5" t="s">
        <v>143</v>
      </c>
      <c r="B115" s="3">
        <v>65983.131144000014</v>
      </c>
      <c r="C115" s="3">
        <v>66000.783132000011</v>
      </c>
      <c r="D115" s="3">
        <v>37.380000000000003</v>
      </c>
      <c r="E115" s="3">
        <v>37.39</v>
      </c>
      <c r="F115" t="str">
        <f>Sheet1!E113</f>
        <v>BTC</v>
      </c>
      <c r="G115" t="str">
        <f>Sheet1!F113</f>
        <v>BITB</v>
      </c>
      <c r="H115" s="3">
        <f t="shared" si="5"/>
        <v>0.37000000000000455</v>
      </c>
      <c r="I115" s="3">
        <f t="shared" si="6"/>
        <v>-0.39000000000000057</v>
      </c>
    </row>
    <row r="116" spans="1:9" x14ac:dyDescent="0.25">
      <c r="A116" s="5" t="s">
        <v>144</v>
      </c>
      <c r="B116" s="3">
        <v>65312.355600000003</v>
      </c>
      <c r="C116" s="3">
        <v>65330.007588</v>
      </c>
      <c r="D116" s="3">
        <v>37</v>
      </c>
      <c r="E116" s="3">
        <v>37.01</v>
      </c>
      <c r="F116" t="str">
        <f>Sheet1!E114</f>
        <v>FBTC</v>
      </c>
      <c r="G116" t="str">
        <f>Sheet1!F114</f>
        <v>BRRR</v>
      </c>
      <c r="H116" s="3">
        <f t="shared" si="5"/>
        <v>0</v>
      </c>
      <c r="I116" s="3">
        <f t="shared" si="6"/>
        <v>-1.9999999999996021E-2</v>
      </c>
    </row>
    <row r="117" spans="1:9" x14ac:dyDescent="0.25">
      <c r="A117" s="5" t="s">
        <v>145</v>
      </c>
      <c r="B117" s="3">
        <v>65294.703612000005</v>
      </c>
      <c r="C117" s="3">
        <v>65312.355600000003</v>
      </c>
      <c r="D117" s="3">
        <v>36.99</v>
      </c>
      <c r="E117" s="3">
        <v>37</v>
      </c>
      <c r="F117" t="str">
        <f>Sheet1!E115</f>
        <v>ARKB</v>
      </c>
      <c r="G117" t="str">
        <f>Sheet1!F115</f>
        <v>BITB</v>
      </c>
      <c r="H117" s="3">
        <f t="shared" si="5"/>
        <v>-0.18999999999999773</v>
      </c>
      <c r="I117" s="3">
        <f t="shared" si="6"/>
        <v>0.17000000000000171</v>
      </c>
    </row>
    <row r="118" spans="1:9" x14ac:dyDescent="0.25">
      <c r="A118" s="5" t="s">
        <v>146</v>
      </c>
      <c r="B118" s="3">
        <v>65612.439396000002</v>
      </c>
      <c r="C118" s="3">
        <v>65630.091383999999</v>
      </c>
      <c r="D118" s="3">
        <v>37.17</v>
      </c>
      <c r="E118" s="3">
        <v>37.18</v>
      </c>
      <c r="F118" t="str">
        <f>Sheet1!E116</f>
        <v>FBTC</v>
      </c>
      <c r="G118" t="str">
        <f>Sheet1!F116</f>
        <v>GBTC</v>
      </c>
      <c r="H118" s="3">
        <f t="shared" si="5"/>
        <v>1.0000000000005116E-2</v>
      </c>
      <c r="I118" s="3">
        <f t="shared" si="6"/>
        <v>-3.0000000000001137E-2</v>
      </c>
    </row>
    <row r="119" spans="1:9" x14ac:dyDescent="0.25">
      <c r="A119" s="5" t="s">
        <v>147</v>
      </c>
      <c r="B119" s="3">
        <v>65577.135420000006</v>
      </c>
      <c r="C119" s="3">
        <v>65594.787408000004</v>
      </c>
      <c r="D119" s="3">
        <v>37.15</v>
      </c>
      <c r="E119" s="3">
        <v>37.159999999999997</v>
      </c>
      <c r="F119" t="str">
        <f>Sheet1!E117</f>
        <v>GBTC</v>
      </c>
      <c r="G119" t="str">
        <f>Sheet1!F117</f>
        <v>HODL</v>
      </c>
      <c r="H119" s="3">
        <f t="shared" si="5"/>
        <v>0.29999999999999716</v>
      </c>
      <c r="I119" s="3">
        <f t="shared" si="6"/>
        <v>-0.31999999999999318</v>
      </c>
    </row>
    <row r="120" spans="1:9" x14ac:dyDescent="0.25">
      <c r="A120" s="5" t="s">
        <v>148</v>
      </c>
      <c r="B120" s="3">
        <v>65029.923792000009</v>
      </c>
      <c r="C120" s="3">
        <v>65047.575780000006</v>
      </c>
      <c r="D120" s="3">
        <v>36.840000000000003</v>
      </c>
      <c r="E120" s="3">
        <v>36.85</v>
      </c>
      <c r="F120" t="str">
        <f>Sheet1!E118</f>
        <v>FBTC</v>
      </c>
      <c r="G120" t="str">
        <f>Sheet1!F118</f>
        <v>IBIT</v>
      </c>
      <c r="H120" s="3">
        <f t="shared" si="5"/>
        <v>0.14000000000000057</v>
      </c>
      <c r="I120" s="3">
        <f t="shared" si="6"/>
        <v>-0.16000000000000369</v>
      </c>
    </row>
    <row r="121" spans="1:9" x14ac:dyDescent="0.25">
      <c r="A121" s="5" t="s">
        <v>149</v>
      </c>
      <c r="B121" s="3">
        <v>64765.143971999998</v>
      </c>
      <c r="C121" s="3">
        <v>64782.79596000001</v>
      </c>
      <c r="D121" s="3">
        <v>36.69</v>
      </c>
      <c r="E121" s="3">
        <v>36.700000000000003</v>
      </c>
      <c r="F121" t="str">
        <f>Sheet1!E119</f>
        <v>HODL</v>
      </c>
      <c r="G121" t="str">
        <f>Sheet1!F119</f>
        <v>BTC</v>
      </c>
      <c r="H121" s="3">
        <f t="shared" si="5"/>
        <v>0.34999999999999432</v>
      </c>
      <c r="I121" s="3">
        <f t="shared" si="6"/>
        <v>-0.37000000000000455</v>
      </c>
    </row>
    <row r="122" spans="1:9" x14ac:dyDescent="0.25">
      <c r="A122" s="5" t="s">
        <v>150</v>
      </c>
      <c r="B122" s="3">
        <v>64129.672404000004</v>
      </c>
      <c r="C122" s="3">
        <v>64147.32439200001</v>
      </c>
      <c r="D122" s="3">
        <v>36.33</v>
      </c>
      <c r="E122" s="3">
        <v>36.340000000000003</v>
      </c>
      <c r="F122" t="str">
        <f>Sheet1!E120</f>
        <v>FBTC</v>
      </c>
      <c r="G122" t="str">
        <f>Sheet1!F120</f>
        <v>IBIT</v>
      </c>
      <c r="H122" s="3">
        <f t="shared" si="5"/>
        <v>9.9999999999980105E-3</v>
      </c>
      <c r="I122" s="3">
        <f t="shared" si="6"/>
        <v>-3.0000000000001137E-2</v>
      </c>
    </row>
    <row r="123" spans="1:9" x14ac:dyDescent="0.25">
      <c r="A123" s="5" t="s">
        <v>151</v>
      </c>
      <c r="B123" s="3">
        <v>64094.368428000009</v>
      </c>
      <c r="C123" s="3">
        <v>64112.020416000007</v>
      </c>
      <c r="D123" s="3">
        <v>36.31</v>
      </c>
      <c r="E123" s="3">
        <v>36.32</v>
      </c>
      <c r="F123" t="str">
        <f>Sheet1!E121</f>
        <v>BTCW</v>
      </c>
      <c r="G123" t="str">
        <f>Sheet1!F121</f>
        <v>IBIT</v>
      </c>
      <c r="H123" s="3">
        <f t="shared" si="5"/>
        <v>-8.9999999999996305E-2</v>
      </c>
      <c r="I123" s="3">
        <f t="shared" si="6"/>
        <v>7.0000000000000284E-2</v>
      </c>
    </row>
    <row r="124" spans="1:9" x14ac:dyDescent="0.25">
      <c r="A124" s="5" t="s">
        <v>152</v>
      </c>
      <c r="B124" s="3">
        <v>64235.584332000006</v>
      </c>
      <c r="C124" s="3">
        <v>64253.236320000004</v>
      </c>
      <c r="D124" s="3">
        <v>36.39</v>
      </c>
      <c r="E124" s="3">
        <v>36.4</v>
      </c>
      <c r="F124" t="str">
        <f>Sheet1!E122</f>
        <v>GBTC</v>
      </c>
      <c r="G124" t="str">
        <f>Sheet1!F122</f>
        <v>IBIT</v>
      </c>
      <c r="H124" s="3">
        <f t="shared" si="5"/>
        <v>-7.9999999999998295E-2</v>
      </c>
      <c r="I124" s="3">
        <f t="shared" si="6"/>
        <v>6.0000000000002274E-2</v>
      </c>
    </row>
    <row r="125" spans="1:9" x14ac:dyDescent="0.25">
      <c r="A125" s="5" t="s">
        <v>153</v>
      </c>
      <c r="B125" s="3">
        <v>64359.148248000005</v>
      </c>
      <c r="C125" s="3">
        <v>64376.800236000003</v>
      </c>
      <c r="D125" s="3">
        <v>36.46</v>
      </c>
      <c r="E125" s="3">
        <v>36.47</v>
      </c>
      <c r="F125" t="str">
        <f>Sheet1!E123</f>
        <v>ARKB</v>
      </c>
      <c r="G125" t="str">
        <f>Sheet1!F123</f>
        <v>IBIT</v>
      </c>
      <c r="H125" s="3"/>
      <c r="I125" s="3"/>
    </row>
    <row r="126" spans="1:9" x14ac:dyDescent="0.25">
      <c r="A126" s="5" t="s">
        <v>159</v>
      </c>
      <c r="B126" s="3">
        <v>64325.607967999997</v>
      </c>
      <c r="C126" s="3">
        <v>64325.607967999997</v>
      </c>
      <c r="D126" s="3">
        <v>36.44</v>
      </c>
      <c r="E126" s="3">
        <v>36.44</v>
      </c>
      <c r="F126" t="str">
        <f>Sheet1!E124</f>
        <v>ARKB</v>
      </c>
      <c r="G126" t="str">
        <f>Sheet1!F124</f>
        <v>IBIT</v>
      </c>
      <c r="H126" s="3">
        <f t="shared" si="5"/>
        <v>0.18999999999999773</v>
      </c>
      <c r="I126" s="3">
        <f t="shared" si="6"/>
        <v>-0.19999999999999574</v>
      </c>
    </row>
    <row r="127" spans="1:9" x14ac:dyDescent="0.25">
      <c r="A127" s="5" t="s">
        <v>160</v>
      </c>
      <c r="B127" s="3">
        <v>63972.558528000001</v>
      </c>
      <c r="C127" s="3">
        <v>63990.211000000003</v>
      </c>
      <c r="D127" s="3">
        <v>36.24</v>
      </c>
      <c r="E127" s="3">
        <v>36.25</v>
      </c>
      <c r="F127" t="str">
        <f>Sheet1!E125</f>
        <v>GBTC</v>
      </c>
      <c r="G127" t="str">
        <f>Sheet1!F125</f>
        <v>BTC</v>
      </c>
      <c r="H127" s="3">
        <f t="shared" si="5"/>
        <v>-3.9999999999999147E-2</v>
      </c>
      <c r="I127" s="3">
        <f t="shared" si="6"/>
        <v>2.0000000000003126E-2</v>
      </c>
    </row>
    <row r="128" spans="1:9" x14ac:dyDescent="0.25">
      <c r="A128" s="5" t="s">
        <v>161</v>
      </c>
      <c r="B128" s="3">
        <v>64025.515944000006</v>
      </c>
      <c r="C128" s="3">
        <v>64043.168416</v>
      </c>
      <c r="D128" s="3">
        <v>36.270000000000003</v>
      </c>
      <c r="E128" s="3">
        <v>36.28</v>
      </c>
      <c r="F128" t="str">
        <f>Sheet1!E126</f>
        <v>GBTC</v>
      </c>
      <c r="G128" t="str">
        <f>Sheet1!F126</f>
        <v>IBIT</v>
      </c>
      <c r="H128" s="3">
        <f t="shared" si="5"/>
        <v>9.0000000000003411E-2</v>
      </c>
      <c r="I128" s="3">
        <f t="shared" si="6"/>
        <v>-0.10999999999999943</v>
      </c>
    </row>
    <row r="129" spans="1:9" x14ac:dyDescent="0.25">
      <c r="A129" s="5" t="s">
        <v>162</v>
      </c>
      <c r="B129" s="3">
        <v>63848.991224000005</v>
      </c>
      <c r="C129" s="3">
        <v>63866.643695999999</v>
      </c>
      <c r="D129" s="3">
        <v>36.17</v>
      </c>
      <c r="E129" s="3">
        <v>36.18</v>
      </c>
      <c r="F129" t="str">
        <f>Sheet1!E127</f>
        <v>GBTC</v>
      </c>
      <c r="G129" t="str">
        <f>Sheet1!F127</f>
        <v>IBIT</v>
      </c>
      <c r="H129" s="3">
        <f t="shared" si="5"/>
        <v>-3.9999999999999147E-2</v>
      </c>
      <c r="I129" s="3">
        <f t="shared" si="6"/>
        <v>2.0000000000003126E-2</v>
      </c>
    </row>
    <row r="130" spans="1:9" x14ac:dyDescent="0.25">
      <c r="A130" s="5" t="s">
        <v>163</v>
      </c>
      <c r="B130" s="3">
        <v>63901.948640000002</v>
      </c>
      <c r="C130" s="3">
        <v>63919.601112000004</v>
      </c>
      <c r="D130" s="3">
        <v>36.200000000000003</v>
      </c>
      <c r="E130" s="3">
        <v>36.21</v>
      </c>
      <c r="F130" t="str">
        <f>Sheet1!E128</f>
        <v>BTC</v>
      </c>
      <c r="G130" t="str">
        <f>Sheet1!F128</f>
        <v>GBTC</v>
      </c>
      <c r="H130" s="3">
        <f t="shared" si="5"/>
        <v>5.0000000000004263E-2</v>
      </c>
      <c r="I130" s="3">
        <f t="shared" si="6"/>
        <v>-7.0000000000000284E-2</v>
      </c>
    </row>
    <row r="131" spans="1:9" x14ac:dyDescent="0.25">
      <c r="A131" s="5" t="s">
        <v>164</v>
      </c>
      <c r="B131" s="3">
        <v>63796.033808</v>
      </c>
      <c r="C131" s="3">
        <v>63813.686280000002</v>
      </c>
      <c r="D131" s="3">
        <v>36.14</v>
      </c>
      <c r="E131" s="3">
        <v>36.15</v>
      </c>
      <c r="F131" t="str">
        <f>Sheet1!E129</f>
        <v>BITB</v>
      </c>
      <c r="G131" t="str">
        <f>Sheet1!F129</f>
        <v>HODL</v>
      </c>
      <c r="H131" s="3">
        <f t="shared" si="5"/>
        <v>9.9999999999980105E-3</v>
      </c>
      <c r="I131" s="3">
        <f t="shared" si="6"/>
        <v>-3.0000000000001137E-2</v>
      </c>
    </row>
    <row r="132" spans="1:9" x14ac:dyDescent="0.25">
      <c r="A132" s="5" t="s">
        <v>165</v>
      </c>
      <c r="B132" s="3">
        <v>63760.728863999997</v>
      </c>
      <c r="C132" s="3">
        <v>63778.381336000006</v>
      </c>
      <c r="D132" s="3">
        <v>36.119999999999997</v>
      </c>
      <c r="E132" s="3">
        <v>36.130000000000003</v>
      </c>
      <c r="F132" t="str">
        <f>Sheet1!E130</f>
        <v>BITB</v>
      </c>
      <c r="G132" t="str">
        <f>Sheet1!F130</f>
        <v>FBTC</v>
      </c>
      <c r="H132" s="3">
        <f t="shared" si="5"/>
        <v>0.10999999999999943</v>
      </c>
      <c r="I132" s="3">
        <f t="shared" si="6"/>
        <v>-0.13000000000000256</v>
      </c>
    </row>
    <row r="133" spans="1:9" x14ac:dyDescent="0.25">
      <c r="A133" s="5" t="s">
        <v>166</v>
      </c>
      <c r="B133" s="3">
        <v>63548.8992</v>
      </c>
      <c r="C133" s="3">
        <v>63566.551671999994</v>
      </c>
      <c r="D133" s="3">
        <v>36</v>
      </c>
      <c r="E133" s="3">
        <v>36.01</v>
      </c>
      <c r="F133" t="str">
        <f>Sheet1!E131</f>
        <v>GBTC</v>
      </c>
      <c r="G133" t="str">
        <f>Sheet1!F131</f>
        <v>FBTC</v>
      </c>
      <c r="H133" s="3">
        <f t="shared" ref="H133:H178" si="7">D133-E134</f>
        <v>0.14000000000000057</v>
      </c>
      <c r="I133" s="3">
        <f t="shared" ref="I133:I178" si="8">D134-E133</f>
        <v>-0.15999999999999659</v>
      </c>
    </row>
    <row r="134" spans="1:9" x14ac:dyDescent="0.25">
      <c r="A134" s="5" t="s">
        <v>167</v>
      </c>
      <c r="B134" s="3">
        <v>63284.112120000005</v>
      </c>
      <c r="C134" s="3">
        <v>63301.764592</v>
      </c>
      <c r="D134" s="3">
        <v>35.85</v>
      </c>
      <c r="E134" s="3">
        <v>35.86</v>
      </c>
      <c r="F134" t="str">
        <f>Sheet1!E132</f>
        <v>GBTC</v>
      </c>
      <c r="G134" t="str">
        <f>Sheet1!F132</f>
        <v>IBIT</v>
      </c>
      <c r="H134" s="3">
        <f t="shared" si="7"/>
        <v>0.10999999999999943</v>
      </c>
      <c r="I134" s="3">
        <f t="shared" si="8"/>
        <v>-0.13000000000000256</v>
      </c>
    </row>
    <row r="135" spans="1:9" x14ac:dyDescent="0.25">
      <c r="A135" s="5" t="s">
        <v>168</v>
      </c>
      <c r="B135" s="3">
        <v>63072.282455999994</v>
      </c>
      <c r="C135" s="3">
        <v>63089.934928000002</v>
      </c>
      <c r="D135" s="3">
        <v>35.729999999999997</v>
      </c>
      <c r="E135" s="3">
        <v>35.74</v>
      </c>
      <c r="F135" t="str">
        <f>Sheet1!E133</f>
        <v>GBTC</v>
      </c>
      <c r="G135" t="str">
        <f>Sheet1!F133</f>
        <v>FBTC</v>
      </c>
      <c r="H135" s="3">
        <f t="shared" si="7"/>
        <v>0.29999999999999716</v>
      </c>
      <c r="I135" s="3">
        <f t="shared" si="8"/>
        <v>-0.32000000000000028</v>
      </c>
    </row>
    <row r="136" spans="1:9" x14ac:dyDescent="0.25">
      <c r="A136" s="5" t="s">
        <v>169</v>
      </c>
      <c r="B136" s="3">
        <v>62525.055824000003</v>
      </c>
      <c r="C136" s="3">
        <v>62542.708295999997</v>
      </c>
      <c r="D136" s="3">
        <v>35.42</v>
      </c>
      <c r="E136" s="3">
        <v>35.43</v>
      </c>
      <c r="F136" t="str">
        <f>Sheet1!E134</f>
        <v>GBTC</v>
      </c>
      <c r="G136" t="str">
        <f>Sheet1!F134</f>
        <v>BRRR</v>
      </c>
      <c r="H136" s="3">
        <f t="shared" si="7"/>
        <v>-3.0000000000001137E-2</v>
      </c>
      <c r="I136" s="3">
        <f t="shared" si="8"/>
        <v>9.9999999999980105E-3</v>
      </c>
    </row>
    <row r="137" spans="1:9" x14ac:dyDescent="0.25">
      <c r="A137" s="5" t="s">
        <v>170</v>
      </c>
      <c r="B137" s="3">
        <v>62560.360767999999</v>
      </c>
      <c r="C137" s="3">
        <v>62578.013240000007</v>
      </c>
      <c r="D137" s="3">
        <v>35.44</v>
      </c>
      <c r="E137" s="3">
        <v>35.450000000000003</v>
      </c>
      <c r="F137" t="str">
        <f>Sheet1!E135</f>
        <v>BTC</v>
      </c>
      <c r="G137" t="str">
        <f>Sheet1!F135</f>
        <v>BRRR</v>
      </c>
      <c r="H137" s="3">
        <f t="shared" si="7"/>
        <v>-3.9999999999999147E-2</v>
      </c>
      <c r="I137" s="3">
        <f t="shared" si="8"/>
        <v>1.9999999999996021E-2</v>
      </c>
    </row>
    <row r="138" spans="1:9" x14ac:dyDescent="0.25">
      <c r="A138" s="5" t="s">
        <v>171</v>
      </c>
      <c r="B138" s="3">
        <v>62613.318183999996</v>
      </c>
      <c r="C138" s="3">
        <v>62630.970655999998</v>
      </c>
      <c r="D138" s="3">
        <v>35.47</v>
      </c>
      <c r="E138" s="3">
        <v>35.479999999999997</v>
      </c>
      <c r="F138" t="str">
        <f>Sheet1!E136</f>
        <v>ARKB</v>
      </c>
      <c r="G138" t="str">
        <f>Sheet1!F136</f>
        <v>FBTC</v>
      </c>
      <c r="H138" s="3">
        <f t="shared" si="7"/>
        <v>3.0000000000001137E-2</v>
      </c>
      <c r="I138" s="3">
        <f t="shared" si="8"/>
        <v>-4.9999999999997158E-2</v>
      </c>
    </row>
    <row r="139" spans="1:9" x14ac:dyDescent="0.25">
      <c r="A139" s="5" t="s">
        <v>172</v>
      </c>
      <c r="B139" s="3">
        <v>62542.708295999997</v>
      </c>
      <c r="C139" s="3">
        <v>62560.360767999999</v>
      </c>
      <c r="D139" s="3">
        <v>35.43</v>
      </c>
      <c r="E139" s="3">
        <v>35.44</v>
      </c>
      <c r="F139" t="str">
        <f>Sheet1!E137</f>
        <v>BITB</v>
      </c>
      <c r="G139" t="str">
        <f>Sheet1!F137</f>
        <v>FBTC</v>
      </c>
      <c r="H139" s="3">
        <f t="shared" si="7"/>
        <v>-3.0000000000001137E-2</v>
      </c>
      <c r="I139" s="3">
        <f t="shared" si="8"/>
        <v>1.0000000000005116E-2</v>
      </c>
    </row>
    <row r="140" spans="1:9" x14ac:dyDescent="0.25">
      <c r="A140" s="5" t="s">
        <v>173</v>
      </c>
      <c r="B140" s="3">
        <v>62578.013240000007</v>
      </c>
      <c r="C140" s="3">
        <v>62595.665712000002</v>
      </c>
      <c r="D140" s="3">
        <v>35.450000000000003</v>
      </c>
      <c r="E140" s="3">
        <v>35.46</v>
      </c>
      <c r="F140" t="str">
        <f>Sheet1!E138</f>
        <v>BITB</v>
      </c>
      <c r="G140" t="str">
        <f>Sheet1!F138</f>
        <v>FBTC</v>
      </c>
      <c r="H140" s="3">
        <f t="shared" si="7"/>
        <v>4.0000000000006253E-2</v>
      </c>
      <c r="I140" s="3">
        <f t="shared" si="8"/>
        <v>-6.0000000000002274E-2</v>
      </c>
    </row>
    <row r="141" spans="1:9" x14ac:dyDescent="0.25">
      <c r="A141" s="5" t="s">
        <v>174</v>
      </c>
      <c r="B141" s="3">
        <v>62489.75088</v>
      </c>
      <c r="C141" s="3">
        <v>62507.403351999994</v>
      </c>
      <c r="D141" s="3">
        <v>35.4</v>
      </c>
      <c r="E141" s="3">
        <v>35.409999999999997</v>
      </c>
      <c r="F141" t="str">
        <f>Sheet1!E139</f>
        <v>ARKB</v>
      </c>
      <c r="G141" t="str">
        <f>Sheet1!F139</f>
        <v>BRRR</v>
      </c>
      <c r="H141" s="3">
        <f t="shared" si="7"/>
        <v>-2.0000000000003126E-2</v>
      </c>
      <c r="I141" s="3">
        <f t="shared" si="8"/>
        <v>0</v>
      </c>
    </row>
    <row r="142" spans="1:9" x14ac:dyDescent="0.25">
      <c r="A142" s="5" t="s">
        <v>175</v>
      </c>
      <c r="B142" s="3">
        <v>62507.403351999994</v>
      </c>
      <c r="C142" s="3">
        <v>62525.055824000003</v>
      </c>
      <c r="D142" s="3">
        <v>35.409999999999997</v>
      </c>
      <c r="E142" s="3">
        <v>35.42</v>
      </c>
      <c r="F142" t="str">
        <f>Sheet1!E140</f>
        <v>FBTC</v>
      </c>
      <c r="G142" t="str">
        <f>Sheet1!F140</f>
        <v>GBTC</v>
      </c>
      <c r="H142" s="3">
        <f t="shared" si="7"/>
        <v>-5.0000000000004263E-2</v>
      </c>
      <c r="I142" s="3">
        <f t="shared" si="8"/>
        <v>3.0000000000001137E-2</v>
      </c>
    </row>
    <row r="143" spans="1:9" x14ac:dyDescent="0.25">
      <c r="A143" s="5" t="s">
        <v>176</v>
      </c>
      <c r="B143" s="3">
        <v>62578.013240000007</v>
      </c>
      <c r="C143" s="3">
        <v>62595.665712000002</v>
      </c>
      <c r="D143" s="3">
        <v>35.450000000000003</v>
      </c>
      <c r="E143" s="3">
        <v>35.46</v>
      </c>
      <c r="F143" t="str">
        <f>Sheet1!E141</f>
        <v>FBTC</v>
      </c>
      <c r="G143" t="str">
        <f>Sheet1!F141</f>
        <v>IBIT</v>
      </c>
      <c r="H143" s="3">
        <f t="shared" si="7"/>
        <v>-1.9999999999996021E-2</v>
      </c>
      <c r="I143" s="3">
        <f t="shared" si="8"/>
        <v>0</v>
      </c>
    </row>
    <row r="144" spans="1:9" x14ac:dyDescent="0.25">
      <c r="A144" s="5" t="s">
        <v>177</v>
      </c>
      <c r="B144" s="3">
        <v>62595.665712000002</v>
      </c>
      <c r="C144" s="3">
        <v>62613.318183999996</v>
      </c>
      <c r="D144" s="3">
        <v>35.46</v>
      </c>
      <c r="E144" s="3">
        <v>35.47</v>
      </c>
      <c r="F144" t="str">
        <f>Sheet1!E142</f>
        <v>GBTC</v>
      </c>
      <c r="G144" t="str">
        <f>Sheet1!F142</f>
        <v>BRRR</v>
      </c>
      <c r="H144" s="3">
        <f t="shared" si="7"/>
        <v>-9.9999999999980105E-3</v>
      </c>
      <c r="I144" s="3">
        <f t="shared" si="8"/>
        <v>-9.9999999999980105E-3</v>
      </c>
    </row>
    <row r="145" spans="1:9" x14ac:dyDescent="0.25">
      <c r="A145" s="5" t="s">
        <v>178</v>
      </c>
      <c r="B145" s="3">
        <v>62595.665712000002</v>
      </c>
      <c r="C145" s="3">
        <v>62613.318183999996</v>
      </c>
      <c r="D145" s="3">
        <v>35.46</v>
      </c>
      <c r="E145" s="3">
        <v>35.47</v>
      </c>
      <c r="F145" t="str">
        <f>Sheet1!E143</f>
        <v>GBTC</v>
      </c>
      <c r="G145" t="str">
        <f>Sheet1!F143</f>
        <v>BRRR</v>
      </c>
      <c r="H145" s="3">
        <f t="shared" si="7"/>
        <v>-0.13000000000000256</v>
      </c>
      <c r="I145" s="3">
        <f t="shared" si="8"/>
        <v>0.10999999999999943</v>
      </c>
    </row>
    <row r="146" spans="1:9" x14ac:dyDescent="0.25">
      <c r="A146" s="5" t="s">
        <v>179</v>
      </c>
      <c r="B146" s="3">
        <v>62807.495375999999</v>
      </c>
      <c r="C146" s="3">
        <v>62825.147848000008</v>
      </c>
      <c r="D146" s="3">
        <v>35.58</v>
      </c>
      <c r="E146" s="3">
        <v>35.590000000000003</v>
      </c>
      <c r="F146" t="str">
        <f>Sheet1!E144</f>
        <v>GBTC</v>
      </c>
      <c r="G146" t="str">
        <f>Sheet1!F144</f>
        <v>BRRR</v>
      </c>
      <c r="H146" s="3">
        <f t="shared" si="7"/>
        <v>3.9999999999999147E-2</v>
      </c>
      <c r="I146" s="3">
        <f t="shared" si="8"/>
        <v>-6.0000000000002274E-2</v>
      </c>
    </row>
    <row r="147" spans="1:9" x14ac:dyDescent="0.25">
      <c r="A147" s="5" t="s">
        <v>180</v>
      </c>
      <c r="B147" s="3">
        <v>62719.233016000006</v>
      </c>
      <c r="C147" s="3">
        <v>62736.885488</v>
      </c>
      <c r="D147" s="3">
        <v>35.53</v>
      </c>
      <c r="E147" s="3">
        <v>35.54</v>
      </c>
      <c r="F147" t="str">
        <f>Sheet1!E145</f>
        <v>BTC</v>
      </c>
      <c r="G147" t="str">
        <f>Sheet1!F145</f>
        <v>HODL</v>
      </c>
      <c r="H147" s="3">
        <f t="shared" si="7"/>
        <v>-1.9999999999996021E-2</v>
      </c>
      <c r="I147" s="3">
        <f t="shared" si="8"/>
        <v>0</v>
      </c>
    </row>
    <row r="148" spans="1:9" x14ac:dyDescent="0.25">
      <c r="A148" s="5" t="s">
        <v>181</v>
      </c>
      <c r="B148" s="3">
        <v>62736.885488</v>
      </c>
      <c r="C148" s="3">
        <v>62754.537959999994</v>
      </c>
      <c r="D148" s="3">
        <v>35.54</v>
      </c>
      <c r="E148" s="3">
        <v>35.549999999999997</v>
      </c>
      <c r="F148" t="str">
        <f>Sheet1!E146</f>
        <v>BTC</v>
      </c>
      <c r="G148" t="str">
        <f>Sheet1!F146</f>
        <v>BRRR</v>
      </c>
      <c r="H148" s="3">
        <f t="shared" si="7"/>
        <v>7.9999999999998295E-2</v>
      </c>
      <c r="I148" s="3">
        <f t="shared" si="8"/>
        <v>-9.9999999999994316E-2</v>
      </c>
    </row>
    <row r="149" spans="1:9" x14ac:dyDescent="0.25">
      <c r="A149" s="5" t="s">
        <v>182</v>
      </c>
      <c r="B149" s="3">
        <v>62578.013240000007</v>
      </c>
      <c r="C149" s="3">
        <v>62595.665712000002</v>
      </c>
      <c r="D149" s="3">
        <v>35.450000000000003</v>
      </c>
      <c r="E149" s="3">
        <v>35.46</v>
      </c>
      <c r="F149" t="str">
        <f>Sheet1!E147</f>
        <v>FBTC</v>
      </c>
      <c r="G149" t="str">
        <f>Sheet1!F147</f>
        <v>IBIT</v>
      </c>
      <c r="H149" s="3">
        <f t="shared" si="7"/>
        <v>-4.9999999999997158E-2</v>
      </c>
      <c r="I149" s="3">
        <f t="shared" si="8"/>
        <v>3.0000000000001137E-2</v>
      </c>
    </row>
    <row r="150" spans="1:9" x14ac:dyDescent="0.25">
      <c r="A150" s="5" t="s">
        <v>183</v>
      </c>
      <c r="B150" s="3">
        <v>62648.623128000007</v>
      </c>
      <c r="C150" s="3">
        <v>62666.275600000001</v>
      </c>
      <c r="D150" s="3">
        <v>35.49</v>
      </c>
      <c r="E150" s="3">
        <v>35.5</v>
      </c>
      <c r="F150" t="str">
        <f>Sheet1!E148</f>
        <v>BITB</v>
      </c>
      <c r="G150" t="str">
        <f>Sheet1!F148</f>
        <v>FBTC</v>
      </c>
      <c r="H150" s="3">
        <f t="shared" si="7"/>
        <v>-5.9999999999995168E-2</v>
      </c>
      <c r="I150" s="3">
        <f t="shared" si="8"/>
        <v>3.9999999999999147E-2</v>
      </c>
    </row>
    <row r="151" spans="1:9" x14ac:dyDescent="0.25">
      <c r="A151" s="5" t="s">
        <v>184</v>
      </c>
      <c r="B151" s="3">
        <v>62736.885488</v>
      </c>
      <c r="C151" s="3">
        <v>62754.537959999994</v>
      </c>
      <c r="D151" s="3">
        <v>35.54</v>
      </c>
      <c r="E151" s="3">
        <v>35.549999999999997</v>
      </c>
      <c r="F151" t="str">
        <f>Sheet1!E149</f>
        <v>HODL</v>
      </c>
      <c r="G151" t="str">
        <f>Sheet1!F149</f>
        <v>FBTC</v>
      </c>
      <c r="H151" s="3">
        <f t="shared" si="7"/>
        <v>-9.0000000000003411E-2</v>
      </c>
      <c r="I151" s="3">
        <f t="shared" si="8"/>
        <v>7.0000000000000284E-2</v>
      </c>
    </row>
    <row r="152" spans="1:9" x14ac:dyDescent="0.25">
      <c r="A152" s="5" t="s">
        <v>185</v>
      </c>
      <c r="B152" s="3">
        <v>62878.105263999998</v>
      </c>
      <c r="C152" s="3">
        <v>62895.757736000007</v>
      </c>
      <c r="D152" s="3">
        <v>35.619999999999997</v>
      </c>
      <c r="E152" s="3">
        <v>35.630000000000003</v>
      </c>
      <c r="F152" t="str">
        <f>Sheet1!E150</f>
        <v>HODL</v>
      </c>
      <c r="G152" t="str">
        <f>Sheet1!F150</f>
        <v>FBTC</v>
      </c>
      <c r="H152" s="3"/>
      <c r="I152" s="3"/>
    </row>
    <row r="153" spans="1:9" x14ac:dyDescent="0.25">
      <c r="A153" s="5" t="s">
        <v>186</v>
      </c>
      <c r="B153" s="3">
        <v>65032.152612000005</v>
      </c>
      <c r="C153" s="3">
        <v>65049.805204999997</v>
      </c>
      <c r="D153" s="3">
        <v>36.840000000000003</v>
      </c>
      <c r="E153" s="3">
        <v>36.85</v>
      </c>
      <c r="F153" t="str">
        <f>Sheet1!E151</f>
        <v>IBIT</v>
      </c>
      <c r="G153" t="str">
        <f>Sheet1!F151</f>
        <v>IBIT</v>
      </c>
      <c r="H153" s="3">
        <f t="shared" si="7"/>
        <v>0</v>
      </c>
      <c r="I153" s="3">
        <f t="shared" si="8"/>
        <v>-2.0000000000003126E-2</v>
      </c>
    </row>
    <row r="154" spans="1:9" x14ac:dyDescent="0.25">
      <c r="A154" s="5" t="s">
        <v>187</v>
      </c>
      <c r="B154" s="3">
        <v>65014.500018999992</v>
      </c>
      <c r="C154" s="3">
        <v>65032.152612000005</v>
      </c>
      <c r="D154" s="3">
        <v>36.83</v>
      </c>
      <c r="E154" s="3">
        <v>36.840000000000003</v>
      </c>
      <c r="F154" t="str">
        <f>Sheet1!E152</f>
        <v>BTC</v>
      </c>
      <c r="G154" t="str">
        <f>Sheet1!F152</f>
        <v>BITB</v>
      </c>
      <c r="H154" s="3">
        <f t="shared" si="7"/>
        <v>-0.21999999999999886</v>
      </c>
      <c r="I154" s="3">
        <f t="shared" si="8"/>
        <v>0.19999999999999574</v>
      </c>
    </row>
    <row r="155" spans="1:9" x14ac:dyDescent="0.25">
      <c r="A155" s="5" t="s">
        <v>188</v>
      </c>
      <c r="B155" s="3">
        <v>65385.204471999998</v>
      </c>
      <c r="C155" s="3">
        <v>65402.857064999989</v>
      </c>
      <c r="D155" s="3">
        <v>37.04</v>
      </c>
      <c r="E155" s="3">
        <v>37.049999999999997</v>
      </c>
      <c r="F155" t="str">
        <f>Sheet1!E153</f>
        <v>BTC</v>
      </c>
      <c r="G155" t="str">
        <f>Sheet1!F153</f>
        <v>FBTC</v>
      </c>
      <c r="H155" s="3">
        <f t="shared" si="7"/>
        <v>-9.9999999999980105E-3</v>
      </c>
      <c r="I155" s="3">
        <f t="shared" si="8"/>
        <v>-9.9999999999980105E-3</v>
      </c>
    </row>
    <row r="156" spans="1:9" x14ac:dyDescent="0.25">
      <c r="A156" s="5" t="s">
        <v>189</v>
      </c>
      <c r="B156" s="3">
        <v>65385.204471999998</v>
      </c>
      <c r="C156" s="3">
        <v>65402.857064999989</v>
      </c>
      <c r="D156" s="3">
        <v>37.04</v>
      </c>
      <c r="E156" s="3">
        <v>37.049999999999997</v>
      </c>
      <c r="F156" t="str">
        <f>Sheet1!E154</f>
        <v>IBIT</v>
      </c>
      <c r="G156" t="str">
        <f>Sheet1!F154</f>
        <v>FBTC</v>
      </c>
      <c r="H156" s="3">
        <f t="shared" si="7"/>
        <v>0.11999999999999744</v>
      </c>
      <c r="I156" s="3">
        <f t="shared" si="8"/>
        <v>-0.14000000000000057</v>
      </c>
    </row>
    <row r="157" spans="1:9" x14ac:dyDescent="0.25">
      <c r="A157" s="5" t="s">
        <v>190</v>
      </c>
      <c r="B157" s="3">
        <v>65155.72076299999</v>
      </c>
      <c r="C157" s="3">
        <v>65173.373356000004</v>
      </c>
      <c r="D157" s="3">
        <v>36.909999999999997</v>
      </c>
      <c r="E157" s="3">
        <v>36.92</v>
      </c>
      <c r="F157" t="str">
        <f>Sheet1!E155</f>
        <v>BTCW</v>
      </c>
      <c r="G157" t="str">
        <f>Sheet1!F155</f>
        <v>FBTC</v>
      </c>
      <c r="H157" s="3">
        <f t="shared" si="7"/>
        <v>0.1699999999999946</v>
      </c>
      <c r="I157" s="3">
        <f t="shared" si="8"/>
        <v>-0.19000000000000483</v>
      </c>
    </row>
    <row r="158" spans="1:9" x14ac:dyDescent="0.25">
      <c r="A158" s="5" t="s">
        <v>191</v>
      </c>
      <c r="B158" s="3">
        <v>64837.974088999996</v>
      </c>
      <c r="C158" s="3">
        <v>64855.626682000002</v>
      </c>
      <c r="D158" s="3">
        <v>36.729999999999997</v>
      </c>
      <c r="E158" s="3">
        <v>36.74</v>
      </c>
      <c r="F158" t="str">
        <f>Sheet1!E156</f>
        <v>BITB</v>
      </c>
      <c r="G158" t="str">
        <f>Sheet1!F156</f>
        <v>BRRR</v>
      </c>
      <c r="H158" s="3">
        <f t="shared" si="7"/>
        <v>-2.0000000000003126E-2</v>
      </c>
      <c r="I158" s="3">
        <f t="shared" si="8"/>
        <v>0</v>
      </c>
    </row>
    <row r="159" spans="1:9" x14ac:dyDescent="0.25">
      <c r="A159" s="5" t="s">
        <v>192</v>
      </c>
      <c r="B159" s="3">
        <v>64855.626682000002</v>
      </c>
      <c r="C159" s="3">
        <v>64873.279275000001</v>
      </c>
      <c r="D159" s="3">
        <v>36.74</v>
      </c>
      <c r="E159" s="3">
        <v>36.75</v>
      </c>
      <c r="F159" t="str">
        <f>Sheet1!E157</f>
        <v>EZBC</v>
      </c>
      <c r="G159" t="str">
        <f>Sheet1!F157</f>
        <v>BRRR</v>
      </c>
      <c r="H159" s="3">
        <f t="shared" si="7"/>
        <v>-8.9999999999996305E-2</v>
      </c>
      <c r="I159" s="3">
        <f t="shared" si="8"/>
        <v>7.0000000000000284E-2</v>
      </c>
    </row>
    <row r="160" spans="1:9" x14ac:dyDescent="0.25">
      <c r="A160" s="5" t="s">
        <v>193</v>
      </c>
      <c r="B160" s="3">
        <v>64996.847426</v>
      </c>
      <c r="C160" s="3">
        <v>65014.500018999992</v>
      </c>
      <c r="D160" s="3">
        <v>36.82</v>
      </c>
      <c r="E160" s="3">
        <v>36.83</v>
      </c>
      <c r="F160" t="str">
        <f>Sheet1!E158</f>
        <v>GBTC</v>
      </c>
      <c r="G160" t="str">
        <f>Sheet1!F158</f>
        <v>FBTC</v>
      </c>
      <c r="H160" s="3">
        <f t="shared" si="7"/>
        <v>9.9999999999980105E-3</v>
      </c>
      <c r="I160" s="3">
        <f t="shared" si="8"/>
        <v>-3.0000000000001137E-2</v>
      </c>
    </row>
    <row r="161" spans="1:9" x14ac:dyDescent="0.25">
      <c r="A161" s="5" t="s">
        <v>194</v>
      </c>
      <c r="B161" s="3">
        <v>64961.542239999995</v>
      </c>
      <c r="C161" s="3">
        <v>64979.194833000001</v>
      </c>
      <c r="D161" s="3">
        <v>36.799999999999997</v>
      </c>
      <c r="E161" s="3">
        <v>36.81</v>
      </c>
      <c r="F161" t="str">
        <f>Sheet1!E159</f>
        <v>GBTC</v>
      </c>
      <c r="G161" t="str">
        <f>Sheet1!F159</f>
        <v>FBTC</v>
      </c>
      <c r="H161" s="3">
        <f t="shared" si="7"/>
        <v>-1.0000000000005116E-2</v>
      </c>
      <c r="I161" s="3">
        <f t="shared" si="8"/>
        <v>-1.0000000000005116E-2</v>
      </c>
    </row>
    <row r="162" spans="1:9" x14ac:dyDescent="0.25">
      <c r="A162" s="5" t="s">
        <v>195</v>
      </c>
      <c r="B162" s="3">
        <v>64961.542239999995</v>
      </c>
      <c r="C162" s="3">
        <v>64979.194833000001</v>
      </c>
      <c r="D162" s="3">
        <v>36.799999999999997</v>
      </c>
      <c r="E162" s="3">
        <v>36.81</v>
      </c>
      <c r="F162" t="str">
        <f>Sheet1!E160</f>
        <v>BRRR</v>
      </c>
      <c r="G162" t="str">
        <f>Sheet1!F160</f>
        <v>FBTC</v>
      </c>
      <c r="H162" s="3">
        <f t="shared" si="7"/>
        <v>0</v>
      </c>
      <c r="I162" s="3">
        <f t="shared" si="8"/>
        <v>-2.0000000000003126E-2</v>
      </c>
    </row>
    <row r="163" spans="1:9" x14ac:dyDescent="0.25">
      <c r="A163" s="5" t="s">
        <v>196</v>
      </c>
      <c r="B163" s="3">
        <v>64943.889646999996</v>
      </c>
      <c r="C163" s="3">
        <v>64961.542239999995</v>
      </c>
      <c r="D163" s="3">
        <v>36.79</v>
      </c>
      <c r="E163" s="3">
        <v>36.799999999999997</v>
      </c>
      <c r="F163" t="str">
        <f>Sheet1!E161</f>
        <v>BTC</v>
      </c>
      <c r="G163" t="str">
        <f>Sheet1!F161</f>
        <v>FBTC</v>
      </c>
      <c r="H163" s="3">
        <f t="shared" si="7"/>
        <v>0.14000000000000057</v>
      </c>
      <c r="I163" s="3">
        <f t="shared" si="8"/>
        <v>-0.15999999999999659</v>
      </c>
    </row>
    <row r="164" spans="1:9" x14ac:dyDescent="0.25">
      <c r="A164" s="5" t="s">
        <v>197</v>
      </c>
      <c r="B164" s="3">
        <v>64679.100751999998</v>
      </c>
      <c r="C164" s="3">
        <v>64696.753344999997</v>
      </c>
      <c r="D164" s="3">
        <v>36.64</v>
      </c>
      <c r="E164" s="3">
        <v>36.65</v>
      </c>
      <c r="F164" t="str">
        <f>Sheet1!E162</f>
        <v>EZBC</v>
      </c>
      <c r="G164" t="str">
        <f>Sheet1!F162</f>
        <v>FBTC</v>
      </c>
      <c r="H164" s="3">
        <f t="shared" si="7"/>
        <v>4.9999999999997158E-2</v>
      </c>
      <c r="I164" s="3">
        <f t="shared" si="8"/>
        <v>-7.0000000000000284E-2</v>
      </c>
    </row>
    <row r="165" spans="1:9" x14ac:dyDescent="0.25">
      <c r="A165" s="5" t="s">
        <v>198</v>
      </c>
      <c r="B165" s="3">
        <v>64573.185193999998</v>
      </c>
      <c r="C165" s="3">
        <v>64590.837787000004</v>
      </c>
      <c r="D165" s="3">
        <v>36.58</v>
      </c>
      <c r="E165" s="3">
        <v>36.590000000000003</v>
      </c>
      <c r="F165" t="str">
        <f>Sheet1!E163</f>
        <v>BRRR</v>
      </c>
      <c r="G165" t="str">
        <f>Sheet1!F163</f>
        <v>FBTC</v>
      </c>
      <c r="H165" s="3">
        <f t="shared" si="7"/>
        <v>-1.0000000000005116E-2</v>
      </c>
      <c r="I165" s="3">
        <f t="shared" si="8"/>
        <v>-1.0000000000005116E-2</v>
      </c>
    </row>
    <row r="166" spans="1:9" x14ac:dyDescent="0.25">
      <c r="A166" s="5" t="s">
        <v>199</v>
      </c>
      <c r="B166" s="3">
        <v>64573.185193999998</v>
      </c>
      <c r="C166" s="3">
        <v>64590.837787000004</v>
      </c>
      <c r="D166" s="3">
        <v>36.58</v>
      </c>
      <c r="E166" s="3">
        <v>36.590000000000003</v>
      </c>
      <c r="F166" t="str">
        <f>Sheet1!E164</f>
        <v>BRRR</v>
      </c>
      <c r="G166" t="str">
        <f>Sheet1!F164</f>
        <v>GBTC</v>
      </c>
      <c r="H166" s="3">
        <f t="shared" si="7"/>
        <v>4.9999999999997158E-2</v>
      </c>
      <c r="I166" s="3">
        <f t="shared" si="8"/>
        <v>-7.0000000000000284E-2</v>
      </c>
    </row>
    <row r="167" spans="1:9" x14ac:dyDescent="0.25">
      <c r="A167" s="5" t="s">
        <v>200</v>
      </c>
      <c r="B167" s="3">
        <v>64467.269636000005</v>
      </c>
      <c r="C167" s="3">
        <v>64484.922229000003</v>
      </c>
      <c r="D167" s="3">
        <v>36.520000000000003</v>
      </c>
      <c r="E167" s="3">
        <v>36.53</v>
      </c>
      <c r="F167" t="str">
        <f>Sheet1!E165</f>
        <v>ARKB</v>
      </c>
      <c r="G167" t="str">
        <f>Sheet1!F165</f>
        <v>IBIT</v>
      </c>
      <c r="H167" s="3">
        <f t="shared" si="7"/>
        <v>-7.0000000000000284E-2</v>
      </c>
      <c r="I167" s="3">
        <f t="shared" si="8"/>
        <v>4.9999999999997158E-2</v>
      </c>
    </row>
    <row r="168" spans="1:9" x14ac:dyDescent="0.25">
      <c r="A168" s="5" t="s">
        <v>201</v>
      </c>
      <c r="B168" s="3">
        <v>64573.185193999998</v>
      </c>
      <c r="C168" s="3">
        <v>64590.837787000004</v>
      </c>
      <c r="D168" s="3">
        <v>36.58</v>
      </c>
      <c r="E168" s="3">
        <v>36.590000000000003</v>
      </c>
      <c r="F168" t="str">
        <f>Sheet1!E166</f>
        <v>GBTC</v>
      </c>
      <c r="G168" t="str">
        <f>Sheet1!F166</f>
        <v>FBTC</v>
      </c>
      <c r="H168" s="3">
        <f t="shared" si="7"/>
        <v>-1.0000000000005116E-2</v>
      </c>
      <c r="I168" s="3">
        <f t="shared" si="8"/>
        <v>-1.0000000000005116E-2</v>
      </c>
    </row>
    <row r="169" spans="1:9" x14ac:dyDescent="0.25">
      <c r="A169" s="5" t="s">
        <v>202</v>
      </c>
      <c r="B169" s="3">
        <v>64573.185193999998</v>
      </c>
      <c r="C169" s="3">
        <v>64590.837787000004</v>
      </c>
      <c r="D169" s="3">
        <v>36.58</v>
      </c>
      <c r="E169" s="3">
        <v>36.590000000000003</v>
      </c>
      <c r="F169" t="str">
        <f>Sheet1!E167</f>
        <v>GBTC</v>
      </c>
      <c r="G169" t="str">
        <f>Sheet1!F167</f>
        <v>IBIT</v>
      </c>
      <c r="H169" s="3">
        <f t="shared" si="7"/>
        <v>0.12999999999999545</v>
      </c>
      <c r="I169" s="3">
        <f t="shared" si="8"/>
        <v>-0.15000000000000568</v>
      </c>
    </row>
    <row r="170" spans="1:9" x14ac:dyDescent="0.25">
      <c r="A170" s="5" t="s">
        <v>203</v>
      </c>
      <c r="B170" s="3">
        <v>64326.048891999992</v>
      </c>
      <c r="C170" s="3">
        <v>64343.701485000005</v>
      </c>
      <c r="D170" s="3">
        <v>36.44</v>
      </c>
      <c r="E170" s="3">
        <v>36.450000000000003</v>
      </c>
      <c r="F170" t="str">
        <f>Sheet1!E168</f>
        <v>BITB</v>
      </c>
      <c r="G170" t="str">
        <f>Sheet1!F168</f>
        <v>FBTC</v>
      </c>
      <c r="H170" s="3">
        <f t="shared" si="7"/>
        <v>-5.0000000000004263E-2</v>
      </c>
      <c r="I170" s="3">
        <f t="shared" si="8"/>
        <v>2.9999999999994031E-2</v>
      </c>
    </row>
    <row r="171" spans="1:9" x14ac:dyDescent="0.25">
      <c r="A171" s="5" t="s">
        <v>204</v>
      </c>
      <c r="B171" s="3">
        <v>64396.659263999994</v>
      </c>
      <c r="C171" s="3">
        <v>64414.311857000001</v>
      </c>
      <c r="D171" s="3">
        <v>36.479999999999997</v>
      </c>
      <c r="E171" s="3">
        <v>36.49</v>
      </c>
      <c r="F171" t="str">
        <f>Sheet1!E169</f>
        <v>GBTC</v>
      </c>
      <c r="G171" t="str">
        <f>Sheet1!F169</f>
        <v>IBIT</v>
      </c>
      <c r="H171" s="3">
        <f t="shared" si="7"/>
        <v>-8.00000000000054E-2</v>
      </c>
      <c r="I171" s="3">
        <f t="shared" si="8"/>
        <v>5.9999999999995168E-2</v>
      </c>
    </row>
    <row r="172" spans="1:9" x14ac:dyDescent="0.25">
      <c r="A172" s="5" t="s">
        <v>205</v>
      </c>
      <c r="B172" s="3">
        <v>64520.227414999994</v>
      </c>
      <c r="C172" s="3">
        <v>64537.880008</v>
      </c>
      <c r="D172" s="3">
        <v>36.549999999999997</v>
      </c>
      <c r="E172" s="3">
        <v>36.56</v>
      </c>
      <c r="F172" t="str">
        <f>Sheet1!E170</f>
        <v>EZBC</v>
      </c>
      <c r="G172" t="str">
        <f>Sheet1!F170</f>
        <v>IBIT</v>
      </c>
      <c r="H172" s="3">
        <f t="shared" si="7"/>
        <v>-6.0000000000002274E-2</v>
      </c>
      <c r="I172" s="3">
        <f t="shared" si="8"/>
        <v>3.9999999999999147E-2</v>
      </c>
    </row>
    <row r="173" spans="1:9" x14ac:dyDescent="0.25">
      <c r="A173" s="5" t="s">
        <v>206</v>
      </c>
      <c r="B173" s="3">
        <v>64608.490380000003</v>
      </c>
      <c r="C173" s="3">
        <v>64626.142972999995</v>
      </c>
      <c r="D173" s="3">
        <v>36.6</v>
      </c>
      <c r="E173" s="3">
        <v>36.61</v>
      </c>
      <c r="F173" t="str">
        <f>Sheet1!E171</f>
        <v>GBTC</v>
      </c>
      <c r="G173" t="str">
        <f>Sheet1!F171</f>
        <v>IBIT</v>
      </c>
      <c r="H173" s="3">
        <f t="shared" si="7"/>
        <v>3.9999999999999147E-2</v>
      </c>
      <c r="I173" s="3">
        <f t="shared" si="8"/>
        <v>-6.0000000000002274E-2</v>
      </c>
    </row>
    <row r="174" spans="1:9" x14ac:dyDescent="0.25">
      <c r="A174" s="5" t="s">
        <v>207</v>
      </c>
      <c r="B174" s="3">
        <v>64520.227414999994</v>
      </c>
      <c r="C174" s="3">
        <v>64537.880008</v>
      </c>
      <c r="D174" s="3">
        <v>36.549999999999997</v>
      </c>
      <c r="E174" s="3">
        <v>36.56</v>
      </c>
      <c r="F174" t="str">
        <f>Sheet1!E172</f>
        <v>EZBC</v>
      </c>
      <c r="G174" t="str">
        <f>Sheet1!F172</f>
        <v>IBIT</v>
      </c>
      <c r="H174" s="3">
        <f t="shared" si="7"/>
        <v>0.10999999999999943</v>
      </c>
      <c r="I174" s="3">
        <f t="shared" si="8"/>
        <v>-0.13000000000000256</v>
      </c>
    </row>
    <row r="175" spans="1:9" x14ac:dyDescent="0.25">
      <c r="A175" s="5" t="s">
        <v>208</v>
      </c>
      <c r="B175" s="3">
        <v>64308.396299</v>
      </c>
      <c r="C175" s="3">
        <v>64326.048891999992</v>
      </c>
      <c r="D175" s="3">
        <v>36.43</v>
      </c>
      <c r="E175" s="3">
        <v>36.44</v>
      </c>
      <c r="F175" t="str">
        <f>Sheet1!E173</f>
        <v>BITB</v>
      </c>
      <c r="G175" t="str">
        <f>Sheet1!F173</f>
        <v>IBIT</v>
      </c>
      <c r="H175" s="3">
        <f t="shared" si="7"/>
        <v>2.0000000000003126E-2</v>
      </c>
      <c r="I175" s="3">
        <f t="shared" si="8"/>
        <v>-3.9999999999999147E-2</v>
      </c>
    </row>
    <row r="176" spans="1:9" x14ac:dyDescent="0.25">
      <c r="A176" s="5" t="s">
        <v>209</v>
      </c>
      <c r="B176" s="3">
        <v>64255.438519999996</v>
      </c>
      <c r="C176" s="3">
        <v>64273.091112999995</v>
      </c>
      <c r="D176" s="3">
        <v>36.4</v>
      </c>
      <c r="E176" s="3">
        <v>36.409999999999997</v>
      </c>
      <c r="F176" t="str">
        <f>Sheet1!E174</f>
        <v>FBTC</v>
      </c>
      <c r="G176" t="str">
        <f>Sheet1!F174</f>
        <v>IBIT</v>
      </c>
      <c r="H176" s="3">
        <f t="shared" si="7"/>
        <v>-9.9999999999980105E-3</v>
      </c>
      <c r="I176" s="3">
        <f t="shared" si="8"/>
        <v>-9.9999999999980105E-3</v>
      </c>
    </row>
    <row r="177" spans="1:9" x14ac:dyDescent="0.25">
      <c r="A177" s="5" t="s">
        <v>210</v>
      </c>
      <c r="B177" s="3">
        <v>64255.438519999996</v>
      </c>
      <c r="C177" s="3">
        <v>64273.091112999995</v>
      </c>
      <c r="D177" s="3">
        <v>36.4</v>
      </c>
      <c r="E177" s="3">
        <v>36.409999999999997</v>
      </c>
      <c r="F177" t="str">
        <f>Sheet1!E175</f>
        <v>BITB</v>
      </c>
      <c r="G177" t="str">
        <f>Sheet1!F175</f>
        <v>IBIT</v>
      </c>
      <c r="H177" s="3">
        <f t="shared" si="7"/>
        <v>-9.9999999999980105E-3</v>
      </c>
      <c r="I177" s="3">
        <f t="shared" si="8"/>
        <v>-9.9999999999980105E-3</v>
      </c>
    </row>
    <row r="178" spans="1:9" x14ac:dyDescent="0.25">
      <c r="A178" s="5" t="s">
        <v>211</v>
      </c>
      <c r="B178" s="3">
        <v>64255.438519999996</v>
      </c>
      <c r="C178" s="3">
        <v>64273.091112999995</v>
      </c>
      <c r="D178" s="3">
        <v>36.4</v>
      </c>
      <c r="E178" s="3">
        <v>36.409999999999997</v>
      </c>
      <c r="F178" t="str">
        <f>Sheet1!E176</f>
        <v>BITB</v>
      </c>
      <c r="G178" t="str">
        <f>Sheet1!F176</f>
        <v>FBTC</v>
      </c>
      <c r="H178" s="3">
        <f t="shared" si="7"/>
        <v>0</v>
      </c>
      <c r="I178" s="3">
        <f t="shared" si="8"/>
        <v>-1.9999999999996021E-2</v>
      </c>
    </row>
    <row r="179" spans="1:9" x14ac:dyDescent="0.25">
      <c r="A179" s="5" t="s">
        <v>212</v>
      </c>
      <c r="B179" s="3">
        <v>64237.785926999997</v>
      </c>
      <c r="C179" s="3">
        <v>64255.438519999996</v>
      </c>
      <c r="D179" s="3">
        <v>36.39</v>
      </c>
      <c r="E179" s="3">
        <v>36.4</v>
      </c>
      <c r="F179" t="str">
        <f>Sheet1!E177</f>
        <v>BITB</v>
      </c>
      <c r="G179" t="str">
        <f>Sheet1!F177</f>
        <v>IBIT</v>
      </c>
      <c r="H179" s="3"/>
      <c r="I179" s="3"/>
    </row>
    <row r="180" spans="1:9" x14ac:dyDescent="0.25">
      <c r="A180" s="5" t="s">
        <v>220</v>
      </c>
      <c r="B180" s="3">
        <v>62331.733134000009</v>
      </c>
      <c r="C180" s="3">
        <v>62349.385848000005</v>
      </c>
      <c r="D180" s="3">
        <v>35.31</v>
      </c>
      <c r="E180" s="3">
        <v>35.32</v>
      </c>
      <c r="F180" t="str">
        <f>Sheet1!E178</f>
        <v>BTC</v>
      </c>
      <c r="G180" t="str">
        <f>Sheet1!F178</f>
        <v>IBIT</v>
      </c>
    </row>
    <row r="181" spans="1:9" x14ac:dyDescent="0.25">
      <c r="A181" s="5" t="s">
        <v>221</v>
      </c>
      <c r="B181" s="3">
        <v>62419.996704000005</v>
      </c>
      <c r="C181" s="3">
        <v>62437.649418000001</v>
      </c>
      <c r="D181" s="3">
        <v>35.36</v>
      </c>
      <c r="E181" s="3">
        <v>35.369999999999997</v>
      </c>
    </row>
    <row r="182" spans="1:9" x14ac:dyDescent="0.25">
      <c r="A182" s="5" t="s">
        <v>222</v>
      </c>
      <c r="B182" s="3">
        <v>62508.260274</v>
      </c>
      <c r="C182" s="3">
        <v>62525.912988000004</v>
      </c>
      <c r="D182" s="3">
        <v>35.409999999999997</v>
      </c>
      <c r="E182" s="3">
        <v>35.42</v>
      </c>
    </row>
    <row r="183" spans="1:9" x14ac:dyDescent="0.25">
      <c r="A183" s="5" t="s">
        <v>223</v>
      </c>
      <c r="B183" s="3">
        <v>62631.829271999995</v>
      </c>
      <c r="C183" s="3">
        <v>62649.481986000006</v>
      </c>
      <c r="D183" s="3">
        <v>35.479999999999997</v>
      </c>
      <c r="E183" s="3">
        <v>35.49</v>
      </c>
    </row>
    <row r="184" spans="1:9" x14ac:dyDescent="0.25">
      <c r="A184" s="5" t="s">
        <v>224</v>
      </c>
      <c r="B184" s="3">
        <v>62455.302132000004</v>
      </c>
      <c r="C184" s="3">
        <v>62472.954846000001</v>
      </c>
      <c r="D184" s="3">
        <v>35.380000000000003</v>
      </c>
      <c r="E184" s="3">
        <v>35.39</v>
      </c>
    </row>
    <row r="185" spans="1:9" x14ac:dyDescent="0.25">
      <c r="A185" s="5" t="s">
        <v>225</v>
      </c>
      <c r="B185" s="3">
        <v>62314.080419999998</v>
      </c>
      <c r="C185" s="3">
        <v>62331.733134000009</v>
      </c>
      <c r="D185" s="3">
        <v>35.299999999999997</v>
      </c>
      <c r="E185" s="3">
        <v>35.31</v>
      </c>
    </row>
    <row r="186" spans="1:9" x14ac:dyDescent="0.25">
      <c r="A186" s="5" t="s">
        <v>226</v>
      </c>
      <c r="B186" s="3">
        <v>62172.858708</v>
      </c>
      <c r="C186" s="3">
        <v>62190.511421999996</v>
      </c>
      <c r="D186" s="3">
        <v>35.22</v>
      </c>
      <c r="E186" s="3">
        <v>35.229999999999997</v>
      </c>
    </row>
    <row r="187" spans="1:9" x14ac:dyDescent="0.25">
      <c r="A187" s="5" t="s">
        <v>227</v>
      </c>
      <c r="B187" s="3">
        <v>62278.774992000006</v>
      </c>
      <c r="C187" s="3">
        <v>62296.427706000002</v>
      </c>
      <c r="D187" s="3">
        <v>35.28</v>
      </c>
      <c r="E187" s="3">
        <v>35.29</v>
      </c>
    </row>
    <row r="188" spans="1:9" x14ac:dyDescent="0.25">
      <c r="A188" s="5" t="s">
        <v>228</v>
      </c>
      <c r="B188" s="3">
        <v>62225.816850000003</v>
      </c>
      <c r="C188" s="3">
        <v>62243.469563999999</v>
      </c>
      <c r="D188" s="3">
        <v>35.25</v>
      </c>
      <c r="E188" s="3">
        <v>35.26</v>
      </c>
    </row>
    <row r="189" spans="1:9" x14ac:dyDescent="0.25">
      <c r="A189" s="5" t="s">
        <v>229</v>
      </c>
      <c r="B189" s="3">
        <v>62596.523844000003</v>
      </c>
      <c r="C189" s="3">
        <v>62614.176557999999</v>
      </c>
      <c r="D189" s="3">
        <v>35.46</v>
      </c>
      <c r="E189" s="3">
        <v>35.47</v>
      </c>
    </row>
    <row r="190" spans="1:9" x14ac:dyDescent="0.25">
      <c r="A190" s="5" t="s">
        <v>230</v>
      </c>
      <c r="B190" s="3">
        <v>62472.954846000001</v>
      </c>
      <c r="C190" s="3">
        <v>62490.607560000004</v>
      </c>
      <c r="D190" s="3">
        <v>35.39</v>
      </c>
      <c r="E190" s="3">
        <v>35.4</v>
      </c>
    </row>
    <row r="191" spans="1:9" x14ac:dyDescent="0.25">
      <c r="A191" s="5" t="s">
        <v>231</v>
      </c>
      <c r="B191" s="3">
        <v>62490.607560000004</v>
      </c>
      <c r="C191" s="3">
        <v>62508.260274</v>
      </c>
      <c r="D191" s="3">
        <v>35.4</v>
      </c>
      <c r="E191" s="3">
        <v>35.409999999999997</v>
      </c>
    </row>
    <row r="192" spans="1:9" x14ac:dyDescent="0.25">
      <c r="A192" s="5" t="s">
        <v>232</v>
      </c>
      <c r="B192" s="3">
        <v>62419.996704000005</v>
      </c>
      <c r="C192" s="3">
        <v>62437.649418000001</v>
      </c>
      <c r="D192" s="3">
        <v>35.36</v>
      </c>
      <c r="E192" s="3">
        <v>35.369999999999997</v>
      </c>
    </row>
    <row r="193" spans="1:5" x14ac:dyDescent="0.25">
      <c r="A193" s="5" t="s">
        <v>233</v>
      </c>
      <c r="B193" s="3">
        <v>62349.385848000005</v>
      </c>
      <c r="C193" s="3">
        <v>62367.038562000002</v>
      </c>
      <c r="D193" s="3">
        <v>35.32</v>
      </c>
      <c r="E193" s="3">
        <v>35.33</v>
      </c>
    </row>
    <row r="194" spans="1:5" x14ac:dyDescent="0.25">
      <c r="A194" s="5" t="s">
        <v>234</v>
      </c>
      <c r="B194" s="3">
        <v>62490.607560000004</v>
      </c>
      <c r="C194" s="3">
        <v>62508.260274</v>
      </c>
      <c r="D194" s="3">
        <v>35.4</v>
      </c>
      <c r="E194" s="3">
        <v>35.409999999999997</v>
      </c>
    </row>
    <row r="195" spans="1:5" x14ac:dyDescent="0.25">
      <c r="A195" s="5" t="s">
        <v>235</v>
      </c>
      <c r="B195" s="3">
        <v>62543.565702</v>
      </c>
      <c r="C195" s="3">
        <v>62561.218415999996</v>
      </c>
      <c r="D195" s="3">
        <v>35.43</v>
      </c>
      <c r="E195" s="3">
        <v>35.44</v>
      </c>
    </row>
    <row r="196" spans="1:5" x14ac:dyDescent="0.25">
      <c r="A196" s="5" t="s">
        <v>236</v>
      </c>
      <c r="B196" s="3">
        <v>62384.691276000012</v>
      </c>
      <c r="C196" s="3">
        <v>62402.343990000008</v>
      </c>
      <c r="D196" s="3">
        <v>35.340000000000003</v>
      </c>
      <c r="E196" s="3">
        <v>35.35</v>
      </c>
    </row>
    <row r="197" spans="1:5" x14ac:dyDescent="0.25">
      <c r="A197" s="5" t="s">
        <v>237</v>
      </c>
      <c r="B197" s="3">
        <v>62172.858708</v>
      </c>
      <c r="C197" s="3">
        <v>62190.511421999996</v>
      </c>
      <c r="D197" s="3">
        <v>35.22</v>
      </c>
      <c r="E197" s="3">
        <v>35.229999999999997</v>
      </c>
    </row>
    <row r="198" spans="1:5" x14ac:dyDescent="0.25">
      <c r="A198" s="5" t="s">
        <v>238</v>
      </c>
      <c r="B198" s="3">
        <v>62261.12227800001</v>
      </c>
      <c r="C198" s="3">
        <v>62278.774992000006</v>
      </c>
      <c r="D198" s="3">
        <v>35.270000000000003</v>
      </c>
      <c r="E198" s="3">
        <v>35.28</v>
      </c>
    </row>
    <row r="199" spans="1:5" x14ac:dyDescent="0.25">
      <c r="A199" s="5" t="s">
        <v>239</v>
      </c>
      <c r="B199" s="3">
        <v>62208.164136000007</v>
      </c>
      <c r="C199" s="3">
        <v>62225.816850000003</v>
      </c>
      <c r="D199" s="3">
        <v>35.24</v>
      </c>
      <c r="E199" s="3">
        <v>35.25</v>
      </c>
    </row>
    <row r="200" spans="1:5" x14ac:dyDescent="0.25">
      <c r="A200" s="5" t="s">
        <v>240</v>
      </c>
      <c r="B200" s="3">
        <v>62208.164136000007</v>
      </c>
      <c r="C200" s="3">
        <v>62225.816850000003</v>
      </c>
      <c r="D200" s="3">
        <v>35.24</v>
      </c>
      <c r="E200" s="3">
        <v>35.25</v>
      </c>
    </row>
    <row r="201" spans="1:5" x14ac:dyDescent="0.25">
      <c r="A201" s="5" t="s">
        <v>241</v>
      </c>
      <c r="B201" s="3">
        <v>62208.164136000007</v>
      </c>
      <c r="C201" s="3">
        <v>62225.816850000003</v>
      </c>
      <c r="D201" s="3">
        <v>35.24</v>
      </c>
      <c r="E201" s="3">
        <v>35.25</v>
      </c>
    </row>
    <row r="202" spans="1:5" x14ac:dyDescent="0.25">
      <c r="A202" s="5" t="s">
        <v>242</v>
      </c>
      <c r="B202" s="3">
        <v>62208.164136000007</v>
      </c>
      <c r="C202" s="3">
        <v>62225.816850000003</v>
      </c>
      <c r="D202" s="3">
        <v>35.24</v>
      </c>
      <c r="E202" s="3">
        <v>35.25</v>
      </c>
    </row>
    <row r="203" spans="1:5" x14ac:dyDescent="0.25">
      <c r="A203" s="5" t="s">
        <v>243</v>
      </c>
      <c r="B203" s="3">
        <v>62208.164136000007</v>
      </c>
      <c r="C203" s="3">
        <v>62225.816850000003</v>
      </c>
      <c r="D203" s="3">
        <v>35.24</v>
      </c>
      <c r="E203" s="3">
        <v>35.25</v>
      </c>
    </row>
    <row r="204" spans="1:5" x14ac:dyDescent="0.25">
      <c r="A204" s="5" t="s">
        <v>244</v>
      </c>
      <c r="B204" s="3">
        <v>62208.164136000007</v>
      </c>
      <c r="C204" s="3">
        <v>62225.816850000003</v>
      </c>
      <c r="D204" s="3">
        <v>35.24</v>
      </c>
      <c r="E204" s="3">
        <v>35.25</v>
      </c>
    </row>
    <row r="205" spans="1:5" x14ac:dyDescent="0.25">
      <c r="A205" s="5" t="s">
        <v>245</v>
      </c>
      <c r="B205" s="3">
        <v>60831.669410000002</v>
      </c>
      <c r="C205" s="3">
        <v>60849.322244999996</v>
      </c>
      <c r="D205" s="3">
        <v>34.46</v>
      </c>
      <c r="E205" s="3">
        <v>34.47</v>
      </c>
    </row>
    <row r="206" spans="1:5" x14ac:dyDescent="0.25">
      <c r="A206" s="5" t="s">
        <v>246</v>
      </c>
      <c r="B206" s="3">
        <v>60902.280749999998</v>
      </c>
      <c r="C206" s="3">
        <v>60919.933584999999</v>
      </c>
      <c r="D206" s="3">
        <v>34.5</v>
      </c>
      <c r="E206" s="3">
        <v>34.51</v>
      </c>
    </row>
    <row r="207" spans="1:5" x14ac:dyDescent="0.25">
      <c r="A207" s="5" t="s">
        <v>247</v>
      </c>
      <c r="B207" s="3">
        <v>60602.182554999999</v>
      </c>
      <c r="C207" s="3">
        <v>60619.835390000007</v>
      </c>
      <c r="D207" s="3">
        <v>34.33</v>
      </c>
      <c r="E207" s="3">
        <v>34.340000000000003</v>
      </c>
    </row>
    <row r="208" spans="1:5" x14ac:dyDescent="0.25">
      <c r="A208" s="5" t="s">
        <v>248</v>
      </c>
      <c r="B208" s="3">
        <v>60355.042864999996</v>
      </c>
      <c r="C208" s="3">
        <v>60372.695700000004</v>
      </c>
      <c r="D208" s="3">
        <v>34.19</v>
      </c>
      <c r="E208" s="3">
        <v>34.200000000000003</v>
      </c>
    </row>
    <row r="209" spans="1:5" x14ac:dyDescent="0.25">
      <c r="A209" s="5" t="s">
        <v>249</v>
      </c>
      <c r="B209" s="3">
        <v>60160.861679999995</v>
      </c>
      <c r="C209" s="3">
        <v>60178.514515000003</v>
      </c>
      <c r="D209" s="3">
        <v>34.08</v>
      </c>
      <c r="E209" s="3">
        <v>34.090000000000003</v>
      </c>
    </row>
    <row r="210" spans="1:5" x14ac:dyDescent="0.25">
      <c r="A210" s="5" t="s">
        <v>250</v>
      </c>
      <c r="B210" s="3">
        <v>60372.695700000004</v>
      </c>
      <c r="C210" s="3">
        <v>60390.348535000005</v>
      </c>
      <c r="D210" s="3">
        <v>34.200000000000003</v>
      </c>
      <c r="E210" s="3">
        <v>34.21</v>
      </c>
    </row>
    <row r="211" spans="1:5" x14ac:dyDescent="0.25">
      <c r="A211" s="5" t="s">
        <v>251</v>
      </c>
      <c r="B211" s="3">
        <v>60337.390030000002</v>
      </c>
      <c r="C211" s="3">
        <v>60355.042864999996</v>
      </c>
      <c r="D211" s="3">
        <v>34.18</v>
      </c>
      <c r="E211" s="3">
        <v>34.19</v>
      </c>
    </row>
    <row r="212" spans="1:5" x14ac:dyDescent="0.25">
      <c r="A212" s="5" t="s">
        <v>252</v>
      </c>
      <c r="B212" s="3">
        <v>59595.970959999999</v>
      </c>
      <c r="C212" s="3">
        <v>59613.623795000007</v>
      </c>
      <c r="D212" s="3">
        <v>33.76</v>
      </c>
      <c r="E212" s="3">
        <v>33.770000000000003</v>
      </c>
    </row>
    <row r="213" spans="1:5" x14ac:dyDescent="0.25">
      <c r="A213" s="5" t="s">
        <v>253</v>
      </c>
      <c r="B213" s="3">
        <v>59754.846475000006</v>
      </c>
      <c r="C213" s="3">
        <v>59772.499309999999</v>
      </c>
      <c r="D213" s="3">
        <v>33.85</v>
      </c>
      <c r="E213" s="3">
        <v>33.86</v>
      </c>
    </row>
    <row r="214" spans="1:5" x14ac:dyDescent="0.25">
      <c r="A214" s="5" t="s">
        <v>254</v>
      </c>
      <c r="B214" s="3">
        <v>59313.525600000001</v>
      </c>
      <c r="C214" s="3">
        <v>59331.178435000002</v>
      </c>
      <c r="D214" s="3">
        <v>33.6</v>
      </c>
      <c r="E214" s="3">
        <v>33.61</v>
      </c>
    </row>
    <row r="215" spans="1:5" x14ac:dyDescent="0.25">
      <c r="A215" s="5" t="s">
        <v>255</v>
      </c>
      <c r="B215" s="3">
        <v>59419.442609999991</v>
      </c>
      <c r="C215" s="3">
        <v>59437.095445000006</v>
      </c>
      <c r="D215" s="3">
        <v>33.659999999999997</v>
      </c>
      <c r="E215" s="3">
        <v>33.67</v>
      </c>
    </row>
    <row r="216" spans="1:5" x14ac:dyDescent="0.25">
      <c r="A216" s="5" t="s">
        <v>256</v>
      </c>
      <c r="B216" s="3">
        <v>59295.872765000007</v>
      </c>
      <c r="C216" s="3">
        <v>59313.525600000001</v>
      </c>
      <c r="D216" s="3">
        <v>33.590000000000003</v>
      </c>
      <c r="E216" s="3">
        <v>33.6</v>
      </c>
    </row>
    <row r="217" spans="1:5" x14ac:dyDescent="0.25">
      <c r="A217" s="5" t="s">
        <v>257</v>
      </c>
      <c r="B217" s="3">
        <v>59331.178435000002</v>
      </c>
      <c r="C217" s="3">
        <v>59348.831269999995</v>
      </c>
      <c r="D217" s="3">
        <v>33.61</v>
      </c>
      <c r="E217" s="3">
        <v>33.619999999999997</v>
      </c>
    </row>
    <row r="218" spans="1:5" x14ac:dyDescent="0.25">
      <c r="A218" s="5" t="s">
        <v>258</v>
      </c>
      <c r="B218" s="3">
        <v>59719.540804999997</v>
      </c>
      <c r="C218" s="3">
        <v>59737.193640000005</v>
      </c>
      <c r="D218" s="3">
        <v>33.83</v>
      </c>
      <c r="E218" s="3">
        <v>33.840000000000003</v>
      </c>
    </row>
    <row r="219" spans="1:5" x14ac:dyDescent="0.25">
      <c r="A219" s="5" t="s">
        <v>259</v>
      </c>
      <c r="B219" s="3">
        <v>59472.401114999993</v>
      </c>
      <c r="C219" s="3">
        <v>59490.053950000009</v>
      </c>
      <c r="D219" s="3">
        <v>33.69</v>
      </c>
      <c r="E219" s="3">
        <v>33.700000000000003</v>
      </c>
    </row>
    <row r="220" spans="1:5" x14ac:dyDescent="0.25">
      <c r="A220" s="5" t="s">
        <v>260</v>
      </c>
      <c r="B220" s="3">
        <v>59313.525600000001</v>
      </c>
      <c r="C220" s="3">
        <v>59331.178435000002</v>
      </c>
      <c r="D220" s="3">
        <v>33.6</v>
      </c>
      <c r="E220" s="3">
        <v>33.61</v>
      </c>
    </row>
    <row r="221" spans="1:5" x14ac:dyDescent="0.25">
      <c r="A221" s="5" t="s">
        <v>261</v>
      </c>
      <c r="B221" s="3">
        <v>59507.706785000002</v>
      </c>
      <c r="C221" s="3">
        <v>59525.359619999996</v>
      </c>
      <c r="D221" s="3">
        <v>33.71</v>
      </c>
      <c r="E221" s="3">
        <v>33.72</v>
      </c>
    </row>
    <row r="222" spans="1:5" x14ac:dyDescent="0.25">
      <c r="A222" s="5" t="s">
        <v>262</v>
      </c>
      <c r="B222" s="3">
        <v>59490.053950000009</v>
      </c>
      <c r="C222" s="3">
        <v>59507.706785000002</v>
      </c>
      <c r="D222" s="3">
        <v>33.700000000000003</v>
      </c>
      <c r="E222" s="3">
        <v>33.71</v>
      </c>
    </row>
    <row r="223" spans="1:5" x14ac:dyDescent="0.25">
      <c r="A223" s="5" t="s">
        <v>263</v>
      </c>
      <c r="B223" s="3">
        <v>59754.846475000006</v>
      </c>
      <c r="C223" s="3">
        <v>59772.499309999999</v>
      </c>
      <c r="D223" s="3">
        <v>33.85</v>
      </c>
      <c r="E223" s="3">
        <v>33.86</v>
      </c>
    </row>
    <row r="224" spans="1:5" x14ac:dyDescent="0.25">
      <c r="A224" s="5" t="s">
        <v>264</v>
      </c>
      <c r="B224" s="3">
        <v>59772.499309999999</v>
      </c>
      <c r="C224" s="3">
        <v>59790.152144999993</v>
      </c>
      <c r="D224" s="3">
        <v>33.86</v>
      </c>
      <c r="E224" s="3">
        <v>33.869999999999997</v>
      </c>
    </row>
    <row r="225" spans="1:5" x14ac:dyDescent="0.25">
      <c r="A225" s="5" t="s">
        <v>265</v>
      </c>
      <c r="B225" s="3">
        <v>60125.96813600001</v>
      </c>
      <c r="C225" s="3">
        <v>60143.621092000009</v>
      </c>
      <c r="D225" s="3">
        <v>34.06</v>
      </c>
      <c r="E225" s="3">
        <v>34.07</v>
      </c>
    </row>
    <row r="226" spans="1:5" x14ac:dyDescent="0.25">
      <c r="A226" s="5" t="s">
        <v>266</v>
      </c>
      <c r="B226" s="3">
        <v>59331.585116000002</v>
      </c>
      <c r="C226" s="3">
        <v>59349.238072</v>
      </c>
      <c r="D226" s="3">
        <v>33.61</v>
      </c>
      <c r="E226" s="3">
        <v>33.619999999999997</v>
      </c>
    </row>
    <row r="227" spans="1:5" x14ac:dyDescent="0.25">
      <c r="A227" s="5" t="s">
        <v>267</v>
      </c>
      <c r="B227" s="3">
        <v>59702.297192000005</v>
      </c>
      <c r="C227" s="3">
        <v>59719.950148000004</v>
      </c>
      <c r="D227" s="3">
        <v>33.82</v>
      </c>
      <c r="E227" s="3">
        <v>33.83</v>
      </c>
    </row>
    <row r="228" spans="1:5" x14ac:dyDescent="0.25">
      <c r="A228" s="5" t="s">
        <v>268</v>
      </c>
      <c r="B228" s="3">
        <v>59384.543984000004</v>
      </c>
      <c r="C228" s="3">
        <v>59402.196940000002</v>
      </c>
      <c r="D228" s="3">
        <v>33.64</v>
      </c>
      <c r="E228" s="3">
        <v>33.65</v>
      </c>
    </row>
    <row r="229" spans="1:5" x14ac:dyDescent="0.25">
      <c r="A229" s="5" t="s">
        <v>269</v>
      </c>
      <c r="B229" s="3">
        <v>59066.790776000009</v>
      </c>
      <c r="C229" s="3">
        <v>59084.443732</v>
      </c>
      <c r="D229" s="3">
        <v>33.46</v>
      </c>
      <c r="E229" s="3">
        <v>33.47</v>
      </c>
    </row>
    <row r="230" spans="1:5" x14ac:dyDescent="0.25">
      <c r="A230" s="5" t="s">
        <v>270</v>
      </c>
      <c r="B230" s="3">
        <v>59031.484863999998</v>
      </c>
      <c r="C230" s="3">
        <v>59049.137820000011</v>
      </c>
      <c r="D230" s="3">
        <v>33.44</v>
      </c>
      <c r="E230" s="3">
        <v>33.450000000000003</v>
      </c>
    </row>
    <row r="231" spans="1:5" x14ac:dyDescent="0.25">
      <c r="A231" s="5" t="s">
        <v>271</v>
      </c>
      <c r="B231" s="3">
        <v>59225.667379999999</v>
      </c>
      <c r="C231" s="3">
        <v>59243.320336000012</v>
      </c>
      <c r="D231" s="3">
        <v>33.549999999999997</v>
      </c>
      <c r="E231" s="3">
        <v>33.56</v>
      </c>
    </row>
    <row r="232" spans="1:5" x14ac:dyDescent="0.25">
      <c r="A232" s="5" t="s">
        <v>272</v>
      </c>
      <c r="B232" s="3">
        <v>59225.667379999999</v>
      </c>
      <c r="C232" s="3">
        <v>59243.320336000012</v>
      </c>
      <c r="D232" s="3">
        <v>33.549999999999997</v>
      </c>
      <c r="E232" s="3">
        <v>33.56</v>
      </c>
    </row>
    <row r="233" spans="1:5" x14ac:dyDescent="0.25">
      <c r="A233" s="5" t="s">
        <v>273</v>
      </c>
      <c r="B233" s="3">
        <v>59296.279204000013</v>
      </c>
      <c r="C233" s="3">
        <v>59313.932160000004</v>
      </c>
      <c r="D233" s="3">
        <v>33.590000000000003</v>
      </c>
      <c r="E233" s="3">
        <v>33.6</v>
      </c>
    </row>
    <row r="234" spans="1:5" x14ac:dyDescent="0.25">
      <c r="A234" s="5" t="s">
        <v>274</v>
      </c>
      <c r="B234" s="3">
        <v>59578.726500000004</v>
      </c>
      <c r="C234" s="3">
        <v>59596.379456000002</v>
      </c>
      <c r="D234" s="3">
        <v>33.75</v>
      </c>
      <c r="E234" s="3">
        <v>33.76</v>
      </c>
    </row>
    <row r="235" spans="1:5" x14ac:dyDescent="0.25">
      <c r="A235" s="5" t="s">
        <v>275</v>
      </c>
      <c r="B235" s="3">
        <v>59313.932160000004</v>
      </c>
      <c r="C235" s="3">
        <v>59331.585116000002</v>
      </c>
      <c r="D235" s="3">
        <v>33.6</v>
      </c>
      <c r="E235" s="3">
        <v>33.61</v>
      </c>
    </row>
    <row r="236" spans="1:5" x14ac:dyDescent="0.25">
      <c r="A236" s="5" t="s">
        <v>276</v>
      </c>
      <c r="B236" s="3">
        <v>59190.36146800001</v>
      </c>
      <c r="C236" s="3">
        <v>59208.014424000001</v>
      </c>
      <c r="D236" s="3">
        <v>33.53</v>
      </c>
      <c r="E236" s="3">
        <v>33.54</v>
      </c>
    </row>
    <row r="237" spans="1:5" x14ac:dyDescent="0.25">
      <c r="A237" s="5" t="s">
        <v>277</v>
      </c>
      <c r="B237" s="3">
        <v>59066.790776000009</v>
      </c>
      <c r="C237" s="3">
        <v>59084.443732</v>
      </c>
      <c r="D237" s="3">
        <v>33.46</v>
      </c>
      <c r="E237" s="3">
        <v>33.47</v>
      </c>
    </row>
    <row r="238" spans="1:5" x14ac:dyDescent="0.25">
      <c r="A238" s="5" t="s">
        <v>278</v>
      </c>
      <c r="B238" s="3">
        <v>59349.238072</v>
      </c>
      <c r="C238" s="3">
        <v>59366.891028000013</v>
      </c>
      <c r="D238" s="3">
        <v>33.619999999999997</v>
      </c>
      <c r="E238" s="3">
        <v>33.630000000000003</v>
      </c>
    </row>
    <row r="239" spans="1:5" x14ac:dyDescent="0.25">
      <c r="A239" s="5" t="s">
        <v>279</v>
      </c>
      <c r="B239" s="3">
        <v>59349.238072</v>
      </c>
      <c r="C239" s="3">
        <v>59366.891028000013</v>
      </c>
      <c r="D239" s="3">
        <v>33.619999999999997</v>
      </c>
      <c r="E239" s="3">
        <v>33.630000000000003</v>
      </c>
    </row>
    <row r="240" spans="1:5" x14ac:dyDescent="0.25">
      <c r="A240" s="5" t="s">
        <v>280</v>
      </c>
      <c r="B240" s="3">
        <v>59331.585116000002</v>
      </c>
      <c r="C240" s="3">
        <v>59349.238072</v>
      </c>
      <c r="D240" s="3">
        <v>33.61</v>
      </c>
      <c r="E240" s="3">
        <v>33.619999999999997</v>
      </c>
    </row>
    <row r="241" spans="1:5" x14ac:dyDescent="0.25">
      <c r="A241" s="5" t="s">
        <v>281</v>
      </c>
      <c r="B241" s="3">
        <v>59437.502852000005</v>
      </c>
      <c r="C241" s="3">
        <v>59455.155808000003</v>
      </c>
      <c r="D241" s="3">
        <v>33.67</v>
      </c>
      <c r="E241" s="3">
        <v>33.68</v>
      </c>
    </row>
    <row r="242" spans="1:5" x14ac:dyDescent="0.25">
      <c r="A242" s="5" t="s">
        <v>282</v>
      </c>
      <c r="B242" s="3">
        <v>59472.808764000001</v>
      </c>
      <c r="C242" s="3">
        <v>59490.461720000007</v>
      </c>
      <c r="D242" s="3">
        <v>33.69</v>
      </c>
      <c r="E242" s="3">
        <v>33.700000000000003</v>
      </c>
    </row>
    <row r="243" spans="1:5" x14ac:dyDescent="0.25">
      <c r="A243" s="5" t="s">
        <v>283</v>
      </c>
      <c r="B243" s="3">
        <v>59066.790776000009</v>
      </c>
      <c r="C243" s="3">
        <v>59084.443732</v>
      </c>
      <c r="D243" s="3">
        <v>33.46</v>
      </c>
      <c r="E243" s="3">
        <v>33.47</v>
      </c>
    </row>
    <row r="244" spans="1:5" x14ac:dyDescent="0.25">
      <c r="A244" s="5" t="s">
        <v>284</v>
      </c>
      <c r="B244" s="3">
        <v>59155.055555999999</v>
      </c>
      <c r="C244" s="3">
        <v>59172.708512000012</v>
      </c>
      <c r="D244" s="3">
        <v>33.51</v>
      </c>
      <c r="E244" s="3">
        <v>33.520000000000003</v>
      </c>
    </row>
    <row r="245" spans="1:5" x14ac:dyDescent="0.25">
      <c r="A245" s="5" t="s">
        <v>285</v>
      </c>
      <c r="B245" s="3">
        <v>59031.484863999998</v>
      </c>
      <c r="C245" s="3">
        <v>59049.137820000011</v>
      </c>
      <c r="D245" s="3">
        <v>33.44</v>
      </c>
      <c r="E245" s="3">
        <v>33.450000000000003</v>
      </c>
    </row>
    <row r="246" spans="1:5" x14ac:dyDescent="0.25">
      <c r="A246" s="5" t="s">
        <v>286</v>
      </c>
      <c r="B246" s="3">
        <v>59632.911582000008</v>
      </c>
      <c r="C246" s="3">
        <v>59650.564901000005</v>
      </c>
      <c r="D246" s="3">
        <v>33.78</v>
      </c>
      <c r="E246" s="3">
        <v>33.79</v>
      </c>
    </row>
    <row r="247" spans="1:5" x14ac:dyDescent="0.25">
      <c r="A247" s="5" t="s">
        <v>287</v>
      </c>
      <c r="B247" s="3">
        <v>59615.258263000011</v>
      </c>
      <c r="C247" s="3">
        <v>59632.911582000008</v>
      </c>
      <c r="D247" s="3">
        <v>33.770000000000003</v>
      </c>
      <c r="E247" s="3">
        <v>33.78</v>
      </c>
    </row>
    <row r="248" spans="1:5" x14ac:dyDescent="0.25">
      <c r="A248" s="5" t="s">
        <v>288</v>
      </c>
      <c r="B248" s="3">
        <v>59368.111797000012</v>
      </c>
      <c r="C248" s="3">
        <v>59385.765116000002</v>
      </c>
      <c r="D248" s="3">
        <v>33.630000000000003</v>
      </c>
      <c r="E248" s="3">
        <v>33.64</v>
      </c>
    </row>
    <row r="249" spans="1:5" x14ac:dyDescent="0.25">
      <c r="A249" s="5" t="s">
        <v>289</v>
      </c>
      <c r="B249" s="3">
        <v>59862.404729000002</v>
      </c>
      <c r="C249" s="3">
        <v>59880.058048000006</v>
      </c>
      <c r="D249" s="3">
        <v>33.909999999999997</v>
      </c>
      <c r="E249" s="3">
        <v>33.92</v>
      </c>
    </row>
    <row r="250" spans="1:5" x14ac:dyDescent="0.25">
      <c r="A250" s="5" t="s">
        <v>290</v>
      </c>
      <c r="B250" s="3">
        <v>60003.631281000009</v>
      </c>
      <c r="C250" s="3">
        <v>60021.284600000006</v>
      </c>
      <c r="D250" s="3">
        <v>33.99</v>
      </c>
      <c r="E250" s="3">
        <v>34</v>
      </c>
    </row>
    <row r="251" spans="1:5" x14ac:dyDescent="0.25">
      <c r="A251" s="5" t="s">
        <v>291</v>
      </c>
      <c r="B251" s="3">
        <v>60356.697660999998</v>
      </c>
      <c r="C251" s="3">
        <v>60374.35098000001</v>
      </c>
      <c r="D251" s="3">
        <v>34.19</v>
      </c>
      <c r="E251" s="3">
        <v>34.200000000000003</v>
      </c>
    </row>
    <row r="252" spans="1:5" x14ac:dyDescent="0.25">
      <c r="A252" s="5" t="s">
        <v>292</v>
      </c>
      <c r="B252" s="3">
        <v>60162.511151999999</v>
      </c>
      <c r="C252" s="3">
        <v>60180.164471000011</v>
      </c>
      <c r="D252" s="3">
        <v>34.08</v>
      </c>
      <c r="E252" s="3">
        <v>34.090000000000003</v>
      </c>
    </row>
    <row r="253" spans="1:5" x14ac:dyDescent="0.25">
      <c r="A253" s="5" t="s">
        <v>293</v>
      </c>
      <c r="B253" s="3">
        <v>60127.204514000012</v>
      </c>
      <c r="C253" s="3">
        <v>60144.857833000002</v>
      </c>
      <c r="D253" s="3">
        <v>34.06</v>
      </c>
      <c r="E253" s="3">
        <v>34.07</v>
      </c>
    </row>
    <row r="254" spans="1:5" x14ac:dyDescent="0.25">
      <c r="A254" s="5" t="s">
        <v>294</v>
      </c>
      <c r="B254" s="3">
        <v>59933.018005000013</v>
      </c>
      <c r="C254" s="3">
        <v>59950.671324000003</v>
      </c>
      <c r="D254" s="3">
        <v>33.950000000000003</v>
      </c>
      <c r="E254" s="3">
        <v>33.96</v>
      </c>
    </row>
    <row r="255" spans="1:5" x14ac:dyDescent="0.25">
      <c r="A255" s="5" t="s">
        <v>295</v>
      </c>
      <c r="B255" s="3">
        <v>60162.511151999999</v>
      </c>
      <c r="C255" s="3">
        <v>60180.164471000011</v>
      </c>
      <c r="D255" s="3">
        <v>34.08</v>
      </c>
      <c r="E255" s="3">
        <v>34.090000000000003</v>
      </c>
    </row>
    <row r="256" spans="1:5" x14ac:dyDescent="0.25">
      <c r="A256" s="5" t="s">
        <v>296</v>
      </c>
      <c r="B256" s="3">
        <v>59985.977961999997</v>
      </c>
      <c r="C256" s="3">
        <v>60003.631281000009</v>
      </c>
      <c r="D256" s="3">
        <v>33.979999999999997</v>
      </c>
      <c r="E256" s="3">
        <v>33.99</v>
      </c>
    </row>
    <row r="257" spans="1:5" x14ac:dyDescent="0.25">
      <c r="A257" s="5" t="s">
        <v>297</v>
      </c>
      <c r="B257" s="3">
        <v>60127.204514000012</v>
      </c>
      <c r="C257" s="3">
        <v>60144.857833000002</v>
      </c>
      <c r="D257" s="3">
        <v>34.06</v>
      </c>
      <c r="E257" s="3">
        <v>34.07</v>
      </c>
    </row>
    <row r="258" spans="1:5" x14ac:dyDescent="0.25">
      <c r="A258" s="5" t="s">
        <v>298</v>
      </c>
      <c r="B258" s="3">
        <v>59985.977961999997</v>
      </c>
      <c r="C258" s="3">
        <v>60003.631281000009</v>
      </c>
      <c r="D258" s="3">
        <v>33.979999999999997</v>
      </c>
      <c r="E258" s="3">
        <v>33.99</v>
      </c>
    </row>
    <row r="259" spans="1:5" x14ac:dyDescent="0.25">
      <c r="A259" s="5" t="s">
        <v>299</v>
      </c>
      <c r="B259" s="3">
        <v>59880.058048000006</v>
      </c>
      <c r="C259" s="3">
        <v>59897.711367000004</v>
      </c>
      <c r="D259" s="3">
        <v>33.92</v>
      </c>
      <c r="E259" s="3">
        <v>33.93</v>
      </c>
    </row>
    <row r="260" spans="1:5" x14ac:dyDescent="0.25">
      <c r="A260" s="5" t="s">
        <v>300</v>
      </c>
      <c r="B260" s="3">
        <v>59915.364686000001</v>
      </c>
      <c r="C260" s="3">
        <v>59933.018005000013</v>
      </c>
      <c r="D260" s="3">
        <v>33.94</v>
      </c>
      <c r="E260" s="3">
        <v>33.950000000000003</v>
      </c>
    </row>
    <row r="261" spans="1:5" x14ac:dyDescent="0.25">
      <c r="A261" s="5" t="s">
        <v>301</v>
      </c>
      <c r="B261" s="3">
        <v>59985.977961999997</v>
      </c>
      <c r="C261" s="3">
        <v>60003.631281000009</v>
      </c>
      <c r="D261" s="3">
        <v>33.979999999999997</v>
      </c>
      <c r="E261" s="3">
        <v>33.99</v>
      </c>
    </row>
    <row r="262" spans="1:5" x14ac:dyDescent="0.25">
      <c r="A262" s="5" t="s">
        <v>302</v>
      </c>
      <c r="B262" s="3">
        <v>59915.364686000001</v>
      </c>
      <c r="C262" s="3">
        <v>59933.018005000013</v>
      </c>
      <c r="D262" s="3">
        <v>33.94</v>
      </c>
      <c r="E262" s="3">
        <v>33.950000000000003</v>
      </c>
    </row>
    <row r="263" spans="1:5" x14ac:dyDescent="0.25">
      <c r="A263" s="5" t="s">
        <v>303</v>
      </c>
      <c r="B263" s="3">
        <v>59721.178177000002</v>
      </c>
      <c r="C263" s="3">
        <v>59738.831496000013</v>
      </c>
      <c r="D263" s="3">
        <v>33.83</v>
      </c>
      <c r="E263" s="3">
        <v>33.840000000000003</v>
      </c>
    </row>
    <row r="264" spans="1:5" x14ac:dyDescent="0.25">
      <c r="A264" s="5" t="s">
        <v>304</v>
      </c>
      <c r="B264" s="3">
        <v>59509.338349000005</v>
      </c>
      <c r="C264" s="3">
        <v>59526.991668000002</v>
      </c>
      <c r="D264" s="3">
        <v>33.71</v>
      </c>
      <c r="E264" s="3">
        <v>33.72</v>
      </c>
    </row>
    <row r="265" spans="1:5" x14ac:dyDescent="0.25">
      <c r="A265" s="5" t="s">
        <v>305</v>
      </c>
      <c r="B265" s="3">
        <v>59915.364686000001</v>
      </c>
      <c r="C265" s="3">
        <v>59933.018005000013</v>
      </c>
      <c r="D265" s="3">
        <v>33.94</v>
      </c>
      <c r="E265" s="3">
        <v>33.950000000000003</v>
      </c>
    </row>
    <row r="266" spans="1:5" x14ac:dyDescent="0.25">
      <c r="A266" s="5" t="s">
        <v>306</v>
      </c>
      <c r="B266" s="3">
        <v>59809.44477200001</v>
      </c>
      <c r="C266" s="3">
        <v>59827.098091000007</v>
      </c>
      <c r="D266" s="3">
        <v>33.880000000000003</v>
      </c>
      <c r="E266" s="3">
        <v>33.89</v>
      </c>
    </row>
    <row r="267" spans="1:5" x14ac:dyDescent="0.25">
      <c r="A267" s="5" t="s">
        <v>307</v>
      </c>
      <c r="B267" s="3">
        <v>59791.791452999998</v>
      </c>
      <c r="C267" s="3">
        <v>59809.44477200001</v>
      </c>
      <c r="D267" s="3">
        <v>33.869999999999997</v>
      </c>
      <c r="E267" s="3">
        <v>33.880000000000003</v>
      </c>
    </row>
    <row r="268" spans="1:5" x14ac:dyDescent="0.25">
      <c r="A268" s="5" t="s">
        <v>308</v>
      </c>
      <c r="B268" s="3">
        <v>59738.831496000013</v>
      </c>
      <c r="C268" s="3">
        <v>59756.484815000003</v>
      </c>
      <c r="D268" s="3">
        <v>33.840000000000003</v>
      </c>
      <c r="E268" s="3">
        <v>33.85</v>
      </c>
    </row>
    <row r="269" spans="1:5" x14ac:dyDescent="0.25">
      <c r="A269" s="5" t="s">
        <v>309</v>
      </c>
      <c r="B269" s="3">
        <v>59227.2912</v>
      </c>
      <c r="C269" s="3">
        <v>59244.944640000009</v>
      </c>
      <c r="D269" s="3">
        <v>33.549999999999997</v>
      </c>
      <c r="E269" s="3">
        <v>33.56</v>
      </c>
    </row>
    <row r="270" spans="1:5" x14ac:dyDescent="0.25">
      <c r="A270" s="5" t="s">
        <v>310</v>
      </c>
      <c r="B270" s="3">
        <v>59315.558400000002</v>
      </c>
      <c r="C270" s="3">
        <v>59333.211840000004</v>
      </c>
      <c r="D270" s="3">
        <v>33.6</v>
      </c>
      <c r="E270" s="3">
        <v>33.61</v>
      </c>
    </row>
    <row r="271" spans="1:5" x14ac:dyDescent="0.25">
      <c r="A271" s="5" t="s">
        <v>311</v>
      </c>
      <c r="B271" s="3">
        <v>59103.717119999994</v>
      </c>
      <c r="C271" s="3">
        <v>59121.370560000003</v>
      </c>
      <c r="D271" s="3">
        <v>33.479999999999997</v>
      </c>
      <c r="E271" s="3">
        <v>33.49</v>
      </c>
    </row>
    <row r="272" spans="1:5" x14ac:dyDescent="0.25">
      <c r="A272" s="5" t="s">
        <v>312</v>
      </c>
      <c r="B272" s="3">
        <v>59368.518720000007</v>
      </c>
      <c r="C272" s="3">
        <v>59386.172160000002</v>
      </c>
      <c r="D272" s="3">
        <v>33.630000000000003</v>
      </c>
      <c r="E272" s="3">
        <v>33.64</v>
      </c>
    </row>
    <row r="273" spans="1:5" x14ac:dyDescent="0.25">
      <c r="A273" s="5" t="s">
        <v>313</v>
      </c>
      <c r="B273" s="3">
        <v>59686.280640000004</v>
      </c>
      <c r="C273" s="3">
        <v>59703.934079999999</v>
      </c>
      <c r="D273" s="3">
        <v>33.81</v>
      </c>
      <c r="E273" s="3">
        <v>33.82</v>
      </c>
    </row>
    <row r="274" spans="1:5" x14ac:dyDescent="0.25">
      <c r="A274" s="5" t="s">
        <v>314</v>
      </c>
      <c r="B274" s="3">
        <v>59686.280640000004</v>
      </c>
      <c r="C274" s="3">
        <v>59703.934079999999</v>
      </c>
      <c r="D274" s="3">
        <v>33.81</v>
      </c>
      <c r="E274" s="3">
        <v>33.82</v>
      </c>
    </row>
    <row r="275" spans="1:5" x14ac:dyDescent="0.25">
      <c r="A275" s="5" t="s">
        <v>315</v>
      </c>
      <c r="B275" s="3">
        <v>59598.013439999995</v>
      </c>
      <c r="C275" s="3">
        <v>59615.666880000004</v>
      </c>
      <c r="D275" s="3">
        <v>33.76</v>
      </c>
      <c r="E275" s="3">
        <v>33.770000000000003</v>
      </c>
    </row>
    <row r="276" spans="1:5" x14ac:dyDescent="0.25">
      <c r="A276" s="5" t="s">
        <v>316</v>
      </c>
      <c r="B276" s="3">
        <v>59492.092800000006</v>
      </c>
      <c r="C276" s="3">
        <v>59509.74624</v>
      </c>
      <c r="D276" s="3">
        <v>33.700000000000003</v>
      </c>
      <c r="E276" s="3">
        <v>33.71</v>
      </c>
    </row>
    <row r="277" spans="1:5" x14ac:dyDescent="0.25">
      <c r="A277" s="5" t="s">
        <v>317</v>
      </c>
      <c r="B277" s="3">
        <v>59756.894400000005</v>
      </c>
      <c r="C277" s="3">
        <v>59774.547839999999</v>
      </c>
      <c r="D277" s="3">
        <v>33.85</v>
      </c>
      <c r="E277" s="3">
        <v>33.86</v>
      </c>
    </row>
    <row r="278" spans="1:5" x14ac:dyDescent="0.25">
      <c r="A278" s="5" t="s">
        <v>318</v>
      </c>
      <c r="B278" s="3">
        <v>60392.418240000006</v>
      </c>
      <c r="C278" s="3">
        <v>60410.071680000001</v>
      </c>
      <c r="D278" s="3">
        <v>34.21</v>
      </c>
      <c r="E278" s="3">
        <v>34.22</v>
      </c>
    </row>
    <row r="279" spans="1:5" x14ac:dyDescent="0.25">
      <c r="A279" s="5" t="s">
        <v>319</v>
      </c>
      <c r="B279" s="3">
        <v>60410.071680000001</v>
      </c>
      <c r="C279" s="3">
        <v>60427.725119999996</v>
      </c>
      <c r="D279" s="3">
        <v>34.22</v>
      </c>
      <c r="E279" s="3">
        <v>34.229999999999997</v>
      </c>
    </row>
    <row r="280" spans="1:5" x14ac:dyDescent="0.25">
      <c r="A280" s="5" t="s">
        <v>320</v>
      </c>
      <c r="B280" s="3">
        <v>60092.309760000004</v>
      </c>
      <c r="C280" s="3">
        <v>60109.963199999998</v>
      </c>
      <c r="D280" s="3">
        <v>34.04</v>
      </c>
      <c r="E280" s="3">
        <v>34.049999999999997</v>
      </c>
    </row>
    <row r="281" spans="1:5" x14ac:dyDescent="0.25">
      <c r="A281" s="5" t="s">
        <v>321</v>
      </c>
      <c r="B281" s="3">
        <v>60304.151039999997</v>
      </c>
      <c r="C281" s="3">
        <v>60321.804480000006</v>
      </c>
      <c r="D281" s="3">
        <v>34.159999999999997</v>
      </c>
      <c r="E281" s="3">
        <v>34.17</v>
      </c>
    </row>
    <row r="282" spans="1:5" x14ac:dyDescent="0.25">
      <c r="A282" s="5" t="s">
        <v>322</v>
      </c>
      <c r="B282" s="3">
        <v>60268.844160000001</v>
      </c>
      <c r="C282" s="3">
        <v>60286.497600000002</v>
      </c>
      <c r="D282" s="3">
        <v>34.14</v>
      </c>
      <c r="E282" s="3">
        <v>34.15</v>
      </c>
    </row>
    <row r="283" spans="1:5" x14ac:dyDescent="0.25">
      <c r="A283" s="5" t="s">
        <v>323</v>
      </c>
      <c r="B283" s="3">
        <v>60339.457920000001</v>
      </c>
      <c r="C283" s="3">
        <v>60357.111359999995</v>
      </c>
      <c r="D283" s="3">
        <v>34.18</v>
      </c>
      <c r="E283" s="3">
        <v>34.19</v>
      </c>
    </row>
    <row r="284" spans="1:5" x14ac:dyDescent="0.25">
      <c r="A284" s="5" t="s">
        <v>324</v>
      </c>
      <c r="B284" s="3">
        <v>58150.829933999994</v>
      </c>
      <c r="C284" s="3">
        <v>58168.483495</v>
      </c>
      <c r="D284" s="3">
        <v>32.94</v>
      </c>
      <c r="E284" s="3">
        <v>32.950000000000003</v>
      </c>
    </row>
    <row r="285" spans="1:5" x14ac:dyDescent="0.25">
      <c r="A285" s="5" t="s">
        <v>325</v>
      </c>
      <c r="B285" s="3">
        <v>58433.286910000003</v>
      </c>
      <c r="C285" s="3">
        <v>58450.940470999994</v>
      </c>
      <c r="D285" s="3">
        <v>33.1</v>
      </c>
      <c r="E285" s="3">
        <v>33.11</v>
      </c>
    </row>
    <row r="286" spans="1:5" x14ac:dyDescent="0.25">
      <c r="A286" s="5" t="s">
        <v>326</v>
      </c>
      <c r="B286" s="3">
        <v>58856.972374000004</v>
      </c>
      <c r="C286" s="3">
        <v>58874.625935000004</v>
      </c>
      <c r="D286" s="3">
        <v>33.340000000000003</v>
      </c>
      <c r="E286" s="3">
        <v>33.35</v>
      </c>
    </row>
    <row r="287" spans="1:5" x14ac:dyDescent="0.25">
      <c r="A287" s="5" t="s">
        <v>327</v>
      </c>
      <c r="B287" s="3">
        <v>58804.011691</v>
      </c>
      <c r="C287" s="3">
        <v>58821.665251999999</v>
      </c>
      <c r="D287" s="3">
        <v>33.31</v>
      </c>
      <c r="E287" s="3">
        <v>33.32</v>
      </c>
    </row>
    <row r="288" spans="1:5" x14ac:dyDescent="0.25">
      <c r="A288" s="5" t="s">
        <v>328</v>
      </c>
      <c r="B288" s="3">
        <v>58856.972374000004</v>
      </c>
      <c r="C288" s="3">
        <v>58874.625935000004</v>
      </c>
      <c r="D288" s="3">
        <v>33.340000000000003</v>
      </c>
      <c r="E288" s="3">
        <v>33.35</v>
      </c>
    </row>
    <row r="289" spans="1:5" x14ac:dyDescent="0.25">
      <c r="A289" s="5" t="s">
        <v>329</v>
      </c>
      <c r="B289" s="3">
        <v>58503.901153999999</v>
      </c>
      <c r="C289" s="3">
        <v>58521.554714999998</v>
      </c>
      <c r="D289" s="3">
        <v>33.14</v>
      </c>
      <c r="E289" s="3">
        <v>33.15</v>
      </c>
    </row>
    <row r="290" spans="1:5" x14ac:dyDescent="0.25">
      <c r="A290" s="5" t="s">
        <v>330</v>
      </c>
      <c r="B290" s="3">
        <v>58097.869250999996</v>
      </c>
      <c r="C290" s="3">
        <v>58115.522812000003</v>
      </c>
      <c r="D290" s="3">
        <v>32.909999999999997</v>
      </c>
      <c r="E290" s="3">
        <v>32.92</v>
      </c>
    </row>
    <row r="291" spans="1:5" x14ac:dyDescent="0.25">
      <c r="A291" s="5" t="s">
        <v>331</v>
      </c>
      <c r="B291" s="3">
        <v>58256.751299999996</v>
      </c>
      <c r="C291" s="3">
        <v>58274.404860999995</v>
      </c>
      <c r="D291" s="3">
        <v>33</v>
      </c>
      <c r="E291" s="3">
        <v>33.01</v>
      </c>
    </row>
    <row r="292" spans="1:5" x14ac:dyDescent="0.25">
      <c r="A292" s="5" t="s">
        <v>332</v>
      </c>
      <c r="B292" s="3">
        <v>58309.711983000001</v>
      </c>
      <c r="C292" s="3">
        <v>58327.365544</v>
      </c>
      <c r="D292" s="3">
        <v>33.03</v>
      </c>
      <c r="E292" s="3">
        <v>33.04</v>
      </c>
    </row>
    <row r="293" spans="1:5" x14ac:dyDescent="0.25">
      <c r="A293" s="5" t="s">
        <v>333</v>
      </c>
      <c r="B293" s="3">
        <v>58486.247593</v>
      </c>
      <c r="C293" s="3">
        <v>58503.901153999999</v>
      </c>
      <c r="D293" s="3">
        <v>33.130000000000003</v>
      </c>
      <c r="E293" s="3">
        <v>33.14</v>
      </c>
    </row>
    <row r="294" spans="1:5" x14ac:dyDescent="0.25">
      <c r="A294" s="5" t="s">
        <v>334</v>
      </c>
      <c r="B294" s="3">
        <v>58592.168958999995</v>
      </c>
      <c r="C294" s="3">
        <v>58609.822520000002</v>
      </c>
      <c r="D294" s="3">
        <v>33.19</v>
      </c>
      <c r="E294" s="3">
        <v>33.200000000000003</v>
      </c>
    </row>
    <row r="295" spans="1:5" x14ac:dyDescent="0.25">
      <c r="A295" s="5" t="s">
        <v>335</v>
      </c>
      <c r="B295" s="3">
        <v>58627.476081000001</v>
      </c>
      <c r="C295" s="3">
        <v>58645.129642</v>
      </c>
      <c r="D295" s="3">
        <v>33.21</v>
      </c>
      <c r="E295" s="3">
        <v>33.22</v>
      </c>
    </row>
    <row r="296" spans="1:5" x14ac:dyDescent="0.25">
      <c r="A296" s="5" t="s">
        <v>361</v>
      </c>
      <c r="B296" s="3">
        <v>59634.137796000003</v>
      </c>
      <c r="C296" s="3">
        <v>59651.791477999999</v>
      </c>
      <c r="D296" s="3">
        <v>33.78</v>
      </c>
      <c r="E296" s="3">
        <v>33.79</v>
      </c>
    </row>
    <row r="297" spans="1:5" x14ac:dyDescent="0.25">
      <c r="A297" s="5" t="s">
        <v>362</v>
      </c>
      <c r="B297" s="3">
        <v>59863.635662000001</v>
      </c>
      <c r="C297" s="3">
        <v>59881.289344000004</v>
      </c>
      <c r="D297" s="3">
        <v>33.909999999999997</v>
      </c>
      <c r="E297" s="3">
        <v>33.92</v>
      </c>
    </row>
    <row r="298" spans="1:5" x14ac:dyDescent="0.25">
      <c r="A298" s="5" t="s">
        <v>363</v>
      </c>
      <c r="B298" s="3">
        <v>59598.830432000002</v>
      </c>
      <c r="C298" s="3">
        <v>59616.484114000006</v>
      </c>
      <c r="D298" s="3">
        <v>33.76</v>
      </c>
      <c r="E298" s="3">
        <v>33.770000000000003</v>
      </c>
    </row>
    <row r="299" spans="1:5" x14ac:dyDescent="0.25">
      <c r="A299" s="5" t="s">
        <v>364</v>
      </c>
      <c r="B299" s="3">
        <v>59457.600976000002</v>
      </c>
      <c r="C299" s="3">
        <v>59475.254657999998</v>
      </c>
      <c r="D299" s="3">
        <v>33.68</v>
      </c>
      <c r="E299" s="3">
        <v>33.69</v>
      </c>
    </row>
    <row r="300" spans="1:5" x14ac:dyDescent="0.25">
      <c r="A300" s="5" t="s">
        <v>365</v>
      </c>
      <c r="B300" s="3">
        <v>59845.981980000004</v>
      </c>
      <c r="C300" s="3">
        <v>59863.635662000001</v>
      </c>
      <c r="D300" s="3">
        <v>33.9</v>
      </c>
      <c r="E300" s="3">
        <v>33.909999999999997</v>
      </c>
    </row>
    <row r="301" spans="1:5" x14ac:dyDescent="0.25">
      <c r="A301" s="5" t="s">
        <v>366</v>
      </c>
      <c r="B301" s="3">
        <v>59969.557754000001</v>
      </c>
      <c r="C301" s="3">
        <v>59987.211435999998</v>
      </c>
      <c r="D301" s="3">
        <v>33.97</v>
      </c>
      <c r="E301" s="3">
        <v>33.979999999999997</v>
      </c>
    </row>
    <row r="302" spans="1:5" x14ac:dyDescent="0.25">
      <c r="A302" s="5" t="s">
        <v>367</v>
      </c>
      <c r="B302" s="3">
        <v>60199.055620000006</v>
      </c>
      <c r="C302" s="3">
        <v>60216.709302000003</v>
      </c>
      <c r="D302" s="3">
        <v>34.1</v>
      </c>
      <c r="E302" s="3">
        <v>34.11</v>
      </c>
    </row>
    <row r="303" spans="1:5" x14ac:dyDescent="0.25">
      <c r="A303" s="5" t="s">
        <v>368</v>
      </c>
      <c r="B303" s="3">
        <v>60040.172482000002</v>
      </c>
      <c r="C303" s="3">
        <v>60057.826164000013</v>
      </c>
      <c r="D303" s="3">
        <v>34.01</v>
      </c>
      <c r="E303" s="3">
        <v>34.020000000000003</v>
      </c>
    </row>
    <row r="304" spans="1:5" x14ac:dyDescent="0.25">
      <c r="A304" s="5" t="s">
        <v>369</v>
      </c>
      <c r="B304" s="3">
        <v>60110.787210000002</v>
      </c>
      <c r="C304" s="3">
        <v>60128.440892000006</v>
      </c>
      <c r="D304" s="3">
        <v>34.049999999999997</v>
      </c>
      <c r="E304" s="3">
        <v>34.06</v>
      </c>
    </row>
    <row r="305" spans="1:5" x14ac:dyDescent="0.25">
      <c r="A305" s="5" t="s">
        <v>370</v>
      </c>
      <c r="B305" s="3">
        <v>60004.865118000009</v>
      </c>
      <c r="C305" s="3">
        <v>60022.518800000005</v>
      </c>
      <c r="D305" s="3">
        <v>33.99</v>
      </c>
      <c r="E305" s="3">
        <v>34</v>
      </c>
    </row>
    <row r="306" spans="1:5" x14ac:dyDescent="0.25">
      <c r="A306" s="5" t="s">
        <v>371</v>
      </c>
      <c r="B306" s="3">
        <v>60004.865118000009</v>
      </c>
      <c r="C306" s="3">
        <v>60022.518800000005</v>
      </c>
      <c r="D306" s="3">
        <v>33.99</v>
      </c>
      <c r="E306" s="3">
        <v>34</v>
      </c>
    </row>
    <row r="307" spans="1:5" x14ac:dyDescent="0.25">
      <c r="A307" s="5" t="s">
        <v>372</v>
      </c>
      <c r="B307" s="3">
        <v>59934.250390000008</v>
      </c>
      <c r="C307" s="3">
        <v>59951.904072000005</v>
      </c>
      <c r="D307" s="3">
        <v>33.950000000000003</v>
      </c>
      <c r="E307" s="3">
        <v>33.96</v>
      </c>
    </row>
    <row r="308" spans="1:5" x14ac:dyDescent="0.25">
      <c r="A308" s="5" t="s">
        <v>373</v>
      </c>
      <c r="B308" s="3">
        <v>59722.406206</v>
      </c>
      <c r="C308" s="3">
        <v>59740.059888000011</v>
      </c>
      <c r="D308" s="3">
        <v>33.83</v>
      </c>
      <c r="E308" s="3">
        <v>33.840000000000003</v>
      </c>
    </row>
    <row r="309" spans="1:5" x14ac:dyDescent="0.25">
      <c r="A309" s="5" t="s">
        <v>374</v>
      </c>
      <c r="B309" s="3">
        <v>60022.518800000005</v>
      </c>
      <c r="C309" s="3">
        <v>60040.172482000002</v>
      </c>
      <c r="D309" s="3">
        <v>34</v>
      </c>
      <c r="E309" s="3">
        <v>34.01</v>
      </c>
    </row>
    <row r="310" spans="1:5" x14ac:dyDescent="0.25">
      <c r="A310" s="5" t="s">
        <v>375</v>
      </c>
      <c r="B310" s="3">
        <v>60181.40193800001</v>
      </c>
      <c r="C310" s="3">
        <v>60199.055620000006</v>
      </c>
      <c r="D310" s="3">
        <v>34.090000000000003</v>
      </c>
      <c r="E310" s="3">
        <v>34.1</v>
      </c>
    </row>
    <row r="311" spans="1:5" x14ac:dyDescent="0.25">
      <c r="A311" s="5" t="s">
        <v>376</v>
      </c>
      <c r="B311" s="3">
        <v>60093.133528000006</v>
      </c>
      <c r="C311" s="3">
        <v>60110.787210000002</v>
      </c>
      <c r="D311" s="3">
        <v>34.04</v>
      </c>
      <c r="E311" s="3">
        <v>34.049999999999997</v>
      </c>
    </row>
    <row r="312" spans="1:5" x14ac:dyDescent="0.25">
      <c r="A312" s="5" t="s">
        <v>377</v>
      </c>
      <c r="B312" s="3">
        <v>60110.787210000002</v>
      </c>
      <c r="C312" s="3">
        <v>60128.440892000006</v>
      </c>
      <c r="D312" s="3">
        <v>34.049999999999997</v>
      </c>
      <c r="E312" s="3">
        <v>34.06</v>
      </c>
    </row>
    <row r="313" spans="1:5" x14ac:dyDescent="0.25">
      <c r="A313" s="5" t="s">
        <v>336</v>
      </c>
      <c r="B313" s="3">
        <v>61842.543497999999</v>
      </c>
      <c r="C313" s="3">
        <v>61860.197663999999</v>
      </c>
      <c r="D313" s="3">
        <v>35.03</v>
      </c>
      <c r="E313" s="3">
        <v>35.04</v>
      </c>
    </row>
    <row r="314" spans="1:5" x14ac:dyDescent="0.25">
      <c r="A314" s="5" t="s">
        <v>337</v>
      </c>
      <c r="B314" s="3">
        <v>61877.851829999992</v>
      </c>
      <c r="C314" s="3">
        <v>61895.505996000007</v>
      </c>
      <c r="D314" s="3">
        <v>35.049999999999997</v>
      </c>
      <c r="E314" s="3">
        <v>35.06</v>
      </c>
    </row>
    <row r="315" spans="1:5" x14ac:dyDescent="0.25">
      <c r="A315" s="5" t="s">
        <v>338</v>
      </c>
      <c r="B315" s="3">
        <v>62072.047655999995</v>
      </c>
      <c r="C315" s="3">
        <v>62089.701822000003</v>
      </c>
      <c r="D315" s="3">
        <v>35.159999999999997</v>
      </c>
      <c r="E315" s="3">
        <v>35.17</v>
      </c>
    </row>
    <row r="316" spans="1:5" x14ac:dyDescent="0.25">
      <c r="A316" s="5" t="s">
        <v>339</v>
      </c>
      <c r="B316" s="3">
        <v>61701.310170000004</v>
      </c>
      <c r="C316" s="3">
        <v>61718.964336000005</v>
      </c>
      <c r="D316" s="3">
        <v>34.950000000000003</v>
      </c>
      <c r="E316" s="3">
        <v>34.96</v>
      </c>
    </row>
    <row r="317" spans="1:5" x14ac:dyDescent="0.25">
      <c r="A317" s="5" t="s">
        <v>340</v>
      </c>
      <c r="B317" s="3">
        <v>61454.151846000008</v>
      </c>
      <c r="C317" s="3">
        <v>61471.806012000001</v>
      </c>
      <c r="D317" s="3">
        <v>34.81</v>
      </c>
      <c r="E317" s="3">
        <v>34.82</v>
      </c>
    </row>
    <row r="318" spans="1:5" x14ac:dyDescent="0.25">
      <c r="A318" s="5" t="s">
        <v>341</v>
      </c>
      <c r="B318" s="3">
        <v>61701.310170000004</v>
      </c>
      <c r="C318" s="3">
        <v>61718.964336000005</v>
      </c>
      <c r="D318" s="3">
        <v>34.950000000000003</v>
      </c>
      <c r="E318" s="3">
        <v>34.96</v>
      </c>
    </row>
    <row r="319" spans="1:5" x14ac:dyDescent="0.25">
      <c r="A319" s="5" t="s">
        <v>342</v>
      </c>
      <c r="B319" s="3">
        <v>61577.731008000002</v>
      </c>
      <c r="C319" s="3">
        <v>61595.385174000003</v>
      </c>
      <c r="D319" s="3">
        <v>34.880000000000003</v>
      </c>
      <c r="E319" s="3">
        <v>34.89</v>
      </c>
    </row>
    <row r="320" spans="1:5" x14ac:dyDescent="0.25">
      <c r="A320" s="5" t="s">
        <v>343</v>
      </c>
      <c r="B320" s="3">
        <v>61701.310170000004</v>
      </c>
      <c r="C320" s="3">
        <v>61718.964336000005</v>
      </c>
      <c r="D320" s="3">
        <v>34.950000000000003</v>
      </c>
      <c r="E320" s="3">
        <v>34.96</v>
      </c>
    </row>
    <row r="321" spans="1:5" x14ac:dyDescent="0.25">
      <c r="A321" s="5" t="s">
        <v>344</v>
      </c>
      <c r="B321" s="3">
        <v>61542.422676000002</v>
      </c>
      <c r="C321" s="3">
        <v>61560.076841999995</v>
      </c>
      <c r="D321" s="3">
        <v>34.86</v>
      </c>
      <c r="E321" s="3">
        <v>34.869999999999997</v>
      </c>
    </row>
    <row r="322" spans="1:5" x14ac:dyDescent="0.25">
      <c r="A322" s="5" t="s">
        <v>345</v>
      </c>
      <c r="B322" s="3">
        <v>61683.656003999997</v>
      </c>
      <c r="C322" s="3">
        <v>61701.310170000004</v>
      </c>
      <c r="D322" s="3">
        <v>34.94</v>
      </c>
      <c r="E322" s="3">
        <v>34.950000000000003</v>
      </c>
    </row>
    <row r="323" spans="1:5" x14ac:dyDescent="0.25">
      <c r="A323" s="5" t="s">
        <v>346</v>
      </c>
      <c r="B323" s="3">
        <v>61171.685189999997</v>
      </c>
      <c r="C323" s="3">
        <v>61189.339355999997</v>
      </c>
      <c r="D323" s="3">
        <v>34.65</v>
      </c>
      <c r="E323" s="3">
        <v>34.659999999999997</v>
      </c>
    </row>
    <row r="324" spans="1:5" x14ac:dyDescent="0.25">
      <c r="A324" s="5" t="s">
        <v>347</v>
      </c>
      <c r="B324" s="3">
        <v>61365.881015999999</v>
      </c>
      <c r="C324" s="3">
        <v>61383.535182000007</v>
      </c>
      <c r="D324" s="3">
        <v>34.76</v>
      </c>
      <c r="E324" s="3">
        <v>34.770000000000003</v>
      </c>
    </row>
    <row r="325" spans="1:5" x14ac:dyDescent="0.25">
      <c r="A325" s="5" t="s">
        <v>348</v>
      </c>
      <c r="B325" s="3">
        <v>61595.385174000003</v>
      </c>
      <c r="C325" s="3">
        <v>61613.039339999996</v>
      </c>
      <c r="D325" s="3">
        <v>34.89</v>
      </c>
      <c r="E325" s="3">
        <v>34.9</v>
      </c>
    </row>
    <row r="326" spans="1:5" x14ac:dyDescent="0.25">
      <c r="A326" s="5" t="s">
        <v>349</v>
      </c>
      <c r="B326" s="3">
        <v>61666.001837999996</v>
      </c>
      <c r="C326" s="3">
        <v>61683.656003999997</v>
      </c>
      <c r="D326" s="3">
        <v>34.93</v>
      </c>
      <c r="E326" s="3">
        <v>34.94</v>
      </c>
    </row>
    <row r="327" spans="1:5" x14ac:dyDescent="0.25">
      <c r="A327" s="5" t="s">
        <v>350</v>
      </c>
      <c r="B327" s="3">
        <v>61842.543497999999</v>
      </c>
      <c r="C327" s="3">
        <v>61860.197663999999</v>
      </c>
      <c r="D327" s="3">
        <v>35.03</v>
      </c>
      <c r="E327" s="3">
        <v>35.04</v>
      </c>
    </row>
    <row r="328" spans="1:5" x14ac:dyDescent="0.25">
      <c r="A328" s="5" t="s">
        <v>351</v>
      </c>
      <c r="B328" s="3">
        <v>61771.926834000005</v>
      </c>
      <c r="C328" s="3">
        <v>61789.580999999998</v>
      </c>
      <c r="D328" s="3">
        <v>34.99</v>
      </c>
      <c r="E328" s="3">
        <v>35</v>
      </c>
    </row>
    <row r="329" spans="1:5" x14ac:dyDescent="0.25">
      <c r="A329" s="5" t="s">
        <v>352</v>
      </c>
      <c r="B329" s="3">
        <v>61648.347672000004</v>
      </c>
      <c r="C329" s="3">
        <v>61666.001837999996</v>
      </c>
      <c r="D329" s="3">
        <v>34.92</v>
      </c>
      <c r="E329" s="3">
        <v>34.93</v>
      </c>
    </row>
    <row r="330" spans="1:5" x14ac:dyDescent="0.25">
      <c r="A330" s="5" t="s">
        <v>353</v>
      </c>
      <c r="B330" s="3">
        <v>61789.580999999998</v>
      </c>
      <c r="C330" s="3">
        <v>61807.235165999999</v>
      </c>
      <c r="D330" s="3">
        <v>35</v>
      </c>
      <c r="E330" s="3">
        <v>35.01</v>
      </c>
    </row>
    <row r="331" spans="1:5" x14ac:dyDescent="0.25">
      <c r="A331" s="5" t="s">
        <v>354</v>
      </c>
      <c r="B331" s="3">
        <v>61771.926834000005</v>
      </c>
      <c r="C331" s="3">
        <v>61789.580999999998</v>
      </c>
      <c r="D331" s="3">
        <v>34.99</v>
      </c>
      <c r="E331" s="3">
        <v>35</v>
      </c>
    </row>
    <row r="332" spans="1:5" x14ac:dyDescent="0.25">
      <c r="A332" s="5" t="s">
        <v>355</v>
      </c>
      <c r="B332" s="3">
        <v>61754.272667999998</v>
      </c>
      <c r="C332" s="3">
        <v>61771.926834000005</v>
      </c>
      <c r="D332" s="3">
        <v>34.979999999999997</v>
      </c>
      <c r="E332" s="3">
        <v>34.99</v>
      </c>
    </row>
    <row r="333" spans="1:5" x14ac:dyDescent="0.25">
      <c r="A333" s="5" t="s">
        <v>356</v>
      </c>
      <c r="B333" s="3">
        <v>61683.656003999997</v>
      </c>
      <c r="C333" s="3">
        <v>61701.310170000004</v>
      </c>
      <c r="D333" s="3">
        <v>34.94</v>
      </c>
      <c r="E333" s="3">
        <v>34.950000000000003</v>
      </c>
    </row>
    <row r="334" spans="1:5" x14ac:dyDescent="0.25">
      <c r="A334" s="5" t="s">
        <v>357</v>
      </c>
      <c r="B334" s="3">
        <v>61595.385174000003</v>
      </c>
      <c r="C334" s="3">
        <v>61613.039339999996</v>
      </c>
      <c r="D334" s="3">
        <v>34.89</v>
      </c>
      <c r="E334" s="3">
        <v>34.9</v>
      </c>
    </row>
    <row r="335" spans="1:5" x14ac:dyDescent="0.25">
      <c r="A335" s="5" t="s">
        <v>358</v>
      </c>
      <c r="B335" s="3">
        <v>61524.768510000002</v>
      </c>
      <c r="C335" s="3">
        <v>61542.422676000002</v>
      </c>
      <c r="D335" s="3">
        <v>34.85</v>
      </c>
      <c r="E335" s="3">
        <v>34.86</v>
      </c>
    </row>
    <row r="336" spans="1:5" x14ac:dyDescent="0.25">
      <c r="A336" s="5" t="s">
        <v>359</v>
      </c>
      <c r="B336" s="3">
        <v>61560.076841999995</v>
      </c>
      <c r="C336" s="3">
        <v>61577.731008000002</v>
      </c>
      <c r="D336" s="3">
        <v>34.869999999999997</v>
      </c>
      <c r="E336" s="3">
        <v>34.880000000000003</v>
      </c>
    </row>
    <row r="337" spans="1:5" x14ac:dyDescent="0.25">
      <c r="A337" s="5" t="s">
        <v>360</v>
      </c>
      <c r="B337" s="3">
        <v>61560.076841999995</v>
      </c>
      <c r="C337" s="3">
        <v>61577.731008000002</v>
      </c>
      <c r="D337" s="3">
        <v>34.869999999999997</v>
      </c>
      <c r="E337" s="3">
        <v>34.880000000000003</v>
      </c>
    </row>
  </sheetData>
  <conditionalFormatting sqref="F1:F1048576">
    <cfRule type="cellIs" dxfId="8" priority="15" operator="equal">
      <formula>#REF!</formula>
    </cfRule>
  </conditionalFormatting>
  <conditionalFormatting sqref="G1:G1048576">
    <cfRule type="cellIs" dxfId="7" priority="16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Sheet1</vt:lpstr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2026-06-10T20:56:57Z</dcterms:created>
  <dcterms:modified xsi:type="dcterms:W3CDTF">2026-07-04T17:16:22Z</dcterms:modified>
</cp:coreProperties>
</file>