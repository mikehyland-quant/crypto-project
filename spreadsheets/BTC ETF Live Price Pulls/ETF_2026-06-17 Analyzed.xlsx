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spreadsheets\"/>
    </mc:Choice>
  </mc:AlternateContent>
  <xr:revisionPtr revIDLastSave="0" documentId="13_ncr:1_{27AF3038-7E86-4457-A354-4FFF5A1B5254}" xr6:coauthVersionLast="47" xr6:coauthVersionMax="47" xr10:uidLastSave="{00000000-0000-0000-0000-000000000000}"/>
  <bookViews>
    <workbookView xWindow="3630" yWindow="2190" windowWidth="25740" windowHeight="11640" activeTab="1" xr2:uid="{5AEFE437-2EF7-4B03-AF3A-37F8B0E38F6F}"/>
  </bookViews>
  <sheets>
    <sheet name="ETF_2026-06-17" sheetId="1" r:id="rId1"/>
    <sheet name="Sheet1" sheetId="2" r:id="rId2"/>
  </sheets>
  <externalReferences>
    <externalReference r:id="rId3"/>
  </externalReferenc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E18" i="1"/>
  <c r="E19" i="1"/>
  <c r="E20" i="1"/>
  <c r="E21" i="1"/>
  <c r="E28" i="1"/>
  <c r="E29" i="1"/>
  <c r="E30" i="1"/>
  <c r="E31" i="1"/>
  <c r="E38" i="1"/>
  <c r="E39" i="1"/>
  <c r="E40" i="1"/>
  <c r="E41" i="1"/>
  <c r="E48" i="1"/>
  <c r="E49" i="1"/>
  <c r="E50" i="1"/>
  <c r="E51" i="1"/>
  <c r="E58" i="1"/>
  <c r="E59" i="1"/>
  <c r="E60" i="1"/>
  <c r="E61" i="1"/>
  <c r="E68" i="1"/>
  <c r="E69" i="1"/>
  <c r="E70" i="1"/>
  <c r="E71" i="1"/>
  <c r="E78" i="1"/>
  <c r="E79" i="1"/>
  <c r="E80" i="1"/>
  <c r="E81" i="1"/>
  <c r="E88" i="1"/>
  <c r="E89" i="1"/>
  <c r="E90" i="1"/>
  <c r="E91" i="1"/>
  <c r="E98" i="1"/>
  <c r="E99" i="1"/>
  <c r="E100" i="1"/>
  <c r="E101" i="1"/>
  <c r="E108" i="1"/>
  <c r="E109" i="1"/>
  <c r="E110" i="1"/>
  <c r="E111" i="1"/>
  <c r="E118" i="1"/>
  <c r="E119" i="1"/>
  <c r="E120" i="1"/>
  <c r="E121" i="1"/>
  <c r="E128" i="1"/>
  <c r="E129" i="1"/>
  <c r="E130" i="1"/>
  <c r="E131" i="1"/>
  <c r="E138" i="1"/>
  <c r="E139" i="1"/>
  <c r="E140" i="1"/>
  <c r="E141" i="1"/>
  <c r="E148" i="1"/>
  <c r="E149" i="1"/>
  <c r="E150" i="1"/>
  <c r="E151" i="1"/>
  <c r="E158" i="1"/>
  <c r="E159" i="1"/>
  <c r="E160" i="1"/>
  <c r="E161" i="1"/>
  <c r="E168" i="1"/>
  <c r="E169" i="1"/>
  <c r="E170" i="1"/>
  <c r="E171" i="1"/>
  <c r="E178" i="1"/>
  <c r="E179" i="1"/>
  <c r="E180" i="1"/>
  <c r="E181" i="1"/>
  <c r="E188" i="1"/>
  <c r="E189" i="1"/>
  <c r="E190" i="1"/>
  <c r="E191" i="1"/>
  <c r="E198" i="1"/>
  <c r="E199" i="1"/>
  <c r="E200" i="1"/>
  <c r="E201" i="1"/>
  <c r="E13" i="1"/>
  <c r="E14" i="1"/>
  <c r="E15" i="1"/>
  <c r="E16" i="1"/>
  <c r="E17" i="1"/>
  <c r="E12" i="1"/>
  <c r="F11" i="1"/>
  <c r="F10" i="1"/>
  <c r="F9" i="1"/>
  <c r="F8" i="1"/>
  <c r="F7" i="1"/>
  <c r="F6" i="1"/>
  <c r="F5" i="1"/>
  <c r="F4" i="1"/>
  <c r="F3" i="1"/>
  <c r="F2" i="1"/>
  <c r="D21" i="2"/>
  <c r="D20" i="2"/>
  <c r="D19" i="2"/>
  <c r="D18" i="2"/>
  <c r="D17" i="2"/>
  <c r="D16" i="2"/>
  <c r="D15" i="2"/>
  <c r="D14" i="2"/>
  <c r="D13" i="2"/>
  <c r="M12" i="2"/>
  <c r="M11" i="2"/>
  <c r="D11" i="2"/>
  <c r="M10" i="2"/>
  <c r="D10" i="2"/>
  <c r="M9" i="2"/>
  <c r="D9" i="2"/>
  <c r="M8" i="2"/>
  <c r="D8" i="2"/>
  <c r="M7" i="2"/>
  <c r="D7" i="2"/>
  <c r="M6" i="2"/>
  <c r="D6" i="2"/>
  <c r="M5" i="2"/>
  <c r="D5" i="2"/>
  <c r="M4" i="2"/>
  <c r="D4" i="2"/>
  <c r="M3" i="2"/>
  <c r="D3" i="2"/>
  <c r="D2" i="2"/>
  <c r="G2" i="1" l="1"/>
  <c r="G8" i="1"/>
  <c r="G10" i="1"/>
  <c r="G11" i="1"/>
  <c r="G17" i="1"/>
  <c r="F18" i="1"/>
  <c r="F28" i="1" s="1"/>
  <c r="E22" i="1"/>
  <c r="E25" i="1"/>
  <c r="E35" i="1" s="1"/>
  <c r="F38" i="1"/>
  <c r="F48" i="1" s="1"/>
  <c r="E45" i="1"/>
  <c r="E55" i="1" s="1"/>
  <c r="G6" i="1"/>
  <c r="G38" i="1"/>
  <c r="I38" i="1" s="1"/>
  <c r="E24" i="1"/>
  <c r="E65" i="1"/>
  <c r="E75" i="1" s="1"/>
  <c r="F14" i="1"/>
  <c r="F24" i="1" s="1"/>
  <c r="F34" i="1" s="1"/>
  <c r="F44" i="1" s="1"/>
  <c r="F54" i="1" s="1"/>
  <c r="F64" i="1" s="1"/>
  <c r="G4" i="1"/>
  <c r="G48" i="1"/>
  <c r="F20" i="1"/>
  <c r="F30" i="1" s="1"/>
  <c r="F40" i="1" s="1"/>
  <c r="F50" i="1" s="1"/>
  <c r="F60" i="1" s="1"/>
  <c r="F70" i="1" s="1"/>
  <c r="F80" i="1" s="1"/>
  <c r="F90" i="1" s="1"/>
  <c r="F100" i="1" s="1"/>
  <c r="F110" i="1" s="1"/>
  <c r="F120" i="1" s="1"/>
  <c r="F130" i="1" s="1"/>
  <c r="F140" i="1" s="1"/>
  <c r="F150" i="1" s="1"/>
  <c r="F160" i="1" s="1"/>
  <c r="F170" i="1" s="1"/>
  <c r="F180" i="1" s="1"/>
  <c r="F190" i="1" s="1"/>
  <c r="F200" i="1" s="1"/>
  <c r="F13" i="1"/>
  <c r="F23" i="1" s="1"/>
  <c r="F33" i="1" s="1"/>
  <c r="F43" i="1" s="1"/>
  <c r="F53" i="1" s="1"/>
  <c r="F16" i="1"/>
  <c r="F26" i="1" s="1"/>
  <c r="F36" i="1" s="1"/>
  <c r="F46" i="1" s="1"/>
  <c r="F56" i="1" s="1"/>
  <c r="F66" i="1" s="1"/>
  <c r="F76" i="1" s="1"/>
  <c r="F86" i="1" s="1"/>
  <c r="F96" i="1" s="1"/>
  <c r="F106" i="1" s="1"/>
  <c r="F116" i="1" s="1"/>
  <c r="F126" i="1" s="1"/>
  <c r="F136" i="1" s="1"/>
  <c r="F146" i="1" s="1"/>
  <c r="F156" i="1" s="1"/>
  <c r="F166" i="1" s="1"/>
  <c r="F176" i="1" s="1"/>
  <c r="F186" i="1" s="1"/>
  <c r="F196" i="1" s="1"/>
  <c r="G3" i="1"/>
  <c r="G30" i="1"/>
  <c r="G60" i="1"/>
  <c r="G70" i="1"/>
  <c r="G140" i="1"/>
  <c r="I140" i="1" s="1"/>
  <c r="G150" i="1"/>
  <c r="F21" i="1"/>
  <c r="F31" i="1" s="1"/>
  <c r="F41" i="1" s="1"/>
  <c r="F51" i="1" s="1"/>
  <c r="F61" i="1" s="1"/>
  <c r="F71" i="1" s="1"/>
  <c r="F81" i="1" s="1"/>
  <c r="F91" i="1" s="1"/>
  <c r="E23" i="1"/>
  <c r="E26" i="1"/>
  <c r="E27" i="1"/>
  <c r="F58" i="1"/>
  <c r="F68" i="1" s="1"/>
  <c r="F78" i="1" s="1"/>
  <c r="F88" i="1" s="1"/>
  <c r="F98" i="1" s="1"/>
  <c r="F108" i="1" s="1"/>
  <c r="F118" i="1" s="1"/>
  <c r="F63" i="1"/>
  <c r="F73" i="1" s="1"/>
  <c r="F83" i="1" s="1"/>
  <c r="F93" i="1" s="1"/>
  <c r="F103" i="1" s="1"/>
  <c r="F113" i="1" s="1"/>
  <c r="F123" i="1" s="1"/>
  <c r="F74" i="1"/>
  <c r="F84" i="1" s="1"/>
  <c r="F94" i="1" s="1"/>
  <c r="F104" i="1" s="1"/>
  <c r="F114" i="1" s="1"/>
  <c r="F124" i="1" s="1"/>
  <c r="F134" i="1" s="1"/>
  <c r="F144" i="1" s="1"/>
  <c r="F154" i="1" s="1"/>
  <c r="F164" i="1" s="1"/>
  <c r="F174" i="1" s="1"/>
  <c r="F184" i="1" s="1"/>
  <c r="F194" i="1" s="1"/>
  <c r="F17" i="1"/>
  <c r="F27" i="1" s="1"/>
  <c r="F37" i="1" s="1"/>
  <c r="F47" i="1" s="1"/>
  <c r="F57" i="1" s="1"/>
  <c r="F67" i="1" s="1"/>
  <c r="F77" i="1" s="1"/>
  <c r="F87" i="1" s="1"/>
  <c r="F97" i="1" s="1"/>
  <c r="F107" i="1" s="1"/>
  <c r="F117" i="1" s="1"/>
  <c r="F127" i="1" s="1"/>
  <c r="F137" i="1" s="1"/>
  <c r="F147" i="1" s="1"/>
  <c r="F157" i="1" s="1"/>
  <c r="F167" i="1" s="1"/>
  <c r="F177" i="1" s="1"/>
  <c r="F187" i="1" s="1"/>
  <c r="F197" i="1" s="1"/>
  <c r="G7" i="1"/>
  <c r="G28" i="1"/>
  <c r="G9" i="1"/>
  <c r="G5" i="1"/>
  <c r="F19" i="1"/>
  <c r="G19" i="1" s="1"/>
  <c r="F15" i="1"/>
  <c r="H38" i="1"/>
  <c r="H140" i="1"/>
  <c r="D22" i="2"/>
  <c r="N8" i="2"/>
  <c r="O8" i="2" s="1"/>
  <c r="N4" i="2"/>
  <c r="O4" i="2" s="1"/>
  <c r="N3" i="2"/>
  <c r="O3" i="2" s="1"/>
  <c r="N11" i="2"/>
  <c r="O11" i="2" s="1"/>
  <c r="N6" i="2"/>
  <c r="O6" i="2" s="1"/>
  <c r="N9" i="2"/>
  <c r="O9" i="2" s="1"/>
  <c r="N12" i="2"/>
  <c r="O12" i="2" s="1"/>
  <c r="N10" i="2"/>
  <c r="O10" i="2" s="1"/>
  <c r="N5" i="2"/>
  <c r="O5" i="2" s="1"/>
  <c r="N7" i="2"/>
  <c r="O7" i="2" s="1"/>
  <c r="F12" i="1"/>
  <c r="F22" i="1" s="1"/>
  <c r="F32" i="1" s="1"/>
  <c r="F42" i="1" s="1"/>
  <c r="F52" i="1" s="1"/>
  <c r="F62" i="1" s="1"/>
  <c r="F72" i="1" s="1"/>
  <c r="F82" i="1" s="1"/>
  <c r="F92" i="1" s="1"/>
  <c r="F102" i="1" s="1"/>
  <c r="F112" i="1" s="1"/>
  <c r="F122" i="1" s="1"/>
  <c r="F132" i="1" s="1"/>
  <c r="F142" i="1" s="1"/>
  <c r="F152" i="1" s="1"/>
  <c r="F162" i="1" s="1"/>
  <c r="F172" i="1" s="1"/>
  <c r="F182" i="1" s="1"/>
  <c r="F192" i="1" s="1"/>
  <c r="I17" i="1" l="1"/>
  <c r="H17" i="1"/>
  <c r="E32" i="1"/>
  <c r="G22" i="1"/>
  <c r="E34" i="1"/>
  <c r="G24" i="1"/>
  <c r="H30" i="1"/>
  <c r="I30" i="1"/>
  <c r="G23" i="1"/>
  <c r="E33" i="1"/>
  <c r="E36" i="1"/>
  <c r="G26" i="1"/>
  <c r="G27" i="1"/>
  <c r="E37" i="1"/>
  <c r="I28" i="1"/>
  <c r="H28" i="1"/>
  <c r="F101" i="1"/>
  <c r="F128" i="1"/>
  <c r="F133" i="1"/>
  <c r="F143" i="1" s="1"/>
  <c r="F153" i="1" s="1"/>
  <c r="F163" i="1" s="1"/>
  <c r="F173" i="1" s="1"/>
  <c r="F183" i="1" s="1"/>
  <c r="F193" i="1" s="1"/>
  <c r="G21" i="1"/>
  <c r="G40" i="1"/>
  <c r="G81" i="1"/>
  <c r="G88" i="1"/>
  <c r="G98" i="1"/>
  <c r="G110" i="1"/>
  <c r="G160" i="1"/>
  <c r="G13" i="1"/>
  <c r="E85" i="1"/>
  <c r="E95" i="1" s="1"/>
  <c r="E105" i="1" s="1"/>
  <c r="E115" i="1" s="1"/>
  <c r="E125" i="1" s="1"/>
  <c r="E135" i="1" s="1"/>
  <c r="E145" i="1" s="1"/>
  <c r="E155" i="1" s="1"/>
  <c r="E165" i="1" s="1"/>
  <c r="E175" i="1" s="1"/>
  <c r="G12" i="1"/>
  <c r="G14" i="1"/>
  <c r="G16" i="1"/>
  <c r="G18" i="1"/>
  <c r="G20" i="1"/>
  <c r="G50" i="1"/>
  <c r="G58" i="1"/>
  <c r="G68" i="1"/>
  <c r="G78" i="1"/>
  <c r="G90" i="1"/>
  <c r="G118" i="1"/>
  <c r="G190" i="1"/>
  <c r="G31" i="1"/>
  <c r="G51" i="1"/>
  <c r="G61" i="1"/>
  <c r="G71" i="1"/>
  <c r="G41" i="1"/>
  <c r="G80" i="1"/>
  <c r="G100" i="1"/>
  <c r="G108" i="1"/>
  <c r="G170" i="1"/>
  <c r="E185" i="1"/>
  <c r="E195" i="1" s="1"/>
  <c r="G130" i="1"/>
  <c r="G200" i="1"/>
  <c r="G120" i="1"/>
  <c r="G180" i="1"/>
  <c r="G91" i="1"/>
  <c r="F25" i="1"/>
  <c r="G25" i="1" s="1"/>
  <c r="G15" i="1"/>
  <c r="F29" i="1"/>
  <c r="G29" i="1" s="1"/>
  <c r="F35" i="1"/>
  <c r="G35" i="1" s="1"/>
  <c r="H61" i="1"/>
  <c r="I61" i="1"/>
  <c r="H150" i="1"/>
  <c r="I150" i="1"/>
  <c r="H70" i="1"/>
  <c r="I70" i="1"/>
  <c r="I90" i="1"/>
  <c r="H90" i="1"/>
  <c r="H200" i="1"/>
  <c r="I200" i="1"/>
  <c r="H60" i="1"/>
  <c r="I60" i="1"/>
  <c r="H71" i="1"/>
  <c r="I71" i="1"/>
  <c r="H91" i="1"/>
  <c r="I91" i="1"/>
  <c r="H100" i="1"/>
  <c r="I100" i="1"/>
  <c r="I108" i="1"/>
  <c r="H108" i="1"/>
  <c r="I170" i="1"/>
  <c r="H170" i="1"/>
  <c r="I31" i="1"/>
  <c r="H31" i="1"/>
  <c r="H41" i="1"/>
  <c r="I41" i="1"/>
  <c r="I48" i="1"/>
  <c r="H48" i="1"/>
  <c r="I50" i="1"/>
  <c r="H50" i="1"/>
  <c r="H80" i="1"/>
  <c r="I80" i="1"/>
  <c r="H110" i="1"/>
  <c r="I110" i="1"/>
  <c r="H14" i="1"/>
  <c r="I14" i="1"/>
  <c r="I13" i="1"/>
  <c r="H13" i="1"/>
  <c r="I15" i="1"/>
  <c r="H15" i="1"/>
  <c r="I12" i="1"/>
  <c r="H12" i="1"/>
  <c r="I2" i="1"/>
  <c r="H2" i="1"/>
  <c r="H3" i="1"/>
  <c r="I3" i="1"/>
  <c r="I4" i="1"/>
  <c r="H4" i="1"/>
  <c r="H5" i="1"/>
  <c r="I5" i="1"/>
  <c r="H6" i="1"/>
  <c r="I6" i="1"/>
  <c r="I7" i="1"/>
  <c r="H7" i="1"/>
  <c r="I8" i="1"/>
  <c r="H8" i="1"/>
  <c r="H9" i="1"/>
  <c r="I9" i="1"/>
  <c r="H10" i="1"/>
  <c r="I10" i="1"/>
  <c r="I11" i="1"/>
  <c r="H11" i="1"/>
  <c r="E42" i="1" l="1"/>
  <c r="G32" i="1"/>
  <c r="I22" i="1"/>
  <c r="H22" i="1"/>
  <c r="E44" i="1"/>
  <c r="G34" i="1"/>
  <c r="I24" i="1"/>
  <c r="H24" i="1"/>
  <c r="H23" i="1"/>
  <c r="I23" i="1"/>
  <c r="G33" i="1"/>
  <c r="E43" i="1"/>
  <c r="E46" i="1"/>
  <c r="G36" i="1"/>
  <c r="H26" i="1"/>
  <c r="I26" i="1"/>
  <c r="H27" i="1"/>
  <c r="I27" i="1"/>
  <c r="E47" i="1"/>
  <c r="G37" i="1"/>
  <c r="G101" i="1"/>
  <c r="F111" i="1"/>
  <c r="G128" i="1"/>
  <c r="F138" i="1"/>
  <c r="H21" i="1"/>
  <c r="I21" i="1"/>
  <c r="H40" i="1"/>
  <c r="I40" i="1"/>
  <c r="I81" i="1"/>
  <c r="H81" i="1"/>
  <c r="I88" i="1"/>
  <c r="H88" i="1"/>
  <c r="H98" i="1"/>
  <c r="I98" i="1"/>
  <c r="H160" i="1"/>
  <c r="I160" i="1"/>
  <c r="H16" i="1"/>
  <c r="I16" i="1"/>
  <c r="H18" i="1"/>
  <c r="I18" i="1"/>
  <c r="H20" i="1"/>
  <c r="I20" i="1"/>
  <c r="H58" i="1"/>
  <c r="I58" i="1"/>
  <c r="H68" i="1"/>
  <c r="I68" i="1"/>
  <c r="I78" i="1"/>
  <c r="H78" i="1"/>
  <c r="H118" i="1"/>
  <c r="I118" i="1"/>
  <c r="H190" i="1"/>
  <c r="I190" i="1"/>
  <c r="H51" i="1"/>
  <c r="I51" i="1"/>
  <c r="I130" i="1"/>
  <c r="H130" i="1"/>
  <c r="I120" i="1"/>
  <c r="H120" i="1"/>
  <c r="H180" i="1"/>
  <c r="I180" i="1"/>
  <c r="F39" i="1"/>
  <c r="G39" i="1" s="1"/>
  <c r="I19" i="1"/>
  <c r="H19" i="1"/>
  <c r="F45" i="1"/>
  <c r="G45" i="1" s="1"/>
  <c r="I25" i="1"/>
  <c r="H25" i="1"/>
  <c r="F3" i="2"/>
  <c r="F2" i="2"/>
  <c r="G42" i="1" l="1"/>
  <c r="E52" i="1"/>
  <c r="I32" i="1"/>
  <c r="H32" i="1"/>
  <c r="G44" i="1"/>
  <c r="E54" i="1"/>
  <c r="I34" i="1"/>
  <c r="H34" i="1"/>
  <c r="I33" i="1"/>
  <c r="H33" i="1"/>
  <c r="E53" i="1"/>
  <c r="G43" i="1"/>
  <c r="G46" i="1"/>
  <c r="E56" i="1"/>
  <c r="I36" i="1"/>
  <c r="H36" i="1"/>
  <c r="G47" i="1"/>
  <c r="E57" i="1"/>
  <c r="H37" i="1"/>
  <c r="I37" i="1"/>
  <c r="I101" i="1"/>
  <c r="H101" i="1"/>
  <c r="G111" i="1"/>
  <c r="F121" i="1"/>
  <c r="H128" i="1"/>
  <c r="I128" i="1"/>
  <c r="G138" i="1"/>
  <c r="F148" i="1"/>
  <c r="F49" i="1"/>
  <c r="G49" i="1" s="1"/>
  <c r="I29" i="1"/>
  <c r="H29" i="1"/>
  <c r="F55" i="1"/>
  <c r="G55" i="1" s="1"/>
  <c r="I35" i="1"/>
  <c r="H35" i="1"/>
  <c r="H42" i="1" l="1"/>
  <c r="I42" i="1"/>
  <c r="G52" i="1"/>
  <c r="E62" i="1"/>
  <c r="H44" i="1"/>
  <c r="I44" i="1"/>
  <c r="G54" i="1"/>
  <c r="E64" i="1"/>
  <c r="E63" i="1"/>
  <c r="G53" i="1"/>
  <c r="H43" i="1"/>
  <c r="I43" i="1"/>
  <c r="H46" i="1"/>
  <c r="I46" i="1"/>
  <c r="G56" i="1"/>
  <c r="E66" i="1"/>
  <c r="H47" i="1"/>
  <c r="I47" i="1"/>
  <c r="G57" i="1"/>
  <c r="E67" i="1"/>
  <c r="I111" i="1"/>
  <c r="H111" i="1"/>
  <c r="G121" i="1"/>
  <c r="F131" i="1"/>
  <c r="H138" i="1"/>
  <c r="I138" i="1"/>
  <c r="G148" i="1"/>
  <c r="F158" i="1"/>
  <c r="F59" i="1"/>
  <c r="G59" i="1" s="1"/>
  <c r="I39" i="1"/>
  <c r="H39" i="1"/>
  <c r="F4" i="2"/>
  <c r="F5" i="2"/>
  <c r="F65" i="1"/>
  <c r="G65" i="1" s="1"/>
  <c r="H45" i="1"/>
  <c r="I45" i="1"/>
  <c r="I52" i="1" l="1"/>
  <c r="H52" i="1"/>
  <c r="E72" i="1"/>
  <c r="G62" i="1"/>
  <c r="H54" i="1"/>
  <c r="I54" i="1"/>
  <c r="G64" i="1"/>
  <c r="E74" i="1"/>
  <c r="G63" i="1"/>
  <c r="E73" i="1"/>
  <c r="H53" i="1"/>
  <c r="I53" i="1"/>
  <c r="I56" i="1"/>
  <c r="H56" i="1"/>
  <c r="G66" i="1"/>
  <c r="E76" i="1"/>
  <c r="H57" i="1"/>
  <c r="I57" i="1"/>
  <c r="G67" i="1"/>
  <c r="E77" i="1"/>
  <c r="H121" i="1"/>
  <c r="I121" i="1"/>
  <c r="G131" i="1"/>
  <c r="F141" i="1"/>
  <c r="H148" i="1"/>
  <c r="I148" i="1"/>
  <c r="G158" i="1"/>
  <c r="F168" i="1"/>
  <c r="F69" i="1"/>
  <c r="G69" i="1" s="1"/>
  <c r="H49" i="1"/>
  <c r="I49" i="1"/>
  <c r="F6" i="2" s="1"/>
  <c r="F75" i="1"/>
  <c r="G75" i="1" s="1"/>
  <c r="H55" i="1"/>
  <c r="I55" i="1"/>
  <c r="G72" i="1" l="1"/>
  <c r="E82" i="1"/>
  <c r="I62" i="1"/>
  <c r="H62" i="1"/>
  <c r="I64" i="1"/>
  <c r="H64" i="1"/>
  <c r="G74" i="1"/>
  <c r="E84" i="1"/>
  <c r="H63" i="1"/>
  <c r="I63" i="1"/>
  <c r="G73" i="1"/>
  <c r="E83" i="1"/>
  <c r="I66" i="1"/>
  <c r="H66" i="1"/>
  <c r="G76" i="1"/>
  <c r="E86" i="1"/>
  <c r="I67" i="1"/>
  <c r="H67" i="1"/>
  <c r="E87" i="1"/>
  <c r="G77" i="1"/>
  <c r="H131" i="1"/>
  <c r="I131" i="1"/>
  <c r="G141" i="1"/>
  <c r="F151" i="1"/>
  <c r="H158" i="1"/>
  <c r="I158" i="1"/>
  <c r="G168" i="1"/>
  <c r="F178" i="1"/>
  <c r="H59" i="1"/>
  <c r="I59" i="1"/>
  <c r="F79" i="1"/>
  <c r="G79" i="1" s="1"/>
  <c r="F85" i="1"/>
  <c r="G85" i="1" s="1"/>
  <c r="H65" i="1"/>
  <c r="I65" i="1"/>
  <c r="E8" i="2"/>
  <c r="F7" i="2"/>
  <c r="I72" i="1" l="1"/>
  <c r="H72" i="1"/>
  <c r="E92" i="1"/>
  <c r="G82" i="1"/>
  <c r="H74" i="1"/>
  <c r="I74" i="1"/>
  <c r="G84" i="1"/>
  <c r="E94" i="1"/>
  <c r="I73" i="1"/>
  <c r="H73" i="1"/>
  <c r="G83" i="1"/>
  <c r="E93" i="1"/>
  <c r="H76" i="1"/>
  <c r="I76" i="1"/>
  <c r="G86" i="1"/>
  <c r="E96" i="1"/>
  <c r="E97" i="1"/>
  <c r="G87" i="1"/>
  <c r="H77" i="1"/>
  <c r="I77" i="1"/>
  <c r="H141" i="1"/>
  <c r="I141" i="1"/>
  <c r="G151" i="1"/>
  <c r="F161" i="1"/>
  <c r="H168" i="1"/>
  <c r="I168" i="1"/>
  <c r="G178" i="1"/>
  <c r="F188" i="1"/>
  <c r="I69" i="1"/>
  <c r="F8" i="2" s="1"/>
  <c r="H69" i="1"/>
  <c r="F89" i="1"/>
  <c r="G89" i="1" s="1"/>
  <c r="F95" i="1"/>
  <c r="G95" i="1" s="1"/>
  <c r="I75" i="1"/>
  <c r="H75" i="1"/>
  <c r="E102" i="1" l="1"/>
  <c r="G92" i="1"/>
  <c r="I82" i="1"/>
  <c r="H82" i="1"/>
  <c r="H84" i="1"/>
  <c r="I84" i="1"/>
  <c r="G94" i="1"/>
  <c r="E104" i="1"/>
  <c r="I83" i="1"/>
  <c r="H83" i="1"/>
  <c r="G93" i="1"/>
  <c r="E103" i="1"/>
  <c r="I86" i="1"/>
  <c r="H86" i="1"/>
  <c r="G96" i="1"/>
  <c r="E106" i="1"/>
  <c r="G97" i="1"/>
  <c r="E107" i="1"/>
  <c r="H87" i="1"/>
  <c r="I87" i="1"/>
  <c r="H151" i="1"/>
  <c r="I151" i="1"/>
  <c r="G161" i="1"/>
  <c r="F171" i="1"/>
  <c r="I178" i="1"/>
  <c r="H178" i="1"/>
  <c r="G188" i="1"/>
  <c r="F198" i="1"/>
  <c r="G198" i="1" s="1"/>
  <c r="H79" i="1"/>
  <c r="I79" i="1"/>
  <c r="F99" i="1"/>
  <c r="G99" i="1" s="1"/>
  <c r="F105" i="1"/>
  <c r="G105" i="1" s="1"/>
  <c r="H85" i="1"/>
  <c r="I85" i="1"/>
  <c r="F9" i="2"/>
  <c r="G102" i="1" l="1"/>
  <c r="E112" i="1"/>
  <c r="H92" i="1"/>
  <c r="I92" i="1"/>
  <c r="I94" i="1"/>
  <c r="H94" i="1"/>
  <c r="G104" i="1"/>
  <c r="E114" i="1"/>
  <c r="I93" i="1"/>
  <c r="H93" i="1"/>
  <c r="E113" i="1"/>
  <c r="G103" i="1"/>
  <c r="I96" i="1"/>
  <c r="H96" i="1"/>
  <c r="G106" i="1"/>
  <c r="E116" i="1"/>
  <c r="I97" i="1"/>
  <c r="H97" i="1"/>
  <c r="E117" i="1"/>
  <c r="G107" i="1"/>
  <c r="I161" i="1"/>
  <c r="H161" i="1"/>
  <c r="G171" i="1"/>
  <c r="F181" i="1"/>
  <c r="I188" i="1"/>
  <c r="H188" i="1"/>
  <c r="H198" i="1"/>
  <c r="I198" i="1"/>
  <c r="H89" i="1"/>
  <c r="I89" i="1"/>
  <c r="F10" i="2" s="1"/>
  <c r="F109" i="1"/>
  <c r="G109" i="1" s="1"/>
  <c r="F115" i="1"/>
  <c r="G115" i="1" s="1"/>
  <c r="I95" i="1"/>
  <c r="H95" i="1"/>
  <c r="H102" i="1" l="1"/>
  <c r="I102" i="1"/>
  <c r="G112" i="1"/>
  <c r="E122" i="1"/>
  <c r="I104" i="1"/>
  <c r="H104" i="1"/>
  <c r="G114" i="1"/>
  <c r="E124" i="1"/>
  <c r="E123" i="1"/>
  <c r="G113" i="1"/>
  <c r="H103" i="1"/>
  <c r="I103" i="1"/>
  <c r="H106" i="1"/>
  <c r="I106" i="1"/>
  <c r="E126" i="1"/>
  <c r="G116" i="1"/>
  <c r="G117" i="1"/>
  <c r="E127" i="1"/>
  <c r="H107" i="1"/>
  <c r="I107" i="1"/>
  <c r="I171" i="1"/>
  <c r="H171" i="1"/>
  <c r="G181" i="1"/>
  <c r="F191" i="1"/>
  <c r="I99" i="1"/>
  <c r="H99" i="1"/>
  <c r="F119" i="1"/>
  <c r="G119" i="1" s="1"/>
  <c r="F125" i="1"/>
  <c r="G125" i="1" s="1"/>
  <c r="H105" i="1"/>
  <c r="I105" i="1"/>
  <c r="F11" i="2"/>
  <c r="H112" i="1" l="1"/>
  <c r="I112" i="1"/>
  <c r="E132" i="1"/>
  <c r="G122" i="1"/>
  <c r="H114" i="1"/>
  <c r="I114" i="1"/>
  <c r="E134" i="1"/>
  <c r="G124" i="1"/>
  <c r="G123" i="1"/>
  <c r="E133" i="1"/>
  <c r="I113" i="1"/>
  <c r="H113" i="1"/>
  <c r="E136" i="1"/>
  <c r="G126" i="1"/>
  <c r="H116" i="1"/>
  <c r="I116" i="1"/>
  <c r="H117" i="1"/>
  <c r="I117" i="1"/>
  <c r="E137" i="1"/>
  <c r="G127" i="1"/>
  <c r="I181" i="1"/>
  <c r="H181" i="1"/>
  <c r="G191" i="1"/>
  <c r="F201" i="1"/>
  <c r="G201" i="1" s="1"/>
  <c r="F129" i="1"/>
  <c r="G129" i="1" s="1"/>
  <c r="H109" i="1"/>
  <c r="I109" i="1"/>
  <c r="F12" i="2" s="1"/>
  <c r="F135" i="1"/>
  <c r="G135" i="1" s="1"/>
  <c r="H115" i="1"/>
  <c r="I115" i="1"/>
  <c r="E142" i="1" l="1"/>
  <c r="G132" i="1"/>
  <c r="I122" i="1"/>
  <c r="H122" i="1"/>
  <c r="G134" i="1"/>
  <c r="E144" i="1"/>
  <c r="I124" i="1"/>
  <c r="H124" i="1"/>
  <c r="H123" i="1"/>
  <c r="I123" i="1"/>
  <c r="G133" i="1"/>
  <c r="E143" i="1"/>
  <c r="E146" i="1"/>
  <c r="G136" i="1"/>
  <c r="I126" i="1"/>
  <c r="H126" i="1"/>
  <c r="G137" i="1"/>
  <c r="E147" i="1"/>
  <c r="I127" i="1"/>
  <c r="H127" i="1"/>
  <c r="I191" i="1"/>
  <c r="H191" i="1"/>
  <c r="I201" i="1"/>
  <c r="H201" i="1"/>
  <c r="I119" i="1"/>
  <c r="H119" i="1"/>
  <c r="F139" i="1"/>
  <c r="G139" i="1" s="1"/>
  <c r="I125" i="1"/>
  <c r="H125" i="1"/>
  <c r="F145" i="1"/>
  <c r="G145" i="1" s="1"/>
  <c r="E152" i="1" l="1"/>
  <c r="G142" i="1"/>
  <c r="I132" i="1"/>
  <c r="H132" i="1"/>
  <c r="I134" i="1"/>
  <c r="H134" i="1"/>
  <c r="G144" i="1"/>
  <c r="E154" i="1"/>
  <c r="I133" i="1"/>
  <c r="H133" i="1"/>
  <c r="E153" i="1"/>
  <c r="G143" i="1"/>
  <c r="G146" i="1"/>
  <c r="E156" i="1"/>
  <c r="I136" i="1"/>
  <c r="H136" i="1"/>
  <c r="H137" i="1"/>
  <c r="I137" i="1"/>
  <c r="E157" i="1"/>
  <c r="G147" i="1"/>
  <c r="I129" i="1"/>
  <c r="H129" i="1"/>
  <c r="F149" i="1"/>
  <c r="G149" i="1" s="1"/>
  <c r="F155" i="1"/>
  <c r="G155" i="1" s="1"/>
  <c r="I135" i="1"/>
  <c r="H135" i="1"/>
  <c r="G152" i="1" l="1"/>
  <c r="E162" i="1"/>
  <c r="H142" i="1"/>
  <c r="I142" i="1"/>
  <c r="H144" i="1"/>
  <c r="I144" i="1"/>
  <c r="G154" i="1"/>
  <c r="E164" i="1"/>
  <c r="G153" i="1"/>
  <c r="E163" i="1"/>
  <c r="H143" i="1"/>
  <c r="I143" i="1"/>
  <c r="H146" i="1"/>
  <c r="I146" i="1"/>
  <c r="G156" i="1"/>
  <c r="E166" i="1"/>
  <c r="G157" i="1"/>
  <c r="E167" i="1"/>
  <c r="I147" i="1"/>
  <c r="H147" i="1"/>
  <c r="H139" i="1"/>
  <c r="I139" i="1"/>
  <c r="F159" i="1"/>
  <c r="G159" i="1" s="1"/>
  <c r="I145" i="1"/>
  <c r="H145" i="1"/>
  <c r="F165" i="1"/>
  <c r="G165" i="1" s="1"/>
  <c r="I152" i="1" l="1"/>
  <c r="H152" i="1"/>
  <c r="E172" i="1"/>
  <c r="G162" i="1"/>
  <c r="H154" i="1"/>
  <c r="I154" i="1"/>
  <c r="G164" i="1"/>
  <c r="E174" i="1"/>
  <c r="H153" i="1"/>
  <c r="I153" i="1"/>
  <c r="E173" i="1"/>
  <c r="G163" i="1"/>
  <c r="H156" i="1"/>
  <c r="I156" i="1"/>
  <c r="E176" i="1"/>
  <c r="G166" i="1"/>
  <c r="H157" i="1"/>
  <c r="I157" i="1"/>
  <c r="G167" i="1"/>
  <c r="E177" i="1"/>
  <c r="I149" i="1"/>
  <c r="H149" i="1"/>
  <c r="F169" i="1"/>
  <c r="G169" i="1" s="1"/>
  <c r="F175" i="1"/>
  <c r="G175" i="1" s="1"/>
  <c r="I155" i="1"/>
  <c r="H155" i="1"/>
  <c r="G172" i="1" l="1"/>
  <c r="E182" i="1"/>
  <c r="I162" i="1"/>
  <c r="H162" i="1"/>
  <c r="I164" i="1"/>
  <c r="H164" i="1"/>
  <c r="E184" i="1"/>
  <c r="G174" i="1"/>
  <c r="E183" i="1"/>
  <c r="G173" i="1"/>
  <c r="H163" i="1"/>
  <c r="I163" i="1"/>
  <c r="E186" i="1"/>
  <c r="G176" i="1"/>
  <c r="H166" i="1"/>
  <c r="I166" i="1"/>
  <c r="I167" i="1"/>
  <c r="H167" i="1"/>
  <c r="G177" i="1"/>
  <c r="E187" i="1"/>
  <c r="I159" i="1"/>
  <c r="H159" i="1"/>
  <c r="F179" i="1"/>
  <c r="G179" i="1" s="1"/>
  <c r="H165" i="1"/>
  <c r="I165" i="1"/>
  <c r="F185" i="1"/>
  <c r="G185" i="1" s="1"/>
  <c r="H172" i="1" l="1"/>
  <c r="I172" i="1"/>
  <c r="G182" i="1"/>
  <c r="E192" i="1"/>
  <c r="G192" i="1" s="1"/>
  <c r="G184" i="1"/>
  <c r="E194" i="1"/>
  <c r="G194" i="1" s="1"/>
  <c r="H174" i="1"/>
  <c r="I174" i="1"/>
  <c r="G183" i="1"/>
  <c r="E193" i="1"/>
  <c r="G193" i="1" s="1"/>
  <c r="I173" i="1"/>
  <c r="H173" i="1"/>
  <c r="E196" i="1"/>
  <c r="G196" i="1" s="1"/>
  <c r="G186" i="1"/>
  <c r="H176" i="1"/>
  <c r="I176" i="1"/>
  <c r="I177" i="1"/>
  <c r="H177" i="1"/>
  <c r="G187" i="1"/>
  <c r="E197" i="1"/>
  <c r="G197" i="1" s="1"/>
  <c r="I169" i="1"/>
  <c r="H169" i="1"/>
  <c r="F189" i="1"/>
  <c r="G189" i="1" s="1"/>
  <c r="F195" i="1"/>
  <c r="G195" i="1" s="1"/>
  <c r="I175" i="1"/>
  <c r="H175" i="1"/>
  <c r="H182" i="1" l="1"/>
  <c r="I182" i="1"/>
  <c r="H192" i="1"/>
  <c r="I192" i="1"/>
  <c r="H184" i="1"/>
  <c r="I184" i="1"/>
  <c r="I194" i="1"/>
  <c r="H194" i="1"/>
  <c r="H183" i="1"/>
  <c r="I183" i="1"/>
  <c r="H193" i="1"/>
  <c r="I193" i="1"/>
  <c r="H196" i="1"/>
  <c r="I196" i="1"/>
  <c r="I186" i="1"/>
  <c r="H186" i="1"/>
  <c r="I187" i="1"/>
  <c r="H187" i="1"/>
  <c r="H197" i="1"/>
  <c r="I197" i="1"/>
  <c r="H179" i="1"/>
  <c r="I179" i="1"/>
  <c r="F199" i="1"/>
  <c r="G199" i="1" s="1"/>
  <c r="H195" i="1"/>
  <c r="I195" i="1"/>
  <c r="H185" i="1"/>
  <c r="I185" i="1"/>
  <c r="H189" i="1" l="1"/>
  <c r="I189" i="1"/>
  <c r="H199" i="1"/>
  <c r="I199" i="1"/>
  <c r="E19" i="2"/>
  <c r="E16" i="2"/>
  <c r="E12" i="2"/>
  <c r="E10" i="2"/>
  <c r="E6" i="2"/>
  <c r="E7" i="2"/>
  <c r="E17" i="2"/>
  <c r="E4" i="2"/>
  <c r="E11" i="2"/>
  <c r="E9" i="2"/>
  <c r="E18" i="2"/>
  <c r="E21" i="2"/>
  <c r="E2" i="2"/>
  <c r="E13" i="2"/>
  <c r="E14" i="2"/>
  <c r="E20" i="2"/>
  <c r="E15" i="2"/>
  <c r="F21" i="2"/>
  <c r="F13" i="2"/>
  <c r="F19" i="2"/>
  <c r="F17" i="2"/>
  <c r="F14" i="2"/>
  <c r="F18" i="2"/>
  <c r="F20" i="2"/>
  <c r="F16" i="2"/>
  <c r="F15" i="2"/>
  <c r="E5" i="2" l="1"/>
  <c r="E3" i="2"/>
  <c r="I8" i="2"/>
  <c r="I5" i="2"/>
  <c r="I9" i="2"/>
  <c r="I12" i="2"/>
  <c r="I4" i="2"/>
  <c r="I7" i="2"/>
  <c r="I11" i="2"/>
  <c r="I6" i="2"/>
  <c r="I3" i="2"/>
  <c r="I10" i="2"/>
  <c r="J6" i="2"/>
  <c r="J5" i="2"/>
  <c r="J4" i="2"/>
  <c r="J12" i="2"/>
  <c r="J8" i="2"/>
  <c r="J11" i="2"/>
  <c r="J9" i="2"/>
  <c r="J3" i="2"/>
  <c r="J7" i="2"/>
  <c r="J10" i="2"/>
  <c r="K3" i="2" l="1"/>
  <c r="I13" i="2"/>
  <c r="K8" i="2"/>
  <c r="K5" i="2"/>
  <c r="K9" i="2"/>
  <c r="K12" i="2"/>
  <c r="K4" i="2"/>
  <c r="K7" i="2"/>
  <c r="K11" i="2"/>
  <c r="K6" i="2"/>
  <c r="K10" i="2"/>
  <c r="J13" i="2"/>
  <c r="K13" i="2" l="1"/>
</calcChain>
</file>

<file path=xl/sharedStrings.xml><?xml version="1.0" encoding="utf-8"?>
<sst xmlns="http://schemas.openxmlformats.org/spreadsheetml/2006/main" count="451" uniqueCount="50">
  <si>
    <t>my_fi_name</t>
  </si>
  <si>
    <t>price_screen_bid</t>
  </si>
  <si>
    <t>price_screen_ask</t>
  </si>
  <si>
    <t>time</t>
  </si>
  <si>
    <t>ARKB</t>
  </si>
  <si>
    <t>2026-06-17_11-54-44</t>
  </si>
  <si>
    <t>BITB</t>
  </si>
  <si>
    <t>BRRR</t>
  </si>
  <si>
    <t>BTC</t>
  </si>
  <si>
    <t>BTCW</t>
  </si>
  <si>
    <t>EZBC</t>
  </si>
  <si>
    <t>FBTC</t>
  </si>
  <si>
    <t>GBTC</t>
  </si>
  <si>
    <t>HODL</t>
  </si>
  <si>
    <t>IBIT</t>
  </si>
  <si>
    <t>2026-06-17_12-09-44</t>
  </si>
  <si>
    <t>2026-06-17_12-12-30</t>
  </si>
  <si>
    <t>2026-06-17_12-27-30</t>
  </si>
  <si>
    <t>2026-06-17_12-42-30</t>
  </si>
  <si>
    <t>2026-06-17_12-57-30</t>
  </si>
  <si>
    <t>2026-06-17_13-12-30</t>
  </si>
  <si>
    <t>2026-06-17_13-27-30</t>
  </si>
  <si>
    <t>2026-06-17_13-42-30</t>
  </si>
  <si>
    <t>2026-06-17_13-57-30</t>
  </si>
  <si>
    <t>2026-06-17_14-12-30</t>
  </si>
  <si>
    <t>2026-06-17_14-27-30</t>
  </si>
  <si>
    <t>2026-06-17_14-42-30</t>
  </si>
  <si>
    <t>2026-06-17_14-57-25</t>
  </si>
  <si>
    <t>2026-06-17_15-12-25</t>
  </si>
  <si>
    <t>2026-06-17_15-27-26</t>
  </si>
  <si>
    <t>2026-06-17_15-42-26</t>
  </si>
  <si>
    <t>2026-06-17_15-57-26</t>
  </si>
  <si>
    <t>2026-06-17_16-12-26</t>
  </si>
  <si>
    <t>2026-06-17_16-27-26</t>
  </si>
  <si>
    <t>scalar</t>
  </si>
  <si>
    <t>adj</t>
  </si>
  <si>
    <t>adj scalar</t>
  </si>
  <si>
    <t>unit bid</t>
  </si>
  <si>
    <t>unit ask</t>
  </si>
  <si>
    <t>Row Labels</t>
  </si>
  <si>
    <t>Max of unit bid</t>
  </si>
  <si>
    <t>Min of unit ask</t>
  </si>
  <si>
    <t>net</t>
  </si>
  <si>
    <t>bid name</t>
  </si>
  <si>
    <t>ask name</t>
  </si>
  <si>
    <t>hit bid</t>
  </si>
  <si>
    <t>lift ask</t>
  </si>
  <si>
    <t>diff</t>
  </si>
  <si>
    <t>price</t>
  </si>
  <si>
    <t>$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</si>
</sst>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0_);_(* \(#,##0.0000\);_(* &quot;-&quot;??_);_(@_)"/>
    <numFmt numFmtId="165" formatCode="0.000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44" fontId="0" fillId="0" borderId="0" xfId="2" applyFont="1"/>
    <xf numFmtId="164" fontId="0" fillId="0" borderId="0" xfId="1" applyNumberFormat="1" applyFont="1" applyAlignment="1">
      <alignment horizontal="center"/>
    </xf>
    <xf numFmtId="44" fontId="0" fillId="0" borderId="0" xfId="2" applyFont="1" applyAlignment="1">
      <alignment horizontal="center"/>
    </xf>
    <xf numFmtId="164" fontId="0" fillId="33" borderId="0" xfId="1" applyNumberFormat="1" applyFont="1" applyFill="1"/>
    <xf numFmtId="164" fontId="0" fillId="0" borderId="0" xfId="1" applyNumberFormat="1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horizontal="right"/>
    </xf>
    <xf numFmtId="164" fontId="18" fillId="0" borderId="0" xfId="1" applyNumberFormat="1" applyFont="1" applyAlignment="1">
      <alignment horizontal="right"/>
    </xf>
    <xf numFmtId="44" fontId="18" fillId="0" borderId="0" xfId="2" applyFont="1" applyAlignment="1">
      <alignment horizontal="right"/>
    </xf>
    <xf numFmtId="0" fontId="16" fillId="0" borderId="0" xfId="0" applyFont="1"/>
    <xf numFmtId="165" fontId="0" fillId="0" borderId="0" xfId="3" applyNumberFormat="1" applyFont="1"/>
    <xf numFmtId="0" fontId="19" fillId="0" borderId="0" xfId="0" applyFont="1"/>
    <xf numFmtId="44" fontId="20" fillId="0" borderId="0" xfId="0" applyNumberFormat="1" applyFont="1"/>
    <xf numFmtId="0" fontId="0" fillId="0" borderId="0" xfId="0" pivotButton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* #,##0.0000_);_(* \(#,##0.00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crypto\spreadsheets\ETF_2026-06-16%20Analyzed.xlsx" TargetMode="External"/><Relationship Id="rId1" Type="http://schemas.openxmlformats.org/officeDocument/2006/relationships/externalLinkPath" Target="ETF_2026-06-16%20Analyz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TF_2026-06-16"/>
      <sheetName val="Sheet1"/>
    </sheetNames>
    <sheetDataSet>
      <sheetData sheetId="0">
        <row r="2">
          <cell r="C2">
            <v>21.94</v>
          </cell>
        </row>
        <row r="3">
          <cell r="C3">
            <v>35.909999999999997</v>
          </cell>
        </row>
        <row r="4">
          <cell r="C4">
            <v>18.66</v>
          </cell>
        </row>
        <row r="5">
          <cell r="C5">
            <v>29.26</v>
          </cell>
        </row>
        <row r="6">
          <cell r="C6">
            <v>69.95</v>
          </cell>
        </row>
        <row r="7">
          <cell r="C7">
            <v>38.229999999999997</v>
          </cell>
        </row>
        <row r="8">
          <cell r="C8">
            <v>57.58</v>
          </cell>
        </row>
        <row r="9">
          <cell r="C9">
            <v>51.32</v>
          </cell>
        </row>
        <row r="10">
          <cell r="C10">
            <v>18.71</v>
          </cell>
        </row>
        <row r="11">
          <cell r="C11">
            <v>37.479999999999997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Hyland" refreshedDate="46190.699498379632" createdVersion="8" refreshedVersion="8" minRefreshableVersion="3" recordCount="200" xr:uid="{E631E8FB-E68B-4232-AE8F-7C949EFE7836}">
  <cacheSource type="worksheet">
    <worksheetSource name="table1"/>
  </cacheSource>
  <cacheFields count="9">
    <cacheField name="my_fi_name" numFmtId="0">
      <sharedItems/>
    </cacheField>
    <cacheField name="price_screen_bid" numFmtId="44">
      <sharedItems containsSemiMixedTypes="0" containsString="0" containsNumber="1" minValue="18.07" maxValue="69.87"/>
    </cacheField>
    <cacheField name="price_screen_ask" numFmtId="44">
      <sharedItems containsSemiMixedTypes="0" containsString="0" containsNumber="1" minValue="18.079999999999998" maxValue="70.05"/>
    </cacheField>
    <cacheField name="time" numFmtId="0">
      <sharedItems count="20">
        <s v="2026-06-17_11-54-44"/>
        <s v="2026-06-17_12-09-44"/>
        <s v="2026-06-17_12-12-30"/>
        <s v="2026-06-17_12-27-30"/>
        <s v="2026-06-17_12-42-30"/>
        <s v="2026-06-17_12-57-30"/>
        <s v="2026-06-17_13-12-30"/>
        <s v="2026-06-17_13-27-30"/>
        <s v="2026-06-17_13-42-30"/>
        <s v="2026-06-17_13-57-30"/>
        <s v="2026-06-17_14-12-30"/>
        <s v="2026-06-17_14-27-30"/>
        <s v="2026-06-17_14-42-30"/>
        <s v="2026-06-17_14-57-25"/>
        <s v="2026-06-17_15-12-25"/>
        <s v="2026-06-17_15-27-26"/>
        <s v="2026-06-17_15-42-26"/>
        <s v="2026-06-17_15-57-26"/>
        <s v="2026-06-17_16-12-26"/>
        <s v="2026-06-17_16-27-26"/>
      </sharedItems>
    </cacheField>
    <cacheField name="scalar" numFmtId="164">
      <sharedItems containsSemiMixedTypes="0" containsString="0" containsNumber="1" minValue="946.10389999999995" maxValue="3546.4650000000001"/>
    </cacheField>
    <cacheField name="adj" numFmtId="164">
      <sharedItems containsSemiMixedTypes="0" containsString="0" containsNumber="1" minValue="-0.1" maxValue="0.05"/>
    </cacheField>
    <cacheField name="adj scalar" numFmtId="164">
      <sharedItems containsSemiMixedTypes="0" containsString="0" containsNumber="1" minValue="946.10389999999995" maxValue="3546.4650000000001"/>
    </cacheField>
    <cacheField name="unit bid" numFmtId="44">
      <sharedItems containsSemiMixedTypes="0" containsString="0" containsNumber="1" minValue="63966.084679" maxValue="66130.713915"/>
    </cacheField>
    <cacheField name="unit ask" numFmtId="44">
      <sharedItems containsSemiMixedTypes="0" containsString="0" containsNumber="1" minValue="64104.756416000004" maxValue="66274.578194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ARKB"/>
    <n v="21.77"/>
    <n v="21.78"/>
    <x v="0"/>
    <n v="3014.8622999999998"/>
    <n v="0"/>
    <n v="3014.8622999999998"/>
    <n v="65633.552270999993"/>
    <n v="65663.700893999994"/>
  </r>
  <r>
    <s v="BITB"/>
    <n v="35.630000000000003"/>
    <n v="35.64"/>
    <x v="0"/>
    <n v="1842.07"/>
    <n v="0"/>
    <n v="1842.07"/>
    <n v="65632.954100000003"/>
    <n v="65651.374800000005"/>
  </r>
  <r>
    <s v="BRRR"/>
    <n v="18.510000000000002"/>
    <n v="18.52"/>
    <x v="0"/>
    <n v="3546.4650000000001"/>
    <n v="0"/>
    <n v="3546.4650000000001"/>
    <n v="65645.067150000003"/>
    <n v="65680.531799999997"/>
  </r>
  <r>
    <s v="BTC"/>
    <n v="29.03"/>
    <n v="29.04"/>
    <x v="0"/>
    <n v="2261.2950999999998"/>
    <n v="-0.1"/>
    <n v="2261.1950999999999"/>
    <n v="65642.493753000002"/>
    <n v="65665.105704000001"/>
  </r>
  <r>
    <s v="BTCW"/>
    <n v="69.38"/>
    <n v="69.489999999999995"/>
    <x v="0"/>
    <n v="946.10389999999995"/>
    <n v="0"/>
    <n v="946.10389999999995"/>
    <n v="65640.688581999988"/>
    <n v="65744.760010999991"/>
  </r>
  <r>
    <s v="EZBC"/>
    <n v="37.92"/>
    <n v="37.950000000000003"/>
    <x v="0"/>
    <n v="1730.1828"/>
    <n v="0"/>
    <n v="1730.1828"/>
    <n v="65608.531776000003"/>
    <n v="65660.437260000006"/>
  </r>
  <r>
    <s v="FBTC"/>
    <n v="57.13"/>
    <n v="57.14"/>
    <x v="0"/>
    <n v="1148.8136999999999"/>
    <n v="0"/>
    <n v="1148.8136999999999"/>
    <n v="65631.726681"/>
    <n v="65643.214817999993"/>
  </r>
  <r>
    <s v="GBTC"/>
    <n v="50.93"/>
    <n v="50.95"/>
    <x v="0"/>
    <n v="1288.7964999999999"/>
    <n v="0.05"/>
    <n v="1288.8464999999999"/>
    <n v="65640.952244999993"/>
    <n v="65666.729175"/>
  </r>
  <r>
    <s v="HODL"/>
    <n v="18.559999999999999"/>
    <n v="18.57"/>
    <x v="0"/>
    <n v="3535.8029000000001"/>
    <n v="0"/>
    <n v="3535.8029000000001"/>
    <n v="65624.501823999992"/>
    <n v="65659.859853000002"/>
  </r>
  <r>
    <s v="IBIT"/>
    <n v="37.18"/>
    <n v="37.19"/>
    <x v="0"/>
    <n v="1764.9988000000001"/>
    <n v="0"/>
    <n v="1764.9988000000001"/>
    <n v="65622.655383999998"/>
    <n v="65640.305372000003"/>
  </r>
  <r>
    <s v="ARKB"/>
    <n v="21.81"/>
    <n v="21.82"/>
    <x v="1"/>
    <n v="3014.8622999999998"/>
    <n v="0"/>
    <n v="3014.8622999999998"/>
    <n v="65754.146762999997"/>
    <n v="65784.295385999998"/>
  </r>
  <r>
    <s v="BITB"/>
    <n v="35.700000000000003"/>
    <n v="35.71"/>
    <x v="1"/>
    <n v="1842.07"/>
    <n v="0"/>
    <n v="1842.07"/>
    <n v="65761.899000000005"/>
    <n v="65780.319699999993"/>
  </r>
  <r>
    <s v="BRRR"/>
    <n v="18.54"/>
    <n v="18.55"/>
    <x v="1"/>
    <n v="3546.4650000000001"/>
    <n v="0"/>
    <n v="3546.4650000000001"/>
    <n v="65751.4611"/>
    <n v="65786.925750000009"/>
  </r>
  <r>
    <s v="BTC"/>
    <n v="29.08"/>
    <n v="29.09"/>
    <x v="1"/>
    <n v="2261.2950999999998"/>
    <n v="-0.1"/>
    <n v="2261.1950999999999"/>
    <n v="65755.553507999997"/>
    <n v="65778.165458999996"/>
  </r>
  <r>
    <s v="BTCW"/>
    <n v="69.510000000000005"/>
    <n v="69.59"/>
    <x v="1"/>
    <n v="946.10389999999995"/>
    <n v="0"/>
    <n v="946.10389999999995"/>
    <n v="65763.682088999994"/>
    <n v="65839.370400999993"/>
  </r>
  <r>
    <s v="EZBC"/>
    <n v="38"/>
    <n v="38.020000000000003"/>
    <x v="1"/>
    <n v="1730.1828"/>
    <n v="0"/>
    <n v="1730.1828"/>
    <n v="65746.946400000001"/>
    <n v="65781.550056000007"/>
  </r>
  <r>
    <s v="FBTC"/>
    <n v="57.24"/>
    <n v="57.25"/>
    <x v="1"/>
    <n v="1148.8136999999999"/>
    <n v="0"/>
    <n v="1148.8136999999999"/>
    <n v="65758.096187999996"/>
    <n v="65769.584324999989"/>
  </r>
  <r>
    <s v="GBTC"/>
    <n v="51.03"/>
    <n v="51.04"/>
    <x v="1"/>
    <n v="1288.7964999999999"/>
    <n v="0.05"/>
    <n v="1288.8464999999999"/>
    <n v="65769.836895"/>
    <n v="65782.725359999997"/>
  </r>
  <r>
    <s v="HODL"/>
    <n v="18.59"/>
    <n v="18.600000000000001"/>
    <x v="1"/>
    <n v="3535.8029000000001"/>
    <n v="0"/>
    <n v="3535.8029000000001"/>
    <n v="65730.575911000007"/>
    <n v="65765.933940000003"/>
  </r>
  <r>
    <s v="IBIT"/>
    <n v="37.25"/>
    <n v="37.26"/>
    <x v="1"/>
    <n v="1764.9988000000001"/>
    <n v="0"/>
    <n v="1764.9988000000001"/>
    <n v="65746.205300000001"/>
    <n v="65763.855288000006"/>
  </r>
  <r>
    <s v="ARKB"/>
    <n v="21.79"/>
    <n v="21.8"/>
    <x v="2"/>
    <n v="3014.8622999999998"/>
    <n v="0"/>
    <n v="3014.8622999999998"/>
    <n v="65693.849516999995"/>
    <n v="65723.998139999996"/>
  </r>
  <r>
    <s v="BITB"/>
    <n v="35.67"/>
    <n v="35.68"/>
    <x v="2"/>
    <n v="1842.07"/>
    <n v="0"/>
    <n v="1842.07"/>
    <n v="65706.636899999998"/>
    <n v="65725.0576"/>
  </r>
  <r>
    <s v="BRRR"/>
    <n v="18.53"/>
    <n v="18.54"/>
    <x v="2"/>
    <n v="3546.4650000000001"/>
    <n v="0"/>
    <n v="3546.4650000000001"/>
    <n v="65715.996450000006"/>
    <n v="65751.4611"/>
  </r>
  <r>
    <s v="BTC"/>
    <n v="29.06"/>
    <n v="29.07"/>
    <x v="2"/>
    <n v="2261.2950999999998"/>
    <n v="-0.1"/>
    <n v="2261.1950999999999"/>
    <n v="65710.329605999999"/>
    <n v="65732.941556999998"/>
  </r>
  <r>
    <s v="BTCW"/>
    <n v="69.45"/>
    <n v="69.540000000000006"/>
    <x v="2"/>
    <n v="946.10389999999995"/>
    <n v="0"/>
    <n v="946.10389999999995"/>
    <n v="65706.915854999999"/>
    <n v="65792.065205999999"/>
  </r>
  <r>
    <s v="EZBC"/>
    <n v="37.97"/>
    <n v="37.99"/>
    <x v="2"/>
    <n v="1730.1828"/>
    <n v="0"/>
    <n v="1730.1828"/>
    <n v="65695.040915999998"/>
    <n v="65729.644572000005"/>
  </r>
  <r>
    <s v="FBTC"/>
    <n v="57.19"/>
    <n v="57.21"/>
    <x v="2"/>
    <n v="1148.8136999999999"/>
    <n v="0"/>
    <n v="1148.8136999999999"/>
    <n v="65700.655502999987"/>
    <n v="65723.631777000002"/>
  </r>
  <r>
    <s v="GBTC"/>
    <n v="50.98"/>
    <n v="51"/>
    <x v="2"/>
    <n v="1288.7964999999999"/>
    <n v="0.05"/>
    <n v="1288.8464999999999"/>
    <n v="65705.394569999989"/>
    <n v="65731.171499999997"/>
  </r>
  <r>
    <s v="HODL"/>
    <n v="18.579999999999998"/>
    <n v="18.59"/>
    <x v="2"/>
    <n v="3535.8029000000001"/>
    <n v="0"/>
    <n v="3535.8029000000001"/>
    <n v="65695.217881999997"/>
    <n v="65730.575911000007"/>
  </r>
  <r>
    <s v="IBIT"/>
    <n v="37.22"/>
    <n v="37.229999999999997"/>
    <x v="2"/>
    <n v="1764.9988000000001"/>
    <n v="0"/>
    <n v="1764.9988000000001"/>
    <n v="65693.255336000002"/>
    <n v="65710.905323999992"/>
  </r>
  <r>
    <s v="ARKB"/>
    <n v="21.93"/>
    <n v="21.94"/>
    <x v="3"/>
    <n v="3014.8622999999998"/>
    <n v="0"/>
    <n v="3014.8622999999998"/>
    <n v="66115.930238999994"/>
    <n v="66146.078861999995"/>
  </r>
  <r>
    <s v="BITB"/>
    <n v="35.89"/>
    <n v="35.9"/>
    <x v="3"/>
    <n v="1842.07"/>
    <n v="0"/>
    <n v="1842.07"/>
    <n v="66111.892299999992"/>
    <n v="66130.312999999995"/>
  </r>
  <r>
    <s v="BRRR"/>
    <n v="18.64"/>
    <n v="18.649999999999999"/>
    <x v="3"/>
    <n v="3546.4650000000001"/>
    <n v="0"/>
    <n v="3546.4650000000001"/>
    <n v="66106.107600000003"/>
    <n v="66141.572249999997"/>
  </r>
  <r>
    <s v="BTC"/>
    <n v="29.24"/>
    <n v="29.25"/>
    <x v="3"/>
    <n v="2261.2950999999998"/>
    <n v="-0.1"/>
    <n v="2261.1950999999999"/>
    <n v="66117.344723999995"/>
    <n v="66139.956674999994"/>
  </r>
  <r>
    <s v="BTCW"/>
    <n v="69.87"/>
    <n v="69.98"/>
    <x v="3"/>
    <n v="946.10389999999995"/>
    <n v="0"/>
    <n v="946.10389999999995"/>
    <n v="66104.279492999995"/>
    <n v="66208.350921999998"/>
  </r>
  <r>
    <s v="EZBC"/>
    <n v="38.200000000000003"/>
    <n v="38.229999999999997"/>
    <x v="3"/>
    <n v="1730.1828"/>
    <n v="0"/>
    <n v="1730.1828"/>
    <n v="66092.982960000008"/>
    <n v="66144.888443999997"/>
  </r>
  <r>
    <s v="FBTC"/>
    <n v="57.55"/>
    <n v="57.57"/>
    <x v="3"/>
    <n v="1148.8136999999999"/>
    <n v="0"/>
    <n v="1148.8136999999999"/>
    <n v="66114.228434999997"/>
    <n v="66137.204708999998"/>
  </r>
  <r>
    <s v="GBTC"/>
    <n v="51.31"/>
    <n v="51.32"/>
    <x v="3"/>
    <n v="1288.7964999999999"/>
    <n v="0.05"/>
    <n v="1288.8464999999999"/>
    <n v="66130.713915"/>
    <n v="66143.602379999997"/>
  </r>
  <r>
    <s v="HODL"/>
    <n v="18.7"/>
    <n v="18.71"/>
    <x v="3"/>
    <n v="3535.8029000000001"/>
    <n v="0"/>
    <n v="3535.8029000000001"/>
    <n v="66119.514230000001"/>
    <n v="66154.872259000011"/>
  </r>
  <r>
    <s v="IBIT"/>
    <n v="37.46"/>
    <n v="37.47"/>
    <x v="3"/>
    <n v="1764.9988000000001"/>
    <n v="0"/>
    <n v="1764.9988000000001"/>
    <n v="66116.855047999998"/>
    <n v="66134.505036000002"/>
  </r>
  <r>
    <s v="ARKB"/>
    <n v="21.87"/>
    <n v="21.88"/>
    <x v="4"/>
    <n v="3014.8622999999998"/>
    <n v="0"/>
    <n v="3014.8622999999998"/>
    <n v="65935.038501000003"/>
    <n v="65965.187123999989"/>
  </r>
  <r>
    <s v="BITB"/>
    <n v="35.79"/>
    <n v="35.799999999999997"/>
    <x v="4"/>
    <n v="1842.07"/>
    <n v="0"/>
    <n v="1842.07"/>
    <n v="65927.685299999997"/>
    <n v="65946.105999999985"/>
  </r>
  <r>
    <s v="BRRR"/>
    <n v="18.59"/>
    <n v="18.600000000000001"/>
    <x v="4"/>
    <n v="3546.4650000000001"/>
    <n v="0"/>
    <n v="3546.4650000000001"/>
    <n v="65928.784350000002"/>
    <n v="65964.249000000011"/>
  </r>
  <r>
    <s v="BTC"/>
    <n v="29.16"/>
    <n v="29.17"/>
    <x v="4"/>
    <n v="2261.2950999999998"/>
    <n v="-0.1"/>
    <n v="2261.1950999999999"/>
    <n v="65936.449116000003"/>
    <n v="65959.061067000002"/>
  </r>
  <r>
    <s v="BTCW"/>
    <n v="69.69"/>
    <n v="69.760000000000005"/>
    <x v="4"/>
    <n v="946.10389999999995"/>
    <n v="0"/>
    <n v="946.10389999999995"/>
    <n v="65933.980790999994"/>
    <n v="66000.208064000006"/>
  </r>
  <r>
    <s v="EZBC"/>
    <n v="38.090000000000003"/>
    <n v="38.119999999999997"/>
    <x v="4"/>
    <n v="1730.1828"/>
    <n v="0"/>
    <n v="1730.1828"/>
    <n v="65902.662852000009"/>
    <n v="65954.568335999997"/>
  </r>
  <r>
    <s v="FBTC"/>
    <n v="57.39"/>
    <n v="57.4"/>
    <x v="4"/>
    <n v="1148.8136999999999"/>
    <n v="0"/>
    <n v="1148.8136999999999"/>
    <n v="65930.418242999993"/>
    <n v="65941.90638"/>
  </r>
  <r>
    <s v="GBTC"/>
    <n v="51.15"/>
    <n v="51.17"/>
    <x v="4"/>
    <n v="1288.7964999999999"/>
    <n v="0.05"/>
    <n v="1288.8464999999999"/>
    <n v="65924.498474999986"/>
    <n v="65950.275404999993"/>
  </r>
  <r>
    <s v="HODL"/>
    <n v="18.64"/>
    <n v="18.649999999999999"/>
    <x v="4"/>
    <n v="3535.8029000000001"/>
    <n v="0"/>
    <n v="3535.8029000000001"/>
    <n v="65907.366055999999"/>
    <n v="65942.724084999994"/>
  </r>
  <r>
    <s v="IBIT"/>
    <n v="37.35"/>
    <n v="37.36"/>
    <x v="4"/>
    <n v="1764.9988000000001"/>
    <n v="0"/>
    <n v="1764.9988000000001"/>
    <n v="65922.705180000004"/>
    <n v="65940.355167999995"/>
  </r>
  <r>
    <s v="ARKB"/>
    <n v="21.84"/>
    <n v="21.85"/>
    <x v="5"/>
    <n v="3014.8622999999998"/>
    <n v="0"/>
    <n v="3014.8622999999998"/>
    <n v="65844.592632"/>
    <n v="65874.741255000001"/>
  </r>
  <r>
    <s v="BITB"/>
    <n v="35.74"/>
    <n v="35.75"/>
    <x v="5"/>
    <n v="1842.07"/>
    <n v="0"/>
    <n v="1842.07"/>
    <n v="65835.5818"/>
    <n v="65854.002500000002"/>
  </r>
  <r>
    <s v="BRRR"/>
    <n v="18.559999999999999"/>
    <n v="18.57"/>
    <x v="5"/>
    <n v="3546.4650000000001"/>
    <n v="0"/>
    <n v="3546.4650000000001"/>
    <n v="65822.390400000004"/>
    <n v="65857.855049999998"/>
  </r>
  <r>
    <s v="BTC"/>
    <n v="29.12"/>
    <n v="29.13"/>
    <x v="5"/>
    <n v="2261.2950999999998"/>
    <n v="-0.1"/>
    <n v="2261.1950999999999"/>
    <n v="65846.001311999993"/>
    <n v="65868.613262999992"/>
  </r>
  <r>
    <s v="BTCW"/>
    <n v="69.59"/>
    <n v="69.7"/>
    <x v="5"/>
    <n v="946.10389999999995"/>
    <n v="0"/>
    <n v="946.10389999999995"/>
    <n v="65839.370400999993"/>
    <n v="65943.441829999996"/>
  </r>
  <r>
    <s v="EZBC"/>
    <n v="38.03"/>
    <n v="38.07"/>
    <x v="5"/>
    <n v="1730.1828"/>
    <n v="0"/>
    <n v="1730.1828"/>
    <n v="65798.851884000003"/>
    <n v="65868.059196000002"/>
  </r>
  <r>
    <s v="FBTC"/>
    <n v="57.3"/>
    <n v="57.32"/>
    <x v="5"/>
    <n v="1148.8136999999999"/>
    <n v="0"/>
    <n v="1148.8136999999999"/>
    <n v="65827.025009999998"/>
    <n v="65850.001283999998"/>
  </r>
  <r>
    <s v="GBTC"/>
    <n v="51.09"/>
    <n v="51.1"/>
    <x v="5"/>
    <n v="1288.7964999999999"/>
    <n v="0.05"/>
    <n v="1288.8464999999999"/>
    <n v="65847.167684999993"/>
    <n v="65860.056149999989"/>
  </r>
  <r>
    <s v="HODL"/>
    <n v="18.62"/>
    <n v="18.63"/>
    <x v="5"/>
    <n v="3535.8029000000001"/>
    <n v="0"/>
    <n v="3535.8029000000001"/>
    <n v="65836.649998000008"/>
    <n v="65872.008027000003"/>
  </r>
  <r>
    <s v="IBIT"/>
    <n v="37.29"/>
    <n v="37.299999999999997"/>
    <x v="5"/>
    <n v="1764.9988000000001"/>
    <n v="0"/>
    <n v="1764.9988000000001"/>
    <n v="65816.805252000006"/>
    <n v="65834.455239999996"/>
  </r>
  <r>
    <s v="ARKB"/>
    <n v="21.85"/>
    <n v="21.86"/>
    <x v="6"/>
    <n v="3014.8622999999998"/>
    <n v="0"/>
    <n v="3014.8622999999998"/>
    <n v="65874.741255000001"/>
    <n v="65904.889877999987"/>
  </r>
  <r>
    <s v="BITB"/>
    <n v="35.76"/>
    <n v="35.770000000000003"/>
    <x v="6"/>
    <n v="1842.07"/>
    <n v="0"/>
    <n v="1842.07"/>
    <n v="65872.42319999999"/>
    <n v="65890.843900000007"/>
  </r>
  <r>
    <s v="BRRR"/>
    <n v="18.57"/>
    <n v="18.579999999999998"/>
    <x v="6"/>
    <n v="3546.4650000000001"/>
    <n v="0"/>
    <n v="3546.4650000000001"/>
    <n v="65857.855049999998"/>
    <n v="65893.319699999993"/>
  </r>
  <r>
    <s v="BTC"/>
    <n v="29.13"/>
    <n v="29.14"/>
    <x v="6"/>
    <n v="2261.2950999999998"/>
    <n v="-0.1"/>
    <n v="2261.1950999999999"/>
    <n v="65868.613262999992"/>
    <n v="65891.225214000006"/>
  </r>
  <r>
    <s v="BTCW"/>
    <n v="69.62"/>
    <n v="69.75"/>
    <x v="6"/>
    <n v="946.10389999999995"/>
    <n v="0"/>
    <n v="946.10389999999995"/>
    <n v="65867.753517999998"/>
    <n v="65990.74702499999"/>
  </r>
  <r>
    <s v="EZBC"/>
    <n v="38.049999999999997"/>
    <n v="38.090000000000003"/>
    <x v="6"/>
    <n v="1730.1828"/>
    <n v="0"/>
    <n v="1730.1828"/>
    <n v="65833.455539999995"/>
    <n v="65902.662852000009"/>
  </r>
  <r>
    <s v="FBTC"/>
    <n v="57.34"/>
    <n v="57.35"/>
    <x v="6"/>
    <n v="1148.8136999999999"/>
    <n v="0"/>
    <n v="1148.8136999999999"/>
    <n v="65872.977557999999"/>
    <n v="65884.465694999992"/>
  </r>
  <r>
    <s v="GBTC"/>
    <n v="51.11"/>
    <n v="51.12"/>
    <x v="6"/>
    <n v="1288.7964999999999"/>
    <n v="0.05"/>
    <n v="1288.8464999999999"/>
    <n v="65872.944614999986"/>
    <n v="65885.833079999997"/>
  </r>
  <r>
    <s v="HODL"/>
    <n v="18.62"/>
    <n v="18.63"/>
    <x v="6"/>
    <n v="3535.8029000000001"/>
    <n v="0"/>
    <n v="3535.8029000000001"/>
    <n v="65836.649998000008"/>
    <n v="65872.008027000003"/>
  </r>
  <r>
    <s v="IBIT"/>
    <n v="37.31"/>
    <n v="37.32"/>
    <x v="6"/>
    <n v="1764.9988000000001"/>
    <n v="0"/>
    <n v="1764.9988000000001"/>
    <n v="65852.105228"/>
    <n v="65869.755216000005"/>
  </r>
  <r>
    <s v="ARKB"/>
    <n v="21.85"/>
    <n v="21.86"/>
    <x v="7"/>
    <n v="3014.8622999999998"/>
    <n v="0"/>
    <n v="3014.8622999999998"/>
    <n v="65874.741255000001"/>
    <n v="65904.889877999987"/>
  </r>
  <r>
    <s v="BITB"/>
    <n v="35.770000000000003"/>
    <n v="35.78"/>
    <x v="7"/>
    <n v="1842.07"/>
    <n v="0"/>
    <n v="1842.07"/>
    <n v="65890.843900000007"/>
    <n v="65909.264599999995"/>
  </r>
  <r>
    <s v="BRRR"/>
    <n v="18.579999999999998"/>
    <n v="18.59"/>
    <x v="7"/>
    <n v="3546.4650000000001"/>
    <n v="0"/>
    <n v="3546.4650000000001"/>
    <n v="65893.319699999993"/>
    <n v="65928.784350000002"/>
  </r>
  <r>
    <s v="BTC"/>
    <n v="29.14"/>
    <n v="29.15"/>
    <x v="7"/>
    <n v="2261.2950999999998"/>
    <n v="-0.1"/>
    <n v="2261.1950999999999"/>
    <n v="65891.225214000006"/>
    <n v="65913.83716499999"/>
  </r>
  <r>
    <s v="BTCW"/>
    <n v="69.64"/>
    <n v="69.77"/>
    <x v="7"/>
    <n v="946.10389999999995"/>
    <n v="0"/>
    <n v="946.10389999999995"/>
    <n v="65886.675596000001"/>
    <n v="66009.669102999993"/>
  </r>
  <r>
    <s v="EZBC"/>
    <n v="38.07"/>
    <n v="38.1"/>
    <x v="7"/>
    <n v="1730.1828"/>
    <n v="0"/>
    <n v="1730.1828"/>
    <n v="65868.059196000002"/>
    <n v="65919.964680000005"/>
  </r>
  <r>
    <s v="FBTC"/>
    <n v="57.36"/>
    <n v="57.37"/>
    <x v="7"/>
    <n v="1148.8136999999999"/>
    <n v="0"/>
    <n v="1148.8136999999999"/>
    <n v="65895.953831999999"/>
    <n v="65907.441968999992"/>
  </r>
  <r>
    <s v="GBTC"/>
    <n v="51.12"/>
    <n v="51.13"/>
    <x v="7"/>
    <n v="1288.7964999999999"/>
    <n v="0.05"/>
    <n v="1288.8464999999999"/>
    <n v="65885.833079999997"/>
    <n v="65898.721544999993"/>
  </r>
  <r>
    <s v="HODL"/>
    <n v="18.63"/>
    <n v="18.64"/>
    <x v="7"/>
    <n v="3535.8029000000001"/>
    <n v="0"/>
    <n v="3535.8029000000001"/>
    <n v="65872.008027000003"/>
    <n v="65907.366055999999"/>
  </r>
  <r>
    <s v="IBIT"/>
    <n v="37.32"/>
    <n v="37.33"/>
    <x v="7"/>
    <n v="1764.9988000000001"/>
    <n v="0"/>
    <n v="1764.9988000000001"/>
    <n v="65869.755216000005"/>
    <n v="65887.405203999995"/>
  </r>
  <r>
    <s v="ARKB"/>
    <n v="21.82"/>
    <n v="21.83"/>
    <x v="8"/>
    <n v="3014.8622999999998"/>
    <n v="0"/>
    <n v="3014.8622999999998"/>
    <n v="65784.295385999998"/>
    <n v="65814.444008999984"/>
  </r>
  <r>
    <s v="BITB"/>
    <n v="35.72"/>
    <n v="35.729999999999997"/>
    <x v="8"/>
    <n v="1842.07"/>
    <n v="0"/>
    <n v="1842.07"/>
    <n v="65798.740399999995"/>
    <n v="65817.161099999998"/>
  </r>
  <r>
    <s v="BRRR"/>
    <n v="18.55"/>
    <n v="18.559999999999999"/>
    <x v="8"/>
    <n v="3546.4650000000001"/>
    <n v="0"/>
    <n v="3546.4650000000001"/>
    <n v="65786.925750000009"/>
    <n v="65822.390400000004"/>
  </r>
  <r>
    <s v="BTC"/>
    <n v="29.1"/>
    <n v="29.11"/>
    <x v="8"/>
    <n v="2261.2950999999998"/>
    <n v="-0.1"/>
    <n v="2261.1950999999999"/>
    <n v="65800.777409999995"/>
    <n v="65823.389360999994"/>
  </r>
  <r>
    <s v="BTCW"/>
    <n v="69.540000000000006"/>
    <n v="69.680000000000007"/>
    <x v="8"/>
    <n v="946.10389999999995"/>
    <n v="0"/>
    <n v="946.10389999999995"/>
    <n v="65792.065205999999"/>
    <n v="65924.519752000007"/>
  </r>
  <r>
    <s v="EZBC"/>
    <n v="38.01"/>
    <n v="38.049999999999997"/>
    <x v="8"/>
    <n v="1730.1828"/>
    <n v="0"/>
    <n v="1730.1828"/>
    <n v="65764.248227999997"/>
    <n v="65833.455539999995"/>
  </r>
  <r>
    <s v="FBTC"/>
    <n v="57.27"/>
    <n v="57.29"/>
    <x v="8"/>
    <n v="1148.8136999999999"/>
    <n v="0"/>
    <n v="1148.8136999999999"/>
    <n v="65792.560599000004"/>
    <n v="65815.53687299999"/>
  </r>
  <r>
    <s v="GBTC"/>
    <n v="51.06"/>
    <n v="51.07"/>
    <x v="8"/>
    <n v="1288.7964999999999"/>
    <n v="0.05"/>
    <n v="1288.8464999999999"/>
    <n v="65808.502289999989"/>
    <n v="65821.390755"/>
  </r>
  <r>
    <s v="HODL"/>
    <n v="18.61"/>
    <n v="18.62"/>
    <x v="8"/>
    <n v="3535.8029000000001"/>
    <n v="0"/>
    <n v="3535.8029000000001"/>
    <n v="65801.291968999998"/>
    <n v="65836.649998000008"/>
  </r>
  <r>
    <s v="IBIT"/>
    <n v="37.270000000000003"/>
    <n v="37.28"/>
    <x v="8"/>
    <n v="1764.9988000000001"/>
    <n v="0"/>
    <n v="1764.9988000000001"/>
    <n v="65781.505276000011"/>
    <n v="65799.155264000001"/>
  </r>
  <r>
    <s v="ARKB"/>
    <n v="21.89"/>
    <n v="21.9"/>
    <x v="9"/>
    <n v="3014.8622999999998"/>
    <n v="0"/>
    <n v="3014.8622999999998"/>
    <n v="65995.33574699999"/>
    <n v="66025.484369999991"/>
  </r>
  <r>
    <s v="BITB"/>
    <n v="35.82"/>
    <n v="35.83"/>
    <x v="9"/>
    <n v="1842.07"/>
    <n v="0"/>
    <n v="1842.07"/>
    <n v="65982.947400000005"/>
    <n v="66001.368099999992"/>
  </r>
  <r>
    <s v="BRRR"/>
    <n v="18.600000000000001"/>
    <n v="18.61"/>
    <x v="9"/>
    <n v="3546.4650000000001"/>
    <n v="0"/>
    <n v="3546.4650000000001"/>
    <n v="65964.249000000011"/>
    <n v="65999.713650000005"/>
  </r>
  <r>
    <s v="BTC"/>
    <n v="29.19"/>
    <n v="29.2"/>
    <x v="9"/>
    <n v="2261.2950999999998"/>
    <n v="-0.1"/>
    <n v="2261.1950999999999"/>
    <n v="66004.284969"/>
    <n v="66026.896919999999"/>
  </r>
  <r>
    <s v="BTCW"/>
    <n v="69.75"/>
    <n v="69.849999999999994"/>
    <x v="9"/>
    <n v="946.10389999999995"/>
    <n v="0"/>
    <n v="946.10389999999995"/>
    <n v="65990.74702499999"/>
    <n v="66085.357414999991"/>
  </r>
  <r>
    <s v="EZBC"/>
    <n v="38.130000000000003"/>
    <n v="38.15"/>
    <x v="9"/>
    <n v="1730.1828"/>
    <n v="0"/>
    <n v="1730.1828"/>
    <n v="65971.870164000007"/>
    <n v="66006.473819999999"/>
  </r>
  <r>
    <s v="FBTC"/>
    <n v="57.44"/>
    <n v="57.46"/>
    <x v="9"/>
    <n v="1148.8136999999999"/>
    <n v="0"/>
    <n v="1148.8136999999999"/>
    <n v="65987.858927999987"/>
    <n v="66010.835202000002"/>
  </r>
  <r>
    <s v="GBTC"/>
    <n v="51.21"/>
    <n v="51.22"/>
    <x v="9"/>
    <n v="1288.7964999999999"/>
    <n v="0.05"/>
    <n v="1288.8464999999999"/>
    <n v="66001.829264999993"/>
    <n v="66014.717729999989"/>
  </r>
  <r>
    <s v="HODL"/>
    <n v="18.66"/>
    <n v="18.670000000000002"/>
    <x v="9"/>
    <n v="3535.8029000000001"/>
    <n v="0"/>
    <n v="3535.8029000000001"/>
    <n v="65978.082114000004"/>
    <n v="66013.440143000014"/>
  </r>
  <r>
    <s v="IBIT"/>
    <n v="37.380000000000003"/>
    <n v="37.39"/>
    <x v="9"/>
    <n v="1764.9988000000001"/>
    <n v="0"/>
    <n v="1764.9988000000001"/>
    <n v="65975.655144000004"/>
    <n v="65993.305132000009"/>
  </r>
  <r>
    <s v="ARKB"/>
    <n v="21.66"/>
    <n v="21.67"/>
    <x v="10"/>
    <n v="3014.8622999999998"/>
    <n v="0"/>
    <n v="3014.8622999999998"/>
    <n v="65301.917417999997"/>
    <n v="65332.066040999998"/>
  </r>
  <r>
    <s v="BITB"/>
    <n v="35.46"/>
    <n v="35.47"/>
    <x v="10"/>
    <n v="1842.07"/>
    <n v="0"/>
    <n v="1842.07"/>
    <n v="65319.802199999998"/>
    <n v="65338.222899999993"/>
  </r>
  <r>
    <s v="BRRR"/>
    <n v="18.41"/>
    <n v="18.420000000000002"/>
    <x v="10"/>
    <n v="3546.4650000000001"/>
    <n v="0"/>
    <n v="3546.4650000000001"/>
    <n v="65290.42065"/>
    <n v="65325.885300000009"/>
  </r>
  <r>
    <s v="BTC"/>
    <n v="28.89"/>
    <n v="28.9"/>
    <x v="10"/>
    <n v="2261.2950999999998"/>
    <n v="-0.1"/>
    <n v="2261.1950999999999"/>
    <n v="65325.926438999995"/>
    <n v="65348.538389999994"/>
  </r>
  <r>
    <s v="BTCW"/>
    <n v="69.03"/>
    <n v="69.150000000000006"/>
    <x v="10"/>
    <n v="946.10389999999995"/>
    <n v="0"/>
    <n v="946.10389999999995"/>
    <n v="65309.552216999997"/>
    <n v="65423.084685000002"/>
  </r>
  <r>
    <s v="EZBC"/>
    <n v="37.729999999999997"/>
    <n v="37.770000000000003"/>
    <x v="10"/>
    <n v="1730.1828"/>
    <n v="0"/>
    <n v="1730.1828"/>
    <n v="65279.797043999999"/>
    <n v="65349.004356000005"/>
  </r>
  <r>
    <s v="FBTC"/>
    <n v="56.86"/>
    <n v="56.87"/>
    <x v="10"/>
    <n v="1148.8136999999999"/>
    <n v="0"/>
    <n v="1148.8136999999999"/>
    <n v="65321.546981999993"/>
    <n v="65333.035118999993"/>
  </r>
  <r>
    <s v="GBTC"/>
    <n v="50.68"/>
    <n v="50.7"/>
    <x v="10"/>
    <n v="1288.7964999999999"/>
    <n v="0.05"/>
    <n v="1288.8464999999999"/>
    <n v="65318.740619999997"/>
    <n v="65344.517549999997"/>
  </r>
  <r>
    <s v="HODL"/>
    <n v="18.47"/>
    <n v="18.48"/>
    <x v="10"/>
    <n v="3535.8029000000001"/>
    <n v="0"/>
    <n v="3535.8029000000001"/>
    <n v="65306.279562999996"/>
    <n v="65341.637592000006"/>
  </r>
  <r>
    <s v="IBIT"/>
    <n v="37"/>
    <n v="37.01"/>
    <x v="10"/>
    <n v="1764.9988000000001"/>
    <n v="0"/>
    <n v="1764.9988000000001"/>
    <n v="65304.955600000001"/>
    <n v="65322.605587999999"/>
  </r>
  <r>
    <s v="ARKB"/>
    <n v="21.66"/>
    <n v="21.67"/>
    <x v="11"/>
    <n v="3014.8622999999998"/>
    <n v="0"/>
    <n v="3014.8622999999998"/>
    <n v="65301.917417999997"/>
    <n v="65332.066040999998"/>
  </r>
  <r>
    <s v="BITB"/>
    <n v="35.44"/>
    <n v="35.450000000000003"/>
    <x v="11"/>
    <n v="1842.07"/>
    <n v="0"/>
    <n v="1842.07"/>
    <n v="65282.960799999993"/>
    <n v="65301.381500000003"/>
  </r>
  <r>
    <s v="BRRR"/>
    <n v="18.41"/>
    <n v="18.420000000000002"/>
    <x v="11"/>
    <n v="3546.4650000000001"/>
    <n v="0"/>
    <n v="3546.4650000000001"/>
    <n v="65290.42065"/>
    <n v="65325.885300000009"/>
  </r>
  <r>
    <s v="BTC"/>
    <n v="28.88"/>
    <n v="28.89"/>
    <x v="11"/>
    <n v="2261.2950999999998"/>
    <n v="-0.1"/>
    <n v="2261.1950999999999"/>
    <n v="65303.314487999996"/>
    <n v="65325.926438999995"/>
  </r>
  <r>
    <s v="BTCW"/>
    <n v="69.010000000000005"/>
    <n v="69.12"/>
    <x v="11"/>
    <n v="946.10389999999995"/>
    <n v="0"/>
    <n v="946.10389999999995"/>
    <n v="65290.630139000001"/>
    <n v="65394.701568000004"/>
  </r>
  <r>
    <s v="EZBC"/>
    <n v="37.72"/>
    <n v="37.75"/>
    <x v="11"/>
    <n v="1730.1828"/>
    <n v="0"/>
    <n v="1730.1828"/>
    <n v="65262.495216000003"/>
    <n v="65314.400699999998"/>
  </r>
  <r>
    <s v="FBTC"/>
    <n v="56.83"/>
    <n v="56.84"/>
    <x v="11"/>
    <n v="1148.8136999999999"/>
    <n v="0"/>
    <n v="1148.8136999999999"/>
    <n v="65287.082570999992"/>
    <n v="65298.570707999999"/>
  </r>
  <r>
    <s v="GBTC"/>
    <n v="50.66"/>
    <n v="50.67"/>
    <x v="11"/>
    <n v="1288.7964999999999"/>
    <n v="0.05"/>
    <n v="1288.8464999999999"/>
    <n v="65292.96368999999"/>
    <n v="65305.852154999993"/>
  </r>
  <r>
    <s v="HODL"/>
    <n v="18.46"/>
    <n v="18.47"/>
    <x v="11"/>
    <n v="3535.8029000000001"/>
    <n v="0"/>
    <n v="3535.8029000000001"/>
    <n v="65270.921534000008"/>
    <n v="65306.279562999996"/>
  </r>
  <r>
    <s v="IBIT"/>
    <n v="36.99"/>
    <n v="37"/>
    <x v="11"/>
    <n v="1764.9988000000001"/>
    <n v="0"/>
    <n v="1764.9988000000001"/>
    <n v="65287.305612000004"/>
    <n v="65304.955600000001"/>
  </r>
  <r>
    <s v="ARKB"/>
    <n v="21.76"/>
    <n v="21.77"/>
    <x v="12"/>
    <n v="3014.8622999999998"/>
    <n v="0"/>
    <n v="3014.8622999999998"/>
    <n v="65603.403648000007"/>
    <n v="65633.552270999993"/>
  </r>
  <r>
    <s v="BITB"/>
    <n v="35.619999999999997"/>
    <n v="35.630000000000003"/>
    <x v="12"/>
    <n v="1842.07"/>
    <n v="0"/>
    <n v="1842.07"/>
    <n v="65614.5334"/>
    <n v="65632.954100000003"/>
  </r>
  <r>
    <s v="BRRR"/>
    <n v="18.5"/>
    <n v="18.510000000000002"/>
    <x v="12"/>
    <n v="3546.4650000000001"/>
    <n v="0"/>
    <n v="3546.4650000000001"/>
    <n v="65609.602500000008"/>
    <n v="65645.067150000003"/>
  </r>
  <r>
    <s v="BTC"/>
    <n v="29.02"/>
    <n v="29.03"/>
    <x v="12"/>
    <n v="2261.2950999999998"/>
    <n v="-0.1"/>
    <n v="2261.1950999999999"/>
    <n v="65619.881802000004"/>
    <n v="65642.493753000002"/>
  </r>
  <r>
    <s v="BTCW"/>
    <n v="69.34"/>
    <n v="69.459999999999994"/>
    <x v="12"/>
    <n v="946.10389999999995"/>
    <n v="0"/>
    <n v="946.10389999999995"/>
    <n v="65602.844425999996"/>
    <n v="65716.376893999986"/>
  </r>
  <r>
    <s v="EZBC"/>
    <n v="37.9"/>
    <n v="37.950000000000003"/>
    <x v="12"/>
    <n v="1730.1828"/>
    <n v="0"/>
    <n v="1730.1828"/>
    <n v="65573.928119999997"/>
    <n v="65660.437260000006"/>
  </r>
  <r>
    <s v="FBTC"/>
    <n v="57.12"/>
    <n v="57.13"/>
    <x v="12"/>
    <n v="1148.8136999999999"/>
    <n v="0"/>
    <n v="1148.8136999999999"/>
    <n v="65620.238543999993"/>
    <n v="65631.726681"/>
  </r>
  <r>
    <s v="GBTC"/>
    <n v="50.91"/>
    <n v="50.92"/>
    <x v="12"/>
    <n v="1288.7964999999999"/>
    <n v="0.05"/>
    <n v="1288.8464999999999"/>
    <n v="65615.175314999986"/>
    <n v="65628.063779999997"/>
  </r>
  <r>
    <s v="HODL"/>
    <n v="18.55"/>
    <n v="18.559999999999999"/>
    <x v="12"/>
    <n v="3535.8029000000001"/>
    <n v="0"/>
    <n v="3535.8029000000001"/>
    <n v="65589.143795000011"/>
    <n v="65624.501823999992"/>
  </r>
  <r>
    <s v="IBIT"/>
    <n v="37.17"/>
    <n v="37.18"/>
    <x v="12"/>
    <n v="1764.9988000000001"/>
    <n v="0"/>
    <n v="1764.9988000000001"/>
    <n v="65605.005396000008"/>
    <n v="65622.655383999998"/>
  </r>
  <r>
    <s v="ARKB"/>
    <n v="21.75"/>
    <n v="21.76"/>
    <x v="13"/>
    <n v="3014.8622999999998"/>
    <n v="0"/>
    <n v="3014.8622999999998"/>
    <n v="65573.255024999991"/>
    <n v="65603.403648000007"/>
  </r>
  <r>
    <s v="BITB"/>
    <n v="35.61"/>
    <n v="35.619999999999997"/>
    <x v="13"/>
    <n v="1842.07"/>
    <n v="0"/>
    <n v="1842.07"/>
    <n v="65596.112699999998"/>
    <n v="65614.5334"/>
  </r>
  <r>
    <s v="BRRR"/>
    <n v="18.489999999999998"/>
    <n v="18.5"/>
    <x v="13"/>
    <n v="3546.4650000000001"/>
    <n v="0"/>
    <n v="3546.4650000000001"/>
    <n v="65574.137849999999"/>
    <n v="65609.602500000008"/>
  </r>
  <r>
    <s v="BTC"/>
    <n v="29.01"/>
    <n v="29.02"/>
    <x v="13"/>
    <n v="2261.2950999999998"/>
    <n v="-0.1"/>
    <n v="2261.1950999999999"/>
    <n v="65597.269851000005"/>
    <n v="65619.881802000004"/>
  </r>
  <r>
    <s v="BTCW"/>
    <n v="69.319999999999993"/>
    <n v="69.44"/>
    <x v="13"/>
    <n v="946.10389999999995"/>
    <n v="0"/>
    <n v="946.10389999999995"/>
    <n v="65583.922347999993"/>
    <n v="65697.454815999998"/>
  </r>
  <r>
    <s v="EZBC"/>
    <n v="37.89"/>
    <n v="37.92"/>
    <x v="13"/>
    <n v="1730.1828"/>
    <n v="0"/>
    <n v="1730.1828"/>
    <n v="65556.626292000001"/>
    <n v="65608.531776000003"/>
  </r>
  <r>
    <s v="FBTC"/>
    <n v="57.09"/>
    <n v="57.11"/>
    <x v="13"/>
    <n v="1148.8136999999999"/>
    <n v="0"/>
    <n v="1148.8136999999999"/>
    <n v="65585.774132999999"/>
    <n v="65608.750407"/>
  </r>
  <r>
    <s v="GBTC"/>
    <n v="50.9"/>
    <n v="50.91"/>
    <x v="13"/>
    <n v="1288.7964999999999"/>
    <n v="0.05"/>
    <n v="1288.8464999999999"/>
    <n v="65602.286849999989"/>
    <n v="65615.175314999986"/>
  </r>
  <r>
    <s v="HODL"/>
    <n v="18.54"/>
    <n v="18.55"/>
    <x v="13"/>
    <n v="3535.8029000000001"/>
    <n v="0"/>
    <n v="3535.8029000000001"/>
    <n v="65553.785766000001"/>
    <n v="65589.143795000011"/>
  </r>
  <r>
    <s v="IBIT"/>
    <n v="37.15"/>
    <n v="37.159999999999997"/>
    <x v="13"/>
    <n v="1764.9988000000001"/>
    <n v="0"/>
    <n v="1764.9988000000001"/>
    <n v="65569.705419999998"/>
    <n v="65587.355408000003"/>
  </r>
  <r>
    <s v="ARKB"/>
    <n v="21.57"/>
    <n v="21.58"/>
    <x v="14"/>
    <n v="3014.8622999999998"/>
    <n v="0"/>
    <n v="3014.8622999999998"/>
    <n v="65030.579810999996"/>
    <n v="65060.72843399999"/>
  </r>
  <r>
    <s v="BITB"/>
    <n v="35.31"/>
    <n v="35.32"/>
    <x v="14"/>
    <n v="1842.07"/>
    <n v="0"/>
    <n v="1842.07"/>
    <n v="65043.491699999999"/>
    <n v="65061.912400000001"/>
  </r>
  <r>
    <s v="BRRR"/>
    <n v="18.34"/>
    <n v="18.350000000000001"/>
    <x v="14"/>
    <n v="3546.4650000000001"/>
    <n v="0"/>
    <n v="3546.4650000000001"/>
    <n v="65042.168100000003"/>
    <n v="65077.632750000004"/>
  </r>
  <r>
    <s v="BTC"/>
    <n v="28.77"/>
    <n v="28.78"/>
    <x v="14"/>
    <n v="2261.2950999999998"/>
    <n v="-0.1"/>
    <n v="2261.1950999999999"/>
    <n v="65054.583026999993"/>
    <n v="65077.194978"/>
  </r>
  <r>
    <s v="BTCW"/>
    <n v="68.73"/>
    <n v="68.84"/>
    <x v="14"/>
    <n v="946.10389999999995"/>
    <n v="0"/>
    <n v="946.10389999999995"/>
    <n v="65025.721046999999"/>
    <n v="65129.792476000002"/>
  </r>
  <r>
    <s v="EZBC"/>
    <n v="37.58"/>
    <n v="37.6"/>
    <x v="14"/>
    <n v="1730.1828"/>
    <n v="0"/>
    <n v="1730.1828"/>
    <n v="65020.269624"/>
    <n v="65054.873280000007"/>
  </r>
  <r>
    <s v="FBTC"/>
    <n v="56.63"/>
    <n v="56.64"/>
    <x v="14"/>
    <n v="1148.8136999999999"/>
    <n v="0"/>
    <n v="1148.8136999999999"/>
    <n v="65057.319831000001"/>
    <n v="65068.807967999994"/>
  </r>
  <r>
    <s v="GBTC"/>
    <n v="50.47"/>
    <n v="50.48"/>
    <x v="14"/>
    <n v="1288.7964999999999"/>
    <n v="0.05"/>
    <n v="1288.8464999999999"/>
    <n v="65048.082854999993"/>
    <n v="65060.97131999999"/>
  </r>
  <r>
    <s v="HODL"/>
    <n v="18.39"/>
    <n v="18.399999999999999"/>
    <x v="14"/>
    <n v="3535.8029000000001"/>
    <n v="0"/>
    <n v="3535.8029000000001"/>
    <n v="65023.415331000004"/>
    <n v="65058.773359999999"/>
  </r>
  <r>
    <s v="IBIT"/>
    <n v="36.840000000000003"/>
    <n v="36.85"/>
    <x v="14"/>
    <n v="1764.9988000000001"/>
    <n v="0"/>
    <n v="1764.9988000000001"/>
    <n v="65022.555792000006"/>
    <n v="65040.205780000004"/>
  </r>
  <r>
    <s v="ARKB"/>
    <n v="21.48"/>
    <n v="21.49"/>
    <x v="15"/>
    <n v="3014.8622999999998"/>
    <n v="0"/>
    <n v="3014.8622999999998"/>
    <n v="64759.242203999995"/>
    <n v="64789.390826999988"/>
  </r>
  <r>
    <s v="BITB"/>
    <n v="35.159999999999997"/>
    <n v="35.17"/>
    <x v="15"/>
    <n v="1842.07"/>
    <n v="0"/>
    <n v="1842.07"/>
    <n v="64767.181199999992"/>
    <n v="64785.601900000001"/>
  </r>
  <r>
    <s v="BRRR"/>
    <n v="18.260000000000002"/>
    <n v="18.27"/>
    <x v="15"/>
    <n v="3546.4650000000001"/>
    <n v="0"/>
    <n v="3546.4650000000001"/>
    <n v="64758.450900000011"/>
    <n v="64793.915549999998"/>
  </r>
  <r>
    <s v="BTC"/>
    <n v="28.64"/>
    <n v="28.65"/>
    <x v="15"/>
    <n v="2261.2950999999998"/>
    <n v="-0.1"/>
    <n v="2261.1950999999999"/>
    <n v="64760.627664"/>
    <n v="64783.239614999991"/>
  </r>
  <r>
    <s v="BTCW"/>
    <n v="68.45"/>
    <n v="68.53"/>
    <x v="15"/>
    <n v="946.10389999999995"/>
    <n v="0"/>
    <n v="946.10389999999995"/>
    <n v="64760.811954999997"/>
    <n v="64836.500266999996"/>
  </r>
  <r>
    <s v="EZBC"/>
    <n v="37.42"/>
    <n v="37.450000000000003"/>
    <x v="15"/>
    <n v="1730.1828"/>
    <n v="0"/>
    <n v="1730.1828"/>
    <n v="64743.440376000006"/>
    <n v="64795.345860000009"/>
  </r>
  <r>
    <s v="FBTC"/>
    <n v="56.38"/>
    <n v="56.39"/>
    <x v="15"/>
    <n v="1148.8136999999999"/>
    <n v="0"/>
    <n v="1148.8136999999999"/>
    <n v="64770.116406000001"/>
    <n v="64781.604542999994"/>
  </r>
  <r>
    <s v="GBTC"/>
    <n v="50.25"/>
    <n v="50.27"/>
    <x v="15"/>
    <n v="1288.7964999999999"/>
    <n v="0.05"/>
    <n v="1288.8464999999999"/>
    <n v="64764.536624999993"/>
    <n v="64790.313555000001"/>
  </r>
  <r>
    <s v="HODL"/>
    <n v="18.32"/>
    <n v="18.329999999999998"/>
    <x v="15"/>
    <n v="3535.8029000000001"/>
    <n v="0"/>
    <n v="3535.8029000000001"/>
    <n v="64775.909128000007"/>
    <n v="64811.267156999995"/>
  </r>
  <r>
    <s v="IBIT"/>
    <n v="36.69"/>
    <n v="36.700000000000003"/>
    <x v="15"/>
    <n v="1764.9988000000001"/>
    <n v="0"/>
    <n v="1764.9988000000001"/>
    <n v="64757.805972000002"/>
    <n v="64775.455960000007"/>
  </r>
  <r>
    <s v="ARKB"/>
    <n v="21.27"/>
    <n v="21.28"/>
    <x v="16"/>
    <n v="3014.8622999999998"/>
    <n v="0"/>
    <n v="3014.8622999999998"/>
    <n v="64126.121120999996"/>
    <n v="64156.269743999997"/>
  </r>
  <r>
    <s v="BITB"/>
    <n v="34.82"/>
    <n v="34.83"/>
    <x v="16"/>
    <n v="1842.07"/>
    <n v="0"/>
    <n v="1842.07"/>
    <n v="64140.877399999998"/>
    <n v="64159.298099999993"/>
  </r>
  <r>
    <s v="BRRR"/>
    <n v="18.079999999999998"/>
    <n v="18.09"/>
    <x v="16"/>
    <n v="3546.4650000000001"/>
    <n v="0"/>
    <n v="3546.4650000000001"/>
    <n v="64120.087199999994"/>
    <n v="64155.551850000003"/>
  </r>
  <r>
    <s v="BTC"/>
    <n v="28.37"/>
    <n v="28.38"/>
    <x v="16"/>
    <n v="2261.2950999999998"/>
    <n v="-0.1"/>
    <n v="2261.1950999999999"/>
    <n v="64150.104986999999"/>
    <n v="64172.716937999998"/>
  </r>
  <r>
    <s v="BTCW"/>
    <n v="67.78"/>
    <n v="67.89"/>
    <x v="16"/>
    <n v="946.10389999999995"/>
    <n v="0"/>
    <n v="946.10389999999995"/>
    <n v="64126.922341999998"/>
    <n v="64230.993770999994"/>
  </r>
  <r>
    <s v="EZBC"/>
    <n v="37.04"/>
    <n v="37.090000000000003"/>
    <x v="16"/>
    <n v="1730.1828"/>
    <n v="0"/>
    <n v="1730.1828"/>
    <n v="64085.970911999997"/>
    <n v="64172.480052000006"/>
  </r>
  <r>
    <s v="FBTC"/>
    <n v="55.84"/>
    <n v="55.85"/>
    <x v="16"/>
    <n v="1148.8136999999999"/>
    <n v="0"/>
    <n v="1148.8136999999999"/>
    <n v="64149.757008"/>
    <n v="64161.245145000001"/>
  </r>
  <r>
    <s v="GBTC"/>
    <n v="49.77"/>
    <n v="49.78"/>
    <x v="16"/>
    <n v="1288.7964999999999"/>
    <n v="0.05"/>
    <n v="1288.8464999999999"/>
    <n v="64145.890305000001"/>
    <n v="64158.778769999997"/>
  </r>
  <r>
    <s v="HODL"/>
    <n v="18.14"/>
    <n v="18.149999999999999"/>
    <x v="16"/>
    <n v="3535.8029000000001"/>
    <n v="0"/>
    <n v="3535.8029000000001"/>
    <n v="64139.464606000001"/>
    <n v="64174.822634999997"/>
  </r>
  <r>
    <s v="IBIT"/>
    <n v="36.33"/>
    <n v="36.340000000000003"/>
    <x v="16"/>
    <n v="1764.9988000000001"/>
    <n v="0"/>
    <n v="1764.9988000000001"/>
    <n v="64122.406404000001"/>
    <n v="64140.056392000006"/>
  </r>
  <r>
    <s v="ARKB"/>
    <n v="21.26"/>
    <n v="21.27"/>
    <x v="17"/>
    <n v="3014.8622999999998"/>
    <n v="0"/>
    <n v="3014.8622999999998"/>
    <n v="64095.972498000003"/>
    <n v="64126.121120999996"/>
  </r>
  <r>
    <s v="BITB"/>
    <n v="34.799999999999997"/>
    <n v="34.81"/>
    <x v="17"/>
    <n v="1842.07"/>
    <n v="0"/>
    <n v="1842.07"/>
    <n v="64104.035999999993"/>
    <n v="64122.456700000002"/>
  </r>
  <r>
    <s v="BRRR"/>
    <n v="18.07"/>
    <n v="18.079999999999998"/>
    <x v="17"/>
    <n v="3546.4650000000001"/>
    <n v="0"/>
    <n v="3546.4650000000001"/>
    <n v="64084.62255"/>
    <n v="64120.087199999994"/>
  </r>
  <r>
    <s v="BTC"/>
    <n v="28.35"/>
    <n v="28.36"/>
    <x v="17"/>
    <n v="2261.2950999999998"/>
    <n v="-0.1"/>
    <n v="2261.1950999999999"/>
    <n v="64104.881085000001"/>
    <n v="64127.493035999993"/>
  </r>
  <r>
    <s v="BTCW"/>
    <n v="67.790000000000006"/>
    <n v="67.83"/>
    <x v="17"/>
    <n v="946.10389999999995"/>
    <n v="0"/>
    <n v="946.10389999999995"/>
    <n v="64136.383381"/>
    <n v="64174.227536999999"/>
  </r>
  <r>
    <s v="EZBC"/>
    <n v="37.04"/>
    <n v="37.06"/>
    <x v="17"/>
    <n v="1730.1828"/>
    <n v="0"/>
    <n v="1730.1828"/>
    <n v="64085.970911999997"/>
    <n v="64120.574568000004"/>
  </r>
  <r>
    <s v="FBTC"/>
    <n v="55.81"/>
    <n v="55.82"/>
    <x v="17"/>
    <n v="1148.8136999999999"/>
    <n v="0"/>
    <n v="1148.8136999999999"/>
    <n v="64115.292597"/>
    <n v="64126.780733999993"/>
  </r>
  <r>
    <s v="GBTC"/>
    <n v="49.75"/>
    <n v="49.76"/>
    <x v="17"/>
    <n v="1288.7964999999999"/>
    <n v="0.05"/>
    <n v="1288.8464999999999"/>
    <n v="64120.113374999994"/>
    <n v="64133.00183999999"/>
  </r>
  <r>
    <s v="HODL"/>
    <n v="18.13"/>
    <n v="18.14"/>
    <x v="17"/>
    <n v="3535.8029000000001"/>
    <n v="0"/>
    <n v="3535.8029000000001"/>
    <n v="64104.106576999999"/>
    <n v="64139.464606000001"/>
  </r>
  <r>
    <s v="IBIT"/>
    <n v="36.31"/>
    <n v="36.32"/>
    <x v="17"/>
    <n v="1764.9988000000001"/>
    <n v="0"/>
    <n v="1764.9988000000001"/>
    <n v="64087.106428000006"/>
    <n v="64104.756416000004"/>
  </r>
  <r>
    <s v="ARKB"/>
    <n v="21.31"/>
    <n v="21.32"/>
    <x v="18"/>
    <n v="3014.8622999999998"/>
    <n v="0"/>
    <n v="3014.8622999999998"/>
    <n v="64246.715612999993"/>
    <n v="64276.864235999994"/>
  </r>
  <r>
    <s v="BITB"/>
    <n v="34.880000000000003"/>
    <n v="34.9"/>
    <x v="18"/>
    <n v="1842.07"/>
    <n v="0"/>
    <n v="1842.07"/>
    <n v="64251.401600000005"/>
    <n v="64288.242999999995"/>
  </r>
  <r>
    <s v="BRRR"/>
    <n v="18.100000000000001"/>
    <n v="18.13"/>
    <x v="18"/>
    <n v="3546.4650000000001"/>
    <n v="0"/>
    <n v="3546.4650000000001"/>
    <n v="64191.016500000005"/>
    <n v="64297.410449999996"/>
  </r>
  <r>
    <s v="BTC"/>
    <n v="28.41"/>
    <n v="28.43"/>
    <x v="18"/>
    <n v="2261.2950999999998"/>
    <n v="-0.1"/>
    <n v="2261.1950999999999"/>
    <n v="64240.552790999995"/>
    <n v="64285.776693"/>
  </r>
  <r>
    <s v="BTCW"/>
    <n v="67.61"/>
    <n v="70.05"/>
    <x v="18"/>
    <n v="946.10389999999995"/>
    <n v="0"/>
    <n v="946.10389999999995"/>
    <n v="63966.084679"/>
    <n v="66274.578194999995"/>
  </r>
  <r>
    <s v="EZBC"/>
    <n v="37.049999999999997"/>
    <n v="37.32"/>
    <x v="18"/>
    <n v="1730.1828"/>
    <n v="0"/>
    <n v="1730.1828"/>
    <n v="64103.272739999993"/>
    <n v="64570.422096000002"/>
  </r>
  <r>
    <s v="FBTC"/>
    <n v="55.93"/>
    <n v="55.96"/>
    <x v="18"/>
    <n v="1148.8136999999999"/>
    <n v="0"/>
    <n v="1148.8136999999999"/>
    <n v="64253.150240999996"/>
    <n v="64287.614651999997"/>
  </r>
  <r>
    <s v="GBTC"/>
    <n v="49.87"/>
    <n v="49.88"/>
    <x v="18"/>
    <n v="1288.7964999999999"/>
    <n v="0.05"/>
    <n v="1288.8464999999999"/>
    <n v="64274.774954999993"/>
    <n v="64287.663419999997"/>
  </r>
  <r>
    <s v="HODL"/>
    <n v="18.16"/>
    <n v="18.190000000000001"/>
    <x v="18"/>
    <n v="3535.8029000000001"/>
    <n v="0"/>
    <n v="3535.8029000000001"/>
    <n v="64210.180664"/>
    <n v="64316.254751000008"/>
  </r>
  <r>
    <s v="IBIT"/>
    <n v="36.39"/>
    <n v="36.4"/>
    <x v="18"/>
    <n v="1764.9988000000001"/>
    <n v="0"/>
    <n v="1764.9988000000001"/>
    <n v="64228.306332"/>
    <n v="64245.956319999998"/>
  </r>
  <r>
    <s v="ARKB"/>
    <n v="21.35"/>
    <n v="21.36"/>
    <x v="19"/>
    <n v="3014.8622999999998"/>
    <n v="0"/>
    <n v="3014.8622999999998"/>
    <n v="64367.310104999997"/>
    <n v="64397.458727999991"/>
  </r>
  <r>
    <s v="BITB"/>
    <n v="34.93"/>
    <n v="34.96"/>
    <x v="19"/>
    <n v="1842.07"/>
    <n v="0"/>
    <n v="1842.07"/>
    <n v="64343.505099999995"/>
    <n v="64398.767200000002"/>
  </r>
  <r>
    <s v="BRRR"/>
    <n v="18.14"/>
    <n v="18.170000000000002"/>
    <x v="19"/>
    <n v="3546.4650000000001"/>
    <n v="0"/>
    <n v="3546.4650000000001"/>
    <n v="64332.875100000005"/>
    <n v="64439.26905000001"/>
  </r>
  <r>
    <s v="BTC"/>
    <n v="28.45"/>
    <n v="28.48"/>
    <x v="19"/>
    <n v="2261.2950999999998"/>
    <n v="-0.1"/>
    <n v="2261.1950999999999"/>
    <n v="64331.000594999998"/>
    <n v="64398.836448000002"/>
  </r>
  <r>
    <s v="BTCW"/>
    <n v="67.64"/>
    <n v="70.05"/>
    <x v="19"/>
    <n v="946.10389999999995"/>
    <n v="0"/>
    <n v="946.10389999999995"/>
    <n v="63994.467795999997"/>
    <n v="66274.578194999995"/>
  </r>
  <r>
    <s v="EZBC"/>
    <n v="37.03"/>
    <n v="37.26"/>
    <x v="19"/>
    <n v="1730.1828"/>
    <n v="0"/>
    <n v="1730.1828"/>
    <n v="64068.669084000001"/>
    <n v="64466.611127999997"/>
  </r>
  <r>
    <s v="FBTC"/>
    <n v="56.02"/>
    <n v="56.06"/>
    <x v="19"/>
    <n v="1148.8136999999999"/>
    <n v="0"/>
    <n v="1148.8136999999999"/>
    <n v="64356.543473999998"/>
    <n v="64402.496021999999"/>
  </r>
  <r>
    <s v="GBTC"/>
    <n v="49.92"/>
    <n v="49.97"/>
    <x v="19"/>
    <n v="1288.7964999999999"/>
    <n v="0.05"/>
    <n v="1288.8464999999999"/>
    <n v="64339.217279999997"/>
    <n v="64403.659604999993"/>
  </r>
  <r>
    <s v="HODL"/>
    <n v="18.190000000000001"/>
    <n v="18.21"/>
    <x v="19"/>
    <n v="3535.8029000000001"/>
    <n v="0"/>
    <n v="3535.8029000000001"/>
    <n v="64316.254751000008"/>
    <n v="64386.970809000006"/>
  </r>
  <r>
    <s v="IBIT"/>
    <n v="36.46"/>
    <n v="36.47"/>
    <x v="19"/>
    <n v="1764.9988000000001"/>
    <n v="0"/>
    <n v="1764.9988000000001"/>
    <n v="64351.856248000004"/>
    <n v="64369.506236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9CA60-2D5D-42E4-8ABC-961672146C32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:C21" firstHeaderRow="0" firstDataRow="1" firstDataCol="1"/>
  <pivotFields count="9">
    <pivotField showAll="0"/>
    <pivotField numFmtId="44" showAll="0"/>
    <pivotField numFmtId="44"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numFmtId="164" showAll="0"/>
    <pivotField numFmtId="164" showAll="0"/>
    <pivotField dataField="1" numFmtId="44" showAll="0"/>
    <pivotField dataField="1" numFmtId="44" showAll="0"/>
  </pivotFields>
  <rowFields count="1">
    <field x="3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rowItems>
  <colFields count="1">
    <field x="-2"/>
  </colFields>
  <colItems count="2">
    <i>
      <x/>
    </i>
    <i i="1">
      <x v="1"/>
    </i>
  </colItems>
  <dataFields count="2">
    <dataField name="Max of unit bid" fld="7" subtotal="max" baseField="3" baseItem="0" numFmtId="44"/>
    <dataField name="Min of unit ask" fld="8" subtotal="min" baseField="3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C14227-E4B4-4327-83DA-9A0E9B3252EA}" name="Table1" displayName="Table1" ref="A1:I201" totalsRowShown="0">
  <autoFilter ref="A1:I201" xr:uid="{86C14227-E4B4-4327-83DA-9A0E9B3252EA}"/>
  <tableColumns count="9">
    <tableColumn id="1" xr3:uid="{F85B9CF2-92B3-4C59-A541-BC4B628796BA}" name="my_fi_name"/>
    <tableColumn id="2" xr3:uid="{164F24EF-9CFB-46C6-BD0F-CD09C6088916}" name="price_screen_bid" dataCellStyle="Currency"/>
    <tableColumn id="3" xr3:uid="{C20079D7-5CA2-40F2-A16D-A0FB245C6ADE}" name="price_screen_ask" dataCellStyle="Currency"/>
    <tableColumn id="4" xr3:uid="{3C81F6DA-6E03-443B-85B2-0DE0121E8CE4}" name="time"/>
    <tableColumn id="5" xr3:uid="{B49E6CB5-0CFE-4937-A1D2-9333E17BEE93}" name="scalar"/>
    <tableColumn id="6" xr3:uid="{D95C33F2-4B72-4FEB-B5C1-B1B059A631BD}" name="adj"/>
    <tableColumn id="7" xr3:uid="{D902E032-6E9D-4382-A8B2-8F9E49FE5F12}" name="adj scalar" dataDxfId="4">
      <calculatedColumnFormula>E2+F2</calculatedColumnFormula>
    </tableColumn>
    <tableColumn id="8" xr3:uid="{9A67A5DE-95A4-461D-9759-91D7780751F1}" name="unit bid" dataDxfId="3">
      <calculatedColumnFormula>B2*G2</calculatedColumnFormula>
    </tableColumn>
    <tableColumn id="9" xr3:uid="{98FC7027-3AC9-4323-AA23-4E45AC6959FD}" name="unit ask" dataDxfId="2">
      <calculatedColumnFormula>C2*G2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5C003-9C66-4320-AF9D-C777C35DAA41}">
  <dimension ref="A1:I201"/>
  <sheetViews>
    <sheetView topLeftCell="A2" workbookViewId="0">
      <selection activeCell="E1" sqref="E1:J1048576"/>
    </sheetView>
  </sheetViews>
  <sheetFormatPr defaultRowHeight="15" x14ac:dyDescent="0.25"/>
  <cols>
    <col min="1" max="1" width="14" bestFit="1" customWidth="1"/>
    <col min="2" max="2" width="18.7109375" style="1" bestFit="1" customWidth="1"/>
    <col min="3" max="3" width="18.85546875" style="1" bestFit="1" customWidth="1"/>
    <col min="4" max="4" width="19" bestFit="1" customWidth="1"/>
    <col min="5" max="5" width="12.28515625" bestFit="1" customWidth="1"/>
    <col min="6" max="6" width="9.7109375" bestFit="1" customWidth="1"/>
    <col min="7" max="7" width="15.42578125" bestFit="1" customWidth="1"/>
    <col min="8" max="8" width="13.85546875" bestFit="1" customWidth="1"/>
    <col min="9" max="9" width="14" bestFit="1" customWidth="1"/>
  </cols>
  <sheetData>
    <row r="1" spans="1:9" x14ac:dyDescent="0.25">
      <c r="A1" t="s">
        <v>0</v>
      </c>
      <c r="B1" s="1" t="s">
        <v>1</v>
      </c>
      <c r="C1" s="1" t="s">
        <v>2</v>
      </c>
      <c r="D1" t="s">
        <v>3</v>
      </c>
      <c r="E1" s="2" t="s">
        <v>34</v>
      </c>
      <c r="F1" s="2" t="s">
        <v>35</v>
      </c>
      <c r="G1" s="2" t="s">
        <v>36</v>
      </c>
      <c r="H1" s="3" t="s">
        <v>37</v>
      </c>
      <c r="I1" s="3" t="s">
        <v>38</v>
      </c>
    </row>
    <row r="2" spans="1:9" x14ac:dyDescent="0.25">
      <c r="A2" t="s">
        <v>4</v>
      </c>
      <c r="B2" s="1">
        <v>21.77</v>
      </c>
      <c r="C2" s="1">
        <v>21.78</v>
      </c>
      <c r="D2" t="s">
        <v>5</v>
      </c>
      <c r="E2" s="4">
        <v>3014.8622999999998</v>
      </c>
      <c r="F2" s="4">
        <f>Sheet1!L3</f>
        <v>0</v>
      </c>
      <c r="G2" s="5">
        <f t="shared" ref="G2:G33" si="0">E2+F2</f>
        <v>3014.8622999999998</v>
      </c>
      <c r="H2" s="1">
        <f t="shared" ref="H2:H12" si="1">B2*G2</f>
        <v>65633.552270999993</v>
      </c>
      <c r="I2" s="1">
        <f t="shared" ref="I2:I12" si="2">C2*G2</f>
        <v>65663.700893999994</v>
      </c>
    </row>
    <row r="3" spans="1:9" x14ac:dyDescent="0.25">
      <c r="A3" t="s">
        <v>6</v>
      </c>
      <c r="B3" s="1">
        <v>35.630000000000003</v>
      </c>
      <c r="C3" s="1">
        <v>35.64</v>
      </c>
      <c r="D3" t="s">
        <v>5</v>
      </c>
      <c r="E3" s="4">
        <v>1842.07</v>
      </c>
      <c r="F3" s="4">
        <f>Sheet1!L4</f>
        <v>0</v>
      </c>
      <c r="G3" s="5">
        <f t="shared" si="0"/>
        <v>1842.07</v>
      </c>
      <c r="H3" s="1">
        <f t="shared" si="1"/>
        <v>65632.954100000003</v>
      </c>
      <c r="I3" s="1">
        <f t="shared" si="2"/>
        <v>65651.374800000005</v>
      </c>
    </row>
    <row r="4" spans="1:9" x14ac:dyDescent="0.25">
      <c r="A4" t="s">
        <v>7</v>
      </c>
      <c r="B4" s="1">
        <v>18.510000000000002</v>
      </c>
      <c r="C4" s="1">
        <v>18.52</v>
      </c>
      <c r="D4" t="s">
        <v>5</v>
      </c>
      <c r="E4" s="4">
        <v>3546.4650000000001</v>
      </c>
      <c r="F4" s="4">
        <f>Sheet1!L5</f>
        <v>0</v>
      </c>
      <c r="G4" s="5">
        <f t="shared" si="0"/>
        <v>3546.4650000000001</v>
      </c>
      <c r="H4" s="1">
        <f t="shared" si="1"/>
        <v>65645.067150000003</v>
      </c>
      <c r="I4" s="1">
        <f t="shared" si="2"/>
        <v>65680.531799999997</v>
      </c>
    </row>
    <row r="5" spans="1:9" x14ac:dyDescent="0.25">
      <c r="A5" t="s">
        <v>8</v>
      </c>
      <c r="B5" s="1">
        <v>29.03</v>
      </c>
      <c r="C5" s="1">
        <v>29.04</v>
      </c>
      <c r="D5" t="s">
        <v>5</v>
      </c>
      <c r="E5" s="4">
        <v>2261.2950999999998</v>
      </c>
      <c r="F5" s="4">
        <f>Sheet1!L6</f>
        <v>-0.1</v>
      </c>
      <c r="G5" s="5">
        <f t="shared" si="0"/>
        <v>2261.1950999999999</v>
      </c>
      <c r="H5" s="1">
        <f t="shared" si="1"/>
        <v>65642.493753000002</v>
      </c>
      <c r="I5" s="1">
        <f t="shared" si="2"/>
        <v>65665.105704000001</v>
      </c>
    </row>
    <row r="6" spans="1:9" x14ac:dyDescent="0.25">
      <c r="A6" t="s">
        <v>9</v>
      </c>
      <c r="B6" s="1">
        <v>69.38</v>
      </c>
      <c r="C6" s="1">
        <v>69.489999999999995</v>
      </c>
      <c r="D6" t="s">
        <v>5</v>
      </c>
      <c r="E6" s="4">
        <v>946.10389999999995</v>
      </c>
      <c r="F6" s="4">
        <f>Sheet1!L7</f>
        <v>0</v>
      </c>
      <c r="G6" s="5">
        <f t="shared" si="0"/>
        <v>946.10389999999995</v>
      </c>
      <c r="H6" s="1">
        <f t="shared" si="1"/>
        <v>65640.688581999988</v>
      </c>
      <c r="I6" s="1">
        <f t="shared" si="2"/>
        <v>65744.760010999991</v>
      </c>
    </row>
    <row r="7" spans="1:9" x14ac:dyDescent="0.25">
      <c r="A7" t="s">
        <v>10</v>
      </c>
      <c r="B7" s="1">
        <v>37.92</v>
      </c>
      <c r="C7" s="1">
        <v>37.950000000000003</v>
      </c>
      <c r="D7" t="s">
        <v>5</v>
      </c>
      <c r="E7" s="4">
        <v>1730.1828</v>
      </c>
      <c r="F7" s="4">
        <f>Sheet1!L8</f>
        <v>0</v>
      </c>
      <c r="G7" s="5">
        <f t="shared" si="0"/>
        <v>1730.1828</v>
      </c>
      <c r="H7" s="1">
        <f t="shared" si="1"/>
        <v>65608.531776000003</v>
      </c>
      <c r="I7" s="1">
        <f t="shared" si="2"/>
        <v>65660.437260000006</v>
      </c>
    </row>
    <row r="8" spans="1:9" x14ac:dyDescent="0.25">
      <c r="A8" t="s">
        <v>11</v>
      </c>
      <c r="B8" s="1">
        <v>57.13</v>
      </c>
      <c r="C8" s="1">
        <v>57.14</v>
      </c>
      <c r="D8" t="s">
        <v>5</v>
      </c>
      <c r="E8" s="4">
        <v>1148.8136999999999</v>
      </c>
      <c r="F8" s="4">
        <f>Sheet1!L9</f>
        <v>0</v>
      </c>
      <c r="G8" s="5">
        <f t="shared" si="0"/>
        <v>1148.8136999999999</v>
      </c>
      <c r="H8" s="1">
        <f t="shared" si="1"/>
        <v>65631.726681</v>
      </c>
      <c r="I8" s="1">
        <f t="shared" si="2"/>
        <v>65643.214817999993</v>
      </c>
    </row>
    <row r="9" spans="1:9" x14ac:dyDescent="0.25">
      <c r="A9" t="s">
        <v>12</v>
      </c>
      <c r="B9" s="1">
        <v>50.93</v>
      </c>
      <c r="C9" s="1">
        <v>50.95</v>
      </c>
      <c r="D9" t="s">
        <v>5</v>
      </c>
      <c r="E9" s="4">
        <v>1288.7964999999999</v>
      </c>
      <c r="F9" s="4">
        <f>Sheet1!L10</f>
        <v>0.05</v>
      </c>
      <c r="G9" s="5">
        <f t="shared" si="0"/>
        <v>1288.8464999999999</v>
      </c>
      <c r="H9" s="1">
        <f t="shared" si="1"/>
        <v>65640.952244999993</v>
      </c>
      <c r="I9" s="1">
        <f t="shared" si="2"/>
        <v>65666.729175</v>
      </c>
    </row>
    <row r="10" spans="1:9" x14ac:dyDescent="0.25">
      <c r="A10" t="s">
        <v>13</v>
      </c>
      <c r="B10" s="1">
        <v>18.559999999999999</v>
      </c>
      <c r="C10" s="1">
        <v>18.57</v>
      </c>
      <c r="D10" t="s">
        <v>5</v>
      </c>
      <c r="E10" s="4">
        <v>3535.8029000000001</v>
      </c>
      <c r="F10" s="4">
        <f>Sheet1!L11</f>
        <v>0</v>
      </c>
      <c r="G10" s="5">
        <f t="shared" si="0"/>
        <v>3535.8029000000001</v>
      </c>
      <c r="H10" s="1">
        <f t="shared" si="1"/>
        <v>65624.501823999992</v>
      </c>
      <c r="I10" s="1">
        <f t="shared" si="2"/>
        <v>65659.859853000002</v>
      </c>
    </row>
    <row r="11" spans="1:9" x14ac:dyDescent="0.25">
      <c r="A11" t="s">
        <v>14</v>
      </c>
      <c r="B11" s="1">
        <v>37.18</v>
      </c>
      <c r="C11" s="1">
        <v>37.19</v>
      </c>
      <c r="D11" t="s">
        <v>5</v>
      </c>
      <c r="E11" s="4">
        <v>1764.9988000000001</v>
      </c>
      <c r="F11" s="4">
        <f>Sheet1!L12</f>
        <v>0</v>
      </c>
      <c r="G11" s="5">
        <f t="shared" si="0"/>
        <v>1764.9988000000001</v>
      </c>
      <c r="H11" s="1">
        <f t="shared" si="1"/>
        <v>65622.655383999998</v>
      </c>
      <c r="I11" s="1">
        <f t="shared" si="2"/>
        <v>65640.305372000003</v>
      </c>
    </row>
    <row r="12" spans="1:9" x14ac:dyDescent="0.25">
      <c r="A12" t="s">
        <v>4</v>
      </c>
      <c r="B12" s="1">
        <v>21.81</v>
      </c>
      <c r="C12" s="1">
        <v>21.82</v>
      </c>
      <c r="D12" t="s">
        <v>15</v>
      </c>
      <c r="E12" s="5">
        <f>E2</f>
        <v>3014.8622999999998</v>
      </c>
      <c r="F12" s="5">
        <f>F2</f>
        <v>0</v>
      </c>
      <c r="G12" s="5">
        <f t="shared" si="0"/>
        <v>3014.8622999999998</v>
      </c>
      <c r="H12" s="1">
        <f t="shared" si="1"/>
        <v>65754.146762999997</v>
      </c>
      <c r="I12" s="1">
        <f t="shared" si="2"/>
        <v>65784.295385999998</v>
      </c>
    </row>
    <row r="13" spans="1:9" x14ac:dyDescent="0.25">
      <c r="A13" t="s">
        <v>6</v>
      </c>
      <c r="B13" s="1">
        <v>35.700000000000003</v>
      </c>
      <c r="C13" s="1">
        <v>35.71</v>
      </c>
      <c r="D13" t="s">
        <v>15</v>
      </c>
      <c r="E13" s="5">
        <f t="shared" ref="E13:F13" si="3">E3</f>
        <v>1842.07</v>
      </c>
      <c r="F13" s="5">
        <f t="shared" si="3"/>
        <v>0</v>
      </c>
      <c r="G13" s="5">
        <f t="shared" si="0"/>
        <v>1842.07</v>
      </c>
      <c r="H13" s="1">
        <f t="shared" ref="H13:H18" si="4">B13*G13</f>
        <v>65761.899000000005</v>
      </c>
      <c r="I13" s="1">
        <f t="shared" ref="I13:I18" si="5">C13*G13</f>
        <v>65780.319699999993</v>
      </c>
    </row>
    <row r="14" spans="1:9" x14ac:dyDescent="0.25">
      <c r="A14" t="s">
        <v>7</v>
      </c>
      <c r="B14" s="1">
        <v>18.54</v>
      </c>
      <c r="C14" s="1">
        <v>18.55</v>
      </c>
      <c r="D14" t="s">
        <v>15</v>
      </c>
      <c r="E14" s="5">
        <f t="shared" ref="E14:F14" si="6">E4</f>
        <v>3546.4650000000001</v>
      </c>
      <c r="F14" s="5">
        <f t="shared" si="6"/>
        <v>0</v>
      </c>
      <c r="G14" s="5">
        <f t="shared" si="0"/>
        <v>3546.4650000000001</v>
      </c>
      <c r="H14" s="1">
        <f t="shared" si="4"/>
        <v>65751.4611</v>
      </c>
      <c r="I14" s="1">
        <f t="shared" si="5"/>
        <v>65786.925750000009</v>
      </c>
    </row>
    <row r="15" spans="1:9" x14ac:dyDescent="0.25">
      <c r="A15" t="s">
        <v>8</v>
      </c>
      <c r="B15" s="1">
        <v>29.08</v>
      </c>
      <c r="C15" s="1">
        <v>29.09</v>
      </c>
      <c r="D15" t="s">
        <v>15</v>
      </c>
      <c r="E15" s="5">
        <f t="shared" ref="E15:F15" si="7">E5</f>
        <v>2261.2950999999998</v>
      </c>
      <c r="F15" s="5">
        <f t="shared" si="7"/>
        <v>-0.1</v>
      </c>
      <c r="G15" s="5">
        <f t="shared" si="0"/>
        <v>2261.1950999999999</v>
      </c>
      <c r="H15" s="1">
        <f t="shared" si="4"/>
        <v>65755.553507999997</v>
      </c>
      <c r="I15" s="1">
        <f t="shared" si="5"/>
        <v>65778.165458999996</v>
      </c>
    </row>
    <row r="16" spans="1:9" x14ac:dyDescent="0.25">
      <c r="A16" t="s">
        <v>9</v>
      </c>
      <c r="B16" s="1">
        <v>69.510000000000005</v>
      </c>
      <c r="C16" s="1">
        <v>69.59</v>
      </c>
      <c r="D16" t="s">
        <v>15</v>
      </c>
      <c r="E16" s="5">
        <f t="shared" ref="E16:F16" si="8">E6</f>
        <v>946.10389999999995</v>
      </c>
      <c r="F16" s="5">
        <f t="shared" si="8"/>
        <v>0</v>
      </c>
      <c r="G16" s="5">
        <f t="shared" si="0"/>
        <v>946.10389999999995</v>
      </c>
      <c r="H16" s="1">
        <f t="shared" si="4"/>
        <v>65763.682088999994</v>
      </c>
      <c r="I16" s="1">
        <f t="shared" si="5"/>
        <v>65839.370400999993</v>
      </c>
    </row>
    <row r="17" spans="1:9" x14ac:dyDescent="0.25">
      <c r="A17" t="s">
        <v>10</v>
      </c>
      <c r="B17" s="1">
        <v>38</v>
      </c>
      <c r="C17" s="1">
        <v>38.020000000000003</v>
      </c>
      <c r="D17" t="s">
        <v>15</v>
      </c>
      <c r="E17" s="5">
        <f t="shared" ref="E17:F17" si="9">E7</f>
        <v>1730.1828</v>
      </c>
      <c r="F17" s="5">
        <f t="shared" si="9"/>
        <v>0</v>
      </c>
      <c r="G17" s="5">
        <f t="shared" si="0"/>
        <v>1730.1828</v>
      </c>
      <c r="H17" s="1">
        <f t="shared" si="4"/>
        <v>65746.946400000001</v>
      </c>
      <c r="I17" s="1">
        <f t="shared" si="5"/>
        <v>65781.550056000007</v>
      </c>
    </row>
    <row r="18" spans="1:9" x14ac:dyDescent="0.25">
      <c r="A18" t="s">
        <v>11</v>
      </c>
      <c r="B18" s="1">
        <v>57.24</v>
      </c>
      <c r="C18" s="1">
        <v>57.25</v>
      </c>
      <c r="D18" t="s">
        <v>15</v>
      </c>
      <c r="E18" s="5">
        <f t="shared" ref="E18:F18" si="10">E8</f>
        <v>1148.8136999999999</v>
      </c>
      <c r="F18" s="5">
        <f t="shared" si="10"/>
        <v>0</v>
      </c>
      <c r="G18" s="5">
        <f t="shared" si="0"/>
        <v>1148.8136999999999</v>
      </c>
      <c r="H18" s="1">
        <f t="shared" si="4"/>
        <v>65758.096187999996</v>
      </c>
      <c r="I18" s="1">
        <f t="shared" si="5"/>
        <v>65769.584324999989</v>
      </c>
    </row>
    <row r="19" spans="1:9" x14ac:dyDescent="0.25">
      <c r="A19" t="s">
        <v>12</v>
      </c>
      <c r="B19" s="1">
        <v>51.03</v>
      </c>
      <c r="C19" s="1">
        <v>51.04</v>
      </c>
      <c r="D19" t="s">
        <v>15</v>
      </c>
      <c r="E19" s="5">
        <f t="shared" ref="E19:F19" si="11">E9</f>
        <v>1288.7964999999999</v>
      </c>
      <c r="F19" s="5">
        <f t="shared" si="11"/>
        <v>0.05</v>
      </c>
      <c r="G19" s="5">
        <f t="shared" si="0"/>
        <v>1288.8464999999999</v>
      </c>
      <c r="H19" s="1">
        <f t="shared" ref="H19:H82" si="12">B19*G19</f>
        <v>65769.836895</v>
      </c>
      <c r="I19" s="1">
        <f t="shared" ref="I19:I82" si="13">C19*G19</f>
        <v>65782.725359999997</v>
      </c>
    </row>
    <row r="20" spans="1:9" x14ac:dyDescent="0.25">
      <c r="A20" t="s">
        <v>13</v>
      </c>
      <c r="B20" s="1">
        <v>18.59</v>
      </c>
      <c r="C20" s="1">
        <v>18.600000000000001</v>
      </c>
      <c r="D20" t="s">
        <v>15</v>
      </c>
      <c r="E20" s="5">
        <f t="shared" ref="E20:F20" si="14">E10</f>
        <v>3535.8029000000001</v>
      </c>
      <c r="F20" s="5">
        <f t="shared" si="14"/>
        <v>0</v>
      </c>
      <c r="G20" s="5">
        <f t="shared" si="0"/>
        <v>3535.8029000000001</v>
      </c>
      <c r="H20" s="1">
        <f t="shared" si="12"/>
        <v>65730.575911000007</v>
      </c>
      <c r="I20" s="1">
        <f t="shared" si="13"/>
        <v>65765.933940000003</v>
      </c>
    </row>
    <row r="21" spans="1:9" x14ac:dyDescent="0.25">
      <c r="A21" t="s">
        <v>14</v>
      </c>
      <c r="B21" s="1">
        <v>37.25</v>
      </c>
      <c r="C21" s="1">
        <v>37.26</v>
      </c>
      <c r="D21" t="s">
        <v>15</v>
      </c>
      <c r="E21" s="5">
        <f t="shared" ref="E21:F21" si="15">E11</f>
        <v>1764.9988000000001</v>
      </c>
      <c r="F21" s="5">
        <f t="shared" si="15"/>
        <v>0</v>
      </c>
      <c r="G21" s="5">
        <f t="shared" si="0"/>
        <v>1764.9988000000001</v>
      </c>
      <c r="H21" s="1">
        <f t="shared" si="12"/>
        <v>65746.205300000001</v>
      </c>
      <c r="I21" s="1">
        <f t="shared" si="13"/>
        <v>65763.855288000006</v>
      </c>
    </row>
    <row r="22" spans="1:9" x14ac:dyDescent="0.25">
      <c r="A22" t="s">
        <v>4</v>
      </c>
      <c r="B22" s="1">
        <v>21.79</v>
      </c>
      <c r="C22" s="1">
        <v>21.8</v>
      </c>
      <c r="D22" t="s">
        <v>16</v>
      </c>
      <c r="E22" s="5">
        <f t="shared" ref="E22:F22" si="16">E12</f>
        <v>3014.8622999999998</v>
      </c>
      <c r="F22" s="5">
        <f t="shared" si="16"/>
        <v>0</v>
      </c>
      <c r="G22" s="5">
        <f t="shared" si="0"/>
        <v>3014.8622999999998</v>
      </c>
      <c r="H22" s="1">
        <f t="shared" si="12"/>
        <v>65693.849516999995</v>
      </c>
      <c r="I22" s="1">
        <f t="shared" si="13"/>
        <v>65723.998139999996</v>
      </c>
    </row>
    <row r="23" spans="1:9" x14ac:dyDescent="0.25">
      <c r="A23" t="s">
        <v>6</v>
      </c>
      <c r="B23" s="1">
        <v>35.67</v>
      </c>
      <c r="C23" s="1">
        <v>35.68</v>
      </c>
      <c r="D23" t="s">
        <v>16</v>
      </c>
      <c r="E23" s="5">
        <f t="shared" ref="E23:F23" si="17">E13</f>
        <v>1842.07</v>
      </c>
      <c r="F23" s="5">
        <f t="shared" si="17"/>
        <v>0</v>
      </c>
      <c r="G23" s="5">
        <f t="shared" si="0"/>
        <v>1842.07</v>
      </c>
      <c r="H23" s="1">
        <f t="shared" si="12"/>
        <v>65706.636899999998</v>
      </c>
      <c r="I23" s="1">
        <f t="shared" si="13"/>
        <v>65725.0576</v>
      </c>
    </row>
    <row r="24" spans="1:9" x14ac:dyDescent="0.25">
      <c r="A24" t="s">
        <v>7</v>
      </c>
      <c r="B24" s="1">
        <v>18.53</v>
      </c>
      <c r="C24" s="1">
        <v>18.54</v>
      </c>
      <c r="D24" t="s">
        <v>16</v>
      </c>
      <c r="E24" s="5">
        <f t="shared" ref="E24:F24" si="18">E14</f>
        <v>3546.4650000000001</v>
      </c>
      <c r="F24" s="5">
        <f t="shared" si="18"/>
        <v>0</v>
      </c>
      <c r="G24" s="5">
        <f t="shared" si="0"/>
        <v>3546.4650000000001</v>
      </c>
      <c r="H24" s="1">
        <f t="shared" si="12"/>
        <v>65715.996450000006</v>
      </c>
      <c r="I24" s="1">
        <f t="shared" si="13"/>
        <v>65751.4611</v>
      </c>
    </row>
    <row r="25" spans="1:9" x14ac:dyDescent="0.25">
      <c r="A25" t="s">
        <v>8</v>
      </c>
      <c r="B25" s="1">
        <v>29.06</v>
      </c>
      <c r="C25" s="1">
        <v>29.07</v>
      </c>
      <c r="D25" t="s">
        <v>16</v>
      </c>
      <c r="E25" s="5">
        <f t="shared" ref="E25:F25" si="19">E15</f>
        <v>2261.2950999999998</v>
      </c>
      <c r="F25" s="5">
        <f t="shared" si="19"/>
        <v>-0.1</v>
      </c>
      <c r="G25" s="5">
        <f t="shared" si="0"/>
        <v>2261.1950999999999</v>
      </c>
      <c r="H25" s="1">
        <f t="shared" si="12"/>
        <v>65710.329605999999</v>
      </c>
      <c r="I25" s="1">
        <f t="shared" si="13"/>
        <v>65732.941556999998</v>
      </c>
    </row>
    <row r="26" spans="1:9" x14ac:dyDescent="0.25">
      <c r="A26" t="s">
        <v>9</v>
      </c>
      <c r="B26" s="1">
        <v>69.45</v>
      </c>
      <c r="C26" s="1">
        <v>69.540000000000006</v>
      </c>
      <c r="D26" t="s">
        <v>16</v>
      </c>
      <c r="E26" s="5">
        <f t="shared" ref="E26:F26" si="20">E16</f>
        <v>946.10389999999995</v>
      </c>
      <c r="F26" s="5">
        <f t="shared" si="20"/>
        <v>0</v>
      </c>
      <c r="G26" s="5">
        <f t="shared" si="0"/>
        <v>946.10389999999995</v>
      </c>
      <c r="H26" s="1">
        <f t="shared" si="12"/>
        <v>65706.915854999999</v>
      </c>
      <c r="I26" s="1">
        <f t="shared" si="13"/>
        <v>65792.065205999999</v>
      </c>
    </row>
    <row r="27" spans="1:9" x14ac:dyDescent="0.25">
      <c r="A27" t="s">
        <v>10</v>
      </c>
      <c r="B27" s="1">
        <v>37.97</v>
      </c>
      <c r="C27" s="1">
        <v>37.99</v>
      </c>
      <c r="D27" t="s">
        <v>16</v>
      </c>
      <c r="E27" s="5">
        <f t="shared" ref="E27:F27" si="21">E17</f>
        <v>1730.1828</v>
      </c>
      <c r="F27" s="5">
        <f t="shared" si="21"/>
        <v>0</v>
      </c>
      <c r="G27" s="5">
        <f t="shared" si="0"/>
        <v>1730.1828</v>
      </c>
      <c r="H27" s="1">
        <f t="shared" si="12"/>
        <v>65695.040915999998</v>
      </c>
      <c r="I27" s="1">
        <f t="shared" si="13"/>
        <v>65729.644572000005</v>
      </c>
    </row>
    <row r="28" spans="1:9" x14ac:dyDescent="0.25">
      <c r="A28" t="s">
        <v>11</v>
      </c>
      <c r="B28" s="1">
        <v>57.19</v>
      </c>
      <c r="C28" s="1">
        <v>57.21</v>
      </c>
      <c r="D28" t="s">
        <v>16</v>
      </c>
      <c r="E28" s="5">
        <f t="shared" ref="E28:F28" si="22">E18</f>
        <v>1148.8136999999999</v>
      </c>
      <c r="F28" s="5">
        <f t="shared" si="22"/>
        <v>0</v>
      </c>
      <c r="G28" s="5">
        <f t="shared" si="0"/>
        <v>1148.8136999999999</v>
      </c>
      <c r="H28" s="1">
        <f t="shared" si="12"/>
        <v>65700.655502999987</v>
      </c>
      <c r="I28" s="1">
        <f t="shared" si="13"/>
        <v>65723.631777000002</v>
      </c>
    </row>
    <row r="29" spans="1:9" x14ac:dyDescent="0.25">
      <c r="A29" t="s">
        <v>12</v>
      </c>
      <c r="B29" s="1">
        <v>50.98</v>
      </c>
      <c r="C29" s="1">
        <v>51</v>
      </c>
      <c r="D29" t="s">
        <v>16</v>
      </c>
      <c r="E29" s="5">
        <f t="shared" ref="E29:F29" si="23">E19</f>
        <v>1288.7964999999999</v>
      </c>
      <c r="F29" s="5">
        <f t="shared" si="23"/>
        <v>0.05</v>
      </c>
      <c r="G29" s="5">
        <f t="shared" si="0"/>
        <v>1288.8464999999999</v>
      </c>
      <c r="H29" s="1">
        <f t="shared" si="12"/>
        <v>65705.394569999989</v>
      </c>
      <c r="I29" s="1">
        <f t="shared" si="13"/>
        <v>65731.171499999997</v>
      </c>
    </row>
    <row r="30" spans="1:9" x14ac:dyDescent="0.25">
      <c r="A30" t="s">
        <v>13</v>
      </c>
      <c r="B30" s="1">
        <v>18.579999999999998</v>
      </c>
      <c r="C30" s="1">
        <v>18.59</v>
      </c>
      <c r="D30" t="s">
        <v>16</v>
      </c>
      <c r="E30" s="5">
        <f t="shared" ref="E30:F30" si="24">E20</f>
        <v>3535.8029000000001</v>
      </c>
      <c r="F30" s="5">
        <f t="shared" si="24"/>
        <v>0</v>
      </c>
      <c r="G30" s="5">
        <f t="shared" si="0"/>
        <v>3535.8029000000001</v>
      </c>
      <c r="H30" s="1">
        <f t="shared" si="12"/>
        <v>65695.217881999997</v>
      </c>
      <c r="I30" s="1">
        <f t="shared" si="13"/>
        <v>65730.575911000007</v>
      </c>
    </row>
    <row r="31" spans="1:9" x14ac:dyDescent="0.25">
      <c r="A31" t="s">
        <v>14</v>
      </c>
      <c r="B31" s="1">
        <v>37.22</v>
      </c>
      <c r="C31" s="1">
        <v>37.229999999999997</v>
      </c>
      <c r="D31" t="s">
        <v>16</v>
      </c>
      <c r="E31" s="5">
        <f t="shared" ref="E31:F31" si="25">E21</f>
        <v>1764.9988000000001</v>
      </c>
      <c r="F31" s="5">
        <f t="shared" si="25"/>
        <v>0</v>
      </c>
      <c r="G31" s="5">
        <f t="shared" si="0"/>
        <v>1764.9988000000001</v>
      </c>
      <c r="H31" s="1">
        <f t="shared" si="12"/>
        <v>65693.255336000002</v>
      </c>
      <c r="I31" s="1">
        <f t="shared" si="13"/>
        <v>65710.905323999992</v>
      </c>
    </row>
    <row r="32" spans="1:9" x14ac:dyDescent="0.25">
      <c r="A32" t="s">
        <v>4</v>
      </c>
      <c r="B32" s="1">
        <v>21.93</v>
      </c>
      <c r="C32" s="1">
        <v>21.94</v>
      </c>
      <c r="D32" t="s">
        <v>17</v>
      </c>
      <c r="E32" s="5">
        <f t="shared" ref="E32:F32" si="26">E22</f>
        <v>3014.8622999999998</v>
      </c>
      <c r="F32" s="5">
        <f t="shared" si="26"/>
        <v>0</v>
      </c>
      <c r="G32" s="5">
        <f t="shared" si="0"/>
        <v>3014.8622999999998</v>
      </c>
      <c r="H32" s="1">
        <f t="shared" si="12"/>
        <v>66115.930238999994</v>
      </c>
      <c r="I32" s="1">
        <f t="shared" si="13"/>
        <v>66146.078861999995</v>
      </c>
    </row>
    <row r="33" spans="1:9" x14ac:dyDescent="0.25">
      <c r="A33" t="s">
        <v>6</v>
      </c>
      <c r="B33" s="1">
        <v>35.89</v>
      </c>
      <c r="C33" s="1">
        <v>35.9</v>
      </c>
      <c r="D33" t="s">
        <v>17</v>
      </c>
      <c r="E33" s="5">
        <f t="shared" ref="E33:F33" si="27">E23</f>
        <v>1842.07</v>
      </c>
      <c r="F33" s="5">
        <f t="shared" si="27"/>
        <v>0</v>
      </c>
      <c r="G33" s="5">
        <f t="shared" si="0"/>
        <v>1842.07</v>
      </c>
      <c r="H33" s="1">
        <f t="shared" si="12"/>
        <v>66111.892299999992</v>
      </c>
      <c r="I33" s="1">
        <f t="shared" si="13"/>
        <v>66130.312999999995</v>
      </c>
    </row>
    <row r="34" spans="1:9" x14ac:dyDescent="0.25">
      <c r="A34" t="s">
        <v>7</v>
      </c>
      <c r="B34" s="1">
        <v>18.64</v>
      </c>
      <c r="C34" s="1">
        <v>18.649999999999999</v>
      </c>
      <c r="D34" t="s">
        <v>17</v>
      </c>
      <c r="E34" s="5">
        <f t="shared" ref="E34:F34" si="28">E24</f>
        <v>3546.4650000000001</v>
      </c>
      <c r="F34" s="5">
        <f t="shared" si="28"/>
        <v>0</v>
      </c>
      <c r="G34" s="5">
        <f t="shared" ref="G34:G65" si="29">E34+F34</f>
        <v>3546.4650000000001</v>
      </c>
      <c r="H34" s="1">
        <f t="shared" si="12"/>
        <v>66106.107600000003</v>
      </c>
      <c r="I34" s="1">
        <f t="shared" si="13"/>
        <v>66141.572249999997</v>
      </c>
    </row>
    <row r="35" spans="1:9" x14ac:dyDescent="0.25">
      <c r="A35" t="s">
        <v>8</v>
      </c>
      <c r="B35" s="1">
        <v>29.24</v>
      </c>
      <c r="C35" s="1">
        <v>29.25</v>
      </c>
      <c r="D35" t="s">
        <v>17</v>
      </c>
      <c r="E35" s="5">
        <f t="shared" ref="E35:F35" si="30">E25</f>
        <v>2261.2950999999998</v>
      </c>
      <c r="F35" s="5">
        <f t="shared" si="30"/>
        <v>-0.1</v>
      </c>
      <c r="G35" s="5">
        <f t="shared" si="29"/>
        <v>2261.1950999999999</v>
      </c>
      <c r="H35" s="1">
        <f t="shared" si="12"/>
        <v>66117.344723999995</v>
      </c>
      <c r="I35" s="1">
        <f t="shared" si="13"/>
        <v>66139.956674999994</v>
      </c>
    </row>
    <row r="36" spans="1:9" x14ac:dyDescent="0.25">
      <c r="A36" t="s">
        <v>9</v>
      </c>
      <c r="B36" s="1">
        <v>69.87</v>
      </c>
      <c r="C36" s="1">
        <v>69.98</v>
      </c>
      <c r="D36" t="s">
        <v>17</v>
      </c>
      <c r="E36" s="5">
        <f t="shared" ref="E36:F36" si="31">E26</f>
        <v>946.10389999999995</v>
      </c>
      <c r="F36" s="5">
        <f t="shared" si="31"/>
        <v>0</v>
      </c>
      <c r="G36" s="5">
        <f t="shared" si="29"/>
        <v>946.10389999999995</v>
      </c>
      <c r="H36" s="1">
        <f t="shared" si="12"/>
        <v>66104.279492999995</v>
      </c>
      <c r="I36" s="1">
        <f t="shared" si="13"/>
        <v>66208.350921999998</v>
      </c>
    </row>
    <row r="37" spans="1:9" x14ac:dyDescent="0.25">
      <c r="A37" t="s">
        <v>10</v>
      </c>
      <c r="B37" s="1">
        <v>38.200000000000003</v>
      </c>
      <c r="C37" s="1">
        <v>38.229999999999997</v>
      </c>
      <c r="D37" t="s">
        <v>17</v>
      </c>
      <c r="E37" s="5">
        <f t="shared" ref="E37:F37" si="32">E27</f>
        <v>1730.1828</v>
      </c>
      <c r="F37" s="5">
        <f t="shared" si="32"/>
        <v>0</v>
      </c>
      <c r="G37" s="5">
        <f t="shared" si="29"/>
        <v>1730.1828</v>
      </c>
      <c r="H37" s="1">
        <f t="shared" si="12"/>
        <v>66092.982960000008</v>
      </c>
      <c r="I37" s="1">
        <f t="shared" si="13"/>
        <v>66144.888443999997</v>
      </c>
    </row>
    <row r="38" spans="1:9" x14ac:dyDescent="0.25">
      <c r="A38" t="s">
        <v>11</v>
      </c>
      <c r="B38" s="1">
        <v>57.55</v>
      </c>
      <c r="C38" s="1">
        <v>57.57</v>
      </c>
      <c r="D38" t="s">
        <v>17</v>
      </c>
      <c r="E38" s="5">
        <f t="shared" ref="E38:F38" si="33">E28</f>
        <v>1148.8136999999999</v>
      </c>
      <c r="F38" s="5">
        <f t="shared" si="33"/>
        <v>0</v>
      </c>
      <c r="G38" s="5">
        <f t="shared" si="29"/>
        <v>1148.8136999999999</v>
      </c>
      <c r="H38" s="1">
        <f t="shared" si="12"/>
        <v>66114.228434999997</v>
      </c>
      <c r="I38" s="1">
        <f t="shared" si="13"/>
        <v>66137.204708999998</v>
      </c>
    </row>
    <row r="39" spans="1:9" x14ac:dyDescent="0.25">
      <c r="A39" t="s">
        <v>12</v>
      </c>
      <c r="B39" s="1">
        <v>51.31</v>
      </c>
      <c r="C39" s="1">
        <v>51.32</v>
      </c>
      <c r="D39" t="s">
        <v>17</v>
      </c>
      <c r="E39" s="5">
        <f t="shared" ref="E39:F39" si="34">E29</f>
        <v>1288.7964999999999</v>
      </c>
      <c r="F39" s="5">
        <f t="shared" si="34"/>
        <v>0.05</v>
      </c>
      <c r="G39" s="5">
        <f t="shared" si="29"/>
        <v>1288.8464999999999</v>
      </c>
      <c r="H39" s="1">
        <f t="shared" si="12"/>
        <v>66130.713915</v>
      </c>
      <c r="I39" s="1">
        <f t="shared" si="13"/>
        <v>66143.602379999997</v>
      </c>
    </row>
    <row r="40" spans="1:9" x14ac:dyDescent="0.25">
      <c r="A40" t="s">
        <v>13</v>
      </c>
      <c r="B40" s="1">
        <v>18.7</v>
      </c>
      <c r="C40" s="1">
        <v>18.71</v>
      </c>
      <c r="D40" t="s">
        <v>17</v>
      </c>
      <c r="E40" s="5">
        <f t="shared" ref="E40:F40" si="35">E30</f>
        <v>3535.8029000000001</v>
      </c>
      <c r="F40" s="5">
        <f t="shared" si="35"/>
        <v>0</v>
      </c>
      <c r="G40" s="5">
        <f t="shared" si="29"/>
        <v>3535.8029000000001</v>
      </c>
      <c r="H40" s="1">
        <f t="shared" si="12"/>
        <v>66119.514230000001</v>
      </c>
      <c r="I40" s="1">
        <f t="shared" si="13"/>
        <v>66154.872259000011</v>
      </c>
    </row>
    <row r="41" spans="1:9" x14ac:dyDescent="0.25">
      <c r="A41" t="s">
        <v>14</v>
      </c>
      <c r="B41" s="1">
        <v>37.46</v>
      </c>
      <c r="C41" s="1">
        <v>37.47</v>
      </c>
      <c r="D41" t="s">
        <v>17</v>
      </c>
      <c r="E41" s="5">
        <f t="shared" ref="E41:F41" si="36">E31</f>
        <v>1764.9988000000001</v>
      </c>
      <c r="F41" s="5">
        <f t="shared" si="36"/>
        <v>0</v>
      </c>
      <c r="G41" s="5">
        <f t="shared" si="29"/>
        <v>1764.9988000000001</v>
      </c>
      <c r="H41" s="1">
        <f t="shared" si="12"/>
        <v>66116.855047999998</v>
      </c>
      <c r="I41" s="1">
        <f t="shared" si="13"/>
        <v>66134.505036000002</v>
      </c>
    </row>
    <row r="42" spans="1:9" x14ac:dyDescent="0.25">
      <c r="A42" t="s">
        <v>4</v>
      </c>
      <c r="B42" s="1">
        <v>21.87</v>
      </c>
      <c r="C42" s="1">
        <v>21.88</v>
      </c>
      <c r="D42" t="s">
        <v>18</v>
      </c>
      <c r="E42" s="5">
        <f t="shared" ref="E42:F42" si="37">E32</f>
        <v>3014.8622999999998</v>
      </c>
      <c r="F42" s="5">
        <f t="shared" si="37"/>
        <v>0</v>
      </c>
      <c r="G42" s="5">
        <f t="shared" si="29"/>
        <v>3014.8622999999998</v>
      </c>
      <c r="H42" s="1">
        <f t="shared" si="12"/>
        <v>65935.038501000003</v>
      </c>
      <c r="I42" s="1">
        <f t="shared" si="13"/>
        <v>65965.187123999989</v>
      </c>
    </row>
    <row r="43" spans="1:9" x14ac:dyDescent="0.25">
      <c r="A43" t="s">
        <v>6</v>
      </c>
      <c r="B43" s="1">
        <v>35.79</v>
      </c>
      <c r="C43" s="1">
        <v>35.799999999999997</v>
      </c>
      <c r="D43" t="s">
        <v>18</v>
      </c>
      <c r="E43" s="5">
        <f t="shared" ref="E43:F43" si="38">E33</f>
        <v>1842.07</v>
      </c>
      <c r="F43" s="5">
        <f t="shared" si="38"/>
        <v>0</v>
      </c>
      <c r="G43" s="5">
        <f t="shared" si="29"/>
        <v>1842.07</v>
      </c>
      <c r="H43" s="1">
        <f t="shared" si="12"/>
        <v>65927.685299999997</v>
      </c>
      <c r="I43" s="1">
        <f t="shared" si="13"/>
        <v>65946.105999999985</v>
      </c>
    </row>
    <row r="44" spans="1:9" x14ac:dyDescent="0.25">
      <c r="A44" t="s">
        <v>7</v>
      </c>
      <c r="B44" s="1">
        <v>18.59</v>
      </c>
      <c r="C44" s="1">
        <v>18.600000000000001</v>
      </c>
      <c r="D44" t="s">
        <v>18</v>
      </c>
      <c r="E44" s="5">
        <f t="shared" ref="E44:F44" si="39">E34</f>
        <v>3546.4650000000001</v>
      </c>
      <c r="F44" s="5">
        <f t="shared" si="39"/>
        <v>0</v>
      </c>
      <c r="G44" s="5">
        <f t="shared" si="29"/>
        <v>3546.4650000000001</v>
      </c>
      <c r="H44" s="1">
        <f t="shared" si="12"/>
        <v>65928.784350000002</v>
      </c>
      <c r="I44" s="1">
        <f t="shared" si="13"/>
        <v>65964.249000000011</v>
      </c>
    </row>
    <row r="45" spans="1:9" x14ac:dyDescent="0.25">
      <c r="A45" t="s">
        <v>8</v>
      </c>
      <c r="B45" s="1">
        <v>29.16</v>
      </c>
      <c r="C45" s="1">
        <v>29.17</v>
      </c>
      <c r="D45" t="s">
        <v>18</v>
      </c>
      <c r="E45" s="5">
        <f t="shared" ref="E45:F45" si="40">E35</f>
        <v>2261.2950999999998</v>
      </c>
      <c r="F45" s="5">
        <f t="shared" si="40"/>
        <v>-0.1</v>
      </c>
      <c r="G45" s="5">
        <f t="shared" si="29"/>
        <v>2261.1950999999999</v>
      </c>
      <c r="H45" s="1">
        <f t="shared" si="12"/>
        <v>65936.449116000003</v>
      </c>
      <c r="I45" s="1">
        <f t="shared" si="13"/>
        <v>65959.061067000002</v>
      </c>
    </row>
    <row r="46" spans="1:9" x14ac:dyDescent="0.25">
      <c r="A46" t="s">
        <v>9</v>
      </c>
      <c r="B46" s="1">
        <v>69.69</v>
      </c>
      <c r="C46" s="1">
        <v>69.760000000000005</v>
      </c>
      <c r="D46" t="s">
        <v>18</v>
      </c>
      <c r="E46" s="5">
        <f t="shared" ref="E46:F46" si="41">E36</f>
        <v>946.10389999999995</v>
      </c>
      <c r="F46" s="5">
        <f t="shared" si="41"/>
        <v>0</v>
      </c>
      <c r="G46" s="5">
        <f t="shared" si="29"/>
        <v>946.10389999999995</v>
      </c>
      <c r="H46" s="1">
        <f t="shared" si="12"/>
        <v>65933.980790999994</v>
      </c>
      <c r="I46" s="1">
        <f t="shared" si="13"/>
        <v>66000.208064000006</v>
      </c>
    </row>
    <row r="47" spans="1:9" x14ac:dyDescent="0.25">
      <c r="A47" t="s">
        <v>10</v>
      </c>
      <c r="B47" s="1">
        <v>38.090000000000003</v>
      </c>
      <c r="C47" s="1">
        <v>38.119999999999997</v>
      </c>
      <c r="D47" t="s">
        <v>18</v>
      </c>
      <c r="E47" s="5">
        <f t="shared" ref="E47:F47" si="42">E37</f>
        <v>1730.1828</v>
      </c>
      <c r="F47" s="5">
        <f t="shared" si="42"/>
        <v>0</v>
      </c>
      <c r="G47" s="5">
        <f t="shared" si="29"/>
        <v>1730.1828</v>
      </c>
      <c r="H47" s="1">
        <f t="shared" si="12"/>
        <v>65902.662852000009</v>
      </c>
      <c r="I47" s="1">
        <f t="shared" si="13"/>
        <v>65954.568335999997</v>
      </c>
    </row>
    <row r="48" spans="1:9" x14ac:dyDescent="0.25">
      <c r="A48" t="s">
        <v>11</v>
      </c>
      <c r="B48" s="1">
        <v>57.39</v>
      </c>
      <c r="C48" s="1">
        <v>57.4</v>
      </c>
      <c r="D48" t="s">
        <v>18</v>
      </c>
      <c r="E48" s="5">
        <f t="shared" ref="E48:F48" si="43">E38</f>
        <v>1148.8136999999999</v>
      </c>
      <c r="F48" s="5">
        <f t="shared" si="43"/>
        <v>0</v>
      </c>
      <c r="G48" s="5">
        <f t="shared" si="29"/>
        <v>1148.8136999999999</v>
      </c>
      <c r="H48" s="1">
        <f t="shared" si="12"/>
        <v>65930.418242999993</v>
      </c>
      <c r="I48" s="1">
        <f t="shared" si="13"/>
        <v>65941.90638</v>
      </c>
    </row>
    <row r="49" spans="1:9" x14ac:dyDescent="0.25">
      <c r="A49" t="s">
        <v>12</v>
      </c>
      <c r="B49" s="1">
        <v>51.15</v>
      </c>
      <c r="C49" s="1">
        <v>51.17</v>
      </c>
      <c r="D49" t="s">
        <v>18</v>
      </c>
      <c r="E49" s="5">
        <f t="shared" ref="E49:F49" si="44">E39</f>
        <v>1288.7964999999999</v>
      </c>
      <c r="F49" s="5">
        <f t="shared" si="44"/>
        <v>0.05</v>
      </c>
      <c r="G49" s="5">
        <f t="shared" si="29"/>
        <v>1288.8464999999999</v>
      </c>
      <c r="H49" s="1">
        <f t="shared" si="12"/>
        <v>65924.498474999986</v>
      </c>
      <c r="I49" s="1">
        <f t="shared" si="13"/>
        <v>65950.275404999993</v>
      </c>
    </row>
    <row r="50" spans="1:9" x14ac:dyDescent="0.25">
      <c r="A50" t="s">
        <v>13</v>
      </c>
      <c r="B50" s="1">
        <v>18.64</v>
      </c>
      <c r="C50" s="1">
        <v>18.649999999999999</v>
      </c>
      <c r="D50" t="s">
        <v>18</v>
      </c>
      <c r="E50" s="5">
        <f t="shared" ref="E50:F50" si="45">E40</f>
        <v>3535.8029000000001</v>
      </c>
      <c r="F50" s="5">
        <f t="shared" si="45"/>
        <v>0</v>
      </c>
      <c r="G50" s="5">
        <f t="shared" si="29"/>
        <v>3535.8029000000001</v>
      </c>
      <c r="H50" s="1">
        <f t="shared" si="12"/>
        <v>65907.366055999999</v>
      </c>
      <c r="I50" s="1">
        <f t="shared" si="13"/>
        <v>65942.724084999994</v>
      </c>
    </row>
    <row r="51" spans="1:9" x14ac:dyDescent="0.25">
      <c r="A51" t="s">
        <v>14</v>
      </c>
      <c r="B51" s="1">
        <v>37.35</v>
      </c>
      <c r="C51" s="1">
        <v>37.36</v>
      </c>
      <c r="D51" t="s">
        <v>18</v>
      </c>
      <c r="E51" s="5">
        <f t="shared" ref="E51:F51" si="46">E41</f>
        <v>1764.9988000000001</v>
      </c>
      <c r="F51" s="5">
        <f t="shared" si="46"/>
        <v>0</v>
      </c>
      <c r="G51" s="5">
        <f t="shared" si="29"/>
        <v>1764.9988000000001</v>
      </c>
      <c r="H51" s="1">
        <f t="shared" si="12"/>
        <v>65922.705180000004</v>
      </c>
      <c r="I51" s="1">
        <f t="shared" si="13"/>
        <v>65940.355167999995</v>
      </c>
    </row>
    <row r="52" spans="1:9" x14ac:dyDescent="0.25">
      <c r="A52" t="s">
        <v>4</v>
      </c>
      <c r="B52" s="1">
        <v>21.84</v>
      </c>
      <c r="C52" s="1">
        <v>21.85</v>
      </c>
      <c r="D52" t="s">
        <v>19</v>
      </c>
      <c r="E52" s="5">
        <f t="shared" ref="E52:F52" si="47">E42</f>
        <v>3014.8622999999998</v>
      </c>
      <c r="F52" s="5">
        <f t="shared" si="47"/>
        <v>0</v>
      </c>
      <c r="G52" s="5">
        <f t="shared" si="29"/>
        <v>3014.8622999999998</v>
      </c>
      <c r="H52" s="1">
        <f t="shared" si="12"/>
        <v>65844.592632</v>
      </c>
      <c r="I52" s="1">
        <f t="shared" si="13"/>
        <v>65874.741255000001</v>
      </c>
    </row>
    <row r="53" spans="1:9" x14ac:dyDescent="0.25">
      <c r="A53" t="s">
        <v>6</v>
      </c>
      <c r="B53" s="1">
        <v>35.74</v>
      </c>
      <c r="C53" s="1">
        <v>35.75</v>
      </c>
      <c r="D53" t="s">
        <v>19</v>
      </c>
      <c r="E53" s="5">
        <f t="shared" ref="E53:F53" si="48">E43</f>
        <v>1842.07</v>
      </c>
      <c r="F53" s="5">
        <f t="shared" si="48"/>
        <v>0</v>
      </c>
      <c r="G53" s="5">
        <f t="shared" si="29"/>
        <v>1842.07</v>
      </c>
      <c r="H53" s="1">
        <f t="shared" si="12"/>
        <v>65835.5818</v>
      </c>
      <c r="I53" s="1">
        <f t="shared" si="13"/>
        <v>65854.002500000002</v>
      </c>
    </row>
    <row r="54" spans="1:9" x14ac:dyDescent="0.25">
      <c r="A54" t="s">
        <v>7</v>
      </c>
      <c r="B54" s="1">
        <v>18.559999999999999</v>
      </c>
      <c r="C54" s="1">
        <v>18.57</v>
      </c>
      <c r="D54" t="s">
        <v>19</v>
      </c>
      <c r="E54" s="5">
        <f t="shared" ref="E54:F54" si="49">E44</f>
        <v>3546.4650000000001</v>
      </c>
      <c r="F54" s="5">
        <f t="shared" si="49"/>
        <v>0</v>
      </c>
      <c r="G54" s="5">
        <f t="shared" si="29"/>
        <v>3546.4650000000001</v>
      </c>
      <c r="H54" s="1">
        <f t="shared" si="12"/>
        <v>65822.390400000004</v>
      </c>
      <c r="I54" s="1">
        <f t="shared" si="13"/>
        <v>65857.855049999998</v>
      </c>
    </row>
    <row r="55" spans="1:9" x14ac:dyDescent="0.25">
      <c r="A55" t="s">
        <v>8</v>
      </c>
      <c r="B55" s="1">
        <v>29.12</v>
      </c>
      <c r="C55" s="1">
        <v>29.13</v>
      </c>
      <c r="D55" t="s">
        <v>19</v>
      </c>
      <c r="E55" s="5">
        <f t="shared" ref="E55:F55" si="50">E45</f>
        <v>2261.2950999999998</v>
      </c>
      <c r="F55" s="5">
        <f t="shared" si="50"/>
        <v>-0.1</v>
      </c>
      <c r="G55" s="5">
        <f t="shared" si="29"/>
        <v>2261.1950999999999</v>
      </c>
      <c r="H55" s="1">
        <f t="shared" si="12"/>
        <v>65846.001311999993</v>
      </c>
      <c r="I55" s="1">
        <f t="shared" si="13"/>
        <v>65868.613262999992</v>
      </c>
    </row>
    <row r="56" spans="1:9" x14ac:dyDescent="0.25">
      <c r="A56" t="s">
        <v>9</v>
      </c>
      <c r="B56" s="1">
        <v>69.59</v>
      </c>
      <c r="C56" s="1">
        <v>69.7</v>
      </c>
      <c r="D56" t="s">
        <v>19</v>
      </c>
      <c r="E56" s="5">
        <f t="shared" ref="E56:F56" si="51">E46</f>
        <v>946.10389999999995</v>
      </c>
      <c r="F56" s="5">
        <f t="shared" si="51"/>
        <v>0</v>
      </c>
      <c r="G56" s="5">
        <f t="shared" si="29"/>
        <v>946.10389999999995</v>
      </c>
      <c r="H56" s="1">
        <f t="shared" si="12"/>
        <v>65839.370400999993</v>
      </c>
      <c r="I56" s="1">
        <f t="shared" si="13"/>
        <v>65943.441829999996</v>
      </c>
    </row>
    <row r="57" spans="1:9" x14ac:dyDescent="0.25">
      <c r="A57" t="s">
        <v>10</v>
      </c>
      <c r="B57" s="1">
        <v>38.03</v>
      </c>
      <c r="C57" s="1">
        <v>38.07</v>
      </c>
      <c r="D57" t="s">
        <v>19</v>
      </c>
      <c r="E57" s="5">
        <f t="shared" ref="E57:F57" si="52">E47</f>
        <v>1730.1828</v>
      </c>
      <c r="F57" s="5">
        <f t="shared" si="52"/>
        <v>0</v>
      </c>
      <c r="G57" s="5">
        <f t="shared" si="29"/>
        <v>1730.1828</v>
      </c>
      <c r="H57" s="1">
        <f t="shared" si="12"/>
        <v>65798.851884000003</v>
      </c>
      <c r="I57" s="1">
        <f t="shared" si="13"/>
        <v>65868.059196000002</v>
      </c>
    </row>
    <row r="58" spans="1:9" x14ac:dyDescent="0.25">
      <c r="A58" t="s">
        <v>11</v>
      </c>
      <c r="B58" s="1">
        <v>57.3</v>
      </c>
      <c r="C58" s="1">
        <v>57.32</v>
      </c>
      <c r="D58" t="s">
        <v>19</v>
      </c>
      <c r="E58" s="5">
        <f t="shared" ref="E58:F58" si="53">E48</f>
        <v>1148.8136999999999</v>
      </c>
      <c r="F58" s="5">
        <f t="shared" si="53"/>
        <v>0</v>
      </c>
      <c r="G58" s="5">
        <f t="shared" si="29"/>
        <v>1148.8136999999999</v>
      </c>
      <c r="H58" s="1">
        <f t="shared" si="12"/>
        <v>65827.025009999998</v>
      </c>
      <c r="I58" s="1">
        <f t="shared" si="13"/>
        <v>65850.001283999998</v>
      </c>
    </row>
    <row r="59" spans="1:9" x14ac:dyDescent="0.25">
      <c r="A59" t="s">
        <v>12</v>
      </c>
      <c r="B59" s="1">
        <v>51.09</v>
      </c>
      <c r="C59" s="1">
        <v>51.1</v>
      </c>
      <c r="D59" t="s">
        <v>19</v>
      </c>
      <c r="E59" s="5">
        <f t="shared" ref="E59:F59" si="54">E49</f>
        <v>1288.7964999999999</v>
      </c>
      <c r="F59" s="5">
        <f t="shared" si="54"/>
        <v>0.05</v>
      </c>
      <c r="G59" s="5">
        <f t="shared" si="29"/>
        <v>1288.8464999999999</v>
      </c>
      <c r="H59" s="1">
        <f t="shared" si="12"/>
        <v>65847.167684999993</v>
      </c>
      <c r="I59" s="1">
        <f t="shared" si="13"/>
        <v>65860.056149999989</v>
      </c>
    </row>
    <row r="60" spans="1:9" x14ac:dyDescent="0.25">
      <c r="A60" t="s">
        <v>13</v>
      </c>
      <c r="B60" s="1">
        <v>18.62</v>
      </c>
      <c r="C60" s="1">
        <v>18.63</v>
      </c>
      <c r="D60" t="s">
        <v>19</v>
      </c>
      <c r="E60" s="5">
        <f t="shared" ref="E60:F60" si="55">E50</f>
        <v>3535.8029000000001</v>
      </c>
      <c r="F60" s="5">
        <f t="shared" si="55"/>
        <v>0</v>
      </c>
      <c r="G60" s="5">
        <f t="shared" si="29"/>
        <v>3535.8029000000001</v>
      </c>
      <c r="H60" s="1">
        <f t="shared" si="12"/>
        <v>65836.649998000008</v>
      </c>
      <c r="I60" s="1">
        <f t="shared" si="13"/>
        <v>65872.008027000003</v>
      </c>
    </row>
    <row r="61" spans="1:9" x14ac:dyDescent="0.25">
      <c r="A61" t="s">
        <v>14</v>
      </c>
      <c r="B61" s="1">
        <v>37.29</v>
      </c>
      <c r="C61" s="1">
        <v>37.299999999999997</v>
      </c>
      <c r="D61" t="s">
        <v>19</v>
      </c>
      <c r="E61" s="5">
        <f t="shared" ref="E61:F61" si="56">E51</f>
        <v>1764.9988000000001</v>
      </c>
      <c r="F61" s="5">
        <f t="shared" si="56"/>
        <v>0</v>
      </c>
      <c r="G61" s="5">
        <f t="shared" si="29"/>
        <v>1764.9988000000001</v>
      </c>
      <c r="H61" s="1">
        <f t="shared" si="12"/>
        <v>65816.805252000006</v>
      </c>
      <c r="I61" s="1">
        <f t="shared" si="13"/>
        <v>65834.455239999996</v>
      </c>
    </row>
    <row r="62" spans="1:9" x14ac:dyDescent="0.25">
      <c r="A62" t="s">
        <v>4</v>
      </c>
      <c r="B62" s="1">
        <v>21.85</v>
      </c>
      <c r="C62" s="1">
        <v>21.86</v>
      </c>
      <c r="D62" t="s">
        <v>20</v>
      </c>
      <c r="E62" s="5">
        <f t="shared" ref="E62:F62" si="57">E52</f>
        <v>3014.8622999999998</v>
      </c>
      <c r="F62" s="5">
        <f t="shared" si="57"/>
        <v>0</v>
      </c>
      <c r="G62" s="5">
        <f t="shared" si="29"/>
        <v>3014.8622999999998</v>
      </c>
      <c r="H62" s="1">
        <f t="shared" si="12"/>
        <v>65874.741255000001</v>
      </c>
      <c r="I62" s="1">
        <f t="shared" si="13"/>
        <v>65904.889877999987</v>
      </c>
    </row>
    <row r="63" spans="1:9" x14ac:dyDescent="0.25">
      <c r="A63" t="s">
        <v>6</v>
      </c>
      <c r="B63" s="1">
        <v>35.76</v>
      </c>
      <c r="C63" s="1">
        <v>35.770000000000003</v>
      </c>
      <c r="D63" t="s">
        <v>20</v>
      </c>
      <c r="E63" s="5">
        <f t="shared" ref="E63:F63" si="58">E53</f>
        <v>1842.07</v>
      </c>
      <c r="F63" s="5">
        <f t="shared" si="58"/>
        <v>0</v>
      </c>
      <c r="G63" s="5">
        <f t="shared" si="29"/>
        <v>1842.07</v>
      </c>
      <c r="H63" s="1">
        <f t="shared" si="12"/>
        <v>65872.42319999999</v>
      </c>
      <c r="I63" s="1">
        <f t="shared" si="13"/>
        <v>65890.843900000007</v>
      </c>
    </row>
    <row r="64" spans="1:9" x14ac:dyDescent="0.25">
      <c r="A64" t="s">
        <v>7</v>
      </c>
      <c r="B64" s="1">
        <v>18.57</v>
      </c>
      <c r="C64" s="1">
        <v>18.579999999999998</v>
      </c>
      <c r="D64" t="s">
        <v>20</v>
      </c>
      <c r="E64" s="5">
        <f t="shared" ref="E64:F64" si="59">E54</f>
        <v>3546.4650000000001</v>
      </c>
      <c r="F64" s="5">
        <f t="shared" si="59"/>
        <v>0</v>
      </c>
      <c r="G64" s="5">
        <f t="shared" si="29"/>
        <v>3546.4650000000001</v>
      </c>
      <c r="H64" s="1">
        <f t="shared" si="12"/>
        <v>65857.855049999998</v>
      </c>
      <c r="I64" s="1">
        <f t="shared" si="13"/>
        <v>65893.319699999993</v>
      </c>
    </row>
    <row r="65" spans="1:9" x14ac:dyDescent="0.25">
      <c r="A65" t="s">
        <v>8</v>
      </c>
      <c r="B65" s="1">
        <v>29.13</v>
      </c>
      <c r="C65" s="1">
        <v>29.14</v>
      </c>
      <c r="D65" t="s">
        <v>20</v>
      </c>
      <c r="E65" s="5">
        <f t="shared" ref="E65:F65" si="60">E55</f>
        <v>2261.2950999999998</v>
      </c>
      <c r="F65" s="5">
        <f t="shared" si="60"/>
        <v>-0.1</v>
      </c>
      <c r="G65" s="5">
        <f t="shared" si="29"/>
        <v>2261.1950999999999</v>
      </c>
      <c r="H65" s="1">
        <f t="shared" si="12"/>
        <v>65868.613262999992</v>
      </c>
      <c r="I65" s="1">
        <f t="shared" si="13"/>
        <v>65891.225214000006</v>
      </c>
    </row>
    <row r="66" spans="1:9" x14ac:dyDescent="0.25">
      <c r="A66" t="s">
        <v>9</v>
      </c>
      <c r="B66" s="1">
        <v>69.62</v>
      </c>
      <c r="C66" s="1">
        <v>69.75</v>
      </c>
      <c r="D66" t="s">
        <v>20</v>
      </c>
      <c r="E66" s="5">
        <f t="shared" ref="E66:F66" si="61">E56</f>
        <v>946.10389999999995</v>
      </c>
      <c r="F66" s="5">
        <f t="shared" si="61"/>
        <v>0</v>
      </c>
      <c r="G66" s="5">
        <f t="shared" ref="G66:G97" si="62">E66+F66</f>
        <v>946.10389999999995</v>
      </c>
      <c r="H66" s="1">
        <f t="shared" si="12"/>
        <v>65867.753517999998</v>
      </c>
      <c r="I66" s="1">
        <f t="shared" si="13"/>
        <v>65990.74702499999</v>
      </c>
    </row>
    <row r="67" spans="1:9" x14ac:dyDescent="0.25">
      <c r="A67" t="s">
        <v>10</v>
      </c>
      <c r="B67" s="1">
        <v>38.049999999999997</v>
      </c>
      <c r="C67" s="1">
        <v>38.090000000000003</v>
      </c>
      <c r="D67" t="s">
        <v>20</v>
      </c>
      <c r="E67" s="5">
        <f t="shared" ref="E67:F67" si="63">E57</f>
        <v>1730.1828</v>
      </c>
      <c r="F67" s="5">
        <f t="shared" si="63"/>
        <v>0</v>
      </c>
      <c r="G67" s="5">
        <f t="shared" si="62"/>
        <v>1730.1828</v>
      </c>
      <c r="H67" s="1">
        <f t="shared" si="12"/>
        <v>65833.455539999995</v>
      </c>
      <c r="I67" s="1">
        <f t="shared" si="13"/>
        <v>65902.662852000009</v>
      </c>
    </row>
    <row r="68" spans="1:9" x14ac:dyDescent="0.25">
      <c r="A68" t="s">
        <v>11</v>
      </c>
      <c r="B68" s="1">
        <v>57.34</v>
      </c>
      <c r="C68" s="1">
        <v>57.35</v>
      </c>
      <c r="D68" t="s">
        <v>20</v>
      </c>
      <c r="E68" s="5">
        <f t="shared" ref="E68:F68" si="64">E58</f>
        <v>1148.8136999999999</v>
      </c>
      <c r="F68" s="5">
        <f t="shared" si="64"/>
        <v>0</v>
      </c>
      <c r="G68" s="5">
        <f t="shared" si="62"/>
        <v>1148.8136999999999</v>
      </c>
      <c r="H68" s="1">
        <f t="shared" si="12"/>
        <v>65872.977557999999</v>
      </c>
      <c r="I68" s="1">
        <f t="shared" si="13"/>
        <v>65884.465694999992</v>
      </c>
    </row>
    <row r="69" spans="1:9" x14ac:dyDescent="0.25">
      <c r="A69" t="s">
        <v>12</v>
      </c>
      <c r="B69" s="1">
        <v>51.11</v>
      </c>
      <c r="C69" s="1">
        <v>51.12</v>
      </c>
      <c r="D69" t="s">
        <v>20</v>
      </c>
      <c r="E69" s="5">
        <f t="shared" ref="E69:F69" si="65">E59</f>
        <v>1288.7964999999999</v>
      </c>
      <c r="F69" s="5">
        <f t="shared" si="65"/>
        <v>0.05</v>
      </c>
      <c r="G69" s="5">
        <f t="shared" si="62"/>
        <v>1288.8464999999999</v>
      </c>
      <c r="H69" s="1">
        <f t="shared" si="12"/>
        <v>65872.944614999986</v>
      </c>
      <c r="I69" s="1">
        <f t="shared" si="13"/>
        <v>65885.833079999997</v>
      </c>
    </row>
    <row r="70" spans="1:9" x14ac:dyDescent="0.25">
      <c r="A70" t="s">
        <v>13</v>
      </c>
      <c r="B70" s="1">
        <v>18.62</v>
      </c>
      <c r="C70" s="1">
        <v>18.63</v>
      </c>
      <c r="D70" t="s">
        <v>20</v>
      </c>
      <c r="E70" s="5">
        <f t="shared" ref="E70:F70" si="66">E60</f>
        <v>3535.8029000000001</v>
      </c>
      <c r="F70" s="5">
        <f t="shared" si="66"/>
        <v>0</v>
      </c>
      <c r="G70" s="5">
        <f t="shared" si="62"/>
        <v>3535.8029000000001</v>
      </c>
      <c r="H70" s="1">
        <f t="shared" si="12"/>
        <v>65836.649998000008</v>
      </c>
      <c r="I70" s="1">
        <f t="shared" si="13"/>
        <v>65872.008027000003</v>
      </c>
    </row>
    <row r="71" spans="1:9" x14ac:dyDescent="0.25">
      <c r="A71" t="s">
        <v>14</v>
      </c>
      <c r="B71" s="1">
        <v>37.31</v>
      </c>
      <c r="C71" s="1">
        <v>37.32</v>
      </c>
      <c r="D71" t="s">
        <v>20</v>
      </c>
      <c r="E71" s="5">
        <f t="shared" ref="E71:F71" si="67">E61</f>
        <v>1764.9988000000001</v>
      </c>
      <c r="F71" s="5">
        <f t="shared" si="67"/>
        <v>0</v>
      </c>
      <c r="G71" s="5">
        <f t="shared" si="62"/>
        <v>1764.9988000000001</v>
      </c>
      <c r="H71" s="1">
        <f t="shared" si="12"/>
        <v>65852.105228</v>
      </c>
      <c r="I71" s="1">
        <f t="shared" si="13"/>
        <v>65869.755216000005</v>
      </c>
    </row>
    <row r="72" spans="1:9" x14ac:dyDescent="0.25">
      <c r="A72" t="s">
        <v>4</v>
      </c>
      <c r="B72" s="1">
        <v>21.85</v>
      </c>
      <c r="C72" s="1">
        <v>21.86</v>
      </c>
      <c r="D72" t="s">
        <v>21</v>
      </c>
      <c r="E72" s="5">
        <f t="shared" ref="E72:F72" si="68">E62</f>
        <v>3014.8622999999998</v>
      </c>
      <c r="F72" s="5">
        <f t="shared" si="68"/>
        <v>0</v>
      </c>
      <c r="G72" s="5">
        <f t="shared" si="62"/>
        <v>3014.8622999999998</v>
      </c>
      <c r="H72" s="1">
        <f t="shared" si="12"/>
        <v>65874.741255000001</v>
      </c>
      <c r="I72" s="1">
        <f t="shared" si="13"/>
        <v>65904.889877999987</v>
      </c>
    </row>
    <row r="73" spans="1:9" x14ac:dyDescent="0.25">
      <c r="A73" t="s">
        <v>6</v>
      </c>
      <c r="B73" s="1">
        <v>35.770000000000003</v>
      </c>
      <c r="C73" s="1">
        <v>35.78</v>
      </c>
      <c r="D73" t="s">
        <v>21</v>
      </c>
      <c r="E73" s="5">
        <f t="shared" ref="E73:F73" si="69">E63</f>
        <v>1842.07</v>
      </c>
      <c r="F73" s="5">
        <f t="shared" si="69"/>
        <v>0</v>
      </c>
      <c r="G73" s="5">
        <f t="shared" si="62"/>
        <v>1842.07</v>
      </c>
      <c r="H73" s="1">
        <f t="shared" si="12"/>
        <v>65890.843900000007</v>
      </c>
      <c r="I73" s="1">
        <f t="shared" si="13"/>
        <v>65909.264599999995</v>
      </c>
    </row>
    <row r="74" spans="1:9" x14ac:dyDescent="0.25">
      <c r="A74" t="s">
        <v>7</v>
      </c>
      <c r="B74" s="1">
        <v>18.579999999999998</v>
      </c>
      <c r="C74" s="1">
        <v>18.59</v>
      </c>
      <c r="D74" t="s">
        <v>21</v>
      </c>
      <c r="E74" s="5">
        <f t="shared" ref="E74:F74" si="70">E64</f>
        <v>3546.4650000000001</v>
      </c>
      <c r="F74" s="5">
        <f t="shared" si="70"/>
        <v>0</v>
      </c>
      <c r="G74" s="5">
        <f t="shared" si="62"/>
        <v>3546.4650000000001</v>
      </c>
      <c r="H74" s="1">
        <f t="shared" si="12"/>
        <v>65893.319699999993</v>
      </c>
      <c r="I74" s="1">
        <f t="shared" si="13"/>
        <v>65928.784350000002</v>
      </c>
    </row>
    <row r="75" spans="1:9" x14ac:dyDescent="0.25">
      <c r="A75" t="s">
        <v>8</v>
      </c>
      <c r="B75" s="1">
        <v>29.14</v>
      </c>
      <c r="C75" s="1">
        <v>29.15</v>
      </c>
      <c r="D75" t="s">
        <v>21</v>
      </c>
      <c r="E75" s="5">
        <f t="shared" ref="E75:F75" si="71">E65</f>
        <v>2261.2950999999998</v>
      </c>
      <c r="F75" s="5">
        <f t="shared" si="71"/>
        <v>-0.1</v>
      </c>
      <c r="G75" s="5">
        <f t="shared" si="62"/>
        <v>2261.1950999999999</v>
      </c>
      <c r="H75" s="1">
        <f t="shared" si="12"/>
        <v>65891.225214000006</v>
      </c>
      <c r="I75" s="1">
        <f t="shared" si="13"/>
        <v>65913.83716499999</v>
      </c>
    </row>
    <row r="76" spans="1:9" x14ac:dyDescent="0.25">
      <c r="A76" t="s">
        <v>9</v>
      </c>
      <c r="B76" s="1">
        <v>69.64</v>
      </c>
      <c r="C76" s="1">
        <v>69.77</v>
      </c>
      <c r="D76" t="s">
        <v>21</v>
      </c>
      <c r="E76" s="5">
        <f t="shared" ref="E76:F76" si="72">E66</f>
        <v>946.10389999999995</v>
      </c>
      <c r="F76" s="5">
        <f t="shared" si="72"/>
        <v>0</v>
      </c>
      <c r="G76" s="5">
        <f t="shared" si="62"/>
        <v>946.10389999999995</v>
      </c>
      <c r="H76" s="1">
        <f t="shared" si="12"/>
        <v>65886.675596000001</v>
      </c>
      <c r="I76" s="1">
        <f t="shared" si="13"/>
        <v>66009.669102999993</v>
      </c>
    </row>
    <row r="77" spans="1:9" x14ac:dyDescent="0.25">
      <c r="A77" t="s">
        <v>10</v>
      </c>
      <c r="B77" s="1">
        <v>38.07</v>
      </c>
      <c r="C77" s="1">
        <v>38.1</v>
      </c>
      <c r="D77" t="s">
        <v>21</v>
      </c>
      <c r="E77" s="5">
        <f t="shared" ref="E77:F77" si="73">E67</f>
        <v>1730.1828</v>
      </c>
      <c r="F77" s="5">
        <f t="shared" si="73"/>
        <v>0</v>
      </c>
      <c r="G77" s="5">
        <f t="shared" si="62"/>
        <v>1730.1828</v>
      </c>
      <c r="H77" s="1">
        <f t="shared" si="12"/>
        <v>65868.059196000002</v>
      </c>
      <c r="I77" s="1">
        <f t="shared" si="13"/>
        <v>65919.964680000005</v>
      </c>
    </row>
    <row r="78" spans="1:9" x14ac:dyDescent="0.25">
      <c r="A78" t="s">
        <v>11</v>
      </c>
      <c r="B78" s="1">
        <v>57.36</v>
      </c>
      <c r="C78" s="1">
        <v>57.37</v>
      </c>
      <c r="D78" t="s">
        <v>21</v>
      </c>
      <c r="E78" s="5">
        <f t="shared" ref="E78:F78" si="74">E68</f>
        <v>1148.8136999999999</v>
      </c>
      <c r="F78" s="5">
        <f t="shared" si="74"/>
        <v>0</v>
      </c>
      <c r="G78" s="5">
        <f t="shared" si="62"/>
        <v>1148.8136999999999</v>
      </c>
      <c r="H78" s="1">
        <f t="shared" si="12"/>
        <v>65895.953831999999</v>
      </c>
      <c r="I78" s="1">
        <f t="shared" si="13"/>
        <v>65907.441968999992</v>
      </c>
    </row>
    <row r="79" spans="1:9" x14ac:dyDescent="0.25">
      <c r="A79" t="s">
        <v>12</v>
      </c>
      <c r="B79" s="1">
        <v>51.12</v>
      </c>
      <c r="C79" s="1">
        <v>51.13</v>
      </c>
      <c r="D79" t="s">
        <v>21</v>
      </c>
      <c r="E79" s="5">
        <f t="shared" ref="E79:F79" si="75">E69</f>
        <v>1288.7964999999999</v>
      </c>
      <c r="F79" s="5">
        <f t="shared" si="75"/>
        <v>0.05</v>
      </c>
      <c r="G79" s="5">
        <f t="shared" si="62"/>
        <v>1288.8464999999999</v>
      </c>
      <c r="H79" s="1">
        <f t="shared" si="12"/>
        <v>65885.833079999997</v>
      </c>
      <c r="I79" s="1">
        <f t="shared" si="13"/>
        <v>65898.721544999993</v>
      </c>
    </row>
    <row r="80" spans="1:9" x14ac:dyDescent="0.25">
      <c r="A80" t="s">
        <v>13</v>
      </c>
      <c r="B80" s="1">
        <v>18.63</v>
      </c>
      <c r="C80" s="1">
        <v>18.64</v>
      </c>
      <c r="D80" t="s">
        <v>21</v>
      </c>
      <c r="E80" s="5">
        <f t="shared" ref="E80:F80" si="76">E70</f>
        <v>3535.8029000000001</v>
      </c>
      <c r="F80" s="5">
        <f t="shared" si="76"/>
        <v>0</v>
      </c>
      <c r="G80" s="5">
        <f t="shared" si="62"/>
        <v>3535.8029000000001</v>
      </c>
      <c r="H80" s="1">
        <f t="shared" si="12"/>
        <v>65872.008027000003</v>
      </c>
      <c r="I80" s="1">
        <f t="shared" si="13"/>
        <v>65907.366055999999</v>
      </c>
    </row>
    <row r="81" spans="1:9" x14ac:dyDescent="0.25">
      <c r="A81" t="s">
        <v>14</v>
      </c>
      <c r="B81" s="1">
        <v>37.32</v>
      </c>
      <c r="C81" s="1">
        <v>37.33</v>
      </c>
      <c r="D81" t="s">
        <v>21</v>
      </c>
      <c r="E81" s="5">
        <f t="shared" ref="E81:F81" si="77">E71</f>
        <v>1764.9988000000001</v>
      </c>
      <c r="F81" s="5">
        <f t="shared" si="77"/>
        <v>0</v>
      </c>
      <c r="G81" s="5">
        <f t="shared" si="62"/>
        <v>1764.9988000000001</v>
      </c>
      <c r="H81" s="1">
        <f t="shared" si="12"/>
        <v>65869.755216000005</v>
      </c>
      <c r="I81" s="1">
        <f t="shared" si="13"/>
        <v>65887.405203999995</v>
      </c>
    </row>
    <row r="82" spans="1:9" x14ac:dyDescent="0.25">
      <c r="A82" t="s">
        <v>4</v>
      </c>
      <c r="B82" s="1">
        <v>21.82</v>
      </c>
      <c r="C82" s="1">
        <v>21.83</v>
      </c>
      <c r="D82" t="s">
        <v>22</v>
      </c>
      <c r="E82" s="5">
        <f t="shared" ref="E82:F82" si="78">E72</f>
        <v>3014.8622999999998</v>
      </c>
      <c r="F82" s="5">
        <f t="shared" si="78"/>
        <v>0</v>
      </c>
      <c r="G82" s="5">
        <f t="shared" si="62"/>
        <v>3014.8622999999998</v>
      </c>
      <c r="H82" s="1">
        <f t="shared" si="12"/>
        <v>65784.295385999998</v>
      </c>
      <c r="I82" s="1">
        <f t="shared" si="13"/>
        <v>65814.444008999984</v>
      </c>
    </row>
    <row r="83" spans="1:9" x14ac:dyDescent="0.25">
      <c r="A83" t="s">
        <v>6</v>
      </c>
      <c r="B83" s="1">
        <v>35.72</v>
      </c>
      <c r="C83" s="1">
        <v>35.729999999999997</v>
      </c>
      <c r="D83" t="s">
        <v>22</v>
      </c>
      <c r="E83" s="5">
        <f t="shared" ref="E83:F83" si="79">E73</f>
        <v>1842.07</v>
      </c>
      <c r="F83" s="5">
        <f t="shared" si="79"/>
        <v>0</v>
      </c>
      <c r="G83" s="5">
        <f t="shared" si="62"/>
        <v>1842.07</v>
      </c>
      <c r="H83" s="1">
        <f t="shared" ref="H83:H146" si="80">B83*G83</f>
        <v>65798.740399999995</v>
      </c>
      <c r="I83" s="1">
        <f t="shared" ref="I83:I146" si="81">C83*G83</f>
        <v>65817.161099999998</v>
      </c>
    </row>
    <row r="84" spans="1:9" x14ac:dyDescent="0.25">
      <c r="A84" t="s">
        <v>7</v>
      </c>
      <c r="B84" s="1">
        <v>18.55</v>
      </c>
      <c r="C84" s="1">
        <v>18.559999999999999</v>
      </c>
      <c r="D84" t="s">
        <v>22</v>
      </c>
      <c r="E84" s="5">
        <f t="shared" ref="E84:F84" si="82">E74</f>
        <v>3546.4650000000001</v>
      </c>
      <c r="F84" s="5">
        <f t="shared" si="82"/>
        <v>0</v>
      </c>
      <c r="G84" s="5">
        <f t="shared" si="62"/>
        <v>3546.4650000000001</v>
      </c>
      <c r="H84" s="1">
        <f t="shared" si="80"/>
        <v>65786.925750000009</v>
      </c>
      <c r="I84" s="1">
        <f t="shared" si="81"/>
        <v>65822.390400000004</v>
      </c>
    </row>
    <row r="85" spans="1:9" x14ac:dyDescent="0.25">
      <c r="A85" t="s">
        <v>8</v>
      </c>
      <c r="B85" s="1">
        <v>29.1</v>
      </c>
      <c r="C85" s="1">
        <v>29.11</v>
      </c>
      <c r="D85" t="s">
        <v>22</v>
      </c>
      <c r="E85" s="5">
        <f t="shared" ref="E85:F85" si="83">E75</f>
        <v>2261.2950999999998</v>
      </c>
      <c r="F85" s="5">
        <f t="shared" si="83"/>
        <v>-0.1</v>
      </c>
      <c r="G85" s="5">
        <f t="shared" si="62"/>
        <v>2261.1950999999999</v>
      </c>
      <c r="H85" s="1">
        <f t="shared" si="80"/>
        <v>65800.777409999995</v>
      </c>
      <c r="I85" s="1">
        <f t="shared" si="81"/>
        <v>65823.389360999994</v>
      </c>
    </row>
    <row r="86" spans="1:9" x14ac:dyDescent="0.25">
      <c r="A86" t="s">
        <v>9</v>
      </c>
      <c r="B86" s="1">
        <v>69.540000000000006</v>
      </c>
      <c r="C86" s="1">
        <v>69.680000000000007</v>
      </c>
      <c r="D86" t="s">
        <v>22</v>
      </c>
      <c r="E86" s="5">
        <f t="shared" ref="E86:F86" si="84">E76</f>
        <v>946.10389999999995</v>
      </c>
      <c r="F86" s="5">
        <f t="shared" si="84"/>
        <v>0</v>
      </c>
      <c r="G86" s="5">
        <f t="shared" si="62"/>
        <v>946.10389999999995</v>
      </c>
      <c r="H86" s="1">
        <f t="shared" si="80"/>
        <v>65792.065205999999</v>
      </c>
      <c r="I86" s="1">
        <f t="shared" si="81"/>
        <v>65924.519752000007</v>
      </c>
    </row>
    <row r="87" spans="1:9" x14ac:dyDescent="0.25">
      <c r="A87" t="s">
        <v>10</v>
      </c>
      <c r="B87" s="1">
        <v>38.01</v>
      </c>
      <c r="C87" s="1">
        <v>38.049999999999997</v>
      </c>
      <c r="D87" t="s">
        <v>22</v>
      </c>
      <c r="E87" s="5">
        <f t="shared" ref="E87:F87" si="85">E77</f>
        <v>1730.1828</v>
      </c>
      <c r="F87" s="5">
        <f t="shared" si="85"/>
        <v>0</v>
      </c>
      <c r="G87" s="5">
        <f t="shared" si="62"/>
        <v>1730.1828</v>
      </c>
      <c r="H87" s="1">
        <f t="shared" si="80"/>
        <v>65764.248227999997</v>
      </c>
      <c r="I87" s="1">
        <f t="shared" si="81"/>
        <v>65833.455539999995</v>
      </c>
    </row>
    <row r="88" spans="1:9" x14ac:dyDescent="0.25">
      <c r="A88" t="s">
        <v>11</v>
      </c>
      <c r="B88" s="1">
        <v>57.27</v>
      </c>
      <c r="C88" s="1">
        <v>57.29</v>
      </c>
      <c r="D88" t="s">
        <v>22</v>
      </c>
      <c r="E88" s="5">
        <f t="shared" ref="E88:F88" si="86">E78</f>
        <v>1148.8136999999999</v>
      </c>
      <c r="F88" s="5">
        <f t="shared" si="86"/>
        <v>0</v>
      </c>
      <c r="G88" s="5">
        <f t="shared" si="62"/>
        <v>1148.8136999999999</v>
      </c>
      <c r="H88" s="1">
        <f t="shared" si="80"/>
        <v>65792.560599000004</v>
      </c>
      <c r="I88" s="1">
        <f t="shared" si="81"/>
        <v>65815.53687299999</v>
      </c>
    </row>
    <row r="89" spans="1:9" x14ac:dyDescent="0.25">
      <c r="A89" t="s">
        <v>12</v>
      </c>
      <c r="B89" s="1">
        <v>51.06</v>
      </c>
      <c r="C89" s="1">
        <v>51.07</v>
      </c>
      <c r="D89" t="s">
        <v>22</v>
      </c>
      <c r="E89" s="5">
        <f t="shared" ref="E89:F89" si="87">E79</f>
        <v>1288.7964999999999</v>
      </c>
      <c r="F89" s="5">
        <f t="shared" si="87"/>
        <v>0.05</v>
      </c>
      <c r="G89" s="5">
        <f t="shared" si="62"/>
        <v>1288.8464999999999</v>
      </c>
      <c r="H89" s="1">
        <f t="shared" si="80"/>
        <v>65808.502289999989</v>
      </c>
      <c r="I89" s="1">
        <f t="shared" si="81"/>
        <v>65821.390755</v>
      </c>
    </row>
    <row r="90" spans="1:9" x14ac:dyDescent="0.25">
      <c r="A90" t="s">
        <v>13</v>
      </c>
      <c r="B90" s="1">
        <v>18.61</v>
      </c>
      <c r="C90" s="1">
        <v>18.62</v>
      </c>
      <c r="D90" t="s">
        <v>22</v>
      </c>
      <c r="E90" s="5">
        <f t="shared" ref="E90:F90" si="88">E80</f>
        <v>3535.8029000000001</v>
      </c>
      <c r="F90" s="5">
        <f t="shared" si="88"/>
        <v>0</v>
      </c>
      <c r="G90" s="5">
        <f t="shared" si="62"/>
        <v>3535.8029000000001</v>
      </c>
      <c r="H90" s="1">
        <f t="shared" si="80"/>
        <v>65801.291968999998</v>
      </c>
      <c r="I90" s="1">
        <f t="shared" si="81"/>
        <v>65836.649998000008</v>
      </c>
    </row>
    <row r="91" spans="1:9" x14ac:dyDescent="0.25">
      <c r="A91" t="s">
        <v>14</v>
      </c>
      <c r="B91" s="1">
        <v>37.270000000000003</v>
      </c>
      <c r="C91" s="1">
        <v>37.28</v>
      </c>
      <c r="D91" t="s">
        <v>22</v>
      </c>
      <c r="E91" s="5">
        <f t="shared" ref="E91:F91" si="89">E81</f>
        <v>1764.9988000000001</v>
      </c>
      <c r="F91" s="5">
        <f t="shared" si="89"/>
        <v>0</v>
      </c>
      <c r="G91" s="5">
        <f t="shared" si="62"/>
        <v>1764.9988000000001</v>
      </c>
      <c r="H91" s="1">
        <f t="shared" si="80"/>
        <v>65781.505276000011</v>
      </c>
      <c r="I91" s="1">
        <f t="shared" si="81"/>
        <v>65799.155264000001</v>
      </c>
    </row>
    <row r="92" spans="1:9" x14ac:dyDescent="0.25">
      <c r="A92" t="s">
        <v>4</v>
      </c>
      <c r="B92" s="1">
        <v>21.89</v>
      </c>
      <c r="C92" s="1">
        <v>21.9</v>
      </c>
      <c r="D92" t="s">
        <v>23</v>
      </c>
      <c r="E92" s="5">
        <f t="shared" ref="E92:F92" si="90">E82</f>
        <v>3014.8622999999998</v>
      </c>
      <c r="F92" s="5">
        <f t="shared" si="90"/>
        <v>0</v>
      </c>
      <c r="G92" s="5">
        <f t="shared" si="62"/>
        <v>3014.8622999999998</v>
      </c>
      <c r="H92" s="1">
        <f t="shared" si="80"/>
        <v>65995.33574699999</v>
      </c>
      <c r="I92" s="1">
        <f t="shared" si="81"/>
        <v>66025.484369999991</v>
      </c>
    </row>
    <row r="93" spans="1:9" x14ac:dyDescent="0.25">
      <c r="A93" t="s">
        <v>6</v>
      </c>
      <c r="B93" s="1">
        <v>35.82</v>
      </c>
      <c r="C93" s="1">
        <v>35.83</v>
      </c>
      <c r="D93" t="s">
        <v>23</v>
      </c>
      <c r="E93" s="5">
        <f t="shared" ref="E93:F93" si="91">E83</f>
        <v>1842.07</v>
      </c>
      <c r="F93" s="5">
        <f t="shared" si="91"/>
        <v>0</v>
      </c>
      <c r="G93" s="5">
        <f t="shared" si="62"/>
        <v>1842.07</v>
      </c>
      <c r="H93" s="1">
        <f t="shared" si="80"/>
        <v>65982.947400000005</v>
      </c>
      <c r="I93" s="1">
        <f t="shared" si="81"/>
        <v>66001.368099999992</v>
      </c>
    </row>
    <row r="94" spans="1:9" x14ac:dyDescent="0.25">
      <c r="A94" t="s">
        <v>7</v>
      </c>
      <c r="B94" s="1">
        <v>18.600000000000001</v>
      </c>
      <c r="C94" s="1">
        <v>18.61</v>
      </c>
      <c r="D94" t="s">
        <v>23</v>
      </c>
      <c r="E94" s="5">
        <f t="shared" ref="E94:F94" si="92">E84</f>
        <v>3546.4650000000001</v>
      </c>
      <c r="F94" s="5">
        <f t="shared" si="92"/>
        <v>0</v>
      </c>
      <c r="G94" s="5">
        <f t="shared" si="62"/>
        <v>3546.4650000000001</v>
      </c>
      <c r="H94" s="1">
        <f t="shared" si="80"/>
        <v>65964.249000000011</v>
      </c>
      <c r="I94" s="1">
        <f t="shared" si="81"/>
        <v>65999.713650000005</v>
      </c>
    </row>
    <row r="95" spans="1:9" x14ac:dyDescent="0.25">
      <c r="A95" t="s">
        <v>8</v>
      </c>
      <c r="B95" s="1">
        <v>29.19</v>
      </c>
      <c r="C95" s="1">
        <v>29.2</v>
      </c>
      <c r="D95" t="s">
        <v>23</v>
      </c>
      <c r="E95" s="5">
        <f t="shared" ref="E95:F95" si="93">E85</f>
        <v>2261.2950999999998</v>
      </c>
      <c r="F95" s="5">
        <f t="shared" si="93"/>
        <v>-0.1</v>
      </c>
      <c r="G95" s="5">
        <f t="shared" si="62"/>
        <v>2261.1950999999999</v>
      </c>
      <c r="H95" s="1">
        <f t="shared" si="80"/>
        <v>66004.284969</v>
      </c>
      <c r="I95" s="1">
        <f t="shared" si="81"/>
        <v>66026.896919999999</v>
      </c>
    </row>
    <row r="96" spans="1:9" x14ac:dyDescent="0.25">
      <c r="A96" t="s">
        <v>9</v>
      </c>
      <c r="B96" s="1">
        <v>69.75</v>
      </c>
      <c r="C96" s="1">
        <v>69.849999999999994</v>
      </c>
      <c r="D96" t="s">
        <v>23</v>
      </c>
      <c r="E96" s="5">
        <f t="shared" ref="E96:F96" si="94">E86</f>
        <v>946.10389999999995</v>
      </c>
      <c r="F96" s="5">
        <f t="shared" si="94"/>
        <v>0</v>
      </c>
      <c r="G96" s="5">
        <f t="shared" si="62"/>
        <v>946.10389999999995</v>
      </c>
      <c r="H96" s="1">
        <f t="shared" si="80"/>
        <v>65990.74702499999</v>
      </c>
      <c r="I96" s="1">
        <f t="shared" si="81"/>
        <v>66085.357414999991</v>
      </c>
    </row>
    <row r="97" spans="1:9" x14ac:dyDescent="0.25">
      <c r="A97" t="s">
        <v>10</v>
      </c>
      <c r="B97" s="1">
        <v>38.130000000000003</v>
      </c>
      <c r="C97" s="1">
        <v>38.15</v>
      </c>
      <c r="D97" t="s">
        <v>23</v>
      </c>
      <c r="E97" s="5">
        <f t="shared" ref="E97:F97" si="95">E87</f>
        <v>1730.1828</v>
      </c>
      <c r="F97" s="5">
        <f t="shared" si="95"/>
        <v>0</v>
      </c>
      <c r="G97" s="5">
        <f t="shared" si="62"/>
        <v>1730.1828</v>
      </c>
      <c r="H97" s="1">
        <f t="shared" si="80"/>
        <v>65971.870164000007</v>
      </c>
      <c r="I97" s="1">
        <f t="shared" si="81"/>
        <v>66006.473819999999</v>
      </c>
    </row>
    <row r="98" spans="1:9" x14ac:dyDescent="0.25">
      <c r="A98" t="s">
        <v>11</v>
      </c>
      <c r="B98" s="1">
        <v>57.44</v>
      </c>
      <c r="C98" s="1">
        <v>57.46</v>
      </c>
      <c r="D98" t="s">
        <v>23</v>
      </c>
      <c r="E98" s="5">
        <f t="shared" ref="E98:F98" si="96">E88</f>
        <v>1148.8136999999999</v>
      </c>
      <c r="F98" s="5">
        <f t="shared" si="96"/>
        <v>0</v>
      </c>
      <c r="G98" s="5">
        <f t="shared" ref="G98:G129" si="97">E98+F98</f>
        <v>1148.8136999999999</v>
      </c>
      <c r="H98" s="1">
        <f t="shared" si="80"/>
        <v>65987.858927999987</v>
      </c>
      <c r="I98" s="1">
        <f t="shared" si="81"/>
        <v>66010.835202000002</v>
      </c>
    </row>
    <row r="99" spans="1:9" x14ac:dyDescent="0.25">
      <c r="A99" t="s">
        <v>12</v>
      </c>
      <c r="B99" s="1">
        <v>51.21</v>
      </c>
      <c r="C99" s="1">
        <v>51.22</v>
      </c>
      <c r="D99" t="s">
        <v>23</v>
      </c>
      <c r="E99" s="5">
        <f t="shared" ref="E99:F99" si="98">E89</f>
        <v>1288.7964999999999</v>
      </c>
      <c r="F99" s="5">
        <f t="shared" si="98"/>
        <v>0.05</v>
      </c>
      <c r="G99" s="5">
        <f t="shared" si="97"/>
        <v>1288.8464999999999</v>
      </c>
      <c r="H99" s="1">
        <f t="shared" si="80"/>
        <v>66001.829264999993</v>
      </c>
      <c r="I99" s="1">
        <f t="shared" si="81"/>
        <v>66014.717729999989</v>
      </c>
    </row>
    <row r="100" spans="1:9" x14ac:dyDescent="0.25">
      <c r="A100" t="s">
        <v>13</v>
      </c>
      <c r="B100" s="1">
        <v>18.66</v>
      </c>
      <c r="C100" s="1">
        <v>18.670000000000002</v>
      </c>
      <c r="D100" t="s">
        <v>23</v>
      </c>
      <c r="E100" s="5">
        <f t="shared" ref="E100:F100" si="99">E90</f>
        <v>3535.8029000000001</v>
      </c>
      <c r="F100" s="5">
        <f t="shared" si="99"/>
        <v>0</v>
      </c>
      <c r="G100" s="5">
        <f t="shared" si="97"/>
        <v>3535.8029000000001</v>
      </c>
      <c r="H100" s="1">
        <f t="shared" si="80"/>
        <v>65978.082114000004</v>
      </c>
      <c r="I100" s="1">
        <f t="shared" si="81"/>
        <v>66013.440143000014</v>
      </c>
    </row>
    <row r="101" spans="1:9" x14ac:dyDescent="0.25">
      <c r="A101" t="s">
        <v>14</v>
      </c>
      <c r="B101" s="1">
        <v>37.380000000000003</v>
      </c>
      <c r="C101" s="1">
        <v>37.39</v>
      </c>
      <c r="D101" t="s">
        <v>23</v>
      </c>
      <c r="E101" s="5">
        <f t="shared" ref="E101:F101" si="100">E91</f>
        <v>1764.9988000000001</v>
      </c>
      <c r="F101" s="5">
        <f t="shared" si="100"/>
        <v>0</v>
      </c>
      <c r="G101" s="5">
        <f t="shared" si="97"/>
        <v>1764.9988000000001</v>
      </c>
      <c r="H101" s="1">
        <f t="shared" si="80"/>
        <v>65975.655144000004</v>
      </c>
      <c r="I101" s="1">
        <f t="shared" si="81"/>
        <v>65993.305132000009</v>
      </c>
    </row>
    <row r="102" spans="1:9" x14ac:dyDescent="0.25">
      <c r="A102" t="s">
        <v>4</v>
      </c>
      <c r="B102" s="1">
        <v>21.66</v>
      </c>
      <c r="C102" s="1">
        <v>21.67</v>
      </c>
      <c r="D102" t="s">
        <v>24</v>
      </c>
      <c r="E102" s="5">
        <f t="shared" ref="E102:F102" si="101">E92</f>
        <v>3014.8622999999998</v>
      </c>
      <c r="F102" s="5">
        <f t="shared" si="101"/>
        <v>0</v>
      </c>
      <c r="G102" s="5">
        <f t="shared" si="97"/>
        <v>3014.8622999999998</v>
      </c>
      <c r="H102" s="1">
        <f t="shared" si="80"/>
        <v>65301.917417999997</v>
      </c>
      <c r="I102" s="1">
        <f t="shared" si="81"/>
        <v>65332.066040999998</v>
      </c>
    </row>
    <row r="103" spans="1:9" x14ac:dyDescent="0.25">
      <c r="A103" t="s">
        <v>6</v>
      </c>
      <c r="B103" s="1">
        <v>35.46</v>
      </c>
      <c r="C103" s="1">
        <v>35.47</v>
      </c>
      <c r="D103" t="s">
        <v>24</v>
      </c>
      <c r="E103" s="5">
        <f t="shared" ref="E103:F103" si="102">E93</f>
        <v>1842.07</v>
      </c>
      <c r="F103" s="5">
        <f t="shared" si="102"/>
        <v>0</v>
      </c>
      <c r="G103" s="5">
        <f t="shared" si="97"/>
        <v>1842.07</v>
      </c>
      <c r="H103" s="1">
        <f t="shared" si="80"/>
        <v>65319.802199999998</v>
      </c>
      <c r="I103" s="1">
        <f t="shared" si="81"/>
        <v>65338.222899999993</v>
      </c>
    </row>
    <row r="104" spans="1:9" x14ac:dyDescent="0.25">
      <c r="A104" t="s">
        <v>7</v>
      </c>
      <c r="B104" s="1">
        <v>18.41</v>
      </c>
      <c r="C104" s="1">
        <v>18.420000000000002</v>
      </c>
      <c r="D104" t="s">
        <v>24</v>
      </c>
      <c r="E104" s="5">
        <f t="shared" ref="E104:F104" si="103">E94</f>
        <v>3546.4650000000001</v>
      </c>
      <c r="F104" s="5">
        <f t="shared" si="103"/>
        <v>0</v>
      </c>
      <c r="G104" s="5">
        <f t="shared" si="97"/>
        <v>3546.4650000000001</v>
      </c>
      <c r="H104" s="1">
        <f t="shared" si="80"/>
        <v>65290.42065</v>
      </c>
      <c r="I104" s="1">
        <f t="shared" si="81"/>
        <v>65325.885300000009</v>
      </c>
    </row>
    <row r="105" spans="1:9" x14ac:dyDescent="0.25">
      <c r="A105" t="s">
        <v>8</v>
      </c>
      <c r="B105" s="1">
        <v>28.89</v>
      </c>
      <c r="C105" s="1">
        <v>28.9</v>
      </c>
      <c r="D105" t="s">
        <v>24</v>
      </c>
      <c r="E105" s="5">
        <f t="shared" ref="E105:F105" si="104">E95</f>
        <v>2261.2950999999998</v>
      </c>
      <c r="F105" s="5">
        <f t="shared" si="104"/>
        <v>-0.1</v>
      </c>
      <c r="G105" s="5">
        <f t="shared" si="97"/>
        <v>2261.1950999999999</v>
      </c>
      <c r="H105" s="1">
        <f t="shared" si="80"/>
        <v>65325.926438999995</v>
      </c>
      <c r="I105" s="1">
        <f t="shared" si="81"/>
        <v>65348.538389999994</v>
      </c>
    </row>
    <row r="106" spans="1:9" x14ac:dyDescent="0.25">
      <c r="A106" t="s">
        <v>9</v>
      </c>
      <c r="B106" s="1">
        <v>69.03</v>
      </c>
      <c r="C106" s="1">
        <v>69.150000000000006</v>
      </c>
      <c r="D106" t="s">
        <v>24</v>
      </c>
      <c r="E106" s="5">
        <f t="shared" ref="E106:F106" si="105">E96</f>
        <v>946.10389999999995</v>
      </c>
      <c r="F106" s="5">
        <f t="shared" si="105"/>
        <v>0</v>
      </c>
      <c r="G106" s="5">
        <f t="shared" si="97"/>
        <v>946.10389999999995</v>
      </c>
      <c r="H106" s="1">
        <f t="shared" si="80"/>
        <v>65309.552216999997</v>
      </c>
      <c r="I106" s="1">
        <f t="shared" si="81"/>
        <v>65423.084685000002</v>
      </c>
    </row>
    <row r="107" spans="1:9" x14ac:dyDescent="0.25">
      <c r="A107" t="s">
        <v>10</v>
      </c>
      <c r="B107" s="1">
        <v>37.729999999999997</v>
      </c>
      <c r="C107" s="1">
        <v>37.770000000000003</v>
      </c>
      <c r="D107" t="s">
        <v>24</v>
      </c>
      <c r="E107" s="5">
        <f t="shared" ref="E107:F107" si="106">E97</f>
        <v>1730.1828</v>
      </c>
      <c r="F107" s="5">
        <f t="shared" si="106"/>
        <v>0</v>
      </c>
      <c r="G107" s="5">
        <f t="shared" si="97"/>
        <v>1730.1828</v>
      </c>
      <c r="H107" s="1">
        <f t="shared" si="80"/>
        <v>65279.797043999999</v>
      </c>
      <c r="I107" s="1">
        <f t="shared" si="81"/>
        <v>65349.004356000005</v>
      </c>
    </row>
    <row r="108" spans="1:9" x14ac:dyDescent="0.25">
      <c r="A108" t="s">
        <v>11</v>
      </c>
      <c r="B108" s="1">
        <v>56.86</v>
      </c>
      <c r="C108" s="1">
        <v>56.87</v>
      </c>
      <c r="D108" t="s">
        <v>24</v>
      </c>
      <c r="E108" s="5">
        <f t="shared" ref="E108:F108" si="107">E98</f>
        <v>1148.8136999999999</v>
      </c>
      <c r="F108" s="5">
        <f t="shared" si="107"/>
        <v>0</v>
      </c>
      <c r="G108" s="5">
        <f t="shared" si="97"/>
        <v>1148.8136999999999</v>
      </c>
      <c r="H108" s="1">
        <f t="shared" si="80"/>
        <v>65321.546981999993</v>
      </c>
      <c r="I108" s="1">
        <f t="shared" si="81"/>
        <v>65333.035118999993</v>
      </c>
    </row>
    <row r="109" spans="1:9" x14ac:dyDescent="0.25">
      <c r="A109" t="s">
        <v>12</v>
      </c>
      <c r="B109" s="1">
        <v>50.68</v>
      </c>
      <c r="C109" s="1">
        <v>50.7</v>
      </c>
      <c r="D109" t="s">
        <v>24</v>
      </c>
      <c r="E109" s="5">
        <f t="shared" ref="E109:F109" si="108">E99</f>
        <v>1288.7964999999999</v>
      </c>
      <c r="F109" s="5">
        <f t="shared" si="108"/>
        <v>0.05</v>
      </c>
      <c r="G109" s="5">
        <f t="shared" si="97"/>
        <v>1288.8464999999999</v>
      </c>
      <c r="H109" s="1">
        <f t="shared" si="80"/>
        <v>65318.740619999997</v>
      </c>
      <c r="I109" s="1">
        <f t="shared" si="81"/>
        <v>65344.517549999997</v>
      </c>
    </row>
    <row r="110" spans="1:9" x14ac:dyDescent="0.25">
      <c r="A110" t="s">
        <v>13</v>
      </c>
      <c r="B110" s="1">
        <v>18.47</v>
      </c>
      <c r="C110" s="1">
        <v>18.48</v>
      </c>
      <c r="D110" t="s">
        <v>24</v>
      </c>
      <c r="E110" s="5">
        <f t="shared" ref="E110:F110" si="109">E100</f>
        <v>3535.8029000000001</v>
      </c>
      <c r="F110" s="5">
        <f t="shared" si="109"/>
        <v>0</v>
      </c>
      <c r="G110" s="5">
        <f t="shared" si="97"/>
        <v>3535.8029000000001</v>
      </c>
      <c r="H110" s="1">
        <f t="shared" si="80"/>
        <v>65306.279562999996</v>
      </c>
      <c r="I110" s="1">
        <f t="shared" si="81"/>
        <v>65341.637592000006</v>
      </c>
    </row>
    <row r="111" spans="1:9" x14ac:dyDescent="0.25">
      <c r="A111" t="s">
        <v>14</v>
      </c>
      <c r="B111" s="1">
        <v>37</v>
      </c>
      <c r="C111" s="1">
        <v>37.01</v>
      </c>
      <c r="D111" t="s">
        <v>24</v>
      </c>
      <c r="E111" s="5">
        <f t="shared" ref="E111:F111" si="110">E101</f>
        <v>1764.9988000000001</v>
      </c>
      <c r="F111" s="5">
        <f t="shared" si="110"/>
        <v>0</v>
      </c>
      <c r="G111" s="5">
        <f t="shared" si="97"/>
        <v>1764.9988000000001</v>
      </c>
      <c r="H111" s="1">
        <f t="shared" si="80"/>
        <v>65304.955600000001</v>
      </c>
      <c r="I111" s="1">
        <f t="shared" si="81"/>
        <v>65322.605587999999</v>
      </c>
    </row>
    <row r="112" spans="1:9" x14ac:dyDescent="0.25">
      <c r="A112" t="s">
        <v>4</v>
      </c>
      <c r="B112" s="1">
        <v>21.66</v>
      </c>
      <c r="C112" s="1">
        <v>21.67</v>
      </c>
      <c r="D112" t="s">
        <v>25</v>
      </c>
      <c r="E112" s="5">
        <f t="shared" ref="E112:F112" si="111">E102</f>
        <v>3014.8622999999998</v>
      </c>
      <c r="F112" s="5">
        <f t="shared" si="111"/>
        <v>0</v>
      </c>
      <c r="G112" s="5">
        <f t="shared" si="97"/>
        <v>3014.8622999999998</v>
      </c>
      <c r="H112" s="1">
        <f t="shared" si="80"/>
        <v>65301.917417999997</v>
      </c>
      <c r="I112" s="1">
        <f t="shared" si="81"/>
        <v>65332.066040999998</v>
      </c>
    </row>
    <row r="113" spans="1:9" x14ac:dyDescent="0.25">
      <c r="A113" t="s">
        <v>6</v>
      </c>
      <c r="B113" s="1">
        <v>35.44</v>
      </c>
      <c r="C113" s="1">
        <v>35.450000000000003</v>
      </c>
      <c r="D113" t="s">
        <v>25</v>
      </c>
      <c r="E113" s="5">
        <f t="shared" ref="E113:F113" si="112">E103</f>
        <v>1842.07</v>
      </c>
      <c r="F113" s="5">
        <f t="shared" si="112"/>
        <v>0</v>
      </c>
      <c r="G113" s="5">
        <f t="shared" si="97"/>
        <v>1842.07</v>
      </c>
      <c r="H113" s="1">
        <f t="shared" si="80"/>
        <v>65282.960799999993</v>
      </c>
      <c r="I113" s="1">
        <f t="shared" si="81"/>
        <v>65301.381500000003</v>
      </c>
    </row>
    <row r="114" spans="1:9" x14ac:dyDescent="0.25">
      <c r="A114" t="s">
        <v>7</v>
      </c>
      <c r="B114" s="1">
        <v>18.41</v>
      </c>
      <c r="C114" s="1">
        <v>18.420000000000002</v>
      </c>
      <c r="D114" t="s">
        <v>25</v>
      </c>
      <c r="E114" s="5">
        <f t="shared" ref="E114:F114" si="113">E104</f>
        <v>3546.4650000000001</v>
      </c>
      <c r="F114" s="5">
        <f t="shared" si="113"/>
        <v>0</v>
      </c>
      <c r="G114" s="5">
        <f t="shared" si="97"/>
        <v>3546.4650000000001</v>
      </c>
      <c r="H114" s="1">
        <f t="shared" si="80"/>
        <v>65290.42065</v>
      </c>
      <c r="I114" s="1">
        <f t="shared" si="81"/>
        <v>65325.885300000009</v>
      </c>
    </row>
    <row r="115" spans="1:9" x14ac:dyDescent="0.25">
      <c r="A115" t="s">
        <v>8</v>
      </c>
      <c r="B115" s="1">
        <v>28.88</v>
      </c>
      <c r="C115" s="1">
        <v>28.89</v>
      </c>
      <c r="D115" t="s">
        <v>25</v>
      </c>
      <c r="E115" s="5">
        <f t="shared" ref="E115:F115" si="114">E105</f>
        <v>2261.2950999999998</v>
      </c>
      <c r="F115" s="5">
        <f t="shared" si="114"/>
        <v>-0.1</v>
      </c>
      <c r="G115" s="5">
        <f t="shared" si="97"/>
        <v>2261.1950999999999</v>
      </c>
      <c r="H115" s="1">
        <f t="shared" si="80"/>
        <v>65303.314487999996</v>
      </c>
      <c r="I115" s="1">
        <f t="shared" si="81"/>
        <v>65325.926438999995</v>
      </c>
    </row>
    <row r="116" spans="1:9" x14ac:dyDescent="0.25">
      <c r="A116" t="s">
        <v>9</v>
      </c>
      <c r="B116" s="1">
        <v>69.010000000000005</v>
      </c>
      <c r="C116" s="1">
        <v>69.12</v>
      </c>
      <c r="D116" t="s">
        <v>25</v>
      </c>
      <c r="E116" s="5">
        <f t="shared" ref="E116:F116" si="115">E106</f>
        <v>946.10389999999995</v>
      </c>
      <c r="F116" s="5">
        <f t="shared" si="115"/>
        <v>0</v>
      </c>
      <c r="G116" s="5">
        <f t="shared" si="97"/>
        <v>946.10389999999995</v>
      </c>
      <c r="H116" s="1">
        <f t="shared" si="80"/>
        <v>65290.630139000001</v>
      </c>
      <c r="I116" s="1">
        <f t="shared" si="81"/>
        <v>65394.701568000004</v>
      </c>
    </row>
    <row r="117" spans="1:9" x14ac:dyDescent="0.25">
      <c r="A117" t="s">
        <v>10</v>
      </c>
      <c r="B117" s="1">
        <v>37.72</v>
      </c>
      <c r="C117" s="1">
        <v>37.75</v>
      </c>
      <c r="D117" t="s">
        <v>25</v>
      </c>
      <c r="E117" s="5">
        <f t="shared" ref="E117:F117" si="116">E107</f>
        <v>1730.1828</v>
      </c>
      <c r="F117" s="5">
        <f t="shared" si="116"/>
        <v>0</v>
      </c>
      <c r="G117" s="5">
        <f t="shared" si="97"/>
        <v>1730.1828</v>
      </c>
      <c r="H117" s="1">
        <f t="shared" si="80"/>
        <v>65262.495216000003</v>
      </c>
      <c r="I117" s="1">
        <f t="shared" si="81"/>
        <v>65314.400699999998</v>
      </c>
    </row>
    <row r="118" spans="1:9" x14ac:dyDescent="0.25">
      <c r="A118" t="s">
        <v>11</v>
      </c>
      <c r="B118" s="1">
        <v>56.83</v>
      </c>
      <c r="C118" s="1">
        <v>56.84</v>
      </c>
      <c r="D118" t="s">
        <v>25</v>
      </c>
      <c r="E118" s="5">
        <f t="shared" ref="E118:F118" si="117">E108</f>
        <v>1148.8136999999999</v>
      </c>
      <c r="F118" s="5">
        <f t="shared" si="117"/>
        <v>0</v>
      </c>
      <c r="G118" s="5">
        <f t="shared" si="97"/>
        <v>1148.8136999999999</v>
      </c>
      <c r="H118" s="1">
        <f t="shared" si="80"/>
        <v>65287.082570999992</v>
      </c>
      <c r="I118" s="1">
        <f t="shared" si="81"/>
        <v>65298.570707999999</v>
      </c>
    </row>
    <row r="119" spans="1:9" x14ac:dyDescent="0.25">
      <c r="A119" t="s">
        <v>12</v>
      </c>
      <c r="B119" s="1">
        <v>50.66</v>
      </c>
      <c r="C119" s="1">
        <v>50.67</v>
      </c>
      <c r="D119" t="s">
        <v>25</v>
      </c>
      <c r="E119" s="5">
        <f t="shared" ref="E119:F119" si="118">E109</f>
        <v>1288.7964999999999</v>
      </c>
      <c r="F119" s="5">
        <f t="shared" si="118"/>
        <v>0.05</v>
      </c>
      <c r="G119" s="5">
        <f t="shared" si="97"/>
        <v>1288.8464999999999</v>
      </c>
      <c r="H119" s="1">
        <f t="shared" si="80"/>
        <v>65292.96368999999</v>
      </c>
      <c r="I119" s="1">
        <f t="shared" si="81"/>
        <v>65305.852154999993</v>
      </c>
    </row>
    <row r="120" spans="1:9" x14ac:dyDescent="0.25">
      <c r="A120" t="s">
        <v>13</v>
      </c>
      <c r="B120" s="1">
        <v>18.46</v>
      </c>
      <c r="C120" s="1">
        <v>18.47</v>
      </c>
      <c r="D120" t="s">
        <v>25</v>
      </c>
      <c r="E120" s="5">
        <f t="shared" ref="E120:F120" si="119">E110</f>
        <v>3535.8029000000001</v>
      </c>
      <c r="F120" s="5">
        <f t="shared" si="119"/>
        <v>0</v>
      </c>
      <c r="G120" s="5">
        <f t="shared" si="97"/>
        <v>3535.8029000000001</v>
      </c>
      <c r="H120" s="1">
        <f t="shared" si="80"/>
        <v>65270.921534000008</v>
      </c>
      <c r="I120" s="1">
        <f t="shared" si="81"/>
        <v>65306.279562999996</v>
      </c>
    </row>
    <row r="121" spans="1:9" x14ac:dyDescent="0.25">
      <c r="A121" t="s">
        <v>14</v>
      </c>
      <c r="B121" s="1">
        <v>36.99</v>
      </c>
      <c r="C121" s="1">
        <v>37</v>
      </c>
      <c r="D121" t="s">
        <v>25</v>
      </c>
      <c r="E121" s="5">
        <f t="shared" ref="E121:F121" si="120">E111</f>
        <v>1764.9988000000001</v>
      </c>
      <c r="F121" s="5">
        <f t="shared" si="120"/>
        <v>0</v>
      </c>
      <c r="G121" s="5">
        <f t="shared" si="97"/>
        <v>1764.9988000000001</v>
      </c>
      <c r="H121" s="1">
        <f t="shared" si="80"/>
        <v>65287.305612000004</v>
      </c>
      <c r="I121" s="1">
        <f t="shared" si="81"/>
        <v>65304.955600000001</v>
      </c>
    </row>
    <row r="122" spans="1:9" x14ac:dyDescent="0.25">
      <c r="A122" t="s">
        <v>4</v>
      </c>
      <c r="B122" s="1">
        <v>21.76</v>
      </c>
      <c r="C122" s="1">
        <v>21.77</v>
      </c>
      <c r="D122" t="s">
        <v>26</v>
      </c>
      <c r="E122" s="5">
        <f t="shared" ref="E122:F122" si="121">E112</f>
        <v>3014.8622999999998</v>
      </c>
      <c r="F122" s="5">
        <f t="shared" si="121"/>
        <v>0</v>
      </c>
      <c r="G122" s="5">
        <f t="shared" si="97"/>
        <v>3014.8622999999998</v>
      </c>
      <c r="H122" s="1">
        <f t="shared" si="80"/>
        <v>65603.403648000007</v>
      </c>
      <c r="I122" s="1">
        <f t="shared" si="81"/>
        <v>65633.552270999993</v>
      </c>
    </row>
    <row r="123" spans="1:9" x14ac:dyDescent="0.25">
      <c r="A123" t="s">
        <v>6</v>
      </c>
      <c r="B123" s="1">
        <v>35.619999999999997</v>
      </c>
      <c r="C123" s="1">
        <v>35.630000000000003</v>
      </c>
      <c r="D123" t="s">
        <v>26</v>
      </c>
      <c r="E123" s="5">
        <f t="shared" ref="E123:F123" si="122">E113</f>
        <v>1842.07</v>
      </c>
      <c r="F123" s="5">
        <f t="shared" si="122"/>
        <v>0</v>
      </c>
      <c r="G123" s="5">
        <f t="shared" si="97"/>
        <v>1842.07</v>
      </c>
      <c r="H123" s="1">
        <f t="shared" si="80"/>
        <v>65614.5334</v>
      </c>
      <c r="I123" s="1">
        <f t="shared" si="81"/>
        <v>65632.954100000003</v>
      </c>
    </row>
    <row r="124" spans="1:9" x14ac:dyDescent="0.25">
      <c r="A124" t="s">
        <v>7</v>
      </c>
      <c r="B124" s="1">
        <v>18.5</v>
      </c>
      <c r="C124" s="1">
        <v>18.510000000000002</v>
      </c>
      <c r="D124" t="s">
        <v>26</v>
      </c>
      <c r="E124" s="5">
        <f t="shared" ref="E124:F124" si="123">E114</f>
        <v>3546.4650000000001</v>
      </c>
      <c r="F124" s="5">
        <f t="shared" si="123"/>
        <v>0</v>
      </c>
      <c r="G124" s="5">
        <f t="shared" si="97"/>
        <v>3546.4650000000001</v>
      </c>
      <c r="H124" s="1">
        <f t="shared" si="80"/>
        <v>65609.602500000008</v>
      </c>
      <c r="I124" s="1">
        <f t="shared" si="81"/>
        <v>65645.067150000003</v>
      </c>
    </row>
    <row r="125" spans="1:9" x14ac:dyDescent="0.25">
      <c r="A125" t="s">
        <v>8</v>
      </c>
      <c r="B125" s="1">
        <v>29.02</v>
      </c>
      <c r="C125" s="1">
        <v>29.03</v>
      </c>
      <c r="D125" t="s">
        <v>26</v>
      </c>
      <c r="E125" s="5">
        <f t="shared" ref="E125:F125" si="124">E115</f>
        <v>2261.2950999999998</v>
      </c>
      <c r="F125" s="5">
        <f t="shared" si="124"/>
        <v>-0.1</v>
      </c>
      <c r="G125" s="5">
        <f t="shared" si="97"/>
        <v>2261.1950999999999</v>
      </c>
      <c r="H125" s="1">
        <f t="shared" si="80"/>
        <v>65619.881802000004</v>
      </c>
      <c r="I125" s="1">
        <f t="shared" si="81"/>
        <v>65642.493753000002</v>
      </c>
    </row>
    <row r="126" spans="1:9" x14ac:dyDescent="0.25">
      <c r="A126" t="s">
        <v>9</v>
      </c>
      <c r="B126" s="1">
        <v>69.34</v>
      </c>
      <c r="C126" s="1">
        <v>69.459999999999994</v>
      </c>
      <c r="D126" t="s">
        <v>26</v>
      </c>
      <c r="E126" s="5">
        <f t="shared" ref="E126:F126" si="125">E116</f>
        <v>946.10389999999995</v>
      </c>
      <c r="F126" s="5">
        <f t="shared" si="125"/>
        <v>0</v>
      </c>
      <c r="G126" s="5">
        <f t="shared" si="97"/>
        <v>946.10389999999995</v>
      </c>
      <c r="H126" s="1">
        <f t="shared" si="80"/>
        <v>65602.844425999996</v>
      </c>
      <c r="I126" s="1">
        <f t="shared" si="81"/>
        <v>65716.376893999986</v>
      </c>
    </row>
    <row r="127" spans="1:9" x14ac:dyDescent="0.25">
      <c r="A127" t="s">
        <v>10</v>
      </c>
      <c r="B127" s="1">
        <v>37.9</v>
      </c>
      <c r="C127" s="1">
        <v>37.950000000000003</v>
      </c>
      <c r="D127" t="s">
        <v>26</v>
      </c>
      <c r="E127" s="5">
        <f t="shared" ref="E127:F127" si="126">E117</f>
        <v>1730.1828</v>
      </c>
      <c r="F127" s="5">
        <f t="shared" si="126"/>
        <v>0</v>
      </c>
      <c r="G127" s="5">
        <f t="shared" si="97"/>
        <v>1730.1828</v>
      </c>
      <c r="H127" s="1">
        <f t="shared" si="80"/>
        <v>65573.928119999997</v>
      </c>
      <c r="I127" s="1">
        <f t="shared" si="81"/>
        <v>65660.437260000006</v>
      </c>
    </row>
    <row r="128" spans="1:9" x14ac:dyDescent="0.25">
      <c r="A128" t="s">
        <v>11</v>
      </c>
      <c r="B128" s="1">
        <v>57.12</v>
      </c>
      <c r="C128" s="1">
        <v>57.13</v>
      </c>
      <c r="D128" t="s">
        <v>26</v>
      </c>
      <c r="E128" s="5">
        <f t="shared" ref="E128:F128" si="127">E118</f>
        <v>1148.8136999999999</v>
      </c>
      <c r="F128" s="5">
        <f t="shared" si="127"/>
        <v>0</v>
      </c>
      <c r="G128" s="5">
        <f t="shared" si="97"/>
        <v>1148.8136999999999</v>
      </c>
      <c r="H128" s="1">
        <f t="shared" si="80"/>
        <v>65620.238543999993</v>
      </c>
      <c r="I128" s="1">
        <f t="shared" si="81"/>
        <v>65631.726681</v>
      </c>
    </row>
    <row r="129" spans="1:9" x14ac:dyDescent="0.25">
      <c r="A129" t="s">
        <v>12</v>
      </c>
      <c r="B129" s="1">
        <v>50.91</v>
      </c>
      <c r="C129" s="1">
        <v>50.92</v>
      </c>
      <c r="D129" t="s">
        <v>26</v>
      </c>
      <c r="E129" s="5">
        <f t="shared" ref="E129:F129" si="128">E119</f>
        <v>1288.7964999999999</v>
      </c>
      <c r="F129" s="5">
        <f t="shared" si="128"/>
        <v>0.05</v>
      </c>
      <c r="G129" s="5">
        <f t="shared" si="97"/>
        <v>1288.8464999999999</v>
      </c>
      <c r="H129" s="1">
        <f t="shared" si="80"/>
        <v>65615.175314999986</v>
      </c>
      <c r="I129" s="1">
        <f t="shared" si="81"/>
        <v>65628.063779999997</v>
      </c>
    </row>
    <row r="130" spans="1:9" x14ac:dyDescent="0.25">
      <c r="A130" t="s">
        <v>13</v>
      </c>
      <c r="B130" s="1">
        <v>18.55</v>
      </c>
      <c r="C130" s="1">
        <v>18.559999999999999</v>
      </c>
      <c r="D130" t="s">
        <v>26</v>
      </c>
      <c r="E130" s="5">
        <f t="shared" ref="E130:F130" si="129">E120</f>
        <v>3535.8029000000001</v>
      </c>
      <c r="F130" s="5">
        <f t="shared" si="129"/>
        <v>0</v>
      </c>
      <c r="G130" s="5">
        <f t="shared" ref="G130:G161" si="130">E130+F130</f>
        <v>3535.8029000000001</v>
      </c>
      <c r="H130" s="1">
        <f t="shared" si="80"/>
        <v>65589.143795000011</v>
      </c>
      <c r="I130" s="1">
        <f t="shared" si="81"/>
        <v>65624.501823999992</v>
      </c>
    </row>
    <row r="131" spans="1:9" x14ac:dyDescent="0.25">
      <c r="A131" t="s">
        <v>14</v>
      </c>
      <c r="B131" s="1">
        <v>37.17</v>
      </c>
      <c r="C131" s="1">
        <v>37.18</v>
      </c>
      <c r="D131" t="s">
        <v>26</v>
      </c>
      <c r="E131" s="5">
        <f t="shared" ref="E131:F131" si="131">E121</f>
        <v>1764.9988000000001</v>
      </c>
      <c r="F131" s="5">
        <f t="shared" si="131"/>
        <v>0</v>
      </c>
      <c r="G131" s="5">
        <f t="shared" si="130"/>
        <v>1764.9988000000001</v>
      </c>
      <c r="H131" s="1">
        <f t="shared" si="80"/>
        <v>65605.005396000008</v>
      </c>
      <c r="I131" s="1">
        <f t="shared" si="81"/>
        <v>65622.655383999998</v>
      </c>
    </row>
    <row r="132" spans="1:9" x14ac:dyDescent="0.25">
      <c r="A132" t="s">
        <v>4</v>
      </c>
      <c r="B132" s="1">
        <v>21.75</v>
      </c>
      <c r="C132" s="1">
        <v>21.76</v>
      </c>
      <c r="D132" t="s">
        <v>27</v>
      </c>
      <c r="E132" s="5">
        <f t="shared" ref="E132:F132" si="132">E122</f>
        <v>3014.8622999999998</v>
      </c>
      <c r="F132" s="5">
        <f t="shared" si="132"/>
        <v>0</v>
      </c>
      <c r="G132" s="5">
        <f t="shared" si="130"/>
        <v>3014.8622999999998</v>
      </c>
      <c r="H132" s="1">
        <f t="shared" si="80"/>
        <v>65573.255024999991</v>
      </c>
      <c r="I132" s="1">
        <f t="shared" si="81"/>
        <v>65603.403648000007</v>
      </c>
    </row>
    <row r="133" spans="1:9" x14ac:dyDescent="0.25">
      <c r="A133" t="s">
        <v>6</v>
      </c>
      <c r="B133" s="1">
        <v>35.61</v>
      </c>
      <c r="C133" s="1">
        <v>35.619999999999997</v>
      </c>
      <c r="D133" t="s">
        <v>27</v>
      </c>
      <c r="E133" s="5">
        <f t="shared" ref="E133:F133" si="133">E123</f>
        <v>1842.07</v>
      </c>
      <c r="F133" s="5">
        <f t="shared" si="133"/>
        <v>0</v>
      </c>
      <c r="G133" s="5">
        <f t="shared" si="130"/>
        <v>1842.07</v>
      </c>
      <c r="H133" s="1">
        <f t="shared" si="80"/>
        <v>65596.112699999998</v>
      </c>
      <c r="I133" s="1">
        <f t="shared" si="81"/>
        <v>65614.5334</v>
      </c>
    </row>
    <row r="134" spans="1:9" x14ac:dyDescent="0.25">
      <c r="A134" t="s">
        <v>7</v>
      </c>
      <c r="B134" s="1">
        <v>18.489999999999998</v>
      </c>
      <c r="C134" s="1">
        <v>18.5</v>
      </c>
      <c r="D134" t="s">
        <v>27</v>
      </c>
      <c r="E134" s="5">
        <f t="shared" ref="E134:F134" si="134">E124</f>
        <v>3546.4650000000001</v>
      </c>
      <c r="F134" s="5">
        <f t="shared" si="134"/>
        <v>0</v>
      </c>
      <c r="G134" s="5">
        <f t="shared" si="130"/>
        <v>3546.4650000000001</v>
      </c>
      <c r="H134" s="1">
        <f t="shared" si="80"/>
        <v>65574.137849999999</v>
      </c>
      <c r="I134" s="1">
        <f t="shared" si="81"/>
        <v>65609.602500000008</v>
      </c>
    </row>
    <row r="135" spans="1:9" x14ac:dyDescent="0.25">
      <c r="A135" t="s">
        <v>8</v>
      </c>
      <c r="B135" s="1">
        <v>29.01</v>
      </c>
      <c r="C135" s="1">
        <v>29.02</v>
      </c>
      <c r="D135" t="s">
        <v>27</v>
      </c>
      <c r="E135" s="5">
        <f t="shared" ref="E135:F135" si="135">E125</f>
        <v>2261.2950999999998</v>
      </c>
      <c r="F135" s="5">
        <f t="shared" si="135"/>
        <v>-0.1</v>
      </c>
      <c r="G135" s="5">
        <f t="shared" si="130"/>
        <v>2261.1950999999999</v>
      </c>
      <c r="H135" s="1">
        <f t="shared" si="80"/>
        <v>65597.269851000005</v>
      </c>
      <c r="I135" s="1">
        <f t="shared" si="81"/>
        <v>65619.881802000004</v>
      </c>
    </row>
    <row r="136" spans="1:9" x14ac:dyDescent="0.25">
      <c r="A136" t="s">
        <v>9</v>
      </c>
      <c r="B136" s="1">
        <v>69.319999999999993</v>
      </c>
      <c r="C136" s="1">
        <v>69.44</v>
      </c>
      <c r="D136" t="s">
        <v>27</v>
      </c>
      <c r="E136" s="5">
        <f t="shared" ref="E136:F136" si="136">E126</f>
        <v>946.10389999999995</v>
      </c>
      <c r="F136" s="5">
        <f t="shared" si="136"/>
        <v>0</v>
      </c>
      <c r="G136" s="5">
        <f t="shared" si="130"/>
        <v>946.10389999999995</v>
      </c>
      <c r="H136" s="1">
        <f t="shared" si="80"/>
        <v>65583.922347999993</v>
      </c>
      <c r="I136" s="1">
        <f t="shared" si="81"/>
        <v>65697.454815999998</v>
      </c>
    </row>
    <row r="137" spans="1:9" x14ac:dyDescent="0.25">
      <c r="A137" t="s">
        <v>10</v>
      </c>
      <c r="B137" s="1">
        <v>37.89</v>
      </c>
      <c r="C137" s="1">
        <v>37.92</v>
      </c>
      <c r="D137" t="s">
        <v>27</v>
      </c>
      <c r="E137" s="5">
        <f t="shared" ref="E137:F137" si="137">E127</f>
        <v>1730.1828</v>
      </c>
      <c r="F137" s="5">
        <f t="shared" si="137"/>
        <v>0</v>
      </c>
      <c r="G137" s="5">
        <f t="shared" si="130"/>
        <v>1730.1828</v>
      </c>
      <c r="H137" s="1">
        <f t="shared" si="80"/>
        <v>65556.626292000001</v>
      </c>
      <c r="I137" s="1">
        <f t="shared" si="81"/>
        <v>65608.531776000003</v>
      </c>
    </row>
    <row r="138" spans="1:9" x14ac:dyDescent="0.25">
      <c r="A138" t="s">
        <v>11</v>
      </c>
      <c r="B138" s="1">
        <v>57.09</v>
      </c>
      <c r="C138" s="1">
        <v>57.11</v>
      </c>
      <c r="D138" t="s">
        <v>27</v>
      </c>
      <c r="E138" s="5">
        <f t="shared" ref="E138:F138" si="138">E128</f>
        <v>1148.8136999999999</v>
      </c>
      <c r="F138" s="5">
        <f t="shared" si="138"/>
        <v>0</v>
      </c>
      <c r="G138" s="5">
        <f t="shared" si="130"/>
        <v>1148.8136999999999</v>
      </c>
      <c r="H138" s="1">
        <f t="shared" si="80"/>
        <v>65585.774132999999</v>
      </c>
      <c r="I138" s="1">
        <f t="shared" si="81"/>
        <v>65608.750407</v>
      </c>
    </row>
    <row r="139" spans="1:9" x14ac:dyDescent="0.25">
      <c r="A139" t="s">
        <v>12</v>
      </c>
      <c r="B139" s="1">
        <v>50.9</v>
      </c>
      <c r="C139" s="1">
        <v>50.91</v>
      </c>
      <c r="D139" t="s">
        <v>27</v>
      </c>
      <c r="E139" s="5">
        <f t="shared" ref="E139:F139" si="139">E129</f>
        <v>1288.7964999999999</v>
      </c>
      <c r="F139" s="5">
        <f t="shared" si="139"/>
        <v>0.05</v>
      </c>
      <c r="G139" s="5">
        <f t="shared" si="130"/>
        <v>1288.8464999999999</v>
      </c>
      <c r="H139" s="1">
        <f t="shared" si="80"/>
        <v>65602.286849999989</v>
      </c>
      <c r="I139" s="1">
        <f t="shared" si="81"/>
        <v>65615.175314999986</v>
      </c>
    </row>
    <row r="140" spans="1:9" x14ac:dyDescent="0.25">
      <c r="A140" t="s">
        <v>13</v>
      </c>
      <c r="B140" s="1">
        <v>18.54</v>
      </c>
      <c r="C140" s="1">
        <v>18.55</v>
      </c>
      <c r="D140" t="s">
        <v>27</v>
      </c>
      <c r="E140" s="5">
        <f t="shared" ref="E140:F140" si="140">E130</f>
        <v>3535.8029000000001</v>
      </c>
      <c r="F140" s="5">
        <f t="shared" si="140"/>
        <v>0</v>
      </c>
      <c r="G140" s="5">
        <f t="shared" si="130"/>
        <v>3535.8029000000001</v>
      </c>
      <c r="H140" s="1">
        <f t="shared" si="80"/>
        <v>65553.785766000001</v>
      </c>
      <c r="I140" s="1">
        <f t="shared" si="81"/>
        <v>65589.143795000011</v>
      </c>
    </row>
    <row r="141" spans="1:9" x14ac:dyDescent="0.25">
      <c r="A141" t="s">
        <v>14</v>
      </c>
      <c r="B141" s="1">
        <v>37.15</v>
      </c>
      <c r="C141" s="1">
        <v>37.159999999999997</v>
      </c>
      <c r="D141" t="s">
        <v>27</v>
      </c>
      <c r="E141" s="5">
        <f t="shared" ref="E141:F141" si="141">E131</f>
        <v>1764.9988000000001</v>
      </c>
      <c r="F141" s="5">
        <f t="shared" si="141"/>
        <v>0</v>
      </c>
      <c r="G141" s="5">
        <f t="shared" si="130"/>
        <v>1764.9988000000001</v>
      </c>
      <c r="H141" s="1">
        <f t="shared" si="80"/>
        <v>65569.705419999998</v>
      </c>
      <c r="I141" s="1">
        <f t="shared" si="81"/>
        <v>65587.355408000003</v>
      </c>
    </row>
    <row r="142" spans="1:9" x14ac:dyDescent="0.25">
      <c r="A142" t="s">
        <v>4</v>
      </c>
      <c r="B142" s="1">
        <v>21.57</v>
      </c>
      <c r="C142" s="1">
        <v>21.58</v>
      </c>
      <c r="D142" t="s">
        <v>28</v>
      </c>
      <c r="E142" s="5">
        <f t="shared" ref="E142:F142" si="142">E132</f>
        <v>3014.8622999999998</v>
      </c>
      <c r="F142" s="5">
        <f t="shared" si="142"/>
        <v>0</v>
      </c>
      <c r="G142" s="5">
        <f t="shared" si="130"/>
        <v>3014.8622999999998</v>
      </c>
      <c r="H142" s="1">
        <f t="shared" si="80"/>
        <v>65030.579810999996</v>
      </c>
      <c r="I142" s="1">
        <f t="shared" si="81"/>
        <v>65060.72843399999</v>
      </c>
    </row>
    <row r="143" spans="1:9" x14ac:dyDescent="0.25">
      <c r="A143" t="s">
        <v>6</v>
      </c>
      <c r="B143" s="1">
        <v>35.31</v>
      </c>
      <c r="C143" s="1">
        <v>35.32</v>
      </c>
      <c r="D143" t="s">
        <v>28</v>
      </c>
      <c r="E143" s="5">
        <f t="shared" ref="E143:F143" si="143">E133</f>
        <v>1842.07</v>
      </c>
      <c r="F143" s="5">
        <f t="shared" si="143"/>
        <v>0</v>
      </c>
      <c r="G143" s="5">
        <f t="shared" si="130"/>
        <v>1842.07</v>
      </c>
      <c r="H143" s="1">
        <f t="shared" si="80"/>
        <v>65043.491699999999</v>
      </c>
      <c r="I143" s="1">
        <f t="shared" si="81"/>
        <v>65061.912400000001</v>
      </c>
    </row>
    <row r="144" spans="1:9" x14ac:dyDescent="0.25">
      <c r="A144" t="s">
        <v>7</v>
      </c>
      <c r="B144" s="1">
        <v>18.34</v>
      </c>
      <c r="C144" s="1">
        <v>18.350000000000001</v>
      </c>
      <c r="D144" t="s">
        <v>28</v>
      </c>
      <c r="E144" s="5">
        <f t="shared" ref="E144:F144" si="144">E134</f>
        <v>3546.4650000000001</v>
      </c>
      <c r="F144" s="5">
        <f t="shared" si="144"/>
        <v>0</v>
      </c>
      <c r="G144" s="5">
        <f t="shared" si="130"/>
        <v>3546.4650000000001</v>
      </c>
      <c r="H144" s="1">
        <f t="shared" si="80"/>
        <v>65042.168100000003</v>
      </c>
      <c r="I144" s="1">
        <f t="shared" si="81"/>
        <v>65077.632750000004</v>
      </c>
    </row>
    <row r="145" spans="1:9" x14ac:dyDescent="0.25">
      <c r="A145" t="s">
        <v>8</v>
      </c>
      <c r="B145" s="1">
        <v>28.77</v>
      </c>
      <c r="C145" s="1">
        <v>28.78</v>
      </c>
      <c r="D145" t="s">
        <v>28</v>
      </c>
      <c r="E145" s="5">
        <f t="shared" ref="E145:F145" si="145">E135</f>
        <v>2261.2950999999998</v>
      </c>
      <c r="F145" s="5">
        <f t="shared" si="145"/>
        <v>-0.1</v>
      </c>
      <c r="G145" s="5">
        <f t="shared" si="130"/>
        <v>2261.1950999999999</v>
      </c>
      <c r="H145" s="1">
        <f t="shared" si="80"/>
        <v>65054.583026999993</v>
      </c>
      <c r="I145" s="1">
        <f t="shared" si="81"/>
        <v>65077.194978</v>
      </c>
    </row>
    <row r="146" spans="1:9" x14ac:dyDescent="0.25">
      <c r="A146" t="s">
        <v>9</v>
      </c>
      <c r="B146" s="1">
        <v>68.73</v>
      </c>
      <c r="C146" s="1">
        <v>68.84</v>
      </c>
      <c r="D146" t="s">
        <v>28</v>
      </c>
      <c r="E146" s="5">
        <f t="shared" ref="E146:F146" si="146">E136</f>
        <v>946.10389999999995</v>
      </c>
      <c r="F146" s="5">
        <f t="shared" si="146"/>
        <v>0</v>
      </c>
      <c r="G146" s="5">
        <f t="shared" si="130"/>
        <v>946.10389999999995</v>
      </c>
      <c r="H146" s="1">
        <f t="shared" si="80"/>
        <v>65025.721046999999</v>
      </c>
      <c r="I146" s="1">
        <f t="shared" si="81"/>
        <v>65129.792476000002</v>
      </c>
    </row>
    <row r="147" spans="1:9" x14ac:dyDescent="0.25">
      <c r="A147" t="s">
        <v>10</v>
      </c>
      <c r="B147" s="1">
        <v>37.58</v>
      </c>
      <c r="C147" s="1">
        <v>37.6</v>
      </c>
      <c r="D147" t="s">
        <v>28</v>
      </c>
      <c r="E147" s="5">
        <f t="shared" ref="E147:F147" si="147">E137</f>
        <v>1730.1828</v>
      </c>
      <c r="F147" s="5">
        <f t="shared" si="147"/>
        <v>0</v>
      </c>
      <c r="G147" s="5">
        <f t="shared" si="130"/>
        <v>1730.1828</v>
      </c>
      <c r="H147" s="1">
        <f t="shared" ref="H147:H201" si="148">B147*G147</f>
        <v>65020.269624</v>
      </c>
      <c r="I147" s="1">
        <f t="shared" ref="I147:I201" si="149">C147*G147</f>
        <v>65054.873280000007</v>
      </c>
    </row>
    <row r="148" spans="1:9" x14ac:dyDescent="0.25">
      <c r="A148" t="s">
        <v>11</v>
      </c>
      <c r="B148" s="1">
        <v>56.63</v>
      </c>
      <c r="C148" s="1">
        <v>56.64</v>
      </c>
      <c r="D148" t="s">
        <v>28</v>
      </c>
      <c r="E148" s="5">
        <f t="shared" ref="E148:F148" si="150">E138</f>
        <v>1148.8136999999999</v>
      </c>
      <c r="F148" s="5">
        <f t="shared" si="150"/>
        <v>0</v>
      </c>
      <c r="G148" s="5">
        <f t="shared" si="130"/>
        <v>1148.8136999999999</v>
      </c>
      <c r="H148" s="1">
        <f t="shared" si="148"/>
        <v>65057.319831000001</v>
      </c>
      <c r="I148" s="1">
        <f t="shared" si="149"/>
        <v>65068.807967999994</v>
      </c>
    </row>
    <row r="149" spans="1:9" x14ac:dyDescent="0.25">
      <c r="A149" t="s">
        <v>12</v>
      </c>
      <c r="B149" s="1">
        <v>50.47</v>
      </c>
      <c r="C149" s="1">
        <v>50.48</v>
      </c>
      <c r="D149" t="s">
        <v>28</v>
      </c>
      <c r="E149" s="5">
        <f t="shared" ref="E149:F149" si="151">E139</f>
        <v>1288.7964999999999</v>
      </c>
      <c r="F149" s="5">
        <f t="shared" si="151"/>
        <v>0.05</v>
      </c>
      <c r="G149" s="5">
        <f t="shared" si="130"/>
        <v>1288.8464999999999</v>
      </c>
      <c r="H149" s="1">
        <f t="shared" si="148"/>
        <v>65048.082854999993</v>
      </c>
      <c r="I149" s="1">
        <f t="shared" si="149"/>
        <v>65060.97131999999</v>
      </c>
    </row>
    <row r="150" spans="1:9" x14ac:dyDescent="0.25">
      <c r="A150" t="s">
        <v>13</v>
      </c>
      <c r="B150" s="1">
        <v>18.39</v>
      </c>
      <c r="C150" s="1">
        <v>18.399999999999999</v>
      </c>
      <c r="D150" t="s">
        <v>28</v>
      </c>
      <c r="E150" s="5">
        <f t="shared" ref="E150:F150" si="152">E140</f>
        <v>3535.8029000000001</v>
      </c>
      <c r="F150" s="5">
        <f t="shared" si="152"/>
        <v>0</v>
      </c>
      <c r="G150" s="5">
        <f t="shared" si="130"/>
        <v>3535.8029000000001</v>
      </c>
      <c r="H150" s="1">
        <f t="shared" si="148"/>
        <v>65023.415331000004</v>
      </c>
      <c r="I150" s="1">
        <f t="shared" si="149"/>
        <v>65058.773359999999</v>
      </c>
    </row>
    <row r="151" spans="1:9" x14ac:dyDescent="0.25">
      <c r="A151" t="s">
        <v>14</v>
      </c>
      <c r="B151" s="1">
        <v>36.840000000000003</v>
      </c>
      <c r="C151" s="1">
        <v>36.85</v>
      </c>
      <c r="D151" t="s">
        <v>28</v>
      </c>
      <c r="E151" s="5">
        <f t="shared" ref="E151:F151" si="153">E141</f>
        <v>1764.9988000000001</v>
      </c>
      <c r="F151" s="5">
        <f t="shared" si="153"/>
        <v>0</v>
      </c>
      <c r="G151" s="5">
        <f t="shared" si="130"/>
        <v>1764.9988000000001</v>
      </c>
      <c r="H151" s="1">
        <f t="shared" si="148"/>
        <v>65022.555792000006</v>
      </c>
      <c r="I151" s="1">
        <f t="shared" si="149"/>
        <v>65040.205780000004</v>
      </c>
    </row>
    <row r="152" spans="1:9" x14ac:dyDescent="0.25">
      <c r="A152" t="s">
        <v>4</v>
      </c>
      <c r="B152" s="1">
        <v>21.48</v>
      </c>
      <c r="C152" s="1">
        <v>21.49</v>
      </c>
      <c r="D152" t="s">
        <v>29</v>
      </c>
      <c r="E152" s="5">
        <f t="shared" ref="E152:F152" si="154">E142</f>
        <v>3014.8622999999998</v>
      </c>
      <c r="F152" s="5">
        <f t="shared" si="154"/>
        <v>0</v>
      </c>
      <c r="G152" s="5">
        <f t="shared" si="130"/>
        <v>3014.8622999999998</v>
      </c>
      <c r="H152" s="1">
        <f t="shared" si="148"/>
        <v>64759.242203999995</v>
      </c>
      <c r="I152" s="1">
        <f t="shared" si="149"/>
        <v>64789.390826999988</v>
      </c>
    </row>
    <row r="153" spans="1:9" x14ac:dyDescent="0.25">
      <c r="A153" t="s">
        <v>6</v>
      </c>
      <c r="B153" s="1">
        <v>35.159999999999997</v>
      </c>
      <c r="C153" s="1">
        <v>35.17</v>
      </c>
      <c r="D153" t="s">
        <v>29</v>
      </c>
      <c r="E153" s="5">
        <f t="shared" ref="E153:F153" si="155">E143</f>
        <v>1842.07</v>
      </c>
      <c r="F153" s="5">
        <f t="shared" si="155"/>
        <v>0</v>
      </c>
      <c r="G153" s="5">
        <f t="shared" si="130"/>
        <v>1842.07</v>
      </c>
      <c r="H153" s="1">
        <f t="shared" si="148"/>
        <v>64767.181199999992</v>
      </c>
      <c r="I153" s="1">
        <f t="shared" si="149"/>
        <v>64785.601900000001</v>
      </c>
    </row>
    <row r="154" spans="1:9" x14ac:dyDescent="0.25">
      <c r="A154" t="s">
        <v>7</v>
      </c>
      <c r="B154" s="1">
        <v>18.260000000000002</v>
      </c>
      <c r="C154" s="1">
        <v>18.27</v>
      </c>
      <c r="D154" t="s">
        <v>29</v>
      </c>
      <c r="E154" s="5">
        <f t="shared" ref="E154:F154" si="156">E144</f>
        <v>3546.4650000000001</v>
      </c>
      <c r="F154" s="5">
        <f t="shared" si="156"/>
        <v>0</v>
      </c>
      <c r="G154" s="5">
        <f t="shared" si="130"/>
        <v>3546.4650000000001</v>
      </c>
      <c r="H154" s="1">
        <f t="shared" si="148"/>
        <v>64758.450900000011</v>
      </c>
      <c r="I154" s="1">
        <f t="shared" si="149"/>
        <v>64793.915549999998</v>
      </c>
    </row>
    <row r="155" spans="1:9" x14ac:dyDescent="0.25">
      <c r="A155" t="s">
        <v>8</v>
      </c>
      <c r="B155" s="1">
        <v>28.64</v>
      </c>
      <c r="C155" s="1">
        <v>28.65</v>
      </c>
      <c r="D155" t="s">
        <v>29</v>
      </c>
      <c r="E155" s="5">
        <f t="shared" ref="E155:F155" si="157">E145</f>
        <v>2261.2950999999998</v>
      </c>
      <c r="F155" s="5">
        <f t="shared" si="157"/>
        <v>-0.1</v>
      </c>
      <c r="G155" s="5">
        <f t="shared" si="130"/>
        <v>2261.1950999999999</v>
      </c>
      <c r="H155" s="1">
        <f t="shared" si="148"/>
        <v>64760.627664</v>
      </c>
      <c r="I155" s="1">
        <f t="shared" si="149"/>
        <v>64783.239614999991</v>
      </c>
    </row>
    <row r="156" spans="1:9" x14ac:dyDescent="0.25">
      <c r="A156" t="s">
        <v>9</v>
      </c>
      <c r="B156" s="1">
        <v>68.45</v>
      </c>
      <c r="C156" s="1">
        <v>68.53</v>
      </c>
      <c r="D156" t="s">
        <v>29</v>
      </c>
      <c r="E156" s="5">
        <f t="shared" ref="E156:F156" si="158">E146</f>
        <v>946.10389999999995</v>
      </c>
      <c r="F156" s="5">
        <f t="shared" si="158"/>
        <v>0</v>
      </c>
      <c r="G156" s="5">
        <f t="shared" si="130"/>
        <v>946.10389999999995</v>
      </c>
      <c r="H156" s="1">
        <f t="shared" si="148"/>
        <v>64760.811954999997</v>
      </c>
      <c r="I156" s="1">
        <f t="shared" si="149"/>
        <v>64836.500266999996</v>
      </c>
    </row>
    <row r="157" spans="1:9" x14ac:dyDescent="0.25">
      <c r="A157" t="s">
        <v>10</v>
      </c>
      <c r="B157" s="1">
        <v>37.42</v>
      </c>
      <c r="C157" s="1">
        <v>37.450000000000003</v>
      </c>
      <c r="D157" t="s">
        <v>29</v>
      </c>
      <c r="E157" s="5">
        <f t="shared" ref="E157:F157" si="159">E147</f>
        <v>1730.1828</v>
      </c>
      <c r="F157" s="5">
        <f t="shared" si="159"/>
        <v>0</v>
      </c>
      <c r="G157" s="5">
        <f t="shared" si="130"/>
        <v>1730.1828</v>
      </c>
      <c r="H157" s="1">
        <f t="shared" si="148"/>
        <v>64743.440376000006</v>
      </c>
      <c r="I157" s="1">
        <f t="shared" si="149"/>
        <v>64795.345860000009</v>
      </c>
    </row>
    <row r="158" spans="1:9" x14ac:dyDescent="0.25">
      <c r="A158" t="s">
        <v>11</v>
      </c>
      <c r="B158" s="1">
        <v>56.38</v>
      </c>
      <c r="C158" s="1">
        <v>56.39</v>
      </c>
      <c r="D158" t="s">
        <v>29</v>
      </c>
      <c r="E158" s="5">
        <f t="shared" ref="E158:F158" si="160">E148</f>
        <v>1148.8136999999999</v>
      </c>
      <c r="F158" s="5">
        <f t="shared" si="160"/>
        <v>0</v>
      </c>
      <c r="G158" s="5">
        <f t="shared" si="130"/>
        <v>1148.8136999999999</v>
      </c>
      <c r="H158" s="1">
        <f t="shared" si="148"/>
        <v>64770.116406000001</v>
      </c>
      <c r="I158" s="1">
        <f t="shared" si="149"/>
        <v>64781.604542999994</v>
      </c>
    </row>
    <row r="159" spans="1:9" x14ac:dyDescent="0.25">
      <c r="A159" t="s">
        <v>12</v>
      </c>
      <c r="B159" s="1">
        <v>50.25</v>
      </c>
      <c r="C159" s="1">
        <v>50.27</v>
      </c>
      <c r="D159" t="s">
        <v>29</v>
      </c>
      <c r="E159" s="5">
        <f t="shared" ref="E159:F159" si="161">E149</f>
        <v>1288.7964999999999</v>
      </c>
      <c r="F159" s="5">
        <f t="shared" si="161"/>
        <v>0.05</v>
      </c>
      <c r="G159" s="5">
        <f t="shared" si="130"/>
        <v>1288.8464999999999</v>
      </c>
      <c r="H159" s="1">
        <f t="shared" si="148"/>
        <v>64764.536624999993</v>
      </c>
      <c r="I159" s="1">
        <f t="shared" si="149"/>
        <v>64790.313555000001</v>
      </c>
    </row>
    <row r="160" spans="1:9" x14ac:dyDescent="0.25">
      <c r="A160" t="s">
        <v>13</v>
      </c>
      <c r="B160" s="1">
        <v>18.32</v>
      </c>
      <c r="C160" s="1">
        <v>18.329999999999998</v>
      </c>
      <c r="D160" t="s">
        <v>29</v>
      </c>
      <c r="E160" s="5">
        <f t="shared" ref="E160:F160" si="162">E150</f>
        <v>3535.8029000000001</v>
      </c>
      <c r="F160" s="5">
        <f t="shared" si="162"/>
        <v>0</v>
      </c>
      <c r="G160" s="5">
        <f t="shared" si="130"/>
        <v>3535.8029000000001</v>
      </c>
      <c r="H160" s="1">
        <f t="shared" si="148"/>
        <v>64775.909128000007</v>
      </c>
      <c r="I160" s="1">
        <f t="shared" si="149"/>
        <v>64811.267156999995</v>
      </c>
    </row>
    <row r="161" spans="1:9" x14ac:dyDescent="0.25">
      <c r="A161" t="s">
        <v>14</v>
      </c>
      <c r="B161" s="1">
        <v>36.69</v>
      </c>
      <c r="C161" s="1">
        <v>36.700000000000003</v>
      </c>
      <c r="D161" t="s">
        <v>29</v>
      </c>
      <c r="E161" s="5">
        <f t="shared" ref="E161:F161" si="163">E151</f>
        <v>1764.9988000000001</v>
      </c>
      <c r="F161" s="5">
        <f t="shared" si="163"/>
        <v>0</v>
      </c>
      <c r="G161" s="5">
        <f t="shared" si="130"/>
        <v>1764.9988000000001</v>
      </c>
      <c r="H161" s="1">
        <f t="shared" si="148"/>
        <v>64757.805972000002</v>
      </c>
      <c r="I161" s="1">
        <f t="shared" si="149"/>
        <v>64775.455960000007</v>
      </c>
    </row>
    <row r="162" spans="1:9" x14ac:dyDescent="0.25">
      <c r="A162" t="s">
        <v>4</v>
      </c>
      <c r="B162" s="1">
        <v>21.27</v>
      </c>
      <c r="C162" s="1">
        <v>21.28</v>
      </c>
      <c r="D162" t="s">
        <v>30</v>
      </c>
      <c r="E162" s="5">
        <f t="shared" ref="E162:F162" si="164">E152</f>
        <v>3014.8622999999998</v>
      </c>
      <c r="F162" s="5">
        <f t="shared" si="164"/>
        <v>0</v>
      </c>
      <c r="G162" s="5">
        <f t="shared" ref="G162:G193" si="165">E162+F162</f>
        <v>3014.8622999999998</v>
      </c>
      <c r="H162" s="1">
        <f t="shared" si="148"/>
        <v>64126.121120999996</v>
      </c>
      <c r="I162" s="1">
        <f t="shared" si="149"/>
        <v>64156.269743999997</v>
      </c>
    </row>
    <row r="163" spans="1:9" x14ac:dyDescent="0.25">
      <c r="A163" t="s">
        <v>6</v>
      </c>
      <c r="B163" s="1">
        <v>34.82</v>
      </c>
      <c r="C163" s="1">
        <v>34.83</v>
      </c>
      <c r="D163" t="s">
        <v>30</v>
      </c>
      <c r="E163" s="5">
        <f t="shared" ref="E163:F163" si="166">E153</f>
        <v>1842.07</v>
      </c>
      <c r="F163" s="5">
        <f t="shared" si="166"/>
        <v>0</v>
      </c>
      <c r="G163" s="5">
        <f t="shared" si="165"/>
        <v>1842.07</v>
      </c>
      <c r="H163" s="1">
        <f t="shared" si="148"/>
        <v>64140.877399999998</v>
      </c>
      <c r="I163" s="1">
        <f t="shared" si="149"/>
        <v>64159.298099999993</v>
      </c>
    </row>
    <row r="164" spans="1:9" x14ac:dyDescent="0.25">
      <c r="A164" t="s">
        <v>7</v>
      </c>
      <c r="B164" s="1">
        <v>18.079999999999998</v>
      </c>
      <c r="C164" s="1">
        <v>18.09</v>
      </c>
      <c r="D164" t="s">
        <v>30</v>
      </c>
      <c r="E164" s="5">
        <f t="shared" ref="E164:F164" si="167">E154</f>
        <v>3546.4650000000001</v>
      </c>
      <c r="F164" s="5">
        <f t="shared" si="167"/>
        <v>0</v>
      </c>
      <c r="G164" s="5">
        <f t="shared" si="165"/>
        <v>3546.4650000000001</v>
      </c>
      <c r="H164" s="1">
        <f t="shared" si="148"/>
        <v>64120.087199999994</v>
      </c>
      <c r="I164" s="1">
        <f t="shared" si="149"/>
        <v>64155.551850000003</v>
      </c>
    </row>
    <row r="165" spans="1:9" x14ac:dyDescent="0.25">
      <c r="A165" t="s">
        <v>8</v>
      </c>
      <c r="B165" s="1">
        <v>28.37</v>
      </c>
      <c r="C165" s="1">
        <v>28.38</v>
      </c>
      <c r="D165" t="s">
        <v>30</v>
      </c>
      <c r="E165" s="5">
        <f t="shared" ref="E165:F165" si="168">E155</f>
        <v>2261.2950999999998</v>
      </c>
      <c r="F165" s="5">
        <f t="shared" si="168"/>
        <v>-0.1</v>
      </c>
      <c r="G165" s="5">
        <f t="shared" si="165"/>
        <v>2261.1950999999999</v>
      </c>
      <c r="H165" s="1">
        <f t="shared" si="148"/>
        <v>64150.104986999999</v>
      </c>
      <c r="I165" s="1">
        <f t="shared" si="149"/>
        <v>64172.716937999998</v>
      </c>
    </row>
    <row r="166" spans="1:9" x14ac:dyDescent="0.25">
      <c r="A166" t="s">
        <v>9</v>
      </c>
      <c r="B166" s="1">
        <v>67.78</v>
      </c>
      <c r="C166" s="1">
        <v>67.89</v>
      </c>
      <c r="D166" t="s">
        <v>30</v>
      </c>
      <c r="E166" s="5">
        <f t="shared" ref="E166:F166" si="169">E156</f>
        <v>946.10389999999995</v>
      </c>
      <c r="F166" s="5">
        <f t="shared" si="169"/>
        <v>0</v>
      </c>
      <c r="G166" s="5">
        <f t="shared" si="165"/>
        <v>946.10389999999995</v>
      </c>
      <c r="H166" s="1">
        <f t="shared" si="148"/>
        <v>64126.922341999998</v>
      </c>
      <c r="I166" s="1">
        <f t="shared" si="149"/>
        <v>64230.993770999994</v>
      </c>
    </row>
    <row r="167" spans="1:9" x14ac:dyDescent="0.25">
      <c r="A167" t="s">
        <v>10</v>
      </c>
      <c r="B167" s="1">
        <v>37.04</v>
      </c>
      <c r="C167" s="1">
        <v>37.090000000000003</v>
      </c>
      <c r="D167" t="s">
        <v>30</v>
      </c>
      <c r="E167" s="5">
        <f t="shared" ref="E167:F167" si="170">E157</f>
        <v>1730.1828</v>
      </c>
      <c r="F167" s="5">
        <f t="shared" si="170"/>
        <v>0</v>
      </c>
      <c r="G167" s="5">
        <f t="shared" si="165"/>
        <v>1730.1828</v>
      </c>
      <c r="H167" s="1">
        <f t="shared" si="148"/>
        <v>64085.970911999997</v>
      </c>
      <c r="I167" s="1">
        <f t="shared" si="149"/>
        <v>64172.480052000006</v>
      </c>
    </row>
    <row r="168" spans="1:9" x14ac:dyDescent="0.25">
      <c r="A168" t="s">
        <v>11</v>
      </c>
      <c r="B168" s="1">
        <v>55.84</v>
      </c>
      <c r="C168" s="1">
        <v>55.85</v>
      </c>
      <c r="D168" t="s">
        <v>30</v>
      </c>
      <c r="E168" s="5">
        <f t="shared" ref="E168:F168" si="171">E158</f>
        <v>1148.8136999999999</v>
      </c>
      <c r="F168" s="5">
        <f t="shared" si="171"/>
        <v>0</v>
      </c>
      <c r="G168" s="5">
        <f t="shared" si="165"/>
        <v>1148.8136999999999</v>
      </c>
      <c r="H168" s="1">
        <f t="shared" si="148"/>
        <v>64149.757008</v>
      </c>
      <c r="I168" s="1">
        <f t="shared" si="149"/>
        <v>64161.245145000001</v>
      </c>
    </row>
    <row r="169" spans="1:9" x14ac:dyDescent="0.25">
      <c r="A169" t="s">
        <v>12</v>
      </c>
      <c r="B169" s="1">
        <v>49.77</v>
      </c>
      <c r="C169" s="1">
        <v>49.78</v>
      </c>
      <c r="D169" t="s">
        <v>30</v>
      </c>
      <c r="E169" s="5">
        <f t="shared" ref="E169:F169" si="172">E159</f>
        <v>1288.7964999999999</v>
      </c>
      <c r="F169" s="5">
        <f t="shared" si="172"/>
        <v>0.05</v>
      </c>
      <c r="G169" s="5">
        <f t="shared" si="165"/>
        <v>1288.8464999999999</v>
      </c>
      <c r="H169" s="1">
        <f t="shared" si="148"/>
        <v>64145.890305000001</v>
      </c>
      <c r="I169" s="1">
        <f t="shared" si="149"/>
        <v>64158.778769999997</v>
      </c>
    </row>
    <row r="170" spans="1:9" x14ac:dyDescent="0.25">
      <c r="A170" t="s">
        <v>13</v>
      </c>
      <c r="B170" s="1">
        <v>18.14</v>
      </c>
      <c r="C170" s="1">
        <v>18.149999999999999</v>
      </c>
      <c r="D170" t="s">
        <v>30</v>
      </c>
      <c r="E170" s="5">
        <f t="shared" ref="E170:F170" si="173">E160</f>
        <v>3535.8029000000001</v>
      </c>
      <c r="F170" s="5">
        <f t="shared" si="173"/>
        <v>0</v>
      </c>
      <c r="G170" s="5">
        <f t="shared" si="165"/>
        <v>3535.8029000000001</v>
      </c>
      <c r="H170" s="1">
        <f t="shared" si="148"/>
        <v>64139.464606000001</v>
      </c>
      <c r="I170" s="1">
        <f t="shared" si="149"/>
        <v>64174.822634999997</v>
      </c>
    </row>
    <row r="171" spans="1:9" x14ac:dyDescent="0.25">
      <c r="A171" t="s">
        <v>14</v>
      </c>
      <c r="B171" s="1">
        <v>36.33</v>
      </c>
      <c r="C171" s="1">
        <v>36.340000000000003</v>
      </c>
      <c r="D171" t="s">
        <v>30</v>
      </c>
      <c r="E171" s="5">
        <f t="shared" ref="E171:F171" si="174">E161</f>
        <v>1764.9988000000001</v>
      </c>
      <c r="F171" s="5">
        <f t="shared" si="174"/>
        <v>0</v>
      </c>
      <c r="G171" s="5">
        <f t="shared" si="165"/>
        <v>1764.9988000000001</v>
      </c>
      <c r="H171" s="1">
        <f t="shared" si="148"/>
        <v>64122.406404000001</v>
      </c>
      <c r="I171" s="1">
        <f t="shared" si="149"/>
        <v>64140.056392000006</v>
      </c>
    </row>
    <row r="172" spans="1:9" x14ac:dyDescent="0.25">
      <c r="A172" t="s">
        <v>4</v>
      </c>
      <c r="B172" s="1">
        <v>21.26</v>
      </c>
      <c r="C172" s="1">
        <v>21.27</v>
      </c>
      <c r="D172" t="s">
        <v>31</v>
      </c>
      <c r="E172" s="5">
        <f t="shared" ref="E172:F172" si="175">E162</f>
        <v>3014.8622999999998</v>
      </c>
      <c r="F172" s="5">
        <f t="shared" si="175"/>
        <v>0</v>
      </c>
      <c r="G172" s="5">
        <f t="shared" si="165"/>
        <v>3014.8622999999998</v>
      </c>
      <c r="H172" s="1">
        <f t="shared" si="148"/>
        <v>64095.972498000003</v>
      </c>
      <c r="I172" s="1">
        <f t="shared" si="149"/>
        <v>64126.121120999996</v>
      </c>
    </row>
    <row r="173" spans="1:9" x14ac:dyDescent="0.25">
      <c r="A173" t="s">
        <v>6</v>
      </c>
      <c r="B173" s="1">
        <v>34.799999999999997</v>
      </c>
      <c r="C173" s="1">
        <v>34.81</v>
      </c>
      <c r="D173" t="s">
        <v>31</v>
      </c>
      <c r="E173" s="5">
        <f t="shared" ref="E173:F173" si="176">E163</f>
        <v>1842.07</v>
      </c>
      <c r="F173" s="5">
        <f t="shared" si="176"/>
        <v>0</v>
      </c>
      <c r="G173" s="5">
        <f t="shared" si="165"/>
        <v>1842.07</v>
      </c>
      <c r="H173" s="1">
        <f t="shared" si="148"/>
        <v>64104.035999999993</v>
      </c>
      <c r="I173" s="1">
        <f t="shared" si="149"/>
        <v>64122.456700000002</v>
      </c>
    </row>
    <row r="174" spans="1:9" x14ac:dyDescent="0.25">
      <c r="A174" t="s">
        <v>7</v>
      </c>
      <c r="B174" s="1">
        <v>18.07</v>
      </c>
      <c r="C174" s="1">
        <v>18.079999999999998</v>
      </c>
      <c r="D174" t="s">
        <v>31</v>
      </c>
      <c r="E174" s="5">
        <f t="shared" ref="E174:F174" si="177">E164</f>
        <v>3546.4650000000001</v>
      </c>
      <c r="F174" s="5">
        <f t="shared" si="177"/>
        <v>0</v>
      </c>
      <c r="G174" s="5">
        <f t="shared" si="165"/>
        <v>3546.4650000000001</v>
      </c>
      <c r="H174" s="1">
        <f t="shared" si="148"/>
        <v>64084.62255</v>
      </c>
      <c r="I174" s="1">
        <f t="shared" si="149"/>
        <v>64120.087199999994</v>
      </c>
    </row>
    <row r="175" spans="1:9" x14ac:dyDescent="0.25">
      <c r="A175" t="s">
        <v>8</v>
      </c>
      <c r="B175" s="1">
        <v>28.35</v>
      </c>
      <c r="C175" s="1">
        <v>28.36</v>
      </c>
      <c r="D175" t="s">
        <v>31</v>
      </c>
      <c r="E175" s="5">
        <f t="shared" ref="E175:F175" si="178">E165</f>
        <v>2261.2950999999998</v>
      </c>
      <c r="F175" s="5">
        <f t="shared" si="178"/>
        <v>-0.1</v>
      </c>
      <c r="G175" s="5">
        <f t="shared" si="165"/>
        <v>2261.1950999999999</v>
      </c>
      <c r="H175" s="1">
        <f t="shared" si="148"/>
        <v>64104.881085000001</v>
      </c>
      <c r="I175" s="1">
        <f t="shared" si="149"/>
        <v>64127.493035999993</v>
      </c>
    </row>
    <row r="176" spans="1:9" x14ac:dyDescent="0.25">
      <c r="A176" t="s">
        <v>9</v>
      </c>
      <c r="B176" s="1">
        <v>67.790000000000006</v>
      </c>
      <c r="C176" s="1">
        <v>67.83</v>
      </c>
      <c r="D176" t="s">
        <v>31</v>
      </c>
      <c r="E176" s="5">
        <f t="shared" ref="E176:F176" si="179">E166</f>
        <v>946.10389999999995</v>
      </c>
      <c r="F176" s="5">
        <f t="shared" si="179"/>
        <v>0</v>
      </c>
      <c r="G176" s="5">
        <f t="shared" si="165"/>
        <v>946.10389999999995</v>
      </c>
      <c r="H176" s="1">
        <f t="shared" si="148"/>
        <v>64136.383381</v>
      </c>
      <c r="I176" s="1">
        <f t="shared" si="149"/>
        <v>64174.227536999999</v>
      </c>
    </row>
    <row r="177" spans="1:9" x14ac:dyDescent="0.25">
      <c r="A177" t="s">
        <v>10</v>
      </c>
      <c r="B177" s="1">
        <v>37.04</v>
      </c>
      <c r="C177" s="1">
        <v>37.06</v>
      </c>
      <c r="D177" t="s">
        <v>31</v>
      </c>
      <c r="E177" s="5">
        <f t="shared" ref="E177:F177" si="180">E167</f>
        <v>1730.1828</v>
      </c>
      <c r="F177" s="5">
        <f t="shared" si="180"/>
        <v>0</v>
      </c>
      <c r="G177" s="5">
        <f t="shared" si="165"/>
        <v>1730.1828</v>
      </c>
      <c r="H177" s="1">
        <f t="shared" si="148"/>
        <v>64085.970911999997</v>
      </c>
      <c r="I177" s="1">
        <f t="shared" si="149"/>
        <v>64120.574568000004</v>
      </c>
    </row>
    <row r="178" spans="1:9" x14ac:dyDescent="0.25">
      <c r="A178" t="s">
        <v>11</v>
      </c>
      <c r="B178" s="1">
        <v>55.81</v>
      </c>
      <c r="C178" s="1">
        <v>55.82</v>
      </c>
      <c r="D178" t="s">
        <v>31</v>
      </c>
      <c r="E178" s="5">
        <f t="shared" ref="E178:F178" si="181">E168</f>
        <v>1148.8136999999999</v>
      </c>
      <c r="F178" s="5">
        <f t="shared" si="181"/>
        <v>0</v>
      </c>
      <c r="G178" s="5">
        <f t="shared" si="165"/>
        <v>1148.8136999999999</v>
      </c>
      <c r="H178" s="1">
        <f t="shared" si="148"/>
        <v>64115.292597</v>
      </c>
      <c r="I178" s="1">
        <f t="shared" si="149"/>
        <v>64126.780733999993</v>
      </c>
    </row>
    <row r="179" spans="1:9" x14ac:dyDescent="0.25">
      <c r="A179" t="s">
        <v>12</v>
      </c>
      <c r="B179" s="1">
        <v>49.75</v>
      </c>
      <c r="C179" s="1">
        <v>49.76</v>
      </c>
      <c r="D179" t="s">
        <v>31</v>
      </c>
      <c r="E179" s="5">
        <f t="shared" ref="E179:F179" si="182">E169</f>
        <v>1288.7964999999999</v>
      </c>
      <c r="F179" s="5">
        <f t="shared" si="182"/>
        <v>0.05</v>
      </c>
      <c r="G179" s="5">
        <f t="shared" si="165"/>
        <v>1288.8464999999999</v>
      </c>
      <c r="H179" s="1">
        <f t="shared" si="148"/>
        <v>64120.113374999994</v>
      </c>
      <c r="I179" s="1">
        <f t="shared" si="149"/>
        <v>64133.00183999999</v>
      </c>
    </row>
    <row r="180" spans="1:9" x14ac:dyDescent="0.25">
      <c r="A180" t="s">
        <v>13</v>
      </c>
      <c r="B180" s="1">
        <v>18.13</v>
      </c>
      <c r="C180" s="1">
        <v>18.14</v>
      </c>
      <c r="D180" t="s">
        <v>31</v>
      </c>
      <c r="E180" s="5">
        <f t="shared" ref="E180:F180" si="183">E170</f>
        <v>3535.8029000000001</v>
      </c>
      <c r="F180" s="5">
        <f t="shared" si="183"/>
        <v>0</v>
      </c>
      <c r="G180" s="5">
        <f t="shared" si="165"/>
        <v>3535.8029000000001</v>
      </c>
      <c r="H180" s="1">
        <f t="shared" si="148"/>
        <v>64104.106576999999</v>
      </c>
      <c r="I180" s="1">
        <f t="shared" si="149"/>
        <v>64139.464606000001</v>
      </c>
    </row>
    <row r="181" spans="1:9" x14ac:dyDescent="0.25">
      <c r="A181" t="s">
        <v>14</v>
      </c>
      <c r="B181" s="1">
        <v>36.31</v>
      </c>
      <c r="C181" s="1">
        <v>36.32</v>
      </c>
      <c r="D181" t="s">
        <v>31</v>
      </c>
      <c r="E181" s="5">
        <f t="shared" ref="E181:F181" si="184">E171</f>
        <v>1764.9988000000001</v>
      </c>
      <c r="F181" s="5">
        <f t="shared" si="184"/>
        <v>0</v>
      </c>
      <c r="G181" s="5">
        <f t="shared" si="165"/>
        <v>1764.9988000000001</v>
      </c>
      <c r="H181" s="1">
        <f t="shared" si="148"/>
        <v>64087.106428000006</v>
      </c>
      <c r="I181" s="1">
        <f t="shared" si="149"/>
        <v>64104.756416000004</v>
      </c>
    </row>
    <row r="182" spans="1:9" x14ac:dyDescent="0.25">
      <c r="A182" t="s">
        <v>4</v>
      </c>
      <c r="B182" s="1">
        <v>21.31</v>
      </c>
      <c r="C182" s="1">
        <v>21.32</v>
      </c>
      <c r="D182" t="s">
        <v>32</v>
      </c>
      <c r="E182" s="5">
        <f t="shared" ref="E182:F182" si="185">E172</f>
        <v>3014.8622999999998</v>
      </c>
      <c r="F182" s="5">
        <f t="shared" si="185"/>
        <v>0</v>
      </c>
      <c r="G182" s="5">
        <f t="shared" si="165"/>
        <v>3014.8622999999998</v>
      </c>
      <c r="H182" s="1">
        <f t="shared" si="148"/>
        <v>64246.715612999993</v>
      </c>
      <c r="I182" s="1">
        <f t="shared" si="149"/>
        <v>64276.864235999994</v>
      </c>
    </row>
    <row r="183" spans="1:9" x14ac:dyDescent="0.25">
      <c r="A183" t="s">
        <v>6</v>
      </c>
      <c r="B183" s="1">
        <v>34.880000000000003</v>
      </c>
      <c r="C183" s="1">
        <v>34.9</v>
      </c>
      <c r="D183" t="s">
        <v>32</v>
      </c>
      <c r="E183" s="5">
        <f t="shared" ref="E183:F183" si="186">E173</f>
        <v>1842.07</v>
      </c>
      <c r="F183" s="5">
        <f t="shared" si="186"/>
        <v>0</v>
      </c>
      <c r="G183" s="5">
        <f t="shared" si="165"/>
        <v>1842.07</v>
      </c>
      <c r="H183" s="1">
        <f t="shared" si="148"/>
        <v>64251.401600000005</v>
      </c>
      <c r="I183" s="1">
        <f t="shared" si="149"/>
        <v>64288.242999999995</v>
      </c>
    </row>
    <row r="184" spans="1:9" x14ac:dyDescent="0.25">
      <c r="A184" t="s">
        <v>7</v>
      </c>
      <c r="B184" s="1">
        <v>18.100000000000001</v>
      </c>
      <c r="C184" s="1">
        <v>18.13</v>
      </c>
      <c r="D184" t="s">
        <v>32</v>
      </c>
      <c r="E184" s="5">
        <f t="shared" ref="E184:F184" si="187">E174</f>
        <v>3546.4650000000001</v>
      </c>
      <c r="F184" s="5">
        <f t="shared" si="187"/>
        <v>0</v>
      </c>
      <c r="G184" s="5">
        <f t="shared" si="165"/>
        <v>3546.4650000000001</v>
      </c>
      <c r="H184" s="1">
        <f t="shared" si="148"/>
        <v>64191.016500000005</v>
      </c>
      <c r="I184" s="1">
        <f t="shared" si="149"/>
        <v>64297.410449999996</v>
      </c>
    </row>
    <row r="185" spans="1:9" x14ac:dyDescent="0.25">
      <c r="A185" t="s">
        <v>8</v>
      </c>
      <c r="B185" s="1">
        <v>28.41</v>
      </c>
      <c r="C185" s="1">
        <v>28.43</v>
      </c>
      <c r="D185" t="s">
        <v>32</v>
      </c>
      <c r="E185" s="5">
        <f t="shared" ref="E185:F185" si="188">E175</f>
        <v>2261.2950999999998</v>
      </c>
      <c r="F185" s="5">
        <f t="shared" si="188"/>
        <v>-0.1</v>
      </c>
      <c r="G185" s="5">
        <f t="shared" si="165"/>
        <v>2261.1950999999999</v>
      </c>
      <c r="H185" s="1">
        <f t="shared" si="148"/>
        <v>64240.552790999995</v>
      </c>
      <c r="I185" s="1">
        <f t="shared" si="149"/>
        <v>64285.776693</v>
      </c>
    </row>
    <row r="186" spans="1:9" x14ac:dyDescent="0.25">
      <c r="A186" t="s">
        <v>9</v>
      </c>
      <c r="B186" s="1">
        <v>67.61</v>
      </c>
      <c r="C186" s="1">
        <v>70.05</v>
      </c>
      <c r="D186" t="s">
        <v>32</v>
      </c>
      <c r="E186" s="5">
        <f>E176</f>
        <v>946.10389999999995</v>
      </c>
      <c r="F186" s="5">
        <f t="shared" ref="F186" si="189">F176</f>
        <v>0</v>
      </c>
      <c r="G186" s="5">
        <f t="shared" si="165"/>
        <v>946.10389999999995</v>
      </c>
      <c r="H186" s="1">
        <f t="shared" si="148"/>
        <v>63966.084679</v>
      </c>
      <c r="I186" s="1">
        <f t="shared" si="149"/>
        <v>66274.578194999995</v>
      </c>
    </row>
    <row r="187" spans="1:9" x14ac:dyDescent="0.25">
      <c r="A187" t="s">
        <v>10</v>
      </c>
      <c r="B187" s="1">
        <v>37.049999999999997</v>
      </c>
      <c r="C187" s="1">
        <v>37.32</v>
      </c>
      <c r="D187" t="s">
        <v>32</v>
      </c>
      <c r="E187" s="5">
        <f t="shared" ref="E187:F187" si="190">E177</f>
        <v>1730.1828</v>
      </c>
      <c r="F187" s="5">
        <f t="shared" si="190"/>
        <v>0</v>
      </c>
      <c r="G187" s="5">
        <f t="shared" si="165"/>
        <v>1730.1828</v>
      </c>
      <c r="H187" s="1">
        <f t="shared" si="148"/>
        <v>64103.272739999993</v>
      </c>
      <c r="I187" s="1">
        <f t="shared" si="149"/>
        <v>64570.422096000002</v>
      </c>
    </row>
    <row r="188" spans="1:9" x14ac:dyDescent="0.25">
      <c r="A188" t="s">
        <v>11</v>
      </c>
      <c r="B188" s="1">
        <v>55.93</v>
      </c>
      <c r="C188" s="1">
        <v>55.96</v>
      </c>
      <c r="D188" t="s">
        <v>32</v>
      </c>
      <c r="E188" s="5">
        <f t="shared" ref="E188:F188" si="191">E178</f>
        <v>1148.8136999999999</v>
      </c>
      <c r="F188" s="5">
        <f t="shared" si="191"/>
        <v>0</v>
      </c>
      <c r="G188" s="5">
        <f t="shared" si="165"/>
        <v>1148.8136999999999</v>
      </c>
      <c r="H188" s="1">
        <f t="shared" si="148"/>
        <v>64253.150240999996</v>
      </c>
      <c r="I188" s="1">
        <f t="shared" si="149"/>
        <v>64287.614651999997</v>
      </c>
    </row>
    <row r="189" spans="1:9" x14ac:dyDescent="0.25">
      <c r="A189" t="s">
        <v>12</v>
      </c>
      <c r="B189" s="1">
        <v>49.87</v>
      </c>
      <c r="C189" s="1">
        <v>49.88</v>
      </c>
      <c r="D189" t="s">
        <v>32</v>
      </c>
      <c r="E189" s="5">
        <f t="shared" ref="E189:F189" si="192">E179</f>
        <v>1288.7964999999999</v>
      </c>
      <c r="F189" s="5">
        <f t="shared" si="192"/>
        <v>0.05</v>
      </c>
      <c r="G189" s="5">
        <f t="shared" si="165"/>
        <v>1288.8464999999999</v>
      </c>
      <c r="H189" s="1">
        <f t="shared" si="148"/>
        <v>64274.774954999993</v>
      </c>
      <c r="I189" s="1">
        <f t="shared" si="149"/>
        <v>64287.663419999997</v>
      </c>
    </row>
    <row r="190" spans="1:9" x14ac:dyDescent="0.25">
      <c r="A190" t="s">
        <v>13</v>
      </c>
      <c r="B190" s="1">
        <v>18.16</v>
      </c>
      <c r="C190" s="1">
        <v>18.190000000000001</v>
      </c>
      <c r="D190" t="s">
        <v>32</v>
      </c>
      <c r="E190" s="5">
        <f t="shared" ref="E190:F190" si="193">E180</f>
        <v>3535.8029000000001</v>
      </c>
      <c r="F190" s="5">
        <f t="shared" si="193"/>
        <v>0</v>
      </c>
      <c r="G190" s="5">
        <f t="shared" si="165"/>
        <v>3535.8029000000001</v>
      </c>
      <c r="H190" s="1">
        <f t="shared" si="148"/>
        <v>64210.180664</v>
      </c>
      <c r="I190" s="1">
        <f t="shared" si="149"/>
        <v>64316.254751000008</v>
      </c>
    </row>
    <row r="191" spans="1:9" x14ac:dyDescent="0.25">
      <c r="A191" t="s">
        <v>14</v>
      </c>
      <c r="B191" s="1">
        <v>36.39</v>
      </c>
      <c r="C191" s="1">
        <v>36.4</v>
      </c>
      <c r="D191" t="s">
        <v>32</v>
      </c>
      <c r="E191" s="5">
        <f t="shared" ref="E191:F191" si="194">E181</f>
        <v>1764.9988000000001</v>
      </c>
      <c r="F191" s="5">
        <f t="shared" si="194"/>
        <v>0</v>
      </c>
      <c r="G191" s="5">
        <f t="shared" si="165"/>
        <v>1764.9988000000001</v>
      </c>
      <c r="H191" s="1">
        <f t="shared" si="148"/>
        <v>64228.306332</v>
      </c>
      <c r="I191" s="1">
        <f t="shared" si="149"/>
        <v>64245.956319999998</v>
      </c>
    </row>
    <row r="192" spans="1:9" x14ac:dyDescent="0.25">
      <c r="A192" t="s">
        <v>4</v>
      </c>
      <c r="B192" s="1">
        <v>21.35</v>
      </c>
      <c r="C192" s="1">
        <v>21.36</v>
      </c>
      <c r="D192" t="s">
        <v>33</v>
      </c>
      <c r="E192" s="5">
        <f t="shared" ref="E192:F192" si="195">E182</f>
        <v>3014.8622999999998</v>
      </c>
      <c r="F192" s="5">
        <f t="shared" si="195"/>
        <v>0</v>
      </c>
      <c r="G192" s="5">
        <f t="shared" si="165"/>
        <v>3014.8622999999998</v>
      </c>
      <c r="H192" s="1">
        <f t="shared" si="148"/>
        <v>64367.310104999997</v>
      </c>
      <c r="I192" s="1">
        <f t="shared" si="149"/>
        <v>64397.458727999991</v>
      </c>
    </row>
    <row r="193" spans="1:9" x14ac:dyDescent="0.25">
      <c r="A193" t="s">
        <v>6</v>
      </c>
      <c r="B193" s="1">
        <v>34.93</v>
      </c>
      <c r="C193" s="1">
        <v>34.96</v>
      </c>
      <c r="D193" t="s">
        <v>33</v>
      </c>
      <c r="E193" s="5">
        <f t="shared" ref="E193:F193" si="196">E183</f>
        <v>1842.07</v>
      </c>
      <c r="F193" s="5">
        <f t="shared" si="196"/>
        <v>0</v>
      </c>
      <c r="G193" s="5">
        <f t="shared" si="165"/>
        <v>1842.07</v>
      </c>
      <c r="H193" s="1">
        <f t="shared" si="148"/>
        <v>64343.505099999995</v>
      </c>
      <c r="I193" s="1">
        <f t="shared" si="149"/>
        <v>64398.767200000002</v>
      </c>
    </row>
    <row r="194" spans="1:9" x14ac:dyDescent="0.25">
      <c r="A194" t="s">
        <v>7</v>
      </c>
      <c r="B194" s="1">
        <v>18.14</v>
      </c>
      <c r="C194" s="1">
        <v>18.170000000000002</v>
      </c>
      <c r="D194" t="s">
        <v>33</v>
      </c>
      <c r="E194" s="5">
        <f t="shared" ref="E194:F194" si="197">E184</f>
        <v>3546.4650000000001</v>
      </c>
      <c r="F194" s="5">
        <f t="shared" si="197"/>
        <v>0</v>
      </c>
      <c r="G194" s="5">
        <f t="shared" ref="G194:G201" si="198">E194+F194</f>
        <v>3546.4650000000001</v>
      </c>
      <c r="H194" s="1">
        <f t="shared" si="148"/>
        <v>64332.875100000005</v>
      </c>
      <c r="I194" s="1">
        <f t="shared" si="149"/>
        <v>64439.26905000001</v>
      </c>
    </row>
    <row r="195" spans="1:9" x14ac:dyDescent="0.25">
      <c r="A195" t="s">
        <v>8</v>
      </c>
      <c r="B195" s="1">
        <v>28.45</v>
      </c>
      <c r="C195" s="1">
        <v>28.48</v>
      </c>
      <c r="D195" t="s">
        <v>33</v>
      </c>
      <c r="E195" s="5">
        <f t="shared" ref="E195:F195" si="199">E185</f>
        <v>2261.2950999999998</v>
      </c>
      <c r="F195" s="5">
        <f t="shared" si="199"/>
        <v>-0.1</v>
      </c>
      <c r="G195" s="5">
        <f t="shared" si="198"/>
        <v>2261.1950999999999</v>
      </c>
      <c r="H195" s="1">
        <f t="shared" si="148"/>
        <v>64331.000594999998</v>
      </c>
      <c r="I195" s="1">
        <f t="shared" si="149"/>
        <v>64398.836448000002</v>
      </c>
    </row>
    <row r="196" spans="1:9" x14ac:dyDescent="0.25">
      <c r="A196" t="s">
        <v>9</v>
      </c>
      <c r="B196" s="1">
        <v>67.64</v>
      </c>
      <c r="C196" s="1">
        <v>70.05</v>
      </c>
      <c r="D196" t="s">
        <v>33</v>
      </c>
      <c r="E196" s="5">
        <f t="shared" ref="E196:F196" si="200">E186</f>
        <v>946.10389999999995</v>
      </c>
      <c r="F196" s="5">
        <f t="shared" si="200"/>
        <v>0</v>
      </c>
      <c r="G196" s="5">
        <f t="shared" si="198"/>
        <v>946.10389999999995</v>
      </c>
      <c r="H196" s="1">
        <f t="shared" si="148"/>
        <v>63994.467795999997</v>
      </c>
      <c r="I196" s="1">
        <f t="shared" si="149"/>
        <v>66274.578194999995</v>
      </c>
    </row>
    <row r="197" spans="1:9" x14ac:dyDescent="0.25">
      <c r="A197" t="s">
        <v>10</v>
      </c>
      <c r="B197" s="1">
        <v>37.03</v>
      </c>
      <c r="C197" s="1">
        <v>37.26</v>
      </c>
      <c r="D197" t="s">
        <v>33</v>
      </c>
      <c r="E197" s="5">
        <f t="shared" ref="E197:F197" si="201">E187</f>
        <v>1730.1828</v>
      </c>
      <c r="F197" s="5">
        <f t="shared" si="201"/>
        <v>0</v>
      </c>
      <c r="G197" s="5">
        <f t="shared" si="198"/>
        <v>1730.1828</v>
      </c>
      <c r="H197" s="1">
        <f t="shared" si="148"/>
        <v>64068.669084000001</v>
      </c>
      <c r="I197" s="1">
        <f t="shared" si="149"/>
        <v>64466.611127999997</v>
      </c>
    </row>
    <row r="198" spans="1:9" x14ac:dyDescent="0.25">
      <c r="A198" t="s">
        <v>11</v>
      </c>
      <c r="B198" s="1">
        <v>56.02</v>
      </c>
      <c r="C198" s="1">
        <v>56.06</v>
      </c>
      <c r="D198" t="s">
        <v>33</v>
      </c>
      <c r="E198" s="5">
        <f t="shared" ref="E198:F198" si="202">E188</f>
        <v>1148.8136999999999</v>
      </c>
      <c r="F198" s="5">
        <f t="shared" si="202"/>
        <v>0</v>
      </c>
      <c r="G198" s="5">
        <f t="shared" si="198"/>
        <v>1148.8136999999999</v>
      </c>
      <c r="H198" s="1">
        <f t="shared" si="148"/>
        <v>64356.543473999998</v>
      </c>
      <c r="I198" s="1">
        <f t="shared" si="149"/>
        <v>64402.496021999999</v>
      </c>
    </row>
    <row r="199" spans="1:9" x14ac:dyDescent="0.25">
      <c r="A199" t="s">
        <v>12</v>
      </c>
      <c r="B199" s="1">
        <v>49.92</v>
      </c>
      <c r="C199" s="1">
        <v>49.97</v>
      </c>
      <c r="D199" t="s">
        <v>33</v>
      </c>
      <c r="E199" s="5">
        <f t="shared" ref="E199:F199" si="203">E189</f>
        <v>1288.7964999999999</v>
      </c>
      <c r="F199" s="5">
        <f t="shared" si="203"/>
        <v>0.05</v>
      </c>
      <c r="G199" s="5">
        <f t="shared" si="198"/>
        <v>1288.8464999999999</v>
      </c>
      <c r="H199" s="1">
        <f t="shared" si="148"/>
        <v>64339.217279999997</v>
      </c>
      <c r="I199" s="1">
        <f t="shared" si="149"/>
        <v>64403.659604999993</v>
      </c>
    </row>
    <row r="200" spans="1:9" x14ac:dyDescent="0.25">
      <c r="A200" t="s">
        <v>13</v>
      </c>
      <c r="B200" s="1">
        <v>18.190000000000001</v>
      </c>
      <c r="C200" s="1">
        <v>18.21</v>
      </c>
      <c r="D200" t="s">
        <v>33</v>
      </c>
      <c r="E200" s="5">
        <f t="shared" ref="E200:F200" si="204">E190</f>
        <v>3535.8029000000001</v>
      </c>
      <c r="F200" s="5">
        <f t="shared" si="204"/>
        <v>0</v>
      </c>
      <c r="G200" s="5">
        <f t="shared" si="198"/>
        <v>3535.8029000000001</v>
      </c>
      <c r="H200" s="1">
        <f t="shared" si="148"/>
        <v>64316.254751000008</v>
      </c>
      <c r="I200" s="1">
        <f t="shared" si="149"/>
        <v>64386.970809000006</v>
      </c>
    </row>
    <row r="201" spans="1:9" x14ac:dyDescent="0.25">
      <c r="A201" t="s">
        <v>14</v>
      </c>
      <c r="B201" s="1">
        <v>36.46</v>
      </c>
      <c r="C201" s="1">
        <v>36.47</v>
      </c>
      <c r="D201" t="s">
        <v>33</v>
      </c>
      <c r="E201" s="5">
        <f t="shared" ref="E201:F201" si="205">E191</f>
        <v>1764.9988000000001</v>
      </c>
      <c r="F201" s="5">
        <f t="shared" si="205"/>
        <v>0</v>
      </c>
      <c r="G201" s="5">
        <f t="shared" si="198"/>
        <v>1764.9988000000001</v>
      </c>
      <c r="H201" s="1">
        <f t="shared" si="148"/>
        <v>64351.856248000004</v>
      </c>
      <c r="I201" s="1">
        <f t="shared" si="149"/>
        <v>64369.506236000001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7FB12-C788-49A5-8E4E-0B3D1C0616E2}">
  <dimension ref="A1:O22"/>
  <sheetViews>
    <sheetView tabSelected="1" workbookViewId="0">
      <selection sqref="A1:XFD1048576"/>
    </sheetView>
  </sheetViews>
  <sheetFormatPr defaultRowHeight="15" x14ac:dyDescent="0.25"/>
  <cols>
    <col min="1" max="1" width="19" bestFit="1" customWidth="1"/>
    <col min="2" max="2" width="14.28515625" bestFit="1" customWidth="1"/>
    <col min="3" max="3" width="14.140625" bestFit="1" customWidth="1"/>
    <col min="4" max="4" width="12.7109375" customWidth="1"/>
    <col min="5" max="5" width="9.28515625" style="9" bestFit="1" customWidth="1"/>
    <col min="6" max="6" width="9.5703125" style="9" bestFit="1" customWidth="1"/>
    <col min="8" max="11" width="10.85546875" customWidth="1"/>
    <col min="12" max="12" width="11.5703125" style="5" bestFit="1" customWidth="1"/>
    <col min="13" max="13" width="11.28515625" style="1" bestFit="1" customWidth="1"/>
    <col min="14" max="14" width="10.85546875" style="1" customWidth="1"/>
  </cols>
  <sheetData>
    <row r="1" spans="1:15" x14ac:dyDescent="0.25">
      <c r="A1" s="17" t="s">
        <v>39</v>
      </c>
      <c r="B1" t="s">
        <v>40</v>
      </c>
      <c r="C1" t="s">
        <v>41</v>
      </c>
      <c r="D1" s="6" t="s">
        <v>42</v>
      </c>
      <c r="E1" s="6" t="s">
        <v>43</v>
      </c>
      <c r="F1" s="6" t="s">
        <v>44</v>
      </c>
    </row>
    <row r="2" spans="1:15" x14ac:dyDescent="0.25">
      <c r="A2" s="7" t="s">
        <v>5</v>
      </c>
      <c r="B2" s="8">
        <v>65645.067150000003</v>
      </c>
      <c r="C2" s="8">
        <v>65640.305372000003</v>
      </c>
      <c r="D2" s="8">
        <f>B2-C2</f>
        <v>4.7617780000000494</v>
      </c>
      <c r="E2" s="9" t="str">
        <f>_xlfn.XLOOKUP(B2,Table1[unit bid],Table1[my_fi_name])</f>
        <v>BRRR</v>
      </c>
      <c r="F2" s="9" t="str">
        <f>_xlfn.XLOOKUP(C2,Table1[unit ask],Table1[my_fi_name])</f>
        <v>IBIT</v>
      </c>
      <c r="I2" s="10" t="s">
        <v>45</v>
      </c>
      <c r="J2" s="10" t="s">
        <v>46</v>
      </c>
      <c r="K2" s="10" t="s">
        <v>42</v>
      </c>
      <c r="L2" s="11" t="s">
        <v>47</v>
      </c>
      <c r="M2" s="12" t="s">
        <v>48</v>
      </c>
      <c r="N2" s="10" t="s">
        <v>49</v>
      </c>
    </row>
    <row r="3" spans="1:15" x14ac:dyDescent="0.25">
      <c r="A3" s="7" t="s">
        <v>15</v>
      </c>
      <c r="B3" s="8">
        <v>65769.836895</v>
      </c>
      <c r="C3" s="8">
        <v>65763.855288000006</v>
      </c>
      <c r="D3" s="8">
        <f t="shared" ref="D3:D21" si="0">B3-C3</f>
        <v>5.9816069999942556</v>
      </c>
      <c r="E3" s="9" t="str">
        <f>_xlfn.XLOOKUP(B3,Table1[unit bid],Table1[my_fi_name])</f>
        <v>GBTC</v>
      </c>
      <c r="F3" s="9" t="str">
        <f>_xlfn.XLOOKUP(C3,Table1[unit ask],Table1[my_fi_name])</f>
        <v>IBIT</v>
      </c>
      <c r="G3" s="13"/>
      <c r="H3" s="13" t="s">
        <v>4</v>
      </c>
      <c r="I3">
        <f t="shared" ref="I3:I12" si="1">COUNTIF(E:E,H3)</f>
        <v>2</v>
      </c>
      <c r="J3">
        <f t="shared" ref="J3:J12" si="2">COUNTIF(F:F,H3)</f>
        <v>0</v>
      </c>
      <c r="K3">
        <f>I3-J3</f>
        <v>2</v>
      </c>
      <c r="L3" s="4"/>
      <c r="M3" s="1">
        <f>'[1]ETF_2026-06-16'!C2</f>
        <v>21.94</v>
      </c>
      <c r="N3" s="1">
        <f>L3*M3</f>
        <v>0</v>
      </c>
      <c r="O3" s="14">
        <f t="shared" ref="O3:O12" si="3">N3/C3</f>
        <v>0</v>
      </c>
    </row>
    <row r="4" spans="1:15" x14ac:dyDescent="0.25">
      <c r="A4" s="7" t="s">
        <v>16</v>
      </c>
      <c r="B4" s="8">
        <v>65715.996450000006</v>
      </c>
      <c r="C4" s="8">
        <v>65710.905323999992</v>
      </c>
      <c r="D4" s="8">
        <f t="shared" si="0"/>
        <v>5.0911260000139009</v>
      </c>
      <c r="E4" s="9" t="str">
        <f>_xlfn.XLOOKUP(B4,Table1[unit bid],Table1[my_fi_name])</f>
        <v>BRRR</v>
      </c>
      <c r="F4" s="9" t="str">
        <f>_xlfn.XLOOKUP(C4,Table1[unit ask],Table1[my_fi_name])</f>
        <v>IBIT</v>
      </c>
      <c r="G4" s="13"/>
      <c r="H4" s="13" t="s">
        <v>6</v>
      </c>
      <c r="I4">
        <f t="shared" si="1"/>
        <v>0</v>
      </c>
      <c r="J4">
        <f t="shared" si="2"/>
        <v>1</v>
      </c>
      <c r="K4">
        <f t="shared" ref="K4:K12" si="4">I4-J4</f>
        <v>-1</v>
      </c>
      <c r="L4" s="4"/>
      <c r="M4" s="1">
        <f>'[1]ETF_2026-06-16'!C3</f>
        <v>35.909999999999997</v>
      </c>
      <c r="N4" s="1">
        <f>L4*M4</f>
        <v>0</v>
      </c>
      <c r="O4" s="14">
        <f t="shared" si="3"/>
        <v>0</v>
      </c>
    </row>
    <row r="5" spans="1:15" x14ac:dyDescent="0.25">
      <c r="A5" s="7" t="s">
        <v>17</v>
      </c>
      <c r="B5" s="8">
        <v>66130.713915</v>
      </c>
      <c r="C5" s="8">
        <v>66130.312999999995</v>
      </c>
      <c r="D5" s="8">
        <f t="shared" si="0"/>
        <v>0.40091500000562519</v>
      </c>
      <c r="E5" s="9" t="str">
        <f>_xlfn.XLOOKUP(B5,Table1[unit bid],Table1[my_fi_name])</f>
        <v>GBTC</v>
      </c>
      <c r="F5" s="9" t="str">
        <f>_xlfn.XLOOKUP(C5,Table1[unit ask],Table1[my_fi_name])</f>
        <v>BITB</v>
      </c>
      <c r="G5" s="13"/>
      <c r="H5" s="13" t="s">
        <v>7</v>
      </c>
      <c r="I5">
        <f t="shared" si="1"/>
        <v>2</v>
      </c>
      <c r="J5">
        <f t="shared" si="2"/>
        <v>0</v>
      </c>
      <c r="K5">
        <f t="shared" si="4"/>
        <v>2</v>
      </c>
      <c r="L5" s="4"/>
      <c r="M5" s="1">
        <f>'[1]ETF_2026-06-16'!C4</f>
        <v>18.66</v>
      </c>
      <c r="N5" s="1">
        <f t="shared" ref="N5:N12" si="5">L5*M5</f>
        <v>0</v>
      </c>
      <c r="O5" s="14">
        <f t="shared" si="3"/>
        <v>0</v>
      </c>
    </row>
    <row r="6" spans="1:15" x14ac:dyDescent="0.25">
      <c r="A6" s="7" t="s">
        <v>18</v>
      </c>
      <c r="B6" s="8">
        <v>65936.449116000003</v>
      </c>
      <c r="C6" s="8">
        <v>65940.355167999995</v>
      </c>
      <c r="D6" s="8">
        <f t="shared" si="0"/>
        <v>-3.9060519999911776</v>
      </c>
      <c r="E6" s="9" t="str">
        <f>_xlfn.XLOOKUP(B6,Table1[unit bid],Table1[my_fi_name])</f>
        <v>BTC</v>
      </c>
      <c r="F6" s="9" t="str">
        <f>_xlfn.XLOOKUP(C6,Table1[unit ask],Table1[my_fi_name])</f>
        <v>IBIT</v>
      </c>
      <c r="G6" s="13"/>
      <c r="H6" s="13" t="s">
        <v>8</v>
      </c>
      <c r="I6">
        <f t="shared" si="1"/>
        <v>5</v>
      </c>
      <c r="J6">
        <f t="shared" si="2"/>
        <v>0</v>
      </c>
      <c r="K6">
        <f t="shared" si="4"/>
        <v>5</v>
      </c>
      <c r="L6" s="4">
        <v>-0.1</v>
      </c>
      <c r="M6" s="1">
        <f>'[1]ETF_2026-06-16'!C5</f>
        <v>29.26</v>
      </c>
      <c r="N6" s="1">
        <f t="shared" si="5"/>
        <v>-2.9260000000000002</v>
      </c>
      <c r="O6" s="14">
        <f t="shared" si="3"/>
        <v>-4.4373434030576017E-5</v>
      </c>
    </row>
    <row r="7" spans="1:15" x14ac:dyDescent="0.25">
      <c r="A7" s="7" t="s">
        <v>19</v>
      </c>
      <c r="B7" s="8">
        <v>65847.167684999993</v>
      </c>
      <c r="C7" s="8">
        <v>65834.455239999996</v>
      </c>
      <c r="D7" s="8">
        <f t="shared" si="0"/>
        <v>12.712444999997388</v>
      </c>
      <c r="E7" s="9" t="str">
        <f>_xlfn.XLOOKUP(B7,Table1[unit bid],Table1[my_fi_name])</f>
        <v>GBTC</v>
      </c>
      <c r="F7" s="9" t="str">
        <f>_xlfn.XLOOKUP(C7,Table1[unit ask],Table1[my_fi_name])</f>
        <v>IBIT</v>
      </c>
      <c r="G7" s="13"/>
      <c r="H7" s="13" t="s">
        <v>9</v>
      </c>
      <c r="I7">
        <f t="shared" si="1"/>
        <v>1</v>
      </c>
      <c r="J7">
        <f t="shared" si="2"/>
        <v>0</v>
      </c>
      <c r="K7">
        <f t="shared" si="4"/>
        <v>1</v>
      </c>
      <c r="L7" s="4"/>
      <c r="M7" s="1">
        <f>'[1]ETF_2026-06-16'!C6</f>
        <v>69.95</v>
      </c>
      <c r="N7" s="1">
        <f t="shared" si="5"/>
        <v>0</v>
      </c>
      <c r="O7" s="14">
        <f t="shared" si="3"/>
        <v>0</v>
      </c>
    </row>
    <row r="8" spans="1:15" x14ac:dyDescent="0.25">
      <c r="A8" s="7" t="s">
        <v>20</v>
      </c>
      <c r="B8" s="8">
        <v>65874.741255000001</v>
      </c>
      <c r="C8" s="8">
        <v>65869.755216000005</v>
      </c>
      <c r="D8" s="8">
        <f t="shared" si="0"/>
        <v>4.9860389999957988</v>
      </c>
      <c r="E8" s="9" t="str">
        <f>_xlfn.XLOOKUP(B8,Table1[unit bid],Table1[my_fi_name])</f>
        <v>ARKB</v>
      </c>
      <c r="F8" s="9" t="str">
        <f>_xlfn.XLOOKUP(C8,Table1[unit ask],Table1[my_fi_name])</f>
        <v>IBIT</v>
      </c>
      <c r="G8" s="13"/>
      <c r="H8" s="13" t="s">
        <v>10</v>
      </c>
      <c r="I8">
        <f t="shared" si="1"/>
        <v>0</v>
      </c>
      <c r="J8">
        <f t="shared" si="2"/>
        <v>0</v>
      </c>
      <c r="K8">
        <f t="shared" si="4"/>
        <v>0</v>
      </c>
      <c r="L8" s="4"/>
      <c r="M8" s="1">
        <f>'[1]ETF_2026-06-16'!C7</f>
        <v>38.229999999999997</v>
      </c>
      <c r="N8" s="1">
        <f t="shared" si="5"/>
        <v>0</v>
      </c>
      <c r="O8" s="14">
        <f t="shared" si="3"/>
        <v>0</v>
      </c>
    </row>
    <row r="9" spans="1:15" x14ac:dyDescent="0.25">
      <c r="A9" s="7" t="s">
        <v>21</v>
      </c>
      <c r="B9" s="8">
        <v>65895.953831999999</v>
      </c>
      <c r="C9" s="8">
        <v>65887.405203999995</v>
      </c>
      <c r="D9" s="8">
        <f t="shared" si="0"/>
        <v>8.5486280000041006</v>
      </c>
      <c r="E9" s="9" t="str">
        <f>_xlfn.XLOOKUP(B9,Table1[unit bid],Table1[my_fi_name])</f>
        <v>FBTC</v>
      </c>
      <c r="F9" s="9" t="str">
        <f>_xlfn.XLOOKUP(C9,Table1[unit ask],Table1[my_fi_name])</f>
        <v>IBIT</v>
      </c>
      <c r="G9" s="13"/>
      <c r="H9" s="13" t="s">
        <v>11</v>
      </c>
      <c r="I9">
        <f t="shared" si="1"/>
        <v>3</v>
      </c>
      <c r="J9">
        <f t="shared" si="2"/>
        <v>1</v>
      </c>
      <c r="K9">
        <f t="shared" si="4"/>
        <v>2</v>
      </c>
      <c r="L9" s="4"/>
      <c r="M9" s="1">
        <f>'[1]ETF_2026-06-16'!C8</f>
        <v>57.58</v>
      </c>
      <c r="N9" s="1">
        <f t="shared" si="5"/>
        <v>0</v>
      </c>
      <c r="O9" s="14">
        <f t="shared" si="3"/>
        <v>0</v>
      </c>
    </row>
    <row r="10" spans="1:15" x14ac:dyDescent="0.25">
      <c r="A10" s="7" t="s">
        <v>22</v>
      </c>
      <c r="B10" s="8">
        <v>65808.502289999989</v>
      </c>
      <c r="C10" s="8">
        <v>65799.155264000001</v>
      </c>
      <c r="D10" s="8">
        <f t="shared" si="0"/>
        <v>9.3470259999885457</v>
      </c>
      <c r="E10" s="9" t="str">
        <f>_xlfn.XLOOKUP(B10,Table1[unit bid],Table1[my_fi_name])</f>
        <v>GBTC</v>
      </c>
      <c r="F10" s="9" t="str">
        <f>_xlfn.XLOOKUP(C10,Table1[unit ask],Table1[my_fi_name])</f>
        <v>IBIT</v>
      </c>
      <c r="G10" s="13"/>
      <c r="H10" s="13" t="s">
        <v>12</v>
      </c>
      <c r="I10">
        <f t="shared" si="1"/>
        <v>6</v>
      </c>
      <c r="J10">
        <f t="shared" si="2"/>
        <v>0</v>
      </c>
      <c r="K10">
        <f t="shared" si="4"/>
        <v>6</v>
      </c>
      <c r="L10" s="4">
        <v>0.05</v>
      </c>
      <c r="M10" s="1">
        <f>'[1]ETF_2026-06-16'!C9</f>
        <v>51.32</v>
      </c>
      <c r="N10" s="1">
        <f t="shared" si="5"/>
        <v>2.5660000000000003</v>
      </c>
      <c r="O10" s="14">
        <f t="shared" si="3"/>
        <v>3.8997461133120485E-5</v>
      </c>
    </row>
    <row r="11" spans="1:15" x14ac:dyDescent="0.25">
      <c r="A11" s="7" t="s">
        <v>23</v>
      </c>
      <c r="B11" s="8">
        <v>66004.284969</v>
      </c>
      <c r="C11" s="8">
        <v>65993.305132000009</v>
      </c>
      <c r="D11" s="8">
        <f t="shared" si="0"/>
        <v>10.979836999991676</v>
      </c>
      <c r="E11" s="9" t="str">
        <f>_xlfn.XLOOKUP(B11,Table1[unit bid],Table1[my_fi_name])</f>
        <v>BTC</v>
      </c>
      <c r="F11" s="9" t="str">
        <f>_xlfn.XLOOKUP(C11,Table1[unit ask],Table1[my_fi_name])</f>
        <v>IBIT</v>
      </c>
      <c r="G11" s="13"/>
      <c r="H11" s="13" t="s">
        <v>13</v>
      </c>
      <c r="I11">
        <f t="shared" si="1"/>
        <v>1</v>
      </c>
      <c r="J11">
        <f t="shared" si="2"/>
        <v>0</v>
      </c>
      <c r="K11">
        <f t="shared" si="4"/>
        <v>1</v>
      </c>
      <c r="L11" s="4"/>
      <c r="M11" s="1">
        <f>'[1]ETF_2026-06-16'!C10</f>
        <v>18.71</v>
      </c>
      <c r="N11" s="1">
        <f t="shared" si="5"/>
        <v>0</v>
      </c>
      <c r="O11" s="14">
        <f t="shared" si="3"/>
        <v>0</v>
      </c>
    </row>
    <row r="12" spans="1:15" x14ac:dyDescent="0.25">
      <c r="A12" s="7" t="s">
        <v>24</v>
      </c>
      <c r="B12" s="8">
        <v>65325.926438999995</v>
      </c>
      <c r="C12" s="8">
        <v>65322.605587999999</v>
      </c>
      <c r="D12" s="8">
        <f>B12-C12</f>
        <v>3.3208509999967646</v>
      </c>
      <c r="E12" s="9" t="str">
        <f>_xlfn.XLOOKUP(B12,Table1[unit bid],Table1[my_fi_name])</f>
        <v>BTC</v>
      </c>
      <c r="F12" s="9" t="str">
        <f>_xlfn.XLOOKUP(C12,Table1[unit ask],Table1[my_fi_name])</f>
        <v>IBIT</v>
      </c>
      <c r="G12" s="13"/>
      <c r="H12" s="13" t="s">
        <v>14</v>
      </c>
      <c r="I12" s="15">
        <f t="shared" si="1"/>
        <v>0</v>
      </c>
      <c r="J12" s="15">
        <f t="shared" si="2"/>
        <v>18</v>
      </c>
      <c r="K12" s="15">
        <f t="shared" si="4"/>
        <v>-18</v>
      </c>
      <c r="L12" s="4"/>
      <c r="M12" s="1">
        <f>'[1]ETF_2026-06-16'!C11</f>
        <v>37.479999999999997</v>
      </c>
      <c r="N12" s="1">
        <f t="shared" si="5"/>
        <v>0</v>
      </c>
      <c r="O12" s="14">
        <f t="shared" si="3"/>
        <v>0</v>
      </c>
    </row>
    <row r="13" spans="1:15" x14ac:dyDescent="0.25">
      <c r="A13" s="7" t="s">
        <v>25</v>
      </c>
      <c r="B13" s="8">
        <v>65303.314487999996</v>
      </c>
      <c r="C13" s="8">
        <v>65298.570707999999</v>
      </c>
      <c r="D13" s="8">
        <f t="shared" si="0"/>
        <v>4.7437799999970593</v>
      </c>
      <c r="E13" s="9" t="str">
        <f>_xlfn.XLOOKUP(B13,Table1[unit bid],Table1[my_fi_name])</f>
        <v>BTC</v>
      </c>
      <c r="F13" s="9" t="str">
        <f>_xlfn.XLOOKUP(C13,Table1[unit ask],Table1[my_fi_name])</f>
        <v>FBTC</v>
      </c>
      <c r="G13" s="13"/>
      <c r="H13" s="13"/>
      <c r="I13">
        <f>SUM(I3:I12)</f>
        <v>20</v>
      </c>
      <c r="J13">
        <f t="shared" ref="J13:K13" si="6">SUM(J3:J12)</f>
        <v>20</v>
      </c>
      <c r="K13">
        <f t="shared" si="6"/>
        <v>0</v>
      </c>
    </row>
    <row r="14" spans="1:15" x14ac:dyDescent="0.25">
      <c r="A14" s="7" t="s">
        <v>26</v>
      </c>
      <c r="B14" s="8">
        <v>65620.238543999993</v>
      </c>
      <c r="C14" s="8">
        <v>65622.655383999998</v>
      </c>
      <c r="D14" s="8">
        <f t="shared" si="0"/>
        <v>-2.4168400000053225</v>
      </c>
      <c r="E14" s="9" t="str">
        <f>_xlfn.XLOOKUP(B14,Table1[unit bid],Table1[my_fi_name])</f>
        <v>FBTC</v>
      </c>
      <c r="F14" s="9" t="str">
        <f>_xlfn.XLOOKUP(C14,Table1[unit ask],Table1[my_fi_name])</f>
        <v>IBIT</v>
      </c>
    </row>
    <row r="15" spans="1:15" x14ac:dyDescent="0.25">
      <c r="A15" s="7" t="s">
        <v>27</v>
      </c>
      <c r="B15" s="8">
        <v>65602.286849999989</v>
      </c>
      <c r="C15" s="8">
        <v>65587.355408000003</v>
      </c>
      <c r="D15" s="8">
        <f t="shared" si="0"/>
        <v>14.931441999986419</v>
      </c>
      <c r="E15" s="9" t="str">
        <f>_xlfn.XLOOKUP(B15,Table1[unit bid],Table1[my_fi_name])</f>
        <v>GBTC</v>
      </c>
      <c r="F15" s="9" t="str">
        <f>_xlfn.XLOOKUP(C15,Table1[unit ask],Table1[my_fi_name])</f>
        <v>IBIT</v>
      </c>
    </row>
    <row r="16" spans="1:15" x14ac:dyDescent="0.25">
      <c r="A16" s="7" t="s">
        <v>28</v>
      </c>
      <c r="B16" s="8">
        <v>65057.319831000001</v>
      </c>
      <c r="C16" s="8">
        <v>65040.205780000004</v>
      </c>
      <c r="D16" s="8">
        <f t="shared" si="0"/>
        <v>17.114050999996834</v>
      </c>
      <c r="E16" s="9" t="str">
        <f>_xlfn.XLOOKUP(B16,Table1[unit bid],Table1[my_fi_name])</f>
        <v>FBTC</v>
      </c>
      <c r="F16" s="9" t="str">
        <f>_xlfn.XLOOKUP(C16,Table1[unit ask],Table1[my_fi_name])</f>
        <v>IBIT</v>
      </c>
    </row>
    <row r="17" spans="1:6" x14ac:dyDescent="0.25">
      <c r="A17" s="7" t="s">
        <v>29</v>
      </c>
      <c r="B17" s="8">
        <v>64775.909128000007</v>
      </c>
      <c r="C17" s="8">
        <v>64775.455960000007</v>
      </c>
      <c r="D17" s="8">
        <f t="shared" si="0"/>
        <v>0.45316800000000512</v>
      </c>
      <c r="E17" s="9" t="str">
        <f>_xlfn.XLOOKUP(B17,Table1[unit bid],Table1[my_fi_name])</f>
        <v>HODL</v>
      </c>
      <c r="F17" s="9" t="str">
        <f>_xlfn.XLOOKUP(C17,Table1[unit ask],Table1[my_fi_name])</f>
        <v>IBIT</v>
      </c>
    </row>
    <row r="18" spans="1:6" x14ac:dyDescent="0.25">
      <c r="A18" s="7" t="s">
        <v>30</v>
      </c>
      <c r="B18" s="8">
        <v>64150.104986999999</v>
      </c>
      <c r="C18" s="8">
        <v>64140.056392000006</v>
      </c>
      <c r="D18" s="8">
        <f t="shared" si="0"/>
        <v>10.048594999992929</v>
      </c>
      <c r="E18" s="9" t="str">
        <f>_xlfn.XLOOKUP(B18,Table1[unit bid],Table1[my_fi_name])</f>
        <v>BTC</v>
      </c>
      <c r="F18" s="9" t="str">
        <f>_xlfn.XLOOKUP(C18,Table1[unit ask],Table1[my_fi_name])</f>
        <v>IBIT</v>
      </c>
    </row>
    <row r="19" spans="1:6" x14ac:dyDescent="0.25">
      <c r="A19" s="7" t="s">
        <v>31</v>
      </c>
      <c r="B19" s="8">
        <v>64136.383381</v>
      </c>
      <c r="C19" s="8">
        <v>64104.756416000004</v>
      </c>
      <c r="D19" s="8">
        <f t="shared" si="0"/>
        <v>31.626964999995835</v>
      </c>
      <c r="E19" s="9" t="str">
        <f>_xlfn.XLOOKUP(B19,Table1[unit bid],Table1[my_fi_name])</f>
        <v>BTCW</v>
      </c>
      <c r="F19" s="9" t="str">
        <f>_xlfn.XLOOKUP(C19,Table1[unit ask],Table1[my_fi_name])</f>
        <v>IBIT</v>
      </c>
    </row>
    <row r="20" spans="1:6" x14ac:dyDescent="0.25">
      <c r="A20" s="7" t="s">
        <v>32</v>
      </c>
      <c r="B20" s="8">
        <v>64274.774954999993</v>
      </c>
      <c r="C20" s="8">
        <v>64245.956319999998</v>
      </c>
      <c r="D20" s="8">
        <f t="shared" si="0"/>
        <v>28.818634999995993</v>
      </c>
      <c r="E20" s="9" t="str">
        <f>_xlfn.XLOOKUP(B20,Table1[unit bid],Table1[my_fi_name])</f>
        <v>GBTC</v>
      </c>
      <c r="F20" s="9" t="str">
        <f>_xlfn.XLOOKUP(C20,Table1[unit ask],Table1[my_fi_name])</f>
        <v>IBIT</v>
      </c>
    </row>
    <row r="21" spans="1:6" ht="17.25" x14ac:dyDescent="0.4">
      <c r="A21" s="7" t="s">
        <v>33</v>
      </c>
      <c r="B21" s="8">
        <v>64367.310104999997</v>
      </c>
      <c r="C21" s="8">
        <v>64369.506236000001</v>
      </c>
      <c r="D21" s="16">
        <f t="shared" si="0"/>
        <v>-2.1961310000042431</v>
      </c>
      <c r="E21" s="9" t="str">
        <f>_xlfn.XLOOKUP(B21,Table1[unit bid],Table1[my_fi_name])</f>
        <v>ARKB</v>
      </c>
      <c r="F21" s="9" t="str">
        <f>_xlfn.XLOOKUP(C21,Table1[unit ask],Table1[my_fi_name])</f>
        <v>IBIT</v>
      </c>
    </row>
    <row r="22" spans="1:6" x14ac:dyDescent="0.25">
      <c r="D22" s="8">
        <f>SUM(D2:D21)</f>
        <v>165.34786499995244</v>
      </c>
    </row>
  </sheetData>
  <conditionalFormatting sqref="K3:K12">
    <cfRule type="top10" dxfId="1" priority="1" bottom="1" rank="3"/>
    <cfRule type="top10" dxfId="0" priority="2" rank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ETF_2026-06-17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2026-06-17T20:38:35Z</dcterms:created>
  <dcterms:modified xsi:type="dcterms:W3CDTF">2026-06-23T14:09:01Z</dcterms:modified>
</cp:coreProperties>
</file>