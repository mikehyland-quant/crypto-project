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spreadsheets\"/>
    </mc:Choice>
  </mc:AlternateContent>
  <xr:revisionPtr revIDLastSave="0" documentId="13_ncr:1_{1368B169-CD95-4B28-920C-B30A47E8EF8A}" xr6:coauthVersionLast="47" xr6:coauthVersionMax="47" xr10:uidLastSave="{00000000-0000-0000-0000-000000000000}"/>
  <bookViews>
    <workbookView xWindow="18015" yWindow="1545" windowWidth="29325" windowHeight="12930" activeTab="1" xr2:uid="{DD36C476-49BC-4810-BFDE-4CBCF3ED46BF}"/>
  </bookViews>
  <sheets>
    <sheet name="ETF_2026-06-11" sheetId="1" r:id="rId1"/>
    <sheet name="Sheet1" sheetId="2" r:id="rId2"/>
  </sheets>
  <externalReferences>
    <externalReference r:id="rId3"/>
    <externalReference r:id="rId4"/>
  </externalReferences>
  <calcPr calcId="191029"/>
  <pivotCaches>
    <pivotCache cacheId="156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2" l="1"/>
  <c r="R2" i="2"/>
  <c r="Q2" i="2"/>
  <c r="L4" i="2"/>
  <c r="L5" i="2"/>
  <c r="L6" i="2"/>
  <c r="L7" i="2"/>
  <c r="L8" i="2"/>
  <c r="L9" i="2"/>
  <c r="L10" i="2"/>
  <c r="L11" i="2"/>
  <c r="L12" i="2"/>
  <c r="L3" i="2"/>
  <c r="M4" i="2"/>
  <c r="M5" i="2"/>
  <c r="M6" i="2"/>
  <c r="M7" i="2"/>
  <c r="M8" i="2"/>
  <c r="M9" i="2"/>
  <c r="M10" i="2"/>
  <c r="M11" i="2"/>
  <c r="M12" i="2"/>
  <c r="M3" i="2"/>
  <c r="N3" i="2"/>
  <c r="F4" i="1"/>
  <c r="F5" i="1"/>
  <c r="F6" i="1"/>
  <c r="F7" i="1"/>
  <c r="F8" i="1"/>
  <c r="F9" i="1"/>
  <c r="F10" i="1"/>
  <c r="F11" i="1"/>
  <c r="F2" i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" i="2"/>
  <c r="F3" i="1" l="1"/>
  <c r="D27" i="2"/>
  <c r="N12" i="2"/>
  <c r="O12" i="2" s="1"/>
  <c r="N11" i="2"/>
  <c r="O11" i="2" s="1"/>
  <c r="N10" i="2"/>
  <c r="O10" i="2" s="1"/>
  <c r="N9" i="2"/>
  <c r="O9" i="2" s="1"/>
  <c r="N8" i="2"/>
  <c r="O8" i="2" s="1"/>
  <c r="N7" i="2"/>
  <c r="O7" i="2" s="1"/>
  <c r="N6" i="2"/>
  <c r="O6" i="2" s="1"/>
  <c r="N5" i="2"/>
  <c r="O5" i="2" s="1"/>
  <c r="N4" i="2"/>
  <c r="O4" i="2" s="1"/>
  <c r="O3" i="2"/>
  <c r="F13" i="1"/>
  <c r="F23" i="1" s="1"/>
  <c r="F33" i="1" s="1"/>
  <c r="F43" i="1" s="1"/>
  <c r="F14" i="1"/>
  <c r="F24" i="1" s="1"/>
  <c r="F34" i="1" s="1"/>
  <c r="F44" i="1" s="1"/>
  <c r="F54" i="1" s="1"/>
  <c r="F64" i="1" s="1"/>
  <c r="F19" i="1"/>
  <c r="F29" i="1" s="1"/>
  <c r="F21" i="1"/>
  <c r="F31" i="1" s="1"/>
  <c r="F41" i="1" s="1"/>
  <c r="F12" i="1"/>
  <c r="F22" i="1" s="1"/>
  <c r="F32" i="1" s="1"/>
  <c r="F42" i="1" s="1"/>
  <c r="F52" i="1" s="1"/>
  <c r="F62" i="1" s="1"/>
  <c r="F72" i="1" s="1"/>
  <c r="F82" i="1" s="1"/>
  <c r="F92" i="1" s="1"/>
  <c r="F102" i="1" s="1"/>
  <c r="F112" i="1" s="1"/>
  <c r="F122" i="1" s="1"/>
  <c r="F132" i="1" s="1"/>
  <c r="F142" i="1" s="1"/>
  <c r="F152" i="1" s="1"/>
  <c r="F162" i="1" s="1"/>
  <c r="F172" i="1" s="1"/>
  <c r="F182" i="1" s="1"/>
  <c r="F192" i="1" s="1"/>
  <c r="F202" i="1" s="1"/>
  <c r="F212" i="1" s="1"/>
  <c r="F222" i="1" s="1"/>
  <c r="F232" i="1" s="1"/>
  <c r="F242" i="1" s="1"/>
  <c r="F15" i="1"/>
  <c r="F25" i="1" s="1"/>
  <c r="F35" i="1" s="1"/>
  <c r="F45" i="1" s="1"/>
  <c r="F55" i="1" s="1"/>
  <c r="F65" i="1" s="1"/>
  <c r="F75" i="1" s="1"/>
  <c r="F85" i="1" s="1"/>
  <c r="F95" i="1" s="1"/>
  <c r="F105" i="1" s="1"/>
  <c r="F115" i="1" s="1"/>
  <c r="F125" i="1" s="1"/>
  <c r="F135" i="1" s="1"/>
  <c r="F145" i="1" s="1"/>
  <c r="F155" i="1" s="1"/>
  <c r="F165" i="1" s="1"/>
  <c r="F175" i="1" s="1"/>
  <c r="F185" i="1" s="1"/>
  <c r="F195" i="1" s="1"/>
  <c r="F205" i="1" s="1"/>
  <c r="F215" i="1" s="1"/>
  <c r="F225" i="1" s="1"/>
  <c r="F235" i="1" s="1"/>
  <c r="F245" i="1" s="1"/>
  <c r="F16" i="1"/>
  <c r="F26" i="1" s="1"/>
  <c r="F36" i="1" s="1"/>
  <c r="F46" i="1" s="1"/>
  <c r="F56" i="1" s="1"/>
  <c r="F66" i="1" s="1"/>
  <c r="F76" i="1" s="1"/>
  <c r="F86" i="1" s="1"/>
  <c r="F96" i="1" s="1"/>
  <c r="F106" i="1" s="1"/>
  <c r="F116" i="1" s="1"/>
  <c r="F126" i="1" s="1"/>
  <c r="F136" i="1" s="1"/>
  <c r="F146" i="1" s="1"/>
  <c r="F156" i="1" s="1"/>
  <c r="F166" i="1" s="1"/>
  <c r="F176" i="1" s="1"/>
  <c r="F186" i="1" s="1"/>
  <c r="F196" i="1" s="1"/>
  <c r="F206" i="1" s="1"/>
  <c r="F216" i="1" s="1"/>
  <c r="F226" i="1" s="1"/>
  <c r="F236" i="1" s="1"/>
  <c r="F246" i="1" s="1"/>
  <c r="F17" i="1"/>
  <c r="F27" i="1" s="1"/>
  <c r="F37" i="1" s="1"/>
  <c r="F47" i="1" s="1"/>
  <c r="F57" i="1" s="1"/>
  <c r="F67" i="1" s="1"/>
  <c r="F77" i="1" s="1"/>
  <c r="F87" i="1" s="1"/>
  <c r="F97" i="1" s="1"/>
  <c r="F107" i="1" s="1"/>
  <c r="F117" i="1" s="1"/>
  <c r="F127" i="1" s="1"/>
  <c r="F137" i="1" s="1"/>
  <c r="F147" i="1" s="1"/>
  <c r="F157" i="1" s="1"/>
  <c r="F167" i="1" s="1"/>
  <c r="F177" i="1" s="1"/>
  <c r="F187" i="1" s="1"/>
  <c r="F197" i="1" s="1"/>
  <c r="F207" i="1" s="1"/>
  <c r="F217" i="1" s="1"/>
  <c r="F227" i="1" s="1"/>
  <c r="F237" i="1" s="1"/>
  <c r="F247" i="1" s="1"/>
  <c r="F18" i="1"/>
  <c r="F28" i="1" s="1"/>
  <c r="F38" i="1" s="1"/>
  <c r="F48" i="1" s="1"/>
  <c r="F58" i="1" s="1"/>
  <c r="F68" i="1" s="1"/>
  <c r="F78" i="1" s="1"/>
  <c r="F88" i="1" s="1"/>
  <c r="F98" i="1" s="1"/>
  <c r="F108" i="1" s="1"/>
  <c r="F118" i="1" s="1"/>
  <c r="F128" i="1" s="1"/>
  <c r="F138" i="1" s="1"/>
  <c r="F148" i="1" s="1"/>
  <c r="F158" i="1" s="1"/>
  <c r="F168" i="1" s="1"/>
  <c r="F178" i="1" s="1"/>
  <c r="F188" i="1" s="1"/>
  <c r="F20" i="1"/>
  <c r="F30" i="1" s="1"/>
  <c r="F40" i="1" s="1"/>
  <c r="F50" i="1" s="1"/>
  <c r="F60" i="1" s="1"/>
  <c r="F70" i="1" s="1"/>
  <c r="F80" i="1" s="1"/>
  <c r="F90" i="1" s="1"/>
  <c r="F100" i="1" s="1"/>
  <c r="F110" i="1" s="1"/>
  <c r="F120" i="1" s="1"/>
  <c r="F130" i="1" s="1"/>
  <c r="F140" i="1" s="1"/>
  <c r="F150" i="1" s="1"/>
  <c r="F160" i="1" s="1"/>
  <c r="F170" i="1" s="1"/>
  <c r="F180" i="1" s="1"/>
  <c r="F190" i="1" s="1"/>
  <c r="F200" i="1" s="1"/>
  <c r="F210" i="1" s="1"/>
  <c r="F220" i="1" s="1"/>
  <c r="F230" i="1" s="1"/>
  <c r="F240" i="1" s="1"/>
  <c r="F250" i="1" s="1"/>
  <c r="F74" i="1" l="1"/>
  <c r="F84" i="1" s="1"/>
  <c r="F53" i="1"/>
  <c r="F63" i="1" s="1"/>
  <c r="F73" i="1" s="1"/>
  <c r="F83" i="1" s="1"/>
  <c r="F93" i="1" s="1"/>
  <c r="F103" i="1" s="1"/>
  <c r="F51" i="1"/>
  <c r="F61" i="1" s="1"/>
  <c r="F94" i="1"/>
  <c r="F104" i="1" s="1"/>
  <c r="F114" i="1" s="1"/>
  <c r="F124" i="1" s="1"/>
  <c r="F134" i="1" s="1"/>
  <c r="F39" i="1"/>
  <c r="F49" i="1" s="1"/>
  <c r="F59" i="1" s="1"/>
  <c r="F69" i="1" s="1"/>
  <c r="F79" i="1" s="1"/>
  <c r="F89" i="1" s="1"/>
  <c r="F99" i="1" s="1"/>
  <c r="F109" i="1" s="1"/>
  <c r="F119" i="1" s="1"/>
  <c r="F129" i="1" s="1"/>
  <c r="F139" i="1" s="1"/>
  <c r="F149" i="1" s="1"/>
  <c r="F159" i="1" s="1"/>
  <c r="F169" i="1" s="1"/>
  <c r="F179" i="1" s="1"/>
  <c r="F189" i="1" s="1"/>
  <c r="F199" i="1" s="1"/>
  <c r="F209" i="1" s="1"/>
  <c r="F219" i="1" s="1"/>
  <c r="F229" i="1" s="1"/>
  <c r="F239" i="1" s="1"/>
  <c r="F249" i="1" s="1"/>
  <c r="F198" i="1"/>
  <c r="F208" i="1" s="1"/>
  <c r="F218" i="1" s="1"/>
  <c r="F228" i="1" s="1"/>
  <c r="F238" i="1" s="1"/>
  <c r="F248" i="1" s="1"/>
  <c r="E5" i="1"/>
  <c r="E15" i="1"/>
  <c r="E25" i="1"/>
  <c r="E35" i="1"/>
  <c r="E45" i="1"/>
  <c r="E55" i="1"/>
  <c r="E65" i="1"/>
  <c r="E75" i="1"/>
  <c r="E85" i="1"/>
  <c r="E95" i="1"/>
  <c r="E105" i="1"/>
  <c r="E115" i="1"/>
  <c r="E125" i="1"/>
  <c r="E135" i="1"/>
  <c r="E145" i="1"/>
  <c r="E155" i="1"/>
  <c r="E165" i="1"/>
  <c r="E175" i="1"/>
  <c r="E185" i="1"/>
  <c r="E195" i="1"/>
  <c r="E205" i="1"/>
  <c r="E215" i="1"/>
  <c r="E225" i="1"/>
  <c r="E235" i="1"/>
  <c r="E245" i="1"/>
  <c r="E3" i="1"/>
  <c r="E13" i="1"/>
  <c r="E23" i="1"/>
  <c r="E33" i="1"/>
  <c r="E43" i="1"/>
  <c r="E53" i="1"/>
  <c r="E63" i="1"/>
  <c r="E73" i="1"/>
  <c r="E83" i="1"/>
  <c r="E93" i="1"/>
  <c r="E103" i="1"/>
  <c r="E113" i="1"/>
  <c r="E123" i="1"/>
  <c r="E133" i="1"/>
  <c r="E143" i="1"/>
  <c r="E153" i="1"/>
  <c r="E163" i="1"/>
  <c r="E173" i="1"/>
  <c r="E183" i="1"/>
  <c r="E193" i="1"/>
  <c r="E203" i="1"/>
  <c r="E213" i="1"/>
  <c r="E223" i="1"/>
  <c r="E233" i="1"/>
  <c r="E243" i="1"/>
  <c r="F113" i="1" l="1"/>
  <c r="F123" i="1" s="1"/>
  <c r="F133" i="1" s="1"/>
  <c r="F143" i="1" s="1"/>
  <c r="F153" i="1" s="1"/>
  <c r="F163" i="1" s="1"/>
  <c r="F173" i="1" s="1"/>
  <c r="F183" i="1" s="1"/>
  <c r="F193" i="1" s="1"/>
  <c r="F203" i="1" s="1"/>
  <c r="F213" i="1" s="1"/>
  <c r="F223" i="1" s="1"/>
  <c r="F233" i="1" s="1"/>
  <c r="F243" i="1" s="1"/>
  <c r="F71" i="1"/>
  <c r="F81" i="1" s="1"/>
  <c r="F91" i="1" s="1"/>
  <c r="F101" i="1" s="1"/>
  <c r="F111" i="1" s="1"/>
  <c r="F121" i="1" s="1"/>
  <c r="F144" i="1"/>
  <c r="F154" i="1" s="1"/>
  <c r="F164" i="1" s="1"/>
  <c r="F174" i="1" s="1"/>
  <c r="F184" i="1" s="1"/>
  <c r="F194" i="1" s="1"/>
  <c r="F204" i="1" s="1"/>
  <c r="F214" i="1" s="1"/>
  <c r="F224" i="1" s="1"/>
  <c r="F234" i="1" s="1"/>
  <c r="F244" i="1" s="1"/>
  <c r="G20" i="1"/>
  <c r="H20" i="1" s="1"/>
  <c r="G11" i="1"/>
  <c r="G4" i="1"/>
  <c r="I4" i="1" s="1"/>
  <c r="G3" i="1"/>
  <c r="G2" i="1"/>
  <c r="H2" i="1" s="1"/>
  <c r="G12" i="1"/>
  <c r="G19" i="1"/>
  <c r="G6" i="1"/>
  <c r="H6" i="1" s="1"/>
  <c r="G16" i="1"/>
  <c r="H16" i="1" s="1"/>
  <c r="G21" i="1"/>
  <c r="G10" i="1"/>
  <c r="G9" i="1"/>
  <c r="H9" i="1" s="1"/>
  <c r="G8" i="1"/>
  <c r="F131" i="1" l="1"/>
  <c r="F141" i="1" s="1"/>
  <c r="F151" i="1" s="1"/>
  <c r="F161" i="1" s="1"/>
  <c r="F171" i="1" s="1"/>
  <c r="F181" i="1" s="1"/>
  <c r="F191" i="1" s="1"/>
  <c r="F201" i="1" s="1"/>
  <c r="F211" i="1" s="1"/>
  <c r="F221" i="1" s="1"/>
  <c r="F231" i="1" s="1"/>
  <c r="F241" i="1" s="1"/>
  <c r="F251" i="1" s="1"/>
  <c r="G27" i="1"/>
  <c r="I11" i="1"/>
  <c r="H11" i="1"/>
  <c r="I2" i="1"/>
  <c r="I6" i="1"/>
  <c r="I20" i="1"/>
  <c r="G17" i="1"/>
  <c r="H17" i="1" s="1"/>
  <c r="G7" i="1"/>
  <c r="I7" i="1" s="1"/>
  <c r="G5" i="1"/>
  <c r="H19" i="1"/>
  <c r="I19" i="1"/>
  <c r="I16" i="1"/>
  <c r="G29" i="1"/>
  <c r="H29" i="1" s="1"/>
  <c r="G13" i="1"/>
  <c r="H3" i="1"/>
  <c r="I3" i="1"/>
  <c r="G14" i="1"/>
  <c r="H4" i="1"/>
  <c r="H8" i="1"/>
  <c r="I8" i="1"/>
  <c r="G39" i="1"/>
  <c r="G18" i="1"/>
  <c r="G22" i="1"/>
  <c r="H12" i="1"/>
  <c r="I12" i="1"/>
  <c r="G30" i="1"/>
  <c r="H10" i="1"/>
  <c r="I10" i="1"/>
  <c r="H21" i="1"/>
  <c r="I21" i="1"/>
  <c r="G31" i="1"/>
  <c r="G26" i="1"/>
  <c r="G37" i="1"/>
  <c r="I9" i="1"/>
  <c r="H27" i="1" l="1"/>
  <c r="I27" i="1"/>
  <c r="I17" i="1"/>
  <c r="H7" i="1"/>
  <c r="I13" i="1"/>
  <c r="H13" i="1"/>
  <c r="G23" i="1"/>
  <c r="H14" i="1"/>
  <c r="I14" i="1"/>
  <c r="G24" i="1"/>
  <c r="G15" i="1"/>
  <c r="H5" i="1"/>
  <c r="I5" i="1"/>
  <c r="I29" i="1"/>
  <c r="H37" i="1"/>
  <c r="I37" i="1"/>
  <c r="G40" i="1"/>
  <c r="G41" i="1"/>
  <c r="I31" i="1"/>
  <c r="H31" i="1"/>
  <c r="G28" i="1"/>
  <c r="I39" i="1"/>
  <c r="H39" i="1"/>
  <c r="G47" i="1"/>
  <c r="H30" i="1"/>
  <c r="I30" i="1"/>
  <c r="G36" i="1"/>
  <c r="G32" i="1"/>
  <c r="H26" i="1"/>
  <c r="I26" i="1"/>
  <c r="H22" i="1"/>
  <c r="I22" i="1"/>
  <c r="H18" i="1"/>
  <c r="I18" i="1"/>
  <c r="G49" i="1"/>
  <c r="H15" i="1" l="1"/>
  <c r="I15" i="1"/>
  <c r="G25" i="1"/>
  <c r="H24" i="1"/>
  <c r="I24" i="1"/>
  <c r="G34" i="1"/>
  <c r="H23" i="1"/>
  <c r="I23" i="1"/>
  <c r="G33" i="1"/>
  <c r="H47" i="1"/>
  <c r="I47" i="1"/>
  <c r="G57" i="1"/>
  <c r="G50" i="1"/>
  <c r="H36" i="1"/>
  <c r="I36" i="1"/>
  <c r="G38" i="1"/>
  <c r="G46" i="1"/>
  <c r="H28" i="1"/>
  <c r="I28" i="1"/>
  <c r="H41" i="1"/>
  <c r="I41" i="1"/>
  <c r="G51" i="1"/>
  <c r="H40" i="1"/>
  <c r="I40" i="1"/>
  <c r="H49" i="1"/>
  <c r="I49" i="1"/>
  <c r="G42" i="1"/>
  <c r="G59" i="1"/>
  <c r="H32" i="1"/>
  <c r="I32" i="1"/>
  <c r="G43" i="1" l="1"/>
  <c r="H33" i="1"/>
  <c r="I33" i="1"/>
  <c r="I34" i="1"/>
  <c r="H34" i="1"/>
  <c r="G44" i="1"/>
  <c r="I25" i="1"/>
  <c r="H25" i="1"/>
  <c r="G35" i="1"/>
  <c r="G56" i="1"/>
  <c r="G60" i="1"/>
  <c r="G67" i="1"/>
  <c r="H51" i="1"/>
  <c r="I51" i="1"/>
  <c r="H57" i="1"/>
  <c r="I57" i="1"/>
  <c r="G61" i="1"/>
  <c r="G52" i="1"/>
  <c r="H42" i="1"/>
  <c r="I42" i="1"/>
  <c r="H46" i="1"/>
  <c r="I46" i="1"/>
  <c r="I50" i="1"/>
  <c r="H50" i="1"/>
  <c r="H59" i="1"/>
  <c r="I59" i="1"/>
  <c r="H38" i="1"/>
  <c r="I38" i="1"/>
  <c r="G69" i="1"/>
  <c r="G48" i="1"/>
  <c r="I35" i="1" l="1"/>
  <c r="H35" i="1"/>
  <c r="G45" i="1"/>
  <c r="G54" i="1"/>
  <c r="H44" i="1"/>
  <c r="I44" i="1"/>
  <c r="G53" i="1"/>
  <c r="I43" i="1"/>
  <c r="H43" i="1"/>
  <c r="G66" i="1"/>
  <c r="G58" i="1"/>
  <c r="G79" i="1"/>
  <c r="I69" i="1"/>
  <c r="H69" i="1"/>
  <c r="G71" i="1"/>
  <c r="H60" i="1"/>
  <c r="I60" i="1"/>
  <c r="H61" i="1"/>
  <c r="I61" i="1"/>
  <c r="G70" i="1"/>
  <c r="G62" i="1"/>
  <c r="H52" i="1"/>
  <c r="I52" i="1"/>
  <c r="I56" i="1"/>
  <c r="H56" i="1"/>
  <c r="H48" i="1"/>
  <c r="I48" i="1"/>
  <c r="G77" i="1"/>
  <c r="I67" i="1"/>
  <c r="H67" i="1"/>
  <c r="I53" i="1" l="1"/>
  <c r="H53" i="1"/>
  <c r="G63" i="1"/>
  <c r="H54" i="1"/>
  <c r="I54" i="1"/>
  <c r="G64" i="1"/>
  <c r="G55" i="1"/>
  <c r="H45" i="1"/>
  <c r="I45" i="1"/>
  <c r="H70" i="1"/>
  <c r="I70" i="1"/>
  <c r="G80" i="1"/>
  <c r="I79" i="1"/>
  <c r="H79" i="1"/>
  <c r="G89" i="1"/>
  <c r="G72" i="1"/>
  <c r="G68" i="1"/>
  <c r="H77" i="1"/>
  <c r="I77" i="1"/>
  <c r="G76" i="1"/>
  <c r="G87" i="1"/>
  <c r="H66" i="1"/>
  <c r="I66" i="1"/>
  <c r="H71" i="1"/>
  <c r="I71" i="1"/>
  <c r="H62" i="1"/>
  <c r="I62" i="1"/>
  <c r="H58" i="1"/>
  <c r="I58" i="1"/>
  <c r="G81" i="1"/>
  <c r="G65" i="1" l="1"/>
  <c r="H55" i="1"/>
  <c r="I55" i="1"/>
  <c r="H64" i="1"/>
  <c r="I64" i="1"/>
  <c r="G74" i="1"/>
  <c r="I63" i="1"/>
  <c r="H63" i="1"/>
  <c r="G73" i="1"/>
  <c r="H89" i="1"/>
  <c r="I89" i="1"/>
  <c r="H76" i="1"/>
  <c r="I76" i="1"/>
  <c r="G90" i="1"/>
  <c r="G91" i="1"/>
  <c r="G86" i="1"/>
  <c r="H80" i="1"/>
  <c r="I80" i="1"/>
  <c r="I81" i="1"/>
  <c r="H81" i="1"/>
  <c r="G78" i="1"/>
  <c r="G82" i="1"/>
  <c r="G99" i="1"/>
  <c r="G97" i="1"/>
  <c r="I87" i="1"/>
  <c r="H87" i="1"/>
  <c r="H68" i="1"/>
  <c r="I68" i="1"/>
  <c r="H72" i="1"/>
  <c r="I72" i="1"/>
  <c r="G83" i="1" l="1"/>
  <c r="H73" i="1"/>
  <c r="I73" i="1"/>
  <c r="G84" i="1"/>
  <c r="H74" i="1"/>
  <c r="I74" i="1"/>
  <c r="H65" i="1"/>
  <c r="I65" i="1"/>
  <c r="G75" i="1"/>
  <c r="I78" i="1"/>
  <c r="H78" i="1"/>
  <c r="G88" i="1"/>
  <c r="H91" i="1"/>
  <c r="I91" i="1"/>
  <c r="G101" i="1"/>
  <c r="G100" i="1"/>
  <c r="G107" i="1"/>
  <c r="G109" i="1"/>
  <c r="I99" i="1"/>
  <c r="H99" i="1"/>
  <c r="G96" i="1"/>
  <c r="H82" i="1"/>
  <c r="I82" i="1"/>
  <c r="H86" i="1"/>
  <c r="I86" i="1"/>
  <c r="H90" i="1"/>
  <c r="I90" i="1"/>
  <c r="H97" i="1"/>
  <c r="I97" i="1"/>
  <c r="G92" i="1"/>
  <c r="G93" i="1" l="1"/>
  <c r="G85" i="1"/>
  <c r="H83" i="1"/>
  <c r="I83" i="1"/>
  <c r="H75" i="1"/>
  <c r="I75" i="1"/>
  <c r="H84" i="1"/>
  <c r="I84" i="1"/>
  <c r="G94" i="1"/>
  <c r="I109" i="1"/>
  <c r="H109" i="1"/>
  <c r="G98" i="1"/>
  <c r="G102" i="1"/>
  <c r="G119" i="1"/>
  <c r="G106" i="1"/>
  <c r="G110" i="1"/>
  <c r="H96" i="1"/>
  <c r="I96" i="1"/>
  <c r="H100" i="1"/>
  <c r="I100" i="1"/>
  <c r="G111" i="1"/>
  <c r="H101" i="1"/>
  <c r="I101" i="1"/>
  <c r="H92" i="1"/>
  <c r="I92" i="1"/>
  <c r="H88" i="1"/>
  <c r="I88" i="1"/>
  <c r="H107" i="1"/>
  <c r="I107" i="1"/>
  <c r="G117" i="1"/>
  <c r="G104" i="1" l="1"/>
  <c r="I94" i="1"/>
  <c r="H94" i="1"/>
  <c r="H85" i="1"/>
  <c r="I85" i="1"/>
  <c r="G95" i="1"/>
  <c r="H93" i="1"/>
  <c r="I93" i="1"/>
  <c r="G103" i="1"/>
  <c r="H111" i="1"/>
  <c r="I111" i="1"/>
  <c r="G116" i="1"/>
  <c r="G112" i="1"/>
  <c r="G108" i="1"/>
  <c r="H106" i="1"/>
  <c r="I106" i="1"/>
  <c r="G121" i="1"/>
  <c r="I119" i="1"/>
  <c r="H119" i="1"/>
  <c r="G129" i="1"/>
  <c r="I102" i="1"/>
  <c r="H102" i="1"/>
  <c r="H98" i="1"/>
  <c r="I98" i="1"/>
  <c r="I117" i="1"/>
  <c r="H117" i="1"/>
  <c r="G127" i="1"/>
  <c r="H110" i="1"/>
  <c r="I110" i="1"/>
  <c r="G120" i="1"/>
  <c r="H103" i="1" l="1"/>
  <c r="I103" i="1"/>
  <c r="G113" i="1"/>
  <c r="I95" i="1"/>
  <c r="H95" i="1"/>
  <c r="G105" i="1"/>
  <c r="H104" i="1"/>
  <c r="I104" i="1"/>
  <c r="G114" i="1"/>
  <c r="G118" i="1"/>
  <c r="G139" i="1"/>
  <c r="G122" i="1"/>
  <c r="G131" i="1"/>
  <c r="H121" i="1"/>
  <c r="I121" i="1"/>
  <c r="G126" i="1"/>
  <c r="H127" i="1"/>
  <c r="I127" i="1"/>
  <c r="G137" i="1"/>
  <c r="H116" i="1"/>
  <c r="I116" i="1"/>
  <c r="H129" i="1"/>
  <c r="I129" i="1"/>
  <c r="H108" i="1"/>
  <c r="I108" i="1"/>
  <c r="H112" i="1"/>
  <c r="I112" i="1"/>
  <c r="H120" i="1"/>
  <c r="I120" i="1"/>
  <c r="G130" i="1"/>
  <c r="G124" i="1" l="1"/>
  <c r="G123" i="1"/>
  <c r="I105" i="1"/>
  <c r="H105" i="1"/>
  <c r="G115" i="1"/>
  <c r="I113" i="1"/>
  <c r="H113" i="1"/>
  <c r="H114" i="1"/>
  <c r="I114" i="1"/>
  <c r="G136" i="1"/>
  <c r="H130" i="1"/>
  <c r="I130" i="1"/>
  <c r="H122" i="1"/>
  <c r="I122" i="1"/>
  <c r="G132" i="1"/>
  <c r="G147" i="1"/>
  <c r="G128" i="1"/>
  <c r="H126" i="1"/>
  <c r="I126" i="1"/>
  <c r="G140" i="1"/>
  <c r="H131" i="1"/>
  <c r="I131" i="1"/>
  <c r="G141" i="1"/>
  <c r="G149" i="1"/>
  <c r="H139" i="1"/>
  <c r="I139" i="1"/>
  <c r="I137" i="1"/>
  <c r="H137" i="1"/>
  <c r="H118" i="1"/>
  <c r="I118" i="1"/>
  <c r="G125" i="1" l="1"/>
  <c r="H115" i="1"/>
  <c r="I115" i="1"/>
  <c r="H123" i="1"/>
  <c r="I123" i="1"/>
  <c r="G133" i="1"/>
  <c r="G134" i="1"/>
  <c r="H124" i="1"/>
  <c r="I124" i="1"/>
  <c r="I140" i="1"/>
  <c r="H140" i="1"/>
  <c r="G159" i="1"/>
  <c r="H149" i="1"/>
  <c r="I149" i="1"/>
  <c r="I136" i="1"/>
  <c r="H136" i="1"/>
  <c r="G151" i="1"/>
  <c r="H141" i="1"/>
  <c r="I141" i="1"/>
  <c r="G150" i="1"/>
  <c r="H128" i="1"/>
  <c r="I128" i="1"/>
  <c r="G138" i="1"/>
  <c r="I147" i="1"/>
  <c r="H147" i="1"/>
  <c r="G157" i="1"/>
  <c r="I132" i="1"/>
  <c r="H132" i="1"/>
  <c r="G142" i="1"/>
  <c r="G146" i="1"/>
  <c r="G143" i="1" l="1"/>
  <c r="H134" i="1"/>
  <c r="I134" i="1"/>
  <c r="G144" i="1"/>
  <c r="H133" i="1"/>
  <c r="I133" i="1"/>
  <c r="G135" i="1"/>
  <c r="H125" i="1"/>
  <c r="I125" i="1"/>
  <c r="H146" i="1"/>
  <c r="I146" i="1"/>
  <c r="G156" i="1"/>
  <c r="H142" i="1"/>
  <c r="I142" i="1"/>
  <c r="I151" i="1"/>
  <c r="H151" i="1"/>
  <c r="G152" i="1"/>
  <c r="H157" i="1"/>
  <c r="I157" i="1"/>
  <c r="H150" i="1"/>
  <c r="I150" i="1"/>
  <c r="G167" i="1"/>
  <c r="G160" i="1"/>
  <c r="H159" i="1"/>
  <c r="I159" i="1"/>
  <c r="G161" i="1"/>
  <c r="G148" i="1"/>
  <c r="H138" i="1"/>
  <c r="I138" i="1"/>
  <c r="G169" i="1"/>
  <c r="H135" i="1" l="1"/>
  <c r="I135" i="1"/>
  <c r="G145" i="1"/>
  <c r="H144" i="1"/>
  <c r="I144" i="1"/>
  <c r="G154" i="1"/>
  <c r="G153" i="1"/>
  <c r="H143" i="1"/>
  <c r="I143" i="1"/>
  <c r="I152" i="1"/>
  <c r="H152" i="1"/>
  <c r="H169" i="1"/>
  <c r="I169" i="1"/>
  <c r="G179" i="1"/>
  <c r="G170" i="1"/>
  <c r="H148" i="1"/>
  <c r="I148" i="1"/>
  <c r="H156" i="1"/>
  <c r="I156" i="1"/>
  <c r="H167" i="1"/>
  <c r="I167" i="1"/>
  <c r="G166" i="1"/>
  <c r="G171" i="1"/>
  <c r="G162" i="1"/>
  <c r="H160" i="1"/>
  <c r="I160" i="1"/>
  <c r="G177" i="1"/>
  <c r="G158" i="1"/>
  <c r="H161" i="1"/>
  <c r="I161" i="1"/>
  <c r="H153" i="1" l="1"/>
  <c r="I153" i="1"/>
  <c r="H145" i="1"/>
  <c r="I145" i="1"/>
  <c r="G155" i="1"/>
  <c r="G163" i="1"/>
  <c r="G164" i="1"/>
  <c r="I154" i="1"/>
  <c r="H154" i="1"/>
  <c r="H162" i="1"/>
  <c r="I162" i="1"/>
  <c r="G180" i="1"/>
  <c r="I179" i="1"/>
  <c r="H179" i="1"/>
  <c r="G189" i="1"/>
  <c r="H171" i="1"/>
  <c r="I171" i="1"/>
  <c r="G181" i="1"/>
  <c r="H177" i="1"/>
  <c r="I177" i="1"/>
  <c r="G187" i="1"/>
  <c r="G176" i="1"/>
  <c r="G168" i="1"/>
  <c r="H158" i="1"/>
  <c r="I158" i="1"/>
  <c r="H166" i="1"/>
  <c r="I166" i="1"/>
  <c r="G172" i="1"/>
  <c r="H170" i="1"/>
  <c r="I170" i="1"/>
  <c r="G174" i="1" l="1"/>
  <c r="I164" i="1"/>
  <c r="H164" i="1"/>
  <c r="G173" i="1"/>
  <c r="I163" i="1"/>
  <c r="H163" i="1"/>
  <c r="G165" i="1"/>
  <c r="H155" i="1"/>
  <c r="I155" i="1"/>
  <c r="G191" i="1"/>
  <c r="H176" i="1"/>
  <c r="I176" i="1"/>
  <c r="G182" i="1"/>
  <c r="G186" i="1"/>
  <c r="H187" i="1"/>
  <c r="I187" i="1"/>
  <c r="G197" i="1"/>
  <c r="G178" i="1"/>
  <c r="I181" i="1"/>
  <c r="H181" i="1"/>
  <c r="H189" i="1"/>
  <c r="I189" i="1"/>
  <c r="G199" i="1"/>
  <c r="H172" i="1"/>
  <c r="I172" i="1"/>
  <c r="G190" i="1"/>
  <c r="H180" i="1"/>
  <c r="I180" i="1"/>
  <c r="H168" i="1"/>
  <c r="I168" i="1"/>
  <c r="I165" i="1" l="1"/>
  <c r="H165" i="1"/>
  <c r="G175" i="1"/>
  <c r="H173" i="1"/>
  <c r="I173" i="1"/>
  <c r="G183" i="1"/>
  <c r="G184" i="1"/>
  <c r="H174" i="1"/>
  <c r="I174" i="1"/>
  <c r="G196" i="1"/>
  <c r="I182" i="1"/>
  <c r="H182" i="1"/>
  <c r="H178" i="1"/>
  <c r="I178" i="1"/>
  <c r="I197" i="1"/>
  <c r="H197" i="1"/>
  <c r="G201" i="1"/>
  <c r="G209" i="1"/>
  <c r="I199" i="1"/>
  <c r="H199" i="1"/>
  <c r="H186" i="1"/>
  <c r="I186" i="1"/>
  <c r="G192" i="1"/>
  <c r="G188" i="1"/>
  <c r="I190" i="1"/>
  <c r="H190" i="1"/>
  <c r="G200" i="1"/>
  <c r="G207" i="1"/>
  <c r="H191" i="1"/>
  <c r="I191" i="1"/>
  <c r="G194" i="1" l="1"/>
  <c r="H184" i="1"/>
  <c r="I184" i="1"/>
  <c r="G193" i="1"/>
  <c r="H183" i="1"/>
  <c r="I183" i="1"/>
  <c r="H175" i="1"/>
  <c r="I175" i="1"/>
  <c r="G185" i="1"/>
  <c r="G219" i="1"/>
  <c r="G211" i="1"/>
  <c r="I207" i="1"/>
  <c r="H207" i="1"/>
  <c r="I209" i="1"/>
  <c r="H209" i="1"/>
  <c r="H201" i="1"/>
  <c r="I201" i="1"/>
  <c r="H188" i="1"/>
  <c r="I188" i="1"/>
  <c r="G217" i="1"/>
  <c r="G198" i="1"/>
  <c r="G210" i="1"/>
  <c r="G202" i="1"/>
  <c r="H200" i="1"/>
  <c r="I200" i="1"/>
  <c r="I192" i="1"/>
  <c r="H192" i="1"/>
  <c r="G206" i="1"/>
  <c r="H196" i="1"/>
  <c r="I196" i="1"/>
  <c r="G203" i="1" l="1"/>
  <c r="I193" i="1"/>
  <c r="H193" i="1"/>
  <c r="H194" i="1"/>
  <c r="I194" i="1"/>
  <c r="G195" i="1"/>
  <c r="H185" i="1"/>
  <c r="I185" i="1"/>
  <c r="G204" i="1"/>
  <c r="G212" i="1"/>
  <c r="H202" i="1"/>
  <c r="I202" i="1"/>
  <c r="H210" i="1"/>
  <c r="I210" i="1"/>
  <c r="G220" i="1"/>
  <c r="H198" i="1"/>
  <c r="I198" i="1"/>
  <c r="I211" i="1"/>
  <c r="H211" i="1"/>
  <c r="G221" i="1"/>
  <c r="H219" i="1"/>
  <c r="I219" i="1"/>
  <c r="G208" i="1"/>
  <c r="H217" i="1"/>
  <c r="I217" i="1"/>
  <c r="G227" i="1"/>
  <c r="G216" i="1"/>
  <c r="H206" i="1"/>
  <c r="I206" i="1"/>
  <c r="G229" i="1"/>
  <c r="H203" i="1" l="1"/>
  <c r="I203" i="1"/>
  <c r="G213" i="1"/>
  <c r="I204" i="1"/>
  <c r="H204" i="1"/>
  <c r="G214" i="1"/>
  <c r="G205" i="1"/>
  <c r="H195" i="1"/>
  <c r="I195" i="1"/>
  <c r="G237" i="1"/>
  <c r="H208" i="1"/>
  <c r="I208" i="1"/>
  <c r="G218" i="1"/>
  <c r="G239" i="1"/>
  <c r="I220" i="1"/>
  <c r="H220" i="1"/>
  <c r="H212" i="1"/>
  <c r="I212" i="1"/>
  <c r="I229" i="1"/>
  <c r="H229" i="1"/>
  <c r="G230" i="1"/>
  <c r="G226" i="1"/>
  <c r="I221" i="1"/>
  <c r="H221" i="1"/>
  <c r="H216" i="1"/>
  <c r="I216" i="1"/>
  <c r="G231" i="1"/>
  <c r="H227" i="1"/>
  <c r="I227" i="1"/>
  <c r="G222" i="1"/>
  <c r="I213" i="1" l="1"/>
  <c r="H213" i="1"/>
  <c r="H205" i="1"/>
  <c r="I205" i="1"/>
  <c r="G215" i="1"/>
  <c r="H214" i="1"/>
  <c r="I214" i="1"/>
  <c r="G224" i="1"/>
  <c r="G223" i="1"/>
  <c r="G247" i="1"/>
  <c r="H226" i="1"/>
  <c r="I226" i="1"/>
  <c r="G236" i="1"/>
  <c r="G249" i="1"/>
  <c r="I230" i="1"/>
  <c r="H230" i="1"/>
  <c r="G232" i="1"/>
  <c r="G228" i="1"/>
  <c r="I239" i="1"/>
  <c r="H239" i="1"/>
  <c r="H222" i="1"/>
  <c r="I222" i="1"/>
  <c r="H218" i="1"/>
  <c r="I218" i="1"/>
  <c r="G240" i="1"/>
  <c r="H231" i="1"/>
  <c r="I231" i="1"/>
  <c r="G241" i="1"/>
  <c r="H237" i="1"/>
  <c r="I237" i="1"/>
  <c r="G234" i="1" l="1"/>
  <c r="H223" i="1"/>
  <c r="I223" i="1"/>
  <c r="G233" i="1"/>
  <c r="H224" i="1"/>
  <c r="I224" i="1"/>
  <c r="H215" i="1"/>
  <c r="I215" i="1"/>
  <c r="G225" i="1"/>
  <c r="G242" i="1"/>
  <c r="H240" i="1"/>
  <c r="I240" i="1"/>
  <c r="G250" i="1"/>
  <c r="I249" i="1"/>
  <c r="H249" i="1"/>
  <c r="H236" i="1"/>
  <c r="I236" i="1"/>
  <c r="H241" i="1"/>
  <c r="I241" i="1"/>
  <c r="G251" i="1"/>
  <c r="G246" i="1"/>
  <c r="H228" i="1"/>
  <c r="I228" i="1"/>
  <c r="G238" i="1"/>
  <c r="H232" i="1"/>
  <c r="I232" i="1"/>
  <c r="H247" i="1"/>
  <c r="I247" i="1"/>
  <c r="G244" i="1" l="1"/>
  <c r="I234" i="1"/>
  <c r="H234" i="1"/>
  <c r="I225" i="1"/>
  <c r="H225" i="1"/>
  <c r="G235" i="1"/>
  <c r="G243" i="1"/>
  <c r="H233" i="1"/>
  <c r="I233" i="1"/>
  <c r="H238" i="1"/>
  <c r="I238" i="1"/>
  <c r="H242" i="1"/>
  <c r="I242" i="1"/>
  <c r="G248" i="1"/>
  <c r="H246" i="1"/>
  <c r="I246" i="1"/>
  <c r="H251" i="1"/>
  <c r="I251" i="1"/>
  <c r="H250" i="1"/>
  <c r="I250" i="1"/>
  <c r="H243" i="1" l="1"/>
  <c r="I243" i="1"/>
  <c r="G245" i="1"/>
  <c r="H235" i="1"/>
  <c r="I235" i="1"/>
  <c r="I244" i="1"/>
  <c r="H244" i="1"/>
  <c r="H248" i="1"/>
  <c r="I248" i="1"/>
  <c r="H245" i="1" l="1"/>
  <c r="I245" i="1"/>
  <c r="F3" i="2" l="1"/>
  <c r="E2" i="2"/>
  <c r="F10" i="2"/>
  <c r="F5" i="2"/>
  <c r="E11" i="2"/>
  <c r="F14" i="2"/>
  <c r="F25" i="2"/>
  <c r="F24" i="2"/>
  <c r="F22" i="2"/>
  <c r="F13" i="2"/>
  <c r="E16" i="2"/>
  <c r="E4" i="2" l="1"/>
  <c r="F17" i="2"/>
  <c r="F2" i="2"/>
  <c r="E8" i="2"/>
  <c r="E7" i="2"/>
  <c r="E19" i="2"/>
  <c r="E13" i="2"/>
  <c r="F23" i="2"/>
  <c r="F6" i="2"/>
  <c r="F12" i="2"/>
  <c r="F26" i="2"/>
  <c r="F19" i="2"/>
  <c r="F16" i="2"/>
  <c r="F9" i="2"/>
  <c r="F21" i="2"/>
  <c r="F7" i="2"/>
  <c r="F20" i="2"/>
  <c r="F8" i="2"/>
  <c r="F18" i="2"/>
  <c r="F15" i="2"/>
  <c r="F11" i="2"/>
  <c r="F4" i="2"/>
  <c r="E25" i="2"/>
  <c r="E26" i="2"/>
  <c r="E24" i="2"/>
  <c r="E17" i="2"/>
  <c r="E9" i="2"/>
  <c r="E14" i="2"/>
  <c r="E18" i="2"/>
  <c r="E15" i="2"/>
  <c r="E10" i="2"/>
  <c r="E21" i="2"/>
  <c r="E5" i="2"/>
  <c r="E6" i="2"/>
  <c r="E3" i="2"/>
  <c r="E23" i="2"/>
  <c r="E12" i="2"/>
  <c r="E22" i="2"/>
  <c r="E20" i="2"/>
  <c r="J10" i="2" l="1"/>
  <c r="R10" i="2" s="1"/>
  <c r="J6" i="2"/>
  <c r="R6" i="2" s="1"/>
  <c r="J4" i="2"/>
  <c r="R4" i="2" s="1"/>
  <c r="J8" i="2"/>
  <c r="R8" i="2" s="1"/>
  <c r="I9" i="2"/>
  <c r="Q9" i="2" s="1"/>
  <c r="J9" i="2"/>
  <c r="R9" i="2" s="1"/>
  <c r="J12" i="2"/>
  <c r="R12" i="2" s="1"/>
  <c r="J11" i="2"/>
  <c r="R11" i="2" s="1"/>
  <c r="J5" i="2"/>
  <c r="R5" i="2" s="1"/>
  <c r="J3" i="2"/>
  <c r="R3" i="2" s="1"/>
  <c r="I10" i="2"/>
  <c r="Q10" i="2" s="1"/>
  <c r="J7" i="2"/>
  <c r="R7" i="2" s="1"/>
  <c r="I3" i="2"/>
  <c r="Q3" i="2" s="1"/>
  <c r="I12" i="2"/>
  <c r="Q12" i="2" s="1"/>
  <c r="I6" i="2"/>
  <c r="Q6" i="2" s="1"/>
  <c r="I7" i="2"/>
  <c r="Q7" i="2" s="1"/>
  <c r="I4" i="2"/>
  <c r="Q4" i="2" s="1"/>
  <c r="I5" i="2"/>
  <c r="Q5" i="2" s="1"/>
  <c r="I8" i="2"/>
  <c r="Q8" i="2" s="1"/>
  <c r="I11" i="2"/>
  <c r="Q11" i="2" s="1"/>
  <c r="S7" i="2" l="1"/>
  <c r="S3" i="2"/>
  <c r="S10" i="2"/>
  <c r="S6" i="2"/>
  <c r="S4" i="2"/>
  <c r="S8" i="2"/>
  <c r="R13" i="2"/>
  <c r="K10" i="2"/>
  <c r="K8" i="2"/>
  <c r="K4" i="2"/>
  <c r="K7" i="2"/>
  <c r="K6" i="2"/>
  <c r="K3" i="2"/>
  <c r="K12" i="2"/>
  <c r="K9" i="2"/>
  <c r="K11" i="2"/>
  <c r="J13" i="2"/>
  <c r="K5" i="2"/>
  <c r="I13" i="2"/>
  <c r="S5" i="2" l="1"/>
  <c r="S12" i="2"/>
  <c r="S9" i="2"/>
  <c r="S11" i="2"/>
  <c r="Q13" i="2"/>
  <c r="K13" i="2"/>
  <c r="S13" i="2" l="1"/>
</calcChain>
</file>

<file path=xl/sharedStrings.xml><?xml version="1.0" encoding="utf-8"?>
<sst xmlns="http://schemas.openxmlformats.org/spreadsheetml/2006/main" count="558" uniqueCount="57">
  <si>
    <t>my_fi_name</t>
  </si>
  <si>
    <t>price_mkt_bid</t>
  </si>
  <si>
    <t>price_mkt_ask</t>
  </si>
  <si>
    <t>time</t>
  </si>
  <si>
    <t>ARKB</t>
  </si>
  <si>
    <t>BITB</t>
  </si>
  <si>
    <t>BRRR</t>
  </si>
  <si>
    <t>BTC</t>
  </si>
  <si>
    <t>BTCW</t>
  </si>
  <si>
    <t>EZBC</t>
  </si>
  <si>
    <t>FBTC</t>
  </si>
  <si>
    <t>GBTC</t>
  </si>
  <si>
    <t>HODL</t>
  </si>
  <si>
    <t>IBIT</t>
  </si>
  <si>
    <t>2026-06-11_09-32-32</t>
  </si>
  <si>
    <t>2026-06-11_09-47-32</t>
  </si>
  <si>
    <t>2026-06-11_10-25-57</t>
  </si>
  <si>
    <t>2026-06-11_10-40-57</t>
  </si>
  <si>
    <t>2026-06-11_10-55-57</t>
  </si>
  <si>
    <t>2026-06-11_11-10-57</t>
  </si>
  <si>
    <t>2026-06-11_11-25-57</t>
  </si>
  <si>
    <t>2026-06-11_11-40-57</t>
  </si>
  <si>
    <t>2026-06-11_11-55-57</t>
  </si>
  <si>
    <t>2026-06-11_12-10-57</t>
  </si>
  <si>
    <t>2026-06-11_12-25-57</t>
  </si>
  <si>
    <t>2026-06-11_12-40-57</t>
  </si>
  <si>
    <t>2026-06-11_12-55-57</t>
  </si>
  <si>
    <t>2026-06-11_13-10-57</t>
  </si>
  <si>
    <t>2026-06-11_13-25-57</t>
  </si>
  <si>
    <t>2026-06-11_13-40-57</t>
  </si>
  <si>
    <t>2026-06-11_13-55-57</t>
  </si>
  <si>
    <t>2026-06-11_14-10-57</t>
  </si>
  <si>
    <t>2026-06-11_14-25-57</t>
  </si>
  <si>
    <t>2026-06-11_14-40-57</t>
  </si>
  <si>
    <t>2026-06-11_14-55-57</t>
  </si>
  <si>
    <t>2026-06-11_15-10-57</t>
  </si>
  <si>
    <t>2026-06-11_15-25-57</t>
  </si>
  <si>
    <t>2026-06-11_15-40-57</t>
  </si>
  <si>
    <t>2026-06-11_15-55-57</t>
  </si>
  <si>
    <t>scalar</t>
  </si>
  <si>
    <t>unit bid</t>
  </si>
  <si>
    <t>unit ask</t>
  </si>
  <si>
    <t>Row Labels</t>
  </si>
  <si>
    <t>Max of unit bid</t>
  </si>
  <si>
    <t>Min of unit ask</t>
  </si>
  <si>
    <t>bid name</t>
  </si>
  <si>
    <t>ask name</t>
  </si>
  <si>
    <t>hit bid</t>
  </si>
  <si>
    <t>lift ask</t>
  </si>
  <si>
    <t>net</t>
  </si>
  <si>
    <t>diff</t>
  </si>
  <si>
    <t>price</t>
  </si>
  <si>
    <t>$ diff</t>
  </si>
  <si>
    <t>adj</t>
  </si>
  <si>
    <t>adj scalar</t>
  </si>
  <si>
    <t>running total</t>
  </si>
  <si>
    <t>% 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</si>
</sst>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"/>
    <numFmt numFmtId="165" formatCode="_(* #,##0.0000_);_(* \(#,##0.0000\);_(* &quot;-&quot;??_);_(@_)"/>
    <numFmt numFmtId="166" formatCode="0.0000%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u val="singleAccounting"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44" fontId="0" fillId="0" borderId="0" xfId="0" applyNumberFormat="1"/>
    <xf numFmtId="44" fontId="0" fillId="0" borderId="0" xfId="2" applyFont="1"/>
    <xf numFmtId="165" fontId="0" fillId="0" borderId="0" xfId="1" applyNumberFormat="1" applyFont="1" applyAlignment="1">
      <alignment horizontal="center"/>
    </xf>
    <xf numFmtId="165" fontId="0" fillId="0" borderId="0" xfId="1" applyNumberFormat="1" applyFont="1"/>
    <xf numFmtId="44" fontId="0" fillId="0" borderId="0" xfId="2" applyFont="1" applyAlignment="1">
      <alignment horizontal="center"/>
    </xf>
    <xf numFmtId="0" fontId="19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9" fillId="0" borderId="0" xfId="0" applyFont="1" applyAlignment="1">
      <alignment horizontal="right"/>
    </xf>
    <xf numFmtId="44" fontId="19" fillId="0" borderId="0" xfId="2" applyFont="1" applyAlignment="1">
      <alignment horizontal="right"/>
    </xf>
    <xf numFmtId="0" fontId="16" fillId="0" borderId="0" xfId="0" applyFont="1"/>
    <xf numFmtId="166" fontId="0" fillId="0" borderId="0" xfId="3" applyNumberFormat="1" applyFont="1"/>
    <xf numFmtId="0" fontId="20" fillId="0" borderId="0" xfId="0" applyFont="1"/>
    <xf numFmtId="0" fontId="0" fillId="0" borderId="0" xfId="0" pivotButton="1"/>
    <xf numFmtId="165" fontId="0" fillId="33" borderId="0" xfId="1" applyNumberFormat="1" applyFont="1" applyFill="1"/>
    <xf numFmtId="164" fontId="0" fillId="33" borderId="0" xfId="0" applyNumberFormat="1" applyFill="1"/>
    <xf numFmtId="44" fontId="21" fillId="0" borderId="0" xfId="0" applyNumberFormat="1" applyFont="1"/>
    <xf numFmtId="44" fontId="16" fillId="0" borderId="0" xfId="2" applyFont="1" applyAlignment="1">
      <alignment horizontal="center"/>
    </xf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1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* #,##0.0000_);_(* \(#,##0.00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* #,##0.0000_);_(* \(#,##0.0000\);_(* &quot;-&quot;??_);_(@_)"/>
    </dxf>
    <dxf>
      <numFmt numFmtId="165" formatCode="_(* #,##0.0000_);_(* \(#,##0.000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icha\git-crypto\spreadsheets\ETF_2026-06-10%20Analyzed.xlsx" TargetMode="External"/><Relationship Id="rId1" Type="http://schemas.openxmlformats.org/officeDocument/2006/relationships/externalLinkPath" Target="ETF_2026-06-10%20Analyze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icha\git-crypto\spreadsheets\ETF_2026-06-12%20Analyzed.xlsx" TargetMode="External"/><Relationship Id="rId1" Type="http://schemas.openxmlformats.org/officeDocument/2006/relationships/externalLinkPath" Target="ETF_2026-06-12%20Analyz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TF_2026-06-10"/>
      <sheetName val="Sheet1"/>
    </sheetNames>
    <sheetDataSet>
      <sheetData sheetId="0"/>
      <sheetData sheetId="1">
        <row r="3">
          <cell r="Q3">
            <v>1</v>
          </cell>
          <cell r="R3">
            <v>3</v>
          </cell>
        </row>
        <row r="4">
          <cell r="Q4">
            <v>10</v>
          </cell>
          <cell r="R4">
            <v>0</v>
          </cell>
        </row>
        <row r="5">
          <cell r="Q5">
            <v>0</v>
          </cell>
          <cell r="R5">
            <v>0</v>
          </cell>
        </row>
        <row r="6">
          <cell r="Q6">
            <v>0</v>
          </cell>
          <cell r="R6">
            <v>2</v>
          </cell>
        </row>
        <row r="7">
          <cell r="Q7">
            <v>2</v>
          </cell>
          <cell r="R7">
            <v>0</v>
          </cell>
        </row>
        <row r="8">
          <cell r="Q8">
            <v>0</v>
          </cell>
          <cell r="R8">
            <v>0</v>
          </cell>
        </row>
        <row r="9">
          <cell r="Q9">
            <v>3</v>
          </cell>
          <cell r="R9">
            <v>1</v>
          </cell>
        </row>
        <row r="10">
          <cell r="Q10">
            <v>1</v>
          </cell>
          <cell r="R10">
            <v>4</v>
          </cell>
        </row>
        <row r="11">
          <cell r="Q11">
            <v>0</v>
          </cell>
          <cell r="R11">
            <v>5</v>
          </cell>
        </row>
        <row r="12">
          <cell r="Q12">
            <v>0</v>
          </cell>
          <cell r="R12">
            <v>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TF_2026-06-12"/>
      <sheetName val="Sheet1"/>
    </sheetNames>
    <sheetDataSet>
      <sheetData sheetId="0"/>
      <sheetData sheetId="1">
        <row r="3">
          <cell r="L3">
            <v>-0.1</v>
          </cell>
        </row>
        <row r="4">
          <cell r="L4">
            <v>0.1</v>
          </cell>
        </row>
        <row r="6">
          <cell r="L6">
            <v>0.2</v>
          </cell>
        </row>
        <row r="8">
          <cell r="L8">
            <v>-0.2</v>
          </cell>
        </row>
        <row r="9">
          <cell r="L9">
            <v>0.05</v>
          </cell>
        </row>
        <row r="10">
          <cell r="L10">
            <v>-0.05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ael Hyland" refreshedDate="46185.754570138888" createdVersion="8" refreshedVersion="8" minRefreshableVersion="3" recordCount="250" xr:uid="{338F4E5B-D897-4E31-9817-D6FC15EEC219}">
  <cacheSource type="worksheet">
    <worksheetSource name="Table1"/>
  </cacheSource>
  <cacheFields count="9">
    <cacheField name="my_fi_name" numFmtId="0">
      <sharedItems/>
    </cacheField>
    <cacheField name="price_mkt_bid" numFmtId="44">
      <sharedItems containsSemiMixedTypes="0" containsString="0" containsNumber="1" minValue="17.559999999999999" maxValue="67.27"/>
    </cacheField>
    <cacheField name="price_mkt_ask" numFmtId="44">
      <sharedItems containsSemiMixedTypes="0" containsString="0" containsNumber="1" minValue="17.57" maxValue="67.39"/>
    </cacheField>
    <cacheField name="time" numFmtId="0">
      <sharedItems count="30">
        <s v="2026-06-11_09-32-32"/>
        <s v="2026-06-11_09-47-32"/>
        <s v="2026-06-11_10-25-57"/>
        <s v="2026-06-11_10-40-57"/>
        <s v="2026-06-11_10-55-57"/>
        <s v="2026-06-11_11-10-57"/>
        <s v="2026-06-11_11-25-57"/>
        <s v="2026-06-11_11-40-57"/>
        <s v="2026-06-11_11-55-57"/>
        <s v="2026-06-11_12-10-57"/>
        <s v="2026-06-11_12-25-57"/>
        <s v="2026-06-11_12-40-57"/>
        <s v="2026-06-11_12-55-57"/>
        <s v="2026-06-11_13-10-57"/>
        <s v="2026-06-11_13-25-57"/>
        <s v="2026-06-11_13-40-57"/>
        <s v="2026-06-11_13-55-57"/>
        <s v="2026-06-11_14-10-57"/>
        <s v="2026-06-11_14-25-57"/>
        <s v="2026-06-11_14-40-57"/>
        <s v="2026-06-11_14-55-57"/>
        <s v="2026-06-11_15-10-57"/>
        <s v="2026-06-11_15-25-57"/>
        <s v="2026-06-11_15-40-57"/>
        <s v="2026-06-11_15-55-57"/>
        <s v="2026-06-11_09-17-31" u="1"/>
        <s v="2026-06-11_16-10-57" u="1"/>
        <s v="2026-06-11_16-25-57" u="1"/>
        <s v="2026-06-11_16-40-57" u="1"/>
        <s v="2026-06-11_16-55-57" u="1"/>
      </sharedItems>
    </cacheField>
    <cacheField name="scalar" numFmtId="165">
      <sharedItems containsSemiMixedTypes="0" containsString="0" containsNumber="1" minValue="946.06489999999997" maxValue="3546.3341999999998"/>
    </cacheField>
    <cacheField name="adj" numFmtId="165">
      <sharedItems containsSemiMixedTypes="0" containsString="0" containsNumber="1" minValue="-0.2" maxValue="0.2"/>
    </cacheField>
    <cacheField name="adj scalar" numFmtId="165">
      <sharedItems containsSemiMixedTypes="0" containsString="0" containsNumber="1" minValue="946.06489999999997" maxValue="3546.3341999999998"/>
    </cacheField>
    <cacheField name="unit bid" numFmtId="44">
      <sharedItems containsSemiMixedTypes="0" containsString="0" containsNumber="1" minValue="62269.99171799999" maxValue="63684.831672"/>
    </cacheField>
    <cacheField name="unit ask" numFmtId="44">
      <sharedItems containsSemiMixedTypes="0" containsString="0" containsNumber="1" minValue="62301.89486" maxValue="63755.313610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s v="ARKB"/>
    <n v="20.76"/>
    <n v="20.77"/>
    <x v="0"/>
    <n v="3014.7584999999999"/>
    <n v="-0.1"/>
    <n v="3014.8584999999998"/>
    <n v="62588.462460000002"/>
    <n v="62618.611044999998"/>
  </r>
  <r>
    <s v="BITB"/>
    <n v="33.979999999999997"/>
    <n v="33.99"/>
    <x v="0"/>
    <n v="1841.7601"/>
    <n v="0.1"/>
    <n v="1841.6601000000001"/>
    <n v="62579.610197999995"/>
    <n v="62598.026799000007"/>
  </r>
  <r>
    <s v="BRRR"/>
    <n v="17.649999999999999"/>
    <n v="17.66"/>
    <x v="0"/>
    <n v="3546.3341999999998"/>
    <n v="0"/>
    <n v="3546.3341999999998"/>
    <n v="62592.79862999999"/>
    <n v="62628.261972"/>
  </r>
  <r>
    <s v="BTC"/>
    <n v="27.69"/>
    <n v="27.7"/>
    <x v="0"/>
    <n v="2261.2093"/>
    <n v="0.2"/>
    <n v="2261.0093000000002"/>
    <n v="62607.347517000009"/>
    <n v="62629.957610000005"/>
  </r>
  <r>
    <s v="BTCW"/>
    <n v="66.150000000000006"/>
    <n v="66.260000000000005"/>
    <x v="0"/>
    <n v="946.06489999999997"/>
    <n v="0"/>
    <n v="946.06489999999997"/>
    <n v="62582.193135000001"/>
    <n v="62686.260274"/>
  </r>
  <r>
    <s v="EZBC"/>
    <n v="36.17"/>
    <n v="36.18"/>
    <x v="0"/>
    <n v="1730.0288"/>
    <n v="-0.2"/>
    <n v="1730.2288000000001"/>
    <n v="62582.375696000003"/>
    <n v="62599.677984000002"/>
  </r>
  <r>
    <s v="FBTC"/>
    <n v="54.48"/>
    <n v="54.49"/>
    <x v="0"/>
    <n v="1148.7663"/>
    <n v="0.05"/>
    <n v="1148.7163"/>
    <n v="62582.064023999999"/>
    <n v="62593.551187000005"/>
  </r>
  <r>
    <s v="GBTC"/>
    <n v="48.57"/>
    <n v="48.59"/>
    <x v="0"/>
    <n v="1288.4784999999999"/>
    <n v="-0.05"/>
    <n v="1288.5284999999999"/>
    <n v="62583.829244999994"/>
    <n v="62609.599815000001"/>
  </r>
  <r>
    <s v="HODL"/>
    <n v="17.7"/>
    <n v="17.71"/>
    <x v="0"/>
    <n v="3535.8029000000001"/>
    <n v="0"/>
    <n v="3535.8029000000001"/>
    <n v="62583.711329999998"/>
    <n v="62619.069359000008"/>
  </r>
  <r>
    <s v="IBIT"/>
    <n v="35.450000000000003"/>
    <n v="35.46"/>
    <x v="0"/>
    <n v="1764.9262000000001"/>
    <n v="0"/>
    <n v="1764.9262000000001"/>
    <n v="62566.633790000007"/>
    <n v="62584.283052000006"/>
  </r>
  <r>
    <s v="ARKB"/>
    <n v="20.88"/>
    <n v="20.89"/>
    <x v="1"/>
    <n v="3014.7584999999999"/>
    <n v="-0.1"/>
    <n v="3014.8584999999998"/>
    <n v="62950.24547999999"/>
    <n v="62980.394065"/>
  </r>
  <r>
    <s v="BITB"/>
    <n v="34.19"/>
    <n v="34.200000000000003"/>
    <x v="1"/>
    <n v="1841.7601"/>
    <n v="0.1"/>
    <n v="1841.6601000000001"/>
    <n v="62966.358819000001"/>
    <n v="62984.775420000005"/>
  </r>
  <r>
    <s v="BRRR"/>
    <n v="17.760000000000002"/>
    <n v="17.77"/>
    <x v="1"/>
    <n v="3546.3341999999998"/>
    <n v="0"/>
    <n v="3546.3341999999998"/>
    <n v="62982.895391999999"/>
    <n v="63018.358733999994"/>
  </r>
  <r>
    <s v="BTC"/>
    <n v="27.85"/>
    <n v="27.86"/>
    <x v="1"/>
    <n v="2261.2093"/>
    <n v="0.2"/>
    <n v="2261.0093000000002"/>
    <n v="62969.109005000006"/>
    <n v="62991.719098000001"/>
  </r>
  <r>
    <s v="BTCW"/>
    <n v="66.53"/>
    <n v="66.64"/>
    <x v="1"/>
    <n v="946.06489999999997"/>
    <n v="0"/>
    <n v="946.06489999999997"/>
    <n v="62941.697797000001"/>
    <n v="63045.764936"/>
  </r>
  <r>
    <s v="EZBC"/>
    <n v="36.39"/>
    <n v="36.409999999999997"/>
    <x v="1"/>
    <n v="1730.0288"/>
    <n v="-0.2"/>
    <n v="1730.2288000000001"/>
    <n v="62963.026032000002"/>
    <n v="62997.630607999999"/>
  </r>
  <r>
    <s v="FBTC"/>
    <n v="54.82"/>
    <n v="54.83"/>
    <x v="1"/>
    <n v="1148.7663"/>
    <n v="0.05"/>
    <n v="1148.7163"/>
    <n v="62972.627566000003"/>
    <n v="62984.114729000001"/>
  </r>
  <r>
    <s v="GBTC"/>
    <n v="48.87"/>
    <n v="48.88"/>
    <x v="1"/>
    <n v="1288.4784999999999"/>
    <n v="-0.05"/>
    <n v="1288.5284999999999"/>
    <n v="62970.387794999995"/>
    <n v="62983.273079999999"/>
  </r>
  <r>
    <s v="HODL"/>
    <n v="17.809999999999999"/>
    <n v="17.82"/>
    <x v="1"/>
    <n v="3535.8029000000001"/>
    <n v="0"/>
    <n v="3535.8029000000001"/>
    <n v="62972.649648999999"/>
    <n v="63008.007678000002"/>
  </r>
  <r>
    <s v="IBIT"/>
    <n v="35.68"/>
    <n v="35.69"/>
    <x v="1"/>
    <n v="1764.9262000000001"/>
    <n v="0"/>
    <n v="1764.9262000000001"/>
    <n v="62972.566816000006"/>
    <n v="62990.216077999998"/>
  </r>
  <r>
    <s v="ARKB"/>
    <n v="20.87"/>
    <n v="20.88"/>
    <x v="2"/>
    <n v="3014.7584999999999"/>
    <n v="-0.1"/>
    <n v="3014.8584999999998"/>
    <n v="62920.096895000002"/>
    <n v="62950.24547999999"/>
  </r>
  <r>
    <s v="BITB"/>
    <n v="34.159999999999997"/>
    <n v="34.17"/>
    <x v="2"/>
    <n v="1841.7601"/>
    <n v="0.1"/>
    <n v="1841.6601000000001"/>
    <n v="62911.109015999995"/>
    <n v="62929.525617000007"/>
  </r>
  <r>
    <s v="BRRR"/>
    <n v="17.739999999999998"/>
    <n v="17.75"/>
    <x v="2"/>
    <n v="3546.3341999999998"/>
    <n v="0"/>
    <n v="3546.3341999999998"/>
    <n v="62911.968707999993"/>
    <n v="62947.432049999996"/>
  </r>
  <r>
    <s v="BTC"/>
    <n v="27.83"/>
    <n v="27.84"/>
    <x v="2"/>
    <n v="2261.2093"/>
    <n v="0.2"/>
    <n v="2261.0093000000002"/>
    <n v="62923.888819"/>
    <n v="62946.498912000003"/>
  </r>
  <r>
    <s v="BTCW"/>
    <n v="66.510000000000005"/>
    <n v="66.66"/>
    <x v="2"/>
    <n v="946.06489999999997"/>
    <n v="0"/>
    <n v="946.06489999999997"/>
    <n v="62922.776499"/>
    <n v="63064.686233999993"/>
  </r>
  <r>
    <s v="EZBC"/>
    <n v="36.36"/>
    <n v="36.380000000000003"/>
    <x v="2"/>
    <n v="1730.0288"/>
    <n v="-0.2"/>
    <n v="1730.2288000000001"/>
    <n v="62911.119168000005"/>
    <n v="62945.72374400001"/>
  </r>
  <r>
    <s v="FBTC"/>
    <n v="54.77"/>
    <n v="54.78"/>
    <x v="2"/>
    <n v="1148.7663"/>
    <n v="0.05"/>
    <n v="1148.7163"/>
    <n v="62915.191751000006"/>
    <n v="62926.678914000004"/>
  </r>
  <r>
    <s v="GBTC"/>
    <n v="48.83"/>
    <n v="48.84"/>
    <x v="2"/>
    <n v="1288.4784999999999"/>
    <n v="-0.05"/>
    <n v="1288.5284999999999"/>
    <n v="62918.846654999994"/>
    <n v="62931.731939999998"/>
  </r>
  <r>
    <s v="HODL"/>
    <n v="17.79"/>
    <n v="17.8"/>
    <x v="2"/>
    <n v="3535.8029000000001"/>
    <n v="0"/>
    <n v="3535.8029000000001"/>
    <n v="62901.933591000001"/>
    <n v="62937.291620000004"/>
  </r>
  <r>
    <s v="IBIT"/>
    <n v="35.65"/>
    <n v="35.659999999999997"/>
    <x v="2"/>
    <n v="1764.9262000000001"/>
    <n v="0"/>
    <n v="1764.9262000000001"/>
    <n v="62919.619030000002"/>
    <n v="62937.268292000001"/>
  </r>
  <r>
    <s v="ARKB"/>
    <n v="20.84"/>
    <n v="20.85"/>
    <x v="3"/>
    <n v="3014.7584999999999"/>
    <n v="-0.1"/>
    <n v="3014.8584999999998"/>
    <n v="62829.651139999994"/>
    <n v="62859.799724999997"/>
  </r>
  <r>
    <s v="BITB"/>
    <n v="34.119999999999997"/>
    <n v="34.130000000000003"/>
    <x v="3"/>
    <n v="1841.7601"/>
    <n v="0.1"/>
    <n v="1841.6601000000001"/>
    <n v="62837.442611999999"/>
    <n v="62855.859213000003"/>
  </r>
  <r>
    <s v="BRRR"/>
    <n v="17.72"/>
    <n v="17.73"/>
    <x v="3"/>
    <n v="3546.3341999999998"/>
    <n v="0"/>
    <n v="3546.3341999999998"/>
    <n v="62841.042023999995"/>
    <n v="62876.505365999998"/>
  </r>
  <r>
    <s v="BTC"/>
    <n v="27.8"/>
    <n v="27.81"/>
    <x v="3"/>
    <n v="2261.2093"/>
    <n v="0.2"/>
    <n v="2261.0093000000002"/>
    <n v="62856.058540000005"/>
    <n v="62878.668633000001"/>
  </r>
  <r>
    <s v="BTCW"/>
    <n v="66.400000000000006"/>
    <n v="66.5"/>
    <x v="3"/>
    <n v="946.06489999999997"/>
    <n v="0"/>
    <n v="946.06489999999997"/>
    <n v="62818.709360000001"/>
    <n v="62913.315849999999"/>
  </r>
  <r>
    <s v="EZBC"/>
    <n v="36.32"/>
    <n v="36.33"/>
    <x v="3"/>
    <n v="1730.0288"/>
    <n v="-0.2"/>
    <n v="1730.2288000000001"/>
    <n v="62841.910016000002"/>
    <n v="62859.212304000001"/>
  </r>
  <r>
    <s v="FBTC"/>
    <n v="54.71"/>
    <n v="54.72"/>
    <x v="3"/>
    <n v="1148.7663"/>
    <n v="0.05"/>
    <n v="1148.7163"/>
    <n v="62846.268773000003"/>
    <n v="62857.755936000001"/>
  </r>
  <r>
    <s v="GBTC"/>
    <n v="48.77"/>
    <n v="48.78"/>
    <x v="3"/>
    <n v="1288.4784999999999"/>
    <n v="-0.05"/>
    <n v="1288.5284999999999"/>
    <n v="62841.534944999999"/>
    <n v="62854.420229999996"/>
  </r>
  <r>
    <s v="HODL"/>
    <n v="17.77"/>
    <n v="17.78"/>
    <x v="3"/>
    <n v="3535.8029000000001"/>
    <n v="0"/>
    <n v="3535.8029000000001"/>
    <n v="62831.217533000003"/>
    <n v="62866.575562000005"/>
  </r>
  <r>
    <s v="IBIT"/>
    <n v="35.6"/>
    <n v="35.61"/>
    <x v="3"/>
    <n v="1764.9262000000001"/>
    <n v="0"/>
    <n v="1764.9262000000001"/>
    <n v="62831.372720000007"/>
    <n v="62849.021982000006"/>
  </r>
  <r>
    <s v="ARKB"/>
    <n v="20.83"/>
    <n v="20.84"/>
    <x v="4"/>
    <n v="3014.7584999999999"/>
    <n v="-0.1"/>
    <n v="3014.8584999999998"/>
    <n v="62799.502554999992"/>
    <n v="62829.651139999994"/>
  </r>
  <r>
    <s v="BITB"/>
    <n v="34.1"/>
    <n v="34.11"/>
    <x v="4"/>
    <n v="1841.7601"/>
    <n v="0.1"/>
    <n v="1841.6601000000001"/>
    <n v="62800.609410000005"/>
    <n v="62819.026011000002"/>
  </r>
  <r>
    <s v="BRRR"/>
    <n v="17.71"/>
    <n v="17.72"/>
    <x v="4"/>
    <n v="3546.3341999999998"/>
    <n v="0"/>
    <n v="3546.3341999999998"/>
    <n v="62805.578681999999"/>
    <n v="62841.042023999995"/>
  </r>
  <r>
    <s v="BTC"/>
    <n v="27.77"/>
    <n v="27.78"/>
    <x v="4"/>
    <n v="2261.2093"/>
    <n v="0.2"/>
    <n v="2261.0093000000002"/>
    <n v="62788.228261000004"/>
    <n v="62810.838354000007"/>
  </r>
  <r>
    <s v="BTCW"/>
    <n v="66.38"/>
    <n v="66.48"/>
    <x v="4"/>
    <n v="946.06489999999997"/>
    <n v="0"/>
    <n v="946.06489999999997"/>
    <n v="62799.788061999992"/>
    <n v="62894.394551999998"/>
  </r>
  <r>
    <s v="EZBC"/>
    <n v="36.29"/>
    <n v="36.31"/>
    <x v="4"/>
    <n v="1730.0288"/>
    <n v="-0.2"/>
    <n v="1730.2288000000001"/>
    <n v="62790.003152000005"/>
    <n v="62824.60772800001"/>
  </r>
  <r>
    <s v="FBTC"/>
    <n v="54.67"/>
    <n v="54.68"/>
    <x v="4"/>
    <n v="1148.7663"/>
    <n v="0.05"/>
    <n v="1148.7163"/>
    <n v="62800.320121000004"/>
    <n v="62811.807284000002"/>
  </r>
  <r>
    <s v="GBTC"/>
    <n v="48.73"/>
    <n v="48.74"/>
    <x v="4"/>
    <n v="1288.4784999999999"/>
    <n v="-0.05"/>
    <n v="1288.5284999999999"/>
    <n v="62789.993804999991"/>
    <n v="62802.879089999995"/>
  </r>
  <r>
    <s v="HODL"/>
    <n v="17.760000000000002"/>
    <n v="17.77"/>
    <x v="4"/>
    <n v="3535.8029000000001"/>
    <n v="0"/>
    <n v="3535.8029000000001"/>
    <n v="62795.859504000007"/>
    <n v="62831.217533000003"/>
  </r>
  <r>
    <s v="IBIT"/>
    <n v="35.58"/>
    <n v="35.590000000000003"/>
    <x v="4"/>
    <n v="1764.9262000000001"/>
    <n v="0"/>
    <n v="1764.9262000000001"/>
    <n v="62796.074196000001"/>
    <n v="62813.723458000008"/>
  </r>
  <r>
    <s v="ARKB"/>
    <n v="20.78"/>
    <n v="20.79"/>
    <x v="5"/>
    <n v="3014.7584999999999"/>
    <n v="-0.1"/>
    <n v="3014.8584999999998"/>
    <n v="62648.75963"/>
    <n v="62678.908214999996"/>
  </r>
  <r>
    <s v="BITB"/>
    <n v="34.020000000000003"/>
    <n v="34.03"/>
    <x v="5"/>
    <n v="1841.7601"/>
    <n v="0.1"/>
    <n v="1841.6601000000001"/>
    <n v="62653.276602000005"/>
    <n v="62671.693203000003"/>
  </r>
  <r>
    <s v="BRRR"/>
    <n v="17.66"/>
    <n v="17.670000000000002"/>
    <x v="5"/>
    <n v="3546.3341999999998"/>
    <n v="0"/>
    <n v="3546.3341999999998"/>
    <n v="62628.261972"/>
    <n v="62663.725314000003"/>
  </r>
  <r>
    <s v="BTC"/>
    <n v="27.71"/>
    <n v="27.72"/>
    <x v="5"/>
    <n v="2261.2093"/>
    <n v="0.2"/>
    <n v="2261.0093000000002"/>
    <n v="62652.567703000008"/>
    <n v="62675.177796000004"/>
  </r>
  <r>
    <s v="BTCW"/>
    <n v="66.209999999999994"/>
    <n v="66.31"/>
    <x v="5"/>
    <n v="946.06489999999997"/>
    <n v="0"/>
    <n v="946.06489999999997"/>
    <n v="62638.95702899999"/>
    <n v="62733.563519000003"/>
  </r>
  <r>
    <s v="EZBC"/>
    <n v="36.21"/>
    <n v="36.22"/>
    <x v="5"/>
    <n v="1730.0288"/>
    <n v="-0.2"/>
    <n v="1730.2288000000001"/>
    <n v="62651.584848000006"/>
    <n v="62668.887136000005"/>
  </r>
  <r>
    <s v="FBTC"/>
    <n v="54.55"/>
    <n v="54.56"/>
    <x v="5"/>
    <n v="1148.7663"/>
    <n v="0.05"/>
    <n v="1148.7163"/>
    <n v="62662.474165"/>
    <n v="62673.961328000005"/>
  </r>
  <r>
    <s v="GBTC"/>
    <n v="48.62"/>
    <n v="48.63"/>
    <x v="5"/>
    <n v="1288.4784999999999"/>
    <n v="-0.05"/>
    <n v="1288.5284999999999"/>
    <n v="62648.255669999991"/>
    <n v="62661.140954999995"/>
  </r>
  <r>
    <s v="HODL"/>
    <n v="17.72"/>
    <n v="17.73"/>
    <x v="5"/>
    <n v="3535.8029000000001"/>
    <n v="0"/>
    <n v="3535.8029000000001"/>
    <n v="62654.427387999996"/>
    <n v="62689.785417000006"/>
  </r>
  <r>
    <s v="IBIT"/>
    <n v="35.5"/>
    <n v="35.51"/>
    <x v="5"/>
    <n v="1764.9262000000001"/>
    <n v="0"/>
    <n v="1764.9262000000001"/>
    <n v="62654.880100000002"/>
    <n v="62672.529362000001"/>
  </r>
  <r>
    <s v="ARKB"/>
    <n v="20.79"/>
    <n v="20.8"/>
    <x v="6"/>
    <n v="3014.7584999999999"/>
    <n v="-0.1"/>
    <n v="3014.8584999999998"/>
    <n v="62678.908214999996"/>
    <n v="62709.056799999998"/>
  </r>
  <r>
    <s v="BITB"/>
    <n v="34.03"/>
    <n v="34.04"/>
    <x v="6"/>
    <n v="1841.7601"/>
    <n v="0.1"/>
    <n v="1841.6601000000001"/>
    <n v="62671.693203000003"/>
    <n v="62690.109804"/>
  </r>
  <r>
    <s v="BRRR"/>
    <n v="17.670000000000002"/>
    <n v="17.68"/>
    <x v="6"/>
    <n v="3546.3341999999998"/>
    <n v="0"/>
    <n v="3546.3341999999998"/>
    <n v="62663.725314000003"/>
    <n v="62699.188655999998"/>
  </r>
  <r>
    <s v="BTC"/>
    <n v="27.72"/>
    <n v="27.73"/>
    <x v="6"/>
    <n v="2261.2093"/>
    <n v="0.2"/>
    <n v="2261.0093000000002"/>
    <n v="62675.177796000004"/>
    <n v="62697.787889000007"/>
  </r>
  <r>
    <s v="BTCW"/>
    <n v="66.239999999999995"/>
    <n v="66.349999999999994"/>
    <x v="6"/>
    <n v="946.06489999999997"/>
    <n v="0"/>
    <n v="946.06489999999997"/>
    <n v="62667.338975999992"/>
    <n v="62771.406114999991"/>
  </r>
  <r>
    <s v="EZBC"/>
    <n v="36.22"/>
    <n v="36.24"/>
    <x v="6"/>
    <n v="1730.0288"/>
    <n v="-0.2"/>
    <n v="1730.2288000000001"/>
    <n v="62668.887136000005"/>
    <n v="62703.49171200001"/>
  </r>
  <r>
    <s v="FBTC"/>
    <n v="54.57"/>
    <n v="54.58"/>
    <x v="6"/>
    <n v="1148.7663"/>
    <n v="0.05"/>
    <n v="1148.7163"/>
    <n v="62685.448491000003"/>
    <n v="62696.935654000001"/>
  </r>
  <r>
    <s v="GBTC"/>
    <n v="48.64"/>
    <n v="48.66"/>
    <x v="6"/>
    <n v="1288.4784999999999"/>
    <n v="-0.05"/>
    <n v="1288.5284999999999"/>
    <n v="62674.026239999999"/>
    <n v="62699.796809999993"/>
  </r>
  <r>
    <s v="HODL"/>
    <n v="17.72"/>
    <n v="17.73"/>
    <x v="6"/>
    <n v="3535.8029000000001"/>
    <n v="0"/>
    <n v="3535.8029000000001"/>
    <n v="62654.427387999996"/>
    <n v="62689.785417000006"/>
  </r>
  <r>
    <s v="IBIT"/>
    <n v="35.51"/>
    <n v="35.520000000000003"/>
    <x v="6"/>
    <n v="1764.9262000000001"/>
    <n v="0"/>
    <n v="1764.9262000000001"/>
    <n v="62672.529362000001"/>
    <n v="62690.178624000007"/>
  </r>
  <r>
    <s v="ARKB"/>
    <n v="20.83"/>
    <n v="20.84"/>
    <x v="7"/>
    <n v="3014.7584999999999"/>
    <n v="-0.1"/>
    <n v="3014.8584999999998"/>
    <n v="62799.502554999992"/>
    <n v="62829.651139999994"/>
  </r>
  <r>
    <s v="BITB"/>
    <n v="34.090000000000003"/>
    <n v="34.1"/>
    <x v="7"/>
    <n v="1841.7601"/>
    <n v="0.1"/>
    <n v="1841.6601000000001"/>
    <n v="62782.192809000007"/>
    <n v="62800.609410000005"/>
  </r>
  <r>
    <s v="BRRR"/>
    <n v="17.7"/>
    <n v="17.71"/>
    <x v="7"/>
    <n v="3546.3341999999998"/>
    <n v="0"/>
    <n v="3546.3341999999998"/>
    <n v="62770.115339999997"/>
    <n v="62805.578681999999"/>
  </r>
  <r>
    <s v="BTC"/>
    <n v="27.77"/>
    <n v="27.78"/>
    <x v="7"/>
    <n v="2261.2093"/>
    <n v="0.2"/>
    <n v="2261.0093000000002"/>
    <n v="62788.228261000004"/>
    <n v="62810.838354000007"/>
  </r>
  <r>
    <s v="BTCW"/>
    <n v="66.349999999999994"/>
    <n v="66.459999999999994"/>
    <x v="7"/>
    <n v="946.06489999999997"/>
    <n v="0"/>
    <n v="946.06489999999997"/>
    <n v="62771.406114999991"/>
    <n v="62875.47325399999"/>
  </r>
  <r>
    <s v="EZBC"/>
    <n v="36.29"/>
    <n v="36.299999999999997"/>
    <x v="7"/>
    <n v="1730.0288"/>
    <n v="-0.2"/>
    <n v="1730.2288000000001"/>
    <n v="62790.003152000005"/>
    <n v="62807.305439999996"/>
  </r>
  <r>
    <s v="FBTC"/>
    <n v="54.65"/>
    <n v="54.66"/>
    <x v="7"/>
    <n v="1148.7663"/>
    <n v="0.05"/>
    <n v="1148.7163"/>
    <n v="62777.345795000001"/>
    <n v="62788.832957999999"/>
  </r>
  <r>
    <s v="GBTC"/>
    <n v="48.72"/>
    <n v="48.73"/>
    <x v="7"/>
    <n v="1288.4784999999999"/>
    <n v="-0.05"/>
    <n v="1288.5284999999999"/>
    <n v="62777.108519999994"/>
    <n v="62789.993804999991"/>
  </r>
  <r>
    <s v="HODL"/>
    <n v="17.760000000000002"/>
    <n v="17.77"/>
    <x v="7"/>
    <n v="3535.8029000000001"/>
    <n v="0"/>
    <n v="3535.8029000000001"/>
    <n v="62795.859504000007"/>
    <n v="62831.217533000003"/>
  </r>
  <r>
    <s v="IBIT"/>
    <n v="35.57"/>
    <n v="35.58"/>
    <x v="7"/>
    <n v="1764.9262000000001"/>
    <n v="0"/>
    <n v="1764.9262000000001"/>
    <n v="62778.424934000002"/>
    <n v="62796.074196000001"/>
  </r>
  <r>
    <s v="ARKB"/>
    <n v="20.75"/>
    <n v="20.76"/>
    <x v="8"/>
    <n v="3014.7584999999999"/>
    <n v="-0.1"/>
    <n v="3014.8584999999998"/>
    <n v="62558.313875"/>
    <n v="62588.462460000002"/>
  </r>
  <r>
    <s v="BITB"/>
    <n v="33.97"/>
    <n v="33.979999999999997"/>
    <x v="8"/>
    <n v="1841.7601"/>
    <n v="0.1"/>
    <n v="1841.6601000000001"/>
    <n v="62561.193596999998"/>
    <n v="62579.610197999995"/>
  </r>
  <r>
    <s v="BRRR"/>
    <n v="17.64"/>
    <n v="17.649999999999999"/>
    <x v="8"/>
    <n v="3546.3341999999998"/>
    <n v="0"/>
    <n v="3546.3341999999998"/>
    <n v="62557.335287999995"/>
    <n v="62592.79862999999"/>
  </r>
  <r>
    <s v="BTC"/>
    <n v="27.67"/>
    <n v="27.68"/>
    <x v="8"/>
    <n v="2261.2093"/>
    <n v="0.2"/>
    <n v="2261.0093000000002"/>
    <n v="62562.127331000011"/>
    <n v="62584.737424000006"/>
  </r>
  <r>
    <s v="BTCW"/>
    <n v="66.099999999999994"/>
    <n v="66.209999999999994"/>
    <x v="8"/>
    <n v="946.06489999999997"/>
    <n v="0"/>
    <n v="946.06489999999997"/>
    <n v="62534.889889999991"/>
    <n v="62638.95702899999"/>
  </r>
  <r>
    <s v="EZBC"/>
    <n v="36.15"/>
    <n v="36.17"/>
    <x v="8"/>
    <n v="1730.0288"/>
    <n v="-0.2"/>
    <n v="1730.2288000000001"/>
    <n v="62547.771119999998"/>
    <n v="62582.375696000003"/>
  </r>
  <r>
    <s v="FBTC"/>
    <n v="54.47"/>
    <n v="54.48"/>
    <x v="8"/>
    <n v="1148.7663"/>
    <n v="0.05"/>
    <n v="1148.7163"/>
    <n v="62570.576861000001"/>
    <n v="62582.064023999999"/>
  </r>
  <r>
    <s v="GBTC"/>
    <n v="48.55"/>
    <n v="48.56"/>
    <x v="8"/>
    <n v="1288.4784999999999"/>
    <n v="-0.05"/>
    <n v="1288.5284999999999"/>
    <n v="62558.058674999993"/>
    <n v="62570.943959999997"/>
  </r>
  <r>
    <s v="HODL"/>
    <n v="17.690000000000001"/>
    <n v="17.7"/>
    <x v="8"/>
    <n v="3535.8029000000001"/>
    <n v="0"/>
    <n v="3535.8029000000001"/>
    <n v="62548.35330100001"/>
    <n v="62583.711329999998"/>
  </r>
  <r>
    <s v="IBIT"/>
    <n v="35.44"/>
    <n v="35.450000000000003"/>
    <x v="8"/>
    <n v="1764.9262000000001"/>
    <n v="0"/>
    <n v="1764.9262000000001"/>
    <n v="62548.984528000001"/>
    <n v="62566.633790000007"/>
  </r>
  <r>
    <s v="ARKB"/>
    <n v="20.78"/>
    <n v="20.79"/>
    <x v="9"/>
    <n v="3014.7584999999999"/>
    <n v="-0.1"/>
    <n v="3014.8584999999998"/>
    <n v="62648.75963"/>
    <n v="62678.908214999996"/>
  </r>
  <r>
    <s v="BITB"/>
    <n v="34.01"/>
    <n v="34.020000000000003"/>
    <x v="9"/>
    <n v="1841.7601"/>
    <n v="0.1"/>
    <n v="1841.6601000000001"/>
    <n v="62634.860001000001"/>
    <n v="62653.276602000005"/>
  </r>
  <r>
    <s v="BRRR"/>
    <n v="17.66"/>
    <n v="17.670000000000002"/>
    <x v="9"/>
    <n v="3546.3341999999998"/>
    <n v="0"/>
    <n v="3546.3341999999998"/>
    <n v="62628.261972"/>
    <n v="62663.725314000003"/>
  </r>
  <r>
    <s v="BTC"/>
    <n v="27.71"/>
    <n v="27.72"/>
    <x v="9"/>
    <n v="2261.2093"/>
    <n v="0.2"/>
    <n v="2261.0093000000002"/>
    <n v="62652.567703000008"/>
    <n v="62675.177796000004"/>
  </r>
  <r>
    <s v="BTCW"/>
    <n v="66.22"/>
    <n v="66.34"/>
    <x v="9"/>
    <n v="946.06489999999997"/>
    <n v="0"/>
    <n v="946.06489999999997"/>
    <n v="62648.417677999998"/>
    <n v="62761.945465999997"/>
  </r>
  <r>
    <s v="EZBC"/>
    <n v="36.21"/>
    <n v="36.22"/>
    <x v="9"/>
    <n v="1730.0288"/>
    <n v="-0.2"/>
    <n v="1730.2288000000001"/>
    <n v="62651.584848000006"/>
    <n v="62668.887136000005"/>
  </r>
  <r>
    <s v="FBTC"/>
    <n v="54.54"/>
    <n v="54.55"/>
    <x v="9"/>
    <n v="1148.7663"/>
    <n v="0.05"/>
    <n v="1148.7163"/>
    <n v="62650.987002000002"/>
    <n v="62662.474165"/>
  </r>
  <r>
    <s v="GBTC"/>
    <n v="48.62"/>
    <n v="48.63"/>
    <x v="9"/>
    <n v="1288.4784999999999"/>
    <n v="-0.05"/>
    <n v="1288.5284999999999"/>
    <n v="62648.255669999991"/>
    <n v="62661.140954999995"/>
  </r>
  <r>
    <s v="HODL"/>
    <n v="17.72"/>
    <n v="17.73"/>
    <x v="9"/>
    <n v="3535.8029000000001"/>
    <n v="0"/>
    <n v="3535.8029000000001"/>
    <n v="62654.427387999996"/>
    <n v="62689.785417000006"/>
  </r>
  <r>
    <s v="IBIT"/>
    <n v="35.49"/>
    <n v="35.5"/>
    <x v="9"/>
    <n v="1764.9262000000001"/>
    <n v="0"/>
    <n v="1764.9262000000001"/>
    <n v="62637.23083800001"/>
    <n v="62654.880100000002"/>
  </r>
  <r>
    <s v="ARKB"/>
    <n v="20.72"/>
    <n v="20.73"/>
    <x v="10"/>
    <n v="3014.7584999999999"/>
    <n v="-0.1"/>
    <n v="3014.8584999999998"/>
    <n v="62467.868119999992"/>
    <n v="62498.016704999995"/>
  </r>
  <r>
    <s v="BITB"/>
    <n v="33.92"/>
    <n v="33.93"/>
    <x v="10"/>
    <n v="1841.7601"/>
    <n v="0.1"/>
    <n v="1841.6601000000001"/>
    <n v="62469.110592000005"/>
    <n v="62487.527193000002"/>
  </r>
  <r>
    <s v="BRRR"/>
    <n v="17.62"/>
    <n v="17.63"/>
    <x v="10"/>
    <n v="3546.3341999999998"/>
    <n v="0"/>
    <n v="3546.3341999999998"/>
    <n v="62486.408603999997"/>
    <n v="62521.871945999992"/>
  </r>
  <r>
    <s v="BTC"/>
    <n v="27.63"/>
    <n v="27.64"/>
    <x v="10"/>
    <n v="2261.2093"/>
    <n v="0.2"/>
    <n v="2261.0093000000002"/>
    <n v="62471.686958999999"/>
    <n v="62494.297052000009"/>
  </r>
  <r>
    <s v="BTCW"/>
    <n v="66.040000000000006"/>
    <n v="66.12"/>
    <x v="10"/>
    <n v="946.06489999999997"/>
    <n v="0"/>
    <n v="946.06489999999997"/>
    <n v="62478.125996000002"/>
    <n v="62553.811188"/>
  </r>
  <r>
    <s v="EZBC"/>
    <n v="36.1"/>
    <n v="36.119999999999997"/>
    <x v="10"/>
    <n v="1730.0288"/>
    <n v="-0.2"/>
    <n v="1730.2288000000001"/>
    <n v="62461.259680000003"/>
    <n v="62495.864256000001"/>
  </r>
  <r>
    <s v="FBTC"/>
    <n v="54.39"/>
    <n v="54.4"/>
    <x v="10"/>
    <n v="1148.7663"/>
    <n v="0.05"/>
    <n v="1148.7163"/>
    <n v="62478.679557000003"/>
    <n v="62490.166720000001"/>
  </r>
  <r>
    <s v="GBTC"/>
    <n v="48.49"/>
    <n v="48.5"/>
    <x v="10"/>
    <n v="1288.4784999999999"/>
    <n v="-0.05"/>
    <n v="1288.5284999999999"/>
    <n v="62480.746964999998"/>
    <n v="62493.632249999995"/>
  </r>
  <r>
    <s v="HODL"/>
    <n v="17.670000000000002"/>
    <n v="17.68"/>
    <x v="10"/>
    <n v="3535.8029000000001"/>
    <n v="0"/>
    <n v="3535.8029000000001"/>
    <n v="62477.637243000012"/>
    <n v="62512.995272"/>
  </r>
  <r>
    <s v="IBIT"/>
    <n v="35.4"/>
    <n v="35.409999999999997"/>
    <x v="10"/>
    <n v="1764.9262000000001"/>
    <n v="0"/>
    <n v="1764.9262000000001"/>
    <n v="62478.387480000005"/>
    <n v="62496.036741999997"/>
  </r>
  <r>
    <s v="ARKB"/>
    <n v="20.77"/>
    <n v="20.78"/>
    <x v="11"/>
    <n v="3014.7584999999999"/>
    <n v="-0.1"/>
    <n v="3014.8584999999998"/>
    <n v="62618.611044999998"/>
    <n v="62648.75963"/>
  </r>
  <r>
    <s v="BITB"/>
    <n v="33.99"/>
    <n v="34"/>
    <x v="11"/>
    <n v="1841.7601"/>
    <n v="0.1"/>
    <n v="1841.6601000000001"/>
    <n v="62598.026799000007"/>
    <n v="62616.443400000004"/>
  </r>
  <r>
    <s v="BRRR"/>
    <n v="17.649999999999999"/>
    <n v="17.66"/>
    <x v="11"/>
    <n v="3546.3341999999998"/>
    <n v="0"/>
    <n v="3546.3341999999998"/>
    <n v="62592.79862999999"/>
    <n v="62628.261972"/>
  </r>
  <r>
    <s v="BTC"/>
    <n v="27.69"/>
    <n v="27.7"/>
    <x v="11"/>
    <n v="2261.2093"/>
    <n v="0.2"/>
    <n v="2261.0093000000002"/>
    <n v="62607.347517000009"/>
    <n v="62629.957610000005"/>
  </r>
  <r>
    <s v="BTCW"/>
    <n v="66.180000000000007"/>
    <n v="66.260000000000005"/>
    <x v="11"/>
    <n v="946.06489999999997"/>
    <n v="0"/>
    <n v="946.06489999999997"/>
    <n v="62610.575082000003"/>
    <n v="62686.260274"/>
  </r>
  <r>
    <s v="EZBC"/>
    <n v="36.18"/>
    <n v="36.19"/>
    <x v="11"/>
    <n v="1730.0288"/>
    <n v="-0.2"/>
    <n v="1730.2288000000001"/>
    <n v="62599.677984000002"/>
    <n v="62616.980272000001"/>
  </r>
  <r>
    <s v="FBTC"/>
    <n v="54.5"/>
    <n v="54.51"/>
    <x v="11"/>
    <n v="1148.7663"/>
    <n v="0.05"/>
    <n v="1148.7163"/>
    <n v="62605.038350000003"/>
    <n v="62616.525513000001"/>
  </r>
  <r>
    <s v="GBTC"/>
    <n v="48.59"/>
    <n v="48.6"/>
    <x v="11"/>
    <n v="1288.4784999999999"/>
    <n v="-0.05"/>
    <n v="1288.5284999999999"/>
    <n v="62609.599815000001"/>
    <n v="62622.485099999998"/>
  </r>
  <r>
    <s v="HODL"/>
    <n v="17.7"/>
    <n v="17.71"/>
    <x v="11"/>
    <n v="3535.8029000000001"/>
    <n v="0"/>
    <n v="3535.8029000000001"/>
    <n v="62583.711329999998"/>
    <n v="62619.069359000008"/>
  </r>
  <r>
    <s v="IBIT"/>
    <n v="35.47"/>
    <n v="35.479999999999997"/>
    <x v="11"/>
    <n v="1764.9262000000001"/>
    <n v="0"/>
    <n v="1764.9262000000001"/>
    <n v="62601.932314000005"/>
    <n v="62619.581575999997"/>
  </r>
  <r>
    <s v="ARKB"/>
    <n v="20.73"/>
    <n v="20.74"/>
    <x v="12"/>
    <n v="3014.7584999999999"/>
    <n v="-0.1"/>
    <n v="3014.8584999999998"/>
    <n v="62498.016704999995"/>
    <n v="62528.16528999999"/>
  </r>
  <r>
    <s v="BITB"/>
    <n v="33.93"/>
    <n v="33.94"/>
    <x v="12"/>
    <n v="1841.7601"/>
    <n v="0.1"/>
    <n v="1841.6601000000001"/>
    <n v="62487.527193000002"/>
    <n v="62505.943793999999"/>
  </r>
  <r>
    <s v="BRRR"/>
    <n v="17.62"/>
    <n v="17.63"/>
    <x v="12"/>
    <n v="3546.3341999999998"/>
    <n v="0"/>
    <n v="3546.3341999999998"/>
    <n v="62486.408603999997"/>
    <n v="62521.871945999992"/>
  </r>
  <r>
    <s v="BTC"/>
    <n v="27.64"/>
    <n v="27.65"/>
    <x v="12"/>
    <n v="2261.2093"/>
    <n v="0.2"/>
    <n v="2261.0093000000002"/>
    <n v="62494.297052000009"/>
    <n v="62516.907145000005"/>
  </r>
  <r>
    <s v="BTCW"/>
    <n v="66.040000000000006"/>
    <n v="66.150000000000006"/>
    <x v="12"/>
    <n v="946.06489999999997"/>
    <n v="0"/>
    <n v="946.06489999999997"/>
    <n v="62478.125996000002"/>
    <n v="62582.193135000001"/>
  </r>
  <r>
    <s v="EZBC"/>
    <n v="36.11"/>
    <n v="36.130000000000003"/>
    <x v="12"/>
    <n v="1730.0288"/>
    <n v="-0.2"/>
    <n v="1730.2288000000001"/>
    <n v="62478.561968000002"/>
    <n v="62513.166544000007"/>
  </r>
  <r>
    <s v="FBTC"/>
    <n v="54.4"/>
    <n v="54.41"/>
    <x v="12"/>
    <n v="1148.7663"/>
    <n v="0.05"/>
    <n v="1148.7163"/>
    <n v="62490.166720000001"/>
    <n v="62501.653882999999"/>
  </r>
  <r>
    <s v="GBTC"/>
    <n v="48.51"/>
    <n v="48.52"/>
    <x v="12"/>
    <n v="1288.4784999999999"/>
    <n v="-0.05"/>
    <n v="1288.5284999999999"/>
    <n v="62506.517534999992"/>
    <n v="62519.402819999996"/>
  </r>
  <r>
    <s v="HODL"/>
    <n v="17.670000000000002"/>
    <n v="17.68"/>
    <x v="12"/>
    <n v="3535.8029000000001"/>
    <n v="0"/>
    <n v="3535.8029000000001"/>
    <n v="62477.637243000012"/>
    <n v="62512.995272"/>
  </r>
  <r>
    <s v="IBIT"/>
    <n v="35.4"/>
    <n v="35.409999999999997"/>
    <x v="12"/>
    <n v="1764.9262000000001"/>
    <n v="0"/>
    <n v="1764.9262000000001"/>
    <n v="62478.387480000005"/>
    <n v="62496.036741999997"/>
  </r>
  <r>
    <s v="ARKB"/>
    <n v="20.72"/>
    <n v="20.73"/>
    <x v="13"/>
    <n v="3014.7584999999999"/>
    <n v="-0.1"/>
    <n v="3014.8584999999998"/>
    <n v="62467.868119999992"/>
    <n v="62498.016704999995"/>
  </r>
  <r>
    <s v="BITB"/>
    <n v="33.92"/>
    <n v="33.92"/>
    <x v="13"/>
    <n v="1841.7601"/>
    <n v="0.1"/>
    <n v="1841.6601000000001"/>
    <n v="62469.110592000005"/>
    <n v="62469.110592000005"/>
  </r>
  <r>
    <s v="BRRR"/>
    <n v="17.61"/>
    <n v="17.62"/>
    <x v="13"/>
    <n v="3546.3341999999998"/>
    <n v="0"/>
    <n v="3546.3341999999998"/>
    <n v="62450.945261999994"/>
    <n v="62486.408603999997"/>
  </r>
  <r>
    <s v="BTC"/>
    <n v="27.63"/>
    <n v="27.64"/>
    <x v="13"/>
    <n v="2261.2093"/>
    <n v="0.2"/>
    <n v="2261.0093000000002"/>
    <n v="62471.686958999999"/>
    <n v="62494.297052000009"/>
  </r>
  <r>
    <s v="BTCW"/>
    <n v="66"/>
    <n v="66.099999999999994"/>
    <x v="13"/>
    <n v="946.06489999999997"/>
    <n v="0"/>
    <n v="946.06489999999997"/>
    <n v="62440.2834"/>
    <n v="62534.889889999991"/>
  </r>
  <r>
    <s v="EZBC"/>
    <n v="36.090000000000003"/>
    <n v="36.11"/>
    <x v="13"/>
    <n v="1730.0288"/>
    <n v="-0.2"/>
    <n v="1730.2288000000001"/>
    <n v="62443.957392000011"/>
    <n v="62478.561968000002"/>
  </r>
  <r>
    <s v="FBTC"/>
    <n v="54.37"/>
    <n v="54.38"/>
    <x v="13"/>
    <n v="1148.7663"/>
    <n v="0.05"/>
    <n v="1148.7163"/>
    <n v="62455.705231"/>
    <n v="62467.192394000005"/>
  </r>
  <r>
    <s v="GBTC"/>
    <n v="48.47"/>
    <n v="48.48"/>
    <x v="13"/>
    <n v="1288.4784999999999"/>
    <n v="-0.05"/>
    <n v="1288.5284999999999"/>
    <n v="62454.976394999991"/>
    <n v="62467.861679999987"/>
  </r>
  <r>
    <s v="HODL"/>
    <n v="17.670000000000002"/>
    <n v="17.68"/>
    <x v="13"/>
    <n v="3535.8029000000001"/>
    <n v="0"/>
    <n v="3535.8029000000001"/>
    <n v="62477.637243000012"/>
    <n v="62512.995272"/>
  </r>
  <r>
    <s v="IBIT"/>
    <n v="35.380000000000003"/>
    <n v="35.39"/>
    <x v="13"/>
    <n v="1764.9262000000001"/>
    <n v="0"/>
    <n v="1764.9262000000001"/>
    <n v="62443.088956000007"/>
    <n v="62460.738218000006"/>
  </r>
  <r>
    <s v="ARKB"/>
    <n v="20.66"/>
    <n v="20.67"/>
    <x v="14"/>
    <n v="3014.7584999999999"/>
    <n v="-0.1"/>
    <n v="3014.8584999999998"/>
    <n v="62286.976609999998"/>
    <n v="62317.125195000001"/>
  </r>
  <r>
    <s v="BITB"/>
    <n v="33.82"/>
    <n v="33.83"/>
    <x v="14"/>
    <n v="1841.7601"/>
    <n v="0.1"/>
    <n v="1841.6601000000001"/>
    <n v="62284.944582000004"/>
    <n v="62303.361183000001"/>
  </r>
  <r>
    <s v="BRRR"/>
    <n v="17.559999999999999"/>
    <n v="17.57"/>
    <x v="14"/>
    <n v="3546.3341999999998"/>
    <n v="0"/>
    <n v="3546.3341999999998"/>
    <n v="62273.628551999995"/>
    <n v="62309.091893999997"/>
  </r>
  <r>
    <s v="BTC"/>
    <n v="27.55"/>
    <n v="27.56"/>
    <x v="14"/>
    <n v="2261.2093"/>
    <n v="0.2"/>
    <n v="2261.0093000000002"/>
    <n v="62290.806215000004"/>
    <n v="62313.416308"/>
  </r>
  <r>
    <s v="BTCW"/>
    <n v="65.819999999999993"/>
    <n v="65.930000000000007"/>
    <x v="14"/>
    <n v="946.06489999999997"/>
    <n v="0"/>
    <n v="946.06489999999997"/>
    <n v="62269.99171799999"/>
    <n v="62374.058857000004"/>
  </r>
  <r>
    <s v="EZBC"/>
    <n v="36"/>
    <n v="36.01"/>
    <x v="14"/>
    <n v="1730.0288"/>
    <n v="-0.2"/>
    <n v="1730.2288000000001"/>
    <n v="62288.236800000006"/>
    <n v="62305.539087999998"/>
  </r>
  <r>
    <s v="FBTC"/>
    <n v="54.23"/>
    <n v="54.24"/>
    <x v="14"/>
    <n v="1148.7663"/>
    <n v="0.05"/>
    <n v="1148.7163"/>
    <n v="62294.884948999999"/>
    <n v="62306.372112000005"/>
  </r>
  <r>
    <s v="GBTC"/>
    <n v="48.35"/>
    <n v="48.36"/>
    <x v="14"/>
    <n v="1288.4784999999999"/>
    <n v="-0.05"/>
    <n v="1288.5284999999999"/>
    <n v="62300.352974999994"/>
    <n v="62313.238259999991"/>
  </r>
  <r>
    <s v="HODL"/>
    <n v="17.62"/>
    <n v="17.63"/>
    <x v="14"/>
    <n v="3535.8029000000001"/>
    <n v="0"/>
    <n v="3535.8029000000001"/>
    <n v="62300.847098000006"/>
    <n v="62336.205127000001"/>
  </r>
  <r>
    <s v="IBIT"/>
    <n v="35.29"/>
    <n v="35.299999999999997"/>
    <x v="14"/>
    <n v="1764.9262000000001"/>
    <n v="0"/>
    <n v="1764.9262000000001"/>
    <n v="62284.245598000001"/>
    <n v="62301.89486"/>
  </r>
  <r>
    <s v="ARKB"/>
    <n v="20.98"/>
    <n v="20.99"/>
    <x v="15"/>
    <n v="3014.7584999999999"/>
    <n v="-0.1"/>
    <n v="3014.8584999999998"/>
    <n v="63251.731329999995"/>
    <n v="63281.87991499999"/>
  </r>
  <r>
    <s v="BITB"/>
    <n v="34.340000000000003"/>
    <n v="34.35"/>
    <x v="15"/>
    <n v="1841.7601"/>
    <n v="0.1"/>
    <n v="1841.6601000000001"/>
    <n v="63242.607834000009"/>
    <n v="63261.024435000007"/>
  </r>
  <r>
    <s v="BRRR"/>
    <n v="17.829999999999998"/>
    <n v="17.84"/>
    <x v="15"/>
    <n v="3546.3341999999998"/>
    <n v="0"/>
    <n v="3546.3341999999998"/>
    <n v="63231.138785999989"/>
    <n v="63266.602127999999"/>
  </r>
  <r>
    <s v="BTC"/>
    <n v="27.97"/>
    <n v="27.98"/>
    <x v="15"/>
    <n v="2261.2093"/>
    <n v="0.2"/>
    <n v="2261.0093000000002"/>
    <n v="63240.430121000005"/>
    <n v="63263.040214000008"/>
  </r>
  <r>
    <s v="BTCW"/>
    <n v="66.849999999999994"/>
    <n v="66.97"/>
    <x v="15"/>
    <n v="946.06489999999997"/>
    <n v="0"/>
    <n v="946.06489999999997"/>
    <n v="63244.438564999989"/>
    <n v="63357.966352999996"/>
  </r>
  <r>
    <s v="EZBC"/>
    <n v="36.54"/>
    <n v="36.57"/>
    <x v="15"/>
    <n v="1730.0288"/>
    <n v="-0.2"/>
    <n v="1730.2288000000001"/>
    <n v="63222.560352"/>
    <n v="63274.467216000005"/>
  </r>
  <r>
    <s v="FBTC"/>
    <n v="55.06"/>
    <n v="55.07"/>
    <x v="15"/>
    <n v="1148.7663"/>
    <n v="0.05"/>
    <n v="1148.7163"/>
    <n v="63248.319478000005"/>
    <n v="63259.806641000003"/>
  </r>
  <r>
    <s v="GBTC"/>
    <n v="49.09"/>
    <n v="49.1"/>
    <x v="15"/>
    <n v="1288.4784999999999"/>
    <n v="-0.05"/>
    <n v="1288.5284999999999"/>
    <n v="63253.864065000002"/>
    <n v="63266.749349999998"/>
  </r>
  <r>
    <s v="HODL"/>
    <n v="17.89"/>
    <n v="17.899999999999999"/>
    <x v="15"/>
    <n v="3535.8029000000001"/>
    <n v="0"/>
    <n v="3535.8029000000001"/>
    <n v="63255.513881000006"/>
    <n v="63290.871909999994"/>
  </r>
  <r>
    <s v="IBIT"/>
    <n v="35.83"/>
    <n v="35.840000000000003"/>
    <x v="15"/>
    <n v="1764.9262000000001"/>
    <n v="0"/>
    <n v="1764.9262000000001"/>
    <n v="63237.305745999998"/>
    <n v="63254.955008000012"/>
  </r>
  <r>
    <s v="ARKB"/>
    <n v="21.02"/>
    <n v="21.03"/>
    <x v="16"/>
    <n v="3014.7584999999999"/>
    <n v="-0.1"/>
    <n v="3014.8584999999998"/>
    <n v="63372.325669999998"/>
    <n v="63402.474255000001"/>
  </r>
  <r>
    <s v="BITB"/>
    <n v="34.409999999999997"/>
    <n v="34.42"/>
    <x v="16"/>
    <n v="1841.7601"/>
    <n v="0.1"/>
    <n v="1841.6601000000001"/>
    <n v="63371.524040999997"/>
    <n v="63389.940642000009"/>
  </r>
  <r>
    <s v="BRRR"/>
    <n v="17.87"/>
    <n v="17.88"/>
    <x v="16"/>
    <n v="3546.3341999999998"/>
    <n v="0"/>
    <n v="3546.3341999999998"/>
    <n v="63372.992154"/>
    <n v="63408.455495999995"/>
  </r>
  <r>
    <s v="BTC"/>
    <n v="28.03"/>
    <n v="28.04"/>
    <x v="16"/>
    <n v="2261.2093"/>
    <n v="0.2"/>
    <n v="2261.0093000000002"/>
    <n v="63376.090679000008"/>
    <n v="63398.700772000004"/>
  </r>
  <r>
    <s v="BTCW"/>
    <n v="66.989999999999995"/>
    <n v="67.12"/>
    <x v="16"/>
    <n v="946.06489999999997"/>
    <n v="0"/>
    <n v="946.06489999999997"/>
    <n v="63376.88765099999"/>
    <n v="63499.876088000005"/>
  </r>
  <r>
    <s v="EZBC"/>
    <n v="36.619999999999997"/>
    <n v="36.64"/>
    <x v="16"/>
    <n v="1730.0288"/>
    <n v="-0.2"/>
    <n v="1730.2288000000001"/>
    <n v="63360.978655999999"/>
    <n v="63395.583232000005"/>
  </r>
  <r>
    <s v="FBTC"/>
    <n v="55.18"/>
    <n v="55.19"/>
    <x v="16"/>
    <n v="1148.7663"/>
    <n v="0.05"/>
    <n v="1148.7163"/>
    <n v="63386.165434000002"/>
    <n v="63397.652597"/>
  </r>
  <r>
    <s v="GBTC"/>
    <n v="49.19"/>
    <n v="49.2"/>
    <x v="16"/>
    <n v="1288.4784999999999"/>
    <n v="-0.05"/>
    <n v="1288.5284999999999"/>
    <n v="63382.71691499999"/>
    <n v="63395.602200000001"/>
  </r>
  <r>
    <s v="HODL"/>
    <n v="17.920000000000002"/>
    <n v="17.93"/>
    <x v="16"/>
    <n v="3535.8029000000001"/>
    <n v="0"/>
    <n v="3535.8029000000001"/>
    <n v="63361.587968000007"/>
    <n v="63396.945997000003"/>
  </r>
  <r>
    <s v="IBIT"/>
    <n v="35.909999999999997"/>
    <n v="35.92"/>
    <x v="16"/>
    <n v="1764.9262000000001"/>
    <n v="0"/>
    <n v="1764.9262000000001"/>
    <n v="63378.499841999997"/>
    <n v="63396.149104000004"/>
  </r>
  <r>
    <s v="ARKB"/>
    <n v="20.98"/>
    <n v="20.99"/>
    <x v="17"/>
    <n v="3014.7584999999999"/>
    <n v="-0.1"/>
    <n v="3014.8584999999998"/>
    <n v="63251.731329999995"/>
    <n v="63281.87991499999"/>
  </r>
  <r>
    <s v="BITB"/>
    <n v="34.36"/>
    <n v="34.369999999999997"/>
    <x v="17"/>
    <n v="1841.7601"/>
    <n v="0.1"/>
    <n v="1841.6601000000001"/>
    <n v="63279.441036000004"/>
    <n v="63297.857636999994"/>
  </r>
  <r>
    <s v="BRRR"/>
    <n v="17.84"/>
    <n v="17.850000000000001"/>
    <x v="17"/>
    <n v="3546.3341999999998"/>
    <n v="0"/>
    <n v="3546.3341999999998"/>
    <n v="63266.602127999999"/>
    <n v="63302.065470000001"/>
  </r>
  <r>
    <s v="BTC"/>
    <n v="27.99"/>
    <n v="28"/>
    <x v="17"/>
    <n v="2261.2093"/>
    <n v="0.2"/>
    <n v="2261.0093000000002"/>
    <n v="63285.650307000004"/>
    <n v="63308.260400000006"/>
  </r>
  <r>
    <s v="BTCW"/>
    <n v="66.86"/>
    <n v="67"/>
    <x v="17"/>
    <n v="946.06489999999997"/>
    <n v="0"/>
    <n v="946.06489999999997"/>
    <n v="63253.899213999997"/>
    <n v="63386.348299999998"/>
  </r>
  <r>
    <s v="EZBC"/>
    <n v="36.56"/>
    <n v="36.58"/>
    <x v="17"/>
    <n v="1730.0288"/>
    <n v="-0.2"/>
    <n v="1730.2288000000001"/>
    <n v="63257.164928000006"/>
    <n v="63291.769504000004"/>
  </r>
  <r>
    <s v="FBTC"/>
    <n v="55.09"/>
    <n v="55.1"/>
    <x v="17"/>
    <n v="1148.7663"/>
    <n v="0.05"/>
    <n v="1148.7163"/>
    <n v="63282.780967000006"/>
    <n v="63294.268130000004"/>
  </r>
  <r>
    <s v="GBTC"/>
    <n v="49.11"/>
    <n v="49.12"/>
    <x v="17"/>
    <n v="1288.4784999999999"/>
    <n v="-0.05"/>
    <n v="1288.5284999999999"/>
    <n v="63279.634634999995"/>
    <n v="63292.519919999992"/>
  </r>
  <r>
    <s v="HODL"/>
    <n v="17.89"/>
    <n v="17.899999999999999"/>
    <x v="17"/>
    <n v="3535.8029000000001"/>
    <n v="0"/>
    <n v="3535.8029000000001"/>
    <n v="63255.513881000006"/>
    <n v="63290.871909999994"/>
  </r>
  <r>
    <s v="IBIT"/>
    <n v="35.85"/>
    <n v="35.86"/>
    <x v="17"/>
    <n v="1764.9262000000001"/>
    <n v="0"/>
    <n v="1764.9262000000001"/>
    <n v="63272.604270000003"/>
    <n v="63290.253532000002"/>
  </r>
  <r>
    <s v="ARKB"/>
    <n v="21.01"/>
    <n v="21.02"/>
    <x v="18"/>
    <n v="3014.7584999999999"/>
    <n v="-0.1"/>
    <n v="3014.8584999999998"/>
    <n v="63342.177085000003"/>
    <n v="63372.325669999998"/>
  </r>
  <r>
    <s v="BITB"/>
    <n v="34.4"/>
    <n v="34.409999999999997"/>
    <x v="18"/>
    <n v="1841.7601"/>
    <n v="0.1"/>
    <n v="1841.6601000000001"/>
    <n v="63353.10744"/>
    <n v="63371.524040999997"/>
  </r>
  <r>
    <s v="BRRR"/>
    <n v="17.87"/>
    <n v="17.88"/>
    <x v="18"/>
    <n v="3546.3341999999998"/>
    <n v="0"/>
    <n v="3546.3341999999998"/>
    <n v="63372.992154"/>
    <n v="63408.455495999995"/>
  </r>
  <r>
    <s v="BTC"/>
    <n v="28.03"/>
    <n v="28.04"/>
    <x v="18"/>
    <n v="2261.2093"/>
    <n v="0.2"/>
    <n v="2261.0093000000002"/>
    <n v="63376.090679000008"/>
    <n v="63398.700772000004"/>
  </r>
  <r>
    <s v="BTCW"/>
    <n v="66.92"/>
    <n v="67.06"/>
    <x v="18"/>
    <n v="946.06489999999997"/>
    <n v="0"/>
    <n v="946.06489999999997"/>
    <n v="63310.663108000001"/>
    <n v="63443.112194000001"/>
  </r>
  <r>
    <s v="EZBC"/>
    <n v="36.619999999999997"/>
    <n v="36.630000000000003"/>
    <x v="18"/>
    <n v="1730.0288"/>
    <n v="-0.2"/>
    <n v="1730.2288000000001"/>
    <n v="63360.978655999999"/>
    <n v="63378.280944000006"/>
  </r>
  <r>
    <s v="FBTC"/>
    <n v="55.16"/>
    <n v="55.17"/>
    <x v="18"/>
    <n v="1148.7663"/>
    <n v="0.05"/>
    <n v="1148.7163"/>
    <n v="63363.191107999999"/>
    <n v="63374.678271000004"/>
  </r>
  <r>
    <s v="GBTC"/>
    <n v="49.17"/>
    <n v="49.18"/>
    <x v="18"/>
    <n v="1288.4784999999999"/>
    <n v="-0.05"/>
    <n v="1288.5284999999999"/>
    <n v="63356.946344999997"/>
    <n v="63369.831629999993"/>
  </r>
  <r>
    <s v="HODL"/>
    <n v="17.920000000000002"/>
    <n v="17.93"/>
    <x v="18"/>
    <n v="3535.8029000000001"/>
    <n v="0"/>
    <n v="3535.8029000000001"/>
    <n v="63361.587968000007"/>
    <n v="63396.945997000003"/>
  </r>
  <r>
    <s v="IBIT"/>
    <n v="35.9"/>
    <n v="35.909999999999997"/>
    <x v="18"/>
    <n v="1764.9262000000001"/>
    <n v="0"/>
    <n v="1764.9262000000001"/>
    <n v="63360.850579999998"/>
    <n v="63378.499841999997"/>
  </r>
  <r>
    <s v="ARKB"/>
    <n v="21.03"/>
    <n v="21.04"/>
    <x v="19"/>
    <n v="3014.7584999999999"/>
    <n v="-0.1"/>
    <n v="3014.8584999999998"/>
    <n v="63402.474255000001"/>
    <n v="63432.622839999996"/>
  </r>
  <r>
    <s v="BITB"/>
    <n v="34.43"/>
    <n v="34.44"/>
    <x v="19"/>
    <n v="1841.7601"/>
    <n v="0.1"/>
    <n v="1841.6601000000001"/>
    <n v="63408.357242999999"/>
    <n v="63426.773843999996"/>
  </r>
  <r>
    <s v="BRRR"/>
    <n v="17.88"/>
    <n v="17.89"/>
    <x v="19"/>
    <n v="3546.3341999999998"/>
    <n v="0"/>
    <n v="3546.3341999999998"/>
    <n v="63408.455495999995"/>
    <n v="63443.918837999998"/>
  </r>
  <r>
    <s v="BTC"/>
    <n v="28.05"/>
    <n v="28.06"/>
    <x v="19"/>
    <n v="2261.2093"/>
    <n v="0.2"/>
    <n v="2261.0093000000002"/>
    <n v="63421.310865000007"/>
    <n v="63443.920958000002"/>
  </r>
  <r>
    <s v="BTCW"/>
    <n v="67.03"/>
    <n v="67.14"/>
    <x v="19"/>
    <n v="946.06489999999997"/>
    <n v="0"/>
    <n v="946.06489999999997"/>
    <n v="63414.730247"/>
    <n v="63518.797385999998"/>
  </r>
  <r>
    <s v="EZBC"/>
    <n v="36.65"/>
    <n v="36.659999999999997"/>
    <x v="19"/>
    <n v="1730.0288"/>
    <n v="-0.2"/>
    <n v="1730.2288000000001"/>
    <n v="63412.885520000003"/>
    <n v="63430.187807999995"/>
  </r>
  <r>
    <s v="FBTC"/>
    <n v="55.21"/>
    <n v="55.22"/>
    <x v="19"/>
    <n v="1148.7663"/>
    <n v="0.05"/>
    <n v="1148.7163"/>
    <n v="63420.626923000003"/>
    <n v="63432.114086000001"/>
  </r>
  <r>
    <s v="GBTC"/>
    <n v="49.22"/>
    <n v="49.23"/>
    <x v="19"/>
    <n v="1288.4784999999999"/>
    <n v="-0.05"/>
    <n v="1288.5284999999999"/>
    <n v="63421.372769999994"/>
    <n v="63434.258054999991"/>
  </r>
  <r>
    <s v="HODL"/>
    <n v="17.93"/>
    <n v="17.940000000000001"/>
    <x v="19"/>
    <n v="3535.8029000000001"/>
    <n v="0"/>
    <n v="3535.8029000000001"/>
    <n v="63396.945997000003"/>
    <n v="63432.304026000005"/>
  </r>
  <r>
    <s v="IBIT"/>
    <n v="35.93"/>
    <n v="35.94"/>
    <x v="19"/>
    <n v="1764.9262000000001"/>
    <n v="0"/>
    <n v="1764.9262000000001"/>
    <n v="63413.798366000003"/>
    <n v="63431.447628000002"/>
  </r>
  <r>
    <s v="ARKB"/>
    <n v="21.03"/>
    <n v="21.04"/>
    <x v="20"/>
    <n v="3014.7584999999999"/>
    <n v="-0.1"/>
    <n v="3014.8584999999998"/>
    <n v="63402.474255000001"/>
    <n v="63432.622839999996"/>
  </r>
  <r>
    <s v="BITB"/>
    <n v="34.43"/>
    <n v="34.44"/>
    <x v="20"/>
    <n v="1841.7601"/>
    <n v="0.1"/>
    <n v="1841.6601000000001"/>
    <n v="63408.357242999999"/>
    <n v="63426.773843999996"/>
  </r>
  <r>
    <s v="BRRR"/>
    <n v="17.88"/>
    <n v="17.89"/>
    <x v="20"/>
    <n v="3546.3341999999998"/>
    <n v="0"/>
    <n v="3546.3341999999998"/>
    <n v="63408.455495999995"/>
    <n v="63443.918837999998"/>
  </r>
  <r>
    <s v="BTC"/>
    <n v="28.05"/>
    <n v="28.06"/>
    <x v="20"/>
    <n v="2261.2093"/>
    <n v="0.2"/>
    <n v="2261.0093000000002"/>
    <n v="63421.310865000007"/>
    <n v="63443.920958000002"/>
  </r>
  <r>
    <s v="BTCW"/>
    <n v="67.010000000000005"/>
    <n v="67.150000000000006"/>
    <x v="20"/>
    <n v="946.06489999999997"/>
    <n v="0"/>
    <n v="946.06489999999997"/>
    <n v="63395.808949000006"/>
    <n v="63528.258035000006"/>
  </r>
  <r>
    <s v="EZBC"/>
    <n v="36.64"/>
    <n v="36.65"/>
    <x v="20"/>
    <n v="1730.0288"/>
    <n v="-0.2"/>
    <n v="1730.2288000000001"/>
    <n v="63395.583232000005"/>
    <n v="63412.885520000003"/>
  </r>
  <r>
    <s v="FBTC"/>
    <n v="55.21"/>
    <n v="55.22"/>
    <x v="20"/>
    <n v="1148.7663"/>
    <n v="0.05"/>
    <n v="1148.7163"/>
    <n v="63420.626923000003"/>
    <n v="63432.114086000001"/>
  </r>
  <r>
    <s v="GBTC"/>
    <n v="49.21"/>
    <n v="49.22"/>
    <x v="20"/>
    <n v="1288.4784999999999"/>
    <n v="-0.05"/>
    <n v="1288.5284999999999"/>
    <n v="63408.487484999998"/>
    <n v="63421.372769999994"/>
  </r>
  <r>
    <s v="HODL"/>
    <n v="17.93"/>
    <n v="17.940000000000001"/>
    <x v="20"/>
    <n v="3535.8029000000001"/>
    <n v="0"/>
    <n v="3535.8029000000001"/>
    <n v="63396.945997000003"/>
    <n v="63432.304026000005"/>
  </r>
  <r>
    <s v="IBIT"/>
    <n v="35.92"/>
    <n v="35.93"/>
    <x v="20"/>
    <n v="1764.9262000000001"/>
    <n v="0"/>
    <n v="1764.9262000000001"/>
    <n v="63396.149104000004"/>
    <n v="63413.798366000003"/>
  </r>
  <r>
    <s v="ARKB"/>
    <n v="21.02"/>
    <n v="21.03"/>
    <x v="21"/>
    <n v="3014.7584999999999"/>
    <n v="-0.1"/>
    <n v="3014.8584999999998"/>
    <n v="63372.325669999998"/>
    <n v="63402.474255000001"/>
  </r>
  <r>
    <s v="BITB"/>
    <n v="34.409999999999997"/>
    <n v="34.42"/>
    <x v="21"/>
    <n v="1841.7601"/>
    <n v="0.1"/>
    <n v="1841.6601000000001"/>
    <n v="63371.524040999997"/>
    <n v="63389.940642000009"/>
  </r>
  <r>
    <s v="BRRR"/>
    <n v="17.87"/>
    <n v="17.88"/>
    <x v="21"/>
    <n v="3546.3341999999998"/>
    <n v="0"/>
    <n v="3546.3341999999998"/>
    <n v="63372.992154"/>
    <n v="63408.455495999995"/>
  </r>
  <r>
    <s v="BTC"/>
    <n v="28.03"/>
    <n v="28.04"/>
    <x v="21"/>
    <n v="2261.2093"/>
    <n v="0.2"/>
    <n v="2261.0093000000002"/>
    <n v="63376.090679000008"/>
    <n v="63398.700772000004"/>
  </r>
  <r>
    <s v="BTCW"/>
    <n v="66.98"/>
    <n v="67.09"/>
    <x v="21"/>
    <n v="946.06489999999997"/>
    <n v="0"/>
    <n v="946.06489999999997"/>
    <n v="63367.427002000004"/>
    <n v="63471.494141000003"/>
  </r>
  <r>
    <s v="EZBC"/>
    <n v="36.630000000000003"/>
    <n v="36.64"/>
    <x v="21"/>
    <n v="1730.0288"/>
    <n v="-0.2"/>
    <n v="1730.2288000000001"/>
    <n v="63378.280944000006"/>
    <n v="63395.583232000005"/>
  </r>
  <r>
    <s v="FBTC"/>
    <n v="55.18"/>
    <n v="55.19"/>
    <x v="21"/>
    <n v="1148.7663"/>
    <n v="0.05"/>
    <n v="1148.7163"/>
    <n v="63386.165434000002"/>
    <n v="63397.652597"/>
  </r>
  <r>
    <s v="GBTC"/>
    <n v="49.19"/>
    <n v="49.2"/>
    <x v="21"/>
    <n v="1288.4784999999999"/>
    <n v="-0.05"/>
    <n v="1288.5284999999999"/>
    <n v="63382.71691499999"/>
    <n v="63395.602200000001"/>
  </r>
  <r>
    <s v="HODL"/>
    <n v="17.93"/>
    <n v="17.940000000000001"/>
    <x v="21"/>
    <n v="3535.8029000000001"/>
    <n v="0"/>
    <n v="3535.8029000000001"/>
    <n v="63396.945997000003"/>
    <n v="63432.304026000005"/>
  </r>
  <r>
    <s v="IBIT"/>
    <n v="35.909999999999997"/>
    <n v="35.92"/>
    <x v="21"/>
    <n v="1764.9262000000001"/>
    <n v="0"/>
    <n v="1764.9262000000001"/>
    <n v="63378.499841999997"/>
    <n v="63396.149104000004"/>
  </r>
  <r>
    <s v="ARKB"/>
    <n v="21.09"/>
    <n v="21.1"/>
    <x v="22"/>
    <n v="3014.7584999999999"/>
    <n v="-0.1"/>
    <n v="3014.8584999999998"/>
    <n v="63583.365764999995"/>
    <n v="63613.514349999998"/>
  </r>
  <r>
    <s v="BITB"/>
    <n v="34.53"/>
    <n v="34.54"/>
    <x v="22"/>
    <n v="1841.7601"/>
    <n v="0.1"/>
    <n v="1841.6601000000001"/>
    <n v="63592.523253000007"/>
    <n v="63610.939854000004"/>
  </r>
  <r>
    <s v="BRRR"/>
    <n v="17.93"/>
    <n v="17.940000000000001"/>
    <x v="22"/>
    <n v="3546.3341999999998"/>
    <n v="0"/>
    <n v="3546.3341999999998"/>
    <n v="63585.772205999994"/>
    <n v="63621.235548000004"/>
  </r>
  <r>
    <s v="BTC"/>
    <n v="28.12"/>
    <n v="28.13"/>
    <x v="22"/>
    <n v="2261.2093"/>
    <n v="0.2"/>
    <n v="2261.0093000000002"/>
    <n v="63579.581516000006"/>
    <n v="63602.191609000001"/>
  </r>
  <r>
    <s v="BTCW"/>
    <n v="67.180000000000007"/>
    <n v="67.290000000000006"/>
    <x v="22"/>
    <n v="946.06489999999997"/>
    <n v="0"/>
    <n v="946.06489999999997"/>
    <n v="63556.639982000001"/>
    <n v="63660.707121000007"/>
  </r>
  <r>
    <s v="EZBC"/>
    <n v="36.75"/>
    <n v="36.76"/>
    <x v="22"/>
    <n v="1730.0288"/>
    <n v="-0.2"/>
    <n v="1730.2288000000001"/>
    <n v="63585.9084"/>
    <n v="63603.210687999999"/>
  </r>
  <r>
    <s v="FBTC"/>
    <n v="55.36"/>
    <n v="55.37"/>
    <x v="22"/>
    <n v="1148.7663"/>
    <n v="0.05"/>
    <n v="1148.7163"/>
    <n v="63592.934368000002"/>
    <n v="63604.421531"/>
  </r>
  <r>
    <s v="GBTC"/>
    <n v="49.35"/>
    <n v="49.36"/>
    <x v="22"/>
    <n v="1288.4784999999999"/>
    <n v="-0.05"/>
    <n v="1288.5284999999999"/>
    <n v="63588.881474999995"/>
    <n v="63601.766759999991"/>
  </r>
  <r>
    <s v="HODL"/>
    <n v="17.98"/>
    <n v="17.989999999999998"/>
    <x v="22"/>
    <n v="3535.8029000000001"/>
    <n v="0"/>
    <n v="3535.8029000000001"/>
    <n v="63573.736142000002"/>
    <n v="63609.094170999997"/>
  </r>
  <r>
    <s v="IBIT"/>
    <n v="36.03"/>
    <n v="36.04"/>
    <x v="22"/>
    <n v="1764.9262000000001"/>
    <n v="0"/>
    <n v="1764.9262000000001"/>
    <n v="63590.290986000007"/>
    <n v="63607.940247999999"/>
  </r>
  <r>
    <s v="ARKB"/>
    <n v="21.12"/>
    <n v="21.13"/>
    <x v="23"/>
    <n v="3014.7584999999999"/>
    <n v="-0.1"/>
    <n v="3014.8584999999998"/>
    <n v="63673.811519999996"/>
    <n v="63703.960104999991"/>
  </r>
  <r>
    <s v="BITB"/>
    <n v="34.58"/>
    <n v="34.590000000000003"/>
    <x v="23"/>
    <n v="1841.7601"/>
    <n v="0.1"/>
    <n v="1841.6601000000001"/>
    <n v="63684.606258"/>
    <n v="63703.022859000012"/>
  </r>
  <r>
    <s v="BRRR"/>
    <n v="17.95"/>
    <n v="17.96"/>
    <x v="23"/>
    <n v="3546.3341999999998"/>
    <n v="0"/>
    <n v="3546.3341999999998"/>
    <n v="63656.698889999992"/>
    <n v="63692.162232000002"/>
  </r>
  <r>
    <s v="BTC"/>
    <n v="28.16"/>
    <n v="28.17"/>
    <x v="23"/>
    <n v="2261.2093"/>
    <n v="0.2"/>
    <n v="2261.0093000000002"/>
    <n v="63670.021888000003"/>
    <n v="63692.631981000006"/>
  </r>
  <r>
    <s v="BTCW"/>
    <n v="67.27"/>
    <n v="67.39"/>
    <x v="23"/>
    <n v="946.06489999999997"/>
    <n v="0"/>
    <n v="946.06489999999997"/>
    <n v="63641.785822999991"/>
    <n v="63755.313610999998"/>
  </r>
  <r>
    <s v="EZBC"/>
    <n v="36.799999999999997"/>
    <n v="36.82"/>
    <x v="23"/>
    <n v="1730.0288"/>
    <n v="-0.2"/>
    <n v="1730.2288000000001"/>
    <n v="63672.419839999995"/>
    <n v="63707.024416000007"/>
  </r>
  <r>
    <s v="FBTC"/>
    <n v="55.44"/>
    <n v="55.45"/>
    <x v="23"/>
    <n v="1148.7663"/>
    <n v="0.05"/>
    <n v="1148.7163"/>
    <n v="63684.831672"/>
    <n v="63696.318835000005"/>
  </r>
  <r>
    <s v="GBTC"/>
    <n v="49.42"/>
    <n v="49.43"/>
    <x v="23"/>
    <n v="1288.4784999999999"/>
    <n v="-0.05"/>
    <n v="1288.5284999999999"/>
    <n v="63679.07847"/>
    <n v="63691.963754999997"/>
  </r>
  <r>
    <s v="HODL"/>
    <n v="18.010000000000002"/>
    <n v="18.02"/>
    <x v="23"/>
    <n v="3535.8029000000001"/>
    <n v="0"/>
    <n v="3535.8029000000001"/>
    <n v="63679.81022900001"/>
    <n v="63715.168257999998"/>
  </r>
  <r>
    <s v="IBIT"/>
    <n v="36.08"/>
    <n v="36.090000000000003"/>
    <x v="23"/>
    <n v="1764.9262000000001"/>
    <n v="0"/>
    <n v="1764.9262000000001"/>
    <n v="63678.537296000002"/>
    <n v="63696.186558000009"/>
  </r>
  <r>
    <s v="ARKB"/>
    <n v="21.09"/>
    <n v="21.1"/>
    <x v="24"/>
    <n v="3014.7584999999999"/>
    <n v="-0.1"/>
    <n v="3014.8584999999998"/>
    <n v="63583.365764999995"/>
    <n v="63613.514349999998"/>
  </r>
  <r>
    <s v="BITB"/>
    <n v="34.54"/>
    <n v="34.54"/>
    <x v="24"/>
    <n v="1841.7601"/>
    <n v="0.1"/>
    <n v="1841.6601000000001"/>
    <n v="63610.939854000004"/>
    <n v="63610.939854000004"/>
  </r>
  <r>
    <s v="BRRR"/>
    <n v="17.93"/>
    <n v="17.940000000000001"/>
    <x v="24"/>
    <n v="3546.3341999999998"/>
    <n v="0"/>
    <n v="3546.3341999999998"/>
    <n v="63585.772205999994"/>
    <n v="63621.235548000004"/>
  </r>
  <r>
    <s v="BTC"/>
    <n v="28.13"/>
    <n v="28.14"/>
    <x v="24"/>
    <n v="2261.2093"/>
    <n v="0.2"/>
    <n v="2261.0093000000002"/>
    <n v="63602.191609000001"/>
    <n v="63624.801702000004"/>
  </r>
  <r>
    <s v="BTCW"/>
    <n v="67.19"/>
    <n v="67.31"/>
    <x v="24"/>
    <n v="946.06489999999997"/>
    <n v="0"/>
    <n v="946.06489999999997"/>
    <n v="63566.100630999994"/>
    <n v="63679.628419000001"/>
  </r>
  <r>
    <s v="EZBC"/>
    <n v="36.76"/>
    <n v="36.770000000000003"/>
    <x v="24"/>
    <n v="1730.0288"/>
    <n v="-0.2"/>
    <n v="1730.2288000000001"/>
    <n v="63603.210687999999"/>
    <n v="63620.512976000005"/>
  </r>
  <r>
    <s v="FBTC"/>
    <n v="55.37"/>
    <n v="55.38"/>
    <x v="24"/>
    <n v="1148.7663"/>
    <n v="0.05"/>
    <n v="1148.7163"/>
    <n v="63604.421531"/>
    <n v="63615.908694000005"/>
  </r>
  <r>
    <s v="GBTC"/>
    <n v="49.36"/>
    <n v="49.37"/>
    <x v="24"/>
    <n v="1288.4784999999999"/>
    <n v="-0.05"/>
    <n v="1288.5284999999999"/>
    <n v="63601.766759999991"/>
    <n v="63614.652044999988"/>
  </r>
  <r>
    <s v="HODL"/>
    <n v="17.989999999999998"/>
    <n v="18"/>
    <x v="24"/>
    <n v="3535.8029000000001"/>
    <n v="0"/>
    <n v="3535.8029000000001"/>
    <n v="63609.094170999997"/>
    <n v="63644.4522"/>
  </r>
  <r>
    <s v="IBIT"/>
    <n v="36.04"/>
    <n v="36.049999999999997"/>
    <x v="24"/>
    <n v="1764.9262000000001"/>
    <n v="0"/>
    <n v="1764.9262000000001"/>
    <n v="63607.940247999999"/>
    <n v="63625.5895099999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7BB294-BD40-46D8-BDC0-7490BA29F96A}" name="PivotTable1" cacheId="15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1:C26" firstHeaderRow="0" firstDataRow="1" firstDataCol="1"/>
  <pivotFields count="9">
    <pivotField showAll="0"/>
    <pivotField numFmtId="44" showAll="0"/>
    <pivotField numFmtId="44" showAll="0"/>
    <pivotField axis="axisRow" showAll="0">
      <items count="31">
        <item m="1" x="2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m="1" x="26"/>
        <item m="1" x="27"/>
        <item m="1" x="28"/>
        <item m="1" x="29"/>
        <item t="default"/>
      </items>
    </pivotField>
    <pivotField showAll="0"/>
    <pivotField numFmtId="165" showAll="0"/>
    <pivotField numFmtId="165" showAll="0"/>
    <pivotField dataField="1" numFmtId="44" showAll="0"/>
    <pivotField dataField="1" numFmtId="44" showAll="0"/>
  </pivotFields>
  <rowFields count="1">
    <field x="3"/>
  </rowFields>
  <rowItems count="25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</rowItems>
  <colFields count="1">
    <field x="-2"/>
  </colFields>
  <colItems count="2">
    <i>
      <x/>
    </i>
    <i i="1">
      <x v="1"/>
    </i>
  </colItems>
  <dataFields count="2">
    <dataField name="Max of unit bid" fld="7" subtotal="max" baseField="3" baseItem="0" numFmtId="44"/>
    <dataField name="Min of unit ask" fld="8" subtotal="min" baseField="3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2A3AA9-24EA-488B-8E8B-8F53970925E2}" name="Table1" displayName="Table1" ref="A1:I251" totalsRowShown="0">
  <autoFilter ref="A1:I251" xr:uid="{902A3AA9-24EA-488B-8E8B-8F53970925E2}"/>
  <sortState xmlns:xlrd2="http://schemas.microsoft.com/office/spreadsheetml/2017/richdata2" ref="A2:I251">
    <sortCondition ref="D1:D251"/>
  </sortState>
  <tableColumns count="9">
    <tableColumn id="1" xr3:uid="{067AFCC5-32F2-4C1E-BBD3-B09D00EB4C24}" name="my_fi_name"/>
    <tableColumn id="2" xr3:uid="{9DCB8CF1-13D8-4B78-B846-593738668EC5}" name="price_mkt_bid" dataCellStyle="Currency"/>
    <tableColumn id="3" xr3:uid="{9579A3FA-E91D-49DC-9996-5B3FB9FE1B2C}" name="price_mkt_ask" dataCellStyle="Currency"/>
    <tableColumn id="4" xr3:uid="{45E2FF8D-5E22-4332-9074-95644579190B}" name="time"/>
    <tableColumn id="5" xr3:uid="{0D085293-8A90-44FB-873E-61449638ADD7}" name="scalar" dataDxfId="14" dataCellStyle="Comma"/>
    <tableColumn id="8" xr3:uid="{0B051C34-EA61-4C81-8143-1926C415A456}" name="adj" dataDxfId="13" dataCellStyle="Comma"/>
    <tableColumn id="9" xr3:uid="{7537B6D8-AB53-40BC-A3DE-E4D6F37C0E71}" name="adj scalar" dataDxfId="12" dataCellStyle="Comma">
      <calculatedColumnFormula>Table1[[#This Row],[scalar]]-Table1[[#This Row],[adj]]</calculatedColumnFormula>
    </tableColumn>
    <tableColumn id="6" xr3:uid="{2ECBD65D-9095-4BA1-A2E9-DE870948C9EA}" name="unit bid" dataDxfId="11" dataCellStyle="Currency">
      <calculatedColumnFormula>Table1[[#This Row],[price_mkt_bid]]*Table1[[#This Row],[adj scalar]]</calculatedColumnFormula>
    </tableColumn>
    <tableColumn id="7" xr3:uid="{55EB74E1-EE76-437A-B2E5-813BA39784C6}" name="unit ask" dataDxfId="10" dataCellStyle="Currency">
      <calculatedColumnFormula>Table1[[#This Row],[price_mkt_ask]]*Table1[[#This Row],[adj scalar]]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A8793-FF53-49C6-ABED-49ADDF04FBA3}">
  <dimension ref="A1:I251"/>
  <sheetViews>
    <sheetView topLeftCell="A2" workbookViewId="0">
      <selection activeCell="E1" sqref="E1:I7"/>
    </sheetView>
  </sheetViews>
  <sheetFormatPr defaultRowHeight="15" x14ac:dyDescent="0.25"/>
  <cols>
    <col min="1" max="1" width="13.140625" bestFit="1" customWidth="1"/>
    <col min="2" max="2" width="15.28515625" style="4" bestFit="1" customWidth="1"/>
    <col min="3" max="3" width="15.42578125" style="4" bestFit="1" customWidth="1"/>
    <col min="4" max="4" width="18.7109375" bestFit="1" customWidth="1"/>
    <col min="5" max="6" width="11.28515625" style="6" bestFit="1" customWidth="1"/>
    <col min="7" max="7" width="11.28515625" style="6" customWidth="1"/>
    <col min="8" max="8" width="13.85546875" style="4" bestFit="1" customWidth="1"/>
    <col min="9" max="9" width="13.28515625" bestFit="1" customWidth="1"/>
  </cols>
  <sheetData>
    <row r="1" spans="1:9" x14ac:dyDescent="0.25">
      <c r="A1" t="s">
        <v>0</v>
      </c>
      <c r="B1" s="4" t="s">
        <v>1</v>
      </c>
      <c r="C1" s="4" t="s">
        <v>2</v>
      </c>
      <c r="D1" t="s">
        <v>3</v>
      </c>
      <c r="E1" s="5" t="s">
        <v>39</v>
      </c>
      <c r="F1" s="5" t="s">
        <v>53</v>
      </c>
      <c r="G1" s="5" t="s">
        <v>54</v>
      </c>
      <c r="H1" s="7" t="s">
        <v>40</v>
      </c>
      <c r="I1" s="7" t="s">
        <v>41</v>
      </c>
    </row>
    <row r="2" spans="1:9" x14ac:dyDescent="0.25">
      <c r="A2" t="s">
        <v>4</v>
      </c>
      <c r="B2" s="4">
        <v>20.76</v>
      </c>
      <c r="C2" s="4">
        <v>20.77</v>
      </c>
      <c r="D2" t="s">
        <v>14</v>
      </c>
      <c r="E2" s="6">
        <v>3014.7584999999999</v>
      </c>
      <c r="F2" s="16">
        <f>Sheet1!L3</f>
        <v>-0.1</v>
      </c>
      <c r="G2" s="6">
        <f>Table1[[#This Row],[scalar]]-Table1[[#This Row],[adj]]</f>
        <v>3014.8584999999998</v>
      </c>
      <c r="H2" s="4">
        <f>Table1[[#This Row],[price_mkt_bid]]*Table1[[#This Row],[adj scalar]]</f>
        <v>62588.462460000002</v>
      </c>
      <c r="I2" s="4">
        <f>Table1[[#This Row],[price_mkt_ask]]*Table1[[#This Row],[adj scalar]]</f>
        <v>62618.611044999998</v>
      </c>
    </row>
    <row r="3" spans="1:9" x14ac:dyDescent="0.25">
      <c r="A3" t="s">
        <v>5</v>
      </c>
      <c r="B3" s="4">
        <v>33.979999999999997</v>
      </c>
      <c r="C3" s="4">
        <v>33.99</v>
      </c>
      <c r="D3" t="s">
        <v>14</v>
      </c>
      <c r="E3" s="6">
        <f>1841.9994-0.2393</f>
        <v>1841.7601</v>
      </c>
      <c r="F3" s="16">
        <f>Sheet1!L4</f>
        <v>0.1</v>
      </c>
      <c r="G3" s="6">
        <f>Table1[[#This Row],[scalar]]-Table1[[#This Row],[adj]]</f>
        <v>1841.6601000000001</v>
      </c>
      <c r="H3" s="4">
        <f>Table1[[#This Row],[price_mkt_bid]]*Table1[[#This Row],[adj scalar]]</f>
        <v>62579.610197999995</v>
      </c>
      <c r="I3" s="4">
        <f>Table1[[#This Row],[price_mkt_ask]]*Table1[[#This Row],[adj scalar]]</f>
        <v>62598.026799000007</v>
      </c>
    </row>
    <row r="4" spans="1:9" x14ac:dyDescent="0.25">
      <c r="A4" t="s">
        <v>6</v>
      </c>
      <c r="B4" s="4">
        <v>17.649999999999999</v>
      </c>
      <c r="C4" s="4">
        <v>17.66</v>
      </c>
      <c r="D4" t="s">
        <v>14</v>
      </c>
      <c r="E4" s="6">
        <v>3546.3341999999998</v>
      </c>
      <c r="F4" s="16">
        <f>Sheet1!L5</f>
        <v>0</v>
      </c>
      <c r="G4" s="6">
        <f>Table1[[#This Row],[scalar]]-Table1[[#This Row],[adj]]</f>
        <v>3546.3341999999998</v>
      </c>
      <c r="H4" s="4">
        <f>Table1[[#This Row],[price_mkt_bid]]*Table1[[#This Row],[adj scalar]]</f>
        <v>62592.79862999999</v>
      </c>
      <c r="I4" s="4">
        <f>Table1[[#This Row],[price_mkt_ask]]*Table1[[#This Row],[adj scalar]]</f>
        <v>62628.261972</v>
      </c>
    </row>
    <row r="5" spans="1:9" x14ac:dyDescent="0.25">
      <c r="A5" t="s">
        <v>7</v>
      </c>
      <c r="B5" s="4">
        <v>27.69</v>
      </c>
      <c r="C5" s="4">
        <v>27.7</v>
      </c>
      <c r="D5" t="s">
        <v>14</v>
      </c>
      <c r="E5" s="6">
        <f>2261.2393-0.03</f>
        <v>2261.2093</v>
      </c>
      <c r="F5" s="16">
        <f>Sheet1!L6</f>
        <v>0.2</v>
      </c>
      <c r="G5" s="6">
        <f>Table1[[#This Row],[scalar]]-Table1[[#This Row],[adj]]</f>
        <v>2261.0093000000002</v>
      </c>
      <c r="H5" s="4">
        <f>Table1[[#This Row],[price_mkt_bid]]*Table1[[#This Row],[adj scalar]]</f>
        <v>62607.347517000009</v>
      </c>
      <c r="I5" s="4">
        <f>Table1[[#This Row],[price_mkt_ask]]*Table1[[#This Row],[adj scalar]]</f>
        <v>62629.957610000005</v>
      </c>
    </row>
    <row r="6" spans="1:9" x14ac:dyDescent="0.25">
      <c r="A6" t="s">
        <v>8</v>
      </c>
      <c r="B6" s="4">
        <v>66.150000000000006</v>
      </c>
      <c r="C6" s="4">
        <v>66.260000000000005</v>
      </c>
      <c r="D6" t="s">
        <v>14</v>
      </c>
      <c r="E6" s="6">
        <v>946.06489999999997</v>
      </c>
      <c r="F6" s="16">
        <f>Sheet1!L7</f>
        <v>0</v>
      </c>
      <c r="G6" s="6">
        <f>Table1[[#This Row],[scalar]]-Table1[[#This Row],[adj]]</f>
        <v>946.06489999999997</v>
      </c>
      <c r="H6" s="4">
        <f>Table1[[#This Row],[price_mkt_bid]]*Table1[[#This Row],[adj scalar]]</f>
        <v>62582.193135000001</v>
      </c>
      <c r="I6" s="4">
        <f>Table1[[#This Row],[price_mkt_ask]]*Table1[[#This Row],[adj scalar]]</f>
        <v>62686.260274</v>
      </c>
    </row>
    <row r="7" spans="1:9" x14ac:dyDescent="0.25">
      <c r="A7" t="s">
        <v>9</v>
      </c>
      <c r="B7" s="4">
        <v>36.17</v>
      </c>
      <c r="C7" s="4">
        <v>36.18</v>
      </c>
      <c r="D7" t="s">
        <v>14</v>
      </c>
      <c r="E7" s="6">
        <v>1730.0288</v>
      </c>
      <c r="F7" s="16">
        <f>Sheet1!L8</f>
        <v>-0.2</v>
      </c>
      <c r="G7" s="6">
        <f>Table1[[#This Row],[scalar]]-Table1[[#This Row],[adj]]</f>
        <v>1730.2288000000001</v>
      </c>
      <c r="H7" s="4">
        <f>Table1[[#This Row],[price_mkt_bid]]*Table1[[#This Row],[adj scalar]]</f>
        <v>62582.375696000003</v>
      </c>
      <c r="I7" s="4">
        <f>Table1[[#This Row],[price_mkt_ask]]*Table1[[#This Row],[adj scalar]]</f>
        <v>62599.677984000002</v>
      </c>
    </row>
    <row r="8" spans="1:9" x14ac:dyDescent="0.25">
      <c r="A8" t="s">
        <v>10</v>
      </c>
      <c r="B8" s="4">
        <v>54.48</v>
      </c>
      <c r="C8" s="4">
        <v>54.49</v>
      </c>
      <c r="D8" t="s">
        <v>14</v>
      </c>
      <c r="E8" s="6">
        <v>1148.7663</v>
      </c>
      <c r="F8" s="16">
        <f>Sheet1!L9</f>
        <v>0.05</v>
      </c>
      <c r="G8" s="6">
        <f>Table1[[#This Row],[scalar]]-Table1[[#This Row],[adj]]</f>
        <v>1148.7163</v>
      </c>
      <c r="H8" s="4">
        <f>Table1[[#This Row],[price_mkt_bid]]*Table1[[#This Row],[adj scalar]]</f>
        <v>62582.064023999999</v>
      </c>
      <c r="I8" s="4">
        <f>Table1[[#This Row],[price_mkt_ask]]*Table1[[#This Row],[adj scalar]]</f>
        <v>62593.551187000005</v>
      </c>
    </row>
    <row r="9" spans="1:9" x14ac:dyDescent="0.25">
      <c r="A9" t="s">
        <v>11</v>
      </c>
      <c r="B9" s="4">
        <v>48.57</v>
      </c>
      <c r="C9" s="4">
        <v>48.59</v>
      </c>
      <c r="D9" t="s">
        <v>14</v>
      </c>
      <c r="E9" s="6">
        <v>1288.4784999999999</v>
      </c>
      <c r="F9" s="16">
        <f>Sheet1!L10</f>
        <v>-0.05</v>
      </c>
      <c r="G9" s="6">
        <f>Table1[[#This Row],[scalar]]-Table1[[#This Row],[adj]]</f>
        <v>1288.5284999999999</v>
      </c>
      <c r="H9" s="4">
        <f>Table1[[#This Row],[price_mkt_bid]]*Table1[[#This Row],[adj scalar]]</f>
        <v>62583.829244999994</v>
      </c>
      <c r="I9" s="4">
        <f>Table1[[#This Row],[price_mkt_ask]]*Table1[[#This Row],[adj scalar]]</f>
        <v>62609.599815000001</v>
      </c>
    </row>
    <row r="10" spans="1:9" x14ac:dyDescent="0.25">
      <c r="A10" t="s">
        <v>12</v>
      </c>
      <c r="B10" s="4">
        <v>17.7</v>
      </c>
      <c r="C10" s="4">
        <v>17.71</v>
      </c>
      <c r="D10" t="s">
        <v>14</v>
      </c>
      <c r="E10" s="6">
        <v>3535.8029000000001</v>
      </c>
      <c r="F10" s="16">
        <f>Sheet1!L11</f>
        <v>0</v>
      </c>
      <c r="G10" s="6">
        <f>Table1[[#This Row],[scalar]]-Table1[[#This Row],[adj]]</f>
        <v>3535.8029000000001</v>
      </c>
      <c r="H10" s="4">
        <f>Table1[[#This Row],[price_mkt_bid]]*Table1[[#This Row],[adj scalar]]</f>
        <v>62583.711329999998</v>
      </c>
      <c r="I10" s="4">
        <f>Table1[[#This Row],[price_mkt_ask]]*Table1[[#This Row],[adj scalar]]</f>
        <v>62619.069359000008</v>
      </c>
    </row>
    <row r="11" spans="1:9" x14ac:dyDescent="0.25">
      <c r="A11" t="s">
        <v>13</v>
      </c>
      <c r="B11" s="4">
        <v>35.450000000000003</v>
      </c>
      <c r="C11" s="4">
        <v>35.46</v>
      </c>
      <c r="D11" t="s">
        <v>14</v>
      </c>
      <c r="E11" s="6">
        <v>1764.9262000000001</v>
      </c>
      <c r="F11" s="16">
        <f>Sheet1!L12</f>
        <v>0</v>
      </c>
      <c r="G11" s="6">
        <f>Table1[[#This Row],[scalar]]-Table1[[#This Row],[adj]]</f>
        <v>1764.9262000000001</v>
      </c>
      <c r="H11" s="4">
        <f>Table1[[#This Row],[price_mkt_bid]]*Table1[[#This Row],[adj scalar]]</f>
        <v>62566.633790000007</v>
      </c>
      <c r="I11" s="4">
        <f>Table1[[#This Row],[price_mkt_ask]]*Table1[[#This Row],[adj scalar]]</f>
        <v>62584.283052000006</v>
      </c>
    </row>
    <row r="12" spans="1:9" x14ac:dyDescent="0.25">
      <c r="A12" t="s">
        <v>4</v>
      </c>
      <c r="B12" s="4">
        <v>20.88</v>
      </c>
      <c r="C12" s="4">
        <v>20.89</v>
      </c>
      <c r="D12" t="s">
        <v>15</v>
      </c>
      <c r="E12" s="6">
        <v>3014.7584999999999</v>
      </c>
      <c r="F12" s="6">
        <f>F2</f>
        <v>-0.1</v>
      </c>
      <c r="G12" s="6">
        <f>Table1[[#This Row],[scalar]]-Table1[[#This Row],[adj]]</f>
        <v>3014.8584999999998</v>
      </c>
      <c r="H12" s="4">
        <f>Table1[[#This Row],[price_mkt_bid]]*Table1[[#This Row],[adj scalar]]</f>
        <v>62950.24547999999</v>
      </c>
      <c r="I12" s="4">
        <f>Table1[[#This Row],[price_mkt_ask]]*Table1[[#This Row],[adj scalar]]</f>
        <v>62980.394065</v>
      </c>
    </row>
    <row r="13" spans="1:9" x14ac:dyDescent="0.25">
      <c r="A13" t="s">
        <v>5</v>
      </c>
      <c r="B13" s="4">
        <v>34.19</v>
      </c>
      <c r="C13" s="4">
        <v>34.200000000000003</v>
      </c>
      <c r="D13" t="s">
        <v>15</v>
      </c>
      <c r="E13" s="6">
        <f>1841.9994-0.2393</f>
        <v>1841.7601</v>
      </c>
      <c r="F13" s="6">
        <f t="shared" ref="F13:F76" si="0">F3</f>
        <v>0.1</v>
      </c>
      <c r="G13" s="6">
        <f>Table1[[#This Row],[scalar]]-Table1[[#This Row],[adj]]</f>
        <v>1841.6601000000001</v>
      </c>
      <c r="H13" s="4">
        <f>Table1[[#This Row],[price_mkt_bid]]*Table1[[#This Row],[adj scalar]]</f>
        <v>62966.358819000001</v>
      </c>
      <c r="I13" s="4">
        <f>Table1[[#This Row],[price_mkt_ask]]*Table1[[#This Row],[adj scalar]]</f>
        <v>62984.775420000005</v>
      </c>
    </row>
    <row r="14" spans="1:9" x14ac:dyDescent="0.25">
      <c r="A14" t="s">
        <v>6</v>
      </c>
      <c r="B14" s="4">
        <v>17.760000000000002</v>
      </c>
      <c r="C14" s="4">
        <v>17.77</v>
      </c>
      <c r="D14" t="s">
        <v>15</v>
      </c>
      <c r="E14" s="6">
        <v>3546.3341999999998</v>
      </c>
      <c r="F14" s="6">
        <f t="shared" si="0"/>
        <v>0</v>
      </c>
      <c r="G14" s="6">
        <f>Table1[[#This Row],[scalar]]-Table1[[#This Row],[adj]]</f>
        <v>3546.3341999999998</v>
      </c>
      <c r="H14" s="4">
        <f>Table1[[#This Row],[price_mkt_bid]]*Table1[[#This Row],[adj scalar]]</f>
        <v>62982.895391999999</v>
      </c>
      <c r="I14" s="4">
        <f>Table1[[#This Row],[price_mkt_ask]]*Table1[[#This Row],[adj scalar]]</f>
        <v>63018.358733999994</v>
      </c>
    </row>
    <row r="15" spans="1:9" x14ac:dyDescent="0.25">
      <c r="A15" t="s">
        <v>7</v>
      </c>
      <c r="B15" s="4">
        <v>27.85</v>
      </c>
      <c r="C15" s="4">
        <v>27.86</v>
      </c>
      <c r="D15" t="s">
        <v>15</v>
      </c>
      <c r="E15" s="6">
        <f>2261.2393-0.03</f>
        <v>2261.2093</v>
      </c>
      <c r="F15" s="6">
        <f t="shared" si="0"/>
        <v>0.2</v>
      </c>
      <c r="G15" s="6">
        <f>Table1[[#This Row],[scalar]]-Table1[[#This Row],[adj]]</f>
        <v>2261.0093000000002</v>
      </c>
      <c r="H15" s="4">
        <f>Table1[[#This Row],[price_mkt_bid]]*Table1[[#This Row],[adj scalar]]</f>
        <v>62969.109005000006</v>
      </c>
      <c r="I15" s="4">
        <f>Table1[[#This Row],[price_mkt_ask]]*Table1[[#This Row],[adj scalar]]</f>
        <v>62991.719098000001</v>
      </c>
    </row>
    <row r="16" spans="1:9" x14ac:dyDescent="0.25">
      <c r="A16" t="s">
        <v>8</v>
      </c>
      <c r="B16" s="4">
        <v>66.53</v>
      </c>
      <c r="C16" s="4">
        <v>66.64</v>
      </c>
      <c r="D16" t="s">
        <v>15</v>
      </c>
      <c r="E16" s="6">
        <v>946.06489999999997</v>
      </c>
      <c r="F16" s="6">
        <f t="shared" si="0"/>
        <v>0</v>
      </c>
      <c r="G16" s="6">
        <f>Table1[[#This Row],[scalar]]-Table1[[#This Row],[adj]]</f>
        <v>946.06489999999997</v>
      </c>
      <c r="H16" s="4">
        <f>Table1[[#This Row],[price_mkt_bid]]*Table1[[#This Row],[adj scalar]]</f>
        <v>62941.697797000001</v>
      </c>
      <c r="I16" s="4">
        <f>Table1[[#This Row],[price_mkt_ask]]*Table1[[#This Row],[adj scalar]]</f>
        <v>63045.764936</v>
      </c>
    </row>
    <row r="17" spans="1:9" x14ac:dyDescent="0.25">
      <c r="A17" t="s">
        <v>9</v>
      </c>
      <c r="B17" s="4">
        <v>36.39</v>
      </c>
      <c r="C17" s="4">
        <v>36.409999999999997</v>
      </c>
      <c r="D17" t="s">
        <v>15</v>
      </c>
      <c r="E17" s="6">
        <v>1730.0288</v>
      </c>
      <c r="F17" s="6">
        <f t="shared" si="0"/>
        <v>-0.2</v>
      </c>
      <c r="G17" s="6">
        <f>Table1[[#This Row],[scalar]]-Table1[[#This Row],[adj]]</f>
        <v>1730.2288000000001</v>
      </c>
      <c r="H17" s="4">
        <f>Table1[[#This Row],[price_mkt_bid]]*Table1[[#This Row],[adj scalar]]</f>
        <v>62963.026032000002</v>
      </c>
      <c r="I17" s="4">
        <f>Table1[[#This Row],[price_mkt_ask]]*Table1[[#This Row],[adj scalar]]</f>
        <v>62997.630607999999</v>
      </c>
    </row>
    <row r="18" spans="1:9" x14ac:dyDescent="0.25">
      <c r="A18" t="s">
        <v>10</v>
      </c>
      <c r="B18" s="4">
        <v>54.82</v>
      </c>
      <c r="C18" s="4">
        <v>54.83</v>
      </c>
      <c r="D18" t="s">
        <v>15</v>
      </c>
      <c r="E18" s="6">
        <v>1148.7663</v>
      </c>
      <c r="F18" s="6">
        <f t="shared" si="0"/>
        <v>0.05</v>
      </c>
      <c r="G18" s="6">
        <f>Table1[[#This Row],[scalar]]-Table1[[#This Row],[adj]]</f>
        <v>1148.7163</v>
      </c>
      <c r="H18" s="4">
        <f>Table1[[#This Row],[price_mkt_bid]]*Table1[[#This Row],[adj scalar]]</f>
        <v>62972.627566000003</v>
      </c>
      <c r="I18" s="4">
        <f>Table1[[#This Row],[price_mkt_ask]]*Table1[[#This Row],[adj scalar]]</f>
        <v>62984.114729000001</v>
      </c>
    </row>
    <row r="19" spans="1:9" x14ac:dyDescent="0.25">
      <c r="A19" t="s">
        <v>11</v>
      </c>
      <c r="B19" s="4">
        <v>48.87</v>
      </c>
      <c r="C19" s="4">
        <v>48.88</v>
      </c>
      <c r="D19" t="s">
        <v>15</v>
      </c>
      <c r="E19" s="6">
        <v>1288.4784999999999</v>
      </c>
      <c r="F19" s="6">
        <f t="shared" si="0"/>
        <v>-0.05</v>
      </c>
      <c r="G19" s="6">
        <f>Table1[[#This Row],[scalar]]-Table1[[#This Row],[adj]]</f>
        <v>1288.5284999999999</v>
      </c>
      <c r="H19" s="4">
        <f>Table1[[#This Row],[price_mkt_bid]]*Table1[[#This Row],[adj scalar]]</f>
        <v>62970.387794999995</v>
      </c>
      <c r="I19" s="4">
        <f>Table1[[#This Row],[price_mkt_ask]]*Table1[[#This Row],[adj scalar]]</f>
        <v>62983.273079999999</v>
      </c>
    </row>
    <row r="20" spans="1:9" x14ac:dyDescent="0.25">
      <c r="A20" t="s">
        <v>12</v>
      </c>
      <c r="B20" s="4">
        <v>17.809999999999999</v>
      </c>
      <c r="C20" s="4">
        <v>17.82</v>
      </c>
      <c r="D20" t="s">
        <v>15</v>
      </c>
      <c r="E20" s="6">
        <v>3535.8029000000001</v>
      </c>
      <c r="F20" s="6">
        <f t="shared" si="0"/>
        <v>0</v>
      </c>
      <c r="G20" s="6">
        <f>Table1[[#This Row],[scalar]]-Table1[[#This Row],[adj]]</f>
        <v>3535.8029000000001</v>
      </c>
      <c r="H20" s="4">
        <f>Table1[[#This Row],[price_mkt_bid]]*Table1[[#This Row],[adj scalar]]</f>
        <v>62972.649648999999</v>
      </c>
      <c r="I20" s="4">
        <f>Table1[[#This Row],[price_mkt_ask]]*Table1[[#This Row],[adj scalar]]</f>
        <v>63008.007678000002</v>
      </c>
    </row>
    <row r="21" spans="1:9" x14ac:dyDescent="0.25">
      <c r="A21" t="s">
        <v>13</v>
      </c>
      <c r="B21" s="4">
        <v>35.68</v>
      </c>
      <c r="C21" s="4">
        <v>35.69</v>
      </c>
      <c r="D21" t="s">
        <v>15</v>
      </c>
      <c r="E21" s="6">
        <v>1764.9262000000001</v>
      </c>
      <c r="F21" s="6">
        <f t="shared" si="0"/>
        <v>0</v>
      </c>
      <c r="G21" s="6">
        <f>Table1[[#This Row],[scalar]]-Table1[[#This Row],[adj]]</f>
        <v>1764.9262000000001</v>
      </c>
      <c r="H21" s="4">
        <f>Table1[[#This Row],[price_mkt_bid]]*Table1[[#This Row],[adj scalar]]</f>
        <v>62972.566816000006</v>
      </c>
      <c r="I21" s="4">
        <f>Table1[[#This Row],[price_mkt_ask]]*Table1[[#This Row],[adj scalar]]</f>
        <v>62990.216077999998</v>
      </c>
    </row>
    <row r="22" spans="1:9" x14ac:dyDescent="0.25">
      <c r="A22" t="s">
        <v>4</v>
      </c>
      <c r="B22" s="4">
        <v>20.87</v>
      </c>
      <c r="C22" s="4">
        <v>20.88</v>
      </c>
      <c r="D22" t="s">
        <v>16</v>
      </c>
      <c r="E22" s="6">
        <v>3014.7584999999999</v>
      </c>
      <c r="F22" s="6">
        <f t="shared" si="0"/>
        <v>-0.1</v>
      </c>
      <c r="G22" s="6">
        <f>Table1[[#This Row],[scalar]]-Table1[[#This Row],[adj]]</f>
        <v>3014.8584999999998</v>
      </c>
      <c r="H22" s="4">
        <f>Table1[[#This Row],[price_mkt_bid]]*Table1[[#This Row],[adj scalar]]</f>
        <v>62920.096895000002</v>
      </c>
      <c r="I22" s="4">
        <f>Table1[[#This Row],[price_mkt_ask]]*Table1[[#This Row],[adj scalar]]</f>
        <v>62950.24547999999</v>
      </c>
    </row>
    <row r="23" spans="1:9" x14ac:dyDescent="0.25">
      <c r="A23" t="s">
        <v>5</v>
      </c>
      <c r="B23" s="4">
        <v>34.159999999999997</v>
      </c>
      <c r="C23" s="4">
        <v>34.17</v>
      </c>
      <c r="D23" t="s">
        <v>16</v>
      </c>
      <c r="E23" s="6">
        <f>1841.9994-0.2393</f>
        <v>1841.7601</v>
      </c>
      <c r="F23" s="6">
        <f t="shared" si="0"/>
        <v>0.1</v>
      </c>
      <c r="G23" s="6">
        <f>Table1[[#This Row],[scalar]]-Table1[[#This Row],[adj]]</f>
        <v>1841.6601000000001</v>
      </c>
      <c r="H23" s="4">
        <f>Table1[[#This Row],[price_mkt_bid]]*Table1[[#This Row],[adj scalar]]</f>
        <v>62911.109015999995</v>
      </c>
      <c r="I23" s="4">
        <f>Table1[[#This Row],[price_mkt_ask]]*Table1[[#This Row],[adj scalar]]</f>
        <v>62929.525617000007</v>
      </c>
    </row>
    <row r="24" spans="1:9" x14ac:dyDescent="0.25">
      <c r="A24" t="s">
        <v>6</v>
      </c>
      <c r="B24" s="4">
        <v>17.739999999999998</v>
      </c>
      <c r="C24" s="4">
        <v>17.75</v>
      </c>
      <c r="D24" t="s">
        <v>16</v>
      </c>
      <c r="E24" s="6">
        <v>3546.3341999999998</v>
      </c>
      <c r="F24" s="6">
        <f t="shared" si="0"/>
        <v>0</v>
      </c>
      <c r="G24" s="6">
        <f>Table1[[#This Row],[scalar]]-Table1[[#This Row],[adj]]</f>
        <v>3546.3341999999998</v>
      </c>
      <c r="H24" s="4">
        <f>Table1[[#This Row],[price_mkt_bid]]*Table1[[#This Row],[adj scalar]]</f>
        <v>62911.968707999993</v>
      </c>
      <c r="I24" s="4">
        <f>Table1[[#This Row],[price_mkt_ask]]*Table1[[#This Row],[adj scalar]]</f>
        <v>62947.432049999996</v>
      </c>
    </row>
    <row r="25" spans="1:9" x14ac:dyDescent="0.25">
      <c r="A25" t="s">
        <v>7</v>
      </c>
      <c r="B25" s="4">
        <v>27.83</v>
      </c>
      <c r="C25" s="4">
        <v>27.84</v>
      </c>
      <c r="D25" t="s">
        <v>16</v>
      </c>
      <c r="E25" s="6">
        <f>2261.2393-0.03</f>
        <v>2261.2093</v>
      </c>
      <c r="F25" s="6">
        <f t="shared" si="0"/>
        <v>0.2</v>
      </c>
      <c r="G25" s="6">
        <f>Table1[[#This Row],[scalar]]-Table1[[#This Row],[adj]]</f>
        <v>2261.0093000000002</v>
      </c>
      <c r="H25" s="4">
        <f>Table1[[#This Row],[price_mkt_bid]]*Table1[[#This Row],[adj scalar]]</f>
        <v>62923.888819</v>
      </c>
      <c r="I25" s="4">
        <f>Table1[[#This Row],[price_mkt_ask]]*Table1[[#This Row],[adj scalar]]</f>
        <v>62946.498912000003</v>
      </c>
    </row>
    <row r="26" spans="1:9" x14ac:dyDescent="0.25">
      <c r="A26" t="s">
        <v>8</v>
      </c>
      <c r="B26" s="4">
        <v>66.510000000000005</v>
      </c>
      <c r="C26" s="4">
        <v>66.66</v>
      </c>
      <c r="D26" t="s">
        <v>16</v>
      </c>
      <c r="E26" s="6">
        <v>946.06489999999997</v>
      </c>
      <c r="F26" s="6">
        <f t="shared" si="0"/>
        <v>0</v>
      </c>
      <c r="G26" s="6">
        <f>Table1[[#This Row],[scalar]]-Table1[[#This Row],[adj]]</f>
        <v>946.06489999999997</v>
      </c>
      <c r="H26" s="4">
        <f>Table1[[#This Row],[price_mkt_bid]]*Table1[[#This Row],[adj scalar]]</f>
        <v>62922.776499</v>
      </c>
      <c r="I26" s="4">
        <f>Table1[[#This Row],[price_mkt_ask]]*Table1[[#This Row],[adj scalar]]</f>
        <v>63064.686233999993</v>
      </c>
    </row>
    <row r="27" spans="1:9" x14ac:dyDescent="0.25">
      <c r="A27" t="s">
        <v>9</v>
      </c>
      <c r="B27" s="4">
        <v>36.36</v>
      </c>
      <c r="C27" s="4">
        <v>36.380000000000003</v>
      </c>
      <c r="D27" t="s">
        <v>16</v>
      </c>
      <c r="E27" s="6">
        <v>1730.0288</v>
      </c>
      <c r="F27" s="6">
        <f t="shared" si="0"/>
        <v>-0.2</v>
      </c>
      <c r="G27" s="6">
        <f>Table1[[#This Row],[scalar]]-Table1[[#This Row],[adj]]</f>
        <v>1730.2288000000001</v>
      </c>
      <c r="H27" s="4">
        <f>Table1[[#This Row],[price_mkt_bid]]*Table1[[#This Row],[adj scalar]]</f>
        <v>62911.119168000005</v>
      </c>
      <c r="I27" s="4">
        <f>Table1[[#This Row],[price_mkt_ask]]*Table1[[#This Row],[adj scalar]]</f>
        <v>62945.72374400001</v>
      </c>
    </row>
    <row r="28" spans="1:9" x14ac:dyDescent="0.25">
      <c r="A28" t="s">
        <v>10</v>
      </c>
      <c r="B28" s="4">
        <v>54.77</v>
      </c>
      <c r="C28" s="4">
        <v>54.78</v>
      </c>
      <c r="D28" t="s">
        <v>16</v>
      </c>
      <c r="E28" s="6">
        <v>1148.7663</v>
      </c>
      <c r="F28" s="6">
        <f t="shared" si="0"/>
        <v>0.05</v>
      </c>
      <c r="G28" s="6">
        <f>Table1[[#This Row],[scalar]]-Table1[[#This Row],[adj]]</f>
        <v>1148.7163</v>
      </c>
      <c r="H28" s="4">
        <f>Table1[[#This Row],[price_mkt_bid]]*Table1[[#This Row],[adj scalar]]</f>
        <v>62915.191751000006</v>
      </c>
      <c r="I28" s="4">
        <f>Table1[[#This Row],[price_mkt_ask]]*Table1[[#This Row],[adj scalar]]</f>
        <v>62926.678914000004</v>
      </c>
    </row>
    <row r="29" spans="1:9" x14ac:dyDescent="0.25">
      <c r="A29" t="s">
        <v>11</v>
      </c>
      <c r="B29" s="4">
        <v>48.83</v>
      </c>
      <c r="C29" s="4">
        <v>48.84</v>
      </c>
      <c r="D29" t="s">
        <v>16</v>
      </c>
      <c r="E29" s="6">
        <v>1288.4784999999999</v>
      </c>
      <c r="F29" s="6">
        <f t="shared" si="0"/>
        <v>-0.05</v>
      </c>
      <c r="G29" s="6">
        <f>Table1[[#This Row],[scalar]]-Table1[[#This Row],[adj]]</f>
        <v>1288.5284999999999</v>
      </c>
      <c r="H29" s="4">
        <f>Table1[[#This Row],[price_mkt_bid]]*Table1[[#This Row],[adj scalar]]</f>
        <v>62918.846654999994</v>
      </c>
      <c r="I29" s="4">
        <f>Table1[[#This Row],[price_mkt_ask]]*Table1[[#This Row],[adj scalar]]</f>
        <v>62931.731939999998</v>
      </c>
    </row>
    <row r="30" spans="1:9" x14ac:dyDescent="0.25">
      <c r="A30" t="s">
        <v>12</v>
      </c>
      <c r="B30" s="4">
        <v>17.79</v>
      </c>
      <c r="C30" s="4">
        <v>17.8</v>
      </c>
      <c r="D30" t="s">
        <v>16</v>
      </c>
      <c r="E30" s="6">
        <v>3535.8029000000001</v>
      </c>
      <c r="F30" s="6">
        <f t="shared" si="0"/>
        <v>0</v>
      </c>
      <c r="G30" s="6">
        <f>Table1[[#This Row],[scalar]]-Table1[[#This Row],[adj]]</f>
        <v>3535.8029000000001</v>
      </c>
      <c r="H30" s="4">
        <f>Table1[[#This Row],[price_mkt_bid]]*Table1[[#This Row],[adj scalar]]</f>
        <v>62901.933591000001</v>
      </c>
      <c r="I30" s="4">
        <f>Table1[[#This Row],[price_mkt_ask]]*Table1[[#This Row],[adj scalar]]</f>
        <v>62937.291620000004</v>
      </c>
    </row>
    <row r="31" spans="1:9" x14ac:dyDescent="0.25">
      <c r="A31" t="s">
        <v>13</v>
      </c>
      <c r="B31" s="4">
        <v>35.65</v>
      </c>
      <c r="C31" s="4">
        <v>35.659999999999997</v>
      </c>
      <c r="D31" t="s">
        <v>16</v>
      </c>
      <c r="E31" s="6">
        <v>1764.9262000000001</v>
      </c>
      <c r="F31" s="6">
        <f t="shared" si="0"/>
        <v>0</v>
      </c>
      <c r="G31" s="6">
        <f>Table1[[#This Row],[scalar]]-Table1[[#This Row],[adj]]</f>
        <v>1764.9262000000001</v>
      </c>
      <c r="H31" s="4">
        <f>Table1[[#This Row],[price_mkt_bid]]*Table1[[#This Row],[adj scalar]]</f>
        <v>62919.619030000002</v>
      </c>
      <c r="I31" s="4">
        <f>Table1[[#This Row],[price_mkt_ask]]*Table1[[#This Row],[adj scalar]]</f>
        <v>62937.268292000001</v>
      </c>
    </row>
    <row r="32" spans="1:9" x14ac:dyDescent="0.25">
      <c r="A32" t="s">
        <v>4</v>
      </c>
      <c r="B32" s="4">
        <v>20.84</v>
      </c>
      <c r="C32" s="4">
        <v>20.85</v>
      </c>
      <c r="D32" t="s">
        <v>17</v>
      </c>
      <c r="E32" s="6">
        <v>3014.7584999999999</v>
      </c>
      <c r="F32" s="6">
        <f t="shared" si="0"/>
        <v>-0.1</v>
      </c>
      <c r="G32" s="6">
        <f>Table1[[#This Row],[scalar]]-Table1[[#This Row],[adj]]</f>
        <v>3014.8584999999998</v>
      </c>
      <c r="H32" s="4">
        <f>Table1[[#This Row],[price_mkt_bid]]*Table1[[#This Row],[adj scalar]]</f>
        <v>62829.651139999994</v>
      </c>
      <c r="I32" s="4">
        <f>Table1[[#This Row],[price_mkt_ask]]*Table1[[#This Row],[adj scalar]]</f>
        <v>62859.799724999997</v>
      </c>
    </row>
    <row r="33" spans="1:9" x14ac:dyDescent="0.25">
      <c r="A33" t="s">
        <v>5</v>
      </c>
      <c r="B33" s="4">
        <v>34.119999999999997</v>
      </c>
      <c r="C33" s="4">
        <v>34.130000000000003</v>
      </c>
      <c r="D33" t="s">
        <v>17</v>
      </c>
      <c r="E33" s="6">
        <f>1841.9994-0.2393</f>
        <v>1841.7601</v>
      </c>
      <c r="F33" s="6">
        <f t="shared" si="0"/>
        <v>0.1</v>
      </c>
      <c r="G33" s="6">
        <f>Table1[[#This Row],[scalar]]-Table1[[#This Row],[adj]]</f>
        <v>1841.6601000000001</v>
      </c>
      <c r="H33" s="4">
        <f>Table1[[#This Row],[price_mkt_bid]]*Table1[[#This Row],[adj scalar]]</f>
        <v>62837.442611999999</v>
      </c>
      <c r="I33" s="4">
        <f>Table1[[#This Row],[price_mkt_ask]]*Table1[[#This Row],[adj scalar]]</f>
        <v>62855.859213000003</v>
      </c>
    </row>
    <row r="34" spans="1:9" x14ac:dyDescent="0.25">
      <c r="A34" t="s">
        <v>6</v>
      </c>
      <c r="B34" s="4">
        <v>17.72</v>
      </c>
      <c r="C34" s="4">
        <v>17.73</v>
      </c>
      <c r="D34" t="s">
        <v>17</v>
      </c>
      <c r="E34" s="6">
        <v>3546.3341999999998</v>
      </c>
      <c r="F34" s="6">
        <f t="shared" si="0"/>
        <v>0</v>
      </c>
      <c r="G34" s="6">
        <f>Table1[[#This Row],[scalar]]-Table1[[#This Row],[adj]]</f>
        <v>3546.3341999999998</v>
      </c>
      <c r="H34" s="4">
        <f>Table1[[#This Row],[price_mkt_bid]]*Table1[[#This Row],[adj scalar]]</f>
        <v>62841.042023999995</v>
      </c>
      <c r="I34" s="4">
        <f>Table1[[#This Row],[price_mkt_ask]]*Table1[[#This Row],[adj scalar]]</f>
        <v>62876.505365999998</v>
      </c>
    </row>
    <row r="35" spans="1:9" x14ac:dyDescent="0.25">
      <c r="A35" t="s">
        <v>7</v>
      </c>
      <c r="B35" s="4">
        <v>27.8</v>
      </c>
      <c r="C35" s="4">
        <v>27.81</v>
      </c>
      <c r="D35" t="s">
        <v>17</v>
      </c>
      <c r="E35" s="6">
        <f>2261.2393-0.03</f>
        <v>2261.2093</v>
      </c>
      <c r="F35" s="6">
        <f t="shared" si="0"/>
        <v>0.2</v>
      </c>
      <c r="G35" s="6">
        <f>Table1[[#This Row],[scalar]]-Table1[[#This Row],[adj]]</f>
        <v>2261.0093000000002</v>
      </c>
      <c r="H35" s="4">
        <f>Table1[[#This Row],[price_mkt_bid]]*Table1[[#This Row],[adj scalar]]</f>
        <v>62856.058540000005</v>
      </c>
      <c r="I35" s="4">
        <f>Table1[[#This Row],[price_mkt_ask]]*Table1[[#This Row],[adj scalar]]</f>
        <v>62878.668633000001</v>
      </c>
    </row>
    <row r="36" spans="1:9" x14ac:dyDescent="0.25">
      <c r="A36" t="s">
        <v>8</v>
      </c>
      <c r="B36" s="4">
        <v>66.400000000000006</v>
      </c>
      <c r="C36" s="4">
        <v>66.5</v>
      </c>
      <c r="D36" t="s">
        <v>17</v>
      </c>
      <c r="E36" s="6">
        <v>946.06489999999997</v>
      </c>
      <c r="F36" s="6">
        <f t="shared" si="0"/>
        <v>0</v>
      </c>
      <c r="G36" s="6">
        <f>Table1[[#This Row],[scalar]]-Table1[[#This Row],[adj]]</f>
        <v>946.06489999999997</v>
      </c>
      <c r="H36" s="4">
        <f>Table1[[#This Row],[price_mkt_bid]]*Table1[[#This Row],[adj scalar]]</f>
        <v>62818.709360000001</v>
      </c>
      <c r="I36" s="4">
        <f>Table1[[#This Row],[price_mkt_ask]]*Table1[[#This Row],[adj scalar]]</f>
        <v>62913.315849999999</v>
      </c>
    </row>
    <row r="37" spans="1:9" x14ac:dyDescent="0.25">
      <c r="A37" t="s">
        <v>9</v>
      </c>
      <c r="B37" s="4">
        <v>36.32</v>
      </c>
      <c r="C37" s="4">
        <v>36.33</v>
      </c>
      <c r="D37" t="s">
        <v>17</v>
      </c>
      <c r="E37" s="6">
        <v>1730.0288</v>
      </c>
      <c r="F37" s="6">
        <f t="shared" si="0"/>
        <v>-0.2</v>
      </c>
      <c r="G37" s="6">
        <f>Table1[[#This Row],[scalar]]-Table1[[#This Row],[adj]]</f>
        <v>1730.2288000000001</v>
      </c>
      <c r="H37" s="4">
        <f>Table1[[#This Row],[price_mkt_bid]]*Table1[[#This Row],[adj scalar]]</f>
        <v>62841.910016000002</v>
      </c>
      <c r="I37" s="4">
        <f>Table1[[#This Row],[price_mkt_ask]]*Table1[[#This Row],[adj scalar]]</f>
        <v>62859.212304000001</v>
      </c>
    </row>
    <row r="38" spans="1:9" x14ac:dyDescent="0.25">
      <c r="A38" t="s">
        <v>10</v>
      </c>
      <c r="B38" s="4">
        <v>54.71</v>
      </c>
      <c r="C38" s="4">
        <v>54.72</v>
      </c>
      <c r="D38" t="s">
        <v>17</v>
      </c>
      <c r="E38" s="6">
        <v>1148.7663</v>
      </c>
      <c r="F38" s="6">
        <f t="shared" si="0"/>
        <v>0.05</v>
      </c>
      <c r="G38" s="6">
        <f>Table1[[#This Row],[scalar]]-Table1[[#This Row],[adj]]</f>
        <v>1148.7163</v>
      </c>
      <c r="H38" s="4">
        <f>Table1[[#This Row],[price_mkt_bid]]*Table1[[#This Row],[adj scalar]]</f>
        <v>62846.268773000003</v>
      </c>
      <c r="I38" s="4">
        <f>Table1[[#This Row],[price_mkt_ask]]*Table1[[#This Row],[adj scalar]]</f>
        <v>62857.755936000001</v>
      </c>
    </row>
    <row r="39" spans="1:9" x14ac:dyDescent="0.25">
      <c r="A39" t="s">
        <v>11</v>
      </c>
      <c r="B39" s="4">
        <v>48.77</v>
      </c>
      <c r="C39" s="4">
        <v>48.78</v>
      </c>
      <c r="D39" t="s">
        <v>17</v>
      </c>
      <c r="E39" s="6">
        <v>1288.4784999999999</v>
      </c>
      <c r="F39" s="6">
        <f t="shared" si="0"/>
        <v>-0.05</v>
      </c>
      <c r="G39" s="6">
        <f>Table1[[#This Row],[scalar]]-Table1[[#This Row],[adj]]</f>
        <v>1288.5284999999999</v>
      </c>
      <c r="H39" s="4">
        <f>Table1[[#This Row],[price_mkt_bid]]*Table1[[#This Row],[adj scalar]]</f>
        <v>62841.534944999999</v>
      </c>
      <c r="I39" s="4">
        <f>Table1[[#This Row],[price_mkt_ask]]*Table1[[#This Row],[adj scalar]]</f>
        <v>62854.420229999996</v>
      </c>
    </row>
    <row r="40" spans="1:9" x14ac:dyDescent="0.25">
      <c r="A40" t="s">
        <v>12</v>
      </c>
      <c r="B40" s="4">
        <v>17.77</v>
      </c>
      <c r="C40" s="4">
        <v>17.78</v>
      </c>
      <c r="D40" t="s">
        <v>17</v>
      </c>
      <c r="E40" s="6">
        <v>3535.8029000000001</v>
      </c>
      <c r="F40" s="6">
        <f t="shared" si="0"/>
        <v>0</v>
      </c>
      <c r="G40" s="6">
        <f>Table1[[#This Row],[scalar]]-Table1[[#This Row],[adj]]</f>
        <v>3535.8029000000001</v>
      </c>
      <c r="H40" s="4">
        <f>Table1[[#This Row],[price_mkt_bid]]*Table1[[#This Row],[adj scalar]]</f>
        <v>62831.217533000003</v>
      </c>
      <c r="I40" s="4">
        <f>Table1[[#This Row],[price_mkt_ask]]*Table1[[#This Row],[adj scalar]]</f>
        <v>62866.575562000005</v>
      </c>
    </row>
    <row r="41" spans="1:9" x14ac:dyDescent="0.25">
      <c r="A41" t="s">
        <v>13</v>
      </c>
      <c r="B41" s="4">
        <v>35.6</v>
      </c>
      <c r="C41" s="4">
        <v>35.61</v>
      </c>
      <c r="D41" t="s">
        <v>17</v>
      </c>
      <c r="E41" s="6">
        <v>1764.9262000000001</v>
      </c>
      <c r="F41" s="6">
        <f t="shared" si="0"/>
        <v>0</v>
      </c>
      <c r="G41" s="6">
        <f>Table1[[#This Row],[scalar]]-Table1[[#This Row],[adj]]</f>
        <v>1764.9262000000001</v>
      </c>
      <c r="H41" s="4">
        <f>Table1[[#This Row],[price_mkt_bid]]*Table1[[#This Row],[adj scalar]]</f>
        <v>62831.372720000007</v>
      </c>
      <c r="I41" s="4">
        <f>Table1[[#This Row],[price_mkt_ask]]*Table1[[#This Row],[adj scalar]]</f>
        <v>62849.021982000006</v>
      </c>
    </row>
    <row r="42" spans="1:9" x14ac:dyDescent="0.25">
      <c r="A42" t="s">
        <v>4</v>
      </c>
      <c r="B42" s="4">
        <v>20.83</v>
      </c>
      <c r="C42" s="4">
        <v>20.84</v>
      </c>
      <c r="D42" t="s">
        <v>18</v>
      </c>
      <c r="E42" s="6">
        <v>3014.7584999999999</v>
      </c>
      <c r="F42" s="6">
        <f t="shared" si="0"/>
        <v>-0.1</v>
      </c>
      <c r="G42" s="6">
        <f>Table1[[#This Row],[scalar]]-Table1[[#This Row],[adj]]</f>
        <v>3014.8584999999998</v>
      </c>
      <c r="H42" s="4">
        <f>Table1[[#This Row],[price_mkt_bid]]*Table1[[#This Row],[adj scalar]]</f>
        <v>62799.502554999992</v>
      </c>
      <c r="I42" s="4">
        <f>Table1[[#This Row],[price_mkt_ask]]*Table1[[#This Row],[adj scalar]]</f>
        <v>62829.651139999994</v>
      </c>
    </row>
    <row r="43" spans="1:9" x14ac:dyDescent="0.25">
      <c r="A43" t="s">
        <v>5</v>
      </c>
      <c r="B43" s="4">
        <v>34.1</v>
      </c>
      <c r="C43" s="4">
        <v>34.11</v>
      </c>
      <c r="D43" t="s">
        <v>18</v>
      </c>
      <c r="E43" s="6">
        <f>1841.9994-0.2393</f>
        <v>1841.7601</v>
      </c>
      <c r="F43" s="6">
        <f t="shared" si="0"/>
        <v>0.1</v>
      </c>
      <c r="G43" s="6">
        <f>Table1[[#This Row],[scalar]]-Table1[[#This Row],[adj]]</f>
        <v>1841.6601000000001</v>
      </c>
      <c r="H43" s="4">
        <f>Table1[[#This Row],[price_mkt_bid]]*Table1[[#This Row],[adj scalar]]</f>
        <v>62800.609410000005</v>
      </c>
      <c r="I43" s="4">
        <f>Table1[[#This Row],[price_mkt_ask]]*Table1[[#This Row],[adj scalar]]</f>
        <v>62819.026011000002</v>
      </c>
    </row>
    <row r="44" spans="1:9" x14ac:dyDescent="0.25">
      <c r="A44" t="s">
        <v>6</v>
      </c>
      <c r="B44" s="4">
        <v>17.71</v>
      </c>
      <c r="C44" s="4">
        <v>17.72</v>
      </c>
      <c r="D44" t="s">
        <v>18</v>
      </c>
      <c r="E44" s="6">
        <v>3546.3341999999998</v>
      </c>
      <c r="F44" s="6">
        <f t="shared" si="0"/>
        <v>0</v>
      </c>
      <c r="G44" s="6">
        <f>Table1[[#This Row],[scalar]]-Table1[[#This Row],[adj]]</f>
        <v>3546.3341999999998</v>
      </c>
      <c r="H44" s="4">
        <f>Table1[[#This Row],[price_mkt_bid]]*Table1[[#This Row],[adj scalar]]</f>
        <v>62805.578681999999</v>
      </c>
      <c r="I44" s="4">
        <f>Table1[[#This Row],[price_mkt_ask]]*Table1[[#This Row],[adj scalar]]</f>
        <v>62841.042023999995</v>
      </c>
    </row>
    <row r="45" spans="1:9" x14ac:dyDescent="0.25">
      <c r="A45" t="s">
        <v>7</v>
      </c>
      <c r="B45" s="4">
        <v>27.77</v>
      </c>
      <c r="C45" s="4">
        <v>27.78</v>
      </c>
      <c r="D45" t="s">
        <v>18</v>
      </c>
      <c r="E45" s="6">
        <f>2261.2393-0.03</f>
        <v>2261.2093</v>
      </c>
      <c r="F45" s="6">
        <f t="shared" si="0"/>
        <v>0.2</v>
      </c>
      <c r="G45" s="6">
        <f>Table1[[#This Row],[scalar]]-Table1[[#This Row],[adj]]</f>
        <v>2261.0093000000002</v>
      </c>
      <c r="H45" s="4">
        <f>Table1[[#This Row],[price_mkt_bid]]*Table1[[#This Row],[adj scalar]]</f>
        <v>62788.228261000004</v>
      </c>
      <c r="I45" s="4">
        <f>Table1[[#This Row],[price_mkt_ask]]*Table1[[#This Row],[adj scalar]]</f>
        <v>62810.838354000007</v>
      </c>
    </row>
    <row r="46" spans="1:9" x14ac:dyDescent="0.25">
      <c r="A46" t="s">
        <v>8</v>
      </c>
      <c r="B46" s="4">
        <v>66.38</v>
      </c>
      <c r="C46" s="4">
        <v>66.48</v>
      </c>
      <c r="D46" t="s">
        <v>18</v>
      </c>
      <c r="E46" s="6">
        <v>946.06489999999997</v>
      </c>
      <c r="F46" s="6">
        <f t="shared" si="0"/>
        <v>0</v>
      </c>
      <c r="G46" s="6">
        <f>Table1[[#This Row],[scalar]]-Table1[[#This Row],[adj]]</f>
        <v>946.06489999999997</v>
      </c>
      <c r="H46" s="4">
        <f>Table1[[#This Row],[price_mkt_bid]]*Table1[[#This Row],[adj scalar]]</f>
        <v>62799.788061999992</v>
      </c>
      <c r="I46" s="4">
        <f>Table1[[#This Row],[price_mkt_ask]]*Table1[[#This Row],[adj scalar]]</f>
        <v>62894.394551999998</v>
      </c>
    </row>
    <row r="47" spans="1:9" x14ac:dyDescent="0.25">
      <c r="A47" t="s">
        <v>9</v>
      </c>
      <c r="B47" s="4">
        <v>36.29</v>
      </c>
      <c r="C47" s="4">
        <v>36.31</v>
      </c>
      <c r="D47" t="s">
        <v>18</v>
      </c>
      <c r="E47" s="6">
        <v>1730.0288</v>
      </c>
      <c r="F47" s="6">
        <f t="shared" si="0"/>
        <v>-0.2</v>
      </c>
      <c r="G47" s="6">
        <f>Table1[[#This Row],[scalar]]-Table1[[#This Row],[adj]]</f>
        <v>1730.2288000000001</v>
      </c>
      <c r="H47" s="4">
        <f>Table1[[#This Row],[price_mkt_bid]]*Table1[[#This Row],[adj scalar]]</f>
        <v>62790.003152000005</v>
      </c>
      <c r="I47" s="4">
        <f>Table1[[#This Row],[price_mkt_ask]]*Table1[[#This Row],[adj scalar]]</f>
        <v>62824.60772800001</v>
      </c>
    </row>
    <row r="48" spans="1:9" x14ac:dyDescent="0.25">
      <c r="A48" t="s">
        <v>10</v>
      </c>
      <c r="B48" s="4">
        <v>54.67</v>
      </c>
      <c r="C48" s="4">
        <v>54.68</v>
      </c>
      <c r="D48" t="s">
        <v>18</v>
      </c>
      <c r="E48" s="6">
        <v>1148.7663</v>
      </c>
      <c r="F48" s="6">
        <f t="shared" si="0"/>
        <v>0.05</v>
      </c>
      <c r="G48" s="6">
        <f>Table1[[#This Row],[scalar]]-Table1[[#This Row],[adj]]</f>
        <v>1148.7163</v>
      </c>
      <c r="H48" s="4">
        <f>Table1[[#This Row],[price_mkt_bid]]*Table1[[#This Row],[adj scalar]]</f>
        <v>62800.320121000004</v>
      </c>
      <c r="I48" s="4">
        <f>Table1[[#This Row],[price_mkt_ask]]*Table1[[#This Row],[adj scalar]]</f>
        <v>62811.807284000002</v>
      </c>
    </row>
    <row r="49" spans="1:9" x14ac:dyDescent="0.25">
      <c r="A49" t="s">
        <v>11</v>
      </c>
      <c r="B49" s="4">
        <v>48.73</v>
      </c>
      <c r="C49" s="4">
        <v>48.74</v>
      </c>
      <c r="D49" t="s">
        <v>18</v>
      </c>
      <c r="E49" s="6">
        <v>1288.4784999999999</v>
      </c>
      <c r="F49" s="6">
        <f t="shared" si="0"/>
        <v>-0.05</v>
      </c>
      <c r="G49" s="6">
        <f>Table1[[#This Row],[scalar]]-Table1[[#This Row],[adj]]</f>
        <v>1288.5284999999999</v>
      </c>
      <c r="H49" s="4">
        <f>Table1[[#This Row],[price_mkt_bid]]*Table1[[#This Row],[adj scalar]]</f>
        <v>62789.993804999991</v>
      </c>
      <c r="I49" s="4">
        <f>Table1[[#This Row],[price_mkt_ask]]*Table1[[#This Row],[adj scalar]]</f>
        <v>62802.879089999995</v>
      </c>
    </row>
    <row r="50" spans="1:9" x14ac:dyDescent="0.25">
      <c r="A50" t="s">
        <v>12</v>
      </c>
      <c r="B50" s="4">
        <v>17.760000000000002</v>
      </c>
      <c r="C50" s="4">
        <v>17.77</v>
      </c>
      <c r="D50" t="s">
        <v>18</v>
      </c>
      <c r="E50" s="6">
        <v>3535.8029000000001</v>
      </c>
      <c r="F50" s="6">
        <f t="shared" si="0"/>
        <v>0</v>
      </c>
      <c r="G50" s="6">
        <f>Table1[[#This Row],[scalar]]-Table1[[#This Row],[adj]]</f>
        <v>3535.8029000000001</v>
      </c>
      <c r="H50" s="4">
        <f>Table1[[#This Row],[price_mkt_bid]]*Table1[[#This Row],[adj scalar]]</f>
        <v>62795.859504000007</v>
      </c>
      <c r="I50" s="4">
        <f>Table1[[#This Row],[price_mkt_ask]]*Table1[[#This Row],[adj scalar]]</f>
        <v>62831.217533000003</v>
      </c>
    </row>
    <row r="51" spans="1:9" x14ac:dyDescent="0.25">
      <c r="A51" t="s">
        <v>13</v>
      </c>
      <c r="B51" s="4">
        <v>35.58</v>
      </c>
      <c r="C51" s="4">
        <v>35.590000000000003</v>
      </c>
      <c r="D51" t="s">
        <v>18</v>
      </c>
      <c r="E51" s="6">
        <v>1764.9262000000001</v>
      </c>
      <c r="F51" s="6">
        <f t="shared" si="0"/>
        <v>0</v>
      </c>
      <c r="G51" s="6">
        <f>Table1[[#This Row],[scalar]]-Table1[[#This Row],[adj]]</f>
        <v>1764.9262000000001</v>
      </c>
      <c r="H51" s="4">
        <f>Table1[[#This Row],[price_mkt_bid]]*Table1[[#This Row],[adj scalar]]</f>
        <v>62796.074196000001</v>
      </c>
      <c r="I51" s="4">
        <f>Table1[[#This Row],[price_mkt_ask]]*Table1[[#This Row],[adj scalar]]</f>
        <v>62813.723458000008</v>
      </c>
    </row>
    <row r="52" spans="1:9" x14ac:dyDescent="0.25">
      <c r="A52" t="s">
        <v>4</v>
      </c>
      <c r="B52" s="4">
        <v>20.78</v>
      </c>
      <c r="C52" s="4">
        <v>20.79</v>
      </c>
      <c r="D52" t="s">
        <v>19</v>
      </c>
      <c r="E52" s="6">
        <v>3014.7584999999999</v>
      </c>
      <c r="F52" s="6">
        <f t="shared" si="0"/>
        <v>-0.1</v>
      </c>
      <c r="G52" s="6">
        <f>Table1[[#This Row],[scalar]]-Table1[[#This Row],[adj]]</f>
        <v>3014.8584999999998</v>
      </c>
      <c r="H52" s="4">
        <f>Table1[[#This Row],[price_mkt_bid]]*Table1[[#This Row],[adj scalar]]</f>
        <v>62648.75963</v>
      </c>
      <c r="I52" s="4">
        <f>Table1[[#This Row],[price_mkt_ask]]*Table1[[#This Row],[adj scalar]]</f>
        <v>62678.908214999996</v>
      </c>
    </row>
    <row r="53" spans="1:9" x14ac:dyDescent="0.25">
      <c r="A53" t="s">
        <v>5</v>
      </c>
      <c r="B53" s="4">
        <v>34.020000000000003</v>
      </c>
      <c r="C53" s="4">
        <v>34.03</v>
      </c>
      <c r="D53" t="s">
        <v>19</v>
      </c>
      <c r="E53" s="6">
        <f>1841.9994-0.2393</f>
        <v>1841.7601</v>
      </c>
      <c r="F53" s="6">
        <f t="shared" si="0"/>
        <v>0.1</v>
      </c>
      <c r="G53" s="6">
        <f>Table1[[#This Row],[scalar]]-Table1[[#This Row],[adj]]</f>
        <v>1841.6601000000001</v>
      </c>
      <c r="H53" s="4">
        <f>Table1[[#This Row],[price_mkt_bid]]*Table1[[#This Row],[adj scalar]]</f>
        <v>62653.276602000005</v>
      </c>
      <c r="I53" s="4">
        <f>Table1[[#This Row],[price_mkt_ask]]*Table1[[#This Row],[adj scalar]]</f>
        <v>62671.693203000003</v>
      </c>
    </row>
    <row r="54" spans="1:9" x14ac:dyDescent="0.25">
      <c r="A54" t="s">
        <v>6</v>
      </c>
      <c r="B54" s="4">
        <v>17.66</v>
      </c>
      <c r="C54" s="4">
        <v>17.670000000000002</v>
      </c>
      <c r="D54" t="s">
        <v>19</v>
      </c>
      <c r="E54" s="6">
        <v>3546.3341999999998</v>
      </c>
      <c r="F54" s="6">
        <f t="shared" si="0"/>
        <v>0</v>
      </c>
      <c r="G54" s="6">
        <f>Table1[[#This Row],[scalar]]-Table1[[#This Row],[adj]]</f>
        <v>3546.3341999999998</v>
      </c>
      <c r="H54" s="4">
        <f>Table1[[#This Row],[price_mkt_bid]]*Table1[[#This Row],[adj scalar]]</f>
        <v>62628.261972</v>
      </c>
      <c r="I54" s="4">
        <f>Table1[[#This Row],[price_mkt_ask]]*Table1[[#This Row],[adj scalar]]</f>
        <v>62663.725314000003</v>
      </c>
    </row>
    <row r="55" spans="1:9" x14ac:dyDescent="0.25">
      <c r="A55" t="s">
        <v>7</v>
      </c>
      <c r="B55" s="4">
        <v>27.71</v>
      </c>
      <c r="C55" s="4">
        <v>27.72</v>
      </c>
      <c r="D55" t="s">
        <v>19</v>
      </c>
      <c r="E55" s="6">
        <f>2261.2393-0.03</f>
        <v>2261.2093</v>
      </c>
      <c r="F55" s="6">
        <f t="shared" si="0"/>
        <v>0.2</v>
      </c>
      <c r="G55" s="6">
        <f>Table1[[#This Row],[scalar]]-Table1[[#This Row],[adj]]</f>
        <v>2261.0093000000002</v>
      </c>
      <c r="H55" s="4">
        <f>Table1[[#This Row],[price_mkt_bid]]*Table1[[#This Row],[adj scalar]]</f>
        <v>62652.567703000008</v>
      </c>
      <c r="I55" s="4">
        <f>Table1[[#This Row],[price_mkt_ask]]*Table1[[#This Row],[adj scalar]]</f>
        <v>62675.177796000004</v>
      </c>
    </row>
    <row r="56" spans="1:9" x14ac:dyDescent="0.25">
      <c r="A56" t="s">
        <v>8</v>
      </c>
      <c r="B56" s="4">
        <v>66.209999999999994</v>
      </c>
      <c r="C56" s="4">
        <v>66.31</v>
      </c>
      <c r="D56" t="s">
        <v>19</v>
      </c>
      <c r="E56" s="6">
        <v>946.06489999999997</v>
      </c>
      <c r="F56" s="6">
        <f t="shared" si="0"/>
        <v>0</v>
      </c>
      <c r="G56" s="6">
        <f>Table1[[#This Row],[scalar]]-Table1[[#This Row],[adj]]</f>
        <v>946.06489999999997</v>
      </c>
      <c r="H56" s="4">
        <f>Table1[[#This Row],[price_mkt_bid]]*Table1[[#This Row],[adj scalar]]</f>
        <v>62638.95702899999</v>
      </c>
      <c r="I56" s="4">
        <f>Table1[[#This Row],[price_mkt_ask]]*Table1[[#This Row],[adj scalar]]</f>
        <v>62733.563519000003</v>
      </c>
    </row>
    <row r="57" spans="1:9" x14ac:dyDescent="0.25">
      <c r="A57" t="s">
        <v>9</v>
      </c>
      <c r="B57" s="4">
        <v>36.21</v>
      </c>
      <c r="C57" s="4">
        <v>36.22</v>
      </c>
      <c r="D57" t="s">
        <v>19</v>
      </c>
      <c r="E57" s="6">
        <v>1730.0288</v>
      </c>
      <c r="F57" s="6">
        <f t="shared" si="0"/>
        <v>-0.2</v>
      </c>
      <c r="G57" s="6">
        <f>Table1[[#This Row],[scalar]]-Table1[[#This Row],[adj]]</f>
        <v>1730.2288000000001</v>
      </c>
      <c r="H57" s="4">
        <f>Table1[[#This Row],[price_mkt_bid]]*Table1[[#This Row],[adj scalar]]</f>
        <v>62651.584848000006</v>
      </c>
      <c r="I57" s="4">
        <f>Table1[[#This Row],[price_mkt_ask]]*Table1[[#This Row],[adj scalar]]</f>
        <v>62668.887136000005</v>
      </c>
    </row>
    <row r="58" spans="1:9" x14ac:dyDescent="0.25">
      <c r="A58" t="s">
        <v>10</v>
      </c>
      <c r="B58" s="4">
        <v>54.55</v>
      </c>
      <c r="C58" s="4">
        <v>54.56</v>
      </c>
      <c r="D58" t="s">
        <v>19</v>
      </c>
      <c r="E58" s="6">
        <v>1148.7663</v>
      </c>
      <c r="F58" s="6">
        <f t="shared" si="0"/>
        <v>0.05</v>
      </c>
      <c r="G58" s="6">
        <f>Table1[[#This Row],[scalar]]-Table1[[#This Row],[adj]]</f>
        <v>1148.7163</v>
      </c>
      <c r="H58" s="4">
        <f>Table1[[#This Row],[price_mkt_bid]]*Table1[[#This Row],[adj scalar]]</f>
        <v>62662.474165</v>
      </c>
      <c r="I58" s="4">
        <f>Table1[[#This Row],[price_mkt_ask]]*Table1[[#This Row],[adj scalar]]</f>
        <v>62673.961328000005</v>
      </c>
    </row>
    <row r="59" spans="1:9" x14ac:dyDescent="0.25">
      <c r="A59" t="s">
        <v>11</v>
      </c>
      <c r="B59" s="4">
        <v>48.62</v>
      </c>
      <c r="C59" s="4">
        <v>48.63</v>
      </c>
      <c r="D59" t="s">
        <v>19</v>
      </c>
      <c r="E59" s="6">
        <v>1288.4784999999999</v>
      </c>
      <c r="F59" s="6">
        <f t="shared" si="0"/>
        <v>-0.05</v>
      </c>
      <c r="G59" s="6">
        <f>Table1[[#This Row],[scalar]]-Table1[[#This Row],[adj]]</f>
        <v>1288.5284999999999</v>
      </c>
      <c r="H59" s="4">
        <f>Table1[[#This Row],[price_mkt_bid]]*Table1[[#This Row],[adj scalar]]</f>
        <v>62648.255669999991</v>
      </c>
      <c r="I59" s="4">
        <f>Table1[[#This Row],[price_mkt_ask]]*Table1[[#This Row],[adj scalar]]</f>
        <v>62661.140954999995</v>
      </c>
    </row>
    <row r="60" spans="1:9" x14ac:dyDescent="0.25">
      <c r="A60" t="s">
        <v>12</v>
      </c>
      <c r="B60" s="4">
        <v>17.72</v>
      </c>
      <c r="C60" s="4">
        <v>17.73</v>
      </c>
      <c r="D60" t="s">
        <v>19</v>
      </c>
      <c r="E60" s="6">
        <v>3535.8029000000001</v>
      </c>
      <c r="F60" s="6">
        <f t="shared" si="0"/>
        <v>0</v>
      </c>
      <c r="G60" s="6">
        <f>Table1[[#This Row],[scalar]]-Table1[[#This Row],[adj]]</f>
        <v>3535.8029000000001</v>
      </c>
      <c r="H60" s="4">
        <f>Table1[[#This Row],[price_mkt_bid]]*Table1[[#This Row],[adj scalar]]</f>
        <v>62654.427387999996</v>
      </c>
      <c r="I60" s="4">
        <f>Table1[[#This Row],[price_mkt_ask]]*Table1[[#This Row],[adj scalar]]</f>
        <v>62689.785417000006</v>
      </c>
    </row>
    <row r="61" spans="1:9" x14ac:dyDescent="0.25">
      <c r="A61" t="s">
        <v>13</v>
      </c>
      <c r="B61" s="4">
        <v>35.5</v>
      </c>
      <c r="C61" s="4">
        <v>35.51</v>
      </c>
      <c r="D61" t="s">
        <v>19</v>
      </c>
      <c r="E61" s="6">
        <v>1764.9262000000001</v>
      </c>
      <c r="F61" s="6">
        <f t="shared" si="0"/>
        <v>0</v>
      </c>
      <c r="G61" s="6">
        <f>Table1[[#This Row],[scalar]]-Table1[[#This Row],[adj]]</f>
        <v>1764.9262000000001</v>
      </c>
      <c r="H61" s="4">
        <f>Table1[[#This Row],[price_mkt_bid]]*Table1[[#This Row],[adj scalar]]</f>
        <v>62654.880100000002</v>
      </c>
      <c r="I61" s="4">
        <f>Table1[[#This Row],[price_mkt_ask]]*Table1[[#This Row],[adj scalar]]</f>
        <v>62672.529362000001</v>
      </c>
    </row>
    <row r="62" spans="1:9" x14ac:dyDescent="0.25">
      <c r="A62" t="s">
        <v>4</v>
      </c>
      <c r="B62" s="4">
        <v>20.79</v>
      </c>
      <c r="C62" s="4">
        <v>20.8</v>
      </c>
      <c r="D62" t="s">
        <v>20</v>
      </c>
      <c r="E62" s="6">
        <v>3014.7584999999999</v>
      </c>
      <c r="F62" s="6">
        <f t="shared" si="0"/>
        <v>-0.1</v>
      </c>
      <c r="G62" s="6">
        <f>Table1[[#This Row],[scalar]]-Table1[[#This Row],[adj]]</f>
        <v>3014.8584999999998</v>
      </c>
      <c r="H62" s="4">
        <f>Table1[[#This Row],[price_mkt_bid]]*Table1[[#This Row],[adj scalar]]</f>
        <v>62678.908214999996</v>
      </c>
      <c r="I62" s="4">
        <f>Table1[[#This Row],[price_mkt_ask]]*Table1[[#This Row],[adj scalar]]</f>
        <v>62709.056799999998</v>
      </c>
    </row>
    <row r="63" spans="1:9" x14ac:dyDescent="0.25">
      <c r="A63" t="s">
        <v>5</v>
      </c>
      <c r="B63" s="4">
        <v>34.03</v>
      </c>
      <c r="C63" s="4">
        <v>34.04</v>
      </c>
      <c r="D63" t="s">
        <v>20</v>
      </c>
      <c r="E63" s="6">
        <f>1841.9994-0.2393</f>
        <v>1841.7601</v>
      </c>
      <c r="F63" s="6">
        <f t="shared" si="0"/>
        <v>0.1</v>
      </c>
      <c r="G63" s="6">
        <f>Table1[[#This Row],[scalar]]-Table1[[#This Row],[adj]]</f>
        <v>1841.6601000000001</v>
      </c>
      <c r="H63" s="4">
        <f>Table1[[#This Row],[price_mkt_bid]]*Table1[[#This Row],[adj scalar]]</f>
        <v>62671.693203000003</v>
      </c>
      <c r="I63" s="4">
        <f>Table1[[#This Row],[price_mkt_ask]]*Table1[[#This Row],[adj scalar]]</f>
        <v>62690.109804</v>
      </c>
    </row>
    <row r="64" spans="1:9" x14ac:dyDescent="0.25">
      <c r="A64" t="s">
        <v>6</v>
      </c>
      <c r="B64" s="4">
        <v>17.670000000000002</v>
      </c>
      <c r="C64" s="4">
        <v>17.68</v>
      </c>
      <c r="D64" t="s">
        <v>20</v>
      </c>
      <c r="E64" s="6">
        <v>3546.3341999999998</v>
      </c>
      <c r="F64" s="6">
        <f t="shared" si="0"/>
        <v>0</v>
      </c>
      <c r="G64" s="6">
        <f>Table1[[#This Row],[scalar]]-Table1[[#This Row],[adj]]</f>
        <v>3546.3341999999998</v>
      </c>
      <c r="H64" s="4">
        <f>Table1[[#This Row],[price_mkt_bid]]*Table1[[#This Row],[adj scalar]]</f>
        <v>62663.725314000003</v>
      </c>
      <c r="I64" s="4">
        <f>Table1[[#This Row],[price_mkt_ask]]*Table1[[#This Row],[adj scalar]]</f>
        <v>62699.188655999998</v>
      </c>
    </row>
    <row r="65" spans="1:9" x14ac:dyDescent="0.25">
      <c r="A65" t="s">
        <v>7</v>
      </c>
      <c r="B65" s="4">
        <v>27.72</v>
      </c>
      <c r="C65" s="4">
        <v>27.73</v>
      </c>
      <c r="D65" t="s">
        <v>20</v>
      </c>
      <c r="E65" s="6">
        <f>2261.2393-0.03</f>
        <v>2261.2093</v>
      </c>
      <c r="F65" s="6">
        <f t="shared" si="0"/>
        <v>0.2</v>
      </c>
      <c r="G65" s="6">
        <f>Table1[[#This Row],[scalar]]-Table1[[#This Row],[adj]]</f>
        <v>2261.0093000000002</v>
      </c>
      <c r="H65" s="4">
        <f>Table1[[#This Row],[price_mkt_bid]]*Table1[[#This Row],[adj scalar]]</f>
        <v>62675.177796000004</v>
      </c>
      <c r="I65" s="4">
        <f>Table1[[#This Row],[price_mkt_ask]]*Table1[[#This Row],[adj scalar]]</f>
        <v>62697.787889000007</v>
      </c>
    </row>
    <row r="66" spans="1:9" x14ac:dyDescent="0.25">
      <c r="A66" t="s">
        <v>8</v>
      </c>
      <c r="B66" s="4">
        <v>66.239999999999995</v>
      </c>
      <c r="C66" s="4">
        <v>66.349999999999994</v>
      </c>
      <c r="D66" t="s">
        <v>20</v>
      </c>
      <c r="E66" s="6">
        <v>946.06489999999997</v>
      </c>
      <c r="F66" s="6">
        <f t="shared" si="0"/>
        <v>0</v>
      </c>
      <c r="G66" s="6">
        <f>Table1[[#This Row],[scalar]]-Table1[[#This Row],[adj]]</f>
        <v>946.06489999999997</v>
      </c>
      <c r="H66" s="4">
        <f>Table1[[#This Row],[price_mkt_bid]]*Table1[[#This Row],[adj scalar]]</f>
        <v>62667.338975999992</v>
      </c>
      <c r="I66" s="4">
        <f>Table1[[#This Row],[price_mkt_ask]]*Table1[[#This Row],[adj scalar]]</f>
        <v>62771.406114999991</v>
      </c>
    </row>
    <row r="67" spans="1:9" x14ac:dyDescent="0.25">
      <c r="A67" t="s">
        <v>9</v>
      </c>
      <c r="B67" s="4">
        <v>36.22</v>
      </c>
      <c r="C67" s="4">
        <v>36.24</v>
      </c>
      <c r="D67" t="s">
        <v>20</v>
      </c>
      <c r="E67" s="6">
        <v>1730.0288</v>
      </c>
      <c r="F67" s="6">
        <f t="shared" si="0"/>
        <v>-0.2</v>
      </c>
      <c r="G67" s="6">
        <f>Table1[[#This Row],[scalar]]-Table1[[#This Row],[adj]]</f>
        <v>1730.2288000000001</v>
      </c>
      <c r="H67" s="4">
        <f>Table1[[#This Row],[price_mkt_bid]]*Table1[[#This Row],[adj scalar]]</f>
        <v>62668.887136000005</v>
      </c>
      <c r="I67" s="4">
        <f>Table1[[#This Row],[price_mkt_ask]]*Table1[[#This Row],[adj scalar]]</f>
        <v>62703.49171200001</v>
      </c>
    </row>
    <row r="68" spans="1:9" x14ac:dyDescent="0.25">
      <c r="A68" t="s">
        <v>10</v>
      </c>
      <c r="B68" s="4">
        <v>54.57</v>
      </c>
      <c r="C68" s="4">
        <v>54.58</v>
      </c>
      <c r="D68" t="s">
        <v>20</v>
      </c>
      <c r="E68" s="6">
        <v>1148.7663</v>
      </c>
      <c r="F68" s="6">
        <f t="shared" si="0"/>
        <v>0.05</v>
      </c>
      <c r="G68" s="6">
        <f>Table1[[#This Row],[scalar]]-Table1[[#This Row],[adj]]</f>
        <v>1148.7163</v>
      </c>
      <c r="H68" s="4">
        <f>Table1[[#This Row],[price_mkt_bid]]*Table1[[#This Row],[adj scalar]]</f>
        <v>62685.448491000003</v>
      </c>
      <c r="I68" s="4">
        <f>Table1[[#This Row],[price_mkt_ask]]*Table1[[#This Row],[adj scalar]]</f>
        <v>62696.935654000001</v>
      </c>
    </row>
    <row r="69" spans="1:9" x14ac:dyDescent="0.25">
      <c r="A69" t="s">
        <v>11</v>
      </c>
      <c r="B69" s="4">
        <v>48.64</v>
      </c>
      <c r="C69" s="4">
        <v>48.66</v>
      </c>
      <c r="D69" t="s">
        <v>20</v>
      </c>
      <c r="E69" s="6">
        <v>1288.4784999999999</v>
      </c>
      <c r="F69" s="6">
        <f t="shared" si="0"/>
        <v>-0.05</v>
      </c>
      <c r="G69" s="6">
        <f>Table1[[#This Row],[scalar]]-Table1[[#This Row],[adj]]</f>
        <v>1288.5284999999999</v>
      </c>
      <c r="H69" s="4">
        <f>Table1[[#This Row],[price_mkt_bid]]*Table1[[#This Row],[adj scalar]]</f>
        <v>62674.026239999999</v>
      </c>
      <c r="I69" s="4">
        <f>Table1[[#This Row],[price_mkt_ask]]*Table1[[#This Row],[adj scalar]]</f>
        <v>62699.796809999993</v>
      </c>
    </row>
    <row r="70" spans="1:9" x14ac:dyDescent="0.25">
      <c r="A70" t="s">
        <v>12</v>
      </c>
      <c r="B70" s="4">
        <v>17.72</v>
      </c>
      <c r="C70" s="4">
        <v>17.73</v>
      </c>
      <c r="D70" t="s">
        <v>20</v>
      </c>
      <c r="E70" s="6">
        <v>3535.8029000000001</v>
      </c>
      <c r="F70" s="6">
        <f t="shared" si="0"/>
        <v>0</v>
      </c>
      <c r="G70" s="6">
        <f>Table1[[#This Row],[scalar]]-Table1[[#This Row],[adj]]</f>
        <v>3535.8029000000001</v>
      </c>
      <c r="H70" s="4">
        <f>Table1[[#This Row],[price_mkt_bid]]*Table1[[#This Row],[adj scalar]]</f>
        <v>62654.427387999996</v>
      </c>
      <c r="I70" s="4">
        <f>Table1[[#This Row],[price_mkt_ask]]*Table1[[#This Row],[adj scalar]]</f>
        <v>62689.785417000006</v>
      </c>
    </row>
    <row r="71" spans="1:9" x14ac:dyDescent="0.25">
      <c r="A71" t="s">
        <v>13</v>
      </c>
      <c r="B71" s="4">
        <v>35.51</v>
      </c>
      <c r="C71" s="4">
        <v>35.520000000000003</v>
      </c>
      <c r="D71" t="s">
        <v>20</v>
      </c>
      <c r="E71" s="6">
        <v>1764.9262000000001</v>
      </c>
      <c r="F71" s="6">
        <f t="shared" si="0"/>
        <v>0</v>
      </c>
      <c r="G71" s="6">
        <f>Table1[[#This Row],[scalar]]-Table1[[#This Row],[adj]]</f>
        <v>1764.9262000000001</v>
      </c>
      <c r="H71" s="4">
        <f>Table1[[#This Row],[price_mkt_bid]]*Table1[[#This Row],[adj scalar]]</f>
        <v>62672.529362000001</v>
      </c>
      <c r="I71" s="4">
        <f>Table1[[#This Row],[price_mkt_ask]]*Table1[[#This Row],[adj scalar]]</f>
        <v>62690.178624000007</v>
      </c>
    </row>
    <row r="72" spans="1:9" x14ac:dyDescent="0.25">
      <c r="A72" t="s">
        <v>4</v>
      </c>
      <c r="B72" s="4">
        <v>20.83</v>
      </c>
      <c r="C72" s="4">
        <v>20.84</v>
      </c>
      <c r="D72" t="s">
        <v>21</v>
      </c>
      <c r="E72" s="6">
        <v>3014.7584999999999</v>
      </c>
      <c r="F72" s="6">
        <f t="shared" si="0"/>
        <v>-0.1</v>
      </c>
      <c r="G72" s="6">
        <f>Table1[[#This Row],[scalar]]-Table1[[#This Row],[adj]]</f>
        <v>3014.8584999999998</v>
      </c>
      <c r="H72" s="4">
        <f>Table1[[#This Row],[price_mkt_bid]]*Table1[[#This Row],[adj scalar]]</f>
        <v>62799.502554999992</v>
      </c>
      <c r="I72" s="4">
        <f>Table1[[#This Row],[price_mkt_ask]]*Table1[[#This Row],[adj scalar]]</f>
        <v>62829.651139999994</v>
      </c>
    </row>
    <row r="73" spans="1:9" x14ac:dyDescent="0.25">
      <c r="A73" t="s">
        <v>5</v>
      </c>
      <c r="B73" s="4">
        <v>34.090000000000003</v>
      </c>
      <c r="C73" s="4">
        <v>34.1</v>
      </c>
      <c r="D73" t="s">
        <v>21</v>
      </c>
      <c r="E73" s="6">
        <f>1841.9994-0.2393</f>
        <v>1841.7601</v>
      </c>
      <c r="F73" s="6">
        <f t="shared" si="0"/>
        <v>0.1</v>
      </c>
      <c r="G73" s="6">
        <f>Table1[[#This Row],[scalar]]-Table1[[#This Row],[adj]]</f>
        <v>1841.6601000000001</v>
      </c>
      <c r="H73" s="4">
        <f>Table1[[#This Row],[price_mkt_bid]]*Table1[[#This Row],[adj scalar]]</f>
        <v>62782.192809000007</v>
      </c>
      <c r="I73" s="4">
        <f>Table1[[#This Row],[price_mkt_ask]]*Table1[[#This Row],[adj scalar]]</f>
        <v>62800.609410000005</v>
      </c>
    </row>
    <row r="74" spans="1:9" x14ac:dyDescent="0.25">
      <c r="A74" t="s">
        <v>6</v>
      </c>
      <c r="B74" s="4">
        <v>17.7</v>
      </c>
      <c r="C74" s="4">
        <v>17.71</v>
      </c>
      <c r="D74" t="s">
        <v>21</v>
      </c>
      <c r="E74" s="6">
        <v>3546.3341999999998</v>
      </c>
      <c r="F74" s="6">
        <f t="shared" si="0"/>
        <v>0</v>
      </c>
      <c r="G74" s="6">
        <f>Table1[[#This Row],[scalar]]-Table1[[#This Row],[adj]]</f>
        <v>3546.3341999999998</v>
      </c>
      <c r="H74" s="4">
        <f>Table1[[#This Row],[price_mkt_bid]]*Table1[[#This Row],[adj scalar]]</f>
        <v>62770.115339999997</v>
      </c>
      <c r="I74" s="4">
        <f>Table1[[#This Row],[price_mkt_ask]]*Table1[[#This Row],[adj scalar]]</f>
        <v>62805.578681999999</v>
      </c>
    </row>
    <row r="75" spans="1:9" x14ac:dyDescent="0.25">
      <c r="A75" t="s">
        <v>7</v>
      </c>
      <c r="B75" s="4">
        <v>27.77</v>
      </c>
      <c r="C75" s="4">
        <v>27.78</v>
      </c>
      <c r="D75" t="s">
        <v>21</v>
      </c>
      <c r="E75" s="6">
        <f>2261.2393-0.03</f>
        <v>2261.2093</v>
      </c>
      <c r="F75" s="6">
        <f t="shared" si="0"/>
        <v>0.2</v>
      </c>
      <c r="G75" s="6">
        <f>Table1[[#This Row],[scalar]]-Table1[[#This Row],[adj]]</f>
        <v>2261.0093000000002</v>
      </c>
      <c r="H75" s="4">
        <f>Table1[[#This Row],[price_mkt_bid]]*Table1[[#This Row],[adj scalar]]</f>
        <v>62788.228261000004</v>
      </c>
      <c r="I75" s="4">
        <f>Table1[[#This Row],[price_mkt_ask]]*Table1[[#This Row],[adj scalar]]</f>
        <v>62810.838354000007</v>
      </c>
    </row>
    <row r="76" spans="1:9" x14ac:dyDescent="0.25">
      <c r="A76" t="s">
        <v>8</v>
      </c>
      <c r="B76" s="4">
        <v>66.349999999999994</v>
      </c>
      <c r="C76" s="4">
        <v>66.459999999999994</v>
      </c>
      <c r="D76" t="s">
        <v>21</v>
      </c>
      <c r="E76" s="6">
        <v>946.06489999999997</v>
      </c>
      <c r="F76" s="6">
        <f t="shared" si="0"/>
        <v>0</v>
      </c>
      <c r="G76" s="6">
        <f>Table1[[#This Row],[scalar]]-Table1[[#This Row],[adj]]</f>
        <v>946.06489999999997</v>
      </c>
      <c r="H76" s="4">
        <f>Table1[[#This Row],[price_mkt_bid]]*Table1[[#This Row],[adj scalar]]</f>
        <v>62771.406114999991</v>
      </c>
      <c r="I76" s="4">
        <f>Table1[[#This Row],[price_mkt_ask]]*Table1[[#This Row],[adj scalar]]</f>
        <v>62875.47325399999</v>
      </c>
    </row>
    <row r="77" spans="1:9" x14ac:dyDescent="0.25">
      <c r="A77" t="s">
        <v>9</v>
      </c>
      <c r="B77" s="4">
        <v>36.29</v>
      </c>
      <c r="C77" s="4">
        <v>36.299999999999997</v>
      </c>
      <c r="D77" t="s">
        <v>21</v>
      </c>
      <c r="E77" s="6">
        <v>1730.0288</v>
      </c>
      <c r="F77" s="6">
        <f t="shared" ref="F77:F140" si="1">F67</f>
        <v>-0.2</v>
      </c>
      <c r="G77" s="6">
        <f>Table1[[#This Row],[scalar]]-Table1[[#This Row],[adj]]</f>
        <v>1730.2288000000001</v>
      </c>
      <c r="H77" s="4">
        <f>Table1[[#This Row],[price_mkt_bid]]*Table1[[#This Row],[adj scalar]]</f>
        <v>62790.003152000005</v>
      </c>
      <c r="I77" s="4">
        <f>Table1[[#This Row],[price_mkt_ask]]*Table1[[#This Row],[adj scalar]]</f>
        <v>62807.305439999996</v>
      </c>
    </row>
    <row r="78" spans="1:9" x14ac:dyDescent="0.25">
      <c r="A78" t="s">
        <v>10</v>
      </c>
      <c r="B78" s="4">
        <v>54.65</v>
      </c>
      <c r="C78" s="4">
        <v>54.66</v>
      </c>
      <c r="D78" t="s">
        <v>21</v>
      </c>
      <c r="E78" s="6">
        <v>1148.7663</v>
      </c>
      <c r="F78" s="6">
        <f t="shared" si="1"/>
        <v>0.05</v>
      </c>
      <c r="G78" s="6">
        <f>Table1[[#This Row],[scalar]]-Table1[[#This Row],[adj]]</f>
        <v>1148.7163</v>
      </c>
      <c r="H78" s="4">
        <f>Table1[[#This Row],[price_mkt_bid]]*Table1[[#This Row],[adj scalar]]</f>
        <v>62777.345795000001</v>
      </c>
      <c r="I78" s="4">
        <f>Table1[[#This Row],[price_mkt_ask]]*Table1[[#This Row],[adj scalar]]</f>
        <v>62788.832957999999</v>
      </c>
    </row>
    <row r="79" spans="1:9" x14ac:dyDescent="0.25">
      <c r="A79" t="s">
        <v>11</v>
      </c>
      <c r="B79" s="4">
        <v>48.72</v>
      </c>
      <c r="C79" s="4">
        <v>48.73</v>
      </c>
      <c r="D79" t="s">
        <v>21</v>
      </c>
      <c r="E79" s="6">
        <v>1288.4784999999999</v>
      </c>
      <c r="F79" s="6">
        <f t="shared" si="1"/>
        <v>-0.05</v>
      </c>
      <c r="G79" s="6">
        <f>Table1[[#This Row],[scalar]]-Table1[[#This Row],[adj]]</f>
        <v>1288.5284999999999</v>
      </c>
      <c r="H79" s="4">
        <f>Table1[[#This Row],[price_mkt_bid]]*Table1[[#This Row],[adj scalar]]</f>
        <v>62777.108519999994</v>
      </c>
      <c r="I79" s="4">
        <f>Table1[[#This Row],[price_mkt_ask]]*Table1[[#This Row],[adj scalar]]</f>
        <v>62789.993804999991</v>
      </c>
    </row>
    <row r="80" spans="1:9" x14ac:dyDescent="0.25">
      <c r="A80" t="s">
        <v>12</v>
      </c>
      <c r="B80" s="4">
        <v>17.760000000000002</v>
      </c>
      <c r="C80" s="4">
        <v>17.77</v>
      </c>
      <c r="D80" t="s">
        <v>21</v>
      </c>
      <c r="E80" s="6">
        <v>3535.8029000000001</v>
      </c>
      <c r="F80" s="6">
        <f t="shared" si="1"/>
        <v>0</v>
      </c>
      <c r="G80" s="6">
        <f>Table1[[#This Row],[scalar]]-Table1[[#This Row],[adj]]</f>
        <v>3535.8029000000001</v>
      </c>
      <c r="H80" s="4">
        <f>Table1[[#This Row],[price_mkt_bid]]*Table1[[#This Row],[adj scalar]]</f>
        <v>62795.859504000007</v>
      </c>
      <c r="I80" s="4">
        <f>Table1[[#This Row],[price_mkt_ask]]*Table1[[#This Row],[adj scalar]]</f>
        <v>62831.217533000003</v>
      </c>
    </row>
    <row r="81" spans="1:9" x14ac:dyDescent="0.25">
      <c r="A81" t="s">
        <v>13</v>
      </c>
      <c r="B81" s="4">
        <v>35.57</v>
      </c>
      <c r="C81" s="4">
        <v>35.58</v>
      </c>
      <c r="D81" t="s">
        <v>21</v>
      </c>
      <c r="E81" s="6">
        <v>1764.9262000000001</v>
      </c>
      <c r="F81" s="6">
        <f t="shared" si="1"/>
        <v>0</v>
      </c>
      <c r="G81" s="6">
        <f>Table1[[#This Row],[scalar]]-Table1[[#This Row],[adj]]</f>
        <v>1764.9262000000001</v>
      </c>
      <c r="H81" s="4">
        <f>Table1[[#This Row],[price_mkt_bid]]*Table1[[#This Row],[adj scalar]]</f>
        <v>62778.424934000002</v>
      </c>
      <c r="I81" s="4">
        <f>Table1[[#This Row],[price_mkt_ask]]*Table1[[#This Row],[adj scalar]]</f>
        <v>62796.074196000001</v>
      </c>
    </row>
    <row r="82" spans="1:9" x14ac:dyDescent="0.25">
      <c r="A82" t="s">
        <v>4</v>
      </c>
      <c r="B82" s="4">
        <v>20.75</v>
      </c>
      <c r="C82" s="4">
        <v>20.76</v>
      </c>
      <c r="D82" t="s">
        <v>22</v>
      </c>
      <c r="E82" s="6">
        <v>3014.7584999999999</v>
      </c>
      <c r="F82" s="6">
        <f t="shared" si="1"/>
        <v>-0.1</v>
      </c>
      <c r="G82" s="6">
        <f>Table1[[#This Row],[scalar]]-Table1[[#This Row],[adj]]</f>
        <v>3014.8584999999998</v>
      </c>
      <c r="H82" s="4">
        <f>Table1[[#This Row],[price_mkt_bid]]*Table1[[#This Row],[adj scalar]]</f>
        <v>62558.313875</v>
      </c>
      <c r="I82" s="4">
        <f>Table1[[#This Row],[price_mkt_ask]]*Table1[[#This Row],[adj scalar]]</f>
        <v>62588.462460000002</v>
      </c>
    </row>
    <row r="83" spans="1:9" x14ac:dyDescent="0.25">
      <c r="A83" t="s">
        <v>5</v>
      </c>
      <c r="B83" s="4">
        <v>33.97</v>
      </c>
      <c r="C83" s="4">
        <v>33.979999999999997</v>
      </c>
      <c r="D83" t="s">
        <v>22</v>
      </c>
      <c r="E83" s="6">
        <f>1841.9994-0.2393</f>
        <v>1841.7601</v>
      </c>
      <c r="F83" s="6">
        <f t="shared" si="1"/>
        <v>0.1</v>
      </c>
      <c r="G83" s="6">
        <f>Table1[[#This Row],[scalar]]-Table1[[#This Row],[adj]]</f>
        <v>1841.6601000000001</v>
      </c>
      <c r="H83" s="4">
        <f>Table1[[#This Row],[price_mkt_bid]]*Table1[[#This Row],[adj scalar]]</f>
        <v>62561.193596999998</v>
      </c>
      <c r="I83" s="4">
        <f>Table1[[#This Row],[price_mkt_ask]]*Table1[[#This Row],[adj scalar]]</f>
        <v>62579.610197999995</v>
      </c>
    </row>
    <row r="84" spans="1:9" x14ac:dyDescent="0.25">
      <c r="A84" t="s">
        <v>6</v>
      </c>
      <c r="B84" s="4">
        <v>17.64</v>
      </c>
      <c r="C84" s="4">
        <v>17.649999999999999</v>
      </c>
      <c r="D84" t="s">
        <v>22</v>
      </c>
      <c r="E84" s="6">
        <v>3546.3341999999998</v>
      </c>
      <c r="F84" s="6">
        <f t="shared" si="1"/>
        <v>0</v>
      </c>
      <c r="G84" s="6">
        <f>Table1[[#This Row],[scalar]]-Table1[[#This Row],[adj]]</f>
        <v>3546.3341999999998</v>
      </c>
      <c r="H84" s="4">
        <f>Table1[[#This Row],[price_mkt_bid]]*Table1[[#This Row],[adj scalar]]</f>
        <v>62557.335287999995</v>
      </c>
      <c r="I84" s="4">
        <f>Table1[[#This Row],[price_mkt_ask]]*Table1[[#This Row],[adj scalar]]</f>
        <v>62592.79862999999</v>
      </c>
    </row>
    <row r="85" spans="1:9" x14ac:dyDescent="0.25">
      <c r="A85" t="s">
        <v>7</v>
      </c>
      <c r="B85" s="4">
        <v>27.67</v>
      </c>
      <c r="C85" s="4">
        <v>27.68</v>
      </c>
      <c r="D85" t="s">
        <v>22</v>
      </c>
      <c r="E85" s="6">
        <f>2261.2393-0.03</f>
        <v>2261.2093</v>
      </c>
      <c r="F85" s="6">
        <f t="shared" si="1"/>
        <v>0.2</v>
      </c>
      <c r="G85" s="6">
        <f>Table1[[#This Row],[scalar]]-Table1[[#This Row],[adj]]</f>
        <v>2261.0093000000002</v>
      </c>
      <c r="H85" s="4">
        <f>Table1[[#This Row],[price_mkt_bid]]*Table1[[#This Row],[adj scalar]]</f>
        <v>62562.127331000011</v>
      </c>
      <c r="I85" s="4">
        <f>Table1[[#This Row],[price_mkt_ask]]*Table1[[#This Row],[adj scalar]]</f>
        <v>62584.737424000006</v>
      </c>
    </row>
    <row r="86" spans="1:9" x14ac:dyDescent="0.25">
      <c r="A86" t="s">
        <v>8</v>
      </c>
      <c r="B86" s="4">
        <v>66.099999999999994</v>
      </c>
      <c r="C86" s="4">
        <v>66.209999999999994</v>
      </c>
      <c r="D86" t="s">
        <v>22</v>
      </c>
      <c r="E86" s="6">
        <v>946.06489999999997</v>
      </c>
      <c r="F86" s="6">
        <f t="shared" si="1"/>
        <v>0</v>
      </c>
      <c r="G86" s="6">
        <f>Table1[[#This Row],[scalar]]-Table1[[#This Row],[adj]]</f>
        <v>946.06489999999997</v>
      </c>
      <c r="H86" s="4">
        <f>Table1[[#This Row],[price_mkt_bid]]*Table1[[#This Row],[adj scalar]]</f>
        <v>62534.889889999991</v>
      </c>
      <c r="I86" s="4">
        <f>Table1[[#This Row],[price_mkt_ask]]*Table1[[#This Row],[adj scalar]]</f>
        <v>62638.95702899999</v>
      </c>
    </row>
    <row r="87" spans="1:9" x14ac:dyDescent="0.25">
      <c r="A87" t="s">
        <v>9</v>
      </c>
      <c r="B87" s="4">
        <v>36.15</v>
      </c>
      <c r="C87" s="4">
        <v>36.17</v>
      </c>
      <c r="D87" t="s">
        <v>22</v>
      </c>
      <c r="E87" s="6">
        <v>1730.0288</v>
      </c>
      <c r="F87" s="6">
        <f t="shared" si="1"/>
        <v>-0.2</v>
      </c>
      <c r="G87" s="6">
        <f>Table1[[#This Row],[scalar]]-Table1[[#This Row],[adj]]</f>
        <v>1730.2288000000001</v>
      </c>
      <c r="H87" s="4">
        <f>Table1[[#This Row],[price_mkt_bid]]*Table1[[#This Row],[adj scalar]]</f>
        <v>62547.771119999998</v>
      </c>
      <c r="I87" s="4">
        <f>Table1[[#This Row],[price_mkt_ask]]*Table1[[#This Row],[adj scalar]]</f>
        <v>62582.375696000003</v>
      </c>
    </row>
    <row r="88" spans="1:9" x14ac:dyDescent="0.25">
      <c r="A88" t="s">
        <v>10</v>
      </c>
      <c r="B88" s="4">
        <v>54.47</v>
      </c>
      <c r="C88" s="4">
        <v>54.48</v>
      </c>
      <c r="D88" t="s">
        <v>22</v>
      </c>
      <c r="E88" s="6">
        <v>1148.7663</v>
      </c>
      <c r="F88" s="6">
        <f t="shared" si="1"/>
        <v>0.05</v>
      </c>
      <c r="G88" s="6">
        <f>Table1[[#This Row],[scalar]]-Table1[[#This Row],[adj]]</f>
        <v>1148.7163</v>
      </c>
      <c r="H88" s="4">
        <f>Table1[[#This Row],[price_mkt_bid]]*Table1[[#This Row],[adj scalar]]</f>
        <v>62570.576861000001</v>
      </c>
      <c r="I88" s="4">
        <f>Table1[[#This Row],[price_mkt_ask]]*Table1[[#This Row],[adj scalar]]</f>
        <v>62582.064023999999</v>
      </c>
    </row>
    <row r="89" spans="1:9" x14ac:dyDescent="0.25">
      <c r="A89" t="s">
        <v>11</v>
      </c>
      <c r="B89" s="4">
        <v>48.55</v>
      </c>
      <c r="C89" s="4">
        <v>48.56</v>
      </c>
      <c r="D89" t="s">
        <v>22</v>
      </c>
      <c r="E89" s="6">
        <v>1288.4784999999999</v>
      </c>
      <c r="F89" s="6">
        <f t="shared" si="1"/>
        <v>-0.05</v>
      </c>
      <c r="G89" s="6">
        <f>Table1[[#This Row],[scalar]]-Table1[[#This Row],[adj]]</f>
        <v>1288.5284999999999</v>
      </c>
      <c r="H89" s="4">
        <f>Table1[[#This Row],[price_mkt_bid]]*Table1[[#This Row],[adj scalar]]</f>
        <v>62558.058674999993</v>
      </c>
      <c r="I89" s="4">
        <f>Table1[[#This Row],[price_mkt_ask]]*Table1[[#This Row],[adj scalar]]</f>
        <v>62570.943959999997</v>
      </c>
    </row>
    <row r="90" spans="1:9" x14ac:dyDescent="0.25">
      <c r="A90" t="s">
        <v>12</v>
      </c>
      <c r="B90" s="4">
        <v>17.690000000000001</v>
      </c>
      <c r="C90" s="4">
        <v>17.7</v>
      </c>
      <c r="D90" t="s">
        <v>22</v>
      </c>
      <c r="E90" s="6">
        <v>3535.8029000000001</v>
      </c>
      <c r="F90" s="6">
        <f t="shared" si="1"/>
        <v>0</v>
      </c>
      <c r="G90" s="6">
        <f>Table1[[#This Row],[scalar]]-Table1[[#This Row],[adj]]</f>
        <v>3535.8029000000001</v>
      </c>
      <c r="H90" s="4">
        <f>Table1[[#This Row],[price_mkt_bid]]*Table1[[#This Row],[adj scalar]]</f>
        <v>62548.35330100001</v>
      </c>
      <c r="I90" s="4">
        <f>Table1[[#This Row],[price_mkt_ask]]*Table1[[#This Row],[adj scalar]]</f>
        <v>62583.711329999998</v>
      </c>
    </row>
    <row r="91" spans="1:9" x14ac:dyDescent="0.25">
      <c r="A91" t="s">
        <v>13</v>
      </c>
      <c r="B91" s="4">
        <v>35.44</v>
      </c>
      <c r="C91" s="4">
        <v>35.450000000000003</v>
      </c>
      <c r="D91" t="s">
        <v>22</v>
      </c>
      <c r="E91" s="6">
        <v>1764.9262000000001</v>
      </c>
      <c r="F91" s="6">
        <f t="shared" si="1"/>
        <v>0</v>
      </c>
      <c r="G91" s="6">
        <f>Table1[[#This Row],[scalar]]-Table1[[#This Row],[adj]]</f>
        <v>1764.9262000000001</v>
      </c>
      <c r="H91" s="4">
        <f>Table1[[#This Row],[price_mkt_bid]]*Table1[[#This Row],[adj scalar]]</f>
        <v>62548.984528000001</v>
      </c>
      <c r="I91" s="4">
        <f>Table1[[#This Row],[price_mkt_ask]]*Table1[[#This Row],[adj scalar]]</f>
        <v>62566.633790000007</v>
      </c>
    </row>
    <row r="92" spans="1:9" x14ac:dyDescent="0.25">
      <c r="A92" t="s">
        <v>4</v>
      </c>
      <c r="B92" s="4">
        <v>20.78</v>
      </c>
      <c r="C92" s="4">
        <v>20.79</v>
      </c>
      <c r="D92" t="s">
        <v>23</v>
      </c>
      <c r="E92" s="6">
        <v>3014.7584999999999</v>
      </c>
      <c r="F92" s="6">
        <f t="shared" si="1"/>
        <v>-0.1</v>
      </c>
      <c r="G92" s="6">
        <f>Table1[[#This Row],[scalar]]-Table1[[#This Row],[adj]]</f>
        <v>3014.8584999999998</v>
      </c>
      <c r="H92" s="4">
        <f>Table1[[#This Row],[price_mkt_bid]]*Table1[[#This Row],[adj scalar]]</f>
        <v>62648.75963</v>
      </c>
      <c r="I92" s="4">
        <f>Table1[[#This Row],[price_mkt_ask]]*Table1[[#This Row],[adj scalar]]</f>
        <v>62678.908214999996</v>
      </c>
    </row>
    <row r="93" spans="1:9" x14ac:dyDescent="0.25">
      <c r="A93" t="s">
        <v>5</v>
      </c>
      <c r="B93" s="4">
        <v>34.01</v>
      </c>
      <c r="C93" s="4">
        <v>34.020000000000003</v>
      </c>
      <c r="D93" t="s">
        <v>23</v>
      </c>
      <c r="E93" s="6">
        <f>1841.9994-0.2393</f>
        <v>1841.7601</v>
      </c>
      <c r="F93" s="6">
        <f t="shared" si="1"/>
        <v>0.1</v>
      </c>
      <c r="G93" s="6">
        <f>Table1[[#This Row],[scalar]]-Table1[[#This Row],[adj]]</f>
        <v>1841.6601000000001</v>
      </c>
      <c r="H93" s="4">
        <f>Table1[[#This Row],[price_mkt_bid]]*Table1[[#This Row],[adj scalar]]</f>
        <v>62634.860001000001</v>
      </c>
      <c r="I93" s="4">
        <f>Table1[[#This Row],[price_mkt_ask]]*Table1[[#This Row],[adj scalar]]</f>
        <v>62653.276602000005</v>
      </c>
    </row>
    <row r="94" spans="1:9" x14ac:dyDescent="0.25">
      <c r="A94" t="s">
        <v>6</v>
      </c>
      <c r="B94" s="4">
        <v>17.66</v>
      </c>
      <c r="C94" s="4">
        <v>17.670000000000002</v>
      </c>
      <c r="D94" t="s">
        <v>23</v>
      </c>
      <c r="E94" s="6">
        <v>3546.3341999999998</v>
      </c>
      <c r="F94" s="6">
        <f t="shared" si="1"/>
        <v>0</v>
      </c>
      <c r="G94" s="6">
        <f>Table1[[#This Row],[scalar]]-Table1[[#This Row],[adj]]</f>
        <v>3546.3341999999998</v>
      </c>
      <c r="H94" s="4">
        <f>Table1[[#This Row],[price_mkt_bid]]*Table1[[#This Row],[adj scalar]]</f>
        <v>62628.261972</v>
      </c>
      <c r="I94" s="4">
        <f>Table1[[#This Row],[price_mkt_ask]]*Table1[[#This Row],[adj scalar]]</f>
        <v>62663.725314000003</v>
      </c>
    </row>
    <row r="95" spans="1:9" x14ac:dyDescent="0.25">
      <c r="A95" t="s">
        <v>7</v>
      </c>
      <c r="B95" s="4">
        <v>27.71</v>
      </c>
      <c r="C95" s="4">
        <v>27.72</v>
      </c>
      <c r="D95" t="s">
        <v>23</v>
      </c>
      <c r="E95" s="6">
        <f>2261.2393-0.03</f>
        <v>2261.2093</v>
      </c>
      <c r="F95" s="6">
        <f t="shared" si="1"/>
        <v>0.2</v>
      </c>
      <c r="G95" s="6">
        <f>Table1[[#This Row],[scalar]]-Table1[[#This Row],[adj]]</f>
        <v>2261.0093000000002</v>
      </c>
      <c r="H95" s="4">
        <f>Table1[[#This Row],[price_mkt_bid]]*Table1[[#This Row],[adj scalar]]</f>
        <v>62652.567703000008</v>
      </c>
      <c r="I95" s="4">
        <f>Table1[[#This Row],[price_mkt_ask]]*Table1[[#This Row],[adj scalar]]</f>
        <v>62675.177796000004</v>
      </c>
    </row>
    <row r="96" spans="1:9" x14ac:dyDescent="0.25">
      <c r="A96" t="s">
        <v>8</v>
      </c>
      <c r="B96" s="4">
        <v>66.22</v>
      </c>
      <c r="C96" s="4">
        <v>66.34</v>
      </c>
      <c r="D96" t="s">
        <v>23</v>
      </c>
      <c r="E96" s="6">
        <v>946.06489999999997</v>
      </c>
      <c r="F96" s="6">
        <f t="shared" si="1"/>
        <v>0</v>
      </c>
      <c r="G96" s="6">
        <f>Table1[[#This Row],[scalar]]-Table1[[#This Row],[adj]]</f>
        <v>946.06489999999997</v>
      </c>
      <c r="H96" s="4">
        <f>Table1[[#This Row],[price_mkt_bid]]*Table1[[#This Row],[adj scalar]]</f>
        <v>62648.417677999998</v>
      </c>
      <c r="I96" s="4">
        <f>Table1[[#This Row],[price_mkt_ask]]*Table1[[#This Row],[adj scalar]]</f>
        <v>62761.945465999997</v>
      </c>
    </row>
    <row r="97" spans="1:9" x14ac:dyDescent="0.25">
      <c r="A97" t="s">
        <v>9</v>
      </c>
      <c r="B97" s="4">
        <v>36.21</v>
      </c>
      <c r="C97" s="4">
        <v>36.22</v>
      </c>
      <c r="D97" t="s">
        <v>23</v>
      </c>
      <c r="E97" s="6">
        <v>1730.0288</v>
      </c>
      <c r="F97" s="6">
        <f t="shared" si="1"/>
        <v>-0.2</v>
      </c>
      <c r="G97" s="6">
        <f>Table1[[#This Row],[scalar]]-Table1[[#This Row],[adj]]</f>
        <v>1730.2288000000001</v>
      </c>
      <c r="H97" s="4">
        <f>Table1[[#This Row],[price_mkt_bid]]*Table1[[#This Row],[adj scalar]]</f>
        <v>62651.584848000006</v>
      </c>
      <c r="I97" s="4">
        <f>Table1[[#This Row],[price_mkt_ask]]*Table1[[#This Row],[adj scalar]]</f>
        <v>62668.887136000005</v>
      </c>
    </row>
    <row r="98" spans="1:9" x14ac:dyDescent="0.25">
      <c r="A98" t="s">
        <v>10</v>
      </c>
      <c r="B98" s="4">
        <v>54.54</v>
      </c>
      <c r="C98" s="4">
        <v>54.55</v>
      </c>
      <c r="D98" t="s">
        <v>23</v>
      </c>
      <c r="E98" s="6">
        <v>1148.7663</v>
      </c>
      <c r="F98" s="6">
        <f t="shared" si="1"/>
        <v>0.05</v>
      </c>
      <c r="G98" s="6">
        <f>Table1[[#This Row],[scalar]]-Table1[[#This Row],[adj]]</f>
        <v>1148.7163</v>
      </c>
      <c r="H98" s="4">
        <f>Table1[[#This Row],[price_mkt_bid]]*Table1[[#This Row],[adj scalar]]</f>
        <v>62650.987002000002</v>
      </c>
      <c r="I98" s="4">
        <f>Table1[[#This Row],[price_mkt_ask]]*Table1[[#This Row],[adj scalar]]</f>
        <v>62662.474165</v>
      </c>
    </row>
    <row r="99" spans="1:9" x14ac:dyDescent="0.25">
      <c r="A99" t="s">
        <v>11</v>
      </c>
      <c r="B99" s="4">
        <v>48.62</v>
      </c>
      <c r="C99" s="4">
        <v>48.63</v>
      </c>
      <c r="D99" t="s">
        <v>23</v>
      </c>
      <c r="E99" s="6">
        <v>1288.4784999999999</v>
      </c>
      <c r="F99" s="6">
        <f t="shared" si="1"/>
        <v>-0.05</v>
      </c>
      <c r="G99" s="6">
        <f>Table1[[#This Row],[scalar]]-Table1[[#This Row],[adj]]</f>
        <v>1288.5284999999999</v>
      </c>
      <c r="H99" s="4">
        <f>Table1[[#This Row],[price_mkt_bid]]*Table1[[#This Row],[adj scalar]]</f>
        <v>62648.255669999991</v>
      </c>
      <c r="I99" s="4">
        <f>Table1[[#This Row],[price_mkt_ask]]*Table1[[#This Row],[adj scalar]]</f>
        <v>62661.140954999995</v>
      </c>
    </row>
    <row r="100" spans="1:9" x14ac:dyDescent="0.25">
      <c r="A100" t="s">
        <v>12</v>
      </c>
      <c r="B100" s="4">
        <v>17.72</v>
      </c>
      <c r="C100" s="4">
        <v>17.73</v>
      </c>
      <c r="D100" t="s">
        <v>23</v>
      </c>
      <c r="E100" s="6">
        <v>3535.8029000000001</v>
      </c>
      <c r="F100" s="6">
        <f t="shared" si="1"/>
        <v>0</v>
      </c>
      <c r="G100" s="6">
        <f>Table1[[#This Row],[scalar]]-Table1[[#This Row],[adj]]</f>
        <v>3535.8029000000001</v>
      </c>
      <c r="H100" s="4">
        <f>Table1[[#This Row],[price_mkt_bid]]*Table1[[#This Row],[adj scalar]]</f>
        <v>62654.427387999996</v>
      </c>
      <c r="I100" s="4">
        <f>Table1[[#This Row],[price_mkt_ask]]*Table1[[#This Row],[adj scalar]]</f>
        <v>62689.785417000006</v>
      </c>
    </row>
    <row r="101" spans="1:9" x14ac:dyDescent="0.25">
      <c r="A101" t="s">
        <v>13</v>
      </c>
      <c r="B101" s="4">
        <v>35.49</v>
      </c>
      <c r="C101" s="4">
        <v>35.5</v>
      </c>
      <c r="D101" t="s">
        <v>23</v>
      </c>
      <c r="E101" s="6">
        <v>1764.9262000000001</v>
      </c>
      <c r="F101" s="6">
        <f t="shared" si="1"/>
        <v>0</v>
      </c>
      <c r="G101" s="6">
        <f>Table1[[#This Row],[scalar]]-Table1[[#This Row],[adj]]</f>
        <v>1764.9262000000001</v>
      </c>
      <c r="H101" s="4">
        <f>Table1[[#This Row],[price_mkt_bid]]*Table1[[#This Row],[adj scalar]]</f>
        <v>62637.23083800001</v>
      </c>
      <c r="I101" s="4">
        <f>Table1[[#This Row],[price_mkt_ask]]*Table1[[#This Row],[adj scalar]]</f>
        <v>62654.880100000002</v>
      </c>
    </row>
    <row r="102" spans="1:9" x14ac:dyDescent="0.25">
      <c r="A102" t="s">
        <v>4</v>
      </c>
      <c r="B102" s="4">
        <v>20.72</v>
      </c>
      <c r="C102" s="4">
        <v>20.73</v>
      </c>
      <c r="D102" t="s">
        <v>24</v>
      </c>
      <c r="E102" s="6">
        <v>3014.7584999999999</v>
      </c>
      <c r="F102" s="6">
        <f t="shared" si="1"/>
        <v>-0.1</v>
      </c>
      <c r="G102" s="6">
        <f>Table1[[#This Row],[scalar]]-Table1[[#This Row],[adj]]</f>
        <v>3014.8584999999998</v>
      </c>
      <c r="H102" s="4">
        <f>Table1[[#This Row],[price_mkt_bid]]*Table1[[#This Row],[adj scalar]]</f>
        <v>62467.868119999992</v>
      </c>
      <c r="I102" s="4">
        <f>Table1[[#This Row],[price_mkt_ask]]*Table1[[#This Row],[adj scalar]]</f>
        <v>62498.016704999995</v>
      </c>
    </row>
    <row r="103" spans="1:9" x14ac:dyDescent="0.25">
      <c r="A103" t="s">
        <v>5</v>
      </c>
      <c r="B103" s="4">
        <v>33.92</v>
      </c>
      <c r="C103" s="4">
        <v>33.93</v>
      </c>
      <c r="D103" t="s">
        <v>24</v>
      </c>
      <c r="E103" s="6">
        <f>1841.9994-0.2393</f>
        <v>1841.7601</v>
      </c>
      <c r="F103" s="6">
        <f t="shared" si="1"/>
        <v>0.1</v>
      </c>
      <c r="G103" s="6">
        <f>Table1[[#This Row],[scalar]]-Table1[[#This Row],[adj]]</f>
        <v>1841.6601000000001</v>
      </c>
      <c r="H103" s="4">
        <f>Table1[[#This Row],[price_mkt_bid]]*Table1[[#This Row],[adj scalar]]</f>
        <v>62469.110592000005</v>
      </c>
      <c r="I103" s="4">
        <f>Table1[[#This Row],[price_mkt_ask]]*Table1[[#This Row],[adj scalar]]</f>
        <v>62487.527193000002</v>
      </c>
    </row>
    <row r="104" spans="1:9" x14ac:dyDescent="0.25">
      <c r="A104" t="s">
        <v>6</v>
      </c>
      <c r="B104" s="4">
        <v>17.62</v>
      </c>
      <c r="C104" s="4">
        <v>17.63</v>
      </c>
      <c r="D104" t="s">
        <v>24</v>
      </c>
      <c r="E104" s="6">
        <v>3546.3341999999998</v>
      </c>
      <c r="F104" s="6">
        <f t="shared" si="1"/>
        <v>0</v>
      </c>
      <c r="G104" s="6">
        <f>Table1[[#This Row],[scalar]]-Table1[[#This Row],[adj]]</f>
        <v>3546.3341999999998</v>
      </c>
      <c r="H104" s="4">
        <f>Table1[[#This Row],[price_mkt_bid]]*Table1[[#This Row],[adj scalar]]</f>
        <v>62486.408603999997</v>
      </c>
      <c r="I104" s="4">
        <f>Table1[[#This Row],[price_mkt_ask]]*Table1[[#This Row],[adj scalar]]</f>
        <v>62521.871945999992</v>
      </c>
    </row>
    <row r="105" spans="1:9" x14ac:dyDescent="0.25">
      <c r="A105" t="s">
        <v>7</v>
      </c>
      <c r="B105" s="4">
        <v>27.63</v>
      </c>
      <c r="C105" s="4">
        <v>27.64</v>
      </c>
      <c r="D105" t="s">
        <v>24</v>
      </c>
      <c r="E105" s="6">
        <f>2261.2393-0.03</f>
        <v>2261.2093</v>
      </c>
      <c r="F105" s="6">
        <f t="shared" si="1"/>
        <v>0.2</v>
      </c>
      <c r="G105" s="6">
        <f>Table1[[#This Row],[scalar]]-Table1[[#This Row],[adj]]</f>
        <v>2261.0093000000002</v>
      </c>
      <c r="H105" s="4">
        <f>Table1[[#This Row],[price_mkt_bid]]*Table1[[#This Row],[adj scalar]]</f>
        <v>62471.686958999999</v>
      </c>
      <c r="I105" s="4">
        <f>Table1[[#This Row],[price_mkt_ask]]*Table1[[#This Row],[adj scalar]]</f>
        <v>62494.297052000009</v>
      </c>
    </row>
    <row r="106" spans="1:9" x14ac:dyDescent="0.25">
      <c r="A106" t="s">
        <v>8</v>
      </c>
      <c r="B106" s="4">
        <v>66.040000000000006</v>
      </c>
      <c r="C106" s="4">
        <v>66.12</v>
      </c>
      <c r="D106" t="s">
        <v>24</v>
      </c>
      <c r="E106" s="6">
        <v>946.06489999999997</v>
      </c>
      <c r="F106" s="6">
        <f t="shared" si="1"/>
        <v>0</v>
      </c>
      <c r="G106" s="6">
        <f>Table1[[#This Row],[scalar]]-Table1[[#This Row],[adj]]</f>
        <v>946.06489999999997</v>
      </c>
      <c r="H106" s="4">
        <f>Table1[[#This Row],[price_mkt_bid]]*Table1[[#This Row],[adj scalar]]</f>
        <v>62478.125996000002</v>
      </c>
      <c r="I106" s="4">
        <f>Table1[[#This Row],[price_mkt_ask]]*Table1[[#This Row],[adj scalar]]</f>
        <v>62553.811188</v>
      </c>
    </row>
    <row r="107" spans="1:9" x14ac:dyDescent="0.25">
      <c r="A107" t="s">
        <v>9</v>
      </c>
      <c r="B107" s="4">
        <v>36.1</v>
      </c>
      <c r="C107" s="4">
        <v>36.119999999999997</v>
      </c>
      <c r="D107" t="s">
        <v>24</v>
      </c>
      <c r="E107" s="6">
        <v>1730.0288</v>
      </c>
      <c r="F107" s="6">
        <f t="shared" si="1"/>
        <v>-0.2</v>
      </c>
      <c r="G107" s="6">
        <f>Table1[[#This Row],[scalar]]-Table1[[#This Row],[adj]]</f>
        <v>1730.2288000000001</v>
      </c>
      <c r="H107" s="4">
        <f>Table1[[#This Row],[price_mkt_bid]]*Table1[[#This Row],[adj scalar]]</f>
        <v>62461.259680000003</v>
      </c>
      <c r="I107" s="4">
        <f>Table1[[#This Row],[price_mkt_ask]]*Table1[[#This Row],[adj scalar]]</f>
        <v>62495.864256000001</v>
      </c>
    </row>
    <row r="108" spans="1:9" x14ac:dyDescent="0.25">
      <c r="A108" t="s">
        <v>10</v>
      </c>
      <c r="B108" s="4">
        <v>54.39</v>
      </c>
      <c r="C108" s="4">
        <v>54.4</v>
      </c>
      <c r="D108" t="s">
        <v>24</v>
      </c>
      <c r="E108" s="6">
        <v>1148.7663</v>
      </c>
      <c r="F108" s="6">
        <f t="shared" si="1"/>
        <v>0.05</v>
      </c>
      <c r="G108" s="6">
        <f>Table1[[#This Row],[scalar]]-Table1[[#This Row],[adj]]</f>
        <v>1148.7163</v>
      </c>
      <c r="H108" s="4">
        <f>Table1[[#This Row],[price_mkt_bid]]*Table1[[#This Row],[adj scalar]]</f>
        <v>62478.679557000003</v>
      </c>
      <c r="I108" s="4">
        <f>Table1[[#This Row],[price_mkt_ask]]*Table1[[#This Row],[adj scalar]]</f>
        <v>62490.166720000001</v>
      </c>
    </row>
    <row r="109" spans="1:9" x14ac:dyDescent="0.25">
      <c r="A109" t="s">
        <v>11</v>
      </c>
      <c r="B109" s="4">
        <v>48.49</v>
      </c>
      <c r="C109" s="4">
        <v>48.5</v>
      </c>
      <c r="D109" t="s">
        <v>24</v>
      </c>
      <c r="E109" s="6">
        <v>1288.4784999999999</v>
      </c>
      <c r="F109" s="6">
        <f t="shared" si="1"/>
        <v>-0.05</v>
      </c>
      <c r="G109" s="6">
        <f>Table1[[#This Row],[scalar]]-Table1[[#This Row],[adj]]</f>
        <v>1288.5284999999999</v>
      </c>
      <c r="H109" s="4">
        <f>Table1[[#This Row],[price_mkt_bid]]*Table1[[#This Row],[adj scalar]]</f>
        <v>62480.746964999998</v>
      </c>
      <c r="I109" s="4">
        <f>Table1[[#This Row],[price_mkt_ask]]*Table1[[#This Row],[adj scalar]]</f>
        <v>62493.632249999995</v>
      </c>
    </row>
    <row r="110" spans="1:9" x14ac:dyDescent="0.25">
      <c r="A110" t="s">
        <v>12</v>
      </c>
      <c r="B110" s="4">
        <v>17.670000000000002</v>
      </c>
      <c r="C110" s="4">
        <v>17.68</v>
      </c>
      <c r="D110" t="s">
        <v>24</v>
      </c>
      <c r="E110" s="6">
        <v>3535.8029000000001</v>
      </c>
      <c r="F110" s="6">
        <f t="shared" si="1"/>
        <v>0</v>
      </c>
      <c r="G110" s="6">
        <f>Table1[[#This Row],[scalar]]-Table1[[#This Row],[adj]]</f>
        <v>3535.8029000000001</v>
      </c>
      <c r="H110" s="4">
        <f>Table1[[#This Row],[price_mkt_bid]]*Table1[[#This Row],[adj scalar]]</f>
        <v>62477.637243000012</v>
      </c>
      <c r="I110" s="4">
        <f>Table1[[#This Row],[price_mkt_ask]]*Table1[[#This Row],[adj scalar]]</f>
        <v>62512.995272</v>
      </c>
    </row>
    <row r="111" spans="1:9" x14ac:dyDescent="0.25">
      <c r="A111" t="s">
        <v>13</v>
      </c>
      <c r="B111" s="4">
        <v>35.4</v>
      </c>
      <c r="C111" s="4">
        <v>35.409999999999997</v>
      </c>
      <c r="D111" t="s">
        <v>24</v>
      </c>
      <c r="E111" s="6">
        <v>1764.9262000000001</v>
      </c>
      <c r="F111" s="6">
        <f t="shared" si="1"/>
        <v>0</v>
      </c>
      <c r="G111" s="6">
        <f>Table1[[#This Row],[scalar]]-Table1[[#This Row],[adj]]</f>
        <v>1764.9262000000001</v>
      </c>
      <c r="H111" s="4">
        <f>Table1[[#This Row],[price_mkt_bid]]*Table1[[#This Row],[adj scalar]]</f>
        <v>62478.387480000005</v>
      </c>
      <c r="I111" s="4">
        <f>Table1[[#This Row],[price_mkt_ask]]*Table1[[#This Row],[adj scalar]]</f>
        <v>62496.036741999997</v>
      </c>
    </row>
    <row r="112" spans="1:9" x14ac:dyDescent="0.25">
      <c r="A112" t="s">
        <v>4</v>
      </c>
      <c r="B112" s="4">
        <v>20.77</v>
      </c>
      <c r="C112" s="4">
        <v>20.78</v>
      </c>
      <c r="D112" t="s">
        <v>25</v>
      </c>
      <c r="E112" s="6">
        <v>3014.7584999999999</v>
      </c>
      <c r="F112" s="6">
        <f t="shared" si="1"/>
        <v>-0.1</v>
      </c>
      <c r="G112" s="6">
        <f>Table1[[#This Row],[scalar]]-Table1[[#This Row],[adj]]</f>
        <v>3014.8584999999998</v>
      </c>
      <c r="H112" s="4">
        <f>Table1[[#This Row],[price_mkt_bid]]*Table1[[#This Row],[adj scalar]]</f>
        <v>62618.611044999998</v>
      </c>
      <c r="I112" s="4">
        <f>Table1[[#This Row],[price_mkt_ask]]*Table1[[#This Row],[adj scalar]]</f>
        <v>62648.75963</v>
      </c>
    </row>
    <row r="113" spans="1:9" x14ac:dyDescent="0.25">
      <c r="A113" t="s">
        <v>5</v>
      </c>
      <c r="B113" s="4">
        <v>33.99</v>
      </c>
      <c r="C113" s="4">
        <v>34</v>
      </c>
      <c r="D113" t="s">
        <v>25</v>
      </c>
      <c r="E113" s="6">
        <f>1841.9994-0.2393</f>
        <v>1841.7601</v>
      </c>
      <c r="F113" s="6">
        <f t="shared" si="1"/>
        <v>0.1</v>
      </c>
      <c r="G113" s="6">
        <f>Table1[[#This Row],[scalar]]-Table1[[#This Row],[adj]]</f>
        <v>1841.6601000000001</v>
      </c>
      <c r="H113" s="4">
        <f>Table1[[#This Row],[price_mkt_bid]]*Table1[[#This Row],[adj scalar]]</f>
        <v>62598.026799000007</v>
      </c>
      <c r="I113" s="4">
        <f>Table1[[#This Row],[price_mkt_ask]]*Table1[[#This Row],[adj scalar]]</f>
        <v>62616.443400000004</v>
      </c>
    </row>
    <row r="114" spans="1:9" x14ac:dyDescent="0.25">
      <c r="A114" t="s">
        <v>6</v>
      </c>
      <c r="B114" s="4">
        <v>17.649999999999999</v>
      </c>
      <c r="C114" s="4">
        <v>17.66</v>
      </c>
      <c r="D114" t="s">
        <v>25</v>
      </c>
      <c r="E114" s="6">
        <v>3546.3341999999998</v>
      </c>
      <c r="F114" s="6">
        <f t="shared" si="1"/>
        <v>0</v>
      </c>
      <c r="G114" s="6">
        <f>Table1[[#This Row],[scalar]]-Table1[[#This Row],[adj]]</f>
        <v>3546.3341999999998</v>
      </c>
      <c r="H114" s="4">
        <f>Table1[[#This Row],[price_mkt_bid]]*Table1[[#This Row],[adj scalar]]</f>
        <v>62592.79862999999</v>
      </c>
      <c r="I114" s="4">
        <f>Table1[[#This Row],[price_mkt_ask]]*Table1[[#This Row],[adj scalar]]</f>
        <v>62628.261972</v>
      </c>
    </row>
    <row r="115" spans="1:9" x14ac:dyDescent="0.25">
      <c r="A115" t="s">
        <v>7</v>
      </c>
      <c r="B115" s="4">
        <v>27.69</v>
      </c>
      <c r="C115" s="4">
        <v>27.7</v>
      </c>
      <c r="D115" t="s">
        <v>25</v>
      </c>
      <c r="E115" s="6">
        <f>2261.2393-0.03</f>
        <v>2261.2093</v>
      </c>
      <c r="F115" s="6">
        <f t="shared" si="1"/>
        <v>0.2</v>
      </c>
      <c r="G115" s="6">
        <f>Table1[[#This Row],[scalar]]-Table1[[#This Row],[adj]]</f>
        <v>2261.0093000000002</v>
      </c>
      <c r="H115" s="4">
        <f>Table1[[#This Row],[price_mkt_bid]]*Table1[[#This Row],[adj scalar]]</f>
        <v>62607.347517000009</v>
      </c>
      <c r="I115" s="4">
        <f>Table1[[#This Row],[price_mkt_ask]]*Table1[[#This Row],[adj scalar]]</f>
        <v>62629.957610000005</v>
      </c>
    </row>
    <row r="116" spans="1:9" x14ac:dyDescent="0.25">
      <c r="A116" t="s">
        <v>8</v>
      </c>
      <c r="B116" s="4">
        <v>66.180000000000007</v>
      </c>
      <c r="C116" s="4">
        <v>66.260000000000005</v>
      </c>
      <c r="D116" t="s">
        <v>25</v>
      </c>
      <c r="E116" s="6">
        <v>946.06489999999997</v>
      </c>
      <c r="F116" s="6">
        <f t="shared" si="1"/>
        <v>0</v>
      </c>
      <c r="G116" s="6">
        <f>Table1[[#This Row],[scalar]]-Table1[[#This Row],[adj]]</f>
        <v>946.06489999999997</v>
      </c>
      <c r="H116" s="4">
        <f>Table1[[#This Row],[price_mkt_bid]]*Table1[[#This Row],[adj scalar]]</f>
        <v>62610.575082000003</v>
      </c>
      <c r="I116" s="4">
        <f>Table1[[#This Row],[price_mkt_ask]]*Table1[[#This Row],[adj scalar]]</f>
        <v>62686.260274</v>
      </c>
    </row>
    <row r="117" spans="1:9" x14ac:dyDescent="0.25">
      <c r="A117" t="s">
        <v>9</v>
      </c>
      <c r="B117" s="4">
        <v>36.18</v>
      </c>
      <c r="C117" s="4">
        <v>36.19</v>
      </c>
      <c r="D117" t="s">
        <v>25</v>
      </c>
      <c r="E117" s="6">
        <v>1730.0288</v>
      </c>
      <c r="F117" s="6">
        <f t="shared" si="1"/>
        <v>-0.2</v>
      </c>
      <c r="G117" s="6">
        <f>Table1[[#This Row],[scalar]]-Table1[[#This Row],[adj]]</f>
        <v>1730.2288000000001</v>
      </c>
      <c r="H117" s="4">
        <f>Table1[[#This Row],[price_mkt_bid]]*Table1[[#This Row],[adj scalar]]</f>
        <v>62599.677984000002</v>
      </c>
      <c r="I117" s="4">
        <f>Table1[[#This Row],[price_mkt_ask]]*Table1[[#This Row],[adj scalar]]</f>
        <v>62616.980272000001</v>
      </c>
    </row>
    <row r="118" spans="1:9" x14ac:dyDescent="0.25">
      <c r="A118" t="s">
        <v>10</v>
      </c>
      <c r="B118" s="4">
        <v>54.5</v>
      </c>
      <c r="C118" s="4">
        <v>54.51</v>
      </c>
      <c r="D118" t="s">
        <v>25</v>
      </c>
      <c r="E118" s="6">
        <v>1148.7663</v>
      </c>
      <c r="F118" s="6">
        <f t="shared" si="1"/>
        <v>0.05</v>
      </c>
      <c r="G118" s="6">
        <f>Table1[[#This Row],[scalar]]-Table1[[#This Row],[adj]]</f>
        <v>1148.7163</v>
      </c>
      <c r="H118" s="4">
        <f>Table1[[#This Row],[price_mkt_bid]]*Table1[[#This Row],[adj scalar]]</f>
        <v>62605.038350000003</v>
      </c>
      <c r="I118" s="4">
        <f>Table1[[#This Row],[price_mkt_ask]]*Table1[[#This Row],[adj scalar]]</f>
        <v>62616.525513000001</v>
      </c>
    </row>
    <row r="119" spans="1:9" x14ac:dyDescent="0.25">
      <c r="A119" t="s">
        <v>11</v>
      </c>
      <c r="B119" s="4">
        <v>48.59</v>
      </c>
      <c r="C119" s="4">
        <v>48.6</v>
      </c>
      <c r="D119" t="s">
        <v>25</v>
      </c>
      <c r="E119" s="6">
        <v>1288.4784999999999</v>
      </c>
      <c r="F119" s="6">
        <f t="shared" si="1"/>
        <v>-0.05</v>
      </c>
      <c r="G119" s="6">
        <f>Table1[[#This Row],[scalar]]-Table1[[#This Row],[adj]]</f>
        <v>1288.5284999999999</v>
      </c>
      <c r="H119" s="4">
        <f>Table1[[#This Row],[price_mkt_bid]]*Table1[[#This Row],[adj scalar]]</f>
        <v>62609.599815000001</v>
      </c>
      <c r="I119" s="4">
        <f>Table1[[#This Row],[price_mkt_ask]]*Table1[[#This Row],[adj scalar]]</f>
        <v>62622.485099999998</v>
      </c>
    </row>
    <row r="120" spans="1:9" x14ac:dyDescent="0.25">
      <c r="A120" t="s">
        <v>12</v>
      </c>
      <c r="B120" s="4">
        <v>17.7</v>
      </c>
      <c r="C120" s="4">
        <v>17.71</v>
      </c>
      <c r="D120" t="s">
        <v>25</v>
      </c>
      <c r="E120" s="6">
        <v>3535.8029000000001</v>
      </c>
      <c r="F120" s="6">
        <f t="shared" si="1"/>
        <v>0</v>
      </c>
      <c r="G120" s="6">
        <f>Table1[[#This Row],[scalar]]-Table1[[#This Row],[adj]]</f>
        <v>3535.8029000000001</v>
      </c>
      <c r="H120" s="4">
        <f>Table1[[#This Row],[price_mkt_bid]]*Table1[[#This Row],[adj scalar]]</f>
        <v>62583.711329999998</v>
      </c>
      <c r="I120" s="4">
        <f>Table1[[#This Row],[price_mkt_ask]]*Table1[[#This Row],[adj scalar]]</f>
        <v>62619.069359000008</v>
      </c>
    </row>
    <row r="121" spans="1:9" x14ac:dyDescent="0.25">
      <c r="A121" t="s">
        <v>13</v>
      </c>
      <c r="B121" s="4">
        <v>35.47</v>
      </c>
      <c r="C121" s="4">
        <v>35.479999999999997</v>
      </c>
      <c r="D121" t="s">
        <v>25</v>
      </c>
      <c r="E121" s="6">
        <v>1764.9262000000001</v>
      </c>
      <c r="F121" s="6">
        <f t="shared" si="1"/>
        <v>0</v>
      </c>
      <c r="G121" s="6">
        <f>Table1[[#This Row],[scalar]]-Table1[[#This Row],[adj]]</f>
        <v>1764.9262000000001</v>
      </c>
      <c r="H121" s="4">
        <f>Table1[[#This Row],[price_mkt_bid]]*Table1[[#This Row],[adj scalar]]</f>
        <v>62601.932314000005</v>
      </c>
      <c r="I121" s="4">
        <f>Table1[[#This Row],[price_mkt_ask]]*Table1[[#This Row],[adj scalar]]</f>
        <v>62619.581575999997</v>
      </c>
    </row>
    <row r="122" spans="1:9" x14ac:dyDescent="0.25">
      <c r="A122" t="s">
        <v>4</v>
      </c>
      <c r="B122" s="4">
        <v>20.73</v>
      </c>
      <c r="C122" s="4">
        <v>20.74</v>
      </c>
      <c r="D122" t="s">
        <v>26</v>
      </c>
      <c r="E122" s="6">
        <v>3014.7584999999999</v>
      </c>
      <c r="F122" s="6">
        <f t="shared" si="1"/>
        <v>-0.1</v>
      </c>
      <c r="G122" s="6">
        <f>Table1[[#This Row],[scalar]]-Table1[[#This Row],[adj]]</f>
        <v>3014.8584999999998</v>
      </c>
      <c r="H122" s="4">
        <f>Table1[[#This Row],[price_mkt_bid]]*Table1[[#This Row],[adj scalar]]</f>
        <v>62498.016704999995</v>
      </c>
      <c r="I122" s="4">
        <f>Table1[[#This Row],[price_mkt_ask]]*Table1[[#This Row],[adj scalar]]</f>
        <v>62528.16528999999</v>
      </c>
    </row>
    <row r="123" spans="1:9" x14ac:dyDescent="0.25">
      <c r="A123" t="s">
        <v>5</v>
      </c>
      <c r="B123" s="4">
        <v>33.93</v>
      </c>
      <c r="C123" s="4">
        <v>33.94</v>
      </c>
      <c r="D123" t="s">
        <v>26</v>
      </c>
      <c r="E123" s="6">
        <f>1841.9994-0.2393</f>
        <v>1841.7601</v>
      </c>
      <c r="F123" s="6">
        <f t="shared" si="1"/>
        <v>0.1</v>
      </c>
      <c r="G123" s="6">
        <f>Table1[[#This Row],[scalar]]-Table1[[#This Row],[adj]]</f>
        <v>1841.6601000000001</v>
      </c>
      <c r="H123" s="4">
        <f>Table1[[#This Row],[price_mkt_bid]]*Table1[[#This Row],[adj scalar]]</f>
        <v>62487.527193000002</v>
      </c>
      <c r="I123" s="4">
        <f>Table1[[#This Row],[price_mkt_ask]]*Table1[[#This Row],[adj scalar]]</f>
        <v>62505.943793999999</v>
      </c>
    </row>
    <row r="124" spans="1:9" x14ac:dyDescent="0.25">
      <c r="A124" t="s">
        <v>6</v>
      </c>
      <c r="B124" s="4">
        <v>17.62</v>
      </c>
      <c r="C124" s="4">
        <v>17.63</v>
      </c>
      <c r="D124" t="s">
        <v>26</v>
      </c>
      <c r="E124" s="6">
        <v>3546.3341999999998</v>
      </c>
      <c r="F124" s="6">
        <f t="shared" si="1"/>
        <v>0</v>
      </c>
      <c r="G124" s="6">
        <f>Table1[[#This Row],[scalar]]-Table1[[#This Row],[adj]]</f>
        <v>3546.3341999999998</v>
      </c>
      <c r="H124" s="4">
        <f>Table1[[#This Row],[price_mkt_bid]]*Table1[[#This Row],[adj scalar]]</f>
        <v>62486.408603999997</v>
      </c>
      <c r="I124" s="4">
        <f>Table1[[#This Row],[price_mkt_ask]]*Table1[[#This Row],[adj scalar]]</f>
        <v>62521.871945999992</v>
      </c>
    </row>
    <row r="125" spans="1:9" x14ac:dyDescent="0.25">
      <c r="A125" t="s">
        <v>7</v>
      </c>
      <c r="B125" s="4">
        <v>27.64</v>
      </c>
      <c r="C125" s="4">
        <v>27.65</v>
      </c>
      <c r="D125" t="s">
        <v>26</v>
      </c>
      <c r="E125" s="6">
        <f>2261.2393-0.03</f>
        <v>2261.2093</v>
      </c>
      <c r="F125" s="6">
        <f t="shared" si="1"/>
        <v>0.2</v>
      </c>
      <c r="G125" s="6">
        <f>Table1[[#This Row],[scalar]]-Table1[[#This Row],[adj]]</f>
        <v>2261.0093000000002</v>
      </c>
      <c r="H125" s="4">
        <f>Table1[[#This Row],[price_mkt_bid]]*Table1[[#This Row],[adj scalar]]</f>
        <v>62494.297052000009</v>
      </c>
      <c r="I125" s="4">
        <f>Table1[[#This Row],[price_mkt_ask]]*Table1[[#This Row],[adj scalar]]</f>
        <v>62516.907145000005</v>
      </c>
    </row>
    <row r="126" spans="1:9" x14ac:dyDescent="0.25">
      <c r="A126" t="s">
        <v>8</v>
      </c>
      <c r="B126" s="4">
        <v>66.040000000000006</v>
      </c>
      <c r="C126" s="4">
        <v>66.150000000000006</v>
      </c>
      <c r="D126" t="s">
        <v>26</v>
      </c>
      <c r="E126" s="6">
        <v>946.06489999999997</v>
      </c>
      <c r="F126" s="6">
        <f t="shared" si="1"/>
        <v>0</v>
      </c>
      <c r="G126" s="6">
        <f>Table1[[#This Row],[scalar]]-Table1[[#This Row],[adj]]</f>
        <v>946.06489999999997</v>
      </c>
      <c r="H126" s="4">
        <f>Table1[[#This Row],[price_mkt_bid]]*Table1[[#This Row],[adj scalar]]</f>
        <v>62478.125996000002</v>
      </c>
      <c r="I126" s="4">
        <f>Table1[[#This Row],[price_mkt_ask]]*Table1[[#This Row],[adj scalar]]</f>
        <v>62582.193135000001</v>
      </c>
    </row>
    <row r="127" spans="1:9" x14ac:dyDescent="0.25">
      <c r="A127" t="s">
        <v>9</v>
      </c>
      <c r="B127" s="4">
        <v>36.11</v>
      </c>
      <c r="C127" s="4">
        <v>36.130000000000003</v>
      </c>
      <c r="D127" t="s">
        <v>26</v>
      </c>
      <c r="E127" s="6">
        <v>1730.0288</v>
      </c>
      <c r="F127" s="6">
        <f t="shared" si="1"/>
        <v>-0.2</v>
      </c>
      <c r="G127" s="6">
        <f>Table1[[#This Row],[scalar]]-Table1[[#This Row],[adj]]</f>
        <v>1730.2288000000001</v>
      </c>
      <c r="H127" s="4">
        <f>Table1[[#This Row],[price_mkt_bid]]*Table1[[#This Row],[adj scalar]]</f>
        <v>62478.561968000002</v>
      </c>
      <c r="I127" s="4">
        <f>Table1[[#This Row],[price_mkt_ask]]*Table1[[#This Row],[adj scalar]]</f>
        <v>62513.166544000007</v>
      </c>
    </row>
    <row r="128" spans="1:9" x14ac:dyDescent="0.25">
      <c r="A128" t="s">
        <v>10</v>
      </c>
      <c r="B128" s="4">
        <v>54.4</v>
      </c>
      <c r="C128" s="4">
        <v>54.41</v>
      </c>
      <c r="D128" t="s">
        <v>26</v>
      </c>
      <c r="E128" s="6">
        <v>1148.7663</v>
      </c>
      <c r="F128" s="6">
        <f t="shared" si="1"/>
        <v>0.05</v>
      </c>
      <c r="G128" s="6">
        <f>Table1[[#This Row],[scalar]]-Table1[[#This Row],[adj]]</f>
        <v>1148.7163</v>
      </c>
      <c r="H128" s="4">
        <f>Table1[[#This Row],[price_mkt_bid]]*Table1[[#This Row],[adj scalar]]</f>
        <v>62490.166720000001</v>
      </c>
      <c r="I128" s="4">
        <f>Table1[[#This Row],[price_mkt_ask]]*Table1[[#This Row],[adj scalar]]</f>
        <v>62501.653882999999</v>
      </c>
    </row>
    <row r="129" spans="1:9" x14ac:dyDescent="0.25">
      <c r="A129" t="s">
        <v>11</v>
      </c>
      <c r="B129" s="4">
        <v>48.51</v>
      </c>
      <c r="C129" s="4">
        <v>48.52</v>
      </c>
      <c r="D129" t="s">
        <v>26</v>
      </c>
      <c r="E129" s="6">
        <v>1288.4784999999999</v>
      </c>
      <c r="F129" s="6">
        <f t="shared" si="1"/>
        <v>-0.05</v>
      </c>
      <c r="G129" s="6">
        <f>Table1[[#This Row],[scalar]]-Table1[[#This Row],[adj]]</f>
        <v>1288.5284999999999</v>
      </c>
      <c r="H129" s="4">
        <f>Table1[[#This Row],[price_mkt_bid]]*Table1[[#This Row],[adj scalar]]</f>
        <v>62506.517534999992</v>
      </c>
      <c r="I129" s="4">
        <f>Table1[[#This Row],[price_mkt_ask]]*Table1[[#This Row],[adj scalar]]</f>
        <v>62519.402819999996</v>
      </c>
    </row>
    <row r="130" spans="1:9" x14ac:dyDescent="0.25">
      <c r="A130" t="s">
        <v>12</v>
      </c>
      <c r="B130" s="4">
        <v>17.670000000000002</v>
      </c>
      <c r="C130" s="4">
        <v>17.68</v>
      </c>
      <c r="D130" t="s">
        <v>26</v>
      </c>
      <c r="E130" s="6">
        <v>3535.8029000000001</v>
      </c>
      <c r="F130" s="6">
        <f t="shared" si="1"/>
        <v>0</v>
      </c>
      <c r="G130" s="6">
        <f>Table1[[#This Row],[scalar]]-Table1[[#This Row],[adj]]</f>
        <v>3535.8029000000001</v>
      </c>
      <c r="H130" s="4">
        <f>Table1[[#This Row],[price_mkt_bid]]*Table1[[#This Row],[adj scalar]]</f>
        <v>62477.637243000012</v>
      </c>
      <c r="I130" s="4">
        <f>Table1[[#This Row],[price_mkt_ask]]*Table1[[#This Row],[adj scalar]]</f>
        <v>62512.995272</v>
      </c>
    </row>
    <row r="131" spans="1:9" x14ac:dyDescent="0.25">
      <c r="A131" t="s">
        <v>13</v>
      </c>
      <c r="B131" s="4">
        <v>35.4</v>
      </c>
      <c r="C131" s="4">
        <v>35.409999999999997</v>
      </c>
      <c r="D131" t="s">
        <v>26</v>
      </c>
      <c r="E131" s="6">
        <v>1764.9262000000001</v>
      </c>
      <c r="F131" s="6">
        <f t="shared" si="1"/>
        <v>0</v>
      </c>
      <c r="G131" s="6">
        <f>Table1[[#This Row],[scalar]]-Table1[[#This Row],[adj]]</f>
        <v>1764.9262000000001</v>
      </c>
      <c r="H131" s="4">
        <f>Table1[[#This Row],[price_mkt_bid]]*Table1[[#This Row],[adj scalar]]</f>
        <v>62478.387480000005</v>
      </c>
      <c r="I131" s="4">
        <f>Table1[[#This Row],[price_mkt_ask]]*Table1[[#This Row],[adj scalar]]</f>
        <v>62496.036741999997</v>
      </c>
    </row>
    <row r="132" spans="1:9" x14ac:dyDescent="0.25">
      <c r="A132" t="s">
        <v>4</v>
      </c>
      <c r="B132" s="4">
        <v>20.72</v>
      </c>
      <c r="C132" s="4">
        <v>20.73</v>
      </c>
      <c r="D132" t="s">
        <v>27</v>
      </c>
      <c r="E132" s="6">
        <v>3014.7584999999999</v>
      </c>
      <c r="F132" s="6">
        <f t="shared" si="1"/>
        <v>-0.1</v>
      </c>
      <c r="G132" s="6">
        <f>Table1[[#This Row],[scalar]]-Table1[[#This Row],[adj]]</f>
        <v>3014.8584999999998</v>
      </c>
      <c r="H132" s="4">
        <f>Table1[[#This Row],[price_mkt_bid]]*Table1[[#This Row],[adj scalar]]</f>
        <v>62467.868119999992</v>
      </c>
      <c r="I132" s="4">
        <f>Table1[[#This Row],[price_mkt_ask]]*Table1[[#This Row],[adj scalar]]</f>
        <v>62498.016704999995</v>
      </c>
    </row>
    <row r="133" spans="1:9" x14ac:dyDescent="0.25">
      <c r="A133" t="s">
        <v>5</v>
      </c>
      <c r="B133" s="4">
        <v>33.92</v>
      </c>
      <c r="C133" s="4">
        <v>33.92</v>
      </c>
      <c r="D133" t="s">
        <v>27</v>
      </c>
      <c r="E133" s="6">
        <f>1841.9994-0.2393</f>
        <v>1841.7601</v>
      </c>
      <c r="F133" s="6">
        <f t="shared" si="1"/>
        <v>0.1</v>
      </c>
      <c r="G133" s="6">
        <f>Table1[[#This Row],[scalar]]-Table1[[#This Row],[adj]]</f>
        <v>1841.6601000000001</v>
      </c>
      <c r="H133" s="4">
        <f>Table1[[#This Row],[price_mkt_bid]]*Table1[[#This Row],[adj scalar]]</f>
        <v>62469.110592000005</v>
      </c>
      <c r="I133" s="4">
        <f>Table1[[#This Row],[price_mkt_ask]]*Table1[[#This Row],[adj scalar]]</f>
        <v>62469.110592000005</v>
      </c>
    </row>
    <row r="134" spans="1:9" x14ac:dyDescent="0.25">
      <c r="A134" t="s">
        <v>6</v>
      </c>
      <c r="B134" s="4">
        <v>17.61</v>
      </c>
      <c r="C134" s="4">
        <v>17.62</v>
      </c>
      <c r="D134" t="s">
        <v>27</v>
      </c>
      <c r="E134" s="6">
        <v>3546.3341999999998</v>
      </c>
      <c r="F134" s="6">
        <f t="shared" si="1"/>
        <v>0</v>
      </c>
      <c r="G134" s="6">
        <f>Table1[[#This Row],[scalar]]-Table1[[#This Row],[adj]]</f>
        <v>3546.3341999999998</v>
      </c>
      <c r="H134" s="4">
        <f>Table1[[#This Row],[price_mkt_bid]]*Table1[[#This Row],[adj scalar]]</f>
        <v>62450.945261999994</v>
      </c>
      <c r="I134" s="4">
        <f>Table1[[#This Row],[price_mkt_ask]]*Table1[[#This Row],[adj scalar]]</f>
        <v>62486.408603999997</v>
      </c>
    </row>
    <row r="135" spans="1:9" x14ac:dyDescent="0.25">
      <c r="A135" t="s">
        <v>7</v>
      </c>
      <c r="B135" s="4">
        <v>27.63</v>
      </c>
      <c r="C135" s="4">
        <v>27.64</v>
      </c>
      <c r="D135" t="s">
        <v>27</v>
      </c>
      <c r="E135" s="6">
        <f>2261.2393-0.03</f>
        <v>2261.2093</v>
      </c>
      <c r="F135" s="6">
        <f t="shared" si="1"/>
        <v>0.2</v>
      </c>
      <c r="G135" s="6">
        <f>Table1[[#This Row],[scalar]]-Table1[[#This Row],[adj]]</f>
        <v>2261.0093000000002</v>
      </c>
      <c r="H135" s="4">
        <f>Table1[[#This Row],[price_mkt_bid]]*Table1[[#This Row],[adj scalar]]</f>
        <v>62471.686958999999</v>
      </c>
      <c r="I135" s="4">
        <f>Table1[[#This Row],[price_mkt_ask]]*Table1[[#This Row],[adj scalar]]</f>
        <v>62494.297052000009</v>
      </c>
    </row>
    <row r="136" spans="1:9" x14ac:dyDescent="0.25">
      <c r="A136" t="s">
        <v>8</v>
      </c>
      <c r="B136" s="4">
        <v>66</v>
      </c>
      <c r="C136" s="4">
        <v>66.099999999999994</v>
      </c>
      <c r="D136" t="s">
        <v>27</v>
      </c>
      <c r="E136" s="6">
        <v>946.06489999999997</v>
      </c>
      <c r="F136" s="6">
        <f t="shared" si="1"/>
        <v>0</v>
      </c>
      <c r="G136" s="6">
        <f>Table1[[#This Row],[scalar]]-Table1[[#This Row],[adj]]</f>
        <v>946.06489999999997</v>
      </c>
      <c r="H136" s="4">
        <f>Table1[[#This Row],[price_mkt_bid]]*Table1[[#This Row],[adj scalar]]</f>
        <v>62440.2834</v>
      </c>
      <c r="I136" s="4">
        <f>Table1[[#This Row],[price_mkt_ask]]*Table1[[#This Row],[adj scalar]]</f>
        <v>62534.889889999991</v>
      </c>
    </row>
    <row r="137" spans="1:9" x14ac:dyDescent="0.25">
      <c r="A137" t="s">
        <v>9</v>
      </c>
      <c r="B137" s="4">
        <v>36.090000000000003</v>
      </c>
      <c r="C137" s="4">
        <v>36.11</v>
      </c>
      <c r="D137" t="s">
        <v>27</v>
      </c>
      <c r="E137" s="6">
        <v>1730.0288</v>
      </c>
      <c r="F137" s="6">
        <f t="shared" si="1"/>
        <v>-0.2</v>
      </c>
      <c r="G137" s="6">
        <f>Table1[[#This Row],[scalar]]-Table1[[#This Row],[adj]]</f>
        <v>1730.2288000000001</v>
      </c>
      <c r="H137" s="4">
        <f>Table1[[#This Row],[price_mkt_bid]]*Table1[[#This Row],[adj scalar]]</f>
        <v>62443.957392000011</v>
      </c>
      <c r="I137" s="4">
        <f>Table1[[#This Row],[price_mkt_ask]]*Table1[[#This Row],[adj scalar]]</f>
        <v>62478.561968000002</v>
      </c>
    </row>
    <row r="138" spans="1:9" x14ac:dyDescent="0.25">
      <c r="A138" t="s">
        <v>10</v>
      </c>
      <c r="B138" s="4">
        <v>54.37</v>
      </c>
      <c r="C138" s="4">
        <v>54.38</v>
      </c>
      <c r="D138" t="s">
        <v>27</v>
      </c>
      <c r="E138" s="6">
        <v>1148.7663</v>
      </c>
      <c r="F138" s="6">
        <f t="shared" si="1"/>
        <v>0.05</v>
      </c>
      <c r="G138" s="6">
        <f>Table1[[#This Row],[scalar]]-Table1[[#This Row],[adj]]</f>
        <v>1148.7163</v>
      </c>
      <c r="H138" s="4">
        <f>Table1[[#This Row],[price_mkt_bid]]*Table1[[#This Row],[adj scalar]]</f>
        <v>62455.705231</v>
      </c>
      <c r="I138" s="4">
        <f>Table1[[#This Row],[price_mkt_ask]]*Table1[[#This Row],[adj scalar]]</f>
        <v>62467.192394000005</v>
      </c>
    </row>
    <row r="139" spans="1:9" x14ac:dyDescent="0.25">
      <c r="A139" t="s">
        <v>11</v>
      </c>
      <c r="B139" s="4">
        <v>48.47</v>
      </c>
      <c r="C139" s="4">
        <v>48.48</v>
      </c>
      <c r="D139" t="s">
        <v>27</v>
      </c>
      <c r="E139" s="6">
        <v>1288.4784999999999</v>
      </c>
      <c r="F139" s="6">
        <f t="shared" si="1"/>
        <v>-0.05</v>
      </c>
      <c r="G139" s="6">
        <f>Table1[[#This Row],[scalar]]-Table1[[#This Row],[adj]]</f>
        <v>1288.5284999999999</v>
      </c>
      <c r="H139" s="4">
        <f>Table1[[#This Row],[price_mkt_bid]]*Table1[[#This Row],[adj scalar]]</f>
        <v>62454.976394999991</v>
      </c>
      <c r="I139" s="4">
        <f>Table1[[#This Row],[price_mkt_ask]]*Table1[[#This Row],[adj scalar]]</f>
        <v>62467.861679999987</v>
      </c>
    </row>
    <row r="140" spans="1:9" x14ac:dyDescent="0.25">
      <c r="A140" t="s">
        <v>12</v>
      </c>
      <c r="B140" s="4">
        <v>17.670000000000002</v>
      </c>
      <c r="C140" s="4">
        <v>17.68</v>
      </c>
      <c r="D140" t="s">
        <v>27</v>
      </c>
      <c r="E140" s="6">
        <v>3535.8029000000001</v>
      </c>
      <c r="F140" s="6">
        <f t="shared" si="1"/>
        <v>0</v>
      </c>
      <c r="G140" s="6">
        <f>Table1[[#This Row],[scalar]]-Table1[[#This Row],[adj]]</f>
        <v>3535.8029000000001</v>
      </c>
      <c r="H140" s="4">
        <f>Table1[[#This Row],[price_mkt_bid]]*Table1[[#This Row],[adj scalar]]</f>
        <v>62477.637243000012</v>
      </c>
      <c r="I140" s="4">
        <f>Table1[[#This Row],[price_mkt_ask]]*Table1[[#This Row],[adj scalar]]</f>
        <v>62512.995272</v>
      </c>
    </row>
    <row r="141" spans="1:9" x14ac:dyDescent="0.25">
      <c r="A141" t="s">
        <v>13</v>
      </c>
      <c r="B141" s="4">
        <v>35.380000000000003</v>
      </c>
      <c r="C141" s="4">
        <v>35.39</v>
      </c>
      <c r="D141" t="s">
        <v>27</v>
      </c>
      <c r="E141" s="6">
        <v>1764.9262000000001</v>
      </c>
      <c r="F141" s="6">
        <f t="shared" ref="F141:F204" si="2">F131</f>
        <v>0</v>
      </c>
      <c r="G141" s="6">
        <f>Table1[[#This Row],[scalar]]-Table1[[#This Row],[adj]]</f>
        <v>1764.9262000000001</v>
      </c>
      <c r="H141" s="4">
        <f>Table1[[#This Row],[price_mkt_bid]]*Table1[[#This Row],[adj scalar]]</f>
        <v>62443.088956000007</v>
      </c>
      <c r="I141" s="4">
        <f>Table1[[#This Row],[price_mkt_ask]]*Table1[[#This Row],[adj scalar]]</f>
        <v>62460.738218000006</v>
      </c>
    </row>
    <row r="142" spans="1:9" x14ac:dyDescent="0.25">
      <c r="A142" t="s">
        <v>4</v>
      </c>
      <c r="B142" s="4">
        <v>20.66</v>
      </c>
      <c r="C142" s="4">
        <v>20.67</v>
      </c>
      <c r="D142" t="s">
        <v>28</v>
      </c>
      <c r="E142" s="6">
        <v>3014.7584999999999</v>
      </c>
      <c r="F142" s="6">
        <f t="shared" si="2"/>
        <v>-0.1</v>
      </c>
      <c r="G142" s="6">
        <f>Table1[[#This Row],[scalar]]-Table1[[#This Row],[adj]]</f>
        <v>3014.8584999999998</v>
      </c>
      <c r="H142" s="4">
        <f>Table1[[#This Row],[price_mkt_bid]]*Table1[[#This Row],[adj scalar]]</f>
        <v>62286.976609999998</v>
      </c>
      <c r="I142" s="4">
        <f>Table1[[#This Row],[price_mkt_ask]]*Table1[[#This Row],[adj scalar]]</f>
        <v>62317.125195000001</v>
      </c>
    </row>
    <row r="143" spans="1:9" x14ac:dyDescent="0.25">
      <c r="A143" t="s">
        <v>5</v>
      </c>
      <c r="B143" s="4">
        <v>33.82</v>
      </c>
      <c r="C143" s="4">
        <v>33.83</v>
      </c>
      <c r="D143" t="s">
        <v>28</v>
      </c>
      <c r="E143" s="6">
        <f>1841.9994-0.2393</f>
        <v>1841.7601</v>
      </c>
      <c r="F143" s="6">
        <f t="shared" si="2"/>
        <v>0.1</v>
      </c>
      <c r="G143" s="6">
        <f>Table1[[#This Row],[scalar]]-Table1[[#This Row],[adj]]</f>
        <v>1841.6601000000001</v>
      </c>
      <c r="H143" s="4">
        <f>Table1[[#This Row],[price_mkt_bid]]*Table1[[#This Row],[adj scalar]]</f>
        <v>62284.944582000004</v>
      </c>
      <c r="I143" s="4">
        <f>Table1[[#This Row],[price_mkt_ask]]*Table1[[#This Row],[adj scalar]]</f>
        <v>62303.361183000001</v>
      </c>
    </row>
    <row r="144" spans="1:9" x14ac:dyDescent="0.25">
      <c r="A144" t="s">
        <v>6</v>
      </c>
      <c r="B144" s="4">
        <v>17.559999999999999</v>
      </c>
      <c r="C144" s="4">
        <v>17.57</v>
      </c>
      <c r="D144" t="s">
        <v>28</v>
      </c>
      <c r="E144" s="6">
        <v>3546.3341999999998</v>
      </c>
      <c r="F144" s="6">
        <f t="shared" si="2"/>
        <v>0</v>
      </c>
      <c r="G144" s="6">
        <f>Table1[[#This Row],[scalar]]-Table1[[#This Row],[adj]]</f>
        <v>3546.3341999999998</v>
      </c>
      <c r="H144" s="4">
        <f>Table1[[#This Row],[price_mkt_bid]]*Table1[[#This Row],[adj scalar]]</f>
        <v>62273.628551999995</v>
      </c>
      <c r="I144" s="4">
        <f>Table1[[#This Row],[price_mkt_ask]]*Table1[[#This Row],[adj scalar]]</f>
        <v>62309.091893999997</v>
      </c>
    </row>
    <row r="145" spans="1:9" x14ac:dyDescent="0.25">
      <c r="A145" t="s">
        <v>7</v>
      </c>
      <c r="B145" s="4">
        <v>27.55</v>
      </c>
      <c r="C145" s="4">
        <v>27.56</v>
      </c>
      <c r="D145" t="s">
        <v>28</v>
      </c>
      <c r="E145" s="6">
        <f>2261.2393-0.03</f>
        <v>2261.2093</v>
      </c>
      <c r="F145" s="6">
        <f t="shared" si="2"/>
        <v>0.2</v>
      </c>
      <c r="G145" s="6">
        <f>Table1[[#This Row],[scalar]]-Table1[[#This Row],[adj]]</f>
        <v>2261.0093000000002</v>
      </c>
      <c r="H145" s="4">
        <f>Table1[[#This Row],[price_mkt_bid]]*Table1[[#This Row],[adj scalar]]</f>
        <v>62290.806215000004</v>
      </c>
      <c r="I145" s="4">
        <f>Table1[[#This Row],[price_mkt_ask]]*Table1[[#This Row],[adj scalar]]</f>
        <v>62313.416308</v>
      </c>
    </row>
    <row r="146" spans="1:9" x14ac:dyDescent="0.25">
      <c r="A146" t="s">
        <v>8</v>
      </c>
      <c r="B146" s="4">
        <v>65.819999999999993</v>
      </c>
      <c r="C146" s="4">
        <v>65.930000000000007</v>
      </c>
      <c r="D146" t="s">
        <v>28</v>
      </c>
      <c r="E146" s="6">
        <v>946.06489999999997</v>
      </c>
      <c r="F146" s="6">
        <f t="shared" si="2"/>
        <v>0</v>
      </c>
      <c r="G146" s="6">
        <f>Table1[[#This Row],[scalar]]-Table1[[#This Row],[adj]]</f>
        <v>946.06489999999997</v>
      </c>
      <c r="H146" s="4">
        <f>Table1[[#This Row],[price_mkt_bid]]*Table1[[#This Row],[adj scalar]]</f>
        <v>62269.99171799999</v>
      </c>
      <c r="I146" s="4">
        <f>Table1[[#This Row],[price_mkt_ask]]*Table1[[#This Row],[adj scalar]]</f>
        <v>62374.058857000004</v>
      </c>
    </row>
    <row r="147" spans="1:9" x14ac:dyDescent="0.25">
      <c r="A147" t="s">
        <v>9</v>
      </c>
      <c r="B147" s="4">
        <v>36</v>
      </c>
      <c r="C147" s="4">
        <v>36.01</v>
      </c>
      <c r="D147" t="s">
        <v>28</v>
      </c>
      <c r="E147" s="6">
        <v>1730.0288</v>
      </c>
      <c r="F147" s="6">
        <f t="shared" si="2"/>
        <v>-0.2</v>
      </c>
      <c r="G147" s="6">
        <f>Table1[[#This Row],[scalar]]-Table1[[#This Row],[adj]]</f>
        <v>1730.2288000000001</v>
      </c>
      <c r="H147" s="4">
        <f>Table1[[#This Row],[price_mkt_bid]]*Table1[[#This Row],[adj scalar]]</f>
        <v>62288.236800000006</v>
      </c>
      <c r="I147" s="4">
        <f>Table1[[#This Row],[price_mkt_ask]]*Table1[[#This Row],[adj scalar]]</f>
        <v>62305.539087999998</v>
      </c>
    </row>
    <row r="148" spans="1:9" x14ac:dyDescent="0.25">
      <c r="A148" t="s">
        <v>10</v>
      </c>
      <c r="B148" s="4">
        <v>54.23</v>
      </c>
      <c r="C148" s="4">
        <v>54.24</v>
      </c>
      <c r="D148" t="s">
        <v>28</v>
      </c>
      <c r="E148" s="6">
        <v>1148.7663</v>
      </c>
      <c r="F148" s="6">
        <f t="shared" si="2"/>
        <v>0.05</v>
      </c>
      <c r="G148" s="6">
        <f>Table1[[#This Row],[scalar]]-Table1[[#This Row],[adj]]</f>
        <v>1148.7163</v>
      </c>
      <c r="H148" s="4">
        <f>Table1[[#This Row],[price_mkt_bid]]*Table1[[#This Row],[adj scalar]]</f>
        <v>62294.884948999999</v>
      </c>
      <c r="I148" s="4">
        <f>Table1[[#This Row],[price_mkt_ask]]*Table1[[#This Row],[adj scalar]]</f>
        <v>62306.372112000005</v>
      </c>
    </row>
    <row r="149" spans="1:9" x14ac:dyDescent="0.25">
      <c r="A149" t="s">
        <v>11</v>
      </c>
      <c r="B149" s="4">
        <v>48.35</v>
      </c>
      <c r="C149" s="4">
        <v>48.36</v>
      </c>
      <c r="D149" t="s">
        <v>28</v>
      </c>
      <c r="E149" s="6">
        <v>1288.4784999999999</v>
      </c>
      <c r="F149" s="6">
        <f t="shared" si="2"/>
        <v>-0.05</v>
      </c>
      <c r="G149" s="6">
        <f>Table1[[#This Row],[scalar]]-Table1[[#This Row],[adj]]</f>
        <v>1288.5284999999999</v>
      </c>
      <c r="H149" s="4">
        <f>Table1[[#This Row],[price_mkt_bid]]*Table1[[#This Row],[adj scalar]]</f>
        <v>62300.352974999994</v>
      </c>
      <c r="I149" s="4">
        <f>Table1[[#This Row],[price_mkt_ask]]*Table1[[#This Row],[adj scalar]]</f>
        <v>62313.238259999991</v>
      </c>
    </row>
    <row r="150" spans="1:9" x14ac:dyDescent="0.25">
      <c r="A150" t="s">
        <v>12</v>
      </c>
      <c r="B150" s="4">
        <v>17.62</v>
      </c>
      <c r="C150" s="4">
        <v>17.63</v>
      </c>
      <c r="D150" t="s">
        <v>28</v>
      </c>
      <c r="E150" s="6">
        <v>3535.8029000000001</v>
      </c>
      <c r="F150" s="6">
        <f t="shared" si="2"/>
        <v>0</v>
      </c>
      <c r="G150" s="6">
        <f>Table1[[#This Row],[scalar]]-Table1[[#This Row],[adj]]</f>
        <v>3535.8029000000001</v>
      </c>
      <c r="H150" s="4">
        <f>Table1[[#This Row],[price_mkt_bid]]*Table1[[#This Row],[adj scalar]]</f>
        <v>62300.847098000006</v>
      </c>
      <c r="I150" s="4">
        <f>Table1[[#This Row],[price_mkt_ask]]*Table1[[#This Row],[adj scalar]]</f>
        <v>62336.205127000001</v>
      </c>
    </row>
    <row r="151" spans="1:9" x14ac:dyDescent="0.25">
      <c r="A151" t="s">
        <v>13</v>
      </c>
      <c r="B151" s="4">
        <v>35.29</v>
      </c>
      <c r="C151" s="4">
        <v>35.299999999999997</v>
      </c>
      <c r="D151" t="s">
        <v>28</v>
      </c>
      <c r="E151" s="6">
        <v>1764.9262000000001</v>
      </c>
      <c r="F151" s="6">
        <f t="shared" si="2"/>
        <v>0</v>
      </c>
      <c r="G151" s="6">
        <f>Table1[[#This Row],[scalar]]-Table1[[#This Row],[adj]]</f>
        <v>1764.9262000000001</v>
      </c>
      <c r="H151" s="4">
        <f>Table1[[#This Row],[price_mkt_bid]]*Table1[[#This Row],[adj scalar]]</f>
        <v>62284.245598000001</v>
      </c>
      <c r="I151" s="4">
        <f>Table1[[#This Row],[price_mkt_ask]]*Table1[[#This Row],[adj scalar]]</f>
        <v>62301.89486</v>
      </c>
    </row>
    <row r="152" spans="1:9" x14ac:dyDescent="0.25">
      <c r="A152" t="s">
        <v>4</v>
      </c>
      <c r="B152" s="4">
        <v>20.98</v>
      </c>
      <c r="C152" s="4">
        <v>20.99</v>
      </c>
      <c r="D152" t="s">
        <v>29</v>
      </c>
      <c r="E152" s="6">
        <v>3014.7584999999999</v>
      </c>
      <c r="F152" s="6">
        <f t="shared" si="2"/>
        <v>-0.1</v>
      </c>
      <c r="G152" s="6">
        <f>Table1[[#This Row],[scalar]]-Table1[[#This Row],[adj]]</f>
        <v>3014.8584999999998</v>
      </c>
      <c r="H152" s="4">
        <f>Table1[[#This Row],[price_mkt_bid]]*Table1[[#This Row],[adj scalar]]</f>
        <v>63251.731329999995</v>
      </c>
      <c r="I152" s="4">
        <f>Table1[[#This Row],[price_mkt_ask]]*Table1[[#This Row],[adj scalar]]</f>
        <v>63281.87991499999</v>
      </c>
    </row>
    <row r="153" spans="1:9" x14ac:dyDescent="0.25">
      <c r="A153" t="s">
        <v>5</v>
      </c>
      <c r="B153" s="4">
        <v>34.340000000000003</v>
      </c>
      <c r="C153" s="4">
        <v>34.35</v>
      </c>
      <c r="D153" t="s">
        <v>29</v>
      </c>
      <c r="E153" s="6">
        <f>1841.9994-0.2393</f>
        <v>1841.7601</v>
      </c>
      <c r="F153" s="6">
        <f t="shared" si="2"/>
        <v>0.1</v>
      </c>
      <c r="G153" s="6">
        <f>Table1[[#This Row],[scalar]]-Table1[[#This Row],[adj]]</f>
        <v>1841.6601000000001</v>
      </c>
      <c r="H153" s="4">
        <f>Table1[[#This Row],[price_mkt_bid]]*Table1[[#This Row],[adj scalar]]</f>
        <v>63242.607834000009</v>
      </c>
      <c r="I153" s="4">
        <f>Table1[[#This Row],[price_mkt_ask]]*Table1[[#This Row],[adj scalar]]</f>
        <v>63261.024435000007</v>
      </c>
    </row>
    <row r="154" spans="1:9" x14ac:dyDescent="0.25">
      <c r="A154" t="s">
        <v>6</v>
      </c>
      <c r="B154" s="4">
        <v>17.829999999999998</v>
      </c>
      <c r="C154" s="4">
        <v>17.84</v>
      </c>
      <c r="D154" t="s">
        <v>29</v>
      </c>
      <c r="E154" s="6">
        <v>3546.3341999999998</v>
      </c>
      <c r="F154" s="6">
        <f t="shared" si="2"/>
        <v>0</v>
      </c>
      <c r="G154" s="6">
        <f>Table1[[#This Row],[scalar]]-Table1[[#This Row],[adj]]</f>
        <v>3546.3341999999998</v>
      </c>
      <c r="H154" s="4">
        <f>Table1[[#This Row],[price_mkt_bid]]*Table1[[#This Row],[adj scalar]]</f>
        <v>63231.138785999989</v>
      </c>
      <c r="I154" s="4">
        <f>Table1[[#This Row],[price_mkt_ask]]*Table1[[#This Row],[adj scalar]]</f>
        <v>63266.602127999999</v>
      </c>
    </row>
    <row r="155" spans="1:9" x14ac:dyDescent="0.25">
      <c r="A155" t="s">
        <v>7</v>
      </c>
      <c r="B155" s="4">
        <v>27.97</v>
      </c>
      <c r="C155" s="4">
        <v>27.98</v>
      </c>
      <c r="D155" t="s">
        <v>29</v>
      </c>
      <c r="E155" s="6">
        <f>2261.2393-0.03</f>
        <v>2261.2093</v>
      </c>
      <c r="F155" s="6">
        <f t="shared" si="2"/>
        <v>0.2</v>
      </c>
      <c r="G155" s="6">
        <f>Table1[[#This Row],[scalar]]-Table1[[#This Row],[adj]]</f>
        <v>2261.0093000000002</v>
      </c>
      <c r="H155" s="4">
        <f>Table1[[#This Row],[price_mkt_bid]]*Table1[[#This Row],[adj scalar]]</f>
        <v>63240.430121000005</v>
      </c>
      <c r="I155" s="4">
        <f>Table1[[#This Row],[price_mkt_ask]]*Table1[[#This Row],[adj scalar]]</f>
        <v>63263.040214000008</v>
      </c>
    </row>
    <row r="156" spans="1:9" x14ac:dyDescent="0.25">
      <c r="A156" t="s">
        <v>8</v>
      </c>
      <c r="B156" s="4">
        <v>66.849999999999994</v>
      </c>
      <c r="C156" s="4">
        <v>66.97</v>
      </c>
      <c r="D156" t="s">
        <v>29</v>
      </c>
      <c r="E156" s="6">
        <v>946.06489999999997</v>
      </c>
      <c r="F156" s="6">
        <f t="shared" si="2"/>
        <v>0</v>
      </c>
      <c r="G156" s="6">
        <f>Table1[[#This Row],[scalar]]-Table1[[#This Row],[adj]]</f>
        <v>946.06489999999997</v>
      </c>
      <c r="H156" s="4">
        <f>Table1[[#This Row],[price_mkt_bid]]*Table1[[#This Row],[adj scalar]]</f>
        <v>63244.438564999989</v>
      </c>
      <c r="I156" s="4">
        <f>Table1[[#This Row],[price_mkt_ask]]*Table1[[#This Row],[adj scalar]]</f>
        <v>63357.966352999996</v>
      </c>
    </row>
    <row r="157" spans="1:9" x14ac:dyDescent="0.25">
      <c r="A157" t="s">
        <v>9</v>
      </c>
      <c r="B157" s="4">
        <v>36.54</v>
      </c>
      <c r="C157" s="4">
        <v>36.57</v>
      </c>
      <c r="D157" t="s">
        <v>29</v>
      </c>
      <c r="E157" s="6">
        <v>1730.0288</v>
      </c>
      <c r="F157" s="6">
        <f t="shared" si="2"/>
        <v>-0.2</v>
      </c>
      <c r="G157" s="6">
        <f>Table1[[#This Row],[scalar]]-Table1[[#This Row],[adj]]</f>
        <v>1730.2288000000001</v>
      </c>
      <c r="H157" s="4">
        <f>Table1[[#This Row],[price_mkt_bid]]*Table1[[#This Row],[adj scalar]]</f>
        <v>63222.560352</v>
      </c>
      <c r="I157" s="4">
        <f>Table1[[#This Row],[price_mkt_ask]]*Table1[[#This Row],[adj scalar]]</f>
        <v>63274.467216000005</v>
      </c>
    </row>
    <row r="158" spans="1:9" x14ac:dyDescent="0.25">
      <c r="A158" t="s">
        <v>10</v>
      </c>
      <c r="B158" s="4">
        <v>55.06</v>
      </c>
      <c r="C158" s="4">
        <v>55.07</v>
      </c>
      <c r="D158" t="s">
        <v>29</v>
      </c>
      <c r="E158" s="6">
        <v>1148.7663</v>
      </c>
      <c r="F158" s="6">
        <f t="shared" si="2"/>
        <v>0.05</v>
      </c>
      <c r="G158" s="6">
        <f>Table1[[#This Row],[scalar]]-Table1[[#This Row],[adj]]</f>
        <v>1148.7163</v>
      </c>
      <c r="H158" s="4">
        <f>Table1[[#This Row],[price_mkt_bid]]*Table1[[#This Row],[adj scalar]]</f>
        <v>63248.319478000005</v>
      </c>
      <c r="I158" s="4">
        <f>Table1[[#This Row],[price_mkt_ask]]*Table1[[#This Row],[adj scalar]]</f>
        <v>63259.806641000003</v>
      </c>
    </row>
    <row r="159" spans="1:9" x14ac:dyDescent="0.25">
      <c r="A159" t="s">
        <v>11</v>
      </c>
      <c r="B159" s="4">
        <v>49.09</v>
      </c>
      <c r="C159" s="4">
        <v>49.1</v>
      </c>
      <c r="D159" t="s">
        <v>29</v>
      </c>
      <c r="E159" s="6">
        <v>1288.4784999999999</v>
      </c>
      <c r="F159" s="6">
        <f t="shared" si="2"/>
        <v>-0.05</v>
      </c>
      <c r="G159" s="6">
        <f>Table1[[#This Row],[scalar]]-Table1[[#This Row],[adj]]</f>
        <v>1288.5284999999999</v>
      </c>
      <c r="H159" s="4">
        <f>Table1[[#This Row],[price_mkt_bid]]*Table1[[#This Row],[adj scalar]]</f>
        <v>63253.864065000002</v>
      </c>
      <c r="I159" s="4">
        <f>Table1[[#This Row],[price_mkt_ask]]*Table1[[#This Row],[adj scalar]]</f>
        <v>63266.749349999998</v>
      </c>
    </row>
    <row r="160" spans="1:9" x14ac:dyDescent="0.25">
      <c r="A160" t="s">
        <v>12</v>
      </c>
      <c r="B160" s="4">
        <v>17.89</v>
      </c>
      <c r="C160" s="4">
        <v>17.899999999999999</v>
      </c>
      <c r="D160" t="s">
        <v>29</v>
      </c>
      <c r="E160" s="6">
        <v>3535.8029000000001</v>
      </c>
      <c r="F160" s="6">
        <f t="shared" si="2"/>
        <v>0</v>
      </c>
      <c r="G160" s="6">
        <f>Table1[[#This Row],[scalar]]-Table1[[#This Row],[adj]]</f>
        <v>3535.8029000000001</v>
      </c>
      <c r="H160" s="4">
        <f>Table1[[#This Row],[price_mkt_bid]]*Table1[[#This Row],[adj scalar]]</f>
        <v>63255.513881000006</v>
      </c>
      <c r="I160" s="4">
        <f>Table1[[#This Row],[price_mkt_ask]]*Table1[[#This Row],[adj scalar]]</f>
        <v>63290.871909999994</v>
      </c>
    </row>
    <row r="161" spans="1:9" x14ac:dyDescent="0.25">
      <c r="A161" t="s">
        <v>13</v>
      </c>
      <c r="B161" s="4">
        <v>35.83</v>
      </c>
      <c r="C161" s="4">
        <v>35.840000000000003</v>
      </c>
      <c r="D161" t="s">
        <v>29</v>
      </c>
      <c r="E161" s="6">
        <v>1764.9262000000001</v>
      </c>
      <c r="F161" s="6">
        <f t="shared" si="2"/>
        <v>0</v>
      </c>
      <c r="G161" s="6">
        <f>Table1[[#This Row],[scalar]]-Table1[[#This Row],[adj]]</f>
        <v>1764.9262000000001</v>
      </c>
      <c r="H161" s="4">
        <f>Table1[[#This Row],[price_mkt_bid]]*Table1[[#This Row],[adj scalar]]</f>
        <v>63237.305745999998</v>
      </c>
      <c r="I161" s="4">
        <f>Table1[[#This Row],[price_mkt_ask]]*Table1[[#This Row],[adj scalar]]</f>
        <v>63254.955008000012</v>
      </c>
    </row>
    <row r="162" spans="1:9" x14ac:dyDescent="0.25">
      <c r="A162" t="s">
        <v>4</v>
      </c>
      <c r="B162" s="4">
        <v>21.02</v>
      </c>
      <c r="C162" s="4">
        <v>21.03</v>
      </c>
      <c r="D162" t="s">
        <v>30</v>
      </c>
      <c r="E162" s="6">
        <v>3014.7584999999999</v>
      </c>
      <c r="F162" s="6">
        <f t="shared" si="2"/>
        <v>-0.1</v>
      </c>
      <c r="G162" s="6">
        <f>Table1[[#This Row],[scalar]]-Table1[[#This Row],[adj]]</f>
        <v>3014.8584999999998</v>
      </c>
      <c r="H162" s="4">
        <f>Table1[[#This Row],[price_mkt_bid]]*Table1[[#This Row],[adj scalar]]</f>
        <v>63372.325669999998</v>
      </c>
      <c r="I162" s="4">
        <f>Table1[[#This Row],[price_mkt_ask]]*Table1[[#This Row],[adj scalar]]</f>
        <v>63402.474255000001</v>
      </c>
    </row>
    <row r="163" spans="1:9" x14ac:dyDescent="0.25">
      <c r="A163" t="s">
        <v>5</v>
      </c>
      <c r="B163" s="4">
        <v>34.409999999999997</v>
      </c>
      <c r="C163" s="4">
        <v>34.42</v>
      </c>
      <c r="D163" t="s">
        <v>30</v>
      </c>
      <c r="E163" s="6">
        <f>1841.9994-0.2393</f>
        <v>1841.7601</v>
      </c>
      <c r="F163" s="6">
        <f t="shared" si="2"/>
        <v>0.1</v>
      </c>
      <c r="G163" s="6">
        <f>Table1[[#This Row],[scalar]]-Table1[[#This Row],[adj]]</f>
        <v>1841.6601000000001</v>
      </c>
      <c r="H163" s="4">
        <f>Table1[[#This Row],[price_mkt_bid]]*Table1[[#This Row],[adj scalar]]</f>
        <v>63371.524040999997</v>
      </c>
      <c r="I163" s="4">
        <f>Table1[[#This Row],[price_mkt_ask]]*Table1[[#This Row],[adj scalar]]</f>
        <v>63389.940642000009</v>
      </c>
    </row>
    <row r="164" spans="1:9" x14ac:dyDescent="0.25">
      <c r="A164" t="s">
        <v>6</v>
      </c>
      <c r="B164" s="4">
        <v>17.87</v>
      </c>
      <c r="C164" s="4">
        <v>17.88</v>
      </c>
      <c r="D164" t="s">
        <v>30</v>
      </c>
      <c r="E164" s="6">
        <v>3546.3341999999998</v>
      </c>
      <c r="F164" s="6">
        <f t="shared" si="2"/>
        <v>0</v>
      </c>
      <c r="G164" s="6">
        <f>Table1[[#This Row],[scalar]]-Table1[[#This Row],[adj]]</f>
        <v>3546.3341999999998</v>
      </c>
      <c r="H164" s="4">
        <f>Table1[[#This Row],[price_mkt_bid]]*Table1[[#This Row],[adj scalar]]</f>
        <v>63372.992154</v>
      </c>
      <c r="I164" s="4">
        <f>Table1[[#This Row],[price_mkt_ask]]*Table1[[#This Row],[adj scalar]]</f>
        <v>63408.455495999995</v>
      </c>
    </row>
    <row r="165" spans="1:9" x14ac:dyDescent="0.25">
      <c r="A165" t="s">
        <v>7</v>
      </c>
      <c r="B165" s="4">
        <v>28.03</v>
      </c>
      <c r="C165" s="4">
        <v>28.04</v>
      </c>
      <c r="D165" t="s">
        <v>30</v>
      </c>
      <c r="E165" s="6">
        <f>2261.2393-0.03</f>
        <v>2261.2093</v>
      </c>
      <c r="F165" s="6">
        <f t="shared" si="2"/>
        <v>0.2</v>
      </c>
      <c r="G165" s="6">
        <f>Table1[[#This Row],[scalar]]-Table1[[#This Row],[adj]]</f>
        <v>2261.0093000000002</v>
      </c>
      <c r="H165" s="4">
        <f>Table1[[#This Row],[price_mkt_bid]]*Table1[[#This Row],[adj scalar]]</f>
        <v>63376.090679000008</v>
      </c>
      <c r="I165" s="4">
        <f>Table1[[#This Row],[price_mkt_ask]]*Table1[[#This Row],[adj scalar]]</f>
        <v>63398.700772000004</v>
      </c>
    </row>
    <row r="166" spans="1:9" x14ac:dyDescent="0.25">
      <c r="A166" t="s">
        <v>8</v>
      </c>
      <c r="B166" s="4">
        <v>66.989999999999995</v>
      </c>
      <c r="C166" s="4">
        <v>67.12</v>
      </c>
      <c r="D166" t="s">
        <v>30</v>
      </c>
      <c r="E166" s="6">
        <v>946.06489999999997</v>
      </c>
      <c r="F166" s="6">
        <f t="shared" si="2"/>
        <v>0</v>
      </c>
      <c r="G166" s="6">
        <f>Table1[[#This Row],[scalar]]-Table1[[#This Row],[adj]]</f>
        <v>946.06489999999997</v>
      </c>
      <c r="H166" s="4">
        <f>Table1[[#This Row],[price_mkt_bid]]*Table1[[#This Row],[adj scalar]]</f>
        <v>63376.88765099999</v>
      </c>
      <c r="I166" s="4">
        <f>Table1[[#This Row],[price_mkt_ask]]*Table1[[#This Row],[adj scalar]]</f>
        <v>63499.876088000005</v>
      </c>
    </row>
    <row r="167" spans="1:9" x14ac:dyDescent="0.25">
      <c r="A167" t="s">
        <v>9</v>
      </c>
      <c r="B167" s="4">
        <v>36.619999999999997</v>
      </c>
      <c r="C167" s="4">
        <v>36.64</v>
      </c>
      <c r="D167" t="s">
        <v>30</v>
      </c>
      <c r="E167" s="6">
        <v>1730.0288</v>
      </c>
      <c r="F167" s="6">
        <f t="shared" si="2"/>
        <v>-0.2</v>
      </c>
      <c r="G167" s="6">
        <f>Table1[[#This Row],[scalar]]-Table1[[#This Row],[adj]]</f>
        <v>1730.2288000000001</v>
      </c>
      <c r="H167" s="4">
        <f>Table1[[#This Row],[price_mkt_bid]]*Table1[[#This Row],[adj scalar]]</f>
        <v>63360.978655999999</v>
      </c>
      <c r="I167" s="4">
        <f>Table1[[#This Row],[price_mkt_ask]]*Table1[[#This Row],[adj scalar]]</f>
        <v>63395.583232000005</v>
      </c>
    </row>
    <row r="168" spans="1:9" x14ac:dyDescent="0.25">
      <c r="A168" t="s">
        <v>10</v>
      </c>
      <c r="B168" s="4">
        <v>55.18</v>
      </c>
      <c r="C168" s="4">
        <v>55.19</v>
      </c>
      <c r="D168" t="s">
        <v>30</v>
      </c>
      <c r="E168" s="6">
        <v>1148.7663</v>
      </c>
      <c r="F168" s="6">
        <f t="shared" si="2"/>
        <v>0.05</v>
      </c>
      <c r="G168" s="6">
        <f>Table1[[#This Row],[scalar]]-Table1[[#This Row],[adj]]</f>
        <v>1148.7163</v>
      </c>
      <c r="H168" s="4">
        <f>Table1[[#This Row],[price_mkt_bid]]*Table1[[#This Row],[adj scalar]]</f>
        <v>63386.165434000002</v>
      </c>
      <c r="I168" s="4">
        <f>Table1[[#This Row],[price_mkt_ask]]*Table1[[#This Row],[adj scalar]]</f>
        <v>63397.652597</v>
      </c>
    </row>
    <row r="169" spans="1:9" x14ac:dyDescent="0.25">
      <c r="A169" t="s">
        <v>11</v>
      </c>
      <c r="B169" s="4">
        <v>49.19</v>
      </c>
      <c r="C169" s="4">
        <v>49.2</v>
      </c>
      <c r="D169" t="s">
        <v>30</v>
      </c>
      <c r="E169" s="6">
        <v>1288.4784999999999</v>
      </c>
      <c r="F169" s="6">
        <f t="shared" si="2"/>
        <v>-0.05</v>
      </c>
      <c r="G169" s="6">
        <f>Table1[[#This Row],[scalar]]-Table1[[#This Row],[adj]]</f>
        <v>1288.5284999999999</v>
      </c>
      <c r="H169" s="4">
        <f>Table1[[#This Row],[price_mkt_bid]]*Table1[[#This Row],[adj scalar]]</f>
        <v>63382.71691499999</v>
      </c>
      <c r="I169" s="4">
        <f>Table1[[#This Row],[price_mkt_ask]]*Table1[[#This Row],[adj scalar]]</f>
        <v>63395.602200000001</v>
      </c>
    </row>
    <row r="170" spans="1:9" x14ac:dyDescent="0.25">
      <c r="A170" t="s">
        <v>12</v>
      </c>
      <c r="B170" s="4">
        <v>17.920000000000002</v>
      </c>
      <c r="C170" s="4">
        <v>17.93</v>
      </c>
      <c r="D170" t="s">
        <v>30</v>
      </c>
      <c r="E170" s="6">
        <v>3535.8029000000001</v>
      </c>
      <c r="F170" s="6">
        <f t="shared" si="2"/>
        <v>0</v>
      </c>
      <c r="G170" s="6">
        <f>Table1[[#This Row],[scalar]]-Table1[[#This Row],[adj]]</f>
        <v>3535.8029000000001</v>
      </c>
      <c r="H170" s="4">
        <f>Table1[[#This Row],[price_mkt_bid]]*Table1[[#This Row],[adj scalar]]</f>
        <v>63361.587968000007</v>
      </c>
      <c r="I170" s="4">
        <f>Table1[[#This Row],[price_mkt_ask]]*Table1[[#This Row],[adj scalar]]</f>
        <v>63396.945997000003</v>
      </c>
    </row>
    <row r="171" spans="1:9" x14ac:dyDescent="0.25">
      <c r="A171" t="s">
        <v>13</v>
      </c>
      <c r="B171" s="4">
        <v>35.909999999999997</v>
      </c>
      <c r="C171" s="4">
        <v>35.92</v>
      </c>
      <c r="D171" t="s">
        <v>30</v>
      </c>
      <c r="E171" s="6">
        <v>1764.9262000000001</v>
      </c>
      <c r="F171" s="6">
        <f t="shared" si="2"/>
        <v>0</v>
      </c>
      <c r="G171" s="6">
        <f>Table1[[#This Row],[scalar]]-Table1[[#This Row],[adj]]</f>
        <v>1764.9262000000001</v>
      </c>
      <c r="H171" s="4">
        <f>Table1[[#This Row],[price_mkt_bid]]*Table1[[#This Row],[adj scalar]]</f>
        <v>63378.499841999997</v>
      </c>
      <c r="I171" s="4">
        <f>Table1[[#This Row],[price_mkt_ask]]*Table1[[#This Row],[adj scalar]]</f>
        <v>63396.149104000004</v>
      </c>
    </row>
    <row r="172" spans="1:9" x14ac:dyDescent="0.25">
      <c r="A172" t="s">
        <v>4</v>
      </c>
      <c r="B172" s="4">
        <v>20.98</v>
      </c>
      <c r="C172" s="4">
        <v>20.99</v>
      </c>
      <c r="D172" t="s">
        <v>31</v>
      </c>
      <c r="E172" s="6">
        <v>3014.7584999999999</v>
      </c>
      <c r="F172" s="6">
        <f t="shared" si="2"/>
        <v>-0.1</v>
      </c>
      <c r="G172" s="6">
        <f>Table1[[#This Row],[scalar]]-Table1[[#This Row],[adj]]</f>
        <v>3014.8584999999998</v>
      </c>
      <c r="H172" s="4">
        <f>Table1[[#This Row],[price_mkt_bid]]*Table1[[#This Row],[adj scalar]]</f>
        <v>63251.731329999995</v>
      </c>
      <c r="I172" s="4">
        <f>Table1[[#This Row],[price_mkt_ask]]*Table1[[#This Row],[adj scalar]]</f>
        <v>63281.87991499999</v>
      </c>
    </row>
    <row r="173" spans="1:9" x14ac:dyDescent="0.25">
      <c r="A173" t="s">
        <v>5</v>
      </c>
      <c r="B173" s="4">
        <v>34.36</v>
      </c>
      <c r="C173" s="4">
        <v>34.369999999999997</v>
      </c>
      <c r="D173" t="s">
        <v>31</v>
      </c>
      <c r="E173" s="6">
        <f>1841.9994-0.2393</f>
        <v>1841.7601</v>
      </c>
      <c r="F173" s="6">
        <f t="shared" si="2"/>
        <v>0.1</v>
      </c>
      <c r="G173" s="6">
        <f>Table1[[#This Row],[scalar]]-Table1[[#This Row],[adj]]</f>
        <v>1841.6601000000001</v>
      </c>
      <c r="H173" s="4">
        <f>Table1[[#This Row],[price_mkt_bid]]*Table1[[#This Row],[adj scalar]]</f>
        <v>63279.441036000004</v>
      </c>
      <c r="I173" s="4">
        <f>Table1[[#This Row],[price_mkt_ask]]*Table1[[#This Row],[adj scalar]]</f>
        <v>63297.857636999994</v>
      </c>
    </row>
    <row r="174" spans="1:9" x14ac:dyDescent="0.25">
      <c r="A174" t="s">
        <v>6</v>
      </c>
      <c r="B174" s="4">
        <v>17.84</v>
      </c>
      <c r="C174" s="4">
        <v>17.850000000000001</v>
      </c>
      <c r="D174" t="s">
        <v>31</v>
      </c>
      <c r="E174" s="6">
        <v>3546.3341999999998</v>
      </c>
      <c r="F174" s="6">
        <f t="shared" si="2"/>
        <v>0</v>
      </c>
      <c r="G174" s="6">
        <f>Table1[[#This Row],[scalar]]-Table1[[#This Row],[adj]]</f>
        <v>3546.3341999999998</v>
      </c>
      <c r="H174" s="4">
        <f>Table1[[#This Row],[price_mkt_bid]]*Table1[[#This Row],[adj scalar]]</f>
        <v>63266.602127999999</v>
      </c>
      <c r="I174" s="4">
        <f>Table1[[#This Row],[price_mkt_ask]]*Table1[[#This Row],[adj scalar]]</f>
        <v>63302.065470000001</v>
      </c>
    </row>
    <row r="175" spans="1:9" x14ac:dyDescent="0.25">
      <c r="A175" t="s">
        <v>7</v>
      </c>
      <c r="B175" s="4">
        <v>27.99</v>
      </c>
      <c r="C175" s="4">
        <v>28</v>
      </c>
      <c r="D175" t="s">
        <v>31</v>
      </c>
      <c r="E175" s="6">
        <f>2261.2393-0.03</f>
        <v>2261.2093</v>
      </c>
      <c r="F175" s="6">
        <f t="shared" si="2"/>
        <v>0.2</v>
      </c>
      <c r="G175" s="6">
        <f>Table1[[#This Row],[scalar]]-Table1[[#This Row],[adj]]</f>
        <v>2261.0093000000002</v>
      </c>
      <c r="H175" s="4">
        <f>Table1[[#This Row],[price_mkt_bid]]*Table1[[#This Row],[adj scalar]]</f>
        <v>63285.650307000004</v>
      </c>
      <c r="I175" s="4">
        <f>Table1[[#This Row],[price_mkt_ask]]*Table1[[#This Row],[adj scalar]]</f>
        <v>63308.260400000006</v>
      </c>
    </row>
    <row r="176" spans="1:9" x14ac:dyDescent="0.25">
      <c r="A176" t="s">
        <v>8</v>
      </c>
      <c r="B176" s="4">
        <v>66.86</v>
      </c>
      <c r="C176" s="4">
        <v>67</v>
      </c>
      <c r="D176" t="s">
        <v>31</v>
      </c>
      <c r="E176" s="6">
        <v>946.06489999999997</v>
      </c>
      <c r="F176" s="6">
        <f t="shared" si="2"/>
        <v>0</v>
      </c>
      <c r="G176" s="6">
        <f>Table1[[#This Row],[scalar]]-Table1[[#This Row],[adj]]</f>
        <v>946.06489999999997</v>
      </c>
      <c r="H176" s="4">
        <f>Table1[[#This Row],[price_mkt_bid]]*Table1[[#This Row],[adj scalar]]</f>
        <v>63253.899213999997</v>
      </c>
      <c r="I176" s="4">
        <f>Table1[[#This Row],[price_mkt_ask]]*Table1[[#This Row],[adj scalar]]</f>
        <v>63386.348299999998</v>
      </c>
    </row>
    <row r="177" spans="1:9" x14ac:dyDescent="0.25">
      <c r="A177" t="s">
        <v>9</v>
      </c>
      <c r="B177" s="4">
        <v>36.56</v>
      </c>
      <c r="C177" s="4">
        <v>36.58</v>
      </c>
      <c r="D177" t="s">
        <v>31</v>
      </c>
      <c r="E177" s="6">
        <v>1730.0288</v>
      </c>
      <c r="F177" s="6">
        <f t="shared" si="2"/>
        <v>-0.2</v>
      </c>
      <c r="G177" s="6">
        <f>Table1[[#This Row],[scalar]]-Table1[[#This Row],[adj]]</f>
        <v>1730.2288000000001</v>
      </c>
      <c r="H177" s="4">
        <f>Table1[[#This Row],[price_mkt_bid]]*Table1[[#This Row],[adj scalar]]</f>
        <v>63257.164928000006</v>
      </c>
      <c r="I177" s="4">
        <f>Table1[[#This Row],[price_mkt_ask]]*Table1[[#This Row],[adj scalar]]</f>
        <v>63291.769504000004</v>
      </c>
    </row>
    <row r="178" spans="1:9" x14ac:dyDescent="0.25">
      <c r="A178" t="s">
        <v>10</v>
      </c>
      <c r="B178" s="4">
        <v>55.09</v>
      </c>
      <c r="C178" s="4">
        <v>55.1</v>
      </c>
      <c r="D178" t="s">
        <v>31</v>
      </c>
      <c r="E178" s="6">
        <v>1148.7663</v>
      </c>
      <c r="F178" s="6">
        <f t="shared" si="2"/>
        <v>0.05</v>
      </c>
      <c r="G178" s="6">
        <f>Table1[[#This Row],[scalar]]-Table1[[#This Row],[adj]]</f>
        <v>1148.7163</v>
      </c>
      <c r="H178" s="4">
        <f>Table1[[#This Row],[price_mkt_bid]]*Table1[[#This Row],[adj scalar]]</f>
        <v>63282.780967000006</v>
      </c>
      <c r="I178" s="4">
        <f>Table1[[#This Row],[price_mkt_ask]]*Table1[[#This Row],[adj scalar]]</f>
        <v>63294.268130000004</v>
      </c>
    </row>
    <row r="179" spans="1:9" x14ac:dyDescent="0.25">
      <c r="A179" t="s">
        <v>11</v>
      </c>
      <c r="B179" s="4">
        <v>49.11</v>
      </c>
      <c r="C179" s="4">
        <v>49.12</v>
      </c>
      <c r="D179" t="s">
        <v>31</v>
      </c>
      <c r="E179" s="6">
        <v>1288.4784999999999</v>
      </c>
      <c r="F179" s="6">
        <f t="shared" si="2"/>
        <v>-0.05</v>
      </c>
      <c r="G179" s="6">
        <f>Table1[[#This Row],[scalar]]-Table1[[#This Row],[adj]]</f>
        <v>1288.5284999999999</v>
      </c>
      <c r="H179" s="4">
        <f>Table1[[#This Row],[price_mkt_bid]]*Table1[[#This Row],[adj scalar]]</f>
        <v>63279.634634999995</v>
      </c>
      <c r="I179" s="4">
        <f>Table1[[#This Row],[price_mkt_ask]]*Table1[[#This Row],[adj scalar]]</f>
        <v>63292.519919999992</v>
      </c>
    </row>
    <row r="180" spans="1:9" x14ac:dyDescent="0.25">
      <c r="A180" t="s">
        <v>12</v>
      </c>
      <c r="B180" s="4">
        <v>17.89</v>
      </c>
      <c r="C180" s="4">
        <v>17.899999999999999</v>
      </c>
      <c r="D180" t="s">
        <v>31</v>
      </c>
      <c r="E180" s="6">
        <v>3535.8029000000001</v>
      </c>
      <c r="F180" s="6">
        <f t="shared" si="2"/>
        <v>0</v>
      </c>
      <c r="G180" s="6">
        <f>Table1[[#This Row],[scalar]]-Table1[[#This Row],[adj]]</f>
        <v>3535.8029000000001</v>
      </c>
      <c r="H180" s="4">
        <f>Table1[[#This Row],[price_mkt_bid]]*Table1[[#This Row],[adj scalar]]</f>
        <v>63255.513881000006</v>
      </c>
      <c r="I180" s="4">
        <f>Table1[[#This Row],[price_mkt_ask]]*Table1[[#This Row],[adj scalar]]</f>
        <v>63290.871909999994</v>
      </c>
    </row>
    <row r="181" spans="1:9" x14ac:dyDescent="0.25">
      <c r="A181" t="s">
        <v>13</v>
      </c>
      <c r="B181" s="4">
        <v>35.85</v>
      </c>
      <c r="C181" s="4">
        <v>35.86</v>
      </c>
      <c r="D181" t="s">
        <v>31</v>
      </c>
      <c r="E181" s="6">
        <v>1764.9262000000001</v>
      </c>
      <c r="F181" s="6">
        <f t="shared" si="2"/>
        <v>0</v>
      </c>
      <c r="G181" s="6">
        <f>Table1[[#This Row],[scalar]]-Table1[[#This Row],[adj]]</f>
        <v>1764.9262000000001</v>
      </c>
      <c r="H181" s="4">
        <f>Table1[[#This Row],[price_mkt_bid]]*Table1[[#This Row],[adj scalar]]</f>
        <v>63272.604270000003</v>
      </c>
      <c r="I181" s="4">
        <f>Table1[[#This Row],[price_mkt_ask]]*Table1[[#This Row],[adj scalar]]</f>
        <v>63290.253532000002</v>
      </c>
    </row>
    <row r="182" spans="1:9" x14ac:dyDescent="0.25">
      <c r="A182" t="s">
        <v>4</v>
      </c>
      <c r="B182" s="4">
        <v>21.01</v>
      </c>
      <c r="C182" s="4">
        <v>21.02</v>
      </c>
      <c r="D182" t="s">
        <v>32</v>
      </c>
      <c r="E182" s="6">
        <v>3014.7584999999999</v>
      </c>
      <c r="F182" s="6">
        <f t="shared" si="2"/>
        <v>-0.1</v>
      </c>
      <c r="G182" s="6">
        <f>Table1[[#This Row],[scalar]]-Table1[[#This Row],[adj]]</f>
        <v>3014.8584999999998</v>
      </c>
      <c r="H182" s="4">
        <f>Table1[[#This Row],[price_mkt_bid]]*Table1[[#This Row],[adj scalar]]</f>
        <v>63342.177085000003</v>
      </c>
      <c r="I182" s="4">
        <f>Table1[[#This Row],[price_mkt_ask]]*Table1[[#This Row],[adj scalar]]</f>
        <v>63372.325669999998</v>
      </c>
    </row>
    <row r="183" spans="1:9" x14ac:dyDescent="0.25">
      <c r="A183" t="s">
        <v>5</v>
      </c>
      <c r="B183" s="4">
        <v>34.4</v>
      </c>
      <c r="C183" s="4">
        <v>34.409999999999997</v>
      </c>
      <c r="D183" t="s">
        <v>32</v>
      </c>
      <c r="E183" s="6">
        <f>1841.9994-0.2393</f>
        <v>1841.7601</v>
      </c>
      <c r="F183" s="6">
        <f t="shared" si="2"/>
        <v>0.1</v>
      </c>
      <c r="G183" s="6">
        <f>Table1[[#This Row],[scalar]]-Table1[[#This Row],[adj]]</f>
        <v>1841.6601000000001</v>
      </c>
      <c r="H183" s="4">
        <f>Table1[[#This Row],[price_mkt_bid]]*Table1[[#This Row],[adj scalar]]</f>
        <v>63353.10744</v>
      </c>
      <c r="I183" s="4">
        <f>Table1[[#This Row],[price_mkt_ask]]*Table1[[#This Row],[adj scalar]]</f>
        <v>63371.524040999997</v>
      </c>
    </row>
    <row r="184" spans="1:9" x14ac:dyDescent="0.25">
      <c r="A184" t="s">
        <v>6</v>
      </c>
      <c r="B184" s="4">
        <v>17.87</v>
      </c>
      <c r="C184" s="4">
        <v>17.88</v>
      </c>
      <c r="D184" t="s">
        <v>32</v>
      </c>
      <c r="E184" s="6">
        <v>3546.3341999999998</v>
      </c>
      <c r="F184" s="6">
        <f t="shared" si="2"/>
        <v>0</v>
      </c>
      <c r="G184" s="6">
        <f>Table1[[#This Row],[scalar]]-Table1[[#This Row],[adj]]</f>
        <v>3546.3341999999998</v>
      </c>
      <c r="H184" s="4">
        <f>Table1[[#This Row],[price_mkt_bid]]*Table1[[#This Row],[adj scalar]]</f>
        <v>63372.992154</v>
      </c>
      <c r="I184" s="4">
        <f>Table1[[#This Row],[price_mkt_ask]]*Table1[[#This Row],[adj scalar]]</f>
        <v>63408.455495999995</v>
      </c>
    </row>
    <row r="185" spans="1:9" x14ac:dyDescent="0.25">
      <c r="A185" t="s">
        <v>7</v>
      </c>
      <c r="B185" s="4">
        <v>28.03</v>
      </c>
      <c r="C185" s="4">
        <v>28.04</v>
      </c>
      <c r="D185" t="s">
        <v>32</v>
      </c>
      <c r="E185" s="6">
        <f>2261.2393-0.03</f>
        <v>2261.2093</v>
      </c>
      <c r="F185" s="6">
        <f t="shared" si="2"/>
        <v>0.2</v>
      </c>
      <c r="G185" s="6">
        <f>Table1[[#This Row],[scalar]]-Table1[[#This Row],[adj]]</f>
        <v>2261.0093000000002</v>
      </c>
      <c r="H185" s="4">
        <f>Table1[[#This Row],[price_mkt_bid]]*Table1[[#This Row],[adj scalar]]</f>
        <v>63376.090679000008</v>
      </c>
      <c r="I185" s="4">
        <f>Table1[[#This Row],[price_mkt_ask]]*Table1[[#This Row],[adj scalar]]</f>
        <v>63398.700772000004</v>
      </c>
    </row>
    <row r="186" spans="1:9" x14ac:dyDescent="0.25">
      <c r="A186" t="s">
        <v>8</v>
      </c>
      <c r="B186" s="4">
        <v>66.92</v>
      </c>
      <c r="C186" s="4">
        <v>67.06</v>
      </c>
      <c r="D186" t="s">
        <v>32</v>
      </c>
      <c r="E186" s="6">
        <v>946.06489999999997</v>
      </c>
      <c r="F186" s="6">
        <f t="shared" si="2"/>
        <v>0</v>
      </c>
      <c r="G186" s="6">
        <f>Table1[[#This Row],[scalar]]-Table1[[#This Row],[adj]]</f>
        <v>946.06489999999997</v>
      </c>
      <c r="H186" s="4">
        <f>Table1[[#This Row],[price_mkt_bid]]*Table1[[#This Row],[adj scalar]]</f>
        <v>63310.663108000001</v>
      </c>
      <c r="I186" s="4">
        <f>Table1[[#This Row],[price_mkt_ask]]*Table1[[#This Row],[adj scalar]]</f>
        <v>63443.112194000001</v>
      </c>
    </row>
    <row r="187" spans="1:9" x14ac:dyDescent="0.25">
      <c r="A187" t="s">
        <v>9</v>
      </c>
      <c r="B187" s="4">
        <v>36.619999999999997</v>
      </c>
      <c r="C187" s="4">
        <v>36.630000000000003</v>
      </c>
      <c r="D187" t="s">
        <v>32</v>
      </c>
      <c r="E187" s="6">
        <v>1730.0288</v>
      </c>
      <c r="F187" s="6">
        <f t="shared" si="2"/>
        <v>-0.2</v>
      </c>
      <c r="G187" s="6">
        <f>Table1[[#This Row],[scalar]]-Table1[[#This Row],[adj]]</f>
        <v>1730.2288000000001</v>
      </c>
      <c r="H187" s="4">
        <f>Table1[[#This Row],[price_mkt_bid]]*Table1[[#This Row],[adj scalar]]</f>
        <v>63360.978655999999</v>
      </c>
      <c r="I187" s="4">
        <f>Table1[[#This Row],[price_mkt_ask]]*Table1[[#This Row],[adj scalar]]</f>
        <v>63378.280944000006</v>
      </c>
    </row>
    <row r="188" spans="1:9" x14ac:dyDescent="0.25">
      <c r="A188" t="s">
        <v>10</v>
      </c>
      <c r="B188" s="4">
        <v>55.16</v>
      </c>
      <c r="C188" s="4">
        <v>55.17</v>
      </c>
      <c r="D188" t="s">
        <v>32</v>
      </c>
      <c r="E188" s="6">
        <v>1148.7663</v>
      </c>
      <c r="F188" s="6">
        <f t="shared" si="2"/>
        <v>0.05</v>
      </c>
      <c r="G188" s="6">
        <f>Table1[[#This Row],[scalar]]-Table1[[#This Row],[adj]]</f>
        <v>1148.7163</v>
      </c>
      <c r="H188" s="4">
        <f>Table1[[#This Row],[price_mkt_bid]]*Table1[[#This Row],[adj scalar]]</f>
        <v>63363.191107999999</v>
      </c>
      <c r="I188" s="4">
        <f>Table1[[#This Row],[price_mkt_ask]]*Table1[[#This Row],[adj scalar]]</f>
        <v>63374.678271000004</v>
      </c>
    </row>
    <row r="189" spans="1:9" x14ac:dyDescent="0.25">
      <c r="A189" t="s">
        <v>11</v>
      </c>
      <c r="B189" s="4">
        <v>49.17</v>
      </c>
      <c r="C189" s="4">
        <v>49.18</v>
      </c>
      <c r="D189" t="s">
        <v>32</v>
      </c>
      <c r="E189" s="6">
        <v>1288.4784999999999</v>
      </c>
      <c r="F189" s="6">
        <f t="shared" si="2"/>
        <v>-0.05</v>
      </c>
      <c r="G189" s="6">
        <f>Table1[[#This Row],[scalar]]-Table1[[#This Row],[adj]]</f>
        <v>1288.5284999999999</v>
      </c>
      <c r="H189" s="4">
        <f>Table1[[#This Row],[price_mkt_bid]]*Table1[[#This Row],[adj scalar]]</f>
        <v>63356.946344999997</v>
      </c>
      <c r="I189" s="4">
        <f>Table1[[#This Row],[price_mkt_ask]]*Table1[[#This Row],[adj scalar]]</f>
        <v>63369.831629999993</v>
      </c>
    </row>
    <row r="190" spans="1:9" x14ac:dyDescent="0.25">
      <c r="A190" t="s">
        <v>12</v>
      </c>
      <c r="B190" s="4">
        <v>17.920000000000002</v>
      </c>
      <c r="C190" s="4">
        <v>17.93</v>
      </c>
      <c r="D190" t="s">
        <v>32</v>
      </c>
      <c r="E190" s="6">
        <v>3535.8029000000001</v>
      </c>
      <c r="F190" s="6">
        <f t="shared" si="2"/>
        <v>0</v>
      </c>
      <c r="G190" s="6">
        <f>Table1[[#This Row],[scalar]]-Table1[[#This Row],[adj]]</f>
        <v>3535.8029000000001</v>
      </c>
      <c r="H190" s="4">
        <f>Table1[[#This Row],[price_mkt_bid]]*Table1[[#This Row],[adj scalar]]</f>
        <v>63361.587968000007</v>
      </c>
      <c r="I190" s="4">
        <f>Table1[[#This Row],[price_mkt_ask]]*Table1[[#This Row],[adj scalar]]</f>
        <v>63396.945997000003</v>
      </c>
    </row>
    <row r="191" spans="1:9" x14ac:dyDescent="0.25">
      <c r="A191" t="s">
        <v>13</v>
      </c>
      <c r="B191" s="4">
        <v>35.9</v>
      </c>
      <c r="C191" s="4">
        <v>35.909999999999997</v>
      </c>
      <c r="D191" t="s">
        <v>32</v>
      </c>
      <c r="E191" s="6">
        <v>1764.9262000000001</v>
      </c>
      <c r="F191" s="6">
        <f t="shared" si="2"/>
        <v>0</v>
      </c>
      <c r="G191" s="6">
        <f>Table1[[#This Row],[scalar]]-Table1[[#This Row],[adj]]</f>
        <v>1764.9262000000001</v>
      </c>
      <c r="H191" s="4">
        <f>Table1[[#This Row],[price_mkt_bid]]*Table1[[#This Row],[adj scalar]]</f>
        <v>63360.850579999998</v>
      </c>
      <c r="I191" s="4">
        <f>Table1[[#This Row],[price_mkt_ask]]*Table1[[#This Row],[adj scalar]]</f>
        <v>63378.499841999997</v>
      </c>
    </row>
    <row r="192" spans="1:9" x14ac:dyDescent="0.25">
      <c r="A192" t="s">
        <v>4</v>
      </c>
      <c r="B192" s="4">
        <v>21.03</v>
      </c>
      <c r="C192" s="4">
        <v>21.04</v>
      </c>
      <c r="D192" t="s">
        <v>33</v>
      </c>
      <c r="E192" s="6">
        <v>3014.7584999999999</v>
      </c>
      <c r="F192" s="6">
        <f t="shared" si="2"/>
        <v>-0.1</v>
      </c>
      <c r="G192" s="6">
        <f>Table1[[#This Row],[scalar]]-Table1[[#This Row],[adj]]</f>
        <v>3014.8584999999998</v>
      </c>
      <c r="H192" s="4">
        <f>Table1[[#This Row],[price_mkt_bid]]*Table1[[#This Row],[adj scalar]]</f>
        <v>63402.474255000001</v>
      </c>
      <c r="I192" s="4">
        <f>Table1[[#This Row],[price_mkt_ask]]*Table1[[#This Row],[adj scalar]]</f>
        <v>63432.622839999996</v>
      </c>
    </row>
    <row r="193" spans="1:9" x14ac:dyDescent="0.25">
      <c r="A193" t="s">
        <v>5</v>
      </c>
      <c r="B193" s="4">
        <v>34.43</v>
      </c>
      <c r="C193" s="4">
        <v>34.44</v>
      </c>
      <c r="D193" t="s">
        <v>33</v>
      </c>
      <c r="E193" s="6">
        <f>1841.9994-0.2393</f>
        <v>1841.7601</v>
      </c>
      <c r="F193" s="6">
        <f t="shared" si="2"/>
        <v>0.1</v>
      </c>
      <c r="G193" s="6">
        <f>Table1[[#This Row],[scalar]]-Table1[[#This Row],[adj]]</f>
        <v>1841.6601000000001</v>
      </c>
      <c r="H193" s="4">
        <f>Table1[[#This Row],[price_mkt_bid]]*Table1[[#This Row],[adj scalar]]</f>
        <v>63408.357242999999</v>
      </c>
      <c r="I193" s="4">
        <f>Table1[[#This Row],[price_mkt_ask]]*Table1[[#This Row],[adj scalar]]</f>
        <v>63426.773843999996</v>
      </c>
    </row>
    <row r="194" spans="1:9" x14ac:dyDescent="0.25">
      <c r="A194" t="s">
        <v>6</v>
      </c>
      <c r="B194" s="4">
        <v>17.88</v>
      </c>
      <c r="C194" s="4">
        <v>17.89</v>
      </c>
      <c r="D194" t="s">
        <v>33</v>
      </c>
      <c r="E194" s="6">
        <v>3546.3341999999998</v>
      </c>
      <c r="F194" s="6">
        <f t="shared" si="2"/>
        <v>0</v>
      </c>
      <c r="G194" s="6">
        <f>Table1[[#This Row],[scalar]]-Table1[[#This Row],[adj]]</f>
        <v>3546.3341999999998</v>
      </c>
      <c r="H194" s="4">
        <f>Table1[[#This Row],[price_mkt_bid]]*Table1[[#This Row],[adj scalar]]</f>
        <v>63408.455495999995</v>
      </c>
      <c r="I194" s="4">
        <f>Table1[[#This Row],[price_mkt_ask]]*Table1[[#This Row],[adj scalar]]</f>
        <v>63443.918837999998</v>
      </c>
    </row>
    <row r="195" spans="1:9" x14ac:dyDescent="0.25">
      <c r="A195" t="s">
        <v>7</v>
      </c>
      <c r="B195" s="4">
        <v>28.05</v>
      </c>
      <c r="C195" s="4">
        <v>28.06</v>
      </c>
      <c r="D195" t="s">
        <v>33</v>
      </c>
      <c r="E195" s="6">
        <f>2261.2393-0.03</f>
        <v>2261.2093</v>
      </c>
      <c r="F195" s="6">
        <f t="shared" si="2"/>
        <v>0.2</v>
      </c>
      <c r="G195" s="6">
        <f>Table1[[#This Row],[scalar]]-Table1[[#This Row],[adj]]</f>
        <v>2261.0093000000002</v>
      </c>
      <c r="H195" s="4">
        <f>Table1[[#This Row],[price_mkt_bid]]*Table1[[#This Row],[adj scalar]]</f>
        <v>63421.310865000007</v>
      </c>
      <c r="I195" s="4">
        <f>Table1[[#This Row],[price_mkt_ask]]*Table1[[#This Row],[adj scalar]]</f>
        <v>63443.920958000002</v>
      </c>
    </row>
    <row r="196" spans="1:9" x14ac:dyDescent="0.25">
      <c r="A196" t="s">
        <v>8</v>
      </c>
      <c r="B196" s="4">
        <v>67.03</v>
      </c>
      <c r="C196" s="4">
        <v>67.14</v>
      </c>
      <c r="D196" t="s">
        <v>33</v>
      </c>
      <c r="E196" s="6">
        <v>946.06489999999997</v>
      </c>
      <c r="F196" s="6">
        <f t="shared" si="2"/>
        <v>0</v>
      </c>
      <c r="G196" s="6">
        <f>Table1[[#This Row],[scalar]]-Table1[[#This Row],[adj]]</f>
        <v>946.06489999999997</v>
      </c>
      <c r="H196" s="4">
        <f>Table1[[#This Row],[price_mkt_bid]]*Table1[[#This Row],[adj scalar]]</f>
        <v>63414.730247</v>
      </c>
      <c r="I196" s="4">
        <f>Table1[[#This Row],[price_mkt_ask]]*Table1[[#This Row],[adj scalar]]</f>
        <v>63518.797385999998</v>
      </c>
    </row>
    <row r="197" spans="1:9" x14ac:dyDescent="0.25">
      <c r="A197" t="s">
        <v>9</v>
      </c>
      <c r="B197" s="4">
        <v>36.65</v>
      </c>
      <c r="C197" s="4">
        <v>36.659999999999997</v>
      </c>
      <c r="D197" t="s">
        <v>33</v>
      </c>
      <c r="E197" s="6">
        <v>1730.0288</v>
      </c>
      <c r="F197" s="6">
        <f t="shared" si="2"/>
        <v>-0.2</v>
      </c>
      <c r="G197" s="6">
        <f>Table1[[#This Row],[scalar]]-Table1[[#This Row],[adj]]</f>
        <v>1730.2288000000001</v>
      </c>
      <c r="H197" s="4">
        <f>Table1[[#This Row],[price_mkt_bid]]*Table1[[#This Row],[adj scalar]]</f>
        <v>63412.885520000003</v>
      </c>
      <c r="I197" s="4">
        <f>Table1[[#This Row],[price_mkt_ask]]*Table1[[#This Row],[adj scalar]]</f>
        <v>63430.187807999995</v>
      </c>
    </row>
    <row r="198" spans="1:9" x14ac:dyDescent="0.25">
      <c r="A198" t="s">
        <v>10</v>
      </c>
      <c r="B198" s="4">
        <v>55.21</v>
      </c>
      <c r="C198" s="4">
        <v>55.22</v>
      </c>
      <c r="D198" t="s">
        <v>33</v>
      </c>
      <c r="E198" s="6">
        <v>1148.7663</v>
      </c>
      <c r="F198" s="6">
        <f t="shared" si="2"/>
        <v>0.05</v>
      </c>
      <c r="G198" s="6">
        <f>Table1[[#This Row],[scalar]]-Table1[[#This Row],[adj]]</f>
        <v>1148.7163</v>
      </c>
      <c r="H198" s="4">
        <f>Table1[[#This Row],[price_mkt_bid]]*Table1[[#This Row],[adj scalar]]</f>
        <v>63420.626923000003</v>
      </c>
      <c r="I198" s="4">
        <f>Table1[[#This Row],[price_mkt_ask]]*Table1[[#This Row],[adj scalar]]</f>
        <v>63432.114086000001</v>
      </c>
    </row>
    <row r="199" spans="1:9" x14ac:dyDescent="0.25">
      <c r="A199" t="s">
        <v>11</v>
      </c>
      <c r="B199" s="4">
        <v>49.22</v>
      </c>
      <c r="C199" s="4">
        <v>49.23</v>
      </c>
      <c r="D199" t="s">
        <v>33</v>
      </c>
      <c r="E199" s="6">
        <v>1288.4784999999999</v>
      </c>
      <c r="F199" s="6">
        <f t="shared" si="2"/>
        <v>-0.05</v>
      </c>
      <c r="G199" s="6">
        <f>Table1[[#This Row],[scalar]]-Table1[[#This Row],[adj]]</f>
        <v>1288.5284999999999</v>
      </c>
      <c r="H199" s="4">
        <f>Table1[[#This Row],[price_mkt_bid]]*Table1[[#This Row],[adj scalar]]</f>
        <v>63421.372769999994</v>
      </c>
      <c r="I199" s="4">
        <f>Table1[[#This Row],[price_mkt_ask]]*Table1[[#This Row],[adj scalar]]</f>
        <v>63434.258054999991</v>
      </c>
    </row>
    <row r="200" spans="1:9" x14ac:dyDescent="0.25">
      <c r="A200" t="s">
        <v>12</v>
      </c>
      <c r="B200" s="4">
        <v>17.93</v>
      </c>
      <c r="C200" s="4">
        <v>17.940000000000001</v>
      </c>
      <c r="D200" t="s">
        <v>33</v>
      </c>
      <c r="E200" s="6">
        <v>3535.8029000000001</v>
      </c>
      <c r="F200" s="6">
        <f t="shared" si="2"/>
        <v>0</v>
      </c>
      <c r="G200" s="6">
        <f>Table1[[#This Row],[scalar]]-Table1[[#This Row],[adj]]</f>
        <v>3535.8029000000001</v>
      </c>
      <c r="H200" s="4">
        <f>Table1[[#This Row],[price_mkt_bid]]*Table1[[#This Row],[adj scalar]]</f>
        <v>63396.945997000003</v>
      </c>
      <c r="I200" s="4">
        <f>Table1[[#This Row],[price_mkt_ask]]*Table1[[#This Row],[adj scalar]]</f>
        <v>63432.304026000005</v>
      </c>
    </row>
    <row r="201" spans="1:9" x14ac:dyDescent="0.25">
      <c r="A201" t="s">
        <v>13</v>
      </c>
      <c r="B201" s="4">
        <v>35.93</v>
      </c>
      <c r="C201" s="4">
        <v>35.94</v>
      </c>
      <c r="D201" t="s">
        <v>33</v>
      </c>
      <c r="E201" s="6">
        <v>1764.9262000000001</v>
      </c>
      <c r="F201" s="6">
        <f t="shared" si="2"/>
        <v>0</v>
      </c>
      <c r="G201" s="6">
        <f>Table1[[#This Row],[scalar]]-Table1[[#This Row],[adj]]</f>
        <v>1764.9262000000001</v>
      </c>
      <c r="H201" s="4">
        <f>Table1[[#This Row],[price_mkt_bid]]*Table1[[#This Row],[adj scalar]]</f>
        <v>63413.798366000003</v>
      </c>
      <c r="I201" s="4">
        <f>Table1[[#This Row],[price_mkt_ask]]*Table1[[#This Row],[adj scalar]]</f>
        <v>63431.447628000002</v>
      </c>
    </row>
    <row r="202" spans="1:9" x14ac:dyDescent="0.25">
      <c r="A202" t="s">
        <v>4</v>
      </c>
      <c r="B202" s="4">
        <v>21.03</v>
      </c>
      <c r="C202" s="4">
        <v>21.04</v>
      </c>
      <c r="D202" t="s">
        <v>34</v>
      </c>
      <c r="E202" s="6">
        <v>3014.7584999999999</v>
      </c>
      <c r="F202" s="6">
        <f t="shared" si="2"/>
        <v>-0.1</v>
      </c>
      <c r="G202" s="6">
        <f>Table1[[#This Row],[scalar]]-Table1[[#This Row],[adj]]</f>
        <v>3014.8584999999998</v>
      </c>
      <c r="H202" s="4">
        <f>Table1[[#This Row],[price_mkt_bid]]*Table1[[#This Row],[adj scalar]]</f>
        <v>63402.474255000001</v>
      </c>
      <c r="I202" s="4">
        <f>Table1[[#This Row],[price_mkt_ask]]*Table1[[#This Row],[adj scalar]]</f>
        <v>63432.622839999996</v>
      </c>
    </row>
    <row r="203" spans="1:9" x14ac:dyDescent="0.25">
      <c r="A203" t="s">
        <v>5</v>
      </c>
      <c r="B203" s="4">
        <v>34.43</v>
      </c>
      <c r="C203" s="4">
        <v>34.44</v>
      </c>
      <c r="D203" t="s">
        <v>34</v>
      </c>
      <c r="E203" s="6">
        <f>1841.9994-0.2393</f>
        <v>1841.7601</v>
      </c>
      <c r="F203" s="6">
        <f t="shared" si="2"/>
        <v>0.1</v>
      </c>
      <c r="G203" s="6">
        <f>Table1[[#This Row],[scalar]]-Table1[[#This Row],[adj]]</f>
        <v>1841.6601000000001</v>
      </c>
      <c r="H203" s="4">
        <f>Table1[[#This Row],[price_mkt_bid]]*Table1[[#This Row],[adj scalar]]</f>
        <v>63408.357242999999</v>
      </c>
      <c r="I203" s="4">
        <f>Table1[[#This Row],[price_mkt_ask]]*Table1[[#This Row],[adj scalar]]</f>
        <v>63426.773843999996</v>
      </c>
    </row>
    <row r="204" spans="1:9" x14ac:dyDescent="0.25">
      <c r="A204" t="s">
        <v>6</v>
      </c>
      <c r="B204" s="4">
        <v>17.88</v>
      </c>
      <c r="C204" s="4">
        <v>17.89</v>
      </c>
      <c r="D204" t="s">
        <v>34</v>
      </c>
      <c r="E204" s="6">
        <v>3546.3341999999998</v>
      </c>
      <c r="F204" s="6">
        <f t="shared" si="2"/>
        <v>0</v>
      </c>
      <c r="G204" s="6">
        <f>Table1[[#This Row],[scalar]]-Table1[[#This Row],[adj]]</f>
        <v>3546.3341999999998</v>
      </c>
      <c r="H204" s="4">
        <f>Table1[[#This Row],[price_mkt_bid]]*Table1[[#This Row],[adj scalar]]</f>
        <v>63408.455495999995</v>
      </c>
      <c r="I204" s="4">
        <f>Table1[[#This Row],[price_mkt_ask]]*Table1[[#This Row],[adj scalar]]</f>
        <v>63443.918837999998</v>
      </c>
    </row>
    <row r="205" spans="1:9" x14ac:dyDescent="0.25">
      <c r="A205" t="s">
        <v>7</v>
      </c>
      <c r="B205" s="4">
        <v>28.05</v>
      </c>
      <c r="C205" s="4">
        <v>28.06</v>
      </c>
      <c r="D205" t="s">
        <v>34</v>
      </c>
      <c r="E205" s="6">
        <f>2261.2393-0.03</f>
        <v>2261.2093</v>
      </c>
      <c r="F205" s="6">
        <f t="shared" ref="F205:F251" si="3">F195</f>
        <v>0.2</v>
      </c>
      <c r="G205" s="6">
        <f>Table1[[#This Row],[scalar]]-Table1[[#This Row],[adj]]</f>
        <v>2261.0093000000002</v>
      </c>
      <c r="H205" s="4">
        <f>Table1[[#This Row],[price_mkt_bid]]*Table1[[#This Row],[adj scalar]]</f>
        <v>63421.310865000007</v>
      </c>
      <c r="I205" s="4">
        <f>Table1[[#This Row],[price_mkt_ask]]*Table1[[#This Row],[adj scalar]]</f>
        <v>63443.920958000002</v>
      </c>
    </row>
    <row r="206" spans="1:9" x14ac:dyDescent="0.25">
      <c r="A206" t="s">
        <v>8</v>
      </c>
      <c r="B206" s="4">
        <v>67.010000000000005</v>
      </c>
      <c r="C206" s="4">
        <v>67.150000000000006</v>
      </c>
      <c r="D206" t="s">
        <v>34</v>
      </c>
      <c r="E206" s="6">
        <v>946.06489999999997</v>
      </c>
      <c r="F206" s="6">
        <f t="shared" si="3"/>
        <v>0</v>
      </c>
      <c r="G206" s="6">
        <f>Table1[[#This Row],[scalar]]-Table1[[#This Row],[adj]]</f>
        <v>946.06489999999997</v>
      </c>
      <c r="H206" s="4">
        <f>Table1[[#This Row],[price_mkt_bid]]*Table1[[#This Row],[adj scalar]]</f>
        <v>63395.808949000006</v>
      </c>
      <c r="I206" s="4">
        <f>Table1[[#This Row],[price_mkt_ask]]*Table1[[#This Row],[adj scalar]]</f>
        <v>63528.258035000006</v>
      </c>
    </row>
    <row r="207" spans="1:9" x14ac:dyDescent="0.25">
      <c r="A207" t="s">
        <v>9</v>
      </c>
      <c r="B207" s="4">
        <v>36.64</v>
      </c>
      <c r="C207" s="4">
        <v>36.65</v>
      </c>
      <c r="D207" t="s">
        <v>34</v>
      </c>
      <c r="E207" s="6">
        <v>1730.0288</v>
      </c>
      <c r="F207" s="6">
        <f t="shared" si="3"/>
        <v>-0.2</v>
      </c>
      <c r="G207" s="6">
        <f>Table1[[#This Row],[scalar]]-Table1[[#This Row],[adj]]</f>
        <v>1730.2288000000001</v>
      </c>
      <c r="H207" s="4">
        <f>Table1[[#This Row],[price_mkt_bid]]*Table1[[#This Row],[adj scalar]]</f>
        <v>63395.583232000005</v>
      </c>
      <c r="I207" s="4">
        <f>Table1[[#This Row],[price_mkt_ask]]*Table1[[#This Row],[adj scalar]]</f>
        <v>63412.885520000003</v>
      </c>
    </row>
    <row r="208" spans="1:9" x14ac:dyDescent="0.25">
      <c r="A208" t="s">
        <v>10</v>
      </c>
      <c r="B208" s="4">
        <v>55.21</v>
      </c>
      <c r="C208" s="4">
        <v>55.22</v>
      </c>
      <c r="D208" t="s">
        <v>34</v>
      </c>
      <c r="E208" s="6">
        <v>1148.7663</v>
      </c>
      <c r="F208" s="6">
        <f t="shared" si="3"/>
        <v>0.05</v>
      </c>
      <c r="G208" s="6">
        <f>Table1[[#This Row],[scalar]]-Table1[[#This Row],[adj]]</f>
        <v>1148.7163</v>
      </c>
      <c r="H208" s="4">
        <f>Table1[[#This Row],[price_mkt_bid]]*Table1[[#This Row],[adj scalar]]</f>
        <v>63420.626923000003</v>
      </c>
      <c r="I208" s="4">
        <f>Table1[[#This Row],[price_mkt_ask]]*Table1[[#This Row],[adj scalar]]</f>
        <v>63432.114086000001</v>
      </c>
    </row>
    <row r="209" spans="1:9" x14ac:dyDescent="0.25">
      <c r="A209" t="s">
        <v>11</v>
      </c>
      <c r="B209" s="4">
        <v>49.21</v>
      </c>
      <c r="C209" s="4">
        <v>49.22</v>
      </c>
      <c r="D209" t="s">
        <v>34</v>
      </c>
      <c r="E209" s="6">
        <v>1288.4784999999999</v>
      </c>
      <c r="F209" s="6">
        <f t="shared" si="3"/>
        <v>-0.05</v>
      </c>
      <c r="G209" s="6">
        <f>Table1[[#This Row],[scalar]]-Table1[[#This Row],[adj]]</f>
        <v>1288.5284999999999</v>
      </c>
      <c r="H209" s="4">
        <f>Table1[[#This Row],[price_mkt_bid]]*Table1[[#This Row],[adj scalar]]</f>
        <v>63408.487484999998</v>
      </c>
      <c r="I209" s="4">
        <f>Table1[[#This Row],[price_mkt_ask]]*Table1[[#This Row],[adj scalar]]</f>
        <v>63421.372769999994</v>
      </c>
    </row>
    <row r="210" spans="1:9" x14ac:dyDescent="0.25">
      <c r="A210" t="s">
        <v>12</v>
      </c>
      <c r="B210" s="4">
        <v>17.93</v>
      </c>
      <c r="C210" s="4">
        <v>17.940000000000001</v>
      </c>
      <c r="D210" t="s">
        <v>34</v>
      </c>
      <c r="E210" s="6">
        <v>3535.8029000000001</v>
      </c>
      <c r="F210" s="6">
        <f t="shared" si="3"/>
        <v>0</v>
      </c>
      <c r="G210" s="6">
        <f>Table1[[#This Row],[scalar]]-Table1[[#This Row],[adj]]</f>
        <v>3535.8029000000001</v>
      </c>
      <c r="H210" s="4">
        <f>Table1[[#This Row],[price_mkt_bid]]*Table1[[#This Row],[adj scalar]]</f>
        <v>63396.945997000003</v>
      </c>
      <c r="I210" s="4">
        <f>Table1[[#This Row],[price_mkt_ask]]*Table1[[#This Row],[adj scalar]]</f>
        <v>63432.304026000005</v>
      </c>
    </row>
    <row r="211" spans="1:9" x14ac:dyDescent="0.25">
      <c r="A211" t="s">
        <v>13</v>
      </c>
      <c r="B211" s="4">
        <v>35.92</v>
      </c>
      <c r="C211" s="4">
        <v>35.93</v>
      </c>
      <c r="D211" t="s">
        <v>34</v>
      </c>
      <c r="E211" s="6">
        <v>1764.9262000000001</v>
      </c>
      <c r="F211" s="6">
        <f t="shared" si="3"/>
        <v>0</v>
      </c>
      <c r="G211" s="6">
        <f>Table1[[#This Row],[scalar]]-Table1[[#This Row],[adj]]</f>
        <v>1764.9262000000001</v>
      </c>
      <c r="H211" s="4">
        <f>Table1[[#This Row],[price_mkt_bid]]*Table1[[#This Row],[adj scalar]]</f>
        <v>63396.149104000004</v>
      </c>
      <c r="I211" s="4">
        <f>Table1[[#This Row],[price_mkt_ask]]*Table1[[#This Row],[adj scalar]]</f>
        <v>63413.798366000003</v>
      </c>
    </row>
    <row r="212" spans="1:9" x14ac:dyDescent="0.25">
      <c r="A212" t="s">
        <v>4</v>
      </c>
      <c r="B212" s="4">
        <v>21.02</v>
      </c>
      <c r="C212" s="4">
        <v>21.03</v>
      </c>
      <c r="D212" t="s">
        <v>35</v>
      </c>
      <c r="E212" s="6">
        <v>3014.7584999999999</v>
      </c>
      <c r="F212" s="6">
        <f t="shared" si="3"/>
        <v>-0.1</v>
      </c>
      <c r="G212" s="6">
        <f>Table1[[#This Row],[scalar]]-Table1[[#This Row],[adj]]</f>
        <v>3014.8584999999998</v>
      </c>
      <c r="H212" s="4">
        <f>Table1[[#This Row],[price_mkt_bid]]*Table1[[#This Row],[adj scalar]]</f>
        <v>63372.325669999998</v>
      </c>
      <c r="I212" s="4">
        <f>Table1[[#This Row],[price_mkt_ask]]*Table1[[#This Row],[adj scalar]]</f>
        <v>63402.474255000001</v>
      </c>
    </row>
    <row r="213" spans="1:9" x14ac:dyDescent="0.25">
      <c r="A213" t="s">
        <v>5</v>
      </c>
      <c r="B213" s="4">
        <v>34.409999999999997</v>
      </c>
      <c r="C213" s="4">
        <v>34.42</v>
      </c>
      <c r="D213" t="s">
        <v>35</v>
      </c>
      <c r="E213" s="6">
        <f>1841.9994-0.2393</f>
        <v>1841.7601</v>
      </c>
      <c r="F213" s="6">
        <f t="shared" si="3"/>
        <v>0.1</v>
      </c>
      <c r="G213" s="6">
        <f>Table1[[#This Row],[scalar]]-Table1[[#This Row],[adj]]</f>
        <v>1841.6601000000001</v>
      </c>
      <c r="H213" s="4">
        <f>Table1[[#This Row],[price_mkt_bid]]*Table1[[#This Row],[adj scalar]]</f>
        <v>63371.524040999997</v>
      </c>
      <c r="I213" s="4">
        <f>Table1[[#This Row],[price_mkt_ask]]*Table1[[#This Row],[adj scalar]]</f>
        <v>63389.940642000009</v>
      </c>
    </row>
    <row r="214" spans="1:9" x14ac:dyDescent="0.25">
      <c r="A214" t="s">
        <v>6</v>
      </c>
      <c r="B214" s="4">
        <v>17.87</v>
      </c>
      <c r="C214" s="4">
        <v>17.88</v>
      </c>
      <c r="D214" t="s">
        <v>35</v>
      </c>
      <c r="E214" s="6">
        <v>3546.3341999999998</v>
      </c>
      <c r="F214" s="6">
        <f t="shared" si="3"/>
        <v>0</v>
      </c>
      <c r="G214" s="6">
        <f>Table1[[#This Row],[scalar]]-Table1[[#This Row],[adj]]</f>
        <v>3546.3341999999998</v>
      </c>
      <c r="H214" s="4">
        <f>Table1[[#This Row],[price_mkt_bid]]*Table1[[#This Row],[adj scalar]]</f>
        <v>63372.992154</v>
      </c>
      <c r="I214" s="4">
        <f>Table1[[#This Row],[price_mkt_ask]]*Table1[[#This Row],[adj scalar]]</f>
        <v>63408.455495999995</v>
      </c>
    </row>
    <row r="215" spans="1:9" x14ac:dyDescent="0.25">
      <c r="A215" t="s">
        <v>7</v>
      </c>
      <c r="B215" s="4">
        <v>28.03</v>
      </c>
      <c r="C215" s="4">
        <v>28.04</v>
      </c>
      <c r="D215" t="s">
        <v>35</v>
      </c>
      <c r="E215" s="6">
        <f>2261.2393-0.03</f>
        <v>2261.2093</v>
      </c>
      <c r="F215" s="6">
        <f t="shared" si="3"/>
        <v>0.2</v>
      </c>
      <c r="G215" s="6">
        <f>Table1[[#This Row],[scalar]]-Table1[[#This Row],[adj]]</f>
        <v>2261.0093000000002</v>
      </c>
      <c r="H215" s="4">
        <f>Table1[[#This Row],[price_mkt_bid]]*Table1[[#This Row],[adj scalar]]</f>
        <v>63376.090679000008</v>
      </c>
      <c r="I215" s="4">
        <f>Table1[[#This Row],[price_mkt_ask]]*Table1[[#This Row],[adj scalar]]</f>
        <v>63398.700772000004</v>
      </c>
    </row>
    <row r="216" spans="1:9" x14ac:dyDescent="0.25">
      <c r="A216" t="s">
        <v>8</v>
      </c>
      <c r="B216" s="4">
        <v>66.98</v>
      </c>
      <c r="C216" s="4">
        <v>67.09</v>
      </c>
      <c r="D216" t="s">
        <v>35</v>
      </c>
      <c r="E216" s="6">
        <v>946.06489999999997</v>
      </c>
      <c r="F216" s="6">
        <f t="shared" si="3"/>
        <v>0</v>
      </c>
      <c r="G216" s="6">
        <f>Table1[[#This Row],[scalar]]-Table1[[#This Row],[adj]]</f>
        <v>946.06489999999997</v>
      </c>
      <c r="H216" s="4">
        <f>Table1[[#This Row],[price_mkt_bid]]*Table1[[#This Row],[adj scalar]]</f>
        <v>63367.427002000004</v>
      </c>
      <c r="I216" s="4">
        <f>Table1[[#This Row],[price_mkt_ask]]*Table1[[#This Row],[adj scalar]]</f>
        <v>63471.494141000003</v>
      </c>
    </row>
    <row r="217" spans="1:9" x14ac:dyDescent="0.25">
      <c r="A217" t="s">
        <v>9</v>
      </c>
      <c r="B217" s="4">
        <v>36.630000000000003</v>
      </c>
      <c r="C217" s="4">
        <v>36.64</v>
      </c>
      <c r="D217" t="s">
        <v>35</v>
      </c>
      <c r="E217" s="6">
        <v>1730.0288</v>
      </c>
      <c r="F217" s="6">
        <f t="shared" si="3"/>
        <v>-0.2</v>
      </c>
      <c r="G217" s="6">
        <f>Table1[[#This Row],[scalar]]-Table1[[#This Row],[adj]]</f>
        <v>1730.2288000000001</v>
      </c>
      <c r="H217" s="4">
        <f>Table1[[#This Row],[price_mkt_bid]]*Table1[[#This Row],[adj scalar]]</f>
        <v>63378.280944000006</v>
      </c>
      <c r="I217" s="4">
        <f>Table1[[#This Row],[price_mkt_ask]]*Table1[[#This Row],[adj scalar]]</f>
        <v>63395.583232000005</v>
      </c>
    </row>
    <row r="218" spans="1:9" x14ac:dyDescent="0.25">
      <c r="A218" t="s">
        <v>10</v>
      </c>
      <c r="B218" s="4">
        <v>55.18</v>
      </c>
      <c r="C218" s="4">
        <v>55.19</v>
      </c>
      <c r="D218" t="s">
        <v>35</v>
      </c>
      <c r="E218" s="6">
        <v>1148.7663</v>
      </c>
      <c r="F218" s="6">
        <f t="shared" si="3"/>
        <v>0.05</v>
      </c>
      <c r="G218" s="6">
        <f>Table1[[#This Row],[scalar]]-Table1[[#This Row],[adj]]</f>
        <v>1148.7163</v>
      </c>
      <c r="H218" s="4">
        <f>Table1[[#This Row],[price_mkt_bid]]*Table1[[#This Row],[adj scalar]]</f>
        <v>63386.165434000002</v>
      </c>
      <c r="I218" s="4">
        <f>Table1[[#This Row],[price_mkt_ask]]*Table1[[#This Row],[adj scalar]]</f>
        <v>63397.652597</v>
      </c>
    </row>
    <row r="219" spans="1:9" x14ac:dyDescent="0.25">
      <c r="A219" t="s">
        <v>11</v>
      </c>
      <c r="B219" s="4">
        <v>49.19</v>
      </c>
      <c r="C219" s="4">
        <v>49.2</v>
      </c>
      <c r="D219" t="s">
        <v>35</v>
      </c>
      <c r="E219" s="6">
        <v>1288.4784999999999</v>
      </c>
      <c r="F219" s="6">
        <f t="shared" si="3"/>
        <v>-0.05</v>
      </c>
      <c r="G219" s="6">
        <f>Table1[[#This Row],[scalar]]-Table1[[#This Row],[adj]]</f>
        <v>1288.5284999999999</v>
      </c>
      <c r="H219" s="4">
        <f>Table1[[#This Row],[price_mkt_bid]]*Table1[[#This Row],[adj scalar]]</f>
        <v>63382.71691499999</v>
      </c>
      <c r="I219" s="4">
        <f>Table1[[#This Row],[price_mkt_ask]]*Table1[[#This Row],[adj scalar]]</f>
        <v>63395.602200000001</v>
      </c>
    </row>
    <row r="220" spans="1:9" x14ac:dyDescent="0.25">
      <c r="A220" t="s">
        <v>12</v>
      </c>
      <c r="B220" s="4">
        <v>17.93</v>
      </c>
      <c r="C220" s="4">
        <v>17.940000000000001</v>
      </c>
      <c r="D220" t="s">
        <v>35</v>
      </c>
      <c r="E220" s="6">
        <v>3535.8029000000001</v>
      </c>
      <c r="F220" s="6">
        <f t="shared" si="3"/>
        <v>0</v>
      </c>
      <c r="G220" s="6">
        <f>Table1[[#This Row],[scalar]]-Table1[[#This Row],[adj]]</f>
        <v>3535.8029000000001</v>
      </c>
      <c r="H220" s="4">
        <f>Table1[[#This Row],[price_mkt_bid]]*Table1[[#This Row],[adj scalar]]</f>
        <v>63396.945997000003</v>
      </c>
      <c r="I220" s="4">
        <f>Table1[[#This Row],[price_mkt_ask]]*Table1[[#This Row],[adj scalar]]</f>
        <v>63432.304026000005</v>
      </c>
    </row>
    <row r="221" spans="1:9" x14ac:dyDescent="0.25">
      <c r="A221" t="s">
        <v>13</v>
      </c>
      <c r="B221" s="4">
        <v>35.909999999999997</v>
      </c>
      <c r="C221" s="4">
        <v>35.92</v>
      </c>
      <c r="D221" t="s">
        <v>35</v>
      </c>
      <c r="E221" s="6">
        <v>1764.9262000000001</v>
      </c>
      <c r="F221" s="6">
        <f t="shared" si="3"/>
        <v>0</v>
      </c>
      <c r="G221" s="6">
        <f>Table1[[#This Row],[scalar]]-Table1[[#This Row],[adj]]</f>
        <v>1764.9262000000001</v>
      </c>
      <c r="H221" s="4">
        <f>Table1[[#This Row],[price_mkt_bid]]*Table1[[#This Row],[adj scalar]]</f>
        <v>63378.499841999997</v>
      </c>
      <c r="I221" s="4">
        <f>Table1[[#This Row],[price_mkt_ask]]*Table1[[#This Row],[adj scalar]]</f>
        <v>63396.149104000004</v>
      </c>
    </row>
    <row r="222" spans="1:9" x14ac:dyDescent="0.25">
      <c r="A222" t="s">
        <v>4</v>
      </c>
      <c r="B222" s="4">
        <v>21.09</v>
      </c>
      <c r="C222" s="4">
        <v>21.1</v>
      </c>
      <c r="D222" t="s">
        <v>36</v>
      </c>
      <c r="E222" s="6">
        <v>3014.7584999999999</v>
      </c>
      <c r="F222" s="6">
        <f t="shared" si="3"/>
        <v>-0.1</v>
      </c>
      <c r="G222" s="6">
        <f>Table1[[#This Row],[scalar]]-Table1[[#This Row],[adj]]</f>
        <v>3014.8584999999998</v>
      </c>
      <c r="H222" s="4">
        <f>Table1[[#This Row],[price_mkt_bid]]*Table1[[#This Row],[adj scalar]]</f>
        <v>63583.365764999995</v>
      </c>
      <c r="I222" s="4">
        <f>Table1[[#This Row],[price_mkt_ask]]*Table1[[#This Row],[adj scalar]]</f>
        <v>63613.514349999998</v>
      </c>
    </row>
    <row r="223" spans="1:9" x14ac:dyDescent="0.25">
      <c r="A223" t="s">
        <v>5</v>
      </c>
      <c r="B223" s="4">
        <v>34.53</v>
      </c>
      <c r="C223" s="4">
        <v>34.54</v>
      </c>
      <c r="D223" t="s">
        <v>36</v>
      </c>
      <c r="E223" s="6">
        <f>1841.9994-0.2393</f>
        <v>1841.7601</v>
      </c>
      <c r="F223" s="6">
        <f t="shared" si="3"/>
        <v>0.1</v>
      </c>
      <c r="G223" s="6">
        <f>Table1[[#This Row],[scalar]]-Table1[[#This Row],[adj]]</f>
        <v>1841.6601000000001</v>
      </c>
      <c r="H223" s="4">
        <f>Table1[[#This Row],[price_mkt_bid]]*Table1[[#This Row],[adj scalar]]</f>
        <v>63592.523253000007</v>
      </c>
      <c r="I223" s="4">
        <f>Table1[[#This Row],[price_mkt_ask]]*Table1[[#This Row],[adj scalar]]</f>
        <v>63610.939854000004</v>
      </c>
    </row>
    <row r="224" spans="1:9" x14ac:dyDescent="0.25">
      <c r="A224" t="s">
        <v>6</v>
      </c>
      <c r="B224" s="4">
        <v>17.93</v>
      </c>
      <c r="C224" s="4">
        <v>17.940000000000001</v>
      </c>
      <c r="D224" t="s">
        <v>36</v>
      </c>
      <c r="E224" s="6">
        <v>3546.3341999999998</v>
      </c>
      <c r="F224" s="6">
        <f t="shared" si="3"/>
        <v>0</v>
      </c>
      <c r="G224" s="6">
        <f>Table1[[#This Row],[scalar]]-Table1[[#This Row],[adj]]</f>
        <v>3546.3341999999998</v>
      </c>
      <c r="H224" s="4">
        <f>Table1[[#This Row],[price_mkt_bid]]*Table1[[#This Row],[adj scalar]]</f>
        <v>63585.772205999994</v>
      </c>
      <c r="I224" s="4">
        <f>Table1[[#This Row],[price_mkt_ask]]*Table1[[#This Row],[adj scalar]]</f>
        <v>63621.235548000004</v>
      </c>
    </row>
    <row r="225" spans="1:9" x14ac:dyDescent="0.25">
      <c r="A225" t="s">
        <v>7</v>
      </c>
      <c r="B225" s="4">
        <v>28.12</v>
      </c>
      <c r="C225" s="4">
        <v>28.13</v>
      </c>
      <c r="D225" t="s">
        <v>36</v>
      </c>
      <c r="E225" s="6">
        <f>2261.2393-0.03</f>
        <v>2261.2093</v>
      </c>
      <c r="F225" s="6">
        <f t="shared" si="3"/>
        <v>0.2</v>
      </c>
      <c r="G225" s="6">
        <f>Table1[[#This Row],[scalar]]-Table1[[#This Row],[adj]]</f>
        <v>2261.0093000000002</v>
      </c>
      <c r="H225" s="4">
        <f>Table1[[#This Row],[price_mkt_bid]]*Table1[[#This Row],[adj scalar]]</f>
        <v>63579.581516000006</v>
      </c>
      <c r="I225" s="4">
        <f>Table1[[#This Row],[price_mkt_ask]]*Table1[[#This Row],[adj scalar]]</f>
        <v>63602.191609000001</v>
      </c>
    </row>
    <row r="226" spans="1:9" x14ac:dyDescent="0.25">
      <c r="A226" t="s">
        <v>8</v>
      </c>
      <c r="B226" s="4">
        <v>67.180000000000007</v>
      </c>
      <c r="C226" s="4">
        <v>67.290000000000006</v>
      </c>
      <c r="D226" t="s">
        <v>36</v>
      </c>
      <c r="E226" s="6">
        <v>946.06489999999997</v>
      </c>
      <c r="F226" s="6">
        <f t="shared" si="3"/>
        <v>0</v>
      </c>
      <c r="G226" s="6">
        <f>Table1[[#This Row],[scalar]]-Table1[[#This Row],[adj]]</f>
        <v>946.06489999999997</v>
      </c>
      <c r="H226" s="4">
        <f>Table1[[#This Row],[price_mkt_bid]]*Table1[[#This Row],[adj scalar]]</f>
        <v>63556.639982000001</v>
      </c>
      <c r="I226" s="4">
        <f>Table1[[#This Row],[price_mkt_ask]]*Table1[[#This Row],[adj scalar]]</f>
        <v>63660.707121000007</v>
      </c>
    </row>
    <row r="227" spans="1:9" x14ac:dyDescent="0.25">
      <c r="A227" t="s">
        <v>9</v>
      </c>
      <c r="B227" s="4">
        <v>36.75</v>
      </c>
      <c r="C227" s="4">
        <v>36.76</v>
      </c>
      <c r="D227" t="s">
        <v>36</v>
      </c>
      <c r="E227" s="6">
        <v>1730.0288</v>
      </c>
      <c r="F227" s="6">
        <f t="shared" si="3"/>
        <v>-0.2</v>
      </c>
      <c r="G227" s="6">
        <f>Table1[[#This Row],[scalar]]-Table1[[#This Row],[adj]]</f>
        <v>1730.2288000000001</v>
      </c>
      <c r="H227" s="4">
        <f>Table1[[#This Row],[price_mkt_bid]]*Table1[[#This Row],[adj scalar]]</f>
        <v>63585.9084</v>
      </c>
      <c r="I227" s="4">
        <f>Table1[[#This Row],[price_mkt_ask]]*Table1[[#This Row],[adj scalar]]</f>
        <v>63603.210687999999</v>
      </c>
    </row>
    <row r="228" spans="1:9" x14ac:dyDescent="0.25">
      <c r="A228" t="s">
        <v>10</v>
      </c>
      <c r="B228" s="4">
        <v>55.36</v>
      </c>
      <c r="C228" s="4">
        <v>55.37</v>
      </c>
      <c r="D228" t="s">
        <v>36</v>
      </c>
      <c r="E228" s="6">
        <v>1148.7663</v>
      </c>
      <c r="F228" s="6">
        <f t="shared" si="3"/>
        <v>0.05</v>
      </c>
      <c r="G228" s="6">
        <f>Table1[[#This Row],[scalar]]-Table1[[#This Row],[adj]]</f>
        <v>1148.7163</v>
      </c>
      <c r="H228" s="4">
        <f>Table1[[#This Row],[price_mkt_bid]]*Table1[[#This Row],[adj scalar]]</f>
        <v>63592.934368000002</v>
      </c>
      <c r="I228" s="4">
        <f>Table1[[#This Row],[price_mkt_ask]]*Table1[[#This Row],[adj scalar]]</f>
        <v>63604.421531</v>
      </c>
    </row>
    <row r="229" spans="1:9" x14ac:dyDescent="0.25">
      <c r="A229" t="s">
        <v>11</v>
      </c>
      <c r="B229" s="4">
        <v>49.35</v>
      </c>
      <c r="C229" s="4">
        <v>49.36</v>
      </c>
      <c r="D229" t="s">
        <v>36</v>
      </c>
      <c r="E229" s="6">
        <v>1288.4784999999999</v>
      </c>
      <c r="F229" s="6">
        <f t="shared" si="3"/>
        <v>-0.05</v>
      </c>
      <c r="G229" s="6">
        <f>Table1[[#This Row],[scalar]]-Table1[[#This Row],[adj]]</f>
        <v>1288.5284999999999</v>
      </c>
      <c r="H229" s="4">
        <f>Table1[[#This Row],[price_mkt_bid]]*Table1[[#This Row],[adj scalar]]</f>
        <v>63588.881474999995</v>
      </c>
      <c r="I229" s="4">
        <f>Table1[[#This Row],[price_mkt_ask]]*Table1[[#This Row],[adj scalar]]</f>
        <v>63601.766759999991</v>
      </c>
    </row>
    <row r="230" spans="1:9" x14ac:dyDescent="0.25">
      <c r="A230" t="s">
        <v>12</v>
      </c>
      <c r="B230" s="4">
        <v>17.98</v>
      </c>
      <c r="C230" s="4">
        <v>17.989999999999998</v>
      </c>
      <c r="D230" t="s">
        <v>36</v>
      </c>
      <c r="E230" s="6">
        <v>3535.8029000000001</v>
      </c>
      <c r="F230" s="6">
        <f t="shared" si="3"/>
        <v>0</v>
      </c>
      <c r="G230" s="6">
        <f>Table1[[#This Row],[scalar]]-Table1[[#This Row],[adj]]</f>
        <v>3535.8029000000001</v>
      </c>
      <c r="H230" s="4">
        <f>Table1[[#This Row],[price_mkt_bid]]*Table1[[#This Row],[adj scalar]]</f>
        <v>63573.736142000002</v>
      </c>
      <c r="I230" s="4">
        <f>Table1[[#This Row],[price_mkt_ask]]*Table1[[#This Row],[adj scalar]]</f>
        <v>63609.094170999997</v>
      </c>
    </row>
    <row r="231" spans="1:9" x14ac:dyDescent="0.25">
      <c r="A231" t="s">
        <v>13</v>
      </c>
      <c r="B231" s="4">
        <v>36.03</v>
      </c>
      <c r="C231" s="4">
        <v>36.04</v>
      </c>
      <c r="D231" t="s">
        <v>36</v>
      </c>
      <c r="E231" s="6">
        <v>1764.9262000000001</v>
      </c>
      <c r="F231" s="6">
        <f t="shared" si="3"/>
        <v>0</v>
      </c>
      <c r="G231" s="6">
        <f>Table1[[#This Row],[scalar]]-Table1[[#This Row],[adj]]</f>
        <v>1764.9262000000001</v>
      </c>
      <c r="H231" s="4">
        <f>Table1[[#This Row],[price_mkt_bid]]*Table1[[#This Row],[adj scalar]]</f>
        <v>63590.290986000007</v>
      </c>
      <c r="I231" s="4">
        <f>Table1[[#This Row],[price_mkt_ask]]*Table1[[#This Row],[adj scalar]]</f>
        <v>63607.940247999999</v>
      </c>
    </row>
    <row r="232" spans="1:9" x14ac:dyDescent="0.25">
      <c r="A232" t="s">
        <v>4</v>
      </c>
      <c r="B232" s="4">
        <v>21.12</v>
      </c>
      <c r="C232" s="4">
        <v>21.13</v>
      </c>
      <c r="D232" t="s">
        <v>37</v>
      </c>
      <c r="E232" s="6">
        <v>3014.7584999999999</v>
      </c>
      <c r="F232" s="6">
        <f t="shared" si="3"/>
        <v>-0.1</v>
      </c>
      <c r="G232" s="6">
        <f>Table1[[#This Row],[scalar]]-Table1[[#This Row],[adj]]</f>
        <v>3014.8584999999998</v>
      </c>
      <c r="H232" s="4">
        <f>Table1[[#This Row],[price_mkt_bid]]*Table1[[#This Row],[adj scalar]]</f>
        <v>63673.811519999996</v>
      </c>
      <c r="I232" s="4">
        <f>Table1[[#This Row],[price_mkt_ask]]*Table1[[#This Row],[adj scalar]]</f>
        <v>63703.960104999991</v>
      </c>
    </row>
    <row r="233" spans="1:9" x14ac:dyDescent="0.25">
      <c r="A233" t="s">
        <v>5</v>
      </c>
      <c r="B233" s="4">
        <v>34.58</v>
      </c>
      <c r="C233" s="4">
        <v>34.590000000000003</v>
      </c>
      <c r="D233" t="s">
        <v>37</v>
      </c>
      <c r="E233" s="6">
        <f>1841.9994-0.2393</f>
        <v>1841.7601</v>
      </c>
      <c r="F233" s="6">
        <f t="shared" si="3"/>
        <v>0.1</v>
      </c>
      <c r="G233" s="6">
        <f>Table1[[#This Row],[scalar]]-Table1[[#This Row],[adj]]</f>
        <v>1841.6601000000001</v>
      </c>
      <c r="H233" s="4">
        <f>Table1[[#This Row],[price_mkt_bid]]*Table1[[#This Row],[adj scalar]]</f>
        <v>63684.606258</v>
      </c>
      <c r="I233" s="4">
        <f>Table1[[#This Row],[price_mkt_ask]]*Table1[[#This Row],[adj scalar]]</f>
        <v>63703.022859000012</v>
      </c>
    </row>
    <row r="234" spans="1:9" x14ac:dyDescent="0.25">
      <c r="A234" t="s">
        <v>6</v>
      </c>
      <c r="B234" s="4">
        <v>17.95</v>
      </c>
      <c r="C234" s="4">
        <v>17.96</v>
      </c>
      <c r="D234" t="s">
        <v>37</v>
      </c>
      <c r="E234" s="6">
        <v>3546.3341999999998</v>
      </c>
      <c r="F234" s="6">
        <f t="shared" si="3"/>
        <v>0</v>
      </c>
      <c r="G234" s="6">
        <f>Table1[[#This Row],[scalar]]-Table1[[#This Row],[adj]]</f>
        <v>3546.3341999999998</v>
      </c>
      <c r="H234" s="4">
        <f>Table1[[#This Row],[price_mkt_bid]]*Table1[[#This Row],[adj scalar]]</f>
        <v>63656.698889999992</v>
      </c>
      <c r="I234" s="4">
        <f>Table1[[#This Row],[price_mkt_ask]]*Table1[[#This Row],[adj scalar]]</f>
        <v>63692.162232000002</v>
      </c>
    </row>
    <row r="235" spans="1:9" x14ac:dyDescent="0.25">
      <c r="A235" t="s">
        <v>7</v>
      </c>
      <c r="B235" s="4">
        <v>28.16</v>
      </c>
      <c r="C235" s="4">
        <v>28.17</v>
      </c>
      <c r="D235" t="s">
        <v>37</v>
      </c>
      <c r="E235" s="6">
        <f>2261.2393-0.03</f>
        <v>2261.2093</v>
      </c>
      <c r="F235" s="6">
        <f t="shared" si="3"/>
        <v>0.2</v>
      </c>
      <c r="G235" s="6">
        <f>Table1[[#This Row],[scalar]]-Table1[[#This Row],[adj]]</f>
        <v>2261.0093000000002</v>
      </c>
      <c r="H235" s="4">
        <f>Table1[[#This Row],[price_mkt_bid]]*Table1[[#This Row],[adj scalar]]</f>
        <v>63670.021888000003</v>
      </c>
      <c r="I235" s="4">
        <f>Table1[[#This Row],[price_mkt_ask]]*Table1[[#This Row],[adj scalar]]</f>
        <v>63692.631981000006</v>
      </c>
    </row>
    <row r="236" spans="1:9" x14ac:dyDescent="0.25">
      <c r="A236" t="s">
        <v>8</v>
      </c>
      <c r="B236" s="4">
        <v>67.27</v>
      </c>
      <c r="C236" s="4">
        <v>67.39</v>
      </c>
      <c r="D236" t="s">
        <v>37</v>
      </c>
      <c r="E236" s="6">
        <v>946.06489999999997</v>
      </c>
      <c r="F236" s="6">
        <f t="shared" si="3"/>
        <v>0</v>
      </c>
      <c r="G236" s="6">
        <f>Table1[[#This Row],[scalar]]-Table1[[#This Row],[adj]]</f>
        <v>946.06489999999997</v>
      </c>
      <c r="H236" s="4">
        <f>Table1[[#This Row],[price_mkt_bid]]*Table1[[#This Row],[adj scalar]]</f>
        <v>63641.785822999991</v>
      </c>
      <c r="I236" s="4">
        <f>Table1[[#This Row],[price_mkt_ask]]*Table1[[#This Row],[adj scalar]]</f>
        <v>63755.313610999998</v>
      </c>
    </row>
    <row r="237" spans="1:9" x14ac:dyDescent="0.25">
      <c r="A237" t="s">
        <v>9</v>
      </c>
      <c r="B237" s="4">
        <v>36.799999999999997</v>
      </c>
      <c r="C237" s="4">
        <v>36.82</v>
      </c>
      <c r="D237" t="s">
        <v>37</v>
      </c>
      <c r="E237" s="6">
        <v>1730.0288</v>
      </c>
      <c r="F237" s="6">
        <f t="shared" si="3"/>
        <v>-0.2</v>
      </c>
      <c r="G237" s="6">
        <f>Table1[[#This Row],[scalar]]-Table1[[#This Row],[adj]]</f>
        <v>1730.2288000000001</v>
      </c>
      <c r="H237" s="4">
        <f>Table1[[#This Row],[price_mkt_bid]]*Table1[[#This Row],[adj scalar]]</f>
        <v>63672.419839999995</v>
      </c>
      <c r="I237" s="4">
        <f>Table1[[#This Row],[price_mkt_ask]]*Table1[[#This Row],[adj scalar]]</f>
        <v>63707.024416000007</v>
      </c>
    </row>
    <row r="238" spans="1:9" x14ac:dyDescent="0.25">
      <c r="A238" t="s">
        <v>10</v>
      </c>
      <c r="B238" s="4">
        <v>55.44</v>
      </c>
      <c r="C238" s="4">
        <v>55.45</v>
      </c>
      <c r="D238" t="s">
        <v>37</v>
      </c>
      <c r="E238" s="6">
        <v>1148.7663</v>
      </c>
      <c r="F238" s="6">
        <f t="shared" si="3"/>
        <v>0.05</v>
      </c>
      <c r="G238" s="6">
        <f>Table1[[#This Row],[scalar]]-Table1[[#This Row],[adj]]</f>
        <v>1148.7163</v>
      </c>
      <c r="H238" s="4">
        <f>Table1[[#This Row],[price_mkt_bid]]*Table1[[#This Row],[adj scalar]]</f>
        <v>63684.831672</v>
      </c>
      <c r="I238" s="4">
        <f>Table1[[#This Row],[price_mkt_ask]]*Table1[[#This Row],[adj scalar]]</f>
        <v>63696.318835000005</v>
      </c>
    </row>
    <row r="239" spans="1:9" x14ac:dyDescent="0.25">
      <c r="A239" t="s">
        <v>11</v>
      </c>
      <c r="B239" s="4">
        <v>49.42</v>
      </c>
      <c r="C239" s="4">
        <v>49.43</v>
      </c>
      <c r="D239" t="s">
        <v>37</v>
      </c>
      <c r="E239" s="6">
        <v>1288.4784999999999</v>
      </c>
      <c r="F239" s="6">
        <f t="shared" si="3"/>
        <v>-0.05</v>
      </c>
      <c r="G239" s="6">
        <f>Table1[[#This Row],[scalar]]-Table1[[#This Row],[adj]]</f>
        <v>1288.5284999999999</v>
      </c>
      <c r="H239" s="4">
        <f>Table1[[#This Row],[price_mkt_bid]]*Table1[[#This Row],[adj scalar]]</f>
        <v>63679.07847</v>
      </c>
      <c r="I239" s="4">
        <f>Table1[[#This Row],[price_mkt_ask]]*Table1[[#This Row],[adj scalar]]</f>
        <v>63691.963754999997</v>
      </c>
    </row>
    <row r="240" spans="1:9" x14ac:dyDescent="0.25">
      <c r="A240" t="s">
        <v>12</v>
      </c>
      <c r="B240" s="4">
        <v>18.010000000000002</v>
      </c>
      <c r="C240" s="4">
        <v>18.02</v>
      </c>
      <c r="D240" t="s">
        <v>37</v>
      </c>
      <c r="E240" s="6">
        <v>3535.8029000000001</v>
      </c>
      <c r="F240" s="6">
        <f t="shared" si="3"/>
        <v>0</v>
      </c>
      <c r="G240" s="6">
        <f>Table1[[#This Row],[scalar]]-Table1[[#This Row],[adj]]</f>
        <v>3535.8029000000001</v>
      </c>
      <c r="H240" s="4">
        <f>Table1[[#This Row],[price_mkt_bid]]*Table1[[#This Row],[adj scalar]]</f>
        <v>63679.81022900001</v>
      </c>
      <c r="I240" s="4">
        <f>Table1[[#This Row],[price_mkt_ask]]*Table1[[#This Row],[adj scalar]]</f>
        <v>63715.168257999998</v>
      </c>
    </row>
    <row r="241" spans="1:9" x14ac:dyDescent="0.25">
      <c r="A241" t="s">
        <v>13</v>
      </c>
      <c r="B241" s="4">
        <v>36.08</v>
      </c>
      <c r="C241" s="4">
        <v>36.090000000000003</v>
      </c>
      <c r="D241" t="s">
        <v>37</v>
      </c>
      <c r="E241" s="6">
        <v>1764.9262000000001</v>
      </c>
      <c r="F241" s="6">
        <f t="shared" si="3"/>
        <v>0</v>
      </c>
      <c r="G241" s="6">
        <f>Table1[[#This Row],[scalar]]-Table1[[#This Row],[adj]]</f>
        <v>1764.9262000000001</v>
      </c>
      <c r="H241" s="4">
        <f>Table1[[#This Row],[price_mkt_bid]]*Table1[[#This Row],[adj scalar]]</f>
        <v>63678.537296000002</v>
      </c>
      <c r="I241" s="4">
        <f>Table1[[#This Row],[price_mkt_ask]]*Table1[[#This Row],[adj scalar]]</f>
        <v>63696.186558000009</v>
      </c>
    </row>
    <row r="242" spans="1:9" x14ac:dyDescent="0.25">
      <c r="A242" t="s">
        <v>4</v>
      </c>
      <c r="B242" s="4">
        <v>21.09</v>
      </c>
      <c r="C242" s="4">
        <v>21.1</v>
      </c>
      <c r="D242" t="s">
        <v>38</v>
      </c>
      <c r="E242" s="6">
        <v>3014.7584999999999</v>
      </c>
      <c r="F242" s="6">
        <f t="shared" si="3"/>
        <v>-0.1</v>
      </c>
      <c r="G242" s="6">
        <f>Table1[[#This Row],[scalar]]-Table1[[#This Row],[adj]]</f>
        <v>3014.8584999999998</v>
      </c>
      <c r="H242" s="4">
        <f>Table1[[#This Row],[price_mkt_bid]]*Table1[[#This Row],[adj scalar]]</f>
        <v>63583.365764999995</v>
      </c>
      <c r="I242" s="4">
        <f>Table1[[#This Row],[price_mkt_ask]]*Table1[[#This Row],[adj scalar]]</f>
        <v>63613.514349999998</v>
      </c>
    </row>
    <row r="243" spans="1:9" x14ac:dyDescent="0.25">
      <c r="A243" t="s">
        <v>5</v>
      </c>
      <c r="B243" s="4">
        <v>34.54</v>
      </c>
      <c r="C243" s="4">
        <v>34.54</v>
      </c>
      <c r="D243" t="s">
        <v>38</v>
      </c>
      <c r="E243" s="6">
        <f>1841.9994-0.2393</f>
        <v>1841.7601</v>
      </c>
      <c r="F243" s="6">
        <f t="shared" si="3"/>
        <v>0.1</v>
      </c>
      <c r="G243" s="6">
        <f>Table1[[#This Row],[scalar]]-Table1[[#This Row],[adj]]</f>
        <v>1841.6601000000001</v>
      </c>
      <c r="H243" s="4">
        <f>Table1[[#This Row],[price_mkt_bid]]*Table1[[#This Row],[adj scalar]]</f>
        <v>63610.939854000004</v>
      </c>
      <c r="I243" s="4">
        <f>Table1[[#This Row],[price_mkt_ask]]*Table1[[#This Row],[adj scalar]]</f>
        <v>63610.939854000004</v>
      </c>
    </row>
    <row r="244" spans="1:9" x14ac:dyDescent="0.25">
      <c r="A244" t="s">
        <v>6</v>
      </c>
      <c r="B244" s="4">
        <v>17.93</v>
      </c>
      <c r="C244" s="4">
        <v>17.940000000000001</v>
      </c>
      <c r="D244" t="s">
        <v>38</v>
      </c>
      <c r="E244" s="6">
        <v>3546.3341999999998</v>
      </c>
      <c r="F244" s="6">
        <f t="shared" si="3"/>
        <v>0</v>
      </c>
      <c r="G244" s="6">
        <f>Table1[[#This Row],[scalar]]-Table1[[#This Row],[adj]]</f>
        <v>3546.3341999999998</v>
      </c>
      <c r="H244" s="4">
        <f>Table1[[#This Row],[price_mkt_bid]]*Table1[[#This Row],[adj scalar]]</f>
        <v>63585.772205999994</v>
      </c>
      <c r="I244" s="4">
        <f>Table1[[#This Row],[price_mkt_ask]]*Table1[[#This Row],[adj scalar]]</f>
        <v>63621.235548000004</v>
      </c>
    </row>
    <row r="245" spans="1:9" x14ac:dyDescent="0.25">
      <c r="A245" t="s">
        <v>7</v>
      </c>
      <c r="B245" s="4">
        <v>28.13</v>
      </c>
      <c r="C245" s="4">
        <v>28.14</v>
      </c>
      <c r="D245" t="s">
        <v>38</v>
      </c>
      <c r="E245" s="6">
        <f>2261.2393-0.03</f>
        <v>2261.2093</v>
      </c>
      <c r="F245" s="6">
        <f t="shared" si="3"/>
        <v>0.2</v>
      </c>
      <c r="G245" s="6">
        <f>Table1[[#This Row],[scalar]]-Table1[[#This Row],[adj]]</f>
        <v>2261.0093000000002</v>
      </c>
      <c r="H245" s="4">
        <f>Table1[[#This Row],[price_mkt_bid]]*Table1[[#This Row],[adj scalar]]</f>
        <v>63602.191609000001</v>
      </c>
      <c r="I245" s="4">
        <f>Table1[[#This Row],[price_mkt_ask]]*Table1[[#This Row],[adj scalar]]</f>
        <v>63624.801702000004</v>
      </c>
    </row>
    <row r="246" spans="1:9" x14ac:dyDescent="0.25">
      <c r="A246" t="s">
        <v>8</v>
      </c>
      <c r="B246" s="4">
        <v>67.19</v>
      </c>
      <c r="C246" s="4">
        <v>67.31</v>
      </c>
      <c r="D246" t="s">
        <v>38</v>
      </c>
      <c r="E246" s="6">
        <v>946.06489999999997</v>
      </c>
      <c r="F246" s="6">
        <f t="shared" si="3"/>
        <v>0</v>
      </c>
      <c r="G246" s="6">
        <f>Table1[[#This Row],[scalar]]-Table1[[#This Row],[adj]]</f>
        <v>946.06489999999997</v>
      </c>
      <c r="H246" s="4">
        <f>Table1[[#This Row],[price_mkt_bid]]*Table1[[#This Row],[adj scalar]]</f>
        <v>63566.100630999994</v>
      </c>
      <c r="I246" s="4">
        <f>Table1[[#This Row],[price_mkt_ask]]*Table1[[#This Row],[adj scalar]]</f>
        <v>63679.628419000001</v>
      </c>
    </row>
    <row r="247" spans="1:9" x14ac:dyDescent="0.25">
      <c r="A247" t="s">
        <v>9</v>
      </c>
      <c r="B247" s="4">
        <v>36.76</v>
      </c>
      <c r="C247" s="4">
        <v>36.770000000000003</v>
      </c>
      <c r="D247" t="s">
        <v>38</v>
      </c>
      <c r="E247" s="6">
        <v>1730.0288</v>
      </c>
      <c r="F247" s="6">
        <f t="shared" si="3"/>
        <v>-0.2</v>
      </c>
      <c r="G247" s="6">
        <f>Table1[[#This Row],[scalar]]-Table1[[#This Row],[adj]]</f>
        <v>1730.2288000000001</v>
      </c>
      <c r="H247" s="4">
        <f>Table1[[#This Row],[price_mkt_bid]]*Table1[[#This Row],[adj scalar]]</f>
        <v>63603.210687999999</v>
      </c>
      <c r="I247" s="4">
        <f>Table1[[#This Row],[price_mkt_ask]]*Table1[[#This Row],[adj scalar]]</f>
        <v>63620.512976000005</v>
      </c>
    </row>
    <row r="248" spans="1:9" x14ac:dyDescent="0.25">
      <c r="A248" t="s">
        <v>10</v>
      </c>
      <c r="B248" s="4">
        <v>55.37</v>
      </c>
      <c r="C248" s="4">
        <v>55.38</v>
      </c>
      <c r="D248" t="s">
        <v>38</v>
      </c>
      <c r="E248" s="6">
        <v>1148.7663</v>
      </c>
      <c r="F248" s="6">
        <f t="shared" si="3"/>
        <v>0.05</v>
      </c>
      <c r="G248" s="6">
        <f>Table1[[#This Row],[scalar]]-Table1[[#This Row],[adj]]</f>
        <v>1148.7163</v>
      </c>
      <c r="H248" s="4">
        <f>Table1[[#This Row],[price_mkt_bid]]*Table1[[#This Row],[adj scalar]]</f>
        <v>63604.421531</v>
      </c>
      <c r="I248" s="4">
        <f>Table1[[#This Row],[price_mkt_ask]]*Table1[[#This Row],[adj scalar]]</f>
        <v>63615.908694000005</v>
      </c>
    </row>
    <row r="249" spans="1:9" x14ac:dyDescent="0.25">
      <c r="A249" t="s">
        <v>11</v>
      </c>
      <c r="B249" s="4">
        <v>49.36</v>
      </c>
      <c r="C249" s="4">
        <v>49.37</v>
      </c>
      <c r="D249" t="s">
        <v>38</v>
      </c>
      <c r="E249" s="6">
        <v>1288.4784999999999</v>
      </c>
      <c r="F249" s="6">
        <f t="shared" si="3"/>
        <v>-0.05</v>
      </c>
      <c r="G249" s="6">
        <f>Table1[[#This Row],[scalar]]-Table1[[#This Row],[adj]]</f>
        <v>1288.5284999999999</v>
      </c>
      <c r="H249" s="4">
        <f>Table1[[#This Row],[price_mkt_bid]]*Table1[[#This Row],[adj scalar]]</f>
        <v>63601.766759999991</v>
      </c>
      <c r="I249" s="4">
        <f>Table1[[#This Row],[price_mkt_ask]]*Table1[[#This Row],[adj scalar]]</f>
        <v>63614.652044999988</v>
      </c>
    </row>
    <row r="250" spans="1:9" x14ac:dyDescent="0.25">
      <c r="A250" t="s">
        <v>12</v>
      </c>
      <c r="B250" s="4">
        <v>17.989999999999998</v>
      </c>
      <c r="C250" s="4">
        <v>18</v>
      </c>
      <c r="D250" t="s">
        <v>38</v>
      </c>
      <c r="E250" s="6">
        <v>3535.8029000000001</v>
      </c>
      <c r="F250" s="6">
        <f t="shared" si="3"/>
        <v>0</v>
      </c>
      <c r="G250" s="6">
        <f>Table1[[#This Row],[scalar]]-Table1[[#This Row],[adj]]</f>
        <v>3535.8029000000001</v>
      </c>
      <c r="H250" s="4">
        <f>Table1[[#This Row],[price_mkt_bid]]*Table1[[#This Row],[adj scalar]]</f>
        <v>63609.094170999997</v>
      </c>
      <c r="I250" s="4">
        <f>Table1[[#This Row],[price_mkt_ask]]*Table1[[#This Row],[adj scalar]]</f>
        <v>63644.4522</v>
      </c>
    </row>
    <row r="251" spans="1:9" x14ac:dyDescent="0.25">
      <c r="A251" t="s">
        <v>13</v>
      </c>
      <c r="B251" s="4">
        <v>36.04</v>
      </c>
      <c r="C251" s="4">
        <v>36.049999999999997</v>
      </c>
      <c r="D251" t="s">
        <v>38</v>
      </c>
      <c r="E251" s="6">
        <v>1764.9262000000001</v>
      </c>
      <c r="F251" s="6">
        <f t="shared" si="3"/>
        <v>0</v>
      </c>
      <c r="G251" s="6">
        <f>Table1[[#This Row],[scalar]]-Table1[[#This Row],[adj]]</f>
        <v>1764.9262000000001</v>
      </c>
      <c r="H251" s="4">
        <f>Table1[[#This Row],[price_mkt_bid]]*Table1[[#This Row],[adj scalar]]</f>
        <v>63607.940247999999</v>
      </c>
      <c r="I251" s="4">
        <f>Table1[[#This Row],[price_mkt_ask]]*Table1[[#This Row],[adj scalar]]</f>
        <v>63625.589509999998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A450C-05D3-4F72-B7F6-DC3DFEC11962}">
  <dimension ref="A1:S31"/>
  <sheetViews>
    <sheetView tabSelected="1" workbookViewId="0">
      <selection activeCell="B9" sqref="B9"/>
    </sheetView>
  </sheetViews>
  <sheetFormatPr defaultRowHeight="15" x14ac:dyDescent="0.25"/>
  <cols>
    <col min="1" max="1" width="19" bestFit="1" customWidth="1"/>
    <col min="2" max="2" width="14.28515625" bestFit="1" customWidth="1"/>
    <col min="3" max="3" width="14.140625" bestFit="1" customWidth="1"/>
    <col min="4" max="4" width="12.7109375" customWidth="1"/>
    <col min="5" max="5" width="9.28515625" style="1" bestFit="1" customWidth="1"/>
    <col min="6" max="6" width="9.5703125" style="1" bestFit="1" customWidth="1"/>
    <col min="8" max="12" width="10.85546875" customWidth="1"/>
    <col min="13" max="13" width="11.28515625" style="4" bestFit="1" customWidth="1"/>
    <col min="14" max="14" width="10.85546875" style="4" customWidth="1"/>
  </cols>
  <sheetData>
    <row r="1" spans="1:19" x14ac:dyDescent="0.25">
      <c r="A1" s="15" t="s">
        <v>42</v>
      </c>
      <c r="B1" t="s">
        <v>43</v>
      </c>
      <c r="C1" t="s">
        <v>44</v>
      </c>
      <c r="D1" s="8" t="s">
        <v>49</v>
      </c>
      <c r="E1" s="8" t="s">
        <v>45</v>
      </c>
      <c r="F1" s="8" t="s">
        <v>46</v>
      </c>
      <c r="Q1" s="19" t="s">
        <v>55</v>
      </c>
      <c r="R1" s="19"/>
      <c r="S1" s="19"/>
    </row>
    <row r="2" spans="1:19" x14ac:dyDescent="0.25">
      <c r="A2" s="9" t="s">
        <v>14</v>
      </c>
      <c r="B2" s="3">
        <v>62607.347517000009</v>
      </c>
      <c r="C2" s="3">
        <v>62584.283052000006</v>
      </c>
      <c r="D2" s="3">
        <f>B2-C2</f>
        <v>23.064465000003111</v>
      </c>
      <c r="E2" s="1" t="str">
        <f>_xlfn.XLOOKUP(B2,Table1[unit bid],Table1[my_fi_name])</f>
        <v>BTC</v>
      </c>
      <c r="F2" s="1" t="str">
        <f>_xlfn.XLOOKUP(C2,Table1[unit ask],Table1[my_fi_name])</f>
        <v>IBIT</v>
      </c>
      <c r="I2" s="10" t="s">
        <v>47</v>
      </c>
      <c r="J2" s="10" t="s">
        <v>48</v>
      </c>
      <c r="K2" s="10" t="s">
        <v>49</v>
      </c>
      <c r="L2" s="10" t="s">
        <v>50</v>
      </c>
      <c r="M2" s="11" t="s">
        <v>51</v>
      </c>
      <c r="N2" s="10" t="s">
        <v>52</v>
      </c>
      <c r="O2" s="10" t="s">
        <v>56</v>
      </c>
      <c r="Q2" s="10" t="str">
        <f>I2</f>
        <v>hit bid</v>
      </c>
      <c r="R2" s="10" t="str">
        <f>J2</f>
        <v>lift ask</v>
      </c>
      <c r="S2" s="10" t="str">
        <f>K2</f>
        <v>net</v>
      </c>
    </row>
    <row r="3" spans="1:19" x14ac:dyDescent="0.25">
      <c r="A3" s="9" t="s">
        <v>15</v>
      </c>
      <c r="B3" s="3">
        <v>62982.895391999999</v>
      </c>
      <c r="C3" s="3">
        <v>62980.394065</v>
      </c>
      <c r="D3" s="3">
        <f t="shared" ref="D3:D26" si="0">B3-C3</f>
        <v>2.5013269999981276</v>
      </c>
      <c r="E3" s="1" t="str">
        <f>_xlfn.XLOOKUP(B3,Table1[unit bid],Table1[my_fi_name])</f>
        <v>BRRR</v>
      </c>
      <c r="F3" s="1" t="str">
        <f>_xlfn.XLOOKUP(C3,Table1[unit ask],Table1[my_fi_name])</f>
        <v>ARKB</v>
      </c>
      <c r="G3" s="12"/>
      <c r="H3" s="12" t="s">
        <v>4</v>
      </c>
      <c r="I3">
        <f>COUNTIF(E:E,H3)</f>
        <v>2</v>
      </c>
      <c r="J3">
        <f>COUNTIF(F:F,H3)</f>
        <v>2</v>
      </c>
      <c r="K3">
        <f>I3-J3</f>
        <v>0</v>
      </c>
      <c r="L3" s="17">
        <f>[2]Sheet1!L3</f>
        <v>-0.1</v>
      </c>
      <c r="M3" s="4">
        <f>'ETF_2026-06-11'!C2</f>
        <v>20.77</v>
      </c>
      <c r="N3" s="4">
        <f>L3*M3</f>
        <v>-2.077</v>
      </c>
      <c r="O3" s="13">
        <f>N3/C3</f>
        <v>-3.2978517058124413E-5</v>
      </c>
      <c r="Q3">
        <f>[1]Sheet1!Q3+I3</f>
        <v>3</v>
      </c>
      <c r="R3">
        <f>[1]Sheet1!R3+J3</f>
        <v>5</v>
      </c>
      <c r="S3">
        <f>Q3-R3</f>
        <v>-2</v>
      </c>
    </row>
    <row r="4" spans="1:19" x14ac:dyDescent="0.25">
      <c r="A4" s="9" t="s">
        <v>16</v>
      </c>
      <c r="B4" s="3">
        <v>62923.888819</v>
      </c>
      <c r="C4" s="3">
        <v>62926.678914000004</v>
      </c>
      <c r="D4" s="3">
        <f t="shared" si="0"/>
        <v>-2.7900950000039302</v>
      </c>
      <c r="E4" s="1" t="str">
        <f>_xlfn.XLOOKUP(B4,Table1[unit bid],Table1[my_fi_name])</f>
        <v>BTC</v>
      </c>
      <c r="F4" s="1" t="str">
        <f>_xlfn.XLOOKUP(C4,Table1[unit ask],Table1[my_fi_name])</f>
        <v>FBTC</v>
      </c>
      <c r="G4" s="12"/>
      <c r="H4" s="12" t="s">
        <v>5</v>
      </c>
      <c r="I4">
        <f>COUNTIF(E:E,H4)</f>
        <v>1</v>
      </c>
      <c r="J4">
        <f>COUNTIF(F:F,H4)</f>
        <v>7</v>
      </c>
      <c r="K4">
        <f t="shared" ref="K4:K12" si="1">I4-J4</f>
        <v>-6</v>
      </c>
      <c r="L4" s="17">
        <f>[2]Sheet1!L4</f>
        <v>0.1</v>
      </c>
      <c r="M4" s="4">
        <f>'ETF_2026-06-11'!C3</f>
        <v>33.99</v>
      </c>
      <c r="N4" s="4">
        <f>L4*M4</f>
        <v>3.3990000000000005</v>
      </c>
      <c r="O4" s="13">
        <f>N4/C4</f>
        <v>5.4015245340459032E-5</v>
      </c>
      <c r="Q4">
        <f>[1]Sheet1!Q4+I4</f>
        <v>11</v>
      </c>
      <c r="R4">
        <f>[1]Sheet1!R4+J4</f>
        <v>7</v>
      </c>
      <c r="S4">
        <f t="shared" ref="S4:S12" si="2">Q4-R4</f>
        <v>4</v>
      </c>
    </row>
    <row r="5" spans="1:19" x14ac:dyDescent="0.25">
      <c r="A5" s="9" t="s">
        <v>17</v>
      </c>
      <c r="B5" s="3">
        <v>62856.058540000005</v>
      </c>
      <c r="C5" s="3">
        <v>62849.021982000006</v>
      </c>
      <c r="D5" s="3">
        <f t="shared" si="0"/>
        <v>7.0365579999997863</v>
      </c>
      <c r="E5" s="1" t="str">
        <f>_xlfn.XLOOKUP(B5,Table1[unit bid],Table1[my_fi_name])</f>
        <v>BTC</v>
      </c>
      <c r="F5" s="1" t="str">
        <f>_xlfn.XLOOKUP(C5,Table1[unit ask],Table1[my_fi_name])</f>
        <v>IBIT</v>
      </c>
      <c r="G5" s="12"/>
      <c r="H5" s="12" t="s">
        <v>6</v>
      </c>
      <c r="I5">
        <f>COUNTIF(E:E,H5)</f>
        <v>3</v>
      </c>
      <c r="J5">
        <f>COUNTIF(F:F,H5)</f>
        <v>0</v>
      </c>
      <c r="K5">
        <f t="shared" si="1"/>
        <v>3</v>
      </c>
      <c r="L5" s="17">
        <f>[2]Sheet1!L5</f>
        <v>0</v>
      </c>
      <c r="M5" s="4">
        <f>'ETF_2026-06-11'!C4</f>
        <v>17.66</v>
      </c>
      <c r="N5" s="4">
        <f t="shared" ref="N5:N12" si="3">L5*M5</f>
        <v>0</v>
      </c>
      <c r="O5" s="13">
        <f>N5/C5</f>
        <v>0</v>
      </c>
      <c r="Q5">
        <f>[1]Sheet1!Q5+I5</f>
        <v>3</v>
      </c>
      <c r="R5">
        <f>[1]Sheet1!R5+J5</f>
        <v>0</v>
      </c>
      <c r="S5">
        <f t="shared" si="2"/>
        <v>3</v>
      </c>
    </row>
    <row r="6" spans="1:19" x14ac:dyDescent="0.25">
      <c r="A6" s="9" t="s">
        <v>18</v>
      </c>
      <c r="B6" s="3">
        <v>62805.578681999999</v>
      </c>
      <c r="C6" s="3">
        <v>62802.879089999995</v>
      </c>
      <c r="D6" s="3">
        <f t="shared" si="0"/>
        <v>2.6995920000044862</v>
      </c>
      <c r="E6" s="1" t="str">
        <f>_xlfn.XLOOKUP(B6,Table1[unit bid],Table1[my_fi_name])</f>
        <v>BRRR</v>
      </c>
      <c r="F6" s="1" t="str">
        <f>_xlfn.XLOOKUP(C6,Table1[unit ask],Table1[my_fi_name])</f>
        <v>GBTC</v>
      </c>
      <c r="G6" s="12"/>
      <c r="H6" s="12" t="s">
        <v>7</v>
      </c>
      <c r="I6">
        <f>COUNTIF(E:E,H6)</f>
        <v>6</v>
      </c>
      <c r="J6">
        <f>COUNTIF(F:F,H6)</f>
        <v>0</v>
      </c>
      <c r="K6">
        <f t="shared" si="1"/>
        <v>6</v>
      </c>
      <c r="L6" s="17">
        <f>[2]Sheet1!L6</f>
        <v>0.2</v>
      </c>
      <c r="M6" s="4">
        <f>'ETF_2026-06-11'!C5</f>
        <v>27.7</v>
      </c>
      <c r="N6" s="4">
        <f t="shared" si="3"/>
        <v>5.54</v>
      </c>
      <c r="O6" s="13">
        <f>N6/C6</f>
        <v>8.8212516373029231E-5</v>
      </c>
      <c r="Q6">
        <f>[1]Sheet1!Q6+I6</f>
        <v>6</v>
      </c>
      <c r="R6">
        <f>[1]Sheet1!R6+J6</f>
        <v>2</v>
      </c>
      <c r="S6">
        <f t="shared" si="2"/>
        <v>4</v>
      </c>
    </row>
    <row r="7" spans="1:19" x14ac:dyDescent="0.25">
      <c r="A7" s="9" t="s">
        <v>19</v>
      </c>
      <c r="B7" s="3">
        <v>62662.474165</v>
      </c>
      <c r="C7" s="3">
        <v>62661.140954999995</v>
      </c>
      <c r="D7" s="3">
        <f t="shared" si="0"/>
        <v>1.3332100000043283</v>
      </c>
      <c r="E7" s="1" t="str">
        <f>_xlfn.XLOOKUP(B7,Table1[unit bid],Table1[my_fi_name])</f>
        <v>FBTC</v>
      </c>
      <c r="F7" s="1" t="str">
        <f>_xlfn.XLOOKUP(C7,Table1[unit ask],Table1[my_fi_name])</f>
        <v>GBTC</v>
      </c>
      <c r="G7" s="12"/>
      <c r="H7" s="12" t="s">
        <v>8</v>
      </c>
      <c r="I7">
        <f>COUNTIF(E:E,H7)</f>
        <v>0</v>
      </c>
      <c r="J7">
        <f>COUNTIF(F:F,H7)</f>
        <v>0</v>
      </c>
      <c r="K7">
        <f t="shared" si="1"/>
        <v>0</v>
      </c>
      <c r="L7" s="17">
        <f>[2]Sheet1!L7</f>
        <v>0</v>
      </c>
      <c r="M7" s="4">
        <f>'ETF_2026-06-11'!C6</f>
        <v>66.260000000000005</v>
      </c>
      <c r="N7" s="4">
        <f t="shared" si="3"/>
        <v>0</v>
      </c>
      <c r="O7" s="13">
        <f>N7/C7</f>
        <v>0</v>
      </c>
      <c r="Q7">
        <f>[1]Sheet1!Q7+I7</f>
        <v>2</v>
      </c>
      <c r="R7">
        <f>[1]Sheet1!R7+J7</f>
        <v>0</v>
      </c>
      <c r="S7">
        <f t="shared" si="2"/>
        <v>2</v>
      </c>
    </row>
    <row r="8" spans="1:19" x14ac:dyDescent="0.25">
      <c r="A8" s="9" t="s">
        <v>20</v>
      </c>
      <c r="B8" s="3">
        <v>62685.448491000003</v>
      </c>
      <c r="C8" s="3">
        <v>62689.785417000006</v>
      </c>
      <c r="D8" s="3">
        <f t="shared" si="0"/>
        <v>-4.3369260000035865</v>
      </c>
      <c r="E8" s="1" t="str">
        <f>_xlfn.XLOOKUP(B8,Table1[unit bid],Table1[my_fi_name])</f>
        <v>FBTC</v>
      </c>
      <c r="F8" s="1" t="str">
        <f>_xlfn.XLOOKUP(C8,Table1[unit ask],Table1[my_fi_name])</f>
        <v>HODL</v>
      </c>
      <c r="G8" s="12"/>
      <c r="H8" s="12" t="s">
        <v>9</v>
      </c>
      <c r="I8">
        <f>COUNTIF(E:E,H8)</f>
        <v>0</v>
      </c>
      <c r="J8">
        <f>COUNTIF(F:F,H8)</f>
        <v>1</v>
      </c>
      <c r="K8">
        <f t="shared" si="1"/>
        <v>-1</v>
      </c>
      <c r="L8" s="17">
        <f>[2]Sheet1!L8</f>
        <v>-0.2</v>
      </c>
      <c r="M8" s="4">
        <f>'ETF_2026-06-11'!C7</f>
        <v>36.18</v>
      </c>
      <c r="N8" s="4">
        <f t="shared" si="3"/>
        <v>-7.2360000000000007</v>
      </c>
      <c r="O8" s="13">
        <f>N8/C8</f>
        <v>-1.1542550276520433E-4</v>
      </c>
      <c r="Q8">
        <f>[1]Sheet1!Q8+I8</f>
        <v>0</v>
      </c>
      <c r="R8">
        <f>[1]Sheet1!R8+J8</f>
        <v>1</v>
      </c>
      <c r="S8">
        <f t="shared" si="2"/>
        <v>-1</v>
      </c>
    </row>
    <row r="9" spans="1:19" x14ac:dyDescent="0.25">
      <c r="A9" s="9" t="s">
        <v>21</v>
      </c>
      <c r="B9" s="3">
        <v>62799.502554999992</v>
      </c>
      <c r="C9" s="3">
        <v>62788.832957999999</v>
      </c>
      <c r="D9" s="3">
        <f t="shared" si="0"/>
        <v>10.669596999992791</v>
      </c>
      <c r="E9" s="1" t="str">
        <f>_xlfn.XLOOKUP(B9,Table1[unit bid],Table1[my_fi_name])</f>
        <v>ARKB</v>
      </c>
      <c r="F9" s="1" t="str">
        <f>_xlfn.XLOOKUP(C9,Table1[unit ask],Table1[my_fi_name])</f>
        <v>FBTC</v>
      </c>
      <c r="G9" s="12"/>
      <c r="H9" s="12" t="s">
        <v>10</v>
      </c>
      <c r="I9">
        <f>COUNTIF(E:E,H9)</f>
        <v>6</v>
      </c>
      <c r="J9">
        <f>COUNTIF(F:F,H9)</f>
        <v>2</v>
      </c>
      <c r="K9">
        <f t="shared" si="1"/>
        <v>4</v>
      </c>
      <c r="L9" s="17">
        <f>[2]Sheet1!L9</f>
        <v>0.05</v>
      </c>
      <c r="M9" s="4">
        <f>'ETF_2026-06-11'!C8</f>
        <v>54.49</v>
      </c>
      <c r="N9" s="4">
        <f t="shared" si="3"/>
        <v>2.7245000000000004</v>
      </c>
      <c r="O9" s="13">
        <f>N9/C9</f>
        <v>4.3391473796342775E-5</v>
      </c>
      <c r="Q9">
        <f>[1]Sheet1!Q9+I9</f>
        <v>9</v>
      </c>
      <c r="R9">
        <f>[1]Sheet1!R9+J9</f>
        <v>3</v>
      </c>
      <c r="S9">
        <f t="shared" si="2"/>
        <v>6</v>
      </c>
    </row>
    <row r="10" spans="1:19" x14ac:dyDescent="0.25">
      <c r="A10" s="9" t="s">
        <v>22</v>
      </c>
      <c r="B10" s="3">
        <v>62570.576861000001</v>
      </c>
      <c r="C10" s="3">
        <v>62566.633790000007</v>
      </c>
      <c r="D10" s="3">
        <f t="shared" si="0"/>
        <v>3.9430709999942337</v>
      </c>
      <c r="E10" s="1" t="str">
        <f>_xlfn.XLOOKUP(B10,Table1[unit bid],Table1[my_fi_name])</f>
        <v>FBTC</v>
      </c>
      <c r="F10" s="1" t="str">
        <f>_xlfn.XLOOKUP(C10,Table1[unit ask],Table1[my_fi_name])</f>
        <v>IBIT</v>
      </c>
      <c r="G10" s="12"/>
      <c r="H10" s="12" t="s">
        <v>11</v>
      </c>
      <c r="I10">
        <f>COUNTIF(E:E,H10)</f>
        <v>2</v>
      </c>
      <c r="J10">
        <f>COUNTIF(F:F,H10)</f>
        <v>5</v>
      </c>
      <c r="K10">
        <f t="shared" si="1"/>
        <v>-3</v>
      </c>
      <c r="L10" s="17">
        <f>[2]Sheet1!L10</f>
        <v>-0.05</v>
      </c>
      <c r="M10" s="4">
        <f>'ETF_2026-06-11'!C9</f>
        <v>48.59</v>
      </c>
      <c r="N10" s="4">
        <f t="shared" si="3"/>
        <v>-2.4295000000000004</v>
      </c>
      <c r="O10" s="13">
        <f>N10/C10</f>
        <v>-3.8830601118072398E-5</v>
      </c>
      <c r="Q10">
        <f>[1]Sheet1!Q10+I10</f>
        <v>3</v>
      </c>
      <c r="R10">
        <f>[1]Sheet1!R10+J10</f>
        <v>9</v>
      </c>
      <c r="S10">
        <f t="shared" si="2"/>
        <v>-6</v>
      </c>
    </row>
    <row r="11" spans="1:19" x14ac:dyDescent="0.25">
      <c r="A11" s="9" t="s">
        <v>23</v>
      </c>
      <c r="B11" s="3">
        <v>62654.427387999996</v>
      </c>
      <c r="C11" s="3">
        <v>62653.276602000005</v>
      </c>
      <c r="D11" s="3">
        <f t="shared" si="0"/>
        <v>1.1507859999910579</v>
      </c>
      <c r="E11" s="1" t="str">
        <f>_xlfn.XLOOKUP(B11,Table1[unit bid],Table1[my_fi_name])</f>
        <v>HODL</v>
      </c>
      <c r="F11" s="1" t="str">
        <f>_xlfn.XLOOKUP(C11,Table1[unit ask],Table1[my_fi_name])</f>
        <v>BITB</v>
      </c>
      <c r="G11" s="12"/>
      <c r="H11" s="12" t="s">
        <v>12</v>
      </c>
      <c r="I11">
        <f>COUNTIF(E:E,H11)</f>
        <v>5</v>
      </c>
      <c r="J11">
        <f>COUNTIF(F:F,H11)</f>
        <v>1</v>
      </c>
      <c r="K11">
        <f t="shared" si="1"/>
        <v>4</v>
      </c>
      <c r="L11" s="17">
        <f>[2]Sheet1!L11</f>
        <v>0</v>
      </c>
      <c r="M11" s="4">
        <f>'ETF_2026-06-11'!C10</f>
        <v>17.71</v>
      </c>
      <c r="N11" s="4">
        <f t="shared" si="3"/>
        <v>0</v>
      </c>
      <c r="O11" s="13">
        <f>N11/C11</f>
        <v>0</v>
      </c>
      <c r="Q11">
        <f>[1]Sheet1!Q11+I11</f>
        <v>5</v>
      </c>
      <c r="R11">
        <f>[1]Sheet1!R11+J11</f>
        <v>6</v>
      </c>
      <c r="S11">
        <f t="shared" si="2"/>
        <v>-1</v>
      </c>
    </row>
    <row r="12" spans="1:19" x14ac:dyDescent="0.25">
      <c r="A12" s="9" t="s">
        <v>24</v>
      </c>
      <c r="B12" s="3">
        <v>62486.408603999997</v>
      </c>
      <c r="C12" s="3">
        <v>62487.527193000002</v>
      </c>
      <c r="D12" s="3">
        <f t="shared" si="0"/>
        <v>-1.1185890000051586</v>
      </c>
      <c r="E12" s="1" t="str">
        <f>_xlfn.XLOOKUP(B12,Table1[unit bid],Table1[my_fi_name])</f>
        <v>BRRR</v>
      </c>
      <c r="F12" s="1" t="str">
        <f>_xlfn.XLOOKUP(C12,Table1[unit ask],Table1[my_fi_name])</f>
        <v>BITB</v>
      </c>
      <c r="G12" s="12"/>
      <c r="H12" s="12" t="s">
        <v>13</v>
      </c>
      <c r="I12" s="14">
        <f>COUNTIF(E:E,H12)</f>
        <v>0</v>
      </c>
      <c r="J12" s="14">
        <f>COUNTIF(F:F,H12)</f>
        <v>7</v>
      </c>
      <c r="K12" s="14">
        <f t="shared" si="1"/>
        <v>-7</v>
      </c>
      <c r="L12" s="17">
        <f>[2]Sheet1!L12</f>
        <v>0</v>
      </c>
      <c r="M12" s="4">
        <f>'ETF_2026-06-11'!C11</f>
        <v>35.46</v>
      </c>
      <c r="N12" s="4">
        <f t="shared" si="3"/>
        <v>0</v>
      </c>
      <c r="O12" s="13">
        <f>N12/C12</f>
        <v>0</v>
      </c>
      <c r="Q12" s="14">
        <f>[1]Sheet1!Q12+I12</f>
        <v>0</v>
      </c>
      <c r="R12" s="14">
        <f>[1]Sheet1!R12+J12</f>
        <v>9</v>
      </c>
      <c r="S12" s="14">
        <f t="shared" si="2"/>
        <v>-9</v>
      </c>
    </row>
    <row r="13" spans="1:19" x14ac:dyDescent="0.25">
      <c r="A13" s="9" t="s">
        <v>25</v>
      </c>
      <c r="B13" s="3">
        <v>62618.611044999998</v>
      </c>
      <c r="C13" s="3">
        <v>62616.443400000004</v>
      </c>
      <c r="D13" s="3">
        <f t="shared" si="0"/>
        <v>2.1676449999940814</v>
      </c>
      <c r="E13" s="1" t="str">
        <f>_xlfn.XLOOKUP(B13,Table1[unit bid],Table1[my_fi_name])</f>
        <v>ARKB</v>
      </c>
      <c r="F13" s="1" t="str">
        <f>_xlfn.XLOOKUP(C13,Table1[unit ask],Table1[my_fi_name])</f>
        <v>BITB</v>
      </c>
      <c r="G13" s="12"/>
      <c r="H13" s="12"/>
      <c r="I13">
        <f>SUM(I3:I12)</f>
        <v>25</v>
      </c>
      <c r="J13">
        <f t="shared" ref="J13:K13" si="4">SUM(J3:J12)</f>
        <v>25</v>
      </c>
      <c r="K13">
        <f t="shared" si="4"/>
        <v>0</v>
      </c>
      <c r="L13" s="2"/>
      <c r="Q13">
        <f>SUM(Q3:Q12)</f>
        <v>42</v>
      </c>
      <c r="R13">
        <f t="shared" ref="R13:S13" si="5">SUM(R3:R12)</f>
        <v>42</v>
      </c>
      <c r="S13">
        <f t="shared" si="5"/>
        <v>0</v>
      </c>
    </row>
    <row r="14" spans="1:19" x14ac:dyDescent="0.25">
      <c r="A14" s="9" t="s">
        <v>26</v>
      </c>
      <c r="B14" s="3">
        <v>62506.517534999992</v>
      </c>
      <c r="C14" s="3">
        <v>62496.036741999997</v>
      </c>
      <c r="D14" s="3">
        <f t="shared" si="0"/>
        <v>10.480792999995174</v>
      </c>
      <c r="E14" s="1" t="str">
        <f>_xlfn.XLOOKUP(B14,Table1[unit bid],Table1[my_fi_name])</f>
        <v>GBTC</v>
      </c>
      <c r="F14" s="1" t="str">
        <f>_xlfn.XLOOKUP(C14,Table1[unit ask],Table1[my_fi_name])</f>
        <v>IBIT</v>
      </c>
    </row>
    <row r="15" spans="1:19" x14ac:dyDescent="0.25">
      <c r="A15" s="9" t="s">
        <v>27</v>
      </c>
      <c r="B15" s="3">
        <v>62477.637243000012</v>
      </c>
      <c r="C15" s="3">
        <v>62460.738218000006</v>
      </c>
      <c r="D15" s="3">
        <f t="shared" si="0"/>
        <v>16.899025000006077</v>
      </c>
      <c r="E15" s="1" t="str">
        <f>_xlfn.XLOOKUP(B15,Table1[unit bid],Table1[my_fi_name])</f>
        <v>HODL</v>
      </c>
      <c r="F15" s="1" t="str">
        <f>_xlfn.XLOOKUP(C15,Table1[unit ask],Table1[my_fi_name])</f>
        <v>IBIT</v>
      </c>
    </row>
    <row r="16" spans="1:19" x14ac:dyDescent="0.25">
      <c r="A16" s="9" t="s">
        <v>28</v>
      </c>
      <c r="B16" s="3">
        <v>62300.847098000006</v>
      </c>
      <c r="C16" s="3">
        <v>62301.89486</v>
      </c>
      <c r="D16" s="3">
        <f t="shared" si="0"/>
        <v>-1.047761999994691</v>
      </c>
      <c r="E16" s="1" t="str">
        <f>_xlfn.XLOOKUP(B16,Table1[unit bid],Table1[my_fi_name])</f>
        <v>HODL</v>
      </c>
      <c r="F16" s="1" t="str">
        <f>_xlfn.XLOOKUP(C16,Table1[unit ask],Table1[my_fi_name])</f>
        <v>IBIT</v>
      </c>
    </row>
    <row r="17" spans="1:6" x14ac:dyDescent="0.25">
      <c r="A17" s="9" t="s">
        <v>29</v>
      </c>
      <c r="B17" s="3">
        <v>63255.513881000006</v>
      </c>
      <c r="C17" s="3">
        <v>63254.955008000012</v>
      </c>
      <c r="D17" s="3">
        <f t="shared" si="0"/>
        <v>0.55887299999449169</v>
      </c>
      <c r="E17" s="1" t="str">
        <f>_xlfn.XLOOKUP(B17,Table1[unit bid],Table1[my_fi_name])</f>
        <v>HODL</v>
      </c>
      <c r="F17" s="1" t="str">
        <f>_xlfn.XLOOKUP(C17,Table1[unit ask],Table1[my_fi_name])</f>
        <v>IBIT</v>
      </c>
    </row>
    <row r="18" spans="1:6" x14ac:dyDescent="0.25">
      <c r="A18" s="9" t="s">
        <v>30</v>
      </c>
      <c r="B18" s="3">
        <v>63386.165434000002</v>
      </c>
      <c r="C18" s="3">
        <v>63389.940642000009</v>
      </c>
      <c r="D18" s="3">
        <f t="shared" si="0"/>
        <v>-3.775208000006387</v>
      </c>
      <c r="E18" s="1" t="str">
        <f>_xlfn.XLOOKUP(B18,Table1[unit bid],Table1[my_fi_name])</f>
        <v>FBTC</v>
      </c>
      <c r="F18" s="1" t="str">
        <f>_xlfn.XLOOKUP(C18,Table1[unit ask],Table1[my_fi_name])</f>
        <v>BITB</v>
      </c>
    </row>
    <row r="19" spans="1:6" x14ac:dyDescent="0.25">
      <c r="A19" s="9" t="s">
        <v>31</v>
      </c>
      <c r="B19" s="3">
        <v>63285.650307000004</v>
      </c>
      <c r="C19" s="3">
        <v>63281.87991499999</v>
      </c>
      <c r="D19" s="3">
        <f t="shared" si="0"/>
        <v>3.7703920000130893</v>
      </c>
      <c r="E19" s="1" t="str">
        <f>_xlfn.XLOOKUP(B19,Table1[unit bid],Table1[my_fi_name])</f>
        <v>BTC</v>
      </c>
      <c r="F19" s="1" t="str">
        <f>_xlfn.XLOOKUP(C19,Table1[unit ask],Table1[my_fi_name])</f>
        <v>ARKB</v>
      </c>
    </row>
    <row r="20" spans="1:6" x14ac:dyDescent="0.25">
      <c r="A20" s="9" t="s">
        <v>32</v>
      </c>
      <c r="B20" s="3">
        <v>63376.090679000008</v>
      </c>
      <c r="C20" s="3">
        <v>63369.831629999993</v>
      </c>
      <c r="D20" s="3">
        <f t="shared" si="0"/>
        <v>6.2590490000147838</v>
      </c>
      <c r="E20" s="1" t="str">
        <f>_xlfn.XLOOKUP(B20,Table1[unit bid],Table1[my_fi_name])</f>
        <v>BTC</v>
      </c>
      <c r="F20" s="1" t="str">
        <f>_xlfn.XLOOKUP(C20,Table1[unit ask],Table1[my_fi_name])</f>
        <v>GBTC</v>
      </c>
    </row>
    <row r="21" spans="1:6" x14ac:dyDescent="0.25">
      <c r="A21" s="9" t="s">
        <v>33</v>
      </c>
      <c r="B21" s="3">
        <v>63421.372769999994</v>
      </c>
      <c r="C21" s="3">
        <v>63426.773843999996</v>
      </c>
      <c r="D21" s="3">
        <f t="shared" si="0"/>
        <v>-5.4010740000012447</v>
      </c>
      <c r="E21" s="1" t="str">
        <f>_xlfn.XLOOKUP(B21,Table1[unit bid],Table1[my_fi_name])</f>
        <v>GBTC</v>
      </c>
      <c r="F21" s="1" t="str">
        <f>_xlfn.XLOOKUP(C21,Table1[unit ask],Table1[my_fi_name])</f>
        <v>BITB</v>
      </c>
    </row>
    <row r="22" spans="1:6" x14ac:dyDescent="0.25">
      <c r="A22" s="9" t="s">
        <v>34</v>
      </c>
      <c r="B22" s="3">
        <v>63421.310865000007</v>
      </c>
      <c r="C22" s="3">
        <v>63412.885520000003</v>
      </c>
      <c r="D22" s="3">
        <f t="shared" si="0"/>
        <v>8.4253450000032899</v>
      </c>
      <c r="E22" s="1" t="str">
        <f>_xlfn.XLOOKUP(B22,Table1[unit bid],Table1[my_fi_name])</f>
        <v>BTC</v>
      </c>
      <c r="F22" s="1" t="str">
        <f>_xlfn.XLOOKUP(C22,Table1[unit ask],Table1[my_fi_name])</f>
        <v>EZBC</v>
      </c>
    </row>
    <row r="23" spans="1:6" x14ac:dyDescent="0.25">
      <c r="A23" s="9" t="s">
        <v>35</v>
      </c>
      <c r="B23" s="3">
        <v>63396.945997000003</v>
      </c>
      <c r="C23" s="3">
        <v>63389.940642000009</v>
      </c>
      <c r="D23" s="3">
        <f t="shared" si="0"/>
        <v>7.0053549999938696</v>
      </c>
      <c r="E23" s="1" t="str">
        <f>_xlfn.XLOOKUP(B23,Table1[unit bid],Table1[my_fi_name])</f>
        <v>HODL</v>
      </c>
      <c r="F23" s="1" t="str">
        <f>_xlfn.XLOOKUP(C23,Table1[unit ask],Table1[my_fi_name])</f>
        <v>BITB</v>
      </c>
    </row>
    <row r="24" spans="1:6" x14ac:dyDescent="0.25">
      <c r="A24" s="9" t="s">
        <v>36</v>
      </c>
      <c r="B24" s="3">
        <v>63592.934368000002</v>
      </c>
      <c r="C24" s="3">
        <v>63601.766759999991</v>
      </c>
      <c r="D24" s="3">
        <f t="shared" si="0"/>
        <v>-8.8323919999893405</v>
      </c>
      <c r="E24" s="1" t="str">
        <f>_xlfn.XLOOKUP(B24,Table1[unit bid],Table1[my_fi_name])</f>
        <v>FBTC</v>
      </c>
      <c r="F24" s="1" t="str">
        <f>_xlfn.XLOOKUP(C24,Table1[unit ask],Table1[my_fi_name])</f>
        <v>GBTC</v>
      </c>
    </row>
    <row r="25" spans="1:6" x14ac:dyDescent="0.25">
      <c r="A25" s="9" t="s">
        <v>37</v>
      </c>
      <c r="B25" s="3">
        <v>63684.831672</v>
      </c>
      <c r="C25" s="3">
        <v>63691.963754999997</v>
      </c>
      <c r="D25" s="3">
        <f t="shared" si="0"/>
        <v>-7.1320829999967827</v>
      </c>
      <c r="E25" s="1" t="str">
        <f>_xlfn.XLOOKUP(B25,Table1[unit bid],Table1[my_fi_name])</f>
        <v>FBTC</v>
      </c>
      <c r="F25" s="1" t="str">
        <f>_xlfn.XLOOKUP(C25,Table1[unit ask],Table1[my_fi_name])</f>
        <v>GBTC</v>
      </c>
    </row>
    <row r="26" spans="1:6" ht="17.25" x14ac:dyDescent="0.4">
      <c r="A26" s="9" t="s">
        <v>38</v>
      </c>
      <c r="B26" s="3">
        <v>63610.939854000004</v>
      </c>
      <c r="C26" s="3">
        <v>63610.939854000004</v>
      </c>
      <c r="D26" s="18">
        <f t="shared" si="0"/>
        <v>0</v>
      </c>
      <c r="E26" s="1" t="str">
        <f>_xlfn.XLOOKUP(B26,Table1[unit bid],Table1[my_fi_name])</f>
        <v>BITB</v>
      </c>
      <c r="F26" s="1" t="str">
        <f>_xlfn.XLOOKUP(C26,Table1[unit ask],Table1[my_fi_name])</f>
        <v>BITB</v>
      </c>
    </row>
    <row r="27" spans="1:6" x14ac:dyDescent="0.25">
      <c r="D27" s="3">
        <f>SUM(D2:D26)</f>
        <v>73.530954000001657</v>
      </c>
    </row>
    <row r="28" spans="1:6" x14ac:dyDescent="0.25">
      <c r="D28" s="3"/>
    </row>
    <row r="29" spans="1:6" x14ac:dyDescent="0.25">
      <c r="D29" s="3"/>
    </row>
    <row r="30" spans="1:6" x14ac:dyDescent="0.25">
      <c r="D30" s="3"/>
    </row>
    <row r="31" spans="1:6" ht="17.25" x14ac:dyDescent="0.4">
      <c r="D31" s="18"/>
    </row>
  </sheetData>
  <mergeCells count="1">
    <mergeCell ref="Q1:S1"/>
  </mergeCells>
  <conditionalFormatting sqref="K3:K12">
    <cfRule type="top10" dxfId="7" priority="9" bottom="1" rank="3"/>
    <cfRule type="top10" dxfId="6" priority="10" rank="3"/>
  </conditionalFormatting>
  <conditionalFormatting sqref="S3:S12">
    <cfRule type="top10" dxfId="1" priority="1" bottom="1" rank="3"/>
    <cfRule type="top10" dxfId="0" priority="2" rank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ETF_2026-06-11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2026-06-11T22:56:08Z</dcterms:created>
  <dcterms:modified xsi:type="dcterms:W3CDTF">2026-06-12T22:07:33Z</dcterms:modified>
</cp:coreProperties>
</file>