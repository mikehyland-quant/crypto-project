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ibkr\"/>
    </mc:Choice>
  </mc:AlternateContent>
  <xr:revisionPtr revIDLastSave="0" documentId="13_ncr:9_{84F15474-D163-4940-A405-1BF2FA7FBFF1}" xr6:coauthVersionLast="47" xr6:coauthVersionMax="47" xr10:uidLastSave="{00000000-0000-0000-0000-000000000000}"/>
  <bookViews>
    <workbookView xWindow="-108" yWindow="-108" windowWidth="23256" windowHeight="12456" xr2:uid="{D19155F6-4F65-4ACD-B9C6-802E438C1B4E}"/>
  </bookViews>
  <sheets>
    <sheet name="SPY vs RSP" sheetId="1" r:id="rId1"/>
  </sheets>
  <calcPr calcId="0" iterate="1"/>
</workbook>
</file>

<file path=xl/calcChain.xml><?xml version="1.0" encoding="utf-8"?>
<calcChain xmlns="http://schemas.openxmlformats.org/spreadsheetml/2006/main">
  <c r="AE13" i="1" l="1"/>
  <c r="AE12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203" i="1"/>
  <c r="S5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2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3" i="1"/>
  <c r="R2" i="1"/>
  <c r="V2" i="1" s="1"/>
  <c r="Z2" i="1" s="1"/>
  <c r="S2" i="1"/>
  <c r="W2" i="1" s="1"/>
  <c r="AA2" i="1" s="1"/>
  <c r="T2" i="1"/>
  <c r="X2" i="1" s="1"/>
  <c r="AB2" i="1" s="1"/>
  <c r="Q2" i="1"/>
  <c r="U2" i="1" s="1"/>
  <c r="Y2" i="1" s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4" i="1"/>
  <c r="G4" i="1"/>
  <c r="G3" i="1"/>
  <c r="F3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E4" i="1"/>
  <c r="D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3" i="1"/>
  <c r="L2" i="1"/>
  <c r="H735" i="1" l="1"/>
  <c r="H714" i="1"/>
  <c r="H602" i="1"/>
  <c r="H581" i="1"/>
  <c r="H511" i="1"/>
  <c r="H385" i="1"/>
  <c r="H231" i="1"/>
  <c r="H182" i="1"/>
  <c r="K182" i="1" s="1"/>
  <c r="H175" i="1"/>
  <c r="K175" i="1" s="1"/>
  <c r="H168" i="1"/>
  <c r="H161" i="1"/>
  <c r="H154" i="1"/>
  <c r="H147" i="1"/>
  <c r="H140" i="1"/>
  <c r="H133" i="1"/>
  <c r="H126" i="1"/>
  <c r="H119" i="1"/>
  <c r="H112" i="1"/>
  <c r="H105" i="1"/>
  <c r="H98" i="1"/>
  <c r="H91" i="1"/>
  <c r="H84" i="1"/>
  <c r="K84" i="1" s="1"/>
  <c r="H77" i="1"/>
  <c r="K77" i="1" s="1"/>
  <c r="H70" i="1"/>
  <c r="H63" i="1"/>
  <c r="H56" i="1"/>
  <c r="H49" i="1"/>
  <c r="H42" i="1"/>
  <c r="H35" i="1"/>
  <c r="H28" i="1"/>
  <c r="H21" i="1"/>
  <c r="H14" i="1"/>
  <c r="H7" i="1"/>
  <c r="I1253" i="1"/>
  <c r="I1246" i="1"/>
  <c r="I1239" i="1"/>
  <c r="I1190" i="1"/>
  <c r="I1176" i="1"/>
  <c r="I1169" i="1"/>
  <c r="I1162" i="1"/>
  <c r="I1155" i="1"/>
  <c r="J1155" i="1" s="1"/>
  <c r="I1148" i="1"/>
  <c r="I1141" i="1"/>
  <c r="I1134" i="1"/>
  <c r="I1127" i="1"/>
  <c r="I1120" i="1"/>
  <c r="I1113" i="1"/>
  <c r="I1106" i="1"/>
  <c r="I1099" i="1"/>
  <c r="J1099" i="1" s="1"/>
  <c r="I1092" i="1"/>
  <c r="I1085" i="1"/>
  <c r="I1078" i="1"/>
  <c r="I1071" i="1"/>
  <c r="J1071" i="1" s="1"/>
  <c r="I1064" i="1"/>
  <c r="I1057" i="1"/>
  <c r="I1050" i="1"/>
  <c r="I1043" i="1"/>
  <c r="I1036" i="1"/>
  <c r="I1029" i="1"/>
  <c r="I1022" i="1"/>
  <c r="I1015" i="1"/>
  <c r="I1008" i="1"/>
  <c r="I1001" i="1"/>
  <c r="J1001" i="1" s="1"/>
  <c r="I994" i="1"/>
  <c r="I987" i="1"/>
  <c r="J987" i="1" s="1"/>
  <c r="I980" i="1"/>
  <c r="I973" i="1"/>
  <c r="I966" i="1"/>
  <c r="I959" i="1"/>
  <c r="I952" i="1"/>
  <c r="I945" i="1"/>
  <c r="I938" i="1"/>
  <c r="I931" i="1"/>
  <c r="I924" i="1"/>
  <c r="I917" i="1"/>
  <c r="I910" i="1"/>
  <c r="I903" i="1"/>
  <c r="J903" i="1" s="1"/>
  <c r="I896" i="1"/>
  <c r="I889" i="1"/>
  <c r="I882" i="1"/>
  <c r="I875" i="1"/>
  <c r="J875" i="1" s="1"/>
  <c r="I868" i="1"/>
  <c r="I861" i="1"/>
  <c r="I854" i="1"/>
  <c r="I847" i="1"/>
  <c r="I840" i="1"/>
  <c r="I833" i="1"/>
  <c r="I826" i="1"/>
  <c r="I819" i="1"/>
  <c r="I812" i="1"/>
  <c r="I805" i="1"/>
  <c r="I798" i="1"/>
  <c r="I791" i="1"/>
  <c r="I784" i="1"/>
  <c r="J784" i="1" s="1"/>
  <c r="I777" i="1"/>
  <c r="J777" i="1" s="1"/>
  <c r="I770" i="1"/>
  <c r="I763" i="1"/>
  <c r="I756" i="1"/>
  <c r="J756" i="1" s="1"/>
  <c r="I749" i="1"/>
  <c r="I742" i="1"/>
  <c r="I735" i="1"/>
  <c r="J735" i="1" s="1"/>
  <c r="I728" i="1"/>
  <c r="I721" i="1"/>
  <c r="I714" i="1"/>
  <c r="J714" i="1" s="1"/>
  <c r="I707" i="1"/>
  <c r="J707" i="1" s="1"/>
  <c r="I700" i="1"/>
  <c r="I693" i="1"/>
  <c r="I686" i="1"/>
  <c r="I679" i="1"/>
  <c r="J679" i="1" s="1"/>
  <c r="I672" i="1"/>
  <c r="I665" i="1"/>
  <c r="I658" i="1"/>
  <c r="J658" i="1" s="1"/>
  <c r="I651" i="1"/>
  <c r="I644" i="1"/>
  <c r="I637" i="1"/>
  <c r="I630" i="1"/>
  <c r="I623" i="1"/>
  <c r="I616" i="1"/>
  <c r="I609" i="1"/>
  <c r="J609" i="1" s="1"/>
  <c r="I602" i="1"/>
  <c r="J602" i="1" s="1"/>
  <c r="I595" i="1"/>
  <c r="I588" i="1"/>
  <c r="J588" i="1" s="1"/>
  <c r="I581" i="1"/>
  <c r="J581" i="1" s="1"/>
  <c r="I574" i="1"/>
  <c r="H1253" i="1"/>
  <c r="H1204" i="1"/>
  <c r="H1155" i="1"/>
  <c r="H987" i="1"/>
  <c r="H945" i="1"/>
  <c r="K945" i="1" s="1"/>
  <c r="H847" i="1"/>
  <c r="K847" i="1" s="1"/>
  <c r="I1252" i="1"/>
  <c r="I1245" i="1"/>
  <c r="I1238" i="1"/>
  <c r="I1231" i="1"/>
  <c r="J1231" i="1" s="1"/>
  <c r="I1224" i="1"/>
  <c r="I1217" i="1"/>
  <c r="I1210" i="1"/>
  <c r="J1210" i="1" s="1"/>
  <c r="I1203" i="1"/>
  <c r="I1196" i="1"/>
  <c r="I1189" i="1"/>
  <c r="I1182" i="1"/>
  <c r="I1175" i="1"/>
  <c r="I1168" i="1"/>
  <c r="I1161" i="1"/>
  <c r="I1154" i="1"/>
  <c r="I1147" i="1"/>
  <c r="I1140" i="1"/>
  <c r="I1133" i="1"/>
  <c r="J1133" i="1" s="1"/>
  <c r="I1126" i="1"/>
  <c r="I1119" i="1"/>
  <c r="I1112" i="1"/>
  <c r="I1105" i="1"/>
  <c r="I1098" i="1"/>
  <c r="I1091" i="1"/>
  <c r="I1084" i="1"/>
  <c r="I1077" i="1"/>
  <c r="I1070" i="1"/>
  <c r="I1063" i="1"/>
  <c r="I1056" i="1"/>
  <c r="J1056" i="1" s="1"/>
  <c r="I1049" i="1"/>
  <c r="I1042" i="1"/>
  <c r="J1042" i="1" s="1"/>
  <c r="I1035" i="1"/>
  <c r="I1028" i="1"/>
  <c r="I1021" i="1"/>
  <c r="I1014" i="1"/>
  <c r="J1014" i="1" s="1"/>
  <c r="I1007" i="1"/>
  <c r="I1000" i="1"/>
  <c r="I993" i="1"/>
  <c r="I986" i="1"/>
  <c r="I979" i="1"/>
  <c r="I972" i="1"/>
  <c r="I965" i="1"/>
  <c r="I958" i="1"/>
  <c r="I951" i="1"/>
  <c r="I944" i="1"/>
  <c r="I937" i="1"/>
  <c r="J937" i="1" s="1"/>
  <c r="I930" i="1"/>
  <c r="I923" i="1"/>
  <c r="I916" i="1"/>
  <c r="I909" i="1"/>
  <c r="I902" i="1"/>
  <c r="I895" i="1"/>
  <c r="I888" i="1"/>
  <c r="I881" i="1"/>
  <c r="I874" i="1"/>
  <c r="I867" i="1"/>
  <c r="I860" i="1"/>
  <c r="J860" i="1" s="1"/>
  <c r="I853" i="1"/>
  <c r="I846" i="1"/>
  <c r="J846" i="1" s="1"/>
  <c r="I839" i="1"/>
  <c r="I832" i="1"/>
  <c r="I825" i="1"/>
  <c r="I818" i="1"/>
  <c r="J818" i="1" s="1"/>
  <c r="I811" i="1"/>
  <c r="I804" i="1"/>
  <c r="I797" i="1"/>
  <c r="I790" i="1"/>
  <c r="I783" i="1"/>
  <c r="I776" i="1"/>
  <c r="I769" i="1"/>
  <c r="I762" i="1"/>
  <c r="I755" i="1"/>
  <c r="I748" i="1"/>
  <c r="J748" i="1" s="1"/>
  <c r="I741" i="1"/>
  <c r="I734" i="1"/>
  <c r="I727" i="1"/>
  <c r="I720" i="1"/>
  <c r="J720" i="1" s="1"/>
  <c r="I713" i="1"/>
  <c r="I706" i="1"/>
  <c r="I699" i="1"/>
  <c r="I692" i="1"/>
  <c r="I685" i="1"/>
  <c r="I678" i="1"/>
  <c r="I671" i="1"/>
  <c r="I664" i="1"/>
  <c r="I657" i="1"/>
  <c r="I650" i="1"/>
  <c r="I643" i="1"/>
  <c r="I636" i="1"/>
  <c r="J636" i="1" s="1"/>
  <c r="I629" i="1"/>
  <c r="I622" i="1"/>
  <c r="J622" i="1" s="1"/>
  <c r="I615" i="1"/>
  <c r="I608" i="1"/>
  <c r="I601" i="1"/>
  <c r="I594" i="1"/>
  <c r="I587" i="1"/>
  <c r="I580" i="1"/>
  <c r="I573" i="1"/>
  <c r="I566" i="1"/>
  <c r="H1191" i="1"/>
  <c r="H1184" i="1"/>
  <c r="H1177" i="1"/>
  <c r="H1170" i="1"/>
  <c r="H1163" i="1"/>
  <c r="K1163" i="1" s="1"/>
  <c r="H1156" i="1"/>
  <c r="K1156" i="1" s="1"/>
  <c r="H1149" i="1"/>
  <c r="H1142" i="1"/>
  <c r="H1135" i="1"/>
  <c r="H1128" i="1"/>
  <c r="H1121" i="1"/>
  <c r="H1114" i="1"/>
  <c r="H1107" i="1"/>
  <c r="H1100" i="1"/>
  <c r="H1093" i="1"/>
  <c r="H1086" i="1"/>
  <c r="H1079" i="1"/>
  <c r="K1079" i="1" s="1"/>
  <c r="H1072" i="1"/>
  <c r="K1072" i="1" s="1"/>
  <c r="H1065" i="1"/>
  <c r="K1065" i="1" s="1"/>
  <c r="H1058" i="1"/>
  <c r="K1058" i="1" s="1"/>
  <c r="H1051" i="1"/>
  <c r="H1030" i="1"/>
  <c r="H1023" i="1"/>
  <c r="H1016" i="1"/>
  <c r="H974" i="1"/>
  <c r="H967" i="1"/>
  <c r="H960" i="1"/>
  <c r="H946" i="1"/>
  <c r="H925" i="1"/>
  <c r="H918" i="1"/>
  <c r="H904" i="1"/>
  <c r="H883" i="1"/>
  <c r="H848" i="1"/>
  <c r="H820" i="1"/>
  <c r="K820" i="1" s="1"/>
  <c r="H1255" i="1"/>
  <c r="H1248" i="1"/>
  <c r="H1234" i="1"/>
  <c r="H1220" i="1"/>
  <c r="H1206" i="1"/>
  <c r="H1192" i="1"/>
  <c r="H1178" i="1"/>
  <c r="H1164" i="1"/>
  <c r="H1150" i="1"/>
  <c r="H1136" i="1"/>
  <c r="H1122" i="1"/>
  <c r="H1108" i="1"/>
  <c r="K1108" i="1" s="1"/>
  <c r="H1094" i="1"/>
  <c r="H1080" i="1"/>
  <c r="H1066" i="1"/>
  <c r="H1052" i="1"/>
  <c r="H1038" i="1"/>
  <c r="H1024" i="1"/>
  <c r="H1010" i="1"/>
  <c r="H996" i="1"/>
  <c r="H982" i="1"/>
  <c r="H975" i="1"/>
  <c r="H961" i="1"/>
  <c r="H947" i="1"/>
  <c r="K947" i="1" s="1"/>
  <c r="H940" i="1"/>
  <c r="K940" i="1" s="1"/>
  <c r="H1241" i="1"/>
  <c r="H1227" i="1"/>
  <c r="H1213" i="1"/>
  <c r="H1199" i="1"/>
  <c r="H1185" i="1"/>
  <c r="H1171" i="1"/>
  <c r="H1157" i="1"/>
  <c r="H1143" i="1"/>
  <c r="H1129" i="1"/>
  <c r="H1115" i="1"/>
  <c r="H1101" i="1"/>
  <c r="H1087" i="1"/>
  <c r="H1073" i="1"/>
  <c r="K1073" i="1" s="1"/>
  <c r="H1059" i="1"/>
  <c r="K1059" i="1" s="1"/>
  <c r="H1045" i="1"/>
  <c r="H1031" i="1"/>
  <c r="H1017" i="1"/>
  <c r="H1003" i="1"/>
  <c r="H989" i="1"/>
  <c r="H968" i="1"/>
  <c r="H933" i="1"/>
  <c r="H926" i="1"/>
  <c r="H919" i="1"/>
  <c r="H877" i="1"/>
  <c r="H849" i="1"/>
  <c r="H814" i="1"/>
  <c r="H800" i="1"/>
  <c r="K800" i="1" s="1"/>
  <c r="H779" i="1"/>
  <c r="H772" i="1"/>
  <c r="H751" i="1"/>
  <c r="H709" i="1"/>
  <c r="H702" i="1"/>
  <c r="H688" i="1"/>
  <c r="H681" i="1"/>
  <c r="H604" i="1"/>
  <c r="H590" i="1"/>
  <c r="H562" i="1"/>
  <c r="H534" i="1"/>
  <c r="H415" i="1"/>
  <c r="H401" i="1"/>
  <c r="H338" i="1"/>
  <c r="K338" i="1" s="1"/>
  <c r="H331" i="1"/>
  <c r="H303" i="1"/>
  <c r="K303" i="1" s="1"/>
  <c r="H254" i="1"/>
  <c r="H205" i="1"/>
  <c r="H191" i="1"/>
  <c r="H135" i="1"/>
  <c r="H128" i="1"/>
  <c r="H121" i="1"/>
  <c r="H114" i="1"/>
  <c r="H107" i="1"/>
  <c r="H100" i="1"/>
  <c r="H93" i="1"/>
  <c r="K93" i="1" s="1"/>
  <c r="H86" i="1"/>
  <c r="H79" i="1"/>
  <c r="K79" i="1" s="1"/>
  <c r="H72" i="1"/>
  <c r="K72" i="1" s="1"/>
  <c r="H65" i="1"/>
  <c r="H58" i="1"/>
  <c r="H51" i="1"/>
  <c r="H44" i="1"/>
  <c r="H37" i="1"/>
  <c r="H30" i="1"/>
  <c r="H23" i="1"/>
  <c r="H16" i="1"/>
  <c r="H9" i="1"/>
  <c r="H1153" i="1"/>
  <c r="I1254" i="1"/>
  <c r="J1254" i="1" s="1"/>
  <c r="I1212" i="1"/>
  <c r="I1184" i="1"/>
  <c r="J1184" i="1" s="1"/>
  <c r="I1177" i="1"/>
  <c r="J1177" i="1" s="1"/>
  <c r="I1163" i="1"/>
  <c r="I1128" i="1"/>
  <c r="J1128" i="1" s="1"/>
  <c r="I1121" i="1"/>
  <c r="J1121" i="1" s="1"/>
  <c r="I1114" i="1"/>
  <c r="I1107" i="1"/>
  <c r="I1086" i="1"/>
  <c r="I1079" i="1"/>
  <c r="I1072" i="1"/>
  <c r="I1065" i="1"/>
  <c r="I1030" i="1"/>
  <c r="I1009" i="1"/>
  <c r="I974" i="1"/>
  <c r="I967" i="1"/>
  <c r="J967" i="1" s="1"/>
  <c r="I960" i="1"/>
  <c r="J960" i="1" s="1"/>
  <c r="I946" i="1"/>
  <c r="I904" i="1"/>
  <c r="I799" i="1"/>
  <c r="I785" i="1"/>
  <c r="I771" i="1"/>
  <c r="I743" i="1"/>
  <c r="I701" i="1"/>
  <c r="I687" i="1"/>
  <c r="I470" i="1"/>
  <c r="I449" i="1"/>
  <c r="I330" i="1"/>
  <c r="J330" i="1" s="1"/>
  <c r="I309" i="1"/>
  <c r="I288" i="1"/>
  <c r="I274" i="1"/>
  <c r="I267" i="1"/>
  <c r="I253" i="1"/>
  <c r="I239" i="1"/>
  <c r="I225" i="1"/>
  <c r="I176" i="1"/>
  <c r="I106" i="1"/>
  <c r="I99" i="1"/>
  <c r="I57" i="1"/>
  <c r="I1251" i="1"/>
  <c r="I1230" i="1"/>
  <c r="I1209" i="1"/>
  <c r="I1188" i="1"/>
  <c r="I1167" i="1"/>
  <c r="I1146" i="1"/>
  <c r="I1118" i="1"/>
  <c r="J1118" i="1" s="1"/>
  <c r="I1076" i="1"/>
  <c r="I1055" i="1"/>
  <c r="I1041" i="1"/>
  <c r="I1034" i="1"/>
  <c r="I1013" i="1"/>
  <c r="I1006" i="1"/>
  <c r="I999" i="1"/>
  <c r="I978" i="1"/>
  <c r="I964" i="1"/>
  <c r="I957" i="1"/>
  <c r="I950" i="1"/>
  <c r="I943" i="1"/>
  <c r="I936" i="1"/>
  <c r="J936" i="1" s="1"/>
  <c r="I929" i="1"/>
  <c r="J929" i="1" s="1"/>
  <c r="I922" i="1"/>
  <c r="I901" i="1"/>
  <c r="I894" i="1"/>
  <c r="I887" i="1"/>
  <c r="I880" i="1"/>
  <c r="I873" i="1"/>
  <c r="I866" i="1"/>
  <c r="I859" i="1"/>
  <c r="I852" i="1"/>
  <c r="I845" i="1"/>
  <c r="I838" i="1"/>
  <c r="J838" i="1" s="1"/>
  <c r="I831" i="1"/>
  <c r="J831" i="1" s="1"/>
  <c r="I824" i="1"/>
  <c r="J824" i="1" s="1"/>
  <c r="I817" i="1"/>
  <c r="I810" i="1"/>
  <c r="I803" i="1"/>
  <c r="I796" i="1"/>
  <c r="I789" i="1"/>
  <c r="I782" i="1"/>
  <c r="I754" i="1"/>
  <c r="I719" i="1"/>
  <c r="I1244" i="1"/>
  <c r="I1223" i="1"/>
  <c r="I1195" i="1"/>
  <c r="I1174" i="1"/>
  <c r="I1153" i="1"/>
  <c r="J1153" i="1" s="1"/>
  <c r="I1132" i="1"/>
  <c r="J1132" i="1" s="1"/>
  <c r="I1090" i="1"/>
  <c r="I1069" i="1"/>
  <c r="I1048" i="1"/>
  <c r="I1020" i="1"/>
  <c r="I985" i="1"/>
  <c r="I908" i="1"/>
  <c r="I761" i="1"/>
  <c r="I1237" i="1"/>
  <c r="I1216" i="1"/>
  <c r="I1202" i="1"/>
  <c r="I1181" i="1"/>
  <c r="I1160" i="1"/>
  <c r="I1139" i="1"/>
  <c r="I1125" i="1"/>
  <c r="J1125" i="1" s="1"/>
  <c r="I1083" i="1"/>
  <c r="I1062" i="1"/>
  <c r="I1027" i="1"/>
  <c r="I992" i="1"/>
  <c r="I915" i="1"/>
  <c r="I775" i="1"/>
  <c r="I768" i="1"/>
  <c r="I1257" i="1"/>
  <c r="I1250" i="1"/>
  <c r="I1243" i="1"/>
  <c r="J1243" i="1" s="1"/>
  <c r="I1236" i="1"/>
  <c r="I1229" i="1"/>
  <c r="I1222" i="1"/>
  <c r="J1222" i="1" s="1"/>
  <c r="I1215" i="1"/>
  <c r="J1215" i="1" s="1"/>
  <c r="I1208" i="1"/>
  <c r="J1208" i="1" s="1"/>
  <c r="I1201" i="1"/>
  <c r="I1194" i="1"/>
  <c r="I1187" i="1"/>
  <c r="I1180" i="1"/>
  <c r="I1173" i="1"/>
  <c r="I1166" i="1"/>
  <c r="I1159" i="1"/>
  <c r="I1152" i="1"/>
  <c r="J1152" i="1" s="1"/>
  <c r="I1145" i="1"/>
  <c r="I1138" i="1"/>
  <c r="J1138" i="1" s="1"/>
  <c r="I1131" i="1"/>
  <c r="I1124" i="1"/>
  <c r="J1124" i="1" s="1"/>
  <c r="I1117" i="1"/>
  <c r="J1117" i="1" s="1"/>
  <c r="I1110" i="1"/>
  <c r="I1103" i="1"/>
  <c r="I1096" i="1"/>
  <c r="I1089" i="1"/>
  <c r="I1082" i="1"/>
  <c r="I1075" i="1"/>
  <c r="I1068" i="1"/>
  <c r="I1061" i="1"/>
  <c r="I1054" i="1"/>
  <c r="J1054" i="1" s="1"/>
  <c r="I1047" i="1"/>
  <c r="I1040" i="1"/>
  <c r="J1040" i="1" s="1"/>
  <c r="I1033" i="1"/>
  <c r="I1026" i="1"/>
  <c r="J1026" i="1" s="1"/>
  <c r="I1019" i="1"/>
  <c r="J1019" i="1" s="1"/>
  <c r="I1012" i="1"/>
  <c r="I1005" i="1"/>
  <c r="I998" i="1"/>
  <c r="I991" i="1"/>
  <c r="I984" i="1"/>
  <c r="I977" i="1"/>
  <c r="I970" i="1"/>
  <c r="I963" i="1"/>
  <c r="I956" i="1"/>
  <c r="J956" i="1" s="1"/>
  <c r="I949" i="1"/>
  <c r="I942" i="1"/>
  <c r="J942" i="1" s="1"/>
  <c r="I935" i="1"/>
  <c r="I928" i="1"/>
  <c r="J928" i="1" s="1"/>
  <c r="I921" i="1"/>
  <c r="J921" i="1" s="1"/>
  <c r="I914" i="1"/>
  <c r="I907" i="1"/>
  <c r="I900" i="1"/>
  <c r="I893" i="1"/>
  <c r="I886" i="1"/>
  <c r="I879" i="1"/>
  <c r="I872" i="1"/>
  <c r="I865" i="1"/>
  <c r="I858" i="1"/>
  <c r="J858" i="1" s="1"/>
  <c r="I851" i="1"/>
  <c r="I844" i="1"/>
  <c r="J844" i="1" s="1"/>
  <c r="I837" i="1"/>
  <c r="I830" i="1"/>
  <c r="J830" i="1" s="1"/>
  <c r="I823" i="1"/>
  <c r="J823" i="1" s="1"/>
  <c r="I816" i="1"/>
  <c r="I809" i="1"/>
  <c r="I802" i="1"/>
  <c r="I795" i="1"/>
  <c r="I788" i="1"/>
  <c r="I781" i="1"/>
  <c r="I774" i="1"/>
  <c r="I767" i="1"/>
  <c r="I760" i="1"/>
  <c r="J760" i="1" s="1"/>
  <c r="I753" i="1"/>
  <c r="I746" i="1"/>
  <c r="J746" i="1" s="1"/>
  <c r="I739" i="1"/>
  <c r="I732" i="1"/>
  <c r="J732" i="1" s="1"/>
  <c r="I725" i="1"/>
  <c r="J725" i="1" s="1"/>
  <c r="I718" i="1"/>
  <c r="I711" i="1"/>
  <c r="I704" i="1"/>
  <c r="I697" i="1"/>
  <c r="I690" i="1"/>
  <c r="I683" i="1"/>
  <c r="I676" i="1"/>
  <c r="I669" i="1"/>
  <c r="I662" i="1"/>
  <c r="J662" i="1" s="1"/>
  <c r="I655" i="1"/>
  <c r="I648" i="1"/>
  <c r="J648" i="1" s="1"/>
  <c r="I641" i="1"/>
  <c r="I634" i="1"/>
  <c r="J634" i="1" s="1"/>
  <c r="I627" i="1"/>
  <c r="J627" i="1" s="1"/>
  <c r="I620" i="1"/>
  <c r="I613" i="1"/>
  <c r="I606" i="1"/>
  <c r="I599" i="1"/>
  <c r="H1257" i="1"/>
  <c r="H1250" i="1"/>
  <c r="H1243" i="1"/>
  <c r="H1236" i="1"/>
  <c r="H1229" i="1"/>
  <c r="H1222" i="1"/>
  <c r="H1215" i="1"/>
  <c r="H1208" i="1"/>
  <c r="H1201" i="1"/>
  <c r="I1242" i="1"/>
  <c r="J1242" i="1" s="1"/>
  <c r="I1144" i="1"/>
  <c r="I1130" i="1"/>
  <c r="I1116" i="1"/>
  <c r="I1109" i="1"/>
  <c r="I1039" i="1"/>
  <c r="I1025" i="1"/>
  <c r="I913" i="1"/>
  <c r="I836" i="1"/>
  <c r="I829" i="1"/>
  <c r="I801" i="1"/>
  <c r="I794" i="1"/>
  <c r="H785" i="1"/>
  <c r="H743" i="1"/>
  <c r="H568" i="1"/>
  <c r="K568" i="1" s="1"/>
  <c r="H1194" i="1"/>
  <c r="H1187" i="1"/>
  <c r="H1180" i="1"/>
  <c r="H1173" i="1"/>
  <c r="H1166" i="1"/>
  <c r="H1159" i="1"/>
  <c r="H1152" i="1"/>
  <c r="H1145" i="1"/>
  <c r="H1138" i="1"/>
  <c r="H1131" i="1"/>
  <c r="H1124" i="1"/>
  <c r="H1117" i="1"/>
  <c r="H1110" i="1"/>
  <c r="H1103" i="1"/>
  <c r="H1096" i="1"/>
  <c r="H1089" i="1"/>
  <c r="H1082" i="1"/>
  <c r="H1075" i="1"/>
  <c r="H1068" i="1"/>
  <c r="H1061" i="1"/>
  <c r="H1054" i="1"/>
  <c r="H1047" i="1"/>
  <c r="H1040" i="1"/>
  <c r="H1033" i="1"/>
  <c r="H1026" i="1"/>
  <c r="H1019" i="1"/>
  <c r="H1012" i="1"/>
  <c r="H1005" i="1"/>
  <c r="H998" i="1"/>
  <c r="H991" i="1"/>
  <c r="H984" i="1"/>
  <c r="H977" i="1"/>
  <c r="H970" i="1"/>
  <c r="H963" i="1"/>
  <c r="H956" i="1"/>
  <c r="H949" i="1"/>
  <c r="H942" i="1"/>
  <c r="H935" i="1"/>
  <c r="H928" i="1"/>
  <c r="H921" i="1"/>
  <c r="H914" i="1"/>
  <c r="H907" i="1"/>
  <c r="H900" i="1"/>
  <c r="H893" i="1"/>
  <c r="H886" i="1"/>
  <c r="H879" i="1"/>
  <c r="H872" i="1"/>
  <c r="H865" i="1"/>
  <c r="H858" i="1"/>
  <c r="H851" i="1"/>
  <c r="H844" i="1"/>
  <c r="H837" i="1"/>
  <c r="H830" i="1"/>
  <c r="H823" i="1"/>
  <c r="H816" i="1"/>
  <c r="H809" i="1"/>
  <c r="H802" i="1"/>
  <c r="H795" i="1"/>
  <c r="H788" i="1"/>
  <c r="H781" i="1"/>
  <c r="H774" i="1"/>
  <c r="H767" i="1"/>
  <c r="H760" i="1"/>
  <c r="H753" i="1"/>
  <c r="H746" i="1"/>
  <c r="H739" i="1"/>
  <c r="H732" i="1"/>
  <c r="H725" i="1"/>
  <c r="H718" i="1"/>
  <c r="H711" i="1"/>
  <c r="H704" i="1"/>
  <c r="H697" i="1"/>
  <c r="H690" i="1"/>
  <c r="H683" i="1"/>
  <c r="H676" i="1"/>
  <c r="H669" i="1"/>
  <c r="H662" i="1"/>
  <c r="H655" i="1"/>
  <c r="H648" i="1"/>
  <c r="H641" i="1"/>
  <c r="H634" i="1"/>
  <c r="H627" i="1"/>
  <c r="H620" i="1"/>
  <c r="H613" i="1"/>
  <c r="H606" i="1"/>
  <c r="H650" i="1"/>
  <c r="H599" i="1"/>
  <c r="H592" i="1"/>
  <c r="K592" i="1" s="1"/>
  <c r="H585" i="1"/>
  <c r="H578" i="1"/>
  <c r="H571" i="1"/>
  <c r="H564" i="1"/>
  <c r="H557" i="1"/>
  <c r="H550" i="1"/>
  <c r="H543" i="1"/>
  <c r="H536" i="1"/>
  <c r="H529" i="1"/>
  <c r="H522" i="1"/>
  <c r="H515" i="1"/>
  <c r="H508" i="1"/>
  <c r="H501" i="1"/>
  <c r="H494" i="1"/>
  <c r="K494" i="1" s="1"/>
  <c r="H487" i="1"/>
  <c r="H480" i="1"/>
  <c r="H473" i="1"/>
  <c r="H466" i="1"/>
  <c r="H459" i="1"/>
  <c r="H452" i="1"/>
  <c r="H445" i="1"/>
  <c r="H438" i="1"/>
  <c r="H431" i="1"/>
  <c r="H424" i="1"/>
  <c r="H417" i="1"/>
  <c r="H410" i="1"/>
  <c r="H403" i="1"/>
  <c r="H396" i="1"/>
  <c r="K396" i="1" s="1"/>
  <c r="H389" i="1"/>
  <c r="H382" i="1"/>
  <c r="H375" i="1"/>
  <c r="H368" i="1"/>
  <c r="H361" i="1"/>
  <c r="H354" i="1"/>
  <c r="H347" i="1"/>
  <c r="H340" i="1"/>
  <c r="H333" i="1"/>
  <c r="H326" i="1"/>
  <c r="H319" i="1"/>
  <c r="H312" i="1"/>
  <c r="H305" i="1"/>
  <c r="H298" i="1"/>
  <c r="K298" i="1" s="1"/>
  <c r="H291" i="1"/>
  <c r="H284" i="1"/>
  <c r="H277" i="1"/>
  <c r="H270" i="1"/>
  <c r="H263" i="1"/>
  <c r="H256" i="1"/>
  <c r="H249" i="1"/>
  <c r="H242" i="1"/>
  <c r="H235" i="1"/>
  <c r="H228" i="1"/>
  <c r="H221" i="1"/>
  <c r="H214" i="1"/>
  <c r="H207" i="1"/>
  <c r="H200" i="1"/>
  <c r="K200" i="1" s="1"/>
  <c r="H193" i="1"/>
  <c r="H186" i="1"/>
  <c r="H179" i="1"/>
  <c r="H172" i="1"/>
  <c r="H165" i="1"/>
  <c r="H158" i="1"/>
  <c r="H151" i="1"/>
  <c r="H144" i="1"/>
  <c r="H137" i="1"/>
  <c r="H130" i="1"/>
  <c r="H123" i="1"/>
  <c r="H116" i="1"/>
  <c r="H109" i="1"/>
  <c r="H102" i="1"/>
  <c r="K102" i="1" s="1"/>
  <c r="H95" i="1"/>
  <c r="H88" i="1"/>
  <c r="H81" i="1"/>
  <c r="H74" i="1"/>
  <c r="H67" i="1"/>
  <c r="H60" i="1"/>
  <c r="H53" i="1"/>
  <c r="H46" i="1"/>
  <c r="H39" i="1"/>
  <c r="H32" i="1"/>
  <c r="H25" i="1"/>
  <c r="H18" i="1"/>
  <c r="H11" i="1"/>
  <c r="H1200" i="1"/>
  <c r="H1251" i="1"/>
  <c r="H1244" i="1"/>
  <c r="H1237" i="1"/>
  <c r="H1230" i="1"/>
  <c r="H1223" i="1"/>
  <c r="H1216" i="1"/>
  <c r="K1216" i="1" s="1"/>
  <c r="H1209" i="1"/>
  <c r="K1209" i="1" s="1"/>
  <c r="H1202" i="1"/>
  <c r="H1195" i="1"/>
  <c r="K1195" i="1" s="1"/>
  <c r="H1188" i="1"/>
  <c r="K1188" i="1" s="1"/>
  <c r="H1181" i="1"/>
  <c r="H1174" i="1"/>
  <c r="H1167" i="1"/>
  <c r="H1160" i="1"/>
  <c r="H1146" i="1"/>
  <c r="H1139" i="1"/>
  <c r="H1132" i="1"/>
  <c r="H1125" i="1"/>
  <c r="H1118" i="1"/>
  <c r="H1111" i="1"/>
  <c r="H1104" i="1"/>
  <c r="H1097" i="1"/>
  <c r="H1090" i="1"/>
  <c r="H1083" i="1"/>
  <c r="H1076" i="1"/>
  <c r="H1069" i="1"/>
  <c r="K1069" i="1" s="1"/>
  <c r="H1062" i="1"/>
  <c r="K1062" i="1" s="1"/>
  <c r="H1055" i="1"/>
  <c r="H1048" i="1"/>
  <c r="H1041" i="1"/>
  <c r="H1034" i="1"/>
  <c r="H1027" i="1"/>
  <c r="H1020" i="1"/>
  <c r="H1013" i="1"/>
  <c r="H1006" i="1"/>
  <c r="K1006" i="1" s="1"/>
  <c r="H999" i="1"/>
  <c r="H992" i="1"/>
  <c r="H985" i="1"/>
  <c r="H978" i="1"/>
  <c r="K978" i="1" s="1"/>
  <c r="H971" i="1"/>
  <c r="H964" i="1"/>
  <c r="H957" i="1"/>
  <c r="H950" i="1"/>
  <c r="H943" i="1"/>
  <c r="H936" i="1"/>
  <c r="H929" i="1"/>
  <c r="H922" i="1"/>
  <c r="H915" i="1"/>
  <c r="H908" i="1"/>
  <c r="H901" i="1"/>
  <c r="H894" i="1"/>
  <c r="H887" i="1"/>
  <c r="H880" i="1"/>
  <c r="H873" i="1"/>
  <c r="K873" i="1" s="1"/>
  <c r="H866" i="1"/>
  <c r="K866" i="1" s="1"/>
  <c r="H859" i="1"/>
  <c r="H852" i="1"/>
  <c r="H845" i="1"/>
  <c r="H838" i="1"/>
  <c r="H831" i="1"/>
  <c r="H824" i="1"/>
  <c r="H817" i="1"/>
  <c r="H810" i="1"/>
  <c r="H803" i="1"/>
  <c r="H796" i="1"/>
  <c r="H789" i="1"/>
  <c r="H782" i="1"/>
  <c r="H775" i="1"/>
  <c r="H768" i="1"/>
  <c r="K768" i="1" s="1"/>
  <c r="H761" i="1"/>
  <c r="K761" i="1" s="1"/>
  <c r="H754" i="1"/>
  <c r="H747" i="1"/>
  <c r="H740" i="1"/>
  <c r="H733" i="1"/>
  <c r="H726" i="1"/>
  <c r="H719" i="1"/>
  <c r="H712" i="1"/>
  <c r="K712" i="1" s="1"/>
  <c r="H705" i="1"/>
  <c r="H698" i="1"/>
  <c r="K698" i="1" s="1"/>
  <c r="H691" i="1"/>
  <c r="K691" i="1" s="1"/>
  <c r="H684" i="1"/>
  <c r="H677" i="1"/>
  <c r="H670" i="1"/>
  <c r="H663" i="1"/>
  <c r="H656" i="1"/>
  <c r="H649" i="1"/>
  <c r="H642" i="1"/>
  <c r="H635" i="1"/>
  <c r="H628" i="1"/>
  <c r="H621" i="1"/>
  <c r="H614" i="1"/>
  <c r="K614" i="1" s="1"/>
  <c r="H607" i="1"/>
  <c r="H600" i="1"/>
  <c r="K600" i="1" s="1"/>
  <c r="H593" i="1"/>
  <c r="K593" i="1" s="1"/>
  <c r="H586" i="1"/>
  <c r="H579" i="1"/>
  <c r="H572" i="1"/>
  <c r="H565" i="1"/>
  <c r="H558" i="1"/>
  <c r="H551" i="1"/>
  <c r="H544" i="1"/>
  <c r="H537" i="1"/>
  <c r="H530" i="1"/>
  <c r="H523" i="1"/>
  <c r="H516" i="1"/>
  <c r="K516" i="1" s="1"/>
  <c r="H509" i="1"/>
  <c r="H502" i="1"/>
  <c r="K502" i="1" s="1"/>
  <c r="H495" i="1"/>
  <c r="K495" i="1" s="1"/>
  <c r="H488" i="1"/>
  <c r="H481" i="1"/>
  <c r="H474" i="1"/>
  <c r="H467" i="1"/>
  <c r="H460" i="1"/>
  <c r="H453" i="1"/>
  <c r="H446" i="1"/>
  <c r="H439" i="1"/>
  <c r="H432" i="1"/>
  <c r="H425" i="1"/>
  <c r="H418" i="1"/>
  <c r="K418" i="1" s="1"/>
  <c r="H411" i="1"/>
  <c r="H404" i="1"/>
  <c r="K404" i="1" s="1"/>
  <c r="H397" i="1"/>
  <c r="K397" i="1" s="1"/>
  <c r="H390" i="1"/>
  <c r="H383" i="1"/>
  <c r="H376" i="1"/>
  <c r="H369" i="1"/>
  <c r="H362" i="1"/>
  <c r="H355" i="1"/>
  <c r="H348" i="1"/>
  <c r="H341" i="1"/>
  <c r="H334" i="1"/>
  <c r="H327" i="1"/>
  <c r="H320" i="1"/>
  <c r="K320" i="1" s="1"/>
  <c r="H313" i="1"/>
  <c r="H306" i="1"/>
  <c r="K306" i="1" s="1"/>
  <c r="H299" i="1"/>
  <c r="K299" i="1" s="1"/>
  <c r="H292" i="1"/>
  <c r="H285" i="1"/>
  <c r="H278" i="1"/>
  <c r="H271" i="1"/>
  <c r="H264" i="1"/>
  <c r="H257" i="1"/>
  <c r="H250" i="1"/>
  <c r="H243" i="1"/>
  <c r="H236" i="1"/>
  <c r="H229" i="1"/>
  <c r="H222" i="1"/>
  <c r="K222" i="1" s="1"/>
  <c r="H215" i="1"/>
  <c r="H208" i="1"/>
  <c r="K208" i="1" s="1"/>
  <c r="H201" i="1"/>
  <c r="K201" i="1" s="1"/>
  <c r="H194" i="1"/>
  <c r="H187" i="1"/>
  <c r="H180" i="1"/>
  <c r="H173" i="1"/>
  <c r="H166" i="1"/>
  <c r="H159" i="1"/>
  <c r="H152" i="1"/>
  <c r="I592" i="1"/>
  <c r="I585" i="1"/>
  <c r="I578" i="1"/>
  <c r="I571" i="1"/>
  <c r="J571" i="1" s="1"/>
  <c r="I564" i="1"/>
  <c r="I557" i="1"/>
  <c r="J557" i="1" s="1"/>
  <c r="I550" i="1"/>
  <c r="J550" i="1" s="1"/>
  <c r="I543" i="1"/>
  <c r="I536" i="1"/>
  <c r="I529" i="1"/>
  <c r="I522" i="1"/>
  <c r="I515" i="1"/>
  <c r="I508" i="1"/>
  <c r="I501" i="1"/>
  <c r="I494" i="1"/>
  <c r="I487" i="1"/>
  <c r="I480" i="1"/>
  <c r="I473" i="1"/>
  <c r="J473" i="1" s="1"/>
  <c r="I466" i="1"/>
  <c r="I459" i="1"/>
  <c r="J459" i="1" s="1"/>
  <c r="I452" i="1"/>
  <c r="J452" i="1" s="1"/>
  <c r="I445" i="1"/>
  <c r="I438" i="1"/>
  <c r="I431" i="1"/>
  <c r="I424" i="1"/>
  <c r="I417" i="1"/>
  <c r="I410" i="1"/>
  <c r="I403" i="1"/>
  <c r="I396" i="1"/>
  <c r="I389" i="1"/>
  <c r="I382" i="1"/>
  <c r="I375" i="1"/>
  <c r="J375" i="1" s="1"/>
  <c r="I368" i="1"/>
  <c r="I361" i="1"/>
  <c r="J361" i="1" s="1"/>
  <c r="I354" i="1"/>
  <c r="J354" i="1" s="1"/>
  <c r="I347" i="1"/>
  <c r="I340" i="1"/>
  <c r="I333" i="1"/>
  <c r="I326" i="1"/>
  <c r="I319" i="1"/>
  <c r="I312" i="1"/>
  <c r="I305" i="1"/>
  <c r="I298" i="1"/>
  <c r="I291" i="1"/>
  <c r="I284" i="1"/>
  <c r="I277" i="1"/>
  <c r="J277" i="1" s="1"/>
  <c r="I270" i="1"/>
  <c r="I263" i="1"/>
  <c r="J263" i="1" s="1"/>
  <c r="I256" i="1"/>
  <c r="J256" i="1" s="1"/>
  <c r="I249" i="1"/>
  <c r="I242" i="1"/>
  <c r="I235" i="1"/>
  <c r="I228" i="1"/>
  <c r="I221" i="1"/>
  <c r="I214" i="1"/>
  <c r="I207" i="1"/>
  <c r="I200" i="1"/>
  <c r="I193" i="1"/>
  <c r="I186" i="1"/>
  <c r="I179" i="1"/>
  <c r="J179" i="1" s="1"/>
  <c r="I172" i="1"/>
  <c r="I165" i="1"/>
  <c r="J165" i="1" s="1"/>
  <c r="I158" i="1"/>
  <c r="J158" i="1" s="1"/>
  <c r="I151" i="1"/>
  <c r="I144" i="1"/>
  <c r="I137" i="1"/>
  <c r="I130" i="1"/>
  <c r="I123" i="1"/>
  <c r="I116" i="1"/>
  <c r="I109" i="1"/>
  <c r="I102" i="1"/>
  <c r="I95" i="1"/>
  <c r="I88" i="1"/>
  <c r="I81" i="1"/>
  <c r="J81" i="1" s="1"/>
  <c r="I74" i="1"/>
  <c r="I67" i="1"/>
  <c r="J67" i="1" s="1"/>
  <c r="I60" i="1"/>
  <c r="J60" i="1" s="1"/>
  <c r="I53" i="1"/>
  <c r="I46" i="1"/>
  <c r="I39" i="1"/>
  <c r="I32" i="1"/>
  <c r="I25" i="1"/>
  <c r="I18" i="1"/>
  <c r="I11" i="1"/>
  <c r="H694" i="1"/>
  <c r="H666" i="1"/>
  <c r="H645" i="1"/>
  <c r="H554" i="1"/>
  <c r="K554" i="1" s="1"/>
  <c r="H498" i="1"/>
  <c r="H435" i="1"/>
  <c r="H421" i="1"/>
  <c r="K421" i="1" s="1"/>
  <c r="H351" i="1"/>
  <c r="H288" i="1"/>
  <c r="H260" i="1"/>
  <c r="H134" i="1"/>
  <c r="H99" i="1"/>
  <c r="H92" i="1"/>
  <c r="H71" i="1"/>
  <c r="I567" i="1"/>
  <c r="I560" i="1"/>
  <c r="I553" i="1"/>
  <c r="I546" i="1"/>
  <c r="J546" i="1" s="1"/>
  <c r="I539" i="1"/>
  <c r="I532" i="1"/>
  <c r="I525" i="1"/>
  <c r="J525" i="1" s="1"/>
  <c r="I518" i="1"/>
  <c r="I511" i="1"/>
  <c r="I504" i="1"/>
  <c r="I497" i="1"/>
  <c r="I490" i="1"/>
  <c r="I483" i="1"/>
  <c r="I476" i="1"/>
  <c r="I469" i="1"/>
  <c r="I462" i="1"/>
  <c r="I455" i="1"/>
  <c r="I448" i="1"/>
  <c r="I441" i="1"/>
  <c r="I434" i="1"/>
  <c r="J434" i="1" s="1"/>
  <c r="I427" i="1"/>
  <c r="I420" i="1"/>
  <c r="J420" i="1" s="1"/>
  <c r="I413" i="1"/>
  <c r="I406" i="1"/>
  <c r="I399" i="1"/>
  <c r="J399" i="1" s="1"/>
  <c r="I392" i="1"/>
  <c r="I385" i="1"/>
  <c r="I378" i="1"/>
  <c r="I371" i="1"/>
  <c r="I364" i="1"/>
  <c r="I357" i="1"/>
  <c r="I350" i="1"/>
  <c r="I343" i="1"/>
  <c r="I336" i="1"/>
  <c r="J336" i="1" s="1"/>
  <c r="I329" i="1"/>
  <c r="I322" i="1"/>
  <c r="I315" i="1"/>
  <c r="I308" i="1"/>
  <c r="I301" i="1"/>
  <c r="I294" i="1"/>
  <c r="I287" i="1"/>
  <c r="I280" i="1"/>
  <c r="I273" i="1"/>
  <c r="I266" i="1"/>
  <c r="I259" i="1"/>
  <c r="I252" i="1"/>
  <c r="I245" i="1"/>
  <c r="I238" i="1"/>
  <c r="I231" i="1"/>
  <c r="J231" i="1" s="1"/>
  <c r="I224" i="1"/>
  <c r="I217" i="1"/>
  <c r="I210" i="1"/>
  <c r="I203" i="1"/>
  <c r="I196" i="1"/>
  <c r="I189" i="1"/>
  <c r="I182" i="1"/>
  <c r="I175" i="1"/>
  <c r="I168" i="1"/>
  <c r="I161" i="1"/>
  <c r="I154" i="1"/>
  <c r="I147" i="1"/>
  <c r="I140" i="1"/>
  <c r="J140" i="1" s="1"/>
  <c r="I133" i="1"/>
  <c r="J133" i="1" s="1"/>
  <c r="I126" i="1"/>
  <c r="J126" i="1" s="1"/>
  <c r="I119" i="1"/>
  <c r="J119" i="1" s="1"/>
  <c r="I112" i="1"/>
  <c r="J112" i="1" s="1"/>
  <c r="I105" i="1"/>
  <c r="I98" i="1"/>
  <c r="I91" i="1"/>
  <c r="I84" i="1"/>
  <c r="I77" i="1"/>
  <c r="I70" i="1"/>
  <c r="I63" i="1"/>
  <c r="I56" i="1"/>
  <c r="I49" i="1"/>
  <c r="I42" i="1"/>
  <c r="J42" i="1" s="1"/>
  <c r="I35" i="1"/>
  <c r="J35" i="1" s="1"/>
  <c r="I28" i="1"/>
  <c r="J28" i="1" s="1"/>
  <c r="I21" i="1"/>
  <c r="J21" i="1" s="1"/>
  <c r="I14" i="1"/>
  <c r="J14" i="1" s="1"/>
  <c r="I7" i="1"/>
  <c r="I559" i="1"/>
  <c r="I552" i="1"/>
  <c r="I545" i="1"/>
  <c r="I538" i="1"/>
  <c r="I531" i="1"/>
  <c r="I524" i="1"/>
  <c r="I517" i="1"/>
  <c r="I510" i="1"/>
  <c r="I503" i="1"/>
  <c r="I496" i="1"/>
  <c r="I489" i="1"/>
  <c r="I482" i="1"/>
  <c r="I475" i="1"/>
  <c r="I468" i="1"/>
  <c r="I461" i="1"/>
  <c r="I454" i="1"/>
  <c r="I447" i="1"/>
  <c r="I440" i="1"/>
  <c r="I433" i="1"/>
  <c r="I426" i="1"/>
  <c r="I419" i="1"/>
  <c r="J419" i="1" s="1"/>
  <c r="I412" i="1"/>
  <c r="I405" i="1"/>
  <c r="J405" i="1" s="1"/>
  <c r="I398" i="1"/>
  <c r="J398" i="1" s="1"/>
  <c r="I391" i="1"/>
  <c r="I384" i="1"/>
  <c r="I377" i="1"/>
  <c r="I370" i="1"/>
  <c r="I363" i="1"/>
  <c r="I356" i="1"/>
  <c r="I349" i="1"/>
  <c r="I342" i="1"/>
  <c r="I335" i="1"/>
  <c r="I328" i="1"/>
  <c r="I321" i="1"/>
  <c r="I314" i="1"/>
  <c r="I307" i="1"/>
  <c r="I300" i="1"/>
  <c r="I293" i="1"/>
  <c r="I286" i="1"/>
  <c r="I279" i="1"/>
  <c r="I272" i="1"/>
  <c r="I265" i="1"/>
  <c r="I258" i="1"/>
  <c r="I251" i="1"/>
  <c r="I244" i="1"/>
  <c r="I237" i="1"/>
  <c r="I230" i="1"/>
  <c r="I223" i="1"/>
  <c r="I216" i="1"/>
  <c r="I209" i="1"/>
  <c r="J209" i="1" s="1"/>
  <c r="I202" i="1"/>
  <c r="J202" i="1" s="1"/>
  <c r="I195" i="1"/>
  <c r="I188" i="1"/>
  <c r="I181" i="1"/>
  <c r="I174" i="1"/>
  <c r="I167" i="1"/>
  <c r="I160" i="1"/>
  <c r="I153" i="1"/>
  <c r="I146" i="1"/>
  <c r="I139" i="1"/>
  <c r="I132" i="1"/>
  <c r="I125" i="1"/>
  <c r="I118" i="1"/>
  <c r="I111" i="1"/>
  <c r="I104" i="1"/>
  <c r="I97" i="1"/>
  <c r="I90" i="1"/>
  <c r="I83" i="1"/>
  <c r="I76" i="1"/>
  <c r="I69" i="1"/>
  <c r="I62" i="1"/>
  <c r="I55" i="1"/>
  <c r="I48" i="1"/>
  <c r="I41" i="1"/>
  <c r="I34" i="1"/>
  <c r="I27" i="1"/>
  <c r="J27" i="1" s="1"/>
  <c r="I20" i="1"/>
  <c r="I13" i="1"/>
  <c r="J13" i="1" s="1"/>
  <c r="I6" i="1"/>
  <c r="I212" i="1"/>
  <c r="I156" i="1"/>
  <c r="I149" i="1"/>
  <c r="I1111" i="1"/>
  <c r="I1104" i="1"/>
  <c r="I1097" i="1"/>
  <c r="I971" i="1"/>
  <c r="I1024" i="1"/>
  <c r="J1024" i="1" s="1"/>
  <c r="I940" i="1"/>
  <c r="I905" i="1"/>
  <c r="I1256" i="1"/>
  <c r="I1235" i="1"/>
  <c r="I1221" i="1"/>
  <c r="I1207" i="1"/>
  <c r="I1200" i="1"/>
  <c r="I1186" i="1"/>
  <c r="I1137" i="1"/>
  <c r="I1123" i="1"/>
  <c r="I1088" i="1"/>
  <c r="I1053" i="1"/>
  <c r="I1032" i="1"/>
  <c r="I983" i="1"/>
  <c r="I962" i="1"/>
  <c r="I773" i="1"/>
  <c r="J773" i="1" s="1"/>
  <c r="I745" i="1"/>
  <c r="I689" i="1"/>
  <c r="I619" i="1"/>
  <c r="J619" i="1" s="1"/>
  <c r="I612" i="1"/>
  <c r="J612" i="1" s="1"/>
  <c r="I591" i="1"/>
  <c r="I556" i="1"/>
  <c r="I549" i="1"/>
  <c r="J549" i="1" s="1"/>
  <c r="I521" i="1"/>
  <c r="I514" i="1"/>
  <c r="I444" i="1"/>
  <c r="I416" i="1"/>
  <c r="I395" i="1"/>
  <c r="I339" i="1"/>
  <c r="I325" i="1"/>
  <c r="I304" i="1"/>
  <c r="I283" i="1"/>
  <c r="I227" i="1"/>
  <c r="I206" i="1"/>
  <c r="I185" i="1"/>
  <c r="J185" i="1" s="1"/>
  <c r="I108" i="1"/>
  <c r="I52" i="1"/>
  <c r="I31" i="1"/>
  <c r="I17" i="1"/>
  <c r="I747" i="1"/>
  <c r="J747" i="1" s="1"/>
  <c r="I740" i="1"/>
  <c r="J740" i="1" s="1"/>
  <c r="I733" i="1"/>
  <c r="J733" i="1" s="1"/>
  <c r="I726" i="1"/>
  <c r="J726" i="1" s="1"/>
  <c r="I712" i="1"/>
  <c r="I705" i="1"/>
  <c r="I698" i="1"/>
  <c r="I691" i="1"/>
  <c r="I684" i="1"/>
  <c r="I677" i="1"/>
  <c r="I670" i="1"/>
  <c r="I663" i="1"/>
  <c r="J663" i="1" s="1"/>
  <c r="I656" i="1"/>
  <c r="I649" i="1"/>
  <c r="I642" i="1"/>
  <c r="I635" i="1"/>
  <c r="I628" i="1"/>
  <c r="I621" i="1"/>
  <c r="I614" i="1"/>
  <c r="I607" i="1"/>
  <c r="I600" i="1"/>
  <c r="I593" i="1"/>
  <c r="I586" i="1"/>
  <c r="I579" i="1"/>
  <c r="I572" i="1"/>
  <c r="I565" i="1"/>
  <c r="J565" i="1" s="1"/>
  <c r="I558" i="1"/>
  <c r="I551" i="1"/>
  <c r="I544" i="1"/>
  <c r="I537" i="1"/>
  <c r="I530" i="1"/>
  <c r="I523" i="1"/>
  <c r="I516" i="1"/>
  <c r="I509" i="1"/>
  <c r="I502" i="1"/>
  <c r="I495" i="1"/>
  <c r="I488" i="1"/>
  <c r="I481" i="1"/>
  <c r="I474" i="1"/>
  <c r="I467" i="1"/>
  <c r="J467" i="1" s="1"/>
  <c r="I460" i="1"/>
  <c r="I453" i="1"/>
  <c r="I446" i="1"/>
  <c r="I439" i="1"/>
  <c r="I432" i="1"/>
  <c r="I425" i="1"/>
  <c r="I418" i="1"/>
  <c r="I411" i="1"/>
  <c r="I404" i="1"/>
  <c r="I397" i="1"/>
  <c r="I390" i="1"/>
  <c r="I383" i="1"/>
  <c r="I376" i="1"/>
  <c r="I369" i="1"/>
  <c r="J369" i="1" s="1"/>
  <c r="I362" i="1"/>
  <c r="I355" i="1"/>
  <c r="I348" i="1"/>
  <c r="I341" i="1"/>
  <c r="I334" i="1"/>
  <c r="I327" i="1"/>
  <c r="I320" i="1"/>
  <c r="I313" i="1"/>
  <c r="I306" i="1"/>
  <c r="I299" i="1"/>
  <c r="I292" i="1"/>
  <c r="I285" i="1"/>
  <c r="I278" i="1"/>
  <c r="I271" i="1"/>
  <c r="J271" i="1" s="1"/>
  <c r="I264" i="1"/>
  <c r="I257" i="1"/>
  <c r="I250" i="1"/>
  <c r="I243" i="1"/>
  <c r="I236" i="1"/>
  <c r="I229" i="1"/>
  <c r="I222" i="1"/>
  <c r="I215" i="1"/>
  <c r="I208" i="1"/>
  <c r="I201" i="1"/>
  <c r="I194" i="1"/>
  <c r="I187" i="1"/>
  <c r="I180" i="1"/>
  <c r="H145" i="1"/>
  <c r="K145" i="1" s="1"/>
  <c r="H138" i="1"/>
  <c r="H131" i="1"/>
  <c r="H124" i="1"/>
  <c r="H117" i="1"/>
  <c r="H110" i="1"/>
  <c r="H103" i="1"/>
  <c r="H96" i="1"/>
  <c r="H89" i="1"/>
  <c r="K89" i="1" s="1"/>
  <c r="H82" i="1"/>
  <c r="H75" i="1"/>
  <c r="K75" i="1" s="1"/>
  <c r="H68" i="1"/>
  <c r="K68" i="1" s="1"/>
  <c r="H61" i="1"/>
  <c r="H54" i="1"/>
  <c r="H47" i="1"/>
  <c r="K47" i="1" s="1"/>
  <c r="H40" i="1"/>
  <c r="H33" i="1"/>
  <c r="H26" i="1"/>
  <c r="H19" i="1"/>
  <c r="H12" i="1"/>
  <c r="I1232" i="1"/>
  <c r="J1232" i="1" s="1"/>
  <c r="I1218" i="1"/>
  <c r="I1211" i="1"/>
  <c r="I1197" i="1"/>
  <c r="I1225" i="1"/>
  <c r="J1225" i="1" s="1"/>
  <c r="I1204" i="1"/>
  <c r="I1183" i="1"/>
  <c r="J1183" i="1" s="1"/>
  <c r="H4" i="1"/>
  <c r="H868" i="1"/>
  <c r="K868" i="1" s="1"/>
  <c r="H630" i="1"/>
  <c r="H357" i="1"/>
  <c r="I1249" i="1"/>
  <c r="I1214" i="1"/>
  <c r="I1193" i="1"/>
  <c r="I1158" i="1"/>
  <c r="I1095" i="1"/>
  <c r="I1060" i="1"/>
  <c r="J1060" i="1" s="1"/>
  <c r="I1046" i="1"/>
  <c r="I997" i="1"/>
  <c r="I990" i="1"/>
  <c r="I941" i="1"/>
  <c r="J941" i="1" s="1"/>
  <c r="I934" i="1"/>
  <c r="I927" i="1"/>
  <c r="J927" i="1" s="1"/>
  <c r="I892" i="1"/>
  <c r="I857" i="1"/>
  <c r="I843" i="1"/>
  <c r="I759" i="1"/>
  <c r="I731" i="1"/>
  <c r="I654" i="1"/>
  <c r="J654" i="1" s="1"/>
  <c r="I542" i="1"/>
  <c r="I241" i="1"/>
  <c r="H1242" i="1"/>
  <c r="H1221" i="1"/>
  <c r="K1221" i="1" s="1"/>
  <c r="H1214" i="1"/>
  <c r="K1214" i="1" s="1"/>
  <c r="H1095" i="1"/>
  <c r="H1025" i="1"/>
  <c r="H962" i="1"/>
  <c r="K962" i="1" s="1"/>
  <c r="H927" i="1"/>
  <c r="H906" i="1"/>
  <c r="H878" i="1"/>
  <c r="H773" i="1"/>
  <c r="H745" i="1"/>
  <c r="H738" i="1"/>
  <c r="H731" i="1"/>
  <c r="H724" i="1"/>
  <c r="H717" i="1"/>
  <c r="H710" i="1"/>
  <c r="H703" i="1"/>
  <c r="H696" i="1"/>
  <c r="H689" i="1"/>
  <c r="K689" i="1" s="1"/>
  <c r="H682" i="1"/>
  <c r="K682" i="1" s="1"/>
  <c r="H675" i="1"/>
  <c r="H668" i="1"/>
  <c r="H661" i="1"/>
  <c r="H654" i="1"/>
  <c r="H647" i="1"/>
  <c r="H640" i="1"/>
  <c r="H633" i="1"/>
  <c r="H626" i="1"/>
  <c r="K626" i="1" s="1"/>
  <c r="H619" i="1"/>
  <c r="H612" i="1"/>
  <c r="H605" i="1"/>
  <c r="K605" i="1" s="1"/>
  <c r="H598" i="1"/>
  <c r="H591" i="1"/>
  <c r="H584" i="1"/>
  <c r="K584" i="1" s="1"/>
  <c r="H577" i="1"/>
  <c r="H570" i="1"/>
  <c r="H563" i="1"/>
  <c r="H556" i="1"/>
  <c r="H549" i="1"/>
  <c r="H542" i="1"/>
  <c r="H535" i="1"/>
  <c r="H528" i="1"/>
  <c r="H241" i="1"/>
  <c r="I1241" i="1"/>
  <c r="I1220" i="1"/>
  <c r="J1220" i="1" s="1"/>
  <c r="I1143" i="1"/>
  <c r="J1143" i="1" s="1"/>
  <c r="I1136" i="1"/>
  <c r="I1101" i="1"/>
  <c r="J1101" i="1" s="1"/>
  <c r="I1038" i="1"/>
  <c r="I975" i="1"/>
  <c r="I919" i="1"/>
  <c r="I912" i="1"/>
  <c r="I870" i="1"/>
  <c r="I856" i="1"/>
  <c r="I814" i="1"/>
  <c r="I800" i="1"/>
  <c r="I716" i="1"/>
  <c r="I702" i="1"/>
  <c r="I562" i="1"/>
  <c r="J562" i="1" s="1"/>
  <c r="I534" i="1"/>
  <c r="I429" i="1"/>
  <c r="I142" i="1"/>
  <c r="I135" i="1"/>
  <c r="I128" i="1"/>
  <c r="I121" i="1"/>
  <c r="I114" i="1"/>
  <c r="I107" i="1"/>
  <c r="I100" i="1"/>
  <c r="I93" i="1"/>
  <c r="I86" i="1"/>
  <c r="I79" i="1"/>
  <c r="I72" i="1"/>
  <c r="I65" i="1"/>
  <c r="I58" i="1"/>
  <c r="I51" i="1"/>
  <c r="I44" i="1"/>
  <c r="J44" i="1" s="1"/>
  <c r="I37" i="1"/>
  <c r="I30" i="1"/>
  <c r="I23" i="1"/>
  <c r="I16" i="1"/>
  <c r="I9" i="1"/>
  <c r="H1254" i="1"/>
  <c r="H1247" i="1"/>
  <c r="H1240" i="1"/>
  <c r="H1233" i="1"/>
  <c r="H1226" i="1"/>
  <c r="H1219" i="1"/>
  <c r="K1219" i="1" s="1"/>
  <c r="H1212" i="1"/>
  <c r="K1212" i="1" s="1"/>
  <c r="H1205" i="1"/>
  <c r="K1205" i="1" s="1"/>
  <c r="H1198" i="1"/>
  <c r="K1198" i="1" s="1"/>
  <c r="I703" i="1"/>
  <c r="I640" i="1"/>
  <c r="I577" i="1"/>
  <c r="I563" i="1"/>
  <c r="I507" i="1"/>
  <c r="I486" i="1"/>
  <c r="J486" i="1" s="1"/>
  <c r="I458" i="1"/>
  <c r="I262" i="1"/>
  <c r="I248" i="1"/>
  <c r="I136" i="1"/>
  <c r="I129" i="1"/>
  <c r="I24" i="1"/>
  <c r="H521" i="1"/>
  <c r="H514" i="1"/>
  <c r="H507" i="1"/>
  <c r="K507" i="1" s="1"/>
  <c r="H500" i="1"/>
  <c r="H493" i="1"/>
  <c r="H486" i="1"/>
  <c r="H479" i="1"/>
  <c r="H472" i="1"/>
  <c r="H465" i="1"/>
  <c r="H458" i="1"/>
  <c r="K458" i="1" s="1"/>
  <c r="H451" i="1"/>
  <c r="H444" i="1"/>
  <c r="H437" i="1"/>
  <c r="H430" i="1"/>
  <c r="K430" i="1" s="1"/>
  <c r="H423" i="1"/>
  <c r="K423" i="1" s="1"/>
  <c r="H416" i="1"/>
  <c r="K416" i="1" s="1"/>
  <c r="H409" i="1"/>
  <c r="H402" i="1"/>
  <c r="H395" i="1"/>
  <c r="H388" i="1"/>
  <c r="H381" i="1"/>
  <c r="H374" i="1"/>
  <c r="H367" i="1"/>
  <c r="H360" i="1"/>
  <c r="H353" i="1"/>
  <c r="H346" i="1"/>
  <c r="H339" i="1"/>
  <c r="K339" i="1" s="1"/>
  <c r="H332" i="1"/>
  <c r="H325" i="1"/>
  <c r="H318" i="1"/>
  <c r="H311" i="1"/>
  <c r="H304" i="1"/>
  <c r="H297" i="1"/>
  <c r="H290" i="1"/>
  <c r="H283" i="1"/>
  <c r="H276" i="1"/>
  <c r="H269" i="1"/>
  <c r="H262" i="1"/>
  <c r="K262" i="1" s="1"/>
  <c r="H255" i="1"/>
  <c r="H248" i="1"/>
  <c r="K248" i="1" s="1"/>
  <c r="H234" i="1"/>
  <c r="K234" i="1" s="1"/>
  <c r="H227" i="1"/>
  <c r="H220" i="1"/>
  <c r="H213" i="1"/>
  <c r="K213" i="1" s="1"/>
  <c r="H206" i="1"/>
  <c r="H199" i="1"/>
  <c r="H192" i="1"/>
  <c r="H185" i="1"/>
  <c r="H178" i="1"/>
  <c r="H171" i="1"/>
  <c r="H164" i="1"/>
  <c r="H157" i="1"/>
  <c r="H150" i="1"/>
  <c r="H143" i="1"/>
  <c r="K143" i="1" s="1"/>
  <c r="H136" i="1"/>
  <c r="K136" i="1" s="1"/>
  <c r="H129" i="1"/>
  <c r="H122" i="1"/>
  <c r="H115" i="1"/>
  <c r="K115" i="1" s="1"/>
  <c r="H108" i="1"/>
  <c r="H101" i="1"/>
  <c r="H94" i="1"/>
  <c r="H87" i="1"/>
  <c r="H80" i="1"/>
  <c r="H73" i="1"/>
  <c r="H66" i="1"/>
  <c r="H59" i="1"/>
  <c r="H52" i="1"/>
  <c r="H45" i="1"/>
  <c r="H38" i="1"/>
  <c r="H31" i="1"/>
  <c r="H24" i="1"/>
  <c r="H17" i="1"/>
  <c r="H10" i="1"/>
  <c r="H6" i="1"/>
  <c r="H394" i="1"/>
  <c r="H387" i="1"/>
  <c r="H366" i="1"/>
  <c r="I173" i="1"/>
  <c r="I166" i="1"/>
  <c r="I159" i="1"/>
  <c r="I152" i="1"/>
  <c r="J152" i="1" s="1"/>
  <c r="I145" i="1"/>
  <c r="I138" i="1"/>
  <c r="I131" i="1"/>
  <c r="I124" i="1"/>
  <c r="I117" i="1"/>
  <c r="J117" i="1" s="1"/>
  <c r="I110" i="1"/>
  <c r="J110" i="1" s="1"/>
  <c r="I103" i="1"/>
  <c r="I96" i="1"/>
  <c r="I89" i="1"/>
  <c r="I82" i="1"/>
  <c r="I75" i="1"/>
  <c r="I68" i="1"/>
  <c r="I61" i="1"/>
  <c r="I54" i="1"/>
  <c r="I47" i="1"/>
  <c r="I40" i="1"/>
  <c r="I33" i="1"/>
  <c r="I26" i="1"/>
  <c r="I19" i="1"/>
  <c r="J19" i="1" s="1"/>
  <c r="I12" i="1"/>
  <c r="J12" i="1" s="1"/>
  <c r="I5" i="1"/>
  <c r="I995" i="1"/>
  <c r="I981" i="1"/>
  <c r="I925" i="1"/>
  <c r="I911" i="1"/>
  <c r="I883" i="1"/>
  <c r="I876" i="1"/>
  <c r="I869" i="1"/>
  <c r="I862" i="1"/>
  <c r="J862" i="1" s="1"/>
  <c r="I855" i="1"/>
  <c r="J855" i="1" s="1"/>
  <c r="I848" i="1"/>
  <c r="I827" i="1"/>
  <c r="I764" i="1"/>
  <c r="J764" i="1" s="1"/>
  <c r="I750" i="1"/>
  <c r="I736" i="1"/>
  <c r="I722" i="1"/>
  <c r="I715" i="1"/>
  <c r="I673" i="1"/>
  <c r="I666" i="1"/>
  <c r="J666" i="1" s="1"/>
  <c r="I652" i="1"/>
  <c r="I617" i="1"/>
  <c r="I603" i="1"/>
  <c r="I582" i="1"/>
  <c r="J582" i="1" s="1"/>
  <c r="I575" i="1"/>
  <c r="J575" i="1" s="1"/>
  <c r="I547" i="1"/>
  <c r="I526" i="1"/>
  <c r="J526" i="1" s="1"/>
  <c r="I519" i="1"/>
  <c r="J519" i="1" s="1"/>
  <c r="I365" i="1"/>
  <c r="I337" i="1"/>
  <c r="I316" i="1"/>
  <c r="I295" i="1"/>
  <c r="I260" i="1"/>
  <c r="I211" i="1"/>
  <c r="I204" i="1"/>
  <c r="I190" i="1"/>
  <c r="J190" i="1" s="1"/>
  <c r="I183" i="1"/>
  <c r="I134" i="1"/>
  <c r="I113" i="1"/>
  <c r="I78" i="1"/>
  <c r="J78" i="1" s="1"/>
  <c r="I43" i="1"/>
  <c r="I22" i="1"/>
  <c r="J22" i="1" s="1"/>
  <c r="I15" i="1"/>
  <c r="H1002" i="1"/>
  <c r="H995" i="1"/>
  <c r="K995" i="1" s="1"/>
  <c r="H953" i="1"/>
  <c r="H876" i="1"/>
  <c r="H869" i="1"/>
  <c r="H862" i="1"/>
  <c r="H841" i="1"/>
  <c r="H799" i="1"/>
  <c r="H792" i="1"/>
  <c r="K792" i="1" s="1"/>
  <c r="H764" i="1"/>
  <c r="H757" i="1"/>
  <c r="K757" i="1" s="1"/>
  <c r="H750" i="1"/>
  <c r="H722" i="1"/>
  <c r="H701" i="1"/>
  <c r="K701" i="1" s="1"/>
  <c r="H680" i="1"/>
  <c r="H652" i="1"/>
  <c r="H638" i="1"/>
  <c r="H596" i="1"/>
  <c r="H582" i="1"/>
  <c r="H575" i="1"/>
  <c r="H547" i="1"/>
  <c r="H526" i="1"/>
  <c r="H477" i="1"/>
  <c r="H428" i="1"/>
  <c r="K428" i="1" s="1"/>
  <c r="H365" i="1"/>
  <c r="H316" i="1"/>
  <c r="H253" i="1"/>
  <c r="K253" i="1" s="1"/>
  <c r="H239" i="1"/>
  <c r="H225" i="1"/>
  <c r="H120" i="1"/>
  <c r="H78" i="1"/>
  <c r="H57" i="1"/>
  <c r="K57" i="1" s="1"/>
  <c r="H1225" i="1"/>
  <c r="H1197" i="1"/>
  <c r="H1176" i="1"/>
  <c r="H1134" i="1"/>
  <c r="H1106" i="1"/>
  <c r="K1106" i="1" s="1"/>
  <c r="H1078" i="1"/>
  <c r="H1057" i="1"/>
  <c r="H1036" i="1"/>
  <c r="K1036" i="1" s="1"/>
  <c r="H1015" i="1"/>
  <c r="K1015" i="1" s="1"/>
  <c r="H994" i="1"/>
  <c r="H973" i="1"/>
  <c r="H952" i="1"/>
  <c r="H924" i="1"/>
  <c r="H903" i="1"/>
  <c r="H882" i="1"/>
  <c r="H854" i="1"/>
  <c r="H833" i="1"/>
  <c r="K833" i="1" s="1"/>
  <c r="H812" i="1"/>
  <c r="K812" i="1" s="1"/>
  <c r="H791" i="1"/>
  <c r="H770" i="1"/>
  <c r="H742" i="1"/>
  <c r="K742" i="1" s="1"/>
  <c r="H721" i="1"/>
  <c r="H700" i="1"/>
  <c r="K700" i="1" s="1"/>
  <c r="H679" i="1"/>
  <c r="H658" i="1"/>
  <c r="H637" i="1"/>
  <c r="H609" i="1"/>
  <c r="H588" i="1"/>
  <c r="H567" i="1"/>
  <c r="H546" i="1"/>
  <c r="H525" i="1"/>
  <c r="H497" i="1"/>
  <c r="H476" i="1"/>
  <c r="K476" i="1" s="1"/>
  <c r="H448" i="1"/>
  <c r="K448" i="1" s="1"/>
  <c r="H427" i="1"/>
  <c r="H406" i="1"/>
  <c r="H378" i="1"/>
  <c r="K378" i="1" s="1"/>
  <c r="H364" i="1"/>
  <c r="H343" i="1"/>
  <c r="H329" i="1"/>
  <c r="H315" i="1"/>
  <c r="H294" i="1"/>
  <c r="H280" i="1"/>
  <c r="K280" i="1" s="1"/>
  <c r="H266" i="1"/>
  <c r="K266" i="1" s="1"/>
  <c r="H245" i="1"/>
  <c r="H203" i="1"/>
  <c r="H1246" i="1"/>
  <c r="K1246" i="1" s="1"/>
  <c r="H1218" i="1"/>
  <c r="K1218" i="1" s="1"/>
  <c r="H1190" i="1"/>
  <c r="K1190" i="1" s="1"/>
  <c r="H1169" i="1"/>
  <c r="H1141" i="1"/>
  <c r="K1141" i="1" s="1"/>
  <c r="H1120" i="1"/>
  <c r="H1113" i="1"/>
  <c r="H1092" i="1"/>
  <c r="H1064" i="1"/>
  <c r="H1043" i="1"/>
  <c r="K1043" i="1" s="1"/>
  <c r="H1022" i="1"/>
  <c r="H1001" i="1"/>
  <c r="H980" i="1"/>
  <c r="H959" i="1"/>
  <c r="H931" i="1"/>
  <c r="K931" i="1" s="1"/>
  <c r="H910" i="1"/>
  <c r="K910" i="1" s="1"/>
  <c r="H896" i="1"/>
  <c r="H875" i="1"/>
  <c r="H861" i="1"/>
  <c r="H840" i="1"/>
  <c r="K840" i="1" s="1"/>
  <c r="H819" i="1"/>
  <c r="H798" i="1"/>
  <c r="H777" i="1"/>
  <c r="H756" i="1"/>
  <c r="H728" i="1"/>
  <c r="H707" i="1"/>
  <c r="H686" i="1"/>
  <c r="H665" i="1"/>
  <c r="H644" i="1"/>
  <c r="K644" i="1" s="1"/>
  <c r="H616" i="1"/>
  <c r="K616" i="1" s="1"/>
  <c r="H560" i="1"/>
  <c r="H539" i="1"/>
  <c r="K539" i="1" s="1"/>
  <c r="H518" i="1"/>
  <c r="K518" i="1" s="1"/>
  <c r="H490" i="1"/>
  <c r="H469" i="1"/>
  <c r="H441" i="1"/>
  <c r="H420" i="1"/>
  <c r="H399" i="1"/>
  <c r="H392" i="1"/>
  <c r="H371" i="1"/>
  <c r="H350" i="1"/>
  <c r="K350" i="1" s="1"/>
  <c r="H336" i="1"/>
  <c r="H322" i="1"/>
  <c r="H301" i="1"/>
  <c r="H287" i="1"/>
  <c r="H273" i="1"/>
  <c r="K273" i="1" s="1"/>
  <c r="H259" i="1"/>
  <c r="K259" i="1" s="1"/>
  <c r="H252" i="1"/>
  <c r="H238" i="1"/>
  <c r="H224" i="1"/>
  <c r="H217" i="1"/>
  <c r="H196" i="1"/>
  <c r="H189" i="1"/>
  <c r="M1204" i="1"/>
  <c r="M784" i="1"/>
  <c r="M504" i="1"/>
  <c r="H671" i="1"/>
  <c r="K671" i="1" s="1"/>
  <c r="H664" i="1"/>
  <c r="K664" i="1" s="1"/>
  <c r="H1239" i="1"/>
  <c r="H1211" i="1"/>
  <c r="H1162" i="1"/>
  <c r="K1162" i="1" s="1"/>
  <c r="H1085" i="1"/>
  <c r="H938" i="1"/>
  <c r="K938" i="1" s="1"/>
  <c r="H455" i="1"/>
  <c r="H1232" i="1"/>
  <c r="H1183" i="1"/>
  <c r="H1148" i="1"/>
  <c r="H1127" i="1"/>
  <c r="K1127" i="1" s="1"/>
  <c r="H1099" i="1"/>
  <c r="H1071" i="1"/>
  <c r="H1050" i="1"/>
  <c r="H1029" i="1"/>
  <c r="K1029" i="1" s="1"/>
  <c r="H1008" i="1"/>
  <c r="K1008" i="1" s="1"/>
  <c r="H966" i="1"/>
  <c r="K966" i="1" s="1"/>
  <c r="H917" i="1"/>
  <c r="K917" i="1" s="1"/>
  <c r="H889" i="1"/>
  <c r="H826" i="1"/>
  <c r="H805" i="1"/>
  <c r="H784" i="1"/>
  <c r="H763" i="1"/>
  <c r="H749" i="1"/>
  <c r="K749" i="1" s="1"/>
  <c r="H693" i="1"/>
  <c r="H672" i="1"/>
  <c r="H651" i="1"/>
  <c r="K651" i="1" s="1"/>
  <c r="H623" i="1"/>
  <c r="K623" i="1" s="1"/>
  <c r="H595" i="1"/>
  <c r="H574" i="1"/>
  <c r="H553" i="1"/>
  <c r="H532" i="1"/>
  <c r="K532" i="1" s="1"/>
  <c r="H504" i="1"/>
  <c r="H483" i="1"/>
  <c r="H462" i="1"/>
  <c r="H434" i="1"/>
  <c r="H413" i="1"/>
  <c r="H308" i="1"/>
  <c r="H210" i="1"/>
  <c r="M518" i="1"/>
  <c r="H1256" i="1"/>
  <c r="H1249" i="1"/>
  <c r="H1235" i="1"/>
  <c r="K1235" i="1" s="1"/>
  <c r="H1228" i="1"/>
  <c r="K1228" i="1" s="1"/>
  <c r="H1207" i="1"/>
  <c r="H1193" i="1"/>
  <c r="K1193" i="1" s="1"/>
  <c r="H1186" i="1"/>
  <c r="H1179" i="1"/>
  <c r="H1172" i="1"/>
  <c r="H1165" i="1"/>
  <c r="H1158" i="1"/>
  <c r="H1151" i="1"/>
  <c r="H1144" i="1"/>
  <c r="H1137" i="1"/>
  <c r="H1130" i="1"/>
  <c r="H1123" i="1"/>
  <c r="H1116" i="1"/>
  <c r="H1109" i="1"/>
  <c r="H1102" i="1"/>
  <c r="H1088" i="1"/>
  <c r="H1081" i="1"/>
  <c r="H1074" i="1"/>
  <c r="H1067" i="1"/>
  <c r="H1060" i="1"/>
  <c r="H1053" i="1"/>
  <c r="H1046" i="1"/>
  <c r="H1039" i="1"/>
  <c r="H1032" i="1"/>
  <c r="K1032" i="1" s="1"/>
  <c r="H1018" i="1"/>
  <c r="H1011" i="1"/>
  <c r="H1004" i="1"/>
  <c r="H997" i="1"/>
  <c r="H990" i="1"/>
  <c r="H983" i="1"/>
  <c r="K983" i="1" s="1"/>
  <c r="H976" i="1"/>
  <c r="H969" i="1"/>
  <c r="H955" i="1"/>
  <c r="H948" i="1"/>
  <c r="H941" i="1"/>
  <c r="H934" i="1"/>
  <c r="H920" i="1"/>
  <c r="H913" i="1"/>
  <c r="K913" i="1" s="1"/>
  <c r="H899" i="1"/>
  <c r="H892" i="1"/>
  <c r="H885" i="1"/>
  <c r="K885" i="1" s="1"/>
  <c r="H871" i="1"/>
  <c r="H864" i="1"/>
  <c r="H857" i="1"/>
  <c r="H850" i="1"/>
  <c r="H843" i="1"/>
  <c r="H836" i="1"/>
  <c r="H829" i="1"/>
  <c r="H822" i="1"/>
  <c r="H815" i="1"/>
  <c r="H808" i="1"/>
  <c r="H801" i="1"/>
  <c r="K801" i="1" s="1"/>
  <c r="H794" i="1"/>
  <c r="H787" i="1"/>
  <c r="H780" i="1"/>
  <c r="K780" i="1" s="1"/>
  <c r="H766" i="1"/>
  <c r="K766" i="1" s="1"/>
  <c r="H759" i="1"/>
  <c r="K759" i="1" s="1"/>
  <c r="H752" i="1"/>
  <c r="K752" i="1" s="1"/>
  <c r="I1255" i="1"/>
  <c r="J1255" i="1" s="1"/>
  <c r="I1248" i="1"/>
  <c r="J1248" i="1" s="1"/>
  <c r="I1234" i="1"/>
  <c r="J1234" i="1" s="1"/>
  <c r="I1227" i="1"/>
  <c r="I1213" i="1"/>
  <c r="I1206" i="1"/>
  <c r="I1199" i="1"/>
  <c r="I1192" i="1"/>
  <c r="J1192" i="1" s="1"/>
  <c r="I1185" i="1"/>
  <c r="I1178" i="1"/>
  <c r="J1178" i="1" s="1"/>
  <c r="I1171" i="1"/>
  <c r="I1164" i="1"/>
  <c r="I1157" i="1"/>
  <c r="J1157" i="1" s="1"/>
  <c r="I1150" i="1"/>
  <c r="J1150" i="1" s="1"/>
  <c r="I1129" i="1"/>
  <c r="I1122" i="1"/>
  <c r="I1115" i="1"/>
  <c r="I1108" i="1"/>
  <c r="I1094" i="1"/>
  <c r="I1087" i="1"/>
  <c r="I1080" i="1"/>
  <c r="I1073" i="1"/>
  <c r="I1066" i="1"/>
  <c r="I1059" i="1"/>
  <c r="I1052" i="1"/>
  <c r="I1045" i="1"/>
  <c r="J1045" i="1" s="1"/>
  <c r="I1031" i="1"/>
  <c r="J1031" i="1" s="1"/>
  <c r="I1017" i="1"/>
  <c r="J1017" i="1" s="1"/>
  <c r="I1010" i="1"/>
  <c r="J1010" i="1" s="1"/>
  <c r="I1003" i="1"/>
  <c r="I996" i="1"/>
  <c r="I989" i="1"/>
  <c r="I982" i="1"/>
  <c r="I968" i="1"/>
  <c r="I961" i="1"/>
  <c r="I954" i="1"/>
  <c r="J954" i="1" s="1"/>
  <c r="I947" i="1"/>
  <c r="I933" i="1"/>
  <c r="J933" i="1" s="1"/>
  <c r="I926" i="1"/>
  <c r="J926" i="1" s="1"/>
  <c r="I898" i="1"/>
  <c r="I891" i="1"/>
  <c r="I884" i="1"/>
  <c r="J884" i="1" s="1"/>
  <c r="I877" i="1"/>
  <c r="I863" i="1"/>
  <c r="I849" i="1"/>
  <c r="I842" i="1"/>
  <c r="I835" i="1"/>
  <c r="I828" i="1"/>
  <c r="J828" i="1" s="1"/>
  <c r="I821" i="1"/>
  <c r="I807" i="1"/>
  <c r="J807" i="1" s="1"/>
  <c r="I793" i="1"/>
  <c r="I786" i="1"/>
  <c r="J786" i="1" s="1"/>
  <c r="I779" i="1"/>
  <c r="J779" i="1" s="1"/>
  <c r="I772" i="1"/>
  <c r="J772" i="1" s="1"/>
  <c r="I765" i="1"/>
  <c r="I758" i="1"/>
  <c r="J758" i="1" s="1"/>
  <c r="I751" i="1"/>
  <c r="I744" i="1"/>
  <c r="I737" i="1"/>
  <c r="I730" i="1"/>
  <c r="I723" i="1"/>
  <c r="I709" i="1"/>
  <c r="I695" i="1"/>
  <c r="I688" i="1"/>
  <c r="I681" i="1"/>
  <c r="I674" i="1"/>
  <c r="I667" i="1"/>
  <c r="J667" i="1" s="1"/>
  <c r="I660" i="1"/>
  <c r="J660" i="1" s="1"/>
  <c r="I653" i="1"/>
  <c r="I646" i="1"/>
  <c r="J646" i="1" s="1"/>
  <c r="I639" i="1"/>
  <c r="I632" i="1"/>
  <c r="I625" i="1"/>
  <c r="I618" i="1"/>
  <c r="I611" i="1"/>
  <c r="I604" i="1"/>
  <c r="J604" i="1" s="1"/>
  <c r="I597" i="1"/>
  <c r="I590" i="1"/>
  <c r="I583" i="1"/>
  <c r="I576" i="1"/>
  <c r="I569" i="1"/>
  <c r="I555" i="1"/>
  <c r="I548" i="1"/>
  <c r="J548" i="1" s="1"/>
  <c r="I541" i="1"/>
  <c r="J541" i="1" s="1"/>
  <c r="I527" i="1"/>
  <c r="I520" i="1"/>
  <c r="I513" i="1"/>
  <c r="I506" i="1"/>
  <c r="I499" i="1"/>
  <c r="I492" i="1"/>
  <c r="I485" i="1"/>
  <c r="I478" i="1"/>
  <c r="I471" i="1"/>
  <c r="I464" i="1"/>
  <c r="I457" i="1"/>
  <c r="I450" i="1"/>
  <c r="I443" i="1"/>
  <c r="J443" i="1" s="1"/>
  <c r="I436" i="1"/>
  <c r="J436" i="1" s="1"/>
  <c r="I422" i="1"/>
  <c r="I394" i="1"/>
  <c r="I345" i="1"/>
  <c r="I338" i="1"/>
  <c r="I415" i="1"/>
  <c r="I408" i="1"/>
  <c r="I401" i="1"/>
  <c r="I387" i="1"/>
  <c r="J387" i="1" s="1"/>
  <c r="I380" i="1"/>
  <c r="I373" i="1"/>
  <c r="J373" i="1" s="1"/>
  <c r="I366" i="1"/>
  <c r="J366" i="1" s="1"/>
  <c r="I359" i="1"/>
  <c r="I352" i="1"/>
  <c r="I331" i="1"/>
  <c r="J331" i="1" s="1"/>
  <c r="I324" i="1"/>
  <c r="I317" i="1"/>
  <c r="I310" i="1"/>
  <c r="I303" i="1"/>
  <c r="I261" i="1"/>
  <c r="I254" i="1"/>
  <c r="H954" i="1"/>
  <c r="H912" i="1"/>
  <c r="K912" i="1" s="1"/>
  <c r="H905" i="1"/>
  <c r="H898" i="1"/>
  <c r="H891" i="1"/>
  <c r="H884" i="1"/>
  <c r="H870" i="1"/>
  <c r="K870" i="1" s="1"/>
  <c r="H863" i="1"/>
  <c r="H856" i="1"/>
  <c r="H842" i="1"/>
  <c r="H835" i="1"/>
  <c r="H828" i="1"/>
  <c r="H821" i="1"/>
  <c r="H807" i="1"/>
  <c r="H793" i="1"/>
  <c r="H786" i="1"/>
  <c r="H765" i="1"/>
  <c r="H758" i="1"/>
  <c r="H744" i="1"/>
  <c r="H737" i="1"/>
  <c r="H730" i="1"/>
  <c r="K730" i="1" s="1"/>
  <c r="H723" i="1"/>
  <c r="K723" i="1" s="1"/>
  <c r="H716" i="1"/>
  <c r="H695" i="1"/>
  <c r="H674" i="1"/>
  <c r="H667" i="1"/>
  <c r="H660" i="1"/>
  <c r="H653" i="1"/>
  <c r="H646" i="1"/>
  <c r="H639" i="1"/>
  <c r="H632" i="1"/>
  <c r="H625" i="1"/>
  <c r="H618" i="1"/>
  <c r="K618" i="1" s="1"/>
  <c r="H611" i="1"/>
  <c r="K611" i="1" s="1"/>
  <c r="H597" i="1"/>
  <c r="H583" i="1"/>
  <c r="K583" i="1" s="1"/>
  <c r="H576" i="1"/>
  <c r="H569" i="1"/>
  <c r="H555" i="1"/>
  <c r="H548" i="1"/>
  <c r="H541" i="1"/>
  <c r="H527" i="1"/>
  <c r="H520" i="1"/>
  <c r="H513" i="1"/>
  <c r="H506" i="1"/>
  <c r="K506" i="1" s="1"/>
  <c r="H499" i="1"/>
  <c r="K499" i="1" s="1"/>
  <c r="H492" i="1"/>
  <c r="K492" i="1" s="1"/>
  <c r="H485" i="1"/>
  <c r="H478" i="1"/>
  <c r="H471" i="1"/>
  <c r="K471" i="1" s="1"/>
  <c r="H464" i="1"/>
  <c r="H457" i="1"/>
  <c r="H450" i="1"/>
  <c r="H443" i="1"/>
  <c r="H436" i="1"/>
  <c r="H429" i="1"/>
  <c r="H422" i="1"/>
  <c r="H408" i="1"/>
  <c r="K408" i="1" s="1"/>
  <c r="H373" i="1"/>
  <c r="H317" i="1"/>
  <c r="H226" i="1"/>
  <c r="H219" i="1"/>
  <c r="H163" i="1"/>
  <c r="I1247" i="1"/>
  <c r="J1247" i="1" s="1"/>
  <c r="I1240" i="1"/>
  <c r="I1233" i="1"/>
  <c r="I1226" i="1"/>
  <c r="I1219" i="1"/>
  <c r="I1205" i="1"/>
  <c r="I1198" i="1"/>
  <c r="I1191" i="1"/>
  <c r="I1170" i="1"/>
  <c r="I1156" i="1"/>
  <c r="I1149" i="1"/>
  <c r="I1142" i="1"/>
  <c r="I1135" i="1"/>
  <c r="I1100" i="1"/>
  <c r="I1093" i="1"/>
  <c r="J1093" i="1" s="1"/>
  <c r="I1058" i="1"/>
  <c r="I1051" i="1"/>
  <c r="I1023" i="1"/>
  <c r="I932" i="1"/>
  <c r="I897" i="1"/>
  <c r="I792" i="1"/>
  <c r="I498" i="1"/>
  <c r="M844" i="1"/>
  <c r="U844" i="1" s="1"/>
  <c r="H1245" i="1"/>
  <c r="K1245" i="1" s="1"/>
  <c r="H1231" i="1"/>
  <c r="H1217" i="1"/>
  <c r="H1210" i="1"/>
  <c r="H1196" i="1"/>
  <c r="H1189" i="1"/>
  <c r="H1175" i="1"/>
  <c r="K1175" i="1" s="1"/>
  <c r="H1168" i="1"/>
  <c r="H1154" i="1"/>
  <c r="H1147" i="1"/>
  <c r="H1133" i="1"/>
  <c r="H1119" i="1"/>
  <c r="H1105" i="1"/>
  <c r="H1091" i="1"/>
  <c r="H1077" i="1"/>
  <c r="H1063" i="1"/>
  <c r="K1063" i="1" s="1"/>
  <c r="H1049" i="1"/>
  <c r="K1049" i="1" s="1"/>
  <c r="H1035" i="1"/>
  <c r="H1021" i="1"/>
  <c r="K1021" i="1" s="1"/>
  <c r="H1007" i="1"/>
  <c r="K1007" i="1" s="1"/>
  <c r="H993" i="1"/>
  <c r="H979" i="1"/>
  <c r="K979" i="1" s="1"/>
  <c r="H965" i="1"/>
  <c r="H951" i="1"/>
  <c r="H937" i="1"/>
  <c r="H923" i="1"/>
  <c r="H909" i="1"/>
  <c r="H902" i="1"/>
  <c r="H888" i="1"/>
  <c r="K888" i="1" s="1"/>
  <c r="H881" i="1"/>
  <c r="K881" i="1" s="1"/>
  <c r="H867" i="1"/>
  <c r="K867" i="1" s="1"/>
  <c r="H853" i="1"/>
  <c r="K853" i="1" s="1"/>
  <c r="H839" i="1"/>
  <c r="H825" i="1"/>
  <c r="K825" i="1" s="1"/>
  <c r="H811" i="1"/>
  <c r="K811" i="1" s="1"/>
  <c r="H804" i="1"/>
  <c r="H790" i="1"/>
  <c r="K790" i="1" s="1"/>
  <c r="H776" i="1"/>
  <c r="H762" i="1"/>
  <c r="H748" i="1"/>
  <c r="H734" i="1"/>
  <c r="H720" i="1"/>
  <c r="H713" i="1"/>
  <c r="H699" i="1"/>
  <c r="H678" i="1"/>
  <c r="K678" i="1" s="1"/>
  <c r="H657" i="1"/>
  <c r="K657" i="1" s="1"/>
  <c r="H643" i="1"/>
  <c r="H629" i="1"/>
  <c r="K629" i="1" s="1"/>
  <c r="H622" i="1"/>
  <c r="H608" i="1"/>
  <c r="H594" i="1"/>
  <c r="K594" i="1" s="1"/>
  <c r="H580" i="1"/>
  <c r="H566" i="1"/>
  <c r="H552" i="1"/>
  <c r="H538" i="1"/>
  <c r="H531" i="1"/>
  <c r="K531" i="1" s="1"/>
  <c r="H517" i="1"/>
  <c r="H510" i="1"/>
  <c r="K510" i="1" s="1"/>
  <c r="H496" i="1"/>
  <c r="K496" i="1" s="1"/>
  <c r="H482" i="1"/>
  <c r="H468" i="1"/>
  <c r="K468" i="1" s="1"/>
  <c r="H461" i="1"/>
  <c r="H447" i="1"/>
  <c r="K447" i="1" s="1"/>
  <c r="H440" i="1"/>
  <c r="H426" i="1"/>
  <c r="H412" i="1"/>
  <c r="H405" i="1"/>
  <c r="H391" i="1"/>
  <c r="H377" i="1"/>
  <c r="H356" i="1"/>
  <c r="H335" i="1"/>
  <c r="K335" i="1" s="1"/>
  <c r="H321" i="1"/>
  <c r="K321" i="1" s="1"/>
  <c r="H307" i="1"/>
  <c r="K307" i="1" s="1"/>
  <c r="H293" i="1"/>
  <c r="K293" i="1" s="1"/>
  <c r="H279" i="1"/>
  <c r="H265" i="1"/>
  <c r="H251" i="1"/>
  <c r="K251" i="1" s="1"/>
  <c r="H237" i="1"/>
  <c r="H223" i="1"/>
  <c r="H209" i="1"/>
  <c r="H202" i="1"/>
  <c r="H188" i="1"/>
  <c r="H181" i="1"/>
  <c r="H167" i="1"/>
  <c r="H160" i="1"/>
  <c r="H146" i="1"/>
  <c r="K146" i="1" s="1"/>
  <c r="H132" i="1"/>
  <c r="K132" i="1" s="1"/>
  <c r="H118" i="1"/>
  <c r="K118" i="1" s="1"/>
  <c r="H104" i="1"/>
  <c r="H90" i="1"/>
  <c r="K90" i="1" s="1"/>
  <c r="H76" i="1"/>
  <c r="K76" i="1" s="1"/>
  <c r="H62" i="1"/>
  <c r="H55" i="1"/>
  <c r="H41" i="1"/>
  <c r="H34" i="1"/>
  <c r="H27" i="1"/>
  <c r="H13" i="1"/>
  <c r="M828" i="1"/>
  <c r="H1252" i="1"/>
  <c r="H1238" i="1"/>
  <c r="K1238" i="1" s="1"/>
  <c r="H1224" i="1"/>
  <c r="H1203" i="1"/>
  <c r="H1182" i="1"/>
  <c r="K1182" i="1" s="1"/>
  <c r="H1161" i="1"/>
  <c r="K1161" i="1" s="1"/>
  <c r="H1140" i="1"/>
  <c r="H1126" i="1"/>
  <c r="H1112" i="1"/>
  <c r="H1098" i="1"/>
  <c r="H1084" i="1"/>
  <c r="K1084" i="1" s="1"/>
  <c r="H1070" i="1"/>
  <c r="K1070" i="1" s="1"/>
  <c r="H1056" i="1"/>
  <c r="H1042" i="1"/>
  <c r="H1028" i="1"/>
  <c r="H1014" i="1"/>
  <c r="H1000" i="1"/>
  <c r="H986" i="1"/>
  <c r="K986" i="1" s="1"/>
  <c r="H972" i="1"/>
  <c r="K972" i="1" s="1"/>
  <c r="H958" i="1"/>
  <c r="K958" i="1" s="1"/>
  <c r="H944" i="1"/>
  <c r="H930" i="1"/>
  <c r="H916" i="1"/>
  <c r="H895" i="1"/>
  <c r="H874" i="1"/>
  <c r="H860" i="1"/>
  <c r="H846" i="1"/>
  <c r="H832" i="1"/>
  <c r="H818" i="1"/>
  <c r="H797" i="1"/>
  <c r="H783" i="1"/>
  <c r="K783" i="1" s="1"/>
  <c r="H769" i="1"/>
  <c r="K769" i="1" s="1"/>
  <c r="H755" i="1"/>
  <c r="K755" i="1" s="1"/>
  <c r="H741" i="1"/>
  <c r="K741" i="1" s="1"/>
  <c r="H727" i="1"/>
  <c r="H706" i="1"/>
  <c r="H692" i="1"/>
  <c r="K692" i="1" s="1"/>
  <c r="H685" i="1"/>
  <c r="H636" i="1"/>
  <c r="H615" i="1"/>
  <c r="H601" i="1"/>
  <c r="H587" i="1"/>
  <c r="H573" i="1"/>
  <c r="K573" i="1" s="1"/>
  <c r="H559" i="1"/>
  <c r="H545" i="1"/>
  <c r="K545" i="1" s="1"/>
  <c r="H524" i="1"/>
  <c r="H503" i="1"/>
  <c r="H489" i="1"/>
  <c r="K489" i="1" s="1"/>
  <c r="H475" i="1"/>
  <c r="H454" i="1"/>
  <c r="H433" i="1"/>
  <c r="H419" i="1"/>
  <c r="H398" i="1"/>
  <c r="H384" i="1"/>
  <c r="H370" i="1"/>
  <c r="H363" i="1"/>
  <c r="H349" i="1"/>
  <c r="K349" i="1" s="1"/>
  <c r="H342" i="1"/>
  <c r="K342" i="1" s="1"/>
  <c r="H328" i="1"/>
  <c r="K328" i="1" s="1"/>
  <c r="H314" i="1"/>
  <c r="K314" i="1" s="1"/>
  <c r="H300" i="1"/>
  <c r="H286" i="1"/>
  <c r="K286" i="1" s="1"/>
  <c r="H272" i="1"/>
  <c r="K272" i="1" s="1"/>
  <c r="H258" i="1"/>
  <c r="H244" i="1"/>
  <c r="H230" i="1"/>
  <c r="H216" i="1"/>
  <c r="H195" i="1"/>
  <c r="H174" i="1"/>
  <c r="H153" i="1"/>
  <c r="K153" i="1" s="1"/>
  <c r="H139" i="1"/>
  <c r="K139" i="1" s="1"/>
  <c r="H125" i="1"/>
  <c r="K125" i="1" s="1"/>
  <c r="H111" i="1"/>
  <c r="K111" i="1" s="1"/>
  <c r="H97" i="1"/>
  <c r="K97" i="1" s="1"/>
  <c r="H83" i="1"/>
  <c r="H69" i="1"/>
  <c r="H48" i="1"/>
  <c r="K48" i="1" s="1"/>
  <c r="H20" i="1"/>
  <c r="M1206" i="1"/>
  <c r="I4" i="1"/>
  <c r="H5" i="1"/>
  <c r="I296" i="1"/>
  <c r="I289" i="1"/>
  <c r="I282" i="1"/>
  <c r="I275" i="1"/>
  <c r="J275" i="1" s="1"/>
  <c r="I268" i="1"/>
  <c r="J268" i="1" s="1"/>
  <c r="I247" i="1"/>
  <c r="J247" i="1" s="1"/>
  <c r="I240" i="1"/>
  <c r="I233" i="1"/>
  <c r="I226" i="1"/>
  <c r="J226" i="1" s="1"/>
  <c r="I219" i="1"/>
  <c r="I205" i="1"/>
  <c r="I198" i="1"/>
  <c r="I191" i="1"/>
  <c r="I184" i="1"/>
  <c r="I177" i="1"/>
  <c r="I170" i="1"/>
  <c r="I163" i="1"/>
  <c r="H380" i="1"/>
  <c r="K380" i="1" s="1"/>
  <c r="H359" i="1"/>
  <c r="H352" i="1"/>
  <c r="H345" i="1"/>
  <c r="H324" i="1"/>
  <c r="K324" i="1" s="1"/>
  <c r="H310" i="1"/>
  <c r="H296" i="1"/>
  <c r="H289" i="1"/>
  <c r="H282" i="1"/>
  <c r="H275" i="1"/>
  <c r="H268" i="1"/>
  <c r="H261" i="1"/>
  <c r="H247" i="1"/>
  <c r="H240" i="1"/>
  <c r="H233" i="1"/>
  <c r="H212" i="1"/>
  <c r="H198" i="1"/>
  <c r="H184" i="1"/>
  <c r="K184" i="1" s="1"/>
  <c r="H177" i="1"/>
  <c r="H170" i="1"/>
  <c r="K170" i="1" s="1"/>
  <c r="H156" i="1"/>
  <c r="H149" i="1"/>
  <c r="H142" i="1"/>
  <c r="I1228" i="1"/>
  <c r="I1179" i="1"/>
  <c r="I1172" i="1"/>
  <c r="I1165" i="1"/>
  <c r="J1165" i="1" s="1"/>
  <c r="I1151" i="1"/>
  <c r="J1151" i="1" s="1"/>
  <c r="I1102" i="1"/>
  <c r="I1081" i="1"/>
  <c r="I1074" i="1"/>
  <c r="I1067" i="1"/>
  <c r="I1018" i="1"/>
  <c r="J1018" i="1" s="1"/>
  <c r="I1011" i="1"/>
  <c r="J1011" i="1" s="1"/>
  <c r="I1004" i="1"/>
  <c r="I976" i="1"/>
  <c r="I969" i="1"/>
  <c r="J969" i="1" s="1"/>
  <c r="I955" i="1"/>
  <c r="I948" i="1"/>
  <c r="I920" i="1"/>
  <c r="I906" i="1"/>
  <c r="I899" i="1"/>
  <c r="I885" i="1"/>
  <c r="I878" i="1"/>
  <c r="I871" i="1"/>
  <c r="I864" i="1"/>
  <c r="I850" i="1"/>
  <c r="J850" i="1" s="1"/>
  <c r="I822" i="1"/>
  <c r="J822" i="1" s="1"/>
  <c r="I815" i="1"/>
  <c r="I808" i="1"/>
  <c r="I787" i="1"/>
  <c r="I780" i="1"/>
  <c r="I766" i="1"/>
  <c r="I752" i="1"/>
  <c r="I738" i="1"/>
  <c r="J738" i="1" s="1"/>
  <c r="I724" i="1"/>
  <c r="J724" i="1" s="1"/>
  <c r="I717" i="1"/>
  <c r="J717" i="1" s="1"/>
  <c r="I710" i="1"/>
  <c r="J710" i="1" s="1"/>
  <c r="I696" i="1"/>
  <c r="I682" i="1"/>
  <c r="I675" i="1"/>
  <c r="J675" i="1" s="1"/>
  <c r="I668" i="1"/>
  <c r="I661" i="1"/>
  <c r="I647" i="1"/>
  <c r="I633" i="1"/>
  <c r="I626" i="1"/>
  <c r="I605" i="1"/>
  <c r="I598" i="1"/>
  <c r="I584" i="1"/>
  <c r="I570" i="1"/>
  <c r="I535" i="1"/>
  <c r="I528" i="1"/>
  <c r="J528" i="1" s="1"/>
  <c r="I500" i="1"/>
  <c r="I493" i="1"/>
  <c r="I479" i="1"/>
  <c r="J479" i="1" s="1"/>
  <c r="I472" i="1"/>
  <c r="J472" i="1" s="1"/>
  <c r="I465" i="1"/>
  <c r="I451" i="1"/>
  <c r="I437" i="1"/>
  <c r="I430" i="1"/>
  <c r="I423" i="1"/>
  <c r="I409" i="1"/>
  <c r="I402" i="1"/>
  <c r="I388" i="1"/>
  <c r="J388" i="1" s="1"/>
  <c r="I381" i="1"/>
  <c r="I374" i="1"/>
  <c r="J374" i="1" s="1"/>
  <c r="I367" i="1"/>
  <c r="J367" i="1" s="1"/>
  <c r="I360" i="1"/>
  <c r="I353" i="1"/>
  <c r="J353" i="1" s="1"/>
  <c r="I346" i="1"/>
  <c r="J346" i="1" s="1"/>
  <c r="I332" i="1"/>
  <c r="I318" i="1"/>
  <c r="I311" i="1"/>
  <c r="I297" i="1"/>
  <c r="I290" i="1"/>
  <c r="J290" i="1" s="1"/>
  <c r="I276" i="1"/>
  <c r="J276" i="1" s="1"/>
  <c r="I269" i="1"/>
  <c r="J269" i="1" s="1"/>
  <c r="I255" i="1"/>
  <c r="I234" i="1"/>
  <c r="I220" i="1"/>
  <c r="I213" i="1"/>
  <c r="I199" i="1"/>
  <c r="I192" i="1"/>
  <c r="I178" i="1"/>
  <c r="J178" i="1" s="1"/>
  <c r="I171" i="1"/>
  <c r="I164" i="1"/>
  <c r="I157" i="1"/>
  <c r="I150" i="1"/>
  <c r="I143" i="1"/>
  <c r="I122" i="1"/>
  <c r="I115" i="1"/>
  <c r="I101" i="1"/>
  <c r="I94" i="1"/>
  <c r="I87" i="1"/>
  <c r="J87" i="1" s="1"/>
  <c r="I80" i="1"/>
  <c r="J80" i="1" s="1"/>
  <c r="I73" i="1"/>
  <c r="I66" i="1"/>
  <c r="I59" i="1"/>
  <c r="J59" i="1" s="1"/>
  <c r="I45" i="1"/>
  <c r="I38" i="1"/>
  <c r="I10" i="1"/>
  <c r="I1044" i="1"/>
  <c r="I1037" i="1"/>
  <c r="I1016" i="1"/>
  <c r="J1016" i="1" s="1"/>
  <c r="I1002" i="1"/>
  <c r="I988" i="1"/>
  <c r="I953" i="1"/>
  <c r="J953" i="1" s="1"/>
  <c r="I939" i="1"/>
  <c r="I918" i="1"/>
  <c r="J918" i="1" s="1"/>
  <c r="I890" i="1"/>
  <c r="J890" i="1" s="1"/>
  <c r="I841" i="1"/>
  <c r="I834" i="1"/>
  <c r="J834" i="1" s="1"/>
  <c r="I820" i="1"/>
  <c r="I813" i="1"/>
  <c r="I806" i="1"/>
  <c r="I778" i="1"/>
  <c r="I757" i="1"/>
  <c r="I729" i="1"/>
  <c r="I708" i="1"/>
  <c r="I694" i="1"/>
  <c r="I680" i="1"/>
  <c r="I659" i="1"/>
  <c r="J659" i="1" s="1"/>
  <c r="I645" i="1"/>
  <c r="J645" i="1" s="1"/>
  <c r="I638" i="1"/>
  <c r="J638" i="1" s="1"/>
  <c r="I631" i="1"/>
  <c r="I624" i="1"/>
  <c r="J624" i="1" s="1"/>
  <c r="I610" i="1"/>
  <c r="I596" i="1"/>
  <c r="I589" i="1"/>
  <c r="I568" i="1"/>
  <c r="I561" i="1"/>
  <c r="I554" i="1"/>
  <c r="I540" i="1"/>
  <c r="I533" i="1"/>
  <c r="I512" i="1"/>
  <c r="I505" i="1"/>
  <c r="I491" i="1"/>
  <c r="J491" i="1" s="1"/>
  <c r="I484" i="1"/>
  <c r="J484" i="1" s="1"/>
  <c r="I477" i="1"/>
  <c r="I463" i="1"/>
  <c r="J463" i="1" s="1"/>
  <c r="I456" i="1"/>
  <c r="I442" i="1"/>
  <c r="I435" i="1"/>
  <c r="I428" i="1"/>
  <c r="I421" i="1"/>
  <c r="I414" i="1"/>
  <c r="I407" i="1"/>
  <c r="I400" i="1"/>
  <c r="I393" i="1"/>
  <c r="I386" i="1"/>
  <c r="I379" i="1"/>
  <c r="I372" i="1"/>
  <c r="I358" i="1"/>
  <c r="J358" i="1" s="1"/>
  <c r="I351" i="1"/>
  <c r="J351" i="1" s="1"/>
  <c r="I344" i="1"/>
  <c r="J344" i="1" s="1"/>
  <c r="I323" i="1"/>
  <c r="I302" i="1"/>
  <c r="I281" i="1"/>
  <c r="I246" i="1"/>
  <c r="I232" i="1"/>
  <c r="I218" i="1"/>
  <c r="I197" i="1"/>
  <c r="J197" i="1" s="1"/>
  <c r="I169" i="1"/>
  <c r="I162" i="1"/>
  <c r="I155" i="1"/>
  <c r="I148" i="1"/>
  <c r="I141" i="1"/>
  <c r="I127" i="1"/>
  <c r="J127" i="1" s="1"/>
  <c r="I120" i="1"/>
  <c r="I92" i="1"/>
  <c r="I85" i="1"/>
  <c r="I71" i="1"/>
  <c r="J71" i="1" s="1"/>
  <c r="I64" i="1"/>
  <c r="I50" i="1"/>
  <c r="I36" i="1"/>
  <c r="I29" i="1"/>
  <c r="I8" i="1"/>
  <c r="H1044" i="1"/>
  <c r="K1044" i="1" s="1"/>
  <c r="H1037" i="1"/>
  <c r="K1037" i="1" s="1"/>
  <c r="H1009" i="1"/>
  <c r="H988" i="1"/>
  <c r="H981" i="1"/>
  <c r="K981" i="1" s="1"/>
  <c r="H939" i="1"/>
  <c r="H932" i="1"/>
  <c r="H911" i="1"/>
  <c r="H897" i="1"/>
  <c r="H890" i="1"/>
  <c r="H855" i="1"/>
  <c r="H834" i="1"/>
  <c r="H827" i="1"/>
  <c r="H813" i="1"/>
  <c r="H806" i="1"/>
  <c r="H778" i="1"/>
  <c r="K778" i="1" s="1"/>
  <c r="H771" i="1"/>
  <c r="H736" i="1"/>
  <c r="H729" i="1"/>
  <c r="K729" i="1" s="1"/>
  <c r="H715" i="1"/>
  <c r="K715" i="1" s="1"/>
  <c r="H708" i="1"/>
  <c r="H687" i="1"/>
  <c r="H673" i="1"/>
  <c r="H659" i="1"/>
  <c r="H631" i="1"/>
  <c r="H624" i="1"/>
  <c r="H617" i="1"/>
  <c r="K617" i="1" s="1"/>
  <c r="H610" i="1"/>
  <c r="H603" i="1"/>
  <c r="K603" i="1" s="1"/>
  <c r="H589" i="1"/>
  <c r="H561" i="1"/>
  <c r="K561" i="1" s="1"/>
  <c r="H540" i="1"/>
  <c r="H533" i="1"/>
  <c r="K533" i="1" s="1"/>
  <c r="H519" i="1"/>
  <c r="H512" i="1"/>
  <c r="H505" i="1"/>
  <c r="H491" i="1"/>
  <c r="H484" i="1"/>
  <c r="H470" i="1"/>
  <c r="K470" i="1" s="1"/>
  <c r="H463" i="1"/>
  <c r="H456" i="1"/>
  <c r="H449" i="1"/>
  <c r="H442" i="1"/>
  <c r="H414" i="1"/>
  <c r="K414" i="1" s="1"/>
  <c r="H407" i="1"/>
  <c r="H400" i="1"/>
  <c r="H393" i="1"/>
  <c r="K393" i="1" s="1"/>
  <c r="H386" i="1"/>
  <c r="H379" i="1"/>
  <c r="H372" i="1"/>
  <c r="H358" i="1"/>
  <c r="H344" i="1"/>
  <c r="H337" i="1"/>
  <c r="H330" i="1"/>
  <c r="H323" i="1"/>
  <c r="H309" i="1"/>
  <c r="K309" i="1" s="1"/>
  <c r="H302" i="1"/>
  <c r="H295" i="1"/>
  <c r="K295" i="1" s="1"/>
  <c r="H281" i="1"/>
  <c r="K281" i="1" s="1"/>
  <c r="H274" i="1"/>
  <c r="H267" i="1"/>
  <c r="K267" i="1" s="1"/>
  <c r="H246" i="1"/>
  <c r="K246" i="1" s="1"/>
  <c r="H232" i="1"/>
  <c r="H218" i="1"/>
  <c r="H211" i="1"/>
  <c r="H204" i="1"/>
  <c r="H197" i="1"/>
  <c r="H190" i="1"/>
  <c r="H183" i="1"/>
  <c r="H176" i="1"/>
  <c r="H169" i="1"/>
  <c r="K169" i="1" s="1"/>
  <c r="H162" i="1"/>
  <c r="K162" i="1" s="1"/>
  <c r="H155" i="1"/>
  <c r="H148" i="1"/>
  <c r="K148" i="1" s="1"/>
  <c r="H141" i="1"/>
  <c r="K141" i="1" s="1"/>
  <c r="H127" i="1"/>
  <c r="H113" i="1"/>
  <c r="H106" i="1"/>
  <c r="K106" i="1" s="1"/>
  <c r="H85" i="1"/>
  <c r="H64" i="1"/>
  <c r="K64" i="1" s="1"/>
  <c r="H50" i="1"/>
  <c r="K50" i="1" s="1"/>
  <c r="H43" i="1"/>
  <c r="H36" i="1"/>
  <c r="K36" i="1" s="1"/>
  <c r="H29" i="1"/>
  <c r="H22" i="1"/>
  <c r="H15" i="1"/>
  <c r="H8" i="1"/>
  <c r="N968" i="1"/>
  <c r="M467" i="1"/>
  <c r="M938" i="1"/>
  <c r="M896" i="1"/>
  <c r="M686" i="1"/>
  <c r="M224" i="1"/>
  <c r="M1210" i="1"/>
  <c r="N1199" i="1"/>
  <c r="N1113" i="1"/>
  <c r="M986" i="1"/>
  <c r="M937" i="1"/>
  <c r="M891" i="1"/>
  <c r="N791" i="1"/>
  <c r="N725" i="1"/>
  <c r="M97" i="1"/>
  <c r="U97" i="1" s="1"/>
  <c r="N1129" i="1"/>
  <c r="O950" i="1"/>
  <c r="S950" i="1" s="1"/>
  <c r="N798" i="1"/>
  <c r="N630" i="1"/>
  <c r="M349" i="1"/>
  <c r="O815" i="1"/>
  <c r="S815" i="1" s="1"/>
  <c r="M1112" i="1"/>
  <c r="M521" i="1"/>
  <c r="N381" i="1"/>
  <c r="N170" i="1"/>
  <c r="M20" i="1"/>
  <c r="N35" i="1"/>
  <c r="M393" i="1"/>
  <c r="N726" i="1"/>
  <c r="N1203" i="1"/>
  <c r="O1110" i="1"/>
  <c r="S1110" i="1" s="1"/>
  <c r="M1053" i="1"/>
  <c r="N560" i="1"/>
  <c r="N288" i="1"/>
  <c r="M1051" i="1"/>
  <c r="N804" i="1"/>
  <c r="M1164" i="1"/>
  <c r="O255" i="1"/>
  <c r="S255" i="1" s="1"/>
  <c r="M731" i="1"/>
  <c r="P828" i="1"/>
  <c r="X828" i="1" s="1"/>
  <c r="M635" i="1"/>
  <c r="O1047" i="1"/>
  <c r="S1047" i="1" s="1"/>
  <c r="O986" i="1"/>
  <c r="S986" i="1" s="1"/>
  <c r="N874" i="1"/>
  <c r="M734" i="1"/>
  <c r="P803" i="1"/>
  <c r="N482" i="1"/>
  <c r="M1211" i="1"/>
  <c r="N1044" i="1"/>
  <c r="N484" i="1"/>
  <c r="M793" i="1"/>
  <c r="M1190" i="1"/>
  <c r="M1003" i="1"/>
  <c r="M448" i="1"/>
  <c r="M163" i="1"/>
  <c r="O91" i="1"/>
  <c r="S91" i="1" s="1"/>
  <c r="M400" i="1"/>
  <c r="O452" i="1"/>
  <c r="S452" i="1" s="1"/>
  <c r="W452" i="1" s="1"/>
  <c r="M619" i="1"/>
  <c r="M143" i="1"/>
  <c r="N969" i="1"/>
  <c r="V969" i="1" s="1"/>
  <c r="O644" i="1"/>
  <c r="S644" i="1" s="1"/>
  <c r="M1052" i="1"/>
  <c r="M954" i="1"/>
  <c r="M940" i="1"/>
  <c r="P1073" i="1"/>
  <c r="M687" i="1"/>
  <c r="N654" i="1"/>
  <c r="M576" i="1"/>
  <c r="M522" i="1"/>
  <c r="M1207" i="1"/>
  <c r="M1097" i="1"/>
  <c r="P1138" i="1"/>
  <c r="O946" i="1"/>
  <c r="S946" i="1" s="1"/>
  <c r="N697" i="1"/>
  <c r="M622" i="1"/>
  <c r="M451" i="1"/>
  <c r="O1220" i="1"/>
  <c r="S1220" i="1" s="1"/>
  <c r="O1106" i="1"/>
  <c r="S1106" i="1" s="1"/>
  <c r="P1010" i="1"/>
  <c r="O776" i="1"/>
  <c r="S776" i="1" s="1"/>
  <c r="O502" i="1"/>
  <c r="S502" i="1" s="1"/>
  <c r="W502" i="1" s="1"/>
  <c r="O175" i="1"/>
  <c r="S175" i="1" s="1"/>
  <c r="W175" i="1" s="1"/>
  <c r="M735" i="1"/>
  <c r="U735" i="1" s="1"/>
  <c r="N1207" i="1"/>
  <c r="N1144" i="1"/>
  <c r="M1023" i="1"/>
  <c r="O1006" i="1"/>
  <c r="S1006" i="1" s="1"/>
  <c r="N824" i="1"/>
  <c r="M756" i="1"/>
  <c r="M706" i="1"/>
  <c r="N658" i="1"/>
  <c r="N589" i="1"/>
  <c r="N492" i="1"/>
  <c r="M575" i="1"/>
  <c r="N1242" i="1"/>
  <c r="M1218" i="1"/>
  <c r="N1214" i="1"/>
  <c r="M1176" i="1"/>
  <c r="M1106" i="1"/>
  <c r="M1036" i="1"/>
  <c r="N1018" i="1"/>
  <c r="N948" i="1"/>
  <c r="P1044" i="1"/>
  <c r="N850" i="1"/>
  <c r="M812" i="1"/>
  <c r="N808" i="1"/>
  <c r="O782" i="1"/>
  <c r="S782" i="1" s="1"/>
  <c r="M700" i="1"/>
  <c r="M672" i="1"/>
  <c r="P680" i="1"/>
  <c r="O474" i="1"/>
  <c r="S474" i="1" s="1"/>
  <c r="M406" i="1"/>
  <c r="N388" i="1"/>
  <c r="V388" i="1" s="1"/>
  <c r="M308" i="1"/>
  <c r="O334" i="1"/>
  <c r="S334" i="1" s="1"/>
  <c r="N94" i="1"/>
  <c r="M56" i="1"/>
  <c r="N52" i="1"/>
  <c r="O54" i="1"/>
  <c r="S54" i="1" s="1"/>
  <c r="P1223" i="1"/>
  <c r="O1109" i="1"/>
  <c r="S1109" i="1" s="1"/>
  <c r="P1070" i="1"/>
  <c r="M845" i="1"/>
  <c r="M1255" i="1"/>
  <c r="N1196" i="1"/>
  <c r="M1157" i="1"/>
  <c r="U1157" i="1" s="1"/>
  <c r="M999" i="1"/>
  <c r="M890" i="1"/>
  <c r="M776" i="1"/>
  <c r="M732" i="1"/>
  <c r="M342" i="1"/>
  <c r="N258" i="1"/>
  <c r="M156" i="1"/>
  <c r="N76" i="1"/>
  <c r="M450" i="1"/>
  <c r="M1094" i="1"/>
  <c r="O1063" i="1"/>
  <c r="S1063" i="1" s="1"/>
  <c r="N938" i="1"/>
  <c r="N870" i="1"/>
  <c r="N794" i="1"/>
  <c r="N771" i="1"/>
  <c r="O707" i="1"/>
  <c r="S707" i="1" s="1"/>
  <c r="O636" i="1"/>
  <c r="S636" i="1" s="1"/>
  <c r="N551" i="1"/>
  <c r="P520" i="1"/>
  <c r="O301" i="1"/>
  <c r="S301" i="1" s="1"/>
  <c r="O240" i="1"/>
  <c r="S240" i="1" s="1"/>
  <c r="M1166" i="1"/>
  <c r="O1161" i="1"/>
  <c r="S1161" i="1" s="1"/>
  <c r="M1068" i="1"/>
  <c r="M1008" i="1"/>
  <c r="O997" i="1"/>
  <c r="S997" i="1" s="1"/>
  <c r="N836" i="1"/>
  <c r="O827" i="1"/>
  <c r="S827" i="1" s="1"/>
  <c r="M749" i="1"/>
  <c r="U749" i="1" s="1"/>
  <c r="P848" i="1"/>
  <c r="M592" i="1"/>
  <c r="M525" i="1"/>
  <c r="M1163" i="1"/>
  <c r="P536" i="1"/>
  <c r="M1143" i="1"/>
  <c r="M842" i="1"/>
  <c r="M681" i="1"/>
  <c r="M275" i="1"/>
  <c r="M214" i="1"/>
  <c r="M79" i="1"/>
  <c r="N896" i="1"/>
  <c r="P1240" i="1"/>
  <c r="N964" i="1"/>
  <c r="O930" i="1"/>
  <c r="S930" i="1" s="1"/>
  <c r="N629" i="1"/>
  <c r="M367" i="1"/>
  <c r="N26" i="1"/>
  <c r="M1224" i="1"/>
  <c r="M1092" i="1"/>
  <c r="N996" i="1"/>
  <c r="P1090" i="1"/>
  <c r="M847" i="1"/>
  <c r="M801" i="1"/>
  <c r="N729" i="1"/>
  <c r="M689" i="1"/>
  <c r="O648" i="1"/>
  <c r="S648" i="1" s="1"/>
  <c r="N514" i="1"/>
  <c r="M294" i="1"/>
  <c r="N821" i="1"/>
  <c r="M811" i="1"/>
  <c r="O851" i="1"/>
  <c r="S851" i="1" s="1"/>
  <c r="N819" i="1"/>
  <c r="N820" i="1"/>
  <c r="N763" i="1"/>
  <c r="P945" i="1"/>
  <c r="N765" i="1"/>
  <c r="O795" i="1"/>
  <c r="S795" i="1" s="1"/>
  <c r="P903" i="1"/>
  <c r="O753" i="1"/>
  <c r="S753" i="1" s="1"/>
  <c r="N722" i="1"/>
  <c r="N723" i="1"/>
  <c r="O739" i="1"/>
  <c r="S739" i="1" s="1"/>
  <c r="N709" i="1"/>
  <c r="P889" i="1"/>
  <c r="P887" i="1"/>
  <c r="P888" i="1"/>
  <c r="N707" i="1"/>
  <c r="M699" i="1"/>
  <c r="N708" i="1"/>
  <c r="P861" i="1"/>
  <c r="M671" i="1"/>
  <c r="P859" i="1"/>
  <c r="N680" i="1"/>
  <c r="N681" i="1"/>
  <c r="P833" i="1"/>
  <c r="X833" i="1" s="1"/>
  <c r="P831" i="1"/>
  <c r="N653" i="1"/>
  <c r="P832" i="1"/>
  <c r="O683" i="1"/>
  <c r="S683" i="1" s="1"/>
  <c r="P777" i="1"/>
  <c r="O627" i="1"/>
  <c r="S627" i="1" s="1"/>
  <c r="N597" i="1"/>
  <c r="M587" i="1"/>
  <c r="P776" i="1"/>
  <c r="N596" i="1"/>
  <c r="N582" i="1"/>
  <c r="P762" i="1"/>
  <c r="P763" i="1"/>
  <c r="N583" i="1"/>
  <c r="P761" i="1"/>
  <c r="O613" i="1"/>
  <c r="S613" i="1" s="1"/>
  <c r="P749" i="1"/>
  <c r="O599" i="1"/>
  <c r="S599" i="1" s="1"/>
  <c r="N569" i="1"/>
  <c r="P747" i="1"/>
  <c r="N567" i="1"/>
  <c r="M559" i="1"/>
  <c r="P734" i="1"/>
  <c r="P735" i="1"/>
  <c r="X735" i="1" s="1"/>
  <c r="N555" i="1"/>
  <c r="O585" i="1"/>
  <c r="S585" i="1" s="1"/>
  <c r="M545" i="1"/>
  <c r="P721" i="1"/>
  <c r="N540" i="1"/>
  <c r="M531" i="1"/>
  <c r="N539" i="1"/>
  <c r="N541" i="1"/>
  <c r="P707" i="1"/>
  <c r="O557" i="1"/>
  <c r="S557" i="1" s="1"/>
  <c r="P705" i="1"/>
  <c r="M517" i="1"/>
  <c r="N513" i="1"/>
  <c r="P693" i="1"/>
  <c r="P692" i="1"/>
  <c r="O543" i="1"/>
  <c r="S543" i="1" s="1"/>
  <c r="N512" i="1"/>
  <c r="N511" i="1"/>
  <c r="M503" i="1"/>
  <c r="P679" i="1"/>
  <c r="O528" i="1"/>
  <c r="S528" i="1" s="1"/>
  <c r="P677" i="1"/>
  <c r="O527" i="1"/>
  <c r="S527" i="1" s="1"/>
  <c r="N499" i="1"/>
  <c r="M489" i="1"/>
  <c r="N497" i="1"/>
  <c r="N471" i="1"/>
  <c r="P650" i="1"/>
  <c r="P651" i="1"/>
  <c r="O501" i="1"/>
  <c r="S501" i="1" s="1"/>
  <c r="M461" i="1"/>
  <c r="N469" i="1"/>
  <c r="N470" i="1"/>
  <c r="O499" i="1"/>
  <c r="S499" i="1" s="1"/>
  <c r="P637" i="1"/>
  <c r="N457" i="1"/>
  <c r="O487" i="1"/>
  <c r="S487" i="1" s="1"/>
  <c r="O485" i="1"/>
  <c r="S485" i="1" s="1"/>
  <c r="O486" i="1"/>
  <c r="S486" i="1" s="1"/>
  <c r="P621" i="1"/>
  <c r="O473" i="1"/>
  <c r="S473" i="1" s="1"/>
  <c r="M433" i="1"/>
  <c r="N443" i="1"/>
  <c r="P609" i="1"/>
  <c r="P608" i="1"/>
  <c r="N429" i="1"/>
  <c r="O458" i="1"/>
  <c r="S458" i="1" s="1"/>
  <c r="O459" i="1"/>
  <c r="S459" i="1" s="1"/>
  <c r="N427" i="1"/>
  <c r="N428" i="1"/>
  <c r="O445" i="1"/>
  <c r="S445" i="1" s="1"/>
  <c r="M405" i="1"/>
  <c r="P595" i="1"/>
  <c r="P581" i="1"/>
  <c r="P580" i="1"/>
  <c r="O429" i="1"/>
  <c r="S429" i="1" s="1"/>
  <c r="N399" i="1"/>
  <c r="N401" i="1"/>
  <c r="N400" i="1"/>
  <c r="M391" i="1"/>
  <c r="O430" i="1"/>
  <c r="S430" i="1" s="1"/>
  <c r="P579" i="1"/>
  <c r="O431" i="1"/>
  <c r="S431" i="1" s="1"/>
  <c r="O417" i="1"/>
  <c r="S417" i="1" s="1"/>
  <c r="P566" i="1"/>
  <c r="N385" i="1"/>
  <c r="N387" i="1"/>
  <c r="N386" i="1"/>
  <c r="P567" i="1"/>
  <c r="O415" i="1"/>
  <c r="S415" i="1" s="1"/>
  <c r="O416" i="1"/>
  <c r="S416" i="1" s="1"/>
  <c r="N373" i="1"/>
  <c r="O403" i="1"/>
  <c r="S403" i="1" s="1"/>
  <c r="P552" i="1"/>
  <c r="P553" i="1"/>
  <c r="O401" i="1"/>
  <c r="S401" i="1" s="1"/>
  <c r="M363" i="1"/>
  <c r="O389" i="1"/>
  <c r="S389" i="1" s="1"/>
  <c r="P539" i="1"/>
  <c r="N359" i="1"/>
  <c r="O388" i="1"/>
  <c r="S388" i="1" s="1"/>
  <c r="O387" i="1"/>
  <c r="S387" i="1" s="1"/>
  <c r="O375" i="1"/>
  <c r="S375" i="1" s="1"/>
  <c r="P524" i="1"/>
  <c r="P525" i="1"/>
  <c r="X525" i="1" s="1"/>
  <c r="N345" i="1"/>
  <c r="M335" i="1"/>
  <c r="P511" i="1"/>
  <c r="O361" i="1"/>
  <c r="S361" i="1" s="1"/>
  <c r="N331" i="1"/>
  <c r="M321" i="1"/>
  <c r="P497" i="1"/>
  <c r="O346" i="1"/>
  <c r="S346" i="1" s="1"/>
  <c r="O347" i="1"/>
  <c r="S347" i="1" s="1"/>
  <c r="N317" i="1"/>
  <c r="M307" i="1"/>
  <c r="N315" i="1"/>
  <c r="P483" i="1"/>
  <c r="O332" i="1"/>
  <c r="S332" i="1" s="1"/>
  <c r="M293" i="1"/>
  <c r="U293" i="1" s="1"/>
  <c r="N302" i="1"/>
  <c r="O333" i="1"/>
  <c r="S333" i="1" s="1"/>
  <c r="N303" i="1"/>
  <c r="P469" i="1"/>
  <c r="N289" i="1"/>
  <c r="P455" i="1"/>
  <c r="O305" i="1"/>
  <c r="S305" i="1" s="1"/>
  <c r="P454" i="1"/>
  <c r="O303" i="1"/>
  <c r="S303" i="1" s="1"/>
  <c r="M265" i="1"/>
  <c r="N275" i="1"/>
  <c r="O291" i="1"/>
  <c r="S291" i="1" s="1"/>
  <c r="O290" i="1"/>
  <c r="S290" i="1" s="1"/>
  <c r="W290" i="1" s="1"/>
  <c r="N260" i="1"/>
  <c r="N261" i="1"/>
  <c r="P440" i="1"/>
  <c r="N259" i="1"/>
  <c r="O289" i="1"/>
  <c r="S289" i="1" s="1"/>
  <c r="O277" i="1"/>
  <c r="S277" i="1" s="1"/>
  <c r="P425" i="1"/>
  <c r="O276" i="1"/>
  <c r="S276" i="1" s="1"/>
  <c r="N246" i="1"/>
  <c r="P427" i="1"/>
  <c r="O275" i="1"/>
  <c r="S275" i="1" s="1"/>
  <c r="P426" i="1"/>
  <c r="N245" i="1"/>
  <c r="M237" i="1"/>
  <c r="O263" i="1"/>
  <c r="S263" i="1" s="1"/>
  <c r="N233" i="1"/>
  <c r="O261" i="1"/>
  <c r="S261" i="1" s="1"/>
  <c r="O262" i="1"/>
  <c r="S262" i="1" s="1"/>
  <c r="N231" i="1"/>
  <c r="N232" i="1"/>
  <c r="P399" i="1"/>
  <c r="N219" i="1"/>
  <c r="O249" i="1"/>
  <c r="S249" i="1" s="1"/>
  <c r="N217" i="1"/>
  <c r="M209" i="1"/>
  <c r="N205" i="1"/>
  <c r="P385" i="1"/>
  <c r="M195" i="1"/>
  <c r="O233" i="1"/>
  <c r="S233" i="1" s="1"/>
  <c r="P371" i="1"/>
  <c r="N189" i="1"/>
  <c r="N191" i="1"/>
  <c r="P369" i="1"/>
  <c r="P370" i="1"/>
  <c r="M181" i="1"/>
  <c r="O219" i="1"/>
  <c r="S219" i="1" s="1"/>
  <c r="O220" i="1"/>
  <c r="S220" i="1" s="1"/>
  <c r="P356" i="1"/>
  <c r="N177" i="1"/>
  <c r="P357" i="1"/>
  <c r="O207" i="1"/>
  <c r="S207" i="1" s="1"/>
  <c r="O193" i="1"/>
  <c r="S193" i="1" s="1"/>
  <c r="P343" i="1"/>
  <c r="N163" i="1"/>
  <c r="O192" i="1"/>
  <c r="S192" i="1" s="1"/>
  <c r="M153" i="1"/>
  <c r="O179" i="1"/>
  <c r="S179" i="1" s="1"/>
  <c r="N149" i="1"/>
  <c r="P329" i="1"/>
  <c r="M139" i="1"/>
  <c r="N147" i="1"/>
  <c r="P327" i="1"/>
  <c r="P328" i="1"/>
  <c r="N148" i="1"/>
  <c r="O165" i="1"/>
  <c r="S165" i="1" s="1"/>
  <c r="W165" i="1" s="1"/>
  <c r="M123" i="1"/>
  <c r="M124" i="1"/>
  <c r="M125" i="1"/>
  <c r="P301" i="1"/>
  <c r="N121" i="1"/>
  <c r="O151" i="1"/>
  <c r="S151" i="1" s="1"/>
  <c r="N120" i="1"/>
  <c r="O150" i="1"/>
  <c r="S150" i="1" s="1"/>
  <c r="N119" i="1"/>
  <c r="P299" i="1"/>
  <c r="M111" i="1"/>
  <c r="P287" i="1"/>
  <c r="O137" i="1"/>
  <c r="S137" i="1" s="1"/>
  <c r="N106" i="1"/>
  <c r="N107" i="1"/>
  <c r="O136" i="1"/>
  <c r="S136" i="1" s="1"/>
  <c r="M95" i="1"/>
  <c r="M96" i="1"/>
  <c r="N91" i="1"/>
  <c r="O121" i="1"/>
  <c r="S121" i="1" s="1"/>
  <c r="P271" i="1"/>
  <c r="M81" i="1"/>
  <c r="M83" i="1"/>
  <c r="P273" i="1"/>
  <c r="M82" i="1"/>
  <c r="N92" i="1"/>
  <c r="N93" i="1"/>
  <c r="O123" i="1"/>
  <c r="S123" i="1" s="1"/>
  <c r="P259" i="1"/>
  <c r="N79" i="1"/>
  <c r="O107" i="1"/>
  <c r="S107" i="1" s="1"/>
  <c r="O109" i="1"/>
  <c r="S109" i="1" s="1"/>
  <c r="M68" i="1"/>
  <c r="M67" i="1"/>
  <c r="O95" i="1"/>
  <c r="S95" i="1" s="1"/>
  <c r="P245" i="1"/>
  <c r="N65" i="1"/>
  <c r="P243" i="1"/>
  <c r="M53" i="1"/>
  <c r="M54" i="1"/>
  <c r="M55" i="1"/>
  <c r="P244" i="1"/>
  <c r="O79" i="1"/>
  <c r="S79" i="1" s="1"/>
  <c r="M41" i="1"/>
  <c r="P231" i="1"/>
  <c r="N49" i="1"/>
  <c r="P230" i="1"/>
  <c r="N50" i="1"/>
  <c r="N51" i="1"/>
  <c r="O80" i="1"/>
  <c r="S80" i="1" s="1"/>
  <c r="O81" i="1"/>
  <c r="S81" i="1" s="1"/>
  <c r="M39" i="1"/>
  <c r="P217" i="1"/>
  <c r="O65" i="1"/>
  <c r="S65" i="1" s="1"/>
  <c r="N37" i="1"/>
  <c r="O67" i="1"/>
  <c r="S67" i="1" s="1"/>
  <c r="W67" i="1" s="1"/>
  <c r="N34" i="1"/>
  <c r="M24" i="1"/>
  <c r="M25" i="1"/>
  <c r="P214" i="1"/>
  <c r="M26" i="1"/>
  <c r="M27" i="1"/>
  <c r="P203" i="1"/>
  <c r="N23" i="1"/>
  <c r="O53" i="1"/>
  <c r="M13" i="1"/>
  <c r="M1098" i="1"/>
  <c r="M1002" i="1"/>
  <c r="M623" i="1"/>
  <c r="M453" i="1"/>
  <c r="M399" i="1"/>
  <c r="M345" i="1"/>
  <c r="M279" i="1"/>
  <c r="M223" i="1"/>
  <c r="M161" i="1"/>
  <c r="M80" i="1"/>
  <c r="M19" i="1"/>
  <c r="N1114" i="1"/>
  <c r="N1043" i="1"/>
  <c r="N559" i="1"/>
  <c r="N372" i="1"/>
  <c r="N287" i="1"/>
  <c r="N162" i="1"/>
  <c r="N30" i="1"/>
  <c r="O813" i="1"/>
  <c r="S813" i="1" s="1"/>
  <c r="O643" i="1"/>
  <c r="S643" i="1" s="1"/>
  <c r="O451" i="1"/>
  <c r="S451" i="1" s="1"/>
  <c r="O245" i="1"/>
  <c r="S245" i="1" s="1"/>
  <c r="P1244" i="1"/>
  <c r="P826" i="1"/>
  <c r="P521" i="1"/>
  <c r="M1216" i="1"/>
  <c r="N1155" i="1"/>
  <c r="M1118" i="1"/>
  <c r="M1048" i="1"/>
  <c r="M880" i="1"/>
  <c r="M824" i="1"/>
  <c r="M754" i="1"/>
  <c r="N652" i="1"/>
  <c r="N554" i="1"/>
  <c r="M418" i="1"/>
  <c r="U418" i="1" s="1"/>
  <c r="M348" i="1"/>
  <c r="M278" i="1"/>
  <c r="N274" i="1"/>
  <c r="M194" i="1"/>
  <c r="M137" i="1"/>
  <c r="M939" i="1"/>
  <c r="M778" i="1"/>
  <c r="M573" i="1"/>
  <c r="M397" i="1"/>
  <c r="M218" i="1"/>
  <c r="M18" i="1"/>
  <c r="N1037" i="1"/>
  <c r="N721" i="1"/>
  <c r="N478" i="1"/>
  <c r="N371" i="1"/>
  <c r="N161" i="1"/>
  <c r="O444" i="1"/>
  <c r="S444" i="1" s="1"/>
  <c r="M1217" i="1"/>
  <c r="O1256" i="1"/>
  <c r="S1256" i="1" s="1"/>
  <c r="O1257" i="1"/>
  <c r="S1257" i="1" s="1"/>
  <c r="N1226" i="1"/>
  <c r="O1229" i="1"/>
  <c r="S1229" i="1" s="1"/>
  <c r="N1198" i="1"/>
  <c r="N1197" i="1"/>
  <c r="O1187" i="1"/>
  <c r="S1187" i="1" s="1"/>
  <c r="N1156" i="1"/>
  <c r="N1157" i="1"/>
  <c r="O1173" i="1"/>
  <c r="S1173" i="1" s="1"/>
  <c r="N1143" i="1"/>
  <c r="M1133" i="1"/>
  <c r="O1145" i="1"/>
  <c r="S1145" i="1" s="1"/>
  <c r="N1115" i="1"/>
  <c r="M1105" i="1"/>
  <c r="O1117" i="1"/>
  <c r="S1117" i="1" s="1"/>
  <c r="N1087" i="1"/>
  <c r="N1085" i="1"/>
  <c r="P1238" i="1"/>
  <c r="M1049" i="1"/>
  <c r="P1239" i="1"/>
  <c r="O1089" i="1"/>
  <c r="S1089" i="1" s="1"/>
  <c r="N1059" i="1"/>
  <c r="P1211" i="1"/>
  <c r="O1061" i="1"/>
  <c r="S1061" i="1" s="1"/>
  <c r="P1209" i="1"/>
  <c r="N1030" i="1"/>
  <c r="N1031" i="1"/>
  <c r="N1029" i="1"/>
  <c r="M1021" i="1"/>
  <c r="P1155" i="1"/>
  <c r="N974" i="1"/>
  <c r="N975" i="1"/>
  <c r="P1153" i="1"/>
  <c r="O1005" i="1"/>
  <c r="S1005" i="1" s="1"/>
  <c r="O949" i="1"/>
  <c r="S949" i="1" s="1"/>
  <c r="P1099" i="1"/>
  <c r="N918" i="1"/>
  <c r="N917" i="1"/>
  <c r="V917" i="1" s="1"/>
  <c r="N919" i="1"/>
  <c r="M909" i="1"/>
  <c r="O921" i="1"/>
  <c r="S921" i="1" s="1"/>
  <c r="N889" i="1"/>
  <c r="P1071" i="1"/>
  <c r="M881" i="1"/>
  <c r="N891" i="1"/>
  <c r="P1069" i="1"/>
  <c r="N877" i="1"/>
  <c r="P1057" i="1"/>
  <c r="O907" i="1"/>
  <c r="S907" i="1" s="1"/>
  <c r="N876" i="1"/>
  <c r="P1015" i="1"/>
  <c r="O865" i="1"/>
  <c r="S865" i="1" s="1"/>
  <c r="N833" i="1"/>
  <c r="N835" i="1"/>
  <c r="O837" i="1"/>
  <c r="S837" i="1" s="1"/>
  <c r="N806" i="1"/>
  <c r="P986" i="1"/>
  <c r="N807" i="1"/>
  <c r="P987" i="1"/>
  <c r="M797" i="1"/>
  <c r="N779" i="1"/>
  <c r="P959" i="1"/>
  <c r="N777" i="1"/>
  <c r="N778" i="1"/>
  <c r="M769" i="1"/>
  <c r="U769" i="1" s="1"/>
  <c r="P957" i="1"/>
  <c r="P958" i="1"/>
  <c r="O809" i="1"/>
  <c r="S809" i="1" s="1"/>
  <c r="P917" i="1"/>
  <c r="N735" i="1"/>
  <c r="N736" i="1"/>
  <c r="P875" i="1"/>
  <c r="O725" i="1"/>
  <c r="S725" i="1" s="1"/>
  <c r="P874" i="1"/>
  <c r="N695" i="1"/>
  <c r="M685" i="1"/>
  <c r="P847" i="1"/>
  <c r="N666" i="1"/>
  <c r="O697" i="1"/>
  <c r="S697" i="1" s="1"/>
  <c r="N667" i="1"/>
  <c r="N665" i="1"/>
  <c r="M657" i="1"/>
  <c r="P817" i="1"/>
  <c r="O669" i="1"/>
  <c r="S669" i="1" s="1"/>
  <c r="P818" i="1"/>
  <c r="P819" i="1"/>
  <c r="N637" i="1"/>
  <c r="N638" i="1"/>
  <c r="M629" i="1"/>
  <c r="N639" i="1"/>
  <c r="P665" i="1"/>
  <c r="O515" i="1"/>
  <c r="S515" i="1" s="1"/>
  <c r="M1254" i="1"/>
  <c r="U1254" i="1" s="1"/>
  <c r="M1045" i="1"/>
  <c r="M777" i="1"/>
  <c r="M667" i="1"/>
  <c r="M569" i="1"/>
  <c r="M396" i="1"/>
  <c r="M274" i="1"/>
  <c r="N22" i="1"/>
  <c r="N1109" i="1"/>
  <c r="N1035" i="1"/>
  <c r="N945" i="1"/>
  <c r="V945" i="1" s="1"/>
  <c r="N793" i="1"/>
  <c r="N627" i="1"/>
  <c r="V627" i="1" s="1"/>
  <c r="N549" i="1"/>
  <c r="N370" i="1"/>
  <c r="N135" i="1"/>
  <c r="O1105" i="1"/>
  <c r="S1105" i="1" s="1"/>
  <c r="O767" i="1"/>
  <c r="S767" i="1" s="1"/>
  <c r="O235" i="1"/>
  <c r="S235" i="1" s="1"/>
  <c r="M1256" i="1"/>
  <c r="M1214" i="1"/>
  <c r="O1254" i="1"/>
  <c r="S1254" i="1" s="1"/>
  <c r="N1224" i="1"/>
  <c r="M1200" i="1"/>
  <c r="O1240" i="1"/>
  <c r="S1240" i="1" s="1"/>
  <c r="N1210" i="1"/>
  <c r="M1186" i="1"/>
  <c r="O1226" i="1"/>
  <c r="S1226" i="1" s="1"/>
  <c r="M1172" i="1"/>
  <c r="O1212" i="1"/>
  <c r="S1212" i="1" s="1"/>
  <c r="N1182" i="1"/>
  <c r="M1158" i="1"/>
  <c r="O1198" i="1"/>
  <c r="S1198" i="1" s="1"/>
  <c r="M1130" i="1"/>
  <c r="O1170" i="1"/>
  <c r="S1170" i="1" s="1"/>
  <c r="N1140" i="1"/>
  <c r="M1102" i="1"/>
  <c r="N1112" i="1"/>
  <c r="O1142" i="1"/>
  <c r="S1142" i="1" s="1"/>
  <c r="M1088" i="1"/>
  <c r="O1128" i="1"/>
  <c r="S1128" i="1" s="1"/>
  <c r="N1098" i="1"/>
  <c r="M1060" i="1"/>
  <c r="P1250" i="1"/>
  <c r="O1100" i="1"/>
  <c r="S1100" i="1" s="1"/>
  <c r="N1056" i="1"/>
  <c r="M1046" i="1"/>
  <c r="P1236" i="1"/>
  <c r="O1086" i="1"/>
  <c r="S1086" i="1" s="1"/>
  <c r="M1032" i="1"/>
  <c r="N1042" i="1"/>
  <c r="P1222" i="1"/>
  <c r="O1072" i="1"/>
  <c r="S1072" i="1" s="1"/>
  <c r="P1194" i="1"/>
  <c r="M1004" i="1"/>
  <c r="O1044" i="1"/>
  <c r="S1044" i="1" s="1"/>
  <c r="O1030" i="1"/>
  <c r="S1030" i="1" s="1"/>
  <c r="M990" i="1"/>
  <c r="P1180" i="1"/>
  <c r="N1000" i="1"/>
  <c r="P1166" i="1"/>
  <c r="M976" i="1"/>
  <c r="O1016" i="1"/>
  <c r="S1016" i="1" s="1"/>
  <c r="N986" i="1"/>
  <c r="M934" i="1"/>
  <c r="P1124" i="1"/>
  <c r="N944" i="1"/>
  <c r="O974" i="1"/>
  <c r="S974" i="1" s="1"/>
  <c r="O960" i="1"/>
  <c r="S960" i="1" s="1"/>
  <c r="W960" i="1" s="1"/>
  <c r="M920" i="1"/>
  <c r="P1110" i="1"/>
  <c r="N930" i="1"/>
  <c r="M906" i="1"/>
  <c r="P1096" i="1"/>
  <c r="N916" i="1"/>
  <c r="P1082" i="1"/>
  <c r="M892" i="1"/>
  <c r="O932" i="1"/>
  <c r="S932" i="1" s="1"/>
  <c r="O890" i="1"/>
  <c r="S890" i="1" s="1"/>
  <c r="N860" i="1"/>
  <c r="V860" i="1" s="1"/>
  <c r="M850" i="1"/>
  <c r="P1040" i="1"/>
  <c r="X1040" i="1" s="1"/>
  <c r="P1026" i="1"/>
  <c r="X1026" i="1" s="1"/>
  <c r="M836" i="1"/>
  <c r="N846" i="1"/>
  <c r="P1012" i="1"/>
  <c r="M822" i="1"/>
  <c r="O862" i="1"/>
  <c r="S862" i="1" s="1"/>
  <c r="M808" i="1"/>
  <c r="O848" i="1"/>
  <c r="S848" i="1" s="1"/>
  <c r="P998" i="1"/>
  <c r="N818" i="1"/>
  <c r="M794" i="1"/>
  <c r="P984" i="1"/>
  <c r="O834" i="1"/>
  <c r="S834" i="1" s="1"/>
  <c r="P942" i="1"/>
  <c r="X942" i="1" s="1"/>
  <c r="M752" i="1"/>
  <c r="O792" i="1"/>
  <c r="S792" i="1" s="1"/>
  <c r="M738" i="1"/>
  <c r="N748" i="1"/>
  <c r="O778" i="1"/>
  <c r="S778" i="1" s="1"/>
  <c r="P928" i="1"/>
  <c r="M724" i="1"/>
  <c r="P914" i="1"/>
  <c r="N734" i="1"/>
  <c r="O764" i="1"/>
  <c r="S764" i="1" s="1"/>
  <c r="P900" i="1"/>
  <c r="M710" i="1"/>
  <c r="O750" i="1"/>
  <c r="S750" i="1" s="1"/>
  <c r="N720" i="1"/>
  <c r="M668" i="1"/>
  <c r="P858" i="1"/>
  <c r="X858" i="1" s="1"/>
  <c r="N678" i="1"/>
  <c r="N664" i="1"/>
  <c r="O694" i="1"/>
  <c r="S694" i="1" s="1"/>
  <c r="M654" i="1"/>
  <c r="P844" i="1"/>
  <c r="P830" i="1"/>
  <c r="N650" i="1"/>
  <c r="M640" i="1"/>
  <c r="O680" i="1"/>
  <c r="S680" i="1" s="1"/>
  <c r="P816" i="1"/>
  <c r="M626" i="1"/>
  <c r="N636" i="1"/>
  <c r="O666" i="1"/>
  <c r="S666" i="1" s="1"/>
  <c r="M612" i="1"/>
  <c r="N622" i="1"/>
  <c r="O652" i="1"/>
  <c r="S652" i="1" s="1"/>
  <c r="P802" i="1"/>
  <c r="P760" i="1"/>
  <c r="M570" i="1"/>
  <c r="O610" i="1"/>
  <c r="S610" i="1" s="1"/>
  <c r="N580" i="1"/>
  <c r="M556" i="1"/>
  <c r="O596" i="1"/>
  <c r="S596" i="1" s="1"/>
  <c r="N566" i="1"/>
  <c r="P732" i="1"/>
  <c r="N552" i="1"/>
  <c r="M542" i="1"/>
  <c r="O582" i="1"/>
  <c r="S582" i="1" s="1"/>
  <c r="O554" i="1"/>
  <c r="S554" i="1" s="1"/>
  <c r="M514" i="1"/>
  <c r="N524" i="1"/>
  <c r="P704" i="1"/>
  <c r="O526" i="1"/>
  <c r="S526" i="1" s="1"/>
  <c r="P676" i="1"/>
  <c r="M486" i="1"/>
  <c r="N496" i="1"/>
  <c r="O512" i="1"/>
  <c r="S512" i="1" s="1"/>
  <c r="M472" i="1"/>
  <c r="P662" i="1"/>
  <c r="X662" i="1" s="1"/>
  <c r="O498" i="1"/>
  <c r="S498" i="1" s="1"/>
  <c r="N468" i="1"/>
  <c r="M458" i="1"/>
  <c r="P648" i="1"/>
  <c r="X648" i="1" s="1"/>
  <c r="O470" i="1"/>
  <c r="S470" i="1" s="1"/>
  <c r="M430" i="1"/>
  <c r="N440" i="1"/>
  <c r="P620" i="1"/>
  <c r="O456" i="1"/>
  <c r="S456" i="1" s="1"/>
  <c r="P606" i="1"/>
  <c r="M416" i="1"/>
  <c r="N426" i="1"/>
  <c r="O428" i="1"/>
  <c r="S428" i="1" s="1"/>
  <c r="P578" i="1"/>
  <c r="M388" i="1"/>
  <c r="N398" i="1"/>
  <c r="V398" i="1" s="1"/>
  <c r="O414" i="1"/>
  <c r="S414" i="1" s="1"/>
  <c r="P564" i="1"/>
  <c r="M374" i="1"/>
  <c r="U374" i="1" s="1"/>
  <c r="N384" i="1"/>
  <c r="O400" i="1"/>
  <c r="S400" i="1" s="1"/>
  <c r="P550" i="1"/>
  <c r="M360" i="1"/>
  <c r="O386" i="1"/>
  <c r="S386" i="1" s="1"/>
  <c r="M346" i="1"/>
  <c r="N356" i="1"/>
  <c r="O358" i="1"/>
  <c r="S358" i="1" s="1"/>
  <c r="P508" i="1"/>
  <c r="M318" i="1"/>
  <c r="N328" i="1"/>
  <c r="O344" i="1"/>
  <c r="S344" i="1" s="1"/>
  <c r="M304" i="1"/>
  <c r="N314" i="1"/>
  <c r="V314" i="1" s="1"/>
  <c r="P494" i="1"/>
  <c r="O316" i="1"/>
  <c r="S316" i="1" s="1"/>
  <c r="P466" i="1"/>
  <c r="M276" i="1"/>
  <c r="N286" i="1"/>
  <c r="O302" i="1"/>
  <c r="S302" i="1" s="1"/>
  <c r="N272" i="1"/>
  <c r="M262" i="1"/>
  <c r="P452" i="1"/>
  <c r="O288" i="1"/>
  <c r="S288" i="1" s="1"/>
  <c r="P438" i="1"/>
  <c r="M248" i="1"/>
  <c r="O274" i="1"/>
  <c r="S274" i="1" s="1"/>
  <c r="M234" i="1"/>
  <c r="P424" i="1"/>
  <c r="N244" i="1"/>
  <c r="O246" i="1"/>
  <c r="S246" i="1" s="1"/>
  <c r="M206" i="1"/>
  <c r="P396" i="1"/>
  <c r="N216" i="1"/>
  <c r="O232" i="1"/>
  <c r="S232" i="1" s="1"/>
  <c r="P382" i="1"/>
  <c r="N202" i="1"/>
  <c r="M192" i="1"/>
  <c r="O218" i="1"/>
  <c r="S218" i="1" s="1"/>
  <c r="P368" i="1"/>
  <c r="M178" i="1"/>
  <c r="N188" i="1"/>
  <c r="O204" i="1"/>
  <c r="S204" i="1" s="1"/>
  <c r="P354" i="1"/>
  <c r="M164" i="1"/>
  <c r="N174" i="1"/>
  <c r="O176" i="1"/>
  <c r="S176" i="1" s="1"/>
  <c r="M136" i="1"/>
  <c r="N146" i="1"/>
  <c r="O162" i="1"/>
  <c r="S162" i="1" s="1"/>
  <c r="P312" i="1"/>
  <c r="N132" i="1"/>
  <c r="M122" i="1"/>
  <c r="O148" i="1"/>
  <c r="S148" i="1" s="1"/>
  <c r="P298" i="1"/>
  <c r="X298" i="1" s="1"/>
  <c r="N118" i="1"/>
  <c r="V118" i="1" s="1"/>
  <c r="M108" i="1"/>
  <c r="O134" i="1"/>
  <c r="S134" i="1" s="1"/>
  <c r="P284" i="1"/>
  <c r="N104" i="1"/>
  <c r="M94" i="1"/>
  <c r="O120" i="1"/>
  <c r="S120" i="1" s="1"/>
  <c r="N90" i="1"/>
  <c r="P270" i="1"/>
  <c r="O92" i="1"/>
  <c r="S92" i="1" s="1"/>
  <c r="P242" i="1"/>
  <c r="N62" i="1"/>
  <c r="O78" i="1"/>
  <c r="S78" i="1" s="1"/>
  <c r="W78" i="1" s="1"/>
  <c r="P228" i="1"/>
  <c r="N48" i="1"/>
  <c r="V48" i="1" s="1"/>
  <c r="M1253" i="1"/>
  <c r="M1043" i="1"/>
  <c r="M618" i="1"/>
  <c r="M272" i="1"/>
  <c r="M138" i="1"/>
  <c r="M74" i="1"/>
  <c r="N1177" i="1"/>
  <c r="N1032" i="1"/>
  <c r="N940" i="1"/>
  <c r="N626" i="1"/>
  <c r="N458" i="1"/>
  <c r="N252" i="1"/>
  <c r="O1222" i="1"/>
  <c r="S1222" i="1" s="1"/>
  <c r="O937" i="1"/>
  <c r="S937" i="1" s="1"/>
  <c r="W937" i="1" s="1"/>
  <c r="O588" i="1"/>
  <c r="S588" i="1" s="1"/>
  <c r="P1224" i="1"/>
  <c r="P1005" i="1"/>
  <c r="P441" i="1"/>
  <c r="N1251" i="1"/>
  <c r="M1241" i="1"/>
  <c r="O1253" i="1"/>
  <c r="S1253" i="1" s="1"/>
  <c r="M1213" i="1"/>
  <c r="N1223" i="1"/>
  <c r="O1211" i="1"/>
  <c r="S1211" i="1" s="1"/>
  <c r="M1171" i="1"/>
  <c r="N1181" i="1"/>
  <c r="N1153" i="1"/>
  <c r="O1183" i="1"/>
  <c r="S1183" i="1" s="1"/>
  <c r="W1183" i="1" s="1"/>
  <c r="O1127" i="1"/>
  <c r="S1127" i="1" s="1"/>
  <c r="N1097" i="1"/>
  <c r="M1087" i="1"/>
  <c r="N1055" i="1"/>
  <c r="P1235" i="1"/>
  <c r="O1085" i="1"/>
  <c r="S1085" i="1" s="1"/>
  <c r="O1057" i="1"/>
  <c r="S1057" i="1" s="1"/>
  <c r="P1207" i="1"/>
  <c r="N1027" i="1"/>
  <c r="M1017" i="1"/>
  <c r="P1179" i="1"/>
  <c r="O1029" i="1"/>
  <c r="S1029" i="1" s="1"/>
  <c r="M989" i="1"/>
  <c r="N999" i="1"/>
  <c r="P1137" i="1"/>
  <c r="O987" i="1"/>
  <c r="S987" i="1" s="1"/>
  <c r="N957" i="1"/>
  <c r="M947" i="1"/>
  <c r="O959" i="1"/>
  <c r="S959" i="1" s="1"/>
  <c r="P1109" i="1"/>
  <c r="M919" i="1"/>
  <c r="P1067" i="1"/>
  <c r="O917" i="1"/>
  <c r="S917" i="1" s="1"/>
  <c r="N887" i="1"/>
  <c r="M877" i="1"/>
  <c r="N845" i="1"/>
  <c r="P1025" i="1"/>
  <c r="O875" i="1"/>
  <c r="S875" i="1" s="1"/>
  <c r="M835" i="1"/>
  <c r="O847" i="1"/>
  <c r="S847" i="1" s="1"/>
  <c r="P997" i="1"/>
  <c r="M807" i="1"/>
  <c r="N817" i="1"/>
  <c r="O819" i="1"/>
  <c r="S819" i="1" s="1"/>
  <c r="P969" i="1"/>
  <c r="M779" i="1"/>
  <c r="N789" i="1"/>
  <c r="N733" i="1"/>
  <c r="V733" i="1" s="1"/>
  <c r="O763" i="1"/>
  <c r="S763" i="1" s="1"/>
  <c r="M723" i="1"/>
  <c r="P885" i="1"/>
  <c r="O735" i="1"/>
  <c r="S735" i="1" s="1"/>
  <c r="W735" i="1" s="1"/>
  <c r="N705" i="1"/>
  <c r="M695" i="1"/>
  <c r="P843" i="1"/>
  <c r="N663" i="1"/>
  <c r="O693" i="1"/>
  <c r="S693" i="1" s="1"/>
  <c r="M653" i="1"/>
  <c r="P801" i="1"/>
  <c r="O651" i="1"/>
  <c r="S651" i="1" s="1"/>
  <c r="M611" i="1"/>
  <c r="O637" i="1"/>
  <c r="S637" i="1" s="1"/>
  <c r="P787" i="1"/>
  <c r="N607" i="1"/>
  <c r="P773" i="1"/>
  <c r="X773" i="1" s="1"/>
  <c r="O623" i="1"/>
  <c r="S623" i="1" s="1"/>
  <c r="M583" i="1"/>
  <c r="P745" i="1"/>
  <c r="O595" i="1"/>
  <c r="S595" i="1" s="1"/>
  <c r="N565" i="1"/>
  <c r="M555" i="1"/>
  <c r="N537" i="1"/>
  <c r="P717" i="1"/>
  <c r="M527" i="1"/>
  <c r="O567" i="1"/>
  <c r="S567" i="1" s="1"/>
  <c r="P703" i="1"/>
  <c r="N523" i="1"/>
  <c r="M513" i="1"/>
  <c r="O553" i="1"/>
  <c r="S553" i="1" s="1"/>
  <c r="O539" i="1"/>
  <c r="S539" i="1" s="1"/>
  <c r="P689" i="1"/>
  <c r="N509" i="1"/>
  <c r="P675" i="1"/>
  <c r="O525" i="1"/>
  <c r="S525" i="1" s="1"/>
  <c r="N495" i="1"/>
  <c r="M485" i="1"/>
  <c r="P647" i="1"/>
  <c r="N467" i="1"/>
  <c r="M457" i="1"/>
  <c r="O497" i="1"/>
  <c r="S497" i="1" s="1"/>
  <c r="N453" i="1"/>
  <c r="P633" i="1"/>
  <c r="O483" i="1"/>
  <c r="S483" i="1" s="1"/>
  <c r="M443" i="1"/>
  <c r="P619" i="1"/>
  <c r="N439" i="1"/>
  <c r="O469" i="1"/>
  <c r="S469" i="1" s="1"/>
  <c r="M429" i="1"/>
  <c r="P605" i="1"/>
  <c r="N425" i="1"/>
  <c r="O455" i="1"/>
  <c r="S455" i="1" s="1"/>
  <c r="M415" i="1"/>
  <c r="P577" i="1"/>
  <c r="O427" i="1"/>
  <c r="S427" i="1" s="1"/>
  <c r="M387" i="1"/>
  <c r="N397" i="1"/>
  <c r="O399" i="1"/>
  <c r="S399" i="1" s="1"/>
  <c r="W399" i="1" s="1"/>
  <c r="P549" i="1"/>
  <c r="M359" i="1"/>
  <c r="O385" i="1"/>
  <c r="S385" i="1" s="1"/>
  <c r="P535" i="1"/>
  <c r="N355" i="1"/>
  <c r="N341" i="1"/>
  <c r="M331" i="1"/>
  <c r="N327" i="1"/>
  <c r="P507" i="1"/>
  <c r="O357" i="1"/>
  <c r="S357" i="1" s="1"/>
  <c r="M317" i="1"/>
  <c r="N322" i="1"/>
  <c r="O343" i="1"/>
  <c r="S343" i="1" s="1"/>
  <c r="N313" i="1"/>
  <c r="P493" i="1"/>
  <c r="M303" i="1"/>
  <c r="P479" i="1"/>
  <c r="N299" i="1"/>
  <c r="O329" i="1"/>
  <c r="S329" i="1" s="1"/>
  <c r="M289" i="1"/>
  <c r="N285" i="1"/>
  <c r="O315" i="1"/>
  <c r="S315" i="1" s="1"/>
  <c r="P465" i="1"/>
  <c r="N279" i="1"/>
  <c r="N257" i="1"/>
  <c r="P437" i="1"/>
  <c r="M247" i="1"/>
  <c r="O287" i="1"/>
  <c r="S287" i="1" s="1"/>
  <c r="N229" i="1"/>
  <c r="P409" i="1"/>
  <c r="O259" i="1"/>
  <c r="S259" i="1" s="1"/>
  <c r="M219" i="1"/>
  <c r="N215" i="1"/>
  <c r="P395" i="1"/>
  <c r="M205" i="1"/>
  <c r="N201" i="1"/>
  <c r="O231" i="1"/>
  <c r="S231" i="1" s="1"/>
  <c r="M191" i="1"/>
  <c r="P381" i="1"/>
  <c r="N197" i="1"/>
  <c r="N187" i="1"/>
  <c r="P367" i="1"/>
  <c r="O217" i="1"/>
  <c r="S217" i="1" s="1"/>
  <c r="M177" i="1"/>
  <c r="N173" i="1"/>
  <c r="P353" i="1"/>
  <c r="O203" i="1"/>
  <c r="S203" i="1" s="1"/>
  <c r="N159" i="1"/>
  <c r="P339" i="1"/>
  <c r="O189" i="1"/>
  <c r="S189" i="1" s="1"/>
  <c r="M149" i="1"/>
  <c r="N156" i="1"/>
  <c r="N131" i="1"/>
  <c r="P311" i="1"/>
  <c r="M121" i="1"/>
  <c r="O161" i="1"/>
  <c r="S161" i="1" s="1"/>
  <c r="N103" i="1"/>
  <c r="O133" i="1"/>
  <c r="S133" i="1" s="1"/>
  <c r="P283" i="1"/>
  <c r="M93" i="1"/>
  <c r="N89" i="1"/>
  <c r="P269" i="1"/>
  <c r="O119" i="1"/>
  <c r="S119" i="1" s="1"/>
  <c r="N75" i="1"/>
  <c r="P255" i="1"/>
  <c r="M65" i="1"/>
  <c r="N67" i="1"/>
  <c r="V67" i="1" s="1"/>
  <c r="N61" i="1"/>
  <c r="P241" i="1"/>
  <c r="P227" i="1"/>
  <c r="N47" i="1"/>
  <c r="O77" i="1"/>
  <c r="S77" i="1" s="1"/>
  <c r="M37" i="1"/>
  <c r="N33" i="1"/>
  <c r="O63" i="1"/>
  <c r="S63" i="1" s="1"/>
  <c r="M23" i="1"/>
  <c r="P213" i="1"/>
  <c r="M1141" i="1"/>
  <c r="M1031" i="1"/>
  <c r="M984" i="1"/>
  <c r="M933" i="1"/>
  <c r="M826" i="1"/>
  <c r="M775" i="1"/>
  <c r="M715" i="1"/>
  <c r="M665" i="1"/>
  <c r="M552" i="1"/>
  <c r="M498" i="1"/>
  <c r="M447" i="1"/>
  <c r="M271" i="1"/>
  <c r="M198" i="1"/>
  <c r="M134" i="1"/>
  <c r="M73" i="1"/>
  <c r="N1172" i="1"/>
  <c r="N1107" i="1"/>
  <c r="N1014" i="1"/>
  <c r="N696" i="1"/>
  <c r="N621" i="1"/>
  <c r="N451" i="1"/>
  <c r="N365" i="1"/>
  <c r="N249" i="1"/>
  <c r="O760" i="1"/>
  <c r="S760" i="1" s="1"/>
  <c r="O378" i="1"/>
  <c r="S378" i="1" s="1"/>
  <c r="P1001" i="1"/>
  <c r="P743" i="1"/>
  <c r="P433" i="1"/>
  <c r="N1241" i="1"/>
  <c r="N1240" i="1"/>
  <c r="N1185" i="1"/>
  <c r="O1215" i="1"/>
  <c r="S1215" i="1" s="1"/>
  <c r="W1215" i="1" s="1"/>
  <c r="M1175" i="1"/>
  <c r="N1183" i="1"/>
  <c r="V1183" i="1" s="1"/>
  <c r="N1184" i="1"/>
  <c r="V1184" i="1" s="1"/>
  <c r="O1159" i="1"/>
  <c r="S1159" i="1" s="1"/>
  <c r="N1127" i="1"/>
  <c r="N1128" i="1"/>
  <c r="O1103" i="1"/>
  <c r="S1103" i="1" s="1"/>
  <c r="N1072" i="1"/>
  <c r="N1073" i="1"/>
  <c r="P1253" i="1"/>
  <c r="P1252" i="1"/>
  <c r="M1063" i="1"/>
  <c r="P1183" i="1"/>
  <c r="O1033" i="1"/>
  <c r="S1033" i="1" s="1"/>
  <c r="N1001" i="1"/>
  <c r="N1002" i="1"/>
  <c r="P1181" i="1"/>
  <c r="P1182" i="1"/>
  <c r="M993" i="1"/>
  <c r="P1139" i="1"/>
  <c r="P1140" i="1"/>
  <c r="O991" i="1"/>
  <c r="S991" i="1" s="1"/>
  <c r="P1141" i="1"/>
  <c r="M951" i="1"/>
  <c r="N961" i="1"/>
  <c r="O935" i="1"/>
  <c r="S935" i="1" s="1"/>
  <c r="N905" i="1"/>
  <c r="P1084" i="1"/>
  <c r="M895" i="1"/>
  <c r="P1085" i="1"/>
  <c r="P1027" i="1"/>
  <c r="N848" i="1"/>
  <c r="P1029" i="1"/>
  <c r="P1028" i="1"/>
  <c r="N849" i="1"/>
  <c r="M839" i="1"/>
  <c r="P931" i="1"/>
  <c r="P929" i="1"/>
  <c r="P930" i="1"/>
  <c r="N750" i="1"/>
  <c r="O781" i="1"/>
  <c r="S781" i="1" s="1"/>
  <c r="M741" i="1"/>
  <c r="N751" i="1"/>
  <c r="P805" i="1"/>
  <c r="N625" i="1"/>
  <c r="N623" i="1"/>
  <c r="N624" i="1"/>
  <c r="O655" i="1"/>
  <c r="S655" i="1" s="1"/>
  <c r="M1096" i="1"/>
  <c r="M217" i="1"/>
  <c r="N1178" i="1"/>
  <c r="N702" i="1"/>
  <c r="N253" i="1"/>
  <c r="O945" i="1"/>
  <c r="S945" i="1" s="1"/>
  <c r="O437" i="1"/>
  <c r="S437" i="1" s="1"/>
  <c r="P1006" i="1"/>
  <c r="P504" i="1"/>
  <c r="M1242" i="1"/>
  <c r="N1252" i="1"/>
  <c r="M1144" i="1"/>
  <c r="N1154" i="1"/>
  <c r="O1184" i="1"/>
  <c r="S1184" i="1" s="1"/>
  <c r="M1074" i="1"/>
  <c r="O1114" i="1"/>
  <c r="S1114" i="1" s="1"/>
  <c r="N1084" i="1"/>
  <c r="M962" i="1"/>
  <c r="P1152" i="1"/>
  <c r="O1002" i="1"/>
  <c r="S1002" i="1" s="1"/>
  <c r="M864" i="1"/>
  <c r="O904" i="1"/>
  <c r="S904" i="1" s="1"/>
  <c r="P1054" i="1"/>
  <c r="X1054" i="1" s="1"/>
  <c r="M766" i="1"/>
  <c r="P956" i="1"/>
  <c r="X956" i="1" s="1"/>
  <c r="N776" i="1"/>
  <c r="O806" i="1"/>
  <c r="S806" i="1" s="1"/>
  <c r="P872" i="1"/>
  <c r="M682" i="1"/>
  <c r="O722" i="1"/>
  <c r="S722" i="1" s="1"/>
  <c r="M584" i="1"/>
  <c r="P774" i="1"/>
  <c r="O624" i="1"/>
  <c r="S624" i="1" s="1"/>
  <c r="O540" i="1"/>
  <c r="S540" i="1" s="1"/>
  <c r="P690" i="1"/>
  <c r="M500" i="1"/>
  <c r="N510" i="1"/>
  <c r="O442" i="1"/>
  <c r="S442" i="1" s="1"/>
  <c r="M402" i="1"/>
  <c r="P592" i="1"/>
  <c r="N412" i="1"/>
  <c r="O330" i="1"/>
  <c r="S330" i="1" s="1"/>
  <c r="P480" i="1"/>
  <c r="N300" i="1"/>
  <c r="M290" i="1"/>
  <c r="O190" i="1"/>
  <c r="S190" i="1" s="1"/>
  <c r="N160" i="1"/>
  <c r="P340" i="1"/>
  <c r="M150" i="1"/>
  <c r="M985" i="1"/>
  <c r="M827" i="1"/>
  <c r="M666" i="1"/>
  <c r="M499" i="1"/>
  <c r="N1108" i="1"/>
  <c r="N369" i="1"/>
  <c r="O1104" i="1"/>
  <c r="S1104" i="1" s="1"/>
  <c r="O384" i="1"/>
  <c r="S384" i="1" s="1"/>
  <c r="O1239" i="1"/>
  <c r="S1239" i="1" s="1"/>
  <c r="N1209" i="1"/>
  <c r="M1199" i="1"/>
  <c r="O1197" i="1"/>
  <c r="S1197" i="1" s="1"/>
  <c r="O1155" i="1"/>
  <c r="S1155" i="1" s="1"/>
  <c r="N1125" i="1"/>
  <c r="O1113" i="1"/>
  <c r="S1113" i="1" s="1"/>
  <c r="N1083" i="1"/>
  <c r="P1193" i="1"/>
  <c r="O1043" i="1"/>
  <c r="S1043" i="1" s="1"/>
  <c r="N1013" i="1"/>
  <c r="P1151" i="1"/>
  <c r="O1001" i="1"/>
  <c r="S1001" i="1" s="1"/>
  <c r="P1095" i="1"/>
  <c r="N915" i="1"/>
  <c r="M905" i="1"/>
  <c r="P1053" i="1"/>
  <c r="O903" i="1"/>
  <c r="S903" i="1" s="1"/>
  <c r="N873" i="1"/>
  <c r="M863" i="1"/>
  <c r="N831" i="1"/>
  <c r="P1011" i="1"/>
  <c r="M821" i="1"/>
  <c r="O861" i="1"/>
  <c r="S861" i="1" s="1"/>
  <c r="P955" i="1"/>
  <c r="O805" i="1"/>
  <c r="S805" i="1" s="1"/>
  <c r="N775" i="1"/>
  <c r="M765" i="1"/>
  <c r="P927" i="1"/>
  <c r="N747" i="1"/>
  <c r="O777" i="1"/>
  <c r="S777" i="1" s="1"/>
  <c r="M737" i="1"/>
  <c r="O721" i="1"/>
  <c r="S721" i="1" s="1"/>
  <c r="P871" i="1"/>
  <c r="N691" i="1"/>
  <c r="P829" i="1"/>
  <c r="O679" i="1"/>
  <c r="S679" i="1" s="1"/>
  <c r="N649" i="1"/>
  <c r="O581" i="1"/>
  <c r="S581" i="1" s="1"/>
  <c r="O441" i="1"/>
  <c r="S441" i="1" s="1"/>
  <c r="P591" i="1"/>
  <c r="N402" i="1"/>
  <c r="P423" i="1"/>
  <c r="N243" i="1"/>
  <c r="O273" i="1"/>
  <c r="S273" i="1" s="1"/>
  <c r="M233" i="1"/>
  <c r="N241" i="1"/>
  <c r="O147" i="1"/>
  <c r="S147" i="1" s="1"/>
  <c r="N117" i="1"/>
  <c r="M107" i="1"/>
  <c r="P297" i="1"/>
  <c r="N112" i="1"/>
  <c r="M379" i="1"/>
  <c r="N1249" i="1"/>
  <c r="M1239" i="1"/>
  <c r="M1240" i="1"/>
  <c r="N1250" i="1"/>
  <c r="O1252" i="1"/>
  <c r="S1252" i="1" s="1"/>
  <c r="N1221" i="1"/>
  <c r="N1222" i="1"/>
  <c r="O1251" i="1"/>
  <c r="S1251" i="1" s="1"/>
  <c r="M1205" i="1"/>
  <c r="O1224" i="1"/>
  <c r="S1224" i="1" s="1"/>
  <c r="N1194" i="1"/>
  <c r="O1223" i="1"/>
  <c r="S1223" i="1" s="1"/>
  <c r="M1182" i="1"/>
  <c r="N1166" i="1"/>
  <c r="M1156" i="1"/>
  <c r="O1196" i="1"/>
  <c r="S1196" i="1" s="1"/>
  <c r="N1165" i="1"/>
  <c r="N1124" i="1"/>
  <c r="O1154" i="1"/>
  <c r="S1154" i="1" s="1"/>
  <c r="N1123" i="1"/>
  <c r="M1113" i="1"/>
  <c r="P1248" i="1"/>
  <c r="N1068" i="1"/>
  <c r="N1067" i="1"/>
  <c r="O1098" i="1"/>
  <c r="S1098" i="1" s="1"/>
  <c r="M1057" i="1"/>
  <c r="M1058" i="1"/>
  <c r="U1058" i="1" s="1"/>
  <c r="O1092" i="1"/>
  <c r="S1092" i="1" s="1"/>
  <c r="N1012" i="1"/>
  <c r="P1192" i="1"/>
  <c r="O1042" i="1"/>
  <c r="S1042" i="1" s="1"/>
  <c r="M1001" i="1"/>
  <c r="N928" i="1"/>
  <c r="M918" i="1"/>
  <c r="P1108" i="1"/>
  <c r="O958" i="1"/>
  <c r="S958" i="1" s="1"/>
  <c r="M911" i="1"/>
  <c r="N788" i="1"/>
  <c r="P968" i="1"/>
  <c r="O818" i="1"/>
  <c r="S818" i="1" s="1"/>
  <c r="N787" i="1"/>
  <c r="M774" i="1"/>
  <c r="N564" i="1"/>
  <c r="M554" i="1"/>
  <c r="O594" i="1"/>
  <c r="S594" i="1" s="1"/>
  <c r="M553" i="1"/>
  <c r="O369" i="1"/>
  <c r="S369" i="1" s="1"/>
  <c r="P1156" i="1"/>
  <c r="P641" i="1"/>
  <c r="M1183" i="1"/>
  <c r="M1073" i="1"/>
  <c r="U1073" i="1" s="1"/>
  <c r="M915" i="1"/>
  <c r="M805" i="1"/>
  <c r="M596" i="1"/>
  <c r="M477" i="1"/>
  <c r="M369" i="1"/>
  <c r="M251" i="1"/>
  <c r="M112" i="1"/>
  <c r="N1145" i="1"/>
  <c r="N1003" i="1"/>
  <c r="N661" i="1"/>
  <c r="N517" i="1"/>
  <c r="N330" i="1"/>
  <c r="N82" i="1"/>
  <c r="O319" i="1"/>
  <c r="S319" i="1" s="1"/>
  <c r="P1154" i="1"/>
  <c r="P630" i="1"/>
  <c r="M1219" i="1"/>
  <c r="O1233" i="1"/>
  <c r="S1233" i="1" s="1"/>
  <c r="N1160" i="1"/>
  <c r="N1118" i="1"/>
  <c r="M1064" i="1"/>
  <c r="O1080" i="1"/>
  <c r="S1080" i="1" s="1"/>
  <c r="M997" i="1"/>
  <c r="M968" i="1"/>
  <c r="N949" i="1"/>
  <c r="O953" i="1"/>
  <c r="S953" i="1" s="1"/>
  <c r="O897" i="1"/>
  <c r="S897" i="1" s="1"/>
  <c r="N840" i="1"/>
  <c r="O841" i="1"/>
  <c r="S841" i="1" s="1"/>
  <c r="O798" i="1"/>
  <c r="S798" i="1" s="1"/>
  <c r="M701" i="1"/>
  <c r="P793" i="1"/>
  <c r="O614" i="1"/>
  <c r="S614" i="1" s="1"/>
  <c r="M534" i="1"/>
  <c r="M490" i="1"/>
  <c r="O476" i="1"/>
  <c r="S476" i="1" s="1"/>
  <c r="P583" i="1"/>
  <c r="M365" i="1"/>
  <c r="M339" i="1"/>
  <c r="O335" i="1"/>
  <c r="S335" i="1" s="1"/>
  <c r="O279" i="1"/>
  <c r="S279" i="1" s="1"/>
  <c r="P347" i="1"/>
  <c r="N139" i="1"/>
  <c r="V139" i="1" s="1"/>
  <c r="P263" i="1"/>
  <c r="O55" i="1"/>
  <c r="S55" i="1" s="1"/>
  <c r="M1181" i="1"/>
  <c r="M914" i="1"/>
  <c r="M803" i="1"/>
  <c r="M646" i="1"/>
  <c r="M595" i="1"/>
  <c r="M541" i="1"/>
  <c r="M422" i="1"/>
  <c r="M301" i="1"/>
  <c r="M244" i="1"/>
  <c r="M186" i="1"/>
  <c r="M110" i="1"/>
  <c r="M48" i="1"/>
  <c r="N1225" i="1"/>
  <c r="N1076" i="1"/>
  <c r="N904" i="1"/>
  <c r="N834" i="1"/>
  <c r="N753" i="1"/>
  <c r="N660" i="1"/>
  <c r="N591" i="1"/>
  <c r="N415" i="1"/>
  <c r="N208" i="1"/>
  <c r="N78" i="1"/>
  <c r="O1166" i="1"/>
  <c r="S1166" i="1" s="1"/>
  <c r="O1009" i="1"/>
  <c r="S1009" i="1" s="1"/>
  <c r="O876" i="1"/>
  <c r="S876" i="1" s="1"/>
  <c r="O703" i="1"/>
  <c r="S703" i="1" s="1"/>
  <c r="O511" i="1"/>
  <c r="S511" i="1" s="1"/>
  <c r="O310" i="1"/>
  <c r="S310" i="1" s="1"/>
  <c r="O108" i="1"/>
  <c r="S108" i="1" s="1"/>
  <c r="P912" i="1"/>
  <c r="P629" i="1"/>
  <c r="P315" i="1"/>
  <c r="M1231" i="1"/>
  <c r="M1167" i="1"/>
  <c r="M1119" i="1"/>
  <c r="M1070" i="1"/>
  <c r="U1070" i="1" s="1"/>
  <c r="M1009" i="1"/>
  <c r="M960" i="1"/>
  <c r="M913" i="1"/>
  <c r="M848" i="1"/>
  <c r="M802" i="1"/>
  <c r="M755" i="1"/>
  <c r="U755" i="1" s="1"/>
  <c r="M690" i="1"/>
  <c r="M644" i="1"/>
  <c r="M594" i="1"/>
  <c r="M526" i="1"/>
  <c r="M475" i="1"/>
  <c r="M421" i="1"/>
  <c r="M352" i="1"/>
  <c r="M298" i="1"/>
  <c r="M243" i="1"/>
  <c r="M170" i="1"/>
  <c r="M109" i="1"/>
  <c r="M40" i="1"/>
  <c r="N1208" i="1"/>
  <c r="V1208" i="1" s="1"/>
  <c r="N1142" i="1"/>
  <c r="N1070" i="1"/>
  <c r="N973" i="1"/>
  <c r="N903" i="1"/>
  <c r="N832" i="1"/>
  <c r="N737" i="1"/>
  <c r="N659" i="1"/>
  <c r="N493" i="1"/>
  <c r="N414" i="1"/>
  <c r="N301" i="1"/>
  <c r="N207" i="1"/>
  <c r="N77" i="1"/>
  <c r="O1165" i="1"/>
  <c r="S1165" i="1" s="1"/>
  <c r="O831" i="1"/>
  <c r="S831" i="1" s="1"/>
  <c r="O692" i="1"/>
  <c r="S692" i="1" s="1"/>
  <c r="O507" i="1"/>
  <c r="S507" i="1" s="1"/>
  <c r="W507" i="1" s="1"/>
  <c r="O304" i="1"/>
  <c r="S304" i="1" s="1"/>
  <c r="O105" i="1"/>
  <c r="S105" i="1" s="1"/>
  <c r="P1091" i="1"/>
  <c r="P911" i="1"/>
  <c r="P623" i="1"/>
  <c r="P310" i="1"/>
  <c r="M1115" i="1"/>
  <c r="M957" i="1"/>
  <c r="M910" i="1"/>
  <c r="M643" i="1"/>
  <c r="M471" i="1"/>
  <c r="M419" i="1"/>
  <c r="M351" i="1"/>
  <c r="M297" i="1"/>
  <c r="M241" i="1"/>
  <c r="M169" i="1"/>
  <c r="M104" i="1"/>
  <c r="M38" i="1"/>
  <c r="N1141" i="1"/>
  <c r="N1064" i="1"/>
  <c r="N972" i="1"/>
  <c r="N902" i="1"/>
  <c r="N581" i="1"/>
  <c r="N413" i="1"/>
  <c r="N298" i="1"/>
  <c r="N176" i="1"/>
  <c r="O104" i="1"/>
  <c r="S104" i="1" s="1"/>
  <c r="P622" i="1"/>
  <c r="X622" i="1" s="1"/>
  <c r="P303" i="1"/>
  <c r="M1245" i="1"/>
  <c r="N1253" i="1"/>
  <c r="N1254" i="1"/>
  <c r="O1243" i="1"/>
  <c r="S1243" i="1" s="1"/>
  <c r="N1211" i="1"/>
  <c r="N1213" i="1"/>
  <c r="N1212" i="1"/>
  <c r="M1203" i="1"/>
  <c r="N1169" i="1"/>
  <c r="N1171" i="1"/>
  <c r="O1201" i="1"/>
  <c r="S1201" i="1" s="1"/>
  <c r="M1161" i="1"/>
  <c r="O1131" i="1"/>
  <c r="S1131" i="1" s="1"/>
  <c r="N1101" i="1"/>
  <c r="N1099" i="1"/>
  <c r="M1091" i="1"/>
  <c r="N1100" i="1"/>
  <c r="O1075" i="1"/>
  <c r="S1075" i="1" s="1"/>
  <c r="N1045" i="1"/>
  <c r="M1035" i="1"/>
  <c r="N1017" i="1"/>
  <c r="P1195" i="1"/>
  <c r="P1196" i="1"/>
  <c r="N1015" i="1"/>
  <c r="P1197" i="1"/>
  <c r="N1016" i="1"/>
  <c r="P1169" i="1"/>
  <c r="O1019" i="1"/>
  <c r="S1019" i="1" s="1"/>
  <c r="M979" i="1"/>
  <c r="N988" i="1"/>
  <c r="N989" i="1"/>
  <c r="N987" i="1"/>
  <c r="P1127" i="1"/>
  <c r="P1125" i="1"/>
  <c r="P1126" i="1"/>
  <c r="N946" i="1"/>
  <c r="N947" i="1"/>
  <c r="O977" i="1"/>
  <c r="S977" i="1" s="1"/>
  <c r="P1113" i="1"/>
  <c r="O963" i="1"/>
  <c r="S963" i="1" s="1"/>
  <c r="N932" i="1"/>
  <c r="N933" i="1"/>
  <c r="M923" i="1"/>
  <c r="P1043" i="1"/>
  <c r="N861" i="1"/>
  <c r="N863" i="1"/>
  <c r="O893" i="1"/>
  <c r="S893" i="1" s="1"/>
  <c r="M853" i="1"/>
  <c r="P1041" i="1"/>
  <c r="P971" i="1"/>
  <c r="P973" i="1"/>
  <c r="O823" i="1"/>
  <c r="S823" i="1" s="1"/>
  <c r="W823" i="1" s="1"/>
  <c r="M783" i="1"/>
  <c r="N792" i="1"/>
  <c r="O641" i="1"/>
  <c r="S641" i="1" s="1"/>
  <c r="N611" i="1"/>
  <c r="N609" i="1"/>
  <c r="P791" i="1"/>
  <c r="N610" i="1"/>
  <c r="M1147" i="1"/>
  <c r="M889" i="1"/>
  <c r="M328" i="1"/>
  <c r="M78" i="1"/>
  <c r="N869" i="1"/>
  <c r="N459" i="1"/>
  <c r="V459" i="1" s="1"/>
  <c r="N25" i="1"/>
  <c r="O589" i="1"/>
  <c r="S589" i="1" s="1"/>
  <c r="P1225" i="1"/>
  <c r="P746" i="1"/>
  <c r="X746" i="1" s="1"/>
  <c r="M1228" i="1"/>
  <c r="N1238" i="1"/>
  <c r="M1116" i="1"/>
  <c r="O1156" i="1"/>
  <c r="S1156" i="1" s="1"/>
  <c r="N1126" i="1"/>
  <c r="P1208" i="1"/>
  <c r="M1018" i="1"/>
  <c r="N1028" i="1"/>
  <c r="N958" i="1"/>
  <c r="M948" i="1"/>
  <c r="O988" i="1"/>
  <c r="S988" i="1" s="1"/>
  <c r="P1068" i="1"/>
  <c r="M878" i="1"/>
  <c r="N888" i="1"/>
  <c r="O918" i="1"/>
  <c r="S918" i="1" s="1"/>
  <c r="O820" i="1"/>
  <c r="S820" i="1" s="1"/>
  <c r="M780" i="1"/>
  <c r="P970" i="1"/>
  <c r="N790" i="1"/>
  <c r="P886" i="1"/>
  <c r="M696" i="1"/>
  <c r="N706" i="1"/>
  <c r="O736" i="1"/>
  <c r="S736" i="1" s="1"/>
  <c r="P788" i="1"/>
  <c r="M598" i="1"/>
  <c r="O638" i="1"/>
  <c r="S638" i="1" s="1"/>
  <c r="W638" i="1" s="1"/>
  <c r="N608" i="1"/>
  <c r="O568" i="1"/>
  <c r="S568" i="1" s="1"/>
  <c r="M528" i="1"/>
  <c r="N538" i="1"/>
  <c r="P718" i="1"/>
  <c r="O484" i="1"/>
  <c r="S484" i="1" s="1"/>
  <c r="P634" i="1"/>
  <c r="M444" i="1"/>
  <c r="N454" i="1"/>
  <c r="O372" i="1"/>
  <c r="S372" i="1" s="1"/>
  <c r="M332" i="1"/>
  <c r="N342" i="1"/>
  <c r="V342" i="1" s="1"/>
  <c r="P522" i="1"/>
  <c r="O260" i="1"/>
  <c r="S260" i="1" s="1"/>
  <c r="P410" i="1"/>
  <c r="M220" i="1"/>
  <c r="N230" i="1"/>
  <c r="O106" i="1"/>
  <c r="S106" i="1" s="1"/>
  <c r="P256" i="1"/>
  <c r="M66" i="1"/>
  <c r="M1095" i="1"/>
  <c r="M885" i="1"/>
  <c r="M727" i="1"/>
  <c r="M565" i="1"/>
  <c r="M326" i="1"/>
  <c r="N1255" i="1"/>
  <c r="N865" i="1"/>
  <c r="N547" i="1"/>
  <c r="N130" i="1"/>
  <c r="O761" i="1"/>
  <c r="S761" i="1" s="1"/>
  <c r="W761" i="1" s="1"/>
  <c r="O221" i="1"/>
  <c r="S221" i="1" s="1"/>
  <c r="P744" i="1"/>
  <c r="M1227" i="1"/>
  <c r="O1225" i="1"/>
  <c r="S1225" i="1" s="1"/>
  <c r="N1195" i="1"/>
  <c r="O1169" i="1"/>
  <c r="S1169" i="1" s="1"/>
  <c r="N1139" i="1"/>
  <c r="M1129" i="1"/>
  <c r="N1111" i="1"/>
  <c r="M1101" i="1"/>
  <c r="O1141" i="1"/>
  <c r="S1141" i="1" s="1"/>
  <c r="P1249" i="1"/>
  <c r="M1059" i="1"/>
  <c r="O1099" i="1"/>
  <c r="S1099" i="1" s="1"/>
  <c r="N1069" i="1"/>
  <c r="N1041" i="1"/>
  <c r="O1071" i="1"/>
  <c r="S1071" i="1" s="1"/>
  <c r="P1221" i="1"/>
  <c r="O1015" i="1"/>
  <c r="S1015" i="1" s="1"/>
  <c r="P1165" i="1"/>
  <c r="M975" i="1"/>
  <c r="N985" i="1"/>
  <c r="P1123" i="1"/>
  <c r="N943" i="1"/>
  <c r="O973" i="1"/>
  <c r="S973" i="1" s="1"/>
  <c r="P1081" i="1"/>
  <c r="O931" i="1"/>
  <c r="S931" i="1" s="1"/>
  <c r="N901" i="1"/>
  <c r="P1039" i="1"/>
  <c r="O889" i="1"/>
  <c r="S889" i="1" s="1"/>
  <c r="M849" i="1"/>
  <c r="N859" i="1"/>
  <c r="N803" i="1"/>
  <c r="P983" i="1"/>
  <c r="O833" i="1"/>
  <c r="S833" i="1" s="1"/>
  <c r="O791" i="1"/>
  <c r="S791" i="1" s="1"/>
  <c r="N761" i="1"/>
  <c r="P941" i="1"/>
  <c r="M751" i="1"/>
  <c r="O749" i="1"/>
  <c r="S749" i="1" s="1"/>
  <c r="W749" i="1" s="1"/>
  <c r="M709" i="1"/>
  <c r="N719" i="1"/>
  <c r="P899" i="1"/>
  <c r="N677" i="1"/>
  <c r="P857" i="1"/>
  <c r="P815" i="1"/>
  <c r="N635" i="1"/>
  <c r="M625" i="1"/>
  <c r="O665" i="1"/>
  <c r="S665" i="1" s="1"/>
  <c r="P759" i="1"/>
  <c r="O609" i="1"/>
  <c r="S609" i="1" s="1"/>
  <c r="N579" i="1"/>
  <c r="P661" i="1"/>
  <c r="N481" i="1"/>
  <c r="P563" i="1"/>
  <c r="O413" i="1"/>
  <c r="S413" i="1" s="1"/>
  <c r="N383" i="1"/>
  <c r="N271" i="1"/>
  <c r="P451" i="1"/>
  <c r="M261" i="1"/>
  <c r="N145" i="1"/>
  <c r="M135" i="1"/>
  <c r="P325" i="1"/>
  <c r="M1252" i="1"/>
  <c r="M873" i="1"/>
  <c r="M617" i="1"/>
  <c r="M325" i="1"/>
  <c r="N1239" i="1"/>
  <c r="N864" i="1"/>
  <c r="N527" i="1"/>
  <c r="N128" i="1"/>
  <c r="O577" i="1"/>
  <c r="S577" i="1" s="1"/>
  <c r="M1251" i="1"/>
  <c r="M1226" i="1"/>
  <c r="N1235" i="1"/>
  <c r="O1238" i="1"/>
  <c r="S1238" i="1" s="1"/>
  <c r="M1197" i="1"/>
  <c r="M1198" i="1"/>
  <c r="N1180" i="1"/>
  <c r="O1210" i="1"/>
  <c r="S1210" i="1" s="1"/>
  <c r="M1169" i="1"/>
  <c r="M1170" i="1"/>
  <c r="N1152" i="1"/>
  <c r="V1152" i="1" s="1"/>
  <c r="M1142" i="1"/>
  <c r="O1182" i="1"/>
  <c r="S1182" i="1" s="1"/>
  <c r="M1136" i="1"/>
  <c r="N1138" i="1"/>
  <c r="O1168" i="1"/>
  <c r="S1168" i="1" s="1"/>
  <c r="M1127" i="1"/>
  <c r="M1128" i="1"/>
  <c r="N1110" i="1"/>
  <c r="O1140" i="1"/>
  <c r="S1140" i="1" s="1"/>
  <c r="M1100" i="1"/>
  <c r="M1099" i="1"/>
  <c r="O1139" i="1"/>
  <c r="S1139" i="1" s="1"/>
  <c r="M1093" i="1"/>
  <c r="N1096" i="1"/>
  <c r="O1125" i="1"/>
  <c r="S1125" i="1" s="1"/>
  <c r="M1085" i="1"/>
  <c r="O1126" i="1"/>
  <c r="S1126" i="1" s="1"/>
  <c r="M1086" i="1"/>
  <c r="N1082" i="1"/>
  <c r="O1112" i="1"/>
  <c r="S1112" i="1" s="1"/>
  <c r="M1069" i="1"/>
  <c r="P1234" i="1"/>
  <c r="N1054" i="1"/>
  <c r="V1054" i="1" s="1"/>
  <c r="O1084" i="1"/>
  <c r="S1084" i="1" s="1"/>
  <c r="M1044" i="1"/>
  <c r="P1220" i="1"/>
  <c r="X1220" i="1" s="1"/>
  <c r="N1040" i="1"/>
  <c r="M1030" i="1"/>
  <c r="O1070" i="1"/>
  <c r="S1070" i="1" s="1"/>
  <c r="O1069" i="1"/>
  <c r="S1069" i="1" s="1"/>
  <c r="P1217" i="1"/>
  <c r="M1024" i="1"/>
  <c r="U1024" i="1" s="1"/>
  <c r="N1026" i="1"/>
  <c r="O1056" i="1"/>
  <c r="S1056" i="1" s="1"/>
  <c r="M1015" i="1"/>
  <c r="M1016" i="1"/>
  <c r="P1206" i="1"/>
  <c r="N998" i="1"/>
  <c r="P1177" i="1"/>
  <c r="M987" i="1"/>
  <c r="O1027" i="1"/>
  <c r="S1027" i="1" s="1"/>
  <c r="P1178" i="1"/>
  <c r="M988" i="1"/>
  <c r="O1028" i="1"/>
  <c r="S1028" i="1" s="1"/>
  <c r="M980" i="1"/>
  <c r="N984" i="1"/>
  <c r="P1164" i="1"/>
  <c r="O1014" i="1"/>
  <c r="S1014" i="1" s="1"/>
  <c r="N983" i="1"/>
  <c r="M973" i="1"/>
  <c r="N970" i="1"/>
  <c r="O1000" i="1"/>
  <c r="S1000" i="1" s="1"/>
  <c r="P1150" i="1"/>
  <c r="M955" i="1"/>
  <c r="N956" i="1"/>
  <c r="V956" i="1" s="1"/>
  <c r="M946" i="1"/>
  <c r="P1135" i="1"/>
  <c r="O978" i="1"/>
  <c r="S978" i="1" s="1"/>
  <c r="M945" i="1"/>
  <c r="P1136" i="1"/>
  <c r="O985" i="1"/>
  <c r="S985" i="1" s="1"/>
  <c r="N942" i="1"/>
  <c r="P1122" i="1"/>
  <c r="P1121" i="1"/>
  <c r="O972" i="1"/>
  <c r="S972" i="1" s="1"/>
  <c r="M932" i="1"/>
  <c r="N914" i="1"/>
  <c r="O944" i="1"/>
  <c r="S944" i="1" s="1"/>
  <c r="P1094" i="1"/>
  <c r="M904" i="1"/>
  <c r="N913" i="1"/>
  <c r="M903" i="1"/>
  <c r="N900" i="1"/>
  <c r="P1080" i="1"/>
  <c r="O929" i="1"/>
  <c r="S929" i="1" s="1"/>
  <c r="M886" i="1"/>
  <c r="N886" i="1"/>
  <c r="P1066" i="1"/>
  <c r="M876" i="1"/>
  <c r="N885" i="1"/>
  <c r="O916" i="1"/>
  <c r="S916" i="1" s="1"/>
  <c r="P1052" i="1"/>
  <c r="N872" i="1"/>
  <c r="O902" i="1"/>
  <c r="S902" i="1" s="1"/>
  <c r="M861" i="1"/>
  <c r="P1050" i="1"/>
  <c r="P1038" i="1"/>
  <c r="N858" i="1"/>
  <c r="O888" i="1"/>
  <c r="S888" i="1" s="1"/>
  <c r="M843" i="1"/>
  <c r="N844" i="1"/>
  <c r="P1024" i="1"/>
  <c r="X1024" i="1" s="1"/>
  <c r="M834" i="1"/>
  <c r="O874" i="1"/>
  <c r="S874" i="1" s="1"/>
  <c r="N830" i="1"/>
  <c r="O860" i="1"/>
  <c r="S860" i="1" s="1"/>
  <c r="W860" i="1" s="1"/>
  <c r="O859" i="1"/>
  <c r="S859" i="1" s="1"/>
  <c r="M819" i="1"/>
  <c r="N816" i="1"/>
  <c r="O846" i="1"/>
  <c r="S846" i="1" s="1"/>
  <c r="P996" i="1"/>
  <c r="M806" i="1"/>
  <c r="N815" i="1"/>
  <c r="O845" i="1"/>
  <c r="S845" i="1" s="1"/>
  <c r="N802" i="1"/>
  <c r="O832" i="1"/>
  <c r="S832" i="1" s="1"/>
  <c r="P982" i="1"/>
  <c r="M791" i="1"/>
  <c r="M792" i="1"/>
  <c r="U792" i="1" s="1"/>
  <c r="N774" i="1"/>
  <c r="P954" i="1"/>
  <c r="N773" i="1"/>
  <c r="M764" i="1"/>
  <c r="U764" i="1" s="1"/>
  <c r="O804" i="1"/>
  <c r="S804" i="1" s="1"/>
  <c r="N760" i="1"/>
  <c r="P940" i="1"/>
  <c r="O790" i="1"/>
  <c r="S790" i="1" s="1"/>
  <c r="M750" i="1"/>
  <c r="N746" i="1"/>
  <c r="P926" i="1"/>
  <c r="N745" i="1"/>
  <c r="M730" i="1"/>
  <c r="N732" i="1"/>
  <c r="O762" i="1"/>
  <c r="S762" i="1" s="1"/>
  <c r="M721" i="1"/>
  <c r="M722" i="1"/>
  <c r="P907" i="1"/>
  <c r="N718" i="1"/>
  <c r="M708" i="1"/>
  <c r="P898" i="1"/>
  <c r="N717" i="1"/>
  <c r="O744" i="1"/>
  <c r="S744" i="1" s="1"/>
  <c r="O747" i="1"/>
  <c r="S747" i="1" s="1"/>
  <c r="M705" i="1"/>
  <c r="N704" i="1"/>
  <c r="O734" i="1"/>
  <c r="S734" i="1" s="1"/>
  <c r="P884" i="1"/>
  <c r="N703" i="1"/>
  <c r="M693" i="1"/>
  <c r="M694" i="1"/>
  <c r="P870" i="1"/>
  <c r="N690" i="1"/>
  <c r="O720" i="1"/>
  <c r="S720" i="1" s="1"/>
  <c r="M680" i="1"/>
  <c r="N676" i="1"/>
  <c r="P856" i="1"/>
  <c r="O706" i="1"/>
  <c r="S706" i="1" s="1"/>
  <c r="N675" i="1"/>
  <c r="M661" i="1"/>
  <c r="N662" i="1"/>
  <c r="V662" i="1" s="1"/>
  <c r="M651" i="1"/>
  <c r="U651" i="1" s="1"/>
  <c r="M652" i="1"/>
  <c r="O685" i="1"/>
  <c r="S685" i="1" s="1"/>
  <c r="N648" i="1"/>
  <c r="O678" i="1"/>
  <c r="S678" i="1" s="1"/>
  <c r="M638" i="1"/>
  <c r="N647" i="1"/>
  <c r="M636" i="1"/>
  <c r="N634" i="1"/>
  <c r="P814" i="1"/>
  <c r="O664" i="1"/>
  <c r="S664" i="1" s="1"/>
  <c r="M624" i="1"/>
  <c r="O663" i="1"/>
  <c r="S663" i="1" s="1"/>
  <c r="M616" i="1"/>
  <c r="P800" i="1"/>
  <c r="N620" i="1"/>
  <c r="O650" i="1"/>
  <c r="S650" i="1" s="1"/>
  <c r="M609" i="1"/>
  <c r="M610" i="1"/>
  <c r="P798" i="1"/>
  <c r="N606" i="1"/>
  <c r="P786" i="1"/>
  <c r="O630" i="1"/>
  <c r="S630" i="1" s="1"/>
  <c r="M593" i="1"/>
  <c r="P772" i="1"/>
  <c r="N592" i="1"/>
  <c r="O622" i="1"/>
  <c r="S622" i="1" s="1"/>
  <c r="M581" i="1"/>
  <c r="M582" i="1"/>
  <c r="N578" i="1"/>
  <c r="P758" i="1"/>
  <c r="O608" i="1"/>
  <c r="S608" i="1" s="1"/>
  <c r="M568" i="1"/>
  <c r="N550" i="1"/>
  <c r="O580" i="1"/>
  <c r="S580" i="1" s="1"/>
  <c r="P730" i="1"/>
  <c r="M540" i="1"/>
  <c r="M539" i="1"/>
  <c r="N536" i="1"/>
  <c r="O566" i="1"/>
  <c r="S566" i="1" s="1"/>
  <c r="O565" i="1"/>
  <c r="S565" i="1" s="1"/>
  <c r="P715" i="1"/>
  <c r="M519" i="1"/>
  <c r="N522" i="1"/>
  <c r="P702" i="1"/>
  <c r="O552" i="1"/>
  <c r="S552" i="1" s="1"/>
  <c r="M512" i="1"/>
  <c r="O551" i="1"/>
  <c r="S551" i="1" s="1"/>
  <c r="M511" i="1"/>
  <c r="N508" i="1"/>
  <c r="P687" i="1"/>
  <c r="O538" i="1"/>
  <c r="S538" i="1" s="1"/>
  <c r="P688" i="1"/>
  <c r="N507" i="1"/>
  <c r="M493" i="1"/>
  <c r="P674" i="1"/>
  <c r="O524" i="1"/>
  <c r="S524" i="1" s="1"/>
  <c r="N494" i="1"/>
  <c r="P673" i="1"/>
  <c r="M484" i="1"/>
  <c r="M1249" i="1"/>
  <c r="M1189" i="1"/>
  <c r="M1140" i="1"/>
  <c r="M1028" i="1"/>
  <c r="M982" i="1"/>
  <c r="M931" i="1"/>
  <c r="M872" i="1"/>
  <c r="M825" i="1"/>
  <c r="M773" i="1"/>
  <c r="M714" i="1"/>
  <c r="U714" i="1" s="1"/>
  <c r="M664" i="1"/>
  <c r="M615" i="1"/>
  <c r="M551" i="1"/>
  <c r="M497" i="1"/>
  <c r="M440" i="1"/>
  <c r="M377" i="1"/>
  <c r="M323" i="1"/>
  <c r="M268" i="1"/>
  <c r="M197" i="1"/>
  <c r="M133" i="1"/>
  <c r="M69" i="1"/>
  <c r="N1237" i="1"/>
  <c r="N1168" i="1"/>
  <c r="N1102" i="1"/>
  <c r="N1011" i="1"/>
  <c r="N937" i="1"/>
  <c r="V937" i="1" s="1"/>
  <c r="N857" i="1"/>
  <c r="N768" i="1"/>
  <c r="N693" i="1"/>
  <c r="N614" i="1"/>
  <c r="N526" i="1"/>
  <c r="N448" i="1"/>
  <c r="N344" i="1"/>
  <c r="N247" i="1"/>
  <c r="N126" i="1"/>
  <c r="O1217" i="1"/>
  <c r="S1217" i="1" s="1"/>
  <c r="O1058" i="1"/>
  <c r="S1058" i="1" s="1"/>
  <c r="O882" i="1"/>
  <c r="S882" i="1" s="1"/>
  <c r="O748" i="1"/>
  <c r="S748" i="1" s="1"/>
  <c r="O576" i="1"/>
  <c r="S576" i="1" s="1"/>
  <c r="O373" i="1"/>
  <c r="S373" i="1" s="1"/>
  <c r="O174" i="1"/>
  <c r="S174" i="1" s="1"/>
  <c r="P1171" i="1"/>
  <c r="P1000" i="1"/>
  <c r="P731" i="1"/>
  <c r="P413" i="1"/>
  <c r="P1247" i="1"/>
  <c r="N1053" i="1"/>
  <c r="P1205" i="1"/>
  <c r="O1041" i="1"/>
  <c r="S1041" i="1" s="1"/>
  <c r="P953" i="1"/>
  <c r="O775" i="1"/>
  <c r="S775" i="1" s="1"/>
  <c r="O635" i="1"/>
  <c r="S635" i="1" s="1"/>
  <c r="O397" i="1"/>
  <c r="S397" i="1" s="1"/>
  <c r="N297" i="1"/>
  <c r="O243" i="1"/>
  <c r="S243" i="1" s="1"/>
  <c r="O201" i="1"/>
  <c r="S201" i="1" s="1"/>
  <c r="W201" i="1" s="1"/>
  <c r="M1236" i="1"/>
  <c r="M1185" i="1"/>
  <c r="M1139" i="1"/>
  <c r="M1078" i="1"/>
  <c r="M1027" i="1"/>
  <c r="M981" i="1"/>
  <c r="M917" i="1"/>
  <c r="M869" i="1"/>
  <c r="M820" i="1"/>
  <c r="M759" i="1"/>
  <c r="M713" i="1"/>
  <c r="M663" i="1"/>
  <c r="M601" i="1"/>
  <c r="M548" i="1"/>
  <c r="U548" i="1" s="1"/>
  <c r="M494" i="1"/>
  <c r="U494" i="1" s="1"/>
  <c r="M427" i="1"/>
  <c r="M373" i="1"/>
  <c r="M322" i="1"/>
  <c r="M254" i="1"/>
  <c r="M190" i="1"/>
  <c r="M132" i="1"/>
  <c r="M52" i="1"/>
  <c r="N1236" i="1"/>
  <c r="N1167" i="1"/>
  <c r="N1081" i="1"/>
  <c r="N1009" i="1"/>
  <c r="N931" i="1"/>
  <c r="N838" i="1"/>
  <c r="V838" i="1" s="1"/>
  <c r="N766" i="1"/>
  <c r="N692" i="1"/>
  <c r="N595" i="1"/>
  <c r="N525" i="1"/>
  <c r="N447" i="1"/>
  <c r="N337" i="1"/>
  <c r="N214" i="1"/>
  <c r="N123" i="1"/>
  <c r="O1216" i="1"/>
  <c r="S1216" i="1" s="1"/>
  <c r="O1051" i="1"/>
  <c r="S1051" i="1" s="1"/>
  <c r="O881" i="1"/>
  <c r="S881" i="1" s="1"/>
  <c r="O711" i="1"/>
  <c r="S711" i="1" s="1"/>
  <c r="O571" i="1"/>
  <c r="S571" i="1" s="1"/>
  <c r="W571" i="1" s="1"/>
  <c r="O371" i="1"/>
  <c r="S371" i="1" s="1"/>
  <c r="O170" i="1"/>
  <c r="S170" i="1" s="1"/>
  <c r="P1163" i="1"/>
  <c r="P936" i="1"/>
  <c r="P716" i="1"/>
  <c r="P411" i="1"/>
  <c r="N1257" i="1"/>
  <c r="M1238" i="1"/>
  <c r="N1192" i="1"/>
  <c r="V1192" i="1" s="1"/>
  <c r="N1162" i="1"/>
  <c r="N1134" i="1"/>
  <c r="M1111" i="1"/>
  <c r="N1103" i="1"/>
  <c r="M1042" i="1"/>
  <c r="M1022" i="1"/>
  <c r="O1040" i="1"/>
  <c r="S1040" i="1" s="1"/>
  <c r="M972" i="1"/>
  <c r="N962" i="1"/>
  <c r="N924" i="1"/>
  <c r="N898" i="1"/>
  <c r="N884" i="1"/>
  <c r="N856" i="1"/>
  <c r="O872" i="1"/>
  <c r="S872" i="1" s="1"/>
  <c r="M815" i="1"/>
  <c r="P966" i="1"/>
  <c r="N758" i="1"/>
  <c r="P908" i="1"/>
  <c r="N686" i="1"/>
  <c r="N674" i="1"/>
  <c r="N615" i="1"/>
  <c r="O634" i="1"/>
  <c r="S634" i="1" s="1"/>
  <c r="N587" i="1"/>
  <c r="N548" i="1"/>
  <c r="N515" i="1"/>
  <c r="M491" i="1"/>
  <c r="N403" i="1"/>
  <c r="O366" i="1"/>
  <c r="S366" i="1" s="1"/>
  <c r="P503" i="1"/>
  <c r="N281" i="1"/>
  <c r="M258" i="1"/>
  <c r="O282" i="1"/>
  <c r="S282" i="1" s="1"/>
  <c r="P401" i="1"/>
  <c r="N206" i="1"/>
  <c r="O156" i="1"/>
  <c r="S156" i="1" s="1"/>
  <c r="P275" i="1"/>
  <c r="O86" i="1"/>
  <c r="S86" i="1" s="1"/>
  <c r="M1235" i="1"/>
  <c r="M1184" i="1"/>
  <c r="M1135" i="1"/>
  <c r="M1077" i="1"/>
  <c r="M1026" i="1"/>
  <c r="M974" i="1"/>
  <c r="M916" i="1"/>
  <c r="M868" i="1"/>
  <c r="M818" i="1"/>
  <c r="M758" i="1"/>
  <c r="M707" i="1"/>
  <c r="U707" i="1" s="1"/>
  <c r="M660" i="1"/>
  <c r="M597" i="1"/>
  <c r="M547" i="1"/>
  <c r="M492" i="1"/>
  <c r="M426" i="1"/>
  <c r="M372" i="1"/>
  <c r="M315" i="1"/>
  <c r="M252" i="1"/>
  <c r="M189" i="1"/>
  <c r="M129" i="1"/>
  <c r="M51" i="1"/>
  <c r="N1228" i="1"/>
  <c r="V1228" i="1" s="1"/>
  <c r="N1164" i="1"/>
  <c r="N1080" i="1"/>
  <c r="N1004" i="1"/>
  <c r="N929" i="1"/>
  <c r="N837" i="1"/>
  <c r="N762" i="1"/>
  <c r="N685" i="1"/>
  <c r="N594" i="1"/>
  <c r="N518" i="1"/>
  <c r="N442" i="1"/>
  <c r="N336" i="1"/>
  <c r="N210" i="1"/>
  <c r="N86" i="1"/>
  <c r="O1202" i="1"/>
  <c r="S1202" i="1" s="1"/>
  <c r="O1048" i="1"/>
  <c r="S1048" i="1" s="1"/>
  <c r="O880" i="1"/>
  <c r="S880" i="1" s="1"/>
  <c r="O708" i="1"/>
  <c r="S708" i="1" s="1"/>
  <c r="O529" i="1"/>
  <c r="S529" i="1" s="1"/>
  <c r="O168" i="1"/>
  <c r="S168" i="1" s="1"/>
  <c r="P935" i="1"/>
  <c r="P403" i="1"/>
  <c r="M1234" i="1"/>
  <c r="M1123" i="1"/>
  <c r="M1025" i="1"/>
  <c r="M965" i="1"/>
  <c r="M867" i="1"/>
  <c r="M757" i="1"/>
  <c r="M647" i="1"/>
  <c r="M546" i="1"/>
  <c r="U546" i="1" s="1"/>
  <c r="M423" i="1"/>
  <c r="U423" i="1" s="1"/>
  <c r="M302" i="1"/>
  <c r="M188" i="1"/>
  <c r="M49" i="1"/>
  <c r="N1227" i="1"/>
  <c r="N1077" i="1"/>
  <c r="N906" i="1"/>
  <c r="N759" i="1"/>
  <c r="N593" i="1"/>
  <c r="N416" i="1"/>
  <c r="N209" i="1"/>
  <c r="V209" i="1" s="1"/>
  <c r="O1167" i="1"/>
  <c r="S1167" i="1" s="1"/>
  <c r="O879" i="1"/>
  <c r="S879" i="1" s="1"/>
  <c r="O523" i="1"/>
  <c r="S523" i="1" s="1"/>
  <c r="O157" i="1"/>
  <c r="S157" i="1" s="1"/>
  <c r="P913" i="1"/>
  <c r="P326" i="1"/>
  <c r="M1247" i="1"/>
  <c r="O1244" i="1"/>
  <c r="S1244" i="1" s="1"/>
  <c r="N1190" i="1"/>
  <c r="N1148" i="1"/>
  <c r="M1080" i="1"/>
  <c r="N1062" i="1"/>
  <c r="P1198" i="1"/>
  <c r="N993" i="1"/>
  <c r="M952" i="1"/>
  <c r="M928" i="1"/>
  <c r="M882" i="1"/>
  <c r="N854" i="1"/>
  <c r="O854" i="1"/>
  <c r="S854" i="1" s="1"/>
  <c r="N782" i="1"/>
  <c r="N741" i="1"/>
  <c r="M673" i="1"/>
  <c r="M633" i="1"/>
  <c r="M589" i="1"/>
  <c r="N571" i="1"/>
  <c r="M507" i="1"/>
  <c r="M463" i="1"/>
  <c r="N434" i="1"/>
  <c r="V434" i="1" s="1"/>
  <c r="M409" i="1"/>
  <c r="M382" i="1"/>
  <c r="O394" i="1"/>
  <c r="S394" i="1" s="1"/>
  <c r="N319" i="1"/>
  <c r="P459" i="1"/>
  <c r="N224" i="1"/>
  <c r="P375" i="1"/>
  <c r="N152" i="1"/>
  <c r="O142" i="1"/>
  <c r="S142" i="1" s="1"/>
  <c r="N53" i="1"/>
  <c r="M1232" i="1"/>
  <c r="M1122" i="1"/>
  <c r="M1072" i="1"/>
  <c r="M961" i="1"/>
  <c r="M862" i="1"/>
  <c r="M704" i="1"/>
  <c r="M476" i="1"/>
  <c r="N329" i="1"/>
  <c r="M1212" i="1"/>
  <c r="M1165" i="1"/>
  <c r="M1114" i="1"/>
  <c r="M1055" i="1"/>
  <c r="M1007" i="1"/>
  <c r="M956" i="1"/>
  <c r="U956" i="1" s="1"/>
  <c r="M897" i="1"/>
  <c r="M846" i="1"/>
  <c r="M798" i="1"/>
  <c r="M736" i="1"/>
  <c r="M688" i="1"/>
  <c r="M639" i="1"/>
  <c r="M578" i="1"/>
  <c r="M524" i="1"/>
  <c r="M470" i="1"/>
  <c r="M401" i="1"/>
  <c r="M350" i="1"/>
  <c r="M296" i="1"/>
  <c r="M225" i="1"/>
  <c r="M167" i="1"/>
  <c r="M103" i="1"/>
  <c r="M21" i="1"/>
  <c r="N1206" i="1"/>
  <c r="N1135" i="1"/>
  <c r="N1048" i="1"/>
  <c r="N971" i="1"/>
  <c r="N899" i="1"/>
  <c r="N805" i="1"/>
  <c r="N728" i="1"/>
  <c r="N657" i="1"/>
  <c r="N563" i="1"/>
  <c r="N485" i="1"/>
  <c r="N411" i="1"/>
  <c r="N296" i="1"/>
  <c r="N171" i="1"/>
  <c r="N36" i="1"/>
  <c r="V36" i="1" s="1"/>
  <c r="O1153" i="1"/>
  <c r="S1153" i="1" s="1"/>
  <c r="O995" i="1"/>
  <c r="S995" i="1" s="1"/>
  <c r="O816" i="1"/>
  <c r="S816" i="1" s="1"/>
  <c r="O647" i="1"/>
  <c r="S647" i="1" s="1"/>
  <c r="O454" i="1"/>
  <c r="S454" i="1" s="1"/>
  <c r="O300" i="1"/>
  <c r="S300" i="1" s="1"/>
  <c r="O99" i="1"/>
  <c r="S99" i="1" s="1"/>
  <c r="P1086" i="1"/>
  <c r="P842" i="1"/>
  <c r="P537" i="1"/>
  <c r="P293" i="1"/>
  <c r="O510" i="1"/>
  <c r="S510" i="1" s="1"/>
  <c r="N480" i="1"/>
  <c r="P660" i="1"/>
  <c r="M469" i="1"/>
  <c r="N466" i="1"/>
  <c r="P646" i="1"/>
  <c r="N452" i="1"/>
  <c r="P632" i="1"/>
  <c r="M442" i="1"/>
  <c r="P618" i="1"/>
  <c r="N438" i="1"/>
  <c r="O468" i="1"/>
  <c r="S468" i="1" s="1"/>
  <c r="P604" i="1"/>
  <c r="N424" i="1"/>
  <c r="N410" i="1"/>
  <c r="P590" i="1"/>
  <c r="N409" i="1"/>
  <c r="O440" i="1"/>
  <c r="S440" i="1" s="1"/>
  <c r="N396" i="1"/>
  <c r="O426" i="1"/>
  <c r="S426" i="1" s="1"/>
  <c r="P576" i="1"/>
  <c r="P562" i="1"/>
  <c r="N382" i="1"/>
  <c r="N368" i="1"/>
  <c r="O398" i="1"/>
  <c r="S398" i="1" s="1"/>
  <c r="P548" i="1"/>
  <c r="M358" i="1"/>
  <c r="N354" i="1"/>
  <c r="P534" i="1"/>
  <c r="M344" i="1"/>
  <c r="N340" i="1"/>
  <c r="O370" i="1"/>
  <c r="S370" i="1" s="1"/>
  <c r="N339" i="1"/>
  <c r="O356" i="1"/>
  <c r="S356" i="1" s="1"/>
  <c r="N326" i="1"/>
  <c r="P506" i="1"/>
  <c r="M316" i="1"/>
  <c r="P492" i="1"/>
  <c r="O342" i="1"/>
  <c r="S342" i="1" s="1"/>
  <c r="N311" i="1"/>
  <c r="O328" i="1"/>
  <c r="S328" i="1" s="1"/>
  <c r="P478" i="1"/>
  <c r="P464" i="1"/>
  <c r="O314" i="1"/>
  <c r="S314" i="1" s="1"/>
  <c r="N284" i="1"/>
  <c r="M273" i="1"/>
  <c r="P450" i="1"/>
  <c r="N269" i="1"/>
  <c r="P436" i="1"/>
  <c r="O286" i="1"/>
  <c r="S286" i="1" s="1"/>
  <c r="N256" i="1"/>
  <c r="V256" i="1" s="1"/>
  <c r="M246" i="1"/>
  <c r="U246" i="1" s="1"/>
  <c r="O272" i="1"/>
  <c r="S272" i="1" s="1"/>
  <c r="P422" i="1"/>
  <c r="P408" i="1"/>
  <c r="O258" i="1"/>
  <c r="S258" i="1" s="1"/>
  <c r="P394" i="1"/>
  <c r="O244" i="1"/>
  <c r="S244" i="1" s="1"/>
  <c r="N213" i="1"/>
  <c r="P380" i="1"/>
  <c r="X380" i="1" s="1"/>
  <c r="N200" i="1"/>
  <c r="O230" i="1"/>
  <c r="S230" i="1" s="1"/>
  <c r="P366" i="1"/>
  <c r="N186" i="1"/>
  <c r="M176" i="1"/>
  <c r="O202" i="1"/>
  <c r="S202" i="1" s="1"/>
  <c r="P352" i="1"/>
  <c r="N172" i="1"/>
  <c r="M162" i="1"/>
  <c r="O188" i="1"/>
  <c r="S188" i="1" s="1"/>
  <c r="P338" i="1"/>
  <c r="M148" i="1"/>
  <c r="N144" i="1"/>
  <c r="P324" i="1"/>
  <c r="M120" i="1"/>
  <c r="O160" i="1"/>
  <c r="S160" i="1" s="1"/>
  <c r="P296" i="1"/>
  <c r="M106" i="1"/>
  <c r="N116" i="1"/>
  <c r="O146" i="1"/>
  <c r="S146" i="1" s="1"/>
  <c r="O132" i="1"/>
  <c r="S132" i="1" s="1"/>
  <c r="P282" i="1"/>
  <c r="M92" i="1"/>
  <c r="N102" i="1"/>
  <c r="P268" i="1"/>
  <c r="O118" i="1"/>
  <c r="S118" i="1" s="1"/>
  <c r="N88" i="1"/>
  <c r="P254" i="1"/>
  <c r="M64" i="1"/>
  <c r="N74" i="1"/>
  <c r="P240" i="1"/>
  <c r="N60" i="1"/>
  <c r="M50" i="1"/>
  <c r="U50" i="1" s="1"/>
  <c r="O90" i="1"/>
  <c r="S90" i="1" s="1"/>
  <c r="P226" i="1"/>
  <c r="N46" i="1"/>
  <c r="O76" i="1"/>
  <c r="S76" i="1" s="1"/>
  <c r="P225" i="1"/>
  <c r="M35" i="1"/>
  <c r="P212" i="1"/>
  <c r="N32" i="1"/>
  <c r="M468" i="1"/>
  <c r="M420" i="1"/>
  <c r="M394" i="1"/>
  <c r="M368" i="1"/>
  <c r="M343" i="1"/>
  <c r="M295" i="1"/>
  <c r="U295" i="1" s="1"/>
  <c r="M269" i="1"/>
  <c r="M242" i="1"/>
  <c r="M215" i="1"/>
  <c r="M187" i="1"/>
  <c r="M160" i="1"/>
  <c r="M131" i="1"/>
  <c r="M98" i="1"/>
  <c r="M70" i="1"/>
  <c r="N1034" i="1"/>
  <c r="N966" i="1"/>
  <c r="N825" i="1"/>
  <c r="N655" i="1"/>
  <c r="N367" i="1"/>
  <c r="N242" i="1"/>
  <c r="N158" i="1"/>
  <c r="N122" i="1"/>
  <c r="N73" i="1"/>
  <c r="O1149" i="1"/>
  <c r="S1149" i="1" s="1"/>
  <c r="O690" i="1"/>
  <c r="S690" i="1" s="1"/>
  <c r="O297" i="1"/>
  <c r="S297" i="1" s="1"/>
  <c r="P617" i="1"/>
  <c r="O421" i="1"/>
  <c r="S421" i="1" s="1"/>
  <c r="O144" i="1"/>
  <c r="S144" i="1" s="1"/>
  <c r="P597" i="1"/>
  <c r="N1234" i="1"/>
  <c r="N1220" i="1"/>
  <c r="O1250" i="1"/>
  <c r="S1250" i="1" s="1"/>
  <c r="O1208" i="1"/>
  <c r="S1208" i="1" s="1"/>
  <c r="W1208" i="1" s="1"/>
  <c r="N1136" i="1"/>
  <c r="P1204" i="1"/>
  <c r="N1024" i="1"/>
  <c r="V1024" i="1" s="1"/>
  <c r="O1054" i="1"/>
  <c r="S1054" i="1" s="1"/>
  <c r="P1176" i="1"/>
  <c r="O1026" i="1"/>
  <c r="S1026" i="1" s="1"/>
  <c r="N954" i="1"/>
  <c r="O984" i="1"/>
  <c r="S984" i="1" s="1"/>
  <c r="O970" i="1"/>
  <c r="S970" i="1" s="1"/>
  <c r="P1120" i="1"/>
  <c r="P1078" i="1"/>
  <c r="M888" i="1"/>
  <c r="O928" i="1"/>
  <c r="S928" i="1" s="1"/>
  <c r="O900" i="1"/>
  <c r="S900" i="1" s="1"/>
  <c r="P1022" i="1"/>
  <c r="N842" i="1"/>
  <c r="O830" i="1"/>
  <c r="S830" i="1" s="1"/>
  <c r="N800" i="1"/>
  <c r="P938" i="1"/>
  <c r="O788" i="1"/>
  <c r="S788" i="1" s="1"/>
  <c r="P924" i="1"/>
  <c r="O774" i="1"/>
  <c r="S774" i="1" s="1"/>
  <c r="P910" i="1"/>
  <c r="N730" i="1"/>
  <c r="P896" i="1"/>
  <c r="N716" i="1"/>
  <c r="O746" i="1"/>
  <c r="S746" i="1" s="1"/>
  <c r="O732" i="1"/>
  <c r="S732" i="1" s="1"/>
  <c r="W732" i="1" s="1"/>
  <c r="M692" i="1"/>
  <c r="O718" i="1"/>
  <c r="S718" i="1" s="1"/>
  <c r="N688" i="1"/>
  <c r="O676" i="1"/>
  <c r="S676" i="1" s="1"/>
  <c r="O662" i="1"/>
  <c r="S662" i="1" s="1"/>
  <c r="N632" i="1"/>
  <c r="P812" i="1"/>
  <c r="N618" i="1"/>
  <c r="M608" i="1"/>
  <c r="P784" i="1"/>
  <c r="P770" i="1"/>
  <c r="O620" i="1"/>
  <c r="S620" i="1" s="1"/>
  <c r="N590" i="1"/>
  <c r="P756" i="1"/>
  <c r="N576" i="1"/>
  <c r="M566" i="1"/>
  <c r="P742" i="1"/>
  <c r="O592" i="1"/>
  <c r="S592" i="1" s="1"/>
  <c r="N562" i="1"/>
  <c r="P728" i="1"/>
  <c r="O578" i="1"/>
  <c r="S578" i="1" s="1"/>
  <c r="P714" i="1"/>
  <c r="O564" i="1"/>
  <c r="S564" i="1" s="1"/>
  <c r="O550" i="1"/>
  <c r="S550" i="1" s="1"/>
  <c r="N520" i="1"/>
  <c r="P658" i="1"/>
  <c r="O508" i="1"/>
  <c r="S508" i="1" s="1"/>
  <c r="O494" i="1"/>
  <c r="S494" i="1" s="1"/>
  <c r="W494" i="1" s="1"/>
  <c r="P644" i="1"/>
  <c r="N464" i="1"/>
  <c r="O480" i="1"/>
  <c r="S480" i="1" s="1"/>
  <c r="N450" i="1"/>
  <c r="N436" i="1"/>
  <c r="O466" i="1"/>
  <c r="S466" i="1" s="1"/>
  <c r="P616" i="1"/>
  <c r="N422" i="1"/>
  <c r="P602" i="1"/>
  <c r="M412" i="1"/>
  <c r="P588" i="1"/>
  <c r="O438" i="1"/>
  <c r="S438" i="1" s="1"/>
  <c r="N408" i="1"/>
  <c r="M398" i="1"/>
  <c r="U398" i="1" s="1"/>
  <c r="P574" i="1"/>
  <c r="O424" i="1"/>
  <c r="S424" i="1" s="1"/>
  <c r="P560" i="1"/>
  <c r="M370" i="1"/>
  <c r="N380" i="1"/>
  <c r="O410" i="1"/>
  <c r="S410" i="1" s="1"/>
  <c r="P546" i="1"/>
  <c r="O396" i="1"/>
  <c r="S396" i="1" s="1"/>
  <c r="N366" i="1"/>
  <c r="O382" i="1"/>
  <c r="S382" i="1" s="1"/>
  <c r="P532" i="1"/>
  <c r="N352" i="1"/>
  <c r="P518" i="1"/>
  <c r="N338" i="1"/>
  <c r="V338" i="1" s="1"/>
  <c r="O368" i="1"/>
  <c r="S368" i="1" s="1"/>
  <c r="N324" i="1"/>
  <c r="N310" i="1"/>
  <c r="P490" i="1"/>
  <c r="M300" i="1"/>
  <c r="P476" i="1"/>
  <c r="O326" i="1"/>
  <c r="S326" i="1" s="1"/>
  <c r="O312" i="1"/>
  <c r="S312" i="1" s="1"/>
  <c r="P462" i="1"/>
  <c r="N282" i="1"/>
  <c r="P420" i="1"/>
  <c r="O270" i="1"/>
  <c r="S270" i="1" s="1"/>
  <c r="N240" i="1"/>
  <c r="M230" i="1"/>
  <c r="P406" i="1"/>
  <c r="M216" i="1"/>
  <c r="N226" i="1"/>
  <c r="O242" i="1"/>
  <c r="S242" i="1" s="1"/>
  <c r="P392" i="1"/>
  <c r="N212" i="1"/>
  <c r="M202" i="1"/>
  <c r="P378" i="1"/>
  <c r="O228" i="1"/>
  <c r="S228" i="1" s="1"/>
  <c r="N198" i="1"/>
  <c r="N184" i="1"/>
  <c r="M174" i="1"/>
  <c r="P364" i="1"/>
  <c r="P350" i="1"/>
  <c r="X350" i="1" s="1"/>
  <c r="O200" i="1"/>
  <c r="S200" i="1" s="1"/>
  <c r="W200" i="1" s="1"/>
  <c r="P336" i="1"/>
  <c r="O172" i="1"/>
  <c r="S172" i="1" s="1"/>
  <c r="P322" i="1"/>
  <c r="N142" i="1"/>
  <c r="O158" i="1"/>
  <c r="S158" i="1" s="1"/>
  <c r="P308" i="1"/>
  <c r="M118" i="1"/>
  <c r="N114" i="1"/>
  <c r="P294" i="1"/>
  <c r="P280" i="1"/>
  <c r="X280" i="1" s="1"/>
  <c r="M90" i="1"/>
  <c r="O130" i="1"/>
  <c r="S130" i="1" s="1"/>
  <c r="N100" i="1"/>
  <c r="P266" i="1"/>
  <c r="M76" i="1"/>
  <c r="O116" i="1"/>
  <c r="S116" i="1" s="1"/>
  <c r="P252" i="1"/>
  <c r="O102" i="1"/>
  <c r="S102" i="1" s="1"/>
  <c r="N72" i="1"/>
  <c r="M62" i="1"/>
  <c r="O88" i="1"/>
  <c r="S88" i="1" s="1"/>
  <c r="N58" i="1"/>
  <c r="N44" i="1"/>
  <c r="O74" i="1"/>
  <c r="S74" i="1" s="1"/>
  <c r="P224" i="1"/>
  <c r="P210" i="1"/>
  <c r="O60" i="1"/>
  <c r="S60" i="1" s="1"/>
  <c r="W60" i="1" s="1"/>
  <c r="M1248" i="1"/>
  <c r="M1223" i="1"/>
  <c r="M1180" i="1"/>
  <c r="M1134" i="1"/>
  <c r="M1065" i="1"/>
  <c r="M998" i="1"/>
  <c r="M953" i="1"/>
  <c r="M930" i="1"/>
  <c r="M884" i="1"/>
  <c r="M840" i="1"/>
  <c r="M772" i="1"/>
  <c r="M748" i="1"/>
  <c r="M703" i="1"/>
  <c r="M659" i="1"/>
  <c r="U659" i="1" s="1"/>
  <c r="M634" i="1"/>
  <c r="M590" i="1"/>
  <c r="M564" i="1"/>
  <c r="M465" i="1"/>
  <c r="M439" i="1"/>
  <c r="M414" i="1"/>
  <c r="M392" i="1"/>
  <c r="M366" i="1"/>
  <c r="M340" i="1"/>
  <c r="M314" i="1"/>
  <c r="M267" i="1"/>
  <c r="M240" i="1"/>
  <c r="M210" i="1"/>
  <c r="M184" i="1"/>
  <c r="U184" i="1" s="1"/>
  <c r="M155" i="1"/>
  <c r="M128" i="1"/>
  <c r="N994" i="1"/>
  <c r="N752" i="1"/>
  <c r="N613" i="1"/>
  <c r="N546" i="1"/>
  <c r="N476" i="1"/>
  <c r="N435" i="1"/>
  <c r="N361" i="1"/>
  <c r="N321" i="1"/>
  <c r="V321" i="1" s="1"/>
  <c r="N278" i="1"/>
  <c r="N194" i="1"/>
  <c r="N155" i="1"/>
  <c r="N110" i="1"/>
  <c r="N66" i="1"/>
  <c r="O1090" i="1"/>
  <c r="S1090" i="1" s="1"/>
  <c r="O743" i="1"/>
  <c r="S743" i="1" s="1"/>
  <c r="O563" i="1"/>
  <c r="S563" i="1" s="1"/>
  <c r="O496" i="1"/>
  <c r="S496" i="1" s="1"/>
  <c r="O353" i="1"/>
  <c r="S353" i="1" s="1"/>
  <c r="O216" i="1"/>
  <c r="S216" i="1" s="1"/>
  <c r="O143" i="1"/>
  <c r="S143" i="1" s="1"/>
  <c r="P1134" i="1"/>
  <c r="P1049" i="1"/>
  <c r="P980" i="1"/>
  <c r="P795" i="1"/>
  <c r="P700" i="1"/>
  <c r="P499" i="1"/>
  <c r="P377" i="1"/>
  <c r="P264" i="1"/>
  <c r="N1247" i="1"/>
  <c r="N1233" i="1"/>
  <c r="N1219" i="1"/>
  <c r="M1209" i="1"/>
  <c r="O1249" i="1"/>
  <c r="S1249" i="1" s="1"/>
  <c r="N1205" i="1"/>
  <c r="N1191" i="1"/>
  <c r="O1221" i="1"/>
  <c r="S1221" i="1" s="1"/>
  <c r="W1221" i="1" s="1"/>
  <c r="O1207" i="1"/>
  <c r="S1207" i="1" s="1"/>
  <c r="N1163" i="1"/>
  <c r="O1179" i="1"/>
  <c r="S1179" i="1" s="1"/>
  <c r="M1125" i="1"/>
  <c r="U1125" i="1" s="1"/>
  <c r="O1151" i="1"/>
  <c r="S1151" i="1" s="1"/>
  <c r="N1121" i="1"/>
  <c r="O1137" i="1"/>
  <c r="S1137" i="1" s="1"/>
  <c r="M1083" i="1"/>
  <c r="N1079" i="1"/>
  <c r="P1245" i="1"/>
  <c r="O1095" i="1"/>
  <c r="S1095" i="1" s="1"/>
  <c r="N1065" i="1"/>
  <c r="O1081" i="1"/>
  <c r="S1081" i="1" s="1"/>
  <c r="P1231" i="1"/>
  <c r="O1067" i="1"/>
  <c r="S1067" i="1" s="1"/>
  <c r="P1203" i="1"/>
  <c r="N1023" i="1"/>
  <c r="O1053" i="1"/>
  <c r="S1053" i="1" s="1"/>
  <c r="M1013" i="1"/>
  <c r="P1189" i="1"/>
  <c r="O1039" i="1"/>
  <c r="S1039" i="1" s="1"/>
  <c r="N995" i="1"/>
  <c r="P1175" i="1"/>
  <c r="O1025" i="1"/>
  <c r="S1025" i="1" s="1"/>
  <c r="O1011" i="1"/>
  <c r="S1011" i="1" s="1"/>
  <c r="N981" i="1"/>
  <c r="P1161" i="1"/>
  <c r="P1147" i="1"/>
  <c r="N967" i="1"/>
  <c r="V967" i="1" s="1"/>
  <c r="O983" i="1"/>
  <c r="S983" i="1" s="1"/>
  <c r="P1133" i="1"/>
  <c r="N953" i="1"/>
  <c r="V953" i="1" s="1"/>
  <c r="P1119" i="1"/>
  <c r="O969" i="1"/>
  <c r="S969" i="1" s="1"/>
  <c r="N939" i="1"/>
  <c r="M929" i="1"/>
  <c r="N925" i="1"/>
  <c r="P1105" i="1"/>
  <c r="O955" i="1"/>
  <c r="S955" i="1" s="1"/>
  <c r="O941" i="1"/>
  <c r="S941" i="1" s="1"/>
  <c r="N911" i="1"/>
  <c r="P1077" i="1"/>
  <c r="M887" i="1"/>
  <c r="O927" i="1"/>
  <c r="S927" i="1" s="1"/>
  <c r="N897" i="1"/>
  <c r="P1063" i="1"/>
  <c r="O899" i="1"/>
  <c r="S899" i="1" s="1"/>
  <c r="O885" i="1"/>
  <c r="S885" i="1" s="1"/>
  <c r="P1035" i="1"/>
  <c r="N855" i="1"/>
  <c r="N841" i="1"/>
  <c r="O871" i="1"/>
  <c r="S871" i="1" s="1"/>
  <c r="P1007" i="1"/>
  <c r="N827" i="1"/>
  <c r="O857" i="1"/>
  <c r="S857" i="1" s="1"/>
  <c r="M817" i="1"/>
  <c r="P993" i="1"/>
  <c r="N813" i="1"/>
  <c r="O843" i="1"/>
  <c r="S843" i="1" s="1"/>
  <c r="N799" i="1"/>
  <c r="O829" i="1"/>
  <c r="S829" i="1" s="1"/>
  <c r="P979" i="1"/>
  <c r="N785" i="1"/>
  <c r="P951" i="1"/>
  <c r="O801" i="1"/>
  <c r="S801" i="1" s="1"/>
  <c r="O787" i="1"/>
  <c r="S787" i="1" s="1"/>
  <c r="P937" i="1"/>
  <c r="N757" i="1"/>
  <c r="O773" i="1"/>
  <c r="S773" i="1" s="1"/>
  <c r="P923" i="1"/>
  <c r="M733" i="1"/>
  <c r="U733" i="1" s="1"/>
  <c r="N743" i="1"/>
  <c r="P909" i="1"/>
  <c r="O759" i="1"/>
  <c r="S759" i="1" s="1"/>
  <c r="W759" i="1" s="1"/>
  <c r="N715" i="1"/>
  <c r="P895" i="1"/>
  <c r="O745" i="1"/>
  <c r="S745" i="1" s="1"/>
  <c r="P881" i="1"/>
  <c r="M691" i="1"/>
  <c r="O731" i="1"/>
  <c r="S731" i="1" s="1"/>
  <c r="N701" i="1"/>
  <c r="P867" i="1"/>
  <c r="O717" i="1"/>
  <c r="S717" i="1" s="1"/>
  <c r="W717" i="1" s="1"/>
  <c r="N687" i="1"/>
  <c r="P853" i="1"/>
  <c r="N673" i="1"/>
  <c r="O689" i="1"/>
  <c r="S689" i="1" s="1"/>
  <c r="W689" i="1" s="1"/>
  <c r="P839" i="1"/>
  <c r="P825" i="1"/>
  <c r="N645" i="1"/>
  <c r="P811" i="1"/>
  <c r="M621" i="1"/>
  <c r="N631" i="1"/>
  <c r="P797" i="1"/>
  <c r="N617" i="1"/>
  <c r="N603" i="1"/>
  <c r="P783" i="1"/>
  <c r="O633" i="1"/>
  <c r="S633" i="1" s="1"/>
  <c r="P769" i="1"/>
  <c r="O619" i="1"/>
  <c r="S619" i="1" s="1"/>
  <c r="P755" i="1"/>
  <c r="P741" i="1"/>
  <c r="O591" i="1"/>
  <c r="S591" i="1" s="1"/>
  <c r="N561" i="1"/>
  <c r="P727" i="1"/>
  <c r="M537" i="1"/>
  <c r="N533" i="1"/>
  <c r="P713" i="1"/>
  <c r="M523" i="1"/>
  <c r="N519" i="1"/>
  <c r="P699" i="1"/>
  <c r="P685" i="1"/>
  <c r="O535" i="1"/>
  <c r="S535" i="1" s="1"/>
  <c r="N505" i="1"/>
  <c r="M495" i="1"/>
  <c r="N491" i="1"/>
  <c r="P671" i="1"/>
  <c r="O521" i="1"/>
  <c r="S521" i="1" s="1"/>
  <c r="N477" i="1"/>
  <c r="P643" i="1"/>
  <c r="O493" i="1"/>
  <c r="S493" i="1" s="1"/>
  <c r="O479" i="1"/>
  <c r="S479" i="1" s="1"/>
  <c r="N449" i="1"/>
  <c r="O465" i="1"/>
  <c r="S465" i="1" s="1"/>
  <c r="P615" i="1"/>
  <c r="M425" i="1"/>
  <c r="P601" i="1"/>
  <c r="N421" i="1"/>
  <c r="P587" i="1"/>
  <c r="N407" i="1"/>
  <c r="P573" i="1"/>
  <c r="O423" i="1"/>
  <c r="S423" i="1" s="1"/>
  <c r="P559" i="1"/>
  <c r="O409" i="1"/>
  <c r="S409" i="1" s="1"/>
  <c r="N379" i="1"/>
  <c r="P545" i="1"/>
  <c r="O395" i="1"/>
  <c r="S395" i="1" s="1"/>
  <c r="O381" i="1"/>
  <c r="S381" i="1" s="1"/>
  <c r="P531" i="1"/>
  <c r="M341" i="1"/>
  <c r="P517" i="1"/>
  <c r="O367" i="1"/>
  <c r="S367" i="1" s="1"/>
  <c r="M327" i="1"/>
  <c r="N323" i="1"/>
  <c r="M299" i="1"/>
  <c r="N309" i="1"/>
  <c r="P489" i="1"/>
  <c r="N295" i="1"/>
  <c r="P475" i="1"/>
  <c r="O311" i="1"/>
  <c r="S311" i="1" s="1"/>
  <c r="P461" i="1"/>
  <c r="P447" i="1"/>
  <c r="N267" i="1"/>
  <c r="O283" i="1"/>
  <c r="S283" i="1" s="1"/>
  <c r="O269" i="1"/>
  <c r="S269" i="1" s="1"/>
  <c r="P419" i="1"/>
  <c r="N239" i="1"/>
  <c r="M229" i="1"/>
  <c r="P405" i="1"/>
  <c r="N225" i="1"/>
  <c r="P391" i="1"/>
  <c r="N211" i="1"/>
  <c r="O241" i="1"/>
  <c r="S241" i="1" s="1"/>
  <c r="O227" i="1"/>
  <c r="S227" i="1" s="1"/>
  <c r="P363" i="1"/>
  <c r="N183" i="1"/>
  <c r="O213" i="1"/>
  <c r="S213" i="1" s="1"/>
  <c r="N169" i="1"/>
  <c r="P349" i="1"/>
  <c r="X349" i="1" s="1"/>
  <c r="M159" i="1"/>
  <c r="O199" i="1"/>
  <c r="S199" i="1" s="1"/>
  <c r="P335" i="1"/>
  <c r="M145" i="1"/>
  <c r="O171" i="1"/>
  <c r="S171" i="1" s="1"/>
  <c r="P321" i="1"/>
  <c r="N141" i="1"/>
  <c r="P307" i="1"/>
  <c r="N127" i="1"/>
  <c r="N113" i="1"/>
  <c r="N99" i="1"/>
  <c r="P279" i="1"/>
  <c r="O129" i="1"/>
  <c r="S129" i="1" s="1"/>
  <c r="P265" i="1"/>
  <c r="M75" i="1"/>
  <c r="O115" i="1"/>
  <c r="S115" i="1" s="1"/>
  <c r="N85" i="1"/>
  <c r="O101" i="1"/>
  <c r="S101" i="1" s="1"/>
  <c r="M61" i="1"/>
  <c r="P251" i="1"/>
  <c r="N71" i="1"/>
  <c r="V71" i="1" s="1"/>
  <c r="O87" i="1"/>
  <c r="S87" i="1" s="1"/>
  <c r="P237" i="1"/>
  <c r="M47" i="1"/>
  <c r="N57" i="1"/>
  <c r="O73" i="1"/>
  <c r="S73" i="1" s="1"/>
  <c r="P223" i="1"/>
  <c r="P209" i="1"/>
  <c r="O59" i="1"/>
  <c r="S59" i="1" s="1"/>
  <c r="N29" i="1"/>
  <c r="M1222" i="1"/>
  <c r="M1178" i="1"/>
  <c r="M1153" i="1"/>
  <c r="M1110" i="1"/>
  <c r="M1041" i="1"/>
  <c r="M883" i="1"/>
  <c r="M860" i="1"/>
  <c r="M814" i="1"/>
  <c r="M771" i="1"/>
  <c r="M747" i="1"/>
  <c r="M702" i="1"/>
  <c r="M678" i="1"/>
  <c r="M563" i="1"/>
  <c r="M538" i="1"/>
  <c r="M464" i="1"/>
  <c r="M438" i="1"/>
  <c r="M413" i="1"/>
  <c r="M386" i="1"/>
  <c r="M313" i="1"/>
  <c r="M288" i="1"/>
  <c r="M238" i="1"/>
  <c r="M183" i="1"/>
  <c r="M154" i="1"/>
  <c r="M36" i="1"/>
  <c r="U36" i="1" s="1"/>
  <c r="N923" i="1"/>
  <c r="N786" i="1"/>
  <c r="N646" i="1"/>
  <c r="N612" i="1"/>
  <c r="N575" i="1"/>
  <c r="N544" i="1"/>
  <c r="N475" i="1"/>
  <c r="N395" i="1"/>
  <c r="N360" i="1"/>
  <c r="N277" i="1"/>
  <c r="N193" i="1"/>
  <c r="N109" i="1"/>
  <c r="N55" i="1"/>
  <c r="O913" i="1"/>
  <c r="S913" i="1" s="1"/>
  <c r="W913" i="1" s="1"/>
  <c r="O741" i="1"/>
  <c r="S741" i="1" s="1"/>
  <c r="O340" i="1"/>
  <c r="S340" i="1" s="1"/>
  <c r="O214" i="1"/>
  <c r="S214" i="1" s="1"/>
  <c r="O62" i="1"/>
  <c r="S62" i="1" s="1"/>
  <c r="P1131" i="1"/>
  <c r="P1047" i="1"/>
  <c r="P882" i="1"/>
  <c r="P488" i="1"/>
  <c r="O1236" i="1"/>
  <c r="S1236" i="1" s="1"/>
  <c r="M1196" i="1"/>
  <c r="O1180" i="1"/>
  <c r="S1180" i="1" s="1"/>
  <c r="N1150" i="1"/>
  <c r="M1084" i="1"/>
  <c r="U1084" i="1" s="1"/>
  <c r="O1124" i="1"/>
  <c r="S1124" i="1" s="1"/>
  <c r="P1232" i="1"/>
  <c r="O1082" i="1"/>
  <c r="S1082" i="1" s="1"/>
  <c r="N1010" i="1"/>
  <c r="V1010" i="1" s="1"/>
  <c r="P1190" i="1"/>
  <c r="M1000" i="1"/>
  <c r="O998" i="1"/>
  <c r="S998" i="1" s="1"/>
  <c r="P1148" i="1"/>
  <c r="M958" i="1"/>
  <c r="O942" i="1"/>
  <c r="S942" i="1" s="1"/>
  <c r="N912" i="1"/>
  <c r="P1036" i="1"/>
  <c r="O886" i="1"/>
  <c r="S886" i="1" s="1"/>
  <c r="N814" i="1"/>
  <c r="P994" i="1"/>
  <c r="M804" i="1"/>
  <c r="O802" i="1"/>
  <c r="S802" i="1" s="1"/>
  <c r="M762" i="1"/>
  <c r="P840" i="1"/>
  <c r="O522" i="1"/>
  <c r="S522" i="1" s="1"/>
  <c r="P672" i="1"/>
  <c r="O284" i="1"/>
  <c r="S284" i="1" s="1"/>
  <c r="N254" i="1"/>
  <c r="P434" i="1"/>
  <c r="N1246" i="1"/>
  <c r="O1248" i="1"/>
  <c r="S1248" i="1" s="1"/>
  <c r="M1208" i="1"/>
  <c r="M1179" i="1"/>
  <c r="O1219" i="1"/>
  <c r="S1219" i="1" s="1"/>
  <c r="W1219" i="1" s="1"/>
  <c r="O1192" i="1"/>
  <c r="S1192" i="1" s="1"/>
  <c r="O1164" i="1"/>
  <c r="S1164" i="1" s="1"/>
  <c r="N1133" i="1"/>
  <c r="N1106" i="1"/>
  <c r="O1108" i="1"/>
  <c r="S1108" i="1" s="1"/>
  <c r="N1078" i="1"/>
  <c r="P1230" i="1"/>
  <c r="N1050" i="1"/>
  <c r="N1022" i="1"/>
  <c r="P1202" i="1"/>
  <c r="O1052" i="1"/>
  <c r="S1052" i="1" s="1"/>
  <c r="M1012" i="1"/>
  <c r="P1174" i="1"/>
  <c r="O1024" i="1"/>
  <c r="S1024" i="1" s="1"/>
  <c r="W1024" i="1" s="1"/>
  <c r="M983" i="1"/>
  <c r="O996" i="1"/>
  <c r="S996" i="1" s="1"/>
  <c r="P1146" i="1"/>
  <c r="P1118" i="1"/>
  <c r="N936" i="1"/>
  <c r="N910" i="1"/>
  <c r="O940" i="1"/>
  <c r="S940" i="1" s="1"/>
  <c r="P1062" i="1"/>
  <c r="N880" i="1"/>
  <c r="O884" i="1"/>
  <c r="S884" i="1" s="1"/>
  <c r="P1034" i="1"/>
  <c r="O856" i="1"/>
  <c r="S856" i="1" s="1"/>
  <c r="M816" i="1"/>
  <c r="N826" i="1"/>
  <c r="P978" i="1"/>
  <c r="O828" i="1"/>
  <c r="S828" i="1" s="1"/>
  <c r="W828" i="1" s="1"/>
  <c r="M787" i="1"/>
  <c r="P950" i="1"/>
  <c r="N770" i="1"/>
  <c r="O800" i="1"/>
  <c r="S800" i="1" s="1"/>
  <c r="O786" i="1"/>
  <c r="S786" i="1" s="1"/>
  <c r="N756" i="1"/>
  <c r="M746" i="1"/>
  <c r="O758" i="1"/>
  <c r="S758" i="1" s="1"/>
  <c r="M716" i="1"/>
  <c r="N700" i="1"/>
  <c r="O730" i="1"/>
  <c r="S730" i="1" s="1"/>
  <c r="P852" i="1"/>
  <c r="N670" i="1"/>
  <c r="M662" i="1"/>
  <c r="U662" i="1" s="1"/>
  <c r="O702" i="1"/>
  <c r="S702" i="1" s="1"/>
  <c r="P824" i="1"/>
  <c r="O674" i="1"/>
  <c r="S674" i="1" s="1"/>
  <c r="N644" i="1"/>
  <c r="P796" i="1"/>
  <c r="N616" i="1"/>
  <c r="O646" i="1"/>
  <c r="S646" i="1" s="1"/>
  <c r="N588" i="1"/>
  <c r="O618" i="1"/>
  <c r="S618" i="1" s="1"/>
  <c r="P768" i="1"/>
  <c r="M577" i="1"/>
  <c r="P740" i="1"/>
  <c r="X740" i="1" s="1"/>
  <c r="M550" i="1"/>
  <c r="O590" i="1"/>
  <c r="S590" i="1" s="1"/>
  <c r="P712" i="1"/>
  <c r="N532" i="1"/>
  <c r="M520" i="1"/>
  <c r="O562" i="1"/>
  <c r="S562" i="1" s="1"/>
  <c r="P684" i="1"/>
  <c r="O534" i="1"/>
  <c r="S534" i="1" s="1"/>
  <c r="N504" i="1"/>
  <c r="P642" i="1"/>
  <c r="O492" i="1"/>
  <c r="S492" i="1" s="1"/>
  <c r="M452" i="1"/>
  <c r="U452" i="1" s="1"/>
  <c r="O464" i="1"/>
  <c r="S464" i="1" s="1"/>
  <c r="P614" i="1"/>
  <c r="M424" i="1"/>
  <c r="O436" i="1"/>
  <c r="S436" i="1" s="1"/>
  <c r="P586" i="1"/>
  <c r="N406" i="1"/>
  <c r="M395" i="1"/>
  <c r="O408" i="1"/>
  <c r="S408" i="1" s="1"/>
  <c r="N378" i="1"/>
  <c r="P530" i="1"/>
  <c r="O380" i="1"/>
  <c r="S380" i="1" s="1"/>
  <c r="O352" i="1"/>
  <c r="S352" i="1" s="1"/>
  <c r="M310" i="1"/>
  <c r="P474" i="1"/>
  <c r="N294" i="1"/>
  <c r="O324" i="1"/>
  <c r="S324" i="1" s="1"/>
  <c r="W324" i="1" s="1"/>
  <c r="O296" i="1"/>
  <c r="S296" i="1" s="1"/>
  <c r="P446" i="1"/>
  <c r="N266" i="1"/>
  <c r="M256" i="1"/>
  <c r="O268" i="1"/>
  <c r="S268" i="1" s="1"/>
  <c r="P418" i="1"/>
  <c r="N238" i="1"/>
  <c r="M228" i="1"/>
  <c r="P390" i="1"/>
  <c r="M199" i="1"/>
  <c r="O212" i="1"/>
  <c r="S212" i="1" s="1"/>
  <c r="P362" i="1"/>
  <c r="P334" i="1"/>
  <c r="O184" i="1"/>
  <c r="S184" i="1" s="1"/>
  <c r="W184" i="1" s="1"/>
  <c r="M142" i="1"/>
  <c r="N154" i="1"/>
  <c r="P306" i="1"/>
  <c r="O155" i="1"/>
  <c r="S155" i="1" s="1"/>
  <c r="N125" i="1"/>
  <c r="P278" i="1"/>
  <c r="N98" i="1"/>
  <c r="M87" i="1"/>
  <c r="O127" i="1"/>
  <c r="S127" i="1" s="1"/>
  <c r="O100" i="1"/>
  <c r="S100" i="1" s="1"/>
  <c r="M60" i="1"/>
  <c r="P250" i="1"/>
  <c r="N70" i="1"/>
  <c r="O72" i="1"/>
  <c r="S72" i="1" s="1"/>
  <c r="P222" i="1"/>
  <c r="M32" i="1"/>
  <c r="N42" i="1"/>
  <c r="M1152" i="1"/>
  <c r="M1109" i="1"/>
  <c r="M971" i="1"/>
  <c r="M927" i="1"/>
  <c r="M790" i="1"/>
  <c r="M744" i="1"/>
  <c r="M562" i="1"/>
  <c r="M510" i="1"/>
  <c r="M411" i="1"/>
  <c r="M312" i="1"/>
  <c r="M260" i="1"/>
  <c r="M34" i="1"/>
  <c r="N1158" i="1"/>
  <c r="N1094" i="1"/>
  <c r="N952" i="1"/>
  <c r="N394" i="1"/>
  <c r="O1193" i="1"/>
  <c r="S1193" i="1" s="1"/>
  <c r="O1079" i="1"/>
  <c r="S1079" i="1" s="1"/>
  <c r="O482" i="1"/>
  <c r="S482" i="1" s="1"/>
  <c r="O339" i="1"/>
  <c r="S339" i="1" s="1"/>
  <c r="O61" i="1"/>
  <c r="S61" i="1" s="1"/>
  <c r="P965" i="1"/>
  <c r="M1067" i="1"/>
  <c r="N1021" i="1"/>
  <c r="O799" i="1"/>
  <c r="S799" i="1" s="1"/>
  <c r="N740" i="1"/>
  <c r="M675" i="1"/>
  <c r="O687" i="1"/>
  <c r="S687" i="1" s="1"/>
  <c r="P823" i="1"/>
  <c r="N628" i="1"/>
  <c r="O631" i="1"/>
  <c r="S631" i="1" s="1"/>
  <c r="N516" i="1"/>
  <c r="N474" i="1"/>
  <c r="O477" i="1"/>
  <c r="S477" i="1" s="1"/>
  <c r="P599" i="1"/>
  <c r="N404" i="1"/>
  <c r="N363" i="1"/>
  <c r="P501" i="1"/>
  <c r="N293" i="1"/>
  <c r="V293" i="1" s="1"/>
  <c r="N195" i="1"/>
  <c r="O169" i="1"/>
  <c r="S169" i="1" s="1"/>
  <c r="N124" i="1"/>
  <c r="P235" i="1"/>
  <c r="N41" i="1"/>
  <c r="M1220" i="1"/>
  <c r="M1151" i="1"/>
  <c r="M1107" i="1"/>
  <c r="M1082" i="1"/>
  <c r="M1039" i="1"/>
  <c r="M970" i="1"/>
  <c r="M926" i="1"/>
  <c r="U926" i="1" s="1"/>
  <c r="M901" i="1"/>
  <c r="M857" i="1"/>
  <c r="M832" i="1"/>
  <c r="M789" i="1"/>
  <c r="M743" i="1"/>
  <c r="M720" i="1"/>
  <c r="M676" i="1"/>
  <c r="M631" i="1"/>
  <c r="M607" i="1"/>
  <c r="M561" i="1"/>
  <c r="M535" i="1"/>
  <c r="M509" i="1"/>
  <c r="M436" i="1"/>
  <c r="M410" i="1"/>
  <c r="M384" i="1"/>
  <c r="M311" i="1"/>
  <c r="M285" i="1"/>
  <c r="M259" i="1"/>
  <c r="M232" i="1"/>
  <c r="M204" i="1"/>
  <c r="M117" i="1"/>
  <c r="M89" i="1"/>
  <c r="M58" i="1"/>
  <c r="M33" i="1"/>
  <c r="N1244" i="1"/>
  <c r="N1218" i="1"/>
  <c r="N1188" i="1"/>
  <c r="N1093" i="1"/>
  <c r="N1019" i="1"/>
  <c r="N951" i="1"/>
  <c r="N883" i="1"/>
  <c r="N744" i="1"/>
  <c r="N640" i="1"/>
  <c r="N572" i="1"/>
  <c r="N502" i="1"/>
  <c r="N431" i="1"/>
  <c r="N393" i="1"/>
  <c r="N350" i="1"/>
  <c r="N312" i="1"/>
  <c r="N270" i="1"/>
  <c r="N228" i="1"/>
  <c r="N182" i="1"/>
  <c r="V182" i="1" s="1"/>
  <c r="O1235" i="1"/>
  <c r="S1235" i="1" s="1"/>
  <c r="O1136" i="1"/>
  <c r="S1136" i="1" s="1"/>
  <c r="O1078" i="1"/>
  <c r="S1078" i="1" s="1"/>
  <c r="O1023" i="1"/>
  <c r="S1023" i="1" s="1"/>
  <c r="O968" i="1"/>
  <c r="S968" i="1" s="1"/>
  <c r="O910" i="1"/>
  <c r="S910" i="1" s="1"/>
  <c r="O783" i="1"/>
  <c r="S783" i="1" s="1"/>
  <c r="O728" i="1"/>
  <c r="S728" i="1" s="1"/>
  <c r="O671" i="1"/>
  <c r="S671" i="1" s="1"/>
  <c r="O411" i="1"/>
  <c r="S411" i="1" s="1"/>
  <c r="O198" i="1"/>
  <c r="S198" i="1" s="1"/>
  <c r="O131" i="1"/>
  <c r="S131" i="1" s="1"/>
  <c r="O56" i="1"/>
  <c r="S56" i="1" s="1"/>
  <c r="P868" i="1"/>
  <c r="P571" i="1"/>
  <c r="P460" i="1"/>
  <c r="M1192" i="1"/>
  <c r="O1218" i="1"/>
  <c r="S1218" i="1" s="1"/>
  <c r="N1174" i="1"/>
  <c r="N1132" i="1"/>
  <c r="O1064" i="1"/>
  <c r="S1064" i="1" s="1"/>
  <c r="M996" i="1"/>
  <c r="O1008" i="1"/>
  <c r="S1008" i="1" s="1"/>
  <c r="M800" i="1"/>
  <c r="M604" i="1"/>
  <c r="O616" i="1"/>
  <c r="S616" i="1" s="1"/>
  <c r="O504" i="1"/>
  <c r="S504" i="1" s="1"/>
  <c r="N432" i="1"/>
  <c r="M408" i="1"/>
  <c r="N320" i="1"/>
  <c r="V320" i="1" s="1"/>
  <c r="O280" i="1"/>
  <c r="S280" i="1" s="1"/>
  <c r="W280" i="1" s="1"/>
  <c r="N236" i="1"/>
  <c r="M212" i="1"/>
  <c r="O84" i="1"/>
  <c r="S84" i="1" s="1"/>
  <c r="M1195" i="1"/>
  <c r="M1150" i="1"/>
  <c r="M1081" i="1"/>
  <c r="M1038" i="1"/>
  <c r="M1014" i="1"/>
  <c r="M969" i="1"/>
  <c r="M900" i="1"/>
  <c r="M856" i="1"/>
  <c r="M831" i="1"/>
  <c r="M788" i="1"/>
  <c r="M742" i="1"/>
  <c r="U742" i="1" s="1"/>
  <c r="M719" i="1"/>
  <c r="M650" i="1"/>
  <c r="M630" i="1"/>
  <c r="M606" i="1"/>
  <c r="M508" i="1"/>
  <c r="M482" i="1"/>
  <c r="M456" i="1"/>
  <c r="M434" i="1"/>
  <c r="M383" i="1"/>
  <c r="M357" i="1"/>
  <c r="M309" i="1"/>
  <c r="M284" i="1"/>
  <c r="M231" i="1"/>
  <c r="M203" i="1"/>
  <c r="M173" i="1"/>
  <c r="M147" i="1"/>
  <c r="M116" i="1"/>
  <c r="M88" i="1"/>
  <c r="N1243" i="1"/>
  <c r="N1149" i="1"/>
  <c r="N1119" i="1"/>
  <c r="N1052" i="1"/>
  <c r="N882" i="1"/>
  <c r="N742" i="1"/>
  <c r="N534" i="1"/>
  <c r="N501" i="1"/>
  <c r="N463" i="1"/>
  <c r="N349" i="1"/>
  <c r="V349" i="1" s="1"/>
  <c r="N304" i="1"/>
  <c r="N264" i="1"/>
  <c r="N227" i="1"/>
  <c r="N181" i="1"/>
  <c r="N143" i="1"/>
  <c r="N101" i="1"/>
  <c r="O1234" i="1"/>
  <c r="S1234" i="1" s="1"/>
  <c r="O844" i="1"/>
  <c r="S844" i="1" s="1"/>
  <c r="W844" i="1" s="1"/>
  <c r="O727" i="1"/>
  <c r="S727" i="1" s="1"/>
  <c r="O606" i="1"/>
  <c r="S606" i="1" s="1"/>
  <c r="O533" i="1"/>
  <c r="S533" i="1" s="1"/>
  <c r="O196" i="1"/>
  <c r="S196" i="1" s="1"/>
  <c r="O128" i="1"/>
  <c r="S128" i="1" s="1"/>
  <c r="P767" i="1"/>
  <c r="P238" i="1"/>
  <c r="M1233" i="1"/>
  <c r="N1229" i="1"/>
  <c r="O1245" i="1"/>
  <c r="S1245" i="1" s="1"/>
  <c r="N1215" i="1"/>
  <c r="N1201" i="1"/>
  <c r="O1231" i="1"/>
  <c r="S1231" i="1" s="1"/>
  <c r="M1191" i="1"/>
  <c r="N1187" i="1"/>
  <c r="O1203" i="1"/>
  <c r="S1203" i="1" s="1"/>
  <c r="N1173" i="1"/>
  <c r="O1189" i="1"/>
  <c r="S1189" i="1" s="1"/>
  <c r="N1159" i="1"/>
  <c r="N1131" i="1"/>
  <c r="M1121" i="1"/>
  <c r="O1147" i="1"/>
  <c r="S1147" i="1" s="1"/>
  <c r="N1117" i="1"/>
  <c r="O1133" i="1"/>
  <c r="S1133" i="1" s="1"/>
  <c r="N1089" i="1"/>
  <c r="O1119" i="1"/>
  <c r="S1119" i="1" s="1"/>
  <c r="P1255" i="1"/>
  <c r="N1075" i="1"/>
  <c r="P1241" i="1"/>
  <c r="O1091" i="1"/>
  <c r="S1091" i="1" s="1"/>
  <c r="O1077" i="1"/>
  <c r="S1077" i="1" s="1"/>
  <c r="P1227" i="1"/>
  <c r="N1047" i="1"/>
  <c r="M1037" i="1"/>
  <c r="P1213" i="1"/>
  <c r="N1033" i="1"/>
  <c r="O1049" i="1"/>
  <c r="S1049" i="1" s="1"/>
  <c r="P1199" i="1"/>
  <c r="O1035" i="1"/>
  <c r="S1035" i="1" s="1"/>
  <c r="P1185" i="1"/>
  <c r="M995" i="1"/>
  <c r="N1005" i="1"/>
  <c r="N991" i="1"/>
  <c r="O1021" i="1"/>
  <c r="S1021" i="1" s="1"/>
  <c r="P1157" i="1"/>
  <c r="N977" i="1"/>
  <c r="O1007" i="1"/>
  <c r="S1007" i="1" s="1"/>
  <c r="P1143" i="1"/>
  <c r="O993" i="1"/>
  <c r="S993" i="1" s="1"/>
  <c r="N963" i="1"/>
  <c r="O979" i="1"/>
  <c r="S979" i="1" s="1"/>
  <c r="P1129" i="1"/>
  <c r="N935" i="1"/>
  <c r="O965" i="1"/>
  <c r="S965" i="1" s="1"/>
  <c r="M925" i="1"/>
  <c r="P1115" i="1"/>
  <c r="O951" i="1"/>
  <c r="S951" i="1" s="1"/>
  <c r="P1101" i="1"/>
  <c r="P1087" i="1"/>
  <c r="O923" i="1"/>
  <c r="S923" i="1" s="1"/>
  <c r="N893" i="1"/>
  <c r="O909" i="1"/>
  <c r="S909" i="1" s="1"/>
  <c r="N879" i="1"/>
  <c r="P1059" i="1"/>
  <c r="O895" i="1"/>
  <c r="S895" i="1" s="1"/>
  <c r="P1031" i="1"/>
  <c r="N851" i="1"/>
  <c r="M841" i="1"/>
  <c r="P1017" i="1"/>
  <c r="O867" i="1"/>
  <c r="S867" i="1" s="1"/>
  <c r="O853" i="1"/>
  <c r="S853" i="1" s="1"/>
  <c r="P1003" i="1"/>
  <c r="N823" i="1"/>
  <c r="P989" i="1"/>
  <c r="O839" i="1"/>
  <c r="S839" i="1" s="1"/>
  <c r="N809" i="1"/>
  <c r="M799" i="1"/>
  <c r="N795" i="1"/>
  <c r="P975" i="1"/>
  <c r="O825" i="1"/>
  <c r="S825" i="1" s="1"/>
  <c r="P961" i="1"/>
  <c r="O811" i="1"/>
  <c r="S811" i="1" s="1"/>
  <c r="N781" i="1"/>
  <c r="P947" i="1"/>
  <c r="O797" i="1"/>
  <c r="S797" i="1" s="1"/>
  <c r="N767" i="1"/>
  <c r="P933" i="1"/>
  <c r="N739" i="1"/>
  <c r="P919" i="1"/>
  <c r="O769" i="1"/>
  <c r="S769" i="1" s="1"/>
  <c r="M729" i="1"/>
  <c r="O755" i="1"/>
  <c r="S755" i="1" s="1"/>
  <c r="P905" i="1"/>
  <c r="P891" i="1"/>
  <c r="N711" i="1"/>
  <c r="P877" i="1"/>
  <c r="P863" i="1"/>
  <c r="N683" i="1"/>
  <c r="O699" i="1"/>
  <c r="S699" i="1" s="1"/>
  <c r="P849" i="1"/>
  <c r="N669" i="1"/>
  <c r="P835" i="1"/>
  <c r="M645" i="1"/>
  <c r="P821" i="1"/>
  <c r="O657" i="1"/>
  <c r="S657" i="1" s="1"/>
  <c r="P807" i="1"/>
  <c r="M603" i="1"/>
  <c r="P779" i="1"/>
  <c r="O629" i="1"/>
  <c r="S629" i="1" s="1"/>
  <c r="N599" i="1"/>
  <c r="N585" i="1"/>
  <c r="O615" i="1"/>
  <c r="S615" i="1" s="1"/>
  <c r="P765" i="1"/>
  <c r="P751" i="1"/>
  <c r="O601" i="1"/>
  <c r="S601" i="1" s="1"/>
  <c r="P737" i="1"/>
  <c r="O587" i="1"/>
  <c r="S587" i="1" s="1"/>
  <c r="N557" i="1"/>
  <c r="P723" i="1"/>
  <c r="N543" i="1"/>
  <c r="O573" i="1"/>
  <c r="S573" i="1" s="1"/>
  <c r="M533" i="1"/>
  <c r="P709" i="1"/>
  <c r="O559" i="1"/>
  <c r="S559" i="1" s="1"/>
  <c r="P695" i="1"/>
  <c r="O545" i="1"/>
  <c r="S545" i="1" s="1"/>
  <c r="P681" i="1"/>
  <c r="N487" i="1"/>
  <c r="P667" i="1"/>
  <c r="O517" i="1"/>
  <c r="S517" i="1" s="1"/>
  <c r="P653" i="1"/>
  <c r="N473" i="1"/>
  <c r="O503" i="1"/>
  <c r="S503" i="1" s="1"/>
  <c r="P639" i="1"/>
  <c r="O489" i="1"/>
  <c r="S489" i="1" s="1"/>
  <c r="M449" i="1"/>
  <c r="P625" i="1"/>
  <c r="O475" i="1"/>
  <c r="S475" i="1" s="1"/>
  <c r="N445" i="1"/>
  <c r="M435" i="1"/>
  <c r="O461" i="1"/>
  <c r="S461" i="1" s="1"/>
  <c r="P611" i="1"/>
  <c r="O447" i="1"/>
  <c r="S447" i="1" s="1"/>
  <c r="N417" i="1"/>
  <c r="M407" i="1"/>
  <c r="O433" i="1"/>
  <c r="S433" i="1" s="1"/>
  <c r="O419" i="1"/>
  <c r="S419" i="1" s="1"/>
  <c r="P569" i="1"/>
  <c r="N389" i="1"/>
  <c r="O405" i="1"/>
  <c r="S405" i="1" s="1"/>
  <c r="N375" i="1"/>
  <c r="P555" i="1"/>
  <c r="P541" i="1"/>
  <c r="O391" i="1"/>
  <c r="S391" i="1" s="1"/>
  <c r="P527" i="1"/>
  <c r="N347" i="1"/>
  <c r="O377" i="1"/>
  <c r="S377" i="1" s="1"/>
  <c r="M337" i="1"/>
  <c r="P513" i="1"/>
  <c r="N333" i="1"/>
  <c r="O363" i="1"/>
  <c r="S363" i="1" s="1"/>
  <c r="O349" i="1"/>
  <c r="S349" i="1" s="1"/>
  <c r="P485" i="1"/>
  <c r="N305" i="1"/>
  <c r="N291" i="1"/>
  <c r="O321" i="1"/>
  <c r="S321" i="1" s="1"/>
  <c r="P471" i="1"/>
  <c r="O307" i="1"/>
  <c r="S307" i="1" s="1"/>
  <c r="P443" i="1"/>
  <c r="O293" i="1"/>
  <c r="S293" i="1" s="1"/>
  <c r="M253" i="1"/>
  <c r="P429" i="1"/>
  <c r="M239" i="1"/>
  <c r="P415" i="1"/>
  <c r="N235" i="1"/>
  <c r="O265" i="1"/>
  <c r="S265" i="1" s="1"/>
  <c r="N221" i="1"/>
  <c r="M211" i="1"/>
  <c r="O251" i="1"/>
  <c r="S251" i="1" s="1"/>
  <c r="P387" i="1"/>
  <c r="O237" i="1"/>
  <c r="S237" i="1" s="1"/>
  <c r="O223" i="1"/>
  <c r="S223" i="1" s="1"/>
  <c r="P373" i="1"/>
  <c r="O209" i="1"/>
  <c r="S209" i="1" s="1"/>
  <c r="P359" i="1"/>
  <c r="N179" i="1"/>
  <c r="N165" i="1"/>
  <c r="V165" i="1" s="1"/>
  <c r="P345" i="1"/>
  <c r="O195" i="1"/>
  <c r="S195" i="1" s="1"/>
  <c r="P331" i="1"/>
  <c r="M141" i="1"/>
  <c r="N151" i="1"/>
  <c r="O181" i="1"/>
  <c r="S181" i="1" s="1"/>
  <c r="P317" i="1"/>
  <c r="N137" i="1"/>
  <c r="M127" i="1"/>
  <c r="O167" i="1"/>
  <c r="S167" i="1" s="1"/>
  <c r="M113" i="1"/>
  <c r="O153" i="1"/>
  <c r="S153" i="1" s="1"/>
  <c r="P289" i="1"/>
  <c r="M99" i="1"/>
  <c r="O139" i="1"/>
  <c r="S139" i="1" s="1"/>
  <c r="M85" i="1"/>
  <c r="O125" i="1"/>
  <c r="S125" i="1" s="1"/>
  <c r="N95" i="1"/>
  <c r="P261" i="1"/>
  <c r="M71" i="1"/>
  <c r="N81" i="1"/>
  <c r="O111" i="1"/>
  <c r="S111" i="1" s="1"/>
  <c r="P247" i="1"/>
  <c r="M57" i="1"/>
  <c r="O97" i="1"/>
  <c r="S97" i="1" s="1"/>
  <c r="O83" i="1"/>
  <c r="S83" i="1" s="1"/>
  <c r="P233" i="1"/>
  <c r="M43" i="1"/>
  <c r="P219" i="1"/>
  <c r="N39" i="1"/>
  <c r="M29" i="1"/>
  <c r="O69" i="1"/>
  <c r="S69" i="1" s="1"/>
  <c r="M15" i="1"/>
  <c r="P205" i="1"/>
  <c r="M1194" i="1"/>
  <c r="M1149" i="1"/>
  <c r="M1126" i="1"/>
  <c r="M1011" i="1"/>
  <c r="M944" i="1"/>
  <c r="M899" i="1"/>
  <c r="M855" i="1"/>
  <c r="M830" i="1"/>
  <c r="U830" i="1" s="1"/>
  <c r="M786" i="1"/>
  <c r="M761" i="1"/>
  <c r="M718" i="1"/>
  <c r="M649" i="1"/>
  <c r="M605" i="1"/>
  <c r="M580" i="1"/>
  <c r="M481" i="1"/>
  <c r="M455" i="1"/>
  <c r="M356" i="1"/>
  <c r="M330" i="1"/>
  <c r="U330" i="1" s="1"/>
  <c r="M281" i="1"/>
  <c r="M257" i="1"/>
  <c r="M227" i="1"/>
  <c r="M201" i="1"/>
  <c r="U201" i="1" s="1"/>
  <c r="M172" i="1"/>
  <c r="M146" i="1"/>
  <c r="M115" i="1"/>
  <c r="M86" i="1"/>
  <c r="N1051" i="1"/>
  <c r="N881" i="1"/>
  <c r="N672" i="1"/>
  <c r="N604" i="1"/>
  <c r="N530" i="1"/>
  <c r="N462" i="1"/>
  <c r="N348" i="1"/>
  <c r="N263" i="1"/>
  <c r="N180" i="1"/>
  <c r="O1175" i="1"/>
  <c r="S1175" i="1" s="1"/>
  <c r="O1123" i="1"/>
  <c r="S1123" i="1" s="1"/>
  <c r="O713" i="1"/>
  <c r="S713" i="1" s="1"/>
  <c r="O605" i="1"/>
  <c r="S605" i="1" s="1"/>
  <c r="O531" i="1"/>
  <c r="S531" i="1" s="1"/>
  <c r="O257" i="1"/>
  <c r="S257" i="1" s="1"/>
  <c r="O186" i="1"/>
  <c r="S186" i="1" s="1"/>
  <c r="P657" i="1"/>
  <c r="P558" i="1"/>
  <c r="P457" i="1"/>
  <c r="O354" i="1"/>
  <c r="S354" i="1" s="1"/>
  <c r="P502" i="1"/>
  <c r="N1248" i="1"/>
  <c r="M1154" i="1"/>
  <c r="O1194" i="1"/>
  <c r="S1194" i="1" s="1"/>
  <c r="O1152" i="1"/>
  <c r="S1152" i="1" s="1"/>
  <c r="N1122" i="1"/>
  <c r="N1066" i="1"/>
  <c r="P1246" i="1"/>
  <c r="O1096" i="1"/>
  <c r="S1096" i="1" s="1"/>
  <c r="P1218" i="1"/>
  <c r="N1038" i="1"/>
  <c r="O1068" i="1"/>
  <c r="S1068" i="1" s="1"/>
  <c r="P1162" i="1"/>
  <c r="N926" i="1"/>
  <c r="O956" i="1"/>
  <c r="S956" i="1" s="1"/>
  <c r="W956" i="1" s="1"/>
  <c r="P1106" i="1"/>
  <c r="O914" i="1"/>
  <c r="S914" i="1" s="1"/>
  <c r="P1064" i="1"/>
  <c r="P1008" i="1"/>
  <c r="N828" i="1"/>
  <c r="O858" i="1"/>
  <c r="S858" i="1" s="1"/>
  <c r="P854" i="1"/>
  <c r="O704" i="1"/>
  <c r="S704" i="1" s="1"/>
  <c r="P686" i="1"/>
  <c r="O536" i="1"/>
  <c r="S536" i="1" s="1"/>
  <c r="M496" i="1"/>
  <c r="O298" i="1"/>
  <c r="S298" i="1" s="1"/>
  <c r="P448" i="1"/>
  <c r="N268" i="1"/>
  <c r="N1063" i="1"/>
  <c r="M1250" i="1"/>
  <c r="N1232" i="1"/>
  <c r="N1204" i="1"/>
  <c r="N1176" i="1"/>
  <c r="O1206" i="1"/>
  <c r="S1206" i="1" s="1"/>
  <c r="N1175" i="1"/>
  <c r="M1138" i="1"/>
  <c r="O1178" i="1"/>
  <c r="S1178" i="1" s="1"/>
  <c r="O1150" i="1"/>
  <c r="S1150" i="1" s="1"/>
  <c r="N1120" i="1"/>
  <c r="O1148" i="1"/>
  <c r="S1148" i="1" s="1"/>
  <c r="M1108" i="1"/>
  <c r="O1121" i="1"/>
  <c r="S1121" i="1" s="1"/>
  <c r="N1092" i="1"/>
  <c r="O1094" i="1"/>
  <c r="S1094" i="1" s="1"/>
  <c r="M1054" i="1"/>
  <c r="U1054" i="1" s="1"/>
  <c r="N1036" i="1"/>
  <c r="O1066" i="1"/>
  <c r="S1066" i="1" s="1"/>
  <c r="P1216" i="1"/>
  <c r="P1188" i="1"/>
  <c r="O1038" i="1"/>
  <c r="S1038" i="1" s="1"/>
  <c r="N1008" i="1"/>
  <c r="N980" i="1"/>
  <c r="O1010" i="1"/>
  <c r="S1010" i="1" s="1"/>
  <c r="P1160" i="1"/>
  <c r="P1132" i="1"/>
  <c r="O982" i="1"/>
  <c r="S982" i="1" s="1"/>
  <c r="M942" i="1"/>
  <c r="P1104" i="1"/>
  <c r="O954" i="1"/>
  <c r="S954" i="1" s="1"/>
  <c r="W954" i="1" s="1"/>
  <c r="M912" i="1"/>
  <c r="N922" i="1"/>
  <c r="O926" i="1"/>
  <c r="S926" i="1" s="1"/>
  <c r="P1076" i="1"/>
  <c r="O898" i="1"/>
  <c r="S898" i="1" s="1"/>
  <c r="P1048" i="1"/>
  <c r="N868" i="1"/>
  <c r="M858" i="1"/>
  <c r="O870" i="1"/>
  <c r="S870" i="1" s="1"/>
  <c r="P1020" i="1"/>
  <c r="P992" i="1"/>
  <c r="N812" i="1"/>
  <c r="O842" i="1"/>
  <c r="S842" i="1" s="1"/>
  <c r="N810" i="1"/>
  <c r="N784" i="1"/>
  <c r="P964" i="1"/>
  <c r="O814" i="1"/>
  <c r="S814" i="1" s="1"/>
  <c r="O772" i="1"/>
  <c r="S772" i="1" s="1"/>
  <c r="P922" i="1"/>
  <c r="N714" i="1"/>
  <c r="P894" i="1"/>
  <c r="N712" i="1"/>
  <c r="O716" i="1"/>
  <c r="S716" i="1" s="1"/>
  <c r="P866" i="1"/>
  <c r="P838" i="1"/>
  <c r="X838" i="1" s="1"/>
  <c r="O688" i="1"/>
  <c r="S688" i="1" s="1"/>
  <c r="N656" i="1"/>
  <c r="P810" i="1"/>
  <c r="O660" i="1"/>
  <c r="S660" i="1" s="1"/>
  <c r="M620" i="1"/>
  <c r="P782" i="1"/>
  <c r="N602" i="1"/>
  <c r="M591" i="1"/>
  <c r="O632" i="1"/>
  <c r="S632" i="1" s="1"/>
  <c r="O604" i="1"/>
  <c r="S604" i="1" s="1"/>
  <c r="P754" i="1"/>
  <c r="P726" i="1"/>
  <c r="X726" i="1" s="1"/>
  <c r="N545" i="1"/>
  <c r="P698" i="1"/>
  <c r="O548" i="1"/>
  <c r="S548" i="1" s="1"/>
  <c r="W548" i="1" s="1"/>
  <c r="M506" i="1"/>
  <c r="U506" i="1" s="1"/>
  <c r="P670" i="1"/>
  <c r="O520" i="1"/>
  <c r="S520" i="1" s="1"/>
  <c r="N490" i="1"/>
  <c r="P656" i="1"/>
  <c r="O506" i="1"/>
  <c r="S506" i="1" s="1"/>
  <c r="M466" i="1"/>
  <c r="P628" i="1"/>
  <c r="N446" i="1"/>
  <c r="O478" i="1"/>
  <c r="S478" i="1" s="1"/>
  <c r="O450" i="1"/>
  <c r="S450" i="1" s="1"/>
  <c r="P600" i="1"/>
  <c r="N420" i="1"/>
  <c r="V420" i="1" s="1"/>
  <c r="N392" i="1"/>
  <c r="P572" i="1"/>
  <c r="O422" i="1"/>
  <c r="S422" i="1" s="1"/>
  <c r="M381" i="1"/>
  <c r="P544" i="1"/>
  <c r="O392" i="1"/>
  <c r="S392" i="1" s="1"/>
  <c r="M354" i="1"/>
  <c r="N364" i="1"/>
  <c r="P516" i="1"/>
  <c r="N334" i="1"/>
  <c r="M324" i="1"/>
  <c r="O364" i="1"/>
  <c r="S364" i="1" s="1"/>
  <c r="O338" i="1"/>
  <c r="S338" i="1" s="1"/>
  <c r="W338" i="1" s="1"/>
  <c r="N308" i="1"/>
  <c r="N280" i="1"/>
  <c r="V280" i="1" s="1"/>
  <c r="O308" i="1"/>
  <c r="S308" i="1" s="1"/>
  <c r="M270" i="1"/>
  <c r="P432" i="1"/>
  <c r="O281" i="1"/>
  <c r="S281" i="1" s="1"/>
  <c r="O254" i="1"/>
  <c r="S254" i="1" s="1"/>
  <c r="P404" i="1"/>
  <c r="M213" i="1"/>
  <c r="N223" i="1"/>
  <c r="O226" i="1"/>
  <c r="S226" i="1" s="1"/>
  <c r="P376" i="1"/>
  <c r="N196" i="1"/>
  <c r="M185" i="1"/>
  <c r="P348" i="1"/>
  <c r="N168" i="1"/>
  <c r="M158" i="1"/>
  <c r="U158" i="1" s="1"/>
  <c r="P320" i="1"/>
  <c r="N140" i="1"/>
  <c r="M130" i="1"/>
  <c r="P292" i="1"/>
  <c r="M102" i="1"/>
  <c r="N84" i="1"/>
  <c r="O114" i="1"/>
  <c r="S114" i="1" s="1"/>
  <c r="M72" i="1"/>
  <c r="P236" i="1"/>
  <c r="N56" i="1"/>
  <c r="M46" i="1"/>
  <c r="M44" i="1"/>
  <c r="O85" i="1"/>
  <c r="S85" i="1" s="1"/>
  <c r="O58" i="1"/>
  <c r="S58" i="1" s="1"/>
  <c r="P208" i="1"/>
  <c r="N28" i="1"/>
  <c r="M1221" i="1"/>
  <c r="M1177" i="1"/>
  <c r="M1040" i="1"/>
  <c r="M994" i="1"/>
  <c r="M902" i="1"/>
  <c r="M859" i="1"/>
  <c r="M813" i="1"/>
  <c r="M677" i="1"/>
  <c r="M632" i="1"/>
  <c r="M588" i="1"/>
  <c r="M536" i="1"/>
  <c r="M437" i="1"/>
  <c r="M385" i="1"/>
  <c r="M338" i="1"/>
  <c r="M286" i="1"/>
  <c r="M59" i="1"/>
  <c r="N1189" i="1"/>
  <c r="N1061" i="1"/>
  <c r="N921" i="1"/>
  <c r="N853" i="1"/>
  <c r="N783" i="1"/>
  <c r="N713" i="1"/>
  <c r="N641" i="1"/>
  <c r="N574" i="1"/>
  <c r="N506" i="1"/>
  <c r="V506" i="1" s="1"/>
  <c r="N433" i="1"/>
  <c r="N351" i="1"/>
  <c r="N276" i="1"/>
  <c r="N108" i="1"/>
  <c r="O1138" i="1"/>
  <c r="S1138" i="1" s="1"/>
  <c r="O912" i="1"/>
  <c r="S912" i="1" s="1"/>
  <c r="O675" i="1"/>
  <c r="S675" i="1" s="1"/>
  <c r="O549" i="1"/>
  <c r="S549" i="1" s="1"/>
  <c r="O412" i="1"/>
  <c r="S412" i="1" s="1"/>
  <c r="O278" i="1"/>
  <c r="S278" i="1" s="1"/>
  <c r="P1045" i="1"/>
  <c r="P880" i="1"/>
  <c r="P473" i="1"/>
  <c r="P1229" i="1"/>
  <c r="N979" i="1"/>
  <c r="M871" i="1"/>
  <c r="O603" i="1"/>
  <c r="S603" i="1" s="1"/>
  <c r="M1246" i="1"/>
  <c r="N1256" i="1"/>
  <c r="N1200" i="1"/>
  <c r="O1230" i="1"/>
  <c r="S1230" i="1" s="1"/>
  <c r="N1186" i="1"/>
  <c r="M1162" i="1"/>
  <c r="O1188" i="1"/>
  <c r="S1188" i="1" s="1"/>
  <c r="N1130" i="1"/>
  <c r="M1120" i="1"/>
  <c r="O1160" i="1"/>
  <c r="S1160" i="1" s="1"/>
  <c r="N1116" i="1"/>
  <c r="O1146" i="1"/>
  <c r="S1146" i="1" s="1"/>
  <c r="O1132" i="1"/>
  <c r="S1132" i="1" s="1"/>
  <c r="N1088" i="1"/>
  <c r="O1118" i="1"/>
  <c r="S1118" i="1" s="1"/>
  <c r="P1254" i="1"/>
  <c r="N1074" i="1"/>
  <c r="N1060" i="1"/>
  <c r="M1050" i="1"/>
  <c r="P1226" i="1"/>
  <c r="O1076" i="1"/>
  <c r="S1076" i="1" s="1"/>
  <c r="N1046" i="1"/>
  <c r="P1212" i="1"/>
  <c r="O1062" i="1"/>
  <c r="S1062" i="1" s="1"/>
  <c r="P1184" i="1"/>
  <c r="X1184" i="1" s="1"/>
  <c r="O1034" i="1"/>
  <c r="S1034" i="1" s="1"/>
  <c r="N990" i="1"/>
  <c r="O1020" i="1"/>
  <c r="S1020" i="1" s="1"/>
  <c r="P1170" i="1"/>
  <c r="N976" i="1"/>
  <c r="M966" i="1"/>
  <c r="P1142" i="1"/>
  <c r="O992" i="1"/>
  <c r="S992" i="1" s="1"/>
  <c r="P1128" i="1"/>
  <c r="P1114" i="1"/>
  <c r="O964" i="1"/>
  <c r="S964" i="1" s="1"/>
  <c r="N934" i="1"/>
  <c r="M924" i="1"/>
  <c r="P1100" i="1"/>
  <c r="N920" i="1"/>
  <c r="O936" i="1"/>
  <c r="S936" i="1" s="1"/>
  <c r="O922" i="1"/>
  <c r="S922" i="1" s="1"/>
  <c r="N892" i="1"/>
  <c r="P1072" i="1"/>
  <c r="N878" i="1"/>
  <c r="P1058" i="1"/>
  <c r="O908" i="1"/>
  <c r="S908" i="1" s="1"/>
  <c r="O894" i="1"/>
  <c r="S894" i="1" s="1"/>
  <c r="M854" i="1"/>
  <c r="P1030" i="1"/>
  <c r="O866" i="1"/>
  <c r="S866" i="1" s="1"/>
  <c r="P1016" i="1"/>
  <c r="X1016" i="1" s="1"/>
  <c r="P1002" i="1"/>
  <c r="O852" i="1"/>
  <c r="S852" i="1" s="1"/>
  <c r="N822" i="1"/>
  <c r="P988" i="1"/>
  <c r="O838" i="1"/>
  <c r="S838" i="1" s="1"/>
  <c r="P974" i="1"/>
  <c r="O824" i="1"/>
  <c r="S824" i="1" s="1"/>
  <c r="P960" i="1"/>
  <c r="O810" i="1"/>
  <c r="S810" i="1" s="1"/>
  <c r="N780" i="1"/>
  <c r="M770" i="1"/>
  <c r="P946" i="1"/>
  <c r="O796" i="1"/>
  <c r="S796" i="1" s="1"/>
  <c r="P932" i="1"/>
  <c r="O768" i="1"/>
  <c r="S768" i="1" s="1"/>
  <c r="P918" i="1"/>
  <c r="M728" i="1"/>
  <c r="N724" i="1"/>
  <c r="O754" i="1"/>
  <c r="S754" i="1" s="1"/>
  <c r="P904" i="1"/>
  <c r="P890" i="1"/>
  <c r="N710" i="1"/>
  <c r="O740" i="1"/>
  <c r="S740" i="1" s="1"/>
  <c r="W740" i="1" s="1"/>
  <c r="P876" i="1"/>
  <c r="O726" i="1"/>
  <c r="S726" i="1" s="1"/>
  <c r="W726" i="1" s="1"/>
  <c r="P862" i="1"/>
  <c r="X862" i="1" s="1"/>
  <c r="N682" i="1"/>
  <c r="O698" i="1"/>
  <c r="S698" i="1" s="1"/>
  <c r="N668" i="1"/>
  <c r="M658" i="1"/>
  <c r="P834" i="1"/>
  <c r="O684" i="1"/>
  <c r="S684" i="1" s="1"/>
  <c r="P820" i="1"/>
  <c r="O670" i="1"/>
  <c r="S670" i="1" s="1"/>
  <c r="P806" i="1"/>
  <c r="O656" i="1"/>
  <c r="S656" i="1" s="1"/>
  <c r="O642" i="1"/>
  <c r="S642" i="1" s="1"/>
  <c r="P792" i="1"/>
  <c r="P778" i="1"/>
  <c r="O628" i="1"/>
  <c r="S628" i="1" s="1"/>
  <c r="N598" i="1"/>
  <c r="N584" i="1"/>
  <c r="P764" i="1"/>
  <c r="M574" i="1"/>
  <c r="P750" i="1"/>
  <c r="O600" i="1"/>
  <c r="S600" i="1" s="1"/>
  <c r="N570" i="1"/>
  <c r="M560" i="1"/>
  <c r="N556" i="1"/>
  <c r="O586" i="1"/>
  <c r="S586" i="1" s="1"/>
  <c r="P736" i="1"/>
  <c r="P722" i="1"/>
  <c r="O572" i="1"/>
  <c r="S572" i="1" s="1"/>
  <c r="N542" i="1"/>
  <c r="M532" i="1"/>
  <c r="N528" i="1"/>
  <c r="V528" i="1" s="1"/>
  <c r="O558" i="1"/>
  <c r="S558" i="1" s="1"/>
  <c r="P708" i="1"/>
  <c r="P694" i="1"/>
  <c r="O544" i="1"/>
  <c r="S544" i="1" s="1"/>
  <c r="N500" i="1"/>
  <c r="P666" i="1"/>
  <c r="O516" i="1"/>
  <c r="S516" i="1" s="1"/>
  <c r="N486" i="1"/>
  <c r="N472" i="1"/>
  <c r="M462" i="1"/>
  <c r="P652" i="1"/>
  <c r="O488" i="1"/>
  <c r="S488" i="1" s="1"/>
  <c r="P638" i="1"/>
  <c r="P624" i="1"/>
  <c r="N444" i="1"/>
  <c r="P610" i="1"/>
  <c r="O460" i="1"/>
  <c r="S460" i="1" s="1"/>
  <c r="N430" i="1"/>
  <c r="O446" i="1"/>
  <c r="S446" i="1" s="1"/>
  <c r="P596" i="1"/>
  <c r="P582" i="1"/>
  <c r="O432" i="1"/>
  <c r="S432" i="1" s="1"/>
  <c r="P568" i="1"/>
  <c r="O418" i="1"/>
  <c r="S418" i="1" s="1"/>
  <c r="M378" i="1"/>
  <c r="O404" i="1"/>
  <c r="S404" i="1" s="1"/>
  <c r="N374" i="1"/>
  <c r="P554" i="1"/>
  <c r="M364" i="1"/>
  <c r="O390" i="1"/>
  <c r="S390" i="1" s="1"/>
  <c r="P540" i="1"/>
  <c r="O376" i="1"/>
  <c r="S376" i="1" s="1"/>
  <c r="M336" i="1"/>
  <c r="P526" i="1"/>
  <c r="P512" i="1"/>
  <c r="N332" i="1"/>
  <c r="O362" i="1"/>
  <c r="S362" i="1" s="1"/>
  <c r="P498" i="1"/>
  <c r="O348" i="1"/>
  <c r="S348" i="1" s="1"/>
  <c r="N318" i="1"/>
  <c r="P484" i="1"/>
  <c r="N290" i="1"/>
  <c r="V290" i="1" s="1"/>
  <c r="P470" i="1"/>
  <c r="O320" i="1"/>
  <c r="S320" i="1" s="1"/>
  <c r="P456" i="1"/>
  <c r="O306" i="1"/>
  <c r="S306" i="1" s="1"/>
  <c r="M266" i="1"/>
  <c r="P442" i="1"/>
  <c r="O292" i="1"/>
  <c r="S292" i="1" s="1"/>
  <c r="N262" i="1"/>
  <c r="P428" i="1"/>
  <c r="N248" i="1"/>
  <c r="P414" i="1"/>
  <c r="N234" i="1"/>
  <c r="O264" i="1"/>
  <c r="S264" i="1" s="1"/>
  <c r="N220" i="1"/>
  <c r="P400" i="1"/>
  <c r="O250" i="1"/>
  <c r="S250" i="1" s="1"/>
  <c r="P386" i="1"/>
  <c r="O236" i="1"/>
  <c r="S236" i="1" s="1"/>
  <c r="M196" i="1"/>
  <c r="P372" i="1"/>
  <c r="O222" i="1"/>
  <c r="S222" i="1" s="1"/>
  <c r="N192" i="1"/>
  <c r="M182" i="1"/>
  <c r="U182" i="1" s="1"/>
  <c r="O208" i="1"/>
  <c r="S208" i="1" s="1"/>
  <c r="P358" i="1"/>
  <c r="M168" i="1"/>
  <c r="O194" i="1"/>
  <c r="S194" i="1" s="1"/>
  <c r="P344" i="1"/>
  <c r="N164" i="1"/>
  <c r="P330" i="1"/>
  <c r="N150" i="1"/>
  <c r="O180" i="1"/>
  <c r="S180" i="1" s="1"/>
  <c r="M140" i="1"/>
  <c r="P316" i="1"/>
  <c r="N136" i="1"/>
  <c r="O166" i="1"/>
  <c r="S166" i="1" s="1"/>
  <c r="M126" i="1"/>
  <c r="P302" i="1"/>
  <c r="O152" i="1"/>
  <c r="S152" i="1" s="1"/>
  <c r="P288" i="1"/>
  <c r="O138" i="1"/>
  <c r="S138" i="1" s="1"/>
  <c r="P274" i="1"/>
  <c r="O124" i="1"/>
  <c r="S124" i="1" s="1"/>
  <c r="P260" i="1"/>
  <c r="N80" i="1"/>
  <c r="O110" i="1"/>
  <c r="S110" i="1" s="1"/>
  <c r="P246" i="1"/>
  <c r="O96" i="1"/>
  <c r="S96" i="1" s="1"/>
  <c r="P232" i="1"/>
  <c r="O82" i="1"/>
  <c r="S82" i="1" s="1"/>
  <c r="M42" i="1"/>
  <c r="P218" i="1"/>
  <c r="N38" i="1"/>
  <c r="O68" i="1"/>
  <c r="S68" i="1" s="1"/>
  <c r="M28" i="1"/>
  <c r="U28" i="1" s="1"/>
  <c r="P204" i="1"/>
  <c r="N24" i="1"/>
  <c r="M14" i="1"/>
  <c r="M1237" i="1"/>
  <c r="M1193" i="1"/>
  <c r="M1168" i="1"/>
  <c r="M1148" i="1"/>
  <c r="M1124" i="1"/>
  <c r="M1079" i="1"/>
  <c r="M1056" i="1"/>
  <c r="U1056" i="1" s="1"/>
  <c r="M1010" i="1"/>
  <c r="M967" i="1"/>
  <c r="U967" i="1" s="1"/>
  <c r="M943" i="1"/>
  <c r="M898" i="1"/>
  <c r="M874" i="1"/>
  <c r="M829" i="1"/>
  <c r="M785" i="1"/>
  <c r="M760" i="1"/>
  <c r="M717" i="1"/>
  <c r="M648" i="1"/>
  <c r="M602" i="1"/>
  <c r="M579" i="1"/>
  <c r="M505" i="1"/>
  <c r="M480" i="1"/>
  <c r="M454" i="1"/>
  <c r="M428" i="1"/>
  <c r="M380" i="1"/>
  <c r="M355" i="1"/>
  <c r="M329" i="1"/>
  <c r="M280" i="1"/>
  <c r="U280" i="1" s="1"/>
  <c r="M255" i="1"/>
  <c r="M226" i="1"/>
  <c r="M200" i="1"/>
  <c r="M171" i="1"/>
  <c r="M144" i="1"/>
  <c r="M114" i="1"/>
  <c r="M84" i="1"/>
  <c r="M22" i="1"/>
  <c r="N1147" i="1"/>
  <c r="N1049" i="1"/>
  <c r="N982" i="1"/>
  <c r="N907" i="1"/>
  <c r="N839" i="1"/>
  <c r="N772" i="1"/>
  <c r="N738" i="1"/>
  <c r="N671" i="1"/>
  <c r="N529" i="1"/>
  <c r="N461" i="1"/>
  <c r="N418" i="1"/>
  <c r="N346" i="1"/>
  <c r="N178" i="1"/>
  <c r="N138" i="1"/>
  <c r="N43" i="1"/>
  <c r="O1174" i="1"/>
  <c r="S1174" i="1" s="1"/>
  <c r="O1122" i="1"/>
  <c r="S1122" i="1" s="1"/>
  <c r="O1012" i="1"/>
  <c r="S1012" i="1" s="1"/>
  <c r="O952" i="1"/>
  <c r="S952" i="1" s="1"/>
  <c r="O896" i="1"/>
  <c r="S896" i="1" s="1"/>
  <c r="O712" i="1"/>
  <c r="S712" i="1" s="1"/>
  <c r="O661" i="1"/>
  <c r="S661" i="1" s="1"/>
  <c r="O530" i="1"/>
  <c r="S530" i="1" s="1"/>
  <c r="O393" i="1"/>
  <c r="S393" i="1" s="1"/>
  <c r="O325" i="1"/>
  <c r="S325" i="1" s="1"/>
  <c r="O256" i="1"/>
  <c r="S256" i="1" s="1"/>
  <c r="O185" i="1"/>
  <c r="S185" i="1" s="1"/>
  <c r="O112" i="1"/>
  <c r="S112" i="1" s="1"/>
  <c r="P1092" i="1"/>
  <c r="P1021" i="1"/>
  <c r="P952" i="1"/>
  <c r="P655" i="1"/>
  <c r="P445" i="1"/>
  <c r="O1162" i="1"/>
  <c r="S1162" i="1" s="1"/>
  <c r="O840" i="1"/>
  <c r="S840" i="1" s="1"/>
  <c r="P202" i="1"/>
  <c r="M12" i="1"/>
  <c r="O52" i="1"/>
  <c r="O1209" i="1"/>
  <c r="S1209" i="1" s="1"/>
  <c r="O1195" i="1"/>
  <c r="S1195" i="1" s="1"/>
  <c r="O1181" i="1"/>
  <c r="S1181" i="1" s="1"/>
  <c r="N1137" i="1"/>
  <c r="O1111" i="1"/>
  <c r="S1111" i="1" s="1"/>
  <c r="O1097" i="1"/>
  <c r="S1097" i="1" s="1"/>
  <c r="P1233" i="1"/>
  <c r="O1083" i="1"/>
  <c r="S1083" i="1" s="1"/>
  <c r="P1219" i="1"/>
  <c r="X1219" i="1" s="1"/>
  <c r="N1039" i="1"/>
  <c r="N1025" i="1"/>
  <c r="O1055" i="1"/>
  <c r="S1055" i="1" s="1"/>
  <c r="P1191" i="1"/>
  <c r="N997" i="1"/>
  <c r="O1013" i="1"/>
  <c r="S1013" i="1" s="1"/>
  <c r="P1149" i="1"/>
  <c r="O999" i="1"/>
  <c r="S999" i="1" s="1"/>
  <c r="N941" i="1"/>
  <c r="O971" i="1"/>
  <c r="S971" i="1" s="1"/>
  <c r="N927" i="1"/>
  <c r="O943" i="1"/>
  <c r="S943" i="1" s="1"/>
  <c r="P1093" i="1"/>
  <c r="P1079" i="1"/>
  <c r="O915" i="1"/>
  <c r="S915" i="1" s="1"/>
  <c r="O901" i="1"/>
  <c r="S901" i="1" s="1"/>
  <c r="P1051" i="1"/>
  <c r="N871" i="1"/>
  <c r="P1037" i="1"/>
  <c r="O887" i="1"/>
  <c r="S887" i="1" s="1"/>
  <c r="P1023" i="1"/>
  <c r="O873" i="1"/>
  <c r="S873" i="1" s="1"/>
  <c r="N843" i="1"/>
  <c r="P1009" i="1"/>
  <c r="N829" i="1"/>
  <c r="P995" i="1"/>
  <c r="P981" i="1"/>
  <c r="P967" i="1"/>
  <c r="X967" i="1" s="1"/>
  <c r="O817" i="1"/>
  <c r="S817" i="1" s="1"/>
  <c r="O803" i="1"/>
  <c r="S803" i="1" s="1"/>
  <c r="N731" i="1"/>
  <c r="P897" i="1"/>
  <c r="P883" i="1"/>
  <c r="O733" i="1"/>
  <c r="S733" i="1" s="1"/>
  <c r="W733" i="1" s="1"/>
  <c r="P869" i="1"/>
  <c r="O705" i="1"/>
  <c r="S705" i="1" s="1"/>
  <c r="P855" i="1"/>
  <c r="P841" i="1"/>
  <c r="O691" i="1"/>
  <c r="S691" i="1" s="1"/>
  <c r="P827" i="1"/>
  <c r="O677" i="1"/>
  <c r="S677" i="1" s="1"/>
  <c r="N633" i="1"/>
  <c r="P813" i="1"/>
  <c r="P799" i="1"/>
  <c r="N619" i="1"/>
  <c r="O649" i="1"/>
  <c r="S649" i="1" s="1"/>
  <c r="P785" i="1"/>
  <c r="N605" i="1"/>
  <c r="O621" i="1"/>
  <c r="S621" i="1" s="1"/>
  <c r="P771" i="1"/>
  <c r="P757" i="1"/>
  <c r="O607" i="1"/>
  <c r="S607" i="1" s="1"/>
  <c r="O593" i="1"/>
  <c r="S593" i="1" s="1"/>
  <c r="O579" i="1"/>
  <c r="S579" i="1" s="1"/>
  <c r="P729" i="1"/>
  <c r="N535" i="1"/>
  <c r="P701" i="1"/>
  <c r="N521" i="1"/>
  <c r="O537" i="1"/>
  <c r="S537" i="1" s="1"/>
  <c r="O509" i="1"/>
  <c r="S509" i="1" s="1"/>
  <c r="P659" i="1"/>
  <c r="N479" i="1"/>
  <c r="O495" i="1"/>
  <c r="S495" i="1" s="1"/>
  <c r="P645" i="1"/>
  <c r="O481" i="1"/>
  <c r="S481" i="1" s="1"/>
  <c r="P631" i="1"/>
  <c r="N437" i="1"/>
  <c r="O453" i="1"/>
  <c r="S453" i="1" s="1"/>
  <c r="N423" i="1"/>
  <c r="P603" i="1"/>
  <c r="P589" i="1"/>
  <c r="O425" i="1"/>
  <c r="S425" i="1" s="1"/>
  <c r="P575" i="1"/>
  <c r="P561" i="1"/>
  <c r="P547" i="1"/>
  <c r="P533" i="1"/>
  <c r="O383" i="1"/>
  <c r="S383" i="1" s="1"/>
  <c r="P519" i="1"/>
  <c r="P505" i="1"/>
  <c r="N325" i="1"/>
  <c r="O355" i="1"/>
  <c r="S355" i="1" s="1"/>
  <c r="P491" i="1"/>
  <c r="O341" i="1"/>
  <c r="S341" i="1" s="1"/>
  <c r="O327" i="1"/>
  <c r="S327" i="1" s="1"/>
  <c r="P477" i="1"/>
  <c r="P463" i="1"/>
  <c r="O313" i="1"/>
  <c r="S313" i="1" s="1"/>
  <c r="N283" i="1"/>
  <c r="O299" i="1"/>
  <c r="S299" i="1" s="1"/>
  <c r="P449" i="1"/>
  <c r="N255" i="1"/>
  <c r="P435" i="1"/>
  <c r="O285" i="1"/>
  <c r="S285" i="1" s="1"/>
  <c r="P421" i="1"/>
  <c r="O271" i="1"/>
  <c r="S271" i="1" s="1"/>
  <c r="P393" i="1"/>
  <c r="P379" i="1"/>
  <c r="O229" i="1"/>
  <c r="S229" i="1" s="1"/>
  <c r="N199" i="1"/>
  <c r="P365" i="1"/>
  <c r="O215" i="1"/>
  <c r="S215" i="1" s="1"/>
  <c r="N185" i="1"/>
  <c r="P351" i="1"/>
  <c r="N157" i="1"/>
  <c r="P323" i="1"/>
  <c r="O173" i="1"/>
  <c r="S173" i="1" s="1"/>
  <c r="N129" i="1"/>
  <c r="O159" i="1"/>
  <c r="S159" i="1" s="1"/>
  <c r="P309" i="1"/>
  <c r="X309" i="1" s="1"/>
  <c r="P295" i="1"/>
  <c r="M105" i="1"/>
  <c r="N115" i="1"/>
  <c r="O145" i="1"/>
  <c r="S145" i="1" s="1"/>
  <c r="P281" i="1"/>
  <c r="M91" i="1"/>
  <c r="O117" i="1"/>
  <c r="S117" i="1" s="1"/>
  <c r="M77" i="1"/>
  <c r="P267" i="1"/>
  <c r="P253" i="1"/>
  <c r="O103" i="1"/>
  <c r="S103" i="1" s="1"/>
  <c r="P239" i="1"/>
  <c r="N59" i="1"/>
  <c r="O89" i="1"/>
  <c r="S89" i="1" s="1"/>
  <c r="N45" i="1"/>
  <c r="O75" i="1"/>
  <c r="S75" i="1" s="1"/>
  <c r="M1071" i="1"/>
  <c r="M875" i="1"/>
  <c r="M679" i="1"/>
  <c r="M483" i="1"/>
  <c r="M287" i="1"/>
  <c r="N1179" i="1"/>
  <c r="N1095" i="1"/>
  <c r="O439" i="1"/>
  <c r="S439" i="1" s="1"/>
  <c r="P939" i="1"/>
  <c r="O957" i="1"/>
  <c r="S957" i="1" s="1"/>
  <c r="O789" i="1"/>
  <c r="S789" i="1" s="1"/>
  <c r="O467" i="1"/>
  <c r="S467" i="1" s="1"/>
  <c r="P1107" i="1"/>
  <c r="P1065" i="1"/>
  <c r="P407" i="1"/>
  <c r="N1245" i="1"/>
  <c r="O1247" i="1"/>
  <c r="S1247" i="1" s="1"/>
  <c r="N1217" i="1"/>
  <c r="O1093" i="1"/>
  <c r="S1093" i="1" s="1"/>
  <c r="P1243" i="1"/>
  <c r="O1065" i="1"/>
  <c r="S1065" i="1" s="1"/>
  <c r="P1215" i="1"/>
  <c r="P1187" i="1"/>
  <c r="O1037" i="1"/>
  <c r="S1037" i="1" s="1"/>
  <c r="N1007" i="1"/>
  <c r="N965" i="1"/>
  <c r="P1145" i="1"/>
  <c r="O967" i="1"/>
  <c r="S967" i="1" s="1"/>
  <c r="W967" i="1" s="1"/>
  <c r="P1117" i="1"/>
  <c r="X1117" i="1" s="1"/>
  <c r="N909" i="1"/>
  <c r="P1089" i="1"/>
  <c r="O939" i="1"/>
  <c r="S939" i="1" s="1"/>
  <c r="O869" i="1"/>
  <c r="S869" i="1" s="1"/>
  <c r="P1019" i="1"/>
  <c r="N811" i="1"/>
  <c r="P991" i="1"/>
  <c r="P949" i="1"/>
  <c r="N769" i="1"/>
  <c r="P921" i="1"/>
  <c r="O771" i="1"/>
  <c r="S771" i="1" s="1"/>
  <c r="P893" i="1"/>
  <c r="P851" i="1"/>
  <c r="O701" i="1"/>
  <c r="S701" i="1" s="1"/>
  <c r="O673" i="1"/>
  <c r="S673" i="1" s="1"/>
  <c r="P809" i="1"/>
  <c r="O659" i="1"/>
  <c r="S659" i="1" s="1"/>
  <c r="P781" i="1"/>
  <c r="N601" i="1"/>
  <c r="O617" i="1"/>
  <c r="S617" i="1" s="1"/>
  <c r="N573" i="1"/>
  <c r="P753" i="1"/>
  <c r="P725" i="1"/>
  <c r="O575" i="1"/>
  <c r="S575" i="1" s="1"/>
  <c r="P711" i="1"/>
  <c r="O561" i="1"/>
  <c r="S561" i="1" s="1"/>
  <c r="P697" i="1"/>
  <c r="O547" i="1"/>
  <c r="S547" i="1" s="1"/>
  <c r="P683" i="1"/>
  <c r="N503" i="1"/>
  <c r="P669" i="1"/>
  <c r="N489" i="1"/>
  <c r="O519" i="1"/>
  <c r="S519" i="1" s="1"/>
  <c r="O505" i="1"/>
  <c r="S505" i="1" s="1"/>
  <c r="O491" i="1"/>
  <c r="S491" i="1" s="1"/>
  <c r="P627" i="1"/>
  <c r="P613" i="1"/>
  <c r="O449" i="1"/>
  <c r="S449" i="1" s="1"/>
  <c r="O435" i="1"/>
  <c r="S435" i="1" s="1"/>
  <c r="N405" i="1"/>
  <c r="N391" i="1"/>
  <c r="N377" i="1"/>
  <c r="P557" i="1"/>
  <c r="O407" i="1"/>
  <c r="S407" i="1" s="1"/>
  <c r="P543" i="1"/>
  <c r="P529" i="1"/>
  <c r="O379" i="1"/>
  <c r="S379" i="1" s="1"/>
  <c r="O365" i="1"/>
  <c r="S365" i="1" s="1"/>
  <c r="P515" i="1"/>
  <c r="N335" i="1"/>
  <c r="O351" i="1"/>
  <c r="S351" i="1" s="1"/>
  <c r="P487" i="1"/>
  <c r="O337" i="1"/>
  <c r="S337" i="1" s="1"/>
  <c r="N307" i="1"/>
  <c r="O323" i="1"/>
  <c r="S323" i="1" s="1"/>
  <c r="N265" i="1"/>
  <c r="O295" i="1"/>
  <c r="S295" i="1" s="1"/>
  <c r="P431" i="1"/>
  <c r="N251" i="1"/>
  <c r="P417" i="1"/>
  <c r="N237" i="1"/>
  <c r="O253" i="1"/>
  <c r="S253" i="1" s="1"/>
  <c r="O239" i="1"/>
  <c r="S239" i="1" s="1"/>
  <c r="P389" i="1"/>
  <c r="O225" i="1"/>
  <c r="S225" i="1" s="1"/>
  <c r="P361" i="1"/>
  <c r="O211" i="1"/>
  <c r="S211" i="1" s="1"/>
  <c r="O197" i="1"/>
  <c r="S197" i="1" s="1"/>
  <c r="N167" i="1"/>
  <c r="P333" i="1"/>
  <c r="N153" i="1"/>
  <c r="O183" i="1"/>
  <c r="S183" i="1" s="1"/>
  <c r="P319" i="1"/>
  <c r="P305" i="1"/>
  <c r="P291" i="1"/>
  <c r="O141" i="1"/>
  <c r="S141" i="1" s="1"/>
  <c r="N111" i="1"/>
  <c r="P277" i="1"/>
  <c r="N97" i="1"/>
  <c r="O113" i="1"/>
  <c r="S113" i="1" s="1"/>
  <c r="N83" i="1"/>
  <c r="N69" i="1"/>
  <c r="P249" i="1"/>
  <c r="M45" i="1"/>
  <c r="P221" i="1"/>
  <c r="O71" i="1"/>
  <c r="S71" i="1" s="1"/>
  <c r="W71" i="1" s="1"/>
  <c r="M31" i="1"/>
  <c r="O57" i="1"/>
  <c r="S57" i="1" s="1"/>
  <c r="W57" i="1" s="1"/>
  <c r="P207" i="1"/>
  <c r="N27" i="1"/>
  <c r="M17" i="1"/>
  <c r="M1155" i="1"/>
  <c r="M959" i="1"/>
  <c r="M763" i="1"/>
  <c r="M567" i="1"/>
  <c r="M479" i="1"/>
  <c r="M371" i="1"/>
  <c r="M283" i="1"/>
  <c r="M175" i="1"/>
  <c r="M119" i="1"/>
  <c r="M101" i="1"/>
  <c r="N1151" i="1"/>
  <c r="N1091" i="1"/>
  <c r="N955" i="1"/>
  <c r="N867" i="1"/>
  <c r="N801" i="1"/>
  <c r="N689" i="1"/>
  <c r="N643" i="1"/>
  <c r="N577" i="1"/>
  <c r="N465" i="1"/>
  <c r="N353" i="1"/>
  <c r="O1177" i="1"/>
  <c r="S1177" i="1" s="1"/>
  <c r="O267" i="1"/>
  <c r="S267" i="1" s="1"/>
  <c r="N1231" i="1"/>
  <c r="N1161" i="1"/>
  <c r="O1191" i="1"/>
  <c r="S1191" i="1" s="1"/>
  <c r="O1163" i="1"/>
  <c r="S1163" i="1" s="1"/>
  <c r="N1105" i="1"/>
  <c r="O1135" i="1"/>
  <c r="S1135" i="1" s="1"/>
  <c r="P1257" i="1"/>
  <c r="O1107" i="1"/>
  <c r="S1107" i="1" s="1"/>
  <c r="P1201" i="1"/>
  <c r="P1173" i="1"/>
  <c r="P1159" i="1"/>
  <c r="O981" i="1"/>
  <c r="S981" i="1" s="1"/>
  <c r="P1103" i="1"/>
  <c r="P1075" i="1"/>
  <c r="O925" i="1"/>
  <c r="S925" i="1" s="1"/>
  <c r="N895" i="1"/>
  <c r="P1061" i="1"/>
  <c r="O911" i="1"/>
  <c r="S911" i="1" s="1"/>
  <c r="P1033" i="1"/>
  <c r="O883" i="1"/>
  <c r="S883" i="1" s="1"/>
  <c r="P977" i="1"/>
  <c r="N797" i="1"/>
  <c r="P963" i="1"/>
  <c r="O785" i="1"/>
  <c r="S785" i="1" s="1"/>
  <c r="O757" i="1"/>
  <c r="S757" i="1" s="1"/>
  <c r="W757" i="1" s="1"/>
  <c r="N727" i="1"/>
  <c r="P879" i="1"/>
  <c r="N699" i="1"/>
  <c r="O729" i="1"/>
  <c r="S729" i="1" s="1"/>
  <c r="P865" i="1"/>
  <c r="O715" i="1"/>
  <c r="S715" i="1" s="1"/>
  <c r="P837" i="1"/>
  <c r="O645" i="1"/>
  <c r="S645" i="1" s="1"/>
  <c r="P739" i="1"/>
  <c r="O309" i="1"/>
  <c r="S309" i="1" s="1"/>
  <c r="N1230" i="1"/>
  <c r="O1246" i="1"/>
  <c r="S1246" i="1" s="1"/>
  <c r="N1216" i="1"/>
  <c r="V1216" i="1" s="1"/>
  <c r="N1202" i="1"/>
  <c r="O1232" i="1"/>
  <c r="S1232" i="1" s="1"/>
  <c r="O1204" i="1"/>
  <c r="S1204" i="1" s="1"/>
  <c r="O1190" i="1"/>
  <c r="S1190" i="1" s="1"/>
  <c r="N1146" i="1"/>
  <c r="N1104" i="1"/>
  <c r="O1134" i="1"/>
  <c r="S1134" i="1" s="1"/>
  <c r="O1120" i="1"/>
  <c r="S1120" i="1" s="1"/>
  <c r="N1090" i="1"/>
  <c r="P1256" i="1"/>
  <c r="P1242" i="1"/>
  <c r="P1228" i="1"/>
  <c r="P1214" i="1"/>
  <c r="P1200" i="1"/>
  <c r="O1050" i="1"/>
  <c r="S1050" i="1" s="1"/>
  <c r="P1186" i="1"/>
  <c r="N1006" i="1"/>
  <c r="O1036" i="1"/>
  <c r="S1036" i="1" s="1"/>
  <c r="P1172" i="1"/>
  <c r="N992" i="1"/>
  <c r="O1022" i="1"/>
  <c r="S1022" i="1" s="1"/>
  <c r="P1158" i="1"/>
  <c r="P1144" i="1"/>
  <c r="O994" i="1"/>
  <c r="S994" i="1" s="1"/>
  <c r="P1130" i="1"/>
  <c r="N950" i="1"/>
  <c r="O980" i="1"/>
  <c r="S980" i="1" s="1"/>
  <c r="P1116" i="1"/>
  <c r="O966" i="1"/>
  <c r="S966" i="1" s="1"/>
  <c r="P1102" i="1"/>
  <c r="P1088" i="1"/>
  <c r="O938" i="1"/>
  <c r="S938" i="1" s="1"/>
  <c r="P1074" i="1"/>
  <c r="O924" i="1"/>
  <c r="S924" i="1" s="1"/>
  <c r="N894" i="1"/>
  <c r="P1060" i="1"/>
  <c r="P1046" i="1"/>
  <c r="P1032" i="1"/>
  <c r="N852" i="1"/>
  <c r="P1018" i="1"/>
  <c r="O868" i="1"/>
  <c r="S868" i="1" s="1"/>
  <c r="P1004" i="1"/>
  <c r="P990" i="1"/>
  <c r="P976" i="1"/>
  <c r="N796" i="1"/>
  <c r="O826" i="1"/>
  <c r="S826" i="1" s="1"/>
  <c r="P962" i="1"/>
  <c r="O812" i="1"/>
  <c r="S812" i="1" s="1"/>
  <c r="P948" i="1"/>
  <c r="P934" i="1"/>
  <c r="N754" i="1"/>
  <c r="P920" i="1"/>
  <c r="O770" i="1"/>
  <c r="S770" i="1" s="1"/>
  <c r="P906" i="1"/>
  <c r="O756" i="1"/>
  <c r="S756" i="1" s="1"/>
  <c r="P892" i="1"/>
  <c r="O742" i="1"/>
  <c r="S742" i="1" s="1"/>
  <c r="P878" i="1"/>
  <c r="N698" i="1"/>
  <c r="P864" i="1"/>
  <c r="O714" i="1"/>
  <c r="S714" i="1" s="1"/>
  <c r="N684" i="1"/>
  <c r="P850" i="1"/>
  <c r="O700" i="1"/>
  <c r="S700" i="1" s="1"/>
  <c r="P836" i="1"/>
  <c r="P822" i="1"/>
  <c r="O672" i="1"/>
  <c r="S672" i="1" s="1"/>
  <c r="P808" i="1"/>
  <c r="O658" i="1"/>
  <c r="S658" i="1" s="1"/>
  <c r="P794" i="1"/>
  <c r="P780" i="1"/>
  <c r="N600" i="1"/>
  <c r="P766" i="1"/>
  <c r="N586" i="1"/>
  <c r="P752" i="1"/>
  <c r="O602" i="1"/>
  <c r="S602" i="1" s="1"/>
  <c r="P738" i="1"/>
  <c r="N558" i="1"/>
  <c r="P724" i="1"/>
  <c r="X724" i="1" s="1"/>
  <c r="O574" i="1"/>
  <c r="S574" i="1" s="1"/>
  <c r="P710" i="1"/>
  <c r="X710" i="1" s="1"/>
  <c r="O560" i="1"/>
  <c r="S560" i="1" s="1"/>
  <c r="P696" i="1"/>
  <c r="O546" i="1"/>
  <c r="S546" i="1" s="1"/>
  <c r="P682" i="1"/>
  <c r="O532" i="1"/>
  <c r="S532" i="1" s="1"/>
  <c r="P668" i="1"/>
  <c r="O518" i="1"/>
  <c r="S518" i="1" s="1"/>
  <c r="N488" i="1"/>
  <c r="P654" i="1"/>
  <c r="P640" i="1"/>
  <c r="O490" i="1"/>
  <c r="S490" i="1" s="1"/>
  <c r="N460" i="1"/>
  <c r="P626" i="1"/>
  <c r="P612" i="1"/>
  <c r="O462" i="1"/>
  <c r="S462" i="1" s="1"/>
  <c r="P598" i="1"/>
  <c r="O448" i="1"/>
  <c r="S448" i="1" s="1"/>
  <c r="P584" i="1"/>
  <c r="O434" i="1"/>
  <c r="S434" i="1" s="1"/>
  <c r="P570" i="1"/>
  <c r="O420" i="1"/>
  <c r="S420" i="1" s="1"/>
  <c r="N390" i="1"/>
  <c r="P556" i="1"/>
  <c r="O406" i="1"/>
  <c r="S406" i="1" s="1"/>
  <c r="P542" i="1"/>
  <c r="N362" i="1"/>
  <c r="P528" i="1"/>
  <c r="P514" i="1"/>
  <c r="P500" i="1"/>
  <c r="O350" i="1"/>
  <c r="S350" i="1" s="1"/>
  <c r="P486" i="1"/>
  <c r="X486" i="1" s="1"/>
  <c r="O336" i="1"/>
  <c r="S336" i="1" s="1"/>
  <c r="N306" i="1"/>
  <c r="P472" i="1"/>
  <c r="O322" i="1"/>
  <c r="S322" i="1" s="1"/>
  <c r="N292" i="1"/>
  <c r="P458" i="1"/>
  <c r="P444" i="1"/>
  <c r="O294" i="1"/>
  <c r="S294" i="1" s="1"/>
  <c r="P430" i="1"/>
  <c r="N250" i="1"/>
  <c r="P416" i="1"/>
  <c r="O266" i="1"/>
  <c r="S266" i="1" s="1"/>
  <c r="P402" i="1"/>
  <c r="O252" i="1"/>
  <c r="S252" i="1" s="1"/>
  <c r="N222" i="1"/>
  <c r="P388" i="1"/>
  <c r="O238" i="1"/>
  <c r="S238" i="1" s="1"/>
  <c r="P374" i="1"/>
  <c r="O224" i="1"/>
  <c r="S224" i="1" s="1"/>
  <c r="P360" i="1"/>
  <c r="O210" i="1"/>
  <c r="S210" i="1" s="1"/>
  <c r="P346" i="1"/>
  <c r="N166" i="1"/>
  <c r="P332" i="1"/>
  <c r="O182" i="1"/>
  <c r="S182" i="1" s="1"/>
  <c r="W182" i="1" s="1"/>
  <c r="P318" i="1"/>
  <c r="P304" i="1"/>
  <c r="O154" i="1"/>
  <c r="S154" i="1" s="1"/>
  <c r="P290" i="1"/>
  <c r="O140" i="1"/>
  <c r="S140" i="1" s="1"/>
  <c r="P276" i="1"/>
  <c r="N96" i="1"/>
  <c r="O126" i="1"/>
  <c r="S126" i="1" s="1"/>
  <c r="P262" i="1"/>
  <c r="P248" i="1"/>
  <c r="O98" i="1"/>
  <c r="S98" i="1" s="1"/>
  <c r="N68" i="1"/>
  <c r="P234" i="1"/>
  <c r="N54" i="1"/>
  <c r="P220" i="1"/>
  <c r="N40" i="1"/>
  <c r="O70" i="1"/>
  <c r="S70" i="1" s="1"/>
  <c r="M30" i="1"/>
  <c r="P206" i="1"/>
  <c r="M16" i="1"/>
  <c r="M1225" i="1"/>
  <c r="M1137" i="1"/>
  <c r="M1066" i="1"/>
  <c r="M1029" i="1"/>
  <c r="M941" i="1"/>
  <c r="M870" i="1"/>
  <c r="M833" i="1"/>
  <c r="U833" i="1" s="1"/>
  <c r="M745" i="1"/>
  <c r="M674" i="1"/>
  <c r="M637" i="1"/>
  <c r="M549" i="1"/>
  <c r="U549" i="1" s="1"/>
  <c r="M478" i="1"/>
  <c r="M441" i="1"/>
  <c r="M353" i="1"/>
  <c r="M282" i="1"/>
  <c r="M245" i="1"/>
  <c r="M157" i="1"/>
  <c r="M100" i="1"/>
  <c r="M63" i="1"/>
  <c r="N1193" i="1"/>
  <c r="N1020" i="1"/>
  <c r="N978" i="1"/>
  <c r="N908" i="1"/>
  <c r="N866" i="1"/>
  <c r="N755" i="1"/>
  <c r="V755" i="1" s="1"/>
  <c r="N642" i="1"/>
  <c r="N531" i="1"/>
  <c r="N419" i="1"/>
  <c r="N376" i="1"/>
  <c r="N87" i="1"/>
  <c r="N31" i="1"/>
  <c r="O1237" i="1"/>
  <c r="S1237" i="1" s="1"/>
  <c r="O1205" i="1"/>
  <c r="S1205" i="1" s="1"/>
  <c r="O1176" i="1"/>
  <c r="S1176" i="1" s="1"/>
  <c r="O855" i="1"/>
  <c r="S855" i="1" s="1"/>
  <c r="O784" i="1"/>
  <c r="S784" i="1" s="1"/>
  <c r="O719" i="1"/>
  <c r="S719" i="1" s="1"/>
  <c r="O686" i="1"/>
  <c r="S686" i="1" s="1"/>
  <c r="O463" i="1"/>
  <c r="S463" i="1" s="1"/>
  <c r="O187" i="1"/>
  <c r="S187" i="1" s="1"/>
  <c r="P925" i="1"/>
  <c r="P585" i="1"/>
  <c r="P337" i="1"/>
  <c r="P211" i="1"/>
  <c r="O1242" i="1"/>
  <c r="S1242" i="1" s="1"/>
  <c r="O1200" i="1"/>
  <c r="S1200" i="1" s="1"/>
  <c r="O1172" i="1"/>
  <c r="S1172" i="1" s="1"/>
  <c r="O1144" i="1"/>
  <c r="S1144" i="1" s="1"/>
  <c r="O1102" i="1"/>
  <c r="S1102" i="1" s="1"/>
  <c r="O1074" i="1"/>
  <c r="S1074" i="1" s="1"/>
  <c r="O1046" i="1"/>
  <c r="S1046" i="1" s="1"/>
  <c r="O1018" i="1"/>
  <c r="S1018" i="1" s="1"/>
  <c r="W1018" i="1" s="1"/>
  <c r="P1112" i="1"/>
  <c r="O962" i="1"/>
  <c r="S962" i="1" s="1"/>
  <c r="O934" i="1"/>
  <c r="S934" i="1" s="1"/>
  <c r="O906" i="1"/>
  <c r="S906" i="1" s="1"/>
  <c r="P1056" i="1"/>
  <c r="O878" i="1"/>
  <c r="S878" i="1" s="1"/>
  <c r="O850" i="1"/>
  <c r="S850" i="1" s="1"/>
  <c r="O808" i="1"/>
  <c r="S808" i="1" s="1"/>
  <c r="O780" i="1"/>
  <c r="S780" i="1" s="1"/>
  <c r="O738" i="1"/>
  <c r="S738" i="1" s="1"/>
  <c r="W738" i="1" s="1"/>
  <c r="O696" i="1"/>
  <c r="S696" i="1" s="1"/>
  <c r="P846" i="1"/>
  <c r="P804" i="1"/>
  <c r="O654" i="1"/>
  <c r="S654" i="1" s="1"/>
  <c r="W654" i="1" s="1"/>
  <c r="O612" i="1"/>
  <c r="S612" i="1" s="1"/>
  <c r="O570" i="1"/>
  <c r="S570" i="1" s="1"/>
  <c r="P720" i="1"/>
  <c r="N498" i="1"/>
  <c r="P678" i="1"/>
  <c r="O500" i="1"/>
  <c r="S500" i="1" s="1"/>
  <c r="O360" i="1"/>
  <c r="S360" i="1" s="1"/>
  <c r="P510" i="1"/>
  <c r="P412" i="1"/>
  <c r="M1174" i="1"/>
  <c r="M978" i="1"/>
  <c r="M922" i="1"/>
  <c r="M698" i="1"/>
  <c r="M642" i="1"/>
  <c r="M572" i="1"/>
  <c r="M488" i="1"/>
  <c r="M222" i="1"/>
  <c r="O1228" i="1"/>
  <c r="S1228" i="1" s="1"/>
  <c r="O1214" i="1"/>
  <c r="S1214" i="1" s="1"/>
  <c r="O1186" i="1"/>
  <c r="S1186" i="1" s="1"/>
  <c r="O1158" i="1"/>
  <c r="S1158" i="1" s="1"/>
  <c r="O1130" i="1"/>
  <c r="S1130" i="1" s="1"/>
  <c r="O1116" i="1"/>
  <c r="S1116" i="1" s="1"/>
  <c r="N1086" i="1"/>
  <c r="O1088" i="1"/>
  <c r="S1088" i="1" s="1"/>
  <c r="O1060" i="1"/>
  <c r="S1060" i="1" s="1"/>
  <c r="O1032" i="1"/>
  <c r="S1032" i="1" s="1"/>
  <c r="O1004" i="1"/>
  <c r="S1004" i="1" s="1"/>
  <c r="O990" i="1"/>
  <c r="S990" i="1" s="1"/>
  <c r="O976" i="1"/>
  <c r="S976" i="1" s="1"/>
  <c r="P1098" i="1"/>
  <c r="O948" i="1"/>
  <c r="S948" i="1" s="1"/>
  <c r="O920" i="1"/>
  <c r="S920" i="1" s="1"/>
  <c r="N890" i="1"/>
  <c r="O892" i="1"/>
  <c r="S892" i="1" s="1"/>
  <c r="P1042" i="1"/>
  <c r="O864" i="1"/>
  <c r="S864" i="1" s="1"/>
  <c r="O836" i="1"/>
  <c r="S836" i="1" s="1"/>
  <c r="O822" i="1"/>
  <c r="S822" i="1" s="1"/>
  <c r="P972" i="1"/>
  <c r="O794" i="1"/>
  <c r="S794" i="1" s="1"/>
  <c r="P944" i="1"/>
  <c r="P916" i="1"/>
  <c r="O766" i="1"/>
  <c r="S766" i="1" s="1"/>
  <c r="P902" i="1"/>
  <c r="O752" i="1"/>
  <c r="S752" i="1" s="1"/>
  <c r="O724" i="1"/>
  <c r="S724" i="1" s="1"/>
  <c r="N694" i="1"/>
  <c r="P860" i="1"/>
  <c r="O710" i="1"/>
  <c r="S710" i="1" s="1"/>
  <c r="O682" i="1"/>
  <c r="S682" i="1" s="1"/>
  <c r="O668" i="1"/>
  <c r="S668" i="1" s="1"/>
  <c r="O640" i="1"/>
  <c r="S640" i="1" s="1"/>
  <c r="P790" i="1"/>
  <c r="O626" i="1"/>
  <c r="S626" i="1" s="1"/>
  <c r="O598" i="1"/>
  <c r="S598" i="1" s="1"/>
  <c r="O584" i="1"/>
  <c r="S584" i="1" s="1"/>
  <c r="P706" i="1"/>
  <c r="O556" i="1"/>
  <c r="S556" i="1" s="1"/>
  <c r="O542" i="1"/>
  <c r="S542" i="1" s="1"/>
  <c r="P664" i="1"/>
  <c r="O514" i="1"/>
  <c r="S514" i="1" s="1"/>
  <c r="P636" i="1"/>
  <c r="P594" i="1"/>
  <c r="P538" i="1"/>
  <c r="O374" i="1"/>
  <c r="S374" i="1" s="1"/>
  <c r="P496" i="1"/>
  <c r="N316" i="1"/>
  <c r="P468" i="1"/>
  <c r="P398" i="1"/>
  <c r="N218" i="1"/>
  <c r="O248" i="1"/>
  <c r="S248" i="1" s="1"/>
  <c r="O234" i="1"/>
  <c r="S234" i="1" s="1"/>
  <c r="N190" i="1"/>
  <c r="O206" i="1"/>
  <c r="S206" i="1" s="1"/>
  <c r="P342" i="1"/>
  <c r="O178" i="1"/>
  <c r="S178" i="1" s="1"/>
  <c r="O164" i="1"/>
  <c r="S164" i="1" s="1"/>
  <c r="P314" i="1"/>
  <c r="P300" i="1"/>
  <c r="P286" i="1"/>
  <c r="P272" i="1"/>
  <c r="X272" i="1" s="1"/>
  <c r="O122" i="1"/>
  <c r="S122" i="1" s="1"/>
  <c r="P258" i="1"/>
  <c r="O66" i="1"/>
  <c r="S66" i="1" s="1"/>
  <c r="M1244" i="1"/>
  <c r="M1230" i="1"/>
  <c r="M1202" i="1"/>
  <c r="M1188" i="1"/>
  <c r="M1160" i="1"/>
  <c r="M1146" i="1"/>
  <c r="M1132" i="1"/>
  <c r="M1104" i="1"/>
  <c r="M1090" i="1"/>
  <c r="M1076" i="1"/>
  <c r="M1062" i="1"/>
  <c r="M1034" i="1"/>
  <c r="M1020" i="1"/>
  <c r="M1006" i="1"/>
  <c r="M992" i="1"/>
  <c r="M964" i="1"/>
  <c r="M950" i="1"/>
  <c r="M936" i="1"/>
  <c r="M908" i="1"/>
  <c r="M894" i="1"/>
  <c r="M866" i="1"/>
  <c r="M852" i="1"/>
  <c r="M838" i="1"/>
  <c r="U838" i="1" s="1"/>
  <c r="M810" i="1"/>
  <c r="M796" i="1"/>
  <c r="M782" i="1"/>
  <c r="M768" i="1"/>
  <c r="M740" i="1"/>
  <c r="M726" i="1"/>
  <c r="U726" i="1" s="1"/>
  <c r="M712" i="1"/>
  <c r="M684" i="1"/>
  <c r="M670" i="1"/>
  <c r="M656" i="1"/>
  <c r="M628" i="1"/>
  <c r="M614" i="1"/>
  <c r="M600" i="1"/>
  <c r="M586" i="1"/>
  <c r="M558" i="1"/>
  <c r="M544" i="1"/>
  <c r="M530" i="1"/>
  <c r="M516" i="1"/>
  <c r="M502" i="1"/>
  <c r="M474" i="1"/>
  <c r="M460" i="1"/>
  <c r="M446" i="1"/>
  <c r="M432" i="1"/>
  <c r="M404" i="1"/>
  <c r="M390" i="1"/>
  <c r="M376" i="1"/>
  <c r="M362" i="1"/>
  <c r="M334" i="1"/>
  <c r="M320" i="1"/>
  <c r="M306" i="1"/>
  <c r="M292" i="1"/>
  <c r="M264" i="1"/>
  <c r="M250" i="1"/>
  <c r="M236" i="1"/>
  <c r="M208" i="1"/>
  <c r="M180" i="1"/>
  <c r="M166" i="1"/>
  <c r="M152" i="1"/>
  <c r="N1058" i="1"/>
  <c r="N960" i="1"/>
  <c r="N847" i="1"/>
  <c r="N749" i="1"/>
  <c r="N441" i="1"/>
  <c r="N343" i="1"/>
  <c r="N204" i="1"/>
  <c r="N134" i="1"/>
  <c r="N64" i="1"/>
  <c r="O472" i="1"/>
  <c r="S472" i="1" s="1"/>
  <c r="O318" i="1"/>
  <c r="S318" i="1" s="1"/>
  <c r="O205" i="1"/>
  <c r="S205" i="1" s="1"/>
  <c r="P1168" i="1"/>
  <c r="P1014" i="1"/>
  <c r="P482" i="1"/>
  <c r="P355" i="1"/>
  <c r="O1255" i="1"/>
  <c r="S1255" i="1" s="1"/>
  <c r="O1241" i="1"/>
  <c r="S1241" i="1" s="1"/>
  <c r="O1227" i="1"/>
  <c r="S1227" i="1" s="1"/>
  <c r="O1213" i="1"/>
  <c r="S1213" i="1" s="1"/>
  <c r="O1199" i="1"/>
  <c r="S1199" i="1" s="1"/>
  <c r="O1185" i="1"/>
  <c r="S1185" i="1" s="1"/>
  <c r="O1171" i="1"/>
  <c r="S1171" i="1" s="1"/>
  <c r="O1157" i="1"/>
  <c r="S1157" i="1" s="1"/>
  <c r="O1143" i="1"/>
  <c r="S1143" i="1" s="1"/>
  <c r="O1129" i="1"/>
  <c r="S1129" i="1" s="1"/>
  <c r="O1115" i="1"/>
  <c r="S1115" i="1" s="1"/>
  <c r="O1101" i="1"/>
  <c r="S1101" i="1" s="1"/>
  <c r="P1251" i="1"/>
  <c r="N1071" i="1"/>
  <c r="O1087" i="1"/>
  <c r="S1087" i="1" s="1"/>
  <c r="P1237" i="1"/>
  <c r="O1073" i="1"/>
  <c r="S1073" i="1" s="1"/>
  <c r="O1059" i="1"/>
  <c r="S1059" i="1" s="1"/>
  <c r="O1045" i="1"/>
  <c r="S1045" i="1" s="1"/>
  <c r="W1045" i="1" s="1"/>
  <c r="O1031" i="1"/>
  <c r="S1031" i="1" s="1"/>
  <c r="O1017" i="1"/>
  <c r="S1017" i="1" s="1"/>
  <c r="O1003" i="1"/>
  <c r="S1003" i="1" s="1"/>
  <c r="O989" i="1"/>
  <c r="S989" i="1" s="1"/>
  <c r="O975" i="1"/>
  <c r="S975" i="1" s="1"/>
  <c r="O961" i="1"/>
  <c r="S961" i="1" s="1"/>
  <c r="P1111" i="1"/>
  <c r="P1097" i="1"/>
  <c r="O947" i="1"/>
  <c r="S947" i="1" s="1"/>
  <c r="O933" i="1"/>
  <c r="S933" i="1" s="1"/>
  <c r="P1083" i="1"/>
  <c r="O919" i="1"/>
  <c r="S919" i="1" s="1"/>
  <c r="O905" i="1"/>
  <c r="S905" i="1" s="1"/>
  <c r="N875" i="1"/>
  <c r="O891" i="1"/>
  <c r="S891" i="1" s="1"/>
  <c r="O877" i="1"/>
  <c r="S877" i="1" s="1"/>
  <c r="O863" i="1"/>
  <c r="S863" i="1" s="1"/>
  <c r="O849" i="1"/>
  <c r="S849" i="1" s="1"/>
  <c r="P999" i="1"/>
  <c r="O835" i="1"/>
  <c r="S835" i="1" s="1"/>
  <c r="P985" i="1"/>
  <c r="O821" i="1"/>
  <c r="S821" i="1" s="1"/>
  <c r="O807" i="1"/>
  <c r="S807" i="1" s="1"/>
  <c r="O793" i="1"/>
  <c r="S793" i="1" s="1"/>
  <c r="P943" i="1"/>
  <c r="O779" i="1"/>
  <c r="S779" i="1" s="1"/>
  <c r="O765" i="1"/>
  <c r="S765" i="1" s="1"/>
  <c r="P901" i="1"/>
  <c r="O751" i="1"/>
  <c r="S751" i="1" s="1"/>
  <c r="O737" i="1"/>
  <c r="S737" i="1" s="1"/>
  <c r="O723" i="1"/>
  <c r="S723" i="1" s="1"/>
  <c r="P873" i="1"/>
  <c r="O709" i="1"/>
  <c r="S709" i="1" s="1"/>
  <c r="N679" i="1"/>
  <c r="P845" i="1"/>
  <c r="O695" i="1"/>
  <c r="S695" i="1" s="1"/>
  <c r="O681" i="1"/>
  <c r="S681" i="1" s="1"/>
  <c r="O667" i="1"/>
  <c r="S667" i="1" s="1"/>
  <c r="O653" i="1"/>
  <c r="S653" i="1" s="1"/>
  <c r="O639" i="1"/>
  <c r="S639" i="1" s="1"/>
  <c r="P789" i="1"/>
  <c r="O625" i="1"/>
  <c r="S625" i="1" s="1"/>
  <c r="P775" i="1"/>
  <c r="O611" i="1"/>
  <c r="S611" i="1" s="1"/>
  <c r="O597" i="1"/>
  <c r="S597" i="1" s="1"/>
  <c r="O583" i="1"/>
  <c r="S583" i="1" s="1"/>
  <c r="P733" i="1"/>
  <c r="X733" i="1" s="1"/>
  <c r="O569" i="1"/>
  <c r="S569" i="1" s="1"/>
  <c r="P719" i="1"/>
  <c r="O555" i="1"/>
  <c r="S555" i="1" s="1"/>
  <c r="P691" i="1"/>
  <c r="O541" i="1"/>
  <c r="S541" i="1" s="1"/>
  <c r="P663" i="1"/>
  <c r="N483" i="1"/>
  <c r="P649" i="1"/>
  <c r="P635" i="1"/>
  <c r="O471" i="1"/>
  <c r="S471" i="1" s="1"/>
  <c r="P607" i="1"/>
  <c r="O457" i="1"/>
  <c r="S457" i="1" s="1"/>
  <c r="P593" i="1"/>
  <c r="O443" i="1"/>
  <c r="S443" i="1" s="1"/>
  <c r="P565" i="1"/>
  <c r="P551" i="1"/>
  <c r="P523" i="1"/>
  <c r="O359" i="1"/>
  <c r="S359" i="1" s="1"/>
  <c r="P495" i="1"/>
  <c r="O345" i="1"/>
  <c r="S345" i="1" s="1"/>
  <c r="O331" i="1"/>
  <c r="S331" i="1" s="1"/>
  <c r="P467" i="1"/>
  <c r="P453" i="1"/>
  <c r="P439" i="1"/>
  <c r="P397" i="1"/>
  <c r="P383" i="1"/>
  <c r="N175" i="1"/>
  <c r="P341" i="1"/>
  <c r="O191" i="1"/>
  <c r="S191" i="1" s="1"/>
  <c r="O177" i="1"/>
  <c r="S177" i="1" s="1"/>
  <c r="O163" i="1"/>
  <c r="S163" i="1" s="1"/>
  <c r="P313" i="1"/>
  <c r="O149" i="1"/>
  <c r="S149" i="1" s="1"/>
  <c r="P285" i="1"/>
  <c r="N105" i="1"/>
  <c r="O135" i="1"/>
  <c r="S135" i="1" s="1"/>
  <c r="P257" i="1"/>
  <c r="P229" i="1"/>
  <c r="M1257" i="1"/>
  <c r="M1243" i="1"/>
  <c r="M1229" i="1"/>
  <c r="M1215" i="1"/>
  <c r="M1201" i="1"/>
  <c r="M1187" i="1"/>
  <c r="M1173" i="1"/>
  <c r="M1159" i="1"/>
  <c r="M1145" i="1"/>
  <c r="M1131" i="1"/>
  <c r="M1117" i="1"/>
  <c r="M1103" i="1"/>
  <c r="M1089" i="1"/>
  <c r="M1075" i="1"/>
  <c r="M1061" i="1"/>
  <c r="M1047" i="1"/>
  <c r="M1033" i="1"/>
  <c r="M1019" i="1"/>
  <c r="M1005" i="1"/>
  <c r="M991" i="1"/>
  <c r="M977" i="1"/>
  <c r="M963" i="1"/>
  <c r="M949" i="1"/>
  <c r="M935" i="1"/>
  <c r="M921" i="1"/>
  <c r="M907" i="1"/>
  <c r="M893" i="1"/>
  <c r="M879" i="1"/>
  <c r="M865" i="1"/>
  <c r="M851" i="1"/>
  <c r="M837" i="1"/>
  <c r="M823" i="1"/>
  <c r="M809" i="1"/>
  <c r="M795" i="1"/>
  <c r="M781" i="1"/>
  <c r="M767" i="1"/>
  <c r="M753" i="1"/>
  <c r="M739" i="1"/>
  <c r="M725" i="1"/>
  <c r="M711" i="1"/>
  <c r="M697" i="1"/>
  <c r="M683" i="1"/>
  <c r="M669" i="1"/>
  <c r="M655" i="1"/>
  <c r="M641" i="1"/>
  <c r="M627" i="1"/>
  <c r="M613" i="1"/>
  <c r="M599" i="1"/>
  <c r="M585" i="1"/>
  <c r="M571" i="1"/>
  <c r="M557" i="1"/>
  <c r="U557" i="1" s="1"/>
  <c r="M543" i="1"/>
  <c r="M529" i="1"/>
  <c r="M515" i="1"/>
  <c r="M501" i="1"/>
  <c r="M487" i="1"/>
  <c r="M473" i="1"/>
  <c r="M459" i="1"/>
  <c r="M445" i="1"/>
  <c r="M431" i="1"/>
  <c r="M417" i="1"/>
  <c r="M403" i="1"/>
  <c r="M389" i="1"/>
  <c r="M375" i="1"/>
  <c r="M361" i="1"/>
  <c r="M347" i="1"/>
  <c r="M333" i="1"/>
  <c r="M319" i="1"/>
  <c r="M305" i="1"/>
  <c r="M291" i="1"/>
  <c r="M277" i="1"/>
  <c r="M263" i="1"/>
  <c r="M249" i="1"/>
  <c r="M235" i="1"/>
  <c r="M221" i="1"/>
  <c r="M207" i="1"/>
  <c r="M193" i="1"/>
  <c r="M179" i="1"/>
  <c r="M165" i="1"/>
  <c r="U165" i="1" s="1"/>
  <c r="M151" i="1"/>
  <c r="N1170" i="1"/>
  <c r="N1057" i="1"/>
  <c r="N959" i="1"/>
  <c r="N862" i="1"/>
  <c r="N764" i="1"/>
  <c r="N651" i="1"/>
  <c r="N553" i="1"/>
  <c r="N456" i="1"/>
  <c r="N358" i="1"/>
  <c r="N273" i="1"/>
  <c r="N203" i="1"/>
  <c r="N133" i="1"/>
  <c r="N63" i="1"/>
  <c r="O317" i="1"/>
  <c r="S317" i="1" s="1"/>
  <c r="O94" i="1"/>
  <c r="S94" i="1" s="1"/>
  <c r="P1167" i="1"/>
  <c r="P1013" i="1"/>
  <c r="P509" i="1"/>
  <c r="P481" i="1"/>
  <c r="P216" i="1"/>
  <c r="O64" i="1"/>
  <c r="S64" i="1" s="1"/>
  <c r="N568" i="1"/>
  <c r="N455" i="1"/>
  <c r="N357" i="1"/>
  <c r="O513" i="1"/>
  <c r="S513" i="1" s="1"/>
  <c r="O402" i="1"/>
  <c r="S402" i="1" s="1"/>
  <c r="O247" i="1"/>
  <c r="S247" i="1" s="1"/>
  <c r="O93" i="1"/>
  <c r="S93" i="1" s="1"/>
  <c r="P1210" i="1"/>
  <c r="P1055" i="1"/>
  <c r="P915" i="1"/>
  <c r="P748" i="1"/>
  <c r="P384" i="1"/>
  <c r="P215" i="1"/>
  <c r="W858" i="1" l="1"/>
  <c r="W755" i="1"/>
  <c r="U1152" i="1"/>
  <c r="X548" i="1"/>
  <c r="U636" i="1"/>
  <c r="V858" i="1"/>
  <c r="K1135" i="1"/>
  <c r="X1135" i="1" s="1"/>
  <c r="J895" i="1"/>
  <c r="X895" i="1" s="1"/>
  <c r="J993" i="1"/>
  <c r="J952" i="1"/>
  <c r="J1148" i="1"/>
  <c r="X638" i="1"/>
  <c r="W293" i="1"/>
  <c r="X612" i="1"/>
  <c r="W420" i="1"/>
  <c r="U717" i="1"/>
  <c r="W838" i="1"/>
  <c r="W281" i="1"/>
  <c r="W766" i="1"/>
  <c r="X925" i="1"/>
  <c r="U175" i="1"/>
  <c r="U760" i="1"/>
  <c r="V430" i="1"/>
  <c r="W1020" i="1"/>
  <c r="V28" i="1"/>
  <c r="W1108" i="1"/>
  <c r="V561" i="1"/>
  <c r="J804" i="1"/>
  <c r="X804" i="1" s="1"/>
  <c r="J896" i="1"/>
  <c r="X896" i="1" s="1"/>
  <c r="U428" i="1"/>
  <c r="U1108" i="1"/>
  <c r="U816" i="1"/>
  <c r="U509" i="1"/>
  <c r="W1031" i="1"/>
  <c r="U768" i="1"/>
  <c r="X281" i="1"/>
  <c r="U14" i="1"/>
  <c r="W660" i="1"/>
  <c r="W769" i="1"/>
  <c r="U675" i="1"/>
  <c r="X1118" i="1"/>
  <c r="U470" i="1"/>
  <c r="U1212" i="1"/>
  <c r="U660" i="1"/>
  <c r="U1228" i="1"/>
  <c r="X303" i="1"/>
  <c r="V1108" i="1"/>
  <c r="X1182" i="1"/>
  <c r="X549" i="1"/>
  <c r="U443" i="1"/>
  <c r="U430" i="1"/>
  <c r="V303" i="1"/>
  <c r="J332" i="1"/>
  <c r="J219" i="1"/>
  <c r="K716" i="1"/>
  <c r="J1129" i="1"/>
  <c r="X1129" i="1" s="1"/>
  <c r="K889" i="1"/>
  <c r="K1085" i="1"/>
  <c r="V1085" i="1" s="1"/>
  <c r="K1120" i="1"/>
  <c r="J365" i="1"/>
  <c r="K630" i="1"/>
  <c r="J203" i="1"/>
  <c r="J497" i="1"/>
  <c r="K859" i="1"/>
  <c r="K1160" i="1"/>
  <c r="J1020" i="1"/>
  <c r="J785" i="1"/>
  <c r="J1114" i="1"/>
  <c r="J1169" i="1"/>
  <c r="J1239" i="1"/>
  <c r="J1252" i="1"/>
  <c r="X860" i="1"/>
  <c r="V423" i="1"/>
  <c r="W1160" i="1"/>
  <c r="W247" i="1"/>
  <c r="X484" i="1"/>
  <c r="U185" i="1"/>
  <c r="U281" i="1"/>
  <c r="U411" i="1"/>
  <c r="V184" i="1"/>
  <c r="U987" i="1"/>
  <c r="X636" i="1"/>
  <c r="X1256" i="1"/>
  <c r="V941" i="1"/>
  <c r="V1212" i="1"/>
  <c r="W335" i="1"/>
  <c r="U517" i="1"/>
  <c r="J86" i="1"/>
  <c r="J241" i="1"/>
  <c r="J215" i="1"/>
  <c r="J411" i="1"/>
  <c r="J607" i="1"/>
  <c r="J1256" i="1"/>
  <c r="U925" i="1"/>
  <c r="V816" i="1"/>
  <c r="W914" i="1"/>
  <c r="U227" i="1"/>
  <c r="V148" i="1"/>
  <c r="X420" i="1"/>
  <c r="V86" i="1"/>
  <c r="U1169" i="1"/>
  <c r="V328" i="1"/>
  <c r="K1224" i="1"/>
  <c r="W1224" i="1" s="1"/>
  <c r="K595" i="1"/>
  <c r="J129" i="1"/>
  <c r="J65" i="1"/>
  <c r="J292" i="1"/>
  <c r="J488" i="1"/>
  <c r="J586" i="1"/>
  <c r="J427" i="1"/>
  <c r="W427" i="1" s="1"/>
  <c r="W855" i="1"/>
  <c r="X1228" i="1"/>
  <c r="W593" i="1"/>
  <c r="U420" i="1"/>
  <c r="V732" i="1"/>
  <c r="V914" i="1"/>
  <c r="X941" i="1"/>
  <c r="X1183" i="1"/>
  <c r="V245" i="1"/>
  <c r="K322" i="1"/>
  <c r="J227" i="1"/>
  <c r="X714" i="1"/>
  <c r="X953" i="1"/>
  <c r="U1252" i="1"/>
  <c r="W953" i="1"/>
  <c r="W255" i="1"/>
  <c r="K183" i="1"/>
  <c r="J29" i="1"/>
  <c r="J255" i="1"/>
  <c r="J899" i="1"/>
  <c r="K245" i="1"/>
  <c r="J313" i="1"/>
  <c r="J509" i="1"/>
  <c r="J705" i="1"/>
  <c r="J517" i="1"/>
  <c r="W517" i="1" s="1"/>
  <c r="V27" i="1"/>
  <c r="U126" i="1"/>
  <c r="U580" i="1"/>
  <c r="V1022" i="1"/>
  <c r="K1022" i="1"/>
  <c r="U1022" i="1" s="1"/>
  <c r="W506" i="1"/>
  <c r="W662" i="1"/>
  <c r="V987" i="1"/>
  <c r="K216" i="1"/>
  <c r="K874" i="1"/>
  <c r="V874" i="1" s="1"/>
  <c r="J925" i="1"/>
  <c r="W925" i="1" s="1"/>
  <c r="W875" i="1"/>
  <c r="V866" i="1"/>
  <c r="V115" i="1"/>
  <c r="J155" i="1"/>
  <c r="V155" i="1" s="1"/>
  <c r="J696" i="1"/>
  <c r="J871" i="1"/>
  <c r="J194" i="1"/>
  <c r="J390" i="1"/>
  <c r="J684" i="1"/>
  <c r="K1083" i="1"/>
  <c r="J1035" i="1"/>
  <c r="X314" i="1"/>
  <c r="X234" i="1"/>
  <c r="V97" i="1"/>
  <c r="W488" i="1"/>
  <c r="V830" i="1"/>
  <c r="V636" i="1"/>
  <c r="K212" i="1"/>
  <c r="K791" i="1"/>
  <c r="W791" i="1" s="1"/>
  <c r="J1241" i="1"/>
  <c r="K1090" i="1"/>
  <c r="V1090" i="1" s="1"/>
  <c r="K620" i="1"/>
  <c r="K718" i="1"/>
  <c r="K816" i="1"/>
  <c r="K914" i="1"/>
  <c r="K1012" i="1"/>
  <c r="K1110" i="1"/>
  <c r="X528" i="1"/>
  <c r="U941" i="1"/>
  <c r="W941" i="1"/>
  <c r="J794" i="1"/>
  <c r="X794" i="1" s="1"/>
  <c r="W705" i="1"/>
  <c r="W216" i="1"/>
  <c r="U953" i="1"/>
  <c r="X717" i="1"/>
  <c r="X738" i="1"/>
  <c r="V714" i="1"/>
  <c r="K728" i="1"/>
  <c r="V175" i="1"/>
  <c r="X654" i="1"/>
  <c r="X216" i="1"/>
  <c r="V651" i="1"/>
  <c r="W714" i="1"/>
  <c r="X666" i="1"/>
  <c r="W1054" i="1"/>
  <c r="V735" i="1"/>
  <c r="K580" i="1"/>
  <c r="K776" i="1"/>
  <c r="K829" i="1"/>
  <c r="K924" i="1"/>
  <c r="U279" i="1"/>
  <c r="K1023" i="1"/>
  <c r="V1023" i="1" s="1"/>
  <c r="X258" i="1"/>
  <c r="U283" i="1"/>
  <c r="W106" i="1"/>
  <c r="U594" i="1"/>
  <c r="J394" i="1"/>
  <c r="V124" i="1"/>
  <c r="U128" i="1"/>
  <c r="J92" i="1"/>
  <c r="V92" i="1" s="1"/>
  <c r="K454" i="1"/>
  <c r="K62" i="1"/>
  <c r="K843" i="1"/>
  <c r="J30" i="1"/>
  <c r="J128" i="1"/>
  <c r="V128" i="1" s="1"/>
  <c r="J257" i="1"/>
  <c r="J453" i="1"/>
  <c r="V453" i="1" s="1"/>
  <c r="J551" i="1"/>
  <c r="V551" i="1" s="1"/>
  <c r="J649" i="1"/>
  <c r="X649" i="1" s="1"/>
  <c r="J608" i="1"/>
  <c r="X608" i="1" s="1"/>
  <c r="V429" i="1"/>
  <c r="W661" i="1"/>
  <c r="X560" i="1"/>
  <c r="V311" i="1"/>
  <c r="W969" i="1"/>
  <c r="K461" i="1"/>
  <c r="V984" i="1"/>
  <c r="K258" i="1"/>
  <c r="U258" i="1" s="1"/>
  <c r="K483" i="1"/>
  <c r="U483" i="1" s="1"/>
  <c r="J355" i="1"/>
  <c r="J706" i="1"/>
  <c r="X706" i="1" s="1"/>
  <c r="X950" i="1"/>
  <c r="V383" i="1"/>
  <c r="U665" i="1"/>
  <c r="K318" i="1"/>
  <c r="V318" i="1" s="1"/>
  <c r="W551" i="1"/>
  <c r="X756" i="1"/>
  <c r="W900" i="1"/>
  <c r="U176" i="1"/>
  <c r="K310" i="1"/>
  <c r="U310" i="1" s="1"/>
  <c r="W804" i="1"/>
  <c r="W217" i="1"/>
  <c r="V483" i="1"/>
  <c r="W558" i="1"/>
  <c r="U658" i="1"/>
  <c r="X301" i="1"/>
  <c r="W333" i="1"/>
  <c r="J668" i="1"/>
  <c r="X668" i="1" s="1"/>
  <c r="K69" i="1"/>
  <c r="U69" i="1" s="1"/>
  <c r="K265" i="1"/>
  <c r="K1189" i="1"/>
  <c r="K863" i="1"/>
  <c r="U863" i="1" s="1"/>
  <c r="K857" i="1"/>
  <c r="K1088" i="1"/>
  <c r="U1088" i="1" s="1"/>
  <c r="K861" i="1"/>
  <c r="U861" i="1" s="1"/>
  <c r="K722" i="1"/>
  <c r="K17" i="1"/>
  <c r="K514" i="1"/>
  <c r="J142" i="1"/>
  <c r="J149" i="1"/>
  <c r="K690" i="1"/>
  <c r="K788" i="1"/>
  <c r="W788" i="1" s="1"/>
  <c r="K886" i="1"/>
  <c r="K984" i="1"/>
  <c r="K1082" i="1"/>
  <c r="V1082" i="1" s="1"/>
  <c r="K1180" i="1"/>
  <c r="J1048" i="1"/>
  <c r="K205" i="1"/>
  <c r="J916" i="1"/>
  <c r="J1112" i="1"/>
  <c r="X1112" i="1" s="1"/>
  <c r="J973" i="1"/>
  <c r="W973" i="1" s="1"/>
  <c r="U1076" i="1"/>
  <c r="W658" i="1"/>
  <c r="X1200" i="1"/>
  <c r="U567" i="1"/>
  <c r="U898" i="1"/>
  <c r="J120" i="1"/>
  <c r="J661" i="1"/>
  <c r="X661" i="1" s="1"/>
  <c r="K156" i="1"/>
  <c r="W156" i="1" s="1"/>
  <c r="K475" i="1"/>
  <c r="V475" i="1" s="1"/>
  <c r="K727" i="1"/>
  <c r="J751" i="1"/>
  <c r="X751" i="1" s="1"/>
  <c r="K976" i="1"/>
  <c r="K1186" i="1"/>
  <c r="K504" i="1"/>
  <c r="W504" i="1" s="1"/>
  <c r="K490" i="1"/>
  <c r="K239" i="1"/>
  <c r="X239" i="1" s="1"/>
  <c r="J750" i="1"/>
  <c r="X750" i="1" s="1"/>
  <c r="K10" i="1"/>
  <c r="K108" i="1"/>
  <c r="W108" i="1" s="1"/>
  <c r="K311" i="1"/>
  <c r="U311" i="1" s="1"/>
  <c r="J37" i="1"/>
  <c r="J135" i="1"/>
  <c r="J1038" i="1"/>
  <c r="U1038" i="1" s="1"/>
  <c r="K577" i="1"/>
  <c r="J264" i="1"/>
  <c r="J362" i="1"/>
  <c r="J460" i="1"/>
  <c r="J558" i="1"/>
  <c r="J656" i="1"/>
  <c r="J521" i="1"/>
  <c r="V521" i="1" s="1"/>
  <c r="K663" i="1"/>
  <c r="K1055" i="1"/>
  <c r="K683" i="1"/>
  <c r="V683" i="1" s="1"/>
  <c r="K781" i="1"/>
  <c r="K879" i="1"/>
  <c r="K977" i="1"/>
  <c r="K1075" i="1"/>
  <c r="U1075" i="1" s="1"/>
  <c r="K1173" i="1"/>
  <c r="X1173" i="1" s="1"/>
  <c r="J599" i="1"/>
  <c r="X599" i="1" s="1"/>
  <c r="J697" i="1"/>
  <c r="U697" i="1" s="1"/>
  <c r="J795" i="1"/>
  <c r="X795" i="1" s="1"/>
  <c r="J893" i="1"/>
  <c r="X893" i="1" s="1"/>
  <c r="J991" i="1"/>
  <c r="J1089" i="1"/>
  <c r="X1089" i="1" s="1"/>
  <c r="J1187" i="1"/>
  <c r="U1187" i="1" s="1"/>
  <c r="J1041" i="1"/>
  <c r="X1041" i="1" s="1"/>
  <c r="J225" i="1"/>
  <c r="K1003" i="1"/>
  <c r="K1051" i="1"/>
  <c r="K316" i="1"/>
  <c r="V316" i="1" s="1"/>
  <c r="X1018" i="1"/>
  <c r="V1021" i="1"/>
  <c r="U826" i="1"/>
  <c r="X311" i="1"/>
  <c r="W148" i="1"/>
  <c r="V549" i="1"/>
  <c r="V1157" i="1"/>
  <c r="U124" i="1"/>
  <c r="V870" i="1"/>
  <c r="K771" i="1"/>
  <c r="J372" i="1"/>
  <c r="J199" i="1"/>
  <c r="J493" i="1"/>
  <c r="X493" i="1" s="1"/>
  <c r="J864" i="1"/>
  <c r="X864" i="1" s="1"/>
  <c r="J1067" i="1"/>
  <c r="K345" i="1"/>
  <c r="K1203" i="1"/>
  <c r="U1203" i="1" s="1"/>
  <c r="K482" i="1"/>
  <c r="K737" i="1"/>
  <c r="J450" i="1"/>
  <c r="V450" i="1" s="1"/>
  <c r="J555" i="1"/>
  <c r="W555" i="1" s="1"/>
  <c r="K1109" i="1"/>
  <c r="K574" i="1"/>
  <c r="U574" i="1" s="1"/>
  <c r="K287" i="1"/>
  <c r="K1057" i="1"/>
  <c r="J848" i="1"/>
  <c r="X848" i="1" s="1"/>
  <c r="J40" i="1"/>
  <c r="K130" i="1"/>
  <c r="V130" i="1" s="1"/>
  <c r="U985" i="1"/>
  <c r="U877" i="1"/>
  <c r="J1142" i="1"/>
  <c r="W453" i="1"/>
  <c r="J1052" i="1"/>
  <c r="W1052" i="1" s="1"/>
  <c r="J994" i="1"/>
  <c r="X1233" i="1"/>
  <c r="U868" i="1"/>
  <c r="U1111" i="1"/>
  <c r="V1015" i="1"/>
  <c r="V443" i="1"/>
  <c r="V555" i="1"/>
  <c r="K15" i="1"/>
  <c r="U15" i="1" s="1"/>
  <c r="J1074" i="1"/>
  <c r="K1000" i="1"/>
  <c r="K1217" i="1"/>
  <c r="J457" i="1"/>
  <c r="X457" i="1" s="1"/>
  <c r="K1116" i="1"/>
  <c r="W1116" i="1" s="1"/>
  <c r="K1078" i="1"/>
  <c r="U1078" i="1" s="1"/>
  <c r="J138" i="1"/>
  <c r="K437" i="1"/>
  <c r="K703" i="1"/>
  <c r="J990" i="1"/>
  <c r="J1207" i="1"/>
  <c r="V1207" i="1" s="1"/>
  <c r="J104" i="1"/>
  <c r="J300" i="1"/>
  <c r="K789" i="1"/>
  <c r="W789" i="1" s="1"/>
  <c r="K985" i="1"/>
  <c r="K228" i="1"/>
  <c r="K424" i="1"/>
  <c r="K711" i="1"/>
  <c r="K907" i="1"/>
  <c r="X907" i="1" s="1"/>
  <c r="K1103" i="1"/>
  <c r="W1103" i="1" s="1"/>
  <c r="J1146" i="1"/>
  <c r="K1122" i="1"/>
  <c r="W1122" i="1" s="1"/>
  <c r="J643" i="1"/>
  <c r="W643" i="1" s="1"/>
  <c r="J798" i="1"/>
  <c r="U866" i="1"/>
  <c r="W682" i="1"/>
  <c r="U1155" i="1"/>
  <c r="X1045" i="1"/>
  <c r="W450" i="1"/>
  <c r="U900" i="1"/>
  <c r="X450" i="1"/>
  <c r="V466" i="1"/>
  <c r="V1135" i="1"/>
  <c r="V1255" i="1"/>
  <c r="U106" i="1"/>
  <c r="W1048" i="1"/>
  <c r="U694" i="1"/>
  <c r="V1002" i="1"/>
  <c r="U304" i="1"/>
  <c r="X1211" i="1"/>
  <c r="K736" i="1"/>
  <c r="J192" i="1"/>
  <c r="K83" i="1"/>
  <c r="K279" i="1"/>
  <c r="X279" i="1" s="1"/>
  <c r="K1196" i="1"/>
  <c r="K406" i="1"/>
  <c r="K775" i="1"/>
  <c r="W775" i="1" s="1"/>
  <c r="K18" i="1"/>
  <c r="K214" i="1"/>
  <c r="X214" i="1" s="1"/>
  <c r="K410" i="1"/>
  <c r="W793" i="1"/>
  <c r="W462" i="1"/>
  <c r="W923" i="1"/>
  <c r="X658" i="1"/>
  <c r="V689" i="1"/>
  <c r="W467" i="1"/>
  <c r="V927" i="1"/>
  <c r="X1087" i="1"/>
  <c r="U577" i="1"/>
  <c r="V826" i="1"/>
  <c r="X993" i="1"/>
  <c r="X588" i="1"/>
  <c r="X646" i="1"/>
  <c r="V1048" i="1"/>
  <c r="V494" i="1"/>
  <c r="X1052" i="1"/>
  <c r="W1141" i="1"/>
  <c r="V298" i="1"/>
  <c r="U48" i="1"/>
  <c r="W907" i="1"/>
  <c r="U399" i="1"/>
  <c r="V399" i="1"/>
  <c r="U1255" i="1"/>
  <c r="J379" i="1"/>
  <c r="V379" i="1" s="1"/>
  <c r="J500" i="1"/>
  <c r="U500" i="1" s="1"/>
  <c r="K198" i="1"/>
  <c r="W198" i="1" s="1"/>
  <c r="K352" i="1"/>
  <c r="X352" i="1" s="1"/>
  <c r="K744" i="1"/>
  <c r="K891" i="1"/>
  <c r="V891" i="1" s="1"/>
  <c r="J569" i="1"/>
  <c r="W569" i="1" s="1"/>
  <c r="K1004" i="1"/>
  <c r="K301" i="1"/>
  <c r="K770" i="1"/>
  <c r="J113" i="1"/>
  <c r="K38" i="1"/>
  <c r="U38" i="1" s="1"/>
  <c r="J1204" i="1"/>
  <c r="W1204" i="1" s="1"/>
  <c r="J206" i="1"/>
  <c r="J6" i="1"/>
  <c r="J329" i="1"/>
  <c r="K887" i="1"/>
  <c r="K32" i="1"/>
  <c r="K326" i="1"/>
  <c r="K522" i="1"/>
  <c r="K613" i="1"/>
  <c r="K809" i="1"/>
  <c r="K1005" i="1"/>
  <c r="J274" i="1"/>
  <c r="K904" i="1"/>
  <c r="X904" i="1" s="1"/>
  <c r="J839" i="1"/>
  <c r="V839" i="1" s="1"/>
  <c r="V960" i="1"/>
  <c r="X1020" i="1"/>
  <c r="X443" i="1"/>
  <c r="W606" i="1"/>
  <c r="V742" i="1"/>
  <c r="U314" i="1"/>
  <c r="X784" i="1"/>
  <c r="V200" i="1"/>
  <c r="V396" i="1"/>
  <c r="V281" i="1"/>
  <c r="W768" i="1"/>
  <c r="X289" i="1"/>
  <c r="X909" i="1"/>
  <c r="V897" i="1"/>
  <c r="U601" i="1"/>
  <c r="V1096" i="1"/>
  <c r="V1076" i="1"/>
  <c r="J26" i="1"/>
  <c r="U26" i="1" s="1"/>
  <c r="J124" i="1"/>
  <c r="J51" i="1"/>
  <c r="U51" i="1" s="1"/>
  <c r="K1025" i="1"/>
  <c r="J180" i="1"/>
  <c r="J278" i="1"/>
  <c r="J376" i="1"/>
  <c r="V376" i="1" s="1"/>
  <c r="J474" i="1"/>
  <c r="W474" i="1" s="1"/>
  <c r="J572" i="1"/>
  <c r="J670" i="1"/>
  <c r="X670" i="1" s="1"/>
  <c r="K116" i="1"/>
  <c r="K312" i="1"/>
  <c r="V312" i="1" s="1"/>
  <c r="K508" i="1"/>
  <c r="U508" i="1" s="1"/>
  <c r="V1163" i="1"/>
  <c r="U551" i="1"/>
  <c r="W672" i="1"/>
  <c r="V682" i="1"/>
  <c r="V348" i="1"/>
  <c r="U267" i="1"/>
  <c r="K589" i="1"/>
  <c r="W589" i="1" s="1"/>
  <c r="J1171" i="1"/>
  <c r="U1171" i="1" s="1"/>
  <c r="J1092" i="1"/>
  <c r="U1092" i="1" s="1"/>
  <c r="U1205" i="1"/>
  <c r="V279" i="1"/>
  <c r="X242" i="1"/>
  <c r="V639" i="1"/>
  <c r="U453" i="1"/>
  <c r="V106" i="1"/>
  <c r="K442" i="1"/>
  <c r="J505" i="1"/>
  <c r="U505" i="1" s="1"/>
  <c r="J939" i="1"/>
  <c r="X939" i="1" s="1"/>
  <c r="J878" i="1"/>
  <c r="W878" i="1" s="1"/>
  <c r="K359" i="1"/>
  <c r="X359" i="1" s="1"/>
  <c r="K797" i="1"/>
  <c r="K699" i="1"/>
  <c r="J1149" i="1"/>
  <c r="K625" i="1"/>
  <c r="K898" i="1"/>
  <c r="J464" i="1"/>
  <c r="W464" i="1" s="1"/>
  <c r="J674" i="1"/>
  <c r="K787" i="1"/>
  <c r="K892" i="1"/>
  <c r="K1123" i="1"/>
  <c r="K1050" i="1"/>
  <c r="K477" i="1"/>
  <c r="U477" i="1" s="1"/>
  <c r="K444" i="1"/>
  <c r="K1226" i="1"/>
  <c r="V1226" i="1" s="1"/>
  <c r="J702" i="1"/>
  <c r="X702" i="1" s="1"/>
  <c r="J503" i="1"/>
  <c r="J238" i="1"/>
  <c r="V238" i="1" s="1"/>
  <c r="K435" i="1"/>
  <c r="K992" i="1"/>
  <c r="K39" i="1"/>
  <c r="V39" i="1" s="1"/>
  <c r="K137" i="1"/>
  <c r="W137" i="1" s="1"/>
  <c r="K235" i="1"/>
  <c r="K333" i="1"/>
  <c r="K431" i="1"/>
  <c r="K529" i="1"/>
  <c r="K743" i="1"/>
  <c r="U743" i="1" s="1"/>
  <c r="K1201" i="1"/>
  <c r="J1139" i="1"/>
  <c r="J943" i="1"/>
  <c r="J1167" i="1"/>
  <c r="J288" i="1"/>
  <c r="X288" i="1" s="1"/>
  <c r="K1136" i="1"/>
  <c r="K1086" i="1"/>
  <c r="J650" i="1"/>
  <c r="W650" i="1" s="1"/>
  <c r="J944" i="1"/>
  <c r="J1140" i="1"/>
  <c r="J805" i="1"/>
  <c r="X1042" i="1"/>
  <c r="X1114" i="1"/>
  <c r="X1160" i="1"/>
  <c r="V804" i="1"/>
  <c r="V1187" i="1"/>
  <c r="U383" i="1"/>
  <c r="U969" i="1"/>
  <c r="W61" i="1"/>
  <c r="U771" i="1"/>
  <c r="K302" i="1"/>
  <c r="K806" i="1"/>
  <c r="K559" i="1"/>
  <c r="K317" i="1"/>
  <c r="X317" i="1" s="1"/>
  <c r="K1249" i="1"/>
  <c r="U1249" i="1" s="1"/>
  <c r="J997" i="1"/>
  <c r="W997" i="1" s="1"/>
  <c r="K796" i="1"/>
  <c r="W796" i="1" s="1"/>
  <c r="V273" i="1"/>
  <c r="U894" i="1"/>
  <c r="X236" i="1"/>
  <c r="W298" i="1"/>
  <c r="X324" i="1"/>
  <c r="U273" i="1"/>
  <c r="W440" i="1"/>
  <c r="U1160" i="1"/>
  <c r="W360" i="1"/>
  <c r="W850" i="1"/>
  <c r="W1200" i="1"/>
  <c r="X542" i="1"/>
  <c r="W873" i="1"/>
  <c r="X1128" i="1"/>
  <c r="U859" i="1"/>
  <c r="W1010" i="1"/>
  <c r="V1075" i="1"/>
  <c r="U1191" i="1"/>
  <c r="W381" i="1"/>
  <c r="V757" i="1"/>
  <c r="W88" i="1"/>
  <c r="U118" i="1"/>
  <c r="X660" i="1"/>
  <c r="U507" i="1"/>
  <c r="U661" i="1"/>
  <c r="J386" i="1"/>
  <c r="J220" i="1"/>
  <c r="J1081" i="1"/>
  <c r="X1081" i="1" s="1"/>
  <c r="J576" i="1"/>
  <c r="J134" i="1"/>
  <c r="K45" i="1"/>
  <c r="U45" i="1" s="1"/>
  <c r="K894" i="1"/>
  <c r="V894" i="1" s="1"/>
  <c r="J1246" i="1"/>
  <c r="W443" i="1"/>
  <c r="W781" i="1"/>
  <c r="U984" i="1"/>
  <c r="X385" i="1"/>
  <c r="W710" i="1"/>
  <c r="W1135" i="1"/>
  <c r="V890" i="1"/>
  <c r="X585" i="1"/>
  <c r="W649" i="1"/>
  <c r="U200" i="1"/>
  <c r="X1031" i="1"/>
  <c r="J33" i="1"/>
  <c r="U33" i="1" s="1"/>
  <c r="J131" i="1"/>
  <c r="K31" i="1"/>
  <c r="U31" i="1" s="1"/>
  <c r="J24" i="1"/>
  <c r="J58" i="1"/>
  <c r="U58" i="1" s="1"/>
  <c r="J187" i="1"/>
  <c r="U187" i="1" s="1"/>
  <c r="J285" i="1"/>
  <c r="V285" i="1" s="1"/>
  <c r="J383" i="1"/>
  <c r="W383" i="1" s="1"/>
  <c r="J481" i="1"/>
  <c r="X481" i="1" s="1"/>
  <c r="J579" i="1"/>
  <c r="V579" i="1" s="1"/>
  <c r="J677" i="1"/>
  <c r="J591" i="1"/>
  <c r="J1200" i="1"/>
  <c r="U1200" i="1" s="1"/>
  <c r="J224" i="1"/>
  <c r="K782" i="1"/>
  <c r="K880" i="1"/>
  <c r="K1076" i="1"/>
  <c r="K25" i="1"/>
  <c r="K123" i="1"/>
  <c r="W123" i="1" s="1"/>
  <c r="K221" i="1"/>
  <c r="X221" i="1" s="1"/>
  <c r="K319" i="1"/>
  <c r="K417" i="1"/>
  <c r="U417" i="1" s="1"/>
  <c r="K515" i="1"/>
  <c r="K606" i="1"/>
  <c r="K704" i="1"/>
  <c r="K802" i="1"/>
  <c r="K900" i="1"/>
  <c r="K998" i="1"/>
  <c r="K1096" i="1"/>
  <c r="W1096" i="1" s="1"/>
  <c r="K1194" i="1"/>
  <c r="J930" i="1"/>
  <c r="J1126" i="1"/>
  <c r="K91" i="1"/>
  <c r="U91" i="1" s="1"/>
  <c r="V706" i="1"/>
  <c r="U78" i="1"/>
  <c r="V638" i="1"/>
  <c r="X850" i="1"/>
  <c r="W1163" i="1"/>
  <c r="W549" i="1"/>
  <c r="U995" i="1"/>
  <c r="V1119" i="1"/>
  <c r="U561" i="1"/>
  <c r="W118" i="1"/>
  <c r="U148" i="1"/>
  <c r="W314" i="1"/>
  <c r="V759" i="1"/>
  <c r="W1041" i="1"/>
  <c r="V507" i="1"/>
  <c r="V592" i="1"/>
  <c r="V675" i="1"/>
  <c r="X1121" i="1"/>
  <c r="U1066" i="1"/>
  <c r="X555" i="1"/>
  <c r="W1228" i="1"/>
  <c r="W224" i="1"/>
  <c r="V237" i="1"/>
  <c r="X512" i="1"/>
  <c r="W675" i="1"/>
  <c r="V1061" i="1"/>
  <c r="X1048" i="1"/>
  <c r="W311" i="1"/>
  <c r="W479" i="1"/>
  <c r="V594" i="1"/>
  <c r="U372" i="1"/>
  <c r="V126" i="1"/>
  <c r="X772" i="1"/>
  <c r="W706" i="1"/>
  <c r="X1206" i="1"/>
  <c r="U1229" i="1"/>
  <c r="W542" i="1"/>
  <c r="W611" i="1"/>
  <c r="V1179" i="1"/>
  <c r="X785" i="1"/>
  <c r="X246" i="1"/>
  <c r="X316" i="1"/>
  <c r="X526" i="1"/>
  <c r="U560" i="1"/>
  <c r="X890" i="1"/>
  <c r="U102" i="1"/>
  <c r="W257" i="1"/>
  <c r="X1175" i="1"/>
  <c r="V102" i="1"/>
  <c r="X293" i="1"/>
  <c r="U539" i="1"/>
  <c r="V1155" i="1"/>
  <c r="V258" i="1"/>
  <c r="J1179" i="1"/>
  <c r="K5" i="1"/>
  <c r="J835" i="1"/>
  <c r="X835" i="1" s="1"/>
  <c r="J1094" i="1"/>
  <c r="X1094" i="1" s="1"/>
  <c r="J1213" i="1"/>
  <c r="K1053" i="1"/>
  <c r="V1053" i="1" s="1"/>
  <c r="K413" i="1"/>
  <c r="K763" i="1"/>
  <c r="W763" i="1" s="1"/>
  <c r="K196" i="1"/>
  <c r="K294" i="1"/>
  <c r="X294" i="1" s="1"/>
  <c r="K596" i="1"/>
  <c r="J260" i="1"/>
  <c r="W260" i="1" s="1"/>
  <c r="K647" i="1"/>
  <c r="J395" i="1"/>
  <c r="W395" i="1" s="1"/>
  <c r="J244" i="1"/>
  <c r="W244" i="1" s="1"/>
  <c r="J440" i="1"/>
  <c r="U440" i="1" s="1"/>
  <c r="J469" i="1"/>
  <c r="K1027" i="1"/>
  <c r="J836" i="1"/>
  <c r="X836" i="1" s="1"/>
  <c r="J669" i="1"/>
  <c r="X669" i="1" s="1"/>
  <c r="J767" i="1"/>
  <c r="V767" i="1" s="1"/>
  <c r="J865" i="1"/>
  <c r="X865" i="1" s="1"/>
  <c r="J963" i="1"/>
  <c r="J1061" i="1"/>
  <c r="J1159" i="1"/>
  <c r="V1159" i="1" s="1"/>
  <c r="J1257" i="1"/>
  <c r="V1257" i="1" s="1"/>
  <c r="J687" i="1"/>
  <c r="W687" i="1" s="1"/>
  <c r="U606" i="1"/>
  <c r="V394" i="1"/>
  <c r="U1109" i="1"/>
  <c r="X251" i="1"/>
  <c r="V995" i="1"/>
  <c r="V1233" i="1"/>
  <c r="W592" i="1"/>
  <c r="V548" i="1"/>
  <c r="X687" i="1"/>
  <c r="V676" i="1"/>
  <c r="U1072" i="1"/>
  <c r="U873" i="1"/>
  <c r="W279" i="1"/>
  <c r="U1183" i="1"/>
  <c r="V873" i="1"/>
  <c r="X340" i="1"/>
  <c r="U1031" i="1"/>
  <c r="W92" i="1"/>
  <c r="U850" i="1"/>
  <c r="K176" i="1"/>
  <c r="K610" i="1"/>
  <c r="W610" i="1" s="1"/>
  <c r="K813" i="1"/>
  <c r="J8" i="1"/>
  <c r="J512" i="1"/>
  <c r="U512" i="1" s="1"/>
  <c r="J680" i="1"/>
  <c r="J94" i="1"/>
  <c r="W94" i="1" s="1"/>
  <c r="J381" i="1"/>
  <c r="V381" i="1" s="1"/>
  <c r="J1102" i="1"/>
  <c r="V1102" i="1" s="1"/>
  <c r="K233" i="1"/>
  <c r="X233" i="1" s="1"/>
  <c r="K1028" i="1"/>
  <c r="K160" i="1"/>
  <c r="K713" i="1"/>
  <c r="K1077" i="1"/>
  <c r="K632" i="1"/>
  <c r="K765" i="1"/>
  <c r="W765" i="1" s="1"/>
  <c r="J681" i="1"/>
  <c r="X681" i="1" s="1"/>
  <c r="J1066" i="1"/>
  <c r="J1185" i="1"/>
  <c r="K1130" i="1"/>
  <c r="K665" i="1"/>
  <c r="K959" i="1"/>
  <c r="K1134" i="1"/>
  <c r="V1134" i="1" s="1"/>
  <c r="K799" i="1"/>
  <c r="J54" i="1"/>
  <c r="K52" i="1"/>
  <c r="K451" i="1"/>
  <c r="K1233" i="1"/>
  <c r="W1233" i="1" s="1"/>
  <c r="K82" i="1"/>
  <c r="J283" i="1"/>
  <c r="J20" i="1"/>
  <c r="U20" i="1" s="1"/>
  <c r="J49" i="1"/>
  <c r="J147" i="1"/>
  <c r="J343" i="1"/>
  <c r="J441" i="1"/>
  <c r="V441" i="1" s="1"/>
  <c r="J74" i="1"/>
  <c r="W74" i="1" s="1"/>
  <c r="J172" i="1"/>
  <c r="W172" i="1" s="1"/>
  <c r="J270" i="1"/>
  <c r="J368" i="1"/>
  <c r="U368" i="1" s="1"/>
  <c r="J466" i="1"/>
  <c r="J564" i="1"/>
  <c r="K803" i="1"/>
  <c r="K901" i="1"/>
  <c r="W901" i="1" s="1"/>
  <c r="K999" i="1"/>
  <c r="K1097" i="1"/>
  <c r="U1097" i="1" s="1"/>
  <c r="K46" i="1"/>
  <c r="V46" i="1" s="1"/>
  <c r="K144" i="1"/>
  <c r="V144" i="1" s="1"/>
  <c r="K242" i="1"/>
  <c r="K340" i="1"/>
  <c r="W340" i="1" s="1"/>
  <c r="K438" i="1"/>
  <c r="K536" i="1"/>
  <c r="U536" i="1" s="1"/>
  <c r="J1174" i="1"/>
  <c r="J950" i="1"/>
  <c r="J974" i="1"/>
  <c r="J1253" i="1"/>
  <c r="V1253" i="1" s="1"/>
  <c r="K98" i="1"/>
  <c r="U98" i="1" s="1"/>
  <c r="K385" i="1"/>
  <c r="X287" i="1"/>
  <c r="U450" i="1"/>
  <c r="W1109" i="1"/>
  <c r="W782" i="1"/>
  <c r="X1010" i="1"/>
  <c r="U986" i="1"/>
  <c r="K323" i="1"/>
  <c r="V323" i="1" s="1"/>
  <c r="K456" i="1"/>
  <c r="K827" i="1"/>
  <c r="V827" i="1" s="1"/>
  <c r="J400" i="1"/>
  <c r="U400" i="1" s="1"/>
  <c r="J694" i="1"/>
  <c r="V694" i="1" s="1"/>
  <c r="J988" i="1"/>
  <c r="W988" i="1" s="1"/>
  <c r="J101" i="1"/>
  <c r="J570" i="1"/>
  <c r="K240" i="1"/>
  <c r="V240" i="1" s="1"/>
  <c r="J163" i="1"/>
  <c r="V163" i="1" s="1"/>
  <c r="J282" i="1"/>
  <c r="K363" i="1"/>
  <c r="V363" i="1" s="1"/>
  <c r="K587" i="1"/>
  <c r="K832" i="1"/>
  <c r="K167" i="1"/>
  <c r="U167" i="1" s="1"/>
  <c r="K356" i="1"/>
  <c r="K902" i="1"/>
  <c r="V902" i="1" s="1"/>
  <c r="K1091" i="1"/>
  <c r="J1170" i="1"/>
  <c r="K513" i="1"/>
  <c r="K639" i="1"/>
  <c r="J478" i="1"/>
  <c r="J590" i="1"/>
  <c r="X590" i="1" s="1"/>
  <c r="J688" i="1"/>
  <c r="X688" i="1" s="1"/>
  <c r="K1137" i="1"/>
  <c r="V1137" i="1" s="1"/>
  <c r="K672" i="1"/>
  <c r="U672" i="1" s="1"/>
  <c r="K686" i="1"/>
  <c r="K980" i="1"/>
  <c r="K1176" i="1"/>
  <c r="X1176" i="1" s="1"/>
  <c r="K547" i="1"/>
  <c r="K841" i="1"/>
  <c r="J876" i="1"/>
  <c r="X876" i="1" s="1"/>
  <c r="J61" i="1"/>
  <c r="J159" i="1"/>
  <c r="W159" i="1" s="1"/>
  <c r="K157" i="1"/>
  <c r="W157" i="1" s="1"/>
  <c r="K360" i="1"/>
  <c r="V360" i="1" s="1"/>
  <c r="K1240" i="1"/>
  <c r="J1211" i="1"/>
  <c r="W1211" i="1" s="1"/>
  <c r="J304" i="1"/>
  <c r="J745" i="1"/>
  <c r="W745" i="1" s="1"/>
  <c r="J223" i="1"/>
  <c r="J56" i="1"/>
  <c r="J154" i="1"/>
  <c r="U154" i="1" s="1"/>
  <c r="J252" i="1"/>
  <c r="U252" i="1" s="1"/>
  <c r="K810" i="1"/>
  <c r="K908" i="1"/>
  <c r="V908" i="1" s="1"/>
  <c r="K1104" i="1"/>
  <c r="W1104" i="1" s="1"/>
  <c r="K53" i="1"/>
  <c r="W53" i="1" s="1"/>
  <c r="K151" i="1"/>
  <c r="K249" i="1"/>
  <c r="K347" i="1"/>
  <c r="X347" i="1" s="1"/>
  <c r="K445" i="1"/>
  <c r="K543" i="1"/>
  <c r="J1236" i="1"/>
  <c r="V1236" i="1" s="1"/>
  <c r="J1181" i="1"/>
  <c r="J845" i="1"/>
  <c r="X845" i="1" s="1"/>
  <c r="J957" i="1"/>
  <c r="J1009" i="1"/>
  <c r="V1009" i="1" s="1"/>
  <c r="K415" i="1"/>
  <c r="U415" i="1" s="1"/>
  <c r="K849" i="1"/>
  <c r="K975" i="1"/>
  <c r="K1164" i="1"/>
  <c r="W1164" i="1" s="1"/>
  <c r="K946" i="1"/>
  <c r="K1100" i="1"/>
  <c r="J566" i="1"/>
  <c r="V566" i="1" s="1"/>
  <c r="J762" i="1"/>
  <c r="X762" i="1" s="1"/>
  <c r="J1154" i="1"/>
  <c r="U1154" i="1" s="1"/>
  <c r="J721" i="1"/>
  <c r="X721" i="1" s="1"/>
  <c r="J819" i="1"/>
  <c r="X819" i="1" s="1"/>
  <c r="J1113" i="1"/>
  <c r="X1113" i="1" s="1"/>
  <c r="K7" i="1"/>
  <c r="K105" i="1"/>
  <c r="V105" i="1" s="1"/>
  <c r="K511" i="1"/>
  <c r="U1115" i="1"/>
  <c r="U298" i="1"/>
  <c r="V78" i="1"/>
  <c r="W273" i="1"/>
  <c r="X969" i="1"/>
  <c r="W232" i="1"/>
  <c r="V272" i="1"/>
  <c r="V426" i="1"/>
  <c r="W512" i="1"/>
  <c r="W596" i="1"/>
  <c r="W890" i="1"/>
  <c r="V1109" i="1"/>
  <c r="X987" i="1"/>
  <c r="U1048" i="1"/>
  <c r="V372" i="1"/>
  <c r="X217" i="1"/>
  <c r="W303" i="1"/>
  <c r="K43" i="1"/>
  <c r="K190" i="1"/>
  <c r="U190" i="1" s="1"/>
  <c r="J218" i="1"/>
  <c r="J407" i="1"/>
  <c r="U407" i="1" s="1"/>
  <c r="J540" i="1"/>
  <c r="U540" i="1" s="1"/>
  <c r="J708" i="1"/>
  <c r="W708" i="1" s="1"/>
  <c r="J1002" i="1"/>
  <c r="X1002" i="1" s="1"/>
  <c r="J402" i="1"/>
  <c r="U402" i="1" s="1"/>
  <c r="J906" i="1"/>
  <c r="J289" i="1"/>
  <c r="K174" i="1"/>
  <c r="W174" i="1" s="1"/>
  <c r="K370" i="1"/>
  <c r="W370" i="1" s="1"/>
  <c r="K601" i="1"/>
  <c r="V601" i="1" s="1"/>
  <c r="K181" i="1"/>
  <c r="K377" i="1"/>
  <c r="K538" i="1"/>
  <c r="K734" i="1"/>
  <c r="K909" i="1"/>
  <c r="K1105" i="1"/>
  <c r="J498" i="1"/>
  <c r="V498" i="1" s="1"/>
  <c r="J1191" i="1"/>
  <c r="K422" i="1"/>
  <c r="K520" i="1"/>
  <c r="K793" i="1"/>
  <c r="U793" i="1" s="1"/>
  <c r="U1128" i="1"/>
  <c r="X1208" i="1"/>
  <c r="V1045" i="1"/>
  <c r="U290" i="1"/>
  <c r="V1084" i="1"/>
  <c r="U74" i="1"/>
  <c r="V986" i="1"/>
  <c r="X273" i="1"/>
  <c r="V246" i="1"/>
  <c r="X747" i="1"/>
  <c r="K337" i="1"/>
  <c r="X337" i="1" s="1"/>
  <c r="K631" i="1"/>
  <c r="J232" i="1"/>
  <c r="U232" i="1" s="1"/>
  <c r="J122" i="1"/>
  <c r="J409" i="1"/>
  <c r="U409" i="1" s="1"/>
  <c r="J598" i="1"/>
  <c r="X598" i="1" s="1"/>
  <c r="J1172" i="1"/>
  <c r="U1172" i="1" s="1"/>
  <c r="K261" i="1"/>
  <c r="X261" i="1" s="1"/>
  <c r="J177" i="1"/>
  <c r="J296" i="1"/>
  <c r="K195" i="1"/>
  <c r="V195" i="1" s="1"/>
  <c r="K384" i="1"/>
  <c r="X384" i="1" s="1"/>
  <c r="K615" i="1"/>
  <c r="K188" i="1"/>
  <c r="K391" i="1"/>
  <c r="K552" i="1"/>
  <c r="K923" i="1"/>
  <c r="X923" i="1" s="1"/>
  <c r="K1119" i="1"/>
  <c r="U1119" i="1" s="1"/>
  <c r="K429" i="1"/>
  <c r="K527" i="1"/>
  <c r="K653" i="1"/>
  <c r="J254" i="1"/>
  <c r="J709" i="1"/>
  <c r="V709" i="1" s="1"/>
  <c r="J968" i="1"/>
  <c r="J1087" i="1"/>
  <c r="W1087" i="1" s="1"/>
  <c r="J1206" i="1"/>
  <c r="V1206" i="1" s="1"/>
  <c r="K815" i="1"/>
  <c r="K934" i="1"/>
  <c r="K1046" i="1"/>
  <c r="U1046" i="1" s="1"/>
  <c r="K308" i="1"/>
  <c r="U475" i="1"/>
  <c r="W594" i="1"/>
  <c r="U1096" i="1"/>
  <c r="V33" i="1"/>
  <c r="U219" i="1"/>
  <c r="X675" i="1"/>
  <c r="X441" i="1"/>
  <c r="U272" i="1"/>
  <c r="U396" i="1"/>
  <c r="X497" i="1"/>
  <c r="V26" i="1"/>
  <c r="U1163" i="1"/>
  <c r="J401" i="1"/>
  <c r="W401" i="1" s="1"/>
  <c r="J485" i="1"/>
  <c r="J597" i="1"/>
  <c r="X597" i="1" s="1"/>
  <c r="J695" i="1"/>
  <c r="X695" i="1" s="1"/>
  <c r="J821" i="1"/>
  <c r="V821" i="1" s="1"/>
  <c r="J961" i="1"/>
  <c r="U961" i="1" s="1"/>
  <c r="J1080" i="1"/>
  <c r="J1199" i="1"/>
  <c r="K808" i="1"/>
  <c r="K920" i="1"/>
  <c r="W920" i="1" s="1"/>
  <c r="K1039" i="1"/>
  <c r="K1144" i="1"/>
  <c r="K210" i="1"/>
  <c r="W210" i="1" s="1"/>
  <c r="K693" i="1"/>
  <c r="K371" i="1"/>
  <c r="V371" i="1" s="1"/>
  <c r="K854" i="1"/>
  <c r="K1197" i="1"/>
  <c r="J204" i="1"/>
  <c r="J652" i="1"/>
  <c r="J883" i="1"/>
  <c r="J166" i="1"/>
  <c r="K66" i="1"/>
  <c r="K164" i="1"/>
  <c r="K465" i="1"/>
  <c r="U465" i="1" s="1"/>
  <c r="J814" i="1"/>
  <c r="V814" i="1" s="1"/>
  <c r="K535" i="1"/>
  <c r="U535" i="1" s="1"/>
  <c r="K633" i="1"/>
  <c r="K731" i="1"/>
  <c r="J542" i="1"/>
  <c r="J1095" i="1"/>
  <c r="K96" i="1"/>
  <c r="U96" i="1" s="1"/>
  <c r="J325" i="1"/>
  <c r="U325" i="1" s="1"/>
  <c r="J905" i="1"/>
  <c r="J34" i="1"/>
  <c r="U34" i="1" s="1"/>
  <c r="J230" i="1"/>
  <c r="V230" i="1" s="1"/>
  <c r="J426" i="1"/>
  <c r="J524" i="1"/>
  <c r="U524" i="1" s="1"/>
  <c r="J63" i="1"/>
  <c r="U63" i="1" s="1"/>
  <c r="J161" i="1"/>
  <c r="W161" i="1" s="1"/>
  <c r="J357" i="1"/>
  <c r="J455" i="1"/>
  <c r="J553" i="1"/>
  <c r="W553" i="1" s="1"/>
  <c r="J88" i="1"/>
  <c r="V88" i="1" s="1"/>
  <c r="J186" i="1"/>
  <c r="J284" i="1"/>
  <c r="J382" i="1"/>
  <c r="U382" i="1" s="1"/>
  <c r="J480" i="1"/>
  <c r="W480" i="1" s="1"/>
  <c r="J578" i="1"/>
  <c r="V578" i="1" s="1"/>
  <c r="K229" i="1"/>
  <c r="K327" i="1"/>
  <c r="K425" i="1"/>
  <c r="K523" i="1"/>
  <c r="K621" i="1"/>
  <c r="K719" i="1"/>
  <c r="K817" i="1"/>
  <c r="U817" i="1" s="1"/>
  <c r="K915" i="1"/>
  <c r="W915" i="1" s="1"/>
  <c r="K1013" i="1"/>
  <c r="K1111" i="1"/>
  <c r="W1111" i="1" s="1"/>
  <c r="K641" i="1"/>
  <c r="K739" i="1"/>
  <c r="V739" i="1" s="1"/>
  <c r="K837" i="1"/>
  <c r="K935" i="1"/>
  <c r="K1033" i="1"/>
  <c r="K1131" i="1"/>
  <c r="J655" i="1"/>
  <c r="X655" i="1" s="1"/>
  <c r="J753" i="1"/>
  <c r="X753" i="1" s="1"/>
  <c r="J851" i="1"/>
  <c r="V851" i="1" s="1"/>
  <c r="J949" i="1"/>
  <c r="J1047" i="1"/>
  <c r="J1145" i="1"/>
  <c r="J1202" i="1"/>
  <c r="V1202" i="1" s="1"/>
  <c r="J1223" i="1"/>
  <c r="U1223" i="1" s="1"/>
  <c r="J852" i="1"/>
  <c r="V852" i="1" s="1"/>
  <c r="J964" i="1"/>
  <c r="U964" i="1" s="1"/>
  <c r="J1230" i="1"/>
  <c r="J449" i="1"/>
  <c r="J1030" i="1"/>
  <c r="K100" i="1"/>
  <c r="V100" i="1" s="1"/>
  <c r="K534" i="1"/>
  <c r="K877" i="1"/>
  <c r="K1115" i="1"/>
  <c r="W1115" i="1" s="1"/>
  <c r="K982" i="1"/>
  <c r="K1107" i="1"/>
  <c r="W1107" i="1" s="1"/>
  <c r="J965" i="1"/>
  <c r="J826" i="1"/>
  <c r="W826" i="1" s="1"/>
  <c r="K189" i="1"/>
  <c r="K392" i="1"/>
  <c r="U392" i="1" s="1"/>
  <c r="K567" i="1"/>
  <c r="V567" i="1" s="1"/>
  <c r="K882" i="1"/>
  <c r="K869" i="1"/>
  <c r="J211" i="1"/>
  <c r="J911" i="1"/>
  <c r="U911" i="1" s="1"/>
  <c r="J173" i="1"/>
  <c r="K73" i="1"/>
  <c r="U73" i="1" s="1"/>
  <c r="K171" i="1"/>
  <c r="U171" i="1" s="1"/>
  <c r="J856" i="1"/>
  <c r="W856" i="1" s="1"/>
  <c r="K640" i="1"/>
  <c r="V640" i="1" s="1"/>
  <c r="J1158" i="1"/>
  <c r="V1158" i="1" s="1"/>
  <c r="K103" i="1"/>
  <c r="J41" i="1"/>
  <c r="J237" i="1"/>
  <c r="W237" i="1" s="1"/>
  <c r="J433" i="1"/>
  <c r="V433" i="1" s="1"/>
  <c r="J70" i="1"/>
  <c r="W70" i="1" s="1"/>
  <c r="J168" i="1"/>
  <c r="J364" i="1"/>
  <c r="J462" i="1"/>
  <c r="J560" i="1"/>
  <c r="W560" i="1" s="1"/>
  <c r="J95" i="1"/>
  <c r="W95" i="1" s="1"/>
  <c r="J193" i="1"/>
  <c r="J291" i="1"/>
  <c r="W291" i="1" s="1"/>
  <c r="J389" i="1"/>
  <c r="W389" i="1" s="1"/>
  <c r="J487" i="1"/>
  <c r="X487" i="1" s="1"/>
  <c r="J585" i="1"/>
  <c r="K236" i="1"/>
  <c r="U236" i="1" s="1"/>
  <c r="K334" i="1"/>
  <c r="W334" i="1" s="1"/>
  <c r="K432" i="1"/>
  <c r="K530" i="1"/>
  <c r="K628" i="1"/>
  <c r="K922" i="1"/>
  <c r="K1229" i="1"/>
  <c r="J1250" i="1"/>
  <c r="J1244" i="1"/>
  <c r="V1244" i="1" s="1"/>
  <c r="J1251" i="1"/>
  <c r="K9" i="1"/>
  <c r="K107" i="1"/>
  <c r="K919" i="1"/>
  <c r="W919" i="1" s="1"/>
  <c r="K996" i="1"/>
  <c r="U996" i="1" s="1"/>
  <c r="J1168" i="1"/>
  <c r="J637" i="1"/>
  <c r="U224" i="1"/>
  <c r="K85" i="1"/>
  <c r="U85" i="1" s="1"/>
  <c r="K673" i="1"/>
  <c r="K897" i="1"/>
  <c r="J150" i="1"/>
  <c r="U150" i="1" s="1"/>
  <c r="J297" i="1"/>
  <c r="J955" i="1"/>
  <c r="J191" i="1"/>
  <c r="J4" i="1"/>
  <c r="K685" i="1"/>
  <c r="U685" i="1" s="1"/>
  <c r="K1098" i="1"/>
  <c r="U1098" i="1" s="1"/>
  <c r="K412" i="1"/>
  <c r="K951" i="1"/>
  <c r="K1147" i="1"/>
  <c r="V1147" i="1" s="1"/>
  <c r="J932" i="1"/>
  <c r="J842" i="1"/>
  <c r="J989" i="1"/>
  <c r="V989" i="1" s="1"/>
  <c r="J1227" i="1"/>
  <c r="K948" i="1"/>
  <c r="K217" i="1"/>
  <c r="K1064" i="1"/>
  <c r="K315" i="1"/>
  <c r="U315" i="1" s="1"/>
  <c r="J563" i="1"/>
  <c r="J16" i="1"/>
  <c r="J114" i="1"/>
  <c r="K556" i="1"/>
  <c r="J243" i="1"/>
  <c r="W243" i="1" s="1"/>
  <c r="J341" i="1"/>
  <c r="J439" i="1"/>
  <c r="V439" i="1" s="1"/>
  <c r="J537" i="1"/>
  <c r="J635" i="1"/>
  <c r="J971" i="1"/>
  <c r="J55" i="1"/>
  <c r="J11" i="1"/>
  <c r="J109" i="1"/>
  <c r="J207" i="1"/>
  <c r="U207" i="1" s="1"/>
  <c r="J305" i="1"/>
  <c r="J403" i="1"/>
  <c r="J501" i="1"/>
  <c r="K250" i="1"/>
  <c r="X250" i="1" s="1"/>
  <c r="K348" i="1"/>
  <c r="K446" i="1"/>
  <c r="K544" i="1"/>
  <c r="K642" i="1"/>
  <c r="K1034" i="1"/>
  <c r="K1237" i="1"/>
  <c r="W1237" i="1" s="1"/>
  <c r="J676" i="1"/>
  <c r="W676" i="1" s="1"/>
  <c r="J774" i="1"/>
  <c r="X774" i="1" s="1"/>
  <c r="J872" i="1"/>
  <c r="U872" i="1" s="1"/>
  <c r="J970" i="1"/>
  <c r="U970" i="1" s="1"/>
  <c r="J1068" i="1"/>
  <c r="V1068" i="1" s="1"/>
  <c r="J1166" i="1"/>
  <c r="J754" i="1"/>
  <c r="X754" i="1" s="1"/>
  <c r="J99" i="1"/>
  <c r="W99" i="1" s="1"/>
  <c r="K23" i="1"/>
  <c r="K121" i="1"/>
  <c r="V121" i="1" s="1"/>
  <c r="W197" i="1"/>
  <c r="V1230" i="1"/>
  <c r="V329" i="1"/>
  <c r="V854" i="1"/>
  <c r="W109" i="1"/>
  <c r="X495" i="1"/>
  <c r="W541" i="1"/>
  <c r="W547" i="1"/>
  <c r="W1034" i="1"/>
  <c r="V979" i="1"/>
  <c r="X1159" i="1"/>
  <c r="W691" i="1"/>
  <c r="V1049" i="1"/>
  <c r="X362" i="1"/>
  <c r="J145" i="1"/>
  <c r="J136" i="1"/>
  <c r="K710" i="1"/>
  <c r="U710" i="1" s="1"/>
  <c r="J593" i="1"/>
  <c r="X593" i="1" s="1"/>
  <c r="J1221" i="1"/>
  <c r="X505" i="1"/>
  <c r="W213" i="1"/>
  <c r="V123" i="1"/>
  <c r="W663" i="1"/>
  <c r="U834" i="1"/>
  <c r="W624" i="1"/>
  <c r="V201" i="1"/>
  <c r="X328" i="1"/>
  <c r="X467" i="1"/>
  <c r="X570" i="1"/>
  <c r="W86" i="1"/>
  <c r="X787" i="1"/>
  <c r="V1037" i="1"/>
  <c r="K346" i="1"/>
  <c r="K612" i="1"/>
  <c r="W612" i="1" s="1"/>
  <c r="J201" i="1"/>
  <c r="J495" i="1"/>
  <c r="J111" i="1"/>
  <c r="U235" i="1"/>
  <c r="X342" i="1"/>
  <c r="W208" i="1"/>
  <c r="V783" i="1"/>
  <c r="X615" i="1"/>
  <c r="W700" i="1"/>
  <c r="W645" i="1"/>
  <c r="V178" i="1"/>
  <c r="X428" i="1"/>
  <c r="V472" i="1"/>
  <c r="U846" i="1"/>
  <c r="W622" i="1"/>
  <c r="U1141" i="1"/>
  <c r="W65" i="1"/>
  <c r="K1101" i="1"/>
  <c r="W1101" i="1" s="1"/>
  <c r="U907" i="1"/>
  <c r="W584" i="1"/>
  <c r="X936" i="1"/>
  <c r="X1210" i="1"/>
  <c r="U333" i="1"/>
  <c r="V1088" i="1"/>
  <c r="W603" i="1"/>
  <c r="U338" i="1"/>
  <c r="V1122" i="1"/>
  <c r="U146" i="1"/>
  <c r="W419" i="1"/>
  <c r="X306" i="1"/>
  <c r="V266" i="1"/>
  <c r="X586" i="1"/>
  <c r="X824" i="1"/>
  <c r="V936" i="1"/>
  <c r="V544" i="1"/>
  <c r="U1178" i="1"/>
  <c r="W101" i="1"/>
  <c r="U145" i="1"/>
  <c r="U741" i="1"/>
  <c r="U752" i="1"/>
  <c r="V687" i="1"/>
  <c r="X1049" i="1"/>
  <c r="W550" i="1"/>
  <c r="U867" i="1"/>
  <c r="X1014" i="1"/>
  <c r="W994" i="1"/>
  <c r="V867" i="1"/>
  <c r="U22" i="1"/>
  <c r="X531" i="1"/>
  <c r="U1026" i="1"/>
  <c r="W565" i="1"/>
  <c r="X1124" i="1"/>
  <c r="X1069" i="1"/>
  <c r="U209" i="1"/>
  <c r="U307" i="1"/>
  <c r="J664" i="1"/>
  <c r="W570" i="1"/>
  <c r="X1035" i="1"/>
  <c r="V939" i="1"/>
  <c r="V994" i="1"/>
  <c r="V226" i="1"/>
  <c r="V310" i="1"/>
  <c r="W830" i="1"/>
  <c r="U350" i="1"/>
  <c r="V741" i="1"/>
  <c r="V595" i="1"/>
  <c r="U373" i="1"/>
  <c r="X786" i="1"/>
  <c r="U806" i="1"/>
  <c r="W317" i="1"/>
  <c r="U151" i="1"/>
  <c r="U347" i="1"/>
  <c r="U935" i="1"/>
  <c r="U1131" i="1"/>
  <c r="X663" i="1"/>
  <c r="W463" i="1"/>
  <c r="X249" i="1"/>
  <c r="X557" i="1"/>
  <c r="U875" i="1"/>
  <c r="W145" i="1"/>
  <c r="W1162" i="1"/>
  <c r="U829" i="1"/>
  <c r="W320" i="1"/>
  <c r="W390" i="1"/>
  <c r="X610" i="1"/>
  <c r="X708" i="1"/>
  <c r="X834" i="1"/>
  <c r="V822" i="1"/>
  <c r="W936" i="1"/>
  <c r="X500" i="1"/>
  <c r="V307" i="1"/>
  <c r="X981" i="1"/>
  <c r="X1093" i="1"/>
  <c r="V907" i="1"/>
  <c r="X624" i="1"/>
  <c r="X764" i="1"/>
  <c r="V1116" i="1"/>
  <c r="U855" i="1"/>
  <c r="U231" i="1"/>
  <c r="U857" i="1"/>
  <c r="U550" i="1"/>
  <c r="V670" i="1"/>
  <c r="W59" i="1"/>
  <c r="U495" i="1"/>
  <c r="W928" i="1"/>
  <c r="V60" i="1"/>
  <c r="X562" i="1"/>
  <c r="U476" i="1"/>
  <c r="U758" i="1"/>
  <c r="V931" i="1"/>
  <c r="U497" i="1"/>
  <c r="U609" i="1"/>
  <c r="U722" i="1"/>
  <c r="U904" i="1"/>
  <c r="X1178" i="1"/>
  <c r="W931" i="1"/>
  <c r="U1059" i="1"/>
  <c r="X1225" i="1"/>
  <c r="V792" i="1"/>
  <c r="U1161" i="1"/>
  <c r="W310" i="1"/>
  <c r="U1219" i="1"/>
  <c r="W818" i="1"/>
  <c r="W679" i="1"/>
  <c r="X805" i="1"/>
  <c r="V621" i="1"/>
  <c r="U247" i="1"/>
  <c r="X633" i="1"/>
  <c r="V1153" i="1"/>
  <c r="X228" i="1"/>
  <c r="V622" i="1"/>
  <c r="V846" i="1"/>
  <c r="U25" i="1"/>
  <c r="W1246" i="1"/>
  <c r="V405" i="1"/>
  <c r="V45" i="1"/>
  <c r="X295" i="1"/>
  <c r="X393" i="1"/>
  <c r="X491" i="1"/>
  <c r="V374" i="1"/>
  <c r="U532" i="1"/>
  <c r="V584" i="1"/>
  <c r="X473" i="1"/>
  <c r="U942" i="1"/>
  <c r="V1092" i="1"/>
  <c r="V263" i="1"/>
  <c r="W153" i="1"/>
  <c r="X667" i="1"/>
  <c r="V823" i="1"/>
  <c r="U831" i="1"/>
  <c r="X571" i="1"/>
  <c r="W1235" i="1"/>
  <c r="U983" i="1"/>
  <c r="W1192" i="1"/>
  <c r="V786" i="1"/>
  <c r="U678" i="1"/>
  <c r="X265" i="1"/>
  <c r="U159" i="1"/>
  <c r="X419" i="1"/>
  <c r="V505" i="1"/>
  <c r="W619" i="1"/>
  <c r="J496" i="1"/>
  <c r="X565" i="1"/>
  <c r="W835" i="1"/>
  <c r="V1058" i="1"/>
  <c r="X1092" i="1"/>
  <c r="W461" i="1"/>
  <c r="U436" i="1"/>
  <c r="X994" i="1"/>
  <c r="K13" i="1"/>
  <c r="K575" i="1"/>
  <c r="K1247" i="1"/>
  <c r="W1247" i="1" s="1"/>
  <c r="J516" i="1"/>
  <c r="X516" i="1" s="1"/>
  <c r="K452" i="1"/>
  <c r="K1153" i="1"/>
  <c r="X1153" i="1" s="1"/>
  <c r="K1178" i="1"/>
  <c r="K764" i="1"/>
  <c r="W764" i="1" s="1"/>
  <c r="K331" i="1"/>
  <c r="W331" i="1" s="1"/>
  <c r="K779" i="1"/>
  <c r="K1177" i="1"/>
  <c r="J741" i="1"/>
  <c r="W741" i="1" s="1"/>
  <c r="J700" i="1"/>
  <c r="X700" i="1" s="1"/>
  <c r="W575" i="1"/>
  <c r="V926" i="1"/>
  <c r="U60" i="1"/>
  <c r="W492" i="1"/>
  <c r="V339" i="1"/>
  <c r="U519" i="1"/>
  <c r="U1044" i="1"/>
  <c r="W1210" i="1"/>
  <c r="V1125" i="1"/>
  <c r="U65" i="1"/>
  <c r="U457" i="1"/>
  <c r="V132" i="1"/>
  <c r="V720" i="1"/>
  <c r="V1210" i="1"/>
  <c r="X1239" i="1"/>
  <c r="W429" i="1"/>
  <c r="V1242" i="1"/>
  <c r="U448" i="1"/>
  <c r="K22" i="1"/>
  <c r="J162" i="1"/>
  <c r="U162" i="1" s="1"/>
  <c r="K1014" i="1"/>
  <c r="U1014" i="1" s="1"/>
  <c r="K463" i="1"/>
  <c r="V463" i="1" s="1"/>
  <c r="K624" i="1"/>
  <c r="K834" i="1"/>
  <c r="J115" i="1"/>
  <c r="J584" i="1"/>
  <c r="X584" i="1" s="1"/>
  <c r="J170" i="1"/>
  <c r="V170" i="1" s="1"/>
  <c r="K846" i="1"/>
  <c r="K646" i="1"/>
  <c r="U646" i="1" s="1"/>
  <c r="K954" i="1"/>
  <c r="U1204" i="1"/>
  <c r="K1001" i="1"/>
  <c r="K546" i="1"/>
  <c r="K862" i="1"/>
  <c r="U862" i="1" s="1"/>
  <c r="J68" i="1"/>
  <c r="V68" i="1" s="1"/>
  <c r="K269" i="1"/>
  <c r="K367" i="1"/>
  <c r="X367" i="1" s="1"/>
  <c r="J458" i="1"/>
  <c r="V458" i="1" s="1"/>
  <c r="J93" i="1"/>
  <c r="V93" i="1" s="1"/>
  <c r="J222" i="1"/>
  <c r="V222" i="1" s="1"/>
  <c r="J320" i="1"/>
  <c r="J418" i="1"/>
  <c r="V418" i="1" s="1"/>
  <c r="J614" i="1"/>
  <c r="X614" i="1" s="1"/>
  <c r="J712" i="1"/>
  <c r="J132" i="1"/>
  <c r="J328" i="1"/>
  <c r="J259" i="1"/>
  <c r="K645" i="1"/>
  <c r="V645" i="1" s="1"/>
  <c r="K60" i="1"/>
  <c r="K158" i="1"/>
  <c r="K256" i="1"/>
  <c r="U256" i="1" s="1"/>
  <c r="K354" i="1"/>
  <c r="X354" i="1" s="1"/>
  <c r="K550" i="1"/>
  <c r="J801" i="1"/>
  <c r="V801" i="1" s="1"/>
  <c r="K1222" i="1"/>
  <c r="V1222" i="1" s="1"/>
  <c r="V764" i="1"/>
  <c r="U473" i="1"/>
  <c r="X397" i="1"/>
  <c r="X607" i="1"/>
  <c r="U954" i="1"/>
  <c r="W752" i="1"/>
  <c r="X1056" i="1"/>
  <c r="V87" i="1"/>
  <c r="U245" i="1"/>
  <c r="U1137" i="1"/>
  <c r="V292" i="1"/>
  <c r="V1151" i="1"/>
  <c r="X267" i="1"/>
  <c r="V157" i="1"/>
  <c r="V605" i="1"/>
  <c r="V136" i="1"/>
  <c r="X582" i="1"/>
  <c r="V710" i="1"/>
  <c r="X960" i="1"/>
  <c r="V1060" i="1"/>
  <c r="U994" i="1"/>
  <c r="U466" i="1"/>
  <c r="W1178" i="1"/>
  <c r="W181" i="1"/>
  <c r="W671" i="1"/>
  <c r="U1151" i="1"/>
  <c r="V516" i="1"/>
  <c r="U927" i="1"/>
  <c r="X684" i="1"/>
  <c r="V1246" i="1"/>
  <c r="W87" i="1"/>
  <c r="X307" i="1"/>
  <c r="W227" i="1"/>
  <c r="V679" i="1"/>
  <c r="U628" i="1"/>
  <c r="U1011" i="1"/>
  <c r="X1101" i="1"/>
  <c r="X884" i="1"/>
  <c r="U1101" i="1"/>
  <c r="K1231" i="1"/>
  <c r="X1231" i="1" s="1"/>
  <c r="K758" i="1"/>
  <c r="V758" i="1" s="1"/>
  <c r="J1059" i="1"/>
  <c r="X1059" i="1" s="1"/>
  <c r="K1011" i="1"/>
  <c r="J47" i="1"/>
  <c r="J72" i="1"/>
  <c r="W72" i="1" s="1"/>
  <c r="J299" i="1"/>
  <c r="J397" i="1"/>
  <c r="W397" i="1" s="1"/>
  <c r="J691" i="1"/>
  <c r="X691" i="1" s="1"/>
  <c r="J307" i="1"/>
  <c r="W307" i="1" s="1"/>
  <c r="J532" i="1"/>
  <c r="X532" i="1" s="1"/>
  <c r="K918" i="1"/>
  <c r="U918" i="1" s="1"/>
  <c r="K1184" i="1"/>
  <c r="J1238" i="1"/>
  <c r="W892" i="1"/>
  <c r="U17" i="1"/>
  <c r="V111" i="1"/>
  <c r="X725" i="1"/>
  <c r="X855" i="1"/>
  <c r="X302" i="1"/>
  <c r="X1162" i="1"/>
  <c r="V1218" i="1"/>
  <c r="U562" i="1"/>
  <c r="W352" i="1"/>
  <c r="V267" i="1"/>
  <c r="U936" i="1"/>
  <c r="U1188" i="1"/>
  <c r="W500" i="1"/>
  <c r="X248" i="1"/>
  <c r="X444" i="1"/>
  <c r="W141" i="1"/>
  <c r="X627" i="1"/>
  <c r="X519" i="1"/>
  <c r="U1162" i="1"/>
  <c r="U72" i="1"/>
  <c r="W226" i="1"/>
  <c r="U496" i="1"/>
  <c r="U1149" i="1"/>
  <c r="W111" i="1"/>
  <c r="V137" i="1"/>
  <c r="X541" i="1"/>
  <c r="V1052" i="1"/>
  <c r="W339" i="1"/>
  <c r="U744" i="1"/>
  <c r="V1150" i="1"/>
  <c r="W143" i="1"/>
  <c r="U366" i="1"/>
  <c r="X378" i="1"/>
  <c r="U1122" i="1"/>
  <c r="V593" i="1"/>
  <c r="U565" i="1"/>
  <c r="V301" i="1"/>
  <c r="U1113" i="1"/>
  <c r="U472" i="1"/>
  <c r="X1222" i="1"/>
  <c r="V1035" i="1"/>
  <c r="X581" i="1"/>
  <c r="W1161" i="1"/>
  <c r="V492" i="1"/>
  <c r="J533" i="1"/>
  <c r="V533" i="1" s="1"/>
  <c r="K720" i="1"/>
  <c r="K786" i="1"/>
  <c r="W786" i="1" s="1"/>
  <c r="J1073" i="1"/>
  <c r="W1073" i="1" s="1"/>
  <c r="K1099" i="1"/>
  <c r="U1099" i="1" s="1"/>
  <c r="K525" i="1"/>
  <c r="J617" i="1"/>
  <c r="W617" i="1" s="1"/>
  <c r="K59" i="1"/>
  <c r="J262" i="1"/>
  <c r="V262" i="1" s="1"/>
  <c r="J800" i="1"/>
  <c r="U800" i="1" s="1"/>
  <c r="K528" i="1"/>
  <c r="K724" i="1"/>
  <c r="J125" i="1"/>
  <c r="V125" i="1" s="1"/>
  <c r="J321" i="1"/>
  <c r="J350" i="1"/>
  <c r="J448" i="1"/>
  <c r="X448" i="1" s="1"/>
  <c r="K634" i="1"/>
  <c r="K732" i="1"/>
  <c r="K830" i="1"/>
  <c r="K928" i="1"/>
  <c r="K1026" i="1"/>
  <c r="K1124" i="1"/>
  <c r="K1215" i="1"/>
  <c r="V1215" i="1" s="1"/>
  <c r="J1195" i="1"/>
  <c r="X1195" i="1" s="1"/>
  <c r="J1209" i="1"/>
  <c r="X1209" i="1" s="1"/>
  <c r="J958" i="1"/>
  <c r="X958" i="1" s="1"/>
  <c r="J623" i="1"/>
  <c r="X623" i="1" s="1"/>
  <c r="J917" i="1"/>
  <c r="J1015" i="1"/>
  <c r="X1015" i="1" s="1"/>
  <c r="U263" i="1"/>
  <c r="W457" i="1"/>
  <c r="V190" i="1"/>
  <c r="W724" i="1"/>
  <c r="X451" i="1"/>
  <c r="X262" i="1"/>
  <c r="X360" i="1"/>
  <c r="X458" i="1"/>
  <c r="X1060" i="1"/>
  <c r="W491" i="1"/>
  <c r="X1215" i="1"/>
  <c r="V255" i="1"/>
  <c r="W256" i="1"/>
  <c r="X628" i="1"/>
  <c r="X894" i="1"/>
  <c r="V868" i="1"/>
  <c r="V81" i="1"/>
  <c r="W321" i="1"/>
  <c r="X1017" i="1"/>
  <c r="W411" i="1"/>
  <c r="W646" i="1"/>
  <c r="W884" i="1"/>
  <c r="X363" i="1"/>
  <c r="X937" i="1"/>
  <c r="W1011" i="1"/>
  <c r="V476" i="1"/>
  <c r="X546" i="1"/>
  <c r="V954" i="1"/>
  <c r="V571" i="1"/>
  <c r="U1238" i="1"/>
  <c r="U132" i="1"/>
  <c r="W1217" i="1"/>
  <c r="W566" i="1"/>
  <c r="U624" i="1"/>
  <c r="X926" i="1"/>
  <c r="V1110" i="1"/>
  <c r="W833" i="1"/>
  <c r="U328" i="1"/>
  <c r="U1035" i="1"/>
  <c r="U339" i="1"/>
  <c r="X1156" i="1"/>
  <c r="V1123" i="1"/>
  <c r="W190" i="1"/>
  <c r="X213" i="1"/>
  <c r="X339" i="1"/>
  <c r="V146" i="1"/>
  <c r="V1042" i="1"/>
  <c r="V1224" i="1"/>
  <c r="W725" i="1"/>
  <c r="U111" i="1"/>
  <c r="X427" i="1"/>
  <c r="V387" i="1"/>
  <c r="X705" i="1"/>
  <c r="V589" i="1"/>
  <c r="W1106" i="1"/>
  <c r="U1164" i="1"/>
  <c r="K330" i="1"/>
  <c r="V330" i="1" s="1"/>
  <c r="J36" i="1"/>
  <c r="K247" i="1"/>
  <c r="X247" i="1" s="1"/>
  <c r="K1056" i="1"/>
  <c r="K707" i="1"/>
  <c r="J1218" i="1"/>
  <c r="X1218" i="1" s="1"/>
  <c r="X509" i="1"/>
  <c r="V862" i="1"/>
  <c r="U222" i="1"/>
  <c r="W322" i="1"/>
  <c r="V390" i="1"/>
  <c r="W519" i="1"/>
  <c r="X1019" i="1"/>
  <c r="W299" i="1"/>
  <c r="X659" i="1"/>
  <c r="X1037" i="1"/>
  <c r="V997" i="1"/>
  <c r="V461" i="1"/>
  <c r="X442" i="1"/>
  <c r="W824" i="1"/>
  <c r="X259" i="1"/>
  <c r="U1218" i="1"/>
  <c r="V791" i="1"/>
  <c r="J213" i="1"/>
  <c r="U213" i="1" s="1"/>
  <c r="K226" i="1"/>
  <c r="U226" i="1" s="1"/>
  <c r="W780" i="1"/>
  <c r="X822" i="1"/>
  <c r="V59" i="1"/>
  <c r="W1124" i="1"/>
  <c r="V1011" i="1"/>
  <c r="X800" i="1"/>
  <c r="X1177" i="1"/>
  <c r="X645" i="1"/>
  <c r="U434" i="1"/>
  <c r="V981" i="1"/>
  <c r="X1238" i="1"/>
  <c r="K1042" i="1"/>
  <c r="U1042" i="1" s="1"/>
  <c r="U459" i="1"/>
  <c r="X253" i="1"/>
  <c r="W495" i="1"/>
  <c r="U1124" i="1"/>
  <c r="U456" i="1"/>
  <c r="V350" i="1"/>
  <c r="U228" i="1"/>
  <c r="U860" i="1"/>
  <c r="W326" i="1"/>
  <c r="U917" i="1"/>
  <c r="U705" i="1"/>
  <c r="V1139" i="1"/>
  <c r="X1125" i="1"/>
  <c r="V517" i="1"/>
  <c r="V1221" i="1"/>
  <c r="X801" i="1"/>
  <c r="V1177" i="1"/>
  <c r="X748" i="1"/>
  <c r="W472" i="1"/>
  <c r="U893" i="1"/>
  <c r="U488" i="1"/>
  <c r="X720" i="1"/>
  <c r="V419" i="1"/>
  <c r="X472" i="1"/>
  <c r="X1074" i="1"/>
  <c r="J601" i="1"/>
  <c r="X601" i="1" s="1"/>
  <c r="J699" i="1"/>
  <c r="W699" i="1" s="1"/>
  <c r="J797" i="1"/>
  <c r="X797" i="1" s="1"/>
  <c r="J1091" i="1"/>
  <c r="W1091" i="1" s="1"/>
  <c r="J1189" i="1"/>
  <c r="U1189" i="1" s="1"/>
  <c r="K1204" i="1"/>
  <c r="J854" i="1"/>
  <c r="U854" i="1" s="1"/>
  <c r="J1050" i="1"/>
  <c r="V1050" i="1" s="1"/>
  <c r="K42" i="1"/>
  <c r="K140" i="1"/>
  <c r="U140" i="1" s="1"/>
  <c r="X274" i="1"/>
  <c r="X470" i="1"/>
  <c r="V920" i="1"/>
  <c r="X208" i="1"/>
  <c r="X320" i="1"/>
  <c r="V1204" i="1"/>
  <c r="W1152" i="1"/>
  <c r="W1123" i="1"/>
  <c r="U786" i="1"/>
  <c r="W139" i="1"/>
  <c r="V333" i="1"/>
  <c r="V473" i="1"/>
  <c r="V557" i="1"/>
  <c r="W1218" i="1"/>
  <c r="V744" i="1"/>
  <c r="U259" i="1"/>
  <c r="U32" i="1"/>
  <c r="W436" i="1"/>
  <c r="U1192" i="1"/>
  <c r="X222" i="1"/>
  <c r="U424" i="1"/>
  <c r="V612" i="1"/>
  <c r="V29" i="1"/>
  <c r="W115" i="1"/>
  <c r="U136" i="1"/>
  <c r="V407" i="1"/>
  <c r="X741" i="1"/>
  <c r="U155" i="1"/>
  <c r="U634" i="1"/>
  <c r="X266" i="1"/>
  <c r="U692" i="1"/>
  <c r="V158" i="1"/>
  <c r="W146" i="1"/>
  <c r="X459" i="1"/>
  <c r="U302" i="1"/>
  <c r="V1004" i="1"/>
  <c r="W1040" i="1"/>
  <c r="W170" i="1"/>
  <c r="V766" i="1"/>
  <c r="U1236" i="1"/>
  <c r="V550" i="1"/>
  <c r="X798" i="1"/>
  <c r="W846" i="1"/>
  <c r="X899" i="1"/>
  <c r="U528" i="1"/>
  <c r="W1019" i="1"/>
  <c r="U644" i="1"/>
  <c r="X912" i="1"/>
  <c r="V834" i="1"/>
  <c r="W614" i="1"/>
  <c r="U369" i="1"/>
  <c r="W1092" i="1"/>
  <c r="U379" i="1"/>
  <c r="W581" i="1"/>
  <c r="W1159" i="1"/>
  <c r="V47" i="1"/>
  <c r="V705" i="1"/>
  <c r="W1127" i="1"/>
  <c r="V524" i="1"/>
  <c r="W694" i="1"/>
  <c r="W778" i="1"/>
  <c r="U822" i="1"/>
  <c r="W1100" i="1"/>
  <c r="W1105" i="1"/>
  <c r="V833" i="1"/>
  <c r="V161" i="1"/>
  <c r="U161" i="1"/>
  <c r="K63" i="1"/>
  <c r="K161" i="1"/>
  <c r="X517" i="1"/>
  <c r="V743" i="1"/>
  <c r="W927" i="1"/>
  <c r="W983" i="1"/>
  <c r="U240" i="1"/>
  <c r="U174" i="1"/>
  <c r="V352" i="1"/>
  <c r="X240" i="1"/>
  <c r="X436" i="1"/>
  <c r="V326" i="1"/>
  <c r="V452" i="1"/>
  <c r="U639" i="1"/>
  <c r="U928" i="1"/>
  <c r="W1202" i="1"/>
  <c r="U663" i="1"/>
  <c r="X758" i="1"/>
  <c r="X954" i="1"/>
  <c r="V1040" i="1"/>
  <c r="U1170" i="1"/>
  <c r="V1239" i="1"/>
  <c r="X1249" i="1"/>
  <c r="V176" i="1"/>
  <c r="U419" i="1"/>
  <c r="W831" i="1"/>
  <c r="X1011" i="1"/>
  <c r="V1083" i="1"/>
  <c r="V1001" i="1"/>
  <c r="V61" i="1"/>
  <c r="V322" i="1"/>
  <c r="W1029" i="1"/>
  <c r="X368" i="1"/>
  <c r="U458" i="1"/>
  <c r="W582" i="1"/>
  <c r="U612" i="1"/>
  <c r="W792" i="1"/>
  <c r="V778" i="1"/>
  <c r="X1099" i="1"/>
  <c r="V1059" i="1"/>
  <c r="W136" i="1"/>
  <c r="K231" i="1"/>
  <c r="X231" i="1" s="1"/>
  <c r="U183" i="1"/>
  <c r="U814" i="1"/>
  <c r="U47" i="1"/>
  <c r="V519" i="1"/>
  <c r="V603" i="1"/>
  <c r="X1161" i="1"/>
  <c r="U884" i="1"/>
  <c r="X602" i="1"/>
  <c r="X910" i="1"/>
  <c r="W1153" i="1"/>
  <c r="U798" i="1"/>
  <c r="U463" i="1"/>
  <c r="W1216" i="1"/>
  <c r="U820" i="1"/>
  <c r="X674" i="1"/>
  <c r="U1100" i="1"/>
  <c r="V1111" i="1"/>
  <c r="U910" i="1"/>
  <c r="U170" i="1"/>
  <c r="U960" i="1"/>
  <c r="W721" i="1"/>
  <c r="W935" i="1"/>
  <c r="W231" i="1"/>
  <c r="V467" i="1"/>
  <c r="W917" i="1"/>
  <c r="V202" i="1"/>
  <c r="X452" i="1"/>
  <c r="X732" i="1"/>
  <c r="U626" i="1"/>
  <c r="W834" i="1"/>
  <c r="V944" i="1"/>
  <c r="W1240" i="1"/>
  <c r="V877" i="1"/>
  <c r="U824" i="1"/>
  <c r="V162" i="1"/>
  <c r="W473" i="1"/>
  <c r="U700" i="1"/>
  <c r="U575" i="1"/>
  <c r="U937" i="1"/>
  <c r="K29" i="1"/>
  <c r="K449" i="1"/>
  <c r="J169" i="1"/>
  <c r="V169" i="1" s="1"/>
  <c r="J393" i="1"/>
  <c r="V393" i="1" s="1"/>
  <c r="J234" i="1"/>
  <c r="U234" i="1" s="1"/>
  <c r="J535" i="1"/>
  <c r="V535" i="1" s="1"/>
  <c r="J885" i="1"/>
  <c r="V885" i="1" s="1"/>
  <c r="K818" i="1"/>
  <c r="V818" i="1" s="1"/>
  <c r="K1252" i="1"/>
  <c r="V1252" i="1" s="1"/>
  <c r="K517" i="1"/>
  <c r="J1156" i="1"/>
  <c r="U1156" i="1" s="1"/>
  <c r="K373" i="1"/>
  <c r="W373" i="1" s="1"/>
  <c r="K905" i="1"/>
  <c r="X905" i="1" s="1"/>
  <c r="J380" i="1"/>
  <c r="J471" i="1"/>
  <c r="V471" i="1" s="1"/>
  <c r="J583" i="1"/>
  <c r="V583" i="1" s="1"/>
  <c r="J793" i="1"/>
  <c r="X793" i="1" s="1"/>
  <c r="J947" i="1"/>
  <c r="X947" i="1" s="1"/>
  <c r="K794" i="1"/>
  <c r="V794" i="1" s="1"/>
  <c r="K899" i="1"/>
  <c r="V899" i="1" s="1"/>
  <c r="V529" i="1"/>
  <c r="U266" i="1"/>
  <c r="W898" i="1"/>
  <c r="U605" i="1"/>
  <c r="W408" i="1"/>
  <c r="W942" i="1"/>
  <c r="V546" i="1"/>
  <c r="W158" i="1"/>
  <c r="W1026" i="1"/>
  <c r="V844" i="1"/>
  <c r="X286" i="1"/>
  <c r="W1060" i="1"/>
  <c r="W532" i="1"/>
  <c r="X878" i="1"/>
  <c r="W509" i="1"/>
  <c r="V570" i="1"/>
  <c r="V1189" i="1"/>
  <c r="V151" i="1"/>
  <c r="W405" i="1"/>
  <c r="V1089" i="1"/>
  <c r="V1243" i="1"/>
  <c r="U1150" i="1"/>
  <c r="W1193" i="1"/>
  <c r="V141" i="1"/>
  <c r="W241" i="1"/>
  <c r="W787" i="1"/>
  <c r="U589" i="1"/>
  <c r="U491" i="1"/>
  <c r="U1015" i="1"/>
  <c r="W1238" i="1"/>
  <c r="X310" i="1"/>
  <c r="W369" i="1"/>
  <c r="V928" i="1"/>
  <c r="W1252" i="1"/>
  <c r="V1209" i="1"/>
  <c r="U584" i="1"/>
  <c r="V1178" i="1"/>
  <c r="X931" i="1"/>
  <c r="X1141" i="1"/>
  <c r="X269" i="1"/>
  <c r="V159" i="1"/>
  <c r="U289" i="1"/>
  <c r="V495" i="1"/>
  <c r="W819" i="1"/>
  <c r="X1109" i="1"/>
  <c r="W302" i="1"/>
  <c r="U346" i="1"/>
  <c r="U416" i="1"/>
  <c r="V496" i="1"/>
  <c r="X875" i="1"/>
  <c r="V807" i="1"/>
  <c r="U778" i="1"/>
  <c r="U13" i="1"/>
  <c r="X243" i="1"/>
  <c r="X299" i="1"/>
  <c r="W347" i="1"/>
  <c r="V359" i="1"/>
  <c r="U405" i="1"/>
  <c r="W557" i="1"/>
  <c r="W627" i="1"/>
  <c r="V707" i="1"/>
  <c r="V820" i="1"/>
  <c r="V658" i="1"/>
  <c r="K197" i="1"/>
  <c r="U197" i="1" s="1"/>
  <c r="K855" i="1"/>
  <c r="J50" i="1"/>
  <c r="J414" i="1"/>
  <c r="J554" i="1"/>
  <c r="V554" i="1" s="1"/>
  <c r="J729" i="1"/>
  <c r="U729" i="1" s="1"/>
  <c r="J752" i="1"/>
  <c r="X752" i="1" s="1"/>
  <c r="J920" i="1"/>
  <c r="K860" i="1"/>
  <c r="K27" i="1"/>
  <c r="U27" i="1" s="1"/>
  <c r="K748" i="1"/>
  <c r="U748" i="1" s="1"/>
  <c r="J792" i="1"/>
  <c r="X792" i="1" s="1"/>
  <c r="J1198" i="1"/>
  <c r="V1198" i="1" s="1"/>
  <c r="K807" i="1"/>
  <c r="U807" i="1" s="1"/>
  <c r="J408" i="1"/>
  <c r="X408" i="1" s="1"/>
  <c r="J492" i="1"/>
  <c r="X492" i="1" s="1"/>
  <c r="K1151" i="1"/>
  <c r="K1148" i="1"/>
  <c r="W1148" i="1" s="1"/>
  <c r="K1225" i="1"/>
  <c r="U1225" i="1" s="1"/>
  <c r="K582" i="1"/>
  <c r="U582" i="1" s="1"/>
  <c r="J75" i="1"/>
  <c r="W75" i="1" s="1"/>
  <c r="K276" i="1"/>
  <c r="V276" i="1" s="1"/>
  <c r="K374" i="1"/>
  <c r="X374" i="1" s="1"/>
  <c r="K472" i="1"/>
  <c r="K1254" i="1"/>
  <c r="X1254" i="1" s="1"/>
  <c r="J100" i="1"/>
  <c r="W100" i="1" s="1"/>
  <c r="K542" i="1"/>
  <c r="U542" i="1" s="1"/>
  <c r="K738" i="1"/>
  <c r="U738" i="1" s="1"/>
  <c r="J229" i="1"/>
  <c r="W229" i="1" s="1"/>
  <c r="J327" i="1"/>
  <c r="U327" i="1" s="1"/>
  <c r="J425" i="1"/>
  <c r="J523" i="1"/>
  <c r="U523" i="1" s="1"/>
  <c r="J621" i="1"/>
  <c r="W621" i="1" s="1"/>
  <c r="J339" i="1"/>
  <c r="J962" i="1"/>
  <c r="U962" i="1" s="1"/>
  <c r="J940" i="1"/>
  <c r="X940" i="1" s="1"/>
  <c r="J139" i="1"/>
  <c r="J335" i="1"/>
  <c r="V335" i="1" s="1"/>
  <c r="J531" i="1"/>
  <c r="U531" i="1" s="1"/>
  <c r="J266" i="1"/>
  <c r="K666" i="1"/>
  <c r="U666" i="1" s="1"/>
  <c r="U193" i="1"/>
  <c r="U781" i="1"/>
  <c r="W695" i="1"/>
  <c r="V749" i="1"/>
  <c r="X300" i="1"/>
  <c r="W374" i="1"/>
  <c r="W822" i="1"/>
  <c r="W1088" i="1"/>
  <c r="X846" i="1"/>
  <c r="W1074" i="1"/>
  <c r="W267" i="1"/>
  <c r="V153" i="1"/>
  <c r="W659" i="1"/>
  <c r="W939" i="1"/>
  <c r="V1217" i="1"/>
  <c r="X575" i="1"/>
  <c r="V619" i="1"/>
  <c r="V80" i="1"/>
  <c r="W600" i="1"/>
  <c r="V892" i="1"/>
  <c r="V1256" i="1"/>
  <c r="U59" i="1"/>
  <c r="U1177" i="1"/>
  <c r="X1246" i="1"/>
  <c r="U141" i="1"/>
  <c r="X485" i="1"/>
  <c r="U603" i="1"/>
  <c r="W1245" i="1"/>
  <c r="U1195" i="1"/>
  <c r="W783" i="1"/>
  <c r="W562" i="1"/>
  <c r="W940" i="1"/>
  <c r="X488" i="1"/>
  <c r="U386" i="1"/>
  <c r="U1110" i="1"/>
  <c r="X321" i="1"/>
  <c r="V295" i="1"/>
  <c r="W409" i="1"/>
  <c r="U571" i="1"/>
  <c r="W807" i="1"/>
  <c r="U320" i="1"/>
  <c r="X496" i="1"/>
  <c r="X304" i="1"/>
  <c r="W434" i="1"/>
  <c r="V600" i="1"/>
  <c r="X561" i="1"/>
  <c r="V500" i="1"/>
  <c r="V1074" i="1"/>
  <c r="W912" i="1"/>
  <c r="U1040" i="1"/>
  <c r="U354" i="1"/>
  <c r="X779" i="1"/>
  <c r="W1035" i="1"/>
  <c r="V143" i="1"/>
  <c r="U89" i="1"/>
  <c r="X434" i="1"/>
  <c r="U1209" i="1"/>
  <c r="U414" i="1"/>
  <c r="V72" i="1"/>
  <c r="X338" i="1"/>
  <c r="X394" i="1"/>
  <c r="V884" i="1"/>
  <c r="U981" i="1"/>
  <c r="X983" i="1"/>
  <c r="X719" i="1"/>
  <c r="X1097" i="1"/>
  <c r="V1071" i="1"/>
  <c r="U600" i="1"/>
  <c r="V1086" i="1"/>
  <c r="W266" i="1"/>
  <c r="W350" i="1"/>
  <c r="W546" i="1"/>
  <c r="X892" i="1"/>
  <c r="X1103" i="1"/>
  <c r="W1177" i="1"/>
  <c r="X333" i="1"/>
  <c r="W295" i="1"/>
  <c r="U679" i="1"/>
  <c r="X463" i="1"/>
  <c r="U255" i="1"/>
  <c r="X694" i="1"/>
  <c r="V724" i="1"/>
  <c r="U1246" i="1"/>
  <c r="U1221" i="1"/>
  <c r="U130" i="1"/>
  <c r="W814" i="1"/>
  <c r="W926" i="1"/>
  <c r="W1206" i="1"/>
  <c r="V1066" i="1"/>
  <c r="W605" i="1"/>
  <c r="U115" i="1"/>
  <c r="U29" i="1"/>
  <c r="W125" i="1"/>
  <c r="W349" i="1"/>
  <c r="X569" i="1"/>
  <c r="X807" i="1"/>
  <c r="V227" i="1"/>
  <c r="W910" i="1"/>
  <c r="U204" i="1"/>
  <c r="U720" i="1"/>
  <c r="X235" i="1"/>
  <c r="X823" i="1"/>
  <c r="W674" i="1"/>
  <c r="W800" i="1"/>
  <c r="V910" i="1"/>
  <c r="U1153" i="1"/>
  <c r="U61" i="1"/>
  <c r="X391" i="1"/>
  <c r="V855" i="1"/>
  <c r="U1083" i="1"/>
  <c r="V752" i="1"/>
  <c r="X322" i="1"/>
  <c r="W242" i="1"/>
  <c r="V800" i="1"/>
  <c r="W328" i="1"/>
  <c r="X604" i="1"/>
  <c r="U492" i="1"/>
  <c r="V525" i="1"/>
  <c r="U322" i="1"/>
  <c r="X1247" i="1"/>
  <c r="V634" i="1"/>
  <c r="V717" i="1"/>
  <c r="X1164" i="1"/>
  <c r="V1026" i="1"/>
  <c r="X1221" i="1"/>
  <c r="W1156" i="1"/>
  <c r="V1100" i="1"/>
  <c r="V1254" i="1"/>
  <c r="U595" i="1"/>
  <c r="W1042" i="1"/>
  <c r="X1095" i="1"/>
  <c r="X480" i="1"/>
  <c r="U682" i="1"/>
  <c r="W378" i="1"/>
  <c r="U93" i="1"/>
  <c r="V299" i="1"/>
  <c r="X535" i="1"/>
  <c r="V565" i="1"/>
  <c r="V663" i="1"/>
  <c r="U360" i="1"/>
  <c r="X830" i="1"/>
  <c r="X914" i="1"/>
  <c r="X1236" i="1"/>
  <c r="U1256" i="1"/>
  <c r="W1256" i="1"/>
  <c r="U137" i="1"/>
  <c r="U1216" i="1"/>
  <c r="W80" i="1"/>
  <c r="X245" i="1"/>
  <c r="U81" i="1"/>
  <c r="U68" i="1"/>
  <c r="U153" i="1"/>
  <c r="W262" i="1"/>
  <c r="V259" i="1"/>
  <c r="W430" i="1"/>
  <c r="V470" i="1"/>
  <c r="U503" i="1"/>
  <c r="X831" i="1"/>
  <c r="W707" i="1"/>
  <c r="U619" i="1"/>
  <c r="W1110" i="1"/>
  <c r="K127" i="1"/>
  <c r="U127" i="1" s="1"/>
  <c r="K386" i="1"/>
  <c r="X386" i="1" s="1"/>
  <c r="K519" i="1"/>
  <c r="K939" i="1"/>
  <c r="J456" i="1"/>
  <c r="J610" i="1"/>
  <c r="U610" i="1" s="1"/>
  <c r="J820" i="1"/>
  <c r="J45" i="1"/>
  <c r="J171" i="1"/>
  <c r="V171" i="1" s="1"/>
  <c r="J465" i="1"/>
  <c r="V465" i="1" s="1"/>
  <c r="J815" i="1"/>
  <c r="U815" i="1" s="1"/>
  <c r="J1004" i="1"/>
  <c r="U1004" i="1" s="1"/>
  <c r="K296" i="1"/>
  <c r="W296" i="1" s="1"/>
  <c r="K944" i="1"/>
  <c r="U944" i="1" s="1"/>
  <c r="K1140" i="1"/>
  <c r="V1140" i="1" s="1"/>
  <c r="K622" i="1"/>
  <c r="K993" i="1"/>
  <c r="J1058" i="1"/>
  <c r="W1058" i="1" s="1"/>
  <c r="J1240" i="1"/>
  <c r="K464" i="1"/>
  <c r="U464" i="1" s="1"/>
  <c r="K576" i="1"/>
  <c r="K856" i="1"/>
  <c r="U856" i="1" s="1"/>
  <c r="J324" i="1"/>
  <c r="U324" i="1" s="1"/>
  <c r="J422" i="1"/>
  <c r="V422" i="1" s="1"/>
  <c r="J527" i="1"/>
  <c r="V527" i="1" s="1"/>
  <c r="J639" i="1"/>
  <c r="X639" i="1" s="1"/>
  <c r="J877" i="1"/>
  <c r="W877" i="1" s="1"/>
  <c r="K850" i="1"/>
  <c r="K1081" i="1"/>
  <c r="U1081" i="1" s="1"/>
  <c r="K252" i="1"/>
  <c r="X252" i="1" s="1"/>
  <c r="K364" i="1"/>
  <c r="W364" i="1" s="1"/>
  <c r="K679" i="1"/>
  <c r="K994" i="1"/>
  <c r="J15" i="1"/>
  <c r="K206" i="1"/>
  <c r="K409" i="1"/>
  <c r="J703" i="1"/>
  <c r="W703" i="1" s="1"/>
  <c r="K675" i="1"/>
  <c r="K927" i="1"/>
  <c r="J892" i="1"/>
  <c r="K40" i="1"/>
  <c r="V40" i="1" s="1"/>
  <c r="K138" i="1"/>
  <c r="V138" i="1" s="1"/>
  <c r="J31" i="1"/>
  <c r="J1123" i="1"/>
  <c r="X1123" i="1" s="1"/>
  <c r="J1111" i="1"/>
  <c r="X1111" i="1" s="1"/>
  <c r="J76" i="1"/>
  <c r="V76" i="1" s="1"/>
  <c r="J174" i="1"/>
  <c r="J272" i="1"/>
  <c r="J370" i="1"/>
  <c r="V370" i="1" s="1"/>
  <c r="J468" i="1"/>
  <c r="J7" i="1"/>
  <c r="J105" i="1"/>
  <c r="U105" i="1" s="1"/>
  <c r="J301" i="1"/>
  <c r="K134" i="1"/>
  <c r="J32" i="1"/>
  <c r="V32" i="1" s="1"/>
  <c r="J130" i="1"/>
  <c r="J228" i="1"/>
  <c r="V228" i="1" s="1"/>
  <c r="J326" i="1"/>
  <c r="U326" i="1" s="1"/>
  <c r="J424" i="1"/>
  <c r="X424" i="1" s="1"/>
  <c r="J522" i="1"/>
  <c r="X522" i="1" s="1"/>
  <c r="K173" i="1"/>
  <c r="K271" i="1"/>
  <c r="V271" i="1" s="1"/>
  <c r="K369" i="1"/>
  <c r="K467" i="1"/>
  <c r="U467" i="1" s="1"/>
  <c r="K565" i="1"/>
  <c r="K957" i="1"/>
  <c r="K1200" i="1"/>
  <c r="J1109" i="1"/>
  <c r="J992" i="1"/>
  <c r="X992" i="1" s="1"/>
  <c r="J796" i="1"/>
  <c r="U796" i="1" s="1"/>
  <c r="J894" i="1"/>
  <c r="K44" i="1"/>
  <c r="U44" i="1" s="1"/>
  <c r="K191" i="1"/>
  <c r="K702" i="1"/>
  <c r="K1199" i="1"/>
  <c r="K1066" i="1"/>
  <c r="K1255" i="1"/>
  <c r="X371" i="1"/>
  <c r="V302" i="1"/>
  <c r="U335" i="1"/>
  <c r="V512" i="1"/>
  <c r="W648" i="1"/>
  <c r="V726" i="1"/>
  <c r="K274" i="1"/>
  <c r="K400" i="1"/>
  <c r="X400" i="1" s="1"/>
  <c r="K540" i="1"/>
  <c r="K988" i="1"/>
  <c r="J141" i="1"/>
  <c r="J477" i="1"/>
  <c r="X477" i="1" s="1"/>
  <c r="J631" i="1"/>
  <c r="V631" i="1" s="1"/>
  <c r="J841" i="1"/>
  <c r="J66" i="1"/>
  <c r="W66" i="1" s="1"/>
  <c r="K177" i="1"/>
  <c r="W177" i="1" s="1"/>
  <c r="J233" i="1"/>
  <c r="V233" i="1" s="1"/>
  <c r="K300" i="1"/>
  <c r="U300" i="1" s="1"/>
  <c r="K503" i="1"/>
  <c r="W503" i="1" s="1"/>
  <c r="K104" i="1"/>
  <c r="K643" i="1"/>
  <c r="K839" i="1"/>
  <c r="J1100" i="1"/>
  <c r="X1100" i="1" s="1"/>
  <c r="K163" i="1"/>
  <c r="K478" i="1"/>
  <c r="U478" i="1" s="1"/>
  <c r="K597" i="1"/>
  <c r="W597" i="1" s="1"/>
  <c r="J352" i="1"/>
  <c r="J653" i="1"/>
  <c r="X653" i="1" s="1"/>
  <c r="J765" i="1"/>
  <c r="U765" i="1" s="1"/>
  <c r="J891" i="1"/>
  <c r="X891" i="1" s="1"/>
  <c r="K864" i="1"/>
  <c r="V864" i="1" s="1"/>
  <c r="K990" i="1"/>
  <c r="K1102" i="1"/>
  <c r="W1102" i="1" s="1"/>
  <c r="K1207" i="1"/>
  <c r="U1207" i="1" s="1"/>
  <c r="K553" i="1"/>
  <c r="K1211" i="1"/>
  <c r="U1211" i="1" s="1"/>
  <c r="K875" i="1"/>
  <c r="V875" i="1" s="1"/>
  <c r="K1169" i="1"/>
  <c r="K721" i="1"/>
  <c r="K750" i="1"/>
  <c r="W750" i="1" s="1"/>
  <c r="J43" i="1"/>
  <c r="J827" i="1"/>
  <c r="X827" i="1" s="1"/>
  <c r="K24" i="1"/>
  <c r="K122" i="1"/>
  <c r="U122" i="1" s="1"/>
  <c r="K220" i="1"/>
  <c r="X220" i="1" s="1"/>
  <c r="K325" i="1"/>
  <c r="V325" i="1" s="1"/>
  <c r="K521" i="1"/>
  <c r="J429" i="1"/>
  <c r="X429" i="1" s="1"/>
  <c r="J1136" i="1"/>
  <c r="K591" i="1"/>
  <c r="J934" i="1"/>
  <c r="V934" i="1" s="1"/>
  <c r="K848" i="1"/>
  <c r="J629" i="1"/>
  <c r="X629" i="1" s="1"/>
  <c r="J727" i="1"/>
  <c r="W727" i="1" s="1"/>
  <c r="J825" i="1"/>
  <c r="V825" i="1" s="1"/>
  <c r="J923" i="1"/>
  <c r="V923" i="1" s="1"/>
  <c r="J1021" i="1"/>
  <c r="X1021" i="1" s="1"/>
  <c r="J1119" i="1"/>
  <c r="X1119" i="1" s="1"/>
  <c r="J1217" i="1"/>
  <c r="J686" i="1"/>
  <c r="W686" i="1" s="1"/>
  <c r="J882" i="1"/>
  <c r="X882" i="1" s="1"/>
  <c r="J980" i="1"/>
  <c r="W980" i="1" s="1"/>
  <c r="J1078" i="1"/>
  <c r="W1078" i="1" s="1"/>
  <c r="J1176" i="1"/>
  <c r="V1176" i="1" s="1"/>
  <c r="K70" i="1"/>
  <c r="U70" i="1" s="1"/>
  <c r="K168" i="1"/>
  <c r="W233" i="1"/>
  <c r="W263" i="1"/>
  <c r="V373" i="1"/>
  <c r="V401" i="1"/>
  <c r="X609" i="1"/>
  <c r="W585" i="1"/>
  <c r="V1214" i="1"/>
  <c r="V725" i="1"/>
  <c r="K8" i="1"/>
  <c r="K155" i="1"/>
  <c r="W155" i="1" s="1"/>
  <c r="K407" i="1"/>
  <c r="K1009" i="1"/>
  <c r="J148" i="1"/>
  <c r="J73" i="1"/>
  <c r="J360" i="1"/>
  <c r="J682" i="1"/>
  <c r="X682" i="1" s="1"/>
  <c r="J240" i="1"/>
  <c r="W240" i="1" s="1"/>
  <c r="K524" i="1"/>
  <c r="K1035" i="1"/>
  <c r="K1210" i="1"/>
  <c r="U1210" i="1" s="1"/>
  <c r="J1135" i="1"/>
  <c r="K219" i="1"/>
  <c r="X219" i="1" s="1"/>
  <c r="K485" i="1"/>
  <c r="U485" i="1" s="1"/>
  <c r="K884" i="1"/>
  <c r="J359" i="1"/>
  <c r="J898" i="1"/>
  <c r="X898" i="1" s="1"/>
  <c r="J1164" i="1"/>
  <c r="V1164" i="1" s="1"/>
  <c r="K871" i="1"/>
  <c r="V871" i="1" s="1"/>
  <c r="K997" i="1"/>
  <c r="U997" i="1" s="1"/>
  <c r="K1239" i="1"/>
  <c r="W1239" i="1" s="1"/>
  <c r="K560" i="1"/>
  <c r="K896" i="1"/>
  <c r="U896" i="1" s="1"/>
  <c r="K427" i="1"/>
  <c r="K365" i="1"/>
  <c r="U365" i="1" s="1"/>
  <c r="J547" i="1"/>
  <c r="X547" i="1" s="1"/>
  <c r="K129" i="1"/>
  <c r="W129" i="1" s="1"/>
  <c r="K227" i="1"/>
  <c r="X227" i="1" s="1"/>
  <c r="K332" i="1"/>
  <c r="W332" i="1" s="1"/>
  <c r="J534" i="1"/>
  <c r="K598" i="1"/>
  <c r="U598" i="1" s="1"/>
  <c r="K696" i="1"/>
  <c r="K1095" i="1"/>
  <c r="K61" i="1"/>
  <c r="J212" i="1"/>
  <c r="J97" i="1"/>
  <c r="W97" i="1" s="1"/>
  <c r="J195" i="1"/>
  <c r="J293" i="1"/>
  <c r="J391" i="1"/>
  <c r="W391" i="1" s="1"/>
  <c r="J489" i="1"/>
  <c r="W489" i="1" s="1"/>
  <c r="J322" i="1"/>
  <c r="J518" i="1"/>
  <c r="W518" i="1" s="1"/>
  <c r="K351" i="1"/>
  <c r="W351" i="1" s="1"/>
  <c r="J53" i="1"/>
  <c r="J151" i="1"/>
  <c r="J249" i="1"/>
  <c r="J347" i="1"/>
  <c r="J445" i="1"/>
  <c r="X445" i="1" s="1"/>
  <c r="J543" i="1"/>
  <c r="V543" i="1" s="1"/>
  <c r="K194" i="1"/>
  <c r="W194" i="1" s="1"/>
  <c r="K292" i="1"/>
  <c r="K390" i="1"/>
  <c r="X390" i="1" s="1"/>
  <c r="K488" i="1"/>
  <c r="V488" i="1" s="1"/>
  <c r="K586" i="1"/>
  <c r="V586" i="1" s="1"/>
  <c r="K684" i="1"/>
  <c r="V684" i="1" s="1"/>
  <c r="K1181" i="1"/>
  <c r="J1144" i="1"/>
  <c r="U1144" i="1" s="1"/>
  <c r="J620" i="1"/>
  <c r="W620" i="1" s="1"/>
  <c r="J718" i="1"/>
  <c r="X718" i="1" s="1"/>
  <c r="J816" i="1"/>
  <c r="W816" i="1" s="1"/>
  <c r="J914" i="1"/>
  <c r="U914" i="1" s="1"/>
  <c r="J1012" i="1"/>
  <c r="W1012" i="1" s="1"/>
  <c r="J1110" i="1"/>
  <c r="X1110" i="1" s="1"/>
  <c r="J1083" i="1"/>
  <c r="W1083" i="1" s="1"/>
  <c r="J1090" i="1"/>
  <c r="X1090" i="1" s="1"/>
  <c r="J817" i="1"/>
  <c r="X817" i="1" s="1"/>
  <c r="J267" i="1"/>
  <c r="J946" i="1"/>
  <c r="V946" i="1" s="1"/>
  <c r="J1163" i="1"/>
  <c r="K65" i="1"/>
  <c r="K772" i="1"/>
  <c r="V772" i="1" s="1"/>
  <c r="K1045" i="1"/>
  <c r="U1045" i="1" s="1"/>
  <c r="K1241" i="1"/>
  <c r="U1241" i="1" s="1"/>
  <c r="K883" i="1"/>
  <c r="K1170" i="1"/>
  <c r="X1170" i="1" s="1"/>
  <c r="J734" i="1"/>
  <c r="X734" i="1" s="1"/>
  <c r="J832" i="1"/>
  <c r="X832" i="1" s="1"/>
  <c r="J1028" i="1"/>
  <c r="X1028" i="1" s="1"/>
  <c r="J1224" i="1"/>
  <c r="U1224" i="1" s="1"/>
  <c r="J595" i="1"/>
  <c r="X595" i="1" s="1"/>
  <c r="J693" i="1"/>
  <c r="X693" i="1" s="1"/>
  <c r="J791" i="1"/>
  <c r="U791" i="1" s="1"/>
  <c r="J889" i="1"/>
  <c r="W889" i="1" s="1"/>
  <c r="J1085" i="1"/>
  <c r="W1085" i="1" s="1"/>
  <c r="J1190" i="1"/>
  <c r="U691" i="1"/>
  <c r="V1079" i="1"/>
  <c r="V1219" i="1"/>
  <c r="W496" i="1"/>
  <c r="V436" i="1"/>
  <c r="V562" i="1"/>
  <c r="V354" i="1"/>
  <c r="V424" i="1"/>
  <c r="V411" i="1"/>
  <c r="V1077" i="1"/>
  <c r="U426" i="1"/>
  <c r="U1184" i="1"/>
  <c r="V898" i="1"/>
  <c r="X411" i="1"/>
  <c r="U931" i="1"/>
  <c r="U593" i="1"/>
  <c r="X814" i="1"/>
  <c r="X856" i="1"/>
  <c r="V942" i="1"/>
  <c r="W1014" i="1"/>
  <c r="W1056" i="1"/>
  <c r="V145" i="1"/>
  <c r="V803" i="1"/>
  <c r="V1195" i="1"/>
  <c r="X634" i="1"/>
  <c r="V1141" i="1"/>
  <c r="V659" i="1"/>
  <c r="U421" i="1"/>
  <c r="U1001" i="1"/>
  <c r="V1124" i="1"/>
  <c r="X927" i="1"/>
  <c r="V300" i="1"/>
  <c r="X1001" i="1"/>
  <c r="U271" i="1"/>
  <c r="W63" i="1"/>
  <c r="U429" i="1"/>
  <c r="W525" i="1"/>
  <c r="W176" i="1"/>
  <c r="X396" i="1"/>
  <c r="U892" i="1"/>
  <c r="W1016" i="1"/>
  <c r="U1214" i="1"/>
  <c r="X818" i="1"/>
  <c r="X1071" i="1"/>
  <c r="U939" i="1"/>
  <c r="W81" i="1"/>
  <c r="V65" i="1"/>
  <c r="U139" i="1"/>
  <c r="W219" i="1"/>
  <c r="V219" i="1"/>
  <c r="X566" i="1"/>
  <c r="X707" i="1"/>
  <c r="V569" i="1"/>
  <c r="X777" i="1"/>
  <c r="V850" i="1"/>
  <c r="U1052" i="1"/>
  <c r="K204" i="1"/>
  <c r="X204" i="1" s="1"/>
  <c r="K344" i="1"/>
  <c r="U344" i="1" s="1"/>
  <c r="K484" i="1"/>
  <c r="W484" i="1" s="1"/>
  <c r="K659" i="1"/>
  <c r="K890" i="1"/>
  <c r="U890" i="1" s="1"/>
  <c r="J64" i="1"/>
  <c r="W64" i="1" s="1"/>
  <c r="J246" i="1"/>
  <c r="W246" i="1" s="1"/>
  <c r="J421" i="1"/>
  <c r="J561" i="1"/>
  <c r="W561" i="1" s="1"/>
  <c r="J757" i="1"/>
  <c r="X757" i="1" s="1"/>
  <c r="J1037" i="1"/>
  <c r="U1037" i="1" s="1"/>
  <c r="J143" i="1"/>
  <c r="J423" i="1"/>
  <c r="X423" i="1" s="1"/>
  <c r="J605" i="1"/>
  <c r="X605" i="1" s="1"/>
  <c r="J766" i="1"/>
  <c r="X766" i="1" s="1"/>
  <c r="J948" i="1"/>
  <c r="K268" i="1"/>
  <c r="X268" i="1" s="1"/>
  <c r="J184" i="1"/>
  <c r="K398" i="1"/>
  <c r="X398" i="1" s="1"/>
  <c r="K636" i="1"/>
  <c r="K34" i="1"/>
  <c r="K202" i="1"/>
  <c r="K405" i="1"/>
  <c r="K566" i="1"/>
  <c r="K762" i="1"/>
  <c r="W762" i="1" s="1"/>
  <c r="K937" i="1"/>
  <c r="K1133" i="1"/>
  <c r="X1133" i="1" s="1"/>
  <c r="J897" i="1"/>
  <c r="X897" i="1" s="1"/>
  <c r="J1205" i="1"/>
  <c r="K436" i="1"/>
  <c r="K541" i="1"/>
  <c r="V541" i="1" s="1"/>
  <c r="K660" i="1"/>
  <c r="K821" i="1"/>
  <c r="J261" i="1"/>
  <c r="J415" i="1"/>
  <c r="X415" i="1" s="1"/>
  <c r="J499" i="1"/>
  <c r="X499" i="1" s="1"/>
  <c r="V457" i="1"/>
  <c r="W851" i="1"/>
  <c r="X520" i="1"/>
  <c r="U342" i="1"/>
  <c r="U56" i="1"/>
  <c r="U622" i="1"/>
  <c r="U349" i="1"/>
  <c r="K211" i="1"/>
  <c r="K358" i="1"/>
  <c r="V358" i="1" s="1"/>
  <c r="K491" i="1"/>
  <c r="V491" i="1" s="1"/>
  <c r="J281" i="1"/>
  <c r="J428" i="1"/>
  <c r="W428" i="1" s="1"/>
  <c r="J568" i="1"/>
  <c r="X568" i="1" s="1"/>
  <c r="J778" i="1"/>
  <c r="X778" i="1" s="1"/>
  <c r="J1044" i="1"/>
  <c r="X1044" i="1" s="1"/>
  <c r="J430" i="1"/>
  <c r="X430" i="1" s="1"/>
  <c r="J626" i="1"/>
  <c r="V626" i="1" s="1"/>
  <c r="J780" i="1"/>
  <c r="U780" i="1" s="1"/>
  <c r="J1228" i="1"/>
  <c r="K275" i="1"/>
  <c r="U275" i="1" s="1"/>
  <c r="K230" i="1"/>
  <c r="X230" i="1" s="1"/>
  <c r="K419" i="1"/>
  <c r="K895" i="1"/>
  <c r="K41" i="1"/>
  <c r="U41" i="1" s="1"/>
  <c r="K209" i="1"/>
  <c r="W209" i="1" s="1"/>
  <c r="J1219" i="1"/>
  <c r="K443" i="1"/>
  <c r="K548" i="1"/>
  <c r="K667" i="1"/>
  <c r="K828" i="1"/>
  <c r="V828" i="1" s="1"/>
  <c r="J303" i="1"/>
  <c r="U303" i="1" s="1"/>
  <c r="J338" i="1"/>
  <c r="J506" i="1"/>
  <c r="X506" i="1" s="1"/>
  <c r="J618" i="1"/>
  <c r="V618" i="1" s="1"/>
  <c r="J730" i="1"/>
  <c r="V730" i="1" s="1"/>
  <c r="J1108" i="1"/>
  <c r="X1108" i="1" s="1"/>
  <c r="K1060" i="1"/>
  <c r="U1060" i="1" s="1"/>
  <c r="K1165" i="1"/>
  <c r="W1165" i="1" s="1"/>
  <c r="K1018" i="1"/>
  <c r="U1018" i="1" s="1"/>
  <c r="K1256" i="1"/>
  <c r="K1071" i="1"/>
  <c r="U1071" i="1" s="1"/>
  <c r="K336" i="1"/>
  <c r="W336" i="1" s="1"/>
  <c r="K203" i="1"/>
  <c r="V203" i="1" s="1"/>
  <c r="K497" i="1"/>
  <c r="W497" i="1" s="1"/>
  <c r="K526" i="1"/>
  <c r="J183" i="1"/>
  <c r="J603" i="1"/>
  <c r="X603" i="1" s="1"/>
  <c r="J869" i="1"/>
  <c r="K150" i="1"/>
  <c r="K255" i="1"/>
  <c r="X255" i="1" s="1"/>
  <c r="K353" i="1"/>
  <c r="X353" i="1" s="1"/>
  <c r="J248" i="1"/>
  <c r="W248" i="1" s="1"/>
  <c r="J79" i="1"/>
  <c r="U79" i="1" s="1"/>
  <c r="J716" i="1"/>
  <c r="U716" i="1" s="1"/>
  <c r="K241" i="1"/>
  <c r="X241" i="1" s="1"/>
  <c r="K619" i="1"/>
  <c r="K717" i="1"/>
  <c r="K1242" i="1"/>
  <c r="X1242" i="1" s="1"/>
  <c r="J1046" i="1"/>
  <c r="V1046" i="1" s="1"/>
  <c r="J1197" i="1"/>
  <c r="V1197" i="1" s="1"/>
  <c r="J208" i="1"/>
  <c r="U208" i="1" s="1"/>
  <c r="J306" i="1"/>
  <c r="W306" i="1" s="1"/>
  <c r="J404" i="1"/>
  <c r="X404" i="1" s="1"/>
  <c r="J502" i="1"/>
  <c r="U502" i="1" s="1"/>
  <c r="J600" i="1"/>
  <c r="X600" i="1" s="1"/>
  <c r="J698" i="1"/>
  <c r="J689" i="1"/>
  <c r="U689" i="1" s="1"/>
  <c r="J1235" i="1"/>
  <c r="U1235" i="1" s="1"/>
  <c r="J118" i="1"/>
  <c r="J216" i="1"/>
  <c r="U216" i="1" s="1"/>
  <c r="J314" i="1"/>
  <c r="J412" i="1"/>
  <c r="V412" i="1" s="1"/>
  <c r="J510" i="1"/>
  <c r="W510" i="1" s="1"/>
  <c r="J245" i="1"/>
  <c r="W245" i="1" s="1"/>
  <c r="J539" i="1"/>
  <c r="K498" i="1"/>
  <c r="K215" i="1"/>
  <c r="X215" i="1" s="1"/>
  <c r="K313" i="1"/>
  <c r="X313" i="1" s="1"/>
  <c r="K411" i="1"/>
  <c r="K509" i="1"/>
  <c r="K607" i="1"/>
  <c r="V607" i="1" s="1"/>
  <c r="K705" i="1"/>
  <c r="K1202" i="1"/>
  <c r="K627" i="1"/>
  <c r="U627" i="1" s="1"/>
  <c r="K725" i="1"/>
  <c r="U725" i="1" s="1"/>
  <c r="K823" i="1"/>
  <c r="U823" i="1" s="1"/>
  <c r="K921" i="1"/>
  <c r="W921" i="1" s="1"/>
  <c r="K1019" i="1"/>
  <c r="U1019" i="1" s="1"/>
  <c r="K1117" i="1"/>
  <c r="K785" i="1"/>
  <c r="W785" i="1" s="1"/>
  <c r="K1208" i="1"/>
  <c r="U1208" i="1" s="1"/>
  <c r="J641" i="1"/>
  <c r="J739" i="1"/>
  <c r="X739" i="1" s="1"/>
  <c r="J837" i="1"/>
  <c r="X837" i="1" s="1"/>
  <c r="J935" i="1"/>
  <c r="V935" i="1" s="1"/>
  <c r="J1033" i="1"/>
  <c r="X1033" i="1" s="1"/>
  <c r="J1131" i="1"/>
  <c r="J1229" i="1"/>
  <c r="J1160" i="1"/>
  <c r="V1160" i="1" s="1"/>
  <c r="J1188" i="1"/>
  <c r="W1188" i="1" s="1"/>
  <c r="J309" i="1"/>
  <c r="U309" i="1" s="1"/>
  <c r="J1212" i="1"/>
  <c r="K86" i="1"/>
  <c r="U86" i="1" s="1"/>
  <c r="K401" i="1"/>
  <c r="X401" i="1" s="1"/>
  <c r="K814" i="1"/>
  <c r="K1087" i="1"/>
  <c r="V1087" i="1" s="1"/>
  <c r="K961" i="1"/>
  <c r="K1150" i="1"/>
  <c r="W1150" i="1" s="1"/>
  <c r="K925" i="1"/>
  <c r="K1093" i="1"/>
  <c r="V1093" i="1" s="1"/>
  <c r="K1191" i="1"/>
  <c r="J657" i="1"/>
  <c r="X657" i="1" s="1"/>
  <c r="J755" i="1"/>
  <c r="X755" i="1" s="1"/>
  <c r="J853" i="1"/>
  <c r="U853" i="1" s="1"/>
  <c r="J951" i="1"/>
  <c r="W951" i="1" s="1"/>
  <c r="J1049" i="1"/>
  <c r="J1147" i="1"/>
  <c r="J1245" i="1"/>
  <c r="X1245" i="1" s="1"/>
  <c r="J616" i="1"/>
  <c r="J812" i="1"/>
  <c r="J910" i="1"/>
  <c r="J1008" i="1"/>
  <c r="W1008" i="1" s="1"/>
  <c r="J1106" i="1"/>
  <c r="V1106" i="1" s="1"/>
  <c r="K726" i="1"/>
  <c r="K824" i="1"/>
  <c r="K1020" i="1"/>
  <c r="V1020" i="1" s="1"/>
  <c r="K1118" i="1"/>
  <c r="U1118" i="1" s="1"/>
  <c r="K1223" i="1"/>
  <c r="V1223" i="1" s="1"/>
  <c r="K67" i="1"/>
  <c r="K165" i="1"/>
  <c r="K263" i="1"/>
  <c r="X263" i="1" s="1"/>
  <c r="K361" i="1"/>
  <c r="U361" i="1" s="1"/>
  <c r="K459" i="1"/>
  <c r="K557" i="1"/>
  <c r="K648" i="1"/>
  <c r="K746" i="1"/>
  <c r="V746" i="1" s="1"/>
  <c r="K844" i="1"/>
  <c r="K942" i="1"/>
  <c r="K1040" i="1"/>
  <c r="K1138" i="1"/>
  <c r="X1138" i="1" s="1"/>
  <c r="J829" i="1"/>
  <c r="X829" i="1" s="1"/>
  <c r="J1216" i="1"/>
  <c r="X1216" i="1" s="1"/>
  <c r="J859" i="1"/>
  <c r="W859" i="1" s="1"/>
  <c r="J978" i="1"/>
  <c r="J470" i="1"/>
  <c r="W470" i="1" s="1"/>
  <c r="J1065" i="1"/>
  <c r="W1065" i="1" s="1"/>
  <c r="K562" i="1"/>
  <c r="K1129" i="1"/>
  <c r="U1129" i="1" s="1"/>
  <c r="K1192" i="1"/>
  <c r="J611" i="1"/>
  <c r="X611" i="1" s="1"/>
  <c r="J723" i="1"/>
  <c r="V723" i="1" s="1"/>
  <c r="J982" i="1"/>
  <c r="W982" i="1" s="1"/>
  <c r="K822" i="1"/>
  <c r="K941" i="1"/>
  <c r="K1158" i="1"/>
  <c r="X1158" i="1" s="1"/>
  <c r="K1183" i="1"/>
  <c r="K399" i="1"/>
  <c r="X399" i="1" s="1"/>
  <c r="K756" i="1"/>
  <c r="W756" i="1" s="1"/>
  <c r="K588" i="1"/>
  <c r="V588" i="1" s="1"/>
  <c r="K903" i="1"/>
  <c r="W903" i="1" s="1"/>
  <c r="K876" i="1"/>
  <c r="U876" i="1" s="1"/>
  <c r="J673" i="1"/>
  <c r="X673" i="1" s="1"/>
  <c r="J82" i="1"/>
  <c r="V82" i="1" s="1"/>
  <c r="K366" i="1"/>
  <c r="X366" i="1" s="1"/>
  <c r="K80" i="1"/>
  <c r="K178" i="1"/>
  <c r="W178" i="1" s="1"/>
  <c r="K283" i="1"/>
  <c r="V283" i="1" s="1"/>
  <c r="K434" i="1"/>
  <c r="K784" i="1"/>
  <c r="U784" i="1" s="1"/>
  <c r="K1232" i="1"/>
  <c r="W1232" i="1" s="1"/>
  <c r="K420" i="1"/>
  <c r="K777" i="1"/>
  <c r="U777" i="1" s="1"/>
  <c r="K609" i="1"/>
  <c r="V609" i="1" s="1"/>
  <c r="K78" i="1"/>
  <c r="K638" i="1"/>
  <c r="U638" i="1" s="1"/>
  <c r="K953" i="1"/>
  <c r="J295" i="1"/>
  <c r="J715" i="1"/>
  <c r="V715" i="1" s="1"/>
  <c r="J981" i="1"/>
  <c r="W981" i="1" s="1"/>
  <c r="J89" i="1"/>
  <c r="V89" i="1" s="1"/>
  <c r="K387" i="1"/>
  <c r="U387" i="1" s="1"/>
  <c r="K87" i="1"/>
  <c r="U87" i="1" s="1"/>
  <c r="K185" i="1"/>
  <c r="K290" i="1"/>
  <c r="X290" i="1" s="1"/>
  <c r="K388" i="1"/>
  <c r="U388" i="1" s="1"/>
  <c r="K486" i="1"/>
  <c r="J912" i="1"/>
  <c r="V912" i="1" s="1"/>
  <c r="K654" i="1"/>
  <c r="V654" i="1" s="1"/>
  <c r="K773" i="1"/>
  <c r="U773" i="1" s="1"/>
  <c r="J759" i="1"/>
  <c r="U759" i="1" s="1"/>
  <c r="J1214" i="1"/>
  <c r="X1214" i="1" s="1"/>
  <c r="K19" i="1"/>
  <c r="K117" i="1"/>
  <c r="V117" i="1" s="1"/>
  <c r="J52" i="1"/>
  <c r="U52" i="1" s="1"/>
  <c r="J1137" i="1"/>
  <c r="J83" i="1"/>
  <c r="U83" i="1" s="1"/>
  <c r="J181" i="1"/>
  <c r="J279" i="1"/>
  <c r="J377" i="1"/>
  <c r="U377" i="1" s="1"/>
  <c r="J475" i="1"/>
  <c r="W475" i="1" s="1"/>
  <c r="J210" i="1"/>
  <c r="U210" i="1" s="1"/>
  <c r="J308" i="1"/>
  <c r="U308" i="1" s="1"/>
  <c r="J406" i="1"/>
  <c r="W406" i="1" s="1"/>
  <c r="J504" i="1"/>
  <c r="K260" i="1"/>
  <c r="U260" i="1" s="1"/>
  <c r="J39" i="1"/>
  <c r="J137" i="1"/>
  <c r="J235" i="1"/>
  <c r="V235" i="1" s="1"/>
  <c r="J333" i="1"/>
  <c r="J431" i="1"/>
  <c r="X431" i="1" s="1"/>
  <c r="J529" i="1"/>
  <c r="X529" i="1" s="1"/>
  <c r="K180" i="1"/>
  <c r="W180" i="1" s="1"/>
  <c r="K278" i="1"/>
  <c r="X278" i="1" s="1"/>
  <c r="K376" i="1"/>
  <c r="U376" i="1" s="1"/>
  <c r="K474" i="1"/>
  <c r="K572" i="1"/>
  <c r="K670" i="1"/>
  <c r="U670" i="1" s="1"/>
  <c r="K964" i="1"/>
  <c r="K1167" i="1"/>
  <c r="X1167" i="1" s="1"/>
  <c r="K11" i="1"/>
  <c r="K109" i="1"/>
  <c r="U109" i="1" s="1"/>
  <c r="K207" i="1"/>
  <c r="W207" i="1" s="1"/>
  <c r="K305" i="1"/>
  <c r="W305" i="1" s="1"/>
  <c r="K403" i="1"/>
  <c r="K501" i="1"/>
  <c r="W501" i="1" s="1"/>
  <c r="K599" i="1"/>
  <c r="U599" i="1" s="1"/>
  <c r="J1116" i="1"/>
  <c r="X1116" i="1" s="1"/>
  <c r="J606" i="1"/>
  <c r="X606" i="1" s="1"/>
  <c r="J704" i="1"/>
  <c r="J802" i="1"/>
  <c r="V802" i="1" s="1"/>
  <c r="J900" i="1"/>
  <c r="X900" i="1" s="1"/>
  <c r="J998" i="1"/>
  <c r="V998" i="1" s="1"/>
  <c r="J1096" i="1"/>
  <c r="X1096" i="1" s="1"/>
  <c r="J1194" i="1"/>
  <c r="U1194" i="1" s="1"/>
  <c r="J1027" i="1"/>
  <c r="U1027" i="1" s="1"/>
  <c r="J803" i="1"/>
  <c r="U803" i="1" s="1"/>
  <c r="J901" i="1"/>
  <c r="J1055" i="1"/>
  <c r="U1055" i="1" s="1"/>
  <c r="J239" i="1"/>
  <c r="V239" i="1" s="1"/>
  <c r="J799" i="1"/>
  <c r="U799" i="1" s="1"/>
  <c r="K51" i="1"/>
  <c r="V51" i="1" s="1"/>
  <c r="K709" i="1"/>
  <c r="K1017" i="1"/>
  <c r="V1017" i="1" s="1"/>
  <c r="K1213" i="1"/>
  <c r="V1213" i="1" s="1"/>
  <c r="K1080" i="1"/>
  <c r="K1030" i="1"/>
  <c r="K1142" i="1"/>
  <c r="V1142" i="1" s="1"/>
  <c r="J902" i="1"/>
  <c r="J1000" i="1"/>
  <c r="W1000" i="1" s="1"/>
  <c r="J1098" i="1"/>
  <c r="X1098" i="1" s="1"/>
  <c r="J1196" i="1"/>
  <c r="V1196" i="1" s="1"/>
  <c r="K1253" i="1"/>
  <c r="X1253" i="1" s="1"/>
  <c r="J665" i="1"/>
  <c r="X665" i="1" s="1"/>
  <c r="J763" i="1"/>
  <c r="J861" i="1"/>
  <c r="W861" i="1" s="1"/>
  <c r="J959" i="1"/>
  <c r="J1057" i="1"/>
  <c r="K49" i="1"/>
  <c r="V49" i="1" s="1"/>
  <c r="K147" i="1"/>
  <c r="V147" i="1" s="1"/>
  <c r="K4" i="1"/>
  <c r="K54" i="1"/>
  <c r="W54" i="1" s="1"/>
  <c r="J108" i="1"/>
  <c r="J556" i="1"/>
  <c r="U556" i="1" s="1"/>
  <c r="J1186" i="1"/>
  <c r="V1186" i="1" s="1"/>
  <c r="J156" i="1"/>
  <c r="U156" i="1" s="1"/>
  <c r="J90" i="1"/>
  <c r="U90" i="1" s="1"/>
  <c r="J188" i="1"/>
  <c r="J286" i="1"/>
  <c r="V286" i="1" s="1"/>
  <c r="J384" i="1"/>
  <c r="V384" i="1" s="1"/>
  <c r="J482" i="1"/>
  <c r="W482" i="1" s="1"/>
  <c r="J217" i="1"/>
  <c r="J315" i="1"/>
  <c r="J413" i="1"/>
  <c r="V413" i="1" s="1"/>
  <c r="J511" i="1"/>
  <c r="X511" i="1" s="1"/>
  <c r="K288" i="1"/>
  <c r="J46" i="1"/>
  <c r="U46" i="1" s="1"/>
  <c r="J144" i="1"/>
  <c r="U144" i="1" s="1"/>
  <c r="J242" i="1"/>
  <c r="V242" i="1" s="1"/>
  <c r="J340" i="1"/>
  <c r="J438" i="1"/>
  <c r="V438" i="1" s="1"/>
  <c r="J536" i="1"/>
  <c r="V536" i="1" s="1"/>
  <c r="K187" i="1"/>
  <c r="W187" i="1" s="1"/>
  <c r="K285" i="1"/>
  <c r="W285" i="1" s="1"/>
  <c r="K383" i="1"/>
  <c r="X383" i="1" s="1"/>
  <c r="K481" i="1"/>
  <c r="U481" i="1" s="1"/>
  <c r="K579" i="1"/>
  <c r="U579" i="1" s="1"/>
  <c r="K677" i="1"/>
  <c r="K971" i="1"/>
  <c r="K1174" i="1"/>
  <c r="X1174" i="1" s="1"/>
  <c r="K650" i="1"/>
  <c r="V650" i="1" s="1"/>
  <c r="K697" i="1"/>
  <c r="K795" i="1"/>
  <c r="W795" i="1" s="1"/>
  <c r="K893" i="1"/>
  <c r="V893" i="1" s="1"/>
  <c r="K991" i="1"/>
  <c r="K1089" i="1"/>
  <c r="K1187" i="1"/>
  <c r="J1130" i="1"/>
  <c r="J613" i="1"/>
  <c r="U613" i="1" s="1"/>
  <c r="J711" i="1"/>
  <c r="X711" i="1" s="1"/>
  <c r="J809" i="1"/>
  <c r="J907" i="1"/>
  <c r="J1005" i="1"/>
  <c r="U1005" i="1" s="1"/>
  <c r="J1103" i="1"/>
  <c r="V1103" i="1" s="1"/>
  <c r="J1201" i="1"/>
  <c r="W1201" i="1" s="1"/>
  <c r="J1062" i="1"/>
  <c r="U1062" i="1" s="1"/>
  <c r="J1069" i="1"/>
  <c r="V1069" i="1" s="1"/>
  <c r="J810" i="1"/>
  <c r="J922" i="1"/>
  <c r="J1076" i="1"/>
  <c r="X1076" i="1" s="1"/>
  <c r="J253" i="1"/>
  <c r="V253" i="1" s="1"/>
  <c r="J904" i="1"/>
  <c r="K58" i="1"/>
  <c r="W58" i="1" s="1"/>
  <c r="K254" i="1"/>
  <c r="K751" i="1"/>
  <c r="K1031" i="1"/>
  <c r="K1227" i="1"/>
  <c r="K1094" i="1"/>
  <c r="W1094" i="1" s="1"/>
  <c r="K1149" i="1"/>
  <c r="X1149" i="1" s="1"/>
  <c r="J615" i="1"/>
  <c r="U615" i="1" s="1"/>
  <c r="J713" i="1"/>
  <c r="U713" i="1" s="1"/>
  <c r="J811" i="1"/>
  <c r="V811" i="1" s="1"/>
  <c r="J909" i="1"/>
  <c r="J1007" i="1"/>
  <c r="U1007" i="1" s="1"/>
  <c r="J1105" i="1"/>
  <c r="U1105" i="1" s="1"/>
  <c r="J1203" i="1"/>
  <c r="W1203" i="1" s="1"/>
  <c r="J574" i="1"/>
  <c r="J672" i="1"/>
  <c r="X672" i="1" s="1"/>
  <c r="J770" i="1"/>
  <c r="X770" i="1" s="1"/>
  <c r="J868" i="1"/>
  <c r="X868" i="1" s="1"/>
  <c r="J966" i="1"/>
  <c r="U966" i="1" s="1"/>
  <c r="J1064" i="1"/>
  <c r="X1064" i="1" s="1"/>
  <c r="J1162" i="1"/>
  <c r="V1162" i="1" s="1"/>
  <c r="K56" i="1"/>
  <c r="V56" i="1" s="1"/>
  <c r="K154" i="1"/>
  <c r="V154" i="1" s="1"/>
  <c r="K381" i="1"/>
  <c r="X381" i="1" s="1"/>
  <c r="K479" i="1"/>
  <c r="V479" i="1" s="1"/>
  <c r="J507" i="1"/>
  <c r="X507" i="1" s="1"/>
  <c r="J9" i="1"/>
  <c r="J107" i="1"/>
  <c r="J870" i="1"/>
  <c r="W870" i="1" s="1"/>
  <c r="K549" i="1"/>
  <c r="K745" i="1"/>
  <c r="J731" i="1"/>
  <c r="U731" i="1" s="1"/>
  <c r="J1193" i="1"/>
  <c r="X1193" i="1" s="1"/>
  <c r="K12" i="1"/>
  <c r="K110" i="1"/>
  <c r="J236" i="1"/>
  <c r="V236" i="1" s="1"/>
  <c r="J334" i="1"/>
  <c r="U334" i="1" s="1"/>
  <c r="J432" i="1"/>
  <c r="V432" i="1" s="1"/>
  <c r="J530" i="1"/>
  <c r="V530" i="1" s="1"/>
  <c r="J628" i="1"/>
  <c r="W628" i="1" s="1"/>
  <c r="J983" i="1"/>
  <c r="V983" i="1" s="1"/>
  <c r="J48" i="1"/>
  <c r="J146" i="1"/>
  <c r="J342" i="1"/>
  <c r="J538" i="1"/>
  <c r="J77" i="1"/>
  <c r="V77" i="1" s="1"/>
  <c r="J175" i="1"/>
  <c r="J273" i="1"/>
  <c r="J371" i="1"/>
  <c r="U371" i="1" s="1"/>
  <c r="J567" i="1"/>
  <c r="W567" i="1" s="1"/>
  <c r="K694" i="1"/>
  <c r="J102" i="1"/>
  <c r="W102" i="1" s="1"/>
  <c r="J200" i="1"/>
  <c r="J298" i="1"/>
  <c r="J396" i="1"/>
  <c r="W396" i="1" s="1"/>
  <c r="J494" i="1"/>
  <c r="X494" i="1" s="1"/>
  <c r="J592" i="1"/>
  <c r="X592" i="1" s="1"/>
  <c r="K243" i="1"/>
  <c r="V243" i="1" s="1"/>
  <c r="K341" i="1"/>
  <c r="V341" i="1" s="1"/>
  <c r="K439" i="1"/>
  <c r="K537" i="1"/>
  <c r="U537" i="1" s="1"/>
  <c r="K635" i="1"/>
  <c r="K733" i="1"/>
  <c r="K831" i="1"/>
  <c r="V831" i="1" s="1"/>
  <c r="K929" i="1"/>
  <c r="U929" i="1" s="1"/>
  <c r="K1125" i="1"/>
  <c r="W1125" i="1" s="1"/>
  <c r="K1230" i="1"/>
  <c r="X1230" i="1" s="1"/>
  <c r="K74" i="1"/>
  <c r="K172" i="1"/>
  <c r="V172" i="1" s="1"/>
  <c r="K270" i="1"/>
  <c r="U270" i="1" s="1"/>
  <c r="K368" i="1"/>
  <c r="K466" i="1"/>
  <c r="K564" i="1"/>
  <c r="K655" i="1"/>
  <c r="V655" i="1" s="1"/>
  <c r="K753" i="1"/>
  <c r="V753" i="1" s="1"/>
  <c r="K851" i="1"/>
  <c r="K949" i="1"/>
  <c r="K1047" i="1"/>
  <c r="K1145" i="1"/>
  <c r="U1145" i="1" s="1"/>
  <c r="K1236" i="1"/>
  <c r="W1236" i="1" s="1"/>
  <c r="J1237" i="1"/>
  <c r="U1237" i="1" s="1"/>
  <c r="J719" i="1"/>
  <c r="U719" i="1" s="1"/>
  <c r="J866" i="1"/>
  <c r="X866" i="1" s="1"/>
  <c r="J999" i="1"/>
  <c r="U999" i="1" s="1"/>
  <c r="J57" i="1"/>
  <c r="J1072" i="1"/>
  <c r="K16" i="1"/>
  <c r="U16" i="1" s="1"/>
  <c r="K114" i="1"/>
  <c r="K590" i="1"/>
  <c r="U590" i="1" s="1"/>
  <c r="K926" i="1"/>
  <c r="K1143" i="1"/>
  <c r="X1143" i="1" s="1"/>
  <c r="K1010" i="1"/>
  <c r="U1010" i="1" s="1"/>
  <c r="K1206" i="1"/>
  <c r="U1206" i="1" s="1"/>
  <c r="K960" i="1"/>
  <c r="J573" i="1"/>
  <c r="V573" i="1" s="1"/>
  <c r="J671" i="1"/>
  <c r="V671" i="1" s="1"/>
  <c r="J769" i="1"/>
  <c r="V769" i="1" s="1"/>
  <c r="J867" i="1"/>
  <c r="X867" i="1" s="1"/>
  <c r="J1063" i="1"/>
  <c r="V1063" i="1" s="1"/>
  <c r="J1161" i="1"/>
  <c r="V1161" i="1" s="1"/>
  <c r="J630" i="1"/>
  <c r="J728" i="1"/>
  <c r="V728" i="1" s="1"/>
  <c r="J924" i="1"/>
  <c r="J1022" i="1"/>
  <c r="W1022" i="1" s="1"/>
  <c r="J1120" i="1"/>
  <c r="K14" i="1"/>
  <c r="K112" i="1"/>
  <c r="U112" i="1" s="1"/>
  <c r="K581" i="1"/>
  <c r="V581" i="1" s="1"/>
  <c r="J416" i="1"/>
  <c r="X416" i="1" s="1"/>
  <c r="J1032" i="1"/>
  <c r="J153" i="1"/>
  <c r="J251" i="1"/>
  <c r="W251" i="1" s="1"/>
  <c r="J349" i="1"/>
  <c r="J447" i="1"/>
  <c r="U447" i="1" s="1"/>
  <c r="J545" i="1"/>
  <c r="V545" i="1" s="1"/>
  <c r="J84" i="1"/>
  <c r="U84" i="1" s="1"/>
  <c r="J182" i="1"/>
  <c r="J280" i="1"/>
  <c r="J378" i="1"/>
  <c r="V378" i="1" s="1"/>
  <c r="J476" i="1"/>
  <c r="X476" i="1" s="1"/>
  <c r="K71" i="1"/>
  <c r="U71" i="1" s="1"/>
  <c r="K152" i="1"/>
  <c r="V152" i="1" s="1"/>
  <c r="K740" i="1"/>
  <c r="U740" i="1" s="1"/>
  <c r="K838" i="1"/>
  <c r="K936" i="1"/>
  <c r="K1132" i="1"/>
  <c r="U1132" i="1" s="1"/>
  <c r="K81" i="1"/>
  <c r="K179" i="1"/>
  <c r="W179" i="1" s="1"/>
  <c r="K277" i="1"/>
  <c r="W277" i="1" s="1"/>
  <c r="K375" i="1"/>
  <c r="K473" i="1"/>
  <c r="K571" i="1"/>
  <c r="K662" i="1"/>
  <c r="K760" i="1"/>
  <c r="K858" i="1"/>
  <c r="U858" i="1" s="1"/>
  <c r="K956" i="1"/>
  <c r="K1054" i="1"/>
  <c r="K1152" i="1"/>
  <c r="X1152" i="1" s="1"/>
  <c r="J913" i="1"/>
  <c r="V913" i="1" s="1"/>
  <c r="K1243" i="1"/>
  <c r="U1243" i="1" s="1"/>
  <c r="J768" i="1"/>
  <c r="J761" i="1"/>
  <c r="V761" i="1" s="1"/>
  <c r="J873" i="1"/>
  <c r="X873" i="1" s="1"/>
  <c r="J1006" i="1"/>
  <c r="J701" i="1"/>
  <c r="W701" i="1" s="1"/>
  <c r="J1079" i="1"/>
  <c r="U1079" i="1" s="1"/>
  <c r="K604" i="1"/>
  <c r="K933" i="1"/>
  <c r="X933" i="1" s="1"/>
  <c r="K1157" i="1"/>
  <c r="W1157" i="1" s="1"/>
  <c r="K1024" i="1"/>
  <c r="K1220" i="1"/>
  <c r="U1220" i="1" s="1"/>
  <c r="K967" i="1"/>
  <c r="K1114" i="1"/>
  <c r="J580" i="1"/>
  <c r="J678" i="1"/>
  <c r="X678" i="1" s="1"/>
  <c r="J776" i="1"/>
  <c r="X776" i="1" s="1"/>
  <c r="J874" i="1"/>
  <c r="J972" i="1"/>
  <c r="U972" i="1" s="1"/>
  <c r="J1070" i="1"/>
  <c r="J833" i="1"/>
  <c r="J931" i="1"/>
  <c r="J1029" i="1"/>
  <c r="U1029" i="1" s="1"/>
  <c r="J1127" i="1"/>
  <c r="U1127" i="1" s="1"/>
  <c r="K21" i="1"/>
  <c r="U21" i="1" s="1"/>
  <c r="K119" i="1"/>
  <c r="U119" i="1" s="1"/>
  <c r="K602" i="1"/>
  <c r="W1071" i="1"/>
  <c r="X256" i="1"/>
  <c r="U1116" i="1"/>
  <c r="X791" i="1"/>
  <c r="V988" i="1"/>
  <c r="U1091" i="1"/>
  <c r="U526" i="1"/>
  <c r="V660" i="1"/>
  <c r="U554" i="1"/>
  <c r="X1192" i="1"/>
  <c r="W1196" i="1"/>
  <c r="U1239" i="1"/>
  <c r="X591" i="1"/>
  <c r="V775" i="1"/>
  <c r="W1001" i="1"/>
  <c r="W330" i="1"/>
  <c r="W1184" i="1"/>
  <c r="W655" i="1"/>
  <c r="V1128" i="1"/>
  <c r="W760" i="1"/>
  <c r="W259" i="1"/>
  <c r="X479" i="1"/>
  <c r="V509" i="1"/>
  <c r="W595" i="1"/>
  <c r="X550" i="1"/>
  <c r="W526" i="1"/>
  <c r="U570" i="1"/>
  <c r="X844" i="1"/>
  <c r="U724" i="1"/>
  <c r="X1166" i="1"/>
  <c r="U569" i="1"/>
  <c r="X917" i="1"/>
  <c r="V1031" i="1"/>
  <c r="V1115" i="1"/>
  <c r="U1217" i="1"/>
  <c r="U19" i="1"/>
  <c r="X203" i="1"/>
  <c r="V232" i="1"/>
  <c r="V289" i="1"/>
  <c r="U321" i="1"/>
  <c r="U363" i="1"/>
  <c r="X637" i="1"/>
  <c r="W528" i="1"/>
  <c r="U367" i="1"/>
  <c r="U525" i="1"/>
  <c r="U732" i="1"/>
  <c r="V824" i="1"/>
  <c r="V482" i="1"/>
  <c r="V560" i="1"/>
  <c r="U686" i="1"/>
  <c r="K218" i="1"/>
  <c r="X218" i="1" s="1"/>
  <c r="K372" i="1"/>
  <c r="W372" i="1" s="1"/>
  <c r="K505" i="1"/>
  <c r="W505" i="1" s="1"/>
  <c r="K687" i="1"/>
  <c r="U687" i="1" s="1"/>
  <c r="K911" i="1"/>
  <c r="X911" i="1" s="1"/>
  <c r="J85" i="1"/>
  <c r="V85" i="1" s="1"/>
  <c r="J302" i="1"/>
  <c r="J435" i="1"/>
  <c r="U435" i="1" s="1"/>
  <c r="J589" i="1"/>
  <c r="X589" i="1" s="1"/>
  <c r="J806" i="1"/>
  <c r="X806" i="1" s="1"/>
  <c r="J10" i="1"/>
  <c r="J157" i="1"/>
  <c r="U157" i="1" s="1"/>
  <c r="J311" i="1"/>
  <c r="J437" i="1"/>
  <c r="J633" i="1"/>
  <c r="J787" i="1"/>
  <c r="V787" i="1" s="1"/>
  <c r="K142" i="1"/>
  <c r="W142" i="1" s="1"/>
  <c r="K282" i="1"/>
  <c r="W282" i="1" s="1"/>
  <c r="J198" i="1"/>
  <c r="K244" i="1"/>
  <c r="X244" i="1" s="1"/>
  <c r="K433" i="1"/>
  <c r="K916" i="1"/>
  <c r="W916" i="1" s="1"/>
  <c r="K1112" i="1"/>
  <c r="V1112" i="1" s="1"/>
  <c r="K55" i="1"/>
  <c r="W55" i="1" s="1"/>
  <c r="K223" i="1"/>
  <c r="X223" i="1" s="1"/>
  <c r="K426" i="1"/>
  <c r="K965" i="1"/>
  <c r="K1154" i="1"/>
  <c r="W1154" i="1" s="1"/>
  <c r="J1023" i="1"/>
  <c r="X1023" i="1" s="1"/>
  <c r="J1226" i="1"/>
  <c r="K450" i="1"/>
  <c r="K555" i="1"/>
  <c r="U555" i="1" s="1"/>
  <c r="K674" i="1"/>
  <c r="K835" i="1"/>
  <c r="V835" i="1" s="1"/>
  <c r="J310" i="1"/>
  <c r="J345" i="1"/>
  <c r="J513" i="1"/>
  <c r="U513" i="1" s="1"/>
  <c r="J625" i="1"/>
  <c r="U625" i="1" s="1"/>
  <c r="J737" i="1"/>
  <c r="J849" i="1"/>
  <c r="J996" i="1"/>
  <c r="W996" i="1" s="1"/>
  <c r="J1115" i="1"/>
  <c r="X1115" i="1" s="1"/>
  <c r="K836" i="1"/>
  <c r="W836" i="1" s="1"/>
  <c r="K955" i="1"/>
  <c r="K1067" i="1"/>
  <c r="K1172" i="1"/>
  <c r="W1172" i="1" s="1"/>
  <c r="K462" i="1"/>
  <c r="U462" i="1" s="1"/>
  <c r="K805" i="1"/>
  <c r="V805" i="1" s="1"/>
  <c r="K455" i="1"/>
  <c r="K224" i="1"/>
  <c r="X224" i="1" s="1"/>
  <c r="K441" i="1"/>
  <c r="K798" i="1"/>
  <c r="W798" i="1" s="1"/>
  <c r="K1092" i="1"/>
  <c r="K329" i="1"/>
  <c r="W329" i="1" s="1"/>
  <c r="K637" i="1"/>
  <c r="U637" i="1" s="1"/>
  <c r="K952" i="1"/>
  <c r="K120" i="1"/>
  <c r="K652" i="1"/>
  <c r="U652" i="1" s="1"/>
  <c r="J316" i="1"/>
  <c r="J722" i="1"/>
  <c r="X722" i="1" s="1"/>
  <c r="J995" i="1"/>
  <c r="W995" i="1" s="1"/>
  <c r="J96" i="1"/>
  <c r="W96" i="1" s="1"/>
  <c r="K394" i="1"/>
  <c r="K94" i="1"/>
  <c r="U94" i="1" s="1"/>
  <c r="K192" i="1"/>
  <c r="U192" i="1" s="1"/>
  <c r="K297" i="1"/>
  <c r="V297" i="1" s="1"/>
  <c r="K395" i="1"/>
  <c r="X395" i="1" s="1"/>
  <c r="K493" i="1"/>
  <c r="J577" i="1"/>
  <c r="V577" i="1" s="1"/>
  <c r="J23" i="1"/>
  <c r="U23" i="1" s="1"/>
  <c r="J121" i="1"/>
  <c r="J919" i="1"/>
  <c r="K563" i="1"/>
  <c r="K661" i="1"/>
  <c r="V661" i="1" s="1"/>
  <c r="K878" i="1"/>
  <c r="U878" i="1" s="1"/>
  <c r="J843" i="1"/>
  <c r="X843" i="1" s="1"/>
  <c r="J1249" i="1"/>
  <c r="K26" i="1"/>
  <c r="K124" i="1"/>
  <c r="W124" i="1" s="1"/>
  <c r="J250" i="1"/>
  <c r="W250" i="1" s="1"/>
  <c r="J348" i="1"/>
  <c r="J446" i="1"/>
  <c r="J544" i="1"/>
  <c r="W544" i="1" s="1"/>
  <c r="J642" i="1"/>
  <c r="J444" i="1"/>
  <c r="J1053" i="1"/>
  <c r="W1053" i="1" s="1"/>
  <c r="J1097" i="1"/>
  <c r="J62" i="1"/>
  <c r="U62" i="1" s="1"/>
  <c r="J160" i="1"/>
  <c r="J258" i="1"/>
  <c r="W258" i="1" s="1"/>
  <c r="J356" i="1"/>
  <c r="J454" i="1"/>
  <c r="J552" i="1"/>
  <c r="W552" i="1" s="1"/>
  <c r="J91" i="1"/>
  <c r="W91" i="1" s="1"/>
  <c r="J189" i="1"/>
  <c r="U189" i="1" s="1"/>
  <c r="J287" i="1"/>
  <c r="W287" i="1" s="1"/>
  <c r="J385" i="1"/>
  <c r="U385" i="1" s="1"/>
  <c r="J483" i="1"/>
  <c r="K92" i="1"/>
  <c r="U92" i="1" s="1"/>
  <c r="J18" i="1"/>
  <c r="U18" i="1" s="1"/>
  <c r="J116" i="1"/>
  <c r="J214" i="1"/>
  <c r="U214" i="1" s="1"/>
  <c r="J312" i="1"/>
  <c r="J410" i="1"/>
  <c r="X410" i="1" s="1"/>
  <c r="J508" i="1"/>
  <c r="X508" i="1" s="1"/>
  <c r="K159" i="1"/>
  <c r="K257" i="1"/>
  <c r="X257" i="1" s="1"/>
  <c r="K355" i="1"/>
  <c r="W355" i="1" s="1"/>
  <c r="K453" i="1"/>
  <c r="K551" i="1"/>
  <c r="K649" i="1"/>
  <c r="V649" i="1" s="1"/>
  <c r="K747" i="1"/>
  <c r="K845" i="1"/>
  <c r="K943" i="1"/>
  <c r="U943" i="1" s="1"/>
  <c r="K1041" i="1"/>
  <c r="U1041" i="1" s="1"/>
  <c r="K1139" i="1"/>
  <c r="X1139" i="1" s="1"/>
  <c r="K1244" i="1"/>
  <c r="W1244" i="1" s="1"/>
  <c r="K88" i="1"/>
  <c r="U88" i="1" s="1"/>
  <c r="K186" i="1"/>
  <c r="V186" i="1" s="1"/>
  <c r="K284" i="1"/>
  <c r="X284" i="1" s="1"/>
  <c r="K382" i="1"/>
  <c r="X382" i="1" s="1"/>
  <c r="K480" i="1"/>
  <c r="V480" i="1" s="1"/>
  <c r="K578" i="1"/>
  <c r="U578" i="1" s="1"/>
  <c r="K669" i="1"/>
  <c r="K767" i="1"/>
  <c r="K865" i="1"/>
  <c r="V865" i="1" s="1"/>
  <c r="K963" i="1"/>
  <c r="K1061" i="1"/>
  <c r="K1159" i="1"/>
  <c r="U1159" i="1" s="1"/>
  <c r="J1025" i="1"/>
  <c r="U1025" i="1" s="1"/>
  <c r="K1250" i="1"/>
  <c r="X1250" i="1" s="1"/>
  <c r="J683" i="1"/>
  <c r="X683" i="1" s="1"/>
  <c r="J781" i="1"/>
  <c r="V781" i="1" s="1"/>
  <c r="J879" i="1"/>
  <c r="V879" i="1" s="1"/>
  <c r="J977" i="1"/>
  <c r="V977" i="1" s="1"/>
  <c r="J1075" i="1"/>
  <c r="W1075" i="1" s="1"/>
  <c r="J1173" i="1"/>
  <c r="V1173" i="1" s="1"/>
  <c r="J775" i="1"/>
  <c r="X775" i="1" s="1"/>
  <c r="J908" i="1"/>
  <c r="J782" i="1"/>
  <c r="X782" i="1" s="1"/>
  <c r="J880" i="1"/>
  <c r="V880" i="1" s="1"/>
  <c r="J1013" i="1"/>
  <c r="W1013" i="1" s="1"/>
  <c r="J106" i="1"/>
  <c r="J743" i="1"/>
  <c r="X743" i="1" s="1"/>
  <c r="J1086" i="1"/>
  <c r="U1086" i="1" s="1"/>
  <c r="K30" i="1"/>
  <c r="K128" i="1"/>
  <c r="W128" i="1" s="1"/>
  <c r="K681" i="1"/>
  <c r="V681" i="1" s="1"/>
  <c r="K968" i="1"/>
  <c r="K1171" i="1"/>
  <c r="V1171" i="1" s="1"/>
  <c r="K1038" i="1"/>
  <c r="K1234" i="1"/>
  <c r="K974" i="1"/>
  <c r="K1121" i="1"/>
  <c r="W1121" i="1" s="1"/>
  <c r="J587" i="1"/>
  <c r="X587" i="1" s="1"/>
  <c r="J685" i="1"/>
  <c r="X685" i="1" s="1"/>
  <c r="J783" i="1"/>
  <c r="U783" i="1" s="1"/>
  <c r="J881" i="1"/>
  <c r="V881" i="1" s="1"/>
  <c r="J979" i="1"/>
  <c r="U979" i="1" s="1"/>
  <c r="J1077" i="1"/>
  <c r="U1077" i="1" s="1"/>
  <c r="J1175" i="1"/>
  <c r="W1175" i="1" s="1"/>
  <c r="K987" i="1"/>
  <c r="J644" i="1"/>
  <c r="X644" i="1" s="1"/>
  <c r="J742" i="1"/>
  <c r="W742" i="1" s="1"/>
  <c r="J840" i="1"/>
  <c r="X840" i="1" s="1"/>
  <c r="J938" i="1"/>
  <c r="J1036" i="1"/>
  <c r="J1134" i="1"/>
  <c r="K28" i="1"/>
  <c r="K126" i="1"/>
  <c r="W126" i="1" s="1"/>
  <c r="K714" i="1"/>
  <c r="V575" i="1"/>
  <c r="U1222" i="1"/>
  <c r="X335" i="1"/>
  <c r="X405" i="1"/>
  <c r="U299" i="1"/>
  <c r="X671" i="1"/>
  <c r="X1189" i="1"/>
  <c r="W1090" i="1"/>
  <c r="V324" i="1"/>
  <c r="U566" i="1"/>
  <c r="X1204" i="1"/>
  <c r="V122" i="1"/>
  <c r="U242" i="1"/>
  <c r="W132" i="1"/>
  <c r="W272" i="1"/>
  <c r="W342" i="1"/>
  <c r="W398" i="1"/>
  <c r="X1086" i="1"/>
  <c r="V657" i="1"/>
  <c r="U401" i="1"/>
  <c r="V224" i="1"/>
  <c r="V782" i="1"/>
  <c r="X326" i="1"/>
  <c r="V929" i="1"/>
  <c r="W634" i="1"/>
  <c r="X1163" i="1"/>
  <c r="U427" i="1"/>
  <c r="U1185" i="1"/>
  <c r="V526" i="1"/>
  <c r="U1140" i="1"/>
  <c r="V606" i="1"/>
  <c r="V647" i="1"/>
  <c r="W720" i="1"/>
  <c r="V760" i="1"/>
  <c r="X1038" i="1"/>
  <c r="V900" i="1"/>
  <c r="U945" i="1"/>
  <c r="X1217" i="1"/>
  <c r="V677" i="1"/>
  <c r="V1238" i="1"/>
  <c r="V1118" i="1"/>
  <c r="U251" i="1"/>
  <c r="V1012" i="1"/>
  <c r="V1249" i="1"/>
  <c r="W441" i="1"/>
  <c r="V1154" i="1"/>
  <c r="V624" i="1"/>
  <c r="X1029" i="1"/>
  <c r="V1127" i="1"/>
  <c r="W133" i="1"/>
  <c r="X409" i="1"/>
  <c r="U359" i="1"/>
  <c r="X619" i="1"/>
  <c r="X745" i="1"/>
  <c r="U695" i="1"/>
  <c r="W987" i="1"/>
  <c r="V1097" i="1"/>
  <c r="X1224" i="1"/>
  <c r="U1043" i="1"/>
  <c r="W316" i="1"/>
  <c r="X760" i="1"/>
  <c r="U654" i="1"/>
  <c r="X928" i="1"/>
  <c r="W862" i="1"/>
  <c r="V1056" i="1"/>
  <c r="U667" i="1"/>
  <c r="U657" i="1"/>
  <c r="X826" i="1"/>
  <c r="U80" i="1"/>
  <c r="V50" i="1"/>
  <c r="U67" i="1"/>
  <c r="W121" i="1"/>
  <c r="W151" i="1"/>
  <c r="V231" i="1"/>
  <c r="W289" i="1"/>
  <c r="X469" i="1"/>
  <c r="X579" i="1"/>
  <c r="W459" i="1"/>
  <c r="W499" i="1"/>
  <c r="X679" i="1"/>
  <c r="W613" i="1"/>
  <c r="U592" i="1"/>
  <c r="W636" i="1"/>
  <c r="V1018" i="1"/>
  <c r="W946" i="1"/>
  <c r="U143" i="1"/>
  <c r="U1053" i="1"/>
  <c r="V798" i="1"/>
  <c r="K113" i="1"/>
  <c r="K232" i="1"/>
  <c r="X232" i="1" s="1"/>
  <c r="K379" i="1"/>
  <c r="X379" i="1" s="1"/>
  <c r="K512" i="1"/>
  <c r="K708" i="1"/>
  <c r="K932" i="1"/>
  <c r="U932" i="1" s="1"/>
  <c r="J323" i="1"/>
  <c r="U323" i="1" s="1"/>
  <c r="J442" i="1"/>
  <c r="U442" i="1" s="1"/>
  <c r="J596" i="1"/>
  <c r="X596" i="1" s="1"/>
  <c r="J813" i="1"/>
  <c r="V813" i="1" s="1"/>
  <c r="J38" i="1"/>
  <c r="J164" i="1"/>
  <c r="V164" i="1" s="1"/>
  <c r="J318" i="1"/>
  <c r="J451" i="1"/>
  <c r="J647" i="1"/>
  <c r="U647" i="1" s="1"/>
  <c r="J808" i="1"/>
  <c r="J976" i="1"/>
  <c r="X976" i="1" s="1"/>
  <c r="K149" i="1"/>
  <c r="W149" i="1" s="1"/>
  <c r="K289" i="1"/>
  <c r="J205" i="1"/>
  <c r="K20" i="1"/>
  <c r="K706" i="1"/>
  <c r="K930" i="1"/>
  <c r="W930" i="1" s="1"/>
  <c r="K1126" i="1"/>
  <c r="W1126" i="1" s="1"/>
  <c r="K237" i="1"/>
  <c r="X237" i="1" s="1"/>
  <c r="K440" i="1"/>
  <c r="K608" i="1"/>
  <c r="U608" i="1" s="1"/>
  <c r="K804" i="1"/>
  <c r="U804" i="1" s="1"/>
  <c r="K1168" i="1"/>
  <c r="W1168" i="1" s="1"/>
  <c r="J1051" i="1"/>
  <c r="J1233" i="1"/>
  <c r="U1233" i="1" s="1"/>
  <c r="K457" i="1"/>
  <c r="K569" i="1"/>
  <c r="K695" i="1"/>
  <c r="K842" i="1"/>
  <c r="J317" i="1"/>
  <c r="J520" i="1"/>
  <c r="V520" i="1" s="1"/>
  <c r="J632" i="1"/>
  <c r="J744" i="1"/>
  <c r="W744" i="1" s="1"/>
  <c r="J863" i="1"/>
  <c r="X863" i="1" s="1"/>
  <c r="J1003" i="1"/>
  <c r="W1003" i="1" s="1"/>
  <c r="J1122" i="1"/>
  <c r="X1122" i="1" s="1"/>
  <c r="K969" i="1"/>
  <c r="K1074" i="1"/>
  <c r="U1074" i="1" s="1"/>
  <c r="K1179" i="1"/>
  <c r="K826" i="1"/>
  <c r="K238" i="1"/>
  <c r="X238" i="1" s="1"/>
  <c r="K469" i="1"/>
  <c r="K819" i="1"/>
  <c r="U819" i="1" s="1"/>
  <c r="K1113" i="1"/>
  <c r="V1113" i="1" s="1"/>
  <c r="K343" i="1"/>
  <c r="U343" i="1" s="1"/>
  <c r="K658" i="1"/>
  <c r="K973" i="1"/>
  <c r="V973" i="1" s="1"/>
  <c r="K225" i="1"/>
  <c r="X225" i="1" s="1"/>
  <c r="K680" i="1"/>
  <c r="K1002" i="1"/>
  <c r="J337" i="1"/>
  <c r="U337" i="1" s="1"/>
  <c r="J736" i="1"/>
  <c r="X736" i="1" s="1"/>
  <c r="J5" i="1"/>
  <c r="J103" i="1"/>
  <c r="W103" i="1" s="1"/>
  <c r="K6" i="1"/>
  <c r="K101" i="1"/>
  <c r="U101" i="1" s="1"/>
  <c r="K199" i="1"/>
  <c r="V199" i="1" s="1"/>
  <c r="K304" i="1"/>
  <c r="V304" i="1" s="1"/>
  <c r="K402" i="1"/>
  <c r="X402" i="1" s="1"/>
  <c r="K500" i="1"/>
  <c r="J640" i="1"/>
  <c r="X640" i="1" s="1"/>
  <c r="J975" i="1"/>
  <c r="X975" i="1" s="1"/>
  <c r="K570" i="1"/>
  <c r="K668" i="1"/>
  <c r="K906" i="1"/>
  <c r="J857" i="1"/>
  <c r="K357" i="1"/>
  <c r="K33" i="1"/>
  <c r="K131" i="1"/>
  <c r="W131" i="1" s="1"/>
  <c r="J17" i="1"/>
  <c r="J514" i="1"/>
  <c r="V514" i="1" s="1"/>
  <c r="J1088" i="1"/>
  <c r="X1088" i="1" s="1"/>
  <c r="J1104" i="1"/>
  <c r="V1104" i="1" s="1"/>
  <c r="J69" i="1"/>
  <c r="V69" i="1" s="1"/>
  <c r="J167" i="1"/>
  <c r="W167" i="1" s="1"/>
  <c r="J265" i="1"/>
  <c r="V265" i="1" s="1"/>
  <c r="J363" i="1"/>
  <c r="J461" i="1"/>
  <c r="J559" i="1"/>
  <c r="J98" i="1"/>
  <c r="W98" i="1" s="1"/>
  <c r="J196" i="1"/>
  <c r="J294" i="1"/>
  <c r="J392" i="1"/>
  <c r="W392" i="1" s="1"/>
  <c r="J490" i="1"/>
  <c r="W490" i="1" s="1"/>
  <c r="K99" i="1"/>
  <c r="V99" i="1" s="1"/>
  <c r="J25" i="1"/>
  <c r="V25" i="1" s="1"/>
  <c r="J123" i="1"/>
  <c r="U123" i="1" s="1"/>
  <c r="J221" i="1"/>
  <c r="W221" i="1" s="1"/>
  <c r="J319" i="1"/>
  <c r="J417" i="1"/>
  <c r="V417" i="1" s="1"/>
  <c r="J515" i="1"/>
  <c r="K166" i="1"/>
  <c r="K264" i="1"/>
  <c r="X264" i="1" s="1"/>
  <c r="K362" i="1"/>
  <c r="K460" i="1"/>
  <c r="K558" i="1"/>
  <c r="K656" i="1"/>
  <c r="K754" i="1"/>
  <c r="V754" i="1" s="1"/>
  <c r="K852" i="1"/>
  <c r="K950" i="1"/>
  <c r="K1048" i="1"/>
  <c r="K1146" i="1"/>
  <c r="K1251" i="1"/>
  <c r="U1251" i="1" s="1"/>
  <c r="K95" i="1"/>
  <c r="U95" i="1" s="1"/>
  <c r="K193" i="1"/>
  <c r="V193" i="1" s="1"/>
  <c r="K291" i="1"/>
  <c r="X291" i="1" s="1"/>
  <c r="K389" i="1"/>
  <c r="K487" i="1"/>
  <c r="U487" i="1" s="1"/>
  <c r="K585" i="1"/>
  <c r="V585" i="1" s="1"/>
  <c r="K676" i="1"/>
  <c r="K774" i="1"/>
  <c r="V774" i="1" s="1"/>
  <c r="K872" i="1"/>
  <c r="V872" i="1" s="1"/>
  <c r="K970" i="1"/>
  <c r="K1068" i="1"/>
  <c r="K1166" i="1"/>
  <c r="W1166" i="1" s="1"/>
  <c r="J1039" i="1"/>
  <c r="V1039" i="1" s="1"/>
  <c r="K1257" i="1"/>
  <c r="J690" i="1"/>
  <c r="W690" i="1" s="1"/>
  <c r="J788" i="1"/>
  <c r="V788" i="1" s="1"/>
  <c r="J886" i="1"/>
  <c r="W886" i="1" s="1"/>
  <c r="J984" i="1"/>
  <c r="J1082" i="1"/>
  <c r="W1082" i="1" s="1"/>
  <c r="J1180" i="1"/>
  <c r="J915" i="1"/>
  <c r="U915" i="1" s="1"/>
  <c r="J985" i="1"/>
  <c r="X985" i="1" s="1"/>
  <c r="J789" i="1"/>
  <c r="U789" i="1" s="1"/>
  <c r="J887" i="1"/>
  <c r="V887" i="1" s="1"/>
  <c r="J1034" i="1"/>
  <c r="X1034" i="1" s="1"/>
  <c r="J176" i="1"/>
  <c r="J771" i="1"/>
  <c r="X771" i="1" s="1"/>
  <c r="J1107" i="1"/>
  <c r="X1107" i="1" s="1"/>
  <c r="K37" i="1"/>
  <c r="V37" i="1" s="1"/>
  <c r="K135" i="1"/>
  <c r="K688" i="1"/>
  <c r="U688" i="1" s="1"/>
  <c r="K989" i="1"/>
  <c r="K1185" i="1"/>
  <c r="K1052" i="1"/>
  <c r="K1248" i="1"/>
  <c r="V1248" i="1" s="1"/>
  <c r="K1016" i="1"/>
  <c r="U1016" i="1" s="1"/>
  <c r="K1128" i="1"/>
  <c r="W1128" i="1" s="1"/>
  <c r="J594" i="1"/>
  <c r="X594" i="1" s="1"/>
  <c r="J692" i="1"/>
  <c r="X692" i="1" s="1"/>
  <c r="J790" i="1"/>
  <c r="U790" i="1" s="1"/>
  <c r="J888" i="1"/>
  <c r="J986" i="1"/>
  <c r="W986" i="1" s="1"/>
  <c r="J1084" i="1"/>
  <c r="X1084" i="1" s="1"/>
  <c r="J1182" i="1"/>
  <c r="U1182" i="1" s="1"/>
  <c r="K1155" i="1"/>
  <c r="W1155" i="1" s="1"/>
  <c r="J651" i="1"/>
  <c r="X651" i="1" s="1"/>
  <c r="J749" i="1"/>
  <c r="X749" i="1" s="1"/>
  <c r="J847" i="1"/>
  <c r="J945" i="1"/>
  <c r="W945" i="1" s="1"/>
  <c r="J1043" i="1"/>
  <c r="X1043" i="1" s="1"/>
  <c r="J1141" i="1"/>
  <c r="K35" i="1"/>
  <c r="V35" i="1" s="1"/>
  <c r="K133" i="1"/>
  <c r="U133" i="1" s="1"/>
  <c r="K735" i="1"/>
  <c r="AA53" i="1" l="1"/>
  <c r="W166" i="1"/>
  <c r="U166" i="1"/>
  <c r="V166" i="1"/>
  <c r="U776" i="1"/>
  <c r="W776" i="1"/>
  <c r="U871" i="1"/>
  <c r="W871" i="1"/>
  <c r="X871" i="1"/>
  <c r="X1180" i="1"/>
  <c r="V1180" i="1"/>
  <c r="V53" i="1"/>
  <c r="U53" i="1"/>
  <c r="V534" i="1"/>
  <c r="W534" i="1"/>
  <c r="V274" i="1"/>
  <c r="W274" i="1"/>
  <c r="U274" i="1"/>
  <c r="U922" i="1"/>
  <c r="X922" i="1"/>
  <c r="U1030" i="1"/>
  <c r="X1030" i="1"/>
  <c r="U229" i="1"/>
  <c r="X229" i="1"/>
  <c r="X1080" i="1"/>
  <c r="W1080" i="1"/>
  <c r="W653" i="1"/>
  <c r="U653" i="1"/>
  <c r="V653" i="1"/>
  <c r="W651" i="1"/>
  <c r="V635" i="1"/>
  <c r="X635" i="1"/>
  <c r="W635" i="1"/>
  <c r="U635" i="1"/>
  <c r="V673" i="1"/>
  <c r="W673" i="1"/>
  <c r="U869" i="1"/>
  <c r="V869" i="1"/>
  <c r="W449" i="1"/>
  <c r="U449" i="1"/>
  <c r="X449" i="1"/>
  <c r="U883" i="1"/>
  <c r="X883" i="1"/>
  <c r="V974" i="1"/>
  <c r="X974" i="1"/>
  <c r="W974" i="1"/>
  <c r="U974" i="1"/>
  <c r="W466" i="1"/>
  <c r="X466" i="1"/>
  <c r="W319" i="1"/>
  <c r="U319" i="1"/>
  <c r="X319" i="1"/>
  <c r="U230" i="1"/>
  <c r="U696" i="1"/>
  <c r="V696" i="1"/>
  <c r="X696" i="1"/>
  <c r="W696" i="1"/>
  <c r="U952" i="1"/>
  <c r="W952" i="1"/>
  <c r="V952" i="1"/>
  <c r="X643" i="1"/>
  <c r="W971" i="1"/>
  <c r="X971" i="1"/>
  <c r="V971" i="1"/>
  <c r="U971" i="1"/>
  <c r="U897" i="1"/>
  <c r="W897" i="1"/>
  <c r="U181" i="1"/>
  <c r="V181" i="1"/>
  <c r="W564" i="1"/>
  <c r="U564" i="1"/>
  <c r="X564" i="1"/>
  <c r="X312" i="1"/>
  <c r="V1030" i="1"/>
  <c r="W380" i="1"/>
  <c r="V380" i="1"/>
  <c r="U380" i="1"/>
  <c r="U1180" i="1"/>
  <c r="X537" i="1"/>
  <c r="W537" i="1"/>
  <c r="W842" i="1"/>
  <c r="V842" i="1"/>
  <c r="V837" i="1"/>
  <c r="W837" i="1"/>
  <c r="W950" i="1"/>
  <c r="V950" i="1"/>
  <c r="U54" i="1"/>
  <c r="V54" i="1"/>
  <c r="W230" i="1"/>
  <c r="U990" i="1"/>
  <c r="W990" i="1"/>
  <c r="V990" i="1"/>
  <c r="X990" i="1"/>
  <c r="U212" i="1"/>
  <c r="X212" i="1"/>
  <c r="U976" i="1"/>
  <c r="W1180" i="1"/>
  <c r="V116" i="1"/>
  <c r="W116" i="1"/>
  <c r="V993" i="1"/>
  <c r="U993" i="1"/>
  <c r="W993" i="1"/>
  <c r="W362" i="1"/>
  <c r="V362" i="1"/>
  <c r="U444" i="1"/>
  <c r="V444" i="1"/>
  <c r="U468" i="1"/>
  <c r="X468" i="1"/>
  <c r="X373" i="1"/>
  <c r="U845" i="1"/>
  <c r="W845" i="1"/>
  <c r="V845" i="1"/>
  <c r="W832" i="1"/>
  <c r="V832" i="1"/>
  <c r="U389" i="1"/>
  <c r="X389" i="1"/>
  <c r="X647" i="1"/>
  <c r="W647" i="1"/>
  <c r="U747" i="1"/>
  <c r="W747" i="1"/>
  <c r="V437" i="1"/>
  <c r="U437" i="1"/>
  <c r="W1255" i="1"/>
  <c r="X1255" i="1"/>
  <c r="W779" i="1"/>
  <c r="U779" i="1"/>
  <c r="U1181" i="1"/>
  <c r="X1181" i="1"/>
  <c r="W1181" i="1"/>
  <c r="U223" i="1"/>
  <c r="W223" i="1"/>
  <c r="V587" i="1"/>
  <c r="U587" i="1"/>
  <c r="W587" i="1"/>
  <c r="X1036" i="1"/>
  <c r="V1036" i="1"/>
  <c r="X1155" i="1"/>
  <c r="U596" i="1"/>
  <c r="V596" i="1"/>
  <c r="V135" i="1"/>
  <c r="U135" i="1"/>
  <c r="W938" i="1"/>
  <c r="U938" i="1"/>
  <c r="X938" i="1"/>
  <c r="U1234" i="1"/>
  <c r="V1234" i="1"/>
  <c r="W1234" i="1"/>
  <c r="X1234" i="1"/>
  <c r="W669" i="1"/>
  <c r="U669" i="1"/>
  <c r="U493" i="1"/>
  <c r="V493" i="1"/>
  <c r="W493" i="1"/>
  <c r="U849" i="1"/>
  <c r="X849" i="1"/>
  <c r="U504" i="1"/>
  <c r="X504" i="1"/>
  <c r="W812" i="1"/>
  <c r="X812" i="1"/>
  <c r="U812" i="1"/>
  <c r="X641" i="1"/>
  <c r="U641" i="1"/>
  <c r="W173" i="1"/>
  <c r="U173" i="1"/>
  <c r="V173" i="1"/>
  <c r="X456" i="1"/>
  <c r="V456" i="1"/>
  <c r="U370" i="1"/>
  <c r="U1061" i="1"/>
  <c r="W1061" i="1"/>
  <c r="X1061" i="1"/>
  <c r="W943" i="1"/>
  <c r="V943" i="1"/>
  <c r="X943" i="1"/>
  <c r="W770" i="1"/>
  <c r="U770" i="1"/>
  <c r="U287" i="1"/>
  <c r="V252" i="1"/>
  <c r="V287" i="1"/>
  <c r="V963" i="1"/>
  <c r="W963" i="1"/>
  <c r="U963" i="1"/>
  <c r="U196" i="1"/>
  <c r="V196" i="1"/>
  <c r="W196" i="1"/>
  <c r="W301" i="1"/>
  <c r="U301" i="1"/>
  <c r="V264" i="1"/>
  <c r="U264" i="1"/>
  <c r="U30" i="1"/>
  <c r="V30" i="1"/>
  <c r="V1120" i="1"/>
  <c r="W1120" i="1"/>
  <c r="X630" i="1"/>
  <c r="W630" i="1"/>
  <c r="U751" i="1"/>
  <c r="V751" i="1"/>
  <c r="V288" i="1"/>
  <c r="W1205" i="1"/>
  <c r="X1205" i="1"/>
  <c r="V1095" i="1"/>
  <c r="W1095" i="1"/>
  <c r="V73" i="1"/>
  <c r="W73" i="1"/>
  <c r="U1090" i="1"/>
  <c r="X414" i="1"/>
  <c r="V414" i="1"/>
  <c r="W252" i="1"/>
  <c r="V1181" i="1"/>
  <c r="U832" i="1"/>
  <c r="V643" i="1"/>
  <c r="U620" i="1"/>
  <c r="V968" i="1"/>
  <c r="X968" i="1"/>
  <c r="U218" i="1"/>
  <c r="V218" i="1"/>
  <c r="W218" i="1"/>
  <c r="V183" i="1"/>
  <c r="W183" i="1"/>
  <c r="W212" i="1"/>
  <c r="W905" i="1"/>
  <c r="U905" i="1"/>
  <c r="X1009" i="1"/>
  <c r="U1009" i="1"/>
  <c r="U356" i="1"/>
  <c r="X356" i="1"/>
  <c r="W356" i="1"/>
  <c r="U1126" i="1"/>
  <c r="X1126" i="1"/>
  <c r="V847" i="1"/>
  <c r="X847" i="1"/>
  <c r="U847" i="1"/>
  <c r="W847" i="1"/>
  <c r="X357" i="1"/>
  <c r="U357" i="1"/>
  <c r="U42" i="1"/>
  <c r="V42" i="1"/>
  <c r="X957" i="1"/>
  <c r="W957" i="1"/>
  <c r="U957" i="1"/>
  <c r="W487" i="1"/>
  <c r="V487" i="1"/>
  <c r="V857" i="1"/>
  <c r="W857" i="1"/>
  <c r="X857" i="1"/>
  <c r="W1051" i="1"/>
  <c r="V1051" i="1"/>
  <c r="X808" i="1"/>
  <c r="W808" i="1"/>
  <c r="U808" i="1"/>
  <c r="V633" i="1"/>
  <c r="W633" i="1"/>
  <c r="X1082" i="1"/>
  <c r="U980" i="1"/>
  <c r="V980" i="1"/>
  <c r="W1136" i="1"/>
  <c r="U1136" i="1"/>
  <c r="X1136" i="1"/>
  <c r="V1136" i="1"/>
  <c r="V922" i="1"/>
  <c r="W559" i="1"/>
  <c r="V559" i="1"/>
  <c r="V906" i="1"/>
  <c r="X906" i="1"/>
  <c r="W906" i="1"/>
  <c r="W113" i="1"/>
  <c r="U113" i="1"/>
  <c r="X369" i="1"/>
  <c r="V369" i="1"/>
  <c r="W206" i="1"/>
  <c r="X206" i="1"/>
  <c r="X820" i="1"/>
  <c r="W820" i="1"/>
  <c r="W1009" i="1"/>
  <c r="U737" i="1"/>
  <c r="V737" i="1"/>
  <c r="X558" i="1"/>
  <c r="U558" i="1"/>
  <c r="W922" i="1"/>
  <c r="X461" i="1"/>
  <c r="U461" i="1"/>
  <c r="V451" i="1"/>
  <c r="W451" i="1"/>
  <c r="W767" i="1"/>
  <c r="U767" i="1"/>
  <c r="V356" i="1"/>
  <c r="U643" i="1"/>
  <c r="V503" i="1"/>
  <c r="X503" i="1"/>
  <c r="V776" i="1"/>
  <c r="U515" i="1"/>
  <c r="W515" i="1"/>
  <c r="V1121" i="1"/>
  <c r="U446" i="1"/>
  <c r="V446" i="1"/>
  <c r="X446" i="1"/>
  <c r="W1070" i="1"/>
  <c r="X1070" i="1"/>
  <c r="W924" i="1"/>
  <c r="X924" i="1"/>
  <c r="U924" i="1"/>
  <c r="V1227" i="1"/>
  <c r="X1227" i="1"/>
  <c r="U1240" i="1"/>
  <c r="X1240" i="1"/>
  <c r="V1240" i="1"/>
  <c r="V212" i="1"/>
  <c r="U906" i="1"/>
  <c r="X788" i="1"/>
  <c r="V294" i="1"/>
  <c r="W294" i="1"/>
  <c r="U294" i="1"/>
  <c r="V34" i="1"/>
  <c r="V697" i="1"/>
  <c r="X1006" i="1"/>
  <c r="U1006" i="1"/>
  <c r="V1006" i="1"/>
  <c r="U375" i="1"/>
  <c r="V375" i="1"/>
  <c r="U114" i="1"/>
  <c r="V114" i="1"/>
  <c r="U1080" i="1"/>
  <c r="V1080" i="1"/>
  <c r="W616" i="1"/>
  <c r="V616" i="1"/>
  <c r="W150" i="1"/>
  <c r="V150" i="1"/>
  <c r="X948" i="1"/>
  <c r="U948" i="1"/>
  <c r="W948" i="1"/>
  <c r="V948" i="1"/>
  <c r="U511" i="1"/>
  <c r="X254" i="1"/>
  <c r="U254" i="1"/>
  <c r="V217" i="1"/>
  <c r="U217" i="1"/>
  <c r="V704" i="1"/>
  <c r="U704" i="1"/>
  <c r="V1117" i="1"/>
  <c r="U1117" i="1"/>
  <c r="X539" i="1"/>
  <c r="W539" i="1"/>
  <c r="V425" i="1"/>
  <c r="U425" i="1"/>
  <c r="W425" i="1"/>
  <c r="X1151" i="1"/>
  <c r="W1151" i="1"/>
  <c r="V223" i="1"/>
  <c r="U865" i="1"/>
  <c r="U712" i="1"/>
  <c r="V712" i="1"/>
  <c r="V140" i="1"/>
  <c r="W346" i="1"/>
  <c r="X346" i="1"/>
  <c r="V346" i="1"/>
  <c r="V537" i="1"/>
  <c r="U950" i="1"/>
  <c r="V220" i="1"/>
  <c r="U220" i="1"/>
  <c r="U1120" i="1"/>
  <c r="X1120" i="1"/>
  <c r="U1174" i="1"/>
  <c r="V1174" i="1"/>
  <c r="X483" i="1"/>
  <c r="W483" i="1"/>
  <c r="V564" i="1"/>
  <c r="V768" i="1"/>
  <c r="X768" i="1"/>
  <c r="U57" i="1"/>
  <c r="V57" i="1"/>
  <c r="U959" i="1"/>
  <c r="V959" i="1"/>
  <c r="W1049" i="1"/>
  <c r="U1049" i="1"/>
  <c r="U451" i="1"/>
  <c r="W591" i="1"/>
  <c r="V591" i="1"/>
  <c r="W702" i="1"/>
  <c r="V808" i="1"/>
  <c r="W1063" i="1"/>
  <c r="W880" i="1"/>
  <c r="U676" i="1"/>
  <c r="X676" i="1"/>
  <c r="U55" i="1"/>
  <c r="V55" i="1"/>
  <c r="X1229" i="1"/>
  <c r="W1229" i="1"/>
  <c r="V1229" i="1"/>
  <c r="V462" i="1"/>
  <c r="X462" i="1"/>
  <c r="W1131" i="1"/>
  <c r="X1131" i="1"/>
  <c r="V327" i="1"/>
  <c r="W327" i="1"/>
  <c r="X327" i="1"/>
  <c r="X426" i="1"/>
  <c r="W426" i="1"/>
  <c r="U1199" i="1"/>
  <c r="W1199" i="1"/>
  <c r="V1199" i="1"/>
  <c r="X1199" i="1"/>
  <c r="W254" i="1"/>
  <c r="V254" i="1"/>
  <c r="W377" i="1"/>
  <c r="X377" i="1"/>
  <c r="V43" i="1"/>
  <c r="U43" i="1"/>
  <c r="V386" i="1"/>
  <c r="W386" i="1"/>
  <c r="V558" i="1"/>
  <c r="X952" i="1"/>
  <c r="W1030" i="1"/>
  <c r="W276" i="1"/>
  <c r="X392" i="1"/>
  <c r="V410" i="1"/>
  <c r="U721" i="1"/>
  <c r="W891" i="1"/>
  <c r="W1249" i="1"/>
  <c r="U684" i="1"/>
  <c r="V691" i="1"/>
  <c r="V882" i="1"/>
  <c r="U864" i="1"/>
  <c r="V44" i="1"/>
  <c r="U253" i="1"/>
  <c r="W1037" i="1"/>
  <c r="W1113" i="1"/>
  <c r="W866" i="1"/>
  <c r="U1002" i="1"/>
  <c r="V31" i="1"/>
  <c r="Y13" i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W601" i="1"/>
  <c r="W864" i="1"/>
  <c r="X439" i="1"/>
  <c r="X453" i="1"/>
  <c r="U1226" i="1"/>
  <c r="X1105" i="1"/>
  <c r="V229" i="1"/>
  <c r="W852" i="1"/>
  <c r="X1172" i="1"/>
  <c r="X1007" i="1"/>
  <c r="U940" i="1"/>
  <c r="W239" i="1"/>
  <c r="X533" i="1"/>
  <c r="V408" i="1"/>
  <c r="X1104" i="1"/>
  <c r="W363" i="1"/>
  <c r="U529" i="1"/>
  <c r="X1226" i="1"/>
  <c r="U499" i="1"/>
  <c r="U706" i="1"/>
  <c r="W1119" i="1"/>
  <c r="V1038" i="1"/>
  <c r="V409" i="1"/>
  <c r="W371" i="1"/>
  <c r="V427" i="1"/>
  <c r="U852" i="1"/>
  <c r="V695" i="1"/>
  <c r="V878" i="1"/>
  <c r="V672" i="1"/>
  <c r="U262" i="1"/>
  <c r="U891" i="1"/>
  <c r="X209" i="1"/>
  <c r="U899" i="1"/>
  <c r="X1025" i="1"/>
  <c r="W85" i="1"/>
  <c r="U233" i="1"/>
  <c r="V1200" i="1"/>
  <c r="U1202" i="1"/>
  <c r="V291" i="1"/>
  <c r="W439" i="1"/>
  <c r="V340" i="1"/>
  <c r="X1187" i="1"/>
  <c r="W1187" i="1"/>
  <c r="U775" i="1"/>
  <c r="U163" i="1"/>
  <c r="X851" i="1"/>
  <c r="W195" i="1"/>
  <c r="V925" i="1"/>
  <c r="W359" i="1"/>
  <c r="V721" i="1"/>
  <c r="X769" i="1"/>
  <c r="V853" i="1"/>
  <c r="U828" i="1"/>
  <c r="U410" i="1"/>
  <c r="U1085" i="1"/>
  <c r="X433" i="1"/>
  <c r="U1135" i="1"/>
  <c r="W865" i="1"/>
  <c r="U439" i="1"/>
  <c r="W827" i="1"/>
  <c r="U276" i="1"/>
  <c r="V628" i="1"/>
  <c r="U881" i="1"/>
  <c r="V940" i="1"/>
  <c r="V197" i="1"/>
  <c r="W169" i="1"/>
  <c r="U671" i="1"/>
  <c r="V501" i="1"/>
  <c r="V700" i="1"/>
  <c r="V1007" i="1"/>
  <c r="U1034" i="1"/>
  <c r="W1158" i="1"/>
  <c r="V856" i="1"/>
  <c r="U195" i="1"/>
  <c r="W1086" i="1"/>
  <c r="V896" i="1"/>
  <c r="V1027" i="1"/>
  <c r="V911" i="1"/>
  <c r="U1093" i="1"/>
  <c r="X1137" i="1"/>
  <c r="W854" i="1"/>
  <c r="X1013" i="1"/>
  <c r="U1033" i="1"/>
  <c r="W811" i="1"/>
  <c r="W253" i="1"/>
  <c r="V109" i="1"/>
  <c r="X973" i="1"/>
  <c r="W222" i="1"/>
  <c r="W68" i="1"/>
  <c r="W692" i="1"/>
  <c r="V531" i="1"/>
  <c r="U851" i="1"/>
  <c r="V347" i="1"/>
  <c r="U441" i="1"/>
  <c r="X997" i="1"/>
  <c r="X1102" i="1"/>
  <c r="V762" i="1"/>
  <c r="V1025" i="1"/>
  <c r="W784" i="1"/>
  <c r="W410" i="1"/>
  <c r="V96" i="1"/>
  <c r="V652" i="1"/>
  <c r="V599" i="1"/>
  <c r="W1007" i="1"/>
  <c r="V474" i="1"/>
  <c r="X650" i="1"/>
  <c r="U848" i="1"/>
  <c r="X852" i="1"/>
  <c r="V901" i="1"/>
  <c r="U291" i="1"/>
  <c r="U1167" i="1"/>
  <c r="V722" i="1"/>
  <c r="X799" i="1"/>
  <c r="W236" i="1"/>
  <c r="W1226" i="1"/>
  <c r="U278" i="1"/>
  <c r="U583" i="1"/>
  <c r="W202" i="1"/>
  <c r="V270" i="1"/>
  <c r="W325" i="1"/>
  <c r="V982" i="1"/>
  <c r="W154" i="1"/>
  <c r="U1247" i="1"/>
  <c r="V499" i="1"/>
  <c r="V999" i="1"/>
  <c r="W1038" i="1"/>
  <c r="W144" i="1"/>
  <c r="X524" i="1"/>
  <c r="X334" i="1"/>
  <c r="X901" i="1"/>
  <c r="AA54" i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X690" i="1"/>
  <c r="V167" i="1"/>
  <c r="U403" i="1"/>
  <c r="V403" i="1"/>
  <c r="W403" i="1"/>
  <c r="W107" i="1"/>
  <c r="U107" i="1"/>
  <c r="U1047" i="1"/>
  <c r="V1047" i="1"/>
  <c r="X455" i="1"/>
  <c r="V455" i="1"/>
  <c r="U455" i="1"/>
  <c r="V108" i="1"/>
  <c r="X888" i="1"/>
  <c r="V888" i="1"/>
  <c r="W1146" i="1"/>
  <c r="U1146" i="1"/>
  <c r="W632" i="1"/>
  <c r="X632" i="1"/>
  <c r="W1006" i="1"/>
  <c r="U1158" i="1"/>
  <c r="V1041" i="1"/>
  <c r="W718" i="1"/>
  <c r="X966" i="1"/>
  <c r="V966" i="1"/>
  <c r="W641" i="1"/>
  <c r="V641" i="1"/>
  <c r="U313" i="1"/>
  <c r="W313" i="1"/>
  <c r="V211" i="1"/>
  <c r="U211" i="1"/>
  <c r="V215" i="1"/>
  <c r="V260" i="1"/>
  <c r="W361" i="1"/>
  <c r="W76" i="1"/>
  <c r="V738" i="1"/>
  <c r="X728" i="1"/>
  <c r="W640" i="1"/>
  <c r="U39" i="1"/>
  <c r="V779" i="1"/>
  <c r="W1081" i="1"/>
  <c r="U827" i="1"/>
  <c r="X1022" i="1"/>
  <c r="W1017" i="1"/>
  <c r="W1129" i="1"/>
  <c r="W894" i="1"/>
  <c r="X616" i="1"/>
  <c r="U655" i="1"/>
  <c r="W211" i="1"/>
  <c r="W1222" i="1"/>
  <c r="U701" i="1"/>
  <c r="V773" i="1"/>
  <c r="W93" i="1"/>
  <c r="U1198" i="1"/>
  <c r="V748" i="1"/>
  <c r="W1068" i="1"/>
  <c r="X1068" i="1"/>
  <c r="V305" i="1"/>
  <c r="U305" i="1"/>
  <c r="V563" i="1"/>
  <c r="U563" i="1"/>
  <c r="X949" i="1"/>
  <c r="U949" i="1"/>
  <c r="W949" i="1"/>
  <c r="W1144" i="1"/>
  <c r="X1144" i="1"/>
  <c r="W683" i="1"/>
  <c r="U1068" i="1"/>
  <c r="X1213" i="1"/>
  <c r="W1213" i="1"/>
  <c r="V98" i="1"/>
  <c r="W872" i="1"/>
  <c r="X944" i="1"/>
  <c r="W944" i="1"/>
  <c r="U674" i="1"/>
  <c r="V674" i="1"/>
  <c r="V572" i="1"/>
  <c r="W572" i="1"/>
  <c r="U572" i="1"/>
  <c r="X563" i="1"/>
  <c r="W697" i="1"/>
  <c r="U205" i="1"/>
  <c r="V205" i="1"/>
  <c r="W205" i="1"/>
  <c r="U1143" i="1"/>
  <c r="U82" i="1"/>
  <c r="W874" i="1"/>
  <c r="U874" i="1"/>
  <c r="X874" i="1"/>
  <c r="X903" i="1"/>
  <c r="V903" i="1"/>
  <c r="U332" i="1"/>
  <c r="X406" i="1"/>
  <c r="X308" i="1"/>
  <c r="W114" i="1"/>
  <c r="V1091" i="1"/>
  <c r="W1079" i="1"/>
  <c r="V364" i="1"/>
  <c r="X211" i="1"/>
  <c r="V840" i="1"/>
  <c r="X765" i="1"/>
  <c r="W797" i="1"/>
  <c r="V590" i="1"/>
  <c r="U664" i="1"/>
  <c r="W664" i="1"/>
  <c r="V404" i="1"/>
  <c r="U650" i="1"/>
  <c r="W666" i="1"/>
  <c r="U404" i="1"/>
  <c r="X361" i="1"/>
  <c r="X502" i="1"/>
  <c r="W1227" i="1"/>
  <c r="X1063" i="1"/>
  <c r="U955" i="1"/>
  <c r="V955" i="1"/>
  <c r="X934" i="1"/>
  <c r="U934" i="1"/>
  <c r="W188" i="1"/>
  <c r="V188" i="1"/>
  <c r="U469" i="1"/>
  <c r="V469" i="1"/>
  <c r="W934" i="1"/>
  <c r="W991" i="1"/>
  <c r="U991" i="1"/>
  <c r="V991" i="1"/>
  <c r="X656" i="1"/>
  <c r="V656" i="1"/>
  <c r="U656" i="1"/>
  <c r="W656" i="1"/>
  <c r="X731" i="1"/>
  <c r="U1227" i="1"/>
  <c r="V1072" i="1"/>
  <c r="W1072" i="1"/>
  <c r="V1057" i="1"/>
  <c r="X1057" i="1"/>
  <c r="X1169" i="1"/>
  <c r="W1169" i="1"/>
  <c r="V1172" i="1"/>
  <c r="V611" i="1"/>
  <c r="U100" i="1"/>
  <c r="U902" i="1"/>
  <c r="W911" i="1"/>
  <c r="W1197" i="1"/>
  <c r="V1205" i="1"/>
  <c r="W1005" i="1"/>
  <c r="V62" i="1"/>
  <c r="V84" i="1"/>
  <c r="W801" i="1"/>
  <c r="U801" i="1"/>
  <c r="X331" i="1"/>
  <c r="V331" i="1"/>
  <c r="U484" i="1"/>
  <c r="X330" i="1"/>
  <c r="X730" i="1"/>
  <c r="V129" i="1"/>
  <c r="U378" i="1"/>
  <c r="U147" i="1"/>
  <c r="W164" i="1"/>
  <c r="V1191" i="1"/>
  <c r="X1191" i="1"/>
  <c r="U919" i="1"/>
  <c r="X205" i="1"/>
  <c r="U989" i="1"/>
  <c r="V210" i="1"/>
  <c r="W337" i="1"/>
  <c r="W264" i="1"/>
  <c r="U345" i="1"/>
  <c r="X345" i="1"/>
  <c r="V345" i="1"/>
  <c r="X697" i="1"/>
  <c r="X1244" i="1"/>
  <c r="U239" i="1"/>
  <c r="U1089" i="1"/>
  <c r="W604" i="1"/>
  <c r="U604" i="1"/>
  <c r="X501" i="1"/>
  <c r="U501" i="1"/>
  <c r="V965" i="1"/>
  <c r="W965" i="1"/>
  <c r="W225" i="1"/>
  <c r="V225" i="1"/>
  <c r="U225" i="1"/>
  <c r="X744" i="1"/>
  <c r="X1142" i="1"/>
  <c r="W1142" i="1"/>
  <c r="V648" i="1"/>
  <c r="U648" i="1"/>
  <c r="X841" i="1"/>
  <c r="V841" i="1"/>
  <c r="W191" i="1"/>
  <c r="U191" i="1"/>
  <c r="X553" i="1"/>
  <c r="U611" i="1"/>
  <c r="U973" i="1"/>
  <c r="U1107" i="1"/>
  <c r="V1094" i="1"/>
  <c r="U454" i="1"/>
  <c r="W454" i="1"/>
  <c r="X370" i="1"/>
  <c r="X1190" i="1"/>
  <c r="U1190" i="1"/>
  <c r="U413" i="1"/>
  <c r="W840" i="1"/>
  <c r="X972" i="1"/>
  <c r="U364" i="1"/>
  <c r="V353" i="1"/>
  <c r="W435" i="1"/>
  <c r="W315" i="1"/>
  <c r="V315" i="1"/>
  <c r="U965" i="1"/>
  <c r="V553" i="1"/>
  <c r="U908" i="1"/>
  <c r="V481" i="1"/>
  <c r="V1098" i="1"/>
  <c r="U521" i="1"/>
  <c r="W521" i="1"/>
  <c r="W323" i="1"/>
  <c r="W809" i="1"/>
  <c r="V809" i="1"/>
  <c r="U306" i="1"/>
  <c r="V306" i="1"/>
  <c r="W275" i="1"/>
  <c r="V275" i="1"/>
  <c r="V1078" i="1"/>
  <c r="U630" i="1"/>
  <c r="W448" i="1"/>
  <c r="V1064" i="1"/>
  <c r="V389" i="1"/>
  <c r="V765" i="1"/>
  <c r="U76" i="1"/>
  <c r="V1250" i="1"/>
  <c r="U1250" i="1"/>
  <c r="X521" i="1"/>
  <c r="V368" i="1"/>
  <c r="W368" i="1"/>
  <c r="W486" i="1"/>
  <c r="U486" i="1"/>
  <c r="X978" i="1"/>
  <c r="V978" i="1"/>
  <c r="U756" i="1"/>
  <c r="W1047" i="1"/>
  <c r="V400" i="1"/>
  <c r="X780" i="1"/>
  <c r="X737" i="1"/>
  <c r="W737" i="1"/>
  <c r="U1063" i="1"/>
  <c r="U802" i="1"/>
  <c r="X877" i="1"/>
  <c r="V972" i="1"/>
  <c r="W998" i="1"/>
  <c r="U1064" i="1"/>
  <c r="X763" i="1"/>
  <c r="U763" i="1"/>
  <c r="X1085" i="1"/>
  <c r="V961" i="1"/>
  <c r="W961" i="1"/>
  <c r="W970" i="1"/>
  <c r="U164" i="1"/>
  <c r="U602" i="1"/>
  <c r="W602" i="1"/>
  <c r="W1032" i="1"/>
  <c r="X1032" i="1"/>
  <c r="V185" i="1"/>
  <c r="W185" i="1"/>
  <c r="W667" i="1"/>
  <c r="V667" i="1"/>
  <c r="V915" i="1"/>
  <c r="U292" i="1"/>
  <c r="X292" i="1"/>
  <c r="V836" i="1"/>
  <c r="W104" i="1"/>
  <c r="U104" i="1"/>
  <c r="W384" i="1"/>
  <c r="W1118" i="1"/>
  <c r="W407" i="1"/>
  <c r="W731" i="1"/>
  <c r="W670" i="1"/>
  <c r="V502" i="1"/>
  <c r="V731" i="1"/>
  <c r="X318" i="1"/>
  <c r="W163" i="1"/>
  <c r="U998" i="1"/>
  <c r="X578" i="1"/>
  <c r="W1002" i="1"/>
  <c r="W978" i="1"/>
  <c r="W590" i="1"/>
  <c r="W1023" i="1"/>
  <c r="U912" i="1"/>
  <c r="U353" i="1"/>
  <c r="X1252" i="1"/>
  <c r="W354" i="1"/>
  <c r="V763" i="1"/>
  <c r="V701" i="1"/>
  <c r="W412" i="1"/>
  <c r="V1201" i="1"/>
  <c r="W1191" i="1"/>
  <c r="V269" i="1"/>
  <c r="W269" i="1"/>
  <c r="X1150" i="1"/>
  <c r="V1019" i="1"/>
  <c r="W1173" i="1"/>
  <c r="X701" i="1"/>
  <c r="X285" i="1"/>
  <c r="U1139" i="1"/>
  <c r="V1247" i="1"/>
  <c r="V1193" i="1"/>
  <c r="W122" i="1"/>
  <c r="W140" i="1"/>
  <c r="V213" i="1"/>
  <c r="X1078" i="1"/>
  <c r="V797" i="1"/>
  <c r="V1129" i="1"/>
  <c r="U690" i="1"/>
  <c r="W652" i="1"/>
  <c r="X652" i="1"/>
  <c r="X821" i="1"/>
  <c r="W821" i="1"/>
  <c r="U821" i="1"/>
  <c r="W469" i="1"/>
  <c r="X709" i="1"/>
  <c r="U709" i="1"/>
  <c r="V708" i="1"/>
  <c r="W665" i="1"/>
  <c r="V665" i="1"/>
  <c r="U673" i="1"/>
  <c r="U1257" i="1"/>
  <c r="W1257" i="1"/>
  <c r="X1257" i="1"/>
  <c r="U1244" i="1"/>
  <c r="W989" i="1"/>
  <c r="W578" i="1"/>
  <c r="W481" i="1"/>
  <c r="X965" i="1"/>
  <c r="V904" i="1"/>
  <c r="W904" i="1"/>
  <c r="W1207" i="1"/>
  <c r="X1207" i="1"/>
  <c r="U317" i="1"/>
  <c r="W848" i="1"/>
  <c r="V848" i="1"/>
  <c r="V1144" i="1"/>
  <c r="X407" i="1"/>
  <c r="V895" i="1"/>
  <c r="U895" i="1"/>
  <c r="U215" i="1"/>
  <c r="W215" i="1"/>
  <c r="X351" i="1"/>
  <c r="V351" i="1"/>
  <c r="W84" i="1"/>
  <c r="W746" i="1"/>
  <c r="W972" i="1"/>
  <c r="X919" i="1"/>
  <c r="X869" i="1"/>
  <c r="W869" i="1"/>
  <c r="V1241" i="1"/>
  <c r="V160" i="1"/>
  <c r="W160" i="1"/>
  <c r="U37" i="1"/>
  <c r="W777" i="1"/>
  <c r="V777" i="1"/>
  <c r="W1212" i="1"/>
  <c r="X1212" i="1"/>
  <c r="X998" i="1"/>
  <c r="V134" i="1"/>
  <c r="W134" i="1"/>
  <c r="X1004" i="1"/>
  <c r="W1004" i="1"/>
  <c r="X1198" i="1"/>
  <c r="V876" i="1"/>
  <c r="W511" i="1"/>
  <c r="W730" i="1"/>
  <c r="X1073" i="1"/>
  <c r="V1065" i="1"/>
  <c r="V918" i="1"/>
  <c r="W918" i="1"/>
  <c r="U268" i="1"/>
  <c r="X1047" i="1"/>
  <c r="X613" i="1"/>
  <c r="W498" i="1"/>
  <c r="X498" i="1"/>
  <c r="U1179" i="1"/>
  <c r="W1179" i="1"/>
  <c r="X1179" i="1"/>
  <c r="V576" i="1"/>
  <c r="W576" i="1"/>
  <c r="U576" i="1"/>
  <c r="W288" i="1"/>
  <c r="X920" i="1"/>
  <c r="W1067" i="1"/>
  <c r="V1067" i="1"/>
  <c r="U1067" i="1"/>
  <c r="U460" i="1"/>
  <c r="V460" i="1"/>
  <c r="X460" i="1"/>
  <c r="W460" i="1"/>
  <c r="V919" i="1"/>
  <c r="U683" i="1"/>
  <c r="W522" i="1"/>
  <c r="X889" i="1"/>
  <c r="U498" i="1"/>
  <c r="V756" i="1"/>
  <c r="W609" i="1"/>
  <c r="X816" i="1"/>
  <c r="V406" i="1"/>
  <c r="W69" i="1"/>
  <c r="V66" i="1"/>
  <c r="X1058" i="1"/>
  <c r="W130" i="1"/>
  <c r="W404" i="1"/>
  <c r="W394" i="1"/>
  <c r="U394" i="1"/>
  <c r="V440" i="1"/>
  <c r="V1190" i="1"/>
  <c r="V540" i="1"/>
  <c r="U296" i="1"/>
  <c r="X475" i="1"/>
  <c r="W531" i="1"/>
  <c r="W719" i="1"/>
  <c r="U1173" i="1"/>
  <c r="U352" i="1"/>
  <c r="W353" i="1"/>
  <c r="W540" i="1"/>
  <c r="W1084" i="1"/>
  <c r="V113" i="1"/>
  <c r="W1044" i="1"/>
  <c r="X802" i="1"/>
  <c r="U774" i="1"/>
  <c r="V784" i="1"/>
  <c r="V518" i="1"/>
  <c r="U318" i="1"/>
  <c r="W1057" i="1"/>
  <c r="U1123" i="1"/>
  <c r="W1242" i="1"/>
  <c r="V504" i="1"/>
  <c r="W583" i="1"/>
  <c r="U841" i="1"/>
  <c r="W318" i="1"/>
  <c r="W1176" i="1"/>
  <c r="V812" i="1"/>
  <c r="X995" i="1"/>
  <c r="U1242" i="1"/>
  <c r="W1137" i="1"/>
  <c r="V1032" i="1"/>
  <c r="U1215" i="1"/>
  <c r="U761" i="1"/>
  <c r="X916" i="1"/>
  <c r="V1105" i="1"/>
  <c r="U772" i="1"/>
  <c r="X332" i="1"/>
  <c r="V511" i="1"/>
  <c r="V1070" i="1"/>
  <c r="W1139" i="1"/>
  <c r="W964" i="1"/>
  <c r="V964" i="1"/>
  <c r="V382" i="1"/>
  <c r="W382" i="1"/>
  <c r="W478" i="1"/>
  <c r="X478" i="1"/>
  <c r="X1130" i="1"/>
  <c r="U1130" i="1"/>
  <c r="W1130" i="1"/>
  <c r="V1130" i="1"/>
  <c r="V680" i="1"/>
  <c r="X680" i="1"/>
  <c r="U474" i="1"/>
  <c r="W955" i="1"/>
  <c r="X1067" i="1"/>
  <c r="V58" i="1"/>
  <c r="W876" i="1"/>
  <c r="X989" i="1"/>
  <c r="X440" i="1"/>
  <c r="W1143" i="1"/>
  <c r="V1143" i="1"/>
  <c r="V110" i="1"/>
  <c r="W110" i="1"/>
  <c r="W698" i="1"/>
  <c r="U698" i="1"/>
  <c r="U249" i="1"/>
  <c r="V249" i="1"/>
  <c r="X715" i="1"/>
  <c r="V1099" i="1"/>
  <c r="W1099" i="1"/>
  <c r="U840" i="1"/>
  <c r="U261" i="1"/>
  <c r="V261" i="1"/>
  <c r="X375" i="1"/>
  <c r="W375" i="1"/>
  <c r="X970" i="1"/>
  <c r="V970" i="1"/>
  <c r="V745" i="1"/>
  <c r="U745" i="1"/>
  <c r="X574" i="1"/>
  <c r="W574" i="1"/>
  <c r="X518" i="1"/>
  <c r="V95" i="1"/>
  <c r="W238" i="1"/>
  <c r="W545" i="1"/>
  <c r="U180" i="1"/>
  <c r="V180" i="1"/>
  <c r="X464" i="1"/>
  <c r="X576" i="1"/>
  <c r="V214" i="1"/>
  <c r="W885" i="1"/>
  <c r="U633" i="1"/>
  <c r="U198" i="1"/>
  <c r="V718" i="1"/>
  <c r="U1013" i="1"/>
  <c r="U142" i="1"/>
  <c r="W357" i="1"/>
  <c r="U77" i="1"/>
  <c r="U489" i="1"/>
  <c r="U331" i="1"/>
  <c r="U975" i="1"/>
  <c r="U238" i="1"/>
  <c r="W1195" i="1"/>
  <c r="U397" i="1"/>
  <c r="X759" i="1"/>
  <c r="W82" i="1"/>
  <c r="W748" i="1"/>
  <c r="X961" i="1"/>
  <c r="W516" i="1"/>
  <c r="X510" i="1"/>
  <c r="X698" i="1"/>
  <c r="U766" i="1"/>
  <c r="V392" i="1"/>
  <c r="V468" i="1"/>
  <c r="U782" i="1"/>
  <c r="X435" i="1"/>
  <c r="U516" i="1"/>
  <c r="X412" i="1"/>
  <c r="V719" i="1"/>
  <c r="U1147" i="1"/>
  <c r="W1147" i="1"/>
  <c r="X1147" i="1"/>
  <c r="V637" i="1"/>
  <c r="W637" i="1"/>
  <c r="U284" i="1"/>
  <c r="V284" i="1"/>
  <c r="U1102" i="1"/>
  <c r="V949" i="1"/>
  <c r="V1185" i="1"/>
  <c r="X1185" i="1"/>
  <c r="W1185" i="1"/>
  <c r="V449" i="1"/>
  <c r="W455" i="1"/>
  <c r="U433" i="1"/>
  <c r="U340" i="1"/>
  <c r="V38" i="1"/>
  <c r="V63" i="1"/>
  <c r="W1098" i="1"/>
  <c r="U237" i="1"/>
  <c r="V771" i="1"/>
  <c r="W771" i="1"/>
  <c r="X767" i="1"/>
  <c r="X955" i="1"/>
  <c r="U680" i="1"/>
  <c r="W433" i="1"/>
  <c r="W722" i="1"/>
  <c r="U522" i="1"/>
  <c r="W979" i="1"/>
  <c r="W1241" i="1"/>
  <c r="W535" i="1"/>
  <c r="U1197" i="1"/>
  <c r="V1156" i="1"/>
  <c r="X902" i="1"/>
  <c r="V332" i="1"/>
  <c r="X545" i="1"/>
  <c r="X364" i="1"/>
  <c r="W868" i="1"/>
  <c r="W1167" i="1"/>
  <c r="U753" i="1"/>
  <c r="X474" i="1"/>
  <c r="W685" i="1"/>
  <c r="V1114" i="1"/>
  <c r="U1114" i="1"/>
  <c r="W62" i="1"/>
  <c r="W743" i="1"/>
  <c r="V377" i="1"/>
  <c r="U640" i="1"/>
  <c r="W902" i="1"/>
  <c r="X704" i="1"/>
  <c r="U534" i="1"/>
  <c r="V539" i="1"/>
  <c r="W77" i="1"/>
  <c r="U618" i="1"/>
  <c r="X315" i="1"/>
  <c r="U1021" i="1"/>
  <c r="V613" i="1"/>
  <c r="U923" i="1"/>
  <c r="V642" i="1"/>
  <c r="X642" i="1"/>
  <c r="X810" i="1"/>
  <c r="V810" i="1"/>
  <c r="W753" i="1"/>
  <c r="V174" i="1"/>
  <c r="U179" i="1"/>
  <c r="W1254" i="1"/>
  <c r="U920" i="1"/>
  <c r="V886" i="1"/>
  <c r="X886" i="1"/>
  <c r="W668" i="1"/>
  <c r="U668" i="1"/>
  <c r="W444" i="1"/>
  <c r="U708" i="1"/>
  <c r="W529" i="1"/>
  <c r="X979" i="1"/>
  <c r="V630" i="1"/>
  <c r="U1087" i="1"/>
  <c r="X425" i="1"/>
  <c r="X986" i="1"/>
  <c r="V817" i="1"/>
  <c r="U886" i="1"/>
  <c r="W271" i="1"/>
  <c r="X271" i="1"/>
  <c r="V23" i="1"/>
  <c r="V104" i="1"/>
  <c r="V402" i="1"/>
  <c r="X881" i="1"/>
  <c r="V296" i="1"/>
  <c r="U1193" i="1"/>
  <c r="W402" i="1"/>
  <c r="W772" i="1"/>
  <c r="U585" i="1"/>
  <c r="W249" i="1"/>
  <c r="V1211" i="1"/>
  <c r="W446" i="1"/>
  <c r="X1072" i="1"/>
  <c r="W958" i="1"/>
  <c r="U730" i="1"/>
  <c r="U836" i="1"/>
  <c r="W711" i="1"/>
  <c r="W204" i="1"/>
  <c r="V690" i="1"/>
  <c r="W899" i="1"/>
  <c r="U1121" i="1"/>
  <c r="W147" i="1"/>
  <c r="U870" i="1"/>
  <c r="X1154" i="1"/>
  <c r="U1232" i="1"/>
  <c r="W1214" i="1"/>
  <c r="V975" i="1"/>
  <c r="X783" i="1"/>
  <c r="V1188" i="1"/>
  <c r="U288" i="1"/>
  <c r="V711" i="1"/>
  <c r="U390" i="1"/>
  <c r="U408" i="1"/>
  <c r="U588" i="1"/>
  <c r="V678" i="1"/>
  <c r="V1245" i="1"/>
  <c r="U739" i="1"/>
  <c r="W358" i="1"/>
  <c r="X515" i="1"/>
  <c r="V620" i="1"/>
  <c r="W413" i="1"/>
  <c r="X348" i="1"/>
  <c r="W348" i="1"/>
  <c r="V189" i="1"/>
  <c r="W189" i="1"/>
  <c r="X1223" i="1"/>
  <c r="X988" i="1"/>
  <c r="U988" i="1"/>
  <c r="X1066" i="1"/>
  <c r="W1066" i="1"/>
  <c r="V685" i="1"/>
  <c r="W1174" i="1"/>
  <c r="W1089" i="1"/>
  <c r="W345" i="1"/>
  <c r="X572" i="1"/>
  <c r="U1201" i="1"/>
  <c r="X417" i="1"/>
  <c r="U1165" i="1"/>
  <c r="X1140" i="1"/>
  <c r="W1140" i="1"/>
  <c r="U248" i="1"/>
  <c r="V464" i="1"/>
  <c r="V538" i="1"/>
  <c r="W538" i="1"/>
  <c r="X620" i="1"/>
  <c r="W1015" i="1"/>
  <c r="V610" i="1"/>
  <c r="U586" i="1"/>
  <c r="W773" i="1"/>
  <c r="U538" i="1"/>
  <c r="X915" i="1"/>
  <c r="W975" i="1"/>
  <c r="W908" i="1"/>
  <c r="X1241" i="1"/>
  <c r="V1107" i="1"/>
  <c r="X959" i="1"/>
  <c r="U351" i="1"/>
  <c r="W1059" i="1"/>
  <c r="V1005" i="1"/>
  <c r="V313" i="1"/>
  <c r="X991" i="1"/>
  <c r="U24" i="1"/>
  <c r="V24" i="1"/>
  <c r="W580" i="1"/>
  <c r="V580" i="1"/>
  <c r="W1025" i="1"/>
  <c r="W1021" i="1"/>
  <c r="X946" i="1"/>
  <c r="V448" i="1"/>
  <c r="V598" i="1"/>
  <c r="U1134" i="1"/>
  <c r="X1134" i="1"/>
  <c r="W1134" i="1"/>
  <c r="W214" i="1"/>
  <c r="U108" i="1"/>
  <c r="W739" i="1"/>
  <c r="W895" i="1"/>
  <c r="U282" i="1"/>
  <c r="U482" i="1"/>
  <c r="X413" i="1"/>
  <c r="W1043" i="1"/>
  <c r="V168" i="1"/>
  <c r="W168" i="1"/>
  <c r="U168" i="1"/>
  <c r="V883" i="1"/>
  <c r="W883" i="1"/>
  <c r="W968" i="1"/>
  <c r="U968" i="1"/>
  <c r="W909" i="1"/>
  <c r="U909" i="1"/>
  <c r="V702" i="1"/>
  <c r="U702" i="1"/>
  <c r="U762" i="1"/>
  <c r="U839" i="1"/>
  <c r="W839" i="1"/>
  <c r="V107" i="1"/>
  <c r="U1245" i="1"/>
  <c r="X275" i="1"/>
  <c r="V120" i="1"/>
  <c r="W120" i="1"/>
  <c r="X536" i="1"/>
  <c r="X984" i="1"/>
  <c r="W984" i="1"/>
  <c r="U559" i="1"/>
  <c r="X559" i="1"/>
  <c r="X1168" i="1"/>
  <c r="U1168" i="1"/>
  <c r="W400" i="1"/>
  <c r="X1005" i="1"/>
  <c r="W959" i="1"/>
  <c r="V485" i="1"/>
  <c r="W684" i="1"/>
  <c r="U188" i="1"/>
  <c r="W849" i="1"/>
  <c r="V849" i="1"/>
  <c r="V957" i="1"/>
  <c r="X872" i="1"/>
  <c r="X1091" i="1"/>
  <c r="X421" i="1"/>
  <c r="W421" i="1"/>
  <c r="V736" i="1"/>
  <c r="U553" i="1"/>
  <c r="U406" i="1"/>
  <c r="W458" i="1"/>
  <c r="U358" i="1"/>
  <c r="X489" i="1"/>
  <c r="X540" i="1"/>
  <c r="U362" i="1"/>
  <c r="V602" i="1"/>
  <c r="U978" i="1"/>
  <c r="U1032" i="1"/>
  <c r="V1073" i="1"/>
  <c r="X534" i="1"/>
  <c r="U616" i="1"/>
  <c r="X908" i="1"/>
  <c r="U269" i="1"/>
  <c r="X839" i="1"/>
  <c r="W976" i="1"/>
  <c r="X471" i="1"/>
  <c r="U40" i="1"/>
  <c r="V317" i="1"/>
  <c r="W536" i="1"/>
  <c r="X323" i="1"/>
  <c r="U797" i="1"/>
  <c r="V1168" i="1"/>
  <c r="U1082" i="1"/>
  <c r="V277" i="1"/>
  <c r="W629" i="1"/>
  <c r="W292" i="1"/>
  <c r="V905" i="1"/>
  <c r="V282" i="1"/>
  <c r="X1251" i="1"/>
  <c r="V574" i="1"/>
  <c r="U1057" i="1"/>
  <c r="U728" i="1"/>
  <c r="V909" i="1"/>
  <c r="U49" i="1"/>
  <c r="V198" i="1"/>
  <c r="V1014" i="1"/>
  <c r="X964" i="1"/>
  <c r="U265" i="1"/>
  <c r="W1076" i="1"/>
  <c r="V522" i="1"/>
  <c r="W308" i="1"/>
  <c r="X870" i="1"/>
  <c r="V103" i="1"/>
  <c r="U103" i="1"/>
  <c r="U842" i="1"/>
  <c r="W680" i="1"/>
  <c r="W563" i="1"/>
  <c r="X403" i="1"/>
  <c r="X1202" i="1"/>
  <c r="U677" i="1"/>
  <c r="X677" i="1"/>
  <c r="W677" i="1"/>
  <c r="W709" i="1"/>
  <c r="W1097" i="1"/>
  <c r="U312" i="1"/>
  <c r="W312" i="1"/>
  <c r="U121" i="1"/>
  <c r="X210" i="1"/>
  <c r="U348" i="1"/>
  <c r="U116" i="1"/>
  <c r="X842" i="1"/>
  <c r="W524" i="1"/>
  <c r="W579" i="1"/>
  <c r="V508" i="1"/>
  <c r="W508" i="1"/>
  <c r="U316" i="1"/>
  <c r="V74" i="1"/>
  <c r="V319" i="1"/>
  <c r="U285" i="1"/>
  <c r="U381" i="1"/>
  <c r="V692" i="1"/>
  <c r="V52" i="1"/>
  <c r="V863" i="1"/>
  <c r="U1023" i="1"/>
  <c r="V477" i="1"/>
  <c r="V133" i="1"/>
  <c r="W882" i="1"/>
  <c r="U178" i="1"/>
  <c r="V442" i="1"/>
  <c r="X551" i="1"/>
  <c r="X963" i="1"/>
  <c r="V1131" i="1"/>
  <c r="U1253" i="1"/>
  <c r="X343" i="1"/>
  <c r="V615" i="1"/>
  <c r="W56" i="1"/>
  <c r="X325" i="1"/>
  <c r="U901" i="1"/>
  <c r="AB203" i="1"/>
  <c r="AB204" i="1" s="1"/>
  <c r="W431" i="1"/>
  <c r="V916" i="1"/>
  <c r="W171" i="1"/>
  <c r="W729" i="1"/>
  <c r="U573" i="1"/>
  <c r="X625" i="1"/>
  <c r="V552" i="1"/>
  <c r="U199" i="1"/>
  <c r="V985" i="1"/>
  <c r="X438" i="1"/>
  <c r="V250" i="1"/>
  <c r="V1203" i="1"/>
  <c r="U1036" i="1"/>
  <c r="V795" i="1"/>
  <c r="X879" i="1"/>
  <c r="V644" i="1"/>
  <c r="U649" i="1"/>
  <c r="X1127" i="1"/>
  <c r="U623" i="1"/>
  <c r="V207" i="1"/>
  <c r="U723" i="1"/>
  <c r="W1027" i="1"/>
  <c r="V740" i="1"/>
  <c r="W422" i="1"/>
  <c r="V1028" i="1"/>
  <c r="V428" i="1"/>
  <c r="V142" i="1"/>
  <c r="V91" i="1"/>
  <c r="V1145" i="1"/>
  <c r="W790" i="1"/>
  <c r="W284" i="1"/>
  <c r="V490" i="1"/>
  <c r="X538" i="1"/>
  <c r="V484" i="1"/>
  <c r="X1062" i="1"/>
  <c r="W1093" i="1"/>
  <c r="U1003" i="1"/>
  <c r="X465" i="1"/>
  <c r="V958" i="1"/>
  <c r="W465" i="1"/>
  <c r="V1194" i="1"/>
  <c r="U693" i="1"/>
  <c r="X296" i="1"/>
  <c r="V614" i="1"/>
  <c r="V1133" i="1"/>
  <c r="X859" i="1"/>
  <c r="U221" i="1"/>
  <c r="V367" i="1"/>
  <c r="X554" i="1"/>
  <c r="W135" i="1"/>
  <c r="X527" i="1"/>
  <c r="W423" i="1"/>
  <c r="W657" i="1"/>
  <c r="U471" i="1"/>
  <c r="W1077" i="1"/>
  <c r="V244" i="1"/>
  <c r="W105" i="1"/>
  <c r="U597" i="1"/>
  <c r="X336" i="1"/>
  <c r="X573" i="1"/>
  <c r="V149" i="1"/>
  <c r="W385" i="1"/>
  <c r="W417" i="1"/>
  <c r="U1051" i="1"/>
  <c r="W527" i="1"/>
  <c r="V1251" i="1"/>
  <c r="V1126" i="1"/>
  <c r="V447" i="1"/>
  <c r="W543" i="1"/>
  <c r="V1029" i="1"/>
  <c r="U206" i="1"/>
  <c r="W1225" i="1"/>
  <c r="V1132" i="1"/>
  <c r="W265" i="1"/>
  <c r="X544" i="1"/>
  <c r="X260" i="1"/>
  <c r="X809" i="1"/>
  <c r="U1104" i="1"/>
  <c r="V216" i="1"/>
  <c r="V41" i="1"/>
  <c r="W573" i="1"/>
  <c r="X1188" i="1"/>
  <c r="W754" i="1"/>
  <c r="X1051" i="1"/>
  <c r="X1075" i="1"/>
  <c r="W947" i="1"/>
  <c r="W1220" i="1"/>
  <c r="V632" i="1"/>
  <c r="W485" i="1"/>
  <c r="W704" i="1"/>
  <c r="V489" i="1"/>
  <c r="W825" i="1"/>
  <c r="W1046" i="1"/>
  <c r="X567" i="1"/>
  <c r="W1251" i="1"/>
  <c r="W736" i="1"/>
  <c r="V366" i="1"/>
  <c r="X447" i="1"/>
  <c r="W414" i="1"/>
  <c r="U805" i="1"/>
  <c r="V194" i="1"/>
  <c r="W588" i="1"/>
  <c r="V1013" i="1"/>
  <c r="W304" i="1"/>
  <c r="W1069" i="1"/>
  <c r="X1000" i="1"/>
  <c r="X1146" i="1"/>
  <c r="X712" i="1"/>
  <c r="U172" i="1"/>
  <c r="V64" i="1"/>
  <c r="V127" i="1"/>
  <c r="V486" i="1"/>
  <c r="W283" i="1"/>
  <c r="X977" i="1"/>
  <c r="V582" i="1"/>
  <c r="V131" i="1"/>
  <c r="X372" i="1"/>
  <c r="X1243" i="1"/>
  <c r="W471" i="1"/>
  <c r="V90" i="1"/>
  <c r="X1053" i="1"/>
  <c r="W642" i="1"/>
  <c r="X945" i="1"/>
  <c r="U1213" i="1"/>
  <c r="U1012" i="1"/>
  <c r="W437" i="1"/>
  <c r="V1149" i="1"/>
  <c r="W1209" i="1"/>
  <c r="W379" i="1"/>
  <c r="V1169" i="1"/>
  <c r="U129" i="1"/>
  <c r="U120" i="1"/>
  <c r="V421" i="1"/>
  <c r="V70" i="1"/>
  <c r="V397" i="1"/>
  <c r="X297" i="1"/>
  <c r="W523" i="1"/>
  <c r="W1250" i="1"/>
  <c r="V179" i="1"/>
  <c r="X344" i="1"/>
  <c r="V391" i="1"/>
  <c r="W817" i="1"/>
  <c r="U711" i="1"/>
  <c r="U813" i="1"/>
  <c r="W193" i="1"/>
  <c r="V309" i="1"/>
  <c r="X723" i="1"/>
  <c r="W520" i="1"/>
  <c r="X388" i="1"/>
  <c r="X270" i="1"/>
  <c r="W716" i="1"/>
  <c r="V278" i="1"/>
  <c r="X1157" i="1"/>
  <c r="V829" i="1"/>
  <c r="V799" i="1"/>
  <c r="U391" i="1"/>
  <c r="V930" i="1"/>
  <c r="U715" i="1"/>
  <c r="W678" i="1"/>
  <c r="X1079" i="1"/>
  <c r="U479" i="1"/>
  <c r="W438" i="1"/>
  <c r="U794" i="1"/>
  <c r="X355" i="1"/>
  <c r="V789" i="1"/>
  <c r="U445" i="1"/>
  <c r="V597" i="1"/>
  <c r="X207" i="1"/>
  <c r="U257" i="1"/>
  <c r="V478" i="1"/>
  <c r="U1020" i="1"/>
  <c r="W1145" i="1"/>
  <c r="U194" i="1"/>
  <c r="V355" i="1"/>
  <c r="X543" i="1"/>
  <c r="W530" i="1"/>
  <c r="V510" i="1"/>
  <c r="U811" i="1"/>
  <c r="W815" i="1"/>
  <c r="U138" i="1"/>
  <c r="U545" i="1"/>
  <c r="U66" i="1"/>
  <c r="X951" i="1"/>
  <c r="V357" i="1"/>
  <c r="V1175" i="1"/>
  <c r="W1055" i="1"/>
  <c r="V385" i="1"/>
  <c r="W297" i="1"/>
  <c r="X790" i="1"/>
  <c r="X580" i="1"/>
  <c r="V241" i="1"/>
  <c r="X437" i="1"/>
  <c r="U818" i="1"/>
  <c r="W1182" i="1"/>
  <c r="X618" i="1"/>
  <c r="U250" i="1"/>
  <c r="W810" i="1"/>
  <c r="V257" i="1"/>
  <c r="W751" i="1"/>
  <c r="W388" i="1"/>
  <c r="V1237" i="1"/>
  <c r="W278" i="1"/>
  <c r="U746" i="1"/>
  <c r="W186" i="1"/>
  <c r="U916" i="1"/>
  <c r="V669" i="1"/>
  <c r="V1016" i="1"/>
  <c r="W843" i="1"/>
  <c r="X1065" i="1"/>
  <c r="U544" i="1"/>
  <c r="V962" i="1"/>
  <c r="V785" i="1"/>
  <c r="V938" i="1"/>
  <c r="U432" i="1"/>
  <c r="X803" i="1"/>
  <c r="U177" i="1"/>
  <c r="W805" i="1"/>
  <c r="U169" i="1"/>
  <c r="W577" i="1"/>
  <c r="W644" i="1"/>
  <c r="V1044" i="1"/>
  <c r="X1235" i="1"/>
  <c r="V1003" i="1"/>
  <c r="V790" i="1"/>
  <c r="U843" i="1"/>
  <c r="U1065" i="1"/>
  <c r="U393" i="1"/>
  <c r="X761" i="1"/>
  <c r="V889" i="1"/>
  <c r="W476" i="1"/>
  <c r="X935" i="1"/>
  <c r="W1149" i="1"/>
  <c r="X811" i="1"/>
  <c r="U785" i="1"/>
  <c r="V208" i="1"/>
  <c r="U810" i="1"/>
  <c r="V395" i="1"/>
  <c r="U117" i="1"/>
  <c r="X1186" i="1"/>
  <c r="X418" i="1"/>
  <c r="U591" i="1"/>
  <c r="V251" i="1"/>
  <c r="W933" i="1"/>
  <c r="U35" i="1"/>
  <c r="U533" i="1"/>
  <c r="U149" i="1"/>
  <c r="X1248" i="1"/>
  <c r="V336" i="1"/>
  <c r="W228" i="1"/>
  <c r="W344" i="1"/>
  <c r="V547" i="1"/>
  <c r="X1203" i="1"/>
  <c r="V1182" i="1"/>
  <c r="U241" i="1"/>
  <c r="W1028" i="1"/>
  <c r="U787" i="1"/>
  <c r="W1132" i="1"/>
  <c r="X276" i="1"/>
  <c r="W1171" i="1"/>
  <c r="V192" i="1"/>
  <c r="U933" i="1"/>
  <c r="U879" i="1"/>
  <c r="W1253" i="1"/>
  <c r="V454" i="1"/>
  <c r="W586" i="1"/>
  <c r="V497" i="1"/>
  <c r="X982" i="1"/>
  <c r="U930" i="1"/>
  <c r="W127" i="1"/>
  <c r="W618" i="1"/>
  <c r="V248" i="1"/>
  <c r="W514" i="1"/>
  <c r="X713" i="1"/>
  <c r="V101" i="1"/>
  <c r="X686" i="1"/>
  <c r="X305" i="1"/>
  <c r="U754" i="1"/>
  <c r="X577" i="1"/>
  <c r="X1196" i="1"/>
  <c r="U736" i="1"/>
  <c r="X277" i="1"/>
  <c r="U412" i="1"/>
  <c r="X631" i="1"/>
  <c r="W367" i="1"/>
  <c r="U384" i="1"/>
  <c r="W447" i="1"/>
  <c r="W688" i="1"/>
  <c r="X514" i="1"/>
  <c r="W343" i="1"/>
  <c r="W1223" i="1"/>
  <c r="U882" i="1"/>
  <c r="W799" i="1"/>
  <c r="W138" i="1"/>
  <c r="X813" i="1"/>
  <c r="V343" i="1"/>
  <c r="U547" i="1"/>
  <c r="V688" i="1"/>
  <c r="W1190" i="1"/>
  <c r="U431" i="1"/>
  <c r="V713" i="1"/>
  <c r="W813" i="1"/>
  <c r="X432" i="1"/>
  <c r="U642" i="1"/>
  <c r="W639" i="1"/>
  <c r="W962" i="1"/>
  <c r="U527" i="1"/>
  <c r="U837" i="1"/>
  <c r="U480" i="1"/>
  <c r="U880" i="1"/>
  <c r="X376" i="1"/>
  <c r="W533" i="1"/>
  <c r="U757" i="1"/>
  <c r="X980" i="1"/>
  <c r="X1003" i="1"/>
  <c r="U203" i="1"/>
  <c r="V1081" i="1"/>
  <c r="X552" i="1"/>
  <c r="X1012" i="1"/>
  <c r="U297" i="1"/>
  <c r="U1142" i="1"/>
  <c r="X1083" i="1"/>
  <c r="U699" i="1"/>
  <c r="X1055" i="1"/>
  <c r="W445" i="1"/>
  <c r="V1043" i="1"/>
  <c r="V806" i="1"/>
  <c r="V859" i="1"/>
  <c r="X727" i="1"/>
  <c r="X454" i="1"/>
  <c r="W681" i="1"/>
  <c r="X1237" i="1"/>
  <c r="W734" i="1"/>
  <c r="V416" i="1"/>
  <c r="W879" i="1"/>
  <c r="V1220" i="1"/>
  <c r="U125" i="1"/>
  <c r="V1101" i="1"/>
  <c r="U1248" i="1"/>
  <c r="U681" i="1"/>
  <c r="W867" i="1"/>
  <c r="X861" i="1"/>
  <c r="W416" i="1"/>
  <c r="U727" i="1"/>
  <c r="W432" i="1"/>
  <c r="U152" i="1"/>
  <c r="V556" i="1"/>
  <c r="W887" i="1"/>
  <c r="X921" i="1"/>
  <c r="X1145" i="1"/>
  <c r="U355" i="1"/>
  <c r="V83" i="1"/>
  <c r="X742" i="1"/>
  <c r="W1036" i="1"/>
  <c r="W977" i="1"/>
  <c r="U887" i="1"/>
  <c r="U632" i="1"/>
  <c r="X1027" i="1"/>
  <c r="U568" i="1"/>
  <c r="X226" i="1"/>
  <c r="W235" i="1"/>
  <c r="V734" i="1"/>
  <c r="X583" i="1"/>
  <c r="U1095" i="1"/>
  <c r="U750" i="1"/>
  <c r="V515" i="1"/>
  <c r="X329" i="1"/>
  <c r="V1055" i="1"/>
  <c r="X815" i="1"/>
  <c r="U286" i="1"/>
  <c r="W893" i="1"/>
  <c r="V1148" i="1"/>
  <c r="U958" i="1"/>
  <c r="X523" i="1"/>
  <c r="U631" i="1"/>
  <c r="V976" i="1"/>
  <c r="V1231" i="1"/>
  <c r="U1175" i="1"/>
  <c r="U888" i="1"/>
  <c r="U835" i="1"/>
  <c r="V1166" i="1"/>
  <c r="U903" i="1"/>
  <c r="X1008" i="1"/>
  <c r="W625" i="1"/>
  <c r="X621" i="1"/>
  <c r="V156" i="1"/>
  <c r="U1166" i="1"/>
  <c r="W1231" i="1"/>
  <c r="U518" i="1"/>
  <c r="W387" i="1"/>
  <c r="V604" i="1"/>
  <c r="W999" i="1"/>
  <c r="V1008" i="1"/>
  <c r="U617" i="1"/>
  <c r="X1077" i="1"/>
  <c r="W309" i="1"/>
  <c r="V308" i="1"/>
  <c r="V187" i="1"/>
  <c r="V608" i="1"/>
  <c r="W608" i="1"/>
  <c r="V951" i="1"/>
  <c r="V698" i="1"/>
  <c r="W418" i="1"/>
  <c r="W152" i="1"/>
  <c r="X789" i="1"/>
  <c r="V796" i="1"/>
  <c r="W366" i="1"/>
  <c r="W112" i="1"/>
  <c r="X853" i="1"/>
  <c r="W89" i="1"/>
  <c r="X513" i="1"/>
  <c r="U645" i="1"/>
  <c r="W261" i="1"/>
  <c r="V664" i="1"/>
  <c r="V625" i="1"/>
  <c r="V932" i="1"/>
  <c r="V693" i="1"/>
  <c r="V1000" i="1"/>
  <c r="U552" i="1"/>
  <c r="W1198" i="1"/>
  <c r="X283" i="1"/>
  <c r="W1117" i="1"/>
  <c r="W693" i="1"/>
  <c r="W1114" i="1"/>
  <c r="U541" i="1"/>
  <c r="U160" i="1"/>
  <c r="U1176" i="1"/>
  <c r="U734" i="1"/>
  <c r="U947" i="1"/>
  <c r="U1231" i="1"/>
  <c r="U982" i="1"/>
  <c r="X490" i="1"/>
  <c r="U520" i="1"/>
  <c r="U718" i="1"/>
  <c r="W712" i="1"/>
  <c r="U889" i="1"/>
  <c r="U1138" i="1"/>
  <c r="W1064" i="1"/>
  <c r="V221" i="1"/>
  <c r="W376" i="1"/>
  <c r="W220" i="1"/>
  <c r="U422" i="1"/>
  <c r="V431" i="1"/>
  <c r="V699" i="1"/>
  <c r="U1094" i="1"/>
  <c r="U629" i="1"/>
  <c r="U186" i="1"/>
  <c r="U581" i="1"/>
  <c r="V361" i="1"/>
  <c r="V666" i="1"/>
  <c r="V1225" i="1"/>
  <c r="V716" i="1"/>
  <c r="V933" i="1"/>
  <c r="X1050" i="1"/>
  <c r="W90" i="1"/>
  <c r="X918" i="1"/>
  <c r="U277" i="1"/>
  <c r="V445" i="1"/>
  <c r="X664" i="1"/>
  <c r="U510" i="1"/>
  <c r="X482" i="1"/>
  <c r="W393" i="1"/>
  <c r="V996" i="1"/>
  <c r="U202" i="1"/>
  <c r="W365" i="1"/>
  <c r="W477" i="1"/>
  <c r="V843" i="1"/>
  <c r="X341" i="1"/>
  <c r="U809" i="1"/>
  <c r="W715" i="1"/>
  <c r="V793" i="1"/>
  <c r="U64" i="1"/>
  <c r="W853" i="1"/>
  <c r="U341" i="1"/>
  <c r="W554" i="1"/>
  <c r="U788" i="1"/>
  <c r="V727" i="1"/>
  <c r="W607" i="1"/>
  <c r="U438" i="1"/>
  <c r="W598" i="1"/>
  <c r="U921" i="1"/>
  <c r="U1103" i="1"/>
  <c r="W79" i="1"/>
  <c r="W162" i="1"/>
  <c r="V1062" i="1"/>
  <c r="X1232" i="1"/>
  <c r="X880" i="1"/>
  <c r="V1232" i="1"/>
  <c r="W192" i="1"/>
  <c r="U514" i="1"/>
  <c r="X1171" i="1"/>
  <c r="V415" i="1"/>
  <c r="W83" i="1"/>
  <c r="W199" i="1"/>
  <c r="U977" i="1"/>
  <c r="V947" i="1"/>
  <c r="W758" i="1"/>
  <c r="U1028" i="1"/>
  <c r="W568" i="1"/>
  <c r="W803" i="1"/>
  <c r="V750" i="1"/>
  <c r="V334" i="1"/>
  <c r="W270" i="1"/>
  <c r="V1146" i="1"/>
  <c r="X387" i="1"/>
  <c r="U1186" i="1"/>
  <c r="W415" i="1"/>
  <c r="U607" i="1"/>
  <c r="W234" i="1"/>
  <c r="X1132" i="1"/>
  <c r="W1189" i="1"/>
  <c r="W1062" i="1"/>
  <c r="U703" i="1"/>
  <c r="V646" i="1"/>
  <c r="X729" i="1"/>
  <c r="W468" i="1"/>
  <c r="U1039" i="1"/>
  <c r="X626" i="1"/>
  <c r="W713" i="1"/>
  <c r="V1170" i="1"/>
  <c r="W615" i="1"/>
  <c r="X999" i="1"/>
  <c r="U1106" i="1"/>
  <c r="W623" i="1"/>
  <c r="X996" i="1"/>
  <c r="U1000" i="1"/>
  <c r="V861" i="1"/>
  <c r="W985" i="1"/>
  <c r="U1069" i="1"/>
  <c r="U131" i="1"/>
  <c r="X796" i="1"/>
  <c r="W1133" i="1"/>
  <c r="W1138" i="1"/>
  <c r="W932" i="1"/>
  <c r="U885" i="1"/>
  <c r="V79" i="1"/>
  <c r="U1133" i="1"/>
  <c r="V365" i="1"/>
  <c r="X913" i="1"/>
  <c r="W556" i="1"/>
  <c r="U951" i="1"/>
  <c r="X530" i="1"/>
  <c r="U244" i="1"/>
  <c r="W1248" i="1"/>
  <c r="U1196" i="1"/>
  <c r="U1148" i="1"/>
  <c r="U1230" i="1"/>
  <c r="W802" i="1"/>
  <c r="X1201" i="1"/>
  <c r="W286" i="1"/>
  <c r="W341" i="1"/>
  <c r="W794" i="1"/>
  <c r="U543" i="1"/>
  <c r="X422" i="1"/>
  <c r="V1033" i="1"/>
  <c r="U530" i="1"/>
  <c r="V177" i="1"/>
  <c r="W1033" i="1"/>
  <c r="V206" i="1"/>
  <c r="V268" i="1"/>
  <c r="V542" i="1"/>
  <c r="U329" i="1"/>
  <c r="V112" i="1"/>
  <c r="V629" i="1"/>
  <c r="X689" i="1"/>
  <c r="W599" i="1"/>
  <c r="W1112" i="1"/>
  <c r="W929" i="1"/>
  <c r="X716" i="1"/>
  <c r="W1050" i="1"/>
  <c r="U395" i="1"/>
  <c r="V344" i="1"/>
  <c r="X1165" i="1"/>
  <c r="V513" i="1"/>
  <c r="V1034" i="1"/>
  <c r="V523" i="1"/>
  <c r="U134" i="1"/>
  <c r="V435" i="1"/>
  <c r="V992" i="1"/>
  <c r="U992" i="1"/>
  <c r="X929" i="1"/>
  <c r="V921" i="1"/>
  <c r="W774" i="1"/>
  <c r="V780" i="1"/>
  <c r="X699" i="1"/>
  <c r="W1230" i="1"/>
  <c r="X556" i="1"/>
  <c r="U1008" i="1"/>
  <c r="U110" i="1"/>
  <c r="X358" i="1"/>
  <c r="X1106" i="1"/>
  <c r="X932" i="1"/>
  <c r="W442" i="1"/>
  <c r="U946" i="1"/>
  <c r="V686" i="1"/>
  <c r="V668" i="1"/>
  <c r="W896" i="1"/>
  <c r="W626" i="1"/>
  <c r="W1039" i="1"/>
  <c r="V75" i="1"/>
  <c r="W841" i="1"/>
  <c r="V770" i="1"/>
  <c r="V1138" i="1"/>
  <c r="U243" i="1"/>
  <c r="V568" i="1"/>
  <c r="U99" i="1"/>
  <c r="U614" i="1"/>
  <c r="W300" i="1"/>
  <c r="W806" i="1"/>
  <c r="W424" i="1"/>
  <c r="X825" i="1"/>
  <c r="U490" i="1"/>
  <c r="V119" i="1"/>
  <c r="W203" i="1"/>
  <c r="W1243" i="1"/>
  <c r="V247" i="1"/>
  <c r="V191" i="1"/>
  <c r="W456" i="1"/>
  <c r="V1165" i="1"/>
  <c r="W888" i="1"/>
  <c r="V924" i="1"/>
  <c r="X365" i="1"/>
  <c r="W966" i="1"/>
  <c r="U795" i="1"/>
  <c r="W631" i="1"/>
  <c r="U336" i="1"/>
  <c r="W268" i="1"/>
  <c r="V747" i="1"/>
  <c r="X781" i="1"/>
  <c r="X1197" i="1"/>
  <c r="V623" i="1"/>
  <c r="X1039" i="1"/>
  <c r="W829" i="1"/>
  <c r="W723" i="1"/>
  <c r="V1167" i="1"/>
  <c r="V729" i="1"/>
  <c r="V617" i="1"/>
  <c r="U1050" i="1"/>
  <c r="X1046" i="1"/>
  <c r="X1194" i="1"/>
  <c r="U1017" i="1"/>
  <c r="U913" i="1"/>
  <c r="X885" i="1"/>
  <c r="X282" i="1"/>
  <c r="X930" i="1"/>
  <c r="V204" i="1"/>
  <c r="W1186" i="1"/>
  <c r="V234" i="1"/>
  <c r="W881" i="1"/>
  <c r="V703" i="1"/>
  <c r="U825" i="1"/>
  <c r="U75" i="1"/>
  <c r="W119" i="1"/>
  <c r="V1235" i="1"/>
  <c r="V94" i="1"/>
  <c r="X887" i="1"/>
  <c r="V819" i="1"/>
  <c r="U621" i="1"/>
  <c r="W1194" i="1"/>
  <c r="W1170" i="1"/>
  <c r="V815" i="1"/>
  <c r="X1148" i="1"/>
  <c r="X854" i="1"/>
  <c r="W513" i="1"/>
  <c r="U1112" i="1"/>
  <c r="W117" i="1"/>
  <c r="V337" i="1"/>
  <c r="W728" i="1"/>
  <c r="X703" i="1"/>
  <c r="X962" i="1"/>
  <c r="X617" i="1"/>
  <c r="W992" i="1"/>
  <c r="W863" i="1"/>
  <c r="V532" i="1"/>
  <c r="AA77" i="1" l="1"/>
  <c r="AA78" i="1" s="1"/>
  <c r="AA79" i="1" s="1"/>
  <c r="AA80" i="1" s="1"/>
  <c r="AA81" i="1" s="1"/>
  <c r="AA82" i="1" s="1"/>
  <c r="AB205" i="1"/>
  <c r="AB206" i="1" s="1"/>
  <c r="Z23" i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Z763" i="1" s="1"/>
  <c r="Z764" i="1" s="1"/>
  <c r="Z765" i="1" s="1"/>
  <c r="Z766" i="1" s="1"/>
  <c r="Z767" i="1" s="1"/>
  <c r="Z768" i="1" s="1"/>
  <c r="Z769" i="1" s="1"/>
  <c r="Z770" i="1" s="1"/>
  <c r="Z771" i="1" s="1"/>
  <c r="Z772" i="1" s="1"/>
  <c r="Z773" i="1" s="1"/>
  <c r="Z774" i="1" s="1"/>
  <c r="Z775" i="1" s="1"/>
  <c r="Z776" i="1" s="1"/>
  <c r="Z777" i="1" s="1"/>
  <c r="Z778" i="1" s="1"/>
  <c r="Z779" i="1" s="1"/>
  <c r="Z780" i="1" s="1"/>
  <c r="Z781" i="1" s="1"/>
  <c r="Z782" i="1" s="1"/>
  <c r="Z783" i="1" s="1"/>
  <c r="Z784" i="1" s="1"/>
  <c r="Z785" i="1" s="1"/>
  <c r="Z786" i="1" s="1"/>
  <c r="Z787" i="1" s="1"/>
  <c r="Z788" i="1" s="1"/>
  <c r="Z789" i="1" s="1"/>
  <c r="Z790" i="1" s="1"/>
  <c r="Z791" i="1" s="1"/>
  <c r="Z792" i="1" s="1"/>
  <c r="Z793" i="1" s="1"/>
  <c r="Z794" i="1" s="1"/>
  <c r="Z795" i="1" s="1"/>
  <c r="Z796" i="1" s="1"/>
  <c r="Z797" i="1" s="1"/>
  <c r="Z798" i="1" s="1"/>
  <c r="Z799" i="1" s="1"/>
  <c r="Z800" i="1" s="1"/>
  <c r="Z801" i="1" s="1"/>
  <c r="Z802" i="1" s="1"/>
  <c r="Z803" i="1" s="1"/>
  <c r="Z804" i="1" s="1"/>
  <c r="Z805" i="1" s="1"/>
  <c r="Z806" i="1" s="1"/>
  <c r="Z807" i="1" s="1"/>
  <c r="Z808" i="1" s="1"/>
  <c r="Z809" i="1" s="1"/>
  <c r="Z810" i="1" s="1"/>
  <c r="Z811" i="1" s="1"/>
  <c r="Z812" i="1" s="1"/>
  <c r="Z813" i="1" s="1"/>
  <c r="Z814" i="1" s="1"/>
  <c r="Z815" i="1" s="1"/>
  <c r="Z816" i="1" s="1"/>
  <c r="Z817" i="1" s="1"/>
  <c r="Z818" i="1" s="1"/>
  <c r="Z819" i="1" s="1"/>
  <c r="Z820" i="1" s="1"/>
  <c r="Z821" i="1" s="1"/>
  <c r="Z822" i="1" s="1"/>
  <c r="Z823" i="1" s="1"/>
  <c r="Z824" i="1" s="1"/>
  <c r="Z825" i="1" s="1"/>
  <c r="Z826" i="1" s="1"/>
  <c r="Z827" i="1" s="1"/>
  <c r="Z828" i="1" s="1"/>
  <c r="Z829" i="1" s="1"/>
  <c r="Z830" i="1" s="1"/>
  <c r="Z831" i="1" s="1"/>
  <c r="Z832" i="1" s="1"/>
  <c r="Z833" i="1" s="1"/>
  <c r="Z834" i="1" s="1"/>
  <c r="Z835" i="1" s="1"/>
  <c r="Z836" i="1" s="1"/>
  <c r="Z837" i="1" s="1"/>
  <c r="Z838" i="1" s="1"/>
  <c r="Z839" i="1" s="1"/>
  <c r="Z840" i="1" s="1"/>
  <c r="Z841" i="1" s="1"/>
  <c r="Z842" i="1" s="1"/>
  <c r="Z843" i="1" s="1"/>
  <c r="Z844" i="1" s="1"/>
  <c r="Z845" i="1" s="1"/>
  <c r="Z846" i="1" s="1"/>
  <c r="Z847" i="1" s="1"/>
  <c r="Z848" i="1" s="1"/>
  <c r="Z849" i="1" s="1"/>
  <c r="Z850" i="1" s="1"/>
  <c r="Z851" i="1" s="1"/>
  <c r="Z852" i="1" s="1"/>
  <c r="Z853" i="1" s="1"/>
  <c r="Z854" i="1" s="1"/>
  <c r="Z855" i="1" s="1"/>
  <c r="Z856" i="1" s="1"/>
  <c r="Z857" i="1" s="1"/>
  <c r="Z858" i="1" s="1"/>
  <c r="Z859" i="1" s="1"/>
  <c r="Z860" i="1" s="1"/>
  <c r="Z861" i="1" s="1"/>
  <c r="Z862" i="1" s="1"/>
  <c r="Z863" i="1" s="1"/>
  <c r="Z864" i="1" s="1"/>
  <c r="Z865" i="1" s="1"/>
  <c r="Z866" i="1" s="1"/>
  <c r="Z867" i="1" s="1"/>
  <c r="Z868" i="1" s="1"/>
  <c r="Z869" i="1" s="1"/>
  <c r="Z870" i="1" s="1"/>
  <c r="Z871" i="1" s="1"/>
  <c r="Z872" i="1" s="1"/>
  <c r="Z873" i="1" s="1"/>
  <c r="Z874" i="1" s="1"/>
  <c r="Z875" i="1" s="1"/>
  <c r="Z876" i="1" s="1"/>
  <c r="Z877" i="1" s="1"/>
  <c r="Z878" i="1" s="1"/>
  <c r="Z879" i="1" s="1"/>
  <c r="Z880" i="1" s="1"/>
  <c r="Z881" i="1" s="1"/>
  <c r="Z882" i="1" s="1"/>
  <c r="Z883" i="1" s="1"/>
  <c r="Z884" i="1" s="1"/>
  <c r="Z885" i="1" s="1"/>
  <c r="Z886" i="1" s="1"/>
  <c r="Z887" i="1" s="1"/>
  <c r="Z888" i="1" s="1"/>
  <c r="Z889" i="1" s="1"/>
  <c r="Z890" i="1" s="1"/>
  <c r="Z891" i="1" s="1"/>
  <c r="Z892" i="1" s="1"/>
  <c r="Z893" i="1" s="1"/>
  <c r="Z894" i="1" s="1"/>
  <c r="Z895" i="1" s="1"/>
  <c r="Z896" i="1" s="1"/>
  <c r="Z897" i="1" s="1"/>
  <c r="Z898" i="1" s="1"/>
  <c r="Z899" i="1" s="1"/>
  <c r="Z900" i="1" s="1"/>
  <c r="Z901" i="1" s="1"/>
  <c r="Z902" i="1" s="1"/>
  <c r="Z903" i="1" s="1"/>
  <c r="Z904" i="1" s="1"/>
  <c r="Z905" i="1" s="1"/>
  <c r="Z906" i="1" s="1"/>
  <c r="Z907" i="1" s="1"/>
  <c r="Z908" i="1" s="1"/>
  <c r="Z909" i="1" s="1"/>
  <c r="Z910" i="1" s="1"/>
  <c r="Z911" i="1" s="1"/>
  <c r="Z912" i="1" s="1"/>
  <c r="Z913" i="1" s="1"/>
  <c r="Z914" i="1" s="1"/>
  <c r="Z915" i="1" s="1"/>
  <c r="Z916" i="1" s="1"/>
  <c r="Z917" i="1" s="1"/>
  <c r="Z918" i="1" s="1"/>
  <c r="Z919" i="1" s="1"/>
  <c r="Z920" i="1" s="1"/>
  <c r="Z921" i="1" s="1"/>
  <c r="Z922" i="1" s="1"/>
  <c r="Z923" i="1" s="1"/>
  <c r="Z924" i="1" s="1"/>
  <c r="Z925" i="1" s="1"/>
  <c r="Z926" i="1" s="1"/>
  <c r="Z927" i="1" s="1"/>
  <c r="Z928" i="1" s="1"/>
  <c r="Z929" i="1" s="1"/>
  <c r="Z930" i="1" s="1"/>
  <c r="Z931" i="1" s="1"/>
  <c r="Z932" i="1" s="1"/>
  <c r="Z933" i="1" s="1"/>
  <c r="Z934" i="1" s="1"/>
  <c r="Z935" i="1" s="1"/>
  <c r="Z936" i="1" s="1"/>
  <c r="Z937" i="1" s="1"/>
  <c r="Z938" i="1" s="1"/>
  <c r="Z939" i="1" s="1"/>
  <c r="Z940" i="1" s="1"/>
  <c r="Z941" i="1" s="1"/>
  <c r="Z942" i="1" s="1"/>
  <c r="Z943" i="1" s="1"/>
  <c r="Z944" i="1" s="1"/>
  <c r="Z945" i="1" s="1"/>
  <c r="Z946" i="1" s="1"/>
  <c r="Z947" i="1" s="1"/>
  <c r="Z948" i="1" s="1"/>
  <c r="Z949" i="1" s="1"/>
  <c r="Z950" i="1" s="1"/>
  <c r="Z951" i="1" s="1"/>
  <c r="Z952" i="1" s="1"/>
  <c r="Z953" i="1" s="1"/>
  <c r="Z954" i="1" s="1"/>
  <c r="Z955" i="1" s="1"/>
  <c r="Z956" i="1" s="1"/>
  <c r="Z957" i="1" s="1"/>
  <c r="Z958" i="1" s="1"/>
  <c r="Z959" i="1" s="1"/>
  <c r="Z960" i="1" s="1"/>
  <c r="Z961" i="1" s="1"/>
  <c r="Z962" i="1" s="1"/>
  <c r="Z963" i="1" s="1"/>
  <c r="Z964" i="1" s="1"/>
  <c r="Z965" i="1" s="1"/>
  <c r="Z966" i="1" s="1"/>
  <c r="Z967" i="1" s="1"/>
  <c r="Z968" i="1" s="1"/>
  <c r="Z969" i="1" s="1"/>
  <c r="Z970" i="1" s="1"/>
  <c r="Z971" i="1" s="1"/>
  <c r="Z972" i="1" s="1"/>
  <c r="Z973" i="1" s="1"/>
  <c r="Z974" i="1" s="1"/>
  <c r="Z975" i="1" s="1"/>
  <c r="Z976" i="1" s="1"/>
  <c r="Z977" i="1" s="1"/>
  <c r="Z978" i="1" s="1"/>
  <c r="Z979" i="1" s="1"/>
  <c r="Z980" i="1" s="1"/>
  <c r="Z981" i="1" s="1"/>
  <c r="Z982" i="1" s="1"/>
  <c r="Z983" i="1" s="1"/>
  <c r="Z984" i="1" s="1"/>
  <c r="Z985" i="1" s="1"/>
  <c r="Z986" i="1" s="1"/>
  <c r="Z987" i="1" s="1"/>
  <c r="Z988" i="1" s="1"/>
  <c r="Z989" i="1" s="1"/>
  <c r="Z990" i="1" s="1"/>
  <c r="Z991" i="1" s="1"/>
  <c r="Z992" i="1" s="1"/>
  <c r="Z993" i="1" s="1"/>
  <c r="Z994" i="1" s="1"/>
  <c r="Z995" i="1" s="1"/>
  <c r="Z996" i="1" s="1"/>
  <c r="Z997" i="1" s="1"/>
  <c r="Z998" i="1" s="1"/>
  <c r="Z999" i="1" s="1"/>
  <c r="Z1000" i="1" s="1"/>
  <c r="Z1001" i="1" s="1"/>
  <c r="Z1002" i="1" s="1"/>
  <c r="Z1003" i="1" s="1"/>
  <c r="Z1004" i="1" s="1"/>
  <c r="Z1005" i="1" s="1"/>
  <c r="Z1006" i="1" s="1"/>
  <c r="Z1007" i="1" s="1"/>
  <c r="Z1008" i="1" s="1"/>
  <c r="Z1009" i="1" s="1"/>
  <c r="Z1010" i="1" s="1"/>
  <c r="Z1011" i="1" s="1"/>
  <c r="Z1012" i="1" s="1"/>
  <c r="Z1013" i="1" s="1"/>
  <c r="Z1014" i="1" s="1"/>
  <c r="Z1015" i="1" s="1"/>
  <c r="Z1016" i="1" s="1"/>
  <c r="Z1017" i="1" s="1"/>
  <c r="Z1018" i="1" s="1"/>
  <c r="Z1019" i="1" s="1"/>
  <c r="Z1020" i="1" s="1"/>
  <c r="Z1021" i="1" s="1"/>
  <c r="Z1022" i="1" s="1"/>
  <c r="Z1023" i="1" s="1"/>
  <c r="Z1024" i="1" s="1"/>
  <c r="Z1025" i="1" s="1"/>
  <c r="Z1026" i="1" s="1"/>
  <c r="Z1027" i="1" s="1"/>
  <c r="Z1028" i="1" s="1"/>
  <c r="Z1029" i="1" s="1"/>
  <c r="Z1030" i="1" s="1"/>
  <c r="Z1031" i="1" s="1"/>
  <c r="Z1032" i="1" s="1"/>
  <c r="Z1033" i="1" s="1"/>
  <c r="Z1034" i="1" s="1"/>
  <c r="Z1035" i="1" s="1"/>
  <c r="Z1036" i="1" s="1"/>
  <c r="Z1037" i="1" s="1"/>
  <c r="Z1038" i="1" s="1"/>
  <c r="Z1039" i="1" s="1"/>
  <c r="Z1040" i="1" s="1"/>
  <c r="Z1041" i="1" s="1"/>
  <c r="Z1042" i="1" s="1"/>
  <c r="Z1043" i="1" s="1"/>
  <c r="Z1044" i="1" s="1"/>
  <c r="Z1045" i="1" s="1"/>
  <c r="Z1046" i="1" s="1"/>
  <c r="Z1047" i="1" s="1"/>
  <c r="Z1048" i="1" s="1"/>
  <c r="Z1049" i="1" s="1"/>
  <c r="Z1050" i="1" s="1"/>
  <c r="Z1051" i="1" s="1"/>
  <c r="Z1052" i="1" s="1"/>
  <c r="Z1053" i="1" s="1"/>
  <c r="Z1054" i="1" s="1"/>
  <c r="Z1055" i="1" s="1"/>
  <c r="Z1056" i="1" s="1"/>
  <c r="Z1057" i="1" s="1"/>
  <c r="Z1058" i="1" s="1"/>
  <c r="Z1059" i="1" s="1"/>
  <c r="Z1060" i="1" s="1"/>
  <c r="Z1061" i="1" s="1"/>
  <c r="Z1062" i="1" s="1"/>
  <c r="Z1063" i="1" s="1"/>
  <c r="Z1064" i="1" s="1"/>
  <c r="Z1065" i="1" s="1"/>
  <c r="Z1066" i="1" s="1"/>
  <c r="Z1067" i="1" s="1"/>
  <c r="Z1068" i="1" s="1"/>
  <c r="Z1069" i="1" s="1"/>
  <c r="Z1070" i="1" s="1"/>
  <c r="Z1071" i="1" s="1"/>
  <c r="Z1072" i="1" s="1"/>
  <c r="Z1073" i="1" s="1"/>
  <c r="Z1074" i="1" s="1"/>
  <c r="Z1075" i="1" s="1"/>
  <c r="Z1076" i="1" s="1"/>
  <c r="Z1077" i="1" s="1"/>
  <c r="Z1078" i="1" s="1"/>
  <c r="Z1079" i="1" s="1"/>
  <c r="Z1080" i="1" s="1"/>
  <c r="Z1081" i="1" s="1"/>
  <c r="Z1082" i="1" s="1"/>
  <c r="Z1083" i="1" s="1"/>
  <c r="Z1084" i="1" s="1"/>
  <c r="Z1085" i="1" s="1"/>
  <c r="Z1086" i="1" s="1"/>
  <c r="Z1087" i="1" s="1"/>
  <c r="Z1088" i="1" s="1"/>
  <c r="Z1089" i="1" s="1"/>
  <c r="Z1090" i="1" s="1"/>
  <c r="Z1091" i="1" s="1"/>
  <c r="Z1092" i="1" s="1"/>
  <c r="Z1093" i="1" s="1"/>
  <c r="Z1094" i="1" s="1"/>
  <c r="Z1095" i="1" s="1"/>
  <c r="Z1096" i="1" s="1"/>
  <c r="Z1097" i="1" s="1"/>
  <c r="Z1098" i="1" s="1"/>
  <c r="Z1099" i="1" s="1"/>
  <c r="Z1100" i="1" s="1"/>
  <c r="Z1101" i="1" s="1"/>
  <c r="Z1102" i="1" s="1"/>
  <c r="Z1103" i="1" s="1"/>
  <c r="Z1104" i="1" s="1"/>
  <c r="Z1105" i="1" s="1"/>
  <c r="Z1106" i="1" s="1"/>
  <c r="Z1107" i="1" s="1"/>
  <c r="Z1108" i="1" s="1"/>
  <c r="Z1109" i="1" s="1"/>
  <c r="Z1110" i="1" s="1"/>
  <c r="Z1111" i="1" s="1"/>
  <c r="Z1112" i="1" s="1"/>
  <c r="Z1113" i="1" s="1"/>
  <c r="Z1114" i="1" s="1"/>
  <c r="Z1115" i="1" s="1"/>
  <c r="Z1116" i="1" s="1"/>
  <c r="Z1117" i="1" s="1"/>
  <c r="Z1118" i="1" s="1"/>
  <c r="Z1119" i="1" s="1"/>
  <c r="Z1120" i="1" s="1"/>
  <c r="Z1121" i="1" s="1"/>
  <c r="Z1122" i="1" s="1"/>
  <c r="Z1123" i="1" s="1"/>
  <c r="Z1124" i="1" s="1"/>
  <c r="Z1125" i="1" s="1"/>
  <c r="Z1126" i="1" s="1"/>
  <c r="Z1127" i="1" s="1"/>
  <c r="Z1128" i="1" s="1"/>
  <c r="Z1129" i="1" s="1"/>
  <c r="Z1130" i="1" s="1"/>
  <c r="Z1131" i="1" s="1"/>
  <c r="Z1132" i="1" s="1"/>
  <c r="Z1133" i="1" s="1"/>
  <c r="Z1134" i="1" s="1"/>
  <c r="Z1135" i="1" s="1"/>
  <c r="Z1136" i="1" s="1"/>
  <c r="Z1137" i="1" s="1"/>
  <c r="Z1138" i="1" s="1"/>
  <c r="Z1139" i="1" s="1"/>
  <c r="Z1140" i="1" s="1"/>
  <c r="Z1141" i="1" s="1"/>
  <c r="Z1142" i="1" s="1"/>
  <c r="Z1143" i="1" s="1"/>
  <c r="Z1144" i="1" s="1"/>
  <c r="Z1145" i="1" s="1"/>
  <c r="Z1146" i="1" s="1"/>
  <c r="Z1147" i="1" s="1"/>
  <c r="Z1148" i="1" s="1"/>
  <c r="Z1149" i="1" s="1"/>
  <c r="Z1150" i="1" s="1"/>
  <c r="Z1151" i="1" s="1"/>
  <c r="Z1152" i="1" s="1"/>
  <c r="Z1153" i="1" s="1"/>
  <c r="Z1154" i="1" s="1"/>
  <c r="Z1155" i="1" s="1"/>
  <c r="Z1156" i="1" s="1"/>
  <c r="Z1157" i="1" s="1"/>
  <c r="Z1158" i="1" s="1"/>
  <c r="Z1159" i="1" s="1"/>
  <c r="Z1160" i="1" s="1"/>
  <c r="Z1161" i="1" s="1"/>
  <c r="Z1162" i="1" s="1"/>
  <c r="Z1163" i="1" s="1"/>
  <c r="Z1164" i="1" s="1"/>
  <c r="Z1165" i="1" s="1"/>
  <c r="Z1166" i="1" s="1"/>
  <c r="Z1167" i="1" s="1"/>
  <c r="Z1168" i="1" s="1"/>
  <c r="Z1169" i="1" s="1"/>
  <c r="Z1170" i="1" s="1"/>
  <c r="Z1171" i="1" s="1"/>
  <c r="Z1172" i="1" s="1"/>
  <c r="Z1173" i="1" s="1"/>
  <c r="Z1174" i="1" s="1"/>
  <c r="Z1175" i="1" s="1"/>
  <c r="Z1176" i="1" s="1"/>
  <c r="Z1177" i="1" s="1"/>
  <c r="Z1178" i="1" s="1"/>
  <c r="Z1179" i="1" s="1"/>
  <c r="Z1180" i="1" s="1"/>
  <c r="Z1181" i="1" s="1"/>
  <c r="Z1182" i="1" s="1"/>
  <c r="Z1183" i="1" s="1"/>
  <c r="Z1184" i="1" s="1"/>
  <c r="Z1185" i="1" s="1"/>
  <c r="Z1186" i="1" s="1"/>
  <c r="Z1187" i="1" s="1"/>
  <c r="Z1188" i="1" s="1"/>
  <c r="Z1189" i="1" s="1"/>
  <c r="Z1190" i="1" s="1"/>
  <c r="Z1191" i="1" s="1"/>
  <c r="Z1192" i="1" s="1"/>
  <c r="Z1193" i="1" s="1"/>
  <c r="Z1194" i="1" s="1"/>
  <c r="Z1195" i="1" s="1"/>
  <c r="Z1196" i="1" s="1"/>
  <c r="Z1197" i="1" s="1"/>
  <c r="Z1198" i="1" s="1"/>
  <c r="Z1199" i="1" s="1"/>
  <c r="Z1200" i="1" s="1"/>
  <c r="Z1201" i="1" s="1"/>
  <c r="Z1202" i="1" s="1"/>
  <c r="Z1203" i="1" s="1"/>
  <c r="Z1204" i="1" s="1"/>
  <c r="Z1205" i="1" s="1"/>
  <c r="Z1206" i="1" s="1"/>
  <c r="Z1207" i="1" s="1"/>
  <c r="Z1208" i="1" s="1"/>
  <c r="Z1209" i="1" s="1"/>
  <c r="Z1210" i="1" s="1"/>
  <c r="Z1211" i="1" s="1"/>
  <c r="Z1212" i="1" s="1"/>
  <c r="Z1213" i="1" s="1"/>
  <c r="Z1214" i="1" s="1"/>
  <c r="Z1215" i="1" s="1"/>
  <c r="Z1216" i="1" s="1"/>
  <c r="Z1217" i="1" s="1"/>
  <c r="Z1218" i="1" s="1"/>
  <c r="Z1219" i="1" s="1"/>
  <c r="Z1220" i="1" s="1"/>
  <c r="Z1221" i="1" s="1"/>
  <c r="Z1222" i="1" s="1"/>
  <c r="Z1223" i="1" s="1"/>
  <c r="Z1224" i="1" s="1"/>
  <c r="Z1225" i="1" s="1"/>
  <c r="Z1226" i="1" s="1"/>
  <c r="Z1227" i="1" s="1"/>
  <c r="Z1228" i="1" s="1"/>
  <c r="Z1229" i="1" s="1"/>
  <c r="Z1230" i="1" s="1"/>
  <c r="Z1231" i="1" s="1"/>
  <c r="Z1232" i="1" s="1"/>
  <c r="Z1233" i="1" s="1"/>
  <c r="Z1234" i="1" s="1"/>
  <c r="Z1235" i="1" s="1"/>
  <c r="Z1236" i="1" s="1"/>
  <c r="Z1237" i="1" s="1"/>
  <c r="Z1238" i="1" s="1"/>
  <c r="Z1239" i="1" s="1"/>
  <c r="Z1240" i="1" s="1"/>
  <c r="Z1241" i="1" s="1"/>
  <c r="Z1242" i="1" s="1"/>
  <c r="Z1243" i="1" s="1"/>
  <c r="Z1244" i="1" s="1"/>
  <c r="Z1245" i="1" s="1"/>
  <c r="Z1246" i="1" s="1"/>
  <c r="Z1247" i="1" s="1"/>
  <c r="Z1248" i="1" s="1"/>
  <c r="Z1249" i="1" s="1"/>
  <c r="Z1250" i="1" s="1"/>
  <c r="Z1251" i="1" s="1"/>
  <c r="Z1252" i="1" s="1"/>
  <c r="Z1253" i="1" s="1"/>
  <c r="Z1254" i="1" s="1"/>
  <c r="Z1255" i="1" s="1"/>
  <c r="Z1256" i="1" s="1"/>
  <c r="Z1257" i="1" s="1"/>
  <c r="U1" i="1"/>
  <c r="X1" i="1"/>
  <c r="V1" i="1"/>
  <c r="W1" i="1"/>
  <c r="Y24" i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Y860" i="1" s="1"/>
  <c r="Y861" i="1" s="1"/>
  <c r="Y862" i="1" s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Y1027" i="1" s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Y1044" i="1" s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Y1117" i="1" s="1"/>
  <c r="Y1118" i="1" s="1"/>
  <c r="Y1119" i="1" s="1"/>
  <c r="Y1120" i="1" s="1"/>
  <c r="Y1121" i="1" s="1"/>
  <c r="Y1122" i="1" s="1"/>
  <c r="Y1123" i="1" s="1"/>
  <c r="Y1124" i="1" s="1"/>
  <c r="Y1125" i="1" s="1"/>
  <c r="Y1126" i="1" s="1"/>
  <c r="Y1127" i="1" s="1"/>
  <c r="Y1128" i="1" s="1"/>
  <c r="Y1129" i="1" s="1"/>
  <c r="Y1130" i="1" s="1"/>
  <c r="Y1131" i="1" s="1"/>
  <c r="Y1132" i="1" s="1"/>
  <c r="Y1133" i="1" s="1"/>
  <c r="Y1134" i="1" s="1"/>
  <c r="Y1135" i="1" s="1"/>
  <c r="Y1136" i="1" s="1"/>
  <c r="Y1137" i="1" s="1"/>
  <c r="Y1138" i="1" s="1"/>
  <c r="Y1139" i="1" s="1"/>
  <c r="Y1140" i="1" s="1"/>
  <c r="Y1141" i="1" s="1"/>
  <c r="Y1142" i="1" s="1"/>
  <c r="Y1143" i="1" s="1"/>
  <c r="Y1144" i="1" s="1"/>
  <c r="Y1145" i="1" s="1"/>
  <c r="Y1146" i="1" s="1"/>
  <c r="Y1147" i="1" s="1"/>
  <c r="Y1148" i="1" s="1"/>
  <c r="Y1149" i="1" s="1"/>
  <c r="Y1150" i="1" s="1"/>
  <c r="Y1151" i="1" s="1"/>
  <c r="Y1152" i="1" s="1"/>
  <c r="Y1153" i="1" s="1"/>
  <c r="Y1154" i="1" s="1"/>
  <c r="Y1155" i="1" s="1"/>
  <c r="Y1156" i="1" s="1"/>
  <c r="Y1157" i="1" s="1"/>
  <c r="Y1158" i="1" s="1"/>
  <c r="Y1159" i="1" s="1"/>
  <c r="Y1160" i="1" s="1"/>
  <c r="Y1161" i="1" s="1"/>
  <c r="Y1162" i="1" s="1"/>
  <c r="Y1163" i="1" s="1"/>
  <c r="Y1164" i="1" s="1"/>
  <c r="Y1165" i="1" s="1"/>
  <c r="Y1166" i="1" s="1"/>
  <c r="Y1167" i="1" s="1"/>
  <c r="Y1168" i="1" s="1"/>
  <c r="Y1169" i="1" s="1"/>
  <c r="Y1170" i="1" s="1"/>
  <c r="Y1171" i="1" s="1"/>
  <c r="Y1172" i="1" s="1"/>
  <c r="Y1173" i="1" s="1"/>
  <c r="Y1174" i="1" s="1"/>
  <c r="Y1175" i="1" s="1"/>
  <c r="Y1176" i="1" s="1"/>
  <c r="Y1177" i="1" s="1"/>
  <c r="Y1178" i="1" s="1"/>
  <c r="Y1179" i="1" s="1"/>
  <c r="Y1180" i="1" s="1"/>
  <c r="Y1181" i="1" s="1"/>
  <c r="Y1182" i="1" s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Y1194" i="1" s="1"/>
  <c r="Y1195" i="1" s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Y1207" i="1" s="1"/>
  <c r="Y1208" i="1" s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Y1220" i="1" s="1"/>
  <c r="Y1221" i="1" s="1"/>
  <c r="Y1222" i="1" s="1"/>
  <c r="Y1223" i="1" s="1"/>
  <c r="Y1224" i="1" s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Y1236" i="1" s="1"/>
  <c r="Y1237" i="1" s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Y1249" i="1" s="1"/>
  <c r="Y1250" i="1" s="1"/>
  <c r="Y1251" i="1" s="1"/>
  <c r="Y1252" i="1" s="1"/>
  <c r="Y1253" i="1" s="1"/>
  <c r="Y1254" i="1" s="1"/>
  <c r="Y1255" i="1" s="1"/>
  <c r="Y1256" i="1" s="1"/>
  <c r="Y1257" i="1" s="1"/>
  <c r="AA83" i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803" i="1" s="1"/>
  <c r="AA804" i="1" s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A824" i="1" s="1"/>
  <c r="AA825" i="1" s="1"/>
  <c r="AA826" i="1" s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A854" i="1" s="1"/>
  <c r="AA855" i="1" s="1"/>
  <c r="AA856" i="1" s="1"/>
  <c r="AA857" i="1" s="1"/>
  <c r="AA858" i="1" s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AA877" i="1" s="1"/>
  <c r="AA878" i="1" s="1"/>
  <c r="AA879" i="1" s="1"/>
  <c r="AA880" i="1" s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AA927" i="1" s="1"/>
  <c r="AA928" i="1" s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AA949" i="1" s="1"/>
  <c r="AA950" i="1" s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AA974" i="1" s="1"/>
  <c r="AA975" i="1" s="1"/>
  <c r="AA976" i="1" s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AA1001" i="1" s="1"/>
  <c r="AA1002" i="1" s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AA1051" i="1" s="1"/>
  <c r="AA1052" i="1" s="1"/>
  <c r="AA1053" i="1" s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AA1077" i="1" s="1"/>
  <c r="AA1078" i="1" s="1"/>
  <c r="AA1079" i="1" s="1"/>
  <c r="AA1080" i="1" s="1"/>
  <c r="AA1081" i="1" s="1"/>
  <c r="AA1082" i="1" s="1"/>
  <c r="AA1083" i="1" s="1"/>
  <c r="AA1084" i="1" s="1"/>
  <c r="AA1085" i="1" s="1"/>
  <c r="AA1086" i="1" s="1"/>
  <c r="AA1087" i="1" s="1"/>
  <c r="AA1088" i="1" s="1"/>
  <c r="AA1089" i="1" s="1"/>
  <c r="AA1090" i="1" s="1"/>
  <c r="AA1091" i="1" s="1"/>
  <c r="AA1092" i="1" s="1"/>
  <c r="AA1093" i="1" s="1"/>
  <c r="AA1094" i="1" s="1"/>
  <c r="AA1095" i="1" s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AA1105" i="1" s="1"/>
  <c r="AA1106" i="1" s="1"/>
  <c r="AA1107" i="1" s="1"/>
  <c r="AA1108" i="1" s="1"/>
  <c r="AA1109" i="1" s="1"/>
  <c r="AA1110" i="1" s="1"/>
  <c r="AA1111" i="1" s="1"/>
  <c r="AA1112" i="1" s="1"/>
  <c r="AA1113" i="1" s="1"/>
  <c r="AA1114" i="1" s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AA1131" i="1" s="1"/>
  <c r="AA1132" i="1" s="1"/>
  <c r="AA1133" i="1" s="1"/>
  <c r="AA1134" i="1" s="1"/>
  <c r="AA1135" i="1" s="1"/>
  <c r="AA1136" i="1" s="1"/>
  <c r="AA1137" i="1" s="1"/>
  <c r="AA1138" i="1" s="1"/>
  <c r="AA1139" i="1" s="1"/>
  <c r="AA1140" i="1" s="1"/>
  <c r="AA1141" i="1" s="1"/>
  <c r="AA1142" i="1" s="1"/>
  <c r="AA1143" i="1" s="1"/>
  <c r="AA1144" i="1" s="1"/>
  <c r="AA1145" i="1" s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AA1161" i="1" s="1"/>
  <c r="AA1162" i="1" s="1"/>
  <c r="AA1163" i="1" s="1"/>
  <c r="AA1164" i="1" s="1"/>
  <c r="AA1165" i="1" s="1"/>
  <c r="AA1166" i="1" s="1"/>
  <c r="AA1167" i="1" s="1"/>
  <c r="AA1168" i="1" s="1"/>
  <c r="AA1169" i="1" s="1"/>
  <c r="AA1170" i="1" s="1"/>
  <c r="AA1171" i="1" s="1"/>
  <c r="AA1172" i="1" s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AA1190" i="1" s="1"/>
  <c r="AA1191" i="1" s="1"/>
  <c r="AA1192" i="1" s="1"/>
  <c r="AA1193" i="1" s="1"/>
  <c r="AA1194" i="1" s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207" i="1" s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AA1249" i="1" s="1"/>
  <c r="AA1250" i="1" s="1"/>
  <c r="AA1251" i="1" s="1"/>
  <c r="AA1252" i="1" s="1"/>
  <c r="AA1253" i="1" s="1"/>
  <c r="AA1254" i="1" s="1"/>
  <c r="AA1255" i="1" s="1"/>
  <c r="AA1256" i="1" s="1"/>
  <c r="AA1257" i="1" s="1"/>
  <c r="AB207" i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B504" i="1" s="1"/>
  <c r="AB505" i="1" s="1"/>
  <c r="AB506" i="1" s="1"/>
  <c r="AB507" i="1" s="1"/>
  <c r="AB508" i="1" s="1"/>
  <c r="AB509" i="1" s="1"/>
  <c r="AB510" i="1" s="1"/>
  <c r="AB511" i="1" s="1"/>
  <c r="AB512" i="1" s="1"/>
  <c r="AB513" i="1" s="1"/>
  <c r="AB514" i="1" s="1"/>
  <c r="AB515" i="1" s="1"/>
  <c r="AB516" i="1" s="1"/>
  <c r="AB517" i="1" s="1"/>
  <c r="AB518" i="1" s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AB600" i="1" s="1"/>
  <c r="AB601" i="1" s="1"/>
  <c r="AB602" i="1" s="1"/>
  <c r="AB603" i="1" s="1"/>
  <c r="AB604" i="1" s="1"/>
  <c r="AB605" i="1" s="1"/>
  <c r="AB606" i="1" s="1"/>
  <c r="AB607" i="1" s="1"/>
  <c r="AB608" i="1" s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45" i="1" s="1"/>
  <c r="AB646" i="1" s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B663" i="1" s="1"/>
  <c r="AB664" i="1" s="1"/>
  <c r="AB665" i="1" s="1"/>
  <c r="AB666" i="1" s="1"/>
  <c r="AB667" i="1" s="1"/>
  <c r="AB668" i="1" s="1"/>
  <c r="AB669" i="1" s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AB681" i="1" s="1"/>
  <c r="AB682" i="1" s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B702" i="1" s="1"/>
  <c r="AB703" i="1" s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B725" i="1" s="1"/>
  <c r="AB726" i="1" s="1"/>
  <c r="AB727" i="1" s="1"/>
  <c r="AB728" i="1" s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AB748" i="1" s="1"/>
  <c r="AB749" i="1" s="1"/>
  <c r="AB750" i="1" s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B762" i="1" s="1"/>
  <c r="AB763" i="1" s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B778" i="1" s="1"/>
  <c r="AB779" i="1" s="1"/>
  <c r="AB780" i="1" s="1"/>
  <c r="AB781" i="1" s="1"/>
  <c r="AB782" i="1" s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AB797" i="1" s="1"/>
  <c r="AB798" i="1" s="1"/>
  <c r="AB799" i="1" s="1"/>
  <c r="AB800" i="1" s="1"/>
  <c r="AB801" i="1" s="1"/>
  <c r="AB802" i="1" s="1"/>
  <c r="AB803" i="1" s="1"/>
  <c r="AB804" i="1" s="1"/>
  <c r="AB805" i="1" s="1"/>
  <c r="AB806" i="1" s="1"/>
  <c r="AB807" i="1" s="1"/>
  <c r="AB808" i="1" s="1"/>
  <c r="AB809" i="1" s="1"/>
  <c r="AB810" i="1" s="1"/>
  <c r="AB811" i="1" s="1"/>
  <c r="AB812" i="1" s="1"/>
  <c r="AB813" i="1" s="1"/>
  <c r="AB814" i="1" s="1"/>
  <c r="AB815" i="1" s="1"/>
  <c r="AB816" i="1" s="1"/>
  <c r="AB817" i="1" s="1"/>
  <c r="AB818" i="1" s="1"/>
  <c r="AB819" i="1" s="1"/>
  <c r="AB820" i="1" s="1"/>
  <c r="AB821" i="1" s="1"/>
  <c r="AB822" i="1" s="1"/>
  <c r="AB823" i="1" s="1"/>
  <c r="AB824" i="1" s="1"/>
  <c r="AB825" i="1" s="1"/>
  <c r="AB826" i="1" s="1"/>
  <c r="AB827" i="1" s="1"/>
  <c r="AB828" i="1" s="1"/>
  <c r="AB829" i="1" s="1"/>
  <c r="AB830" i="1" s="1"/>
  <c r="AB831" i="1" s="1"/>
  <c r="AB832" i="1" s="1"/>
  <c r="AB833" i="1" s="1"/>
  <c r="AB834" i="1" s="1"/>
  <c r="AB835" i="1" s="1"/>
  <c r="AB836" i="1" s="1"/>
  <c r="AB837" i="1" s="1"/>
  <c r="AB838" i="1" s="1"/>
  <c r="AB839" i="1" s="1"/>
  <c r="AB840" i="1" s="1"/>
  <c r="AB841" i="1" s="1"/>
  <c r="AB842" i="1" s="1"/>
  <c r="AB843" i="1" s="1"/>
  <c r="AB844" i="1" s="1"/>
  <c r="AB845" i="1" s="1"/>
  <c r="AB846" i="1" s="1"/>
  <c r="AB847" i="1" s="1"/>
  <c r="AB848" i="1" s="1"/>
  <c r="AB849" i="1" s="1"/>
  <c r="AB850" i="1" s="1"/>
  <c r="AB851" i="1" s="1"/>
  <c r="AB852" i="1" s="1"/>
  <c r="AB853" i="1" s="1"/>
  <c r="AB854" i="1" s="1"/>
  <c r="AB855" i="1" s="1"/>
  <c r="AB856" i="1" s="1"/>
  <c r="AB857" i="1" s="1"/>
  <c r="AB858" i="1" s="1"/>
  <c r="AB859" i="1" s="1"/>
  <c r="AB860" i="1" s="1"/>
  <c r="AB861" i="1" s="1"/>
  <c r="AB862" i="1" s="1"/>
  <c r="AB863" i="1" s="1"/>
  <c r="AB864" i="1" s="1"/>
  <c r="AB865" i="1" s="1"/>
  <c r="AB866" i="1" s="1"/>
  <c r="AB867" i="1" s="1"/>
  <c r="AB868" i="1" s="1"/>
  <c r="AB869" i="1" s="1"/>
  <c r="AB870" i="1" s="1"/>
  <c r="AB871" i="1" s="1"/>
  <c r="AB872" i="1" s="1"/>
  <c r="AB873" i="1" s="1"/>
  <c r="AB874" i="1" s="1"/>
  <c r="AB875" i="1" s="1"/>
  <c r="AB876" i="1" s="1"/>
  <c r="AB877" i="1" s="1"/>
  <c r="AB878" i="1" s="1"/>
  <c r="AB879" i="1" s="1"/>
  <c r="AB880" i="1" s="1"/>
  <c r="AB881" i="1" s="1"/>
  <c r="AB882" i="1" s="1"/>
  <c r="AB883" i="1" s="1"/>
  <c r="AB884" i="1" s="1"/>
  <c r="AB885" i="1" s="1"/>
  <c r="AB886" i="1" s="1"/>
  <c r="AB887" i="1" s="1"/>
  <c r="AB888" i="1" s="1"/>
  <c r="AB889" i="1" s="1"/>
  <c r="AB890" i="1" s="1"/>
  <c r="AB891" i="1" s="1"/>
  <c r="AB892" i="1" s="1"/>
  <c r="AB893" i="1" s="1"/>
  <c r="AB894" i="1" s="1"/>
  <c r="AB895" i="1" s="1"/>
  <c r="AB896" i="1" s="1"/>
  <c r="AB897" i="1" s="1"/>
  <c r="AB898" i="1" s="1"/>
  <c r="AB899" i="1" s="1"/>
  <c r="AB900" i="1" s="1"/>
  <c r="AB901" i="1" s="1"/>
  <c r="AB902" i="1" s="1"/>
  <c r="AB903" i="1" s="1"/>
  <c r="AB904" i="1" s="1"/>
  <c r="AB905" i="1" s="1"/>
  <c r="AB906" i="1" s="1"/>
  <c r="AB907" i="1" s="1"/>
  <c r="AB908" i="1" s="1"/>
  <c r="AB909" i="1" s="1"/>
  <c r="AB910" i="1" s="1"/>
  <c r="AB911" i="1" s="1"/>
  <c r="AB912" i="1" s="1"/>
  <c r="AB913" i="1" s="1"/>
  <c r="AB914" i="1" s="1"/>
  <c r="AB915" i="1" s="1"/>
  <c r="AB916" i="1" s="1"/>
  <c r="AB917" i="1" s="1"/>
  <c r="AB918" i="1" s="1"/>
  <c r="AB919" i="1" s="1"/>
  <c r="AB920" i="1" s="1"/>
  <c r="AB921" i="1" s="1"/>
  <c r="AB922" i="1" s="1"/>
  <c r="AB923" i="1" s="1"/>
  <c r="AB924" i="1" s="1"/>
  <c r="AB925" i="1" s="1"/>
  <c r="AB926" i="1" s="1"/>
  <c r="AB927" i="1" s="1"/>
  <c r="AB928" i="1" s="1"/>
  <c r="AB929" i="1" s="1"/>
  <c r="AB930" i="1" s="1"/>
  <c r="AB931" i="1" s="1"/>
  <c r="AB932" i="1" s="1"/>
  <c r="AB933" i="1" s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B949" i="1" s="1"/>
  <c r="AB950" i="1" s="1"/>
  <c r="AB951" i="1" s="1"/>
  <c r="AB952" i="1" s="1"/>
  <c r="AB953" i="1" s="1"/>
  <c r="AB954" i="1" s="1"/>
  <c r="AB955" i="1" s="1"/>
  <c r="AB956" i="1" s="1"/>
  <c r="AB957" i="1" s="1"/>
  <c r="AB958" i="1" s="1"/>
  <c r="AB959" i="1" s="1"/>
  <c r="AB960" i="1" s="1"/>
  <c r="AB961" i="1" s="1"/>
  <c r="AB962" i="1" s="1"/>
  <c r="AB963" i="1" s="1"/>
  <c r="AB964" i="1" s="1"/>
  <c r="AB965" i="1" s="1"/>
  <c r="AB966" i="1" s="1"/>
  <c r="AB967" i="1" s="1"/>
  <c r="AB968" i="1" s="1"/>
  <c r="AB969" i="1" s="1"/>
  <c r="AB970" i="1" s="1"/>
  <c r="AB971" i="1" s="1"/>
  <c r="AB972" i="1" s="1"/>
  <c r="AB973" i="1" s="1"/>
  <c r="AB974" i="1" s="1"/>
  <c r="AB975" i="1" s="1"/>
  <c r="AB976" i="1" s="1"/>
  <c r="AB977" i="1" s="1"/>
  <c r="AB978" i="1" s="1"/>
  <c r="AB979" i="1" s="1"/>
  <c r="AB980" i="1" s="1"/>
  <c r="AB981" i="1" s="1"/>
  <c r="AB982" i="1" s="1"/>
  <c r="AB983" i="1" s="1"/>
  <c r="AB984" i="1" s="1"/>
  <c r="AB985" i="1" s="1"/>
  <c r="AB986" i="1" s="1"/>
  <c r="AB987" i="1" s="1"/>
  <c r="AB988" i="1" s="1"/>
  <c r="AB989" i="1" s="1"/>
  <c r="AB990" i="1" s="1"/>
  <c r="AB991" i="1" s="1"/>
  <c r="AB992" i="1" s="1"/>
  <c r="AB993" i="1" s="1"/>
  <c r="AB994" i="1" s="1"/>
  <c r="AB995" i="1" s="1"/>
  <c r="AB996" i="1" s="1"/>
  <c r="AB997" i="1" s="1"/>
  <c r="AB998" i="1" s="1"/>
  <c r="AB999" i="1" s="1"/>
  <c r="AB1000" i="1" s="1"/>
  <c r="AB1001" i="1" s="1"/>
  <c r="AB1002" i="1" s="1"/>
  <c r="AB1003" i="1" s="1"/>
  <c r="AB1004" i="1" s="1"/>
  <c r="AB1005" i="1" s="1"/>
  <c r="AB1006" i="1" s="1"/>
  <c r="AB1007" i="1" s="1"/>
  <c r="AB1008" i="1" s="1"/>
  <c r="AB1009" i="1" s="1"/>
  <c r="AB1010" i="1" s="1"/>
  <c r="AB1011" i="1" s="1"/>
  <c r="AB1012" i="1" s="1"/>
  <c r="AB1013" i="1" s="1"/>
  <c r="AB1014" i="1" s="1"/>
  <c r="AB1015" i="1" s="1"/>
  <c r="AB1016" i="1" s="1"/>
  <c r="AB1017" i="1" s="1"/>
  <c r="AB1018" i="1" s="1"/>
  <c r="AB1019" i="1" s="1"/>
  <c r="AB1020" i="1" s="1"/>
  <c r="AB1021" i="1" s="1"/>
  <c r="AB1022" i="1" s="1"/>
  <c r="AB1023" i="1" s="1"/>
  <c r="AB1024" i="1" s="1"/>
  <c r="AB1025" i="1" s="1"/>
  <c r="AB1026" i="1" s="1"/>
  <c r="AB1027" i="1" s="1"/>
  <c r="AB1028" i="1" s="1"/>
  <c r="AB1029" i="1" s="1"/>
  <c r="AB1030" i="1" s="1"/>
  <c r="AB1031" i="1" s="1"/>
  <c r="AB1032" i="1" s="1"/>
  <c r="AB1033" i="1" s="1"/>
  <c r="AB1034" i="1" s="1"/>
  <c r="AB1035" i="1" s="1"/>
  <c r="AB1036" i="1" s="1"/>
  <c r="AB1037" i="1" s="1"/>
  <c r="AB1038" i="1" s="1"/>
  <c r="AB1039" i="1" s="1"/>
  <c r="AB1040" i="1" s="1"/>
  <c r="AB1041" i="1" s="1"/>
  <c r="AB1042" i="1" s="1"/>
  <c r="AB1043" i="1" s="1"/>
  <c r="AB1044" i="1" s="1"/>
  <c r="AB1045" i="1" s="1"/>
  <c r="AB1046" i="1" s="1"/>
  <c r="AB1047" i="1" s="1"/>
  <c r="AB1048" i="1" s="1"/>
  <c r="AB1049" i="1" s="1"/>
  <c r="AB1050" i="1" s="1"/>
  <c r="AB1051" i="1" s="1"/>
  <c r="AB1052" i="1" s="1"/>
  <c r="AB1053" i="1" s="1"/>
  <c r="AB1054" i="1" s="1"/>
  <c r="AB1055" i="1" s="1"/>
  <c r="AB1056" i="1" s="1"/>
  <c r="AB1057" i="1" s="1"/>
  <c r="AB1058" i="1" s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B1070" i="1" s="1"/>
  <c r="AB1071" i="1" s="1"/>
  <c r="AB1072" i="1" s="1"/>
  <c r="AB1073" i="1" s="1"/>
  <c r="AB1074" i="1" s="1"/>
  <c r="AB1075" i="1" s="1"/>
  <c r="AB1076" i="1" s="1"/>
  <c r="AB1077" i="1" s="1"/>
  <c r="AB1078" i="1" s="1"/>
  <c r="AB1079" i="1" s="1"/>
  <c r="AB1080" i="1" s="1"/>
  <c r="AB1081" i="1" s="1"/>
  <c r="AB1082" i="1" s="1"/>
  <c r="AB1083" i="1" s="1"/>
  <c r="AB1084" i="1" s="1"/>
  <c r="AB1085" i="1" s="1"/>
  <c r="AB1086" i="1" s="1"/>
  <c r="AB1087" i="1" s="1"/>
  <c r="AB1088" i="1" s="1"/>
  <c r="AB1089" i="1" s="1"/>
  <c r="AB1090" i="1" s="1"/>
  <c r="AB1091" i="1" s="1"/>
  <c r="AB1092" i="1" s="1"/>
  <c r="AB1093" i="1" s="1"/>
  <c r="AB1094" i="1" s="1"/>
  <c r="AB1095" i="1" s="1"/>
  <c r="AB1096" i="1" s="1"/>
  <c r="AB1097" i="1" s="1"/>
  <c r="AB1098" i="1" s="1"/>
  <c r="AB1099" i="1" s="1"/>
  <c r="AB1100" i="1" s="1"/>
  <c r="AB1101" i="1" s="1"/>
  <c r="AB1102" i="1" s="1"/>
  <c r="AB1103" i="1" s="1"/>
  <c r="AB1104" i="1" s="1"/>
  <c r="AB1105" i="1" s="1"/>
  <c r="AB1106" i="1" s="1"/>
  <c r="AB1107" i="1" s="1"/>
  <c r="AB1108" i="1" s="1"/>
  <c r="AB1109" i="1" s="1"/>
  <c r="AB1110" i="1" s="1"/>
  <c r="AB1111" i="1" s="1"/>
  <c r="AB1112" i="1" s="1"/>
  <c r="AB1113" i="1" s="1"/>
  <c r="AB1114" i="1" s="1"/>
  <c r="AB1115" i="1" s="1"/>
  <c r="AB1116" i="1" s="1"/>
  <c r="AB1117" i="1" s="1"/>
  <c r="AB1118" i="1" s="1"/>
  <c r="AB1119" i="1" s="1"/>
  <c r="AB1120" i="1" s="1"/>
  <c r="AB1121" i="1" s="1"/>
  <c r="AB1122" i="1" s="1"/>
  <c r="AB1123" i="1" s="1"/>
  <c r="AB1124" i="1" s="1"/>
  <c r="AB1125" i="1" s="1"/>
  <c r="AB1126" i="1" s="1"/>
  <c r="AB1127" i="1" s="1"/>
  <c r="AB1128" i="1" s="1"/>
  <c r="AB1129" i="1" s="1"/>
  <c r="AB1130" i="1" s="1"/>
  <c r="AB1131" i="1" s="1"/>
  <c r="AB1132" i="1" s="1"/>
  <c r="AB1133" i="1" s="1"/>
  <c r="AB1134" i="1" s="1"/>
  <c r="AB1135" i="1" s="1"/>
  <c r="AB1136" i="1" s="1"/>
  <c r="AB1137" i="1" s="1"/>
  <c r="AB1138" i="1" s="1"/>
  <c r="AB1139" i="1" s="1"/>
  <c r="AB1140" i="1" s="1"/>
  <c r="AB1141" i="1" s="1"/>
  <c r="AB1142" i="1" s="1"/>
  <c r="AB1143" i="1" s="1"/>
  <c r="AB1144" i="1" s="1"/>
  <c r="AB1145" i="1" s="1"/>
  <c r="AB1146" i="1" s="1"/>
  <c r="AB1147" i="1" s="1"/>
  <c r="AB1148" i="1" s="1"/>
  <c r="AB1149" i="1" s="1"/>
  <c r="AB1150" i="1" s="1"/>
  <c r="AB1151" i="1" s="1"/>
  <c r="AB1152" i="1" s="1"/>
  <c r="AB1153" i="1" s="1"/>
  <c r="AB1154" i="1" s="1"/>
  <c r="AB1155" i="1" s="1"/>
  <c r="AB1156" i="1" s="1"/>
  <c r="AB1157" i="1" s="1"/>
  <c r="AB1158" i="1" s="1"/>
  <c r="AB1159" i="1" s="1"/>
  <c r="AB1160" i="1" s="1"/>
  <c r="AB1161" i="1" s="1"/>
  <c r="AB1162" i="1" s="1"/>
  <c r="AB1163" i="1" s="1"/>
  <c r="AB1164" i="1" s="1"/>
  <c r="AB1165" i="1" s="1"/>
  <c r="AB1166" i="1" s="1"/>
  <c r="AB1167" i="1" s="1"/>
  <c r="AB1168" i="1" s="1"/>
  <c r="AB1169" i="1" s="1"/>
  <c r="AB1170" i="1" s="1"/>
  <c r="AB1171" i="1" s="1"/>
  <c r="AB1172" i="1" s="1"/>
  <c r="AB1173" i="1" s="1"/>
  <c r="AB1174" i="1" s="1"/>
  <c r="AB1175" i="1" s="1"/>
  <c r="AB1176" i="1" s="1"/>
  <c r="AB1177" i="1" s="1"/>
  <c r="AB1178" i="1" s="1"/>
  <c r="AB1179" i="1" s="1"/>
  <c r="AB1180" i="1" s="1"/>
  <c r="AB1181" i="1" s="1"/>
  <c r="AB1182" i="1" s="1"/>
  <c r="AB1183" i="1" s="1"/>
  <c r="AB1184" i="1" s="1"/>
  <c r="AB1185" i="1" s="1"/>
  <c r="AB1186" i="1" s="1"/>
  <c r="AB1187" i="1" s="1"/>
  <c r="AB1188" i="1" s="1"/>
  <c r="AB1189" i="1" s="1"/>
  <c r="AB1190" i="1" s="1"/>
  <c r="AB1191" i="1" s="1"/>
  <c r="AB1192" i="1" s="1"/>
  <c r="AB1193" i="1" s="1"/>
  <c r="AB1194" i="1" s="1"/>
  <c r="AB1195" i="1" s="1"/>
  <c r="AB1196" i="1" s="1"/>
  <c r="AB1197" i="1" s="1"/>
  <c r="AB1198" i="1" s="1"/>
  <c r="AB1199" i="1" s="1"/>
  <c r="AB1200" i="1" s="1"/>
  <c r="AB1201" i="1" s="1"/>
  <c r="AB1202" i="1" s="1"/>
  <c r="AB1203" i="1" s="1"/>
  <c r="AB1204" i="1" s="1"/>
  <c r="AB1205" i="1" s="1"/>
  <c r="AB1206" i="1" s="1"/>
  <c r="AB1207" i="1" s="1"/>
  <c r="AB1208" i="1" s="1"/>
  <c r="AB1209" i="1" s="1"/>
  <c r="AB1210" i="1" s="1"/>
  <c r="AB1211" i="1" s="1"/>
  <c r="AB1212" i="1" s="1"/>
  <c r="AB1213" i="1" s="1"/>
  <c r="AB1214" i="1" s="1"/>
  <c r="AB1215" i="1" s="1"/>
  <c r="AB1216" i="1" s="1"/>
  <c r="AB1217" i="1" s="1"/>
  <c r="AB1218" i="1" s="1"/>
  <c r="AB1219" i="1" s="1"/>
  <c r="AB1220" i="1" s="1"/>
  <c r="AB1221" i="1" s="1"/>
  <c r="AB1222" i="1" s="1"/>
  <c r="AB1223" i="1" s="1"/>
  <c r="AB1224" i="1" s="1"/>
  <c r="AB1225" i="1" s="1"/>
  <c r="AB1226" i="1" s="1"/>
  <c r="AB1227" i="1" s="1"/>
  <c r="AB1228" i="1" s="1"/>
  <c r="AB1229" i="1" s="1"/>
  <c r="AB1230" i="1" s="1"/>
  <c r="AB1231" i="1" s="1"/>
  <c r="AB1232" i="1" s="1"/>
  <c r="AB1233" i="1" s="1"/>
  <c r="AB1234" i="1" s="1"/>
  <c r="AB1235" i="1" s="1"/>
  <c r="AB1236" i="1" s="1"/>
  <c r="AB1237" i="1" s="1"/>
  <c r="AB1238" i="1" s="1"/>
  <c r="AB1239" i="1" s="1"/>
  <c r="AB1240" i="1" s="1"/>
  <c r="AB1241" i="1" s="1"/>
  <c r="AB1242" i="1" s="1"/>
  <c r="AB1243" i="1" s="1"/>
  <c r="AB1244" i="1" s="1"/>
  <c r="AB1245" i="1" s="1"/>
  <c r="AB1246" i="1" s="1"/>
  <c r="AB1247" i="1" s="1"/>
  <c r="AB1248" i="1" s="1"/>
  <c r="AB1249" i="1" s="1"/>
  <c r="AB1250" i="1" s="1"/>
  <c r="AB1251" i="1" s="1"/>
  <c r="AB1252" i="1" s="1"/>
  <c r="AB1253" i="1" s="1"/>
  <c r="AB1254" i="1" s="1"/>
  <c r="AB1255" i="1" s="1"/>
  <c r="AB1256" i="1" s="1"/>
  <c r="AB1257" i="1" s="1"/>
  <c r="AF12" i="1" l="1"/>
</calcChain>
</file>

<file path=xl/sharedStrings.xml><?xml version="1.0" encoding="utf-8"?>
<sst xmlns="http://schemas.openxmlformats.org/spreadsheetml/2006/main" count="1136" uniqueCount="17">
  <si>
    <t>date</t>
  </si>
  <si>
    <t>RSP</t>
  </si>
  <si>
    <t>SPY</t>
  </si>
  <si>
    <t>RSP chg</t>
  </si>
  <si>
    <t>SPY chg</t>
  </si>
  <si>
    <t>RSP/unit</t>
  </si>
  <si>
    <t>SPY/unit</t>
  </si>
  <si>
    <t>Daily PnL</t>
  </si>
  <si>
    <t>Moving Averages</t>
  </si>
  <si>
    <t>Over/Under</t>
  </si>
  <si>
    <t>PnLs</t>
  </si>
  <si>
    <t>x</t>
  </si>
  <si>
    <t>CUM</t>
  </si>
  <si>
    <t>ST DEV</t>
  </si>
  <si>
    <t>OVER</t>
  </si>
  <si>
    <t>UNDER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</si>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</sst>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4" fontId="0" fillId="0" borderId="0" xfId="2" applyFont="1"/>
    <xf numFmtId="43" fontId="0" fillId="0" borderId="0" xfId="1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4" fontId="0" fillId="0" borderId="0" xfId="0" applyNumberFormat="1"/>
    <xf numFmtId="169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'SPY vs RSP'!$Y$2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RSP'!$Y$3:$Y$1257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_(&quot;$&quot;* #,##0.00_);_(&quot;$&quot;* \(#,##0.00\);_(&quot;$&quot;* &quot;-&quot;??_);_(@_)">
                  <c:v>0</c:v>
                </c:pt>
                <c:pt idx="10" formatCode="_(&quot;$&quot;* #,##0.00_);_(&quot;$&quot;* \(#,##0.00\);_(&quot;$&quot;* &quot;-&quot;??_);_(@_)">
                  <c:v>129.82564201124012</c:v>
                </c:pt>
                <c:pt idx="11" formatCode="_(&quot;$&quot;* #,##0.00_);_(&quot;$&quot;* \(#,##0.00\);_(&quot;$&quot;* &quot;-&quot;??_);_(@_)">
                  <c:v>-119.14421522711984</c:v>
                </c:pt>
                <c:pt idx="12" formatCode="_(&quot;$&quot;* #,##0.00_);_(&quot;$&quot;* \(#,##0.00\);_(&quot;$&quot;* &quot;-&quot;??_);_(@_)">
                  <c:v>-437.82952150845199</c:v>
                </c:pt>
                <c:pt idx="13" formatCode="_(&quot;$&quot;* #,##0.00_);_(&quot;$&quot;* \(#,##0.00\);_(&quot;$&quot;* &quot;-&quot;??_);_(@_)">
                  <c:v>-533.54011399288765</c:v>
                </c:pt>
                <c:pt idx="14" formatCode="_(&quot;$&quot;* #,##0.00_);_(&quot;$&quot;* \(#,##0.00\);_(&quot;$&quot;* &quot;-&quot;??_);_(@_)">
                  <c:v>-355.97859032514452</c:v>
                </c:pt>
                <c:pt idx="15" formatCode="_(&quot;$&quot;* #,##0.00_);_(&quot;$&quot;* \(#,##0.00\);_(&quot;$&quot;* &quot;-&quot;??_);_(@_)">
                  <c:v>-942.64281507735916</c:v>
                </c:pt>
                <c:pt idx="16" formatCode="_(&quot;$&quot;* #,##0.00_);_(&quot;$&quot;* \(#,##0.00\);_(&quot;$&quot;* &quot;-&quot;??_);_(@_)">
                  <c:v>-1071.6073404887868</c:v>
                </c:pt>
                <c:pt idx="17" formatCode="_(&quot;$&quot;* #,##0.00_);_(&quot;$&quot;* \(#,##0.00\);_(&quot;$&quot;* &quot;-&quot;??_);_(@_)">
                  <c:v>-1037.6521152759215</c:v>
                </c:pt>
                <c:pt idx="18" formatCode="_(&quot;$&quot;* #,##0.00_);_(&quot;$&quot;* \(#,##0.00\);_(&quot;$&quot;* &quot;-&quot;??_);_(@_)">
                  <c:v>-1408.0466963579634</c:v>
                </c:pt>
                <c:pt idx="19" formatCode="_(&quot;$&quot;* #,##0.00_);_(&quot;$&quot;* \(#,##0.00\);_(&quot;$&quot;* &quot;-&quot;??_);_(@_)">
                  <c:v>-1707.8101506712003</c:v>
                </c:pt>
                <c:pt idx="20" formatCode="_(&quot;$&quot;* #,##0.00_);_(&quot;$&quot;* \(#,##0.00\);_(&quot;$&quot;* &quot;-&quot;??_);_(@_)">
                  <c:v>-1230.3297543835122</c:v>
                </c:pt>
                <c:pt idx="21" formatCode="_(&quot;$&quot;* #,##0.00_);_(&quot;$&quot;* \(#,##0.00\);_(&quot;$&quot;* &quot;-&quot;??_);_(@_)">
                  <c:v>-1287.8769703453765</c:v>
                </c:pt>
                <c:pt idx="22" formatCode="_(&quot;$&quot;* #,##0.00_);_(&quot;$&quot;* \(#,##0.00\);_(&quot;$&quot;* &quot;-&quot;??_);_(@_)">
                  <c:v>-1432.8875010464171</c:v>
                </c:pt>
                <c:pt idx="23" formatCode="_(&quot;$&quot;* #,##0.00_);_(&quot;$&quot;* \(#,##0.00\);_(&quot;$&quot;* &quot;-&quot;??_);_(@_)">
                  <c:v>-1563.4041562744528</c:v>
                </c:pt>
                <c:pt idx="24" formatCode="_(&quot;$&quot;* #,##0.00_);_(&quot;$&quot;* \(#,##0.00\);_(&quot;$&quot;* &quot;-&quot;??_);_(@_)">
                  <c:v>-1586.680081315154</c:v>
                </c:pt>
                <c:pt idx="25" formatCode="_(&quot;$&quot;* #,##0.00_);_(&quot;$&quot;* \(#,##0.00\);_(&quot;$&quot;* &quot;-&quot;??_);_(@_)">
                  <c:v>-1759.2738452027543</c:v>
                </c:pt>
                <c:pt idx="26" formatCode="_(&quot;$&quot;* #,##0.00_);_(&quot;$&quot;* \(#,##0.00\);_(&quot;$&quot;* &quot;-&quot;??_);_(@_)">
                  <c:v>-1810.9260286743802</c:v>
                </c:pt>
                <c:pt idx="27" formatCode="_(&quot;$&quot;* #,##0.00_);_(&quot;$&quot;* \(#,##0.00\);_(&quot;$&quot;* &quot;-&quot;??_);_(@_)">
                  <c:v>-1781.991034254934</c:v>
                </c:pt>
                <c:pt idx="28" formatCode="_(&quot;$&quot;* #,##0.00_);_(&quot;$&quot;* \(#,##0.00\);_(&quot;$&quot;* &quot;-&quot;??_);_(@_)">
                  <c:v>-2185.0798073336346</c:v>
                </c:pt>
                <c:pt idx="29" formatCode="_(&quot;$&quot;* #,##0.00_);_(&quot;$&quot;* \(#,##0.00\);_(&quot;$&quot;* &quot;-&quot;??_);_(@_)">
                  <c:v>-2386.4504402885605</c:v>
                </c:pt>
                <c:pt idx="30" formatCode="_(&quot;$&quot;* #,##0.00_);_(&quot;$&quot;* \(#,##0.00\);_(&quot;$&quot;* &quot;-&quot;??_);_(@_)">
                  <c:v>-2651.5576180985672</c:v>
                </c:pt>
                <c:pt idx="31" formatCode="_(&quot;$&quot;* #,##0.00_);_(&quot;$&quot;* \(#,##0.00\);_(&quot;$&quot;* &quot;-&quot;??_);_(@_)">
                  <c:v>-2798.7660713971154</c:v>
                </c:pt>
                <c:pt idx="32" formatCode="_(&quot;$&quot;* #,##0.00_);_(&quot;$&quot;* \(#,##0.00\);_(&quot;$&quot;* &quot;-&quot;??_);_(@_)">
                  <c:v>-3050.8554544331228</c:v>
                </c:pt>
                <c:pt idx="33" formatCode="_(&quot;$&quot;* #,##0.00_);_(&quot;$&quot;* \(#,##0.00\);_(&quot;$&quot;* &quot;-&quot;??_);_(@_)">
                  <c:v>-3046.2370983284018</c:v>
                </c:pt>
                <c:pt idx="34" formatCode="_(&quot;$&quot;* #,##0.00_);_(&quot;$&quot;* \(#,##0.00\);_(&quot;$&quot;* &quot;-&quot;??_);_(@_)">
                  <c:v>-2428.543590415693</c:v>
                </c:pt>
                <c:pt idx="35" formatCode="_(&quot;$&quot;* #,##0.00_);_(&quot;$&quot;* \(#,##0.00\);_(&quot;$&quot;* &quot;-&quot;??_);_(@_)">
                  <c:v>-1910.3485384125484</c:v>
                </c:pt>
                <c:pt idx="36" formatCode="_(&quot;$&quot;* #,##0.00_);_(&quot;$&quot;* \(#,##0.00\);_(&quot;$&quot;* &quot;-&quot;??_);_(@_)">
                  <c:v>-1861.5546282012378</c:v>
                </c:pt>
                <c:pt idx="37" formatCode="_(&quot;$&quot;* #,##0.00_);_(&quot;$&quot;* \(#,##0.00\);_(&quot;$&quot;* &quot;-&quot;??_);_(@_)">
                  <c:v>-2287.058080967181</c:v>
                </c:pt>
                <c:pt idx="38" formatCode="_(&quot;$&quot;* #,##0.00_);_(&quot;$&quot;* \(#,##0.00\);_(&quot;$&quot;* &quot;-&quot;??_);_(@_)">
                  <c:v>-2127.1968311152732</c:v>
                </c:pt>
                <c:pt idx="39" formatCode="_(&quot;$&quot;* #,##0.00_);_(&quot;$&quot;* \(#,##0.00\);_(&quot;$&quot;* &quot;-&quot;??_);_(@_)">
                  <c:v>-1469.83186640433</c:v>
                </c:pt>
                <c:pt idx="40" formatCode="_(&quot;$&quot;* #,##0.00_);_(&quot;$&quot;* \(#,##0.00\);_(&quot;$&quot;* &quot;-&quot;??_);_(@_)">
                  <c:v>-1794.5314167739029</c:v>
                </c:pt>
                <c:pt idx="41" formatCode="_(&quot;$&quot;* #,##0.00_);_(&quot;$&quot;* \(#,##0.00\);_(&quot;$&quot;* &quot;-&quot;??_);_(@_)">
                  <c:v>-2071.9455596516177</c:v>
                </c:pt>
                <c:pt idx="42" formatCode="_(&quot;$&quot;* #,##0.00_);_(&quot;$&quot;* \(#,##0.00\);_(&quot;$&quot;* &quot;-&quot;??_);_(@_)">
                  <c:v>-2088.7760420363416</c:v>
                </c:pt>
                <c:pt idx="43" formatCode="_(&quot;$&quot;* #,##0.00_);_(&quot;$&quot;* \(#,##0.00\);_(&quot;$&quot;* &quot;-&quot;??_);_(@_)">
                  <c:v>-2140.9912676655254</c:v>
                </c:pt>
                <c:pt idx="44" formatCode="_(&quot;$&quot;* #,##0.00_);_(&quot;$&quot;* \(#,##0.00\);_(&quot;$&quot;* &quot;-&quot;??_);_(@_)">
                  <c:v>-2316.3059617824483</c:v>
                </c:pt>
                <c:pt idx="45" formatCode="_(&quot;$&quot;* #,##0.00_);_(&quot;$&quot;* \(#,##0.00\);_(&quot;$&quot;* &quot;-&quot;??_);_(@_)">
                  <c:v>-2043.8826788255835</c:v>
                </c:pt>
                <c:pt idx="46" formatCode="_(&quot;$&quot;* #,##0.00_);_(&quot;$&quot;* \(#,##0.00\);_(&quot;$&quot;* &quot;-&quot;??_);_(@_)">
                  <c:v>-2239.4949778926721</c:v>
                </c:pt>
                <c:pt idx="47" formatCode="_(&quot;$&quot;* #,##0.00_);_(&quot;$&quot;* \(#,##0.00\);_(&quot;$&quot;* &quot;-&quot;??_);_(@_)">
                  <c:v>-2204.0878906095977</c:v>
                </c:pt>
                <c:pt idx="48" formatCode="_(&quot;$&quot;* #,##0.00_);_(&quot;$&quot;* \(#,##0.00\);_(&quot;$&quot;* &quot;-&quot;??_);_(@_)">
                  <c:v>-2624.1089427889283</c:v>
                </c:pt>
                <c:pt idx="49" formatCode="_(&quot;$&quot;* #,##0.00_);_(&quot;$&quot;* \(#,##0.00\);_(&quot;$&quot;* &quot;-&quot;??_);_(@_)">
                  <c:v>-2366.5941699776367</c:v>
                </c:pt>
                <c:pt idx="50" formatCode="_(&quot;$&quot;* #,##0.00_);_(&quot;$&quot;* \(#,##0.00\);_(&quot;$&quot;* &quot;-&quot;??_);_(@_)">
                  <c:v>-2179.3421653839346</c:v>
                </c:pt>
                <c:pt idx="51" formatCode="_(&quot;$&quot;* #,##0.00_);_(&quot;$&quot;* \(#,##0.00\);_(&quot;$&quot;* &quot;-&quot;??_);_(@_)">
                  <c:v>-2552.5085951745741</c:v>
                </c:pt>
                <c:pt idx="52" formatCode="_(&quot;$&quot;* #,##0.00_);_(&quot;$&quot;* \(#,##0.00\);_(&quot;$&quot;* &quot;-&quot;??_);_(@_)">
                  <c:v>-2412.0354261544426</c:v>
                </c:pt>
                <c:pt idx="53" formatCode="_(&quot;$&quot;* #,##0.00_);_(&quot;$&quot;* \(#,##0.00\);_(&quot;$&quot;* &quot;-&quot;??_);_(@_)">
                  <c:v>-2800.3552426739689</c:v>
                </c:pt>
                <c:pt idx="54" formatCode="_(&quot;$&quot;* #,##0.00_);_(&quot;$&quot;* \(#,##0.00\);_(&quot;$&quot;* &quot;-&quot;??_);_(@_)">
                  <c:v>-3109.5220138181658</c:v>
                </c:pt>
                <c:pt idx="55" formatCode="_(&quot;$&quot;* #,##0.00_);_(&quot;$&quot;* \(#,##0.00\);_(&quot;$&quot;* &quot;-&quot;??_);_(@_)">
                  <c:v>-2824.3928240929954</c:v>
                </c:pt>
                <c:pt idx="56" formatCode="_(&quot;$&quot;* #,##0.00_);_(&quot;$&quot;* \(#,##0.00\);_(&quot;$&quot;* &quot;-&quot;??_);_(@_)">
                  <c:v>-1936.6876029027796</c:v>
                </c:pt>
                <c:pt idx="57" formatCode="_(&quot;$&quot;* #,##0.00_);_(&quot;$&quot;* \(#,##0.00\);_(&quot;$&quot;* &quot;-&quot;??_);_(@_)">
                  <c:v>-1988.1015128847621</c:v>
                </c:pt>
                <c:pt idx="58" formatCode="_(&quot;$&quot;* #,##0.00_);_(&quot;$&quot;* \(#,##0.00\);_(&quot;$&quot;* &quot;-&quot;??_);_(@_)">
                  <c:v>-1608.0161823703888</c:v>
                </c:pt>
                <c:pt idx="59" formatCode="_(&quot;$&quot;* #,##0.00_);_(&quot;$&quot;* \(#,##0.00\);_(&quot;$&quot;* &quot;-&quot;??_);_(@_)">
                  <c:v>-2234.6781267832489</c:v>
                </c:pt>
                <c:pt idx="60" formatCode="_(&quot;$&quot;* #,##0.00_);_(&quot;$&quot;* \(#,##0.00\);_(&quot;$&quot;* &quot;-&quot;??_);_(@_)">
                  <c:v>-2107.0602136963271</c:v>
                </c:pt>
                <c:pt idx="61" formatCode="_(&quot;$&quot;* #,##0.00_);_(&quot;$&quot;* \(#,##0.00\);_(&quot;$&quot;* &quot;-&quot;??_);_(@_)">
                  <c:v>-2086.0279828941925</c:v>
                </c:pt>
                <c:pt idx="62" formatCode="_(&quot;$&quot;* #,##0.00_);_(&quot;$&quot;* \(#,##0.00\);_(&quot;$&quot;* &quot;-&quot;??_);_(@_)">
                  <c:v>-1409.0408157629515</c:v>
                </c:pt>
                <c:pt idx="63" formatCode="_(&quot;$&quot;* #,##0.00_);_(&quot;$&quot;* \(#,##0.00\);_(&quot;$&quot;* &quot;-&quot;??_);_(@_)">
                  <c:v>-1824.2454266229247</c:v>
                </c:pt>
                <c:pt idx="64" formatCode="_(&quot;$&quot;* #,##0.00_);_(&quot;$&quot;* \(#,##0.00\);_(&quot;$&quot;* &quot;-&quot;??_);_(@_)">
                  <c:v>-1887.6723223068855</c:v>
                </c:pt>
                <c:pt idx="65" formatCode="_(&quot;$&quot;* #,##0.00_);_(&quot;$&quot;* \(#,##0.00\);_(&quot;$&quot;* &quot;-&quot;??_);_(@_)">
                  <c:v>-2205.8304607726145</c:v>
                </c:pt>
                <c:pt idx="66" formatCode="_(&quot;$&quot;* #,##0.00_);_(&quot;$&quot;* \(#,##0.00\);_(&quot;$&quot;* &quot;-&quot;??_);_(@_)">
                  <c:v>-2039.0772970120584</c:v>
                </c:pt>
                <c:pt idx="67" formatCode="_(&quot;$&quot;* #,##0.00_);_(&quot;$&quot;* \(#,##0.00\);_(&quot;$&quot;* &quot;-&quot;??_);_(@_)">
                  <c:v>-1828.4104429088948</c:v>
                </c:pt>
                <c:pt idx="68" formatCode="_(&quot;$&quot;* #,##0.00_);_(&quot;$&quot;* \(#,##0.00\);_(&quot;$&quot;* &quot;-&quot;??_);_(@_)">
                  <c:v>-2098.2313225805547</c:v>
                </c:pt>
                <c:pt idx="69" formatCode="_(&quot;$&quot;* #,##0.00_);_(&quot;$&quot;* \(#,##0.00\);_(&quot;$&quot;* &quot;-&quot;??_);_(@_)">
                  <c:v>-1959.2590341949631</c:v>
                </c:pt>
                <c:pt idx="70" formatCode="_(&quot;$&quot;* #,##0.00_);_(&quot;$&quot;* \(#,##0.00\);_(&quot;$&quot;* &quot;-&quot;??_);_(@_)">
                  <c:v>-2225.3545540367031</c:v>
                </c:pt>
                <c:pt idx="71" formatCode="_(&quot;$&quot;* #,##0.00_);_(&quot;$&quot;* \(#,##0.00\);_(&quot;$&quot;* &quot;-&quot;??_);_(@_)">
                  <c:v>-2512.835043741582</c:v>
                </c:pt>
                <c:pt idx="72" formatCode="_(&quot;$&quot;* #,##0.00_);_(&quot;$&quot;* \(#,##0.00\);_(&quot;$&quot;* &quot;-&quot;??_);_(@_)">
                  <c:v>-1807.3696436035057</c:v>
                </c:pt>
                <c:pt idx="73" formatCode="_(&quot;$&quot;* #,##0.00_);_(&quot;$&quot;* \(#,##0.00\);_(&quot;$&quot;* &quot;-&quot;??_);_(@_)">
                  <c:v>-1338.9868661968364</c:v>
                </c:pt>
                <c:pt idx="74" formatCode="_(&quot;$&quot;* #,##0.00_);_(&quot;$&quot;* \(#,##0.00\);_(&quot;$&quot;* &quot;-&quot;??_);_(@_)">
                  <c:v>-1777.0953329700233</c:v>
                </c:pt>
                <c:pt idx="75" formatCode="_(&quot;$&quot;* #,##0.00_);_(&quot;$&quot;* \(#,##0.00\);_(&quot;$&quot;* &quot;-&quot;??_);_(@_)">
                  <c:v>-2057.2528404632544</c:v>
                </c:pt>
                <c:pt idx="76" formatCode="_(&quot;$&quot;* #,##0.00_);_(&quot;$&quot;* \(#,##0.00\);_(&quot;$&quot;* &quot;-&quot;??_);_(@_)">
                  <c:v>-1840.092825333048</c:v>
                </c:pt>
                <c:pt idx="77" formatCode="_(&quot;$&quot;* #,##0.00_);_(&quot;$&quot;* \(#,##0.00\);_(&quot;$&quot;* &quot;-&quot;??_);_(@_)">
                  <c:v>-1468.3181652820531</c:v>
                </c:pt>
                <c:pt idx="78" formatCode="_(&quot;$&quot;* #,##0.00_);_(&quot;$&quot;* \(#,##0.00\);_(&quot;$&quot;* &quot;-&quot;??_);_(@_)">
                  <c:v>-1078.9331735480814</c:v>
                </c:pt>
                <c:pt idx="79" formatCode="_(&quot;$&quot;* #,##0.00_);_(&quot;$&quot;* \(#,##0.00\);_(&quot;$&quot;* &quot;-&quot;??_);_(@_)">
                  <c:v>-375.26658674505256</c:v>
                </c:pt>
                <c:pt idx="80" formatCode="_(&quot;$&quot;* #,##0.00_);_(&quot;$&quot;* \(#,##0.00\);_(&quot;$&quot;* &quot;-&quot;??_);_(@_)">
                  <c:v>-242.41691280359396</c:v>
                </c:pt>
                <c:pt idx="81" formatCode="_(&quot;$&quot;* #,##0.00_);_(&quot;$&quot;* \(#,##0.00\);_(&quot;$&quot;* &quot;-&quot;??_);_(@_)">
                  <c:v>-1130.3529028193727</c:v>
                </c:pt>
                <c:pt idx="82" formatCode="_(&quot;$&quot;* #,##0.00_);_(&quot;$&quot;* \(#,##0.00\);_(&quot;$&quot;* &quot;-&quot;??_);_(@_)">
                  <c:v>-1453.3368583964962</c:v>
                </c:pt>
                <c:pt idx="83" formatCode="_(&quot;$&quot;* #,##0.00_);_(&quot;$&quot;* \(#,##0.00\);_(&quot;$&quot;* &quot;-&quot;??_);_(@_)">
                  <c:v>-1155.4686181871418</c:v>
                </c:pt>
                <c:pt idx="84" formatCode="_(&quot;$&quot;* #,##0.00_);_(&quot;$&quot;* \(#,##0.00\);_(&quot;$&quot;* &quot;-&quot;??_);_(@_)">
                  <c:v>-1533.794298853885</c:v>
                </c:pt>
                <c:pt idx="85" formatCode="_(&quot;$&quot;* #,##0.00_);_(&quot;$&quot;* \(#,##0.00\);_(&quot;$&quot;* &quot;-&quot;??_);_(@_)">
                  <c:v>-1541.4431120679526</c:v>
                </c:pt>
                <c:pt idx="86" formatCode="_(&quot;$&quot;* #,##0.00_);_(&quot;$&quot;* \(#,##0.00\);_(&quot;$&quot;* &quot;-&quot;??_);_(@_)">
                  <c:v>-1579.4540998566517</c:v>
                </c:pt>
                <c:pt idx="87" formatCode="_(&quot;$&quot;* #,##0.00_);_(&quot;$&quot;* \(#,##0.00\);_(&quot;$&quot;* &quot;-&quot;??_);_(@_)">
                  <c:v>-1871.8247400948931</c:v>
                </c:pt>
                <c:pt idx="88" formatCode="_(&quot;$&quot;* #,##0.00_);_(&quot;$&quot;* \(#,##0.00\);_(&quot;$&quot;* &quot;-&quot;??_);_(@_)">
                  <c:v>-2031.4840143460492</c:v>
                </c:pt>
                <c:pt idx="89" formatCode="_(&quot;$&quot;* #,##0.00_);_(&quot;$&quot;* \(#,##0.00\);_(&quot;$&quot;* &quot;-&quot;??_);_(@_)">
                  <c:v>-1942.5510743886325</c:v>
                </c:pt>
                <c:pt idx="90" formatCode="_(&quot;$&quot;* #,##0.00_);_(&quot;$&quot;* \(#,##0.00\);_(&quot;$&quot;* &quot;-&quot;??_);_(@_)">
                  <c:v>-2413.888224677286</c:v>
                </c:pt>
                <c:pt idx="91" formatCode="_(&quot;$&quot;* #,##0.00_);_(&quot;$&quot;* \(#,##0.00\);_(&quot;$&quot;* &quot;-&quot;??_);_(@_)">
                  <c:v>-3120.0273408887501</c:v>
                </c:pt>
                <c:pt idx="92" formatCode="_(&quot;$&quot;* #,##0.00_);_(&quot;$&quot;* \(#,##0.00\);_(&quot;$&quot;* &quot;-&quot;??_);_(@_)">
                  <c:v>-3035.83244298411</c:v>
                </c:pt>
                <c:pt idx="93" formatCode="_(&quot;$&quot;* #,##0.00_);_(&quot;$&quot;* \(#,##0.00\);_(&quot;$&quot;* &quot;-&quot;??_);_(@_)">
                  <c:v>-3284.9247439661294</c:v>
                </c:pt>
                <c:pt idx="94" formatCode="_(&quot;$&quot;* #,##0.00_);_(&quot;$&quot;* \(#,##0.00\);_(&quot;$&quot;* &quot;-&quot;??_);_(@_)">
                  <c:v>-3033.7127141579163</c:v>
                </c:pt>
                <c:pt idx="95" formatCode="_(&quot;$&quot;* #,##0.00_);_(&quot;$&quot;* \(#,##0.00\);_(&quot;$&quot;* &quot;-&quot;??_);_(@_)">
                  <c:v>-3331.2293068440886</c:v>
                </c:pt>
                <c:pt idx="96" formatCode="_(&quot;$&quot;* #,##0.00_);_(&quot;$&quot;* \(#,##0.00\);_(&quot;$&quot;* &quot;-&quot;??_);_(@_)">
                  <c:v>-3274.8312347747687</c:v>
                </c:pt>
                <c:pt idx="97" formatCode="_(&quot;$&quot;* #,##0.00_);_(&quot;$&quot;* \(#,##0.00\);_(&quot;$&quot;* &quot;-&quot;??_);_(@_)">
                  <c:v>-3410.6350075016935</c:v>
                </c:pt>
                <c:pt idx="98" formatCode="_(&quot;$&quot;* #,##0.00_);_(&quot;$&quot;* \(#,##0.00\);_(&quot;$&quot;* &quot;-&quot;??_);_(@_)">
                  <c:v>-3646.4061925583328</c:v>
                </c:pt>
                <c:pt idx="99" formatCode="_(&quot;$&quot;* #,##0.00_);_(&quot;$&quot;* \(#,##0.00\);_(&quot;$&quot;* &quot;-&quot;??_);_(@_)">
                  <c:v>-3478.993561434454</c:v>
                </c:pt>
                <c:pt idx="100" formatCode="_(&quot;$&quot;* #,##0.00_);_(&quot;$&quot;* \(#,##0.00\);_(&quot;$&quot;* &quot;-&quot;??_);_(@_)">
                  <c:v>-3362.0416089572409</c:v>
                </c:pt>
                <c:pt idx="101" formatCode="_(&quot;$&quot;* #,##0.00_);_(&quot;$&quot;* \(#,##0.00\);_(&quot;$&quot;* &quot;-&quot;??_);_(@_)">
                  <c:v>-3110.0254799249733</c:v>
                </c:pt>
                <c:pt idx="102" formatCode="_(&quot;$&quot;* #,##0.00_);_(&quot;$&quot;* \(#,##0.00\);_(&quot;$&quot;* &quot;-&quot;??_);_(@_)">
                  <c:v>-3603.0001005381946</c:v>
                </c:pt>
                <c:pt idx="103" formatCode="_(&quot;$&quot;* #,##0.00_);_(&quot;$&quot;* \(#,##0.00\);_(&quot;$&quot;* &quot;-&quot;??_);_(@_)">
                  <c:v>-4440.7169332329249</c:v>
                </c:pt>
                <c:pt idx="104" formatCode="_(&quot;$&quot;* #,##0.00_);_(&quot;$&quot;* \(#,##0.00\);_(&quot;$&quot;* &quot;-&quot;??_);_(@_)">
                  <c:v>-4061.3030526755556</c:v>
                </c:pt>
                <c:pt idx="105" formatCode="_(&quot;$&quot;* #,##0.00_);_(&quot;$&quot;* \(#,##0.00\);_(&quot;$&quot;* &quot;-&quot;??_);_(@_)">
                  <c:v>-3744.6864142733471</c:v>
                </c:pt>
                <c:pt idx="106" formatCode="_(&quot;$&quot;* #,##0.00_);_(&quot;$&quot;* \(#,##0.00\);_(&quot;$&quot;* &quot;-&quot;??_);_(@_)">
                  <c:v>-3509.800694682674</c:v>
                </c:pt>
                <c:pt idx="107" formatCode="_(&quot;$&quot;* #,##0.00_);_(&quot;$&quot;* \(#,##0.00\);_(&quot;$&quot;* &quot;-&quot;??_);_(@_)">
                  <c:v>-3886.0720945720409</c:v>
                </c:pt>
                <c:pt idx="108" formatCode="_(&quot;$&quot;* #,##0.00_);_(&quot;$&quot;* \(#,##0.00\);_(&quot;$&quot;* &quot;-&quot;??_);_(@_)">
                  <c:v>-3852.5670818138628</c:v>
                </c:pt>
                <c:pt idx="109" formatCode="_(&quot;$&quot;* #,##0.00_);_(&quot;$&quot;* \(#,##0.00\);_(&quot;$&quot;* &quot;-&quot;??_);_(@_)">
                  <c:v>-4042.9138070930385</c:v>
                </c:pt>
                <c:pt idx="110" formatCode="_(&quot;$&quot;* #,##0.00_);_(&quot;$&quot;* \(#,##0.00\);_(&quot;$&quot;* &quot;-&quot;??_);_(@_)">
                  <c:v>-3126.2792412369799</c:v>
                </c:pt>
                <c:pt idx="111" formatCode="_(&quot;$&quot;* #,##0.00_);_(&quot;$&quot;* \(#,##0.00\);_(&quot;$&quot;* &quot;-&quot;??_);_(@_)">
                  <c:v>-3340.1698004908117</c:v>
                </c:pt>
                <c:pt idx="112" formatCode="_(&quot;$&quot;* #,##0.00_);_(&quot;$&quot;* \(#,##0.00\);_(&quot;$&quot;* &quot;-&quot;??_);_(@_)">
                  <c:v>-3159.7543276268912</c:v>
                </c:pt>
                <c:pt idx="113" formatCode="_(&quot;$&quot;* #,##0.00_);_(&quot;$&quot;* \(#,##0.00\);_(&quot;$&quot;* &quot;-&quot;??_);_(@_)">
                  <c:v>-3159.0670094995139</c:v>
                </c:pt>
                <c:pt idx="114" formatCode="_(&quot;$&quot;* #,##0.00_);_(&quot;$&quot;* \(#,##0.00\);_(&quot;$&quot;* &quot;-&quot;??_);_(@_)">
                  <c:v>-3323.2311691576697</c:v>
                </c:pt>
                <c:pt idx="115" formatCode="_(&quot;$&quot;* #,##0.00_);_(&quot;$&quot;* \(#,##0.00\);_(&quot;$&quot;* &quot;-&quot;??_);_(@_)">
                  <c:v>-2821.28713117193</c:v>
                </c:pt>
                <c:pt idx="116" formatCode="_(&quot;$&quot;* #,##0.00_);_(&quot;$&quot;* \(#,##0.00\);_(&quot;$&quot;* &quot;-&quot;??_);_(@_)">
                  <c:v>-2494.7719478421427</c:v>
                </c:pt>
                <c:pt idx="117" formatCode="_(&quot;$&quot;* #,##0.00_);_(&quot;$&quot;* \(#,##0.00\);_(&quot;$&quot;* &quot;-&quot;??_);_(@_)">
                  <c:v>-2220.4502027790736</c:v>
                </c:pt>
                <c:pt idx="118" formatCode="_(&quot;$&quot;* #,##0.00_);_(&quot;$&quot;* \(#,##0.00\);_(&quot;$&quot;* &quot;-&quot;??_);_(@_)">
                  <c:v>-2774.6490186317023</c:v>
                </c:pt>
                <c:pt idx="119" formatCode="_(&quot;$&quot;* #,##0.00_);_(&quot;$&quot;* \(#,##0.00\);_(&quot;$&quot;* &quot;-&quot;??_);_(@_)">
                  <c:v>-2841.7270421607654</c:v>
                </c:pt>
                <c:pt idx="120" formatCode="_(&quot;$&quot;* #,##0.00_);_(&quot;$&quot;* \(#,##0.00\);_(&quot;$&quot;* &quot;-&quot;??_);_(@_)">
                  <c:v>-3613.2522751473152</c:v>
                </c:pt>
                <c:pt idx="121" formatCode="_(&quot;$&quot;* #,##0.00_);_(&quot;$&quot;* \(#,##0.00\);_(&quot;$&quot;* &quot;-&quot;??_);_(@_)">
                  <c:v>-3351.8095232135511</c:v>
                </c:pt>
                <c:pt idx="122" formatCode="_(&quot;$&quot;* #,##0.00_);_(&quot;$&quot;* \(#,##0.00\);_(&quot;$&quot;* &quot;-&quot;??_);_(@_)">
                  <c:v>-3453.5539361756564</c:v>
                </c:pt>
                <c:pt idx="123" formatCode="_(&quot;$&quot;* #,##0.00_);_(&quot;$&quot;* \(#,##0.00\);_(&quot;$&quot;* &quot;-&quot;??_);_(@_)">
                  <c:v>-3132.4471254171676</c:v>
                </c:pt>
                <c:pt idx="124" formatCode="_(&quot;$&quot;* #,##0.00_);_(&quot;$&quot;* \(#,##0.00\);_(&quot;$&quot;* &quot;-&quot;??_);_(@_)">
                  <c:v>-4216.0794140632006</c:v>
                </c:pt>
                <c:pt idx="125" formatCode="_(&quot;$&quot;* #,##0.00_);_(&quot;$&quot;* \(#,##0.00\);_(&quot;$&quot;* &quot;-&quot;??_);_(@_)">
                  <c:v>-4776.1172882421715</c:v>
                </c:pt>
                <c:pt idx="126" formatCode="_(&quot;$&quot;* #,##0.00_);_(&quot;$&quot;* \(#,##0.00\);_(&quot;$&quot;* &quot;-&quot;??_);_(@_)">
                  <c:v>-5161.2581142456474</c:v>
                </c:pt>
                <c:pt idx="127" formatCode="_(&quot;$&quot;* #,##0.00_);_(&quot;$&quot;* \(#,##0.00\);_(&quot;$&quot;* &quot;-&quot;??_);_(@_)">
                  <c:v>-5066.379066486872</c:v>
                </c:pt>
                <c:pt idx="128" formatCode="_(&quot;$&quot;* #,##0.00_);_(&quot;$&quot;* \(#,##0.00\);_(&quot;$&quot;* &quot;-&quot;??_);_(@_)">
                  <c:v>-4838.5220544063413</c:v>
                </c:pt>
                <c:pt idx="129" formatCode="_(&quot;$&quot;* #,##0.00_);_(&quot;$&quot;* \(#,##0.00\);_(&quot;$&quot;* &quot;-&quot;??_);_(@_)">
                  <c:v>-4617.7457135322984</c:v>
                </c:pt>
                <c:pt idx="130" formatCode="_(&quot;$&quot;* #,##0.00_);_(&quot;$&quot;* \(#,##0.00\);_(&quot;$&quot;* &quot;-&quot;??_);_(@_)">
                  <c:v>-3967.3510638054986</c:v>
                </c:pt>
                <c:pt idx="131" formatCode="_(&quot;$&quot;* #,##0.00_);_(&quot;$&quot;* \(#,##0.00\);_(&quot;$&quot;* &quot;-&quot;??_);_(@_)">
                  <c:v>-4438.7719178188891</c:v>
                </c:pt>
                <c:pt idx="132" formatCode="_(&quot;$&quot;* #,##0.00_);_(&quot;$&quot;* \(#,##0.00\);_(&quot;$&quot;* &quot;-&quot;??_);_(@_)">
                  <c:v>-4526.272987533649</c:v>
                </c:pt>
                <c:pt idx="133" formatCode="_(&quot;$&quot;* #,##0.00_);_(&quot;$&quot;* \(#,##0.00\);_(&quot;$&quot;* &quot;-&quot;??_);_(@_)">
                  <c:v>-4305.9384246962945</c:v>
                </c:pt>
                <c:pt idx="134" formatCode="_(&quot;$&quot;* #,##0.00_);_(&quot;$&quot;* \(#,##0.00\);_(&quot;$&quot;* &quot;-&quot;??_);_(@_)">
                  <c:v>-3966.5492598520559</c:v>
                </c:pt>
                <c:pt idx="135" formatCode="_(&quot;$&quot;* #,##0.00_);_(&quot;$&quot;* \(#,##0.00\);_(&quot;$&quot;* &quot;-&quot;??_);_(@_)">
                  <c:v>-3695.3466245499935</c:v>
                </c:pt>
                <c:pt idx="136" formatCode="_(&quot;$&quot;* #,##0.00_);_(&quot;$&quot;* \(#,##0.00\);_(&quot;$&quot;* &quot;-&quot;??_);_(@_)">
                  <c:v>-3618.6007379687167</c:v>
                </c:pt>
                <c:pt idx="137" formatCode="_(&quot;$&quot;* #,##0.00_);_(&quot;$&quot;* \(#,##0.00\);_(&quot;$&quot;* &quot;-&quot;??_);_(@_)">
                  <c:v>-3390.5830781871964</c:v>
                </c:pt>
                <c:pt idx="138" formatCode="_(&quot;$&quot;* #,##0.00_);_(&quot;$&quot;* \(#,##0.00\);_(&quot;$&quot;* &quot;-&quot;??_);_(@_)">
                  <c:v>-3940.0654314843705</c:v>
                </c:pt>
                <c:pt idx="139" formatCode="_(&quot;$&quot;* #,##0.00_);_(&quot;$&quot;* \(#,##0.00\);_(&quot;$&quot;* &quot;-&quot;??_);_(@_)">
                  <c:v>-3459.5005398568846</c:v>
                </c:pt>
                <c:pt idx="140" formatCode="_(&quot;$&quot;* #,##0.00_);_(&quot;$&quot;* \(#,##0.00\);_(&quot;$&quot;* &quot;-&quot;??_);_(@_)">
                  <c:v>-3790.1381057806148</c:v>
                </c:pt>
                <c:pt idx="141" formatCode="_(&quot;$&quot;* #,##0.00_);_(&quot;$&quot;* \(#,##0.00\);_(&quot;$&quot;* &quot;-&quot;??_);_(@_)">
                  <c:v>-3985.0997300465733</c:v>
                </c:pt>
                <c:pt idx="142" formatCode="_(&quot;$&quot;* #,##0.00_);_(&quot;$&quot;* \(#,##0.00\);_(&quot;$&quot;* &quot;-&quot;??_);_(@_)">
                  <c:v>-4276.0861427422315</c:v>
                </c:pt>
                <c:pt idx="143" formatCode="_(&quot;$&quot;* #,##0.00_);_(&quot;$&quot;* \(#,##0.00\);_(&quot;$&quot;* &quot;-&quot;??_);_(@_)">
                  <c:v>-3984.9225112920435</c:v>
                </c:pt>
                <c:pt idx="144" formatCode="_(&quot;$&quot;* #,##0.00_);_(&quot;$&quot;* \(#,##0.00\);_(&quot;$&quot;* &quot;-&quot;??_);_(@_)">
                  <c:v>-3774.3582928832943</c:v>
                </c:pt>
                <c:pt idx="145" formatCode="_(&quot;$&quot;* #,##0.00_);_(&quot;$&quot;* \(#,##0.00\);_(&quot;$&quot;* &quot;-&quot;??_);_(@_)">
                  <c:v>-3593.7316847797265</c:v>
                </c:pt>
                <c:pt idx="146" formatCode="_(&quot;$&quot;* #,##0.00_);_(&quot;$&quot;* \(#,##0.00\);_(&quot;$&quot;* &quot;-&quot;??_);_(@_)">
                  <c:v>-3552.0937313898289</c:v>
                </c:pt>
                <c:pt idx="147" formatCode="_(&quot;$&quot;* #,##0.00_);_(&quot;$&quot;* \(#,##0.00\);_(&quot;$&quot;* &quot;-&quot;??_);_(@_)">
                  <c:v>-4115.2738277143972</c:v>
                </c:pt>
                <c:pt idx="148" formatCode="_(&quot;$&quot;* #,##0.00_);_(&quot;$&quot;* \(#,##0.00\);_(&quot;$&quot;* &quot;-&quot;??_);_(@_)">
                  <c:v>-4375.2853060244997</c:v>
                </c:pt>
                <c:pt idx="149" formatCode="_(&quot;$&quot;* #,##0.00_);_(&quot;$&quot;* \(#,##0.00\);_(&quot;$&quot;* &quot;-&quot;??_);_(@_)">
                  <c:v>-4155.9938016172018</c:v>
                </c:pt>
                <c:pt idx="150" formatCode="_(&quot;$&quot;* #,##0.00_);_(&quot;$&quot;* \(#,##0.00\);_(&quot;$&quot;* &quot;-&quot;??_);_(@_)">
                  <c:v>-3793.0069924809773</c:v>
                </c:pt>
                <c:pt idx="151" formatCode="_(&quot;$&quot;* #,##0.00_);_(&quot;$&quot;* \(#,##0.00\);_(&quot;$&quot;* &quot;-&quot;??_);_(@_)">
                  <c:v>-4380.9851298073245</c:v>
                </c:pt>
                <c:pt idx="152" formatCode="_(&quot;$&quot;* #,##0.00_);_(&quot;$&quot;* \(#,##0.00\);_(&quot;$&quot;* &quot;-&quot;??_);_(@_)">
                  <c:v>-4052.9702133842447</c:v>
                </c:pt>
                <c:pt idx="153" formatCode="_(&quot;$&quot;* #,##0.00_);_(&quot;$&quot;* \(#,##0.00\);_(&quot;$&quot;* &quot;-&quot;??_);_(@_)">
                  <c:v>-4059.7414487145597</c:v>
                </c:pt>
                <c:pt idx="154" formatCode="_(&quot;$&quot;* #,##0.00_);_(&quot;$&quot;* \(#,##0.00\);_(&quot;$&quot;* &quot;-&quot;??_);_(@_)">
                  <c:v>-3917.8805283499346</c:v>
                </c:pt>
                <c:pt idx="155" formatCode="_(&quot;$&quot;* #,##0.00_);_(&quot;$&quot;* \(#,##0.00\);_(&quot;$&quot;* &quot;-&quot;??_);_(@_)">
                  <c:v>-3253.6089822852564</c:v>
                </c:pt>
                <c:pt idx="156" formatCode="_(&quot;$&quot;* #,##0.00_);_(&quot;$&quot;* \(#,##0.00\);_(&quot;$&quot;* &quot;-&quot;??_);_(@_)">
                  <c:v>-2922.778812457711</c:v>
                </c:pt>
                <c:pt idx="157" formatCode="_(&quot;$&quot;* #,##0.00_);_(&quot;$&quot;* \(#,##0.00\);_(&quot;$&quot;* &quot;-&quot;??_);_(@_)">
                  <c:v>-2781.0489861731421</c:v>
                </c:pt>
                <c:pt idx="158" formatCode="_(&quot;$&quot;* #,##0.00_);_(&quot;$&quot;* \(#,##0.00\);_(&quot;$&quot;* &quot;-&quot;??_);_(@_)">
                  <c:v>-2440.3013569257409</c:v>
                </c:pt>
                <c:pt idx="159" formatCode="_(&quot;$&quot;* #,##0.00_);_(&quot;$&quot;* \(#,##0.00\);_(&quot;$&quot;* &quot;-&quot;??_);_(@_)">
                  <c:v>-2633.6900135915712</c:v>
                </c:pt>
                <c:pt idx="160" formatCode="_(&quot;$&quot;* #,##0.00_);_(&quot;$&quot;* \(#,##0.00\);_(&quot;$&quot;* &quot;-&quot;??_);_(@_)">
                  <c:v>-2219.8171775110336</c:v>
                </c:pt>
                <c:pt idx="161" formatCode="_(&quot;$&quot;* #,##0.00_);_(&quot;$&quot;* \(#,##0.00\);_(&quot;$&quot;* &quot;-&quot;??_);_(@_)">
                  <c:v>-2642.141598856153</c:v>
                </c:pt>
                <c:pt idx="162" formatCode="_(&quot;$&quot;* #,##0.00_);_(&quot;$&quot;* \(#,##0.00\);_(&quot;$&quot;* &quot;-&quot;??_);_(@_)">
                  <c:v>-2496.2200048403865</c:v>
                </c:pt>
                <c:pt idx="163" formatCode="_(&quot;$&quot;* #,##0.00_);_(&quot;$&quot;* \(#,##0.00\);_(&quot;$&quot;* &quot;-&quot;??_);_(@_)">
                  <c:v>-2671.9149721524464</c:v>
                </c:pt>
                <c:pt idx="164" formatCode="_(&quot;$&quot;* #,##0.00_);_(&quot;$&quot;* \(#,##0.00\);_(&quot;$&quot;* &quot;-&quot;??_);_(@_)">
                  <c:v>-2711.8817580904938</c:v>
                </c:pt>
                <c:pt idx="165" formatCode="_(&quot;$&quot;* #,##0.00_);_(&quot;$&quot;* \(#,##0.00\);_(&quot;$&quot;* &quot;-&quot;??_);_(@_)">
                  <c:v>-3353.6545279338552</c:v>
                </c:pt>
                <c:pt idx="166" formatCode="_(&quot;$&quot;* #,##0.00_);_(&quot;$&quot;* \(#,##0.00\);_(&quot;$&quot;* &quot;-&quot;??_);_(@_)">
                  <c:v>-3550.9467958229761</c:v>
                </c:pt>
                <c:pt idx="167" formatCode="_(&quot;$&quot;* #,##0.00_);_(&quot;$&quot;* \(#,##0.00\);_(&quot;$&quot;* &quot;-&quot;??_);_(@_)">
                  <c:v>-4047.27857297945</c:v>
                </c:pt>
                <c:pt idx="168" formatCode="_(&quot;$&quot;* #,##0.00_);_(&quot;$&quot;* \(#,##0.00\);_(&quot;$&quot;* &quot;-&quot;??_);_(@_)">
                  <c:v>-4243.6407772721859</c:v>
                </c:pt>
                <c:pt idx="169" formatCode="_(&quot;$&quot;* #,##0.00_);_(&quot;$&quot;* \(#,##0.00\);_(&quot;$&quot;* &quot;-&quot;??_);_(@_)">
                  <c:v>-3765.4614150686516</c:v>
                </c:pt>
                <c:pt idx="170" formatCode="_(&quot;$&quot;* #,##0.00_);_(&quot;$&quot;* \(#,##0.00\);_(&quot;$&quot;* &quot;-&quot;??_);_(@_)">
                  <c:v>-3025.0632394245972</c:v>
                </c:pt>
                <c:pt idx="171" formatCode="_(&quot;$&quot;* #,##0.00_);_(&quot;$&quot;* \(#,##0.00\);_(&quot;$&quot;* &quot;-&quot;??_);_(@_)">
                  <c:v>-2989.2262719631967</c:v>
                </c:pt>
                <c:pt idx="172" formatCode="_(&quot;$&quot;* #,##0.00_);_(&quot;$&quot;* \(#,##0.00\);_(&quot;$&quot;* &quot;-&quot;??_);_(@_)">
                  <c:v>-3004.4607214774946</c:v>
                </c:pt>
                <c:pt idx="173" formatCode="_(&quot;$&quot;* #,##0.00_);_(&quot;$&quot;* \(#,##0.00\);_(&quot;$&quot;* &quot;-&quot;??_);_(@_)">
                  <c:v>-2442.5518801946027</c:v>
                </c:pt>
                <c:pt idx="174" formatCode="_(&quot;$&quot;* #,##0.00_);_(&quot;$&quot;* \(#,##0.00\);_(&quot;$&quot;* &quot;-&quot;??_);_(@_)">
                  <c:v>-2695.8451984763983</c:v>
                </c:pt>
                <c:pt idx="175" formatCode="_(&quot;$&quot;* #,##0.00_);_(&quot;$&quot;* \(#,##0.00\);_(&quot;$&quot;* &quot;-&quot;??_);_(@_)">
                  <c:v>-2538.2037992749729</c:v>
                </c:pt>
                <c:pt idx="176" formatCode="_(&quot;$&quot;* #,##0.00_);_(&quot;$&quot;* \(#,##0.00\);_(&quot;$&quot;* &quot;-&quot;??_);_(@_)">
                  <c:v>-1824.6102994649816</c:v>
                </c:pt>
                <c:pt idx="177" formatCode="_(&quot;$&quot;* #,##0.00_);_(&quot;$&quot;* \(#,##0.00\);_(&quot;$&quot;* &quot;-&quot;??_);_(@_)">
                  <c:v>-1776.1586567196216</c:v>
                </c:pt>
                <c:pt idx="178" formatCode="_(&quot;$&quot;* #,##0.00_);_(&quot;$&quot;* \(#,##0.00\);_(&quot;$&quot;* &quot;-&quot;??_);_(@_)">
                  <c:v>-1757.8901981405622</c:v>
                </c:pt>
                <c:pt idx="179" formatCode="_(&quot;$&quot;* #,##0.00_);_(&quot;$&quot;* \(#,##0.00\);_(&quot;$&quot;* &quot;-&quot;??_);_(@_)">
                  <c:v>-2035.790890128058</c:v>
                </c:pt>
                <c:pt idx="180" formatCode="_(&quot;$&quot;* #,##0.00_);_(&quot;$&quot;* \(#,##0.00\);_(&quot;$&quot;* &quot;-&quot;??_);_(@_)">
                  <c:v>-1534.21353450166</c:v>
                </c:pt>
                <c:pt idx="181" formatCode="_(&quot;$&quot;* #,##0.00_);_(&quot;$&quot;* \(#,##0.00\);_(&quot;$&quot;* &quot;-&quot;??_);_(@_)">
                  <c:v>-1627.7158031570991</c:v>
                </c:pt>
                <c:pt idx="182" formatCode="_(&quot;$&quot;* #,##0.00_);_(&quot;$&quot;* \(#,##0.00\);_(&quot;$&quot;* &quot;-&quot;??_);_(@_)">
                  <c:v>-2414.1787442978302</c:v>
                </c:pt>
                <c:pt idx="183" formatCode="_(&quot;$&quot;* #,##0.00_);_(&quot;$&quot;* \(#,##0.00\);_(&quot;$&quot;* &quot;-&quot;??_);_(@_)">
                  <c:v>-3071.6699619275337</c:v>
                </c:pt>
                <c:pt idx="184" formatCode="_(&quot;$&quot;* #,##0.00_);_(&quot;$&quot;* \(#,##0.00\);_(&quot;$&quot;* &quot;-&quot;??_);_(@_)">
                  <c:v>-3402.3333100429068</c:v>
                </c:pt>
                <c:pt idx="185" formatCode="_(&quot;$&quot;* #,##0.00_);_(&quot;$&quot;* \(#,##0.00\);_(&quot;$&quot;* &quot;-&quot;??_);_(@_)">
                  <c:v>-3769.0882326396345</c:v>
                </c:pt>
                <c:pt idx="186" formatCode="_(&quot;$&quot;* #,##0.00_);_(&quot;$&quot;* \(#,##0.00\);_(&quot;$&quot;* &quot;-&quot;??_);_(@_)">
                  <c:v>-4030.4563815574015</c:v>
                </c:pt>
                <c:pt idx="187" formatCode="_(&quot;$&quot;* #,##0.00_);_(&quot;$&quot;* \(#,##0.00\);_(&quot;$&quot;* &quot;-&quot;??_);_(@_)">
                  <c:v>-4575.9922394650202</c:v>
                </c:pt>
                <c:pt idx="188" formatCode="_(&quot;$&quot;* #,##0.00_);_(&quot;$&quot;* \(#,##0.00\);_(&quot;$&quot;* &quot;-&quot;??_);_(@_)">
                  <c:v>-4894.2469750370101</c:v>
                </c:pt>
                <c:pt idx="189" formatCode="_(&quot;$&quot;* #,##0.00_);_(&quot;$&quot;* \(#,##0.00\);_(&quot;$&quot;* &quot;-&quot;??_);_(@_)">
                  <c:v>-4660.2579823349643</c:v>
                </c:pt>
                <c:pt idx="190" formatCode="_(&quot;$&quot;* #,##0.00_);_(&quot;$&quot;* \(#,##0.00\);_(&quot;$&quot;* &quot;-&quot;??_);_(@_)">
                  <c:v>-5150.2736351335207</c:v>
                </c:pt>
                <c:pt idx="191" formatCode="_(&quot;$&quot;* #,##0.00_);_(&quot;$&quot;* \(#,##0.00\);_(&quot;$&quot;* &quot;-&quot;??_);_(@_)">
                  <c:v>-5447.7502681667365</c:v>
                </c:pt>
                <c:pt idx="192" formatCode="_(&quot;$&quot;* #,##0.00_);_(&quot;$&quot;* \(#,##0.00\);_(&quot;$&quot;* &quot;-&quot;??_);_(@_)">
                  <c:v>-4916.8279842184347</c:v>
                </c:pt>
                <c:pt idx="193" formatCode="_(&quot;$&quot;* #,##0.00_);_(&quot;$&quot;* \(#,##0.00\);_(&quot;$&quot;* &quot;-&quot;??_);_(@_)">
                  <c:v>-5021.2095629309442</c:v>
                </c:pt>
                <c:pt idx="194" formatCode="_(&quot;$&quot;* #,##0.00_);_(&quot;$&quot;* \(#,##0.00\);_(&quot;$&quot;* &quot;-&quot;??_);_(@_)">
                  <c:v>-4968.3954869868958</c:v>
                </c:pt>
                <c:pt idx="195" formatCode="_(&quot;$&quot;* #,##0.00_);_(&quot;$&quot;* \(#,##0.00\);_(&quot;$&quot;* &quot;-&quot;??_);_(@_)">
                  <c:v>-4907.2300006624082</c:v>
                </c:pt>
                <c:pt idx="196" formatCode="_(&quot;$&quot;* #,##0.00_);_(&quot;$&quot;* \(#,##0.00\);_(&quot;$&quot;* &quot;-&quot;??_);_(@_)">
                  <c:v>-4636.9593558631404</c:v>
                </c:pt>
                <c:pt idx="197" formatCode="_(&quot;$&quot;* #,##0.00_);_(&quot;$&quot;* \(#,##0.00\);_(&quot;$&quot;* &quot;-&quot;??_);_(@_)">
                  <c:v>-4250.6281496950714</c:v>
                </c:pt>
                <c:pt idx="198" formatCode="_(&quot;$&quot;* #,##0.00_);_(&quot;$&quot;* \(#,##0.00\);_(&quot;$&quot;* &quot;-&quot;??_);_(@_)">
                  <c:v>-4294.2783319987784</c:v>
                </c:pt>
                <c:pt idx="199" formatCode="_(&quot;$&quot;* #,##0.00_);_(&quot;$&quot;* \(#,##0.00\);_(&quot;$&quot;* &quot;-&quot;??_);_(@_)">
                  <c:v>-4755.8358968305656</c:v>
                </c:pt>
                <c:pt idx="200" formatCode="_(&quot;$&quot;* #,##0.00_);_(&quot;$&quot;* \(#,##0.00\);_(&quot;$&quot;* &quot;-&quot;??_);_(@_)">
                  <c:v>-4614.0530810079326</c:v>
                </c:pt>
                <c:pt idx="201" formatCode="_(&quot;$&quot;* #,##0.00_);_(&quot;$&quot;* \(#,##0.00\);_(&quot;$&quot;* &quot;-&quot;??_);_(@_)">
                  <c:v>-4344.9727474917227</c:v>
                </c:pt>
                <c:pt idx="202" formatCode="_(&quot;$&quot;* #,##0.00_);_(&quot;$&quot;* \(#,##0.00\);_(&quot;$&quot;* &quot;-&quot;??_);_(@_)">
                  <c:v>-4230.972658450085</c:v>
                </c:pt>
                <c:pt idx="203" formatCode="_(&quot;$&quot;* #,##0.00_);_(&quot;$&quot;* \(#,##0.00\);_(&quot;$&quot;* &quot;-&quot;??_);_(@_)">
                  <c:v>-4392.898751267594</c:v>
                </c:pt>
                <c:pt idx="204" formatCode="_(&quot;$&quot;* #,##0.00_);_(&quot;$&quot;* \(#,##0.00\);_(&quot;$&quot;* &quot;-&quot;??_);_(@_)">
                  <c:v>-4769.6786489877186</c:v>
                </c:pt>
                <c:pt idx="205" formatCode="_(&quot;$&quot;* #,##0.00_);_(&quot;$&quot;* \(#,##0.00\);_(&quot;$&quot;* &quot;-&quot;??_);_(@_)">
                  <c:v>-4517.6313554001526</c:v>
                </c:pt>
                <c:pt idx="206" formatCode="_(&quot;$&quot;* #,##0.00_);_(&quot;$&quot;* \(#,##0.00\);_(&quot;$&quot;* &quot;-&quot;??_);_(@_)">
                  <c:v>-4371.007702606521</c:v>
                </c:pt>
                <c:pt idx="207" formatCode="_(&quot;$&quot;* #,##0.00_);_(&quot;$&quot;* \(#,##0.00\);_(&quot;$&quot;* &quot;-&quot;??_);_(@_)">
                  <c:v>-4831.6864756610448</c:v>
                </c:pt>
                <c:pt idx="208" formatCode="_(&quot;$&quot;* #,##0.00_);_(&quot;$&quot;* \(#,##0.00\);_(&quot;$&quot;* &quot;-&quot;??_);_(@_)">
                  <c:v>-4891.6556895872045</c:v>
                </c:pt>
                <c:pt idx="209" formatCode="_(&quot;$&quot;* #,##0.00_);_(&quot;$&quot;* \(#,##0.00\);_(&quot;$&quot;* &quot;-&quot;??_);_(@_)">
                  <c:v>-4896.0038571185733</c:v>
                </c:pt>
                <c:pt idx="210" formatCode="_(&quot;$&quot;* #,##0.00_);_(&quot;$&quot;* \(#,##0.00\);_(&quot;$&quot;* &quot;-&quot;??_);_(@_)">
                  <c:v>-5234.2171772266292</c:v>
                </c:pt>
                <c:pt idx="211" formatCode="_(&quot;$&quot;* #,##0.00_);_(&quot;$&quot;* \(#,##0.00\);_(&quot;$&quot;* &quot;-&quot;??_);_(@_)">
                  <c:v>-5355.5969203275781</c:v>
                </c:pt>
                <c:pt idx="212" formatCode="_(&quot;$&quot;* #,##0.00_);_(&quot;$&quot;* \(#,##0.00\);_(&quot;$&quot;* &quot;-&quot;??_);_(@_)">
                  <c:v>-5531.3423907991055</c:v>
                </c:pt>
                <c:pt idx="213" formatCode="_(&quot;$&quot;* #,##0.00_);_(&quot;$&quot;* \(#,##0.00\);_(&quot;$&quot;* &quot;-&quot;??_);_(@_)">
                  <c:v>-5756.9810460991894</c:v>
                </c:pt>
                <c:pt idx="214" formatCode="_(&quot;$&quot;* #,##0.00_);_(&quot;$&quot;* \(#,##0.00\);_(&quot;$&quot;* &quot;-&quot;??_);_(@_)">
                  <c:v>-5539.987833708703</c:v>
                </c:pt>
                <c:pt idx="215" formatCode="_(&quot;$&quot;* #,##0.00_);_(&quot;$&quot;* \(#,##0.00\);_(&quot;$&quot;* &quot;-&quot;??_);_(@_)">
                  <c:v>-5074.5372421835273</c:v>
                </c:pt>
                <c:pt idx="216" formatCode="_(&quot;$&quot;* #,##0.00_);_(&quot;$&quot;* \(#,##0.00\);_(&quot;$&quot;* &quot;-&quot;??_);_(@_)">
                  <c:v>-4845.3572770985011</c:v>
                </c:pt>
                <c:pt idx="217" formatCode="_(&quot;$&quot;* #,##0.00_);_(&quot;$&quot;* \(#,##0.00\);_(&quot;$&quot;* &quot;-&quot;??_);_(@_)">
                  <c:v>-5290.1092959953103</c:v>
                </c:pt>
                <c:pt idx="218" formatCode="_(&quot;$&quot;* #,##0.00_);_(&quot;$&quot;* \(#,##0.00\);_(&quot;$&quot;* &quot;-&quot;??_);_(@_)">
                  <c:v>-3954.6958918926312</c:v>
                </c:pt>
                <c:pt idx="219" formatCode="_(&quot;$&quot;* #,##0.00_);_(&quot;$&quot;* \(#,##0.00\);_(&quot;$&quot;* &quot;-&quot;??_);_(@_)">
                  <c:v>-4083.2408419956846</c:v>
                </c:pt>
                <c:pt idx="220" formatCode="_(&quot;$&quot;* #,##0.00_);_(&quot;$&quot;* \(#,##0.00\);_(&quot;$&quot;* &quot;-&quot;??_);_(@_)">
                  <c:v>-3932.4171076443708</c:v>
                </c:pt>
                <c:pt idx="221" formatCode="_(&quot;$&quot;* #,##0.00_);_(&quot;$&quot;* \(#,##0.00\);_(&quot;$&quot;* &quot;-&quot;??_);_(@_)">
                  <c:v>-4006.0937010385255</c:v>
                </c:pt>
                <c:pt idx="222" formatCode="_(&quot;$&quot;* #,##0.00_);_(&quot;$&quot;* \(#,##0.00\);_(&quot;$&quot;* &quot;-&quot;??_);_(@_)">
                  <c:v>-4337.3677088313007</c:v>
                </c:pt>
                <c:pt idx="223" formatCode="_(&quot;$&quot;* #,##0.00_);_(&quot;$&quot;* \(#,##0.00\);_(&quot;$&quot;* &quot;-&quot;??_);_(@_)">
                  <c:v>-4858.9132743485534</c:v>
                </c:pt>
                <c:pt idx="224" formatCode="_(&quot;$&quot;* #,##0.00_);_(&quot;$&quot;* \(#,##0.00\);_(&quot;$&quot;* &quot;-&quot;??_);_(@_)">
                  <c:v>-5388.2168251568064</c:v>
                </c:pt>
                <c:pt idx="225" formatCode="_(&quot;$&quot;* #,##0.00_);_(&quot;$&quot;* \(#,##0.00\);_(&quot;$&quot;* &quot;-&quot;??_);_(@_)">
                  <c:v>-5578.7480522794176</c:v>
                </c:pt>
                <c:pt idx="226" formatCode="_(&quot;$&quot;* #,##0.00_);_(&quot;$&quot;* \(#,##0.00\);_(&quot;$&quot;* &quot;-&quot;??_);_(@_)">
                  <c:v>-5414.6186219034589</c:v>
                </c:pt>
                <c:pt idx="227" formatCode="_(&quot;$&quot;* #,##0.00_);_(&quot;$&quot;* \(#,##0.00\);_(&quot;$&quot;* &quot;-&quot;??_);_(@_)">
                  <c:v>-5838.9952808953049</c:v>
                </c:pt>
                <c:pt idx="228" formatCode="_(&quot;$&quot;* #,##0.00_);_(&quot;$&quot;* \(#,##0.00\);_(&quot;$&quot;* &quot;-&quot;??_);_(@_)">
                  <c:v>-5523.3956358332871</c:v>
                </c:pt>
                <c:pt idx="229" formatCode="_(&quot;$&quot;* #,##0.00_);_(&quot;$&quot;* \(#,##0.00\);_(&quot;$&quot;* &quot;-&quot;??_);_(@_)">
                  <c:v>-5478.6954099813547</c:v>
                </c:pt>
                <c:pt idx="230" formatCode="_(&quot;$&quot;* #,##0.00_);_(&quot;$&quot;* \(#,##0.00\);_(&quot;$&quot;* &quot;-&quot;??_);_(@_)">
                  <c:v>-5190.1854716383723</c:v>
                </c:pt>
                <c:pt idx="231" formatCode="_(&quot;$&quot;* #,##0.00_);_(&quot;$&quot;* \(#,##0.00\);_(&quot;$&quot;* &quot;-&quot;??_);_(@_)">
                  <c:v>-5413.1031616168248</c:v>
                </c:pt>
                <c:pt idx="232" formatCode="_(&quot;$&quot;* #,##0.00_);_(&quot;$&quot;* \(#,##0.00\);_(&quot;$&quot;* &quot;-&quot;??_);_(@_)">
                  <c:v>-5819.274248743287</c:v>
                </c:pt>
                <c:pt idx="233" formatCode="_(&quot;$&quot;* #,##0.00_);_(&quot;$&quot;* \(#,##0.00\);_(&quot;$&quot;* &quot;-&quot;??_);_(@_)">
                  <c:v>-5849.1266290965059</c:v>
                </c:pt>
                <c:pt idx="234" formatCode="_(&quot;$&quot;* #,##0.00_);_(&quot;$&quot;* \(#,##0.00\);_(&quot;$&quot;* &quot;-&quot;??_);_(@_)">
                  <c:v>-6395.0814926617832</c:v>
                </c:pt>
                <c:pt idx="235" formatCode="_(&quot;$&quot;* #,##0.00_);_(&quot;$&quot;* \(#,##0.00\);_(&quot;$&quot;* &quot;-&quot;??_);_(@_)">
                  <c:v>-6382.2634687779555</c:v>
                </c:pt>
                <c:pt idx="236" formatCode="_(&quot;$&quot;* #,##0.00_);_(&quot;$&quot;* \(#,##0.00\);_(&quot;$&quot;* &quot;-&quot;??_);_(@_)">
                  <c:v>-6773.6561490081704</c:v>
                </c:pt>
                <c:pt idx="237" formatCode="_(&quot;$&quot;* #,##0.00_);_(&quot;$&quot;* \(#,##0.00\);_(&quot;$&quot;* &quot;-&quot;??_);_(@_)">
                  <c:v>-6607.031024355515</c:v>
                </c:pt>
                <c:pt idx="238" formatCode="_(&quot;$&quot;* #,##0.00_);_(&quot;$&quot;* \(#,##0.00\);_(&quot;$&quot;* &quot;-&quot;??_);_(@_)">
                  <c:v>-6575.9556105696965</c:v>
                </c:pt>
                <c:pt idx="239" formatCode="_(&quot;$&quot;* #,##0.00_);_(&quot;$&quot;* \(#,##0.00\);_(&quot;$&quot;* &quot;-&quot;??_);_(@_)">
                  <c:v>-6816.0877347522037</c:v>
                </c:pt>
                <c:pt idx="240" formatCode="_(&quot;$&quot;* #,##0.00_);_(&quot;$&quot;* \(#,##0.00\);_(&quot;$&quot;* &quot;-&quot;??_);_(@_)">
                  <c:v>-6469.1822248707131</c:v>
                </c:pt>
                <c:pt idx="241" formatCode="_(&quot;$&quot;* #,##0.00_);_(&quot;$&quot;* \(#,##0.00\);_(&quot;$&quot;* &quot;-&quot;??_);_(@_)">
                  <c:v>-6341.2792025887275</c:v>
                </c:pt>
                <c:pt idx="242" formatCode="_(&quot;$&quot;* #,##0.00_);_(&quot;$&quot;* \(#,##0.00\);_(&quot;$&quot;* &quot;-&quot;??_);_(@_)">
                  <c:v>-5940.0371671399498</c:v>
                </c:pt>
                <c:pt idx="243" formatCode="_(&quot;$&quot;* #,##0.00_);_(&quot;$&quot;* \(#,##0.00\);_(&quot;$&quot;* &quot;-&quot;??_);_(@_)">
                  <c:v>-6595.2757938816903</c:v>
                </c:pt>
                <c:pt idx="244" formatCode="_(&quot;$&quot;* #,##0.00_);_(&quot;$&quot;* \(#,##0.00\);_(&quot;$&quot;* &quot;-&quot;??_);_(@_)">
                  <c:v>-6268.3482229939609</c:v>
                </c:pt>
                <c:pt idx="245" formatCode="_(&quot;$&quot;* #,##0.00_);_(&quot;$&quot;* \(#,##0.00\);_(&quot;$&quot;* &quot;-&quot;??_);_(@_)">
                  <c:v>-6833.8001772396237</c:v>
                </c:pt>
                <c:pt idx="246" formatCode="_(&quot;$&quot;* #,##0.00_);_(&quot;$&quot;* \(#,##0.00\);_(&quot;$&quot;* &quot;-&quot;??_);_(@_)">
                  <c:v>-6937.9326463038933</c:v>
                </c:pt>
                <c:pt idx="247" formatCode="_(&quot;$&quot;* #,##0.00_);_(&quot;$&quot;* \(#,##0.00\);_(&quot;$&quot;* &quot;-&quot;??_);_(@_)">
                  <c:v>-6890.0572572439123</c:v>
                </c:pt>
                <c:pt idx="248" formatCode="_(&quot;$&quot;* #,##0.00_);_(&quot;$&quot;* \(#,##0.00\);_(&quot;$&quot;* &quot;-&quot;??_);_(@_)">
                  <c:v>-6361.9578866695483</c:v>
                </c:pt>
                <c:pt idx="249" formatCode="_(&quot;$&quot;* #,##0.00_);_(&quot;$&quot;* \(#,##0.00\);_(&quot;$&quot;* &quot;-&quot;??_);_(@_)">
                  <c:v>-6217.232155875532</c:v>
                </c:pt>
                <c:pt idx="250" formatCode="_(&quot;$&quot;* #,##0.00_);_(&quot;$&quot;* \(#,##0.00\);_(&quot;$&quot;* &quot;-&quot;??_);_(@_)">
                  <c:v>-6496.0444958205399</c:v>
                </c:pt>
                <c:pt idx="251" formatCode="_(&quot;$&quot;* #,##0.00_);_(&quot;$&quot;* \(#,##0.00\);_(&quot;$&quot;* &quot;-&quot;??_);_(@_)">
                  <c:v>-6893.1880634761474</c:v>
                </c:pt>
                <c:pt idx="252" formatCode="_(&quot;$&quot;* #,##0.00_);_(&quot;$&quot;* \(#,##0.00\);_(&quot;$&quot;* &quot;-&quot;??_);_(@_)">
                  <c:v>-7077.1216822854967</c:v>
                </c:pt>
                <c:pt idx="253" formatCode="_(&quot;$&quot;* #,##0.00_);_(&quot;$&quot;* \(#,##0.00\);_(&quot;$&quot;* &quot;-&quot;??_);_(@_)">
                  <c:v>-7115.059397899784</c:v>
                </c:pt>
                <c:pt idx="254" formatCode="_(&quot;$&quot;* #,##0.00_);_(&quot;$&quot;* \(#,##0.00\);_(&quot;$&quot;* &quot;-&quot;??_);_(@_)">
                  <c:v>-6670.7645476810048</c:v>
                </c:pt>
                <c:pt idx="255" formatCode="_(&quot;$&quot;* #,##0.00_);_(&quot;$&quot;* \(#,##0.00\);_(&quot;$&quot;* &quot;-&quot;??_);_(@_)">
                  <c:v>-6748.4887518592868</c:v>
                </c:pt>
                <c:pt idx="256" formatCode="_(&quot;$&quot;* #,##0.00_);_(&quot;$&quot;* \(#,##0.00\);_(&quot;$&quot;* &quot;-&quot;??_);_(@_)">
                  <c:v>-6942.9208449819707</c:v>
                </c:pt>
                <c:pt idx="257" formatCode="_(&quot;$&quot;* #,##0.00_);_(&quot;$&quot;* \(#,##0.00\);_(&quot;$&quot;* &quot;-&quot;??_);_(@_)">
                  <c:v>-6849.220023300506</c:v>
                </c:pt>
                <c:pt idx="258" formatCode="_(&quot;$&quot;* #,##0.00_);_(&quot;$&quot;* \(#,##0.00\);_(&quot;$&quot;* &quot;-&quot;??_);_(@_)">
                  <c:v>-7077.8042737194173</c:v>
                </c:pt>
                <c:pt idx="259" formatCode="_(&quot;$&quot;* #,##0.00_);_(&quot;$&quot;* \(#,##0.00\);_(&quot;$&quot;* &quot;-&quot;??_);_(@_)">
                  <c:v>-7105.1329445842466</c:v>
                </c:pt>
                <c:pt idx="260" formatCode="_(&quot;$&quot;* #,##0.00_);_(&quot;$&quot;* \(#,##0.00\);_(&quot;$&quot;* &quot;-&quot;??_);_(@_)">
                  <c:v>-7128.2812136177999</c:v>
                </c:pt>
                <c:pt idx="261" formatCode="_(&quot;$&quot;* #,##0.00_);_(&quot;$&quot;* \(#,##0.00\);_(&quot;$&quot;* &quot;-&quot;??_);_(@_)">
                  <c:v>-7122.7343766540125</c:v>
                </c:pt>
                <c:pt idx="262" formatCode="_(&quot;$&quot;* #,##0.00_);_(&quot;$&quot;* \(#,##0.00\);_(&quot;$&quot;* &quot;-&quot;??_);_(@_)">
                  <c:v>-7104.955348757625</c:v>
                </c:pt>
                <c:pt idx="263" formatCode="_(&quot;$&quot;* #,##0.00_);_(&quot;$&quot;* \(#,##0.00\);_(&quot;$&quot;* &quot;-&quot;??_);_(@_)">
                  <c:v>-7285.0445067221963</c:v>
                </c:pt>
                <c:pt idx="264" formatCode="_(&quot;$&quot;* #,##0.00_);_(&quot;$&quot;* \(#,##0.00\);_(&quot;$&quot;* &quot;-&quot;??_);_(@_)">
                  <c:v>-7155.9237656273299</c:v>
                </c:pt>
                <c:pt idx="265" formatCode="_(&quot;$&quot;* #,##0.00_);_(&quot;$&quot;* \(#,##0.00\);_(&quot;$&quot;* &quot;-&quot;??_);_(@_)">
                  <c:v>-6994.0129997597587</c:v>
                </c:pt>
                <c:pt idx="266" formatCode="_(&quot;$&quot;* #,##0.00_);_(&quot;$&quot;* \(#,##0.00\);_(&quot;$&quot;* &quot;-&quot;??_);_(@_)">
                  <c:v>-6915.5979134065237</c:v>
                </c:pt>
                <c:pt idx="267" formatCode="_(&quot;$&quot;* #,##0.00_);_(&quot;$&quot;* \(#,##0.00\);_(&quot;$&quot;* &quot;-&quot;??_);_(@_)">
                  <c:v>-6871.6227954973238</c:v>
                </c:pt>
                <c:pt idx="268" formatCode="_(&quot;$&quot;* #,##0.00_);_(&quot;$&quot;* \(#,##0.00\);_(&quot;$&quot;* &quot;-&quot;??_);_(@_)">
                  <c:v>-6830.1422058297985</c:v>
                </c:pt>
                <c:pt idx="269" formatCode="_(&quot;$&quot;* #,##0.00_);_(&quot;$&quot;* \(#,##0.00\);_(&quot;$&quot;* &quot;-&quot;??_);_(@_)">
                  <c:v>-7058.6717757233146</c:v>
                </c:pt>
                <c:pt idx="270" formatCode="_(&quot;$&quot;* #,##0.00_);_(&quot;$&quot;* \(#,##0.00\);_(&quot;$&quot;* &quot;-&quot;??_);_(@_)">
                  <c:v>-6728.2550055965949</c:v>
                </c:pt>
                <c:pt idx="271" formatCode="_(&quot;$&quot;* #,##0.00_);_(&quot;$&quot;* \(#,##0.00\);_(&quot;$&quot;* &quot;-&quot;??_);_(@_)">
                  <c:v>-6629.7852762886096</c:v>
                </c:pt>
                <c:pt idx="272" formatCode="_(&quot;$&quot;* #,##0.00_);_(&quot;$&quot;* \(#,##0.00\);_(&quot;$&quot;* &quot;-&quot;??_);_(@_)">
                  <c:v>-6232.2641867872881</c:v>
                </c:pt>
                <c:pt idx="273" formatCode="_(&quot;$&quot;* #,##0.00_);_(&quot;$&quot;* \(#,##0.00\);_(&quot;$&quot;* &quot;-&quot;??_);_(@_)">
                  <c:v>-6022.9156046189055</c:v>
                </c:pt>
                <c:pt idx="274" formatCode="_(&quot;$&quot;* #,##0.00_);_(&quot;$&quot;* \(#,##0.00\);_(&quot;$&quot;* &quot;-&quot;??_);_(@_)">
                  <c:v>-6199.1442641869671</c:v>
                </c:pt>
                <c:pt idx="275" formatCode="_(&quot;$&quot;* #,##0.00_);_(&quot;$&quot;* \(#,##0.00\);_(&quot;$&quot;* &quot;-&quot;??_);_(@_)">
                  <c:v>-6340.7419628155694</c:v>
                </c:pt>
                <c:pt idx="276" formatCode="_(&quot;$&quot;* #,##0.00_);_(&quot;$&quot;* \(#,##0.00\);_(&quot;$&quot;* &quot;-&quot;??_);_(@_)">
                  <c:v>-5948.9848810680105</c:v>
                </c:pt>
                <c:pt idx="277" formatCode="_(&quot;$&quot;* #,##0.00_);_(&quot;$&quot;* \(#,##0.00\);_(&quot;$&quot;* &quot;-&quot;??_);_(@_)">
                  <c:v>-6337.6453183448921</c:v>
                </c:pt>
                <c:pt idx="278" formatCode="_(&quot;$&quot;* #,##0.00_);_(&quot;$&quot;* \(#,##0.00\);_(&quot;$&quot;* &quot;-&quot;??_);_(@_)">
                  <c:v>-5995.1265029833658</c:v>
                </c:pt>
                <c:pt idx="279" formatCode="_(&quot;$&quot;* #,##0.00_);_(&quot;$&quot;* \(#,##0.00\);_(&quot;$&quot;* &quot;-&quot;??_);_(@_)">
                  <c:v>-5825.1851045629701</c:v>
                </c:pt>
                <c:pt idx="280" formatCode="_(&quot;$&quot;* #,##0.00_);_(&quot;$&quot;* \(#,##0.00\);_(&quot;$&quot;* &quot;-&quot;??_);_(@_)">
                  <c:v>-6312.3921996132003</c:v>
                </c:pt>
                <c:pt idx="281" formatCode="_(&quot;$&quot;* #,##0.00_);_(&quot;$&quot;* \(#,##0.00\);_(&quot;$&quot;* &quot;-&quot;??_);_(@_)">
                  <c:v>-5850.4759926369452</c:v>
                </c:pt>
                <c:pt idx="282" formatCode="_(&quot;$&quot;* #,##0.00_);_(&quot;$&quot;* \(#,##0.00\);_(&quot;$&quot;* &quot;-&quot;??_);_(@_)">
                  <c:v>-5936.8353004783985</c:v>
                </c:pt>
                <c:pt idx="283" formatCode="_(&quot;$&quot;* #,##0.00_);_(&quot;$&quot;* \(#,##0.00\);_(&quot;$&quot;* &quot;-&quot;??_);_(@_)">
                  <c:v>-5343.362993413667</c:v>
                </c:pt>
                <c:pt idx="284" formatCode="_(&quot;$&quot;* #,##0.00_);_(&quot;$&quot;* \(#,##0.00\);_(&quot;$&quot;* &quot;-&quot;??_);_(@_)">
                  <c:v>-5338.4923395087744</c:v>
                </c:pt>
                <c:pt idx="285" formatCode="_(&quot;$&quot;* #,##0.00_);_(&quot;$&quot;* \(#,##0.00\);_(&quot;$&quot;* &quot;-&quot;??_);_(@_)">
                  <c:v>-4879.2593311986157</c:v>
                </c:pt>
                <c:pt idx="286" formatCode="_(&quot;$&quot;* #,##0.00_);_(&quot;$&quot;* \(#,##0.00\);_(&quot;$&quot;* &quot;-&quot;??_);_(@_)">
                  <c:v>-4815.6935965595067</c:v>
                </c:pt>
                <c:pt idx="287" formatCode="_(&quot;$&quot;* #,##0.00_);_(&quot;$&quot;* \(#,##0.00\);_(&quot;$&quot;* &quot;-&quot;??_);_(@_)">
                  <c:v>-5172.9120840562882</c:v>
                </c:pt>
                <c:pt idx="288" formatCode="_(&quot;$&quot;* #,##0.00_);_(&quot;$&quot;* \(#,##0.00\);_(&quot;$&quot;* &quot;-&quot;??_);_(@_)">
                  <c:v>-5370.9913962277233</c:v>
                </c:pt>
                <c:pt idx="289" formatCode="_(&quot;$&quot;* #,##0.00_);_(&quot;$&quot;* \(#,##0.00\);_(&quot;$&quot;* &quot;-&quot;??_);_(@_)">
                  <c:v>-5829.3703652894037</c:v>
                </c:pt>
                <c:pt idx="290" formatCode="_(&quot;$&quot;* #,##0.00_);_(&quot;$&quot;* \(#,##0.00\);_(&quot;$&quot;* &quot;-&quot;??_);_(@_)">
                  <c:v>-5680.3694566070299</c:v>
                </c:pt>
                <c:pt idx="291" formatCode="_(&quot;$&quot;* #,##0.00_);_(&quot;$&quot;* \(#,##0.00\);_(&quot;$&quot;* &quot;-&quot;??_);_(@_)">
                  <c:v>-5331.8085734522301</c:v>
                </c:pt>
                <c:pt idx="292" formatCode="_(&quot;$&quot;* #,##0.00_);_(&quot;$&quot;* \(#,##0.00\);_(&quot;$&quot;* &quot;-&quot;??_);_(@_)">
                  <c:v>-5490.5921874666492</c:v>
                </c:pt>
                <c:pt idx="293" formatCode="_(&quot;$&quot;* #,##0.00_);_(&quot;$&quot;* \(#,##0.00\);_(&quot;$&quot;* &quot;-&quot;??_);_(@_)">
                  <c:v>-5571.6853165758366</c:v>
                </c:pt>
                <c:pt idx="294" formatCode="_(&quot;$&quot;* #,##0.00_);_(&quot;$&quot;* \(#,##0.00\);_(&quot;$&quot;* &quot;-&quot;??_);_(@_)">
                  <c:v>-5152.7110716456809</c:v>
                </c:pt>
                <c:pt idx="295" formatCode="_(&quot;$&quot;* #,##0.00_);_(&quot;$&quot;* \(#,##0.00\);_(&quot;$&quot;* &quot;-&quot;??_);_(@_)">
                  <c:v>-5065.3268743232484</c:v>
                </c:pt>
                <c:pt idx="296" formatCode="_(&quot;$&quot;* #,##0.00_);_(&quot;$&quot;* \(#,##0.00\);_(&quot;$&quot;* &quot;-&quot;??_);_(@_)">
                  <c:v>-4880.7020436294824</c:v>
                </c:pt>
                <c:pt idx="297" formatCode="_(&quot;$&quot;* #,##0.00_);_(&quot;$&quot;* \(#,##0.00\);_(&quot;$&quot;* &quot;-&quot;??_);_(@_)">
                  <c:v>-5071.4845239679271</c:v>
                </c:pt>
                <c:pt idx="298" formatCode="_(&quot;$&quot;* #,##0.00_);_(&quot;$&quot;* \(#,##0.00\);_(&quot;$&quot;* &quot;-&quot;??_);_(@_)">
                  <c:v>-5304.7174644542692</c:v>
                </c:pt>
                <c:pt idx="299" formatCode="_(&quot;$&quot;* #,##0.00_);_(&quot;$&quot;* \(#,##0.00\);_(&quot;$&quot;* &quot;-&quot;??_);_(@_)">
                  <c:v>-5237.8940156077188</c:v>
                </c:pt>
                <c:pt idx="300" formatCode="_(&quot;$&quot;* #,##0.00_);_(&quot;$&quot;* \(#,##0.00\);_(&quot;$&quot;* &quot;-&quot;??_);_(@_)">
                  <c:v>-5631.3019002327928</c:v>
                </c:pt>
                <c:pt idx="301" formatCode="_(&quot;$&quot;* #,##0.00_);_(&quot;$&quot;* \(#,##0.00\);_(&quot;$&quot;* &quot;-&quot;??_);_(@_)">
                  <c:v>-5937.3677892141359</c:v>
                </c:pt>
                <c:pt idx="302" formatCode="_(&quot;$&quot;* #,##0.00_);_(&quot;$&quot;* \(#,##0.00\);_(&quot;$&quot;* &quot;-&quot;??_);_(@_)">
                  <c:v>-5464.9416100537046</c:v>
                </c:pt>
                <c:pt idx="303" formatCode="_(&quot;$&quot;* #,##0.00_);_(&quot;$&quot;* \(#,##0.00\);_(&quot;$&quot;* &quot;-&quot;??_);_(@_)">
                  <c:v>-5192.0267578943794</c:v>
                </c:pt>
                <c:pt idx="304" formatCode="_(&quot;$&quot;* #,##0.00_);_(&quot;$&quot;* \(#,##0.00\);_(&quot;$&quot;* &quot;-&quot;??_);_(@_)">
                  <c:v>-5048.253933632247</c:v>
                </c:pt>
                <c:pt idx="305" formatCode="_(&quot;$&quot;* #,##0.00_);_(&quot;$&quot;* \(#,##0.00\);_(&quot;$&quot;* &quot;-&quot;??_);_(@_)">
                  <c:v>-4938.4745234405309</c:v>
                </c:pt>
                <c:pt idx="306" formatCode="_(&quot;$&quot;* #,##0.00_);_(&quot;$&quot;* \(#,##0.00\);_(&quot;$&quot;* &quot;-&quot;??_);_(@_)">
                  <c:v>-5261.9779971170683</c:v>
                </c:pt>
                <c:pt idx="307" formatCode="_(&quot;$&quot;* #,##0.00_);_(&quot;$&quot;* \(#,##0.00\);_(&quot;$&quot;* &quot;-&quot;??_);_(@_)">
                  <c:v>-6212.5623431078529</c:v>
                </c:pt>
                <c:pt idx="308" formatCode="_(&quot;$&quot;* #,##0.00_);_(&quot;$&quot;* \(#,##0.00\);_(&quot;$&quot;* &quot;-&quot;??_);_(@_)">
                  <c:v>-5583.8067012024485</c:v>
                </c:pt>
                <c:pt idx="309" formatCode="_(&quot;$&quot;* #,##0.00_);_(&quot;$&quot;* \(#,##0.00\);_(&quot;$&quot;* &quot;-&quot;??_);_(@_)">
                  <c:v>-5887.5861943318596</c:v>
                </c:pt>
                <c:pt idx="310" formatCode="_(&quot;$&quot;* #,##0.00_);_(&quot;$&quot;* \(#,##0.00\);_(&quot;$&quot;* &quot;-&quot;??_);_(@_)">
                  <c:v>-5607.546779684717</c:v>
                </c:pt>
                <c:pt idx="311" formatCode="_(&quot;$&quot;* #,##0.00_);_(&quot;$&quot;* \(#,##0.00\);_(&quot;$&quot;* &quot;-&quot;??_);_(@_)">
                  <c:v>-4926.338195724602</c:v>
                </c:pt>
                <c:pt idx="312" formatCode="_(&quot;$&quot;* #,##0.00_);_(&quot;$&quot;* \(#,##0.00\);_(&quot;$&quot;* &quot;-&quot;??_);_(@_)">
                  <c:v>-4854.1711346050988</c:v>
                </c:pt>
                <c:pt idx="313" formatCode="_(&quot;$&quot;* #,##0.00_);_(&quot;$&quot;* \(#,##0.00\);_(&quot;$&quot;* &quot;-&quot;??_);_(@_)">
                  <c:v>-4330.0123827425314</c:v>
                </c:pt>
                <c:pt idx="314" formatCode="_(&quot;$&quot;* #,##0.00_);_(&quot;$&quot;* \(#,##0.00\);_(&quot;$&quot;* &quot;-&quot;??_);_(@_)">
                  <c:v>-4215.5711641115158</c:v>
                </c:pt>
                <c:pt idx="315" formatCode="_(&quot;$&quot;* #,##0.00_);_(&quot;$&quot;* \(#,##0.00\);_(&quot;$&quot;* &quot;-&quot;??_);_(@_)">
                  <c:v>-4374.5059237827272</c:v>
                </c:pt>
                <c:pt idx="316" formatCode="_(&quot;$&quot;* #,##0.00_);_(&quot;$&quot;* \(#,##0.00\);_(&quot;$&quot;* &quot;-&quot;??_);_(@_)">
                  <c:v>-4316.9712539043139</c:v>
                </c:pt>
                <c:pt idx="317" formatCode="_(&quot;$&quot;* #,##0.00_);_(&quot;$&quot;* \(#,##0.00\);_(&quot;$&quot;* &quot;-&quot;??_);_(@_)">
                  <c:v>-4051.6702966397588</c:v>
                </c:pt>
                <c:pt idx="318" formatCode="_(&quot;$&quot;* #,##0.00_);_(&quot;$&quot;* \(#,##0.00\);_(&quot;$&quot;* &quot;-&quot;??_);_(@_)">
                  <c:v>-4187.7329461367044</c:v>
                </c:pt>
                <c:pt idx="319" formatCode="_(&quot;$&quot;* #,##0.00_);_(&quot;$&quot;* \(#,##0.00\);_(&quot;$&quot;* &quot;-&quot;??_);_(@_)">
                  <c:v>-4194.906585207732</c:v>
                </c:pt>
                <c:pt idx="320" formatCode="_(&quot;$&quot;* #,##0.00_);_(&quot;$&quot;* \(#,##0.00\);_(&quot;$&quot;* &quot;-&quot;??_);_(@_)">
                  <c:v>-4432.6825319895652</c:v>
                </c:pt>
                <c:pt idx="321" formatCode="_(&quot;$&quot;* #,##0.00_);_(&quot;$&quot;* \(#,##0.00\);_(&quot;$&quot;* &quot;-&quot;??_);_(@_)">
                  <c:v>-4521.018693958712</c:v>
                </c:pt>
                <c:pt idx="322" formatCode="_(&quot;$&quot;* #,##0.00_);_(&quot;$&quot;* \(#,##0.00\);_(&quot;$&quot;* &quot;-&quot;??_);_(@_)">
                  <c:v>-4221.1628781236805</c:v>
                </c:pt>
                <c:pt idx="323" formatCode="_(&quot;$&quot;* #,##0.00_);_(&quot;$&quot;* \(#,##0.00\);_(&quot;$&quot;* &quot;-&quot;??_);_(@_)">
                  <c:v>-3945.0228245149128</c:v>
                </c:pt>
                <c:pt idx="324" formatCode="_(&quot;$&quot;* #,##0.00_);_(&quot;$&quot;* \(#,##0.00\);_(&quot;$&quot;* &quot;-&quot;??_);_(@_)">
                  <c:v>-4236.8371776039721</c:v>
                </c:pt>
                <c:pt idx="325" formatCode="_(&quot;$&quot;* #,##0.00_);_(&quot;$&quot;* \(#,##0.00\);_(&quot;$&quot;* &quot;-&quot;??_);_(@_)">
                  <c:v>-4558.9321225653839</c:v>
                </c:pt>
                <c:pt idx="326" formatCode="_(&quot;$&quot;* #,##0.00_);_(&quot;$&quot;* \(#,##0.00\);_(&quot;$&quot;* &quot;-&quot;??_);_(@_)">
                  <c:v>-4575.6370839557667</c:v>
                </c:pt>
                <c:pt idx="327" formatCode="_(&quot;$&quot;* #,##0.00_);_(&quot;$&quot;* \(#,##0.00\);_(&quot;$&quot;* &quot;-&quot;??_);_(@_)">
                  <c:v>-4789.0994938918802</c:v>
                </c:pt>
                <c:pt idx="328" formatCode="_(&quot;$&quot;* #,##0.00_);_(&quot;$&quot;* \(#,##0.00\);_(&quot;$&quot;* &quot;-&quot;??_);_(@_)">
                  <c:v>-5151.6002419173547</c:v>
                </c:pt>
                <c:pt idx="329" formatCode="_(&quot;$&quot;* #,##0.00_);_(&quot;$&quot;* \(#,##0.00\);_(&quot;$&quot;* &quot;-&quot;??_);_(@_)">
                  <c:v>-5338.946071106403</c:v>
                </c:pt>
                <c:pt idx="330" formatCode="_(&quot;$&quot;* #,##0.00_);_(&quot;$&quot;* \(#,##0.00\);_(&quot;$&quot;* &quot;-&quot;??_);_(@_)">
                  <c:v>-4849.6638060426194</c:v>
                </c:pt>
                <c:pt idx="331" formatCode="_(&quot;$&quot;* #,##0.00_);_(&quot;$&quot;* \(#,##0.00\);_(&quot;$&quot;* &quot;-&quot;??_);_(@_)">
                  <c:v>-5598.2970999495774</c:v>
                </c:pt>
                <c:pt idx="332" formatCode="_(&quot;$&quot;* #,##0.00_);_(&quot;$&quot;* \(#,##0.00\);_(&quot;$&quot;* &quot;-&quot;??_);_(@_)">
                  <c:v>-5812.9942929595054</c:v>
                </c:pt>
                <c:pt idx="333" formatCode="_(&quot;$&quot;* #,##0.00_);_(&quot;$&quot;* \(#,##0.00\);_(&quot;$&quot;* &quot;-&quot;??_);_(@_)">
                  <c:v>-5758.0134206448765</c:v>
                </c:pt>
                <c:pt idx="334" formatCode="_(&quot;$&quot;* #,##0.00_);_(&quot;$&quot;* \(#,##0.00\);_(&quot;$&quot;* &quot;-&quot;??_);_(@_)">
                  <c:v>-5892.754388657966</c:v>
                </c:pt>
                <c:pt idx="335" formatCode="_(&quot;$&quot;* #,##0.00_);_(&quot;$&quot;* \(#,##0.00\);_(&quot;$&quot;* &quot;-&quot;??_);_(@_)">
                  <c:v>-6238.7916730678335</c:v>
                </c:pt>
                <c:pt idx="336" formatCode="_(&quot;$&quot;* #,##0.00_);_(&quot;$&quot;* \(#,##0.00\);_(&quot;$&quot;* &quot;-&quot;??_);_(@_)">
                  <c:v>-6234.8034624083903</c:v>
                </c:pt>
                <c:pt idx="337" formatCode="_(&quot;$&quot;* #,##0.00_);_(&quot;$&quot;* \(#,##0.00\);_(&quot;$&quot;* &quot;-&quot;??_);_(@_)">
                  <c:v>-6373.351386592276</c:v>
                </c:pt>
                <c:pt idx="338" formatCode="_(&quot;$&quot;* #,##0.00_);_(&quot;$&quot;* \(#,##0.00\);_(&quot;$&quot;* &quot;-&quot;??_);_(@_)">
                  <c:v>-6397.9449498276399</c:v>
                </c:pt>
                <c:pt idx="339" formatCode="_(&quot;$&quot;* #,##0.00_);_(&quot;$&quot;* \(#,##0.00\);_(&quot;$&quot;* &quot;-&quot;??_);_(@_)">
                  <c:v>-6367.7502879931653</c:v>
                </c:pt>
                <c:pt idx="340" formatCode="_(&quot;$&quot;* #,##0.00_);_(&quot;$&quot;* \(#,##0.00\);_(&quot;$&quot;* &quot;-&quot;??_);_(@_)">
                  <c:v>-6426.8242761309684</c:v>
                </c:pt>
                <c:pt idx="341" formatCode="_(&quot;$&quot;* #,##0.00_);_(&quot;$&quot;* \(#,##0.00\);_(&quot;$&quot;* &quot;-&quot;??_);_(@_)">
                  <c:v>-6378.6261690333731</c:v>
                </c:pt>
                <c:pt idx="342" formatCode="_(&quot;$&quot;* #,##0.00_);_(&quot;$&quot;* \(#,##0.00\);_(&quot;$&quot;* &quot;-&quot;??_);_(@_)">
                  <c:v>-6126.5785829584402</c:v>
                </c:pt>
                <c:pt idx="343" formatCode="_(&quot;$&quot;* #,##0.00_);_(&quot;$&quot;* \(#,##0.00\);_(&quot;$&quot;* &quot;-&quot;??_);_(@_)">
                  <c:v>-5703.2900252262762</c:v>
                </c:pt>
                <c:pt idx="344" formatCode="_(&quot;$&quot;* #,##0.00_);_(&quot;$&quot;* \(#,##0.00\);_(&quot;$&quot;* &quot;-&quot;??_);_(@_)">
                  <c:v>-6079.1495327740704</c:v>
                </c:pt>
                <c:pt idx="345" formatCode="_(&quot;$&quot;* #,##0.00_);_(&quot;$&quot;* \(#,##0.00\);_(&quot;$&quot;* &quot;-&quot;??_);_(@_)">
                  <c:v>-6115.7194501656859</c:v>
                </c:pt>
                <c:pt idx="346" formatCode="_(&quot;$&quot;* #,##0.00_);_(&quot;$&quot;* \(#,##0.00\);_(&quot;$&quot;* &quot;-&quot;??_);_(@_)">
                  <c:v>-6065.5670436370046</c:v>
                </c:pt>
                <c:pt idx="347" formatCode="_(&quot;$&quot;* #,##0.00_);_(&quot;$&quot;* \(#,##0.00\);_(&quot;$&quot;* &quot;-&quot;??_);_(@_)">
                  <c:v>-5723.9978790530749</c:v>
                </c:pt>
                <c:pt idx="348" formatCode="_(&quot;$&quot;* #,##0.00_);_(&quot;$&quot;* \(#,##0.00\);_(&quot;$&quot;* &quot;-&quot;??_);_(@_)">
                  <c:v>-5658.1524654698815</c:v>
                </c:pt>
                <c:pt idx="349" formatCode="_(&quot;$&quot;* #,##0.00_);_(&quot;$&quot;* \(#,##0.00\);_(&quot;$&quot;* &quot;-&quot;??_);_(@_)">
                  <c:v>-5200.1051484691734</c:v>
                </c:pt>
                <c:pt idx="350" formatCode="_(&quot;$&quot;* #,##0.00_);_(&quot;$&quot;* \(#,##0.00\);_(&quot;$&quot;* &quot;-&quot;??_);_(@_)">
                  <c:v>-5393.1620807991903</c:v>
                </c:pt>
                <c:pt idx="351" formatCode="_(&quot;$&quot;* #,##0.00_);_(&quot;$&quot;* \(#,##0.00\);_(&quot;$&quot;* &quot;-&quot;??_);_(@_)">
                  <c:v>-5413.5025152993685</c:v>
                </c:pt>
                <c:pt idx="352" formatCode="_(&quot;$&quot;* #,##0.00_);_(&quot;$&quot;* \(#,##0.00\);_(&quot;$&quot;* &quot;-&quot;??_);_(@_)">
                  <c:v>-5559.037830342224</c:v>
                </c:pt>
                <c:pt idx="353" formatCode="_(&quot;$&quot;* #,##0.00_);_(&quot;$&quot;* \(#,##0.00\);_(&quot;$&quot;* &quot;-&quot;??_);_(@_)">
                  <c:v>-5230.0811515908972</c:v>
                </c:pt>
                <c:pt idx="354" formatCode="_(&quot;$&quot;* #,##0.00_);_(&quot;$&quot;* \(#,##0.00\);_(&quot;$&quot;* &quot;-&quot;??_);_(@_)">
                  <c:v>-4443.1425118421639</c:v>
                </c:pt>
                <c:pt idx="355" formatCode="_(&quot;$&quot;* #,##0.00_);_(&quot;$&quot;* \(#,##0.00\);_(&quot;$&quot;* &quot;-&quot;??_);_(@_)">
                  <c:v>-4341.4357690184806</c:v>
                </c:pt>
                <c:pt idx="356" formatCode="_(&quot;$&quot;* #,##0.00_);_(&quot;$&quot;* \(#,##0.00\);_(&quot;$&quot;* &quot;-&quot;??_);_(@_)">
                  <c:v>-4237.4148871874759</c:v>
                </c:pt>
                <c:pt idx="357" formatCode="_(&quot;$&quot;* #,##0.00_);_(&quot;$&quot;* \(#,##0.00\);_(&quot;$&quot;* &quot;-&quot;??_);_(@_)">
                  <c:v>-4139.4117666388429</c:v>
                </c:pt>
                <c:pt idx="358" formatCode="_(&quot;$&quot;* #,##0.00_);_(&quot;$&quot;* \(#,##0.00\);_(&quot;$&quot;* &quot;-&quot;??_);_(@_)">
                  <c:v>-4090.4720445311195</c:v>
                </c:pt>
                <c:pt idx="359" formatCode="_(&quot;$&quot;* #,##0.00_);_(&quot;$&quot;* \(#,##0.00\);_(&quot;$&quot;* &quot;-&quot;??_);_(@_)">
                  <c:v>-4139.2446312981638</c:v>
                </c:pt>
                <c:pt idx="360" formatCode="_(&quot;$&quot;* #,##0.00_);_(&quot;$&quot;* \(#,##0.00\);_(&quot;$&quot;* &quot;-&quot;??_);_(@_)">
                  <c:v>-4125.3525387820682</c:v>
                </c:pt>
                <c:pt idx="361" formatCode="_(&quot;$&quot;* #,##0.00_);_(&quot;$&quot;* \(#,##0.00\);_(&quot;$&quot;* &quot;-&quot;??_);_(@_)">
                  <c:v>-4277.9593651866899</c:v>
                </c:pt>
                <c:pt idx="362" formatCode="_(&quot;$&quot;* #,##0.00_);_(&quot;$&quot;* \(#,##0.00\);_(&quot;$&quot;* &quot;-&quot;??_);_(@_)">
                  <c:v>-4316.1449236794424</c:v>
                </c:pt>
                <c:pt idx="363" formatCode="_(&quot;$&quot;* #,##0.00_);_(&quot;$&quot;* \(#,##0.00\);_(&quot;$&quot;* &quot;-&quot;??_);_(@_)">
                  <c:v>-4276.9424043254721</c:v>
                </c:pt>
                <c:pt idx="364" formatCode="_(&quot;$&quot;* #,##0.00_);_(&quot;$&quot;* \(#,##0.00\);_(&quot;$&quot;* &quot;-&quot;??_);_(@_)">
                  <c:v>-3973.8617237196127</c:v>
                </c:pt>
                <c:pt idx="365" formatCode="_(&quot;$&quot;* #,##0.00_);_(&quot;$&quot;* \(#,##0.00\);_(&quot;$&quot;* &quot;-&quot;??_);_(@_)">
                  <c:v>-3849.6056538750122</c:v>
                </c:pt>
                <c:pt idx="366" formatCode="_(&quot;$&quot;* #,##0.00_);_(&quot;$&quot;* \(#,##0.00\);_(&quot;$&quot;* &quot;-&quot;??_);_(@_)">
                  <c:v>-3917.8876235635944</c:v>
                </c:pt>
                <c:pt idx="367" formatCode="_(&quot;$&quot;* #,##0.00_);_(&quot;$&quot;* \(#,##0.00\);_(&quot;$&quot;* &quot;-&quot;??_);_(@_)">
                  <c:v>-3790.8383456098277</c:v>
                </c:pt>
                <c:pt idx="368" formatCode="_(&quot;$&quot;* #,##0.00_);_(&quot;$&quot;* \(#,##0.00\);_(&quot;$&quot;* &quot;-&quot;??_);_(@_)">
                  <c:v>-3981.5756390653892</c:v>
                </c:pt>
                <c:pt idx="369" formatCode="_(&quot;$&quot;* #,##0.00_);_(&quot;$&quot;* \(#,##0.00\);_(&quot;$&quot;* &quot;-&quot;??_);_(@_)">
                  <c:v>-3686.1804800411787</c:v>
                </c:pt>
                <c:pt idx="370" formatCode="_(&quot;$&quot;* #,##0.00_);_(&quot;$&quot;* \(#,##0.00\);_(&quot;$&quot;* &quot;-&quot;??_);_(@_)">
                  <c:v>-3642.4308072986964</c:v>
                </c:pt>
                <c:pt idx="371" formatCode="_(&quot;$&quot;* #,##0.00_);_(&quot;$&quot;* \(#,##0.00\);_(&quot;$&quot;* &quot;-&quot;??_);_(@_)">
                  <c:v>-3836.1063441188144</c:v>
                </c:pt>
                <c:pt idx="372" formatCode="_(&quot;$&quot;* #,##0.00_);_(&quot;$&quot;* \(#,##0.00\);_(&quot;$&quot;* &quot;-&quot;??_);_(@_)">
                  <c:v>-4061.485538493429</c:v>
                </c:pt>
                <c:pt idx="373" formatCode="_(&quot;$&quot;* #,##0.00_);_(&quot;$&quot;* \(#,##0.00\);_(&quot;$&quot;* &quot;-&quot;??_);_(@_)">
                  <c:v>-4102.7170151840937</c:v>
                </c:pt>
                <c:pt idx="374" formatCode="_(&quot;$&quot;* #,##0.00_);_(&quot;$&quot;* \(#,##0.00\);_(&quot;$&quot;* &quot;-&quot;??_);_(@_)">
                  <c:v>-4462.3798147929701</c:v>
                </c:pt>
                <c:pt idx="375" formatCode="_(&quot;$&quot;* #,##0.00_);_(&quot;$&quot;* \(#,##0.00\);_(&quot;$&quot;* &quot;-&quot;??_);_(@_)">
                  <c:v>-4299.1678326131814</c:v>
                </c:pt>
                <c:pt idx="376" formatCode="_(&quot;$&quot;* #,##0.00_);_(&quot;$&quot;* \(#,##0.00\);_(&quot;$&quot;* &quot;-&quot;??_);_(@_)">
                  <c:v>-4204.6935082481987</c:v>
                </c:pt>
                <c:pt idx="377" formatCode="_(&quot;$&quot;* #,##0.00_);_(&quot;$&quot;* \(#,##0.00\);_(&quot;$&quot;* &quot;-&quot;??_);_(@_)">
                  <c:v>-3831.1676168593281</c:v>
                </c:pt>
                <c:pt idx="378" formatCode="_(&quot;$&quot;* #,##0.00_);_(&quot;$&quot;* \(#,##0.00\);_(&quot;$&quot;* &quot;-&quot;??_);_(@_)">
                  <c:v>-3940.2882648163841</c:v>
                </c:pt>
                <c:pt idx="379" formatCode="_(&quot;$&quot;* #,##0.00_);_(&quot;$&quot;* \(#,##0.00\);_(&quot;$&quot;* &quot;-&quot;??_);_(@_)">
                  <c:v>-3892.0706114214172</c:v>
                </c:pt>
                <c:pt idx="380" formatCode="_(&quot;$&quot;* #,##0.00_);_(&quot;$&quot;* \(#,##0.00\);_(&quot;$&quot;* &quot;-&quot;??_);_(@_)">
                  <c:v>-3964.3548222887707</c:v>
                </c:pt>
                <c:pt idx="381" formatCode="_(&quot;$&quot;* #,##0.00_);_(&quot;$&quot;* \(#,##0.00\);_(&quot;$&quot;* &quot;-&quot;??_);_(@_)">
                  <c:v>-3909.9521579199627</c:v>
                </c:pt>
                <c:pt idx="382" formatCode="_(&quot;$&quot;* #,##0.00_);_(&quot;$&quot;* \(#,##0.00\);_(&quot;$&quot;* &quot;-&quot;??_);_(@_)">
                  <c:v>-3765.9988732182269</c:v>
                </c:pt>
                <c:pt idx="383" formatCode="_(&quot;$&quot;* #,##0.00_);_(&quot;$&quot;* \(#,##0.00\);_(&quot;$&quot;* &quot;-&quot;??_);_(@_)">
                  <c:v>-3913.8255802551121</c:v>
                </c:pt>
                <c:pt idx="384" formatCode="_(&quot;$&quot;* #,##0.00_);_(&quot;$&quot;* \(#,##0.00\);_(&quot;$&quot;* &quot;-&quot;??_);_(@_)">
                  <c:v>-4160.5756526813529</c:v>
                </c:pt>
                <c:pt idx="385" formatCode="_(&quot;$&quot;* #,##0.00_);_(&quot;$&quot;* \(#,##0.00\);_(&quot;$&quot;* &quot;-&quot;??_);_(@_)">
                  <c:v>-4122.1775628469059</c:v>
                </c:pt>
                <c:pt idx="386" formatCode="_(&quot;$&quot;* #,##0.00_);_(&quot;$&quot;* \(#,##0.00\);_(&quot;$&quot;* &quot;-&quot;??_);_(@_)">
                  <c:v>-4287.8420430041406</c:v>
                </c:pt>
                <c:pt idx="387" formatCode="_(&quot;$&quot;* #,##0.00_);_(&quot;$&quot;* \(#,##0.00\);_(&quot;$&quot;* &quot;-&quot;??_);_(@_)">
                  <c:v>-4271.8559284005396</c:v>
                </c:pt>
                <c:pt idx="388" formatCode="_(&quot;$&quot;* #,##0.00_);_(&quot;$&quot;* \(#,##0.00\);_(&quot;$&quot;* &quot;-&quot;??_);_(@_)">
                  <c:v>-4431.093035962127</c:v>
                </c:pt>
                <c:pt idx="389" formatCode="_(&quot;$&quot;* #,##0.00_);_(&quot;$&quot;* \(#,##0.00\);_(&quot;$&quot;* &quot;-&quot;??_);_(@_)">
                  <c:v>-4641.9175357858658</c:v>
                </c:pt>
                <c:pt idx="390" formatCode="_(&quot;$&quot;* #,##0.00_);_(&quot;$&quot;* \(#,##0.00\);_(&quot;$&quot;* &quot;-&quot;??_);_(@_)">
                  <c:v>-4859.9257501668726</c:v>
                </c:pt>
                <c:pt idx="391" formatCode="_(&quot;$&quot;* #,##0.00_);_(&quot;$&quot;* \(#,##0.00\);_(&quot;$&quot;* &quot;-&quot;??_);_(@_)">
                  <c:v>-4937.0658941492129</c:v>
                </c:pt>
                <c:pt idx="392" formatCode="_(&quot;$&quot;* #,##0.00_);_(&quot;$&quot;* \(#,##0.00\);_(&quot;$&quot;* &quot;-&quot;??_);_(@_)">
                  <c:v>-5136.4778034135297</c:v>
                </c:pt>
                <c:pt idx="393" formatCode="_(&quot;$&quot;* #,##0.00_);_(&quot;$&quot;* \(#,##0.00\);_(&quot;$&quot;* &quot;-&quot;??_);_(@_)">
                  <c:v>-5128.3100198298689</c:v>
                </c:pt>
                <c:pt idx="394" formatCode="_(&quot;$&quot;* #,##0.00_);_(&quot;$&quot;* \(#,##0.00\);_(&quot;$&quot;* &quot;-&quot;??_);_(@_)">
                  <c:v>-5328.5105726981419</c:v>
                </c:pt>
                <c:pt idx="395" formatCode="_(&quot;$&quot;* #,##0.00_);_(&quot;$&quot;* \(#,##0.00\);_(&quot;$&quot;* &quot;-&quot;??_);_(@_)">
                  <c:v>-4777.7918885276595</c:v>
                </c:pt>
                <c:pt idx="396" formatCode="_(&quot;$&quot;* #,##0.00_);_(&quot;$&quot;* \(#,##0.00\);_(&quot;$&quot;* &quot;-&quot;??_);_(@_)">
                  <c:v>-4698.0839550610963</c:v>
                </c:pt>
                <c:pt idx="397" formatCode="_(&quot;$&quot;* #,##0.00_);_(&quot;$&quot;* \(#,##0.00\);_(&quot;$&quot;* &quot;-&quot;??_);_(@_)">
                  <c:v>-4746.5833413494556</c:v>
                </c:pt>
                <c:pt idx="398" formatCode="_(&quot;$&quot;* #,##0.00_);_(&quot;$&quot;* \(#,##0.00\);_(&quot;$&quot;* &quot;-&quot;??_);_(@_)">
                  <c:v>-4383.5778756311302</c:v>
                </c:pt>
                <c:pt idx="399" formatCode="_(&quot;$&quot;* #,##0.00_);_(&quot;$&quot;* \(#,##0.00\);_(&quot;$&quot;* &quot;-&quot;??_);_(@_)">
                  <c:v>-3715.025781853104</c:v>
                </c:pt>
                <c:pt idx="400" formatCode="_(&quot;$&quot;* #,##0.00_);_(&quot;$&quot;* \(#,##0.00\);_(&quot;$&quot;* &quot;-&quot;??_);_(@_)">
                  <c:v>-2633.0853196537546</c:v>
                </c:pt>
                <c:pt idx="401" formatCode="_(&quot;$&quot;* #,##0.00_);_(&quot;$&quot;* \(#,##0.00\);_(&quot;$&quot;* &quot;-&quot;??_);_(@_)">
                  <c:v>-2385.4909326572406</c:v>
                </c:pt>
                <c:pt idx="402" formatCode="_(&quot;$&quot;* #,##0.00_);_(&quot;$&quot;* \(#,##0.00\);_(&quot;$&quot;* &quot;-&quot;??_);_(@_)">
                  <c:v>-1610.7795676520095</c:v>
                </c:pt>
                <c:pt idx="403" formatCode="_(&quot;$&quot;* #,##0.00_);_(&quot;$&quot;* \(#,##0.00\);_(&quot;$&quot;* &quot;-&quot;??_);_(@_)">
                  <c:v>-1060.0355213952753</c:v>
                </c:pt>
                <c:pt idx="404" formatCode="_(&quot;$&quot;* #,##0.00_);_(&quot;$&quot;* \(#,##0.00\);_(&quot;$&quot;* &quot;-&quot;??_);_(@_)">
                  <c:v>-917.02670510125836</c:v>
                </c:pt>
                <c:pt idx="405" formatCode="_(&quot;$&quot;* #,##0.00_);_(&quot;$&quot;* \(#,##0.00\);_(&quot;$&quot;* &quot;-&quot;??_);_(@_)">
                  <c:v>-745.14699025721177</c:v>
                </c:pt>
                <c:pt idx="406" formatCode="_(&quot;$&quot;* #,##0.00_);_(&quot;$&quot;* \(#,##0.00\);_(&quot;$&quot;* &quot;-&quot;??_);_(@_)">
                  <c:v>-769.07304310502479</c:v>
                </c:pt>
                <c:pt idx="407" formatCode="_(&quot;$&quot;* #,##0.00_);_(&quot;$&quot;* \(#,##0.00\);_(&quot;$&quot;* &quot;-&quot;??_);_(@_)">
                  <c:v>-225.17230812626497</c:v>
                </c:pt>
                <c:pt idx="408" formatCode="_(&quot;$&quot;* #,##0.00_);_(&quot;$&quot;* \(#,##0.00\);_(&quot;$&quot;* &quot;-&quot;??_);_(@_)">
                  <c:v>378.95289985677607</c:v>
                </c:pt>
                <c:pt idx="409" formatCode="_(&quot;$&quot;* #,##0.00_);_(&quot;$&quot;* \(#,##0.00\);_(&quot;$&quot;* &quot;-&quot;??_);_(@_)">
                  <c:v>183.3192258968287</c:v>
                </c:pt>
                <c:pt idx="410" formatCode="_(&quot;$&quot;* #,##0.00_);_(&quot;$&quot;* \(#,##0.00\);_(&quot;$&quot;* &quot;-&quot;??_);_(@_)">
                  <c:v>-293.85805969004002</c:v>
                </c:pt>
                <c:pt idx="411" formatCode="_(&quot;$&quot;* #,##0.00_);_(&quot;$&quot;* \(#,##0.00\);_(&quot;$&quot;* &quot;-&quot;??_);_(@_)">
                  <c:v>-719.13099435031586</c:v>
                </c:pt>
                <c:pt idx="412" formatCode="_(&quot;$&quot;* #,##0.00_);_(&quot;$&quot;* \(#,##0.00\);_(&quot;$&quot;* &quot;-&quot;??_);_(@_)">
                  <c:v>-669.61335441929486</c:v>
                </c:pt>
                <c:pt idx="413" formatCode="_(&quot;$&quot;* #,##0.00_);_(&quot;$&quot;* \(#,##0.00\);_(&quot;$&quot;* &quot;-&quot;??_);_(@_)">
                  <c:v>-761.55379580472186</c:v>
                </c:pt>
                <c:pt idx="414" formatCode="_(&quot;$&quot;* #,##0.00_);_(&quot;$&quot;* \(#,##0.00\);_(&quot;$&quot;* &quot;-&quot;??_);_(@_)">
                  <c:v>-697.53886125773306</c:v>
                </c:pt>
                <c:pt idx="415" formatCode="_(&quot;$&quot;* #,##0.00_);_(&quot;$&quot;* \(#,##0.00\);_(&quot;$&quot;* &quot;-&quot;??_);_(@_)">
                  <c:v>-995.61752600508203</c:v>
                </c:pt>
                <c:pt idx="416" formatCode="_(&quot;$&quot;* #,##0.00_);_(&quot;$&quot;* \(#,##0.00\);_(&quot;$&quot;* &quot;-&quot;??_);_(@_)">
                  <c:v>-1442.6018295218105</c:v>
                </c:pt>
                <c:pt idx="417" formatCode="_(&quot;$&quot;* #,##0.00_);_(&quot;$&quot;* \(#,##0.00\);_(&quot;$&quot;* &quot;-&quot;??_);_(@_)">
                  <c:v>-1495.0611516885924</c:v>
                </c:pt>
                <c:pt idx="418" formatCode="_(&quot;$&quot;* #,##0.00_);_(&quot;$&quot;* \(#,##0.00\);_(&quot;$&quot;* &quot;-&quot;??_);_(@_)">
                  <c:v>-1174.9077902911417</c:v>
                </c:pt>
                <c:pt idx="419" formatCode="_(&quot;$&quot;* #,##0.00_);_(&quot;$&quot;* \(#,##0.00\);_(&quot;$&quot;* &quot;-&quot;??_);_(@_)">
                  <c:v>-1680.2749311694301</c:v>
                </c:pt>
                <c:pt idx="420" formatCode="_(&quot;$&quot;* #,##0.00_);_(&quot;$&quot;* \(#,##0.00\);_(&quot;$&quot;* &quot;-&quot;??_);_(@_)">
                  <c:v>-2306.3792733754335</c:v>
                </c:pt>
                <c:pt idx="421" formatCode="_(&quot;$&quot;* #,##0.00_);_(&quot;$&quot;* \(#,##0.00\);_(&quot;$&quot;* &quot;-&quot;??_);_(@_)">
                  <c:v>-2381.8756297889886</c:v>
                </c:pt>
                <c:pt idx="422" formatCode="_(&quot;$&quot;* #,##0.00_);_(&quot;$&quot;* \(#,##0.00\);_(&quot;$&quot;* &quot;-&quot;??_);_(@_)">
                  <c:v>-2940.3800079578082</c:v>
                </c:pt>
                <c:pt idx="423" formatCode="_(&quot;$&quot;* #,##0.00_);_(&quot;$&quot;* \(#,##0.00\);_(&quot;$&quot;* &quot;-&quot;??_);_(@_)">
                  <c:v>-2730.4527160239159</c:v>
                </c:pt>
                <c:pt idx="424" formatCode="_(&quot;$&quot;* #,##0.00_);_(&quot;$&quot;* \(#,##0.00\);_(&quot;$&quot;* &quot;-&quot;??_);_(@_)">
                  <c:v>-3049.12744984552</c:v>
                </c:pt>
                <c:pt idx="425" formatCode="_(&quot;$&quot;* #,##0.00_);_(&quot;$&quot;* \(#,##0.00\);_(&quot;$&quot;* &quot;-&quot;??_);_(@_)">
                  <c:v>-3107.4875772931432</c:v>
                </c:pt>
                <c:pt idx="426" formatCode="_(&quot;$&quot;* #,##0.00_);_(&quot;$&quot;* \(#,##0.00\);_(&quot;$&quot;* &quot;-&quot;??_);_(@_)">
                  <c:v>-3063.1229548662836</c:v>
                </c:pt>
                <c:pt idx="427" formatCode="_(&quot;$&quot;* #,##0.00_);_(&quot;$&quot;* \(#,##0.00\);_(&quot;$&quot;* &quot;-&quot;??_);_(@_)">
                  <c:v>-3066.5625937259597</c:v>
                </c:pt>
                <c:pt idx="428" formatCode="_(&quot;$&quot;* #,##0.00_);_(&quot;$&quot;* \(#,##0.00\);_(&quot;$&quot;* &quot;-&quot;??_);_(@_)">
                  <c:v>-3116.646069761051</c:v>
                </c:pt>
                <c:pt idx="429" formatCode="_(&quot;$&quot;* #,##0.00_);_(&quot;$&quot;* \(#,##0.00\);_(&quot;$&quot;* &quot;-&quot;??_);_(@_)">
                  <c:v>-3198.6374657736201</c:v>
                </c:pt>
                <c:pt idx="430" formatCode="_(&quot;$&quot;* #,##0.00_);_(&quot;$&quot;* \(#,##0.00\);_(&quot;$&quot;* &quot;-&quot;??_);_(@_)">
                  <c:v>-3084.7968966817452</c:v>
                </c:pt>
                <c:pt idx="431" formatCode="_(&quot;$&quot;* #,##0.00_);_(&quot;$&quot;* \(#,##0.00\);_(&quot;$&quot;* &quot;-&quot;??_);_(@_)">
                  <c:v>-2464.3565142613379</c:v>
                </c:pt>
                <c:pt idx="432" formatCode="_(&quot;$&quot;* #,##0.00_);_(&quot;$&quot;* \(#,##0.00\);_(&quot;$&quot;* &quot;-&quot;??_);_(@_)">
                  <c:v>-2116.2667095597035</c:v>
                </c:pt>
                <c:pt idx="433" formatCode="_(&quot;$&quot;* #,##0.00_);_(&quot;$&quot;* \(#,##0.00\);_(&quot;$&quot;* &quot;-&quot;??_);_(@_)">
                  <c:v>-2370.375157957551</c:v>
                </c:pt>
                <c:pt idx="434" formatCode="_(&quot;$&quot;* #,##0.00_);_(&quot;$&quot;* \(#,##0.00\);_(&quot;$&quot;* &quot;-&quot;??_);_(@_)">
                  <c:v>-2381.7849957015783</c:v>
                </c:pt>
                <c:pt idx="435" formatCode="_(&quot;$&quot;* #,##0.00_);_(&quot;$&quot;* \(#,##0.00\);_(&quot;$&quot;* &quot;-&quot;??_);_(@_)">
                  <c:v>-2009.2564768352659</c:v>
                </c:pt>
                <c:pt idx="436" formatCode="_(&quot;$&quot;* #,##0.00_);_(&quot;$&quot;* \(#,##0.00\);_(&quot;$&quot;* &quot;-&quot;??_);_(@_)">
                  <c:v>-2114.5853464622046</c:v>
                </c:pt>
                <c:pt idx="437" formatCode="_(&quot;$&quot;* #,##0.00_);_(&quot;$&quot;* \(#,##0.00\);_(&quot;$&quot;* &quot;-&quot;??_);_(@_)">
                  <c:v>-1872.2466802104479</c:v>
                </c:pt>
                <c:pt idx="438" formatCode="_(&quot;$&quot;* #,##0.00_);_(&quot;$&quot;* \(#,##0.00\);_(&quot;$&quot;* &quot;-&quot;??_);_(@_)">
                  <c:v>-1705.9030361656444</c:v>
                </c:pt>
                <c:pt idx="439" formatCode="_(&quot;$&quot;* #,##0.00_);_(&quot;$&quot;* \(#,##0.00\);_(&quot;$&quot;* &quot;-&quot;??_);_(@_)">
                  <c:v>-1497.4647247475077</c:v>
                </c:pt>
                <c:pt idx="440" formatCode="_(&quot;$&quot;* #,##0.00_);_(&quot;$&quot;* \(#,##0.00\);_(&quot;$&quot;* &quot;-&quot;??_);_(@_)">
                  <c:v>-1564.7710090849509</c:v>
                </c:pt>
                <c:pt idx="441" formatCode="_(&quot;$&quot;* #,##0.00_);_(&quot;$&quot;* \(#,##0.00\);_(&quot;$&quot;* &quot;-&quot;??_);_(@_)">
                  <c:v>-1083.4774046331104</c:v>
                </c:pt>
                <c:pt idx="442" formatCode="_(&quot;$&quot;* #,##0.00_);_(&quot;$&quot;* \(#,##0.00\);_(&quot;$&quot;* &quot;-&quot;??_);_(@_)">
                  <c:v>-758.64833514353666</c:v>
                </c:pt>
                <c:pt idx="443" formatCode="_(&quot;$&quot;* #,##0.00_);_(&quot;$&quot;* \(#,##0.00\);_(&quot;$&quot;* &quot;-&quot;??_);_(@_)">
                  <c:v>-896.74159135843547</c:v>
                </c:pt>
                <c:pt idx="444" formatCode="_(&quot;$&quot;* #,##0.00_);_(&quot;$&quot;* \(#,##0.00\);_(&quot;$&quot;* &quot;-&quot;??_);_(@_)">
                  <c:v>-1117.0291933644608</c:v>
                </c:pt>
                <c:pt idx="445" formatCode="_(&quot;$&quot;* #,##0.00_);_(&quot;$&quot;* \(#,##0.00\);_(&quot;$&quot;* &quot;-&quot;??_);_(@_)">
                  <c:v>-372.98359761413656</c:v>
                </c:pt>
                <c:pt idx="446" formatCode="_(&quot;$&quot;* #,##0.00_);_(&quot;$&quot;* \(#,##0.00\);_(&quot;$&quot;* &quot;-&quot;??_);_(@_)">
                  <c:v>-427.70911594602705</c:v>
                </c:pt>
                <c:pt idx="447" formatCode="_(&quot;$&quot;* #,##0.00_);_(&quot;$&quot;* \(#,##0.00\);_(&quot;$&quot;* &quot;-&quot;??_);_(@_)">
                  <c:v>-273.7337723365913</c:v>
                </c:pt>
                <c:pt idx="448" formatCode="_(&quot;$&quot;* #,##0.00_);_(&quot;$&quot;* \(#,##0.00\);_(&quot;$&quot;* &quot;-&quot;??_);_(@_)">
                  <c:v>-153.94960106204863</c:v>
                </c:pt>
                <c:pt idx="449" formatCode="_(&quot;$&quot;* #,##0.00_);_(&quot;$&quot;* \(#,##0.00\);_(&quot;$&quot;* &quot;-&quot;??_);_(@_)">
                  <c:v>-267.33689903200838</c:v>
                </c:pt>
                <c:pt idx="450" formatCode="_(&quot;$&quot;* #,##0.00_);_(&quot;$&quot;* \(#,##0.00\);_(&quot;$&quot;* &quot;-&quot;??_);_(@_)">
                  <c:v>-320.28591346002867</c:v>
                </c:pt>
                <c:pt idx="451" formatCode="_(&quot;$&quot;* #,##0.00_);_(&quot;$&quot;* \(#,##0.00\);_(&quot;$&quot;* &quot;-&quot;??_);_(@_)">
                  <c:v>43.188687367653699</c:v>
                </c:pt>
                <c:pt idx="452" formatCode="_(&quot;$&quot;* #,##0.00_);_(&quot;$&quot;* \(#,##0.00\);_(&quot;$&quot;* &quot;-&quot;??_);_(@_)">
                  <c:v>973.46022586865183</c:v>
                </c:pt>
                <c:pt idx="453" formatCode="_(&quot;$&quot;* #,##0.00_);_(&quot;$&quot;* \(#,##0.00\);_(&quot;$&quot;* &quot;-&quot;??_);_(@_)">
                  <c:v>1432.3362458396064</c:v>
                </c:pt>
                <c:pt idx="454" formatCode="_(&quot;$&quot;* #,##0.00_);_(&quot;$&quot;* \(#,##0.00\);_(&quot;$&quot;* &quot;-&quot;??_);_(@_)">
                  <c:v>1647.621533311908</c:v>
                </c:pt>
                <c:pt idx="455" formatCode="_(&quot;$&quot;* #,##0.00_);_(&quot;$&quot;* \(#,##0.00\);_(&quot;$&quot;* &quot;-&quot;??_);_(@_)">
                  <c:v>1966.428721732485</c:v>
                </c:pt>
                <c:pt idx="456" formatCode="_(&quot;$&quot;* #,##0.00_);_(&quot;$&quot;* \(#,##0.00\);_(&quot;$&quot;* &quot;-&quot;??_);_(@_)">
                  <c:v>2164.4353107469292</c:v>
                </c:pt>
                <c:pt idx="457" formatCode="_(&quot;$&quot;* #,##0.00_);_(&quot;$&quot;* \(#,##0.00\);_(&quot;$&quot;* &quot;-&quot;??_);_(@_)">
                  <c:v>1427.9818729371486</c:v>
                </c:pt>
                <c:pt idx="458" formatCode="_(&quot;$&quot;* #,##0.00_);_(&quot;$&quot;* \(#,##0.00\);_(&quot;$&quot;* &quot;-&quot;??_);_(@_)">
                  <c:v>1577.274267355084</c:v>
                </c:pt>
                <c:pt idx="459" formatCode="_(&quot;$&quot;* #,##0.00_);_(&quot;$&quot;* \(#,##0.00\);_(&quot;$&quot;* &quot;-&quot;??_);_(@_)">
                  <c:v>1117.836723634151</c:v>
                </c:pt>
                <c:pt idx="460" formatCode="_(&quot;$&quot;* #,##0.00_);_(&quot;$&quot;* \(#,##0.00\);_(&quot;$&quot;* &quot;-&quot;??_);_(@_)">
                  <c:v>2198.6460589067051</c:v>
                </c:pt>
                <c:pt idx="461" formatCode="_(&quot;$&quot;* #,##0.00_);_(&quot;$&quot;* \(#,##0.00\);_(&quot;$&quot;* &quot;-&quot;??_);_(@_)">
                  <c:v>1635.0955718678224</c:v>
                </c:pt>
                <c:pt idx="462" formatCode="_(&quot;$&quot;* #,##0.00_);_(&quot;$&quot;* \(#,##0.00\);_(&quot;$&quot;* &quot;-&quot;??_);_(@_)">
                  <c:v>1338.6876059774511</c:v>
                </c:pt>
                <c:pt idx="463" formatCode="_(&quot;$&quot;* #,##0.00_);_(&quot;$&quot;* \(#,##0.00\);_(&quot;$&quot;* &quot;-&quot;??_);_(@_)">
                  <c:v>1092.8390998075838</c:v>
                </c:pt>
                <c:pt idx="464" formatCode="_(&quot;$&quot;* #,##0.00_);_(&quot;$&quot;* \(#,##0.00\);_(&quot;$&quot;* &quot;-&quot;??_);_(@_)">
                  <c:v>1398.5094110153152</c:v>
                </c:pt>
                <c:pt idx="465" formatCode="_(&quot;$&quot;* #,##0.00_);_(&quot;$&quot;* \(#,##0.00\);_(&quot;$&quot;* &quot;-&quot;??_);_(@_)">
                  <c:v>1089.6317167152083</c:v>
                </c:pt>
                <c:pt idx="466" formatCode="_(&quot;$&quot;* #,##0.00_);_(&quot;$&quot;* \(#,##0.00\);_(&quot;$&quot;* &quot;-&quot;??_);_(@_)">
                  <c:v>1174.8965072375292</c:v>
                </c:pt>
                <c:pt idx="467" formatCode="_(&quot;$&quot;* #,##0.00_);_(&quot;$&quot;* \(#,##0.00\);_(&quot;$&quot;* &quot;-&quot;??_);_(@_)">
                  <c:v>546.01626146831666</c:v>
                </c:pt>
                <c:pt idx="468" formatCode="_(&quot;$&quot;* #,##0.00_);_(&quot;$&quot;* \(#,##0.00\);_(&quot;$&quot;* &quot;-&quot;??_);_(@_)">
                  <c:v>-272.26120408126678</c:v>
                </c:pt>
                <c:pt idx="469" formatCode="_(&quot;$&quot;* #,##0.00_);_(&quot;$&quot;* \(#,##0.00\);_(&quot;$&quot;* &quot;-&quot;??_);_(@_)">
                  <c:v>-641.62316657312067</c:v>
                </c:pt>
                <c:pt idx="470" formatCode="_(&quot;$&quot;* #,##0.00_);_(&quot;$&quot;* \(#,##0.00\);_(&quot;$&quot;* &quot;-&quot;??_);_(@_)">
                  <c:v>128.53936992249589</c:v>
                </c:pt>
                <c:pt idx="471" formatCode="_(&quot;$&quot;* #,##0.00_);_(&quot;$&quot;* \(#,##0.00\);_(&quot;$&quot;* &quot;-&quot;??_);_(@_)">
                  <c:v>235.37934720251167</c:v>
                </c:pt>
                <c:pt idx="472" formatCode="_(&quot;$&quot;* #,##0.00_);_(&quot;$&quot;* \(#,##0.00\);_(&quot;$&quot;* &quot;-&quot;??_);_(@_)">
                  <c:v>-781.05922342352301</c:v>
                </c:pt>
                <c:pt idx="473" formatCode="_(&quot;$&quot;* #,##0.00_);_(&quot;$&quot;* \(#,##0.00\);_(&quot;$&quot;* &quot;-&quot;??_);_(@_)">
                  <c:v>-655.28000484741256</c:v>
                </c:pt>
                <c:pt idx="474" formatCode="_(&quot;$&quot;* #,##0.00_);_(&quot;$&quot;* \(#,##0.00\);_(&quot;$&quot;* &quot;-&quot;??_);_(@_)">
                  <c:v>-875.291054113379</c:v>
                </c:pt>
                <c:pt idx="475" formatCode="_(&quot;$&quot;* #,##0.00_);_(&quot;$&quot;* \(#,##0.00\);_(&quot;$&quot;* &quot;-&quot;??_);_(@_)">
                  <c:v>-488.07774546054509</c:v>
                </c:pt>
                <c:pt idx="476" formatCode="_(&quot;$&quot;* #,##0.00_);_(&quot;$&quot;* \(#,##0.00\);_(&quot;$&quot;* &quot;-&quot;??_);_(@_)">
                  <c:v>-784.98076407967733</c:v>
                </c:pt>
                <c:pt idx="477" formatCode="_(&quot;$&quot;* #,##0.00_);_(&quot;$&quot;* \(#,##0.00\);_(&quot;$&quot;* &quot;-&quot;??_);_(@_)">
                  <c:v>-652.77210795396354</c:v>
                </c:pt>
                <c:pt idx="478" formatCode="_(&quot;$&quot;* #,##0.00_);_(&quot;$&quot;* \(#,##0.00\);_(&quot;$&quot;* &quot;-&quot;??_);_(@_)">
                  <c:v>-930.69134336146408</c:v>
                </c:pt>
                <c:pt idx="479" formatCode="_(&quot;$&quot;* #,##0.00_);_(&quot;$&quot;* \(#,##0.00\);_(&quot;$&quot;* &quot;-&quot;??_);_(@_)">
                  <c:v>-964.38916695633441</c:v>
                </c:pt>
                <c:pt idx="480" formatCode="_(&quot;$&quot;* #,##0.00_);_(&quot;$&quot;* \(#,##0.00\);_(&quot;$&quot;* &quot;-&quot;??_);_(@_)">
                  <c:v>-1466.6038611600304</c:v>
                </c:pt>
                <c:pt idx="481" formatCode="_(&quot;$&quot;* #,##0.00_);_(&quot;$&quot;* \(#,##0.00\);_(&quot;$&quot;* &quot;-&quot;??_);_(@_)">
                  <c:v>-824.20840122998015</c:v>
                </c:pt>
                <c:pt idx="482" formatCode="_(&quot;$&quot;* #,##0.00_);_(&quot;$&quot;* \(#,##0.00\);_(&quot;$&quot;* &quot;-&quot;??_);_(@_)">
                  <c:v>-333.2696922743097</c:v>
                </c:pt>
                <c:pt idx="483" formatCode="_(&quot;$&quot;* #,##0.00_);_(&quot;$&quot;* \(#,##0.00\);_(&quot;$&quot;* &quot;-&quot;??_);_(@_)">
                  <c:v>-675.93795338760822</c:v>
                </c:pt>
                <c:pt idx="484" formatCode="_(&quot;$&quot;* #,##0.00_);_(&quot;$&quot;* \(#,##0.00\);_(&quot;$&quot;* &quot;-&quot;??_);_(@_)">
                  <c:v>-996.6868680070952</c:v>
                </c:pt>
                <c:pt idx="485" formatCode="_(&quot;$&quot;* #,##0.00_);_(&quot;$&quot;* \(#,##0.00\);_(&quot;$&quot;* &quot;-&quot;??_);_(@_)">
                  <c:v>-1522.7928680718696</c:v>
                </c:pt>
                <c:pt idx="486" formatCode="_(&quot;$&quot;* #,##0.00_);_(&quot;$&quot;* \(#,##0.00\);_(&quot;$&quot;* &quot;-&quot;??_);_(@_)">
                  <c:v>-1366.2848376160496</c:v>
                </c:pt>
                <c:pt idx="487" formatCode="_(&quot;$&quot;* #,##0.00_);_(&quot;$&quot;* \(#,##0.00\);_(&quot;$&quot;* &quot;-&quot;??_);_(@_)">
                  <c:v>-1240.2277618506491</c:v>
                </c:pt>
                <c:pt idx="488" formatCode="_(&quot;$&quot;* #,##0.00_);_(&quot;$&quot;* \(#,##0.00\);_(&quot;$&quot;* &quot;-&quot;??_);_(@_)">
                  <c:v>-1513.6461545888767</c:v>
                </c:pt>
                <c:pt idx="489" formatCode="_(&quot;$&quot;* #,##0.00_);_(&quot;$&quot;* \(#,##0.00\);_(&quot;$&quot;* &quot;-&quot;??_);_(@_)">
                  <c:v>-2073.2284119642663</c:v>
                </c:pt>
                <c:pt idx="490" formatCode="_(&quot;$&quot;* #,##0.00_);_(&quot;$&quot;* \(#,##0.00\);_(&quot;$&quot;* &quot;-&quot;??_);_(@_)">
                  <c:v>-1930.269155352383</c:v>
                </c:pt>
                <c:pt idx="491" formatCode="_(&quot;$&quot;* #,##0.00_);_(&quot;$&quot;* \(#,##0.00\);_(&quot;$&quot;* &quot;-&quot;??_);_(@_)">
                  <c:v>-2097.9724328157354</c:v>
                </c:pt>
                <c:pt idx="492" formatCode="_(&quot;$&quot;* #,##0.00_);_(&quot;$&quot;* \(#,##0.00\);_(&quot;$&quot;* &quot;-&quot;??_);_(@_)">
                  <c:v>-2299.8009357172245</c:v>
                </c:pt>
                <c:pt idx="493" formatCode="_(&quot;$&quot;* #,##0.00_);_(&quot;$&quot;* \(#,##0.00\);_(&quot;$&quot;* &quot;-&quot;??_);_(@_)">
                  <c:v>-2088.8531969356909</c:v>
                </c:pt>
                <c:pt idx="494" formatCode="_(&quot;$&quot;* #,##0.00_);_(&quot;$&quot;* \(#,##0.00\);_(&quot;$&quot;* &quot;-&quot;??_);_(@_)">
                  <c:v>-2303.2794231932626</c:v>
                </c:pt>
                <c:pt idx="495" formatCode="_(&quot;$&quot;* #,##0.00_);_(&quot;$&quot;* \(#,##0.00\);_(&quot;$&quot;* &quot;-&quot;??_);_(@_)">
                  <c:v>-2787.6437357978748</c:v>
                </c:pt>
                <c:pt idx="496" formatCode="_(&quot;$&quot;* #,##0.00_);_(&quot;$&quot;* \(#,##0.00\);_(&quot;$&quot;* &quot;-&quot;??_);_(@_)">
                  <c:v>-2908.1192422186464</c:v>
                </c:pt>
                <c:pt idx="497" formatCode="_(&quot;$&quot;* #,##0.00_);_(&quot;$&quot;* \(#,##0.00\);_(&quot;$&quot;* &quot;-&quot;??_);_(@_)">
                  <c:v>-2787.5101217117372</c:v>
                </c:pt>
                <c:pt idx="498" formatCode="_(&quot;$&quot;* #,##0.00_);_(&quot;$&quot;* \(#,##0.00\);_(&quot;$&quot;* &quot;-&quot;??_);_(@_)">
                  <c:v>-3225.5913078270723</c:v>
                </c:pt>
                <c:pt idx="499" formatCode="_(&quot;$&quot;* #,##0.00_);_(&quot;$&quot;* \(#,##0.00\);_(&quot;$&quot;* &quot;-&quot;??_);_(@_)">
                  <c:v>-3014.7278737389938</c:v>
                </c:pt>
                <c:pt idx="500" formatCode="_(&quot;$&quot;* #,##0.00_);_(&quot;$&quot;* \(#,##0.00\);_(&quot;$&quot;* &quot;-&quot;??_);_(@_)">
                  <c:v>-3019.6952898692607</c:v>
                </c:pt>
                <c:pt idx="501" formatCode="_(&quot;$&quot;* #,##0.00_);_(&quot;$&quot;* \(#,##0.00\);_(&quot;$&quot;* &quot;-&quot;??_);_(@_)">
                  <c:v>-2992.6187755694486</c:v>
                </c:pt>
                <c:pt idx="502" formatCode="_(&quot;$&quot;* #,##0.00_);_(&quot;$&quot;* \(#,##0.00\);_(&quot;$&quot;* &quot;-&quot;??_);_(@_)">
                  <c:v>-2929.519392377827</c:v>
                </c:pt>
                <c:pt idx="503" formatCode="_(&quot;$&quot;* #,##0.00_);_(&quot;$&quot;* \(#,##0.00\);_(&quot;$&quot;* &quot;-&quot;??_);_(@_)">
                  <c:v>-3308.3025187509866</c:v>
                </c:pt>
                <c:pt idx="504" formatCode="_(&quot;$&quot;* #,##0.00_);_(&quot;$&quot;* \(#,##0.00\);_(&quot;$&quot;* &quot;-&quot;??_);_(@_)">
                  <c:v>-3463.0717317640301</c:v>
                </c:pt>
                <c:pt idx="505" formatCode="_(&quot;$&quot;* #,##0.00_);_(&quot;$&quot;* \(#,##0.00\);_(&quot;$&quot;* &quot;-&quot;??_);_(@_)">
                  <c:v>-3384.9279792882044</c:v>
                </c:pt>
                <c:pt idx="506" formatCode="_(&quot;$&quot;* #,##0.00_);_(&quot;$&quot;* \(#,##0.00\);_(&quot;$&quot;* &quot;-&quot;??_);_(@_)">
                  <c:v>-3956.7627603031751</c:v>
                </c:pt>
                <c:pt idx="507" formatCode="_(&quot;$&quot;* #,##0.00_);_(&quot;$&quot;* \(#,##0.00\);_(&quot;$&quot;* &quot;-&quot;??_);_(@_)">
                  <c:v>-3805.8658353235237</c:v>
                </c:pt>
                <c:pt idx="508" formatCode="_(&quot;$&quot;* #,##0.00_);_(&quot;$&quot;* \(#,##0.00\);_(&quot;$&quot;* &quot;-&quot;??_);_(@_)">
                  <c:v>-3809.3641006572798</c:v>
                </c:pt>
                <c:pt idx="509" formatCode="_(&quot;$&quot;* #,##0.00_);_(&quot;$&quot;* \(#,##0.00\);_(&quot;$&quot;* &quot;-&quot;??_);_(@_)">
                  <c:v>-3801.9127360713337</c:v>
                </c:pt>
                <c:pt idx="510" formatCode="_(&quot;$&quot;* #,##0.00_);_(&quot;$&quot;* \(#,##0.00\);_(&quot;$&quot;* &quot;-&quot;??_);_(@_)">
                  <c:v>-3930.6263011324231</c:v>
                </c:pt>
                <c:pt idx="511" formatCode="_(&quot;$&quot;* #,##0.00_);_(&quot;$&quot;* \(#,##0.00\);_(&quot;$&quot;* &quot;-&quot;??_);_(@_)">
                  <c:v>-3259.626925201846</c:v>
                </c:pt>
                <c:pt idx="512" formatCode="_(&quot;$&quot;* #,##0.00_);_(&quot;$&quot;* \(#,##0.00\);_(&quot;$&quot;* &quot;-&quot;??_);_(@_)">
                  <c:v>-3136.5998162408187</c:v>
                </c:pt>
                <c:pt idx="513" formatCode="_(&quot;$&quot;* #,##0.00_);_(&quot;$&quot;* \(#,##0.00\);_(&quot;$&quot;* &quot;-&quot;??_);_(@_)">
                  <c:v>-2854.6252717794296</c:v>
                </c:pt>
                <c:pt idx="514" formatCode="_(&quot;$&quot;* #,##0.00_);_(&quot;$&quot;* \(#,##0.00\);_(&quot;$&quot;* &quot;-&quot;??_);_(@_)">
                  <c:v>-3280.3628308274519</c:v>
                </c:pt>
                <c:pt idx="515" formatCode="_(&quot;$&quot;* #,##0.00_);_(&quot;$&quot;* \(#,##0.00\);_(&quot;$&quot;* &quot;-&quot;??_);_(@_)">
                  <c:v>-3080.6027957165388</c:v>
                </c:pt>
                <c:pt idx="516" formatCode="_(&quot;$&quot;* #,##0.00_);_(&quot;$&quot;* \(#,##0.00\);_(&quot;$&quot;* &quot;-&quot;??_);_(@_)">
                  <c:v>-3193.7004958692805</c:v>
                </c:pt>
                <c:pt idx="517" formatCode="_(&quot;$&quot;* #,##0.00_);_(&quot;$&quot;* \(#,##0.00\);_(&quot;$&quot;* &quot;-&quot;??_);_(@_)">
                  <c:v>-2874.2419562165082</c:v>
                </c:pt>
                <c:pt idx="518" formatCode="_(&quot;$&quot;* #,##0.00_);_(&quot;$&quot;* \(#,##0.00\);_(&quot;$&quot;* &quot;-&quot;??_);_(@_)">
                  <c:v>-2775.7371192074042</c:v>
                </c:pt>
                <c:pt idx="519" formatCode="_(&quot;$&quot;* #,##0.00_);_(&quot;$&quot;* \(#,##0.00\);_(&quot;$&quot;* &quot;-&quot;??_);_(@_)">
                  <c:v>-2569.7988340503034</c:v>
                </c:pt>
                <c:pt idx="520" formatCode="_(&quot;$&quot;* #,##0.00_);_(&quot;$&quot;* \(#,##0.00\);_(&quot;$&quot;* &quot;-&quot;??_);_(@_)">
                  <c:v>-2796.8311351456655</c:v>
                </c:pt>
                <c:pt idx="521" formatCode="_(&quot;$&quot;* #,##0.00_);_(&quot;$&quot;* \(#,##0.00\);_(&quot;$&quot;* &quot;-&quot;??_);_(@_)">
                  <c:v>-1993.4695521440199</c:v>
                </c:pt>
                <c:pt idx="522" formatCode="_(&quot;$&quot;* #,##0.00_);_(&quot;$&quot;* \(#,##0.00\);_(&quot;$&quot;* &quot;-&quot;??_);_(@_)">
                  <c:v>-2322.6974494756205</c:v>
                </c:pt>
                <c:pt idx="523" formatCode="_(&quot;$&quot;* #,##0.00_);_(&quot;$&quot;* \(#,##0.00\);_(&quot;$&quot;* &quot;-&quot;??_);_(@_)">
                  <c:v>-2231.529624039289</c:v>
                </c:pt>
                <c:pt idx="524" formatCode="_(&quot;$&quot;* #,##0.00_);_(&quot;$&quot;* \(#,##0.00\);_(&quot;$&quot;* &quot;-&quot;??_);_(@_)">
                  <c:v>-2128.3489593474442</c:v>
                </c:pt>
                <c:pt idx="525" formatCode="_(&quot;$&quot;* #,##0.00_);_(&quot;$&quot;* \(#,##0.00\);_(&quot;$&quot;* &quot;-&quot;??_);_(@_)">
                  <c:v>-1633.2370556538599</c:v>
                </c:pt>
                <c:pt idx="526" formatCode="_(&quot;$&quot;* #,##0.00_);_(&quot;$&quot;* \(#,##0.00\);_(&quot;$&quot;* &quot;-&quot;??_);_(@_)">
                  <c:v>-2053.3193277508608</c:v>
                </c:pt>
                <c:pt idx="527" formatCode="_(&quot;$&quot;* #,##0.00_);_(&quot;$&quot;* \(#,##0.00\);_(&quot;$&quot;* &quot;-&quot;??_);_(@_)">
                  <c:v>-1537.2664237286813</c:v>
                </c:pt>
                <c:pt idx="528" formatCode="_(&quot;$&quot;* #,##0.00_);_(&quot;$&quot;* \(#,##0.00\);_(&quot;$&quot;* &quot;-&quot;??_);_(@_)">
                  <c:v>-1844.2168175960305</c:v>
                </c:pt>
                <c:pt idx="529" formatCode="_(&quot;$&quot;* #,##0.00_);_(&quot;$&quot;* \(#,##0.00\);_(&quot;$&quot;* &quot;-&quot;??_);_(@_)">
                  <c:v>-2556.4240456991915</c:v>
                </c:pt>
                <c:pt idx="530" formatCode="_(&quot;$&quot;* #,##0.00_);_(&quot;$&quot;* \(#,##0.00\);_(&quot;$&quot;* &quot;-&quot;??_);_(@_)">
                  <c:v>-3285.8884168586201</c:v>
                </c:pt>
                <c:pt idx="531" formatCode="_(&quot;$&quot;* #,##0.00_);_(&quot;$&quot;* \(#,##0.00\);_(&quot;$&quot;* &quot;-&quot;??_);_(@_)">
                  <c:v>-3329.5464951899498</c:v>
                </c:pt>
                <c:pt idx="532" formatCode="_(&quot;$&quot;* #,##0.00_);_(&quot;$&quot;* \(#,##0.00\);_(&quot;$&quot;* &quot;-&quot;??_);_(@_)">
                  <c:v>-3791.0775826777372</c:v>
                </c:pt>
                <c:pt idx="533" formatCode="_(&quot;$&quot;* #,##0.00_);_(&quot;$&quot;* \(#,##0.00\);_(&quot;$&quot;* &quot;-&quot;??_);_(@_)">
                  <c:v>-3799.4167224861499</c:v>
                </c:pt>
                <c:pt idx="534" formatCode="_(&quot;$&quot;* #,##0.00_);_(&quot;$&quot;* \(#,##0.00\);_(&quot;$&quot;* &quot;-&quot;??_);_(@_)">
                  <c:v>-3972.4401665956043</c:v>
                </c:pt>
                <c:pt idx="535" formatCode="_(&quot;$&quot;* #,##0.00_);_(&quot;$&quot;* \(#,##0.00\);_(&quot;$&quot;* &quot;-&quot;??_);_(@_)">
                  <c:v>-4140.66447381735</c:v>
                </c:pt>
                <c:pt idx="536" formatCode="_(&quot;$&quot;* #,##0.00_);_(&quot;$&quot;* \(#,##0.00\);_(&quot;$&quot;* &quot;-&quot;??_);_(@_)">
                  <c:v>-4204.6865972672058</c:v>
                </c:pt>
                <c:pt idx="537" formatCode="_(&quot;$&quot;* #,##0.00_);_(&quot;$&quot;* \(#,##0.00\);_(&quot;$&quot;* &quot;-&quot;??_);_(@_)">
                  <c:v>-4209.1530089721491</c:v>
                </c:pt>
                <c:pt idx="538" formatCode="_(&quot;$&quot;* #,##0.00_);_(&quot;$&quot;* \(#,##0.00\);_(&quot;$&quot;* &quot;-&quot;??_);_(@_)">
                  <c:v>-4324.0009518193237</c:v>
                </c:pt>
                <c:pt idx="539" formatCode="_(&quot;$&quot;* #,##0.00_);_(&quot;$&quot;* \(#,##0.00\);_(&quot;$&quot;* &quot;-&quot;??_);_(@_)">
                  <c:v>-4348.7789421885673</c:v>
                </c:pt>
                <c:pt idx="540" formatCode="_(&quot;$&quot;* #,##0.00_);_(&quot;$&quot;* \(#,##0.00\);_(&quot;$&quot;* &quot;-&quot;??_);_(@_)">
                  <c:v>-5438.2367744069879</c:v>
                </c:pt>
                <c:pt idx="541" formatCode="_(&quot;$&quot;* #,##0.00_);_(&quot;$&quot;* \(#,##0.00\);_(&quot;$&quot;* &quot;-&quot;??_);_(@_)">
                  <c:v>-5577.6143395660556</c:v>
                </c:pt>
                <c:pt idx="542" formatCode="_(&quot;$&quot;* #,##0.00_);_(&quot;$&quot;* \(#,##0.00\);_(&quot;$&quot;* &quot;-&quot;??_);_(@_)">
                  <c:v>-5420.1867073438898</c:v>
                </c:pt>
                <c:pt idx="543" formatCode="_(&quot;$&quot;* #,##0.00_);_(&quot;$&quot;* \(#,##0.00\);_(&quot;$&quot;* &quot;-&quot;??_);_(@_)">
                  <c:v>-5170.5075860888282</c:v>
                </c:pt>
                <c:pt idx="544" formatCode="_(&quot;$&quot;* #,##0.00_);_(&quot;$&quot;* \(#,##0.00\);_(&quot;$&quot;* &quot;-&quot;??_);_(@_)">
                  <c:v>-4847.7817482663895</c:v>
                </c:pt>
                <c:pt idx="545" formatCode="_(&quot;$&quot;* #,##0.00_);_(&quot;$&quot;* \(#,##0.00\);_(&quot;$&quot;* &quot;-&quot;??_);_(@_)">
                  <c:v>-4921.8476925656068</c:v>
                </c:pt>
                <c:pt idx="546" formatCode="_(&quot;$&quot;* #,##0.00_);_(&quot;$&quot;* \(#,##0.00\);_(&quot;$&quot;* &quot;-&quot;??_);_(@_)">
                  <c:v>-5167.3212049782351</c:v>
                </c:pt>
                <c:pt idx="547" formatCode="_(&quot;$&quot;* #,##0.00_);_(&quot;$&quot;* \(#,##0.00\);_(&quot;$&quot;* &quot;-&quot;??_);_(@_)">
                  <c:v>-4968.8412808832873</c:v>
                </c:pt>
                <c:pt idx="548" formatCode="_(&quot;$&quot;* #,##0.00_);_(&quot;$&quot;* \(#,##0.00\);_(&quot;$&quot;* &quot;-&quot;??_);_(@_)">
                  <c:v>-4328.3099921876164</c:v>
                </c:pt>
                <c:pt idx="549" formatCode="_(&quot;$&quot;* #,##0.00_);_(&quot;$&quot;* \(#,##0.00\);_(&quot;$&quot;* &quot;-&quot;??_);_(@_)">
                  <c:v>-4605.9124088536255</c:v>
                </c:pt>
                <c:pt idx="550" formatCode="_(&quot;$&quot;* #,##0.00_);_(&quot;$&quot;* \(#,##0.00\);_(&quot;$&quot;* &quot;-&quot;??_);_(@_)">
                  <c:v>-4801.184790752166</c:v>
                </c:pt>
                <c:pt idx="551" formatCode="_(&quot;$&quot;* #,##0.00_);_(&quot;$&quot;* \(#,##0.00\);_(&quot;$&quot;* &quot;-&quot;??_);_(@_)">
                  <c:v>-5298.5904501607893</c:v>
                </c:pt>
                <c:pt idx="552" formatCode="_(&quot;$&quot;* #,##0.00_);_(&quot;$&quot;* \(#,##0.00\);_(&quot;$&quot;* &quot;-&quot;??_);_(@_)">
                  <c:v>-5549.3810716367807</c:v>
                </c:pt>
                <c:pt idx="553" formatCode="_(&quot;$&quot;* #,##0.00_);_(&quot;$&quot;* \(#,##0.00\);_(&quot;$&quot;* &quot;-&quot;??_);_(@_)">
                  <c:v>-5909.3508861348473</c:v>
                </c:pt>
                <c:pt idx="554" formatCode="_(&quot;$&quot;* #,##0.00_);_(&quot;$&quot;* \(#,##0.00\);_(&quot;$&quot;* &quot;-&quot;??_);_(@_)">
                  <c:v>-5891.2207736380824</c:v>
                </c:pt>
                <c:pt idx="555" formatCode="_(&quot;$&quot;* #,##0.00_);_(&quot;$&quot;* \(#,##0.00\);_(&quot;$&quot;* &quot;-&quot;??_);_(@_)">
                  <c:v>-5429.549081787567</c:v>
                </c:pt>
                <c:pt idx="556" formatCode="_(&quot;$&quot;* #,##0.00_);_(&quot;$&quot;* \(#,##0.00\);_(&quot;$&quot;* &quot;-&quot;??_);_(@_)">
                  <c:v>-5314.6609554187198</c:v>
                </c:pt>
                <c:pt idx="557" formatCode="_(&quot;$&quot;* #,##0.00_);_(&quot;$&quot;* \(#,##0.00\);_(&quot;$&quot;* &quot;-&quot;??_);_(@_)">
                  <c:v>-5647.7663123998827</c:v>
                </c:pt>
                <c:pt idx="558" formatCode="_(&quot;$&quot;* #,##0.00_);_(&quot;$&quot;* \(#,##0.00\);_(&quot;$&quot;* &quot;-&quot;??_);_(@_)">
                  <c:v>-6638.5856278496522</c:v>
                </c:pt>
                <c:pt idx="559" formatCode="_(&quot;$&quot;* #,##0.00_);_(&quot;$&quot;* \(#,##0.00\);_(&quot;$&quot;* &quot;-&quot;??_);_(@_)">
                  <c:v>-7338.9827291426864</c:v>
                </c:pt>
                <c:pt idx="560" formatCode="_(&quot;$&quot;* #,##0.00_);_(&quot;$&quot;* \(#,##0.00\);_(&quot;$&quot;* &quot;-&quot;??_);_(@_)">
                  <c:v>-6928.9800039114643</c:v>
                </c:pt>
                <c:pt idx="561" formatCode="_(&quot;$&quot;* #,##0.00_);_(&quot;$&quot;* \(#,##0.00\);_(&quot;$&quot;* &quot;-&quot;??_);_(@_)">
                  <c:v>-7132.3728265512391</c:v>
                </c:pt>
                <c:pt idx="562" formatCode="_(&quot;$&quot;* #,##0.00_);_(&quot;$&quot;* \(#,##0.00\);_(&quot;$&quot;* &quot;-&quot;??_);_(@_)">
                  <c:v>-6404.5560733045395</c:v>
                </c:pt>
                <c:pt idx="563" formatCode="_(&quot;$&quot;* #,##0.00_);_(&quot;$&quot;* \(#,##0.00\);_(&quot;$&quot;* &quot;-&quot;??_);_(@_)">
                  <c:v>-6703.9852929621593</c:v>
                </c:pt>
                <c:pt idx="564" formatCode="_(&quot;$&quot;* #,##0.00_);_(&quot;$&quot;* \(#,##0.00\);_(&quot;$&quot;* &quot;-&quot;??_);_(@_)">
                  <c:v>-7428.2820286766882</c:v>
                </c:pt>
                <c:pt idx="565" formatCode="_(&quot;$&quot;* #,##0.00_);_(&quot;$&quot;* \(#,##0.00\);_(&quot;$&quot;* &quot;-&quot;??_);_(@_)">
                  <c:v>-8180.9668084767372</c:v>
                </c:pt>
                <c:pt idx="566" formatCode="_(&quot;$&quot;* #,##0.00_);_(&quot;$&quot;* \(#,##0.00\);_(&quot;$&quot;* &quot;-&quot;??_);_(@_)">
                  <c:v>-7683.3682359946415</c:v>
                </c:pt>
                <c:pt idx="567" formatCode="_(&quot;$&quot;* #,##0.00_);_(&quot;$&quot;* \(#,##0.00\);_(&quot;$&quot;* &quot;-&quot;??_);_(@_)">
                  <c:v>-7446.4871281080759</c:v>
                </c:pt>
                <c:pt idx="568" formatCode="_(&quot;$&quot;* #,##0.00_);_(&quot;$&quot;* \(#,##0.00\);_(&quot;$&quot;* &quot;-&quot;??_);_(@_)">
                  <c:v>-7378.2997683983813</c:v>
                </c:pt>
                <c:pt idx="569" formatCode="_(&quot;$&quot;* #,##0.00_);_(&quot;$&quot;* \(#,##0.00\);_(&quot;$&quot;* &quot;-&quot;??_);_(@_)">
                  <c:v>-6989.3828021223753</c:v>
                </c:pt>
                <c:pt idx="570" formatCode="_(&quot;$&quot;* #,##0.00_);_(&quot;$&quot;* \(#,##0.00\);_(&quot;$&quot;* &quot;-&quot;??_);_(@_)">
                  <c:v>-6956.8279582245686</c:v>
                </c:pt>
                <c:pt idx="571" formatCode="_(&quot;$&quot;* #,##0.00_);_(&quot;$&quot;* \(#,##0.00\);_(&quot;$&quot;* &quot;-&quot;??_);_(@_)">
                  <c:v>-7869.2249708171003</c:v>
                </c:pt>
                <c:pt idx="572" formatCode="_(&quot;$&quot;* #,##0.00_);_(&quot;$&quot;* \(#,##0.00\);_(&quot;$&quot;* &quot;-&quot;??_);_(@_)">
                  <c:v>-7610.6382528481245</c:v>
                </c:pt>
                <c:pt idx="573" formatCode="_(&quot;$&quot;* #,##0.00_);_(&quot;$&quot;* \(#,##0.00\);_(&quot;$&quot;* &quot;-&quot;??_);_(@_)">
                  <c:v>-8063.3666698843972</c:v>
                </c:pt>
                <c:pt idx="574" formatCode="_(&quot;$&quot;* #,##0.00_);_(&quot;$&quot;* \(#,##0.00\);_(&quot;$&quot;* &quot;-&quot;??_);_(@_)">
                  <c:v>-8422.4446002891327</c:v>
                </c:pt>
                <c:pt idx="575" formatCode="_(&quot;$&quot;* #,##0.00_);_(&quot;$&quot;* \(#,##0.00\);_(&quot;$&quot;* &quot;-&quot;??_);_(@_)">
                  <c:v>-8793.5515270126616</c:v>
                </c:pt>
                <c:pt idx="576" formatCode="_(&quot;$&quot;* #,##0.00_);_(&quot;$&quot;* \(#,##0.00\);_(&quot;$&quot;* &quot;-&quot;??_);_(@_)">
                  <c:v>-8760.4575462108187</c:v>
                </c:pt>
                <c:pt idx="577" formatCode="_(&quot;$&quot;* #,##0.00_);_(&quot;$&quot;* \(#,##0.00\);_(&quot;$&quot;* &quot;-&quot;??_);_(@_)">
                  <c:v>-8680.1485778464266</c:v>
                </c:pt>
                <c:pt idx="578" formatCode="_(&quot;$&quot;* #,##0.00_);_(&quot;$&quot;* \(#,##0.00\);_(&quot;$&quot;* &quot;-&quot;??_);_(@_)">
                  <c:v>-8448.1289003274978</c:v>
                </c:pt>
                <c:pt idx="579" formatCode="_(&quot;$&quot;* #,##0.00_);_(&quot;$&quot;* \(#,##0.00\);_(&quot;$&quot;* &quot;-&quot;??_);_(@_)">
                  <c:v>-8472.2345251781062</c:v>
                </c:pt>
                <c:pt idx="580" formatCode="_(&quot;$&quot;* #,##0.00_);_(&quot;$&quot;* \(#,##0.00\);_(&quot;$&quot;* &quot;-&quot;??_);_(@_)">
                  <c:v>-8666.7402231057713</c:v>
                </c:pt>
                <c:pt idx="581" formatCode="_(&quot;$&quot;* #,##0.00_);_(&quot;$&quot;* \(#,##0.00\);_(&quot;$&quot;* &quot;-&quot;??_);_(@_)">
                  <c:v>-9133.066241095883</c:v>
                </c:pt>
                <c:pt idx="582" formatCode="_(&quot;$&quot;* #,##0.00_);_(&quot;$&quot;* \(#,##0.00\);_(&quot;$&quot;* &quot;-&quot;??_);_(@_)">
                  <c:v>-8676.7593263751478</c:v>
                </c:pt>
                <c:pt idx="583" formatCode="_(&quot;$&quot;* #,##0.00_);_(&quot;$&quot;* \(#,##0.00\);_(&quot;$&quot;* &quot;-&quot;??_);_(@_)">
                  <c:v>-7764.6369555738602</c:v>
                </c:pt>
                <c:pt idx="584" formatCode="_(&quot;$&quot;* #,##0.00_);_(&quot;$&quot;* \(#,##0.00\);_(&quot;$&quot;* &quot;-&quot;??_);_(@_)">
                  <c:v>-7193.1944970439363</c:v>
                </c:pt>
                <c:pt idx="585" formatCode="_(&quot;$&quot;* #,##0.00_);_(&quot;$&quot;* \(#,##0.00\);_(&quot;$&quot;* &quot;-&quot;??_);_(@_)">
                  <c:v>-8063.2617111627915</c:v>
                </c:pt>
                <c:pt idx="586" formatCode="_(&quot;$&quot;* #,##0.00_);_(&quot;$&quot;* \(#,##0.00\);_(&quot;$&quot;* &quot;-&quot;??_);_(@_)">
                  <c:v>-7626.784581090983</c:v>
                </c:pt>
                <c:pt idx="587" formatCode="_(&quot;$&quot;* #,##0.00_);_(&quot;$&quot;* \(#,##0.00\);_(&quot;$&quot;* &quot;-&quot;??_);_(@_)">
                  <c:v>-7860.7238971835341</c:v>
                </c:pt>
                <c:pt idx="588" formatCode="_(&quot;$&quot;* #,##0.00_);_(&quot;$&quot;* \(#,##0.00\);_(&quot;$&quot;* &quot;-&quot;??_);_(@_)">
                  <c:v>-7977.5144217060724</c:v>
                </c:pt>
                <c:pt idx="589" formatCode="_(&quot;$&quot;* #,##0.00_);_(&quot;$&quot;* \(#,##0.00\);_(&quot;$&quot;* &quot;-&quot;??_);_(@_)">
                  <c:v>-7476.5242253042052</c:v>
                </c:pt>
                <c:pt idx="590" formatCode="_(&quot;$&quot;* #,##0.00_);_(&quot;$&quot;* \(#,##0.00\);_(&quot;$&quot;* &quot;-&quot;??_);_(@_)">
                  <c:v>-7755.5072498723566</c:v>
                </c:pt>
                <c:pt idx="591" formatCode="_(&quot;$&quot;* #,##0.00_);_(&quot;$&quot;* \(#,##0.00\);_(&quot;$&quot;* &quot;-&quot;??_);_(@_)">
                  <c:v>-7012.03386448112</c:v>
                </c:pt>
                <c:pt idx="592" formatCode="_(&quot;$&quot;* #,##0.00_);_(&quot;$&quot;* \(#,##0.00\);_(&quot;$&quot;* &quot;-&quot;??_);_(@_)">
                  <c:v>-5968.8354576889205</c:v>
                </c:pt>
                <c:pt idx="593" formatCode="_(&quot;$&quot;* #,##0.00_);_(&quot;$&quot;* \(#,##0.00\);_(&quot;$&quot;* &quot;-&quot;??_);_(@_)">
                  <c:v>-6112.0265640244679</c:v>
                </c:pt>
                <c:pt idx="594" formatCode="_(&quot;$&quot;* #,##0.00_);_(&quot;$&quot;* \(#,##0.00\);_(&quot;$&quot;* &quot;-&quot;??_);_(@_)">
                  <c:v>-7019.7770266984153</c:v>
                </c:pt>
                <c:pt idx="595" formatCode="_(&quot;$&quot;* #,##0.00_);_(&quot;$&quot;* \(#,##0.00\);_(&quot;$&quot;* &quot;-&quot;??_);_(@_)">
                  <c:v>-6787.4225642021938</c:v>
                </c:pt>
                <c:pt idx="596" formatCode="_(&quot;$&quot;* #,##0.00_);_(&quot;$&quot;* \(#,##0.00\);_(&quot;$&quot;* &quot;-&quot;??_);_(@_)">
                  <c:v>-7055.8471066996899</c:v>
                </c:pt>
                <c:pt idx="597" formatCode="_(&quot;$&quot;* #,##0.00_);_(&quot;$&quot;* \(#,##0.00\);_(&quot;$&quot;* &quot;-&quot;??_);_(@_)">
                  <c:v>-6774.9012661105635</c:v>
                </c:pt>
                <c:pt idx="598" formatCode="_(&quot;$&quot;* #,##0.00_);_(&quot;$&quot;* \(#,##0.00\);_(&quot;$&quot;* &quot;-&quot;??_);_(@_)">
                  <c:v>-6637.1729676830873</c:v>
                </c:pt>
                <c:pt idx="599" formatCode="_(&quot;$&quot;* #,##0.00_);_(&quot;$&quot;* \(#,##0.00\);_(&quot;$&quot;* &quot;-&quot;??_);_(@_)">
                  <c:v>-6486.2137886035771</c:v>
                </c:pt>
                <c:pt idx="600" formatCode="_(&quot;$&quot;* #,##0.00_);_(&quot;$&quot;* \(#,##0.00\);_(&quot;$&quot;* &quot;-&quot;??_);_(@_)">
                  <c:v>-6572.02818496707</c:v>
                </c:pt>
                <c:pt idx="601" formatCode="_(&quot;$&quot;* #,##0.00_);_(&quot;$&quot;* \(#,##0.00\);_(&quot;$&quot;* &quot;-&quot;??_);_(@_)">
                  <c:v>-6388.3679400348256</c:v>
                </c:pt>
                <c:pt idx="602" formatCode="_(&quot;$&quot;* #,##0.00_);_(&quot;$&quot;* \(#,##0.00\);_(&quot;$&quot;* &quot;-&quot;??_);_(@_)">
                  <c:v>-6483.9483213760805</c:v>
                </c:pt>
                <c:pt idx="603" formatCode="_(&quot;$&quot;* #,##0.00_);_(&quot;$&quot;* \(#,##0.00\);_(&quot;$&quot;* &quot;-&quot;??_);_(@_)">
                  <c:v>-5892.6278786226821</c:v>
                </c:pt>
                <c:pt idx="604" formatCode="_(&quot;$&quot;* #,##0.00_);_(&quot;$&quot;* \(#,##0.00\);_(&quot;$&quot;* &quot;-&quot;??_);_(@_)">
                  <c:v>-6552.0408133489118</c:v>
                </c:pt>
                <c:pt idx="605" formatCode="_(&quot;$&quot;* #,##0.00_);_(&quot;$&quot;* \(#,##0.00\);_(&quot;$&quot;* &quot;-&quot;??_);_(@_)">
                  <c:v>-6397.1160363400368</c:v>
                </c:pt>
                <c:pt idx="606" formatCode="_(&quot;$&quot;* #,##0.00_);_(&quot;$&quot;* \(#,##0.00\);_(&quot;$&quot;* &quot;-&quot;??_);_(@_)">
                  <c:v>-6244.2424817150168</c:v>
                </c:pt>
                <c:pt idx="607" formatCode="_(&quot;$&quot;* #,##0.00_);_(&quot;$&quot;* \(#,##0.00\);_(&quot;$&quot;* &quot;-&quot;??_);_(@_)">
                  <c:v>-6599.3303595565958</c:v>
                </c:pt>
                <c:pt idx="608" formatCode="_(&quot;$&quot;* #,##0.00_);_(&quot;$&quot;* \(#,##0.00\);_(&quot;$&quot;* &quot;-&quot;??_);_(@_)">
                  <c:v>-6242.7132576738386</c:v>
                </c:pt>
                <c:pt idx="609" formatCode="_(&quot;$&quot;* #,##0.00_);_(&quot;$&quot;* \(#,##0.00\);_(&quot;$&quot;* &quot;-&quot;??_);_(@_)">
                  <c:v>-5849.6050536483508</c:v>
                </c:pt>
                <c:pt idx="610" formatCode="_(&quot;$&quot;* #,##0.00_);_(&quot;$&quot;* \(#,##0.00\);_(&quot;$&quot;* &quot;-&quot;??_);_(@_)">
                  <c:v>-5606.7725480959971</c:v>
                </c:pt>
                <c:pt idx="611" formatCode="_(&quot;$&quot;* #,##0.00_);_(&quot;$&quot;* \(#,##0.00\);_(&quot;$&quot;* &quot;-&quot;??_);_(@_)">
                  <c:v>-5313.7105895810073</c:v>
                </c:pt>
                <c:pt idx="612" formatCode="_(&quot;$&quot;* #,##0.00_);_(&quot;$&quot;* \(#,##0.00\);_(&quot;$&quot;* &quot;-&quot;??_);_(@_)">
                  <c:v>-5046.4211401295906</c:v>
                </c:pt>
                <c:pt idx="613" formatCode="_(&quot;$&quot;* #,##0.00_);_(&quot;$&quot;* \(#,##0.00\);_(&quot;$&quot;* &quot;-&quot;??_);_(@_)">
                  <c:v>-4815.5003222357809</c:v>
                </c:pt>
                <c:pt idx="614" formatCode="_(&quot;$&quot;* #,##0.00_);_(&quot;$&quot;* \(#,##0.00\);_(&quot;$&quot;* &quot;-&quot;??_);_(@_)">
                  <c:v>-4439.7367367790648</c:v>
                </c:pt>
                <c:pt idx="615" formatCode="_(&quot;$&quot;* #,##0.00_);_(&quot;$&quot;* \(#,##0.00\);_(&quot;$&quot;* &quot;-&quot;??_);_(@_)">
                  <c:v>-3962.6998531870822</c:v>
                </c:pt>
                <c:pt idx="616" formatCode="_(&quot;$&quot;* #,##0.00_);_(&quot;$&quot;* \(#,##0.00\);_(&quot;$&quot;* &quot;-&quot;??_);_(@_)">
                  <c:v>-4277.5184508698385</c:v>
                </c:pt>
                <c:pt idx="617" formatCode="_(&quot;$&quot;* #,##0.00_);_(&quot;$&quot;* \(#,##0.00\);_(&quot;$&quot;* &quot;-&quot;??_);_(@_)">
                  <c:v>-4036.9372350997619</c:v>
                </c:pt>
                <c:pt idx="618" formatCode="_(&quot;$&quot;* #,##0.00_);_(&quot;$&quot;* \(#,##0.00\);_(&quot;$&quot;* &quot;-&quot;??_);_(@_)">
                  <c:v>-3410.7820019603664</c:v>
                </c:pt>
                <c:pt idx="619" formatCode="_(&quot;$&quot;* #,##0.00_);_(&quot;$&quot;* \(#,##0.00\);_(&quot;$&quot;* &quot;-&quot;??_);_(@_)">
                  <c:v>-3873.8806748202242</c:v>
                </c:pt>
                <c:pt idx="620" formatCode="_(&quot;$&quot;* #,##0.00_);_(&quot;$&quot;* \(#,##0.00\);_(&quot;$&quot;* &quot;-&quot;??_);_(@_)">
                  <c:v>-4013.6220706278277</c:v>
                </c:pt>
                <c:pt idx="621" formatCode="_(&quot;$&quot;* #,##0.00_);_(&quot;$&quot;* \(#,##0.00\);_(&quot;$&quot;* &quot;-&quot;??_);_(@_)">
                  <c:v>-3831.2048038503854</c:v>
                </c:pt>
                <c:pt idx="622" formatCode="_(&quot;$&quot;* #,##0.00_);_(&quot;$&quot;* \(#,##0.00\);_(&quot;$&quot;* &quot;-&quot;??_);_(@_)">
                  <c:v>-3927.487566929336</c:v>
                </c:pt>
                <c:pt idx="623" formatCode="_(&quot;$&quot;* #,##0.00_);_(&quot;$&quot;* \(#,##0.00\);_(&quot;$&quot;* &quot;-&quot;??_);_(@_)">
                  <c:v>-4278.3797820130112</c:v>
                </c:pt>
                <c:pt idx="624" formatCode="_(&quot;$&quot;* #,##0.00_);_(&quot;$&quot;* \(#,##0.00\);_(&quot;$&quot;* &quot;-&quot;??_);_(@_)">
                  <c:v>-4423.9569559797383</c:v>
                </c:pt>
                <c:pt idx="625" formatCode="_(&quot;$&quot;* #,##0.00_);_(&quot;$&quot;* \(#,##0.00\);_(&quot;$&quot;* &quot;-&quot;??_);_(@_)">
                  <c:v>-5565.1469685659968</c:v>
                </c:pt>
                <c:pt idx="626" formatCode="_(&quot;$&quot;* #,##0.00_);_(&quot;$&quot;* \(#,##0.00\);_(&quot;$&quot;* &quot;-&quot;??_);_(@_)">
                  <c:v>-5069.2639917500446</c:v>
                </c:pt>
                <c:pt idx="627" formatCode="_(&quot;$&quot;* #,##0.00_);_(&quot;$&quot;* \(#,##0.00\);_(&quot;$&quot;* &quot;-&quot;??_);_(@_)">
                  <c:v>-5410.3962306515878</c:v>
                </c:pt>
                <c:pt idx="628" formatCode="_(&quot;$&quot;* #,##0.00_);_(&quot;$&quot;* \(#,##0.00\);_(&quot;$&quot;* &quot;-&quot;??_);_(@_)">
                  <c:v>-4969.3314851988462</c:v>
                </c:pt>
                <c:pt idx="629" formatCode="_(&quot;$&quot;* #,##0.00_);_(&quot;$&quot;* \(#,##0.00\);_(&quot;$&quot;* &quot;-&quot;??_);_(@_)">
                  <c:v>-5146.1371937250306</c:v>
                </c:pt>
                <c:pt idx="630" formatCode="_(&quot;$&quot;* #,##0.00_);_(&quot;$&quot;* \(#,##0.00\);_(&quot;$&quot;* &quot;-&quot;??_);_(@_)">
                  <c:v>-4687.8878880524262</c:v>
                </c:pt>
                <c:pt idx="631" formatCode="_(&quot;$&quot;* #,##0.00_);_(&quot;$&quot;* \(#,##0.00\);_(&quot;$&quot;* &quot;-&quot;??_);_(@_)">
                  <c:v>-5411.3269944186122</c:v>
                </c:pt>
                <c:pt idx="632" formatCode="_(&quot;$&quot;* #,##0.00_);_(&quot;$&quot;* \(#,##0.00\);_(&quot;$&quot;* &quot;-&quot;??_);_(@_)">
                  <c:v>-5126.2313852124526</c:v>
                </c:pt>
                <c:pt idx="633" formatCode="_(&quot;$&quot;* #,##0.00_);_(&quot;$&quot;* \(#,##0.00\);_(&quot;$&quot;* &quot;-&quot;??_);_(@_)">
                  <c:v>-5132.6289628462182</c:v>
                </c:pt>
                <c:pt idx="634" formatCode="_(&quot;$&quot;* #,##0.00_);_(&quot;$&quot;* \(#,##0.00\);_(&quot;$&quot;* &quot;-&quot;??_);_(@_)">
                  <c:v>-5683.2879207702454</c:v>
                </c:pt>
                <c:pt idx="635" formatCode="_(&quot;$&quot;* #,##0.00_);_(&quot;$&quot;* \(#,##0.00\);_(&quot;$&quot;* &quot;-&quot;??_);_(@_)">
                  <c:v>-5639.3829308972072</c:v>
                </c:pt>
                <c:pt idx="636" formatCode="_(&quot;$&quot;* #,##0.00_);_(&quot;$&quot;* \(#,##0.00\);_(&quot;$&quot;* &quot;-&quot;??_);_(@_)">
                  <c:v>-5320.0500509124049</c:v>
                </c:pt>
                <c:pt idx="637" formatCode="_(&quot;$&quot;* #,##0.00_);_(&quot;$&quot;* \(#,##0.00\);_(&quot;$&quot;* &quot;-&quot;??_);_(@_)">
                  <c:v>-5210.2111496487032</c:v>
                </c:pt>
                <c:pt idx="638" formatCode="_(&quot;$&quot;* #,##0.00_);_(&quot;$&quot;* \(#,##0.00\);_(&quot;$&quot;* &quot;-&quot;??_);_(@_)">
                  <c:v>-6285.8849936462047</c:v>
                </c:pt>
                <c:pt idx="639" formatCode="_(&quot;$&quot;* #,##0.00_);_(&quot;$&quot;* \(#,##0.00\);_(&quot;$&quot;* &quot;-&quot;??_);_(@_)">
                  <c:v>-6483.0579922184043</c:v>
                </c:pt>
                <c:pt idx="640" formatCode="_(&quot;$&quot;* #,##0.00_);_(&quot;$&quot;* \(#,##0.00\);_(&quot;$&quot;* &quot;-&quot;??_);_(@_)">
                  <c:v>-6448.0733012493338</c:v>
                </c:pt>
                <c:pt idx="641" formatCode="_(&quot;$&quot;* #,##0.00_);_(&quot;$&quot;* \(#,##0.00\);_(&quot;$&quot;* &quot;-&quot;??_);_(@_)">
                  <c:v>-6702.3360650710147</c:v>
                </c:pt>
                <c:pt idx="642" formatCode="_(&quot;$&quot;* #,##0.00_);_(&quot;$&quot;* \(#,##0.00\);_(&quot;$&quot;* &quot;-&quot;??_);_(@_)">
                  <c:v>-6533.1445909278109</c:v>
                </c:pt>
                <c:pt idx="643" formatCode="_(&quot;$&quot;* #,##0.00_);_(&quot;$&quot;* \(#,##0.00\);_(&quot;$&quot;* &quot;-&quot;??_);_(@_)">
                  <c:v>-6479.3695446137635</c:v>
                </c:pt>
                <c:pt idx="644" formatCode="_(&quot;$&quot;* #,##0.00_);_(&quot;$&quot;* \(#,##0.00\);_(&quot;$&quot;* &quot;-&quot;??_);_(@_)">
                  <c:v>-6717.9093600307051</c:v>
                </c:pt>
                <c:pt idx="645" formatCode="_(&quot;$&quot;* #,##0.00_);_(&quot;$&quot;* \(#,##0.00\);_(&quot;$&quot;* &quot;-&quot;??_);_(@_)">
                  <c:v>-7008.1581346436933</c:v>
                </c:pt>
                <c:pt idx="646" formatCode="_(&quot;$&quot;* #,##0.00_);_(&quot;$&quot;* \(#,##0.00\);_(&quot;$&quot;* &quot;-&quot;??_);_(@_)">
                  <c:v>-6465.4203410904383</c:v>
                </c:pt>
                <c:pt idx="647" formatCode="_(&quot;$&quot;* #,##0.00_);_(&quot;$&quot;* \(#,##0.00\);_(&quot;$&quot;* &quot;-&quot;??_);_(@_)">
                  <c:v>-6403.2668654894196</c:v>
                </c:pt>
                <c:pt idx="648" formatCode="_(&quot;$&quot;* #,##0.00_);_(&quot;$&quot;* \(#,##0.00\);_(&quot;$&quot;* &quot;-&quot;??_);_(@_)">
                  <c:v>-6611.286511824479</c:v>
                </c:pt>
                <c:pt idx="649" formatCode="_(&quot;$&quot;* #,##0.00_);_(&quot;$&quot;* \(#,##0.00\);_(&quot;$&quot;* &quot;-&quot;??_);_(@_)">
                  <c:v>-6125.7301282370709</c:v>
                </c:pt>
                <c:pt idx="650" formatCode="_(&quot;$&quot;* #,##0.00_);_(&quot;$&quot;* \(#,##0.00\);_(&quot;$&quot;* &quot;-&quot;??_);_(@_)">
                  <c:v>-5912.8650544270495</c:v>
                </c:pt>
                <c:pt idx="651" formatCode="_(&quot;$&quot;* #,##0.00_);_(&quot;$&quot;* \(#,##0.00\);_(&quot;$&quot;* &quot;-&quot;??_);_(@_)">
                  <c:v>-6729.1227405974023</c:v>
                </c:pt>
                <c:pt idx="652" formatCode="_(&quot;$&quot;* #,##0.00_);_(&quot;$&quot;* \(#,##0.00\);_(&quot;$&quot;* &quot;-&quot;??_);_(@_)">
                  <c:v>-6934.0118152240229</c:v>
                </c:pt>
                <c:pt idx="653" formatCode="_(&quot;$&quot;* #,##0.00_);_(&quot;$&quot;* \(#,##0.00\);_(&quot;$&quot;* &quot;-&quot;??_);_(@_)">
                  <c:v>-7632.6743361465715</c:v>
                </c:pt>
                <c:pt idx="654" formatCode="_(&quot;$&quot;* #,##0.00_);_(&quot;$&quot;* \(#,##0.00\);_(&quot;$&quot;* &quot;-&quot;??_);_(@_)">
                  <c:v>-8432.7001468987073</c:v>
                </c:pt>
                <c:pt idx="655" formatCode="_(&quot;$&quot;* #,##0.00_);_(&quot;$&quot;* \(#,##0.00\);_(&quot;$&quot;* &quot;-&quot;??_);_(@_)">
                  <c:v>-9166.9015578872932</c:v>
                </c:pt>
                <c:pt idx="656" formatCode="_(&quot;$&quot;* #,##0.00_);_(&quot;$&quot;* \(#,##0.00\);_(&quot;$&quot;* &quot;-&quot;??_);_(@_)">
                  <c:v>-9208.0638278224269</c:v>
                </c:pt>
                <c:pt idx="657" formatCode="_(&quot;$&quot;* #,##0.00_);_(&quot;$&quot;* \(#,##0.00\);_(&quot;$&quot;* &quot;-&quot;??_);_(@_)">
                  <c:v>-9136.7913133922757</c:v>
                </c:pt>
                <c:pt idx="658" formatCode="_(&quot;$&quot;* #,##0.00_);_(&quot;$&quot;* \(#,##0.00\);_(&quot;$&quot;* &quot;-&quot;??_);_(@_)">
                  <c:v>-9490.6829915376929</c:v>
                </c:pt>
                <c:pt idx="659" formatCode="_(&quot;$&quot;* #,##0.00_);_(&quot;$&quot;* \(#,##0.00\);_(&quot;$&quot;* &quot;-&quot;??_);_(@_)">
                  <c:v>-9036.3351668407104</c:v>
                </c:pt>
                <c:pt idx="660" formatCode="_(&quot;$&quot;* #,##0.00_);_(&quot;$&quot;* \(#,##0.00\);_(&quot;$&quot;* &quot;-&quot;??_);_(@_)">
                  <c:v>-9096.5807954738266</c:v>
                </c:pt>
                <c:pt idx="661" formatCode="_(&quot;$&quot;* #,##0.00_);_(&quot;$&quot;* \(#,##0.00\);_(&quot;$&quot;* &quot;-&quot;??_);_(@_)">
                  <c:v>-9185.0546351154135</c:v>
                </c:pt>
                <c:pt idx="662" formatCode="_(&quot;$&quot;* #,##0.00_);_(&quot;$&quot;* \(#,##0.00\);_(&quot;$&quot;* &quot;-&quot;??_);_(@_)">
                  <c:v>-9945.9220154402356</c:v>
                </c:pt>
                <c:pt idx="663" formatCode="_(&quot;$&quot;* #,##0.00_);_(&quot;$&quot;* \(#,##0.00\);_(&quot;$&quot;* &quot;-&quot;??_);_(@_)">
                  <c:v>-9577.2402852937339</c:v>
                </c:pt>
                <c:pt idx="664" formatCode="_(&quot;$&quot;* #,##0.00_);_(&quot;$&quot;* \(#,##0.00\);_(&quot;$&quot;* &quot;-&quot;??_);_(@_)">
                  <c:v>-9993.690728006186</c:v>
                </c:pt>
                <c:pt idx="665" formatCode="_(&quot;$&quot;* #,##0.00_);_(&quot;$&quot;* \(#,##0.00\);_(&quot;$&quot;* &quot;-&quot;??_);_(@_)">
                  <c:v>-10219.068840637054</c:v>
                </c:pt>
                <c:pt idx="666" formatCode="_(&quot;$&quot;* #,##0.00_);_(&quot;$&quot;* \(#,##0.00\);_(&quot;$&quot;* &quot;-&quot;??_);_(@_)">
                  <c:v>-10221.093209437182</c:v>
                </c:pt>
                <c:pt idx="667" formatCode="_(&quot;$&quot;* #,##0.00_);_(&quot;$&quot;* \(#,##0.00\);_(&quot;$&quot;* &quot;-&quot;??_);_(@_)">
                  <c:v>-10017.832388175078</c:v>
                </c:pt>
                <c:pt idx="668" formatCode="_(&quot;$&quot;* #,##0.00_);_(&quot;$&quot;* \(#,##0.00\);_(&quot;$&quot;* &quot;-&quot;??_);_(@_)">
                  <c:v>-10463.975173446433</c:v>
                </c:pt>
                <c:pt idx="669" formatCode="_(&quot;$&quot;* #,##0.00_);_(&quot;$&quot;* \(#,##0.00\);_(&quot;$&quot;* &quot;-&quot;??_);_(@_)">
                  <c:v>-10714.545857197174</c:v>
                </c:pt>
                <c:pt idx="670" formatCode="_(&quot;$&quot;* #,##0.00_);_(&quot;$&quot;* \(#,##0.00\);_(&quot;$&quot;* &quot;-&quot;??_);_(@_)">
                  <c:v>-10434.76882203592</c:v>
                </c:pt>
                <c:pt idx="671" formatCode="_(&quot;$&quot;* #,##0.00_);_(&quot;$&quot;* \(#,##0.00\);_(&quot;$&quot;* &quot;-&quot;??_);_(@_)">
                  <c:v>-11134.342683125755</c:v>
                </c:pt>
                <c:pt idx="672" formatCode="_(&quot;$&quot;* #,##0.00_);_(&quot;$&quot;* \(#,##0.00\);_(&quot;$&quot;* &quot;-&quot;??_);_(@_)">
                  <c:v>-10306.799740084698</c:v>
                </c:pt>
                <c:pt idx="673" formatCode="_(&quot;$&quot;* #,##0.00_);_(&quot;$&quot;* \(#,##0.00\);_(&quot;$&quot;* &quot;-&quot;??_);_(@_)">
                  <c:v>-10101.350068841224</c:v>
                </c:pt>
                <c:pt idx="674" formatCode="_(&quot;$&quot;* #,##0.00_);_(&quot;$&quot;* \(#,##0.00\);_(&quot;$&quot;* &quot;-&quot;??_);_(@_)">
                  <c:v>-10489.859771305548</c:v>
                </c:pt>
                <c:pt idx="675" formatCode="_(&quot;$&quot;* #,##0.00_);_(&quot;$&quot;* \(#,##0.00\);_(&quot;$&quot;* &quot;-&quot;??_);_(@_)">
                  <c:v>-10117.995740553997</c:v>
                </c:pt>
                <c:pt idx="676" formatCode="_(&quot;$&quot;* #,##0.00_);_(&quot;$&quot;* \(#,##0.00\);_(&quot;$&quot;* &quot;-&quot;??_);_(@_)">
                  <c:v>-10503.167093958833</c:v>
                </c:pt>
                <c:pt idx="677" formatCode="_(&quot;$&quot;* #,##0.00_);_(&quot;$&quot;* \(#,##0.00\);_(&quot;$&quot;* &quot;-&quot;??_);_(@_)">
                  <c:v>-10614.814236920854</c:v>
                </c:pt>
                <c:pt idx="678" formatCode="_(&quot;$&quot;* #,##0.00_);_(&quot;$&quot;* \(#,##0.00\);_(&quot;$&quot;* &quot;-&quot;??_);_(@_)">
                  <c:v>-11864.512911281166</c:v>
                </c:pt>
                <c:pt idx="679" formatCode="_(&quot;$&quot;* #,##0.00_);_(&quot;$&quot;* \(#,##0.00\);_(&quot;$&quot;* &quot;-&quot;??_);_(@_)">
                  <c:v>-12022.020817902994</c:v>
                </c:pt>
                <c:pt idx="680" formatCode="_(&quot;$&quot;* #,##0.00_);_(&quot;$&quot;* \(#,##0.00\);_(&quot;$&quot;* &quot;-&quot;??_);_(@_)">
                  <c:v>-12320.652064317819</c:v>
                </c:pt>
                <c:pt idx="681" formatCode="_(&quot;$&quot;* #,##0.00_);_(&quot;$&quot;* \(#,##0.00\);_(&quot;$&quot;* &quot;-&quot;??_);_(@_)">
                  <c:v>-12131.61509332969</c:v>
                </c:pt>
                <c:pt idx="682" formatCode="_(&quot;$&quot;* #,##0.00_);_(&quot;$&quot;* \(#,##0.00\);_(&quot;$&quot;* &quot;-&quot;??_);_(@_)">
                  <c:v>-11960.711914626083</c:v>
                </c:pt>
                <c:pt idx="683" formatCode="_(&quot;$&quot;* #,##0.00_);_(&quot;$&quot;* \(#,##0.00\);_(&quot;$&quot;* &quot;-&quot;??_);_(@_)">
                  <c:v>-12858.822896706597</c:v>
                </c:pt>
                <c:pt idx="684" formatCode="_(&quot;$&quot;* #,##0.00_);_(&quot;$&quot;* \(#,##0.00\);_(&quot;$&quot;* &quot;-&quot;??_);_(@_)">
                  <c:v>-13200.357740411375</c:v>
                </c:pt>
                <c:pt idx="685" formatCode="_(&quot;$&quot;* #,##0.00_);_(&quot;$&quot;* \(#,##0.00\);_(&quot;$&quot;* &quot;-&quot;??_);_(@_)">
                  <c:v>-13059.125956335462</c:v>
                </c:pt>
                <c:pt idx="686" formatCode="_(&quot;$&quot;* #,##0.00_);_(&quot;$&quot;* \(#,##0.00\);_(&quot;$&quot;* &quot;-&quot;??_);_(@_)">
                  <c:v>-13075.602891295837</c:v>
                </c:pt>
                <c:pt idx="687" formatCode="_(&quot;$&quot;* #,##0.00_);_(&quot;$&quot;* \(#,##0.00\);_(&quot;$&quot;* &quot;-&quot;??_);_(@_)">
                  <c:v>-12756.504131576099</c:v>
                </c:pt>
                <c:pt idx="688" formatCode="_(&quot;$&quot;* #,##0.00_);_(&quot;$&quot;* \(#,##0.00\);_(&quot;$&quot;* &quot;-&quot;??_);_(@_)">
                  <c:v>-12228.431366654799</c:v>
                </c:pt>
                <c:pt idx="689" formatCode="_(&quot;$&quot;* #,##0.00_);_(&quot;$&quot;* \(#,##0.00\);_(&quot;$&quot;* &quot;-&quot;??_);_(@_)">
                  <c:v>-11963.609760795338</c:v>
                </c:pt>
                <c:pt idx="690" formatCode="_(&quot;$&quot;* #,##0.00_);_(&quot;$&quot;* \(#,##0.00\);_(&quot;$&quot;* &quot;-&quot;??_);_(@_)">
                  <c:v>-12133.685945188672</c:v>
                </c:pt>
                <c:pt idx="691" formatCode="_(&quot;$&quot;* #,##0.00_);_(&quot;$&quot;* \(#,##0.00\);_(&quot;$&quot;* &quot;-&quot;??_);_(@_)">
                  <c:v>-12099.70127406141</c:v>
                </c:pt>
                <c:pt idx="692" formatCode="_(&quot;$&quot;* #,##0.00_);_(&quot;$&quot;* \(#,##0.00\);_(&quot;$&quot;* &quot;-&quot;??_);_(@_)">
                  <c:v>-12362.620519734832</c:v>
                </c:pt>
                <c:pt idx="693" formatCode="_(&quot;$&quot;* #,##0.00_);_(&quot;$&quot;* \(#,##0.00\);_(&quot;$&quot;* &quot;-&quot;??_);_(@_)">
                  <c:v>-12396.624000228941</c:v>
                </c:pt>
                <c:pt idx="694" formatCode="_(&quot;$&quot;* #,##0.00_);_(&quot;$&quot;* \(#,##0.00\);_(&quot;$&quot;* &quot;-&quot;??_);_(@_)">
                  <c:v>-12359.103743627109</c:v>
                </c:pt>
                <c:pt idx="695" formatCode="_(&quot;$&quot;* #,##0.00_);_(&quot;$&quot;* \(#,##0.00\);_(&quot;$&quot;* &quot;-&quot;??_);_(@_)">
                  <c:v>-12297.714054350869</c:v>
                </c:pt>
                <c:pt idx="696" formatCode="_(&quot;$&quot;* #,##0.00_);_(&quot;$&quot;* \(#,##0.00\);_(&quot;$&quot;* &quot;-&quot;??_);_(@_)">
                  <c:v>-11857.115496708186</c:v>
                </c:pt>
                <c:pt idx="697" formatCode="_(&quot;$&quot;* #,##0.00_);_(&quot;$&quot;* \(#,##0.00\);_(&quot;$&quot;* &quot;-&quot;??_);_(@_)">
                  <c:v>-11902.204369728806</c:v>
                </c:pt>
                <c:pt idx="698" formatCode="_(&quot;$&quot;* #,##0.00_);_(&quot;$&quot;* \(#,##0.00\);_(&quot;$&quot;* &quot;-&quot;??_);_(@_)">
                  <c:v>-11907.448601431566</c:v>
                </c:pt>
                <c:pt idx="699" formatCode="_(&quot;$&quot;* #,##0.00_);_(&quot;$&quot;* \(#,##0.00\);_(&quot;$&quot;* &quot;-&quot;??_);_(@_)">
                  <c:v>-11708.921203426868</c:v>
                </c:pt>
                <c:pt idx="700" formatCode="_(&quot;$&quot;* #,##0.00_);_(&quot;$&quot;* \(#,##0.00\);_(&quot;$&quot;* &quot;-&quot;??_);_(@_)">
                  <c:v>-11421.974466279073</c:v>
                </c:pt>
                <c:pt idx="701" formatCode="_(&quot;$&quot;* #,##0.00_);_(&quot;$&quot;* \(#,##0.00\);_(&quot;$&quot;* &quot;-&quot;??_);_(@_)">
                  <c:v>-11328.576586730342</c:v>
                </c:pt>
                <c:pt idx="702" formatCode="_(&quot;$&quot;* #,##0.00_);_(&quot;$&quot;* \(#,##0.00\);_(&quot;$&quot;* &quot;-&quot;??_);_(@_)">
                  <c:v>-10659.394313039495</c:v>
                </c:pt>
                <c:pt idx="703" formatCode="_(&quot;$&quot;* #,##0.00_);_(&quot;$&quot;* \(#,##0.00\);_(&quot;$&quot;* &quot;-&quot;??_);_(@_)">
                  <c:v>-10658.954197505014</c:v>
                </c:pt>
                <c:pt idx="704" formatCode="_(&quot;$&quot;* #,##0.00_);_(&quot;$&quot;* \(#,##0.00\);_(&quot;$&quot;* &quot;-&quot;??_);_(@_)">
                  <c:v>-9896.0474617618511</c:v>
                </c:pt>
                <c:pt idx="705" formatCode="_(&quot;$&quot;* #,##0.00_);_(&quot;$&quot;* \(#,##0.00\);_(&quot;$&quot;* &quot;-&quot;??_);_(@_)">
                  <c:v>-9425.1109230897673</c:v>
                </c:pt>
                <c:pt idx="706" formatCode="_(&quot;$&quot;* #,##0.00_);_(&quot;$&quot;* \(#,##0.00\);_(&quot;$&quot;* &quot;-&quot;??_);_(@_)">
                  <c:v>-10549.001142124765</c:v>
                </c:pt>
                <c:pt idx="707" formatCode="_(&quot;$&quot;* #,##0.00_);_(&quot;$&quot;* \(#,##0.00\);_(&quot;$&quot;* &quot;-&quot;??_);_(@_)">
                  <c:v>-10964.51290432112</c:v>
                </c:pt>
                <c:pt idx="708" formatCode="_(&quot;$&quot;* #,##0.00_);_(&quot;$&quot;* \(#,##0.00\);_(&quot;$&quot;* &quot;-&quot;??_);_(@_)">
                  <c:v>-11576.873569939724</c:v>
                </c:pt>
                <c:pt idx="709" formatCode="_(&quot;$&quot;* #,##0.00_);_(&quot;$&quot;* \(#,##0.00\);_(&quot;$&quot;* &quot;-&quot;??_);_(@_)">
                  <c:v>-11161.874733849729</c:v>
                </c:pt>
                <c:pt idx="710" formatCode="_(&quot;$&quot;* #,##0.00_);_(&quot;$&quot;* \(#,##0.00\);_(&quot;$&quot;* &quot;-&quot;??_);_(@_)">
                  <c:v>-10581.631181717883</c:v>
                </c:pt>
                <c:pt idx="711" formatCode="_(&quot;$&quot;* #,##0.00_);_(&quot;$&quot;* \(#,##0.00\);_(&quot;$&quot;* &quot;-&quot;??_);_(@_)">
                  <c:v>-10390.031119398258</c:v>
                </c:pt>
                <c:pt idx="712" formatCode="_(&quot;$&quot;* #,##0.00_);_(&quot;$&quot;* \(#,##0.00\);_(&quot;$&quot;* &quot;-&quot;??_);_(@_)">
                  <c:v>-10196.604919118934</c:v>
                </c:pt>
                <c:pt idx="713" formatCode="_(&quot;$&quot;* #,##0.00_);_(&quot;$&quot;* \(#,##0.00\);_(&quot;$&quot;* &quot;-&quot;??_);_(@_)">
                  <c:v>-10155.001620416466</c:v>
                </c:pt>
                <c:pt idx="714" formatCode="_(&quot;$&quot;* #,##0.00_);_(&quot;$&quot;* \(#,##0.00\);_(&quot;$&quot;* &quot;-&quot;??_);_(@_)">
                  <c:v>-9502.0560047556755</c:v>
                </c:pt>
                <c:pt idx="715" formatCode="_(&quot;$&quot;* #,##0.00_);_(&quot;$&quot;* \(#,##0.00\);_(&quot;$&quot;* &quot;-&quot;??_);_(@_)">
                  <c:v>-9216.2908917843924</c:v>
                </c:pt>
                <c:pt idx="716" formatCode="_(&quot;$&quot;* #,##0.00_);_(&quot;$&quot;* \(#,##0.00\);_(&quot;$&quot;* &quot;-&quot;??_);_(@_)">
                  <c:v>-8730.4424984813231</c:v>
                </c:pt>
                <c:pt idx="717" formatCode="_(&quot;$&quot;* #,##0.00_);_(&quot;$&quot;* \(#,##0.00\);_(&quot;$&quot;* &quot;-&quot;??_);_(@_)">
                  <c:v>-8032.2007330195711</c:v>
                </c:pt>
                <c:pt idx="718" formatCode="_(&quot;$&quot;* #,##0.00_);_(&quot;$&quot;* \(#,##0.00\);_(&quot;$&quot;* &quot;-&quot;??_);_(@_)">
                  <c:v>-7963.3265053864816</c:v>
                </c:pt>
                <c:pt idx="719" formatCode="_(&quot;$&quot;* #,##0.00_);_(&quot;$&quot;* \(#,##0.00\);_(&quot;$&quot;* &quot;-&quot;??_);_(@_)">
                  <c:v>-7957.9403859914382</c:v>
                </c:pt>
                <c:pt idx="720" formatCode="_(&quot;$&quot;* #,##0.00_);_(&quot;$&quot;* \(#,##0.00\);_(&quot;$&quot;* &quot;-&quot;??_);_(@_)">
                  <c:v>-8290.0986812897827</c:v>
                </c:pt>
                <c:pt idx="721" formatCode="_(&quot;$&quot;* #,##0.00_);_(&quot;$&quot;* \(#,##0.00\);_(&quot;$&quot;* &quot;-&quot;??_);_(@_)">
                  <c:v>-8872.2892067717385</c:v>
                </c:pt>
                <c:pt idx="722" formatCode="_(&quot;$&quot;* #,##0.00_);_(&quot;$&quot;* \(#,##0.00\);_(&quot;$&quot;* &quot;-&quot;??_);_(@_)">
                  <c:v>-9275.8592635904934</c:v>
                </c:pt>
                <c:pt idx="723" formatCode="_(&quot;$&quot;* #,##0.00_);_(&quot;$&quot;* \(#,##0.00\);_(&quot;$&quot;* &quot;-&quot;??_);_(@_)">
                  <c:v>-10348.849674010204</c:v>
                </c:pt>
                <c:pt idx="724" formatCode="_(&quot;$&quot;* #,##0.00_);_(&quot;$&quot;* \(#,##0.00\);_(&quot;$&quot;* &quot;-&quot;??_);_(@_)">
                  <c:v>-9847.3236099211717</c:v>
                </c:pt>
                <c:pt idx="725" formatCode="_(&quot;$&quot;* #,##0.00_);_(&quot;$&quot;* \(#,##0.00\);_(&quot;$&quot;* &quot;-&quot;??_);_(@_)">
                  <c:v>-9811.653942037974</c:v>
                </c:pt>
                <c:pt idx="726" formatCode="_(&quot;$&quot;* #,##0.00_);_(&quot;$&quot;* \(#,##0.00\);_(&quot;$&quot;* &quot;-&quot;??_);_(@_)">
                  <c:v>-10278.259589283211</c:v>
                </c:pt>
                <c:pt idx="727" formatCode="_(&quot;$&quot;* #,##0.00_);_(&quot;$&quot;* \(#,##0.00\);_(&quot;$&quot;* &quot;-&quot;??_);_(@_)">
                  <c:v>-9262.8670867685396</c:v>
                </c:pt>
                <c:pt idx="728" formatCode="_(&quot;$&quot;* #,##0.00_);_(&quot;$&quot;* \(#,##0.00\);_(&quot;$&quot;* &quot;-&quot;??_);_(@_)">
                  <c:v>-9037.882609794171</c:v>
                </c:pt>
                <c:pt idx="729" formatCode="_(&quot;$&quot;* #,##0.00_);_(&quot;$&quot;* \(#,##0.00\);_(&quot;$&quot;* &quot;-&quot;??_);_(@_)">
                  <c:v>-8634.3911736940263</c:v>
                </c:pt>
                <c:pt idx="730" formatCode="_(&quot;$&quot;* #,##0.00_);_(&quot;$&quot;* \(#,##0.00\);_(&quot;$&quot;* &quot;-&quot;??_);_(@_)">
                  <c:v>-8014.9920103904096</c:v>
                </c:pt>
                <c:pt idx="731" formatCode="_(&quot;$&quot;* #,##0.00_);_(&quot;$&quot;* \(#,##0.00\);_(&quot;$&quot;* &quot;-&quot;??_);_(@_)">
                  <c:v>-8095.1052687116753</c:v>
                </c:pt>
                <c:pt idx="732" formatCode="_(&quot;$&quot;* #,##0.00_);_(&quot;$&quot;* \(#,##0.00\);_(&quot;$&quot;* &quot;-&quot;??_);_(@_)">
                  <c:v>-7827.1253262699656</c:v>
                </c:pt>
                <c:pt idx="733" formatCode="_(&quot;$&quot;* #,##0.00_);_(&quot;$&quot;* \(#,##0.00\);_(&quot;$&quot;* &quot;-&quot;??_);_(@_)">
                  <c:v>-7662.1748908081972</c:v>
                </c:pt>
                <c:pt idx="734" formatCode="_(&quot;$&quot;* #,##0.00_);_(&quot;$&quot;* \(#,##0.00\);_(&quot;$&quot;* &quot;-&quot;??_);_(@_)">
                  <c:v>-9729.9773119426754</c:v>
                </c:pt>
                <c:pt idx="735" formatCode="_(&quot;$&quot;* #,##0.00_);_(&quot;$&quot;* \(#,##0.00\);_(&quot;$&quot;* &quot;-&quot;??_);_(@_)">
                  <c:v>-9480.8043624037582</c:v>
                </c:pt>
                <c:pt idx="736" formatCode="_(&quot;$&quot;* #,##0.00_);_(&quot;$&quot;* \(#,##0.00\);_(&quot;$&quot;* &quot;-&quot;??_);_(@_)">
                  <c:v>-9643.069701616103</c:v>
                </c:pt>
                <c:pt idx="737" formatCode="_(&quot;$&quot;* #,##0.00_);_(&quot;$&quot;* \(#,##0.00\);_(&quot;$&quot;* &quot;-&quot;??_);_(@_)">
                  <c:v>-8463.9254324578978</c:v>
                </c:pt>
                <c:pt idx="738" formatCode="_(&quot;$&quot;* #,##0.00_);_(&quot;$&quot;* \(#,##0.00\);_(&quot;$&quot;* &quot;-&quot;??_);_(@_)">
                  <c:v>-7469.4721784424282</c:v>
                </c:pt>
                <c:pt idx="739" formatCode="_(&quot;$&quot;* #,##0.00_);_(&quot;$&quot;* \(#,##0.00\);_(&quot;$&quot;* &quot;-&quot;??_);_(@_)">
                  <c:v>-7560.5860967699746</c:v>
                </c:pt>
                <c:pt idx="740" formatCode="_(&quot;$&quot;* #,##0.00_);_(&quot;$&quot;* \(#,##0.00\);_(&quot;$&quot;* &quot;-&quot;??_);_(@_)">
                  <c:v>-7568.9327017880096</c:v>
                </c:pt>
                <c:pt idx="741" formatCode="_(&quot;$&quot;* #,##0.00_);_(&quot;$&quot;* \(#,##0.00\);_(&quot;$&quot;* &quot;-&quot;??_);_(@_)">
                  <c:v>-7810.1306494421788</c:v>
                </c:pt>
                <c:pt idx="742" formatCode="_(&quot;$&quot;* #,##0.00_);_(&quot;$&quot;* \(#,##0.00\);_(&quot;$&quot;* &quot;-&quot;??_);_(@_)">
                  <c:v>-8006.7775965034443</c:v>
                </c:pt>
                <c:pt idx="743" formatCode="_(&quot;$&quot;* #,##0.00_);_(&quot;$&quot;* \(#,##0.00\);_(&quot;$&quot;* &quot;-&quot;??_);_(@_)">
                  <c:v>-6911.2317810632867</c:v>
                </c:pt>
                <c:pt idx="744" formatCode="_(&quot;$&quot;* #,##0.00_);_(&quot;$&quot;* \(#,##0.00\);_(&quot;$&quot;* &quot;-&quot;??_);_(@_)">
                  <c:v>-6270.5433554588471</c:v>
                </c:pt>
                <c:pt idx="745" formatCode="_(&quot;$&quot;* #,##0.00_);_(&quot;$&quot;* \(#,##0.00\);_(&quot;$&quot;* &quot;-&quot;??_);_(@_)">
                  <c:v>-5962.3630877919268</c:v>
                </c:pt>
                <c:pt idx="746" formatCode="_(&quot;$&quot;* #,##0.00_);_(&quot;$&quot;* \(#,##0.00\);_(&quot;$&quot;* &quot;-&quot;??_);_(@_)">
                  <c:v>-5885.6377227864523</c:v>
                </c:pt>
                <c:pt idx="747" formatCode="_(&quot;$&quot;* #,##0.00_);_(&quot;$&quot;* \(#,##0.00\);_(&quot;$&quot;* &quot;-&quot;??_);_(@_)">
                  <c:v>-4896.554517348879</c:v>
                </c:pt>
                <c:pt idx="748" formatCode="_(&quot;$&quot;* #,##0.00_);_(&quot;$&quot;* \(#,##0.00\);_(&quot;$&quot;* &quot;-&quot;??_);_(@_)">
                  <c:v>-6047.7491287153225</c:v>
                </c:pt>
                <c:pt idx="749" formatCode="_(&quot;$&quot;* #,##0.00_);_(&quot;$&quot;* \(#,##0.00\);_(&quot;$&quot;* &quot;-&quot;??_);_(@_)">
                  <c:v>-5744.7064472209131</c:v>
                </c:pt>
                <c:pt idx="750" formatCode="_(&quot;$&quot;* #,##0.00_);_(&quot;$&quot;* \(#,##0.00\);_(&quot;$&quot;* &quot;-&quot;??_);_(@_)">
                  <c:v>-5603.6472430992872</c:v>
                </c:pt>
                <c:pt idx="751" formatCode="_(&quot;$&quot;* #,##0.00_);_(&quot;$&quot;* \(#,##0.00\);_(&quot;$&quot;* &quot;-&quot;??_);_(@_)">
                  <c:v>-5053.8161736410166</c:v>
                </c:pt>
                <c:pt idx="752" formatCode="_(&quot;$&quot;* #,##0.00_);_(&quot;$&quot;* \(#,##0.00\);_(&quot;$&quot;* &quot;-&quot;??_);_(@_)">
                  <c:v>-4950.1595588462369</c:v>
                </c:pt>
                <c:pt idx="753" formatCode="_(&quot;$&quot;* #,##0.00_);_(&quot;$&quot;* \(#,##0.00\);_(&quot;$&quot;* &quot;-&quot;??_);_(@_)">
                  <c:v>-4986.9364228004179</c:v>
                </c:pt>
                <c:pt idx="754" formatCode="_(&quot;$&quot;* #,##0.00_);_(&quot;$&quot;* \(#,##0.00\);_(&quot;$&quot;* &quot;-&quot;??_);_(@_)">
                  <c:v>-5486.4918628059777</c:v>
                </c:pt>
                <c:pt idx="755" formatCode="_(&quot;$&quot;* #,##0.00_);_(&quot;$&quot;* \(#,##0.00\);_(&quot;$&quot;* &quot;-&quot;??_);_(@_)">
                  <c:v>-5255.9862580605659</c:v>
                </c:pt>
                <c:pt idx="756" formatCode="_(&quot;$&quot;* #,##0.00_);_(&quot;$&quot;* \(#,##0.00\);_(&quot;$&quot;* &quot;-&quot;??_);_(@_)">
                  <c:v>-4723.404434614331</c:v>
                </c:pt>
                <c:pt idx="757" formatCode="_(&quot;$&quot;* #,##0.00_);_(&quot;$&quot;* \(#,##0.00\);_(&quot;$&quot;* &quot;-&quot;??_);_(@_)">
                  <c:v>-4218.4181033029963</c:v>
                </c:pt>
                <c:pt idx="758" formatCode="_(&quot;$&quot;* #,##0.00_);_(&quot;$&quot;* \(#,##0.00\);_(&quot;$&quot;* &quot;-&quot;??_);_(@_)">
                  <c:v>-4111.5994843258695</c:v>
                </c:pt>
                <c:pt idx="759" formatCode="_(&quot;$&quot;* #,##0.00_);_(&quot;$&quot;* \(#,##0.00\);_(&quot;$&quot;* &quot;-&quot;??_);_(@_)">
                  <c:v>-3753.9927014242544</c:v>
                </c:pt>
                <c:pt idx="760" formatCode="_(&quot;$&quot;* #,##0.00_);_(&quot;$&quot;* \(#,##0.00\);_(&quot;$&quot;* &quot;-&quot;??_);_(@_)">
                  <c:v>-3770.4423138948491</c:v>
                </c:pt>
                <c:pt idx="761" formatCode="_(&quot;$&quot;* #,##0.00_);_(&quot;$&quot;* \(#,##0.00\);_(&quot;$&quot;* &quot;-&quot;??_);_(@_)">
                  <c:v>-3575.5118965991142</c:v>
                </c:pt>
                <c:pt idx="762" formatCode="_(&quot;$&quot;* #,##0.00_);_(&quot;$&quot;* \(#,##0.00\);_(&quot;$&quot;* &quot;-&quot;??_);_(@_)">
                  <c:v>-3342.9601055949574</c:v>
                </c:pt>
                <c:pt idx="763" formatCode="_(&quot;$&quot;* #,##0.00_);_(&quot;$&quot;* \(#,##0.00\);_(&quot;$&quot;* &quot;-&quot;??_);_(@_)">
                  <c:v>-3699.4218785179737</c:v>
                </c:pt>
                <c:pt idx="764" formatCode="_(&quot;$&quot;* #,##0.00_);_(&quot;$&quot;* \(#,##0.00\);_(&quot;$&quot;* &quot;-&quot;??_);_(@_)">
                  <c:v>-4200.3738331760269</c:v>
                </c:pt>
                <c:pt idx="765" formatCode="_(&quot;$&quot;* #,##0.00_);_(&quot;$&quot;* \(#,##0.00\);_(&quot;$&quot;* &quot;-&quot;??_);_(@_)">
                  <c:v>-3990.4610053552587</c:v>
                </c:pt>
                <c:pt idx="766" formatCode="_(&quot;$&quot;* #,##0.00_);_(&quot;$&quot;* \(#,##0.00\);_(&quot;$&quot;* &quot;-&quot;??_);_(@_)">
                  <c:v>-3769.2936866679383</c:v>
                </c:pt>
                <c:pt idx="767" formatCode="_(&quot;$&quot;* #,##0.00_);_(&quot;$&quot;* \(#,##0.00\);_(&quot;$&quot;* &quot;-&quot;??_);_(@_)">
                  <c:v>-3860.6942083191029</c:v>
                </c:pt>
                <c:pt idx="768" formatCode="_(&quot;$&quot;* #,##0.00_);_(&quot;$&quot;* \(#,##0.00\);_(&quot;$&quot;* &quot;-&quot;??_);_(@_)">
                  <c:v>-3555.4768177785559</c:v>
                </c:pt>
                <c:pt idx="769" formatCode="_(&quot;$&quot;* #,##0.00_);_(&quot;$&quot;* \(#,##0.00\);_(&quot;$&quot;* &quot;-&quot;??_);_(@_)">
                  <c:v>-3190.590050306123</c:v>
                </c:pt>
                <c:pt idx="770" formatCode="_(&quot;$&quot;* #,##0.00_);_(&quot;$&quot;* \(#,##0.00\);_(&quot;$&quot;* &quot;-&quot;??_);_(@_)">
                  <c:v>-3371.6381110838938</c:v>
                </c:pt>
                <c:pt idx="771" formatCode="_(&quot;$&quot;* #,##0.00_);_(&quot;$&quot;* \(#,##0.00\);_(&quot;$&quot;* &quot;-&quot;??_);_(@_)">
                  <c:v>-2598.7730030748198</c:v>
                </c:pt>
                <c:pt idx="772" formatCode="_(&quot;$&quot;* #,##0.00_);_(&quot;$&quot;* \(#,##0.00\);_(&quot;$&quot;* &quot;-&quot;??_);_(@_)">
                  <c:v>-2538.0934435910217</c:v>
                </c:pt>
                <c:pt idx="773" formatCode="_(&quot;$&quot;* #,##0.00_);_(&quot;$&quot;* \(#,##0.00\);_(&quot;$&quot;* &quot;-&quot;??_);_(@_)">
                  <c:v>-2906.3215739425314</c:v>
                </c:pt>
                <c:pt idx="774" formatCode="_(&quot;$&quot;* #,##0.00_);_(&quot;$&quot;* \(#,##0.00\);_(&quot;$&quot;* &quot;-&quot;??_);_(@_)">
                  <c:v>-2297.01863161346</c:v>
                </c:pt>
                <c:pt idx="775" formatCode="_(&quot;$&quot;* #,##0.00_);_(&quot;$&quot;* \(#,##0.00\);_(&quot;$&quot;* &quot;-&quot;??_);_(@_)">
                  <c:v>-2448.6167719925106</c:v>
                </c:pt>
                <c:pt idx="776" formatCode="_(&quot;$&quot;* #,##0.00_);_(&quot;$&quot;* \(#,##0.00\);_(&quot;$&quot;* &quot;-&quot;??_);_(@_)">
                  <c:v>-2826.0813787770585</c:v>
                </c:pt>
                <c:pt idx="777" formatCode="_(&quot;$&quot;* #,##0.00_);_(&quot;$&quot;* \(#,##0.00\);_(&quot;$&quot;* &quot;-&quot;??_);_(@_)">
                  <c:v>-3805.517100303909</c:v>
                </c:pt>
                <c:pt idx="778" formatCode="_(&quot;$&quot;* #,##0.00_);_(&quot;$&quot;* \(#,##0.00\);_(&quot;$&quot;* &quot;-&quot;??_);_(@_)">
                  <c:v>-3584.2773543383646</c:v>
                </c:pt>
                <c:pt idx="779" formatCode="_(&quot;$&quot;* #,##0.00_);_(&quot;$&quot;* \(#,##0.00\);_(&quot;$&quot;* &quot;-&quot;??_);_(@_)">
                  <c:v>-4019.6003130898494</c:v>
                </c:pt>
                <c:pt idx="780" formatCode="_(&quot;$&quot;* #,##0.00_);_(&quot;$&quot;* \(#,##0.00\);_(&quot;$&quot;* &quot;-&quot;??_);_(@_)">
                  <c:v>-4597.5889268785368</c:v>
                </c:pt>
                <c:pt idx="781" formatCode="_(&quot;$&quot;* #,##0.00_);_(&quot;$&quot;* \(#,##0.00\);_(&quot;$&quot;* &quot;-&quot;??_);_(@_)">
                  <c:v>-4704.217363490242</c:v>
                </c:pt>
                <c:pt idx="782" formatCode="_(&quot;$&quot;* #,##0.00_);_(&quot;$&quot;* \(#,##0.00\);_(&quot;$&quot;* &quot;-&quot;??_);_(@_)">
                  <c:v>-4594.5554930449125</c:v>
                </c:pt>
                <c:pt idx="783" formatCode="_(&quot;$&quot;* #,##0.00_);_(&quot;$&quot;* \(#,##0.00\);_(&quot;$&quot;* &quot;-&quot;??_);_(@_)">
                  <c:v>-5234.0948563483389</c:v>
                </c:pt>
                <c:pt idx="784" formatCode="_(&quot;$&quot;* #,##0.00_);_(&quot;$&quot;* \(#,##0.00\);_(&quot;$&quot;* &quot;-&quot;??_);_(@_)">
                  <c:v>-5347.2361878755964</c:v>
                </c:pt>
                <c:pt idx="785" formatCode="_(&quot;$&quot;* #,##0.00_);_(&quot;$&quot;* \(#,##0.00\);_(&quot;$&quot;* &quot;-&quot;??_);_(@_)">
                  <c:v>-5215.6960394202033</c:v>
                </c:pt>
                <c:pt idx="786" formatCode="_(&quot;$&quot;* #,##0.00_);_(&quot;$&quot;* \(#,##0.00\);_(&quot;$&quot;* &quot;-&quot;??_);_(@_)">
                  <c:v>-5075.9206653956335</c:v>
                </c:pt>
                <c:pt idx="787" formatCode="_(&quot;$&quot;* #,##0.00_);_(&quot;$&quot;* \(#,##0.00\);_(&quot;$&quot;* &quot;-&quot;??_);_(@_)">
                  <c:v>-4678.1801423575707</c:v>
                </c:pt>
                <c:pt idx="788" formatCode="_(&quot;$&quot;* #,##0.00_);_(&quot;$&quot;* \(#,##0.00\);_(&quot;$&quot;* &quot;-&quot;??_);_(@_)">
                  <c:v>-5118.7734638414586</c:v>
                </c:pt>
                <c:pt idx="789" formatCode="_(&quot;$&quot;* #,##0.00_);_(&quot;$&quot;* \(#,##0.00\);_(&quot;$&quot;* &quot;-&quot;??_);_(@_)">
                  <c:v>-5622.7680248645938</c:v>
                </c:pt>
                <c:pt idx="790" formatCode="_(&quot;$&quot;* #,##0.00_);_(&quot;$&quot;* \(#,##0.00\);_(&quot;$&quot;* &quot;-&quot;??_);_(@_)">
                  <c:v>-5894.9470847067641</c:v>
                </c:pt>
                <c:pt idx="791" formatCode="_(&quot;$&quot;* #,##0.00_);_(&quot;$&quot;* \(#,##0.00\);_(&quot;$&quot;* &quot;-&quot;??_);_(@_)">
                  <c:v>-5529.3544205705866</c:v>
                </c:pt>
                <c:pt idx="792" formatCode="_(&quot;$&quot;* #,##0.00_);_(&quot;$&quot;* \(#,##0.00\);_(&quot;$&quot;* &quot;-&quot;??_);_(@_)">
                  <c:v>-5678.1776605451323</c:v>
                </c:pt>
                <c:pt idx="793" formatCode="_(&quot;$&quot;* #,##0.00_);_(&quot;$&quot;* \(#,##0.00\);_(&quot;$&quot;* &quot;-&quot;??_);_(@_)">
                  <c:v>-5967.2129713348859</c:v>
                </c:pt>
                <c:pt idx="794" formatCode="_(&quot;$&quot;* #,##0.00_);_(&quot;$&quot;* \(#,##0.00\);_(&quot;$&quot;* &quot;-&quot;??_);_(@_)">
                  <c:v>-5842.9872112497414</c:v>
                </c:pt>
                <c:pt idx="795" formatCode="_(&quot;$&quot;* #,##0.00_);_(&quot;$&quot;* \(#,##0.00\);_(&quot;$&quot;* &quot;-&quot;??_);_(@_)">
                  <c:v>-5968.6265004228535</c:v>
                </c:pt>
                <c:pt idx="796" formatCode="_(&quot;$&quot;* #,##0.00_);_(&quot;$&quot;* \(#,##0.00\);_(&quot;$&quot;* &quot;-&quot;??_);_(@_)">
                  <c:v>-5259.9180234702544</c:v>
                </c:pt>
                <c:pt idx="797" formatCode="_(&quot;$&quot;* #,##0.00_);_(&quot;$&quot;* \(#,##0.00\);_(&quot;$&quot;* &quot;-&quot;??_);_(@_)">
                  <c:v>-5254.2157783146131</c:v>
                </c:pt>
                <c:pt idx="798" formatCode="_(&quot;$&quot;* #,##0.00_);_(&quot;$&quot;* \(#,##0.00\);_(&quot;$&quot;* &quot;-&quot;??_);_(@_)">
                  <c:v>-5054.5381970546014</c:v>
                </c:pt>
                <c:pt idx="799" formatCode="_(&quot;$&quot;* #,##0.00_);_(&quot;$&quot;* \(#,##0.00\);_(&quot;$&quot;* &quot;-&quot;??_);_(@_)">
                  <c:v>-5438.0332859065456</c:v>
                </c:pt>
                <c:pt idx="800" formatCode="_(&quot;$&quot;* #,##0.00_);_(&quot;$&quot;* \(#,##0.00\);_(&quot;$&quot;* &quot;-&quot;??_);_(@_)">
                  <c:v>-5353.9406494665245</c:v>
                </c:pt>
                <c:pt idx="801" formatCode="_(&quot;$&quot;* #,##0.00_);_(&quot;$&quot;* \(#,##0.00\);_(&quot;$&quot;* &quot;-&quot;??_);_(@_)">
                  <c:v>-5678.4234841371863</c:v>
                </c:pt>
                <c:pt idx="802" formatCode="_(&quot;$&quot;* #,##0.00_);_(&quot;$&quot;* \(#,##0.00\);_(&quot;$&quot;* &quot;-&quot;??_);_(@_)">
                  <c:v>-5436.7961645307487</c:v>
                </c:pt>
                <c:pt idx="803" formatCode="_(&quot;$&quot;* #,##0.00_);_(&quot;$&quot;* \(#,##0.00\);_(&quot;$&quot;* &quot;-&quot;??_);_(@_)">
                  <c:v>-5605.0568484289097</c:v>
                </c:pt>
                <c:pt idx="804" formatCode="_(&quot;$&quot;* #,##0.00_);_(&quot;$&quot;* \(#,##0.00\);_(&quot;$&quot;* &quot;-&quot;??_);_(@_)">
                  <c:v>-5691.9056638398415</c:v>
                </c:pt>
                <c:pt idx="805" formatCode="_(&quot;$&quot;* #,##0.00_);_(&quot;$&quot;* \(#,##0.00\);_(&quot;$&quot;* &quot;-&quot;??_);_(@_)">
                  <c:v>-6379.945113745116</c:v>
                </c:pt>
                <c:pt idx="806" formatCode="_(&quot;$&quot;* #,##0.00_);_(&quot;$&quot;* \(#,##0.00\);_(&quot;$&quot;* &quot;-&quot;??_);_(@_)">
                  <c:v>-5983.8595379890148</c:v>
                </c:pt>
                <c:pt idx="807" formatCode="_(&quot;$&quot;* #,##0.00_);_(&quot;$&quot;* \(#,##0.00\);_(&quot;$&quot;* &quot;-&quot;??_);_(@_)">
                  <c:v>-6568.9222117247373</c:v>
                </c:pt>
                <c:pt idx="808" formatCode="_(&quot;$&quot;* #,##0.00_);_(&quot;$&quot;* \(#,##0.00\);_(&quot;$&quot;* &quot;-&quot;??_);_(@_)">
                  <c:v>-6375.0118546920221</c:v>
                </c:pt>
                <c:pt idx="809" formatCode="_(&quot;$&quot;* #,##0.00_);_(&quot;$&quot;* \(#,##0.00\);_(&quot;$&quot;* &quot;-&quot;??_);_(@_)">
                  <c:v>-5934.5733839469749</c:v>
                </c:pt>
                <c:pt idx="810" formatCode="_(&quot;$&quot;* #,##0.00_);_(&quot;$&quot;* \(#,##0.00\);_(&quot;$&quot;* &quot;-&quot;??_);_(@_)">
                  <c:v>-6192.5063236690012</c:v>
                </c:pt>
                <c:pt idx="811" formatCode="_(&quot;$&quot;* #,##0.00_);_(&quot;$&quot;* \(#,##0.00\);_(&quot;$&quot;* &quot;-&quot;??_);_(@_)">
                  <c:v>-5729.1950807453832</c:v>
                </c:pt>
                <c:pt idx="812" formatCode="_(&quot;$&quot;* #,##0.00_);_(&quot;$&quot;* \(#,##0.00\);_(&quot;$&quot;* &quot;-&quot;??_);_(@_)">
                  <c:v>-5813.3306162981435</c:v>
                </c:pt>
                <c:pt idx="813" formatCode="_(&quot;$&quot;* #,##0.00_);_(&quot;$&quot;* \(#,##0.00\);_(&quot;$&quot;* &quot;-&quot;??_);_(@_)">
                  <c:v>-6707.3640765311857</c:v>
                </c:pt>
                <c:pt idx="814" formatCode="_(&quot;$&quot;* #,##0.00_);_(&quot;$&quot;* \(#,##0.00\);_(&quot;$&quot;* &quot;-&quot;??_);_(@_)">
                  <c:v>-7067.0265411743912</c:v>
                </c:pt>
                <c:pt idx="815" formatCode="_(&quot;$&quot;* #,##0.00_);_(&quot;$&quot;* \(#,##0.00\);_(&quot;$&quot;* &quot;-&quot;??_);_(@_)">
                  <c:v>-6732.5824525274365</c:v>
                </c:pt>
                <c:pt idx="816" formatCode="_(&quot;$&quot;* #,##0.00_);_(&quot;$&quot;* \(#,##0.00\);_(&quot;$&quot;* &quot;-&quot;??_);_(@_)">
                  <c:v>-6775.3455727237688</c:v>
                </c:pt>
                <c:pt idx="817" formatCode="_(&quot;$&quot;* #,##0.00_);_(&quot;$&quot;* \(#,##0.00\);_(&quot;$&quot;* &quot;-&quot;??_);_(@_)">
                  <c:v>-6894.4138993743481</c:v>
                </c:pt>
                <c:pt idx="818" formatCode="_(&quot;$&quot;* #,##0.00_);_(&quot;$&quot;* \(#,##0.00\);_(&quot;$&quot;* &quot;-&quot;??_);_(@_)">
                  <c:v>-7569.2127841528554</c:v>
                </c:pt>
                <c:pt idx="819" formatCode="_(&quot;$&quot;* #,##0.00_);_(&quot;$&quot;* \(#,##0.00\);_(&quot;$&quot;* &quot;-&quot;??_);_(@_)">
                  <c:v>-7693.1769219210637</c:v>
                </c:pt>
                <c:pt idx="820" formatCode="_(&quot;$&quot;* #,##0.00_);_(&quot;$&quot;* \(#,##0.00\);_(&quot;$&quot;* &quot;-&quot;??_);_(@_)">
                  <c:v>-8097.6178799191375</c:v>
                </c:pt>
                <c:pt idx="821" formatCode="_(&quot;$&quot;* #,##0.00_);_(&quot;$&quot;* \(#,##0.00\);_(&quot;$&quot;* &quot;-&quot;??_);_(@_)">
                  <c:v>-8549.0556616254398</c:v>
                </c:pt>
                <c:pt idx="822" formatCode="_(&quot;$&quot;* #,##0.00_);_(&quot;$&quot;* \(#,##0.00\);_(&quot;$&quot;* &quot;-&quot;??_);_(@_)">
                  <c:v>-8554.9345736656451</c:v>
                </c:pt>
                <c:pt idx="823" formatCode="_(&quot;$&quot;* #,##0.00_);_(&quot;$&quot;* \(#,##0.00\);_(&quot;$&quot;* &quot;-&quot;??_);_(@_)">
                  <c:v>-8397.7718229835336</c:v>
                </c:pt>
                <c:pt idx="824" formatCode="_(&quot;$&quot;* #,##0.00_);_(&quot;$&quot;* \(#,##0.00\);_(&quot;$&quot;* &quot;-&quot;??_);_(@_)">
                  <c:v>-8965.2896805848231</c:v>
                </c:pt>
                <c:pt idx="825" formatCode="_(&quot;$&quot;* #,##0.00_);_(&quot;$&quot;* \(#,##0.00\);_(&quot;$&quot;* &quot;-&quot;??_);_(@_)">
                  <c:v>-8971.5721375279172</c:v>
                </c:pt>
                <c:pt idx="826" formatCode="_(&quot;$&quot;* #,##0.00_);_(&quot;$&quot;* \(#,##0.00\);_(&quot;$&quot;* &quot;-&quot;??_);_(@_)">
                  <c:v>-9606.8449643683034</c:v>
                </c:pt>
                <c:pt idx="827" formatCode="_(&quot;$&quot;* #,##0.00_);_(&quot;$&quot;* \(#,##0.00\);_(&quot;$&quot;* &quot;-&quot;??_);_(@_)">
                  <c:v>-9909.6456399028903</c:v>
                </c:pt>
                <c:pt idx="828" formatCode="_(&quot;$&quot;* #,##0.00_);_(&quot;$&quot;* \(#,##0.00\);_(&quot;$&quot;* &quot;-&quot;??_);_(@_)">
                  <c:v>-10632.507700457096</c:v>
                </c:pt>
                <c:pt idx="829" formatCode="_(&quot;$&quot;* #,##0.00_);_(&quot;$&quot;* \(#,##0.00\);_(&quot;$&quot;* &quot;-&quot;??_);_(@_)">
                  <c:v>-10154.743197598626</c:v>
                </c:pt>
                <c:pt idx="830" formatCode="_(&quot;$&quot;* #,##0.00_);_(&quot;$&quot;* \(#,##0.00\);_(&quot;$&quot;* &quot;-&quot;??_);_(@_)">
                  <c:v>-9588.4343156746127</c:v>
                </c:pt>
                <c:pt idx="831" formatCode="_(&quot;$&quot;* #,##0.00_);_(&quot;$&quot;* \(#,##0.00\);_(&quot;$&quot;* &quot;-&quot;??_);_(@_)">
                  <c:v>-10099.900641179587</c:v>
                </c:pt>
                <c:pt idx="832" formatCode="_(&quot;$&quot;* #,##0.00_);_(&quot;$&quot;* \(#,##0.00\);_(&quot;$&quot;* &quot;-&quot;??_);_(@_)">
                  <c:v>-9893.0340026999056</c:v>
                </c:pt>
                <c:pt idx="833" formatCode="_(&quot;$&quot;* #,##0.00_);_(&quot;$&quot;* \(#,##0.00\);_(&quot;$&quot;* &quot;-&quot;??_);_(@_)">
                  <c:v>-10209.514009603494</c:v>
                </c:pt>
                <c:pt idx="834" formatCode="_(&quot;$&quot;* #,##0.00_);_(&quot;$&quot;* \(#,##0.00\);_(&quot;$&quot;* &quot;-&quot;??_);_(@_)">
                  <c:v>-10639.258589701563</c:v>
                </c:pt>
                <c:pt idx="835" formatCode="_(&quot;$&quot;* #,##0.00_);_(&quot;$&quot;* \(#,##0.00\);_(&quot;$&quot;* &quot;-&quot;??_);_(@_)">
                  <c:v>-10149.378035413716</c:v>
                </c:pt>
                <c:pt idx="836" formatCode="_(&quot;$&quot;* #,##0.00_);_(&quot;$&quot;* \(#,##0.00\);_(&quot;$&quot;* &quot;-&quot;??_);_(@_)">
                  <c:v>-9533.7916924323763</c:v>
                </c:pt>
                <c:pt idx="837" formatCode="_(&quot;$&quot;* #,##0.00_);_(&quot;$&quot;* \(#,##0.00\);_(&quot;$&quot;* &quot;-&quot;??_);_(@_)">
                  <c:v>-9199.2429292010547</c:v>
                </c:pt>
                <c:pt idx="838" formatCode="_(&quot;$&quot;* #,##0.00_);_(&quot;$&quot;* \(#,##0.00\);_(&quot;$&quot;* &quot;-&quot;??_);_(@_)">
                  <c:v>-8896.4117981217296</c:v>
                </c:pt>
                <c:pt idx="839" formatCode="_(&quot;$&quot;* #,##0.00_);_(&quot;$&quot;* \(#,##0.00\);_(&quot;$&quot;* &quot;-&quot;??_);_(@_)">
                  <c:v>-9000.9860259350371</c:v>
                </c:pt>
                <c:pt idx="840" formatCode="_(&quot;$&quot;* #,##0.00_);_(&quot;$&quot;* \(#,##0.00\);_(&quot;$&quot;* &quot;-&quot;??_);_(@_)">
                  <c:v>-8699.1956900973091</c:v>
                </c:pt>
                <c:pt idx="841" formatCode="_(&quot;$&quot;* #,##0.00_);_(&quot;$&quot;* \(#,##0.00\);_(&quot;$&quot;* &quot;-&quot;??_);_(@_)">
                  <c:v>-8018.8807676640245</c:v>
                </c:pt>
                <c:pt idx="842" formatCode="_(&quot;$&quot;* #,##0.00_);_(&quot;$&quot;* \(#,##0.00\);_(&quot;$&quot;* &quot;-&quot;??_);_(@_)">
                  <c:v>-8168.9587130791388</c:v>
                </c:pt>
                <c:pt idx="843" formatCode="_(&quot;$&quot;* #,##0.00_);_(&quot;$&quot;* \(#,##0.00\);_(&quot;$&quot;* &quot;-&quot;??_);_(@_)">
                  <c:v>-7838.7060046979204</c:v>
                </c:pt>
                <c:pt idx="844" formatCode="_(&quot;$&quot;* #,##0.00_);_(&quot;$&quot;* \(#,##0.00\);_(&quot;$&quot;* &quot;-&quot;??_);_(@_)">
                  <c:v>-7082.3213842594268</c:v>
                </c:pt>
                <c:pt idx="845" formatCode="_(&quot;$&quot;* #,##0.00_);_(&quot;$&quot;* \(#,##0.00\);_(&quot;$&quot;* &quot;-&quot;??_);_(@_)">
                  <c:v>-6706.7071191075074</c:v>
                </c:pt>
                <c:pt idx="846" formatCode="_(&quot;$&quot;* #,##0.00_);_(&quot;$&quot;* \(#,##0.00\);_(&quot;$&quot;* &quot;-&quot;??_);_(@_)">
                  <c:v>-6728.0901581343533</c:v>
                </c:pt>
                <c:pt idx="847" formatCode="_(&quot;$&quot;* #,##0.00_);_(&quot;$&quot;* \(#,##0.00\);_(&quot;$&quot;* &quot;-&quot;??_);_(@_)">
                  <c:v>-6426.9844314402253</c:v>
                </c:pt>
                <c:pt idx="848" formatCode="_(&quot;$&quot;* #,##0.00_);_(&quot;$&quot;* \(#,##0.00\);_(&quot;$&quot;* &quot;-&quot;??_);_(@_)">
                  <c:v>-6965.8847908181287</c:v>
                </c:pt>
                <c:pt idx="849" formatCode="_(&quot;$&quot;* #,##0.00_);_(&quot;$&quot;* \(#,##0.00\);_(&quot;$&quot;* &quot;-&quot;??_);_(@_)">
                  <c:v>-6151.9495505641662</c:v>
                </c:pt>
                <c:pt idx="850" formatCode="_(&quot;$&quot;* #,##0.00_);_(&quot;$&quot;* \(#,##0.00\);_(&quot;$&quot;* &quot;-&quot;??_);_(@_)">
                  <c:v>-5794.9275848607031</c:v>
                </c:pt>
                <c:pt idx="851" formatCode="_(&quot;$&quot;* #,##0.00_);_(&quot;$&quot;* \(#,##0.00\);_(&quot;$&quot;* &quot;-&quot;??_);_(@_)">
                  <c:v>-5951.5544260554007</c:v>
                </c:pt>
                <c:pt idx="852" formatCode="_(&quot;$&quot;* #,##0.00_);_(&quot;$&quot;* \(#,##0.00\);_(&quot;$&quot;* &quot;-&quot;??_);_(@_)">
                  <c:v>-6324.046117975302</c:v>
                </c:pt>
                <c:pt idx="853" formatCode="_(&quot;$&quot;* #,##0.00_);_(&quot;$&quot;* \(#,##0.00\);_(&quot;$&quot;* &quot;-&quot;??_);_(@_)">
                  <c:v>-6457.7892943325169</c:v>
                </c:pt>
                <c:pt idx="854" formatCode="_(&quot;$&quot;* #,##0.00_);_(&quot;$&quot;* \(#,##0.00\);_(&quot;$&quot;* &quot;-&quot;??_);_(@_)">
                  <c:v>-5911.0286032243848</c:v>
                </c:pt>
                <c:pt idx="855" formatCode="_(&quot;$&quot;* #,##0.00_);_(&quot;$&quot;* \(#,##0.00\);_(&quot;$&quot;* &quot;-&quot;??_);_(@_)">
                  <c:v>-5956.3744112820432</c:v>
                </c:pt>
                <c:pt idx="856" formatCode="_(&quot;$&quot;* #,##0.00_);_(&quot;$&quot;* \(#,##0.00\);_(&quot;$&quot;* &quot;-&quot;??_);_(@_)">
                  <c:v>-6290.9655863904736</c:v>
                </c:pt>
                <c:pt idx="857" formatCode="_(&quot;$&quot;* #,##0.00_);_(&quot;$&quot;* \(#,##0.00\);_(&quot;$&quot;* &quot;-&quot;??_);_(@_)">
                  <c:v>-6935.0858300283044</c:v>
                </c:pt>
                <c:pt idx="858" formatCode="_(&quot;$&quot;* #,##0.00_);_(&quot;$&quot;* \(#,##0.00\);_(&quot;$&quot;* &quot;-&quot;??_);_(@_)">
                  <c:v>-7730.6475573293628</c:v>
                </c:pt>
                <c:pt idx="859" formatCode="_(&quot;$&quot;* #,##0.00_);_(&quot;$&quot;* \(#,##0.00\);_(&quot;$&quot;* &quot;-&quot;??_);_(@_)">
                  <c:v>-7757.1663556648709</c:v>
                </c:pt>
                <c:pt idx="860" formatCode="_(&quot;$&quot;* #,##0.00_);_(&quot;$&quot;* \(#,##0.00\);_(&quot;$&quot;* &quot;-&quot;??_);_(@_)">
                  <c:v>-7692.1451153595863</c:v>
                </c:pt>
                <c:pt idx="861" formatCode="_(&quot;$&quot;* #,##0.00_);_(&quot;$&quot;* \(#,##0.00\);_(&quot;$&quot;* &quot;-&quot;??_);_(@_)">
                  <c:v>-7027.5617262503692</c:v>
                </c:pt>
                <c:pt idx="862" formatCode="_(&quot;$&quot;* #,##0.00_);_(&quot;$&quot;* \(#,##0.00\);_(&quot;$&quot;* &quot;-&quot;??_);_(@_)">
                  <c:v>-6357.9264890618433</c:v>
                </c:pt>
                <c:pt idx="863" formatCode="_(&quot;$&quot;* #,##0.00_);_(&quot;$&quot;* \(#,##0.00\);_(&quot;$&quot;* &quot;-&quot;??_);_(@_)">
                  <c:v>-7217.1292842479306</c:v>
                </c:pt>
                <c:pt idx="864" formatCode="_(&quot;$&quot;* #,##0.00_);_(&quot;$&quot;* \(#,##0.00\);_(&quot;$&quot;* &quot;-&quot;??_);_(@_)">
                  <c:v>-6237.2806489751829</c:v>
                </c:pt>
                <c:pt idx="865" formatCode="_(&quot;$&quot;* #,##0.00_);_(&quot;$&quot;* \(#,##0.00\);_(&quot;$&quot;* &quot;-&quot;??_);_(@_)">
                  <c:v>-6755.697199707075</c:v>
                </c:pt>
                <c:pt idx="866" formatCode="_(&quot;$&quot;* #,##0.00_);_(&quot;$&quot;* \(#,##0.00\);_(&quot;$&quot;* &quot;-&quot;??_);_(@_)">
                  <c:v>-6510.2026690339508</c:v>
                </c:pt>
                <c:pt idx="867" formatCode="_(&quot;$&quot;* #,##0.00_);_(&quot;$&quot;* \(#,##0.00\);_(&quot;$&quot;* &quot;-&quot;??_);_(@_)">
                  <c:v>-7423.7424651561751</c:v>
                </c:pt>
                <c:pt idx="868" formatCode="_(&quot;$&quot;* #,##0.00_);_(&quot;$&quot;* \(#,##0.00\);_(&quot;$&quot;* &quot;-&quot;??_);_(@_)">
                  <c:v>-7351.7894499994354</c:v>
                </c:pt>
                <c:pt idx="869" formatCode="_(&quot;$&quot;* #,##0.00_);_(&quot;$&quot;* \(#,##0.00\);_(&quot;$&quot;* &quot;-&quot;??_);_(@_)">
                  <c:v>-7555.9690185294203</c:v>
                </c:pt>
                <c:pt idx="870" formatCode="_(&quot;$&quot;* #,##0.00_);_(&quot;$&quot;* \(#,##0.00\);_(&quot;$&quot;* &quot;-&quot;??_);_(@_)">
                  <c:v>-9036.3778047436335</c:v>
                </c:pt>
                <c:pt idx="871" formatCode="_(&quot;$&quot;* #,##0.00_);_(&quot;$&quot;* \(#,##0.00\);_(&quot;$&quot;* &quot;-&quot;??_);_(@_)">
                  <c:v>-10389.277972540631</c:v>
                </c:pt>
                <c:pt idx="872" formatCode="_(&quot;$&quot;* #,##0.00_);_(&quot;$&quot;* \(#,##0.00\);_(&quot;$&quot;* &quot;-&quot;??_);_(@_)">
                  <c:v>-10506.825007631374</c:v>
                </c:pt>
                <c:pt idx="873" formatCode="_(&quot;$&quot;* #,##0.00_);_(&quot;$&quot;* \(#,##0.00\);_(&quot;$&quot;* &quot;-&quot;??_);_(@_)">
                  <c:v>-11037.529599725225</c:v>
                </c:pt>
                <c:pt idx="874" formatCode="_(&quot;$&quot;* #,##0.00_);_(&quot;$&quot;* \(#,##0.00\);_(&quot;$&quot;* &quot;-&quot;??_);_(@_)">
                  <c:v>-11326.171730861091</c:v>
                </c:pt>
                <c:pt idx="875" formatCode="_(&quot;$&quot;* #,##0.00_);_(&quot;$&quot;* \(#,##0.00\);_(&quot;$&quot;* &quot;-&quot;??_);_(@_)">
                  <c:v>-11199.450072660768</c:v>
                </c:pt>
                <c:pt idx="876" formatCode="_(&quot;$&quot;* #,##0.00_);_(&quot;$&quot;* \(#,##0.00\);_(&quot;$&quot;* &quot;-&quot;??_);_(@_)">
                  <c:v>-11748.223940176737</c:v>
                </c:pt>
                <c:pt idx="877" formatCode="_(&quot;$&quot;* #,##0.00_);_(&quot;$&quot;* \(#,##0.00\);_(&quot;$&quot;* &quot;-&quot;??_);_(@_)">
                  <c:v>-11830.37581961712</c:v>
                </c:pt>
                <c:pt idx="878" formatCode="_(&quot;$&quot;* #,##0.00_);_(&quot;$&quot;* \(#,##0.00\);_(&quot;$&quot;* &quot;-&quot;??_);_(@_)">
                  <c:v>-11350.479515982193</c:v>
                </c:pt>
                <c:pt idx="879" formatCode="_(&quot;$&quot;* #,##0.00_);_(&quot;$&quot;* \(#,##0.00\);_(&quot;$&quot;* &quot;-&quot;??_);_(@_)">
                  <c:v>-11774.423684906222</c:v>
                </c:pt>
                <c:pt idx="880" formatCode="_(&quot;$&quot;* #,##0.00_);_(&quot;$&quot;* \(#,##0.00\);_(&quot;$&quot;* &quot;-&quot;??_);_(@_)">
                  <c:v>-11378.282692857436</c:v>
                </c:pt>
                <c:pt idx="881" formatCode="_(&quot;$&quot;* #,##0.00_);_(&quot;$&quot;* \(#,##0.00\);_(&quot;$&quot;* &quot;-&quot;??_);_(@_)">
                  <c:v>-11313.297010554741</c:v>
                </c:pt>
                <c:pt idx="882" formatCode="_(&quot;$&quot;* #,##0.00_);_(&quot;$&quot;* \(#,##0.00\);_(&quot;$&quot;* &quot;-&quot;??_);_(@_)">
                  <c:v>-11054.533128997789</c:v>
                </c:pt>
                <c:pt idx="883" formatCode="_(&quot;$&quot;* #,##0.00_);_(&quot;$&quot;* \(#,##0.00\);_(&quot;$&quot;* &quot;-&quot;??_);_(@_)">
                  <c:v>-10866.892209742724</c:v>
                </c:pt>
                <c:pt idx="884" formatCode="_(&quot;$&quot;* #,##0.00_);_(&quot;$&quot;* \(#,##0.00\);_(&quot;$&quot;* &quot;-&quot;??_);_(@_)">
                  <c:v>-10772.507554389313</c:v>
                </c:pt>
                <c:pt idx="885" formatCode="_(&quot;$&quot;* #,##0.00_);_(&quot;$&quot;* \(#,##0.00\);_(&quot;$&quot;* &quot;-&quot;??_);_(@_)">
                  <c:v>-11246.537067468111</c:v>
                </c:pt>
                <c:pt idx="886" formatCode="_(&quot;$&quot;* #,##0.00_);_(&quot;$&quot;* \(#,##0.00\);_(&quot;$&quot;* &quot;-&quot;??_);_(@_)">
                  <c:v>-11213.819766439692</c:v>
                </c:pt>
                <c:pt idx="887" formatCode="_(&quot;$&quot;* #,##0.00_);_(&quot;$&quot;* \(#,##0.00\);_(&quot;$&quot;* &quot;-&quot;??_);_(@_)">
                  <c:v>-11378.268137686222</c:v>
                </c:pt>
                <c:pt idx="888" formatCode="_(&quot;$&quot;* #,##0.00_);_(&quot;$&quot;* \(#,##0.00\);_(&quot;$&quot;* &quot;-&quot;??_);_(@_)">
                  <c:v>-11071.52091141635</c:v>
                </c:pt>
                <c:pt idx="889" formatCode="_(&quot;$&quot;* #,##0.00_);_(&quot;$&quot;* \(#,##0.00\);_(&quot;$&quot;* &quot;-&quot;??_);_(@_)">
                  <c:v>-10533.058656782472</c:v>
                </c:pt>
                <c:pt idx="890" formatCode="_(&quot;$&quot;* #,##0.00_);_(&quot;$&quot;* \(#,##0.00\);_(&quot;$&quot;* &quot;-&quot;??_);_(@_)">
                  <c:v>-9935.7294841979565</c:v>
                </c:pt>
                <c:pt idx="891" formatCode="_(&quot;$&quot;* #,##0.00_);_(&quot;$&quot;* \(#,##0.00\);_(&quot;$&quot;* &quot;-&quot;??_);_(@_)">
                  <c:v>-10197.14946853159</c:v>
                </c:pt>
                <c:pt idx="892" formatCode="_(&quot;$&quot;* #,##0.00_);_(&quot;$&quot;* \(#,##0.00\);_(&quot;$&quot;* &quot;-&quot;??_);_(@_)">
                  <c:v>-9474.2956088458704</c:v>
                </c:pt>
                <c:pt idx="893" formatCode="_(&quot;$&quot;* #,##0.00_);_(&quot;$&quot;* \(#,##0.00\);_(&quot;$&quot;* &quot;-&quot;??_);_(@_)">
                  <c:v>-9923.7348780441243</c:v>
                </c:pt>
                <c:pt idx="894" formatCode="_(&quot;$&quot;* #,##0.00_);_(&quot;$&quot;* \(#,##0.00\);_(&quot;$&quot;* &quot;-&quot;??_);_(@_)">
                  <c:v>-9237.3415984972689</c:v>
                </c:pt>
                <c:pt idx="895" formatCode="_(&quot;$&quot;* #,##0.00_);_(&quot;$&quot;* \(#,##0.00\);_(&quot;$&quot;* &quot;-&quot;??_);_(@_)">
                  <c:v>-9669.2738801226205</c:v>
                </c:pt>
                <c:pt idx="896" formatCode="_(&quot;$&quot;* #,##0.00_);_(&quot;$&quot;* \(#,##0.00\);_(&quot;$&quot;* &quot;-&quot;??_);_(@_)">
                  <c:v>-9814.6476334445888</c:v>
                </c:pt>
                <c:pt idx="897" formatCode="_(&quot;$&quot;* #,##0.00_);_(&quot;$&quot;* \(#,##0.00\);_(&quot;$&quot;* &quot;-&quot;??_);_(@_)">
                  <c:v>-9146.8122242827667</c:v>
                </c:pt>
                <c:pt idx="898" formatCode="_(&quot;$&quot;* #,##0.00_);_(&quot;$&quot;* \(#,##0.00\);_(&quot;$&quot;* &quot;-&quot;??_);_(@_)">
                  <c:v>-8770.4301399985143</c:v>
                </c:pt>
                <c:pt idx="899" formatCode="_(&quot;$&quot;* #,##0.00_);_(&quot;$&quot;* \(#,##0.00\);_(&quot;$&quot;* &quot;-&quot;??_);_(@_)">
                  <c:v>-7516.1135912478976</c:v>
                </c:pt>
                <c:pt idx="900" formatCode="_(&quot;$&quot;* #,##0.00_);_(&quot;$&quot;* \(#,##0.00\);_(&quot;$&quot;* &quot;-&quot;??_);_(@_)">
                  <c:v>-8016.6342304628233</c:v>
                </c:pt>
                <c:pt idx="901" formatCode="_(&quot;$&quot;* #,##0.00_);_(&quot;$&quot;* \(#,##0.00\);_(&quot;$&quot;* &quot;-&quot;??_);_(@_)">
                  <c:v>-9018.5451407409237</c:v>
                </c:pt>
                <c:pt idx="902" formatCode="_(&quot;$&quot;* #,##0.00_);_(&quot;$&quot;* \(#,##0.00\);_(&quot;$&quot;* &quot;-&quot;??_);_(@_)">
                  <c:v>-8644.1699880901415</c:v>
                </c:pt>
                <c:pt idx="903" formatCode="_(&quot;$&quot;* #,##0.00_);_(&quot;$&quot;* \(#,##0.00\);_(&quot;$&quot;* &quot;-&quot;??_);_(@_)">
                  <c:v>-8803.3541166388295</c:v>
                </c:pt>
                <c:pt idx="904" formatCode="_(&quot;$&quot;* #,##0.00_);_(&quot;$&quot;* \(#,##0.00\);_(&quot;$&quot;* &quot;-&quot;??_);_(@_)">
                  <c:v>-8225.0117409416689</c:v>
                </c:pt>
                <c:pt idx="905" formatCode="_(&quot;$&quot;* #,##0.00_);_(&quot;$&quot;* \(#,##0.00\);_(&quot;$&quot;* &quot;-&quot;??_);_(@_)">
                  <c:v>-7664.1986463814901</c:v>
                </c:pt>
                <c:pt idx="906" formatCode="_(&quot;$&quot;* #,##0.00_);_(&quot;$&quot;* \(#,##0.00\);_(&quot;$&quot;* &quot;-&quot;??_);_(@_)">
                  <c:v>-8012.2477764979658</c:v>
                </c:pt>
                <c:pt idx="907" formatCode="_(&quot;$&quot;* #,##0.00_);_(&quot;$&quot;* \(#,##0.00\);_(&quot;$&quot;* &quot;-&quot;??_);_(@_)">
                  <c:v>-8139.3352138817536</c:v>
                </c:pt>
                <c:pt idx="908" formatCode="_(&quot;$&quot;* #,##0.00_);_(&quot;$&quot;* \(#,##0.00\);_(&quot;$&quot;* &quot;-&quot;??_);_(@_)">
                  <c:v>-8330.3953598152857</c:v>
                </c:pt>
                <c:pt idx="909" formatCode="_(&quot;$&quot;* #,##0.00_);_(&quot;$&quot;* \(#,##0.00\);_(&quot;$&quot;* &quot;-&quot;??_);_(@_)">
                  <c:v>-7603.7486756017879</c:v>
                </c:pt>
                <c:pt idx="910" formatCode="_(&quot;$&quot;* #,##0.00_);_(&quot;$&quot;* \(#,##0.00\);_(&quot;$&quot;* &quot;-&quot;??_);_(@_)">
                  <c:v>-7124.3066295153758</c:v>
                </c:pt>
                <c:pt idx="911" formatCode="_(&quot;$&quot;* #,##0.00_);_(&quot;$&quot;* \(#,##0.00\);_(&quot;$&quot;* &quot;-&quot;??_);_(@_)">
                  <c:v>-8129.8532381922951</c:v>
                </c:pt>
                <c:pt idx="912" formatCode="_(&quot;$&quot;* #,##0.00_);_(&quot;$&quot;* \(#,##0.00\);_(&quot;$&quot;* &quot;-&quot;??_);_(@_)">
                  <c:v>-8138.1914026222539</c:v>
                </c:pt>
                <c:pt idx="913" formatCode="_(&quot;$&quot;* #,##0.00_);_(&quot;$&quot;* \(#,##0.00\);_(&quot;$&quot;* &quot;-&quot;??_);_(@_)">
                  <c:v>-8610.380988651219</c:v>
                </c:pt>
                <c:pt idx="914" formatCode="_(&quot;$&quot;* #,##0.00_);_(&quot;$&quot;* \(#,##0.00\);_(&quot;$&quot;* &quot;-&quot;??_);_(@_)">
                  <c:v>-8449.2915761383192</c:v>
                </c:pt>
                <c:pt idx="915" formatCode="_(&quot;$&quot;* #,##0.00_);_(&quot;$&quot;* \(#,##0.00\);_(&quot;$&quot;* &quot;-&quot;??_);_(@_)">
                  <c:v>-8627.8340035455967</c:v>
                </c:pt>
                <c:pt idx="916" formatCode="_(&quot;$&quot;* #,##0.00_);_(&quot;$&quot;* \(#,##0.00\);_(&quot;$&quot;* &quot;-&quot;??_);_(@_)">
                  <c:v>-8424.4978010994782</c:v>
                </c:pt>
                <c:pt idx="917" formatCode="_(&quot;$&quot;* #,##0.00_);_(&quot;$&quot;* \(#,##0.00\);_(&quot;$&quot;* &quot;-&quot;??_);_(@_)">
                  <c:v>-8260.2283567762352</c:v>
                </c:pt>
                <c:pt idx="918" formatCode="_(&quot;$&quot;* #,##0.00_);_(&quot;$&quot;* \(#,##0.00\);_(&quot;$&quot;* &quot;-&quot;??_);_(@_)">
                  <c:v>-8020.5375677355778</c:v>
                </c:pt>
                <c:pt idx="919" formatCode="_(&quot;$&quot;* #,##0.00_);_(&quot;$&quot;* \(#,##0.00\);_(&quot;$&quot;* &quot;-&quot;??_);_(@_)">
                  <c:v>-8675.8578739141212</c:v>
                </c:pt>
                <c:pt idx="920" formatCode="_(&quot;$&quot;* #,##0.00_);_(&quot;$&quot;* \(#,##0.00\);_(&quot;$&quot;* &quot;-&quot;??_);_(@_)">
                  <c:v>-8995.7656886807381</c:v>
                </c:pt>
                <c:pt idx="921" formatCode="_(&quot;$&quot;* #,##0.00_);_(&quot;$&quot;* \(#,##0.00\);_(&quot;$&quot;* &quot;-&quot;??_);_(@_)">
                  <c:v>-6490.9549427188249</c:v>
                </c:pt>
                <c:pt idx="922" formatCode="_(&quot;$&quot;* #,##0.00_);_(&quot;$&quot;* \(#,##0.00\);_(&quot;$&quot;* &quot;-&quot;??_);_(@_)">
                  <c:v>-7506.4260780756867</c:v>
                </c:pt>
                <c:pt idx="923" formatCode="_(&quot;$&quot;* #,##0.00_);_(&quot;$&quot;* \(#,##0.00\);_(&quot;$&quot;* &quot;-&quot;??_);_(@_)">
                  <c:v>-7238.4322343791828</c:v>
                </c:pt>
                <c:pt idx="924" formatCode="_(&quot;$&quot;* #,##0.00_);_(&quot;$&quot;* \(#,##0.00\);_(&quot;$&quot;* &quot;-&quot;??_);_(@_)">
                  <c:v>-7545.905822883411</c:v>
                </c:pt>
                <c:pt idx="925" formatCode="_(&quot;$&quot;* #,##0.00_);_(&quot;$&quot;* \(#,##0.00\);_(&quot;$&quot;* &quot;-&quot;??_);_(@_)">
                  <c:v>-7502.9984098770847</c:v>
                </c:pt>
                <c:pt idx="926" formatCode="_(&quot;$&quot;* #,##0.00_);_(&quot;$&quot;* \(#,##0.00\);_(&quot;$&quot;* &quot;-&quot;??_);_(@_)">
                  <c:v>-8441.8668232044565</c:v>
                </c:pt>
                <c:pt idx="927" formatCode="_(&quot;$&quot;* #,##0.00_);_(&quot;$&quot;* \(#,##0.00\);_(&quot;$&quot;* &quot;-&quot;??_);_(@_)">
                  <c:v>-7841.3264651915124</c:v>
                </c:pt>
                <c:pt idx="928" formatCode="_(&quot;$&quot;* #,##0.00_);_(&quot;$&quot;* \(#,##0.00\);_(&quot;$&quot;* &quot;-&quot;??_);_(@_)">
                  <c:v>-7471.3808263682877</c:v>
                </c:pt>
                <c:pt idx="929" formatCode="_(&quot;$&quot;* #,##0.00_);_(&quot;$&quot;* \(#,##0.00\);_(&quot;$&quot;* &quot;-&quot;??_);_(@_)">
                  <c:v>-7607.5052680318295</c:v>
                </c:pt>
                <c:pt idx="930" formatCode="_(&quot;$&quot;* #,##0.00_);_(&quot;$&quot;* \(#,##0.00\);_(&quot;$&quot;* &quot;-&quot;??_);_(@_)">
                  <c:v>-8189.6289052619904</c:v>
                </c:pt>
                <c:pt idx="931" formatCode="_(&quot;$&quot;* #,##0.00_);_(&quot;$&quot;* \(#,##0.00\);_(&quot;$&quot;* &quot;-&quot;??_);_(@_)">
                  <c:v>-8602.5840188651837</c:v>
                </c:pt>
                <c:pt idx="932" formatCode="_(&quot;$&quot;* #,##0.00_);_(&quot;$&quot;* \(#,##0.00\);_(&quot;$&quot;* &quot;-&quot;??_);_(@_)">
                  <c:v>-9468.2353903873445</c:v>
                </c:pt>
                <c:pt idx="933" formatCode="_(&quot;$&quot;* #,##0.00_);_(&quot;$&quot;* \(#,##0.00\);_(&quot;$&quot;* &quot;-&quot;??_);_(@_)">
                  <c:v>-9710.7787505564775</c:v>
                </c:pt>
                <c:pt idx="934" formatCode="_(&quot;$&quot;* #,##0.00_);_(&quot;$&quot;* \(#,##0.00\);_(&quot;$&quot;* &quot;-&quot;??_);_(@_)">
                  <c:v>-9664.4544398621492</c:v>
                </c:pt>
                <c:pt idx="935" formatCode="_(&quot;$&quot;* #,##0.00_);_(&quot;$&quot;* \(#,##0.00\);_(&quot;$&quot;* &quot;-&quot;??_);_(@_)">
                  <c:v>-9766.8620878994516</c:v>
                </c:pt>
                <c:pt idx="936" formatCode="_(&quot;$&quot;* #,##0.00_);_(&quot;$&quot;* \(#,##0.00\);_(&quot;$&quot;* &quot;-&quot;??_);_(@_)">
                  <c:v>-8922.184565810494</c:v>
                </c:pt>
                <c:pt idx="937" formatCode="_(&quot;$&quot;* #,##0.00_);_(&quot;$&quot;* \(#,##0.00\);_(&quot;$&quot;* &quot;-&quot;??_);_(@_)">
                  <c:v>-9202.0249477715461</c:v>
                </c:pt>
                <c:pt idx="938" formatCode="_(&quot;$&quot;* #,##0.00_);_(&quot;$&quot;* \(#,##0.00\);_(&quot;$&quot;* &quot;-&quot;??_);_(@_)">
                  <c:v>-9443.8524880724508</c:v>
                </c:pt>
                <c:pt idx="939" formatCode="_(&quot;$&quot;* #,##0.00_);_(&quot;$&quot;* \(#,##0.00\);_(&quot;$&quot;* &quot;-&quot;??_);_(@_)">
                  <c:v>-9538.3822125053557</c:v>
                </c:pt>
                <c:pt idx="940" formatCode="_(&quot;$&quot;* #,##0.00_);_(&quot;$&quot;* \(#,##0.00\);_(&quot;$&quot;* &quot;-&quot;??_);_(@_)">
                  <c:v>-9776.4680043594744</c:v>
                </c:pt>
                <c:pt idx="941" formatCode="_(&quot;$&quot;* #,##0.00_);_(&quot;$&quot;* \(#,##0.00\);_(&quot;$&quot;* &quot;-&quot;??_);_(@_)">
                  <c:v>-9631.9824816643631</c:v>
                </c:pt>
                <c:pt idx="942" formatCode="_(&quot;$&quot;* #,##0.00_);_(&quot;$&quot;* \(#,##0.00\);_(&quot;$&quot;* &quot;-&quot;??_);_(@_)">
                  <c:v>-9527.7360130944071</c:v>
                </c:pt>
                <c:pt idx="943" formatCode="_(&quot;$&quot;* #,##0.00_);_(&quot;$&quot;* \(#,##0.00\);_(&quot;$&quot;* &quot;-&quot;??_);_(@_)">
                  <c:v>-10091.56464991983</c:v>
                </c:pt>
                <c:pt idx="944" formatCode="_(&quot;$&quot;* #,##0.00_);_(&quot;$&quot;* \(#,##0.00\);_(&quot;$&quot;* &quot;-&quot;??_);_(@_)">
                  <c:v>-9656.7822809844092</c:v>
                </c:pt>
                <c:pt idx="945" formatCode="_(&quot;$&quot;* #,##0.00_);_(&quot;$&quot;* \(#,##0.00\);_(&quot;$&quot;* &quot;-&quot;??_);_(@_)">
                  <c:v>-8926.8406963492598</c:v>
                </c:pt>
                <c:pt idx="946" formatCode="_(&quot;$&quot;* #,##0.00_);_(&quot;$&quot;* \(#,##0.00\);_(&quot;$&quot;* &quot;-&quot;??_);_(@_)">
                  <c:v>-9349.9148182856698</c:v>
                </c:pt>
                <c:pt idx="947" formatCode="_(&quot;$&quot;* #,##0.00_);_(&quot;$&quot;* \(#,##0.00\);_(&quot;$&quot;* &quot;-&quot;??_);_(@_)">
                  <c:v>-9698.3326160882025</c:v>
                </c:pt>
                <c:pt idx="948" formatCode="_(&quot;$&quot;* #,##0.00_);_(&quot;$&quot;* \(#,##0.00\);_(&quot;$&quot;* &quot;-&quot;??_);_(@_)">
                  <c:v>-9577.8301101428551</c:v>
                </c:pt>
                <c:pt idx="949" formatCode="_(&quot;$&quot;* #,##0.00_);_(&quot;$&quot;* \(#,##0.00\);_(&quot;$&quot;* &quot;-&quot;??_);_(@_)">
                  <c:v>-9652.8946881870634</c:v>
                </c:pt>
                <c:pt idx="950" formatCode="_(&quot;$&quot;* #,##0.00_);_(&quot;$&quot;* \(#,##0.00\);_(&quot;$&quot;* &quot;-&quot;??_);_(@_)">
                  <c:v>-9159.7022508247483</c:v>
                </c:pt>
                <c:pt idx="951" formatCode="_(&quot;$&quot;* #,##0.00_);_(&quot;$&quot;* \(#,##0.00\);_(&quot;$&quot;* &quot;-&quot;??_);_(@_)">
                  <c:v>-8801.3168920200078</c:v>
                </c:pt>
                <c:pt idx="952" formatCode="_(&quot;$&quot;* #,##0.00_);_(&quot;$&quot;* \(#,##0.00\);_(&quot;$&quot;* &quot;-&quot;??_);_(@_)">
                  <c:v>-9083.9558953662909</c:v>
                </c:pt>
                <c:pt idx="953" formatCode="_(&quot;$&quot;* #,##0.00_);_(&quot;$&quot;* \(#,##0.00\);_(&quot;$&quot;* &quot;-&quot;??_);_(@_)">
                  <c:v>-8869.1839442027358</c:v>
                </c:pt>
                <c:pt idx="954" formatCode="_(&quot;$&quot;* #,##0.00_);_(&quot;$&quot;* \(#,##0.00\);_(&quot;$&quot;* &quot;-&quot;??_);_(@_)">
                  <c:v>-8597.3963292758344</c:v>
                </c:pt>
                <c:pt idx="955" formatCode="_(&quot;$&quot;* #,##0.00_);_(&quot;$&quot;* \(#,##0.00\);_(&quot;$&quot;* &quot;-&quot;??_);_(@_)">
                  <c:v>-8446.8782968520227</c:v>
                </c:pt>
                <c:pt idx="956" formatCode="_(&quot;$&quot;* #,##0.00_);_(&quot;$&quot;* \(#,##0.00\);_(&quot;$&quot;* &quot;-&quot;??_);_(@_)">
                  <c:v>-8519.0731677433105</c:v>
                </c:pt>
                <c:pt idx="957" formatCode="_(&quot;$&quot;* #,##0.00_);_(&quot;$&quot;* \(#,##0.00\);_(&quot;$&quot;* &quot;-&quot;??_);_(@_)">
                  <c:v>-8035.1304985603792</c:v>
                </c:pt>
                <c:pt idx="958" formatCode="_(&quot;$&quot;* #,##0.00_);_(&quot;$&quot;* \(#,##0.00\);_(&quot;$&quot;* &quot;-&quot;??_);_(@_)">
                  <c:v>-8297.399489254889</c:v>
                </c:pt>
                <c:pt idx="959" formatCode="_(&quot;$&quot;* #,##0.00_);_(&quot;$&quot;* \(#,##0.00\);_(&quot;$&quot;* &quot;-&quot;??_);_(@_)">
                  <c:v>-8099.5724597847611</c:v>
                </c:pt>
                <c:pt idx="960" formatCode="_(&quot;$&quot;* #,##0.00_);_(&quot;$&quot;* \(#,##0.00\);_(&quot;$&quot;* &quot;-&quot;??_);_(@_)">
                  <c:v>-8312.6412848671116</c:v>
                </c:pt>
                <c:pt idx="961" formatCode="_(&quot;$&quot;* #,##0.00_);_(&quot;$&quot;* \(#,##0.00\);_(&quot;$&quot;* &quot;-&quot;??_);_(@_)">
                  <c:v>-8149.3725200413664</c:v>
                </c:pt>
                <c:pt idx="962" formatCode="_(&quot;$&quot;* #,##0.00_);_(&quot;$&quot;* \(#,##0.00\);_(&quot;$&quot;* &quot;-&quot;??_);_(@_)">
                  <c:v>-8076.0321870781072</c:v>
                </c:pt>
                <c:pt idx="963" formatCode="_(&quot;$&quot;* #,##0.00_);_(&quot;$&quot;* \(#,##0.00\);_(&quot;$&quot;* &quot;-&quot;??_);_(@_)">
                  <c:v>-8007.048812835651</c:v>
                </c:pt>
                <c:pt idx="964" formatCode="_(&quot;$&quot;* #,##0.00_);_(&quot;$&quot;* \(#,##0.00\);_(&quot;$&quot;* &quot;-&quot;??_);_(@_)">
                  <c:v>-8008.3028841499163</c:v>
                </c:pt>
                <c:pt idx="965" formatCode="_(&quot;$&quot;* #,##0.00_);_(&quot;$&quot;* \(#,##0.00\);_(&quot;$&quot;* &quot;-&quot;??_);_(@_)">
                  <c:v>-7845.3762604322528</c:v>
                </c:pt>
                <c:pt idx="966" formatCode="_(&quot;$&quot;* #,##0.00_);_(&quot;$&quot;* \(#,##0.00\);_(&quot;$&quot;* &quot;-&quot;??_);_(@_)">
                  <c:v>-7754.609716660585</c:v>
                </c:pt>
                <c:pt idx="967" formatCode="_(&quot;$&quot;* #,##0.00_);_(&quot;$&quot;* \(#,##0.00\);_(&quot;$&quot;* &quot;-&quot;??_);_(@_)">
                  <c:v>-7767.3810255119688</c:v>
                </c:pt>
                <c:pt idx="968" formatCode="_(&quot;$&quot;* #,##0.00_);_(&quot;$&quot;* \(#,##0.00\);_(&quot;$&quot;* &quot;-&quot;??_);_(@_)">
                  <c:v>-7661.3256431608634</c:v>
                </c:pt>
                <c:pt idx="969" formatCode="_(&quot;$&quot;* #,##0.00_);_(&quot;$&quot;* \(#,##0.00\);_(&quot;$&quot;* &quot;-&quot;??_);_(@_)">
                  <c:v>-7687.6654199281711</c:v>
                </c:pt>
                <c:pt idx="970" formatCode="_(&quot;$&quot;* #,##0.00_);_(&quot;$&quot;* \(#,##0.00\);_(&quot;$&quot;* &quot;-&quot;??_);_(@_)">
                  <c:v>-8380.0980731925429</c:v>
                </c:pt>
                <c:pt idx="971" formatCode="_(&quot;$&quot;* #,##0.00_);_(&quot;$&quot;* \(#,##0.00\);_(&quot;$&quot;* &quot;-&quot;??_);_(@_)">
                  <c:v>-8895.0081017581397</c:v>
                </c:pt>
                <c:pt idx="972" formatCode="_(&quot;$&quot;* #,##0.00_);_(&quot;$&quot;* \(#,##0.00\);_(&quot;$&quot;* &quot;-&quot;??_);_(@_)">
                  <c:v>-8737.1160379933081</c:v>
                </c:pt>
                <c:pt idx="973" formatCode="_(&quot;$&quot;* #,##0.00_);_(&quot;$&quot;* \(#,##0.00\);_(&quot;$&quot;* &quot;-&quot;??_);_(@_)">
                  <c:v>-7959.5818282431273</c:v>
                </c:pt>
                <c:pt idx="974" formatCode="_(&quot;$&quot;* #,##0.00_);_(&quot;$&quot;* \(#,##0.00\);_(&quot;$&quot;* &quot;-&quot;??_);_(@_)">
                  <c:v>-7931.8953181804245</c:v>
                </c:pt>
                <c:pt idx="975" formatCode="_(&quot;$&quot;* #,##0.00_);_(&quot;$&quot;* \(#,##0.00\);_(&quot;$&quot;* &quot;-&quot;??_);_(@_)">
                  <c:v>-7801.2565006924087</c:v>
                </c:pt>
                <c:pt idx="976" formatCode="_(&quot;$&quot;* #,##0.00_);_(&quot;$&quot;* \(#,##0.00\);_(&quot;$&quot;* &quot;-&quot;??_);_(@_)">
                  <c:v>-7793.0365851524293</c:v>
                </c:pt>
                <c:pt idx="977" formatCode="_(&quot;$&quot;* #,##0.00_);_(&quot;$&quot;* \(#,##0.00\);_(&quot;$&quot;* &quot;-&quot;??_);_(@_)">
                  <c:v>-8997.4108632758089</c:v>
                </c:pt>
                <c:pt idx="978" formatCode="_(&quot;$&quot;* #,##0.00_);_(&quot;$&quot;* \(#,##0.00\);_(&quot;$&quot;* &quot;-&quot;??_);_(@_)">
                  <c:v>-9222.3197830353074</c:v>
                </c:pt>
                <c:pt idx="979" formatCode="_(&quot;$&quot;* #,##0.00_);_(&quot;$&quot;* \(#,##0.00\);_(&quot;$&quot;* &quot;-&quot;??_);_(@_)">
                  <c:v>-9527.5229196702057</c:v>
                </c:pt>
                <c:pt idx="980" formatCode="_(&quot;$&quot;* #,##0.00_);_(&quot;$&quot;* \(#,##0.00\);_(&quot;$&quot;* &quot;-&quot;??_);_(@_)">
                  <c:v>-9473.4951555735315</c:v>
                </c:pt>
                <c:pt idx="981" formatCode="_(&quot;$&quot;* #,##0.00_);_(&quot;$&quot;* \(#,##0.00\);_(&quot;$&quot;* &quot;-&quot;??_);_(@_)">
                  <c:v>-9168.3082513233712</c:v>
                </c:pt>
                <c:pt idx="982" formatCode="_(&quot;$&quot;* #,##0.00_);_(&quot;$&quot;* \(#,##0.00\);_(&quot;$&quot;* &quot;-&quot;??_);_(@_)">
                  <c:v>-9469.3260544859731</c:v>
                </c:pt>
                <c:pt idx="983" formatCode="_(&quot;$&quot;* #,##0.00_);_(&quot;$&quot;* \(#,##0.00\);_(&quot;$&quot;* &quot;-&quot;??_);_(@_)">
                  <c:v>-9172.0637698009596</c:v>
                </c:pt>
                <c:pt idx="984" formatCode="_(&quot;$&quot;* #,##0.00_);_(&quot;$&quot;* \(#,##0.00\);_(&quot;$&quot;* &quot;-&quot;??_);_(@_)">
                  <c:v>-9552.573648386815</c:v>
                </c:pt>
                <c:pt idx="985" formatCode="_(&quot;$&quot;* #,##0.00_);_(&quot;$&quot;* \(#,##0.00\);_(&quot;$&quot;* &quot;-&quot;??_);_(@_)">
                  <c:v>-9464.7780170839578</c:v>
                </c:pt>
                <c:pt idx="986" formatCode="_(&quot;$&quot;* #,##0.00_);_(&quot;$&quot;* \(#,##0.00\);_(&quot;$&quot;* &quot;-&quot;??_);_(@_)">
                  <c:v>-8505.4008130852962</c:v>
                </c:pt>
                <c:pt idx="987" formatCode="_(&quot;$&quot;* #,##0.00_);_(&quot;$&quot;* \(#,##0.00\);_(&quot;$&quot;* &quot;-&quot;??_);_(@_)">
                  <c:v>-8561.0736659904105</c:v>
                </c:pt>
                <c:pt idx="988" formatCode="_(&quot;$&quot;* #,##0.00_);_(&quot;$&quot;* \(#,##0.00\);_(&quot;$&quot;* &quot;-&quot;??_);_(@_)">
                  <c:v>-8764.3868010894421</c:v>
                </c:pt>
                <c:pt idx="989" formatCode="_(&quot;$&quot;* #,##0.00_);_(&quot;$&quot;* \(#,##0.00\);_(&quot;$&quot;* &quot;-&quot;??_);_(@_)">
                  <c:v>-8799.6386846388395</c:v>
                </c:pt>
                <c:pt idx="990" formatCode="_(&quot;$&quot;* #,##0.00_);_(&quot;$&quot;* \(#,##0.00\);_(&quot;$&quot;* &quot;-&quot;??_);_(@_)">
                  <c:v>-8267.9647410089201</c:v>
                </c:pt>
                <c:pt idx="991" formatCode="_(&quot;$&quot;* #,##0.00_);_(&quot;$&quot;* \(#,##0.00\);_(&quot;$&quot;* &quot;-&quot;??_);_(@_)">
                  <c:v>-9528.5080682029875</c:v>
                </c:pt>
                <c:pt idx="992" formatCode="_(&quot;$&quot;* #,##0.00_);_(&quot;$&quot;* \(#,##0.00\);_(&quot;$&quot;* &quot;-&quot;??_);_(@_)">
                  <c:v>-9550.8069311986947</c:v>
                </c:pt>
                <c:pt idx="993" formatCode="_(&quot;$&quot;* #,##0.00_);_(&quot;$&quot;* \(#,##0.00\);_(&quot;$&quot;* &quot;-&quot;??_);_(@_)">
                  <c:v>-9904.0385031568021</c:v>
                </c:pt>
                <c:pt idx="994" formatCode="_(&quot;$&quot;* #,##0.00_);_(&quot;$&quot;* \(#,##0.00\);_(&quot;$&quot;* &quot;-&quot;??_);_(@_)">
                  <c:v>-9844.7502406863332</c:v>
                </c:pt>
                <c:pt idx="995" formatCode="_(&quot;$&quot;* #,##0.00_);_(&quot;$&quot;* \(#,##0.00\);_(&quot;$&quot;* &quot;-&quot;??_);_(@_)">
                  <c:v>-10410.911146825112</c:v>
                </c:pt>
                <c:pt idx="996" formatCode="_(&quot;$&quot;* #,##0.00_);_(&quot;$&quot;* \(#,##0.00\);_(&quot;$&quot;* &quot;-&quot;??_);_(@_)">
                  <c:v>-10626.445912321913</c:v>
                </c:pt>
                <c:pt idx="997" formatCode="_(&quot;$&quot;* #,##0.00_);_(&quot;$&quot;* \(#,##0.00\);_(&quot;$&quot;* &quot;-&quot;??_);_(@_)">
                  <c:v>-10103.689382407239</c:v>
                </c:pt>
                <c:pt idx="998" formatCode="_(&quot;$&quot;* #,##0.00_);_(&quot;$&quot;* \(#,##0.00\);_(&quot;$&quot;* &quot;-&quot;??_);_(@_)">
                  <c:v>-9566.8754230163304</c:v>
                </c:pt>
                <c:pt idx="999" formatCode="_(&quot;$&quot;* #,##0.00_);_(&quot;$&quot;* \(#,##0.00\);_(&quot;$&quot;* &quot;-&quot;??_);_(@_)">
                  <c:v>-10078.641670336729</c:v>
                </c:pt>
                <c:pt idx="1000" formatCode="_(&quot;$&quot;* #,##0.00_);_(&quot;$&quot;* \(#,##0.00\);_(&quot;$&quot;* &quot;-&quot;??_);_(@_)">
                  <c:v>-9781.4011174140087</c:v>
                </c:pt>
                <c:pt idx="1001" formatCode="_(&quot;$&quot;* #,##0.00_);_(&quot;$&quot;* \(#,##0.00\);_(&quot;$&quot;* &quot;-&quot;??_);_(@_)">
                  <c:v>-10010.890349955214</c:v>
                </c:pt>
                <c:pt idx="1002" formatCode="_(&quot;$&quot;* #,##0.00_);_(&quot;$&quot;* \(#,##0.00\);_(&quot;$&quot;* &quot;-&quot;??_);_(@_)">
                  <c:v>-9021.2165460904289</c:v>
                </c:pt>
                <c:pt idx="1003" formatCode="_(&quot;$&quot;* #,##0.00_);_(&quot;$&quot;* \(#,##0.00\);_(&quot;$&quot;* &quot;-&quot;??_);_(@_)">
                  <c:v>-9044.818624050893</c:v>
                </c:pt>
                <c:pt idx="1004" formatCode="_(&quot;$&quot;* #,##0.00_);_(&quot;$&quot;* \(#,##0.00\);_(&quot;$&quot;* &quot;-&quot;??_);_(@_)">
                  <c:v>-8445.6383356426813</c:v>
                </c:pt>
                <c:pt idx="1005" formatCode="_(&quot;$&quot;* #,##0.00_);_(&quot;$&quot;* \(#,##0.00\);_(&quot;$&quot;* &quot;-&quot;??_);_(@_)">
                  <c:v>-8370.2800016606525</c:v>
                </c:pt>
                <c:pt idx="1006" formatCode="_(&quot;$&quot;* #,##0.00_);_(&quot;$&quot;* \(#,##0.00\);_(&quot;$&quot;* &quot;-&quot;??_);_(@_)">
                  <c:v>-8576.3565491039753</c:v>
                </c:pt>
                <c:pt idx="1007" formatCode="_(&quot;$&quot;* #,##0.00_);_(&quot;$&quot;* \(#,##0.00\);_(&quot;$&quot;* &quot;-&quot;??_);_(@_)">
                  <c:v>-9661.844136131398</c:v>
                </c:pt>
                <c:pt idx="1008" formatCode="_(&quot;$&quot;* #,##0.00_);_(&quot;$&quot;* \(#,##0.00\);_(&quot;$&quot;* &quot;-&quot;??_);_(@_)">
                  <c:v>-10321.675935810552</c:v>
                </c:pt>
                <c:pt idx="1009" formatCode="_(&quot;$&quot;* #,##0.00_);_(&quot;$&quot;* \(#,##0.00\);_(&quot;$&quot;* &quot;-&quot;??_);_(@_)">
                  <c:v>-10308.915536298828</c:v>
                </c:pt>
                <c:pt idx="1010" formatCode="_(&quot;$&quot;* #,##0.00_);_(&quot;$&quot;* \(#,##0.00\);_(&quot;$&quot;* &quot;-&quot;??_);_(@_)">
                  <c:v>-10309.152011398191</c:v>
                </c:pt>
                <c:pt idx="1011" formatCode="_(&quot;$&quot;* #,##0.00_);_(&quot;$&quot;* \(#,##0.00\);_(&quot;$&quot;* &quot;-&quot;??_);_(@_)">
                  <c:v>-11319.862195069822</c:v>
                </c:pt>
                <c:pt idx="1012" formatCode="_(&quot;$&quot;* #,##0.00_);_(&quot;$&quot;* \(#,##0.00\);_(&quot;$&quot;* &quot;-&quot;??_);_(@_)">
                  <c:v>-11145.218360295872</c:v>
                </c:pt>
                <c:pt idx="1013" formatCode="_(&quot;$&quot;* #,##0.00_);_(&quot;$&quot;* \(#,##0.00\);_(&quot;$&quot;* &quot;-&quot;??_);_(@_)">
                  <c:v>-11092.521709375951</c:v>
                </c:pt>
                <c:pt idx="1014" formatCode="_(&quot;$&quot;* #,##0.00_);_(&quot;$&quot;* \(#,##0.00\);_(&quot;$&quot;* &quot;-&quot;??_);_(@_)">
                  <c:v>-10680.601685399923</c:v>
                </c:pt>
                <c:pt idx="1015" formatCode="_(&quot;$&quot;* #,##0.00_);_(&quot;$&quot;* \(#,##0.00\);_(&quot;$&quot;* &quot;-&quot;??_);_(@_)">
                  <c:v>-11005.715012649564</c:v>
                </c:pt>
                <c:pt idx="1016" formatCode="_(&quot;$&quot;* #,##0.00_);_(&quot;$&quot;* \(#,##0.00\);_(&quot;$&quot;* &quot;-&quot;??_);_(@_)">
                  <c:v>-11355.277378726312</c:v>
                </c:pt>
                <c:pt idx="1017" formatCode="_(&quot;$&quot;* #,##0.00_);_(&quot;$&quot;* \(#,##0.00\);_(&quot;$&quot;* &quot;-&quot;??_);_(@_)">
                  <c:v>-11221.752482351973</c:v>
                </c:pt>
                <c:pt idx="1018" formatCode="_(&quot;$&quot;* #,##0.00_);_(&quot;$&quot;* \(#,##0.00\);_(&quot;$&quot;* &quot;-&quot;??_);_(@_)">
                  <c:v>-11623.553144542428</c:v>
                </c:pt>
                <c:pt idx="1019" formatCode="_(&quot;$&quot;* #,##0.00_);_(&quot;$&quot;* \(#,##0.00\);_(&quot;$&quot;* &quot;-&quot;??_);_(@_)">
                  <c:v>-12145.76040479837</c:v>
                </c:pt>
                <c:pt idx="1020" formatCode="_(&quot;$&quot;* #,##0.00_);_(&quot;$&quot;* \(#,##0.00\);_(&quot;$&quot;* &quot;-&quot;??_);_(@_)">
                  <c:v>-12194.680621183887</c:v>
                </c:pt>
                <c:pt idx="1021" formatCode="_(&quot;$&quot;* #,##0.00_);_(&quot;$&quot;* \(#,##0.00\);_(&quot;$&quot;* &quot;-&quot;??_);_(@_)">
                  <c:v>-12891.611961314635</c:v>
                </c:pt>
                <c:pt idx="1022" formatCode="_(&quot;$&quot;* #,##0.00_);_(&quot;$&quot;* \(#,##0.00\);_(&quot;$&quot;* &quot;-&quot;??_);_(@_)">
                  <c:v>-12794.470695136069</c:v>
                </c:pt>
                <c:pt idx="1023" formatCode="_(&quot;$&quot;* #,##0.00_);_(&quot;$&quot;* \(#,##0.00\);_(&quot;$&quot;* &quot;-&quot;??_);_(@_)">
                  <c:v>-13200.978066046298</c:v>
                </c:pt>
                <c:pt idx="1024" formatCode="_(&quot;$&quot;* #,##0.00_);_(&quot;$&quot;* \(#,##0.00\);_(&quot;$&quot;* &quot;-&quot;??_);_(@_)">
                  <c:v>-12875.718643711463</c:v>
                </c:pt>
                <c:pt idx="1025" formatCode="_(&quot;$&quot;* #,##0.00_);_(&quot;$&quot;* \(#,##0.00\);_(&quot;$&quot;* &quot;-&quot;??_);_(@_)">
                  <c:v>-12336.497802096834</c:v>
                </c:pt>
                <c:pt idx="1026" formatCode="_(&quot;$&quot;* #,##0.00_);_(&quot;$&quot;* \(#,##0.00\);_(&quot;$&quot;* &quot;-&quot;??_);_(@_)">
                  <c:v>-11946.193831620596</c:v>
                </c:pt>
                <c:pt idx="1027" formatCode="_(&quot;$&quot;* #,##0.00_);_(&quot;$&quot;* \(#,##0.00\);_(&quot;$&quot;* &quot;-&quot;??_);_(@_)">
                  <c:v>-12613.679974036992</c:v>
                </c:pt>
                <c:pt idx="1028" formatCode="_(&quot;$&quot;* #,##0.00_);_(&quot;$&quot;* \(#,##0.00\);_(&quot;$&quot;* &quot;-&quot;??_);_(@_)">
                  <c:v>-11927.330987330839</c:v>
                </c:pt>
                <c:pt idx="1029" formatCode="_(&quot;$&quot;* #,##0.00_);_(&quot;$&quot;* \(#,##0.00\);_(&quot;$&quot;* &quot;-&quot;??_);_(@_)">
                  <c:v>-11220.298585230377</c:v>
                </c:pt>
                <c:pt idx="1030" formatCode="_(&quot;$&quot;* #,##0.00_);_(&quot;$&quot;* \(#,##0.00\);_(&quot;$&quot;* &quot;-&quot;??_);_(@_)">
                  <c:v>-11092.918346205308</c:v>
                </c:pt>
                <c:pt idx="1031" formatCode="_(&quot;$&quot;* #,##0.00_);_(&quot;$&quot;* \(#,##0.00\);_(&quot;$&quot;* &quot;-&quot;??_);_(@_)">
                  <c:v>-11312.839290619964</c:v>
                </c:pt>
                <c:pt idx="1032" formatCode="_(&quot;$&quot;* #,##0.00_);_(&quot;$&quot;* \(#,##0.00\);_(&quot;$&quot;* &quot;-&quot;??_);_(@_)">
                  <c:v>-11498.770374596466</c:v>
                </c:pt>
                <c:pt idx="1033" formatCode="_(&quot;$&quot;* #,##0.00_);_(&quot;$&quot;* \(#,##0.00\);_(&quot;$&quot;* &quot;-&quot;??_);_(@_)">
                  <c:v>-11107.227384644661</c:v>
                </c:pt>
                <c:pt idx="1034" formatCode="_(&quot;$&quot;* #,##0.00_);_(&quot;$&quot;* \(#,##0.00\);_(&quot;$&quot;* &quot;-&quot;??_);_(@_)">
                  <c:v>-10248.307362736794</c:v>
                </c:pt>
                <c:pt idx="1035" formatCode="_(&quot;$&quot;* #,##0.00_);_(&quot;$&quot;* \(#,##0.00\);_(&quot;$&quot;* &quot;-&quot;??_);_(@_)">
                  <c:v>-10914.694692014213</c:v>
                </c:pt>
                <c:pt idx="1036" formatCode="_(&quot;$&quot;* #,##0.00_);_(&quot;$&quot;* \(#,##0.00\);_(&quot;$&quot;* &quot;-&quot;??_);_(@_)">
                  <c:v>-10999.682303124919</c:v>
                </c:pt>
                <c:pt idx="1037" formatCode="_(&quot;$&quot;* #,##0.00_);_(&quot;$&quot;* \(#,##0.00\);_(&quot;$&quot;* &quot;-&quot;??_);_(@_)">
                  <c:v>-10637.74888806225</c:v>
                </c:pt>
                <c:pt idx="1038" formatCode="_(&quot;$&quot;* #,##0.00_);_(&quot;$&quot;* \(#,##0.00\);_(&quot;$&quot;* &quot;-&quot;??_);_(@_)">
                  <c:v>-11055.632439780531</c:v>
                </c:pt>
                <c:pt idx="1039" formatCode="_(&quot;$&quot;* #,##0.00_);_(&quot;$&quot;* \(#,##0.00\);_(&quot;$&quot;* &quot;-&quot;??_);_(@_)">
                  <c:v>-11002.582183625997</c:v>
                </c:pt>
                <c:pt idx="1040" formatCode="_(&quot;$&quot;* #,##0.00_);_(&quot;$&quot;* \(#,##0.00\);_(&quot;$&quot;* &quot;-&quot;??_);_(@_)">
                  <c:v>-11114.999130788185</c:v>
                </c:pt>
                <c:pt idx="1041" formatCode="_(&quot;$&quot;* #,##0.00_);_(&quot;$&quot;* \(#,##0.00\);_(&quot;$&quot;* &quot;-&quot;??_);_(@_)">
                  <c:v>-11229.07418206482</c:v>
                </c:pt>
                <c:pt idx="1042" formatCode="_(&quot;$&quot;* #,##0.00_);_(&quot;$&quot;* \(#,##0.00\);_(&quot;$&quot;* &quot;-&quot;??_);_(@_)">
                  <c:v>-11350.562486497138</c:v>
                </c:pt>
                <c:pt idx="1043" formatCode="_(&quot;$&quot;* #,##0.00_);_(&quot;$&quot;* \(#,##0.00\);_(&quot;$&quot;* &quot;-&quot;??_);_(@_)">
                  <c:v>-10997.509808906114</c:v>
                </c:pt>
                <c:pt idx="1044" formatCode="_(&quot;$&quot;* #,##0.00_);_(&quot;$&quot;* \(#,##0.00\);_(&quot;$&quot;* &quot;-&quot;??_);_(@_)">
                  <c:v>-11387.514177533914</c:v>
                </c:pt>
                <c:pt idx="1045" formatCode="_(&quot;$&quot;* #,##0.00_);_(&quot;$&quot;* \(#,##0.00\);_(&quot;$&quot;* &quot;-&quot;??_);_(@_)">
                  <c:v>-11318.911537068558</c:v>
                </c:pt>
                <c:pt idx="1046" formatCode="_(&quot;$&quot;* #,##0.00_);_(&quot;$&quot;* \(#,##0.00\);_(&quot;$&quot;* &quot;-&quot;??_);_(@_)">
                  <c:v>-11048.321728368359</c:v>
                </c:pt>
                <c:pt idx="1047" formatCode="_(&quot;$&quot;* #,##0.00_);_(&quot;$&quot;* \(#,##0.00\);_(&quot;$&quot;* &quot;-&quot;??_);_(@_)">
                  <c:v>-10510.666695444477</c:v>
                </c:pt>
                <c:pt idx="1048" formatCode="_(&quot;$&quot;* #,##0.00_);_(&quot;$&quot;* \(#,##0.00\);_(&quot;$&quot;* &quot;-&quot;??_);_(@_)">
                  <c:v>-10958.843040577009</c:v>
                </c:pt>
                <c:pt idx="1049" formatCode="_(&quot;$&quot;* #,##0.00_);_(&quot;$&quot;* \(#,##0.00\);_(&quot;$&quot;* &quot;-&quot;??_);_(@_)">
                  <c:v>-10396.775945463274</c:v>
                </c:pt>
                <c:pt idx="1050" formatCode="_(&quot;$&quot;* #,##0.00_);_(&quot;$&quot;* \(#,##0.00\);_(&quot;$&quot;* &quot;-&quot;??_);_(@_)">
                  <c:v>-11348.172277654196</c:v>
                </c:pt>
                <c:pt idx="1051" formatCode="_(&quot;$&quot;* #,##0.00_);_(&quot;$&quot;* \(#,##0.00\);_(&quot;$&quot;* &quot;-&quot;??_);_(@_)">
                  <c:v>-11590.50319439387</c:v>
                </c:pt>
                <c:pt idx="1052" formatCode="_(&quot;$&quot;* #,##0.00_);_(&quot;$&quot;* \(#,##0.00\);_(&quot;$&quot;* &quot;-&quot;??_);_(@_)">
                  <c:v>-11323.689901490141</c:v>
                </c:pt>
                <c:pt idx="1053" formatCode="_(&quot;$&quot;* #,##0.00_);_(&quot;$&quot;* \(#,##0.00\);_(&quot;$&quot;* &quot;-&quot;??_);_(@_)">
                  <c:v>-11263.916954886798</c:v>
                </c:pt>
                <c:pt idx="1054" formatCode="_(&quot;$&quot;* #,##0.00_);_(&quot;$&quot;* \(#,##0.00\);_(&quot;$&quot;* &quot;-&quot;??_);_(@_)">
                  <c:v>-11223.81198940879</c:v>
                </c:pt>
                <c:pt idx="1055" formatCode="_(&quot;$&quot;* #,##0.00_);_(&quot;$&quot;* \(#,##0.00\);_(&quot;$&quot;* &quot;-&quot;??_);_(@_)">
                  <c:v>-11683.461623723568</c:v>
                </c:pt>
                <c:pt idx="1056" formatCode="_(&quot;$&quot;* #,##0.00_);_(&quot;$&quot;* \(#,##0.00\);_(&quot;$&quot;* &quot;-&quot;??_);_(@_)">
                  <c:v>-11645.848493011927</c:v>
                </c:pt>
                <c:pt idx="1057" formatCode="_(&quot;$&quot;* #,##0.00_);_(&quot;$&quot;* \(#,##0.00\);_(&quot;$&quot;* &quot;-&quot;??_);_(@_)">
                  <c:v>-11764.75696807335</c:v>
                </c:pt>
                <c:pt idx="1058" formatCode="_(&quot;$&quot;* #,##0.00_);_(&quot;$&quot;* \(#,##0.00\);_(&quot;$&quot;* &quot;-&quot;??_);_(@_)">
                  <c:v>-12309.39071303755</c:v>
                </c:pt>
                <c:pt idx="1059" formatCode="_(&quot;$&quot;* #,##0.00_);_(&quot;$&quot;* \(#,##0.00\);_(&quot;$&quot;* &quot;-&quot;??_);_(@_)">
                  <c:v>-11574.040786512343</c:v>
                </c:pt>
                <c:pt idx="1060" formatCode="_(&quot;$&quot;* #,##0.00_);_(&quot;$&quot;* \(#,##0.00\);_(&quot;$&quot;* &quot;-&quot;??_);_(@_)">
                  <c:v>-10449.557481266875</c:v>
                </c:pt>
                <c:pt idx="1061" formatCode="_(&quot;$&quot;* #,##0.00_);_(&quot;$&quot;* \(#,##0.00\);_(&quot;$&quot;* &quot;-&quot;??_);_(@_)">
                  <c:v>-9283.1816822634373</c:v>
                </c:pt>
                <c:pt idx="1062" formatCode="_(&quot;$&quot;* #,##0.00_);_(&quot;$&quot;* \(#,##0.00\);_(&quot;$&quot;* &quot;-&quot;??_);_(@_)">
                  <c:v>-9952.8979079774545</c:v>
                </c:pt>
                <c:pt idx="1063" formatCode="_(&quot;$&quot;* #,##0.00_);_(&quot;$&quot;* \(#,##0.00\);_(&quot;$&quot;* &quot;-&quot;??_);_(@_)">
                  <c:v>-9843.5180704212089</c:v>
                </c:pt>
                <c:pt idx="1064" formatCode="_(&quot;$&quot;* #,##0.00_);_(&quot;$&quot;* \(#,##0.00\);_(&quot;$&quot;* &quot;-&quot;??_);_(@_)">
                  <c:v>-9411.0793066665174</c:v>
                </c:pt>
                <c:pt idx="1065" formatCode="_(&quot;$&quot;* #,##0.00_);_(&quot;$&quot;* \(#,##0.00\);_(&quot;$&quot;* &quot;-&quot;??_);_(@_)">
                  <c:v>-9934.9944322934534</c:v>
                </c:pt>
                <c:pt idx="1066" formatCode="_(&quot;$&quot;* #,##0.00_);_(&quot;$&quot;* \(#,##0.00\);_(&quot;$&quot;* &quot;-&quot;??_);_(@_)">
                  <c:v>-10173.748731170075</c:v>
                </c:pt>
                <c:pt idx="1067" formatCode="_(&quot;$&quot;* #,##0.00_);_(&quot;$&quot;* \(#,##0.00\);_(&quot;$&quot;* &quot;-&quot;??_);_(@_)">
                  <c:v>-10542.008278813353</c:v>
                </c:pt>
                <c:pt idx="1068" formatCode="_(&quot;$&quot;* #,##0.00_);_(&quot;$&quot;* \(#,##0.00\);_(&quot;$&quot;* &quot;-&quot;??_);_(@_)">
                  <c:v>-9801.760507079438</c:v>
                </c:pt>
                <c:pt idx="1069" formatCode="_(&quot;$&quot;* #,##0.00_);_(&quot;$&quot;* \(#,##0.00\);_(&quot;$&quot;* &quot;-&quot;??_);_(@_)">
                  <c:v>-10786.372208985109</c:v>
                </c:pt>
                <c:pt idx="1070" formatCode="_(&quot;$&quot;* #,##0.00_);_(&quot;$&quot;* \(#,##0.00\);_(&quot;$&quot;* &quot;-&quot;??_);_(@_)">
                  <c:v>-10437.479000550175</c:v>
                </c:pt>
                <c:pt idx="1071" formatCode="_(&quot;$&quot;* #,##0.00_);_(&quot;$&quot;* \(#,##0.00\);_(&quot;$&quot;* &quot;-&quot;??_);_(@_)">
                  <c:v>-10255.936747279566</c:v>
                </c:pt>
                <c:pt idx="1072" formatCode="_(&quot;$&quot;* #,##0.00_);_(&quot;$&quot;* \(#,##0.00\);_(&quot;$&quot;* &quot;-&quot;??_);_(@_)">
                  <c:v>-9727.0458168049736</c:v>
                </c:pt>
                <c:pt idx="1073" formatCode="_(&quot;$&quot;* #,##0.00_);_(&quot;$&quot;* \(#,##0.00\);_(&quot;$&quot;* &quot;-&quot;??_);_(@_)">
                  <c:v>-10077.640462191101</c:v>
                </c:pt>
                <c:pt idx="1074" formatCode="_(&quot;$&quot;* #,##0.00_);_(&quot;$&quot;* \(#,##0.00\);_(&quot;$&quot;* &quot;-&quot;??_);_(@_)">
                  <c:v>-10459.116326342701</c:v>
                </c:pt>
                <c:pt idx="1075" formatCode="_(&quot;$&quot;* #,##0.00_);_(&quot;$&quot;* \(#,##0.00\);_(&quot;$&quot;* &quot;-&quot;??_);_(@_)">
                  <c:v>-11358.369813508085</c:v>
                </c:pt>
                <c:pt idx="1076" formatCode="_(&quot;$&quot;* #,##0.00_);_(&quot;$&quot;* \(#,##0.00\);_(&quot;$&quot;* &quot;-&quot;??_);_(@_)">
                  <c:v>-12047.405689487159</c:v>
                </c:pt>
                <c:pt idx="1077" formatCode="_(&quot;$&quot;* #,##0.00_);_(&quot;$&quot;* \(#,##0.00\);_(&quot;$&quot;* &quot;-&quot;??_);_(@_)">
                  <c:v>-12351.65983905302</c:v>
                </c:pt>
                <c:pt idx="1078" formatCode="_(&quot;$&quot;* #,##0.00_);_(&quot;$&quot;* \(#,##0.00\);_(&quot;$&quot;* &quot;-&quot;??_);_(@_)">
                  <c:v>-11382.693150729017</c:v>
                </c:pt>
                <c:pt idx="1079" formatCode="_(&quot;$&quot;* #,##0.00_);_(&quot;$&quot;* \(#,##0.00\);_(&quot;$&quot;* &quot;-&quot;??_);_(@_)">
                  <c:v>-12440.03995828032</c:v>
                </c:pt>
                <c:pt idx="1080" formatCode="_(&quot;$&quot;* #,##0.00_);_(&quot;$&quot;* \(#,##0.00\);_(&quot;$&quot;* &quot;-&quot;??_);_(@_)">
                  <c:v>-12920.134080909567</c:v>
                </c:pt>
                <c:pt idx="1081" formatCode="_(&quot;$&quot;* #,##0.00_);_(&quot;$&quot;* \(#,##0.00\);_(&quot;$&quot;* &quot;-&quot;??_);_(@_)">
                  <c:v>-12912.735820127629</c:v>
                </c:pt>
                <c:pt idx="1082" formatCode="_(&quot;$&quot;* #,##0.00_);_(&quot;$&quot;* \(#,##0.00\);_(&quot;$&quot;* &quot;-&quot;??_);_(@_)">
                  <c:v>-12917.898509007626</c:v>
                </c:pt>
                <c:pt idx="1083" formatCode="_(&quot;$&quot;* #,##0.00_);_(&quot;$&quot;* \(#,##0.00\);_(&quot;$&quot;* &quot;-&quot;??_);_(@_)">
                  <c:v>-13145.316961526543</c:v>
                </c:pt>
                <c:pt idx="1084" formatCode="_(&quot;$&quot;* #,##0.00_);_(&quot;$&quot;* \(#,##0.00\);_(&quot;$&quot;* &quot;-&quot;??_);_(@_)">
                  <c:v>-12865.469113659658</c:v>
                </c:pt>
                <c:pt idx="1085" formatCode="_(&quot;$&quot;* #,##0.00_);_(&quot;$&quot;* \(#,##0.00\);_(&quot;$&quot;* &quot;-&quot;??_);_(@_)">
                  <c:v>-13282.186683176193</c:v>
                </c:pt>
                <c:pt idx="1086" formatCode="_(&quot;$&quot;* #,##0.00_);_(&quot;$&quot;* \(#,##0.00\);_(&quot;$&quot;* &quot;-&quot;??_);_(@_)">
                  <c:v>-13323.964627136389</c:v>
                </c:pt>
                <c:pt idx="1087" formatCode="_(&quot;$&quot;* #,##0.00_);_(&quot;$&quot;* \(#,##0.00\);_(&quot;$&quot;* &quot;-&quot;??_);_(@_)">
                  <c:v>-13368.940059419479</c:v>
                </c:pt>
                <c:pt idx="1088" formatCode="_(&quot;$&quot;* #,##0.00_);_(&quot;$&quot;* \(#,##0.00\);_(&quot;$&quot;* &quot;-&quot;??_);_(@_)">
                  <c:v>-13667.471085952358</c:v>
                </c:pt>
                <c:pt idx="1089" formatCode="_(&quot;$&quot;* #,##0.00_);_(&quot;$&quot;* \(#,##0.00\);_(&quot;$&quot;* &quot;-&quot;??_);_(@_)">
                  <c:v>-13565.145266813342</c:v>
                </c:pt>
                <c:pt idx="1090" formatCode="_(&quot;$&quot;* #,##0.00_);_(&quot;$&quot;* \(#,##0.00\);_(&quot;$&quot;* &quot;-&quot;??_);_(@_)">
                  <c:v>-14308.831741761032</c:v>
                </c:pt>
                <c:pt idx="1091" formatCode="_(&quot;$&quot;* #,##0.00_);_(&quot;$&quot;* \(#,##0.00\);_(&quot;$&quot;* &quot;-&quot;??_);_(@_)">
                  <c:v>-13733.95650444652</c:v>
                </c:pt>
                <c:pt idx="1092" formatCode="_(&quot;$&quot;* #,##0.00_);_(&quot;$&quot;* \(#,##0.00\);_(&quot;$&quot;* &quot;-&quot;??_);_(@_)">
                  <c:v>-13336.611751337374</c:v>
                </c:pt>
                <c:pt idx="1093" formatCode="_(&quot;$&quot;* #,##0.00_);_(&quot;$&quot;* \(#,##0.00\);_(&quot;$&quot;* &quot;-&quot;??_);_(@_)">
                  <c:v>-13061.443469111098</c:v>
                </c:pt>
                <c:pt idx="1094" formatCode="_(&quot;$&quot;* #,##0.00_);_(&quot;$&quot;* \(#,##0.00\);_(&quot;$&quot;* &quot;-&quot;??_);_(@_)">
                  <c:v>-13490.505344557318</c:v>
                </c:pt>
                <c:pt idx="1095" formatCode="_(&quot;$&quot;* #,##0.00_);_(&quot;$&quot;* \(#,##0.00\);_(&quot;$&quot;* &quot;-&quot;??_);_(@_)">
                  <c:v>-12660.57227588004</c:v>
                </c:pt>
                <c:pt idx="1096" formatCode="_(&quot;$&quot;* #,##0.00_);_(&quot;$&quot;* \(#,##0.00\);_(&quot;$&quot;* &quot;-&quot;??_);_(@_)">
                  <c:v>-13201.913013823734</c:v>
                </c:pt>
                <c:pt idx="1097" formatCode="_(&quot;$&quot;* #,##0.00_);_(&quot;$&quot;* \(#,##0.00\);_(&quot;$&quot;* &quot;-&quot;??_);_(@_)">
                  <c:v>-13446.715165095318</c:v>
                </c:pt>
                <c:pt idx="1098" formatCode="_(&quot;$&quot;* #,##0.00_);_(&quot;$&quot;* \(#,##0.00\);_(&quot;$&quot;* &quot;-&quot;??_);_(@_)">
                  <c:v>-13727.522375035018</c:v>
                </c:pt>
                <c:pt idx="1099" formatCode="_(&quot;$&quot;* #,##0.00_);_(&quot;$&quot;* \(#,##0.00\);_(&quot;$&quot;* &quot;-&quot;??_);_(@_)">
                  <c:v>-13037.964565124174</c:v>
                </c:pt>
                <c:pt idx="1100" formatCode="_(&quot;$&quot;* #,##0.00_);_(&quot;$&quot;* \(#,##0.00\);_(&quot;$&quot;* &quot;-&quot;??_);_(@_)">
                  <c:v>-13048.725174939258</c:v>
                </c:pt>
                <c:pt idx="1101" formatCode="_(&quot;$&quot;* #,##0.00_);_(&quot;$&quot;* \(#,##0.00\);_(&quot;$&quot;* &quot;-&quot;??_);_(@_)">
                  <c:v>-13084.665643418248</c:v>
                </c:pt>
                <c:pt idx="1102" formatCode="_(&quot;$&quot;* #,##0.00_);_(&quot;$&quot;* \(#,##0.00\);_(&quot;$&quot;* &quot;-&quot;??_);_(@_)">
                  <c:v>-13275.942672185658</c:v>
                </c:pt>
                <c:pt idx="1103" formatCode="_(&quot;$&quot;* #,##0.00_);_(&quot;$&quot;* \(#,##0.00\);_(&quot;$&quot;* &quot;-&quot;??_);_(@_)">
                  <c:v>-13237.872159141125</c:v>
                </c:pt>
                <c:pt idx="1104" formatCode="_(&quot;$&quot;* #,##0.00_);_(&quot;$&quot;* \(#,##0.00\);_(&quot;$&quot;* &quot;-&quot;??_);_(@_)">
                  <c:v>-13124.770784677245</c:v>
                </c:pt>
                <c:pt idx="1105" formatCode="_(&quot;$&quot;* #,##0.00_);_(&quot;$&quot;* \(#,##0.00\);_(&quot;$&quot;* &quot;-&quot;??_);_(@_)">
                  <c:v>-13620.103371703341</c:v>
                </c:pt>
                <c:pt idx="1106" formatCode="_(&quot;$&quot;* #,##0.00_);_(&quot;$&quot;* \(#,##0.00\);_(&quot;$&quot;* &quot;-&quot;??_);_(@_)">
                  <c:v>-13357.981825546831</c:v>
                </c:pt>
                <c:pt idx="1107" formatCode="_(&quot;$&quot;* #,##0.00_);_(&quot;$&quot;* \(#,##0.00\);_(&quot;$&quot;* &quot;-&quot;??_);_(@_)">
                  <c:v>-12745.405461313736</c:v>
                </c:pt>
                <c:pt idx="1108" formatCode="_(&quot;$&quot;* #,##0.00_);_(&quot;$&quot;* \(#,##0.00\);_(&quot;$&quot;* &quot;-&quot;??_);_(@_)">
                  <c:v>-13544.890032684212</c:v>
                </c:pt>
                <c:pt idx="1109" formatCode="_(&quot;$&quot;* #,##0.00_);_(&quot;$&quot;* \(#,##0.00\);_(&quot;$&quot;* &quot;-&quot;??_);_(@_)">
                  <c:v>-12677.405387530907</c:v>
                </c:pt>
                <c:pt idx="1110" formatCode="_(&quot;$&quot;* #,##0.00_);_(&quot;$&quot;* \(#,##0.00\);_(&quot;$&quot;* &quot;-&quot;??_);_(@_)">
                  <c:v>-12758.473806398279</c:v>
                </c:pt>
                <c:pt idx="1111" formatCode="_(&quot;$&quot;* #,##0.00_);_(&quot;$&quot;* \(#,##0.00\);_(&quot;$&quot;* &quot;-&quot;??_);_(@_)">
                  <c:v>-12824.425367479998</c:v>
                </c:pt>
                <c:pt idx="1112" formatCode="_(&quot;$&quot;* #,##0.00_);_(&quot;$&quot;* \(#,##0.00\);_(&quot;$&quot;* &quot;-&quot;??_);_(@_)">
                  <c:v>-12624.471400048042</c:v>
                </c:pt>
                <c:pt idx="1113" formatCode="_(&quot;$&quot;* #,##0.00_);_(&quot;$&quot;* \(#,##0.00\);_(&quot;$&quot;* &quot;-&quot;??_);_(@_)">
                  <c:v>-11677.902971544452</c:v>
                </c:pt>
                <c:pt idx="1114" formatCode="_(&quot;$&quot;* #,##0.00_);_(&quot;$&quot;* \(#,##0.00\);_(&quot;$&quot;* &quot;-&quot;??_);_(@_)">
                  <c:v>-11507.301365041423</c:v>
                </c:pt>
                <c:pt idx="1115" formatCode="_(&quot;$&quot;* #,##0.00_);_(&quot;$&quot;* \(#,##0.00\);_(&quot;$&quot;* &quot;-&quot;??_);_(@_)">
                  <c:v>-11679.077631778888</c:v>
                </c:pt>
                <c:pt idx="1116" formatCode="_(&quot;$&quot;* #,##0.00_);_(&quot;$&quot;* \(#,##0.00\);_(&quot;$&quot;* &quot;-&quot;??_);_(@_)">
                  <c:v>-11135.48277536485</c:v>
                </c:pt>
                <c:pt idx="1117" formatCode="_(&quot;$&quot;* #,##0.00_);_(&quot;$&quot;* \(#,##0.00\);_(&quot;$&quot;* &quot;-&quot;??_);_(@_)">
                  <c:v>-10596.403584943377</c:v>
                </c:pt>
                <c:pt idx="1118" formatCode="_(&quot;$&quot;* #,##0.00_);_(&quot;$&quot;* \(#,##0.00\);_(&quot;$&quot;* &quot;-&quot;??_);_(@_)">
                  <c:v>-10988.335142674649</c:v>
                </c:pt>
                <c:pt idx="1119" formatCode="_(&quot;$&quot;* #,##0.00_);_(&quot;$&quot;* \(#,##0.00\);_(&quot;$&quot;* &quot;-&quot;??_);_(@_)">
                  <c:v>-11470.378454442183</c:v>
                </c:pt>
                <c:pt idx="1120" formatCode="_(&quot;$&quot;* #,##0.00_);_(&quot;$&quot;* \(#,##0.00\);_(&quot;$&quot;* &quot;-&quot;??_);_(@_)">
                  <c:v>-11741.737327909113</c:v>
                </c:pt>
                <c:pt idx="1121" formatCode="_(&quot;$&quot;* #,##0.00_);_(&quot;$&quot;* \(#,##0.00\);_(&quot;$&quot;* &quot;-&quot;??_);_(@_)">
                  <c:v>-11187.722452918078</c:v>
                </c:pt>
                <c:pt idx="1122" formatCode="_(&quot;$&quot;* #,##0.00_);_(&quot;$&quot;* \(#,##0.00\);_(&quot;$&quot;* &quot;-&quot;??_);_(@_)">
                  <c:v>-10860.985409173287</c:v>
                </c:pt>
                <c:pt idx="1123" formatCode="_(&quot;$&quot;* #,##0.00_);_(&quot;$&quot;* \(#,##0.00\);_(&quot;$&quot;* &quot;-&quot;??_);_(@_)">
                  <c:v>-11190.567564990422</c:v>
                </c:pt>
                <c:pt idx="1124" formatCode="_(&quot;$&quot;* #,##0.00_);_(&quot;$&quot;* \(#,##0.00\);_(&quot;$&quot;* &quot;-&quot;??_);_(@_)">
                  <c:v>-11267.181130933113</c:v>
                </c:pt>
                <c:pt idx="1125" formatCode="_(&quot;$&quot;* #,##0.00_);_(&quot;$&quot;* \(#,##0.00\);_(&quot;$&quot;* &quot;-&quot;??_);_(@_)">
                  <c:v>-11284.993209594157</c:v>
                </c:pt>
                <c:pt idx="1126" formatCode="_(&quot;$&quot;* #,##0.00_);_(&quot;$&quot;* \(#,##0.00\);_(&quot;$&quot;* &quot;-&quot;??_);_(@_)">
                  <c:v>-11864.339674215502</c:v>
                </c:pt>
                <c:pt idx="1127" formatCode="_(&quot;$&quot;* #,##0.00_);_(&quot;$&quot;* \(#,##0.00\);_(&quot;$&quot;* &quot;-&quot;??_);_(@_)">
                  <c:v>-10508.722468389329</c:v>
                </c:pt>
                <c:pt idx="1128" formatCode="_(&quot;$&quot;* #,##0.00_);_(&quot;$&quot;* \(#,##0.00\);_(&quot;$&quot;* &quot;-&quot;??_);_(@_)">
                  <c:v>-10128.494198165507</c:v>
                </c:pt>
                <c:pt idx="1129" formatCode="_(&quot;$&quot;* #,##0.00_);_(&quot;$&quot;* \(#,##0.00\);_(&quot;$&quot;* &quot;-&quot;??_);_(@_)">
                  <c:v>-10183.556982374384</c:v>
                </c:pt>
                <c:pt idx="1130" formatCode="_(&quot;$&quot;* #,##0.00_);_(&quot;$&quot;* \(#,##0.00\);_(&quot;$&quot;* &quot;-&quot;??_);_(@_)">
                  <c:v>-10606.402843145102</c:v>
                </c:pt>
                <c:pt idx="1131" formatCode="_(&quot;$&quot;* #,##0.00_);_(&quot;$&quot;* \(#,##0.00\);_(&quot;$&quot;* &quot;-&quot;??_);_(@_)">
                  <c:v>-9986.9287031429485</c:v>
                </c:pt>
                <c:pt idx="1132" formatCode="_(&quot;$&quot;* #,##0.00_);_(&quot;$&quot;* \(#,##0.00\);_(&quot;$&quot;* &quot;-&quot;??_);_(@_)">
                  <c:v>-9786.5587397201361</c:v>
                </c:pt>
                <c:pt idx="1133" formatCode="_(&quot;$&quot;* #,##0.00_);_(&quot;$&quot;* \(#,##0.00\);_(&quot;$&quot;* &quot;-&quot;??_);_(@_)">
                  <c:v>-9553.9690094791677</c:v>
                </c:pt>
                <c:pt idx="1134" formatCode="_(&quot;$&quot;* #,##0.00_);_(&quot;$&quot;* \(#,##0.00\);_(&quot;$&quot;* &quot;-&quot;??_);_(@_)">
                  <c:v>-8588.5174938663586</c:v>
                </c:pt>
                <c:pt idx="1135" formatCode="_(&quot;$&quot;* #,##0.00_);_(&quot;$&quot;* \(#,##0.00\);_(&quot;$&quot;* &quot;-&quot;??_);_(@_)">
                  <c:v>-8922.3912387768742</c:v>
                </c:pt>
                <c:pt idx="1136" formatCode="_(&quot;$&quot;* #,##0.00_);_(&quot;$&quot;* \(#,##0.00\);_(&quot;$&quot;* &quot;-&quot;??_);_(@_)">
                  <c:v>-8907.694886853722</c:v>
                </c:pt>
                <c:pt idx="1137" formatCode="_(&quot;$&quot;* #,##0.00_);_(&quot;$&quot;* \(#,##0.00\);_(&quot;$&quot;* &quot;-&quot;??_);_(@_)">
                  <c:v>-8855.1875351176586</c:v>
                </c:pt>
                <c:pt idx="1138" formatCode="_(&quot;$&quot;* #,##0.00_);_(&quot;$&quot;* \(#,##0.00\);_(&quot;$&quot;* &quot;-&quot;??_);_(@_)">
                  <c:v>-9110.706480245748</c:v>
                </c:pt>
                <c:pt idx="1139" formatCode="_(&quot;$&quot;* #,##0.00_);_(&quot;$&quot;* \(#,##0.00\);_(&quot;$&quot;* &quot;-&quot;??_);_(@_)">
                  <c:v>-9187.1280804356302</c:v>
                </c:pt>
                <c:pt idx="1140" formatCode="_(&quot;$&quot;* #,##0.00_);_(&quot;$&quot;* \(#,##0.00\);_(&quot;$&quot;* &quot;-&quot;??_);_(@_)">
                  <c:v>-9116.3631597692583</c:v>
                </c:pt>
                <c:pt idx="1141" formatCode="_(&quot;$&quot;* #,##0.00_);_(&quot;$&quot;* \(#,##0.00\);_(&quot;$&quot;* &quot;-&quot;??_);_(@_)">
                  <c:v>-9901.2039776699057</c:v>
                </c:pt>
                <c:pt idx="1142" formatCode="_(&quot;$&quot;* #,##0.00_);_(&quot;$&quot;* \(#,##0.00\);_(&quot;$&quot;* &quot;-&quot;??_);_(@_)">
                  <c:v>-11021.527805050713</c:v>
                </c:pt>
                <c:pt idx="1143" formatCode="_(&quot;$&quot;* #,##0.00_);_(&quot;$&quot;* \(#,##0.00\);_(&quot;$&quot;* &quot;-&quot;??_);_(@_)">
                  <c:v>-10424.102935423976</c:v>
                </c:pt>
                <c:pt idx="1144" formatCode="_(&quot;$&quot;* #,##0.00_);_(&quot;$&quot;* \(#,##0.00\);_(&quot;$&quot;* &quot;-&quot;??_);_(@_)">
                  <c:v>-10666.348060464903</c:v>
                </c:pt>
                <c:pt idx="1145" formatCode="_(&quot;$&quot;* #,##0.00_);_(&quot;$&quot;* \(#,##0.00\);_(&quot;$&quot;* &quot;-&quot;??_);_(@_)">
                  <c:v>-11011.756052955256</c:v>
                </c:pt>
                <c:pt idx="1146" formatCode="_(&quot;$&quot;* #,##0.00_);_(&quot;$&quot;* \(#,##0.00\);_(&quot;$&quot;* &quot;-&quot;??_);_(@_)">
                  <c:v>-11316.46465758555</c:v>
                </c:pt>
                <c:pt idx="1147" formatCode="_(&quot;$&quot;* #,##0.00_);_(&quot;$&quot;* \(#,##0.00\);_(&quot;$&quot;* &quot;-&quot;??_);_(@_)">
                  <c:v>-10715.759978925</c:v>
                </c:pt>
                <c:pt idx="1148" formatCode="_(&quot;$&quot;* #,##0.00_);_(&quot;$&quot;* \(#,##0.00\);_(&quot;$&quot;* &quot;-&quot;??_);_(@_)">
                  <c:v>-10834.688040205381</c:v>
                </c:pt>
                <c:pt idx="1149" formatCode="_(&quot;$&quot;* #,##0.00_);_(&quot;$&quot;* \(#,##0.00\);_(&quot;$&quot;* &quot;-&quot;??_);_(@_)">
                  <c:v>-10241.309479181909</c:v>
                </c:pt>
                <c:pt idx="1150" formatCode="_(&quot;$&quot;* #,##0.00_);_(&quot;$&quot;* \(#,##0.00\);_(&quot;$&quot;* &quot;-&quot;??_);_(@_)">
                  <c:v>-9652.1759990071896</c:v>
                </c:pt>
                <c:pt idx="1151" formatCode="_(&quot;$&quot;* #,##0.00_);_(&quot;$&quot;* \(#,##0.00\);_(&quot;$&quot;* &quot;-&quot;??_);_(@_)">
                  <c:v>-9448.1153616950669</c:v>
                </c:pt>
                <c:pt idx="1152" formatCode="_(&quot;$&quot;* #,##0.00_);_(&quot;$&quot;* \(#,##0.00\);_(&quot;$&quot;* &quot;-&quot;??_);_(@_)">
                  <c:v>-9420.0819892963464</c:v>
                </c:pt>
                <c:pt idx="1153" formatCode="_(&quot;$&quot;* #,##0.00_);_(&quot;$&quot;* \(#,##0.00\);_(&quot;$&quot;* &quot;-&quot;??_);_(@_)">
                  <c:v>-9980.9299054667972</c:v>
                </c:pt>
                <c:pt idx="1154" formatCode="_(&quot;$&quot;* #,##0.00_);_(&quot;$&quot;* \(#,##0.00\);_(&quot;$&quot;* &quot;-&quot;??_);_(@_)">
                  <c:v>-9707.3579652077242</c:v>
                </c:pt>
                <c:pt idx="1155" formatCode="_(&quot;$&quot;* #,##0.00_);_(&quot;$&quot;* \(#,##0.00\);_(&quot;$&quot;* &quot;-&quot;??_);_(@_)">
                  <c:v>-10003.379583139251</c:v>
                </c:pt>
                <c:pt idx="1156" formatCode="_(&quot;$&quot;* #,##0.00_);_(&quot;$&quot;* \(#,##0.00\);_(&quot;$&quot;* &quot;-&quot;??_);_(@_)">
                  <c:v>-10082.75840325466</c:v>
                </c:pt>
                <c:pt idx="1157" formatCode="_(&quot;$&quot;* #,##0.00_);_(&quot;$&quot;* \(#,##0.00\);_(&quot;$&quot;* &quot;-&quot;??_);_(@_)">
                  <c:v>-9913.8540506332047</c:v>
                </c:pt>
                <c:pt idx="1158" formatCode="_(&quot;$&quot;* #,##0.00_);_(&quot;$&quot;* \(#,##0.00\);_(&quot;$&quot;* &quot;-&quot;??_);_(@_)">
                  <c:v>-9680.8899643684053</c:v>
                </c:pt>
                <c:pt idx="1159" formatCode="_(&quot;$&quot;* #,##0.00_);_(&quot;$&quot;* \(#,##0.00\);_(&quot;$&quot;* &quot;-&quot;??_);_(@_)">
                  <c:v>-10095.654981894722</c:v>
                </c:pt>
                <c:pt idx="1160" formatCode="_(&quot;$&quot;* #,##0.00_);_(&quot;$&quot;* \(#,##0.00\);_(&quot;$&quot;* &quot;-&quot;??_);_(@_)">
                  <c:v>-9639.9864736728305</c:v>
                </c:pt>
                <c:pt idx="1161" formatCode="_(&quot;$&quot;* #,##0.00_);_(&quot;$&quot;* \(#,##0.00\);_(&quot;$&quot;* &quot;-&quot;??_);_(@_)">
                  <c:v>-9712.6832124839002</c:v>
                </c:pt>
                <c:pt idx="1162" formatCode="_(&quot;$&quot;* #,##0.00_);_(&quot;$&quot;* \(#,##0.00\);_(&quot;$&quot;* &quot;-&quot;??_);_(@_)">
                  <c:v>-8844.6175739543232</c:v>
                </c:pt>
                <c:pt idx="1163" formatCode="_(&quot;$&quot;* #,##0.00_);_(&quot;$&quot;* \(#,##0.00\);_(&quot;$&quot;* &quot;-&quot;??_);_(@_)">
                  <c:v>-8510.5825942173869</c:v>
                </c:pt>
                <c:pt idx="1164" formatCode="_(&quot;$&quot;* #,##0.00_);_(&quot;$&quot;* \(#,##0.00\);_(&quot;$&quot;* &quot;-&quot;??_);_(@_)">
                  <c:v>-8383.1856621380211</c:v>
                </c:pt>
                <c:pt idx="1165" formatCode="_(&quot;$&quot;* #,##0.00_);_(&quot;$&quot;* \(#,##0.00\);_(&quot;$&quot;* &quot;-&quot;??_);_(@_)">
                  <c:v>-9242.8590934172025</c:v>
                </c:pt>
                <c:pt idx="1166" formatCode="_(&quot;$&quot;* #,##0.00_);_(&quot;$&quot;* \(#,##0.00\);_(&quot;$&quot;* &quot;-&quot;??_);_(@_)">
                  <c:v>-9673.2598625252667</c:v>
                </c:pt>
                <c:pt idx="1167" formatCode="_(&quot;$&quot;* #,##0.00_);_(&quot;$&quot;* \(#,##0.00\);_(&quot;$&quot;* &quot;-&quot;??_);_(@_)">
                  <c:v>-9868.871448473963</c:v>
                </c:pt>
                <c:pt idx="1168" formatCode="_(&quot;$&quot;* #,##0.00_);_(&quot;$&quot;* \(#,##0.00\);_(&quot;$&quot;* &quot;-&quot;??_);_(@_)">
                  <c:v>-9826.039343320952</c:v>
                </c:pt>
                <c:pt idx="1169" formatCode="_(&quot;$&quot;* #,##0.00_);_(&quot;$&quot;* \(#,##0.00\);_(&quot;$&quot;* &quot;-&quot;??_);_(@_)">
                  <c:v>-9560.2876745363901</c:v>
                </c:pt>
                <c:pt idx="1170" formatCode="_(&quot;$&quot;* #,##0.00_);_(&quot;$&quot;* \(#,##0.00\);_(&quot;$&quot;* &quot;-&quot;??_);_(@_)">
                  <c:v>-9323.5351588592748</c:v>
                </c:pt>
                <c:pt idx="1171" formatCode="_(&quot;$&quot;* #,##0.00_);_(&quot;$&quot;* \(#,##0.00\);_(&quot;$&quot;* &quot;-&quot;??_);_(@_)">
                  <c:v>-8807.2389229036326</c:v>
                </c:pt>
                <c:pt idx="1172" formatCode="_(&quot;$&quot;* #,##0.00_);_(&quot;$&quot;* \(#,##0.00\);_(&quot;$&quot;* &quot;-&quot;??_);_(@_)">
                  <c:v>-8151.4936201838282</c:v>
                </c:pt>
                <c:pt idx="1173" formatCode="_(&quot;$&quot;* #,##0.00_);_(&quot;$&quot;* \(#,##0.00\);_(&quot;$&quot;* &quot;-&quot;??_);_(@_)">
                  <c:v>-8282.8155059047058</c:v>
                </c:pt>
                <c:pt idx="1174" formatCode="_(&quot;$&quot;* #,##0.00_);_(&quot;$&quot;* \(#,##0.00\);_(&quot;$&quot;* &quot;-&quot;??_);_(@_)">
                  <c:v>-7481.7762708630135</c:v>
                </c:pt>
                <c:pt idx="1175" formatCode="_(&quot;$&quot;* #,##0.00_);_(&quot;$&quot;* \(#,##0.00\);_(&quot;$&quot;* &quot;-&quot;??_);_(@_)">
                  <c:v>-6727.7335480773154</c:v>
                </c:pt>
                <c:pt idx="1176" formatCode="_(&quot;$&quot;* #,##0.00_);_(&quot;$&quot;* \(#,##0.00\);_(&quot;$&quot;* &quot;-&quot;??_);_(@_)">
                  <c:v>-6937.6132796916318</c:v>
                </c:pt>
                <c:pt idx="1177" formatCode="_(&quot;$&quot;* #,##0.00_);_(&quot;$&quot;* \(#,##0.00\);_(&quot;$&quot;* &quot;-&quot;??_);_(@_)">
                  <c:v>-6985.0315892724548</c:v>
                </c:pt>
                <c:pt idx="1178" formatCode="_(&quot;$&quot;* #,##0.00_);_(&quot;$&quot;* \(#,##0.00\);_(&quot;$&quot;* &quot;-&quot;??_);_(@_)">
                  <c:v>-7500.0148026798515</c:v>
                </c:pt>
                <c:pt idx="1179" formatCode="_(&quot;$&quot;* #,##0.00_);_(&quot;$&quot;* \(#,##0.00\);_(&quot;$&quot;* &quot;-&quot;??_);_(@_)">
                  <c:v>-7541.3698181933114</c:v>
                </c:pt>
                <c:pt idx="1180" formatCode="_(&quot;$&quot;* #,##0.00_);_(&quot;$&quot;* \(#,##0.00\);_(&quot;$&quot;* &quot;-&quot;??_);_(@_)">
                  <c:v>-6484.2673300921488</c:v>
                </c:pt>
                <c:pt idx="1181" formatCode="_(&quot;$&quot;* #,##0.00_);_(&quot;$&quot;* \(#,##0.00\);_(&quot;$&quot;* &quot;-&quot;??_);_(@_)">
                  <c:v>-6867.3991167052727</c:v>
                </c:pt>
                <c:pt idx="1182" formatCode="_(&quot;$&quot;* #,##0.00_);_(&quot;$&quot;* \(#,##0.00\);_(&quot;$&quot;* &quot;-&quot;??_);_(@_)">
                  <c:v>-5885.0092971399872</c:v>
                </c:pt>
                <c:pt idx="1183" formatCode="_(&quot;$&quot;* #,##0.00_);_(&quot;$&quot;* \(#,##0.00\);_(&quot;$&quot;* &quot;-&quot;??_);_(@_)">
                  <c:v>-5593.9316735021457</c:v>
                </c:pt>
                <c:pt idx="1184" formatCode="_(&quot;$&quot;* #,##0.00_);_(&quot;$&quot;* \(#,##0.00\);_(&quot;$&quot;* &quot;-&quot;??_);_(@_)">
                  <c:v>-5570.0976288328211</c:v>
                </c:pt>
                <c:pt idx="1185" formatCode="_(&quot;$&quot;* #,##0.00_);_(&quot;$&quot;* \(#,##0.00\);_(&quot;$&quot;* &quot;-&quot;??_);_(@_)">
                  <c:v>-5411.2162791125447</c:v>
                </c:pt>
                <c:pt idx="1186" formatCode="_(&quot;$&quot;* #,##0.00_);_(&quot;$&quot;* \(#,##0.00\);_(&quot;$&quot;* &quot;-&quot;??_);_(@_)">
                  <c:v>-5928.1479405212076</c:v>
                </c:pt>
                <c:pt idx="1187" formatCode="_(&quot;$&quot;* #,##0.00_);_(&quot;$&quot;* \(#,##0.00\);_(&quot;$&quot;* &quot;-&quot;??_);_(@_)">
                  <c:v>-5346.485542423482</c:v>
                </c:pt>
                <c:pt idx="1188" formatCode="_(&quot;$&quot;* #,##0.00_);_(&quot;$&quot;* \(#,##0.00\);_(&quot;$&quot;* &quot;-&quot;??_);_(@_)">
                  <c:v>-5131.0248221428828</c:v>
                </c:pt>
                <c:pt idx="1189" formatCode="_(&quot;$&quot;* #,##0.00_);_(&quot;$&quot;* \(#,##0.00\);_(&quot;$&quot;* &quot;-&quot;??_);_(@_)">
                  <c:v>-5122.3009373218356</c:v>
                </c:pt>
                <c:pt idx="1190" formatCode="_(&quot;$&quot;* #,##0.00_);_(&quot;$&quot;* \(#,##0.00\);_(&quot;$&quot;* &quot;-&quot;??_);_(@_)">
                  <c:v>-4524.5235142741167</c:v>
                </c:pt>
                <c:pt idx="1191" formatCode="_(&quot;$&quot;* #,##0.00_);_(&quot;$&quot;* \(#,##0.00\);_(&quot;$&quot;* &quot;-&quot;??_);_(@_)">
                  <c:v>-4191.6417256998602</c:v>
                </c:pt>
                <c:pt idx="1192" formatCode="_(&quot;$&quot;* #,##0.00_);_(&quot;$&quot;* \(#,##0.00\);_(&quot;$&quot;* &quot;-&quot;??_);_(@_)">
                  <c:v>-3641.1615983759821</c:v>
                </c:pt>
                <c:pt idx="1193" formatCode="_(&quot;$&quot;* #,##0.00_);_(&quot;$&quot;* \(#,##0.00\);_(&quot;$&quot;* &quot;-&quot;??_);_(@_)">
                  <c:v>-3359.5068979511316</c:v>
                </c:pt>
                <c:pt idx="1194" formatCode="_(&quot;$&quot;* #,##0.00_);_(&quot;$&quot;* \(#,##0.00\);_(&quot;$&quot;* &quot;-&quot;??_);_(@_)">
                  <c:v>-3422.7619354700087</c:v>
                </c:pt>
                <c:pt idx="1195" formatCode="_(&quot;$&quot;* #,##0.00_);_(&quot;$&quot;* \(#,##0.00\);_(&quot;$&quot;* &quot;-&quot;??_);_(@_)">
                  <c:v>-2426.5965761021434</c:v>
                </c:pt>
                <c:pt idx="1196" formatCode="_(&quot;$&quot;* #,##0.00_);_(&quot;$&quot;* \(#,##0.00\);_(&quot;$&quot;* &quot;-&quot;??_);_(@_)">
                  <c:v>-2001.8447127472534</c:v>
                </c:pt>
                <c:pt idx="1197" formatCode="_(&quot;$&quot;* #,##0.00_);_(&quot;$&quot;* \(#,##0.00\);_(&quot;$&quot;* &quot;-&quot;??_);_(@_)">
                  <c:v>-2173.6495593107679</c:v>
                </c:pt>
                <c:pt idx="1198" formatCode="_(&quot;$&quot;* #,##0.00_);_(&quot;$&quot;* \(#,##0.00\);_(&quot;$&quot;* &quot;-&quot;??_);_(@_)">
                  <c:v>-2859.2001635921933</c:v>
                </c:pt>
                <c:pt idx="1199" formatCode="_(&quot;$&quot;* #,##0.00_);_(&quot;$&quot;* \(#,##0.00\);_(&quot;$&quot;* &quot;-&quot;??_);_(@_)">
                  <c:v>-2943.4261310302491</c:v>
                </c:pt>
                <c:pt idx="1200" formatCode="_(&quot;$&quot;* #,##0.00_);_(&quot;$&quot;* \(#,##0.00\);_(&quot;$&quot;* &quot;-&quot;??_);_(@_)">
                  <c:v>-3014.6473799197975</c:v>
                </c:pt>
                <c:pt idx="1201" formatCode="_(&quot;$&quot;* #,##0.00_);_(&quot;$&quot;* \(#,##0.00\);_(&quot;$&quot;* &quot;-&quot;??_);_(@_)">
                  <c:v>-2781.228713321088</c:v>
                </c:pt>
                <c:pt idx="1202" formatCode="_(&quot;$&quot;* #,##0.00_);_(&quot;$&quot;* \(#,##0.00\);_(&quot;$&quot;* &quot;-&quot;??_);_(@_)">
                  <c:v>-2260.8908454645516</c:v>
                </c:pt>
                <c:pt idx="1203" formatCode="_(&quot;$&quot;* #,##0.00_);_(&quot;$&quot;* \(#,##0.00\);_(&quot;$&quot;* &quot;-&quot;??_);_(@_)">
                  <c:v>-2411.6316759919446</c:v>
                </c:pt>
                <c:pt idx="1204" formatCode="_(&quot;$&quot;* #,##0.00_);_(&quot;$&quot;* \(#,##0.00\);_(&quot;$&quot;* &quot;-&quot;??_);_(@_)">
                  <c:v>-2466.5523836007478</c:v>
                </c:pt>
                <c:pt idx="1205" formatCode="_(&quot;$&quot;* #,##0.00_);_(&quot;$&quot;* \(#,##0.00\);_(&quot;$&quot;* &quot;-&quot;??_);_(@_)">
                  <c:v>-2651.9313187037274</c:v>
                </c:pt>
                <c:pt idx="1206" formatCode="_(&quot;$&quot;* #,##0.00_);_(&quot;$&quot;* \(#,##0.00\);_(&quot;$&quot;* &quot;-&quot;??_);_(@_)">
                  <c:v>-2622.5585306274511</c:v>
                </c:pt>
                <c:pt idx="1207" formatCode="_(&quot;$&quot;* #,##0.00_);_(&quot;$&quot;* \(#,##0.00\);_(&quot;$&quot;* &quot;-&quot;??_);_(@_)">
                  <c:v>-2712.9062128190908</c:v>
                </c:pt>
                <c:pt idx="1208" formatCode="_(&quot;$&quot;* #,##0.00_);_(&quot;$&quot;* \(#,##0.00\);_(&quot;$&quot;* &quot;-&quot;??_);_(@_)">
                  <c:v>-2451.9628250962951</c:v>
                </c:pt>
                <c:pt idx="1209" formatCode="_(&quot;$&quot;* #,##0.00_);_(&quot;$&quot;* \(#,##0.00\);_(&quot;$&quot;* &quot;-&quot;??_);_(@_)">
                  <c:v>-2126.3688484081904</c:v>
                </c:pt>
                <c:pt idx="1210" formatCode="_(&quot;$&quot;* #,##0.00_);_(&quot;$&quot;* \(#,##0.00\);_(&quot;$&quot;* &quot;-&quot;??_);_(@_)">
                  <c:v>-1749.1550000325972</c:v>
                </c:pt>
                <c:pt idx="1211" formatCode="_(&quot;$&quot;* #,##0.00_);_(&quot;$&quot;* \(#,##0.00\);_(&quot;$&quot;* &quot;-&quot;??_);_(@_)">
                  <c:v>-591.16750295546149</c:v>
                </c:pt>
                <c:pt idx="1212" formatCode="_(&quot;$&quot;* #,##0.00_);_(&quot;$&quot;* \(#,##0.00\);_(&quot;$&quot;* &quot;-&quot;??_);_(@_)">
                  <c:v>-923.44857753786482</c:v>
                </c:pt>
                <c:pt idx="1213" formatCode="_(&quot;$&quot;* #,##0.00_);_(&quot;$&quot;* \(#,##0.00\);_(&quot;$&quot;* &quot;-&quot;??_);_(@_)">
                  <c:v>131.14642508155748</c:v>
                </c:pt>
                <c:pt idx="1214" formatCode="_(&quot;$&quot;* #,##0.00_);_(&quot;$&quot;* \(#,##0.00\);_(&quot;$&quot;* &quot;-&quot;??_);_(@_)">
                  <c:v>436.13031247762251</c:v>
                </c:pt>
                <c:pt idx="1215" formatCode="_(&quot;$&quot;* #,##0.00_);_(&quot;$&quot;* \(#,##0.00\);_(&quot;$&quot;* &quot;-&quot;??_);_(@_)">
                  <c:v>295.54427521986258</c:v>
                </c:pt>
                <c:pt idx="1216" formatCode="_(&quot;$&quot;* #,##0.00_);_(&quot;$&quot;* \(#,##0.00\);_(&quot;$&quot;* &quot;-&quot;??_);_(@_)">
                  <c:v>660.55827630396914</c:v>
                </c:pt>
                <c:pt idx="1217" formatCode="_(&quot;$&quot;* #,##0.00_);_(&quot;$&quot;* \(#,##0.00\);_(&quot;$&quot;* &quot;-&quot;??_);_(@_)">
                  <c:v>-521.69097287858006</c:v>
                </c:pt>
                <c:pt idx="1218" formatCode="_(&quot;$&quot;* #,##0.00_);_(&quot;$&quot;* \(#,##0.00\);_(&quot;$&quot;* &quot;-&quot;??_);_(@_)">
                  <c:v>-259.05148056645839</c:v>
                </c:pt>
                <c:pt idx="1219" formatCode="_(&quot;$&quot;* #,##0.00_);_(&quot;$&quot;* \(#,##0.00\);_(&quot;$&quot;* &quot;-&quot;??_);_(@_)">
                  <c:v>-509.06574570735961</c:v>
                </c:pt>
                <c:pt idx="1220" formatCode="_(&quot;$&quot;* #,##0.00_);_(&quot;$&quot;* \(#,##0.00\);_(&quot;$&quot;* &quot;-&quot;??_);_(@_)">
                  <c:v>-193.13368621059169</c:v>
                </c:pt>
                <c:pt idx="1221" formatCode="_(&quot;$&quot;* #,##0.00_);_(&quot;$&quot;* \(#,##0.00\);_(&quot;$&quot;* &quot;-&quot;??_);_(@_)">
                  <c:v>-341.13650216433291</c:v>
                </c:pt>
                <c:pt idx="1222" formatCode="_(&quot;$&quot;* #,##0.00_);_(&quot;$&quot;* \(#,##0.00\);_(&quot;$&quot;* &quot;-&quot;??_);_(@_)">
                  <c:v>-1449.8371975060149</c:v>
                </c:pt>
                <c:pt idx="1223" formatCode="_(&quot;$&quot;* #,##0.00_);_(&quot;$&quot;* \(#,##0.00\);_(&quot;$&quot;* &quot;-&quot;??_);_(@_)">
                  <c:v>-690.19507271686302</c:v>
                </c:pt>
                <c:pt idx="1224" formatCode="_(&quot;$&quot;* #,##0.00_);_(&quot;$&quot;* \(#,##0.00\);_(&quot;$&quot;* &quot;-&quot;??_);_(@_)">
                  <c:v>-183.55634050108927</c:v>
                </c:pt>
                <c:pt idx="1225" formatCode="_(&quot;$&quot;* #,##0.00_);_(&quot;$&quot;* \(#,##0.00\);_(&quot;$&quot;* &quot;-&quot;??_);_(@_)">
                  <c:v>-140.46588385660482</c:v>
                </c:pt>
                <c:pt idx="1226" formatCode="_(&quot;$&quot;* #,##0.00_);_(&quot;$&quot;* \(#,##0.00\);_(&quot;$&quot;* &quot;-&quot;??_);_(@_)">
                  <c:v>-485.11209346228623</c:v>
                </c:pt>
                <c:pt idx="1227" formatCode="_(&quot;$&quot;* #,##0.00_);_(&quot;$&quot;* \(#,##0.00\);_(&quot;$&quot;* &quot;-&quot;??_);_(@_)">
                  <c:v>-1395.214104578389</c:v>
                </c:pt>
                <c:pt idx="1228" formatCode="_(&quot;$&quot;* #,##0.00_);_(&quot;$&quot;* \(#,##0.00\);_(&quot;$&quot;* &quot;-&quot;??_);_(@_)">
                  <c:v>-959.17068004181203</c:v>
                </c:pt>
                <c:pt idx="1229" formatCode="_(&quot;$&quot;* #,##0.00_);_(&quot;$&quot;* \(#,##0.00\);_(&quot;$&quot;* &quot;-&quot;??_);_(@_)">
                  <c:v>-124.88870605037062</c:v>
                </c:pt>
                <c:pt idx="1230" formatCode="_(&quot;$&quot;* #,##0.00_);_(&quot;$&quot;* \(#,##0.00\);_(&quot;$&quot;* &quot;-&quot;??_);_(@_)">
                  <c:v>-955.75165424477927</c:v>
                </c:pt>
                <c:pt idx="1231" formatCode="_(&quot;$&quot;* #,##0.00_);_(&quot;$&quot;* \(#,##0.00\);_(&quot;$&quot;* &quot;-&quot;??_);_(@_)">
                  <c:v>-1305.359269650907</c:v>
                </c:pt>
                <c:pt idx="1232" formatCode="_(&quot;$&quot;* #,##0.00_);_(&quot;$&quot;* \(#,##0.00\);_(&quot;$&quot;* &quot;-&quot;??_);_(@_)">
                  <c:v>-2174.6397787087608</c:v>
                </c:pt>
                <c:pt idx="1233" formatCode="_(&quot;$&quot;* #,##0.00_);_(&quot;$&quot;* \(#,##0.00\);_(&quot;$&quot;* &quot;-&quot;??_);_(@_)">
                  <c:v>-1940.7440179169007</c:v>
                </c:pt>
                <c:pt idx="1234" formatCode="_(&quot;$&quot;* #,##0.00_);_(&quot;$&quot;* \(#,##0.00\);_(&quot;$&quot;* &quot;-&quot;??_);_(@_)">
                  <c:v>-1884.4339972698349</c:v>
                </c:pt>
                <c:pt idx="1235" formatCode="_(&quot;$&quot;* #,##0.00_);_(&quot;$&quot;* \(#,##0.00\);_(&quot;$&quot;* &quot;-&quot;??_);_(@_)">
                  <c:v>-2617.3831250315861</c:v>
                </c:pt>
                <c:pt idx="1236" formatCode="_(&quot;$&quot;* #,##0.00_);_(&quot;$&quot;* \(#,##0.00\);_(&quot;$&quot;* &quot;-&quot;??_);_(@_)">
                  <c:v>-3336.5373889342777</c:v>
                </c:pt>
                <c:pt idx="1237" formatCode="_(&quot;$&quot;* #,##0.00_);_(&quot;$&quot;* \(#,##0.00\);_(&quot;$&quot;* &quot;-&quot;??_);_(@_)">
                  <c:v>-2715.2941687490083</c:v>
                </c:pt>
                <c:pt idx="1238" formatCode="_(&quot;$&quot;* #,##0.00_);_(&quot;$&quot;* \(#,##0.00\);_(&quot;$&quot;* &quot;-&quot;??_);_(@_)">
                  <c:v>-4238.5112615609933</c:v>
                </c:pt>
                <c:pt idx="1239" formatCode="_(&quot;$&quot;* #,##0.00_);_(&quot;$&quot;* \(#,##0.00\);_(&quot;$&quot;* &quot;-&quot;??_);_(@_)">
                  <c:v>-4034.6219337824355</c:v>
                </c:pt>
                <c:pt idx="1240" formatCode="_(&quot;$&quot;* #,##0.00_);_(&quot;$&quot;* \(#,##0.00\);_(&quot;$&quot;* &quot;-&quot;??_);_(@_)">
                  <c:v>-4318.4135197144451</c:v>
                </c:pt>
                <c:pt idx="1241" formatCode="_(&quot;$&quot;* #,##0.00_);_(&quot;$&quot;* \(#,##0.00\);_(&quot;$&quot;* &quot;-&quot;??_);_(@_)">
                  <c:v>-4992.483892790493</c:v>
                </c:pt>
                <c:pt idx="1242" formatCode="_(&quot;$&quot;* #,##0.00_);_(&quot;$&quot;* \(#,##0.00\);_(&quot;$&quot;* &quot;-&quot;??_);_(@_)">
                  <c:v>-5080.5497413252224</c:v>
                </c:pt>
                <c:pt idx="1243" formatCode="_(&quot;$&quot;* #,##0.00_);_(&quot;$&quot;* \(#,##0.00\);_(&quot;$&quot;* &quot;-&quot;??_);_(@_)">
                  <c:v>-5948.7673561598212</c:v>
                </c:pt>
                <c:pt idx="1244" formatCode="_(&quot;$&quot;* #,##0.00_);_(&quot;$&quot;* \(#,##0.00\);_(&quot;$&quot;* &quot;-&quot;??_);_(@_)">
                  <c:v>-5271.7728951416011</c:v>
                </c:pt>
                <c:pt idx="1245" formatCode="_(&quot;$&quot;* #,##0.00_);_(&quot;$&quot;* \(#,##0.00\);_(&quot;$&quot;* &quot;-&quot;??_);_(@_)">
                  <c:v>-4539.5746294013579</c:v>
                </c:pt>
                <c:pt idx="1246" formatCode="_(&quot;$&quot;* #,##0.00_);_(&quot;$&quot;* \(#,##0.00\);_(&quot;$&quot;* &quot;-&quot;??_);_(@_)">
                  <c:v>-3612.5930339254151</c:v>
                </c:pt>
                <c:pt idx="1247" formatCode="_(&quot;$&quot;* #,##0.00_);_(&quot;$&quot;* \(#,##0.00\);_(&quot;$&quot;* &quot;-&quot;??_);_(@_)">
                  <c:v>-2974.2036744129373</c:v>
                </c:pt>
                <c:pt idx="1248" formatCode="_(&quot;$&quot;* #,##0.00_);_(&quot;$&quot;* \(#,##0.00\);_(&quot;$&quot;* &quot;-&quot;??_);_(@_)">
                  <c:v>-4813.0261888431414</c:v>
                </c:pt>
                <c:pt idx="1249" formatCode="_(&quot;$&quot;* #,##0.00_);_(&quot;$&quot;* \(#,##0.00\);_(&quot;$&quot;* &quot;-&quot;??_);_(@_)">
                  <c:v>-5704.7929333574002</c:v>
                </c:pt>
                <c:pt idx="1250" formatCode="_(&quot;$&quot;* #,##0.00_);_(&quot;$&quot;* \(#,##0.00\);_(&quot;$&quot;* &quot;-&quot;??_);_(@_)">
                  <c:v>-5257.1847694766102</c:v>
                </c:pt>
                <c:pt idx="1251" formatCode="_(&quot;$&quot;* #,##0.00_);_(&quot;$&quot;* \(#,##0.00\);_(&quot;$&quot;* &quot;-&quot;??_);_(@_)">
                  <c:v>-4891.3486047683809</c:v>
                </c:pt>
                <c:pt idx="1252" formatCode="_(&quot;$&quot;* #,##0.00_);_(&quot;$&quot;* \(#,##0.00\);_(&quot;$&quot;* &quot;-&quot;??_);_(@_)">
                  <c:v>-4863.9683737773003</c:v>
                </c:pt>
                <c:pt idx="1253" formatCode="_(&quot;$&quot;* #,##0.00_);_(&quot;$&quot;* \(#,##0.00\);_(&quot;$&quot;* &quot;-&quot;??_);_(@_)">
                  <c:v>-4500.3826209764011</c:v>
                </c:pt>
                <c:pt idx="1254" formatCode="_(&quot;$&quot;* #,##0.00_);_(&quot;$&quot;* \(#,##0.00\);_(&quot;$&quot;* &quot;-&quot;??_);_(@_)">
                  <c:v>-4579.671946097249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4-4E17-8396-4845B188F6A2}"/>
            </c:ext>
          </c:extLst>
        </c:ser>
        <c:ser>
          <c:idx val="1"/>
          <c:order val="1"/>
          <c:tx>
            <c:strRef>
              <c:f>'SPY vs RSP'!$Z$2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RSP'!$Z$3:$Z$1257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_(&quot;$&quot;* #,##0.00_);_(&quot;$&quot;* \(#,##0.00\);_(&quot;$&quot;* &quot;-&quot;??_);_(@_)">
                  <c:v>0</c:v>
                </c:pt>
                <c:pt idx="20" formatCode="_(&quot;$&quot;* #,##0.00_);_(&quot;$&quot;* \(#,##0.00\);_(&quot;$&quot;* &quot;-&quot;??_);_(@_)">
                  <c:v>477.48039628768811</c:v>
                </c:pt>
                <c:pt idx="21" formatCode="_(&quot;$&quot;* #,##0.00_);_(&quot;$&quot;* \(#,##0.00\);_(&quot;$&quot;* &quot;-&quot;??_);_(@_)">
                  <c:v>419.93318032582374</c:v>
                </c:pt>
                <c:pt idx="22" formatCode="_(&quot;$&quot;* #,##0.00_);_(&quot;$&quot;* \(#,##0.00\);_(&quot;$&quot;* &quot;-&quot;??_);_(@_)">
                  <c:v>274.92264962478322</c:v>
                </c:pt>
                <c:pt idx="23" formatCode="_(&quot;$&quot;* #,##0.00_);_(&quot;$&quot;* \(#,##0.00\);_(&quot;$&quot;* &quot;-&quot;??_);_(@_)">
                  <c:v>144.40599439674764</c:v>
                </c:pt>
                <c:pt idx="24" formatCode="_(&quot;$&quot;* #,##0.00_);_(&quot;$&quot;* \(#,##0.00\);_(&quot;$&quot;* &quot;-&quot;??_);_(@_)">
                  <c:v>121.13006935604639</c:v>
                </c:pt>
                <c:pt idx="25" formatCode="_(&quot;$&quot;* #,##0.00_);_(&quot;$&quot;* \(#,##0.00\);_(&quot;$&quot;* &quot;-&quot;??_);_(@_)">
                  <c:v>293.72383324364682</c:v>
                </c:pt>
                <c:pt idx="26" formatCode="_(&quot;$&quot;* #,##0.00_);_(&quot;$&quot;* \(#,##0.00\);_(&quot;$&quot;* &quot;-&quot;??_);_(@_)">
                  <c:v>242.07164977202103</c:v>
                </c:pt>
                <c:pt idx="27" formatCode="_(&quot;$&quot;* #,##0.00_);_(&quot;$&quot;* \(#,##0.00\);_(&quot;$&quot;* &quot;-&quot;??_);_(@_)">
                  <c:v>271.0066441914671</c:v>
                </c:pt>
                <c:pt idx="28" formatCode="_(&quot;$&quot;* #,##0.00_);_(&quot;$&quot;* \(#,##0.00\);_(&quot;$&quot;* &quot;-&quot;??_);_(@_)">
                  <c:v>-132.08212888723324</c:v>
                </c:pt>
                <c:pt idx="29" formatCode="_(&quot;$&quot;* #,##0.00_);_(&quot;$&quot;* \(#,##0.00\);_(&quot;$&quot;* &quot;-&quot;??_);_(@_)">
                  <c:v>-333.45276184215891</c:v>
                </c:pt>
                <c:pt idx="30" formatCode="_(&quot;$&quot;* #,##0.00_);_(&quot;$&quot;* \(#,##0.00\);_(&quot;$&quot;* &quot;-&quot;??_);_(@_)">
                  <c:v>-68.345584032151919</c:v>
                </c:pt>
                <c:pt idx="31" formatCode="_(&quot;$&quot;* #,##0.00_);_(&quot;$&quot;* \(#,##0.00\);_(&quot;$&quot;* &quot;-&quot;??_);_(@_)">
                  <c:v>-215.55403733070011</c:v>
                </c:pt>
                <c:pt idx="32" formatCode="_(&quot;$&quot;* #,##0.00_);_(&quot;$&quot;* \(#,##0.00\);_(&quot;$&quot;* &quot;-&quot;??_);_(@_)">
                  <c:v>-467.64342036670769</c:v>
                </c:pt>
                <c:pt idx="33" formatCode="_(&quot;$&quot;* #,##0.00_);_(&quot;$&quot;* \(#,##0.00\);_(&quot;$&quot;* &quot;-&quot;??_);_(@_)">
                  <c:v>-463.02506426198693</c:v>
                </c:pt>
                <c:pt idx="34" formatCode="_(&quot;$&quot;* #,##0.00_);_(&quot;$&quot;* \(#,##0.00\);_(&quot;$&quot;* &quot;-&quot;??_);_(@_)">
                  <c:v>154.66844365072166</c:v>
                </c:pt>
                <c:pt idx="35" formatCode="_(&quot;$&quot;* #,##0.00_);_(&quot;$&quot;* \(#,##0.00\);_(&quot;$&quot;* &quot;-&quot;??_);_(@_)">
                  <c:v>672.86349565386627</c:v>
                </c:pt>
                <c:pt idx="36" formatCode="_(&quot;$&quot;* #,##0.00_);_(&quot;$&quot;* \(#,##0.00\);_(&quot;$&quot;* &quot;-&quot;??_);_(@_)">
                  <c:v>721.65740586517666</c:v>
                </c:pt>
                <c:pt idx="37" formatCode="_(&quot;$&quot;* #,##0.00_);_(&quot;$&quot;* \(#,##0.00\);_(&quot;$&quot;* &quot;-&quot;??_);_(@_)">
                  <c:v>296.15395309923349</c:v>
                </c:pt>
                <c:pt idx="38" formatCode="_(&quot;$&quot;* #,##0.00_);_(&quot;$&quot;* \(#,##0.00\);_(&quot;$&quot;* &quot;-&quot;??_);_(@_)">
                  <c:v>456.01520295114153</c:v>
                </c:pt>
                <c:pt idx="39" formatCode="_(&quot;$&quot;* #,##0.00_);_(&quot;$&quot;* \(#,##0.00\);_(&quot;$&quot;* &quot;-&quot;??_);_(@_)">
                  <c:v>1113.3801676620849</c:v>
                </c:pt>
                <c:pt idx="40" formatCode="_(&quot;$&quot;* #,##0.00_);_(&quot;$&quot;* \(#,##0.00\);_(&quot;$&quot;* &quot;-&quot;??_);_(@_)">
                  <c:v>788.68061729251201</c:v>
                </c:pt>
                <c:pt idx="41" formatCode="_(&quot;$&quot;* #,##0.00_);_(&quot;$&quot;* \(#,##0.00\);_(&quot;$&quot;* &quot;-&quot;??_);_(@_)">
                  <c:v>511.26647441479736</c:v>
                </c:pt>
                <c:pt idx="42" formatCode="_(&quot;$&quot;* #,##0.00_);_(&quot;$&quot;* \(#,##0.00\);_(&quot;$&quot;* &quot;-&quot;??_);_(@_)">
                  <c:v>494.43599203007363</c:v>
                </c:pt>
                <c:pt idx="43" formatCode="_(&quot;$&quot;* #,##0.00_);_(&quot;$&quot;* \(#,##0.00\);_(&quot;$&quot;* &quot;-&quot;??_);_(@_)">
                  <c:v>442.22076640088989</c:v>
                </c:pt>
                <c:pt idx="44" formatCode="_(&quot;$&quot;* #,##0.00_);_(&quot;$&quot;* \(#,##0.00\);_(&quot;$&quot;* &quot;-&quot;??_);_(@_)">
                  <c:v>617.53546051781291</c:v>
                </c:pt>
                <c:pt idx="45" formatCode="_(&quot;$&quot;* #,##0.00_);_(&quot;$&quot;* \(#,##0.00\);_(&quot;$&quot;* &quot;-&quot;??_);_(@_)">
                  <c:v>889.9587434746777</c:v>
                </c:pt>
                <c:pt idx="46" formatCode="_(&quot;$&quot;* #,##0.00_);_(&quot;$&quot;* \(#,##0.00\);_(&quot;$&quot;* &quot;-&quot;??_);_(@_)">
                  <c:v>694.34644440758893</c:v>
                </c:pt>
                <c:pt idx="47" formatCode="_(&quot;$&quot;* #,##0.00_);_(&quot;$&quot;* \(#,##0.00\);_(&quot;$&quot;* &quot;-&quot;??_);_(@_)">
                  <c:v>729.75353169066329</c:v>
                </c:pt>
                <c:pt idx="48" formatCode="_(&quot;$&quot;* #,##0.00_);_(&quot;$&quot;* \(#,##0.00\);_(&quot;$&quot;* &quot;-&quot;??_);_(@_)">
                  <c:v>309.73247951133277</c:v>
                </c:pt>
                <c:pt idx="49" formatCode="_(&quot;$&quot;* #,##0.00_);_(&quot;$&quot;* \(#,##0.00\);_(&quot;$&quot;* &quot;-&quot;??_);_(@_)">
                  <c:v>52.217706700041333</c:v>
                </c:pt>
                <c:pt idx="50" formatCode="_(&quot;$&quot;* #,##0.00_);_(&quot;$&quot;* \(#,##0.00\);_(&quot;$&quot;* &quot;-&quot;??_);_(@_)">
                  <c:v>239.4697112937435</c:v>
                </c:pt>
                <c:pt idx="51" formatCode="_(&quot;$&quot;* #,##0.00_);_(&quot;$&quot;* \(#,##0.00\);_(&quot;$&quot;* &quot;-&quot;??_);_(@_)">
                  <c:v>-133.6967184968961</c:v>
                </c:pt>
                <c:pt idx="52" formatCode="_(&quot;$&quot;* #,##0.00_);_(&quot;$&quot;* \(#,##0.00\);_(&quot;$&quot;* &quot;-&quot;??_);_(@_)">
                  <c:v>6.7764505232355532</c:v>
                </c:pt>
                <c:pt idx="53" formatCode="_(&quot;$&quot;* #,##0.00_);_(&quot;$&quot;* \(#,##0.00\);_(&quot;$&quot;* &quot;-&quot;??_);_(@_)">
                  <c:v>-381.54336599629056</c:v>
                </c:pt>
                <c:pt idx="54" formatCode="_(&quot;$&quot;* #,##0.00_);_(&quot;$&quot;* \(#,##0.00\);_(&quot;$&quot;* &quot;-&quot;??_);_(@_)">
                  <c:v>-690.7101371404874</c:v>
                </c:pt>
                <c:pt idx="55" formatCode="_(&quot;$&quot;* #,##0.00_);_(&quot;$&quot;* \(#,##0.00\);_(&quot;$&quot;* &quot;-&quot;??_);_(@_)">
                  <c:v>-405.58094741531715</c:v>
                </c:pt>
                <c:pt idx="56" formatCode="_(&quot;$&quot;* #,##0.00_);_(&quot;$&quot;* \(#,##0.00\);_(&quot;$&quot;* &quot;-&quot;??_);_(@_)">
                  <c:v>482.1242737748986</c:v>
                </c:pt>
                <c:pt idx="57" formatCode="_(&quot;$&quot;* #,##0.00_);_(&quot;$&quot;* \(#,##0.00\);_(&quot;$&quot;* &quot;-&quot;??_);_(@_)">
                  <c:v>430.71036379291627</c:v>
                </c:pt>
                <c:pt idx="58" formatCode="_(&quot;$&quot;* #,##0.00_);_(&quot;$&quot;* \(#,##0.00\);_(&quot;$&quot;* &quot;-&quot;??_);_(@_)">
                  <c:v>810.79569430728941</c:v>
                </c:pt>
                <c:pt idx="59" formatCode="_(&quot;$&quot;* #,##0.00_);_(&quot;$&quot;* \(#,##0.00\);_(&quot;$&quot;* &quot;-&quot;??_);_(@_)">
                  <c:v>184.13374989442934</c:v>
                </c:pt>
                <c:pt idx="60" formatCode="_(&quot;$&quot;* #,##0.00_);_(&quot;$&quot;* \(#,##0.00\);_(&quot;$&quot;* &quot;-&quot;??_);_(@_)">
                  <c:v>311.75166298135105</c:v>
                </c:pt>
                <c:pt idx="61" formatCode="_(&quot;$&quot;* #,##0.00_);_(&quot;$&quot;* \(#,##0.00\);_(&quot;$&quot;* &quot;-&quot;??_);_(@_)">
                  <c:v>332.78389378348572</c:v>
                </c:pt>
                <c:pt idx="62" formatCode="_(&quot;$&quot;* #,##0.00_);_(&quot;$&quot;* \(#,##0.00\);_(&quot;$&quot;* &quot;-&quot;??_);_(@_)">
                  <c:v>1009.7710609147267</c:v>
                </c:pt>
                <c:pt idx="63" formatCode="_(&quot;$&quot;* #,##0.00_);_(&quot;$&quot;* \(#,##0.00\);_(&quot;$&quot;* &quot;-&quot;??_);_(@_)">
                  <c:v>594.56645005475343</c:v>
                </c:pt>
                <c:pt idx="64" formatCode="_(&quot;$&quot;* #,##0.00_);_(&quot;$&quot;* \(#,##0.00\);_(&quot;$&quot;* &quot;-&quot;??_);_(@_)">
                  <c:v>531.13955437079278</c:v>
                </c:pt>
                <c:pt idx="65" formatCode="_(&quot;$&quot;* #,##0.00_);_(&quot;$&quot;* \(#,##0.00\);_(&quot;$&quot;* &quot;-&quot;??_);_(@_)">
                  <c:v>212.9814159050639</c:v>
                </c:pt>
                <c:pt idx="66" formatCode="_(&quot;$&quot;* #,##0.00_);_(&quot;$&quot;* \(#,##0.00\);_(&quot;$&quot;* &quot;-&quot;??_);_(@_)">
                  <c:v>46.228252144507735</c:v>
                </c:pt>
                <c:pt idx="67" formatCode="_(&quot;$&quot;* #,##0.00_);_(&quot;$&quot;* \(#,##0.00\);_(&quot;$&quot;* &quot;-&quot;??_);_(@_)">
                  <c:v>-164.43860195865574</c:v>
                </c:pt>
                <c:pt idx="68" formatCode="_(&quot;$&quot;* #,##0.00_);_(&quot;$&quot;* \(#,##0.00\);_(&quot;$&quot;* &quot;-&quot;??_);_(@_)">
                  <c:v>-434.25948163031563</c:v>
                </c:pt>
                <c:pt idx="69" formatCode="_(&quot;$&quot;* #,##0.00_);_(&quot;$&quot;* \(#,##0.00\);_(&quot;$&quot;* &quot;-&quot;??_);_(@_)">
                  <c:v>-573.23177001590716</c:v>
                </c:pt>
                <c:pt idx="70" formatCode="_(&quot;$&quot;* #,##0.00_);_(&quot;$&quot;* \(#,##0.00\);_(&quot;$&quot;* &quot;-&quot;??_);_(@_)">
                  <c:v>-839.3272898576472</c:v>
                </c:pt>
                <c:pt idx="71" formatCode="_(&quot;$&quot;* #,##0.00_);_(&quot;$&quot;* \(#,##0.00\);_(&quot;$&quot;* &quot;-&quot;??_);_(@_)">
                  <c:v>-551.84680015276808</c:v>
                </c:pt>
                <c:pt idx="72" formatCode="_(&quot;$&quot;* #,##0.00_);_(&quot;$&quot;* \(#,##0.00\);_(&quot;$&quot;* &quot;-&quot;??_);_(@_)">
                  <c:v>153.61859998530826</c:v>
                </c:pt>
                <c:pt idx="73" formatCode="_(&quot;$&quot;* #,##0.00_);_(&quot;$&quot;* \(#,##0.00\);_(&quot;$&quot;* &quot;-&quot;??_);_(@_)">
                  <c:v>622.00137739197748</c:v>
                </c:pt>
                <c:pt idx="74" formatCode="_(&quot;$&quot;* #,##0.00_);_(&quot;$&quot;* \(#,##0.00\);_(&quot;$&quot;* &quot;-&quot;??_);_(@_)">
                  <c:v>183.89291061879055</c:v>
                </c:pt>
                <c:pt idx="75" formatCode="_(&quot;$&quot;* #,##0.00_);_(&quot;$&quot;* \(#,##0.00\);_(&quot;$&quot;* &quot;-&quot;??_);_(@_)">
                  <c:v>-96.264596874440713</c:v>
                </c:pt>
                <c:pt idx="76" formatCode="_(&quot;$&quot;* #,##0.00_);_(&quot;$&quot;* \(#,##0.00\);_(&quot;$&quot;* &quot;-&quot;??_);_(@_)">
                  <c:v>120.89541825576566</c:v>
                </c:pt>
                <c:pt idx="77" formatCode="_(&quot;$&quot;* #,##0.00_);_(&quot;$&quot;* \(#,##0.00\);_(&quot;$&quot;* &quot;-&quot;??_);_(@_)">
                  <c:v>492.67007830676062</c:v>
                </c:pt>
                <c:pt idx="78" formatCode="_(&quot;$&quot;* #,##0.00_);_(&quot;$&quot;* \(#,##0.00\);_(&quot;$&quot;* &quot;-&quot;??_);_(@_)">
                  <c:v>882.05507004073229</c:v>
                </c:pt>
                <c:pt idx="79" formatCode="_(&quot;$&quot;* #,##0.00_);_(&quot;$&quot;* \(#,##0.00\);_(&quot;$&quot;* &quot;-&quot;??_);_(@_)">
                  <c:v>1585.7216568437611</c:v>
                </c:pt>
                <c:pt idx="80" formatCode="_(&quot;$&quot;* #,##0.00_);_(&quot;$&quot;* \(#,##0.00\);_(&quot;$&quot;* &quot;-&quot;??_);_(@_)">
                  <c:v>1718.5713307852197</c:v>
                </c:pt>
                <c:pt idx="81" formatCode="_(&quot;$&quot;* #,##0.00_);_(&quot;$&quot;* \(#,##0.00\);_(&quot;$&quot;* &quot;-&quot;??_);_(@_)">
                  <c:v>830.63534076944097</c:v>
                </c:pt>
                <c:pt idx="82" formatCode="_(&quot;$&quot;* #,##0.00_);_(&quot;$&quot;* \(#,##0.00\);_(&quot;$&quot;* &quot;-&quot;??_);_(@_)">
                  <c:v>507.65138519231743</c:v>
                </c:pt>
                <c:pt idx="83" formatCode="_(&quot;$&quot;* #,##0.00_);_(&quot;$&quot;* \(#,##0.00\);_(&quot;$&quot;* &quot;-&quot;??_);_(@_)">
                  <c:v>209.78314498296311</c:v>
                </c:pt>
                <c:pt idx="84" formatCode="_(&quot;$&quot;* #,##0.00_);_(&quot;$&quot;* \(#,##0.00\);_(&quot;$&quot;* &quot;-&quot;??_);_(@_)">
                  <c:v>588.10882564970632</c:v>
                </c:pt>
                <c:pt idx="85" formatCode="_(&quot;$&quot;* #,##0.00_);_(&quot;$&quot;* \(#,##0.00\);_(&quot;$&quot;* &quot;-&quot;??_);_(@_)">
                  <c:v>595.75763886377376</c:v>
                </c:pt>
                <c:pt idx="86" formatCode="_(&quot;$&quot;* #,##0.00_);_(&quot;$&quot;* \(#,##0.00\);_(&quot;$&quot;* &quot;-&quot;??_);_(@_)">
                  <c:v>633.76862665247279</c:v>
                </c:pt>
                <c:pt idx="87" formatCode="_(&quot;$&quot;* #,##0.00_);_(&quot;$&quot;* \(#,##0.00\);_(&quot;$&quot;* &quot;-&quot;??_);_(@_)">
                  <c:v>926.13926689071411</c:v>
                </c:pt>
                <c:pt idx="88" formatCode="_(&quot;$&quot;* #,##0.00_);_(&quot;$&quot;* \(#,##0.00\);_(&quot;$&quot;* &quot;-&quot;??_);_(@_)">
                  <c:v>766.47999263955796</c:v>
                </c:pt>
                <c:pt idx="89" formatCode="_(&quot;$&quot;* #,##0.00_);_(&quot;$&quot;* \(#,##0.00\);_(&quot;$&quot;* &quot;-&quot;??_);_(@_)">
                  <c:v>677.54705268214127</c:v>
                </c:pt>
                <c:pt idx="90" formatCode="_(&quot;$&quot;* #,##0.00_);_(&quot;$&quot;* \(#,##0.00\);_(&quot;$&quot;* &quot;-&quot;??_);_(@_)">
                  <c:v>1148.8842029707948</c:v>
                </c:pt>
                <c:pt idx="91" formatCode="_(&quot;$&quot;* #,##0.00_);_(&quot;$&quot;* \(#,##0.00\);_(&quot;$&quot;* &quot;-&quot;??_);_(@_)">
                  <c:v>442.74508675933066</c:v>
                </c:pt>
                <c:pt idx="92" formatCode="_(&quot;$&quot;* #,##0.00_);_(&quot;$&quot;* \(#,##0.00\);_(&quot;$&quot;* &quot;-&quot;??_);_(@_)">
                  <c:v>526.93998466397079</c:v>
                </c:pt>
                <c:pt idx="93" formatCode="_(&quot;$&quot;* #,##0.00_);_(&quot;$&quot;* \(#,##0.00\);_(&quot;$&quot;* &quot;-&quot;??_);_(@_)">
                  <c:v>277.84768368195114</c:v>
                </c:pt>
                <c:pt idx="94" formatCode="_(&quot;$&quot;* #,##0.00_);_(&quot;$&quot;* \(#,##0.00\);_(&quot;$&quot;* &quot;-&quot;??_);_(@_)">
                  <c:v>529.05971349016431</c:v>
                </c:pt>
                <c:pt idx="95" formatCode="_(&quot;$&quot;* #,##0.00_);_(&quot;$&quot;* \(#,##0.00\);_(&quot;$&quot;* &quot;-&quot;??_);_(@_)">
                  <c:v>231.54312080399188</c:v>
                </c:pt>
                <c:pt idx="96" formatCode="_(&quot;$&quot;* #,##0.00_);_(&quot;$&quot;* \(#,##0.00\);_(&quot;$&quot;* &quot;-&quot;??_);_(@_)">
                  <c:v>287.94119287331193</c:v>
                </c:pt>
                <c:pt idx="97" formatCode="_(&quot;$&quot;* #,##0.00_);_(&quot;$&quot;* \(#,##0.00\);_(&quot;$&quot;* &quot;-&quot;??_);_(@_)">
                  <c:v>152.13742014638717</c:v>
                </c:pt>
                <c:pt idx="98" formatCode="_(&quot;$&quot;* #,##0.00_);_(&quot;$&quot;* \(#,##0.00\);_(&quot;$&quot;* &quot;-&quot;??_);_(@_)">
                  <c:v>387.90860520302658</c:v>
                </c:pt>
                <c:pt idx="99" formatCode="_(&quot;$&quot;* #,##0.00_);_(&quot;$&quot;* \(#,##0.00\);_(&quot;$&quot;* &quot;-&quot;??_);_(@_)">
                  <c:v>555.32123632690548</c:v>
                </c:pt>
                <c:pt idx="100" formatCode="_(&quot;$&quot;* #,##0.00_);_(&quot;$&quot;* \(#,##0.00\);_(&quot;$&quot;* &quot;-&quot;??_);_(@_)">
                  <c:v>672.27318880411883</c:v>
                </c:pt>
                <c:pt idx="101" formatCode="_(&quot;$&quot;* #,##0.00_);_(&quot;$&quot;* \(#,##0.00\);_(&quot;$&quot;* &quot;-&quot;??_);_(@_)">
                  <c:v>924.28931783638643</c:v>
                </c:pt>
                <c:pt idx="102" formatCode="_(&quot;$&quot;* #,##0.00_);_(&quot;$&quot;* \(#,##0.00\);_(&quot;$&quot;* &quot;-&quot;??_);_(@_)">
                  <c:v>431.31469722316507</c:v>
                </c:pt>
                <c:pt idx="103" formatCode="_(&quot;$&quot;* #,##0.00_);_(&quot;$&quot;* \(#,##0.00\);_(&quot;$&quot;* &quot;-&quot;??_);_(@_)">
                  <c:v>1269.0315299178951</c:v>
                </c:pt>
                <c:pt idx="104" formatCode="_(&quot;$&quot;* #,##0.00_);_(&quot;$&quot;* \(#,##0.00\);_(&quot;$&quot;* &quot;-&quot;??_);_(@_)">
                  <c:v>1648.4454104752645</c:v>
                </c:pt>
                <c:pt idx="105" formatCode="_(&quot;$&quot;* #,##0.00_);_(&quot;$&quot;* \(#,##0.00\);_(&quot;$&quot;* &quot;-&quot;??_);_(@_)">
                  <c:v>1965.0620488774732</c:v>
                </c:pt>
                <c:pt idx="106" formatCode="_(&quot;$&quot;* #,##0.00_);_(&quot;$&quot;* \(#,##0.00\);_(&quot;$&quot;* &quot;-&quot;??_);_(@_)">
                  <c:v>2199.947768468146</c:v>
                </c:pt>
                <c:pt idx="107" formatCode="_(&quot;$&quot;* #,##0.00_);_(&quot;$&quot;* \(#,##0.00\);_(&quot;$&quot;* &quot;-&quot;??_);_(@_)">
                  <c:v>1823.6763685787789</c:v>
                </c:pt>
                <c:pt idx="108" formatCode="_(&quot;$&quot;* #,##0.00_);_(&quot;$&quot;* \(#,##0.00\);_(&quot;$&quot;* &quot;-&quot;??_);_(@_)">
                  <c:v>1857.1813813369567</c:v>
                </c:pt>
                <c:pt idx="109" formatCode="_(&quot;$&quot;* #,##0.00_);_(&quot;$&quot;* \(#,##0.00\);_(&quot;$&quot;* &quot;-&quot;??_);_(@_)">
                  <c:v>1666.8346560577811</c:v>
                </c:pt>
                <c:pt idx="110" formatCode="_(&quot;$&quot;* #,##0.00_);_(&quot;$&quot;* \(#,##0.00\);_(&quot;$&quot;* &quot;-&quot;??_);_(@_)">
                  <c:v>2583.4692219138396</c:v>
                </c:pt>
                <c:pt idx="111" formatCode="_(&quot;$&quot;* #,##0.00_);_(&quot;$&quot;* \(#,##0.00\);_(&quot;$&quot;* &quot;-&quot;??_);_(@_)">
                  <c:v>2369.5786626600079</c:v>
                </c:pt>
                <c:pt idx="112" formatCode="_(&quot;$&quot;* #,##0.00_);_(&quot;$&quot;* \(#,##0.00\);_(&quot;$&quot;* &quot;-&quot;??_);_(@_)">
                  <c:v>2549.9941355239284</c:v>
                </c:pt>
                <c:pt idx="113" formatCode="_(&quot;$&quot;* #,##0.00_);_(&quot;$&quot;* \(#,##0.00\);_(&quot;$&quot;* &quot;-&quot;??_);_(@_)">
                  <c:v>2550.6814536513057</c:v>
                </c:pt>
                <c:pt idx="114" formatCode="_(&quot;$&quot;* #,##0.00_);_(&quot;$&quot;* \(#,##0.00\);_(&quot;$&quot;* &quot;-&quot;??_);_(@_)">
                  <c:v>2386.5172939931499</c:v>
                </c:pt>
                <c:pt idx="115" formatCode="_(&quot;$&quot;* #,##0.00_);_(&quot;$&quot;* \(#,##0.00\);_(&quot;$&quot;* &quot;-&quot;??_);_(@_)">
                  <c:v>2888.4613319788896</c:v>
                </c:pt>
                <c:pt idx="116" formatCode="_(&quot;$&quot;* #,##0.00_);_(&quot;$&quot;* \(#,##0.00\);_(&quot;$&quot;* &quot;-&quot;??_);_(@_)">
                  <c:v>3214.9765153086769</c:v>
                </c:pt>
                <c:pt idx="117" formatCode="_(&quot;$&quot;* #,##0.00_);_(&quot;$&quot;* \(#,##0.00\);_(&quot;$&quot;* &quot;-&quot;??_);_(@_)">
                  <c:v>3489.298260371746</c:v>
                </c:pt>
                <c:pt idx="118" formatCode="_(&quot;$&quot;* #,##0.00_);_(&quot;$&quot;* \(#,##0.00\);_(&quot;$&quot;* &quot;-&quot;??_);_(@_)">
                  <c:v>2935.0994445191172</c:v>
                </c:pt>
                <c:pt idx="119" formatCode="_(&quot;$&quot;* #,##0.00_);_(&quot;$&quot;* \(#,##0.00\);_(&quot;$&quot;* &quot;-&quot;??_);_(@_)">
                  <c:v>2868.0214209900541</c:v>
                </c:pt>
                <c:pt idx="120" formatCode="_(&quot;$&quot;* #,##0.00_);_(&quot;$&quot;* \(#,##0.00\);_(&quot;$&quot;* &quot;-&quot;??_);_(@_)">
                  <c:v>2096.4961880035044</c:v>
                </c:pt>
                <c:pt idx="121" formatCode="_(&quot;$&quot;* #,##0.00_);_(&quot;$&quot;* \(#,##0.00\);_(&quot;$&quot;* &quot;-&quot;??_);_(@_)">
                  <c:v>2357.9389399372685</c:v>
                </c:pt>
                <c:pt idx="122" formatCode="_(&quot;$&quot;* #,##0.00_);_(&quot;$&quot;* \(#,##0.00\);_(&quot;$&quot;* &quot;-&quot;??_);_(@_)">
                  <c:v>2256.1945269751632</c:v>
                </c:pt>
                <c:pt idx="123" formatCode="_(&quot;$&quot;* #,##0.00_);_(&quot;$&quot;* \(#,##0.00\);_(&quot;$&quot;* &quot;-&quot;??_);_(@_)">
                  <c:v>2577.301337733652</c:v>
                </c:pt>
                <c:pt idx="124" formatCode="_(&quot;$&quot;* #,##0.00_);_(&quot;$&quot;* \(#,##0.00\);_(&quot;$&quot;* &quot;-&quot;??_);_(@_)">
                  <c:v>1493.6690490876188</c:v>
                </c:pt>
                <c:pt idx="125" formatCode="_(&quot;$&quot;* #,##0.00_);_(&quot;$&quot;* \(#,##0.00\);_(&quot;$&quot;* &quot;-&quot;??_);_(@_)">
                  <c:v>933.63117490864818</c:v>
                </c:pt>
                <c:pt idx="126" formatCode="_(&quot;$&quot;* #,##0.00_);_(&quot;$&quot;* \(#,##0.00\);_(&quot;$&quot;* &quot;-&quot;??_);_(@_)">
                  <c:v>548.4903489051726</c:v>
                </c:pt>
                <c:pt idx="127" formatCode="_(&quot;$&quot;* #,##0.00_);_(&quot;$&quot;* \(#,##0.00\);_(&quot;$&quot;* &quot;-&quot;??_);_(@_)">
                  <c:v>643.3693966639479</c:v>
                </c:pt>
                <c:pt idx="128" formatCode="_(&quot;$&quot;* #,##0.00_);_(&quot;$&quot;* \(#,##0.00\);_(&quot;$&quot;* &quot;-&quot;??_);_(@_)">
                  <c:v>871.22640874447836</c:v>
                </c:pt>
                <c:pt idx="129" formatCode="_(&quot;$&quot;* #,##0.00_);_(&quot;$&quot;* \(#,##0.00\);_(&quot;$&quot;* &quot;-&quot;??_);_(@_)">
                  <c:v>1092.0027496185212</c:v>
                </c:pt>
                <c:pt idx="130" formatCode="_(&quot;$&quot;* #,##0.00_);_(&quot;$&quot;* \(#,##0.00\);_(&quot;$&quot;* &quot;-&quot;??_);_(@_)">
                  <c:v>1742.397399345321</c:v>
                </c:pt>
                <c:pt idx="131" formatCode="_(&quot;$&quot;* #,##0.00_);_(&quot;$&quot;* \(#,##0.00\);_(&quot;$&quot;* &quot;-&quot;??_);_(@_)">
                  <c:v>1270.9765453319303</c:v>
                </c:pt>
                <c:pt idx="132" formatCode="_(&quot;$&quot;* #,##0.00_);_(&quot;$&quot;* \(#,##0.00\);_(&quot;$&quot;* &quot;-&quot;??_);_(@_)">
                  <c:v>1183.4754756171703</c:v>
                </c:pt>
                <c:pt idx="133" formatCode="_(&quot;$&quot;* #,##0.00_);_(&quot;$&quot;* \(#,##0.00\);_(&quot;$&quot;* &quot;-&quot;??_);_(@_)">
                  <c:v>1403.8100384545248</c:v>
                </c:pt>
                <c:pt idx="134" formatCode="_(&quot;$&quot;* #,##0.00_);_(&quot;$&quot;* \(#,##0.00\);_(&quot;$&quot;* &quot;-&quot;??_);_(@_)">
                  <c:v>1743.1992032987632</c:v>
                </c:pt>
                <c:pt idx="135" formatCode="_(&quot;$&quot;* #,##0.00_);_(&quot;$&quot;* \(#,##0.00\);_(&quot;$&quot;* &quot;-&quot;??_);_(@_)">
                  <c:v>2014.4018386008256</c:v>
                </c:pt>
                <c:pt idx="136" formatCode="_(&quot;$&quot;* #,##0.00_);_(&quot;$&quot;* \(#,##0.00\);_(&quot;$&quot;* &quot;-&quot;??_);_(@_)">
                  <c:v>2091.1477251821025</c:v>
                </c:pt>
                <c:pt idx="137" formatCode="_(&quot;$&quot;* #,##0.00_);_(&quot;$&quot;* \(#,##0.00\);_(&quot;$&quot;* &quot;-&quot;??_);_(@_)">
                  <c:v>2319.1653849636232</c:v>
                </c:pt>
                <c:pt idx="138" formatCode="_(&quot;$&quot;* #,##0.00_);_(&quot;$&quot;* \(#,##0.00\);_(&quot;$&quot;* &quot;-&quot;??_);_(@_)">
                  <c:v>1769.6830316664491</c:v>
                </c:pt>
                <c:pt idx="139" formatCode="_(&quot;$&quot;* #,##0.00_);_(&quot;$&quot;* \(#,##0.00\);_(&quot;$&quot;* &quot;-&quot;??_);_(@_)">
                  <c:v>2250.2479232939349</c:v>
                </c:pt>
                <c:pt idx="140" formatCode="_(&quot;$&quot;* #,##0.00_);_(&quot;$&quot;* \(#,##0.00\);_(&quot;$&quot;* &quot;-&quot;??_);_(@_)">
                  <c:v>1919.6103573702048</c:v>
                </c:pt>
                <c:pt idx="141" formatCode="_(&quot;$&quot;* #,##0.00_);_(&quot;$&quot;* \(#,##0.00\);_(&quot;$&quot;* &quot;-&quot;??_);_(@_)">
                  <c:v>1724.6487331042465</c:v>
                </c:pt>
                <c:pt idx="142" formatCode="_(&quot;$&quot;* #,##0.00_);_(&quot;$&quot;* \(#,##0.00\);_(&quot;$&quot;* &quot;-&quot;??_);_(@_)">
                  <c:v>2015.6351457999046</c:v>
                </c:pt>
                <c:pt idx="143" formatCode="_(&quot;$&quot;* #,##0.00_);_(&quot;$&quot;* \(#,##0.00\);_(&quot;$&quot;* &quot;-&quot;??_);_(@_)">
                  <c:v>2306.7987772500924</c:v>
                </c:pt>
                <c:pt idx="144" formatCode="_(&quot;$&quot;* #,##0.00_);_(&quot;$&quot;* \(#,##0.00\);_(&quot;$&quot;* &quot;-&quot;??_);_(@_)">
                  <c:v>2517.3629956588416</c:v>
                </c:pt>
                <c:pt idx="145" formatCode="_(&quot;$&quot;* #,##0.00_);_(&quot;$&quot;* \(#,##0.00\);_(&quot;$&quot;* &quot;-&quot;??_);_(@_)">
                  <c:v>2697.9896037624094</c:v>
                </c:pt>
                <c:pt idx="146" formatCode="_(&quot;$&quot;* #,##0.00_);_(&quot;$&quot;* \(#,##0.00\);_(&quot;$&quot;* &quot;-&quot;??_);_(@_)">
                  <c:v>2739.627557152307</c:v>
                </c:pt>
                <c:pt idx="147" formatCode="_(&quot;$&quot;* #,##0.00_);_(&quot;$&quot;* \(#,##0.00\);_(&quot;$&quot;* &quot;-&quot;??_);_(@_)">
                  <c:v>2176.4474608277387</c:v>
                </c:pt>
                <c:pt idx="148" formatCode="_(&quot;$&quot;* #,##0.00_);_(&quot;$&quot;* \(#,##0.00\);_(&quot;$&quot;* &quot;-&quot;??_);_(@_)">
                  <c:v>2436.4589391378408</c:v>
                </c:pt>
                <c:pt idx="149" formatCode="_(&quot;$&quot;* #,##0.00_);_(&quot;$&quot;* \(#,##0.00\);_(&quot;$&quot;* &quot;-&quot;??_);_(@_)">
                  <c:v>2655.7504435451383</c:v>
                </c:pt>
                <c:pt idx="150" formatCode="_(&quot;$&quot;* #,##0.00_);_(&quot;$&quot;* \(#,##0.00\);_(&quot;$&quot;* &quot;-&quot;??_);_(@_)">
                  <c:v>3018.7372526813629</c:v>
                </c:pt>
                <c:pt idx="151" formatCode="_(&quot;$&quot;* #,##0.00_);_(&quot;$&quot;* \(#,##0.00\);_(&quot;$&quot;* &quot;-&quot;??_);_(@_)">
                  <c:v>2430.7591153550156</c:v>
                </c:pt>
                <c:pt idx="152" formatCode="_(&quot;$&quot;* #,##0.00_);_(&quot;$&quot;* \(#,##0.00\);_(&quot;$&quot;* &quot;-&quot;??_);_(@_)">
                  <c:v>2102.7441989319359</c:v>
                </c:pt>
                <c:pt idx="153" formatCode="_(&quot;$&quot;* #,##0.00_);_(&quot;$&quot;* \(#,##0.00\);_(&quot;$&quot;* &quot;-&quot;??_);_(@_)">
                  <c:v>2095.9729636016209</c:v>
                </c:pt>
                <c:pt idx="154" formatCode="_(&quot;$&quot;* #,##0.00_);_(&quot;$&quot;* \(#,##0.00\);_(&quot;$&quot;* &quot;-&quot;??_);_(@_)">
                  <c:v>2237.833883966246</c:v>
                </c:pt>
                <c:pt idx="155" formatCode="_(&quot;$&quot;* #,##0.00_);_(&quot;$&quot;* \(#,##0.00\);_(&quot;$&quot;* &quot;-&quot;??_);_(@_)">
                  <c:v>2902.1054300309243</c:v>
                </c:pt>
                <c:pt idx="156" formatCode="_(&quot;$&quot;* #,##0.00_);_(&quot;$&quot;* \(#,##0.00\);_(&quot;$&quot;* &quot;-&quot;??_);_(@_)">
                  <c:v>3232.9355998584697</c:v>
                </c:pt>
                <c:pt idx="157" formatCode="_(&quot;$&quot;* #,##0.00_);_(&quot;$&quot;* \(#,##0.00\);_(&quot;$&quot;* &quot;-&quot;??_);_(@_)">
                  <c:v>3374.6654261430385</c:v>
                </c:pt>
                <c:pt idx="158" formatCode="_(&quot;$&quot;* #,##0.00_);_(&quot;$&quot;* \(#,##0.00\);_(&quot;$&quot;* &quot;-&quot;??_);_(@_)">
                  <c:v>3715.4130553904397</c:v>
                </c:pt>
                <c:pt idx="159" formatCode="_(&quot;$&quot;* #,##0.00_);_(&quot;$&quot;* \(#,##0.00\);_(&quot;$&quot;* &quot;-&quot;??_);_(@_)">
                  <c:v>3522.0243987246095</c:v>
                </c:pt>
                <c:pt idx="160" formatCode="_(&quot;$&quot;* #,##0.00_);_(&quot;$&quot;* \(#,##0.00\);_(&quot;$&quot;* &quot;-&quot;??_);_(@_)">
                  <c:v>3935.897234805147</c:v>
                </c:pt>
                <c:pt idx="161" formatCode="_(&quot;$&quot;* #,##0.00_);_(&quot;$&quot;* \(#,##0.00\);_(&quot;$&quot;* &quot;-&quot;??_);_(@_)">
                  <c:v>3513.5728134600276</c:v>
                </c:pt>
                <c:pt idx="162" formatCode="_(&quot;$&quot;* #,##0.00_);_(&quot;$&quot;* \(#,##0.00\);_(&quot;$&quot;* &quot;-&quot;??_);_(@_)">
                  <c:v>3659.4944074757941</c:v>
                </c:pt>
                <c:pt idx="163" formatCode="_(&quot;$&quot;* #,##0.00_);_(&quot;$&quot;* \(#,##0.00\);_(&quot;$&quot;* &quot;-&quot;??_);_(@_)">
                  <c:v>3483.7994401637343</c:v>
                </c:pt>
                <c:pt idx="164" formatCode="_(&quot;$&quot;* #,##0.00_);_(&quot;$&quot;* \(#,##0.00\);_(&quot;$&quot;* &quot;-&quot;??_);_(@_)">
                  <c:v>3443.8326542256868</c:v>
                </c:pt>
                <c:pt idx="165" formatCode="_(&quot;$&quot;* #,##0.00_);_(&quot;$&quot;* \(#,##0.00\);_(&quot;$&quot;* &quot;-&quot;??_);_(@_)">
                  <c:v>4085.6054240690482</c:v>
                </c:pt>
                <c:pt idx="166" formatCode="_(&quot;$&quot;* #,##0.00_);_(&quot;$&quot;* \(#,##0.00\);_(&quot;$&quot;* &quot;-&quot;??_);_(@_)">
                  <c:v>3888.3131561799273</c:v>
                </c:pt>
                <c:pt idx="167" formatCode="_(&quot;$&quot;* #,##0.00_);_(&quot;$&quot;* \(#,##0.00\);_(&quot;$&quot;* &quot;-&quot;??_);_(@_)">
                  <c:v>3391.9813790234534</c:v>
                </c:pt>
                <c:pt idx="168" formatCode="_(&quot;$&quot;* #,##0.00_);_(&quot;$&quot;* \(#,##0.00\);_(&quot;$&quot;* &quot;-&quot;??_);_(@_)">
                  <c:v>3588.3435833161889</c:v>
                </c:pt>
                <c:pt idx="169" formatCode="_(&quot;$&quot;* #,##0.00_);_(&quot;$&quot;* \(#,##0.00\);_(&quot;$&quot;* &quot;-&quot;??_);_(@_)">
                  <c:v>3110.1642211126546</c:v>
                </c:pt>
                <c:pt idx="170" formatCode="_(&quot;$&quot;* #,##0.00_);_(&quot;$&quot;* \(#,##0.00\);_(&quot;$&quot;* &quot;-&quot;??_);_(@_)">
                  <c:v>3850.5623967567089</c:v>
                </c:pt>
                <c:pt idx="171" formatCode="_(&quot;$&quot;* #,##0.00_);_(&quot;$&quot;* \(#,##0.00\);_(&quot;$&quot;* &quot;-&quot;??_);_(@_)">
                  <c:v>3886.3993642181094</c:v>
                </c:pt>
                <c:pt idx="172" formatCode="_(&quot;$&quot;* #,##0.00_);_(&quot;$&quot;* \(#,##0.00\);_(&quot;$&quot;* &quot;-&quot;??_);_(@_)">
                  <c:v>3871.1649147038115</c:v>
                </c:pt>
                <c:pt idx="173" formatCode="_(&quot;$&quot;* #,##0.00_);_(&quot;$&quot;* \(#,##0.00\);_(&quot;$&quot;* &quot;-&quot;??_);_(@_)">
                  <c:v>4433.0737559867039</c:v>
                </c:pt>
                <c:pt idx="174" formatCode="_(&quot;$&quot;* #,##0.00_);_(&quot;$&quot;* \(#,##0.00\);_(&quot;$&quot;* &quot;-&quot;??_);_(@_)">
                  <c:v>4179.7804377049079</c:v>
                </c:pt>
                <c:pt idx="175" formatCode="_(&quot;$&quot;* #,##0.00_);_(&quot;$&quot;* \(#,##0.00\);_(&quot;$&quot;* &quot;-&quot;??_);_(@_)">
                  <c:v>4337.4218369063328</c:v>
                </c:pt>
                <c:pt idx="176" formatCode="_(&quot;$&quot;* #,##0.00_);_(&quot;$&quot;* \(#,##0.00\);_(&quot;$&quot;* &quot;-&quot;??_);_(@_)">
                  <c:v>5051.0153367163239</c:v>
                </c:pt>
                <c:pt idx="177" formatCode="_(&quot;$&quot;* #,##0.00_);_(&quot;$&quot;* \(#,##0.00\);_(&quot;$&quot;* &quot;-&quot;??_);_(@_)">
                  <c:v>5099.4669794616839</c:v>
                </c:pt>
                <c:pt idx="178" formatCode="_(&quot;$&quot;* #,##0.00_);_(&quot;$&quot;* \(#,##0.00\);_(&quot;$&quot;* &quot;-&quot;??_);_(@_)">
                  <c:v>5117.7354380407432</c:v>
                </c:pt>
                <c:pt idx="179" formatCode="_(&quot;$&quot;* #,##0.00_);_(&quot;$&quot;* \(#,##0.00\);_(&quot;$&quot;* &quot;-&quot;??_);_(@_)">
                  <c:v>4839.8347460532477</c:v>
                </c:pt>
                <c:pt idx="180" formatCode="_(&quot;$&quot;* #,##0.00_);_(&quot;$&quot;* \(#,##0.00\);_(&quot;$&quot;* &quot;-&quot;??_);_(@_)">
                  <c:v>5341.4121016796453</c:v>
                </c:pt>
                <c:pt idx="181" formatCode="_(&quot;$&quot;* #,##0.00_);_(&quot;$&quot;* \(#,##0.00\);_(&quot;$&quot;* &quot;-&quot;??_);_(@_)">
                  <c:v>5247.9098330242059</c:v>
                </c:pt>
                <c:pt idx="182" formatCode="_(&quot;$&quot;* #,##0.00_);_(&quot;$&quot;* \(#,##0.00\);_(&quot;$&quot;* &quot;-&quot;??_);_(@_)">
                  <c:v>4461.4468918834746</c:v>
                </c:pt>
                <c:pt idx="183" formatCode="_(&quot;$&quot;* #,##0.00_);_(&quot;$&quot;* \(#,##0.00\);_(&quot;$&quot;* &quot;-&quot;??_);_(@_)">
                  <c:v>5118.9381095131776</c:v>
                </c:pt>
                <c:pt idx="184" formatCode="_(&quot;$&quot;* #,##0.00_);_(&quot;$&quot;* \(#,##0.00\);_(&quot;$&quot;* &quot;-&quot;??_);_(@_)">
                  <c:v>4788.2747613978045</c:v>
                </c:pt>
                <c:pt idx="185" formatCode="_(&quot;$&quot;* #,##0.00_);_(&quot;$&quot;* \(#,##0.00\);_(&quot;$&quot;* &quot;-&quot;??_);_(@_)">
                  <c:v>5155.0296839945322</c:v>
                </c:pt>
                <c:pt idx="186" formatCode="_(&quot;$&quot;* #,##0.00_);_(&quot;$&quot;* \(#,##0.00\);_(&quot;$&quot;* &quot;-&quot;??_);_(@_)">
                  <c:v>4893.6615350767652</c:v>
                </c:pt>
                <c:pt idx="187" formatCode="_(&quot;$&quot;* #,##0.00_);_(&quot;$&quot;* \(#,##0.00\);_(&quot;$&quot;* &quot;-&quot;??_);_(@_)">
                  <c:v>5439.1973929843844</c:v>
                </c:pt>
                <c:pt idx="188" formatCode="_(&quot;$&quot;* #,##0.00_);_(&quot;$&quot;* \(#,##0.00\);_(&quot;$&quot;* &quot;-&quot;??_);_(@_)">
                  <c:v>5120.9426574123945</c:v>
                </c:pt>
                <c:pt idx="189" formatCode="_(&quot;$&quot;* #,##0.00_);_(&quot;$&quot;* \(#,##0.00\);_(&quot;$&quot;* &quot;-&quot;??_);_(@_)">
                  <c:v>5354.9316501144403</c:v>
                </c:pt>
                <c:pt idx="190" formatCode="_(&quot;$&quot;* #,##0.00_);_(&quot;$&quot;* \(#,##0.00\);_(&quot;$&quot;* &quot;-&quot;??_);_(@_)">
                  <c:v>4864.9159973158839</c:v>
                </c:pt>
                <c:pt idx="191" formatCode="_(&quot;$&quot;* #,##0.00_);_(&quot;$&quot;* \(#,##0.00\);_(&quot;$&quot;* &quot;-&quot;??_);_(@_)">
                  <c:v>5162.3926303490998</c:v>
                </c:pt>
                <c:pt idx="192" formatCode="_(&quot;$&quot;* #,##0.00_);_(&quot;$&quot;* \(#,##0.00\);_(&quot;$&quot;* &quot;-&quot;??_);_(@_)">
                  <c:v>5693.3149142974016</c:v>
                </c:pt>
                <c:pt idx="193" formatCode="_(&quot;$&quot;* #,##0.00_);_(&quot;$&quot;* \(#,##0.00\);_(&quot;$&quot;* &quot;-&quot;??_);_(@_)">
                  <c:v>5588.9333355848921</c:v>
                </c:pt>
                <c:pt idx="194" formatCode="_(&quot;$&quot;* #,##0.00_);_(&quot;$&quot;* \(#,##0.00\);_(&quot;$&quot;* &quot;-&quot;??_);_(@_)">
                  <c:v>5641.7474115289406</c:v>
                </c:pt>
                <c:pt idx="195" formatCode="_(&quot;$&quot;* #,##0.00_);_(&quot;$&quot;* \(#,##0.00\);_(&quot;$&quot;* &quot;-&quot;??_);_(@_)">
                  <c:v>5702.9128978534281</c:v>
                </c:pt>
                <c:pt idx="196" formatCode="_(&quot;$&quot;* #,##0.00_);_(&quot;$&quot;* \(#,##0.00\);_(&quot;$&quot;* &quot;-&quot;??_);_(@_)">
                  <c:v>5973.1835426526959</c:v>
                </c:pt>
                <c:pt idx="197" formatCode="_(&quot;$&quot;* #,##0.00_);_(&quot;$&quot;* \(#,##0.00\);_(&quot;$&quot;* &quot;-&quot;??_);_(@_)">
                  <c:v>6359.5147488207649</c:v>
                </c:pt>
                <c:pt idx="198" formatCode="_(&quot;$&quot;* #,##0.00_);_(&quot;$&quot;* \(#,##0.00\);_(&quot;$&quot;* &quot;-&quot;??_);_(@_)">
                  <c:v>6315.8645665170579</c:v>
                </c:pt>
                <c:pt idx="199" formatCode="_(&quot;$&quot;* #,##0.00_);_(&quot;$&quot;* \(#,##0.00\);_(&quot;$&quot;* &quot;-&quot;??_);_(@_)">
                  <c:v>5854.3070016852707</c:v>
                </c:pt>
                <c:pt idx="200" formatCode="_(&quot;$&quot;* #,##0.00_);_(&quot;$&quot;* \(#,##0.00\);_(&quot;$&quot;* &quot;-&quot;??_);_(@_)">
                  <c:v>5996.0898175079037</c:v>
                </c:pt>
                <c:pt idx="201" formatCode="_(&quot;$&quot;* #,##0.00_);_(&quot;$&quot;* \(#,##0.00\);_(&quot;$&quot;* &quot;-&quot;??_);_(@_)">
                  <c:v>6265.1701510241137</c:v>
                </c:pt>
                <c:pt idx="202" formatCode="_(&quot;$&quot;* #,##0.00_);_(&quot;$&quot;* \(#,##0.00\);_(&quot;$&quot;* &quot;-&quot;??_);_(@_)">
                  <c:v>6379.1702400657514</c:v>
                </c:pt>
                <c:pt idx="203" formatCode="_(&quot;$&quot;* #,##0.00_);_(&quot;$&quot;* \(#,##0.00\);_(&quot;$&quot;* &quot;-&quot;??_);_(@_)">
                  <c:v>6217.2441472482424</c:v>
                </c:pt>
                <c:pt idx="204" formatCode="_(&quot;$&quot;* #,##0.00_);_(&quot;$&quot;* \(#,##0.00\);_(&quot;$&quot;* &quot;-&quot;??_);_(@_)">
                  <c:v>5840.4642495281178</c:v>
                </c:pt>
                <c:pt idx="205" formatCode="_(&quot;$&quot;* #,##0.00_);_(&quot;$&quot;* \(#,##0.00\);_(&quot;$&quot;* &quot;-&quot;??_);_(@_)">
                  <c:v>5588.4169559405518</c:v>
                </c:pt>
                <c:pt idx="206" formatCode="_(&quot;$&quot;* #,##0.00_);_(&quot;$&quot;* \(#,##0.00\);_(&quot;$&quot;* &quot;-&quot;??_);_(@_)">
                  <c:v>5735.0406087341835</c:v>
                </c:pt>
                <c:pt idx="207" formatCode="_(&quot;$&quot;* #,##0.00_);_(&quot;$&quot;* \(#,##0.00\);_(&quot;$&quot;* &quot;-&quot;??_);_(@_)">
                  <c:v>5274.3618356796596</c:v>
                </c:pt>
                <c:pt idx="208" formatCode="_(&quot;$&quot;* #,##0.00_);_(&quot;$&quot;* \(#,##0.00\);_(&quot;$&quot;* &quot;-&quot;??_);_(@_)">
                  <c:v>5334.3310496058193</c:v>
                </c:pt>
                <c:pt idx="209" formatCode="_(&quot;$&quot;* #,##0.00_);_(&quot;$&quot;* \(#,##0.00\);_(&quot;$&quot;* &quot;-&quot;??_);_(@_)">
                  <c:v>5329.9828820744506</c:v>
                </c:pt>
                <c:pt idx="210" formatCode="_(&quot;$&quot;* #,##0.00_);_(&quot;$&quot;* \(#,##0.00\);_(&quot;$&quot;* &quot;-&quot;??_);_(@_)">
                  <c:v>4991.7695619663946</c:v>
                </c:pt>
                <c:pt idx="211" formatCode="_(&quot;$&quot;* #,##0.00_);_(&quot;$&quot;* \(#,##0.00\);_(&quot;$&quot;* &quot;-&quot;??_);_(@_)">
                  <c:v>4870.3898188654457</c:v>
                </c:pt>
                <c:pt idx="212" formatCode="_(&quot;$&quot;* #,##0.00_);_(&quot;$&quot;* \(#,##0.00\);_(&quot;$&quot;* &quot;-&quot;??_);_(@_)">
                  <c:v>4694.6443483939183</c:v>
                </c:pt>
                <c:pt idx="213" formatCode="_(&quot;$&quot;* #,##0.00_);_(&quot;$&quot;* \(#,##0.00\);_(&quot;$&quot;* &quot;-&quot;??_);_(@_)">
                  <c:v>4469.0056930938345</c:v>
                </c:pt>
                <c:pt idx="214" formatCode="_(&quot;$&quot;* #,##0.00_);_(&quot;$&quot;* \(#,##0.00\);_(&quot;$&quot;* &quot;-&quot;??_);_(@_)">
                  <c:v>4685.9989054843209</c:v>
                </c:pt>
                <c:pt idx="215" formatCode="_(&quot;$&quot;* #,##0.00_);_(&quot;$&quot;* \(#,##0.00\);_(&quot;$&quot;* &quot;-&quot;??_);_(@_)">
                  <c:v>5151.4494970094966</c:v>
                </c:pt>
                <c:pt idx="216" formatCode="_(&quot;$&quot;* #,##0.00_);_(&quot;$&quot;* \(#,##0.00\);_(&quot;$&quot;* &quot;-&quot;??_);_(@_)">
                  <c:v>5380.6294620945228</c:v>
                </c:pt>
                <c:pt idx="217" formatCode="_(&quot;$&quot;* #,##0.00_);_(&quot;$&quot;* \(#,##0.00\);_(&quot;$&quot;* &quot;-&quot;??_);_(@_)">
                  <c:v>4935.8774431977135</c:v>
                </c:pt>
                <c:pt idx="218" formatCode="_(&quot;$&quot;* #,##0.00_);_(&quot;$&quot;* \(#,##0.00\);_(&quot;$&quot;* &quot;-&quot;??_);_(@_)">
                  <c:v>6271.2908473003927</c:v>
                </c:pt>
                <c:pt idx="219" formatCode="_(&quot;$&quot;* #,##0.00_);_(&quot;$&quot;* \(#,##0.00\);_(&quot;$&quot;* &quot;-&quot;??_);_(@_)">
                  <c:v>6142.7458971973392</c:v>
                </c:pt>
                <c:pt idx="220" formatCode="_(&quot;$&quot;* #,##0.00_);_(&quot;$&quot;* \(#,##0.00\);_(&quot;$&quot;* &quot;-&quot;??_);_(@_)">
                  <c:v>6293.569631548653</c:v>
                </c:pt>
                <c:pt idx="221" formatCode="_(&quot;$&quot;* #,##0.00_);_(&quot;$&quot;* \(#,##0.00\);_(&quot;$&quot;* &quot;-&quot;??_);_(@_)">
                  <c:v>6219.8930381544978</c:v>
                </c:pt>
                <c:pt idx="222" formatCode="_(&quot;$&quot;* #,##0.00_);_(&quot;$&quot;* \(#,##0.00\);_(&quot;$&quot;* &quot;-&quot;??_);_(@_)">
                  <c:v>5888.6190303617223</c:v>
                </c:pt>
                <c:pt idx="223" formatCode="_(&quot;$&quot;* #,##0.00_);_(&quot;$&quot;* \(#,##0.00\);_(&quot;$&quot;* &quot;-&quot;??_);_(@_)">
                  <c:v>5367.0734648444695</c:v>
                </c:pt>
                <c:pt idx="224" formatCode="_(&quot;$&quot;* #,##0.00_);_(&quot;$&quot;* \(#,##0.00\);_(&quot;$&quot;* &quot;-&quot;??_);_(@_)">
                  <c:v>5896.3770156527225</c:v>
                </c:pt>
                <c:pt idx="225" formatCode="_(&quot;$&quot;* #,##0.00_);_(&quot;$&quot;* \(#,##0.00\);_(&quot;$&quot;* &quot;-&quot;??_);_(@_)">
                  <c:v>5705.8457885301113</c:v>
                </c:pt>
                <c:pt idx="226" formatCode="_(&quot;$&quot;* #,##0.00_);_(&quot;$&quot;* \(#,##0.00\);_(&quot;$&quot;* &quot;-&quot;??_);_(@_)">
                  <c:v>5541.7163581541517</c:v>
                </c:pt>
                <c:pt idx="227" formatCode="_(&quot;$&quot;* #,##0.00_);_(&quot;$&quot;* \(#,##0.00\);_(&quot;$&quot;* &quot;-&quot;??_);_(@_)">
                  <c:v>5966.0930171459977</c:v>
                </c:pt>
                <c:pt idx="228" formatCode="_(&quot;$&quot;* #,##0.00_);_(&quot;$&quot;* \(#,##0.00\);_(&quot;$&quot;* &quot;-&quot;??_);_(@_)">
                  <c:v>6281.6926622080155</c:v>
                </c:pt>
                <c:pt idx="229" formatCode="_(&quot;$&quot;* #,##0.00_);_(&quot;$&quot;* \(#,##0.00\);_(&quot;$&quot;* &quot;-&quot;??_);_(@_)">
                  <c:v>6326.3928880599478</c:v>
                </c:pt>
                <c:pt idx="230" formatCode="_(&quot;$&quot;* #,##0.00_);_(&quot;$&quot;* \(#,##0.00\);_(&quot;$&quot;* &quot;-&quot;??_);_(@_)">
                  <c:v>6614.9028264029303</c:v>
                </c:pt>
                <c:pt idx="231" formatCode="_(&quot;$&quot;* #,##0.00_);_(&quot;$&quot;* \(#,##0.00\);_(&quot;$&quot;* &quot;-&quot;??_);_(@_)">
                  <c:v>6391.9851364244778</c:v>
                </c:pt>
                <c:pt idx="232" formatCode="_(&quot;$&quot;* #,##0.00_);_(&quot;$&quot;* \(#,##0.00\);_(&quot;$&quot;* &quot;-&quot;??_);_(@_)">
                  <c:v>5985.8140492980156</c:v>
                </c:pt>
                <c:pt idx="233" formatCode="_(&quot;$&quot;* #,##0.00_);_(&quot;$&quot;* \(#,##0.00\);_(&quot;$&quot;* &quot;-&quot;??_);_(@_)">
                  <c:v>6015.6664296512345</c:v>
                </c:pt>
                <c:pt idx="234" formatCode="_(&quot;$&quot;* #,##0.00_);_(&quot;$&quot;* \(#,##0.00\);_(&quot;$&quot;* &quot;-&quot;??_);_(@_)">
                  <c:v>6561.6212932165117</c:v>
                </c:pt>
                <c:pt idx="235" formatCode="_(&quot;$&quot;* #,##0.00_);_(&quot;$&quot;* \(#,##0.00\);_(&quot;$&quot;* &quot;-&quot;??_);_(@_)">
                  <c:v>6574.4393171003394</c:v>
                </c:pt>
                <c:pt idx="236" formatCode="_(&quot;$&quot;* #,##0.00_);_(&quot;$&quot;* \(#,##0.00\);_(&quot;$&quot;* &quot;-&quot;??_);_(@_)">
                  <c:v>6183.0466368701245</c:v>
                </c:pt>
                <c:pt idx="237" formatCode="_(&quot;$&quot;* #,##0.00_);_(&quot;$&quot;* \(#,##0.00\);_(&quot;$&quot;* &quot;-&quot;??_);_(@_)">
                  <c:v>6016.4215122174692</c:v>
                </c:pt>
                <c:pt idx="238" formatCode="_(&quot;$&quot;* #,##0.00_);_(&quot;$&quot;* \(#,##0.00\);_(&quot;$&quot;* &quot;-&quot;??_);_(@_)">
                  <c:v>6047.4969260032876</c:v>
                </c:pt>
                <c:pt idx="239" formatCode="_(&quot;$&quot;* #,##0.00_);_(&quot;$&quot;* \(#,##0.00\);_(&quot;$&quot;* &quot;-&quot;??_);_(@_)">
                  <c:v>5807.3648018207805</c:v>
                </c:pt>
                <c:pt idx="240" formatCode="_(&quot;$&quot;* #,##0.00_);_(&quot;$&quot;* \(#,##0.00\);_(&quot;$&quot;* &quot;-&quot;??_);_(@_)">
                  <c:v>5460.4592919392899</c:v>
                </c:pt>
                <c:pt idx="241" formatCode="_(&quot;$&quot;* #,##0.00_);_(&quot;$&quot;* \(#,##0.00\);_(&quot;$&quot;* &quot;-&quot;??_);_(@_)">
                  <c:v>5588.3623142212755</c:v>
                </c:pt>
                <c:pt idx="242" formatCode="_(&quot;$&quot;* #,##0.00_);_(&quot;$&quot;* \(#,##0.00\);_(&quot;$&quot;* &quot;-&quot;??_);_(@_)">
                  <c:v>5989.6043496700531</c:v>
                </c:pt>
                <c:pt idx="243" formatCode="_(&quot;$&quot;* #,##0.00_);_(&quot;$&quot;* \(#,##0.00\);_(&quot;$&quot;* &quot;-&quot;??_);_(@_)">
                  <c:v>5334.3657229283126</c:v>
                </c:pt>
                <c:pt idx="244" formatCode="_(&quot;$&quot;* #,##0.00_);_(&quot;$&quot;* \(#,##0.00\);_(&quot;$&quot;* &quot;-&quot;??_);_(@_)">
                  <c:v>5661.293293816042</c:v>
                </c:pt>
                <c:pt idx="245" formatCode="_(&quot;$&quot;* #,##0.00_);_(&quot;$&quot;* \(#,##0.00\);_(&quot;$&quot;* &quot;-&quot;??_);_(@_)">
                  <c:v>5095.8413395703792</c:v>
                </c:pt>
                <c:pt idx="246" formatCode="_(&quot;$&quot;* #,##0.00_);_(&quot;$&quot;* \(#,##0.00\);_(&quot;$&quot;* &quot;-&quot;??_);_(@_)">
                  <c:v>4991.7088705061096</c:v>
                </c:pt>
                <c:pt idx="247" formatCode="_(&quot;$&quot;* #,##0.00_);_(&quot;$&quot;* \(#,##0.00\);_(&quot;$&quot;* &quot;-&quot;??_);_(@_)">
                  <c:v>5039.5842595660906</c:v>
                </c:pt>
                <c:pt idx="248" formatCode="_(&quot;$&quot;* #,##0.00_);_(&quot;$&quot;* \(#,##0.00\);_(&quot;$&quot;* &quot;-&quot;??_);_(@_)">
                  <c:v>5567.6836301404546</c:v>
                </c:pt>
                <c:pt idx="249" formatCode="_(&quot;$&quot;* #,##0.00_);_(&quot;$&quot;* \(#,##0.00\);_(&quot;$&quot;* &quot;-&quot;??_);_(@_)">
                  <c:v>5712.4093609344709</c:v>
                </c:pt>
                <c:pt idx="250" formatCode="_(&quot;$&quot;* #,##0.00_);_(&quot;$&quot;* \(#,##0.00\);_(&quot;$&quot;* &quot;-&quot;??_);_(@_)">
                  <c:v>5433.5970209894631</c:v>
                </c:pt>
                <c:pt idx="251" formatCode="_(&quot;$&quot;* #,##0.00_);_(&quot;$&quot;* \(#,##0.00\);_(&quot;$&quot;* &quot;-&quot;??_);_(@_)">
                  <c:v>5036.4534533338556</c:v>
                </c:pt>
                <c:pt idx="252" formatCode="_(&quot;$&quot;* #,##0.00_);_(&quot;$&quot;* \(#,##0.00\);_(&quot;$&quot;* &quot;-&quot;??_);_(@_)">
                  <c:v>5220.3870721432049</c:v>
                </c:pt>
                <c:pt idx="253" formatCode="_(&quot;$&quot;* #,##0.00_);_(&quot;$&quot;* \(#,##0.00\);_(&quot;$&quot;* &quot;-&quot;??_);_(@_)">
                  <c:v>5182.4493565289176</c:v>
                </c:pt>
                <c:pt idx="254" formatCode="_(&quot;$&quot;* #,##0.00_);_(&quot;$&quot;* \(#,##0.00\);_(&quot;$&quot;* &quot;-&quot;??_);_(@_)">
                  <c:v>4738.1545063101385</c:v>
                </c:pt>
                <c:pt idx="255" formatCode="_(&quot;$&quot;* #,##0.00_);_(&quot;$&quot;* \(#,##0.00\);_(&quot;$&quot;* &quot;-&quot;??_);_(@_)">
                  <c:v>4660.4303021318565</c:v>
                </c:pt>
                <c:pt idx="256" formatCode="_(&quot;$&quot;* #,##0.00_);_(&quot;$&quot;* \(#,##0.00\);_(&quot;$&quot;* &quot;-&quot;??_);_(@_)">
                  <c:v>4465.9982090091726</c:v>
                </c:pt>
                <c:pt idx="257" formatCode="_(&quot;$&quot;* #,##0.00_);_(&quot;$&quot;* \(#,##0.00\);_(&quot;$&quot;* &quot;-&quot;??_);_(@_)">
                  <c:v>4372.2973873277078</c:v>
                </c:pt>
                <c:pt idx="258" formatCode="_(&quot;$&quot;* #,##0.00_);_(&quot;$&quot;* \(#,##0.00\);_(&quot;$&quot;* &quot;-&quot;??_);_(@_)">
                  <c:v>4143.7131369087965</c:v>
                </c:pt>
                <c:pt idx="259" formatCode="_(&quot;$&quot;* #,##0.00_);_(&quot;$&quot;* \(#,##0.00\);_(&quot;$&quot;* &quot;-&quot;??_);_(@_)">
                  <c:v>4116.3844660439672</c:v>
                </c:pt>
                <c:pt idx="260" formatCode="_(&quot;$&quot;* #,##0.00_);_(&quot;$&quot;* \(#,##0.00\);_(&quot;$&quot;* &quot;-&quot;??_);_(@_)">
                  <c:v>4093.2361970104139</c:v>
                </c:pt>
                <c:pt idx="261" formatCode="_(&quot;$&quot;* #,##0.00_);_(&quot;$&quot;* \(#,##0.00\);_(&quot;$&quot;* &quot;-&quot;??_);_(@_)">
                  <c:v>4098.7830339742013</c:v>
                </c:pt>
                <c:pt idx="262" formatCode="_(&quot;$&quot;* #,##0.00_);_(&quot;$&quot;* \(#,##0.00\);_(&quot;$&quot;* &quot;-&quot;??_);_(@_)">
                  <c:v>4116.5620618705889</c:v>
                </c:pt>
                <c:pt idx="263" formatCode="_(&quot;$&quot;* #,##0.00_);_(&quot;$&quot;* \(#,##0.00\);_(&quot;$&quot;* &quot;-&quot;??_);_(@_)">
                  <c:v>3936.4729039060176</c:v>
                </c:pt>
                <c:pt idx="264" formatCode="_(&quot;$&quot;* #,##0.00_);_(&quot;$&quot;* \(#,##0.00\);_(&quot;$&quot;* &quot;-&quot;??_);_(@_)">
                  <c:v>4065.593645000884</c:v>
                </c:pt>
                <c:pt idx="265" formatCode="_(&quot;$&quot;* #,##0.00_);_(&quot;$&quot;* \(#,##0.00\);_(&quot;$&quot;* &quot;-&quot;??_);_(@_)">
                  <c:v>4227.5044108684551</c:v>
                </c:pt>
                <c:pt idx="266" formatCode="_(&quot;$&quot;* #,##0.00_);_(&quot;$&quot;* \(#,##0.00\);_(&quot;$&quot;* &quot;-&quot;??_);_(@_)">
                  <c:v>4305.9194972216901</c:v>
                </c:pt>
                <c:pt idx="267" formatCode="_(&quot;$&quot;* #,##0.00_);_(&quot;$&quot;* \(#,##0.00\);_(&quot;$&quot;* &quot;-&quot;??_);_(@_)">
                  <c:v>4349.8946151308901</c:v>
                </c:pt>
                <c:pt idx="268" formatCode="_(&quot;$&quot;* #,##0.00_);_(&quot;$&quot;* \(#,##0.00\);_(&quot;$&quot;* &quot;-&quot;??_);_(@_)">
                  <c:v>4391.3752047984153</c:v>
                </c:pt>
                <c:pt idx="269" formatCode="_(&quot;$&quot;* #,##0.00_);_(&quot;$&quot;* \(#,##0.00\);_(&quot;$&quot;* &quot;-&quot;??_);_(@_)">
                  <c:v>4162.8456349048993</c:v>
                </c:pt>
                <c:pt idx="270" formatCode="_(&quot;$&quot;* #,##0.00_);_(&quot;$&quot;* \(#,##0.00\);_(&quot;$&quot;* &quot;-&quot;??_);_(@_)">
                  <c:v>4493.262405031619</c:v>
                </c:pt>
                <c:pt idx="271" formatCode="_(&quot;$&quot;* #,##0.00_);_(&quot;$&quot;* \(#,##0.00\);_(&quot;$&quot;* &quot;-&quot;??_);_(@_)">
                  <c:v>4591.7321343396043</c:v>
                </c:pt>
                <c:pt idx="272" formatCode="_(&quot;$&quot;* #,##0.00_);_(&quot;$&quot;* \(#,##0.00\);_(&quot;$&quot;* &quot;-&quot;??_);_(@_)">
                  <c:v>4989.2532238409258</c:v>
                </c:pt>
                <c:pt idx="273" formatCode="_(&quot;$&quot;* #,##0.00_);_(&quot;$&quot;* \(#,##0.00\);_(&quot;$&quot;* &quot;-&quot;??_);_(@_)">
                  <c:v>5198.6018060093083</c:v>
                </c:pt>
                <c:pt idx="274" formatCode="_(&quot;$&quot;* #,##0.00_);_(&quot;$&quot;* \(#,##0.00\);_(&quot;$&quot;* &quot;-&quot;??_);_(@_)">
                  <c:v>5022.3731464412467</c:v>
                </c:pt>
                <c:pt idx="275" formatCode="_(&quot;$&quot;* #,##0.00_);_(&quot;$&quot;* \(#,##0.00\);_(&quot;$&quot;* &quot;-&quot;??_);_(@_)">
                  <c:v>4880.7754478126444</c:v>
                </c:pt>
                <c:pt idx="276" formatCode="_(&quot;$&quot;* #,##0.00_);_(&quot;$&quot;* \(#,##0.00\);_(&quot;$&quot;* &quot;-&quot;??_);_(@_)">
                  <c:v>5272.5325295602033</c:v>
                </c:pt>
                <c:pt idx="277" formatCode="_(&quot;$&quot;* #,##0.00_);_(&quot;$&quot;* \(#,##0.00\);_(&quot;$&quot;* &quot;-&quot;??_);_(@_)">
                  <c:v>4883.8720922833218</c:v>
                </c:pt>
                <c:pt idx="278" formatCode="_(&quot;$&quot;* #,##0.00_);_(&quot;$&quot;* \(#,##0.00\);_(&quot;$&quot;* &quot;-&quot;??_);_(@_)">
                  <c:v>5226.3909076448481</c:v>
                </c:pt>
                <c:pt idx="279" formatCode="_(&quot;$&quot;* #,##0.00_);_(&quot;$&quot;* \(#,##0.00\);_(&quot;$&quot;* &quot;-&quot;??_);_(@_)">
                  <c:v>5396.3323060652438</c:v>
                </c:pt>
                <c:pt idx="280" formatCode="_(&quot;$&quot;* #,##0.00_);_(&quot;$&quot;* \(#,##0.00\);_(&quot;$&quot;* &quot;-&quot;??_);_(@_)">
                  <c:v>4909.1252110150135</c:v>
                </c:pt>
                <c:pt idx="281" formatCode="_(&quot;$&quot;* #,##0.00_);_(&quot;$&quot;* \(#,##0.00\);_(&quot;$&quot;* &quot;-&quot;??_);_(@_)">
                  <c:v>4447.2090040387584</c:v>
                </c:pt>
                <c:pt idx="282" formatCode="_(&quot;$&quot;* #,##0.00_);_(&quot;$&quot;* \(#,##0.00\);_(&quot;$&quot;* &quot;-&quot;??_);_(@_)">
                  <c:v>4360.8496961973051</c:v>
                </c:pt>
                <c:pt idx="283" formatCode="_(&quot;$&quot;* #,##0.00_);_(&quot;$&quot;* \(#,##0.00\);_(&quot;$&quot;* &quot;-&quot;??_);_(@_)">
                  <c:v>4954.3220032620366</c:v>
                </c:pt>
                <c:pt idx="284" formatCode="_(&quot;$&quot;* #,##0.00_);_(&quot;$&quot;* \(#,##0.00\);_(&quot;$&quot;* &quot;-&quot;??_);_(@_)">
                  <c:v>4959.1926571669292</c:v>
                </c:pt>
                <c:pt idx="285" formatCode="_(&quot;$&quot;* #,##0.00_);_(&quot;$&quot;* \(#,##0.00\);_(&quot;$&quot;* &quot;-&quot;??_);_(@_)">
                  <c:v>5418.4256654770879</c:v>
                </c:pt>
                <c:pt idx="286" formatCode="_(&quot;$&quot;* #,##0.00_);_(&quot;$&quot;* \(#,##0.00\);_(&quot;$&quot;* &quot;-&quot;??_);_(@_)">
                  <c:v>5481.9914001161969</c:v>
                </c:pt>
                <c:pt idx="287" formatCode="_(&quot;$&quot;* #,##0.00_);_(&quot;$&quot;* \(#,##0.00\);_(&quot;$&quot;* &quot;-&quot;??_);_(@_)">
                  <c:v>5124.7729126194154</c:v>
                </c:pt>
                <c:pt idx="288" formatCode="_(&quot;$&quot;* #,##0.00_);_(&quot;$&quot;* \(#,##0.00\);_(&quot;$&quot;* &quot;-&quot;??_);_(@_)">
                  <c:v>4926.6936004479803</c:v>
                </c:pt>
                <c:pt idx="289" formatCode="_(&quot;$&quot;* #,##0.00_);_(&quot;$&quot;* \(#,##0.00\);_(&quot;$&quot;* &quot;-&quot;??_);_(@_)">
                  <c:v>4468.3146313862999</c:v>
                </c:pt>
                <c:pt idx="290" formatCode="_(&quot;$&quot;* #,##0.00_);_(&quot;$&quot;* \(#,##0.00\);_(&quot;$&quot;* &quot;-&quot;??_);_(@_)">
                  <c:v>4319.313722703926</c:v>
                </c:pt>
                <c:pt idx="291" formatCode="_(&quot;$&quot;* #,##0.00_);_(&quot;$&quot;* \(#,##0.00\);_(&quot;$&quot;* &quot;-&quot;??_);_(@_)">
                  <c:v>4667.8746058587258</c:v>
                </c:pt>
                <c:pt idx="292" formatCode="_(&quot;$&quot;* #,##0.00_);_(&quot;$&quot;* \(#,##0.00\);_(&quot;$&quot;* &quot;-&quot;??_);_(@_)">
                  <c:v>4509.0909918443067</c:v>
                </c:pt>
                <c:pt idx="293" formatCode="_(&quot;$&quot;* #,##0.00_);_(&quot;$&quot;* \(#,##0.00\);_(&quot;$&quot;* &quot;-&quot;??_);_(@_)">
                  <c:v>4427.9978627351193</c:v>
                </c:pt>
                <c:pt idx="294" formatCode="_(&quot;$&quot;* #,##0.00_);_(&quot;$&quot;* \(#,##0.00\);_(&quot;$&quot;* &quot;-&quot;??_);_(@_)">
                  <c:v>4846.972107665275</c:v>
                </c:pt>
                <c:pt idx="295" formatCode="_(&quot;$&quot;* #,##0.00_);_(&quot;$&quot;* \(#,##0.00\);_(&quot;$&quot;* &quot;-&quot;??_);_(@_)">
                  <c:v>4934.3563049877075</c:v>
                </c:pt>
                <c:pt idx="296" formatCode="_(&quot;$&quot;* #,##0.00_);_(&quot;$&quot;* \(#,##0.00\);_(&quot;$&quot;* &quot;-&quot;??_);_(@_)">
                  <c:v>5118.9811356814735</c:v>
                </c:pt>
                <c:pt idx="297" formatCode="_(&quot;$&quot;* #,##0.00_);_(&quot;$&quot;* \(#,##0.00\);_(&quot;$&quot;* &quot;-&quot;??_);_(@_)">
                  <c:v>4928.1986553430288</c:v>
                </c:pt>
                <c:pt idx="298" formatCode="_(&quot;$&quot;* #,##0.00_);_(&quot;$&quot;* \(#,##0.00\);_(&quot;$&quot;* &quot;-&quot;??_);_(@_)">
                  <c:v>4694.9657148566866</c:v>
                </c:pt>
                <c:pt idx="299" formatCode="_(&quot;$&quot;* #,##0.00_);_(&quot;$&quot;* \(#,##0.00\);_(&quot;$&quot;* &quot;-&quot;??_);_(@_)">
                  <c:v>4761.7891637032371</c:v>
                </c:pt>
                <c:pt idx="300" formatCode="_(&quot;$&quot;* #,##0.00_);_(&quot;$&quot;* \(#,##0.00\);_(&quot;$&quot;* &quot;-&quot;??_);_(@_)">
                  <c:v>4368.3812790781631</c:v>
                </c:pt>
                <c:pt idx="301" formatCode="_(&quot;$&quot;* #,##0.00_);_(&quot;$&quot;* \(#,##0.00\);_(&quot;$&quot;* &quot;-&quot;??_);_(@_)">
                  <c:v>4674.4471680595061</c:v>
                </c:pt>
                <c:pt idx="302" formatCode="_(&quot;$&quot;* #,##0.00_);_(&quot;$&quot;* \(#,##0.00\);_(&quot;$&quot;* &quot;-&quot;??_);_(@_)">
                  <c:v>4202.0209888990748</c:v>
                </c:pt>
                <c:pt idx="303" formatCode="_(&quot;$&quot;* #,##0.00_);_(&quot;$&quot;* \(#,##0.00\);_(&quot;$&quot;* &quot;-&quot;??_);_(@_)">
                  <c:v>4474.9358410584</c:v>
                </c:pt>
                <c:pt idx="304" formatCode="_(&quot;$&quot;* #,##0.00_);_(&quot;$&quot;* \(#,##0.00\);_(&quot;$&quot;* &quot;-&quot;??_);_(@_)">
                  <c:v>4618.7086653205324</c:v>
                </c:pt>
                <c:pt idx="305" formatCode="_(&quot;$&quot;* #,##0.00_);_(&quot;$&quot;* \(#,##0.00\);_(&quot;$&quot;* &quot;-&quot;??_);_(@_)">
                  <c:v>4728.4880755122485</c:v>
                </c:pt>
                <c:pt idx="306" formatCode="_(&quot;$&quot;* #,##0.00_);_(&quot;$&quot;* \(#,##0.00\);_(&quot;$&quot;* &quot;-&quot;??_);_(@_)">
                  <c:v>4404.9846018357111</c:v>
                </c:pt>
                <c:pt idx="307" formatCode="_(&quot;$&quot;* #,##0.00_);_(&quot;$&quot;* \(#,##0.00\);_(&quot;$&quot;* &quot;-&quot;??_);_(@_)">
                  <c:v>3454.4002558449265</c:v>
                </c:pt>
                <c:pt idx="308" formatCode="_(&quot;$&quot;* #,##0.00_);_(&quot;$&quot;* \(#,##0.00\);_(&quot;$&quot;* &quot;-&quot;??_);_(@_)">
                  <c:v>4083.155897750331</c:v>
                </c:pt>
                <c:pt idx="309" formatCode="_(&quot;$&quot;* #,##0.00_);_(&quot;$&quot;* \(#,##0.00\);_(&quot;$&quot;* &quot;-&quot;??_);_(@_)">
                  <c:v>3779.3764046209203</c:v>
                </c:pt>
                <c:pt idx="310" formatCode="_(&quot;$&quot;* #,##0.00_);_(&quot;$&quot;* \(#,##0.00\);_(&quot;$&quot;* &quot;-&quot;??_);_(@_)">
                  <c:v>4059.4158192680625</c:v>
                </c:pt>
                <c:pt idx="311" formatCode="_(&quot;$&quot;* #,##0.00_);_(&quot;$&quot;* \(#,##0.00\);_(&quot;$&quot;* &quot;-&quot;??_);_(@_)">
                  <c:v>4740.6244032281775</c:v>
                </c:pt>
                <c:pt idx="312" formatCode="_(&quot;$&quot;* #,##0.00_);_(&quot;$&quot;* \(#,##0.00\);_(&quot;$&quot;* &quot;-&quot;??_);_(@_)">
                  <c:v>4812.7914643476806</c:v>
                </c:pt>
                <c:pt idx="313" formatCode="_(&quot;$&quot;* #,##0.00_);_(&quot;$&quot;* \(#,##0.00\);_(&quot;$&quot;* &quot;-&quot;??_);_(@_)">
                  <c:v>5336.9502162102481</c:v>
                </c:pt>
                <c:pt idx="314" formatCode="_(&quot;$&quot;* #,##0.00_);_(&quot;$&quot;* \(#,##0.00\);_(&quot;$&quot;* &quot;-&quot;??_);_(@_)">
                  <c:v>5451.3914348412636</c:v>
                </c:pt>
                <c:pt idx="315" formatCode="_(&quot;$&quot;* #,##0.00_);_(&quot;$&quot;* \(#,##0.00\);_(&quot;$&quot;* &quot;-&quot;??_);_(@_)">
                  <c:v>5292.4566751700522</c:v>
                </c:pt>
                <c:pt idx="316" formatCode="_(&quot;$&quot;* #,##0.00_);_(&quot;$&quot;* \(#,##0.00\);_(&quot;$&quot;* &quot;-&quot;??_);_(@_)">
                  <c:v>5349.9913450484655</c:v>
                </c:pt>
                <c:pt idx="317" formatCode="_(&quot;$&quot;* #,##0.00_);_(&quot;$&quot;* \(#,##0.00\);_(&quot;$&quot;* &quot;-&quot;??_);_(@_)">
                  <c:v>5615.2923023130206</c:v>
                </c:pt>
                <c:pt idx="318" formatCode="_(&quot;$&quot;* #,##0.00_);_(&quot;$&quot;* \(#,##0.00\);_(&quot;$&quot;* &quot;-&quot;??_);_(@_)">
                  <c:v>5479.229652816075</c:v>
                </c:pt>
                <c:pt idx="319" formatCode="_(&quot;$&quot;* #,##0.00_);_(&quot;$&quot;* \(#,##0.00\);_(&quot;$&quot;* &quot;-&quot;??_);_(@_)">
                  <c:v>5472.0560137450475</c:v>
                </c:pt>
                <c:pt idx="320" formatCode="_(&quot;$&quot;* #,##0.00_);_(&quot;$&quot;* \(#,##0.00\);_(&quot;$&quot;* &quot;-&quot;??_);_(@_)">
                  <c:v>5234.2800669632143</c:v>
                </c:pt>
                <c:pt idx="321" formatCode="_(&quot;$&quot;* #,##0.00_);_(&quot;$&quot;* \(#,##0.00\);_(&quot;$&quot;* &quot;-&quot;??_);_(@_)">
                  <c:v>5322.6162289323611</c:v>
                </c:pt>
                <c:pt idx="322" formatCode="_(&quot;$&quot;* #,##0.00_);_(&quot;$&quot;* \(#,##0.00\);_(&quot;$&quot;* &quot;-&quot;??_);_(@_)">
                  <c:v>5022.7604130973295</c:v>
                </c:pt>
                <c:pt idx="323" formatCode="_(&quot;$&quot;* #,##0.00_);_(&quot;$&quot;* \(#,##0.00\);_(&quot;$&quot;* &quot;-&quot;??_);_(@_)">
                  <c:v>4746.6203594885619</c:v>
                </c:pt>
                <c:pt idx="324" formatCode="_(&quot;$&quot;* #,##0.00_);_(&quot;$&quot;* \(#,##0.00\);_(&quot;$&quot;* &quot;-&quot;??_);_(@_)">
                  <c:v>5038.4347125776212</c:v>
                </c:pt>
                <c:pt idx="325" formatCode="_(&quot;$&quot;* #,##0.00_);_(&quot;$&quot;* \(#,##0.00\);_(&quot;$&quot;* &quot;-&quot;??_);_(@_)">
                  <c:v>5360.529657539033</c:v>
                </c:pt>
                <c:pt idx="326" formatCode="_(&quot;$&quot;* #,##0.00_);_(&quot;$&quot;* \(#,##0.00\);_(&quot;$&quot;* &quot;-&quot;??_);_(@_)">
                  <c:v>5343.8246961486502</c:v>
                </c:pt>
                <c:pt idx="327" formatCode="_(&quot;$&quot;* #,##0.00_);_(&quot;$&quot;* \(#,##0.00\);_(&quot;$&quot;* &quot;-&quot;??_);_(@_)">
                  <c:v>5130.3622862125367</c:v>
                </c:pt>
                <c:pt idx="328" formatCode="_(&quot;$&quot;* #,##0.00_);_(&quot;$&quot;* \(#,##0.00\);_(&quot;$&quot;* &quot;-&quot;??_);_(@_)">
                  <c:v>5492.8630342380111</c:v>
                </c:pt>
                <c:pt idx="329" formatCode="_(&quot;$&quot;* #,##0.00_);_(&quot;$&quot;* \(#,##0.00\);_(&quot;$&quot;* &quot;-&quot;??_);_(@_)">
                  <c:v>5305.5172050489628</c:v>
                </c:pt>
                <c:pt idx="330" formatCode="_(&quot;$&quot;* #,##0.00_);_(&quot;$&quot;* \(#,##0.00\);_(&quot;$&quot;* &quot;-&quot;??_);_(@_)">
                  <c:v>5794.7994701127463</c:v>
                </c:pt>
                <c:pt idx="331" formatCode="_(&quot;$&quot;* #,##0.00_);_(&quot;$&quot;* \(#,##0.00\);_(&quot;$&quot;* &quot;-&quot;??_);_(@_)">
                  <c:v>5046.1661762057884</c:v>
                </c:pt>
                <c:pt idx="332" formatCode="_(&quot;$&quot;* #,##0.00_);_(&quot;$&quot;* \(#,##0.00\);_(&quot;$&quot;* &quot;-&quot;??_);_(@_)">
                  <c:v>4831.4689831958603</c:v>
                </c:pt>
                <c:pt idx="333" formatCode="_(&quot;$&quot;* #,##0.00_);_(&quot;$&quot;* \(#,##0.00\);_(&quot;$&quot;* &quot;-&quot;??_);_(@_)">
                  <c:v>4776.4881108812315</c:v>
                </c:pt>
                <c:pt idx="334" formatCode="_(&quot;$&quot;* #,##0.00_);_(&quot;$&quot;* \(#,##0.00\);_(&quot;$&quot;* &quot;-&quot;??_);_(@_)">
                  <c:v>4641.747142868142</c:v>
                </c:pt>
                <c:pt idx="335" formatCode="_(&quot;$&quot;* #,##0.00_);_(&quot;$&quot;* \(#,##0.00\);_(&quot;$&quot;* &quot;-&quot;??_);_(@_)">
                  <c:v>4295.7098584582745</c:v>
                </c:pt>
                <c:pt idx="336" formatCode="_(&quot;$&quot;* #,##0.00_);_(&quot;$&quot;* \(#,##0.00\);_(&quot;$&quot;* &quot;-&quot;??_);_(@_)">
                  <c:v>4299.6980691177178</c:v>
                </c:pt>
                <c:pt idx="337" formatCode="_(&quot;$&quot;* #,##0.00_);_(&quot;$&quot;* \(#,##0.00\);_(&quot;$&quot;* &quot;-&quot;??_);_(@_)">
                  <c:v>4161.1501449338321</c:v>
                </c:pt>
                <c:pt idx="338" formatCode="_(&quot;$&quot;* #,##0.00_);_(&quot;$&quot;* \(#,##0.00\);_(&quot;$&quot;* &quot;-&quot;??_);_(@_)">
                  <c:v>4136.5565816984681</c:v>
                </c:pt>
                <c:pt idx="339" formatCode="_(&quot;$&quot;* #,##0.00_);_(&quot;$&quot;* \(#,##0.00\);_(&quot;$&quot;* &quot;-&quot;??_);_(@_)">
                  <c:v>4166.7512435329427</c:v>
                </c:pt>
                <c:pt idx="340" formatCode="_(&quot;$&quot;* #,##0.00_);_(&quot;$&quot;* \(#,##0.00\);_(&quot;$&quot;* &quot;-&quot;??_);_(@_)">
                  <c:v>4107.6772553951396</c:v>
                </c:pt>
                <c:pt idx="341" formatCode="_(&quot;$&quot;* #,##0.00_);_(&quot;$&quot;* \(#,##0.00\);_(&quot;$&quot;* &quot;-&quot;??_);_(@_)">
                  <c:v>4155.8753624927349</c:v>
                </c:pt>
                <c:pt idx="342" formatCode="_(&quot;$&quot;* #,##0.00_);_(&quot;$&quot;* \(#,##0.00\);_(&quot;$&quot;* &quot;-&quot;??_);_(@_)">
                  <c:v>4407.9229485676678</c:v>
                </c:pt>
                <c:pt idx="343" formatCode="_(&quot;$&quot;* #,##0.00_);_(&quot;$&quot;* \(#,##0.00\);_(&quot;$&quot;* &quot;-&quot;??_);_(@_)">
                  <c:v>4831.2115062998319</c:v>
                </c:pt>
                <c:pt idx="344" formatCode="_(&quot;$&quot;* #,##0.00_);_(&quot;$&quot;* \(#,##0.00\);_(&quot;$&quot;* &quot;-&quot;??_);_(@_)">
                  <c:v>4455.3519987520376</c:v>
                </c:pt>
                <c:pt idx="345" formatCode="_(&quot;$&quot;* #,##0.00_);_(&quot;$&quot;* \(#,##0.00\);_(&quot;$&quot;* &quot;-&quot;??_);_(@_)">
                  <c:v>4418.7820813604221</c:v>
                </c:pt>
                <c:pt idx="346" formatCode="_(&quot;$&quot;* #,##0.00_);_(&quot;$&quot;* \(#,##0.00\);_(&quot;$&quot;* &quot;-&quot;??_);_(@_)">
                  <c:v>4468.9344878891034</c:v>
                </c:pt>
                <c:pt idx="347" formatCode="_(&quot;$&quot;* #,##0.00_);_(&quot;$&quot;* \(#,##0.00\);_(&quot;$&quot;* &quot;-&quot;??_);_(@_)">
                  <c:v>4810.5036524730331</c:v>
                </c:pt>
                <c:pt idx="348" formatCode="_(&quot;$&quot;* #,##0.00_);_(&quot;$&quot;* \(#,##0.00\);_(&quot;$&quot;* &quot;-&quot;??_);_(@_)">
                  <c:v>4876.3490660562265</c:v>
                </c:pt>
                <c:pt idx="349" formatCode="_(&quot;$&quot;* #,##0.00_);_(&quot;$&quot;* \(#,##0.00\);_(&quot;$&quot;* &quot;-&quot;??_);_(@_)">
                  <c:v>5334.3963830569346</c:v>
                </c:pt>
                <c:pt idx="350" formatCode="_(&quot;$&quot;* #,##0.00_);_(&quot;$&quot;* \(#,##0.00\);_(&quot;$&quot;* &quot;-&quot;??_);_(@_)">
                  <c:v>5141.3394507269177</c:v>
                </c:pt>
                <c:pt idx="351" formatCode="_(&quot;$&quot;* #,##0.00_);_(&quot;$&quot;* \(#,##0.00\);_(&quot;$&quot;* &quot;-&quot;??_);_(@_)">
                  <c:v>5120.9990162267395</c:v>
                </c:pt>
                <c:pt idx="352" formatCode="_(&quot;$&quot;* #,##0.00_);_(&quot;$&quot;* \(#,##0.00\);_(&quot;$&quot;* &quot;-&quot;??_);_(@_)">
                  <c:v>4975.463701183884</c:v>
                </c:pt>
                <c:pt idx="353" formatCode="_(&quot;$&quot;* #,##0.00_);_(&quot;$&quot;* \(#,##0.00\);_(&quot;$&quot;* &quot;-&quot;??_);_(@_)">
                  <c:v>5304.4203799352108</c:v>
                </c:pt>
                <c:pt idx="354" formatCode="_(&quot;$&quot;* #,##0.00_);_(&quot;$&quot;* \(#,##0.00\);_(&quot;$&quot;* &quot;-&quot;??_);_(@_)">
                  <c:v>6091.3590196839441</c:v>
                </c:pt>
                <c:pt idx="355" formatCode="_(&quot;$&quot;* #,##0.00_);_(&quot;$&quot;* \(#,##0.00\);_(&quot;$&quot;* &quot;-&quot;??_);_(@_)">
                  <c:v>6193.0657625076274</c:v>
                </c:pt>
                <c:pt idx="356" formatCode="_(&quot;$&quot;* #,##0.00_);_(&quot;$&quot;* \(#,##0.00\);_(&quot;$&quot;* &quot;-&quot;??_);_(@_)">
                  <c:v>6297.0866443386321</c:v>
                </c:pt>
                <c:pt idx="357" formatCode="_(&quot;$&quot;* #,##0.00_);_(&quot;$&quot;* \(#,##0.00\);_(&quot;$&quot;* &quot;-&quot;??_);_(@_)">
                  <c:v>6395.0897648872651</c:v>
                </c:pt>
                <c:pt idx="358" formatCode="_(&quot;$&quot;* #,##0.00_);_(&quot;$&quot;* \(#,##0.00\);_(&quot;$&quot;* &quot;-&quot;??_);_(@_)">
                  <c:v>6444.0294869949885</c:v>
                </c:pt>
                <c:pt idx="359" formatCode="_(&quot;$&quot;* #,##0.00_);_(&quot;$&quot;* \(#,##0.00\);_(&quot;$&quot;* &quot;-&quot;??_);_(@_)">
                  <c:v>6395.2569002279442</c:v>
                </c:pt>
                <c:pt idx="360" formatCode="_(&quot;$&quot;* #,##0.00_);_(&quot;$&quot;* \(#,##0.00\);_(&quot;$&quot;* &quot;-&quot;??_);_(@_)">
                  <c:v>6409.1489927440398</c:v>
                </c:pt>
                <c:pt idx="361" formatCode="_(&quot;$&quot;* #,##0.00_);_(&quot;$&quot;* \(#,##0.00\);_(&quot;$&quot;* &quot;-&quot;??_);_(@_)">
                  <c:v>6256.5421663394181</c:v>
                </c:pt>
                <c:pt idx="362" formatCode="_(&quot;$&quot;* #,##0.00_);_(&quot;$&quot;* \(#,##0.00\);_(&quot;$&quot;* &quot;-&quot;??_);_(@_)">
                  <c:v>6218.3566078466656</c:v>
                </c:pt>
                <c:pt idx="363" formatCode="_(&quot;$&quot;* #,##0.00_);_(&quot;$&quot;* \(#,##0.00\);_(&quot;$&quot;* &quot;-&quot;??_);_(@_)">
                  <c:v>6257.5591272006359</c:v>
                </c:pt>
                <c:pt idx="364" formatCode="_(&quot;$&quot;* #,##0.00_);_(&quot;$&quot;* \(#,##0.00\);_(&quot;$&quot;* &quot;-&quot;??_);_(@_)">
                  <c:v>5954.478446594776</c:v>
                </c:pt>
                <c:pt idx="365" formatCode="_(&quot;$&quot;* #,##0.00_);_(&quot;$&quot;* \(#,##0.00\);_(&quot;$&quot;* &quot;-&quot;??_);_(@_)">
                  <c:v>5830.2223767501755</c:v>
                </c:pt>
                <c:pt idx="366" formatCode="_(&quot;$&quot;* #,##0.00_);_(&quot;$&quot;* \(#,##0.00\);_(&quot;$&quot;* &quot;-&quot;??_);_(@_)">
                  <c:v>5898.5043464387572</c:v>
                </c:pt>
                <c:pt idx="367" formatCode="_(&quot;$&quot;* #,##0.00_);_(&quot;$&quot;* \(#,##0.00\);_(&quot;$&quot;* &quot;-&quot;??_);_(@_)">
                  <c:v>5771.4550684849901</c:v>
                </c:pt>
                <c:pt idx="368" formatCode="_(&quot;$&quot;* #,##0.00_);_(&quot;$&quot;* \(#,##0.00\);_(&quot;$&quot;* &quot;-&quot;??_);_(@_)">
                  <c:v>5580.7177750294286</c:v>
                </c:pt>
                <c:pt idx="369" formatCode="_(&quot;$&quot;* #,##0.00_);_(&quot;$&quot;* \(#,##0.00\);_(&quot;$&quot;* &quot;-&quot;??_);_(@_)">
                  <c:v>5285.3226160052182</c:v>
                </c:pt>
                <c:pt idx="370" formatCode="_(&quot;$&quot;* #,##0.00_);_(&quot;$&quot;* \(#,##0.00\);_(&quot;$&quot;* &quot;-&quot;??_);_(@_)">
                  <c:v>5329.0722887477004</c:v>
                </c:pt>
                <c:pt idx="371" formatCode="_(&quot;$&quot;* #,##0.00_);_(&quot;$&quot;* \(#,##0.00\);_(&quot;$&quot;* &quot;-&quot;??_);_(@_)">
                  <c:v>5135.396751927583</c:v>
                </c:pt>
                <c:pt idx="372" formatCode="_(&quot;$&quot;* #,##0.00_);_(&quot;$&quot;* \(#,##0.00\);_(&quot;$&quot;* &quot;-&quot;??_);_(@_)">
                  <c:v>4910.0175575529684</c:v>
                </c:pt>
                <c:pt idx="373" formatCode="_(&quot;$&quot;* #,##0.00_);_(&quot;$&quot;* \(#,##0.00\);_(&quot;$&quot;* &quot;-&quot;??_);_(@_)">
                  <c:v>4868.7860808623036</c:v>
                </c:pt>
                <c:pt idx="374" formatCode="_(&quot;$&quot;* #,##0.00_);_(&quot;$&quot;* \(#,##0.00\);_(&quot;$&quot;* &quot;-&quot;??_);_(@_)">
                  <c:v>5228.44888047118</c:v>
                </c:pt>
                <c:pt idx="375" formatCode="_(&quot;$&quot;* #,##0.00_);_(&quot;$&quot;* \(#,##0.00\);_(&quot;$&quot;* &quot;-&quot;??_);_(@_)">
                  <c:v>5391.6608626509687</c:v>
                </c:pt>
                <c:pt idx="376" formatCode="_(&quot;$&quot;* #,##0.00_);_(&quot;$&quot;* \(#,##0.00\);_(&quot;$&quot;* &quot;-&quot;??_);_(@_)">
                  <c:v>5486.1351870159515</c:v>
                </c:pt>
                <c:pt idx="377" formatCode="_(&quot;$&quot;* #,##0.00_);_(&quot;$&quot;* \(#,##0.00\);_(&quot;$&quot;* &quot;-&quot;??_);_(@_)">
                  <c:v>5859.6610784048216</c:v>
                </c:pt>
                <c:pt idx="378" formatCode="_(&quot;$&quot;* #,##0.00_);_(&quot;$&quot;* \(#,##0.00\);_(&quot;$&quot;* &quot;-&quot;??_);_(@_)">
                  <c:v>5750.5404304477652</c:v>
                </c:pt>
                <c:pt idx="379" formatCode="_(&quot;$&quot;* #,##0.00_);_(&quot;$&quot;* \(#,##0.00\);_(&quot;$&quot;* &quot;-&quot;??_);_(@_)">
                  <c:v>5798.758083842732</c:v>
                </c:pt>
                <c:pt idx="380" formatCode="_(&quot;$&quot;* #,##0.00_);_(&quot;$&quot;* \(#,##0.00\);_(&quot;$&quot;* &quot;-&quot;??_);_(@_)">
                  <c:v>5726.4738729753781</c:v>
                </c:pt>
                <c:pt idx="381" formatCode="_(&quot;$&quot;* #,##0.00_);_(&quot;$&quot;* \(#,##0.00\);_(&quot;$&quot;* &quot;-&quot;??_);_(@_)">
                  <c:v>5780.8765373441856</c:v>
                </c:pt>
                <c:pt idx="382" formatCode="_(&quot;$&quot;* #,##0.00_);_(&quot;$&quot;* \(#,##0.00\);_(&quot;$&quot;* &quot;-&quot;??_);_(@_)">
                  <c:v>5924.8298220459219</c:v>
                </c:pt>
                <c:pt idx="383" formatCode="_(&quot;$&quot;* #,##0.00_);_(&quot;$&quot;* \(#,##0.00\);_(&quot;$&quot;* &quot;-&quot;??_);_(@_)">
                  <c:v>5777.0031150090363</c:v>
                </c:pt>
                <c:pt idx="384" formatCode="_(&quot;$&quot;* #,##0.00_);_(&quot;$&quot;* \(#,##0.00\);_(&quot;$&quot;* &quot;-&quot;??_);_(@_)">
                  <c:v>5530.2530425827954</c:v>
                </c:pt>
                <c:pt idx="385" formatCode="_(&quot;$&quot;* #,##0.00_);_(&quot;$&quot;* \(#,##0.00\);_(&quot;$&quot;* &quot;-&quot;??_);_(@_)">
                  <c:v>5491.8549527483483</c:v>
                </c:pt>
                <c:pt idx="386" formatCode="_(&quot;$&quot;* #,##0.00_);_(&quot;$&quot;* \(#,##0.00\);_(&quot;$&quot;* &quot;-&quot;??_);_(@_)">
                  <c:v>5657.519432905583</c:v>
                </c:pt>
                <c:pt idx="387" formatCode="_(&quot;$&quot;* #,##0.00_);_(&quot;$&quot;* \(#,##0.00\);_(&quot;$&quot;* &quot;-&quot;??_);_(@_)">
                  <c:v>5641.533318301982</c:v>
                </c:pt>
                <c:pt idx="388" formatCode="_(&quot;$&quot;* #,##0.00_);_(&quot;$&quot;* \(#,##0.00\);_(&quot;$&quot;* &quot;-&quot;??_);_(@_)">
                  <c:v>5800.7704258635695</c:v>
                </c:pt>
                <c:pt idx="389" formatCode="_(&quot;$&quot;* #,##0.00_);_(&quot;$&quot;* \(#,##0.00\);_(&quot;$&quot;* &quot;-&quot;??_);_(@_)">
                  <c:v>5589.9459260398307</c:v>
                </c:pt>
                <c:pt idx="390" formatCode="_(&quot;$&quot;* #,##0.00_);_(&quot;$&quot;* \(#,##0.00\);_(&quot;$&quot;* &quot;-&quot;??_);_(@_)">
                  <c:v>5807.9541404208376</c:v>
                </c:pt>
                <c:pt idx="391" formatCode="_(&quot;$&quot;* #,##0.00_);_(&quot;$&quot;* \(#,##0.00\);_(&quot;$&quot;* &quot;-&quot;??_);_(@_)">
                  <c:v>5730.8139964384973</c:v>
                </c:pt>
                <c:pt idx="392" formatCode="_(&quot;$&quot;* #,##0.00_);_(&quot;$&quot;* \(#,##0.00\);_(&quot;$&quot;* &quot;-&quot;??_);_(@_)">
                  <c:v>5531.4020871741805</c:v>
                </c:pt>
                <c:pt idx="393" formatCode="_(&quot;$&quot;* #,##0.00_);_(&quot;$&quot;* \(#,##0.00\);_(&quot;$&quot;* &quot;-&quot;??_);_(@_)">
                  <c:v>5539.5698707578413</c:v>
                </c:pt>
                <c:pt idx="394" formatCode="_(&quot;$&quot;* #,##0.00_);_(&quot;$&quot;* \(#,##0.00\);_(&quot;$&quot;* &quot;-&quot;??_);_(@_)">
                  <c:v>5339.3693178895683</c:v>
                </c:pt>
                <c:pt idx="395" formatCode="_(&quot;$&quot;* #,##0.00_);_(&quot;$&quot;* \(#,##0.00\);_(&quot;$&quot;* &quot;-&quot;??_);_(@_)">
                  <c:v>5890.0880020600507</c:v>
                </c:pt>
                <c:pt idx="396" formatCode="_(&quot;$&quot;* #,##0.00_);_(&quot;$&quot;* \(#,##0.00\);_(&quot;$&quot;* &quot;-&quot;??_);_(@_)">
                  <c:v>5969.7959355266139</c:v>
                </c:pt>
                <c:pt idx="397" formatCode="_(&quot;$&quot;* #,##0.00_);_(&quot;$&quot;* \(#,##0.00\);_(&quot;$&quot;* &quot;-&quot;??_);_(@_)">
                  <c:v>5921.2965492382546</c:v>
                </c:pt>
                <c:pt idx="398" formatCode="_(&quot;$&quot;* #,##0.00_);_(&quot;$&quot;* \(#,##0.00\);_(&quot;$&quot;* &quot;-&quot;??_);_(@_)">
                  <c:v>6284.30201495658</c:v>
                </c:pt>
                <c:pt idx="399" formatCode="_(&quot;$&quot;* #,##0.00_);_(&quot;$&quot;* \(#,##0.00\);_(&quot;$&quot;* &quot;-&quot;??_);_(@_)">
                  <c:v>6952.8541087346057</c:v>
                </c:pt>
                <c:pt idx="400" formatCode="_(&quot;$&quot;* #,##0.00_);_(&quot;$&quot;* \(#,##0.00\);_(&quot;$&quot;* &quot;-&quot;??_);_(@_)">
                  <c:v>8034.7945709339547</c:v>
                </c:pt>
                <c:pt idx="401" formatCode="_(&quot;$&quot;* #,##0.00_);_(&quot;$&quot;* \(#,##0.00\);_(&quot;$&quot;* &quot;-&quot;??_);_(@_)">
                  <c:v>8282.3889579304687</c:v>
                </c:pt>
                <c:pt idx="402" formatCode="_(&quot;$&quot;* #,##0.00_);_(&quot;$&quot;* \(#,##0.00\);_(&quot;$&quot;* &quot;-&quot;??_);_(@_)">
                  <c:v>9057.1003229356993</c:v>
                </c:pt>
                <c:pt idx="403" formatCode="_(&quot;$&quot;* #,##0.00_);_(&quot;$&quot;* \(#,##0.00\);_(&quot;$&quot;* &quot;-&quot;??_);_(@_)">
                  <c:v>9607.8443691924331</c:v>
                </c:pt>
                <c:pt idx="404" formatCode="_(&quot;$&quot;* #,##0.00_);_(&quot;$&quot;* \(#,##0.00\);_(&quot;$&quot;* &quot;-&quot;??_);_(@_)">
                  <c:v>9750.8531854864505</c:v>
                </c:pt>
                <c:pt idx="405" formatCode="_(&quot;$&quot;* #,##0.00_);_(&quot;$&quot;* \(#,##0.00\);_(&quot;$&quot;* &quot;-&quot;??_);_(@_)">
                  <c:v>9922.7329003304967</c:v>
                </c:pt>
                <c:pt idx="406" formatCode="_(&quot;$&quot;* #,##0.00_);_(&quot;$&quot;* \(#,##0.00\);_(&quot;$&quot;* &quot;-&quot;??_);_(@_)">
                  <c:v>9898.8068474826832</c:v>
                </c:pt>
                <c:pt idx="407" formatCode="_(&quot;$&quot;* #,##0.00_);_(&quot;$&quot;* \(#,##0.00\);_(&quot;$&quot;* &quot;-&quot;??_);_(@_)">
                  <c:v>10442.707582461444</c:v>
                </c:pt>
                <c:pt idx="408" formatCode="_(&quot;$&quot;* #,##0.00_);_(&quot;$&quot;* \(#,##0.00\);_(&quot;$&quot;* &quot;-&quot;??_);_(@_)">
                  <c:v>11046.832790444485</c:v>
                </c:pt>
                <c:pt idx="409" formatCode="_(&quot;$&quot;* #,##0.00_);_(&quot;$&quot;* \(#,##0.00\);_(&quot;$&quot;* &quot;-&quot;??_);_(@_)">
                  <c:v>10851.199116484539</c:v>
                </c:pt>
                <c:pt idx="410" formatCode="_(&quot;$&quot;* #,##0.00_);_(&quot;$&quot;* \(#,##0.00\);_(&quot;$&quot;* &quot;-&quot;??_);_(@_)">
                  <c:v>10374.021830897669</c:v>
                </c:pt>
                <c:pt idx="411" formatCode="_(&quot;$&quot;* #,##0.00_);_(&quot;$&quot;* \(#,##0.00\);_(&quot;$&quot;* &quot;-&quot;??_);_(@_)">
                  <c:v>9948.7488962373936</c:v>
                </c:pt>
                <c:pt idx="412" formatCode="_(&quot;$&quot;* #,##0.00_);_(&quot;$&quot;* \(#,##0.00\);_(&quot;$&quot;* &quot;-&quot;??_);_(@_)">
                  <c:v>9899.2312563063733</c:v>
                </c:pt>
                <c:pt idx="413" formatCode="_(&quot;$&quot;* #,##0.00_);_(&quot;$&quot;* \(#,##0.00\);_(&quot;$&quot;* &quot;-&quot;??_);_(@_)">
                  <c:v>9991.1716976917996</c:v>
                </c:pt>
                <c:pt idx="414" formatCode="_(&quot;$&quot;* #,##0.00_);_(&quot;$&quot;* \(#,##0.00\);_(&quot;$&quot;* &quot;-&quot;??_);_(@_)">
                  <c:v>9927.1567631448106</c:v>
                </c:pt>
                <c:pt idx="415" formatCode="_(&quot;$&quot;* #,##0.00_);_(&quot;$&quot;* \(#,##0.00\);_(&quot;$&quot;* &quot;-&quot;??_);_(@_)">
                  <c:v>10225.235427892159</c:v>
                </c:pt>
                <c:pt idx="416" formatCode="_(&quot;$&quot;* #,##0.00_);_(&quot;$&quot;* \(#,##0.00\);_(&quot;$&quot;* &quot;-&quot;??_);_(@_)">
                  <c:v>10672.219731408888</c:v>
                </c:pt>
                <c:pt idx="417" formatCode="_(&quot;$&quot;* #,##0.00_);_(&quot;$&quot;* \(#,##0.00\);_(&quot;$&quot;* &quot;-&quot;??_);_(@_)">
                  <c:v>10619.760409242106</c:v>
                </c:pt>
                <c:pt idx="418" formatCode="_(&quot;$&quot;* #,##0.00_);_(&quot;$&quot;* \(#,##0.00\);_(&quot;$&quot;* &quot;-&quot;??_);_(@_)">
                  <c:v>10939.913770639556</c:v>
                </c:pt>
                <c:pt idx="419" formatCode="_(&quot;$&quot;* #,##0.00_);_(&quot;$&quot;* \(#,##0.00\);_(&quot;$&quot;* &quot;-&quot;??_);_(@_)">
                  <c:v>10434.546629761267</c:v>
                </c:pt>
                <c:pt idx="420" formatCode="_(&quot;$&quot;* #,##0.00_);_(&quot;$&quot;* \(#,##0.00\);_(&quot;$&quot;* &quot;-&quot;??_);_(@_)">
                  <c:v>9808.4422875552646</c:v>
                </c:pt>
                <c:pt idx="421" formatCode="_(&quot;$&quot;* #,##0.00_);_(&quot;$&quot;* \(#,##0.00\);_(&quot;$&quot;* &quot;-&quot;??_);_(@_)">
                  <c:v>9732.9459311417104</c:v>
                </c:pt>
                <c:pt idx="422" formatCode="_(&quot;$&quot;* #,##0.00_);_(&quot;$&quot;* \(#,##0.00\);_(&quot;$&quot;* &quot;-&quot;??_);_(@_)">
                  <c:v>9174.4415529728903</c:v>
                </c:pt>
                <c:pt idx="423" formatCode="_(&quot;$&quot;* #,##0.00_);_(&quot;$&quot;* \(#,##0.00\);_(&quot;$&quot;* &quot;-&quot;??_);_(@_)">
                  <c:v>9384.3688449067831</c:v>
                </c:pt>
                <c:pt idx="424" formatCode="_(&quot;$&quot;* #,##0.00_);_(&quot;$&quot;* \(#,##0.00\);_(&quot;$&quot;* &quot;-&quot;??_);_(@_)">
                  <c:v>9065.6941110851785</c:v>
                </c:pt>
                <c:pt idx="425" formatCode="_(&quot;$&quot;* #,##0.00_);_(&quot;$&quot;* \(#,##0.00\);_(&quot;$&quot;* &quot;-&quot;??_);_(@_)">
                  <c:v>9124.0542385328026</c:v>
                </c:pt>
                <c:pt idx="426" formatCode="_(&quot;$&quot;* #,##0.00_);_(&quot;$&quot;* \(#,##0.00\);_(&quot;$&quot;* &quot;-&quot;??_);_(@_)">
                  <c:v>9079.6896161059431</c:v>
                </c:pt>
                <c:pt idx="427" formatCode="_(&quot;$&quot;* #,##0.00_);_(&quot;$&quot;* \(#,##0.00\);_(&quot;$&quot;* &quot;-&quot;??_);_(@_)">
                  <c:v>9076.249977246267</c:v>
                </c:pt>
                <c:pt idx="428" formatCode="_(&quot;$&quot;* #,##0.00_);_(&quot;$&quot;* \(#,##0.00\);_(&quot;$&quot;* &quot;-&quot;??_);_(@_)">
                  <c:v>9026.1665012111753</c:v>
                </c:pt>
                <c:pt idx="429" formatCode="_(&quot;$&quot;* #,##0.00_);_(&quot;$&quot;* \(#,##0.00\);_(&quot;$&quot;* &quot;-&quot;??_);_(@_)">
                  <c:v>8944.1751051986066</c:v>
                </c:pt>
                <c:pt idx="430" formatCode="_(&quot;$&quot;* #,##0.00_);_(&quot;$&quot;* \(#,##0.00\);_(&quot;$&quot;* &quot;-&quot;??_);_(@_)">
                  <c:v>9058.0156742904819</c:v>
                </c:pt>
                <c:pt idx="431" formatCode="_(&quot;$&quot;* #,##0.00_);_(&quot;$&quot;* \(#,##0.00\);_(&quot;$&quot;* &quot;-&quot;??_);_(@_)">
                  <c:v>9678.4560567108892</c:v>
                </c:pt>
                <c:pt idx="432" formatCode="_(&quot;$&quot;* #,##0.00_);_(&quot;$&quot;* \(#,##0.00\);_(&quot;$&quot;* &quot;-&quot;??_);_(@_)">
                  <c:v>10026.545861412524</c:v>
                </c:pt>
                <c:pt idx="433" formatCode="_(&quot;$&quot;* #,##0.00_);_(&quot;$&quot;* \(#,##0.00\);_(&quot;$&quot;* &quot;-&quot;??_);_(@_)">
                  <c:v>9772.4374130146753</c:v>
                </c:pt>
                <c:pt idx="434" formatCode="_(&quot;$&quot;* #,##0.00_);_(&quot;$&quot;* \(#,##0.00\);_(&quot;$&quot;* &quot;-&quot;??_);_(@_)">
                  <c:v>9761.0275752706475</c:v>
                </c:pt>
                <c:pt idx="435" formatCode="_(&quot;$&quot;* #,##0.00_);_(&quot;$&quot;* \(#,##0.00\);_(&quot;$&quot;* &quot;-&quot;??_);_(@_)">
                  <c:v>10133.55609413696</c:v>
                </c:pt>
                <c:pt idx="436" formatCode="_(&quot;$&quot;* #,##0.00_);_(&quot;$&quot;* \(#,##0.00\);_(&quot;$&quot;* &quot;-&quot;??_);_(@_)">
                  <c:v>10028.227224510021</c:v>
                </c:pt>
                <c:pt idx="437" formatCode="_(&quot;$&quot;* #,##0.00_);_(&quot;$&quot;* \(#,##0.00\);_(&quot;$&quot;* &quot;-&quot;??_);_(@_)">
                  <c:v>10270.565890761778</c:v>
                </c:pt>
                <c:pt idx="438" formatCode="_(&quot;$&quot;* #,##0.00_);_(&quot;$&quot;* \(#,##0.00\);_(&quot;$&quot;* &quot;-&quot;??_);_(@_)">
                  <c:v>10436.909534806582</c:v>
                </c:pt>
                <c:pt idx="439" formatCode="_(&quot;$&quot;* #,##0.00_);_(&quot;$&quot;* \(#,##0.00\);_(&quot;$&quot;* &quot;-&quot;??_);_(@_)">
                  <c:v>10645.347846224719</c:v>
                </c:pt>
                <c:pt idx="440" formatCode="_(&quot;$&quot;* #,##0.00_);_(&quot;$&quot;* \(#,##0.00\);_(&quot;$&quot;* &quot;-&quot;??_);_(@_)">
                  <c:v>10578.041561887276</c:v>
                </c:pt>
                <c:pt idx="441" formatCode="_(&quot;$&quot;* #,##0.00_);_(&quot;$&quot;* \(#,##0.00\);_(&quot;$&quot;* &quot;-&quot;??_);_(@_)">
                  <c:v>11059.335166339117</c:v>
                </c:pt>
                <c:pt idx="442" formatCode="_(&quot;$&quot;* #,##0.00_);_(&quot;$&quot;* \(#,##0.00\);_(&quot;$&quot;* &quot;-&quot;??_);_(@_)">
                  <c:v>11384.16423582869</c:v>
                </c:pt>
                <c:pt idx="443" formatCode="_(&quot;$&quot;* #,##0.00_);_(&quot;$&quot;* \(#,##0.00\);_(&quot;$&quot;* &quot;-&quot;??_);_(@_)">
                  <c:v>11246.070979613791</c:v>
                </c:pt>
                <c:pt idx="444" formatCode="_(&quot;$&quot;* #,##0.00_);_(&quot;$&quot;* \(#,##0.00\);_(&quot;$&quot;* &quot;-&quot;??_);_(@_)">
                  <c:v>11025.783377607766</c:v>
                </c:pt>
                <c:pt idx="445" formatCode="_(&quot;$&quot;* #,##0.00_);_(&quot;$&quot;* \(#,##0.00\);_(&quot;$&quot;* &quot;-&quot;??_);_(@_)">
                  <c:v>11769.82897335809</c:v>
                </c:pt>
                <c:pt idx="446" formatCode="_(&quot;$&quot;* #,##0.00_);_(&quot;$&quot;* \(#,##0.00\);_(&quot;$&quot;* &quot;-&quot;??_);_(@_)">
                  <c:v>11715.103455026199</c:v>
                </c:pt>
                <c:pt idx="447" formatCode="_(&quot;$&quot;* #,##0.00_);_(&quot;$&quot;* \(#,##0.00\);_(&quot;$&quot;* &quot;-&quot;??_);_(@_)">
                  <c:v>11869.078798635635</c:v>
                </c:pt>
                <c:pt idx="448" formatCode="_(&quot;$&quot;* #,##0.00_);_(&quot;$&quot;* \(#,##0.00\);_(&quot;$&quot;* &quot;-&quot;??_);_(@_)">
                  <c:v>11988.862969910178</c:v>
                </c:pt>
                <c:pt idx="449" formatCode="_(&quot;$&quot;* #,##0.00_);_(&quot;$&quot;* \(#,##0.00\);_(&quot;$&quot;* &quot;-&quot;??_);_(@_)">
                  <c:v>11875.475671940219</c:v>
                </c:pt>
                <c:pt idx="450" formatCode="_(&quot;$&quot;* #,##0.00_);_(&quot;$&quot;* \(#,##0.00\);_(&quot;$&quot;* &quot;-&quot;??_);_(@_)">
                  <c:v>11822.526657512199</c:v>
                </c:pt>
                <c:pt idx="451" formatCode="_(&quot;$&quot;* #,##0.00_);_(&quot;$&quot;* \(#,##0.00\);_(&quot;$&quot;* &quot;-&quot;??_);_(@_)">
                  <c:v>12186.00125833988</c:v>
                </c:pt>
                <c:pt idx="452" formatCode="_(&quot;$&quot;* #,##0.00_);_(&quot;$&quot;* \(#,##0.00\);_(&quot;$&quot;* &quot;-&quot;??_);_(@_)">
                  <c:v>13116.272796840878</c:v>
                </c:pt>
                <c:pt idx="453" formatCode="_(&quot;$&quot;* #,##0.00_);_(&quot;$&quot;* \(#,##0.00\);_(&quot;$&quot;* &quot;-&quot;??_);_(@_)">
                  <c:v>13575.148816811832</c:v>
                </c:pt>
                <c:pt idx="454" formatCode="_(&quot;$&quot;* #,##0.00_);_(&quot;$&quot;* \(#,##0.00\);_(&quot;$&quot;* &quot;-&quot;??_);_(@_)">
                  <c:v>13790.434104284133</c:v>
                </c:pt>
                <c:pt idx="455" formatCode="_(&quot;$&quot;* #,##0.00_);_(&quot;$&quot;* \(#,##0.00\);_(&quot;$&quot;* &quot;-&quot;??_);_(@_)">
                  <c:v>14109.24129270471</c:v>
                </c:pt>
                <c:pt idx="456" formatCode="_(&quot;$&quot;* #,##0.00_);_(&quot;$&quot;* \(#,##0.00\);_(&quot;$&quot;* &quot;-&quot;??_);_(@_)">
                  <c:v>14307.247881719155</c:v>
                </c:pt>
                <c:pt idx="457" formatCode="_(&quot;$&quot;* #,##0.00_);_(&quot;$&quot;* \(#,##0.00\);_(&quot;$&quot;* &quot;-&quot;??_);_(@_)">
                  <c:v>13570.794443909374</c:v>
                </c:pt>
                <c:pt idx="458" formatCode="_(&quot;$&quot;* #,##0.00_);_(&quot;$&quot;* \(#,##0.00\);_(&quot;$&quot;* &quot;-&quot;??_);_(@_)">
                  <c:v>13720.086838327308</c:v>
                </c:pt>
                <c:pt idx="459" formatCode="_(&quot;$&quot;* #,##0.00_);_(&quot;$&quot;* \(#,##0.00\);_(&quot;$&quot;* &quot;-&quot;??_);_(@_)">
                  <c:v>13260.649294606375</c:v>
                </c:pt>
                <c:pt idx="460" formatCode="_(&quot;$&quot;* #,##0.00_);_(&quot;$&quot;* \(#,##0.00\);_(&quot;$&quot;* &quot;-&quot;??_);_(@_)">
                  <c:v>12179.839959333822</c:v>
                </c:pt>
                <c:pt idx="461" formatCode="_(&quot;$&quot;* #,##0.00_);_(&quot;$&quot;* \(#,##0.00\);_(&quot;$&quot;* &quot;-&quot;??_);_(@_)">
                  <c:v>11616.289472294939</c:v>
                </c:pt>
                <c:pt idx="462" formatCode="_(&quot;$&quot;* #,##0.00_);_(&quot;$&quot;* \(#,##0.00\);_(&quot;$&quot;* &quot;-&quot;??_);_(@_)">
                  <c:v>11912.697438185311</c:v>
                </c:pt>
                <c:pt idx="463" formatCode="_(&quot;$&quot;* #,##0.00_);_(&quot;$&quot;* \(#,##0.00\);_(&quot;$&quot;* &quot;-&quot;??_);_(@_)">
                  <c:v>12158.545944355177</c:v>
                </c:pt>
                <c:pt idx="464" formatCode="_(&quot;$&quot;* #,##0.00_);_(&quot;$&quot;* \(#,##0.00\);_(&quot;$&quot;* &quot;-&quot;??_);_(@_)">
                  <c:v>11852.875633147445</c:v>
                </c:pt>
                <c:pt idx="465" formatCode="_(&quot;$&quot;* #,##0.00_);_(&quot;$&quot;* \(#,##0.00\);_(&quot;$&quot;* &quot;-&quot;??_);_(@_)">
                  <c:v>12161.753327447552</c:v>
                </c:pt>
                <c:pt idx="466" formatCode="_(&quot;$&quot;* #,##0.00_);_(&quot;$&quot;* \(#,##0.00\);_(&quot;$&quot;* &quot;-&quot;??_);_(@_)">
                  <c:v>12247.018117969872</c:v>
                </c:pt>
                <c:pt idx="467" formatCode="_(&quot;$&quot;* #,##0.00_);_(&quot;$&quot;* \(#,##0.00\);_(&quot;$&quot;* &quot;-&quot;??_);_(@_)">
                  <c:v>11618.137872200659</c:v>
                </c:pt>
                <c:pt idx="468" formatCode="_(&quot;$&quot;* #,##0.00_);_(&quot;$&quot;* \(#,##0.00\);_(&quot;$&quot;* &quot;-&quot;??_);_(@_)">
                  <c:v>10799.860406651076</c:v>
                </c:pt>
                <c:pt idx="469" formatCode="_(&quot;$&quot;* #,##0.00_);_(&quot;$&quot;* \(#,##0.00\);_(&quot;$&quot;* &quot;-&quot;??_);_(@_)">
                  <c:v>10430.498444159222</c:v>
                </c:pt>
                <c:pt idx="470" formatCode="_(&quot;$&quot;* #,##0.00_);_(&quot;$&quot;* \(#,##0.00\);_(&quot;$&quot;* &quot;-&quot;??_);_(@_)">
                  <c:v>11200.660980654839</c:v>
                </c:pt>
                <c:pt idx="471" formatCode="_(&quot;$&quot;* #,##0.00_);_(&quot;$&quot;* \(#,##0.00\);_(&quot;$&quot;* &quot;-&quot;??_);_(@_)">
                  <c:v>11307.500957934855</c:v>
                </c:pt>
                <c:pt idx="472" formatCode="_(&quot;$&quot;* #,##0.00_);_(&quot;$&quot;* \(#,##0.00\);_(&quot;$&quot;* &quot;-&quot;??_);_(@_)">
                  <c:v>10291.062387308821</c:v>
                </c:pt>
                <c:pt idx="473" formatCode="_(&quot;$&quot;* #,##0.00_);_(&quot;$&quot;* \(#,##0.00\);_(&quot;$&quot;* &quot;-&quot;??_);_(@_)">
                  <c:v>10416.841605884931</c:v>
                </c:pt>
                <c:pt idx="474" formatCode="_(&quot;$&quot;* #,##0.00_);_(&quot;$&quot;* \(#,##0.00\);_(&quot;$&quot;* &quot;-&quot;??_);_(@_)">
                  <c:v>10196.830556618965</c:v>
                </c:pt>
                <c:pt idx="475" formatCode="_(&quot;$&quot;* #,##0.00_);_(&quot;$&quot;* \(#,##0.00\);_(&quot;$&quot;* &quot;-&quot;??_);_(@_)">
                  <c:v>10584.043865271798</c:v>
                </c:pt>
                <c:pt idx="476" formatCode="_(&quot;$&quot;* #,##0.00_);_(&quot;$&quot;* \(#,##0.00\);_(&quot;$&quot;* &quot;-&quot;??_);_(@_)">
                  <c:v>10287.140846652666</c:v>
                </c:pt>
                <c:pt idx="477" formatCode="_(&quot;$&quot;* #,##0.00_);_(&quot;$&quot;* \(#,##0.00\);_(&quot;$&quot;* &quot;-&quot;??_);_(@_)">
                  <c:v>10419.349502778379</c:v>
                </c:pt>
                <c:pt idx="478" formatCode="_(&quot;$&quot;* #,##0.00_);_(&quot;$&quot;* \(#,##0.00\);_(&quot;$&quot;* &quot;-&quot;??_);_(@_)">
                  <c:v>10141.430267370879</c:v>
                </c:pt>
                <c:pt idx="479" formatCode="_(&quot;$&quot;* #,##0.00_);_(&quot;$&quot;* \(#,##0.00\);_(&quot;$&quot;* &quot;-&quot;??_);_(@_)">
                  <c:v>10175.128090965749</c:v>
                </c:pt>
                <c:pt idx="480" formatCode="_(&quot;$&quot;* #,##0.00_);_(&quot;$&quot;* \(#,##0.00\);_(&quot;$&quot;* &quot;-&quot;??_);_(@_)">
                  <c:v>9672.9133967620528</c:v>
                </c:pt>
                <c:pt idx="481" formatCode="_(&quot;$&quot;* #,##0.00_);_(&quot;$&quot;* \(#,##0.00\);_(&quot;$&quot;* &quot;-&quot;??_);_(@_)">
                  <c:v>10315.308856692103</c:v>
                </c:pt>
                <c:pt idx="482" formatCode="_(&quot;$&quot;* #,##0.00_);_(&quot;$&quot;* \(#,##0.00\);_(&quot;$&quot;* &quot;-&quot;??_);_(@_)">
                  <c:v>10806.247565647775</c:v>
                </c:pt>
                <c:pt idx="483" formatCode="_(&quot;$&quot;* #,##0.00_);_(&quot;$&quot;* \(#,##0.00\);_(&quot;$&quot;* &quot;-&quot;??_);_(@_)">
                  <c:v>10463.579304534476</c:v>
                </c:pt>
                <c:pt idx="484" formatCode="_(&quot;$&quot;* #,##0.00_);_(&quot;$&quot;* \(#,##0.00\);_(&quot;$&quot;* &quot;-&quot;??_);_(@_)">
                  <c:v>10142.830389914989</c:v>
                </c:pt>
                <c:pt idx="485" formatCode="_(&quot;$&quot;* #,##0.00_);_(&quot;$&quot;* \(#,##0.00\);_(&quot;$&quot;* &quot;-&quot;??_);_(@_)">
                  <c:v>9616.7243898502147</c:v>
                </c:pt>
                <c:pt idx="486" formatCode="_(&quot;$&quot;* #,##0.00_);_(&quot;$&quot;* \(#,##0.00\);_(&quot;$&quot;* &quot;-&quot;??_);_(@_)">
                  <c:v>9460.2163593943951</c:v>
                </c:pt>
                <c:pt idx="487" formatCode="_(&quot;$&quot;* #,##0.00_);_(&quot;$&quot;* \(#,##0.00\);_(&quot;$&quot;* &quot;-&quot;??_);_(@_)">
                  <c:v>9586.2734351597956</c:v>
                </c:pt>
                <c:pt idx="488" formatCode="_(&quot;$&quot;* #,##0.00_);_(&quot;$&quot;* \(#,##0.00\);_(&quot;$&quot;* &quot;-&quot;??_);_(@_)">
                  <c:v>9312.8550424215682</c:v>
                </c:pt>
                <c:pt idx="489" formatCode="_(&quot;$&quot;* #,##0.00_);_(&quot;$&quot;* \(#,##0.00\);_(&quot;$&quot;* &quot;-&quot;??_);_(@_)">
                  <c:v>9872.4372997969585</c:v>
                </c:pt>
                <c:pt idx="490" formatCode="_(&quot;$&quot;* #,##0.00_);_(&quot;$&quot;* \(#,##0.00\);_(&quot;$&quot;* &quot;-&quot;??_);_(@_)">
                  <c:v>10015.396556408841</c:v>
                </c:pt>
                <c:pt idx="491" formatCode="_(&quot;$&quot;* #,##0.00_);_(&quot;$&quot;* \(#,##0.00\);_(&quot;$&quot;* &quot;-&quot;??_);_(@_)">
                  <c:v>9847.6932789454895</c:v>
                </c:pt>
                <c:pt idx="492" formatCode="_(&quot;$&quot;* #,##0.00_);_(&quot;$&quot;* \(#,##0.00\);_(&quot;$&quot;* &quot;-&quot;??_);_(@_)">
                  <c:v>9645.8647760439999</c:v>
                </c:pt>
                <c:pt idx="493" formatCode="_(&quot;$&quot;* #,##0.00_);_(&quot;$&quot;* \(#,##0.00\);_(&quot;$&quot;* &quot;-&quot;??_);_(@_)">
                  <c:v>9856.8125148255331</c:v>
                </c:pt>
                <c:pt idx="494" formatCode="_(&quot;$&quot;* #,##0.00_);_(&quot;$&quot;* \(#,##0.00\);_(&quot;$&quot;* &quot;-&quot;??_);_(@_)">
                  <c:v>9642.3862885679609</c:v>
                </c:pt>
                <c:pt idx="495" formatCode="_(&quot;$&quot;* #,##0.00_);_(&quot;$&quot;* \(#,##0.00\);_(&quot;$&quot;* &quot;-&quot;??_);_(@_)">
                  <c:v>9158.0219759633492</c:v>
                </c:pt>
                <c:pt idx="496" formatCode="_(&quot;$&quot;* #,##0.00_);_(&quot;$&quot;* \(#,##0.00\);_(&quot;$&quot;* &quot;-&quot;??_);_(@_)">
                  <c:v>9037.5464695425781</c:v>
                </c:pt>
                <c:pt idx="497" formatCode="_(&quot;$&quot;* #,##0.00_);_(&quot;$&quot;* \(#,##0.00\);_(&quot;$&quot;* &quot;-&quot;??_);_(@_)">
                  <c:v>9158.1555900494877</c:v>
                </c:pt>
                <c:pt idx="498" formatCode="_(&quot;$&quot;* #,##0.00_);_(&quot;$&quot;* \(#,##0.00\);_(&quot;$&quot;* &quot;-&quot;??_);_(@_)">
                  <c:v>8720.0744039341535</c:v>
                </c:pt>
                <c:pt idx="499" formatCode="_(&quot;$&quot;* #,##0.00_);_(&quot;$&quot;* \(#,##0.00\);_(&quot;$&quot;* &quot;-&quot;??_);_(@_)">
                  <c:v>8509.2109698460754</c:v>
                </c:pt>
                <c:pt idx="500" formatCode="_(&quot;$&quot;* #,##0.00_);_(&quot;$&quot;* \(#,##0.00\);_(&quot;$&quot;* &quot;-&quot;??_);_(@_)">
                  <c:v>8504.243553715809</c:v>
                </c:pt>
                <c:pt idx="501" formatCode="_(&quot;$&quot;* #,##0.00_);_(&quot;$&quot;* \(#,##0.00\);_(&quot;$&quot;* &quot;-&quot;??_);_(@_)">
                  <c:v>8531.3200680156206</c:v>
                </c:pt>
                <c:pt idx="502" formatCode="_(&quot;$&quot;* #,##0.00_);_(&quot;$&quot;* \(#,##0.00\);_(&quot;$&quot;* &quot;-&quot;??_);_(@_)">
                  <c:v>8594.4194512072427</c:v>
                </c:pt>
                <c:pt idx="503" formatCode="_(&quot;$&quot;* #,##0.00_);_(&quot;$&quot;* \(#,##0.00\);_(&quot;$&quot;* &quot;-&quot;??_);_(@_)">
                  <c:v>8215.6363248340822</c:v>
                </c:pt>
                <c:pt idx="504" formatCode="_(&quot;$&quot;* #,##0.00_);_(&quot;$&quot;* \(#,##0.00\);_(&quot;$&quot;* &quot;-&quot;??_);_(@_)">
                  <c:v>8060.8671118210386</c:v>
                </c:pt>
                <c:pt idx="505" formatCode="_(&quot;$&quot;* #,##0.00_);_(&quot;$&quot;* \(#,##0.00\);_(&quot;$&quot;* &quot;-&quot;??_);_(@_)">
                  <c:v>8139.0108642968644</c:v>
                </c:pt>
                <c:pt idx="506" formatCode="_(&quot;$&quot;* #,##0.00_);_(&quot;$&quot;* \(#,##0.00\);_(&quot;$&quot;* &quot;-&quot;??_);_(@_)">
                  <c:v>7567.1760832818936</c:v>
                </c:pt>
                <c:pt idx="507" formatCode="_(&quot;$&quot;* #,##0.00_);_(&quot;$&quot;* \(#,##0.00\);_(&quot;$&quot;* &quot;-&quot;??_);_(@_)">
                  <c:v>7718.0730082615446</c:v>
                </c:pt>
                <c:pt idx="508" formatCode="_(&quot;$&quot;* #,##0.00_);_(&quot;$&quot;* \(#,##0.00\);_(&quot;$&quot;* &quot;-&quot;??_);_(@_)">
                  <c:v>7714.5747429277881</c:v>
                </c:pt>
                <c:pt idx="509" formatCode="_(&quot;$&quot;* #,##0.00_);_(&quot;$&quot;* \(#,##0.00\);_(&quot;$&quot;* &quot;-&quot;??_);_(@_)">
                  <c:v>7722.0261075137341</c:v>
                </c:pt>
                <c:pt idx="510" formatCode="_(&quot;$&quot;* #,##0.00_);_(&quot;$&quot;* \(#,##0.00\);_(&quot;$&quot;* &quot;-&quot;??_);_(@_)">
                  <c:v>7593.3125424526452</c:v>
                </c:pt>
                <c:pt idx="511" formatCode="_(&quot;$&quot;* #,##0.00_);_(&quot;$&quot;* \(#,##0.00\);_(&quot;$&quot;* &quot;-&quot;??_);_(@_)">
                  <c:v>8264.3119183832223</c:v>
                </c:pt>
                <c:pt idx="512" formatCode="_(&quot;$&quot;* #,##0.00_);_(&quot;$&quot;* \(#,##0.00\);_(&quot;$&quot;* &quot;-&quot;??_);_(@_)">
                  <c:v>8387.3390273442492</c:v>
                </c:pt>
                <c:pt idx="513" formatCode="_(&quot;$&quot;* #,##0.00_);_(&quot;$&quot;* \(#,##0.00\);_(&quot;$&quot;* &quot;-&quot;??_);_(@_)">
                  <c:v>8669.3135718056383</c:v>
                </c:pt>
                <c:pt idx="514" formatCode="_(&quot;$&quot;* #,##0.00_);_(&quot;$&quot;* \(#,##0.00\);_(&quot;$&quot;* &quot;-&quot;??_);_(@_)">
                  <c:v>8243.5760127576159</c:v>
                </c:pt>
                <c:pt idx="515" formatCode="_(&quot;$&quot;* #,##0.00_);_(&quot;$&quot;* \(#,##0.00\);_(&quot;$&quot;* &quot;-&quot;??_);_(@_)">
                  <c:v>8443.3360478685281</c:v>
                </c:pt>
                <c:pt idx="516" formatCode="_(&quot;$&quot;* #,##0.00_);_(&quot;$&quot;* \(#,##0.00\);_(&quot;$&quot;* &quot;-&quot;??_);_(@_)">
                  <c:v>8330.2383477157855</c:v>
                </c:pt>
                <c:pt idx="517" formatCode="_(&quot;$&quot;* #,##0.00_);_(&quot;$&quot;* \(#,##0.00\);_(&quot;$&quot;* &quot;-&quot;??_);_(@_)">
                  <c:v>8649.6968873685582</c:v>
                </c:pt>
                <c:pt idx="518" formatCode="_(&quot;$&quot;* #,##0.00_);_(&quot;$&quot;* \(#,##0.00\);_(&quot;$&quot;* &quot;-&quot;??_);_(@_)">
                  <c:v>8748.2017243776627</c:v>
                </c:pt>
                <c:pt idx="519" formatCode="_(&quot;$&quot;* #,##0.00_);_(&quot;$&quot;* \(#,##0.00\);_(&quot;$&quot;* &quot;-&quot;??_);_(@_)">
                  <c:v>8954.1400095347635</c:v>
                </c:pt>
                <c:pt idx="520" formatCode="_(&quot;$&quot;* #,##0.00_);_(&quot;$&quot;* \(#,##0.00\);_(&quot;$&quot;* &quot;-&quot;??_);_(@_)">
                  <c:v>8727.1077084394019</c:v>
                </c:pt>
                <c:pt idx="521" formatCode="_(&quot;$&quot;* #,##0.00_);_(&quot;$&quot;* \(#,##0.00\);_(&quot;$&quot;* &quot;-&quot;??_);_(@_)">
                  <c:v>9530.469291441048</c:v>
                </c:pt>
                <c:pt idx="522" formatCode="_(&quot;$&quot;* #,##0.00_);_(&quot;$&quot;* \(#,##0.00\);_(&quot;$&quot;* &quot;-&quot;??_);_(@_)">
                  <c:v>9201.2413941094474</c:v>
                </c:pt>
                <c:pt idx="523" formatCode="_(&quot;$&quot;* #,##0.00_);_(&quot;$&quot;* \(#,##0.00\);_(&quot;$&quot;* &quot;-&quot;??_);_(@_)">
                  <c:v>9292.4092195457779</c:v>
                </c:pt>
                <c:pt idx="524" formatCode="_(&quot;$&quot;* #,##0.00_);_(&quot;$&quot;* \(#,##0.00\);_(&quot;$&quot;* &quot;-&quot;??_);_(@_)">
                  <c:v>9395.5898842376228</c:v>
                </c:pt>
                <c:pt idx="525" formatCode="_(&quot;$&quot;* #,##0.00_);_(&quot;$&quot;* \(#,##0.00\);_(&quot;$&quot;* &quot;-&quot;??_);_(@_)">
                  <c:v>9890.7017879312061</c:v>
                </c:pt>
                <c:pt idx="526" formatCode="_(&quot;$&quot;* #,##0.00_);_(&quot;$&quot;* \(#,##0.00\);_(&quot;$&quot;* &quot;-&quot;??_);_(@_)">
                  <c:v>9470.6195158342052</c:v>
                </c:pt>
                <c:pt idx="527" formatCode="_(&quot;$&quot;* #,##0.00_);_(&quot;$&quot;* \(#,##0.00\);_(&quot;$&quot;* &quot;-&quot;??_);_(@_)">
                  <c:v>9986.6724198563843</c:v>
                </c:pt>
                <c:pt idx="528" formatCode="_(&quot;$&quot;* #,##0.00_);_(&quot;$&quot;* \(#,##0.00\);_(&quot;$&quot;* &quot;-&quot;??_);_(@_)">
                  <c:v>9679.7220259890346</c:v>
                </c:pt>
                <c:pt idx="529" formatCode="_(&quot;$&quot;* #,##0.00_);_(&quot;$&quot;* \(#,##0.00\);_(&quot;$&quot;* &quot;-&quot;??_);_(@_)">
                  <c:v>8967.5147978858731</c:v>
                </c:pt>
                <c:pt idx="530" formatCode="_(&quot;$&quot;* #,##0.00_);_(&quot;$&quot;* \(#,##0.00\);_(&quot;$&quot;* &quot;-&quot;??_);_(@_)">
                  <c:v>9696.9791690453021</c:v>
                </c:pt>
                <c:pt idx="531" formatCode="_(&quot;$&quot;* #,##0.00_);_(&quot;$&quot;* \(#,##0.00\);_(&quot;$&quot;* &quot;-&quot;??_);_(@_)">
                  <c:v>9653.3210907139728</c:v>
                </c:pt>
                <c:pt idx="532" formatCode="_(&quot;$&quot;* #,##0.00_);_(&quot;$&quot;* \(#,##0.00\);_(&quot;$&quot;* &quot;-&quot;??_);_(@_)">
                  <c:v>9191.7900032261859</c:v>
                </c:pt>
                <c:pt idx="533" formatCode="_(&quot;$&quot;* #,##0.00_);_(&quot;$&quot;* \(#,##0.00\);_(&quot;$&quot;* &quot;-&quot;??_);_(@_)">
                  <c:v>9200.1291430345991</c:v>
                </c:pt>
                <c:pt idx="534" formatCode="_(&quot;$&quot;* #,##0.00_);_(&quot;$&quot;* \(#,##0.00\);_(&quot;$&quot;* &quot;-&quot;??_);_(@_)">
                  <c:v>9373.1525871440535</c:v>
                </c:pt>
                <c:pt idx="535" formatCode="_(&quot;$&quot;* #,##0.00_);_(&quot;$&quot;* \(#,##0.00\);_(&quot;$&quot;* &quot;-&quot;??_);_(@_)">
                  <c:v>9541.3768943657997</c:v>
                </c:pt>
                <c:pt idx="536" formatCode="_(&quot;$&quot;* #,##0.00_);_(&quot;$&quot;* \(#,##0.00\);_(&quot;$&quot;* &quot;-&quot;??_);_(@_)">
                  <c:v>9477.3547709159429</c:v>
                </c:pt>
                <c:pt idx="537" formatCode="_(&quot;$&quot;* #,##0.00_);_(&quot;$&quot;* \(#,##0.00\);_(&quot;$&quot;* &quot;-&quot;??_);_(@_)">
                  <c:v>9481.8211826208862</c:v>
                </c:pt>
                <c:pt idx="538" formatCode="_(&quot;$&quot;* #,##0.00_);_(&quot;$&quot;* \(#,##0.00\);_(&quot;$&quot;* &quot;-&quot;??_);_(@_)">
                  <c:v>9366.9732397737116</c:v>
                </c:pt>
                <c:pt idx="539" formatCode="_(&quot;$&quot;* #,##0.00_);_(&quot;$&quot;* \(#,##0.00\);_(&quot;$&quot;* &quot;-&quot;??_);_(@_)">
                  <c:v>9342.1952494044672</c:v>
                </c:pt>
                <c:pt idx="540" formatCode="_(&quot;$&quot;* #,##0.00_);_(&quot;$&quot;* \(#,##0.00\);_(&quot;$&quot;* &quot;-&quot;??_);_(@_)">
                  <c:v>8252.7374171860465</c:v>
                </c:pt>
                <c:pt idx="541" formatCode="_(&quot;$&quot;* #,##0.00_);_(&quot;$&quot;* \(#,##0.00\);_(&quot;$&quot;* &quot;-&quot;??_);_(@_)">
                  <c:v>8113.3598520269788</c:v>
                </c:pt>
                <c:pt idx="542" formatCode="_(&quot;$&quot;* #,##0.00_);_(&quot;$&quot;* \(#,##0.00\);_(&quot;$&quot;* &quot;-&quot;??_);_(@_)">
                  <c:v>8270.7874842491456</c:v>
                </c:pt>
                <c:pt idx="543" formatCode="_(&quot;$&quot;* #,##0.00_);_(&quot;$&quot;* \(#,##0.00\);_(&quot;$&quot;* &quot;-&quot;??_);_(@_)">
                  <c:v>8520.4666055042071</c:v>
                </c:pt>
                <c:pt idx="544" formatCode="_(&quot;$&quot;* #,##0.00_);_(&quot;$&quot;* \(#,##0.00\);_(&quot;$&quot;* &quot;-&quot;??_);_(@_)">
                  <c:v>8843.1924433266449</c:v>
                </c:pt>
                <c:pt idx="545" formatCode="_(&quot;$&quot;* #,##0.00_);_(&quot;$&quot;* \(#,##0.00\);_(&quot;$&quot;* &quot;-&quot;??_);_(@_)">
                  <c:v>8769.1264990274285</c:v>
                </c:pt>
                <c:pt idx="546" formatCode="_(&quot;$&quot;* #,##0.00_);_(&quot;$&quot;* \(#,##0.00\);_(&quot;$&quot;* &quot;-&quot;??_);_(@_)">
                  <c:v>8523.6529866148012</c:v>
                </c:pt>
                <c:pt idx="547" formatCode="_(&quot;$&quot;* #,##0.00_);_(&quot;$&quot;* \(#,##0.00\);_(&quot;$&quot;* &quot;-&quot;??_);_(@_)">
                  <c:v>8722.1329107097499</c:v>
                </c:pt>
                <c:pt idx="548" formatCode="_(&quot;$&quot;* #,##0.00_);_(&quot;$&quot;* \(#,##0.00\);_(&quot;$&quot;* &quot;-&quot;??_);_(@_)">
                  <c:v>9362.6641994054207</c:v>
                </c:pt>
                <c:pt idx="549" formatCode="_(&quot;$&quot;* #,##0.00_);_(&quot;$&quot;* \(#,##0.00\);_(&quot;$&quot;* &quot;-&quot;??_);_(@_)">
                  <c:v>9085.0617827394108</c:v>
                </c:pt>
                <c:pt idx="550" formatCode="_(&quot;$&quot;* #,##0.00_);_(&quot;$&quot;* \(#,##0.00\);_(&quot;$&quot;* &quot;-&quot;??_);_(@_)">
                  <c:v>8889.7894008408693</c:v>
                </c:pt>
                <c:pt idx="551" formatCode="_(&quot;$&quot;* #,##0.00_);_(&quot;$&quot;* \(#,##0.00\);_(&quot;$&quot;* &quot;-&quot;??_);_(@_)">
                  <c:v>8392.3837414322461</c:v>
                </c:pt>
                <c:pt idx="552" formatCode="_(&quot;$&quot;* #,##0.00_);_(&quot;$&quot;* \(#,##0.00\);_(&quot;$&quot;* &quot;-&quot;??_);_(@_)">
                  <c:v>8643.1743629082375</c:v>
                </c:pt>
                <c:pt idx="553" formatCode="_(&quot;$&quot;* #,##0.00_);_(&quot;$&quot;* \(#,##0.00\);_(&quot;$&quot;* &quot;-&quot;??_);_(@_)">
                  <c:v>9003.1441774063042</c:v>
                </c:pt>
                <c:pt idx="554" formatCode="_(&quot;$&quot;* #,##0.00_);_(&quot;$&quot;* \(#,##0.00\);_(&quot;$&quot;* &quot;-&quot;??_);_(@_)">
                  <c:v>9021.2742899030691</c:v>
                </c:pt>
                <c:pt idx="555" formatCode="_(&quot;$&quot;* #,##0.00_);_(&quot;$&quot;* \(#,##0.00\);_(&quot;$&quot;* &quot;-&quot;??_);_(@_)">
                  <c:v>9482.9459817535844</c:v>
                </c:pt>
                <c:pt idx="556" formatCode="_(&quot;$&quot;* #,##0.00_);_(&quot;$&quot;* \(#,##0.00\);_(&quot;$&quot;* &quot;-&quot;??_);_(@_)">
                  <c:v>9597.8341081224316</c:v>
                </c:pt>
                <c:pt idx="557" formatCode="_(&quot;$&quot;* #,##0.00_);_(&quot;$&quot;* \(#,##0.00\);_(&quot;$&quot;* &quot;-&quot;??_);_(@_)">
                  <c:v>9264.7287511412687</c:v>
                </c:pt>
                <c:pt idx="558" formatCode="_(&quot;$&quot;* #,##0.00_);_(&quot;$&quot;* \(#,##0.00\);_(&quot;$&quot;* &quot;-&quot;??_);_(@_)">
                  <c:v>8273.9094356914993</c:v>
                </c:pt>
                <c:pt idx="559" formatCode="_(&quot;$&quot;* #,##0.00_);_(&quot;$&quot;* \(#,##0.00\);_(&quot;$&quot;* &quot;-&quot;??_);_(@_)">
                  <c:v>7573.5123343984651</c:v>
                </c:pt>
                <c:pt idx="560" formatCode="_(&quot;$&quot;* #,##0.00_);_(&quot;$&quot;* \(#,##0.00\);_(&quot;$&quot;* &quot;-&quot;??_);_(@_)">
                  <c:v>7983.5150596296871</c:v>
                </c:pt>
                <c:pt idx="561" formatCode="_(&quot;$&quot;* #,##0.00_);_(&quot;$&quot;* \(#,##0.00\);_(&quot;$&quot;* &quot;-&quot;??_);_(@_)">
                  <c:v>7780.1222369899124</c:v>
                </c:pt>
                <c:pt idx="562" formatCode="_(&quot;$&quot;* #,##0.00_);_(&quot;$&quot;* \(#,##0.00\);_(&quot;$&quot;* &quot;-&quot;??_);_(@_)">
                  <c:v>8507.9389902366111</c:v>
                </c:pt>
                <c:pt idx="563" formatCode="_(&quot;$&quot;* #,##0.00_);_(&quot;$&quot;* \(#,##0.00\);_(&quot;$&quot;* &quot;-&quot;??_);_(@_)">
                  <c:v>8208.5097705789922</c:v>
                </c:pt>
                <c:pt idx="564" formatCode="_(&quot;$&quot;* #,##0.00_);_(&quot;$&quot;* \(#,##0.00\);_(&quot;$&quot;* &quot;-&quot;??_);_(@_)">
                  <c:v>7484.2130348644632</c:v>
                </c:pt>
                <c:pt idx="565" formatCode="_(&quot;$&quot;* #,##0.00_);_(&quot;$&quot;* \(#,##0.00\);_(&quot;$&quot;* &quot;-&quot;??_);_(@_)">
                  <c:v>6731.5282550644142</c:v>
                </c:pt>
                <c:pt idx="566" formatCode="_(&quot;$&quot;* #,##0.00_);_(&quot;$&quot;* \(#,##0.00\);_(&quot;$&quot;* &quot;-&quot;??_);_(@_)">
                  <c:v>7229.12682754651</c:v>
                </c:pt>
                <c:pt idx="567" formatCode="_(&quot;$&quot;* #,##0.00_);_(&quot;$&quot;* \(#,##0.00\);_(&quot;$&quot;* &quot;-&quot;??_);_(@_)">
                  <c:v>7466.0079354330755</c:v>
                </c:pt>
                <c:pt idx="568" formatCode="_(&quot;$&quot;* #,##0.00_);_(&quot;$&quot;* \(#,##0.00\);_(&quot;$&quot;* &quot;-&quot;??_);_(@_)">
                  <c:v>7534.1952951427702</c:v>
                </c:pt>
                <c:pt idx="569" formatCode="_(&quot;$&quot;* #,##0.00_);_(&quot;$&quot;* \(#,##0.00\);_(&quot;$&quot;* &quot;-&quot;??_);_(@_)">
                  <c:v>7923.1122614187761</c:v>
                </c:pt>
                <c:pt idx="570" formatCode="_(&quot;$&quot;* #,##0.00_);_(&quot;$&quot;* \(#,##0.00\);_(&quot;$&quot;* &quot;-&quot;??_);_(@_)">
                  <c:v>7955.6671053165828</c:v>
                </c:pt>
                <c:pt idx="571" formatCode="_(&quot;$&quot;* #,##0.00_);_(&quot;$&quot;* \(#,##0.00\);_(&quot;$&quot;* &quot;-&quot;??_);_(@_)">
                  <c:v>7043.2700927240512</c:v>
                </c:pt>
                <c:pt idx="572" formatCode="_(&quot;$&quot;* #,##0.00_);_(&quot;$&quot;* \(#,##0.00\);_(&quot;$&quot;* &quot;-&quot;??_);_(@_)">
                  <c:v>6784.6833747550754</c:v>
                </c:pt>
                <c:pt idx="573" formatCode="_(&quot;$&quot;* #,##0.00_);_(&quot;$&quot;* \(#,##0.00\);_(&quot;$&quot;* &quot;-&quot;??_);_(@_)">
                  <c:v>7237.4117917913482</c:v>
                </c:pt>
                <c:pt idx="574" formatCode="_(&quot;$&quot;* #,##0.00_);_(&quot;$&quot;* \(#,##0.00\);_(&quot;$&quot;* &quot;-&quot;??_);_(@_)">
                  <c:v>6878.3338613866117</c:v>
                </c:pt>
                <c:pt idx="575" formatCode="_(&quot;$&quot;* #,##0.00_);_(&quot;$&quot;* \(#,##0.00\);_(&quot;$&quot;* &quot;-&quot;??_);_(@_)">
                  <c:v>7249.4407881101397</c:v>
                </c:pt>
                <c:pt idx="576" formatCode="_(&quot;$&quot;* #,##0.00_);_(&quot;$&quot;* \(#,##0.00\);_(&quot;$&quot;* &quot;-&quot;??_);_(@_)">
                  <c:v>7216.3468073082959</c:v>
                </c:pt>
                <c:pt idx="577" formatCode="_(&quot;$&quot;* #,##0.00_);_(&quot;$&quot;* \(#,##0.00\);_(&quot;$&quot;* &quot;-&quot;??_);_(@_)">
                  <c:v>7136.0378389439029</c:v>
                </c:pt>
                <c:pt idx="578" formatCode="_(&quot;$&quot;* #,##0.00_);_(&quot;$&quot;* \(#,##0.00\);_(&quot;$&quot;* &quot;-&quot;??_);_(@_)">
                  <c:v>6904.0181614249732</c:v>
                </c:pt>
                <c:pt idx="579" formatCode="_(&quot;$&quot;* #,##0.00_);_(&quot;$&quot;* \(#,##0.00\);_(&quot;$&quot;* &quot;-&quot;??_);_(@_)">
                  <c:v>6879.9125365743648</c:v>
                </c:pt>
                <c:pt idx="580" formatCode="_(&quot;$&quot;* #,##0.00_);_(&quot;$&quot;* \(#,##0.00\);_(&quot;$&quot;* &quot;-&quot;??_);_(@_)">
                  <c:v>6685.4068386467006</c:v>
                </c:pt>
                <c:pt idx="581" formatCode="_(&quot;$&quot;* #,##0.00_);_(&quot;$&quot;* \(#,##0.00\);_(&quot;$&quot;* &quot;-&quot;??_);_(@_)">
                  <c:v>6219.0808206565889</c:v>
                </c:pt>
                <c:pt idx="582" formatCode="_(&quot;$&quot;* #,##0.00_);_(&quot;$&quot;* \(#,##0.00\);_(&quot;$&quot;* &quot;-&quot;??_);_(@_)">
                  <c:v>6675.3877353773241</c:v>
                </c:pt>
                <c:pt idx="583" formatCode="_(&quot;$&quot;* #,##0.00_);_(&quot;$&quot;* \(#,##0.00\);_(&quot;$&quot;* &quot;-&quot;??_);_(@_)">
                  <c:v>7587.5101061786117</c:v>
                </c:pt>
                <c:pt idx="584" formatCode="_(&quot;$&quot;* #,##0.00_);_(&quot;$&quot;* \(#,##0.00\);_(&quot;$&quot;* &quot;-&quot;??_);_(@_)">
                  <c:v>8158.9525647085356</c:v>
                </c:pt>
                <c:pt idx="585" formatCode="_(&quot;$&quot;* #,##0.00_);_(&quot;$&quot;* \(#,##0.00\);_(&quot;$&quot;* &quot;-&quot;??_);_(@_)">
                  <c:v>7288.8853505896805</c:v>
                </c:pt>
                <c:pt idx="586" formatCode="_(&quot;$&quot;* #,##0.00_);_(&quot;$&quot;* \(#,##0.00\);_(&quot;$&quot;* &quot;-&quot;??_);_(@_)">
                  <c:v>7725.3624806614889</c:v>
                </c:pt>
                <c:pt idx="587" formatCode="_(&quot;$&quot;* #,##0.00_);_(&quot;$&quot;* \(#,##0.00\);_(&quot;$&quot;* &quot;-&quot;??_);_(@_)">
                  <c:v>7491.4231645689379</c:v>
                </c:pt>
                <c:pt idx="588" formatCode="_(&quot;$&quot;* #,##0.00_);_(&quot;$&quot;* \(#,##0.00\);_(&quot;$&quot;* &quot;-&quot;??_);_(@_)">
                  <c:v>7374.6326400463995</c:v>
                </c:pt>
                <c:pt idx="589" formatCode="_(&quot;$&quot;* #,##0.00_);_(&quot;$&quot;* \(#,##0.00\);_(&quot;$&quot;* &quot;-&quot;??_);_(@_)">
                  <c:v>7875.6228364482668</c:v>
                </c:pt>
                <c:pt idx="590" formatCode="_(&quot;$&quot;* #,##0.00_);_(&quot;$&quot;* \(#,##0.00\);_(&quot;$&quot;* &quot;-&quot;??_);_(@_)">
                  <c:v>7596.6398118801153</c:v>
                </c:pt>
                <c:pt idx="591" formatCode="_(&quot;$&quot;* #,##0.00_);_(&quot;$&quot;* \(#,##0.00\);_(&quot;$&quot;* &quot;-&quot;??_);_(@_)">
                  <c:v>8340.113197271352</c:v>
                </c:pt>
                <c:pt idx="592" formatCode="_(&quot;$&quot;* #,##0.00_);_(&quot;$&quot;* \(#,##0.00\);_(&quot;$&quot;* &quot;-&quot;??_);_(@_)">
                  <c:v>9383.3116040635505</c:v>
                </c:pt>
                <c:pt idx="593" formatCode="_(&quot;$&quot;* #,##0.00_);_(&quot;$&quot;* \(#,##0.00\);_(&quot;$&quot;* &quot;-&quot;??_);_(@_)">
                  <c:v>9240.1204977280031</c:v>
                </c:pt>
                <c:pt idx="594" formatCode="_(&quot;$&quot;* #,##0.00_);_(&quot;$&quot;* \(#,##0.00\);_(&quot;$&quot;* &quot;-&quot;??_);_(@_)">
                  <c:v>8332.3700350540566</c:v>
                </c:pt>
                <c:pt idx="595" formatCode="_(&quot;$&quot;* #,##0.00_);_(&quot;$&quot;* \(#,##0.00\);_(&quot;$&quot;* &quot;-&quot;??_);_(@_)">
                  <c:v>8564.7244975502781</c:v>
                </c:pt>
                <c:pt idx="596" formatCode="_(&quot;$&quot;* #,##0.00_);_(&quot;$&quot;* \(#,##0.00\);_(&quot;$&quot;* &quot;-&quot;??_);_(@_)">
                  <c:v>8296.299955052782</c:v>
                </c:pt>
                <c:pt idx="597" formatCode="_(&quot;$&quot;* #,##0.00_);_(&quot;$&quot;* \(#,##0.00\);_(&quot;$&quot;* &quot;-&quot;??_);_(@_)">
                  <c:v>8577.2457956419075</c:v>
                </c:pt>
                <c:pt idx="598" formatCode="_(&quot;$&quot;* #,##0.00_);_(&quot;$&quot;* \(#,##0.00\);_(&quot;$&quot;* &quot;-&quot;??_);_(@_)">
                  <c:v>8714.9740940693846</c:v>
                </c:pt>
                <c:pt idx="599" formatCode="_(&quot;$&quot;* #,##0.00_);_(&quot;$&quot;* \(#,##0.00\);_(&quot;$&quot;* &quot;-&quot;??_);_(@_)">
                  <c:v>8865.9332731488939</c:v>
                </c:pt>
                <c:pt idx="600" formatCode="_(&quot;$&quot;* #,##0.00_);_(&quot;$&quot;* \(#,##0.00\);_(&quot;$&quot;* &quot;-&quot;??_);_(@_)">
                  <c:v>8780.1188767854019</c:v>
                </c:pt>
                <c:pt idx="601" formatCode="_(&quot;$&quot;* #,##0.00_);_(&quot;$&quot;* \(#,##0.00\);_(&quot;$&quot;* &quot;-&quot;??_);_(@_)">
                  <c:v>8963.7791217176455</c:v>
                </c:pt>
                <c:pt idx="602" formatCode="_(&quot;$&quot;* #,##0.00_);_(&quot;$&quot;* \(#,##0.00\);_(&quot;$&quot;* &quot;-&quot;??_);_(@_)">
                  <c:v>8868.1987403763906</c:v>
                </c:pt>
                <c:pt idx="603" formatCode="_(&quot;$&quot;* #,##0.00_);_(&quot;$&quot;* \(#,##0.00\);_(&quot;$&quot;* &quot;-&quot;??_);_(@_)">
                  <c:v>9459.5191831297889</c:v>
                </c:pt>
                <c:pt idx="604" formatCode="_(&quot;$&quot;* #,##0.00_);_(&quot;$&quot;* \(#,##0.00\);_(&quot;$&quot;* &quot;-&quot;??_);_(@_)">
                  <c:v>8800.1062484035592</c:v>
                </c:pt>
                <c:pt idx="605" formatCode="_(&quot;$&quot;* #,##0.00_);_(&quot;$&quot;* \(#,##0.00\);_(&quot;$&quot;* &quot;-&quot;??_);_(@_)">
                  <c:v>8955.0310254124342</c:v>
                </c:pt>
                <c:pt idx="606" formatCode="_(&quot;$&quot;* #,##0.00_);_(&quot;$&quot;* \(#,##0.00\);_(&quot;$&quot;* &quot;-&quot;??_);_(@_)">
                  <c:v>9107.9045800374533</c:v>
                </c:pt>
                <c:pt idx="607" formatCode="_(&quot;$&quot;* #,##0.00_);_(&quot;$&quot;* \(#,##0.00\);_(&quot;$&quot;* &quot;-&quot;??_);_(@_)">
                  <c:v>8752.8167021958743</c:v>
                </c:pt>
                <c:pt idx="608" formatCode="_(&quot;$&quot;* #,##0.00_);_(&quot;$&quot;* \(#,##0.00\);_(&quot;$&quot;* &quot;-&quot;??_);_(@_)">
                  <c:v>8396.1996003131171</c:v>
                </c:pt>
                <c:pt idx="609" formatCode="_(&quot;$&quot;* #,##0.00_);_(&quot;$&quot;* \(#,##0.00\);_(&quot;$&quot;* &quot;-&quot;??_);_(@_)">
                  <c:v>8789.3078043386049</c:v>
                </c:pt>
                <c:pt idx="610" formatCode="_(&quot;$&quot;* #,##0.00_);_(&quot;$&quot;* \(#,##0.00\);_(&quot;$&quot;* &quot;-&quot;??_);_(@_)">
                  <c:v>9032.1403098909595</c:v>
                </c:pt>
                <c:pt idx="611" formatCode="_(&quot;$&quot;* #,##0.00_);_(&quot;$&quot;* \(#,##0.00\);_(&quot;$&quot;* &quot;-&quot;??_);_(@_)">
                  <c:v>9325.2022684059502</c:v>
                </c:pt>
                <c:pt idx="612" formatCode="_(&quot;$&quot;* #,##0.00_);_(&quot;$&quot;* \(#,##0.00\);_(&quot;$&quot;* &quot;-&quot;??_);_(@_)">
                  <c:v>9592.4917178573669</c:v>
                </c:pt>
                <c:pt idx="613" formatCode="_(&quot;$&quot;* #,##0.00_);_(&quot;$&quot;* \(#,##0.00\);_(&quot;$&quot;* &quot;-&quot;??_);_(@_)">
                  <c:v>9823.4125357511766</c:v>
                </c:pt>
                <c:pt idx="614" formatCode="_(&quot;$&quot;* #,##0.00_);_(&quot;$&quot;* \(#,##0.00\);_(&quot;$&quot;* &quot;-&quot;??_);_(@_)">
                  <c:v>10199.176121207893</c:v>
                </c:pt>
                <c:pt idx="615" formatCode="_(&quot;$&quot;* #,##0.00_);_(&quot;$&quot;* \(#,##0.00\);_(&quot;$&quot;* &quot;-&quot;??_);_(@_)">
                  <c:v>10676.213004799876</c:v>
                </c:pt>
                <c:pt idx="616" formatCode="_(&quot;$&quot;* #,##0.00_);_(&quot;$&quot;* \(#,##0.00\);_(&quot;$&quot;* &quot;-&quot;??_);_(@_)">
                  <c:v>10361.394407117121</c:v>
                </c:pt>
                <c:pt idx="617" formatCode="_(&quot;$&quot;* #,##0.00_);_(&quot;$&quot;* \(#,##0.00\);_(&quot;$&quot;* &quot;-&quot;??_);_(@_)">
                  <c:v>10601.975622887197</c:v>
                </c:pt>
                <c:pt idx="618" formatCode="_(&quot;$&quot;* #,##0.00_);_(&quot;$&quot;* \(#,##0.00\);_(&quot;$&quot;* &quot;-&quot;??_);_(@_)">
                  <c:v>11228.130856026593</c:v>
                </c:pt>
                <c:pt idx="619" formatCode="_(&quot;$&quot;* #,##0.00_);_(&quot;$&quot;* \(#,##0.00\);_(&quot;$&quot;* &quot;-&quot;??_);_(@_)">
                  <c:v>10765.032183166735</c:v>
                </c:pt>
                <c:pt idx="620" formatCode="_(&quot;$&quot;* #,##0.00_);_(&quot;$&quot;* \(#,##0.00\);_(&quot;$&quot;* &quot;-&quot;??_);_(@_)">
                  <c:v>10625.290787359132</c:v>
                </c:pt>
                <c:pt idx="621" formatCode="_(&quot;$&quot;* #,##0.00_);_(&quot;$&quot;* \(#,##0.00\);_(&quot;$&quot;* &quot;-&quot;??_);_(@_)">
                  <c:v>10807.708054136574</c:v>
                </c:pt>
                <c:pt idx="622" formatCode="_(&quot;$&quot;* #,##0.00_);_(&quot;$&quot;* \(#,##0.00\);_(&quot;$&quot;* &quot;-&quot;??_);_(@_)">
                  <c:v>10711.425291057623</c:v>
                </c:pt>
                <c:pt idx="623" formatCode="_(&quot;$&quot;* #,##0.00_);_(&quot;$&quot;* \(#,##0.00\);_(&quot;$&quot;* &quot;-&quot;??_);_(@_)">
                  <c:v>10360.533075973948</c:v>
                </c:pt>
                <c:pt idx="624" formatCode="_(&quot;$&quot;* #,##0.00_);_(&quot;$&quot;* \(#,##0.00\);_(&quot;$&quot;* &quot;-&quot;??_);_(@_)">
                  <c:v>10506.110249940675</c:v>
                </c:pt>
                <c:pt idx="625" formatCode="_(&quot;$&quot;* #,##0.00_);_(&quot;$&quot;* \(#,##0.00\);_(&quot;$&quot;* &quot;-&quot;??_);_(@_)">
                  <c:v>11647.300262526935</c:v>
                </c:pt>
                <c:pt idx="626" formatCode="_(&quot;$&quot;* #,##0.00_);_(&quot;$&quot;* \(#,##0.00\);_(&quot;$&quot;* &quot;-&quot;??_);_(@_)">
                  <c:v>12143.183239342887</c:v>
                </c:pt>
                <c:pt idx="627" formatCode="_(&quot;$&quot;* #,##0.00_);_(&quot;$&quot;* \(#,##0.00\);_(&quot;$&quot;* &quot;-&quot;??_);_(@_)">
                  <c:v>11802.051000441343</c:v>
                </c:pt>
                <c:pt idx="628" formatCode="_(&quot;$&quot;* #,##0.00_);_(&quot;$&quot;* \(#,##0.00\);_(&quot;$&quot;* &quot;-&quot;??_);_(@_)">
                  <c:v>12243.115745894085</c:v>
                </c:pt>
                <c:pt idx="629" formatCode="_(&quot;$&quot;* #,##0.00_);_(&quot;$&quot;* \(#,##0.00\);_(&quot;$&quot;* &quot;-&quot;??_);_(@_)">
                  <c:v>12066.310037367901</c:v>
                </c:pt>
                <c:pt idx="630" formatCode="_(&quot;$&quot;* #,##0.00_);_(&quot;$&quot;* \(#,##0.00\);_(&quot;$&quot;* &quot;-&quot;??_);_(@_)">
                  <c:v>12524.559343040504</c:v>
                </c:pt>
                <c:pt idx="631" formatCode="_(&quot;$&quot;* #,##0.00_);_(&quot;$&quot;* \(#,##0.00\);_(&quot;$&quot;* &quot;-&quot;??_);_(@_)">
                  <c:v>11801.120236674318</c:v>
                </c:pt>
                <c:pt idx="632" formatCode="_(&quot;$&quot;* #,##0.00_);_(&quot;$&quot;* \(#,##0.00\);_(&quot;$&quot;* &quot;-&quot;??_);_(@_)">
                  <c:v>12086.215845880477</c:v>
                </c:pt>
                <c:pt idx="633" formatCode="_(&quot;$&quot;* #,##0.00_);_(&quot;$&quot;* \(#,##0.00\);_(&quot;$&quot;* &quot;-&quot;??_);_(@_)">
                  <c:v>12079.818268246712</c:v>
                </c:pt>
                <c:pt idx="634" formatCode="_(&quot;$&quot;* #,##0.00_);_(&quot;$&quot;* \(#,##0.00\);_(&quot;$&quot;* &quot;-&quot;??_);_(@_)">
                  <c:v>11529.159310322686</c:v>
                </c:pt>
                <c:pt idx="635" formatCode="_(&quot;$&quot;* #,##0.00_);_(&quot;$&quot;* \(#,##0.00\);_(&quot;$&quot;* &quot;-&quot;??_);_(@_)">
                  <c:v>11485.254320449647</c:v>
                </c:pt>
                <c:pt idx="636" formatCode="_(&quot;$&quot;* #,##0.00_);_(&quot;$&quot;* \(#,##0.00\);_(&quot;$&quot;* &quot;-&quot;??_);_(@_)">
                  <c:v>11165.921440464845</c:v>
                </c:pt>
                <c:pt idx="637" formatCode="_(&quot;$&quot;* #,##0.00_);_(&quot;$&quot;* \(#,##0.00\);_(&quot;$&quot;* &quot;-&quot;??_);_(@_)">
                  <c:v>11275.760341728546</c:v>
                </c:pt>
                <c:pt idx="638" formatCode="_(&quot;$&quot;* #,##0.00_);_(&quot;$&quot;* \(#,##0.00\);_(&quot;$&quot;* &quot;-&quot;??_);_(@_)">
                  <c:v>10200.086497731045</c:v>
                </c:pt>
                <c:pt idx="639" formatCode="_(&quot;$&quot;* #,##0.00_);_(&quot;$&quot;* \(#,##0.00\);_(&quot;$&quot;* &quot;-&quot;??_);_(@_)">
                  <c:v>10002.913499158845</c:v>
                </c:pt>
                <c:pt idx="640" formatCode="_(&quot;$&quot;* #,##0.00_);_(&quot;$&quot;* \(#,##0.00\);_(&quot;$&quot;* &quot;-&quot;??_);_(@_)">
                  <c:v>10037.898190127915</c:v>
                </c:pt>
                <c:pt idx="641" formatCode="_(&quot;$&quot;* #,##0.00_);_(&quot;$&quot;* \(#,##0.00\);_(&quot;$&quot;* &quot;-&quot;??_);_(@_)">
                  <c:v>9783.6354263062349</c:v>
                </c:pt>
                <c:pt idx="642" formatCode="_(&quot;$&quot;* #,##0.00_);_(&quot;$&quot;* \(#,##0.00\);_(&quot;$&quot;* &quot;-&quot;??_);_(@_)">
                  <c:v>9614.4439521630302</c:v>
                </c:pt>
                <c:pt idx="643" formatCode="_(&quot;$&quot;* #,##0.00_);_(&quot;$&quot;* \(#,##0.00\);_(&quot;$&quot;* &quot;-&quot;??_);_(@_)">
                  <c:v>9668.2189984770775</c:v>
                </c:pt>
                <c:pt idx="644" formatCode="_(&quot;$&quot;* #,##0.00_);_(&quot;$&quot;* \(#,##0.00\);_(&quot;$&quot;* &quot;-&quot;??_);_(@_)">
                  <c:v>9429.679183060136</c:v>
                </c:pt>
                <c:pt idx="645" formatCode="_(&quot;$&quot;* #,##0.00_);_(&quot;$&quot;* \(#,##0.00\);_(&quot;$&quot;* &quot;-&quot;??_);_(@_)">
                  <c:v>9719.9279576731242</c:v>
                </c:pt>
                <c:pt idx="646" formatCode="_(&quot;$&quot;* #,##0.00_);_(&quot;$&quot;* \(#,##0.00\);_(&quot;$&quot;* &quot;-&quot;??_);_(@_)">
                  <c:v>10262.665751226379</c:v>
                </c:pt>
                <c:pt idx="647" formatCode="_(&quot;$&quot;* #,##0.00_);_(&quot;$&quot;* \(#,##0.00\);_(&quot;$&quot;* &quot;-&quot;??_);_(@_)">
                  <c:v>10324.819226827398</c:v>
                </c:pt>
                <c:pt idx="648" formatCode="_(&quot;$&quot;* #,##0.00_);_(&quot;$&quot;* \(#,##0.00\);_(&quot;$&quot;* &quot;-&quot;??_);_(@_)">
                  <c:v>10116.799580492339</c:v>
                </c:pt>
                <c:pt idx="649" formatCode="_(&quot;$&quot;* #,##0.00_);_(&quot;$&quot;* \(#,##0.00\);_(&quot;$&quot;* &quot;-&quot;??_);_(@_)">
                  <c:v>10602.355964079747</c:v>
                </c:pt>
                <c:pt idx="650" formatCode="_(&quot;$&quot;* #,##0.00_);_(&quot;$&quot;* \(#,##0.00\);_(&quot;$&quot;* &quot;-&quot;??_);_(@_)">
                  <c:v>10815.221037889767</c:v>
                </c:pt>
                <c:pt idx="651" formatCode="_(&quot;$&quot;* #,##0.00_);_(&quot;$&quot;* \(#,##0.00\);_(&quot;$&quot;* &quot;-&quot;??_);_(@_)">
                  <c:v>9998.9633517194143</c:v>
                </c:pt>
                <c:pt idx="652" formatCode="_(&quot;$&quot;* #,##0.00_);_(&quot;$&quot;* \(#,##0.00\);_(&quot;$&quot;* &quot;-&quot;??_);_(@_)">
                  <c:v>10203.852426346035</c:v>
                </c:pt>
                <c:pt idx="653" formatCode="_(&quot;$&quot;* #,##0.00_);_(&quot;$&quot;* \(#,##0.00\);_(&quot;$&quot;* &quot;-&quot;??_);_(@_)">
                  <c:v>9505.1899054234855</c:v>
                </c:pt>
                <c:pt idx="654" formatCode="_(&quot;$&quot;* #,##0.00_);_(&quot;$&quot;* \(#,##0.00\);_(&quot;$&quot;* &quot;-&quot;??_);_(@_)">
                  <c:v>8705.1640946713487</c:v>
                </c:pt>
                <c:pt idx="655" formatCode="_(&quot;$&quot;* #,##0.00_);_(&quot;$&quot;* \(#,##0.00\);_(&quot;$&quot;* &quot;-&quot;??_);_(@_)">
                  <c:v>7970.9626836827629</c:v>
                </c:pt>
                <c:pt idx="656" formatCode="_(&quot;$&quot;* #,##0.00_);_(&quot;$&quot;* \(#,##0.00\);_(&quot;$&quot;* &quot;-&quot;??_);_(@_)">
                  <c:v>7929.80041374763</c:v>
                </c:pt>
                <c:pt idx="657" formatCode="_(&quot;$&quot;* #,##0.00_);_(&quot;$&quot;* \(#,##0.00\);_(&quot;$&quot;* &quot;-&quot;??_);_(@_)">
                  <c:v>8001.0729281777803</c:v>
                </c:pt>
                <c:pt idx="658" formatCode="_(&quot;$&quot;* #,##0.00_);_(&quot;$&quot;* \(#,##0.00\);_(&quot;$&quot;* &quot;-&quot;??_);_(@_)">
                  <c:v>7647.181250032364</c:v>
                </c:pt>
                <c:pt idx="659" formatCode="_(&quot;$&quot;* #,##0.00_);_(&quot;$&quot;* \(#,##0.00\);_(&quot;$&quot;* &quot;-&quot;??_);_(@_)">
                  <c:v>7192.8334253353814</c:v>
                </c:pt>
                <c:pt idx="660" formatCode="_(&quot;$&quot;* #,##0.00_);_(&quot;$&quot;* \(#,##0.00\);_(&quot;$&quot;* &quot;-&quot;??_);_(@_)">
                  <c:v>7132.5877967022661</c:v>
                </c:pt>
                <c:pt idx="661" formatCode="_(&quot;$&quot;* #,##0.00_);_(&quot;$&quot;* \(#,##0.00\);_(&quot;$&quot;* &quot;-&quot;??_);_(@_)">
                  <c:v>7044.1139570606792</c:v>
                </c:pt>
                <c:pt idx="662" formatCode="_(&quot;$&quot;* #,##0.00_);_(&quot;$&quot;* \(#,##0.00\);_(&quot;$&quot;* &quot;-&quot;??_);_(@_)">
                  <c:v>6283.2465767358581</c:v>
                </c:pt>
                <c:pt idx="663" formatCode="_(&quot;$&quot;* #,##0.00_);_(&quot;$&quot;* \(#,##0.00\);_(&quot;$&quot;* &quot;-&quot;??_);_(@_)">
                  <c:v>6651.9283068823606</c:v>
                </c:pt>
                <c:pt idx="664" formatCode="_(&quot;$&quot;* #,##0.00_);_(&quot;$&quot;* \(#,##0.00\);_(&quot;$&quot;* &quot;-&quot;??_);_(@_)">
                  <c:v>6235.4778641699077</c:v>
                </c:pt>
                <c:pt idx="665" formatCode="_(&quot;$&quot;* #,##0.00_);_(&quot;$&quot;* \(#,##0.00\);_(&quot;$&quot;* &quot;-&quot;??_);_(@_)">
                  <c:v>6010.0997515390391</c:v>
                </c:pt>
                <c:pt idx="666" formatCode="_(&quot;$&quot;* #,##0.00_);_(&quot;$&quot;* \(#,##0.00\);_(&quot;$&quot;* &quot;-&quot;??_);_(@_)">
                  <c:v>6008.0753827389099</c:v>
                </c:pt>
                <c:pt idx="667" formatCode="_(&quot;$&quot;* #,##0.00_);_(&quot;$&quot;* \(#,##0.00\);_(&quot;$&quot;* &quot;-&quot;??_);_(@_)">
                  <c:v>6211.3362040010124</c:v>
                </c:pt>
                <c:pt idx="668" formatCode="_(&quot;$&quot;* #,##0.00_);_(&quot;$&quot;* \(#,##0.00\);_(&quot;$&quot;* &quot;-&quot;??_);_(@_)">
                  <c:v>5765.1934187296583</c:v>
                </c:pt>
                <c:pt idx="669" formatCode="_(&quot;$&quot;* #,##0.00_);_(&quot;$&quot;* \(#,##0.00\);_(&quot;$&quot;* &quot;-&quot;??_);_(@_)">
                  <c:v>5514.6227349789187</c:v>
                </c:pt>
                <c:pt idx="670" formatCode="_(&quot;$&quot;* #,##0.00_);_(&quot;$&quot;* \(#,##0.00\);_(&quot;$&quot;* &quot;-&quot;??_);_(@_)">
                  <c:v>5794.399770140174</c:v>
                </c:pt>
                <c:pt idx="671" formatCode="_(&quot;$&quot;* #,##0.00_);_(&quot;$&quot;* \(#,##0.00\);_(&quot;$&quot;* &quot;-&quot;??_);_(@_)">
                  <c:v>5094.8259090503398</c:v>
                </c:pt>
                <c:pt idx="672" formatCode="_(&quot;$&quot;* #,##0.00_);_(&quot;$&quot;* \(#,##0.00\);_(&quot;$&quot;* &quot;-&quot;??_);_(@_)">
                  <c:v>5922.3688520913965</c:v>
                </c:pt>
                <c:pt idx="673" formatCode="_(&quot;$&quot;* #,##0.00_);_(&quot;$&quot;* \(#,##0.00\);_(&quot;$&quot;* &quot;-&quot;??_);_(@_)">
                  <c:v>6127.8185233348704</c:v>
                </c:pt>
                <c:pt idx="674" formatCode="_(&quot;$&quot;* #,##0.00_);_(&quot;$&quot;* \(#,##0.00\);_(&quot;$&quot;* &quot;-&quot;??_);_(@_)">
                  <c:v>5739.3088208705467</c:v>
                </c:pt>
                <c:pt idx="675" formatCode="_(&quot;$&quot;* #,##0.00_);_(&quot;$&quot;* \(#,##0.00\);_(&quot;$&quot;* &quot;-&quot;??_);_(@_)">
                  <c:v>6111.1728516220974</c:v>
                </c:pt>
                <c:pt idx="676" formatCode="_(&quot;$&quot;* #,##0.00_);_(&quot;$&quot;* \(#,##0.00\);_(&quot;$&quot;* &quot;-&quot;??_);_(@_)">
                  <c:v>5726.0014982172606</c:v>
                </c:pt>
                <c:pt idx="677" formatCode="_(&quot;$&quot;* #,##0.00_);_(&quot;$&quot;* \(#,##0.00\);_(&quot;$&quot;* &quot;-&quot;??_);_(@_)">
                  <c:v>5614.3543552552392</c:v>
                </c:pt>
                <c:pt idx="678" formatCode="_(&quot;$&quot;* #,##0.00_);_(&quot;$&quot;* \(#,##0.00\);_(&quot;$&quot;* &quot;-&quot;??_);_(@_)">
                  <c:v>4364.6556808949281</c:v>
                </c:pt>
                <c:pt idx="679" formatCode="_(&quot;$&quot;* #,##0.00_);_(&quot;$&quot;* \(#,##0.00\);_(&quot;$&quot;* &quot;-&quot;??_);_(@_)">
                  <c:v>4207.1477742731013</c:v>
                </c:pt>
                <c:pt idx="680" formatCode="_(&quot;$&quot;* #,##0.00_);_(&quot;$&quot;* \(#,##0.00\);_(&quot;$&quot;* &quot;-&quot;??_);_(@_)">
                  <c:v>3908.5165278582754</c:v>
                </c:pt>
                <c:pt idx="681" formatCode="_(&quot;$&quot;* #,##0.00_);_(&quot;$&quot;* \(#,##0.00\);_(&quot;$&quot;* &quot;-&quot;??_);_(@_)">
                  <c:v>4097.5534988464042</c:v>
                </c:pt>
                <c:pt idx="682" formatCode="_(&quot;$&quot;* #,##0.00_);_(&quot;$&quot;* \(#,##0.00\);_(&quot;$&quot;* &quot;-&quot;??_);_(@_)">
                  <c:v>4268.4566775500107</c:v>
                </c:pt>
                <c:pt idx="683" formatCode="_(&quot;$&quot;* #,##0.00_);_(&quot;$&quot;* \(#,##0.00\);_(&quot;$&quot;* &quot;-&quot;??_);_(@_)">
                  <c:v>3370.3456954694957</c:v>
                </c:pt>
                <c:pt idx="684" formatCode="_(&quot;$&quot;* #,##0.00_);_(&quot;$&quot;* \(#,##0.00\);_(&quot;$&quot;* &quot;-&quot;??_);_(@_)">
                  <c:v>3028.8108517647188</c:v>
                </c:pt>
                <c:pt idx="685" formatCode="_(&quot;$&quot;* #,##0.00_);_(&quot;$&quot;* \(#,##0.00\);_(&quot;$&quot;* &quot;-&quot;??_);_(@_)">
                  <c:v>3170.042635840633</c:v>
                </c:pt>
                <c:pt idx="686" formatCode="_(&quot;$&quot;* #,##0.00_);_(&quot;$&quot;* \(#,##0.00\);_(&quot;$&quot;* &quot;-&quot;??_);_(@_)">
                  <c:v>3153.5657008802568</c:v>
                </c:pt>
                <c:pt idx="687" formatCode="_(&quot;$&quot;* #,##0.00_);_(&quot;$&quot;* \(#,##0.00\);_(&quot;$&quot;* &quot;-&quot;??_);_(@_)">
                  <c:v>2834.4669411605182</c:v>
                </c:pt>
                <c:pt idx="688" formatCode="_(&quot;$&quot;* #,##0.00_);_(&quot;$&quot;* \(#,##0.00\);_(&quot;$&quot;* &quot;-&quot;??_);_(@_)">
                  <c:v>3362.5397060818182</c:v>
                </c:pt>
                <c:pt idx="689" formatCode="_(&quot;$&quot;* #,##0.00_);_(&quot;$&quot;* \(#,##0.00\);_(&quot;$&quot;* &quot;-&quot;??_);_(@_)">
                  <c:v>3627.3613119412789</c:v>
                </c:pt>
                <c:pt idx="690" formatCode="_(&quot;$&quot;* #,##0.00_);_(&quot;$&quot;* \(#,##0.00\);_(&quot;$&quot;* &quot;-&quot;??_);_(@_)">
                  <c:v>3457.2851275479452</c:v>
                </c:pt>
                <c:pt idx="691" formatCode="_(&quot;$&quot;* #,##0.00_);_(&quot;$&quot;* \(#,##0.00\);_(&quot;$&quot;* &quot;-&quot;??_);_(@_)">
                  <c:v>3491.2697986752069</c:v>
                </c:pt>
                <c:pt idx="692" formatCode="_(&quot;$&quot;* #,##0.00_);_(&quot;$&quot;* \(#,##0.00\);_(&quot;$&quot;* &quot;-&quot;??_);_(@_)">
                  <c:v>3228.3505530017856</c:v>
                </c:pt>
                <c:pt idx="693" formatCode="_(&quot;$&quot;* #,##0.00_);_(&quot;$&quot;* \(#,##0.00\);_(&quot;$&quot;* &quot;-&quot;??_);_(@_)">
                  <c:v>3194.3470725076759</c:v>
                </c:pt>
                <c:pt idx="694" formatCode="_(&quot;$&quot;* #,##0.00_);_(&quot;$&quot;* \(#,##0.00\);_(&quot;$&quot;* &quot;-&quot;??_);_(@_)">
                  <c:v>3231.8673291095074</c:v>
                </c:pt>
                <c:pt idx="695" formatCode="_(&quot;$&quot;* #,##0.00_);_(&quot;$&quot;* \(#,##0.00\);_(&quot;$&quot;* &quot;-&quot;??_);_(@_)">
                  <c:v>3293.257018385747</c:v>
                </c:pt>
                <c:pt idx="696" formatCode="_(&quot;$&quot;* #,##0.00_);_(&quot;$&quot;* \(#,##0.00\);_(&quot;$&quot;* &quot;-&quot;??_);_(@_)">
                  <c:v>3733.8555760284307</c:v>
                </c:pt>
                <c:pt idx="697" formatCode="_(&quot;$&quot;* #,##0.00_);_(&quot;$&quot;* \(#,##0.00\);_(&quot;$&quot;* &quot;-&quot;??_);_(@_)">
                  <c:v>3688.766703007811</c:v>
                </c:pt>
                <c:pt idx="698" formatCode="_(&quot;$&quot;* #,##0.00_);_(&quot;$&quot;* \(#,##0.00\);_(&quot;$&quot;* &quot;-&quot;??_);_(@_)">
                  <c:v>3683.522471305052</c:v>
                </c:pt>
                <c:pt idx="699" formatCode="_(&quot;$&quot;* #,##0.00_);_(&quot;$&quot;* \(#,##0.00\);_(&quot;$&quot;* &quot;-&quot;??_);_(@_)">
                  <c:v>3882.0498693097497</c:v>
                </c:pt>
                <c:pt idx="700" formatCode="_(&quot;$&quot;* #,##0.00_);_(&quot;$&quot;* \(#,##0.00\);_(&quot;$&quot;* &quot;-&quot;??_);_(@_)">
                  <c:v>4168.9966064575437</c:v>
                </c:pt>
                <c:pt idx="701" formatCode="_(&quot;$&quot;* #,##0.00_);_(&quot;$&quot;* \(#,##0.00\);_(&quot;$&quot;* &quot;-&quot;??_);_(@_)">
                  <c:v>4262.3944860062747</c:v>
                </c:pt>
                <c:pt idx="702" formatCode="_(&quot;$&quot;* #,##0.00_);_(&quot;$&quot;* \(#,##0.00\);_(&quot;$&quot;* &quot;-&quot;??_);_(@_)">
                  <c:v>4931.5767596971227</c:v>
                </c:pt>
                <c:pt idx="703" formatCode="_(&quot;$&quot;* #,##0.00_);_(&quot;$&quot;* \(#,##0.00\);_(&quot;$&quot;* &quot;-&quot;??_);_(@_)">
                  <c:v>4932.016875231604</c:v>
                </c:pt>
                <c:pt idx="704" formatCode="_(&quot;$&quot;* #,##0.00_);_(&quot;$&quot;* \(#,##0.00\);_(&quot;$&quot;* &quot;-&quot;??_);_(@_)">
                  <c:v>5694.9236109747671</c:v>
                </c:pt>
                <c:pt idx="705" formatCode="_(&quot;$&quot;* #,##0.00_);_(&quot;$&quot;* \(#,##0.00\);_(&quot;$&quot;* &quot;-&quot;??_);_(@_)">
                  <c:v>6165.8601496468518</c:v>
                </c:pt>
                <c:pt idx="706" formatCode="_(&quot;$&quot;* #,##0.00_);_(&quot;$&quot;* \(#,##0.00\);_(&quot;$&quot;* &quot;-&quot;??_);_(@_)">
                  <c:v>5041.9699306118537</c:v>
                </c:pt>
                <c:pt idx="707" formatCode="_(&quot;$&quot;* #,##0.00_);_(&quot;$&quot;* \(#,##0.00\);_(&quot;$&quot;* &quot;-&quot;??_);_(@_)">
                  <c:v>4626.4581684154991</c:v>
                </c:pt>
                <c:pt idx="708" formatCode="_(&quot;$&quot;* #,##0.00_);_(&quot;$&quot;* \(#,##0.00\);_(&quot;$&quot;* &quot;-&quot;??_);_(@_)">
                  <c:v>5238.8188340341021</c:v>
                </c:pt>
                <c:pt idx="709" formatCode="_(&quot;$&quot;* #,##0.00_);_(&quot;$&quot;* \(#,##0.00\);_(&quot;$&quot;* &quot;-&quot;??_);_(@_)">
                  <c:v>5653.8176701240964</c:v>
                </c:pt>
                <c:pt idx="710" formatCode="_(&quot;$&quot;* #,##0.00_);_(&quot;$&quot;* \(#,##0.00\);_(&quot;$&quot;* &quot;-&quot;??_);_(@_)">
                  <c:v>6234.061222255943</c:v>
                </c:pt>
                <c:pt idx="711" formatCode="_(&quot;$&quot;* #,##0.00_);_(&quot;$&quot;* \(#,##0.00\);_(&quot;$&quot;* &quot;-&quot;??_);_(@_)">
                  <c:v>6425.6612845755681</c:v>
                </c:pt>
                <c:pt idx="712" formatCode="_(&quot;$&quot;* #,##0.00_);_(&quot;$&quot;* \(#,##0.00\);_(&quot;$&quot;* &quot;-&quot;??_);_(@_)">
                  <c:v>6619.087484854892</c:v>
                </c:pt>
                <c:pt idx="713" formatCode="_(&quot;$&quot;* #,##0.00_);_(&quot;$&quot;* \(#,##0.00\);_(&quot;$&quot;* &quot;-&quot;??_);_(@_)">
                  <c:v>6660.6907835573611</c:v>
                </c:pt>
                <c:pt idx="714" formatCode="_(&quot;$&quot;* #,##0.00_);_(&quot;$&quot;* \(#,##0.00\);_(&quot;$&quot;* &quot;-&quot;??_);_(@_)">
                  <c:v>7313.6363992181505</c:v>
                </c:pt>
                <c:pt idx="715" formatCode="_(&quot;$&quot;* #,##0.00_);_(&quot;$&quot;* \(#,##0.00\);_(&quot;$&quot;* &quot;-&quot;??_);_(@_)">
                  <c:v>7599.4015121894327</c:v>
                </c:pt>
                <c:pt idx="716" formatCode="_(&quot;$&quot;* #,##0.00_);_(&quot;$&quot;* \(#,##0.00\);_(&quot;$&quot;* &quot;-&quot;??_);_(@_)">
                  <c:v>8085.2499054925029</c:v>
                </c:pt>
                <c:pt idx="717" formatCode="_(&quot;$&quot;* #,##0.00_);_(&quot;$&quot;* \(#,##0.00\);_(&quot;$&quot;* &quot;-&quot;??_);_(@_)">
                  <c:v>8783.4916709542558</c:v>
                </c:pt>
                <c:pt idx="718" formatCode="_(&quot;$&quot;* #,##0.00_);_(&quot;$&quot;* \(#,##0.00\);_(&quot;$&quot;* &quot;-&quot;??_);_(@_)">
                  <c:v>8852.3658985873444</c:v>
                </c:pt>
                <c:pt idx="719" formatCode="_(&quot;$&quot;* #,##0.00_);_(&quot;$&quot;* \(#,##0.00\);_(&quot;$&quot;* &quot;-&quot;??_);_(@_)">
                  <c:v>8857.7520179823878</c:v>
                </c:pt>
                <c:pt idx="720" formatCode="_(&quot;$&quot;* #,##0.00_);_(&quot;$&quot;* \(#,##0.00\);_(&quot;$&quot;* &quot;-&quot;??_);_(@_)">
                  <c:v>8525.5937226840433</c:v>
                </c:pt>
                <c:pt idx="721" formatCode="_(&quot;$&quot;* #,##0.00_);_(&quot;$&quot;* \(#,##0.00\);_(&quot;$&quot;* &quot;-&quot;??_);_(@_)">
                  <c:v>7943.4031972020875</c:v>
                </c:pt>
                <c:pt idx="722" formatCode="_(&quot;$&quot;* #,##0.00_);_(&quot;$&quot;* \(#,##0.00\);_(&quot;$&quot;* &quot;-&quot;??_);_(@_)">
                  <c:v>7539.8331403833317</c:v>
                </c:pt>
                <c:pt idx="723" formatCode="_(&quot;$&quot;* #,##0.00_);_(&quot;$&quot;* \(#,##0.00\);_(&quot;$&quot;* &quot;-&quot;??_);_(@_)">
                  <c:v>8612.8235508030411</c:v>
                </c:pt>
                <c:pt idx="724" formatCode="_(&quot;$&quot;* #,##0.00_);_(&quot;$&quot;* \(#,##0.00\);_(&quot;$&quot;* &quot;-&quot;??_);_(@_)">
                  <c:v>9114.3496148920731</c:v>
                </c:pt>
                <c:pt idx="725" formatCode="_(&quot;$&quot;* #,##0.00_);_(&quot;$&quot;* \(#,##0.00\);_(&quot;$&quot;* &quot;-&quot;??_);_(@_)">
                  <c:v>9150.0192827752708</c:v>
                </c:pt>
                <c:pt idx="726" formatCode="_(&quot;$&quot;* #,##0.00_);_(&quot;$&quot;* \(#,##0.00\);_(&quot;$&quot;* &quot;-&quot;??_);_(@_)">
                  <c:v>8683.4136355300361</c:v>
                </c:pt>
                <c:pt idx="727" formatCode="_(&quot;$&quot;* #,##0.00_);_(&quot;$&quot;* \(#,##0.00\);_(&quot;$&quot;* &quot;-&quot;??_);_(@_)">
                  <c:v>9698.806138044707</c:v>
                </c:pt>
                <c:pt idx="728" formatCode="_(&quot;$&quot;* #,##0.00_);_(&quot;$&quot;* \(#,##0.00\);_(&quot;$&quot;* &quot;-&quot;??_);_(@_)">
                  <c:v>9923.7906150190756</c:v>
                </c:pt>
                <c:pt idx="729" formatCode="_(&quot;$&quot;* #,##0.00_);_(&quot;$&quot;* \(#,##0.00\);_(&quot;$&quot;* &quot;-&quot;??_);_(@_)">
                  <c:v>10327.28205111922</c:v>
                </c:pt>
                <c:pt idx="730" formatCode="_(&quot;$&quot;* #,##0.00_);_(&quot;$&quot;* \(#,##0.00\);_(&quot;$&quot;* &quot;-&quot;??_);_(@_)">
                  <c:v>10946.681214422837</c:v>
                </c:pt>
                <c:pt idx="731" formatCode="_(&quot;$&quot;* #,##0.00_);_(&quot;$&quot;* \(#,##0.00\);_(&quot;$&quot;* &quot;-&quot;??_);_(@_)">
                  <c:v>10866.567956101571</c:v>
                </c:pt>
                <c:pt idx="732" formatCode="_(&quot;$&quot;* #,##0.00_);_(&quot;$&quot;* \(#,##0.00\);_(&quot;$&quot;* &quot;-&quot;??_);_(@_)">
                  <c:v>11134.54789854328</c:v>
                </c:pt>
                <c:pt idx="733" formatCode="_(&quot;$&quot;* #,##0.00_);_(&quot;$&quot;* \(#,##0.00\);_(&quot;$&quot;* &quot;-&quot;??_);_(@_)">
                  <c:v>11299.498334005048</c:v>
                </c:pt>
                <c:pt idx="734" formatCode="_(&quot;$&quot;* #,##0.00_);_(&quot;$&quot;* \(#,##0.00\);_(&quot;$&quot;* &quot;-&quot;??_);_(@_)">
                  <c:v>9231.6959128705694</c:v>
                </c:pt>
                <c:pt idx="735" formatCode="_(&quot;$&quot;* #,##0.00_);_(&quot;$&quot;* \(#,##0.00\);_(&quot;$&quot;* &quot;-&quot;??_);_(@_)">
                  <c:v>9480.8688624094866</c:v>
                </c:pt>
                <c:pt idx="736" formatCode="_(&quot;$&quot;* #,##0.00_);_(&quot;$&quot;* \(#,##0.00\);_(&quot;$&quot;* &quot;-&quot;??_);_(@_)">
                  <c:v>9318.6035231971418</c:v>
                </c:pt>
                <c:pt idx="737" formatCode="_(&quot;$&quot;* #,##0.00_);_(&quot;$&quot;* \(#,##0.00\);_(&quot;$&quot;* &quot;-&quot;??_);_(@_)">
                  <c:v>10497.747792355347</c:v>
                </c:pt>
                <c:pt idx="738" formatCode="_(&quot;$&quot;* #,##0.00_);_(&quot;$&quot;* \(#,##0.00\);_(&quot;$&quot;* &quot;-&quot;??_);_(@_)">
                  <c:v>11492.201046370817</c:v>
                </c:pt>
                <c:pt idx="739" formatCode="_(&quot;$&quot;* #,##0.00_);_(&quot;$&quot;* \(#,##0.00\);_(&quot;$&quot;* &quot;-&quot;??_);_(@_)">
                  <c:v>11401.087128043271</c:v>
                </c:pt>
                <c:pt idx="740" formatCode="_(&quot;$&quot;* #,##0.00_);_(&quot;$&quot;* \(#,##0.00\);_(&quot;$&quot;* &quot;-&quot;??_);_(@_)">
                  <c:v>11392.740523025237</c:v>
                </c:pt>
                <c:pt idx="741" formatCode="_(&quot;$&quot;* #,##0.00_);_(&quot;$&quot;* \(#,##0.00\);_(&quot;$&quot;* &quot;-&quot;??_);_(@_)">
                  <c:v>11151.542575371068</c:v>
                </c:pt>
                <c:pt idx="742" formatCode="_(&quot;$&quot;* #,##0.00_);_(&quot;$&quot;* \(#,##0.00\);_(&quot;$&quot;* &quot;-&quot;??_);_(@_)">
                  <c:v>10954.895628309803</c:v>
                </c:pt>
                <c:pt idx="743" formatCode="_(&quot;$&quot;* #,##0.00_);_(&quot;$&quot;* \(#,##0.00\);_(&quot;$&quot;* &quot;-&quot;??_);_(@_)">
                  <c:v>12050.44144374996</c:v>
                </c:pt>
                <c:pt idx="744" formatCode="_(&quot;$&quot;* #,##0.00_);_(&quot;$&quot;* \(#,##0.00\);_(&quot;$&quot;* &quot;-&quot;??_);_(@_)">
                  <c:v>12691.129869354399</c:v>
                </c:pt>
                <c:pt idx="745" formatCode="_(&quot;$&quot;* #,##0.00_);_(&quot;$&quot;* \(#,##0.00\);_(&quot;$&quot;* &quot;-&quot;??_);_(@_)">
                  <c:v>12999.310137021319</c:v>
                </c:pt>
                <c:pt idx="746" formatCode="_(&quot;$&quot;* #,##0.00_);_(&quot;$&quot;* \(#,##0.00\);_(&quot;$&quot;* &quot;-&quot;??_);_(@_)">
                  <c:v>13076.035502026793</c:v>
                </c:pt>
                <c:pt idx="747" formatCode="_(&quot;$&quot;* #,##0.00_);_(&quot;$&quot;* \(#,##0.00\);_(&quot;$&quot;* &quot;-&quot;??_);_(@_)">
                  <c:v>14065.118707464366</c:v>
                </c:pt>
                <c:pt idx="748" formatCode="_(&quot;$&quot;* #,##0.00_);_(&quot;$&quot;* \(#,##0.00\);_(&quot;$&quot;* &quot;-&quot;??_);_(@_)">
                  <c:v>12913.924096097922</c:v>
                </c:pt>
                <c:pt idx="749" formatCode="_(&quot;$&quot;* #,##0.00_);_(&quot;$&quot;* \(#,##0.00\);_(&quot;$&quot;* &quot;-&quot;??_);_(@_)">
                  <c:v>13216.966777592332</c:v>
                </c:pt>
                <c:pt idx="750" formatCode="_(&quot;$&quot;* #,##0.00_);_(&quot;$&quot;* \(#,##0.00\);_(&quot;$&quot;* &quot;-&quot;??_);_(@_)">
                  <c:v>13358.025981713958</c:v>
                </c:pt>
                <c:pt idx="751" formatCode="_(&quot;$&quot;* #,##0.00_);_(&quot;$&quot;* \(#,##0.00\);_(&quot;$&quot;* &quot;-&quot;??_);_(@_)">
                  <c:v>13907.857051172228</c:v>
                </c:pt>
                <c:pt idx="752" formatCode="_(&quot;$&quot;* #,##0.00_);_(&quot;$&quot;* \(#,##0.00\);_(&quot;$&quot;* &quot;-&quot;??_);_(@_)">
                  <c:v>14011.513665967008</c:v>
                </c:pt>
                <c:pt idx="753" formatCode="_(&quot;$&quot;* #,##0.00_);_(&quot;$&quot;* \(#,##0.00\);_(&quot;$&quot;* &quot;-&quot;??_);_(@_)">
                  <c:v>13974.736802012827</c:v>
                </c:pt>
                <c:pt idx="754" formatCode="_(&quot;$&quot;* #,##0.00_);_(&quot;$&quot;* \(#,##0.00\);_(&quot;$&quot;* &quot;-&quot;??_);_(@_)">
                  <c:v>13475.181362007266</c:v>
                </c:pt>
                <c:pt idx="755" formatCode="_(&quot;$&quot;* #,##0.00_);_(&quot;$&quot;* \(#,##0.00\);_(&quot;$&quot;* &quot;-&quot;??_);_(@_)">
                  <c:v>13244.675757261854</c:v>
                </c:pt>
                <c:pt idx="756" formatCode="_(&quot;$&quot;* #,##0.00_);_(&quot;$&quot;* \(#,##0.00\);_(&quot;$&quot;* &quot;-&quot;??_);_(@_)">
                  <c:v>12712.093933815619</c:v>
                </c:pt>
                <c:pt idx="757" formatCode="_(&quot;$&quot;* #,##0.00_);_(&quot;$&quot;* \(#,##0.00\);_(&quot;$&quot;* &quot;-&quot;??_);_(@_)">
                  <c:v>12207.107602504284</c:v>
                </c:pt>
                <c:pt idx="758" formatCode="_(&quot;$&quot;* #,##0.00_);_(&quot;$&quot;* \(#,##0.00\);_(&quot;$&quot;* &quot;-&quot;??_);_(@_)">
                  <c:v>12313.926221481412</c:v>
                </c:pt>
                <c:pt idx="759" formatCode="_(&quot;$&quot;* #,##0.00_);_(&quot;$&quot;* \(#,##0.00\);_(&quot;$&quot;* &quot;-&quot;??_);_(@_)">
                  <c:v>12671.533004383027</c:v>
                </c:pt>
                <c:pt idx="760" formatCode="_(&quot;$&quot;* #,##0.00_);_(&quot;$&quot;* \(#,##0.00\);_(&quot;$&quot;* &quot;-&quot;??_);_(@_)">
                  <c:v>12655.083391912432</c:v>
                </c:pt>
                <c:pt idx="761" formatCode="_(&quot;$&quot;* #,##0.00_);_(&quot;$&quot;* \(#,##0.00\);_(&quot;$&quot;* &quot;-&quot;??_);_(@_)">
                  <c:v>12850.013809208167</c:v>
                </c:pt>
                <c:pt idx="762" formatCode="_(&quot;$&quot;* #,##0.00_);_(&quot;$&quot;* \(#,##0.00\);_(&quot;$&quot;* &quot;-&quot;??_);_(@_)">
                  <c:v>13082.565600212323</c:v>
                </c:pt>
                <c:pt idx="763" formatCode="_(&quot;$&quot;* #,##0.00_);_(&quot;$&quot;* \(#,##0.00\);_(&quot;$&quot;* &quot;-&quot;??_);_(@_)">
                  <c:v>12726.103827289307</c:v>
                </c:pt>
                <c:pt idx="764" formatCode="_(&quot;$&quot;* #,##0.00_);_(&quot;$&quot;* \(#,##0.00\);_(&quot;$&quot;* &quot;-&quot;??_);_(@_)">
                  <c:v>12225.151872631253</c:v>
                </c:pt>
                <c:pt idx="765" formatCode="_(&quot;$&quot;* #,##0.00_);_(&quot;$&quot;* \(#,##0.00\);_(&quot;$&quot;* &quot;-&quot;??_);_(@_)">
                  <c:v>12015.239044810485</c:v>
                </c:pt>
                <c:pt idx="766" formatCode="_(&quot;$&quot;* #,##0.00_);_(&quot;$&quot;* \(#,##0.00\);_(&quot;$&quot;* &quot;-&quot;??_);_(@_)">
                  <c:v>11794.071726123166</c:v>
                </c:pt>
                <c:pt idx="767" formatCode="_(&quot;$&quot;* #,##0.00_);_(&quot;$&quot;* \(#,##0.00\);_(&quot;$&quot;* &quot;-&quot;??_);_(@_)">
                  <c:v>11885.472247774331</c:v>
                </c:pt>
                <c:pt idx="768" formatCode="_(&quot;$&quot;* #,##0.00_);_(&quot;$&quot;* \(#,##0.00\);_(&quot;$&quot;* &quot;-&quot;??_);_(@_)">
                  <c:v>11580.254857233784</c:v>
                </c:pt>
                <c:pt idx="769" formatCode="_(&quot;$&quot;* #,##0.00_);_(&quot;$&quot;* \(#,##0.00\);_(&quot;$&quot;* &quot;-&quot;??_);_(@_)">
                  <c:v>11945.141624706217</c:v>
                </c:pt>
                <c:pt idx="770" formatCode="_(&quot;$&quot;* #,##0.00_);_(&quot;$&quot;* \(#,##0.00\);_(&quot;$&quot;* &quot;-&quot;??_);_(@_)">
                  <c:v>11764.093563928445</c:v>
                </c:pt>
                <c:pt idx="771" formatCode="_(&quot;$&quot;* #,##0.00_);_(&quot;$&quot;* \(#,##0.00\);_(&quot;$&quot;* &quot;-&quot;??_);_(@_)">
                  <c:v>12536.95867193752</c:v>
                </c:pt>
                <c:pt idx="772" formatCode="_(&quot;$&quot;* #,##0.00_);_(&quot;$&quot;* \(#,##0.00\);_(&quot;$&quot;* &quot;-&quot;??_);_(@_)">
                  <c:v>12597.638231421319</c:v>
                </c:pt>
                <c:pt idx="773" formatCode="_(&quot;$&quot;* #,##0.00_);_(&quot;$&quot;* \(#,##0.00\);_(&quot;$&quot;* &quot;-&quot;??_);_(@_)">
                  <c:v>12229.410101069809</c:v>
                </c:pt>
                <c:pt idx="774" formatCode="_(&quot;$&quot;* #,##0.00_);_(&quot;$&quot;* \(#,##0.00\);_(&quot;$&quot;* &quot;-&quot;??_);_(@_)">
                  <c:v>12838.71304339888</c:v>
                </c:pt>
                <c:pt idx="775" formatCode="_(&quot;$&quot;* #,##0.00_);_(&quot;$&quot;* \(#,##0.00\);_(&quot;$&quot;* &quot;-&quot;??_);_(@_)">
                  <c:v>12687.11490301983</c:v>
                </c:pt>
                <c:pt idx="776" formatCode="_(&quot;$&quot;* #,##0.00_);_(&quot;$&quot;* \(#,##0.00\);_(&quot;$&quot;* &quot;-&quot;??_);_(@_)">
                  <c:v>12309.650296235282</c:v>
                </c:pt>
                <c:pt idx="777" formatCode="_(&quot;$&quot;* #,##0.00_);_(&quot;$&quot;* \(#,##0.00\);_(&quot;$&quot;* &quot;-&quot;??_);_(@_)">
                  <c:v>11330.214574708432</c:v>
                </c:pt>
                <c:pt idx="778" formatCode="_(&quot;$&quot;* #,##0.00_);_(&quot;$&quot;* \(#,##0.00\);_(&quot;$&quot;* &quot;-&quot;??_);_(@_)">
                  <c:v>11551.454320673976</c:v>
                </c:pt>
                <c:pt idx="779" formatCode="_(&quot;$&quot;* #,##0.00_);_(&quot;$&quot;* \(#,##0.00\);_(&quot;$&quot;* &quot;-&quot;??_);_(@_)">
                  <c:v>11116.131361922491</c:v>
                </c:pt>
                <c:pt idx="780" formatCode="_(&quot;$&quot;* #,##0.00_);_(&quot;$&quot;* \(#,##0.00\);_(&quot;$&quot;* &quot;-&quot;??_);_(@_)">
                  <c:v>11694.119975711179</c:v>
                </c:pt>
                <c:pt idx="781" formatCode="_(&quot;$&quot;* #,##0.00_);_(&quot;$&quot;* \(#,##0.00\);_(&quot;$&quot;* &quot;-&quot;??_);_(@_)">
                  <c:v>11800.748412322884</c:v>
                </c:pt>
                <c:pt idx="782" formatCode="_(&quot;$&quot;* #,##0.00_);_(&quot;$&quot;* \(#,##0.00\);_(&quot;$&quot;* &quot;-&quot;??_);_(@_)">
                  <c:v>11910.410282768213</c:v>
                </c:pt>
                <c:pt idx="783" formatCode="_(&quot;$&quot;* #,##0.00_);_(&quot;$&quot;* \(#,##0.00\);_(&quot;$&quot;* &quot;-&quot;??_);_(@_)">
                  <c:v>11270.870919464785</c:v>
                </c:pt>
                <c:pt idx="784" formatCode="_(&quot;$&quot;* #,##0.00_);_(&quot;$&quot;* \(#,##0.00\);_(&quot;$&quot;* &quot;-&quot;??_);_(@_)">
                  <c:v>11157.729587937527</c:v>
                </c:pt>
                <c:pt idx="785" formatCode="_(&quot;$&quot;* #,##0.00_);_(&quot;$&quot;* \(#,##0.00\);_(&quot;$&quot;* &quot;-&quot;??_);_(@_)">
                  <c:v>11289.26973639292</c:v>
                </c:pt>
                <c:pt idx="786" formatCode="_(&quot;$&quot;* #,##0.00_);_(&quot;$&quot;* \(#,##0.00\);_(&quot;$&quot;* &quot;-&quot;??_);_(@_)">
                  <c:v>11429.04511041749</c:v>
                </c:pt>
                <c:pt idx="787" formatCode="_(&quot;$&quot;* #,##0.00_);_(&quot;$&quot;* \(#,##0.00\);_(&quot;$&quot;* &quot;-&quot;??_);_(@_)">
                  <c:v>11826.785633455553</c:v>
                </c:pt>
                <c:pt idx="788" formatCode="_(&quot;$&quot;* #,##0.00_);_(&quot;$&quot;* \(#,##0.00\);_(&quot;$&quot;* &quot;-&quot;??_);_(@_)">
                  <c:v>11386.192311971665</c:v>
                </c:pt>
                <c:pt idx="789" formatCode="_(&quot;$&quot;* #,##0.00_);_(&quot;$&quot;* \(#,##0.00\);_(&quot;$&quot;* &quot;-&quot;??_);_(@_)">
                  <c:v>10882.19775094853</c:v>
                </c:pt>
                <c:pt idx="790" formatCode="_(&quot;$&quot;* #,##0.00_);_(&quot;$&quot;* \(#,##0.00\);_(&quot;$&quot;* &quot;-&quot;??_);_(@_)">
                  <c:v>10610.018691106359</c:v>
                </c:pt>
                <c:pt idx="791" formatCode="_(&quot;$&quot;* #,##0.00_);_(&quot;$&quot;* \(#,##0.00\);_(&quot;$&quot;* &quot;-&quot;??_);_(@_)">
                  <c:v>10244.426026970181</c:v>
                </c:pt>
                <c:pt idx="792" formatCode="_(&quot;$&quot;* #,##0.00_);_(&quot;$&quot;* \(#,##0.00\);_(&quot;$&quot;* &quot;-&quot;??_);_(@_)">
                  <c:v>10095.602786995636</c:v>
                </c:pt>
                <c:pt idx="793" formatCode="_(&quot;$&quot;* #,##0.00_);_(&quot;$&quot;* \(#,##0.00\);_(&quot;$&quot;* &quot;-&quot;??_);_(@_)">
                  <c:v>9806.5674762058825</c:v>
                </c:pt>
                <c:pt idx="794" formatCode="_(&quot;$&quot;* #,##0.00_);_(&quot;$&quot;* \(#,##0.00\);_(&quot;$&quot;* &quot;-&quot;??_);_(@_)">
                  <c:v>9930.7932362910269</c:v>
                </c:pt>
                <c:pt idx="795" formatCode="_(&quot;$&quot;* #,##0.00_);_(&quot;$&quot;* \(#,##0.00\);_(&quot;$&quot;* &quot;-&quot;??_);_(@_)">
                  <c:v>9805.1539471179149</c:v>
                </c:pt>
                <c:pt idx="796" formatCode="_(&quot;$&quot;* #,##0.00_);_(&quot;$&quot;* \(#,##0.00\);_(&quot;$&quot;* &quot;-&quot;??_);_(@_)">
                  <c:v>10513.862424070514</c:v>
                </c:pt>
                <c:pt idx="797" formatCode="_(&quot;$&quot;* #,##0.00_);_(&quot;$&quot;* \(#,##0.00\);_(&quot;$&quot;* &quot;-&quot;??_);_(@_)">
                  <c:v>10519.564669226156</c:v>
                </c:pt>
                <c:pt idx="798" formatCode="_(&quot;$&quot;* #,##0.00_);_(&quot;$&quot;* \(#,##0.00\);_(&quot;$&quot;* &quot;-&quot;??_);_(@_)">
                  <c:v>10719.242250486168</c:v>
                </c:pt>
                <c:pt idx="799" formatCode="_(&quot;$&quot;* #,##0.00_);_(&quot;$&quot;* \(#,##0.00\);_(&quot;$&quot;* &quot;-&quot;??_);_(@_)">
                  <c:v>10335.747161634225</c:v>
                </c:pt>
                <c:pt idx="800" formatCode="_(&quot;$&quot;* #,##0.00_);_(&quot;$&quot;* \(#,##0.00\);_(&quot;$&quot;* &quot;-&quot;??_);_(@_)">
                  <c:v>10419.839798074247</c:v>
                </c:pt>
                <c:pt idx="801" formatCode="_(&quot;$&quot;* #,##0.00_);_(&quot;$&quot;* \(#,##0.00\);_(&quot;$&quot;* &quot;-&quot;??_);_(@_)">
                  <c:v>10095.356963403585</c:v>
                </c:pt>
                <c:pt idx="802" formatCode="_(&quot;$&quot;* #,##0.00_);_(&quot;$&quot;* \(#,##0.00\);_(&quot;$&quot;* &quot;-&quot;??_);_(@_)">
                  <c:v>9853.7296437971472</c:v>
                </c:pt>
                <c:pt idx="803" formatCode="_(&quot;$&quot;* #,##0.00_);_(&quot;$&quot;* \(#,##0.00\);_(&quot;$&quot;* &quot;-&quot;??_);_(@_)">
                  <c:v>9685.4689598989862</c:v>
                </c:pt>
                <c:pt idx="804" formatCode="_(&quot;$&quot;* #,##0.00_);_(&quot;$&quot;* \(#,##0.00\);_(&quot;$&quot;* &quot;-&quot;??_);_(@_)">
                  <c:v>9772.3177753099171</c:v>
                </c:pt>
                <c:pt idx="805" formatCode="_(&quot;$&quot;* #,##0.00_);_(&quot;$&quot;* \(#,##0.00\);_(&quot;$&quot;* &quot;-&quot;??_);_(@_)">
                  <c:v>10460.357225215192</c:v>
                </c:pt>
                <c:pt idx="806" formatCode="_(&quot;$&quot;* #,##0.00_);_(&quot;$&quot;* \(#,##0.00\);_(&quot;$&quot;* &quot;-&quot;??_);_(@_)">
                  <c:v>10856.442800971292</c:v>
                </c:pt>
                <c:pt idx="807" formatCode="_(&quot;$&quot;* #,##0.00_);_(&quot;$&quot;* \(#,##0.00\);_(&quot;$&quot;* &quot;-&quot;??_);_(@_)">
                  <c:v>10271.38012723557</c:v>
                </c:pt>
                <c:pt idx="808" formatCode="_(&quot;$&quot;* #,##0.00_);_(&quot;$&quot;* \(#,##0.00\);_(&quot;$&quot;* &quot;-&quot;??_);_(@_)">
                  <c:v>10465.290484268286</c:v>
                </c:pt>
                <c:pt idx="809" formatCode="_(&quot;$&quot;* #,##0.00_);_(&quot;$&quot;* \(#,##0.00\);_(&quot;$&quot;* &quot;-&quot;??_);_(@_)">
                  <c:v>10905.728955013332</c:v>
                </c:pt>
                <c:pt idx="810" formatCode="_(&quot;$&quot;* #,##0.00_);_(&quot;$&quot;* \(#,##0.00\);_(&quot;$&quot;* &quot;-&quot;??_);_(@_)">
                  <c:v>10647.796015291306</c:v>
                </c:pt>
                <c:pt idx="811" formatCode="_(&quot;$&quot;* #,##0.00_);_(&quot;$&quot;* \(#,##0.00\);_(&quot;$&quot;* &quot;-&quot;??_);_(@_)">
                  <c:v>11111.107258214925</c:v>
                </c:pt>
                <c:pt idx="812" formatCode="_(&quot;$&quot;* #,##0.00_);_(&quot;$&quot;* \(#,##0.00\);_(&quot;$&quot;* &quot;-&quot;??_);_(@_)">
                  <c:v>11026.971722662163</c:v>
                </c:pt>
                <c:pt idx="813" formatCode="_(&quot;$&quot;* #,##0.00_);_(&quot;$&quot;* \(#,##0.00\);_(&quot;$&quot;* &quot;-&quot;??_);_(@_)">
                  <c:v>10132.938262429121</c:v>
                </c:pt>
                <c:pt idx="814" formatCode="_(&quot;$&quot;* #,##0.00_);_(&quot;$&quot;* \(#,##0.00\);_(&quot;$&quot;* &quot;-&quot;??_);_(@_)">
                  <c:v>9773.2757977859164</c:v>
                </c:pt>
                <c:pt idx="815" formatCode="_(&quot;$&quot;* #,##0.00_);_(&quot;$&quot;* \(#,##0.00\);_(&quot;$&quot;* &quot;-&quot;??_);_(@_)">
                  <c:v>9438.8317091389617</c:v>
                </c:pt>
                <c:pt idx="816" formatCode="_(&quot;$&quot;* #,##0.00_);_(&quot;$&quot;* \(#,##0.00\);_(&quot;$&quot;* &quot;-&quot;??_);_(@_)">
                  <c:v>9396.0685889426295</c:v>
                </c:pt>
                <c:pt idx="817" formatCode="_(&quot;$&quot;* #,##0.00_);_(&quot;$&quot;* \(#,##0.00\);_(&quot;$&quot;* &quot;-&quot;??_);_(@_)">
                  <c:v>9277.000262292051</c:v>
                </c:pt>
                <c:pt idx="818" formatCode="_(&quot;$&quot;* #,##0.00_);_(&quot;$&quot;* \(#,##0.00\);_(&quot;$&quot;* &quot;-&quot;??_);_(@_)">
                  <c:v>8602.2013775135438</c:v>
                </c:pt>
                <c:pt idx="819" formatCode="_(&quot;$&quot;* #,##0.00_);_(&quot;$&quot;* \(#,##0.00\);_(&quot;$&quot;* &quot;-&quot;??_);_(@_)">
                  <c:v>8478.2372397453346</c:v>
                </c:pt>
                <c:pt idx="820" formatCode="_(&quot;$&quot;* #,##0.00_);_(&quot;$&quot;* \(#,##0.00\);_(&quot;$&quot;* &quot;-&quot;??_);_(@_)">
                  <c:v>8073.7962817472608</c:v>
                </c:pt>
                <c:pt idx="821" formatCode="_(&quot;$&quot;* #,##0.00_);_(&quot;$&quot;* \(#,##0.00\);_(&quot;$&quot;* &quot;-&quot;??_);_(@_)">
                  <c:v>8525.2340634535631</c:v>
                </c:pt>
                <c:pt idx="822" formatCode="_(&quot;$&quot;* #,##0.00_);_(&quot;$&quot;* \(#,##0.00\);_(&quot;$&quot;* &quot;-&quot;??_);_(@_)">
                  <c:v>8519.3551514133578</c:v>
                </c:pt>
                <c:pt idx="823" formatCode="_(&quot;$&quot;* #,##0.00_);_(&quot;$&quot;* \(#,##0.00\);_(&quot;$&quot;* &quot;-&quot;??_);_(@_)">
                  <c:v>8676.5179020954693</c:v>
                </c:pt>
                <c:pt idx="824" formatCode="_(&quot;$&quot;* #,##0.00_);_(&quot;$&quot;* \(#,##0.00\);_(&quot;$&quot;* &quot;-&quot;??_);_(@_)">
                  <c:v>8109.0000444941807</c:v>
                </c:pt>
                <c:pt idx="825" formatCode="_(&quot;$&quot;* #,##0.00_);_(&quot;$&quot;* \(#,##0.00\);_(&quot;$&quot;* &quot;-&quot;??_);_(@_)">
                  <c:v>8102.7175875510875</c:v>
                </c:pt>
                <c:pt idx="826" formatCode="_(&quot;$&quot;* #,##0.00_);_(&quot;$&quot;* \(#,##0.00\);_(&quot;$&quot;* &quot;-&quot;??_);_(@_)">
                  <c:v>7467.4447607107013</c:v>
                </c:pt>
                <c:pt idx="827" formatCode="_(&quot;$&quot;* #,##0.00_);_(&quot;$&quot;* \(#,##0.00\);_(&quot;$&quot;* &quot;-&quot;??_);_(@_)">
                  <c:v>7164.6440851761145</c:v>
                </c:pt>
                <c:pt idx="828" formatCode="_(&quot;$&quot;* #,##0.00_);_(&quot;$&quot;* \(#,##0.00\);_(&quot;$&quot;* &quot;-&quot;??_);_(@_)">
                  <c:v>6441.7820246219089</c:v>
                </c:pt>
                <c:pt idx="829" formatCode="_(&quot;$&quot;* #,##0.00_);_(&quot;$&quot;* \(#,##0.00\);_(&quot;$&quot;* &quot;-&quot;??_);_(@_)">
                  <c:v>6919.5465274803792</c:v>
                </c:pt>
                <c:pt idx="830" formatCode="_(&quot;$&quot;* #,##0.00_);_(&quot;$&quot;* \(#,##0.00\);_(&quot;$&quot;* &quot;-&quot;??_);_(@_)">
                  <c:v>7485.855409404392</c:v>
                </c:pt>
                <c:pt idx="831" formatCode="_(&quot;$&quot;* #,##0.00_);_(&quot;$&quot;* \(#,##0.00\);_(&quot;$&quot;* &quot;-&quot;??_);_(@_)">
                  <c:v>6974.3890838994184</c:v>
                </c:pt>
                <c:pt idx="832" formatCode="_(&quot;$&quot;* #,##0.00_);_(&quot;$&quot;* \(#,##0.00\);_(&quot;$&quot;* &quot;-&quot;??_);_(@_)">
                  <c:v>7181.2557223791</c:v>
                </c:pt>
                <c:pt idx="833" formatCode="_(&quot;$&quot;* #,##0.00_);_(&quot;$&quot;* \(#,##0.00\);_(&quot;$&quot;* &quot;-&quot;??_);_(@_)">
                  <c:v>6864.7757154755127</c:v>
                </c:pt>
                <c:pt idx="834" formatCode="_(&quot;$&quot;* #,##0.00_);_(&quot;$&quot;* \(#,##0.00\);_(&quot;$&quot;* &quot;-&quot;??_);_(@_)">
                  <c:v>6435.0311353774441</c:v>
                </c:pt>
                <c:pt idx="835" formatCode="_(&quot;$&quot;* #,##0.00_);_(&quot;$&quot;* \(#,##0.00\);_(&quot;$&quot;* &quot;-&quot;??_);_(@_)">
                  <c:v>5945.1505810895978</c:v>
                </c:pt>
                <c:pt idx="836" formatCode="_(&quot;$&quot;* #,##0.00_);_(&quot;$&quot;* \(#,##0.00\);_(&quot;$&quot;* &quot;-&quot;??_);_(@_)">
                  <c:v>6560.7369240709377</c:v>
                </c:pt>
                <c:pt idx="837" formatCode="_(&quot;$&quot;* #,##0.00_);_(&quot;$&quot;* \(#,##0.00\);_(&quot;$&quot;* &quot;-&quot;??_);_(@_)">
                  <c:v>6895.2856873022592</c:v>
                </c:pt>
                <c:pt idx="838" formatCode="_(&quot;$&quot;* #,##0.00_);_(&quot;$&quot;* \(#,##0.00\);_(&quot;$&quot;* &quot;-&quot;??_);_(@_)">
                  <c:v>7198.1168183815835</c:v>
                </c:pt>
                <c:pt idx="839" formatCode="_(&quot;$&quot;* #,##0.00_);_(&quot;$&quot;* \(#,##0.00\);_(&quot;$&quot;* &quot;-&quot;??_);_(@_)">
                  <c:v>7093.5425905682769</c:v>
                </c:pt>
                <c:pt idx="840" formatCode="_(&quot;$&quot;* #,##0.00_);_(&quot;$&quot;* \(#,##0.00\);_(&quot;$&quot;* &quot;-&quot;??_);_(@_)">
                  <c:v>7395.3329264060058</c:v>
                </c:pt>
                <c:pt idx="841" formatCode="_(&quot;$&quot;* #,##0.00_);_(&quot;$&quot;* \(#,##0.00\);_(&quot;$&quot;* &quot;-&quot;??_);_(@_)">
                  <c:v>8075.6478488392895</c:v>
                </c:pt>
                <c:pt idx="842" formatCode="_(&quot;$&quot;* #,##0.00_);_(&quot;$&quot;* \(#,##0.00\);_(&quot;$&quot;* &quot;-&quot;??_);_(@_)">
                  <c:v>7925.5699034241752</c:v>
                </c:pt>
                <c:pt idx="843" formatCode="_(&quot;$&quot;* #,##0.00_);_(&quot;$&quot;* \(#,##0.00\);_(&quot;$&quot;* &quot;-&quot;??_);_(@_)">
                  <c:v>8255.8226118053935</c:v>
                </c:pt>
                <c:pt idx="844" formatCode="_(&quot;$&quot;* #,##0.00_);_(&quot;$&quot;* \(#,##0.00\);_(&quot;$&quot;* &quot;-&quot;??_);_(@_)">
                  <c:v>9012.2072322438871</c:v>
                </c:pt>
                <c:pt idx="845" formatCode="_(&quot;$&quot;* #,##0.00_);_(&quot;$&quot;* \(#,##0.00\);_(&quot;$&quot;* &quot;-&quot;??_);_(@_)">
                  <c:v>9387.8214973958075</c:v>
                </c:pt>
                <c:pt idx="846" formatCode="_(&quot;$&quot;* #,##0.00_);_(&quot;$&quot;* \(#,##0.00\);_(&quot;$&quot;* &quot;-&quot;??_);_(@_)">
                  <c:v>9366.4384583689625</c:v>
                </c:pt>
                <c:pt idx="847" formatCode="_(&quot;$&quot;* #,##0.00_);_(&quot;$&quot;* \(#,##0.00\);_(&quot;$&quot;* &quot;-&quot;??_);_(@_)">
                  <c:v>9667.5441850630905</c:v>
                </c:pt>
                <c:pt idx="848" formatCode="_(&quot;$&quot;* #,##0.00_);_(&quot;$&quot;* \(#,##0.00\);_(&quot;$&quot;* &quot;-&quot;??_);_(@_)">
                  <c:v>9128.643825685187</c:v>
                </c:pt>
                <c:pt idx="849" formatCode="_(&quot;$&quot;* #,##0.00_);_(&quot;$&quot;* \(#,##0.00\);_(&quot;$&quot;* &quot;-&quot;??_);_(@_)">
                  <c:v>9942.5790659391496</c:v>
                </c:pt>
                <c:pt idx="850" formatCode="_(&quot;$&quot;* #,##0.00_);_(&quot;$&quot;* \(#,##0.00\);_(&quot;$&quot;* &quot;-&quot;??_);_(@_)">
                  <c:v>10299.601031642613</c:v>
                </c:pt>
                <c:pt idx="851" formatCode="_(&quot;$&quot;* #,##0.00_);_(&quot;$&quot;* \(#,##0.00\);_(&quot;$&quot;* &quot;-&quot;??_);_(@_)">
                  <c:v>10142.974190447914</c:v>
                </c:pt>
                <c:pt idx="852" formatCode="_(&quot;$&quot;* #,##0.00_);_(&quot;$&quot;* \(#,##0.00\);_(&quot;$&quot;* &quot;-&quot;??_);_(@_)">
                  <c:v>9770.4824985280138</c:v>
                </c:pt>
                <c:pt idx="853" formatCode="_(&quot;$&quot;* #,##0.00_);_(&quot;$&quot;* \(#,##0.00\);_(&quot;$&quot;* &quot;-&quot;??_);_(@_)">
                  <c:v>9636.7393221707989</c:v>
                </c:pt>
                <c:pt idx="854" formatCode="_(&quot;$&quot;* #,##0.00_);_(&quot;$&quot;* \(#,##0.00\);_(&quot;$&quot;* &quot;-&quot;??_);_(@_)">
                  <c:v>9089.978631062666</c:v>
                </c:pt>
                <c:pt idx="855" formatCode="_(&quot;$&quot;* #,##0.00_);_(&quot;$&quot;* \(#,##0.00\);_(&quot;$&quot;* &quot;-&quot;??_);_(@_)">
                  <c:v>9135.3244391203243</c:v>
                </c:pt>
                <c:pt idx="856" formatCode="_(&quot;$&quot;* #,##0.00_);_(&quot;$&quot;* \(#,##0.00\);_(&quot;$&quot;* &quot;-&quot;??_);_(@_)">
                  <c:v>9469.9156142287538</c:v>
                </c:pt>
                <c:pt idx="857" formatCode="_(&quot;$&quot;* #,##0.00_);_(&quot;$&quot;* \(#,##0.00\);_(&quot;$&quot;* &quot;-&quot;??_);_(@_)">
                  <c:v>10114.035857866584</c:v>
                </c:pt>
                <c:pt idx="858" formatCode="_(&quot;$&quot;* #,##0.00_);_(&quot;$&quot;* \(#,##0.00\);_(&quot;$&quot;* &quot;-&quot;??_);_(@_)">
                  <c:v>9318.4741305655261</c:v>
                </c:pt>
                <c:pt idx="859" formatCode="_(&quot;$&quot;* #,##0.00_);_(&quot;$&quot;* \(#,##0.00\);_(&quot;$&quot;* &quot;-&quot;??_);_(@_)">
                  <c:v>9344.9929289010342</c:v>
                </c:pt>
                <c:pt idx="860" formatCode="_(&quot;$&quot;* #,##0.00_);_(&quot;$&quot;* \(#,##0.00\);_(&quot;$&quot;* &quot;-&quot;??_);_(@_)">
                  <c:v>9279.9716885957496</c:v>
                </c:pt>
                <c:pt idx="861" formatCode="_(&quot;$&quot;* #,##0.00_);_(&quot;$&quot;* \(#,##0.00\);_(&quot;$&quot;* &quot;-&quot;??_);_(@_)">
                  <c:v>9944.5550777049666</c:v>
                </c:pt>
                <c:pt idx="862" formatCode="_(&quot;$&quot;* #,##0.00_);_(&quot;$&quot;* \(#,##0.00\);_(&quot;$&quot;* &quot;-&quot;??_);_(@_)">
                  <c:v>10614.190314893493</c:v>
                </c:pt>
                <c:pt idx="863" formatCode="_(&quot;$&quot;* #,##0.00_);_(&quot;$&quot;* \(#,##0.00\);_(&quot;$&quot;* &quot;-&quot;??_);_(@_)">
                  <c:v>9754.9875197074052</c:v>
                </c:pt>
                <c:pt idx="864" formatCode="_(&quot;$&quot;* #,##0.00_);_(&quot;$&quot;* \(#,##0.00\);_(&quot;$&quot;* &quot;-&quot;??_);_(@_)">
                  <c:v>10734.836154980152</c:v>
                </c:pt>
                <c:pt idx="865" formatCode="_(&quot;$&quot;* #,##0.00_);_(&quot;$&quot;* \(#,##0.00\);_(&quot;$&quot;* &quot;-&quot;??_);_(@_)">
                  <c:v>10216.41960424826</c:v>
                </c:pt>
                <c:pt idx="866" formatCode="_(&quot;$&quot;* #,##0.00_);_(&quot;$&quot;* \(#,##0.00\);_(&quot;$&quot;* &quot;-&quot;??_);_(@_)">
                  <c:v>10461.914134921384</c:v>
                </c:pt>
                <c:pt idx="867" formatCode="_(&quot;$&quot;* #,##0.00_);_(&quot;$&quot;* \(#,##0.00\);_(&quot;$&quot;* &quot;-&quot;??_);_(@_)">
                  <c:v>9548.3743387991599</c:v>
                </c:pt>
                <c:pt idx="868" formatCode="_(&quot;$&quot;* #,##0.00_);_(&quot;$&quot;* \(#,##0.00\);_(&quot;$&quot;* &quot;-&quot;??_);_(@_)">
                  <c:v>9476.4213236424202</c:v>
                </c:pt>
                <c:pt idx="869" formatCode="_(&quot;$&quot;* #,##0.00_);_(&quot;$&quot;* \(#,##0.00\);_(&quot;$&quot;* &quot;-&quot;??_);_(@_)">
                  <c:v>9680.600892172406</c:v>
                </c:pt>
                <c:pt idx="870" formatCode="_(&quot;$&quot;* #,##0.00_);_(&quot;$&quot;* \(#,##0.00\);_(&quot;$&quot;* &quot;-&quot;??_);_(@_)">
                  <c:v>11161.009678386619</c:v>
                </c:pt>
                <c:pt idx="871" formatCode="_(&quot;$&quot;* #,##0.00_);_(&quot;$&quot;* \(#,##0.00\);_(&quot;$&quot;* &quot;-&quot;??_);_(@_)">
                  <c:v>9808.109510589622</c:v>
                </c:pt>
                <c:pt idx="872" formatCode="_(&quot;$&quot;* #,##0.00_);_(&quot;$&quot;* \(#,##0.00\);_(&quot;$&quot;* &quot;-&quot;??_);_(@_)">
                  <c:v>9925.6565456803655</c:v>
                </c:pt>
                <c:pt idx="873" formatCode="_(&quot;$&quot;* #,##0.00_);_(&quot;$&quot;* \(#,##0.00\);_(&quot;$&quot;* &quot;-&quot;??_);_(@_)">
                  <c:v>10456.361137774216</c:v>
                </c:pt>
                <c:pt idx="874" formatCode="_(&quot;$&quot;* #,##0.00_);_(&quot;$&quot;* \(#,##0.00\);_(&quot;$&quot;* &quot;-&quot;??_);_(@_)">
                  <c:v>10167.71900663835</c:v>
                </c:pt>
                <c:pt idx="875" formatCode="_(&quot;$&quot;* #,##0.00_);_(&quot;$&quot;* \(#,##0.00\);_(&quot;$&quot;* &quot;-&quot;??_);_(@_)">
                  <c:v>10294.440664838674</c:v>
                </c:pt>
                <c:pt idx="876" formatCode="_(&quot;$&quot;* #,##0.00_);_(&quot;$&quot;* \(#,##0.00\);_(&quot;$&quot;* &quot;-&quot;??_);_(@_)">
                  <c:v>9745.666797322705</c:v>
                </c:pt>
                <c:pt idx="877" formatCode="_(&quot;$&quot;* #,##0.00_);_(&quot;$&quot;* \(#,##0.00\);_(&quot;$&quot;* &quot;-&quot;??_);_(@_)">
                  <c:v>9663.5149178823212</c:v>
                </c:pt>
                <c:pt idx="878" formatCode="_(&quot;$&quot;* #,##0.00_);_(&quot;$&quot;* \(#,##0.00\);_(&quot;$&quot;* &quot;-&quot;??_);_(@_)">
                  <c:v>10143.411221517248</c:v>
                </c:pt>
                <c:pt idx="879" formatCode="_(&quot;$&quot;* #,##0.00_);_(&quot;$&quot;* \(#,##0.00\);_(&quot;$&quot;* &quot;-&quot;??_);_(@_)">
                  <c:v>9719.4670525932197</c:v>
                </c:pt>
                <c:pt idx="880" formatCode="_(&quot;$&quot;* #,##0.00_);_(&quot;$&quot;* \(#,##0.00\);_(&quot;$&quot;* &quot;-&quot;??_);_(@_)">
                  <c:v>10115.608044642006</c:v>
                </c:pt>
                <c:pt idx="881" formatCode="_(&quot;$&quot;* #,##0.00_);_(&quot;$&quot;* \(#,##0.00\);_(&quot;$&quot;* &quot;-&quot;??_);_(@_)">
                  <c:v>10180.5937269447</c:v>
                </c:pt>
                <c:pt idx="882" formatCode="_(&quot;$&quot;* #,##0.00_);_(&quot;$&quot;* \(#,##0.00\);_(&quot;$&quot;* &quot;-&quot;??_);_(@_)">
                  <c:v>10439.357608501652</c:v>
                </c:pt>
                <c:pt idx="883" formatCode="_(&quot;$&quot;* #,##0.00_);_(&quot;$&quot;* \(#,##0.00\);_(&quot;$&quot;* &quot;-&quot;??_);_(@_)">
                  <c:v>10626.998527756718</c:v>
                </c:pt>
                <c:pt idx="884" formatCode="_(&quot;$&quot;* #,##0.00_);_(&quot;$&quot;* \(#,##0.00\);_(&quot;$&quot;* &quot;-&quot;??_);_(@_)">
                  <c:v>10721.383183110129</c:v>
                </c:pt>
                <c:pt idx="885" formatCode="_(&quot;$&quot;* #,##0.00_);_(&quot;$&quot;* \(#,##0.00\);_(&quot;$&quot;* &quot;-&quot;??_);_(@_)">
                  <c:v>10247.353670031331</c:v>
                </c:pt>
                <c:pt idx="886" formatCode="_(&quot;$&quot;* #,##0.00_);_(&quot;$&quot;* \(#,##0.00\);_(&quot;$&quot;* &quot;-&quot;??_);_(@_)">
                  <c:v>10280.070971059749</c:v>
                </c:pt>
                <c:pt idx="887" formatCode="_(&quot;$&quot;* #,##0.00_);_(&quot;$&quot;* \(#,##0.00\);_(&quot;$&quot;* &quot;-&quot;??_);_(@_)">
                  <c:v>10115.622599813219</c:v>
                </c:pt>
                <c:pt idx="888" formatCode="_(&quot;$&quot;* #,##0.00_);_(&quot;$&quot;* \(#,##0.00\);_(&quot;$&quot;* &quot;-&quot;??_);_(@_)">
                  <c:v>9808.8753735433475</c:v>
                </c:pt>
                <c:pt idx="889" formatCode="_(&quot;$&quot;* #,##0.00_);_(&quot;$&quot;* \(#,##0.00\);_(&quot;$&quot;* &quot;-&quot;??_);_(@_)">
                  <c:v>10347.337628177225</c:v>
                </c:pt>
                <c:pt idx="890" formatCode="_(&quot;$&quot;* #,##0.00_);_(&quot;$&quot;* \(#,##0.00\);_(&quot;$&quot;* &quot;-&quot;??_);_(@_)">
                  <c:v>10944.666800761741</c:v>
                </c:pt>
                <c:pt idx="891" formatCode="_(&quot;$&quot;* #,##0.00_);_(&quot;$&quot;* \(#,##0.00\);_(&quot;$&quot;* &quot;-&quot;??_);_(@_)">
                  <c:v>10683.246816428107</c:v>
                </c:pt>
                <c:pt idx="892" formatCode="_(&quot;$&quot;* #,##0.00_);_(&quot;$&quot;* \(#,##0.00\);_(&quot;$&quot;* &quot;-&quot;??_);_(@_)">
                  <c:v>11406.100676113827</c:v>
                </c:pt>
                <c:pt idx="893" formatCode="_(&quot;$&quot;* #,##0.00_);_(&quot;$&quot;* \(#,##0.00\);_(&quot;$&quot;* &quot;-&quot;??_);_(@_)">
                  <c:v>10956.661406915573</c:v>
                </c:pt>
                <c:pt idx="894" formatCode="_(&quot;$&quot;* #,##0.00_);_(&quot;$&quot;* \(#,##0.00\);_(&quot;$&quot;* &quot;-&quot;??_);_(@_)">
                  <c:v>11643.054686462428</c:v>
                </c:pt>
                <c:pt idx="895" formatCode="_(&quot;$&quot;* #,##0.00_);_(&quot;$&quot;* \(#,##0.00\);_(&quot;$&quot;* &quot;-&quot;??_);_(@_)">
                  <c:v>11211.122404837077</c:v>
                </c:pt>
                <c:pt idx="896" formatCode="_(&quot;$&quot;* #,##0.00_);_(&quot;$&quot;* \(#,##0.00\);_(&quot;$&quot;* &quot;-&quot;??_);_(@_)">
                  <c:v>11065.748651515109</c:v>
                </c:pt>
                <c:pt idx="897" formatCode="_(&quot;$&quot;* #,##0.00_);_(&quot;$&quot;* \(#,##0.00\);_(&quot;$&quot;* &quot;-&quot;??_);_(@_)">
                  <c:v>11733.584060676931</c:v>
                </c:pt>
                <c:pt idx="898" formatCode="_(&quot;$&quot;* #,##0.00_);_(&quot;$&quot;* \(#,##0.00\);_(&quot;$&quot;* &quot;-&quot;??_);_(@_)">
                  <c:v>12109.966144961183</c:v>
                </c:pt>
                <c:pt idx="899" formatCode="_(&quot;$&quot;* #,##0.00_);_(&quot;$&quot;* \(#,##0.00\);_(&quot;$&quot;* &quot;-&quot;??_);_(@_)">
                  <c:v>13364.282693711799</c:v>
                </c:pt>
                <c:pt idx="900" formatCode="_(&quot;$&quot;* #,##0.00_);_(&quot;$&quot;* \(#,##0.00\);_(&quot;$&quot;* &quot;-&quot;??_);_(@_)">
                  <c:v>12863.762054496872</c:v>
                </c:pt>
                <c:pt idx="901" formatCode="_(&quot;$&quot;* #,##0.00_);_(&quot;$&quot;* \(#,##0.00\);_(&quot;$&quot;* &quot;-&quot;??_);_(@_)">
                  <c:v>11861.851144218772</c:v>
                </c:pt>
                <c:pt idx="902" formatCode="_(&quot;$&quot;* #,##0.00_);_(&quot;$&quot;* \(#,##0.00\);_(&quot;$&quot;* &quot;-&quot;??_);_(@_)">
                  <c:v>12236.226296869554</c:v>
                </c:pt>
                <c:pt idx="903" formatCode="_(&quot;$&quot;* #,##0.00_);_(&quot;$&quot;* \(#,##0.00\);_(&quot;$&quot;* &quot;-&quot;??_);_(@_)">
                  <c:v>12077.042168320866</c:v>
                </c:pt>
                <c:pt idx="904" formatCode="_(&quot;$&quot;* #,##0.00_);_(&quot;$&quot;* \(#,##0.00\);_(&quot;$&quot;* &quot;-&quot;??_);_(@_)">
                  <c:v>12655.384544018027</c:v>
                </c:pt>
                <c:pt idx="905" formatCode="_(&quot;$&quot;* #,##0.00_);_(&quot;$&quot;* \(#,##0.00\);_(&quot;$&quot;* &quot;-&quot;??_);_(@_)">
                  <c:v>13216.197638578205</c:v>
                </c:pt>
                <c:pt idx="906" formatCode="_(&quot;$&quot;* #,##0.00_);_(&quot;$&quot;* \(#,##0.00\);_(&quot;$&quot;* &quot;-&quot;??_);_(@_)">
                  <c:v>12868.148508461731</c:v>
                </c:pt>
                <c:pt idx="907" formatCode="_(&quot;$&quot;* #,##0.00_);_(&quot;$&quot;* \(#,##0.00\);_(&quot;$&quot;* &quot;-&quot;??_);_(@_)">
                  <c:v>12741.061071077944</c:v>
                </c:pt>
                <c:pt idx="908" formatCode="_(&quot;$&quot;* #,##0.00_);_(&quot;$&quot;* \(#,##0.00\);_(&quot;$&quot;* &quot;-&quot;??_);_(@_)">
                  <c:v>12550.000925144412</c:v>
                </c:pt>
                <c:pt idx="909" formatCode="_(&quot;$&quot;* #,##0.00_);_(&quot;$&quot;* \(#,##0.00\);_(&quot;$&quot;* &quot;-&quot;??_);_(@_)">
                  <c:v>11823.354240930914</c:v>
                </c:pt>
                <c:pt idx="910" formatCode="_(&quot;$&quot;* #,##0.00_);_(&quot;$&quot;* \(#,##0.00\);_(&quot;$&quot;* &quot;-&quot;??_);_(@_)">
                  <c:v>12302.796287017325</c:v>
                </c:pt>
                <c:pt idx="911" formatCode="_(&quot;$&quot;* #,##0.00_);_(&quot;$&quot;* \(#,##0.00\);_(&quot;$&quot;* &quot;-&quot;??_);_(@_)">
                  <c:v>11297.249678340406</c:v>
                </c:pt>
                <c:pt idx="912" formatCode="_(&quot;$&quot;* #,##0.00_);_(&quot;$&quot;* \(#,##0.00\);_(&quot;$&quot;* &quot;-&quot;??_);_(@_)">
                  <c:v>11305.587842770365</c:v>
                </c:pt>
                <c:pt idx="913" formatCode="_(&quot;$&quot;* #,##0.00_);_(&quot;$&quot;* \(#,##0.00\);_(&quot;$&quot;* &quot;-&quot;??_);_(@_)">
                  <c:v>11777.777428799331</c:v>
                </c:pt>
                <c:pt idx="914" formatCode="_(&quot;$&quot;* #,##0.00_);_(&quot;$&quot;* \(#,##0.00\);_(&quot;$&quot;* &quot;-&quot;??_);_(@_)">
                  <c:v>11938.86684131223</c:v>
                </c:pt>
                <c:pt idx="915" formatCode="_(&quot;$&quot;* #,##0.00_);_(&quot;$&quot;* \(#,##0.00\);_(&quot;$&quot;* &quot;-&quot;??_);_(@_)">
                  <c:v>11760.324413904953</c:v>
                </c:pt>
                <c:pt idx="916" formatCode="_(&quot;$&quot;* #,##0.00_);_(&quot;$&quot;* \(#,##0.00\);_(&quot;$&quot;* &quot;-&quot;??_);_(@_)">
                  <c:v>11963.660616351071</c:v>
                </c:pt>
                <c:pt idx="917" formatCode="_(&quot;$&quot;* #,##0.00_);_(&quot;$&quot;* \(#,##0.00\);_(&quot;$&quot;* &quot;-&quot;??_);_(@_)">
                  <c:v>12127.930060674315</c:v>
                </c:pt>
                <c:pt idx="918" formatCode="_(&quot;$&quot;* #,##0.00_);_(&quot;$&quot;* \(#,##0.00\);_(&quot;$&quot;* &quot;-&quot;??_);_(@_)">
                  <c:v>12367.620849714971</c:v>
                </c:pt>
                <c:pt idx="919" formatCode="_(&quot;$&quot;* #,##0.00_);_(&quot;$&quot;* \(#,##0.00\);_(&quot;$&quot;* &quot;-&quot;??_);_(@_)">
                  <c:v>11712.300543536428</c:v>
                </c:pt>
                <c:pt idx="920" formatCode="_(&quot;$&quot;* #,##0.00_);_(&quot;$&quot;* \(#,##0.00\);_(&quot;$&quot;* &quot;-&quot;??_);_(@_)">
                  <c:v>11392.392728769812</c:v>
                </c:pt>
                <c:pt idx="921" formatCode="_(&quot;$&quot;* #,##0.00_);_(&quot;$&quot;* \(#,##0.00\);_(&quot;$&quot;* &quot;-&quot;??_);_(@_)">
                  <c:v>13897.203474731725</c:v>
                </c:pt>
                <c:pt idx="922" formatCode="_(&quot;$&quot;* #,##0.00_);_(&quot;$&quot;* \(#,##0.00\);_(&quot;$&quot;* &quot;-&quot;??_);_(@_)">
                  <c:v>12881.732339374863</c:v>
                </c:pt>
                <c:pt idx="923" formatCode="_(&quot;$&quot;* #,##0.00_);_(&quot;$&quot;* \(#,##0.00\);_(&quot;$&quot;* &quot;-&quot;??_);_(@_)">
                  <c:v>13149.726183071367</c:v>
                </c:pt>
                <c:pt idx="924" formatCode="_(&quot;$&quot;* #,##0.00_);_(&quot;$&quot;* \(#,##0.00\);_(&quot;$&quot;* &quot;-&quot;??_);_(@_)">
                  <c:v>12842.252594567139</c:v>
                </c:pt>
                <c:pt idx="925" formatCode="_(&quot;$&quot;* #,##0.00_);_(&quot;$&quot;* \(#,##0.00\);_(&quot;$&quot;* &quot;-&quot;??_);_(@_)">
                  <c:v>12885.160007573466</c:v>
                </c:pt>
                <c:pt idx="926" formatCode="_(&quot;$&quot;* #,##0.00_);_(&quot;$&quot;* \(#,##0.00\);_(&quot;$&quot;* &quot;-&quot;??_);_(@_)">
                  <c:v>11946.291594246095</c:v>
                </c:pt>
                <c:pt idx="927" formatCode="_(&quot;$&quot;* #,##0.00_);_(&quot;$&quot;* \(#,##0.00\);_(&quot;$&quot;* &quot;-&quot;??_);_(@_)">
                  <c:v>11345.751236233151</c:v>
                </c:pt>
                <c:pt idx="928" formatCode="_(&quot;$&quot;* #,##0.00_);_(&quot;$&quot;* \(#,##0.00\);_(&quot;$&quot;* &quot;-&quot;??_);_(@_)">
                  <c:v>11715.696875056376</c:v>
                </c:pt>
                <c:pt idx="929" formatCode="_(&quot;$&quot;* #,##0.00_);_(&quot;$&quot;* \(#,##0.00\);_(&quot;$&quot;* &quot;-&quot;??_);_(@_)">
                  <c:v>11579.572433392834</c:v>
                </c:pt>
                <c:pt idx="930" formatCode="_(&quot;$&quot;* #,##0.00_);_(&quot;$&quot;* \(#,##0.00\);_(&quot;$&quot;* &quot;-&quot;??_);_(@_)">
                  <c:v>10997.448796162673</c:v>
                </c:pt>
                <c:pt idx="931" formatCode="_(&quot;$&quot;* #,##0.00_);_(&quot;$&quot;* \(#,##0.00\);_(&quot;$&quot;* &quot;-&quot;??_);_(@_)">
                  <c:v>10584.49368255948</c:v>
                </c:pt>
                <c:pt idx="932" formatCode="_(&quot;$&quot;* #,##0.00_);_(&quot;$&quot;* \(#,##0.00\);_(&quot;$&quot;* &quot;-&quot;??_);_(@_)">
                  <c:v>11450.14505408164</c:v>
                </c:pt>
                <c:pt idx="933" formatCode="_(&quot;$&quot;* #,##0.00_);_(&quot;$&quot;* \(#,##0.00\);_(&quot;$&quot;* &quot;-&quot;??_);_(@_)">
                  <c:v>11207.601693912507</c:v>
                </c:pt>
                <c:pt idx="934" formatCode="_(&quot;$&quot;* #,##0.00_);_(&quot;$&quot;* \(#,##0.00\);_(&quot;$&quot;* &quot;-&quot;??_);_(@_)">
                  <c:v>11253.926004606836</c:v>
                </c:pt>
                <c:pt idx="935" formatCode="_(&quot;$&quot;* #,##0.00_);_(&quot;$&quot;* \(#,##0.00\);_(&quot;$&quot;* &quot;-&quot;??_);_(@_)">
                  <c:v>11151.518356569533</c:v>
                </c:pt>
                <c:pt idx="936" formatCode="_(&quot;$&quot;* #,##0.00_);_(&quot;$&quot;* \(#,##0.00\);_(&quot;$&quot;* &quot;-&quot;??_);_(@_)">
                  <c:v>11996.195878658491</c:v>
                </c:pt>
                <c:pt idx="937" formatCode="_(&quot;$&quot;* #,##0.00_);_(&quot;$&quot;* \(#,##0.00\);_(&quot;$&quot;* &quot;-&quot;??_);_(@_)">
                  <c:v>11716.355496697439</c:v>
                </c:pt>
                <c:pt idx="938" formatCode="_(&quot;$&quot;* #,##0.00_);_(&quot;$&quot;* \(#,##0.00\);_(&quot;$&quot;* &quot;-&quot;??_);_(@_)">
                  <c:v>11474.527956396534</c:v>
                </c:pt>
                <c:pt idx="939" formatCode="_(&quot;$&quot;* #,##0.00_);_(&quot;$&quot;* \(#,##0.00\);_(&quot;$&quot;* &quot;-&quot;??_);_(@_)">
                  <c:v>11379.998231963629</c:v>
                </c:pt>
                <c:pt idx="940" formatCode="_(&quot;$&quot;* #,##0.00_);_(&quot;$&quot;* \(#,##0.00\);_(&quot;$&quot;* &quot;-&quot;??_);_(@_)">
                  <c:v>11141.91244010951</c:v>
                </c:pt>
                <c:pt idx="941" formatCode="_(&quot;$&quot;* #,##0.00_);_(&quot;$&quot;* \(#,##0.00\);_(&quot;$&quot;* &quot;-&quot;??_);_(@_)">
                  <c:v>10997.426917414399</c:v>
                </c:pt>
                <c:pt idx="942" formatCode="_(&quot;$&quot;* #,##0.00_);_(&quot;$&quot;* \(#,##0.00\);_(&quot;$&quot;* &quot;-&quot;??_);_(@_)">
                  <c:v>10893.180448844443</c:v>
                </c:pt>
                <c:pt idx="943" formatCode="_(&quot;$&quot;* #,##0.00_);_(&quot;$&quot;* \(#,##0.00\);_(&quot;$&quot;* &quot;-&quot;??_);_(@_)">
                  <c:v>10329.35181201902</c:v>
                </c:pt>
                <c:pt idx="944" formatCode="_(&quot;$&quot;* #,##0.00_);_(&quot;$&quot;* \(#,##0.00\);_(&quot;$&quot;* &quot;-&quot;??_);_(@_)">
                  <c:v>10764.134180954441</c:v>
                </c:pt>
                <c:pt idx="945" formatCode="_(&quot;$&quot;* #,##0.00_);_(&quot;$&quot;* \(#,##0.00\);_(&quot;$&quot;* &quot;-&quot;??_);_(@_)">
                  <c:v>11494.07576558959</c:v>
                </c:pt>
                <c:pt idx="946" formatCode="_(&quot;$&quot;* #,##0.00_);_(&quot;$&quot;* \(#,##0.00\);_(&quot;$&quot;* &quot;-&quot;??_);_(@_)">
                  <c:v>11071.001643653181</c:v>
                </c:pt>
                <c:pt idx="947" formatCode="_(&quot;$&quot;* #,##0.00_);_(&quot;$&quot;* \(#,##0.00\);_(&quot;$&quot;* &quot;-&quot;??_);_(@_)">
                  <c:v>10722.583845850648</c:v>
                </c:pt>
                <c:pt idx="948" formatCode="_(&quot;$&quot;* #,##0.00_);_(&quot;$&quot;* \(#,##0.00\);_(&quot;$&quot;* &quot;-&quot;??_);_(@_)">
                  <c:v>10843.086351795995</c:v>
                </c:pt>
                <c:pt idx="949" formatCode="_(&quot;$&quot;* #,##0.00_);_(&quot;$&quot;* \(#,##0.00\);_(&quot;$&quot;* &quot;-&quot;??_);_(@_)">
                  <c:v>10768.021773751787</c:v>
                </c:pt>
                <c:pt idx="950" formatCode="_(&quot;$&quot;* #,##0.00_);_(&quot;$&quot;* \(#,##0.00\);_(&quot;$&quot;* &quot;-&quot;??_);_(@_)">
                  <c:v>11261.214211114102</c:v>
                </c:pt>
                <c:pt idx="951" formatCode="_(&quot;$&quot;* #,##0.00_);_(&quot;$&quot;* \(#,##0.00\);_(&quot;$&quot;* &quot;-&quot;??_);_(@_)">
                  <c:v>11619.599569918842</c:v>
                </c:pt>
                <c:pt idx="952" formatCode="_(&quot;$&quot;* #,##0.00_);_(&quot;$&quot;* \(#,##0.00\);_(&quot;$&quot;* &quot;-&quot;??_);_(@_)">
                  <c:v>11336.960566572559</c:v>
                </c:pt>
                <c:pt idx="953" formatCode="_(&quot;$&quot;* #,##0.00_);_(&quot;$&quot;* \(#,##0.00\);_(&quot;$&quot;* &quot;-&quot;??_);_(@_)">
                  <c:v>11551.732517736114</c:v>
                </c:pt>
                <c:pt idx="954" formatCode="_(&quot;$&quot;* #,##0.00_);_(&quot;$&quot;* \(#,##0.00\);_(&quot;$&quot;* &quot;-&quot;??_);_(@_)">
                  <c:v>11823.520132663016</c:v>
                </c:pt>
                <c:pt idx="955" formatCode="_(&quot;$&quot;* #,##0.00_);_(&quot;$&quot;* \(#,##0.00\);_(&quot;$&quot;* &quot;-&quot;??_);_(@_)">
                  <c:v>11974.038165086828</c:v>
                </c:pt>
                <c:pt idx="956" formatCode="_(&quot;$&quot;* #,##0.00_);_(&quot;$&quot;* \(#,##0.00\);_(&quot;$&quot;* &quot;-&quot;??_);_(@_)">
                  <c:v>11901.84329419554</c:v>
                </c:pt>
                <c:pt idx="957" formatCode="_(&quot;$&quot;* #,##0.00_);_(&quot;$&quot;* \(#,##0.00\);_(&quot;$&quot;* &quot;-&quot;??_);_(@_)">
                  <c:v>12385.785963378472</c:v>
                </c:pt>
                <c:pt idx="958" formatCode="_(&quot;$&quot;* #,##0.00_);_(&quot;$&quot;* \(#,##0.00\);_(&quot;$&quot;* &quot;-&quot;??_);_(@_)">
                  <c:v>12123.516972683963</c:v>
                </c:pt>
                <c:pt idx="959" formatCode="_(&quot;$&quot;* #,##0.00_);_(&quot;$&quot;* \(#,##0.00\);_(&quot;$&quot;* &quot;-&quot;??_);_(@_)">
                  <c:v>12321.34400215409</c:v>
                </c:pt>
                <c:pt idx="960" formatCode="_(&quot;$&quot;* #,##0.00_);_(&quot;$&quot;* \(#,##0.00\);_(&quot;$&quot;* &quot;-&quot;??_);_(@_)">
                  <c:v>12108.27517707174</c:v>
                </c:pt>
                <c:pt idx="961" formatCode="_(&quot;$&quot;* #,##0.00_);_(&quot;$&quot;* \(#,##0.00\);_(&quot;$&quot;* &quot;-&quot;??_);_(@_)">
                  <c:v>12271.543941897486</c:v>
                </c:pt>
                <c:pt idx="962" formatCode="_(&quot;$&quot;* #,##0.00_);_(&quot;$&quot;* \(#,##0.00\);_(&quot;$&quot;* &quot;-&quot;??_);_(@_)">
                  <c:v>12344.884274860746</c:v>
                </c:pt>
                <c:pt idx="963" formatCode="_(&quot;$&quot;* #,##0.00_);_(&quot;$&quot;* \(#,##0.00\);_(&quot;$&quot;* &quot;-&quot;??_);_(@_)">
                  <c:v>12413.867649103202</c:v>
                </c:pt>
                <c:pt idx="964" formatCode="_(&quot;$&quot;* #,##0.00_);_(&quot;$&quot;* \(#,##0.00\);_(&quot;$&quot;* &quot;-&quot;??_);_(@_)">
                  <c:v>12412.613577788936</c:v>
                </c:pt>
                <c:pt idx="965" formatCode="_(&quot;$&quot;* #,##0.00_);_(&quot;$&quot;* \(#,##0.00\);_(&quot;$&quot;* &quot;-&quot;??_);_(@_)">
                  <c:v>12575.540201506599</c:v>
                </c:pt>
                <c:pt idx="966" formatCode="_(&quot;$&quot;* #,##0.00_);_(&quot;$&quot;* \(#,##0.00\);_(&quot;$&quot;* &quot;-&quot;??_);_(@_)">
                  <c:v>12666.306745278267</c:v>
                </c:pt>
                <c:pt idx="967" formatCode="_(&quot;$&quot;* #,##0.00_);_(&quot;$&quot;* \(#,##0.00\);_(&quot;$&quot;* &quot;-&quot;??_);_(@_)">
                  <c:v>12653.535436426882</c:v>
                </c:pt>
                <c:pt idx="968" formatCode="_(&quot;$&quot;* #,##0.00_);_(&quot;$&quot;* \(#,##0.00\);_(&quot;$&quot;* &quot;-&quot;??_);_(@_)">
                  <c:v>12759.590818777988</c:v>
                </c:pt>
                <c:pt idx="969" formatCode="_(&quot;$&quot;* #,##0.00_);_(&quot;$&quot;* \(#,##0.00\);_(&quot;$&quot;* &quot;-&quot;??_);_(@_)">
                  <c:v>12733.251042010681</c:v>
                </c:pt>
                <c:pt idx="970" formatCode="_(&quot;$&quot;* #,##0.00_);_(&quot;$&quot;* \(#,##0.00\);_(&quot;$&quot;* &quot;-&quot;??_);_(@_)">
                  <c:v>12040.818388746309</c:v>
                </c:pt>
                <c:pt idx="971" formatCode="_(&quot;$&quot;* #,##0.00_);_(&quot;$&quot;* \(#,##0.00\);_(&quot;$&quot;* &quot;-&quot;??_);_(@_)">
                  <c:v>11525.908360180712</c:v>
                </c:pt>
                <c:pt idx="972" formatCode="_(&quot;$&quot;* #,##0.00_);_(&quot;$&quot;* \(#,##0.00\);_(&quot;$&quot;* &quot;-&quot;??_);_(@_)">
                  <c:v>11683.800423945544</c:v>
                </c:pt>
                <c:pt idx="973" formatCode="_(&quot;$&quot;* #,##0.00_);_(&quot;$&quot;* \(#,##0.00\);_(&quot;$&quot;* &quot;-&quot;??_);_(@_)">
                  <c:v>12461.334633695726</c:v>
                </c:pt>
                <c:pt idx="974" formatCode="_(&quot;$&quot;* #,##0.00_);_(&quot;$&quot;* \(#,##0.00\);_(&quot;$&quot;* &quot;-&quot;??_);_(@_)">
                  <c:v>12489.021143758429</c:v>
                </c:pt>
                <c:pt idx="975" formatCode="_(&quot;$&quot;* #,##0.00_);_(&quot;$&quot;* \(#,##0.00\);_(&quot;$&quot;* &quot;-&quot;??_);_(@_)">
                  <c:v>12619.659961246445</c:v>
                </c:pt>
                <c:pt idx="976" formatCode="_(&quot;$&quot;* #,##0.00_);_(&quot;$&quot;* \(#,##0.00\);_(&quot;$&quot;* &quot;-&quot;??_);_(@_)">
                  <c:v>12627.879876786425</c:v>
                </c:pt>
                <c:pt idx="977" formatCode="_(&quot;$&quot;* #,##0.00_);_(&quot;$&quot;* \(#,##0.00\);_(&quot;$&quot;* &quot;-&quot;??_);_(@_)">
                  <c:v>11423.505598663045</c:v>
                </c:pt>
                <c:pt idx="978" formatCode="_(&quot;$&quot;* #,##0.00_);_(&quot;$&quot;* \(#,##0.00\);_(&quot;$&quot;* &quot;-&quot;??_);_(@_)">
                  <c:v>11198.596678903546</c:v>
                </c:pt>
                <c:pt idx="979" formatCode="_(&quot;$&quot;* #,##0.00_);_(&quot;$&quot;* \(#,##0.00\);_(&quot;$&quot;* &quot;-&quot;??_);_(@_)">
                  <c:v>10893.393542268648</c:v>
                </c:pt>
                <c:pt idx="980" formatCode="_(&quot;$&quot;* #,##0.00_);_(&quot;$&quot;* \(#,##0.00\);_(&quot;$&quot;* &quot;-&quot;??_);_(@_)">
                  <c:v>10947.421306365322</c:v>
                </c:pt>
                <c:pt idx="981" formatCode="_(&quot;$&quot;* #,##0.00_);_(&quot;$&quot;* \(#,##0.00\);_(&quot;$&quot;* &quot;-&quot;??_);_(@_)">
                  <c:v>10642.234402115162</c:v>
                </c:pt>
                <c:pt idx="982" formatCode="_(&quot;$&quot;* #,##0.00_);_(&quot;$&quot;* \(#,##0.00\);_(&quot;$&quot;* &quot;-&quot;??_);_(@_)">
                  <c:v>10341.21659895256</c:v>
                </c:pt>
                <c:pt idx="983" formatCode="_(&quot;$&quot;* #,##0.00_);_(&quot;$&quot;* \(#,##0.00\);_(&quot;$&quot;* &quot;-&quot;??_);_(@_)">
                  <c:v>10043.954314267547</c:v>
                </c:pt>
                <c:pt idx="984" formatCode="_(&quot;$&quot;* #,##0.00_);_(&quot;$&quot;* \(#,##0.00\);_(&quot;$&quot;* &quot;-&quot;??_);_(@_)">
                  <c:v>9663.4444356816912</c:v>
                </c:pt>
                <c:pt idx="985" formatCode="_(&quot;$&quot;* #,##0.00_);_(&quot;$&quot;* \(#,##0.00\);_(&quot;$&quot;* &quot;-&quot;??_);_(@_)">
                  <c:v>9751.2400669845483</c:v>
                </c:pt>
                <c:pt idx="986" formatCode="_(&quot;$&quot;* #,##0.00_);_(&quot;$&quot;* \(#,##0.00\);_(&quot;$&quot;* &quot;-&quot;??_);_(@_)">
                  <c:v>10710.61727098321</c:v>
                </c:pt>
                <c:pt idx="987" formatCode="_(&quot;$&quot;* #,##0.00_);_(&quot;$&quot;* \(#,##0.00\);_(&quot;$&quot;* &quot;-&quot;??_);_(@_)">
                  <c:v>10654.944418078096</c:v>
                </c:pt>
                <c:pt idx="988" formatCode="_(&quot;$&quot;* #,##0.00_);_(&quot;$&quot;* \(#,##0.00\);_(&quot;$&quot;* &quot;-&quot;??_);_(@_)">
                  <c:v>10451.631282979064</c:v>
                </c:pt>
                <c:pt idx="989" formatCode="_(&quot;$&quot;* #,##0.00_);_(&quot;$&quot;* \(#,##0.00\);_(&quot;$&quot;* &quot;-&quot;??_);_(@_)">
                  <c:v>10416.379399429667</c:v>
                </c:pt>
                <c:pt idx="990" formatCode="_(&quot;$&quot;* #,##0.00_);_(&quot;$&quot;* \(#,##0.00\);_(&quot;$&quot;* &quot;-&quot;??_);_(@_)">
                  <c:v>10948.053343059586</c:v>
                </c:pt>
                <c:pt idx="991" formatCode="_(&quot;$&quot;* #,##0.00_);_(&quot;$&quot;* \(#,##0.00\);_(&quot;$&quot;* &quot;-&quot;??_);_(@_)">
                  <c:v>9687.5100158655187</c:v>
                </c:pt>
                <c:pt idx="992" formatCode="_(&quot;$&quot;* #,##0.00_);_(&quot;$&quot;* \(#,##0.00\);_(&quot;$&quot;* &quot;-&quot;??_);_(@_)">
                  <c:v>9665.2111528698115</c:v>
                </c:pt>
                <c:pt idx="993" formatCode="_(&quot;$&quot;* #,##0.00_);_(&quot;$&quot;* \(#,##0.00\);_(&quot;$&quot;* &quot;-&quot;??_);_(@_)">
                  <c:v>9311.979580911704</c:v>
                </c:pt>
                <c:pt idx="994" formatCode="_(&quot;$&quot;* #,##0.00_);_(&quot;$&quot;* \(#,##0.00\);_(&quot;$&quot;* &quot;-&quot;??_);_(@_)">
                  <c:v>9252.6913184412351</c:v>
                </c:pt>
                <c:pt idx="995" formatCode="_(&quot;$&quot;* #,##0.00_);_(&quot;$&quot;* \(#,##0.00\);_(&quot;$&quot;* &quot;-&quot;??_);_(@_)">
                  <c:v>9818.8522245800141</c:v>
                </c:pt>
                <c:pt idx="996" formatCode="_(&quot;$&quot;* #,##0.00_);_(&quot;$&quot;* \(#,##0.00\);_(&quot;$&quot;* &quot;-&quot;??_);_(@_)">
                  <c:v>9603.3174590832132</c:v>
                </c:pt>
                <c:pt idx="997" formatCode="_(&quot;$&quot;* #,##0.00_);_(&quot;$&quot;* \(#,##0.00\);_(&quot;$&quot;* &quot;-&quot;??_);_(@_)">
                  <c:v>10126.073988997887</c:v>
                </c:pt>
                <c:pt idx="998" formatCode="_(&quot;$&quot;* #,##0.00_);_(&quot;$&quot;* \(#,##0.00\);_(&quot;$&quot;* &quot;-&quot;??_);_(@_)">
                  <c:v>10662.887948388796</c:v>
                </c:pt>
                <c:pt idx="999" formatCode="_(&quot;$&quot;* #,##0.00_);_(&quot;$&quot;* \(#,##0.00\);_(&quot;$&quot;* &quot;-&quot;??_);_(@_)">
                  <c:v>10151.121701068398</c:v>
                </c:pt>
                <c:pt idx="1000" formatCode="_(&quot;$&quot;* #,##0.00_);_(&quot;$&quot;* \(#,##0.00\);_(&quot;$&quot;* &quot;-&quot;??_);_(@_)">
                  <c:v>10448.362253991118</c:v>
                </c:pt>
                <c:pt idx="1001" formatCode="_(&quot;$&quot;* #,##0.00_);_(&quot;$&quot;* \(#,##0.00\);_(&quot;$&quot;* &quot;-&quot;??_);_(@_)">
                  <c:v>10218.873021449912</c:v>
                </c:pt>
                <c:pt idx="1002" formatCode="_(&quot;$&quot;* #,##0.00_);_(&quot;$&quot;* \(#,##0.00\);_(&quot;$&quot;* &quot;-&quot;??_);_(@_)">
                  <c:v>11208.546825314697</c:v>
                </c:pt>
                <c:pt idx="1003" formatCode="_(&quot;$&quot;* #,##0.00_);_(&quot;$&quot;* \(#,##0.00\);_(&quot;$&quot;* &quot;-&quot;??_);_(@_)">
                  <c:v>11184.944747354233</c:v>
                </c:pt>
                <c:pt idx="1004" formatCode="_(&quot;$&quot;* #,##0.00_);_(&quot;$&quot;* \(#,##0.00\);_(&quot;$&quot;* &quot;-&quot;??_);_(@_)">
                  <c:v>11784.125035762445</c:v>
                </c:pt>
                <c:pt idx="1005" formatCode="_(&quot;$&quot;* #,##0.00_);_(&quot;$&quot;* \(#,##0.00\);_(&quot;$&quot;* &quot;-&quot;??_);_(@_)">
                  <c:v>11859.483369744474</c:v>
                </c:pt>
                <c:pt idx="1006" formatCode="_(&quot;$&quot;* #,##0.00_);_(&quot;$&quot;* \(#,##0.00\);_(&quot;$&quot;* &quot;-&quot;??_);_(@_)">
                  <c:v>11653.406822301151</c:v>
                </c:pt>
                <c:pt idx="1007" formatCode="_(&quot;$&quot;* #,##0.00_);_(&quot;$&quot;* \(#,##0.00\);_(&quot;$&quot;* &quot;-&quot;??_);_(@_)">
                  <c:v>10567.919235273728</c:v>
                </c:pt>
                <c:pt idx="1008" formatCode="_(&quot;$&quot;* #,##0.00_);_(&quot;$&quot;* \(#,##0.00\);_(&quot;$&quot;* &quot;-&quot;??_);_(@_)">
                  <c:v>11227.751034952882</c:v>
                </c:pt>
                <c:pt idx="1009" formatCode="_(&quot;$&quot;* #,##0.00_);_(&quot;$&quot;* \(#,##0.00\);_(&quot;$&quot;* &quot;-&quot;??_);_(@_)">
                  <c:v>11240.511434464606</c:v>
                </c:pt>
                <c:pt idx="1010" formatCode="_(&quot;$&quot;* #,##0.00_);_(&quot;$&quot;* \(#,##0.00\);_(&quot;$&quot;* &quot;-&quot;??_);_(@_)">
                  <c:v>11240.274959365242</c:v>
                </c:pt>
                <c:pt idx="1011" formatCode="_(&quot;$&quot;* #,##0.00_);_(&quot;$&quot;* \(#,##0.00\);_(&quot;$&quot;* &quot;-&quot;??_);_(@_)">
                  <c:v>10229.564775693612</c:v>
                </c:pt>
                <c:pt idx="1012" formatCode="_(&quot;$&quot;* #,##0.00_);_(&quot;$&quot;* \(#,##0.00\);_(&quot;$&quot;* &quot;-&quot;??_);_(@_)">
                  <c:v>10404.208610467562</c:v>
                </c:pt>
                <c:pt idx="1013" formatCode="_(&quot;$&quot;* #,##0.00_);_(&quot;$&quot;* \(#,##0.00\);_(&quot;$&quot;* &quot;-&quot;??_);_(@_)">
                  <c:v>10456.905261387483</c:v>
                </c:pt>
                <c:pt idx="1014" formatCode="_(&quot;$&quot;* #,##0.00_);_(&quot;$&quot;* \(#,##0.00\);_(&quot;$&quot;* &quot;-&quot;??_);_(@_)">
                  <c:v>10868.825285363511</c:v>
                </c:pt>
                <c:pt idx="1015" formatCode="_(&quot;$&quot;* #,##0.00_);_(&quot;$&quot;* \(#,##0.00\);_(&quot;$&quot;* &quot;-&quot;??_);_(@_)">
                  <c:v>10543.71195811387</c:v>
                </c:pt>
                <c:pt idx="1016" formatCode="_(&quot;$&quot;* #,##0.00_);_(&quot;$&quot;* \(#,##0.00\);_(&quot;$&quot;* &quot;-&quot;??_);_(@_)">
                  <c:v>10194.149592037122</c:v>
                </c:pt>
                <c:pt idx="1017" formatCode="_(&quot;$&quot;* #,##0.00_);_(&quot;$&quot;* \(#,##0.00\);_(&quot;$&quot;* &quot;-&quot;??_);_(@_)">
                  <c:v>10327.674488411461</c:v>
                </c:pt>
                <c:pt idx="1018" formatCode="_(&quot;$&quot;* #,##0.00_);_(&quot;$&quot;* \(#,##0.00\);_(&quot;$&quot;* &quot;-&quot;??_);_(@_)">
                  <c:v>9925.8738262210063</c:v>
                </c:pt>
                <c:pt idx="1019" formatCode="_(&quot;$&quot;* #,##0.00_);_(&quot;$&quot;* \(#,##0.00\);_(&quot;$&quot;* &quot;-&quot;??_);_(@_)">
                  <c:v>10448.081086476948</c:v>
                </c:pt>
                <c:pt idx="1020" formatCode="_(&quot;$&quot;* #,##0.00_);_(&quot;$&quot;* \(#,##0.00\);_(&quot;$&quot;* &quot;-&quot;??_);_(@_)">
                  <c:v>10399.160870091431</c:v>
                </c:pt>
                <c:pt idx="1021" formatCode="_(&quot;$&quot;* #,##0.00_);_(&quot;$&quot;* \(#,##0.00\);_(&quot;$&quot;* &quot;-&quot;??_);_(@_)">
                  <c:v>9702.2295299606831</c:v>
                </c:pt>
                <c:pt idx="1022" formatCode="_(&quot;$&quot;* #,##0.00_);_(&quot;$&quot;* \(#,##0.00\);_(&quot;$&quot;* &quot;-&quot;??_);_(@_)">
                  <c:v>9799.3707961392483</c:v>
                </c:pt>
                <c:pt idx="1023" formatCode="_(&quot;$&quot;* #,##0.00_);_(&quot;$&quot;* \(#,##0.00\);_(&quot;$&quot;* &quot;-&quot;??_);_(@_)">
                  <c:v>9392.8634252290194</c:v>
                </c:pt>
                <c:pt idx="1024" formatCode="_(&quot;$&quot;* #,##0.00_);_(&quot;$&quot;* \(#,##0.00\);_(&quot;$&quot;* &quot;-&quot;??_);_(@_)">
                  <c:v>9067.6040028941843</c:v>
                </c:pt>
                <c:pt idx="1025" formatCode="_(&quot;$&quot;* #,##0.00_);_(&quot;$&quot;* \(#,##0.00\);_(&quot;$&quot;* &quot;-&quot;??_);_(@_)">
                  <c:v>9606.8248445088138</c:v>
                </c:pt>
                <c:pt idx="1026" formatCode="_(&quot;$&quot;* #,##0.00_);_(&quot;$&quot;* \(#,##0.00\);_(&quot;$&quot;* &quot;-&quot;??_);_(@_)">
                  <c:v>9997.1288149850516</c:v>
                </c:pt>
                <c:pt idx="1027" formatCode="_(&quot;$&quot;* #,##0.00_);_(&quot;$&quot;* \(#,##0.00\);_(&quot;$&quot;* &quot;-&quot;??_);_(@_)">
                  <c:v>9329.6426725686561</c:v>
                </c:pt>
                <c:pt idx="1028" formatCode="_(&quot;$&quot;* #,##0.00_);_(&quot;$&quot;* \(#,##0.00\);_(&quot;$&quot;* &quot;-&quot;??_);_(@_)">
                  <c:v>10015.991659274809</c:v>
                </c:pt>
                <c:pt idx="1029" formatCode="_(&quot;$&quot;* #,##0.00_);_(&quot;$&quot;* \(#,##0.00\);_(&quot;$&quot;* &quot;-&quot;??_);_(@_)">
                  <c:v>10723.02406137527</c:v>
                </c:pt>
                <c:pt idx="1030" formatCode="_(&quot;$&quot;* #,##0.00_);_(&quot;$&quot;* \(#,##0.00\);_(&quot;$&quot;* &quot;-&quot;??_);_(@_)">
                  <c:v>10850.40430040034</c:v>
                </c:pt>
                <c:pt idx="1031" formatCode="_(&quot;$&quot;* #,##0.00_);_(&quot;$&quot;* \(#,##0.00\);_(&quot;$&quot;* &quot;-&quot;??_);_(@_)">
                  <c:v>10630.483355985683</c:v>
                </c:pt>
                <c:pt idx="1032" formatCode="_(&quot;$&quot;* #,##0.00_);_(&quot;$&quot;* \(#,##0.00\);_(&quot;$&quot;* &quot;-&quot;??_);_(@_)">
                  <c:v>10444.552272009181</c:v>
                </c:pt>
                <c:pt idx="1033" formatCode="_(&quot;$&quot;* #,##0.00_);_(&quot;$&quot;* \(#,##0.00\);_(&quot;$&quot;* &quot;-&quot;??_);_(@_)">
                  <c:v>10836.095261960987</c:v>
                </c:pt>
                <c:pt idx="1034" formatCode="_(&quot;$&quot;* #,##0.00_);_(&quot;$&quot;* \(#,##0.00\);_(&quot;$&quot;* &quot;-&quot;??_);_(@_)">
                  <c:v>11695.015283868854</c:v>
                </c:pt>
                <c:pt idx="1035" formatCode="_(&quot;$&quot;* #,##0.00_);_(&quot;$&quot;* \(#,##0.00\);_(&quot;$&quot;* &quot;-&quot;??_);_(@_)">
                  <c:v>11028.627954591435</c:v>
                </c:pt>
                <c:pt idx="1036" formatCode="_(&quot;$&quot;* #,##0.00_);_(&quot;$&quot;* \(#,##0.00\);_(&quot;$&quot;* &quot;-&quot;??_);_(@_)">
                  <c:v>10943.640343480729</c:v>
                </c:pt>
                <c:pt idx="1037" formatCode="_(&quot;$&quot;* #,##0.00_);_(&quot;$&quot;* \(#,##0.00\);_(&quot;$&quot;* &quot;-&quot;??_);_(@_)">
                  <c:v>11305.573758543398</c:v>
                </c:pt>
                <c:pt idx="1038" formatCode="_(&quot;$&quot;* #,##0.00_);_(&quot;$&quot;* \(#,##0.00\);_(&quot;$&quot;* &quot;-&quot;??_);_(@_)">
                  <c:v>10887.690206825117</c:v>
                </c:pt>
                <c:pt idx="1039" formatCode="_(&quot;$&quot;* #,##0.00_);_(&quot;$&quot;* \(#,##0.00\);_(&quot;$&quot;* &quot;-&quot;??_);_(@_)">
                  <c:v>10834.639950670582</c:v>
                </c:pt>
                <c:pt idx="1040" formatCode="_(&quot;$&quot;* #,##0.00_);_(&quot;$&quot;* \(#,##0.00\);_(&quot;$&quot;* &quot;-&quot;??_);_(@_)">
                  <c:v>10947.05689783277</c:v>
                </c:pt>
                <c:pt idx="1041" formatCode="_(&quot;$&quot;* #,##0.00_);_(&quot;$&quot;* \(#,##0.00\);_(&quot;$&quot;* &quot;-&quot;??_);_(@_)">
                  <c:v>11061.131949109405</c:v>
                </c:pt>
                <c:pt idx="1042" formatCode="_(&quot;$&quot;* #,##0.00_);_(&quot;$&quot;* \(#,##0.00\);_(&quot;$&quot;* &quot;-&quot;??_);_(@_)">
                  <c:v>10939.643644677088</c:v>
                </c:pt>
                <c:pt idx="1043" formatCode="_(&quot;$&quot;* #,##0.00_);_(&quot;$&quot;* \(#,##0.00\);_(&quot;$&quot;* &quot;-&quot;??_);_(@_)">
                  <c:v>10586.590967086064</c:v>
                </c:pt>
                <c:pt idx="1044" formatCode="_(&quot;$&quot;* #,##0.00_);_(&quot;$&quot;* \(#,##0.00\);_(&quot;$&quot;* &quot;-&quot;??_);_(@_)">
                  <c:v>10976.595335713864</c:v>
                </c:pt>
                <c:pt idx="1045" formatCode="_(&quot;$&quot;* #,##0.00_);_(&quot;$&quot;* \(#,##0.00\);_(&quot;$&quot;* &quot;-&quot;??_);_(@_)">
                  <c:v>11045.197976179221</c:v>
                </c:pt>
                <c:pt idx="1046" formatCode="_(&quot;$&quot;* #,##0.00_);_(&quot;$&quot;* \(#,##0.00\);_(&quot;$&quot;* &quot;-&quot;??_);_(@_)">
                  <c:v>11315.78778487942</c:v>
                </c:pt>
                <c:pt idx="1047" formatCode="_(&quot;$&quot;* #,##0.00_);_(&quot;$&quot;* \(#,##0.00\);_(&quot;$&quot;* &quot;-&quot;??_);_(@_)">
                  <c:v>11853.442817803301</c:v>
                </c:pt>
                <c:pt idx="1048" formatCode="_(&quot;$&quot;* #,##0.00_);_(&quot;$&quot;* \(#,##0.00\);_(&quot;$&quot;* &quot;-&quot;??_);_(@_)">
                  <c:v>11405.26647267077</c:v>
                </c:pt>
                <c:pt idx="1049" formatCode="_(&quot;$&quot;* #,##0.00_);_(&quot;$&quot;* \(#,##0.00\);_(&quot;$&quot;* &quot;-&quot;??_);_(@_)">
                  <c:v>11967.333567784504</c:v>
                </c:pt>
                <c:pt idx="1050" formatCode="_(&quot;$&quot;* #,##0.00_);_(&quot;$&quot;* \(#,##0.00\);_(&quot;$&quot;* &quot;-&quot;??_);_(@_)">
                  <c:v>11015.937235593583</c:v>
                </c:pt>
                <c:pt idx="1051" formatCode="_(&quot;$&quot;* #,##0.00_);_(&quot;$&quot;* \(#,##0.00\);_(&quot;$&quot;* &quot;-&quot;??_);_(@_)">
                  <c:v>10773.606318853908</c:v>
                </c:pt>
                <c:pt idx="1052" formatCode="_(&quot;$&quot;* #,##0.00_);_(&quot;$&quot;* \(#,##0.00\);_(&quot;$&quot;* &quot;-&quot;??_);_(@_)">
                  <c:v>11040.419611757638</c:v>
                </c:pt>
                <c:pt idx="1053" formatCode="_(&quot;$&quot;* #,##0.00_);_(&quot;$&quot;* \(#,##0.00\);_(&quot;$&quot;* &quot;-&quot;??_);_(@_)">
                  <c:v>11100.192558360981</c:v>
                </c:pt>
                <c:pt idx="1054" formatCode="_(&quot;$&quot;* #,##0.00_);_(&quot;$&quot;* \(#,##0.00\);_(&quot;$&quot;* &quot;-&quot;??_);_(@_)">
                  <c:v>11140.297523838988</c:v>
                </c:pt>
                <c:pt idx="1055" formatCode="_(&quot;$&quot;* #,##0.00_);_(&quot;$&quot;* \(#,##0.00\);_(&quot;$&quot;* &quot;-&quot;??_);_(@_)">
                  <c:v>10680.647889524211</c:v>
                </c:pt>
                <c:pt idx="1056" formatCode="_(&quot;$&quot;* #,##0.00_);_(&quot;$&quot;* \(#,##0.00\);_(&quot;$&quot;* &quot;-&quot;??_);_(@_)">
                  <c:v>10718.261020235852</c:v>
                </c:pt>
                <c:pt idx="1057" formatCode="_(&quot;$&quot;* #,##0.00_);_(&quot;$&quot;* \(#,##0.00\);_(&quot;$&quot;* &quot;-&quot;??_);_(@_)">
                  <c:v>10599.352545174428</c:v>
                </c:pt>
                <c:pt idx="1058" formatCode="_(&quot;$&quot;* #,##0.00_);_(&quot;$&quot;* \(#,##0.00\);_(&quot;$&quot;* &quot;-&quot;??_);_(@_)">
                  <c:v>11143.986290138628</c:v>
                </c:pt>
                <c:pt idx="1059" formatCode="_(&quot;$&quot;* #,##0.00_);_(&quot;$&quot;* \(#,##0.00\);_(&quot;$&quot;* &quot;-&quot;??_);_(@_)">
                  <c:v>11879.336216663834</c:v>
                </c:pt>
                <c:pt idx="1060" formatCode="_(&quot;$&quot;* #,##0.00_);_(&quot;$&quot;* \(#,##0.00\);_(&quot;$&quot;* &quot;-&quot;??_);_(@_)">
                  <c:v>13003.819521909303</c:v>
                </c:pt>
                <c:pt idx="1061" formatCode="_(&quot;$&quot;* #,##0.00_);_(&quot;$&quot;* \(#,##0.00\);_(&quot;$&quot;* &quot;-&quot;??_);_(@_)">
                  <c:v>14170.19532091274</c:v>
                </c:pt>
                <c:pt idx="1062" formatCode="_(&quot;$&quot;* #,##0.00_);_(&quot;$&quot;* \(#,##0.00\);_(&quot;$&quot;* &quot;-&quot;??_);_(@_)">
                  <c:v>13500.479095198723</c:v>
                </c:pt>
                <c:pt idx="1063" formatCode="_(&quot;$&quot;* #,##0.00_);_(&quot;$&quot;* \(#,##0.00\);_(&quot;$&quot;* &quot;-&quot;??_);_(@_)">
                  <c:v>13609.858932754969</c:v>
                </c:pt>
                <c:pt idx="1064" formatCode="_(&quot;$&quot;* #,##0.00_);_(&quot;$&quot;* \(#,##0.00\);_(&quot;$&quot;* &quot;-&quot;??_);_(@_)">
                  <c:v>14042.29769650966</c:v>
                </c:pt>
                <c:pt idx="1065" formatCode="_(&quot;$&quot;* #,##0.00_);_(&quot;$&quot;* \(#,##0.00\);_(&quot;$&quot;* &quot;-&quot;??_);_(@_)">
                  <c:v>13518.382570882724</c:v>
                </c:pt>
                <c:pt idx="1066" formatCode="_(&quot;$&quot;* #,##0.00_);_(&quot;$&quot;* \(#,##0.00\);_(&quot;$&quot;* &quot;-&quot;??_);_(@_)">
                  <c:v>13279.628272006103</c:v>
                </c:pt>
                <c:pt idx="1067" formatCode="_(&quot;$&quot;* #,##0.00_);_(&quot;$&quot;* \(#,##0.00\);_(&quot;$&quot;* &quot;-&quot;??_);_(@_)">
                  <c:v>12911.368724362825</c:v>
                </c:pt>
                <c:pt idx="1068" formatCode="_(&quot;$&quot;* #,##0.00_);_(&quot;$&quot;* \(#,##0.00\);_(&quot;$&quot;* &quot;-&quot;??_);_(@_)">
                  <c:v>12171.120952628909</c:v>
                </c:pt>
                <c:pt idx="1069" formatCode="_(&quot;$&quot;* #,##0.00_);_(&quot;$&quot;* \(#,##0.00\);_(&quot;$&quot;* &quot;-&quot;??_);_(@_)">
                  <c:v>13155.73265453458</c:v>
                </c:pt>
                <c:pt idx="1070" formatCode="_(&quot;$&quot;* #,##0.00_);_(&quot;$&quot;* \(#,##0.00\);_(&quot;$&quot;* &quot;-&quot;??_);_(@_)">
                  <c:v>12806.839446099646</c:v>
                </c:pt>
                <c:pt idx="1071" formatCode="_(&quot;$&quot;* #,##0.00_);_(&quot;$&quot;* \(#,##0.00\);_(&quot;$&quot;* &quot;-&quot;??_);_(@_)">
                  <c:v>12625.297192829037</c:v>
                </c:pt>
                <c:pt idx="1072" formatCode="_(&quot;$&quot;* #,##0.00_);_(&quot;$&quot;* \(#,##0.00\);_(&quot;$&quot;* &quot;-&quot;??_);_(@_)">
                  <c:v>12096.406262354445</c:v>
                </c:pt>
                <c:pt idx="1073" formatCode="_(&quot;$&quot;* #,##0.00_);_(&quot;$&quot;* \(#,##0.00\);_(&quot;$&quot;* &quot;-&quot;??_);_(@_)">
                  <c:v>11745.811616968318</c:v>
                </c:pt>
                <c:pt idx="1074" formatCode="_(&quot;$&quot;* #,##0.00_);_(&quot;$&quot;* \(#,##0.00\);_(&quot;$&quot;* &quot;-&quot;??_);_(@_)">
                  <c:v>11364.335752816718</c:v>
                </c:pt>
                <c:pt idx="1075" formatCode="_(&quot;$&quot;* #,##0.00_);_(&quot;$&quot;* \(#,##0.00\);_(&quot;$&quot;* &quot;-&quot;??_);_(@_)">
                  <c:v>10465.082265651334</c:v>
                </c:pt>
                <c:pt idx="1076" formatCode="_(&quot;$&quot;* #,##0.00_);_(&quot;$&quot;* \(#,##0.00\);_(&quot;$&quot;* &quot;-&quot;??_);_(@_)">
                  <c:v>9776.0463896722595</c:v>
                </c:pt>
                <c:pt idx="1077" formatCode="_(&quot;$&quot;* #,##0.00_);_(&quot;$&quot;* \(#,##0.00\);_(&quot;$&quot;* &quot;-&quot;??_);_(@_)">
                  <c:v>10080.30053923812</c:v>
                </c:pt>
                <c:pt idx="1078" formatCode="_(&quot;$&quot;* #,##0.00_);_(&quot;$&quot;* \(#,##0.00\);_(&quot;$&quot;* &quot;-&quot;??_);_(@_)">
                  <c:v>11049.267227562123</c:v>
                </c:pt>
                <c:pt idx="1079" formatCode="_(&quot;$&quot;* #,##0.00_);_(&quot;$&quot;* \(#,##0.00\);_(&quot;$&quot;* &quot;-&quot;??_);_(@_)">
                  <c:v>9991.9204200108197</c:v>
                </c:pt>
                <c:pt idx="1080" formatCode="_(&quot;$&quot;* #,##0.00_);_(&quot;$&quot;* \(#,##0.00\);_(&quot;$&quot;* &quot;-&quot;??_);_(@_)">
                  <c:v>10472.014542640067</c:v>
                </c:pt>
                <c:pt idx="1081" formatCode="_(&quot;$&quot;* #,##0.00_);_(&quot;$&quot;* \(#,##0.00\);_(&quot;$&quot;* &quot;-&quot;??_);_(@_)">
                  <c:v>10479.412803422005</c:v>
                </c:pt>
                <c:pt idx="1082" formatCode="_(&quot;$&quot;* #,##0.00_);_(&quot;$&quot;* \(#,##0.00\);_(&quot;$&quot;* &quot;-&quot;??_);_(@_)">
                  <c:v>10474.250114542008</c:v>
                </c:pt>
                <c:pt idx="1083" formatCode="_(&quot;$&quot;* #,##0.00_);_(&quot;$&quot;* \(#,##0.00\);_(&quot;$&quot;* &quot;-&quot;??_);_(@_)">
                  <c:v>10246.831662023091</c:v>
                </c:pt>
                <c:pt idx="1084" formatCode="_(&quot;$&quot;* #,##0.00_);_(&quot;$&quot;* \(#,##0.00\);_(&quot;$&quot;* &quot;-&quot;??_);_(@_)">
                  <c:v>9966.983814156205</c:v>
                </c:pt>
                <c:pt idx="1085" formatCode="_(&quot;$&quot;* #,##0.00_);_(&quot;$&quot;* \(#,##0.00\);_(&quot;$&quot;* &quot;-&quot;??_);_(@_)">
                  <c:v>10383.70138367274</c:v>
                </c:pt>
                <c:pt idx="1086" formatCode="_(&quot;$&quot;* #,##0.00_);_(&quot;$&quot;* \(#,##0.00\);_(&quot;$&quot;* &quot;-&quot;??_);_(@_)">
                  <c:v>10341.923439712544</c:v>
                </c:pt>
                <c:pt idx="1087" formatCode="_(&quot;$&quot;* #,##0.00_);_(&quot;$&quot;* \(#,##0.00\);_(&quot;$&quot;* &quot;-&quot;??_);_(@_)">
                  <c:v>10386.898871995634</c:v>
                </c:pt>
                <c:pt idx="1088" formatCode="_(&quot;$&quot;* #,##0.00_);_(&quot;$&quot;* \(#,##0.00\);_(&quot;$&quot;* &quot;-&quot;??_);_(@_)">
                  <c:v>10088.367845462755</c:v>
                </c:pt>
                <c:pt idx="1089" formatCode="_(&quot;$&quot;* #,##0.00_);_(&quot;$&quot;* \(#,##0.00\);_(&quot;$&quot;* &quot;-&quot;??_);_(@_)">
                  <c:v>10190.693664601771</c:v>
                </c:pt>
                <c:pt idx="1090" formatCode="_(&quot;$&quot;* #,##0.00_);_(&quot;$&quot;* \(#,##0.00\);_(&quot;$&quot;* &quot;-&quot;??_);_(@_)">
                  <c:v>9447.0071896540812</c:v>
                </c:pt>
                <c:pt idx="1091" formatCode="_(&quot;$&quot;* #,##0.00_);_(&quot;$&quot;* \(#,##0.00\);_(&quot;$&quot;* &quot;-&quot;??_);_(@_)">
                  <c:v>10021.882426968594</c:v>
                </c:pt>
                <c:pt idx="1092" formatCode="_(&quot;$&quot;* #,##0.00_);_(&quot;$&quot;* \(#,##0.00\);_(&quot;$&quot;* &quot;-&quot;??_);_(@_)">
                  <c:v>10419.22718007774</c:v>
                </c:pt>
                <c:pt idx="1093" formatCode="_(&quot;$&quot;* #,##0.00_);_(&quot;$&quot;* \(#,##0.00\);_(&quot;$&quot;* &quot;-&quot;??_);_(@_)">
                  <c:v>10694.395462304015</c:v>
                </c:pt>
                <c:pt idx="1094" formatCode="_(&quot;$&quot;* #,##0.00_);_(&quot;$&quot;* \(#,##0.00\);_(&quot;$&quot;* &quot;-&quot;??_);_(@_)">
                  <c:v>10265.333586857796</c:v>
                </c:pt>
                <c:pt idx="1095" formatCode="_(&quot;$&quot;* #,##0.00_);_(&quot;$&quot;* \(#,##0.00\);_(&quot;$&quot;* &quot;-&quot;??_);_(@_)">
                  <c:v>11095.266655535073</c:v>
                </c:pt>
                <c:pt idx="1096" formatCode="_(&quot;$&quot;* #,##0.00_);_(&quot;$&quot;* \(#,##0.00\);_(&quot;$&quot;* &quot;-&quot;??_);_(@_)">
                  <c:v>10553.925917591379</c:v>
                </c:pt>
                <c:pt idx="1097" formatCode="_(&quot;$&quot;* #,##0.00_);_(&quot;$&quot;* \(#,##0.00\);_(&quot;$&quot;* &quot;-&quot;??_);_(@_)">
                  <c:v>10309.123766319795</c:v>
                </c:pt>
                <c:pt idx="1098" formatCode="_(&quot;$&quot;* #,##0.00_);_(&quot;$&quot;* \(#,##0.00\);_(&quot;$&quot;* &quot;-&quot;??_);_(@_)">
                  <c:v>10028.316556380096</c:v>
                </c:pt>
                <c:pt idx="1099" formatCode="_(&quot;$&quot;* #,##0.00_);_(&quot;$&quot;* \(#,##0.00\);_(&quot;$&quot;* &quot;-&quot;??_);_(@_)">
                  <c:v>9338.7587464692515</c:v>
                </c:pt>
                <c:pt idx="1100" formatCode="_(&quot;$&quot;* #,##0.00_);_(&quot;$&quot;* \(#,##0.00\);_(&quot;$&quot;* &quot;-&quot;??_);_(@_)">
                  <c:v>9327.998136654167</c:v>
                </c:pt>
                <c:pt idx="1101" formatCode="_(&quot;$&quot;* #,##0.00_);_(&quot;$&quot;* \(#,##0.00\);_(&quot;$&quot;* &quot;-&quot;??_);_(@_)">
                  <c:v>9292.0576681751772</c:v>
                </c:pt>
                <c:pt idx="1102" formatCode="_(&quot;$&quot;* #,##0.00_);_(&quot;$&quot;* \(#,##0.00\);_(&quot;$&quot;* &quot;-&quot;??_);_(@_)">
                  <c:v>9100.780639407767</c:v>
                </c:pt>
                <c:pt idx="1103" formatCode="_(&quot;$&quot;* #,##0.00_);_(&quot;$&quot;* \(#,##0.00\);_(&quot;$&quot;* &quot;-&quot;??_);_(@_)">
                  <c:v>9138.8511524523001</c:v>
                </c:pt>
                <c:pt idx="1104" formatCode="_(&quot;$&quot;* #,##0.00_);_(&quot;$&quot;* \(#,##0.00\);_(&quot;$&quot;* &quot;-&quot;??_);_(@_)">
                  <c:v>9251.9525269161804</c:v>
                </c:pt>
                <c:pt idx="1105" formatCode="_(&quot;$&quot;* #,##0.00_);_(&quot;$&quot;* \(#,##0.00\);_(&quot;$&quot;* &quot;-&quot;??_);_(@_)">
                  <c:v>8756.6199398900844</c:v>
                </c:pt>
                <c:pt idx="1106" formatCode="_(&quot;$&quot;* #,##0.00_);_(&quot;$&quot;* \(#,##0.00\);_(&quot;$&quot;* &quot;-&quot;??_);_(@_)">
                  <c:v>9018.7414860465942</c:v>
                </c:pt>
                <c:pt idx="1107" formatCode="_(&quot;$&quot;* #,##0.00_);_(&quot;$&quot;* \(#,##0.00\);_(&quot;$&quot;* &quot;-&quot;??_);_(@_)">
                  <c:v>9631.3178502796891</c:v>
                </c:pt>
                <c:pt idx="1108" formatCode="_(&quot;$&quot;* #,##0.00_);_(&quot;$&quot;* \(#,##0.00\);_(&quot;$&quot;* &quot;-&quot;??_);_(@_)">
                  <c:v>8831.8332789092128</c:v>
                </c:pt>
                <c:pt idx="1109" formatCode="_(&quot;$&quot;* #,##0.00_);_(&quot;$&quot;* \(#,##0.00\);_(&quot;$&quot;* &quot;-&quot;??_);_(@_)">
                  <c:v>9699.3179240625177</c:v>
                </c:pt>
                <c:pt idx="1110" formatCode="_(&quot;$&quot;* #,##0.00_);_(&quot;$&quot;* \(#,##0.00\);_(&quot;$&quot;* &quot;-&quot;??_);_(@_)">
                  <c:v>9618.2495051951464</c:v>
                </c:pt>
                <c:pt idx="1111" formatCode="_(&quot;$&quot;* #,##0.00_);_(&quot;$&quot;* \(#,##0.00\);_(&quot;$&quot;* &quot;-&quot;??_);_(@_)">
                  <c:v>9552.2979441134266</c:v>
                </c:pt>
                <c:pt idx="1112" formatCode="_(&quot;$&quot;* #,##0.00_);_(&quot;$&quot;* \(#,##0.00\);_(&quot;$&quot;* &quot;-&quot;??_);_(@_)">
                  <c:v>9752.2519115453833</c:v>
                </c:pt>
                <c:pt idx="1113" formatCode="_(&quot;$&quot;* #,##0.00_);_(&quot;$&quot;* \(#,##0.00\);_(&quot;$&quot;* &quot;-&quot;??_);_(@_)">
                  <c:v>10698.820340048973</c:v>
                </c:pt>
                <c:pt idx="1114" formatCode="_(&quot;$&quot;* #,##0.00_);_(&quot;$&quot;* \(#,##0.00\);_(&quot;$&quot;* &quot;-&quot;??_);_(@_)">
                  <c:v>10869.421946552002</c:v>
                </c:pt>
                <c:pt idx="1115" formatCode="_(&quot;$&quot;* #,##0.00_);_(&quot;$&quot;* \(#,##0.00\);_(&quot;$&quot;* &quot;-&quot;??_);_(@_)">
                  <c:v>10697.645679814537</c:v>
                </c:pt>
                <c:pt idx="1116" formatCode="_(&quot;$&quot;* #,##0.00_);_(&quot;$&quot;* \(#,##0.00\);_(&quot;$&quot;* &quot;-&quot;??_);_(@_)">
                  <c:v>11241.240536228575</c:v>
                </c:pt>
                <c:pt idx="1117" formatCode="_(&quot;$&quot;* #,##0.00_);_(&quot;$&quot;* \(#,##0.00\);_(&quot;$&quot;* &quot;-&quot;??_);_(@_)">
                  <c:v>11780.319726650048</c:v>
                </c:pt>
                <c:pt idx="1118" formatCode="_(&quot;$&quot;* #,##0.00_);_(&quot;$&quot;* \(#,##0.00\);_(&quot;$&quot;* &quot;-&quot;??_);_(@_)">
                  <c:v>11388.388168918777</c:v>
                </c:pt>
                <c:pt idx="1119" formatCode="_(&quot;$&quot;* #,##0.00_);_(&quot;$&quot;* \(#,##0.00\);_(&quot;$&quot;* &quot;-&quot;??_);_(@_)">
                  <c:v>10906.344857151242</c:v>
                </c:pt>
                <c:pt idx="1120" formatCode="_(&quot;$&quot;* #,##0.00_);_(&quot;$&quot;* \(#,##0.00\);_(&quot;$&quot;* &quot;-&quot;??_);_(@_)">
                  <c:v>10634.985983684312</c:v>
                </c:pt>
                <c:pt idx="1121" formatCode="_(&quot;$&quot;* #,##0.00_);_(&quot;$&quot;* \(#,##0.00\);_(&quot;$&quot;* &quot;-&quot;??_);_(@_)">
                  <c:v>10080.971108693277</c:v>
                </c:pt>
                <c:pt idx="1122" formatCode="_(&quot;$&quot;* #,##0.00_);_(&quot;$&quot;* \(#,##0.00\);_(&quot;$&quot;* &quot;-&quot;??_);_(@_)">
                  <c:v>9754.234064948485</c:v>
                </c:pt>
                <c:pt idx="1123" formatCode="_(&quot;$&quot;* #,##0.00_);_(&quot;$&quot;* \(#,##0.00\);_(&quot;$&quot;* &quot;-&quot;??_);_(@_)">
                  <c:v>9424.6519091313494</c:v>
                </c:pt>
                <c:pt idx="1124" formatCode="_(&quot;$&quot;* #,##0.00_);_(&quot;$&quot;* \(#,##0.00\);_(&quot;$&quot;* &quot;-&quot;??_);_(@_)">
                  <c:v>9501.2654750740403</c:v>
                </c:pt>
                <c:pt idx="1125" formatCode="_(&quot;$&quot;* #,##0.00_);_(&quot;$&quot;* \(#,##0.00\);_(&quot;$&quot;* &quot;-&quot;??_);_(@_)">
                  <c:v>9519.0775537350837</c:v>
                </c:pt>
                <c:pt idx="1126" formatCode="_(&quot;$&quot;* #,##0.00_);_(&quot;$&quot;* \(#,##0.00\);_(&quot;$&quot;* &quot;-&quot;??_);_(@_)">
                  <c:v>8939.7310891137386</c:v>
                </c:pt>
                <c:pt idx="1127" formatCode="_(&quot;$&quot;* #,##0.00_);_(&quot;$&quot;* \(#,##0.00\);_(&quot;$&quot;* &quot;-&quot;??_);_(@_)">
                  <c:v>10295.348294939911</c:v>
                </c:pt>
                <c:pt idx="1128" formatCode="_(&quot;$&quot;* #,##0.00_);_(&quot;$&quot;* \(#,##0.00\);_(&quot;$&quot;* &quot;-&quot;??_);_(@_)">
                  <c:v>10675.576565163734</c:v>
                </c:pt>
                <c:pt idx="1129" formatCode="_(&quot;$&quot;* #,##0.00_);_(&quot;$&quot;* \(#,##0.00\);_(&quot;$&quot;* &quot;-&quot;??_);_(@_)">
                  <c:v>10620.513780954856</c:v>
                </c:pt>
                <c:pt idx="1130" formatCode="_(&quot;$&quot;* #,##0.00_);_(&quot;$&quot;* \(#,##0.00\);_(&quot;$&quot;* &quot;-&quot;??_);_(@_)">
                  <c:v>10197.667920184138</c:v>
                </c:pt>
                <c:pt idx="1131" formatCode="_(&quot;$&quot;* #,##0.00_);_(&quot;$&quot;* \(#,##0.00\);_(&quot;$&quot;* &quot;-&quot;??_);_(@_)">
                  <c:v>10817.142060186292</c:v>
                </c:pt>
                <c:pt idx="1132" formatCode="_(&quot;$&quot;* #,##0.00_);_(&quot;$&quot;* \(#,##0.00\);_(&quot;$&quot;* &quot;-&quot;??_);_(@_)">
                  <c:v>11017.512023609104</c:v>
                </c:pt>
                <c:pt idx="1133" formatCode="_(&quot;$&quot;* #,##0.00_);_(&quot;$&quot;* \(#,##0.00\);_(&quot;$&quot;* &quot;-&quot;??_);_(@_)">
                  <c:v>11250.101753850073</c:v>
                </c:pt>
                <c:pt idx="1134" formatCode="_(&quot;$&quot;* #,##0.00_);_(&quot;$&quot;* \(#,##0.00\);_(&quot;$&quot;* &quot;-&quot;??_);_(@_)">
                  <c:v>12215.553269462882</c:v>
                </c:pt>
                <c:pt idx="1135" formatCode="_(&quot;$&quot;* #,##0.00_);_(&quot;$&quot;* \(#,##0.00\);_(&quot;$&quot;* &quot;-&quot;??_);_(@_)">
                  <c:v>11881.679524552366</c:v>
                </c:pt>
                <c:pt idx="1136" formatCode="_(&quot;$&quot;* #,##0.00_);_(&quot;$&quot;* \(#,##0.00\);_(&quot;$&quot;* &quot;-&quot;??_);_(@_)">
                  <c:v>11896.375876475518</c:v>
                </c:pt>
                <c:pt idx="1137" formatCode="_(&quot;$&quot;* #,##0.00_);_(&quot;$&quot;* \(#,##0.00\);_(&quot;$&quot;* &quot;-&quot;??_);_(@_)">
                  <c:v>11948.883228211582</c:v>
                </c:pt>
                <c:pt idx="1138" formatCode="_(&quot;$&quot;* #,##0.00_);_(&quot;$&quot;* \(#,##0.00\);_(&quot;$&quot;* &quot;-&quot;??_);_(@_)">
                  <c:v>11693.364283083492</c:v>
                </c:pt>
                <c:pt idx="1139" formatCode="_(&quot;$&quot;* #,##0.00_);_(&quot;$&quot;* \(#,##0.00\);_(&quot;$&quot;* &quot;-&quot;??_);_(@_)">
                  <c:v>11616.94268289361</c:v>
                </c:pt>
                <c:pt idx="1140" formatCode="_(&quot;$&quot;* #,##0.00_);_(&quot;$&quot;* \(#,##0.00\);_(&quot;$&quot;* &quot;-&quot;??_);_(@_)">
                  <c:v>11687.707603559982</c:v>
                </c:pt>
                <c:pt idx="1141" formatCode="_(&quot;$&quot;* #,##0.00_);_(&quot;$&quot;* \(#,##0.00\);_(&quot;$&quot;* &quot;-&quot;??_);_(@_)">
                  <c:v>10902.866785659335</c:v>
                </c:pt>
                <c:pt idx="1142" formatCode="_(&quot;$&quot;* #,##0.00_);_(&quot;$&quot;* \(#,##0.00\);_(&quot;$&quot;* &quot;-&quot;??_);_(@_)">
                  <c:v>12023.190613040142</c:v>
                </c:pt>
                <c:pt idx="1143" formatCode="_(&quot;$&quot;* #,##0.00_);_(&quot;$&quot;* \(#,##0.00\);_(&quot;$&quot;* &quot;-&quot;??_);_(@_)">
                  <c:v>12620.615482666879</c:v>
                </c:pt>
                <c:pt idx="1144" formatCode="_(&quot;$&quot;* #,##0.00_);_(&quot;$&quot;* \(#,##0.00\);_(&quot;$&quot;* &quot;-&quot;??_);_(@_)">
                  <c:v>12378.370357625952</c:v>
                </c:pt>
                <c:pt idx="1145" formatCode="_(&quot;$&quot;* #,##0.00_);_(&quot;$&quot;* \(#,##0.00\);_(&quot;$&quot;* &quot;-&quot;??_);_(@_)">
                  <c:v>12032.9623651356</c:v>
                </c:pt>
                <c:pt idx="1146" formatCode="_(&quot;$&quot;* #,##0.00_);_(&quot;$&quot;* \(#,##0.00\);_(&quot;$&quot;* &quot;-&quot;??_);_(@_)">
                  <c:v>11728.253760505306</c:v>
                </c:pt>
                <c:pt idx="1147" formatCode="_(&quot;$&quot;* #,##0.00_);_(&quot;$&quot;* \(#,##0.00\);_(&quot;$&quot;* &quot;-&quot;??_);_(@_)">
                  <c:v>11127.549081844756</c:v>
                </c:pt>
                <c:pt idx="1148" formatCode="_(&quot;$&quot;* #,##0.00_);_(&quot;$&quot;* \(#,##0.00\);_(&quot;$&quot;* &quot;-&quot;??_);_(@_)">
                  <c:v>11008.621020564375</c:v>
                </c:pt>
                <c:pt idx="1149" formatCode="_(&quot;$&quot;* #,##0.00_);_(&quot;$&quot;* \(#,##0.00\);_(&quot;$&quot;* &quot;-&quot;??_);_(@_)">
                  <c:v>11601.999581587846</c:v>
                </c:pt>
                <c:pt idx="1150" formatCode="_(&quot;$&quot;* #,##0.00_);_(&quot;$&quot;* \(#,##0.00\);_(&quot;$&quot;* &quot;-&quot;??_);_(@_)">
                  <c:v>12191.133061762566</c:v>
                </c:pt>
                <c:pt idx="1151" formatCode="_(&quot;$&quot;* #,##0.00_);_(&quot;$&quot;* \(#,##0.00\);_(&quot;$&quot;* &quot;-&quot;??_);_(@_)">
                  <c:v>12395.193699074689</c:v>
                </c:pt>
                <c:pt idx="1152" formatCode="_(&quot;$&quot;* #,##0.00_);_(&quot;$&quot;* \(#,##0.00\);_(&quot;$&quot;* &quot;-&quot;??_);_(@_)">
                  <c:v>12423.22707147341</c:v>
                </c:pt>
                <c:pt idx="1153" formatCode="_(&quot;$&quot;* #,##0.00_);_(&quot;$&quot;* \(#,##0.00\);_(&quot;$&quot;* &quot;-&quot;??_);_(@_)">
                  <c:v>11862.379155302959</c:v>
                </c:pt>
                <c:pt idx="1154" formatCode="_(&quot;$&quot;* #,##0.00_);_(&quot;$&quot;* \(#,##0.00\);_(&quot;$&quot;* &quot;-&quot;??_);_(@_)">
                  <c:v>12135.951095562032</c:v>
                </c:pt>
                <c:pt idx="1155" formatCode="_(&quot;$&quot;* #,##0.00_);_(&quot;$&quot;* \(#,##0.00\);_(&quot;$&quot;* &quot;-&quot;??_);_(@_)">
                  <c:v>11839.929477630505</c:v>
                </c:pt>
                <c:pt idx="1156" formatCode="_(&quot;$&quot;* #,##0.00_);_(&quot;$&quot;* \(#,##0.00\);_(&quot;$&quot;* &quot;-&quot;??_);_(@_)">
                  <c:v>11760.550657515096</c:v>
                </c:pt>
                <c:pt idx="1157" formatCode="_(&quot;$&quot;* #,##0.00_);_(&quot;$&quot;* \(#,##0.00\);_(&quot;$&quot;* &quot;-&quot;??_);_(@_)">
                  <c:v>11591.64630489364</c:v>
                </c:pt>
                <c:pt idx="1158" formatCode="_(&quot;$&quot;* #,##0.00_);_(&quot;$&quot;* \(#,##0.00\);_(&quot;$&quot;* &quot;-&quot;??_);_(@_)">
                  <c:v>11358.682218628841</c:v>
                </c:pt>
                <c:pt idx="1159" formatCode="_(&quot;$&quot;* #,##0.00_);_(&quot;$&quot;* \(#,##0.00\);_(&quot;$&quot;* &quot;-&quot;??_);_(@_)">
                  <c:v>11773.447236155158</c:v>
                </c:pt>
                <c:pt idx="1160" formatCode="_(&quot;$&quot;* #,##0.00_);_(&quot;$&quot;* \(#,##0.00\);_(&quot;$&quot;* &quot;-&quot;??_);_(@_)">
                  <c:v>11317.778727933266</c:v>
                </c:pt>
                <c:pt idx="1161" formatCode="_(&quot;$&quot;* #,##0.00_);_(&quot;$&quot;* \(#,##0.00\);_(&quot;$&quot;* &quot;-&quot;??_);_(@_)">
                  <c:v>11245.081989122196</c:v>
                </c:pt>
                <c:pt idx="1162" formatCode="_(&quot;$&quot;* #,##0.00_);_(&quot;$&quot;* \(#,##0.00\);_(&quot;$&quot;* &quot;-&quot;??_);_(@_)">
                  <c:v>10377.016350592619</c:v>
                </c:pt>
                <c:pt idx="1163" formatCode="_(&quot;$&quot;* #,##0.00_);_(&quot;$&quot;* \(#,##0.00\);_(&quot;$&quot;* &quot;-&quot;??_);_(@_)">
                  <c:v>10711.051330329556</c:v>
                </c:pt>
                <c:pt idx="1164" formatCode="_(&quot;$&quot;* #,##0.00_);_(&quot;$&quot;* \(#,##0.00\);_(&quot;$&quot;* &quot;-&quot;??_);_(@_)">
                  <c:v>10838.448262408921</c:v>
                </c:pt>
                <c:pt idx="1165" formatCode="_(&quot;$&quot;* #,##0.00_);_(&quot;$&quot;* \(#,##0.00\);_(&quot;$&quot;* &quot;-&quot;??_);_(@_)">
                  <c:v>9978.7748311297401</c:v>
                </c:pt>
                <c:pt idx="1166" formatCode="_(&quot;$&quot;* #,##0.00_);_(&quot;$&quot;* \(#,##0.00\);_(&quot;$&quot;* &quot;-&quot;??_);_(@_)">
                  <c:v>9548.3740620216759</c:v>
                </c:pt>
                <c:pt idx="1167" formatCode="_(&quot;$&quot;* #,##0.00_);_(&quot;$&quot;* \(#,##0.00\);_(&quot;$&quot;* &quot;-&quot;??_);_(@_)">
                  <c:v>9743.9856479703722</c:v>
                </c:pt>
                <c:pt idx="1168" formatCode="_(&quot;$&quot;* #,##0.00_);_(&quot;$&quot;* \(#,##0.00\);_(&quot;$&quot;* &quot;-&quot;??_);_(@_)">
                  <c:v>9701.1535428173611</c:v>
                </c:pt>
                <c:pt idx="1169" formatCode="_(&quot;$&quot;* #,##0.00_);_(&quot;$&quot;* \(#,##0.00\);_(&quot;$&quot;* &quot;-&quot;??_);_(@_)">
                  <c:v>9435.4018740327992</c:v>
                </c:pt>
                <c:pt idx="1170" formatCode="_(&quot;$&quot;* #,##0.00_);_(&quot;$&quot;* \(#,##0.00\);_(&quot;$&quot;* &quot;-&quot;??_);_(@_)">
                  <c:v>9198.6493583556839</c:v>
                </c:pt>
                <c:pt idx="1171" formatCode="_(&quot;$&quot;* #,##0.00_);_(&quot;$&quot;* \(#,##0.00\);_(&quot;$&quot;* &quot;-&quot;??_);_(@_)">
                  <c:v>9714.9455943113262</c:v>
                </c:pt>
                <c:pt idx="1172" formatCode="_(&quot;$&quot;* #,##0.00_);_(&quot;$&quot;* \(#,##0.00\);_(&quot;$&quot;* &quot;-&quot;??_);_(@_)">
                  <c:v>10370.690897031131</c:v>
                </c:pt>
                <c:pt idx="1173" formatCode="_(&quot;$&quot;* #,##0.00_);_(&quot;$&quot;* \(#,##0.00\);_(&quot;$&quot;* &quot;-&quot;??_);_(@_)">
                  <c:v>10239.369011310253</c:v>
                </c:pt>
                <c:pt idx="1174" formatCode="_(&quot;$&quot;* #,##0.00_);_(&quot;$&quot;* \(#,##0.00\);_(&quot;$&quot;* &quot;-&quot;??_);_(@_)">
                  <c:v>11040.408246351944</c:v>
                </c:pt>
                <c:pt idx="1175" formatCode="_(&quot;$&quot;* #,##0.00_);_(&quot;$&quot;* \(#,##0.00\);_(&quot;$&quot;* &quot;-&quot;??_);_(@_)">
                  <c:v>11794.450969137642</c:v>
                </c:pt>
                <c:pt idx="1176" formatCode="_(&quot;$&quot;* #,##0.00_);_(&quot;$&quot;* \(#,##0.00\);_(&quot;$&quot;* &quot;-&quot;??_);_(@_)">
                  <c:v>11584.571237523325</c:v>
                </c:pt>
                <c:pt idx="1177" formatCode="_(&quot;$&quot;* #,##0.00_);_(&quot;$&quot;* \(#,##0.00\);_(&quot;$&quot;* &quot;-&quot;??_);_(@_)">
                  <c:v>11537.152927942501</c:v>
                </c:pt>
                <c:pt idx="1178" formatCode="_(&quot;$&quot;* #,##0.00_);_(&quot;$&quot;* \(#,##0.00\);_(&quot;$&quot;* &quot;-&quot;??_);_(@_)">
                  <c:v>11022.169714535105</c:v>
                </c:pt>
                <c:pt idx="1179" formatCode="_(&quot;$&quot;* #,##0.00_);_(&quot;$&quot;* \(#,##0.00\);_(&quot;$&quot;* &quot;-&quot;??_);_(@_)">
                  <c:v>10980.814699021645</c:v>
                </c:pt>
                <c:pt idx="1180" formatCode="_(&quot;$&quot;* #,##0.00_);_(&quot;$&quot;* \(#,##0.00\);_(&quot;$&quot;* &quot;-&quot;??_);_(@_)">
                  <c:v>12037.917187122808</c:v>
                </c:pt>
                <c:pt idx="1181" formatCode="_(&quot;$&quot;* #,##0.00_);_(&quot;$&quot;* \(#,##0.00\);_(&quot;$&quot;* &quot;-&quot;??_);_(@_)">
                  <c:v>11654.785400509685</c:v>
                </c:pt>
                <c:pt idx="1182" formatCode="_(&quot;$&quot;* #,##0.00_);_(&quot;$&quot;* \(#,##0.00\);_(&quot;$&quot;* &quot;-&quot;??_);_(@_)">
                  <c:v>12637.175220074971</c:v>
                </c:pt>
                <c:pt idx="1183" formatCode="_(&quot;$&quot;* #,##0.00_);_(&quot;$&quot;* \(#,##0.00\);_(&quot;$&quot;* &quot;-&quot;??_);_(@_)">
                  <c:v>12928.252843712813</c:v>
                </c:pt>
                <c:pt idx="1184" formatCode="_(&quot;$&quot;* #,##0.00_);_(&quot;$&quot;* \(#,##0.00\);_(&quot;$&quot;* &quot;-&quot;??_);_(@_)">
                  <c:v>12952.086888382139</c:v>
                </c:pt>
                <c:pt idx="1185" formatCode="_(&quot;$&quot;* #,##0.00_);_(&quot;$&quot;* \(#,##0.00\);_(&quot;$&quot;* &quot;-&quot;??_);_(@_)">
                  <c:v>13110.968238102414</c:v>
                </c:pt>
                <c:pt idx="1186" formatCode="_(&quot;$&quot;* #,##0.00_);_(&quot;$&quot;* \(#,##0.00\);_(&quot;$&quot;* &quot;-&quot;??_);_(@_)">
                  <c:v>12594.036576693752</c:v>
                </c:pt>
                <c:pt idx="1187" formatCode="_(&quot;$&quot;* #,##0.00_);_(&quot;$&quot;* \(#,##0.00\);_(&quot;$&quot;* &quot;-&quot;??_);_(@_)">
                  <c:v>13175.698974791478</c:v>
                </c:pt>
                <c:pt idx="1188" formatCode="_(&quot;$&quot;* #,##0.00_);_(&quot;$&quot;* \(#,##0.00\);_(&quot;$&quot;* &quot;-&quot;??_);_(@_)">
                  <c:v>13391.159695072078</c:v>
                </c:pt>
                <c:pt idx="1189" formatCode="_(&quot;$&quot;* #,##0.00_);_(&quot;$&quot;* \(#,##0.00\);_(&quot;$&quot;* &quot;-&quot;??_);_(@_)">
                  <c:v>13399.883579893125</c:v>
                </c:pt>
                <c:pt idx="1190" formatCode="_(&quot;$&quot;* #,##0.00_);_(&quot;$&quot;* \(#,##0.00\);_(&quot;$&quot;* &quot;-&quot;??_);_(@_)">
                  <c:v>13997.661002940844</c:v>
                </c:pt>
                <c:pt idx="1191" formatCode="_(&quot;$&quot;* #,##0.00_);_(&quot;$&quot;* \(#,##0.00\);_(&quot;$&quot;* &quot;-&quot;??_);_(@_)">
                  <c:v>14330.542791515101</c:v>
                </c:pt>
                <c:pt idx="1192" formatCode="_(&quot;$&quot;* #,##0.00_);_(&quot;$&quot;* \(#,##0.00\);_(&quot;$&quot;* &quot;-&quot;??_);_(@_)">
                  <c:v>14881.022918838979</c:v>
                </c:pt>
                <c:pt idx="1193" formatCode="_(&quot;$&quot;* #,##0.00_);_(&quot;$&quot;* \(#,##0.00\);_(&quot;$&quot;* &quot;-&quot;??_);_(@_)">
                  <c:v>15162.677619263828</c:v>
                </c:pt>
                <c:pt idx="1194" formatCode="_(&quot;$&quot;* #,##0.00_);_(&quot;$&quot;* \(#,##0.00\);_(&quot;$&quot;* &quot;-&quot;??_);_(@_)">
                  <c:v>15099.422581744951</c:v>
                </c:pt>
                <c:pt idx="1195" formatCode="_(&quot;$&quot;* #,##0.00_);_(&quot;$&quot;* \(#,##0.00\);_(&quot;$&quot;* &quot;-&quot;??_);_(@_)">
                  <c:v>16095.587941112817</c:v>
                </c:pt>
                <c:pt idx="1196" formatCode="_(&quot;$&quot;* #,##0.00_);_(&quot;$&quot;* \(#,##0.00\);_(&quot;$&quot;* &quot;-&quot;??_);_(@_)">
                  <c:v>16520.339804467709</c:v>
                </c:pt>
                <c:pt idx="1197" formatCode="_(&quot;$&quot;* #,##0.00_);_(&quot;$&quot;* \(#,##0.00\);_(&quot;$&quot;* &quot;-&quot;??_);_(@_)">
                  <c:v>16348.534957904194</c:v>
                </c:pt>
                <c:pt idx="1198" formatCode="_(&quot;$&quot;* #,##0.00_);_(&quot;$&quot;* \(#,##0.00\);_(&quot;$&quot;* &quot;-&quot;??_);_(@_)">
                  <c:v>15662.984353622769</c:v>
                </c:pt>
                <c:pt idx="1199" formatCode="_(&quot;$&quot;* #,##0.00_);_(&quot;$&quot;* \(#,##0.00\);_(&quot;$&quot;* &quot;-&quot;??_);_(@_)">
                  <c:v>15578.758386184714</c:v>
                </c:pt>
                <c:pt idx="1200" formatCode="_(&quot;$&quot;* #,##0.00_);_(&quot;$&quot;* \(#,##0.00\);_(&quot;$&quot;* &quot;-&quot;??_);_(@_)">
                  <c:v>15507.537137295167</c:v>
                </c:pt>
                <c:pt idx="1201" formatCode="_(&quot;$&quot;* #,##0.00_);_(&quot;$&quot;* \(#,##0.00\);_(&quot;$&quot;* &quot;-&quot;??_);_(@_)">
                  <c:v>15274.118470696458</c:v>
                </c:pt>
                <c:pt idx="1202" formatCode="_(&quot;$&quot;* #,##0.00_);_(&quot;$&quot;* \(#,##0.00\);_(&quot;$&quot;* &quot;-&quot;??_);_(@_)">
                  <c:v>14753.780602839921</c:v>
                </c:pt>
                <c:pt idx="1203" formatCode="_(&quot;$&quot;* #,##0.00_);_(&quot;$&quot;* \(#,##0.00\);_(&quot;$&quot;* &quot;-&quot;??_);_(@_)">
                  <c:v>14904.521433367314</c:v>
                </c:pt>
                <c:pt idx="1204" formatCode="_(&quot;$&quot;* #,##0.00_);_(&quot;$&quot;* \(#,##0.00\);_(&quot;$&quot;* &quot;-&quot;??_);_(@_)">
                  <c:v>14959.442140976118</c:v>
                </c:pt>
                <c:pt idx="1205" formatCode="_(&quot;$&quot;* #,##0.00_);_(&quot;$&quot;* \(#,##0.00\);_(&quot;$&quot;* &quot;-&quot;??_);_(@_)">
                  <c:v>15144.821076079097</c:v>
                </c:pt>
                <c:pt idx="1206" formatCode="_(&quot;$&quot;* #,##0.00_);_(&quot;$&quot;* \(#,##0.00\);_(&quot;$&quot;* &quot;-&quot;??_);_(@_)">
                  <c:v>15115.448288002821</c:v>
                </c:pt>
                <c:pt idx="1207" formatCode="_(&quot;$&quot;* #,##0.00_);_(&quot;$&quot;* \(#,##0.00\);_(&quot;$&quot;* &quot;-&quot;??_);_(@_)">
                  <c:v>15205.79597019446</c:v>
                </c:pt>
                <c:pt idx="1208" formatCode="_(&quot;$&quot;* #,##0.00_);_(&quot;$&quot;* \(#,##0.00\);_(&quot;$&quot;* &quot;-&quot;??_);_(@_)">
                  <c:v>14944.852582471665</c:v>
                </c:pt>
                <c:pt idx="1209" formatCode="_(&quot;$&quot;* #,##0.00_);_(&quot;$&quot;* \(#,##0.00\);_(&quot;$&quot;* &quot;-&quot;??_);_(@_)">
                  <c:v>15270.446559159769</c:v>
                </c:pt>
                <c:pt idx="1210" formatCode="_(&quot;$&quot;* #,##0.00_);_(&quot;$&quot;* \(#,##0.00\);_(&quot;$&quot;* &quot;-&quot;??_);_(@_)">
                  <c:v>15647.660407535363</c:v>
                </c:pt>
                <c:pt idx="1211" formatCode="_(&quot;$&quot;* #,##0.00_);_(&quot;$&quot;* \(#,##0.00\);_(&quot;$&quot;* &quot;-&quot;??_);_(@_)">
                  <c:v>16805.647904612499</c:v>
                </c:pt>
                <c:pt idx="1212" formatCode="_(&quot;$&quot;* #,##0.00_);_(&quot;$&quot;* \(#,##0.00\);_(&quot;$&quot;* &quot;-&quot;??_);_(@_)">
                  <c:v>16473.366830030096</c:v>
                </c:pt>
                <c:pt idx="1213" formatCode="_(&quot;$&quot;* #,##0.00_);_(&quot;$&quot;* \(#,##0.00\);_(&quot;$&quot;* &quot;-&quot;??_);_(@_)">
                  <c:v>17527.961832649518</c:v>
                </c:pt>
                <c:pt idx="1214" formatCode="_(&quot;$&quot;* #,##0.00_);_(&quot;$&quot;* \(#,##0.00\);_(&quot;$&quot;* &quot;-&quot;??_);_(@_)">
                  <c:v>17832.945720045584</c:v>
                </c:pt>
                <c:pt idx="1215" formatCode="_(&quot;$&quot;* #,##0.00_);_(&quot;$&quot;* \(#,##0.00\);_(&quot;$&quot;* &quot;-&quot;??_);_(@_)">
                  <c:v>17692.359682787825</c:v>
                </c:pt>
                <c:pt idx="1216" formatCode="_(&quot;$&quot;* #,##0.00_);_(&quot;$&quot;* \(#,##0.00\);_(&quot;$&quot;* &quot;-&quot;??_);_(@_)">
                  <c:v>18057.373683871931</c:v>
                </c:pt>
                <c:pt idx="1217" formatCode="_(&quot;$&quot;* #,##0.00_);_(&quot;$&quot;* \(#,##0.00\);_(&quot;$&quot;* &quot;-&quot;??_);_(@_)">
                  <c:v>16875.12443468938</c:v>
                </c:pt>
                <c:pt idx="1218" formatCode="_(&quot;$&quot;* #,##0.00_);_(&quot;$&quot;* \(#,##0.00\);_(&quot;$&quot;* &quot;-&quot;??_);_(@_)">
                  <c:v>17137.763927001502</c:v>
                </c:pt>
                <c:pt idx="1219" formatCode="_(&quot;$&quot;* #,##0.00_);_(&quot;$&quot;* \(#,##0.00\);_(&quot;$&quot;* &quot;-&quot;??_);_(@_)">
                  <c:v>16887.749661860602</c:v>
                </c:pt>
                <c:pt idx="1220" formatCode="_(&quot;$&quot;* #,##0.00_);_(&quot;$&quot;* \(#,##0.00\);_(&quot;$&quot;* &quot;-&quot;??_);_(@_)">
                  <c:v>16571.817602363833</c:v>
                </c:pt>
                <c:pt idx="1221" formatCode="_(&quot;$&quot;* #,##0.00_);_(&quot;$&quot;* \(#,##0.00\);_(&quot;$&quot;* &quot;-&quot;??_);_(@_)">
                  <c:v>16719.820418317573</c:v>
                </c:pt>
                <c:pt idx="1222" formatCode="_(&quot;$&quot;* #,##0.00_);_(&quot;$&quot;* \(#,##0.00\);_(&quot;$&quot;* &quot;-&quot;??_);_(@_)">
                  <c:v>17828.521113659255</c:v>
                </c:pt>
                <c:pt idx="1223" formatCode="_(&quot;$&quot;* #,##0.00_);_(&quot;$&quot;* \(#,##0.00\);_(&quot;$&quot;* &quot;-&quot;??_);_(@_)">
                  <c:v>18588.163238448407</c:v>
                </c:pt>
                <c:pt idx="1224" formatCode="_(&quot;$&quot;* #,##0.00_);_(&quot;$&quot;* \(#,##0.00\);_(&quot;$&quot;* &quot;-&quot;??_);_(@_)">
                  <c:v>19094.801970664183</c:v>
                </c:pt>
                <c:pt idx="1225" formatCode="_(&quot;$&quot;* #,##0.00_);_(&quot;$&quot;* \(#,##0.00\);_(&quot;$&quot;* &quot;-&quot;??_);_(@_)">
                  <c:v>19137.892427308667</c:v>
                </c:pt>
                <c:pt idx="1226" formatCode="_(&quot;$&quot;* #,##0.00_);_(&quot;$&quot;* \(#,##0.00\);_(&quot;$&quot;* &quot;-&quot;??_);_(@_)">
                  <c:v>18793.246217702985</c:v>
                </c:pt>
                <c:pt idx="1227" formatCode="_(&quot;$&quot;* #,##0.00_);_(&quot;$&quot;* \(#,##0.00\);_(&quot;$&quot;* &quot;-&quot;??_);_(@_)">
                  <c:v>17883.144206586883</c:v>
                </c:pt>
                <c:pt idx="1228" formatCode="_(&quot;$&quot;* #,##0.00_);_(&quot;$&quot;* \(#,##0.00\);_(&quot;$&quot;* &quot;-&quot;??_);_(@_)">
                  <c:v>18319.187631123459</c:v>
                </c:pt>
                <c:pt idx="1229" formatCode="_(&quot;$&quot;* #,##0.00_);_(&quot;$&quot;* \(#,##0.00\);_(&quot;$&quot;* &quot;-&quot;??_);_(@_)">
                  <c:v>19153.4696051149</c:v>
                </c:pt>
                <c:pt idx="1230" formatCode="_(&quot;$&quot;* #,##0.00_);_(&quot;$&quot;* \(#,##0.00\);_(&quot;$&quot;* &quot;-&quot;??_);_(@_)">
                  <c:v>18322.606656920492</c:v>
                </c:pt>
                <c:pt idx="1231" formatCode="_(&quot;$&quot;* #,##0.00_);_(&quot;$&quot;* \(#,##0.00\);_(&quot;$&quot;* &quot;-&quot;??_);_(@_)">
                  <c:v>18672.214272326619</c:v>
                </c:pt>
                <c:pt idx="1232" formatCode="_(&quot;$&quot;* #,##0.00_);_(&quot;$&quot;* \(#,##0.00\);_(&quot;$&quot;* &quot;-&quot;??_);_(@_)">
                  <c:v>17802.933763268764</c:v>
                </c:pt>
                <c:pt idx="1233" formatCode="_(&quot;$&quot;* #,##0.00_);_(&quot;$&quot;* \(#,##0.00\);_(&quot;$&quot;* &quot;-&quot;??_);_(@_)">
                  <c:v>18036.829524060624</c:v>
                </c:pt>
                <c:pt idx="1234" formatCode="_(&quot;$&quot;* #,##0.00_);_(&quot;$&quot;* \(#,##0.00\);_(&quot;$&quot;* &quot;-&quot;??_);_(@_)">
                  <c:v>18093.13954470769</c:v>
                </c:pt>
                <c:pt idx="1235" formatCode="_(&quot;$&quot;* #,##0.00_);_(&quot;$&quot;* \(#,##0.00\);_(&quot;$&quot;* &quot;-&quot;??_);_(@_)">
                  <c:v>17360.190416945938</c:v>
                </c:pt>
                <c:pt idx="1236" formatCode="_(&quot;$&quot;* #,##0.00_);_(&quot;$&quot;* \(#,##0.00\);_(&quot;$&quot;* &quot;-&quot;??_);_(@_)">
                  <c:v>16641.036153043246</c:v>
                </c:pt>
                <c:pt idx="1237" formatCode="_(&quot;$&quot;* #,##0.00_);_(&quot;$&quot;* \(#,##0.00\);_(&quot;$&quot;* &quot;-&quot;??_);_(@_)">
                  <c:v>17262.279373228514</c:v>
                </c:pt>
                <c:pt idx="1238" formatCode="_(&quot;$&quot;* #,##0.00_);_(&quot;$&quot;* \(#,##0.00\);_(&quot;$&quot;* &quot;-&quot;??_);_(@_)">
                  <c:v>15739.062280416529</c:v>
                </c:pt>
                <c:pt idx="1239" formatCode="_(&quot;$&quot;* #,##0.00_);_(&quot;$&quot;* \(#,##0.00\);_(&quot;$&quot;* &quot;-&quot;??_);_(@_)">
                  <c:v>15942.951608195086</c:v>
                </c:pt>
                <c:pt idx="1240" formatCode="_(&quot;$&quot;* #,##0.00_);_(&quot;$&quot;* \(#,##0.00\);_(&quot;$&quot;* &quot;-&quot;??_);_(@_)">
                  <c:v>15659.160022263077</c:v>
                </c:pt>
                <c:pt idx="1241" formatCode="_(&quot;$&quot;* #,##0.00_);_(&quot;$&quot;* \(#,##0.00\);_(&quot;$&quot;* &quot;-&quot;??_);_(@_)">
                  <c:v>14985.089649187028</c:v>
                </c:pt>
                <c:pt idx="1242" formatCode="_(&quot;$&quot;* #,##0.00_);_(&quot;$&quot;* \(#,##0.00\);_(&quot;$&quot;* &quot;-&quot;??_);_(@_)">
                  <c:v>14897.023800652298</c:v>
                </c:pt>
                <c:pt idx="1243" formatCode="_(&quot;$&quot;* #,##0.00_);_(&quot;$&quot;* \(#,##0.00\);_(&quot;$&quot;* &quot;-&quot;??_);_(@_)">
                  <c:v>14028.806185817699</c:v>
                </c:pt>
                <c:pt idx="1244" formatCode="_(&quot;$&quot;* #,##0.00_);_(&quot;$&quot;* \(#,##0.00\);_(&quot;$&quot;* &quot;-&quot;??_);_(@_)">
                  <c:v>14705.80064683592</c:v>
                </c:pt>
                <c:pt idx="1245" formatCode="_(&quot;$&quot;* #,##0.00_);_(&quot;$&quot;* \(#,##0.00\);_(&quot;$&quot;* &quot;-&quot;??_);_(@_)">
                  <c:v>15437.998912576164</c:v>
                </c:pt>
                <c:pt idx="1246" formatCode="_(&quot;$&quot;* #,##0.00_);_(&quot;$&quot;* \(#,##0.00\);_(&quot;$&quot;* &quot;-&quot;??_);_(@_)">
                  <c:v>16364.980508052107</c:v>
                </c:pt>
                <c:pt idx="1247" formatCode="_(&quot;$&quot;* #,##0.00_);_(&quot;$&quot;* \(#,##0.00\);_(&quot;$&quot;* &quot;-&quot;??_);_(@_)">
                  <c:v>17003.369867564586</c:v>
                </c:pt>
                <c:pt idx="1248" formatCode="_(&quot;$&quot;* #,##0.00_);_(&quot;$&quot;* \(#,##0.00\);_(&quot;$&quot;* &quot;-&quot;??_);_(@_)">
                  <c:v>15164.547353134381</c:v>
                </c:pt>
                <c:pt idx="1249" formatCode="_(&quot;$&quot;* #,##0.00_);_(&quot;$&quot;* \(#,##0.00\);_(&quot;$&quot;* &quot;-&quot;??_);_(@_)">
                  <c:v>14272.780608620124</c:v>
                </c:pt>
                <c:pt idx="1250" formatCode="_(&quot;$&quot;* #,##0.00_);_(&quot;$&quot;* \(#,##0.00\);_(&quot;$&quot;* &quot;-&quot;??_);_(@_)">
                  <c:v>13825.172444739334</c:v>
                </c:pt>
                <c:pt idx="1251" formatCode="_(&quot;$&quot;* #,##0.00_);_(&quot;$&quot;* \(#,##0.00\);_(&quot;$&quot;* &quot;-&quot;??_);_(@_)">
                  <c:v>14191.008609447563</c:v>
                </c:pt>
                <c:pt idx="1252" formatCode="_(&quot;$&quot;* #,##0.00_);_(&quot;$&quot;* \(#,##0.00\);_(&quot;$&quot;* &quot;-&quot;??_);_(@_)">
                  <c:v>14218.388840438643</c:v>
                </c:pt>
                <c:pt idx="1253" formatCode="_(&quot;$&quot;* #,##0.00_);_(&quot;$&quot;* \(#,##0.00\);_(&quot;$&quot;* &quot;-&quot;??_);_(@_)">
                  <c:v>14581.974593239544</c:v>
                </c:pt>
                <c:pt idx="1254" formatCode="_(&quot;$&quot;* #,##0.00_);_(&quot;$&quot;* \(#,##0.00\);_(&quot;$&quot;* &quot;-&quot;??_);_(@_)">
                  <c:v>14502.685268118696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4-4E17-8396-4845B188F6A2}"/>
            </c:ext>
          </c:extLst>
        </c:ser>
        <c:ser>
          <c:idx val="2"/>
          <c:order val="2"/>
          <c:tx>
            <c:strRef>
              <c:f>'SPY vs RSP'!$AA$2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RSP'!$AA$3:$AA$1257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 formatCode="_(&quot;$&quot;* #,##0.00_);_(&quot;$&quot;* \(#,##0.00\);_(&quot;$&quot;* &quot;-&quot;??_);_(@_)">
                  <c:v>0</c:v>
                </c:pt>
                <c:pt idx="50" formatCode="_(&quot;$&quot;* #,##0.00_);_(&quot;$&quot;* \(#,##0.00\);_(&quot;$&quot;* &quot;-&quot;??_);_(@_)">
                  <c:v>-187.25200459370217</c:v>
                </c:pt>
                <c:pt idx="51" formatCode="_(&quot;$&quot;* #,##0.00_);_(&quot;$&quot;* \(#,##0.00\);_(&quot;$&quot;* &quot;-&quot;??_);_(@_)">
                  <c:v>185.91442519693743</c:v>
                </c:pt>
                <c:pt idx="52" formatCode="_(&quot;$&quot;* #,##0.00_);_(&quot;$&quot;* \(#,##0.00\);_(&quot;$&quot;* &quot;-&quot;??_);_(@_)">
                  <c:v>45.44125617680578</c:v>
                </c:pt>
                <c:pt idx="53" formatCode="_(&quot;$&quot;* #,##0.00_);_(&quot;$&quot;* \(#,##0.00\);_(&quot;$&quot;* &quot;-&quot;??_);_(@_)">
                  <c:v>433.76107269633189</c:v>
                </c:pt>
                <c:pt idx="54" formatCode="_(&quot;$&quot;* #,##0.00_);_(&quot;$&quot;* \(#,##0.00\);_(&quot;$&quot;* &quot;-&quot;??_);_(@_)">
                  <c:v>124.59430155213499</c:v>
                </c:pt>
                <c:pt idx="55" formatCode="_(&quot;$&quot;* #,##0.00_);_(&quot;$&quot;* \(#,##0.00\);_(&quot;$&quot;* &quot;-&quot;??_);_(@_)">
                  <c:v>-160.53488817303526</c:v>
                </c:pt>
                <c:pt idx="56" formatCode="_(&quot;$&quot;* #,##0.00_);_(&quot;$&quot;* \(#,##0.00\);_(&quot;$&quot;* &quot;-&quot;??_);_(@_)">
                  <c:v>727.1703330171805</c:v>
                </c:pt>
                <c:pt idx="57" formatCode="_(&quot;$&quot;* #,##0.00_);_(&quot;$&quot;* \(#,##0.00\);_(&quot;$&quot;* &quot;-&quot;??_);_(@_)">
                  <c:v>675.75642303519817</c:v>
                </c:pt>
                <c:pt idx="58" formatCode="_(&quot;$&quot;* #,##0.00_);_(&quot;$&quot;* \(#,##0.00\);_(&quot;$&quot;* &quot;-&quot;??_);_(@_)">
                  <c:v>1055.8417535495714</c:v>
                </c:pt>
                <c:pt idx="59" formatCode="_(&quot;$&quot;* #,##0.00_);_(&quot;$&quot;* \(#,##0.00\);_(&quot;$&quot;* &quot;-&quot;??_);_(@_)">
                  <c:v>429.17980913671136</c:v>
                </c:pt>
                <c:pt idx="60" formatCode="_(&quot;$&quot;* #,##0.00_);_(&quot;$&quot;* \(#,##0.00\);_(&quot;$&quot;* &quot;-&quot;??_);_(@_)">
                  <c:v>556.79772222363306</c:v>
                </c:pt>
                <c:pt idx="61" formatCode="_(&quot;$&quot;* #,##0.00_);_(&quot;$&quot;* \(#,##0.00\);_(&quot;$&quot;* &quot;-&quot;??_);_(@_)">
                  <c:v>577.82995302576774</c:v>
                </c:pt>
                <c:pt idx="62" formatCode="_(&quot;$&quot;* #,##0.00_);_(&quot;$&quot;* \(#,##0.00\);_(&quot;$&quot;* &quot;-&quot;??_);_(@_)">
                  <c:v>1254.8171201570087</c:v>
                </c:pt>
                <c:pt idx="63" formatCode="_(&quot;$&quot;* #,##0.00_);_(&quot;$&quot;* \(#,##0.00\);_(&quot;$&quot;* &quot;-&quot;??_);_(@_)">
                  <c:v>839.61250929703556</c:v>
                </c:pt>
                <c:pt idx="64" formatCode="_(&quot;$&quot;* #,##0.00_);_(&quot;$&quot;* \(#,##0.00\);_(&quot;$&quot;* &quot;-&quot;??_);_(@_)">
                  <c:v>776.18561361307491</c:v>
                </c:pt>
                <c:pt idx="65" formatCode="_(&quot;$&quot;* #,##0.00_);_(&quot;$&quot;* \(#,##0.00\);_(&quot;$&quot;* &quot;-&quot;??_);_(@_)">
                  <c:v>458.02747514734602</c:v>
                </c:pt>
                <c:pt idx="66" formatCode="_(&quot;$&quot;* #,##0.00_);_(&quot;$&quot;* \(#,##0.00\);_(&quot;$&quot;* &quot;-&quot;??_);_(@_)">
                  <c:v>291.27431138678986</c:v>
                </c:pt>
                <c:pt idx="67" formatCode="_(&quot;$&quot;* #,##0.00_);_(&quot;$&quot;* \(#,##0.00\);_(&quot;$&quot;* &quot;-&quot;??_);_(@_)">
                  <c:v>80.607457283626388</c:v>
                </c:pt>
                <c:pt idx="68" formatCode="_(&quot;$&quot;* #,##0.00_);_(&quot;$&quot;* \(#,##0.00\);_(&quot;$&quot;* &quot;-&quot;??_);_(@_)">
                  <c:v>350.42833695528628</c:v>
                </c:pt>
                <c:pt idx="69" formatCode="_(&quot;$&quot;* #,##0.00_);_(&quot;$&quot;* \(#,##0.00\);_(&quot;$&quot;* &quot;-&quot;??_);_(@_)">
                  <c:v>211.45604856969479</c:v>
                </c:pt>
                <c:pt idx="70" formatCode="_(&quot;$&quot;* #,##0.00_);_(&quot;$&quot;* \(#,##0.00\);_(&quot;$&quot;* &quot;-&quot;??_);_(@_)">
                  <c:v>477.5515684114348</c:v>
                </c:pt>
                <c:pt idx="71" formatCode="_(&quot;$&quot;* #,##0.00_);_(&quot;$&quot;* \(#,##0.00\);_(&quot;$&quot;* &quot;-&quot;??_);_(@_)">
                  <c:v>765.03205811631392</c:v>
                </c:pt>
                <c:pt idx="72" formatCode="_(&quot;$&quot;* #,##0.00_);_(&quot;$&quot;* \(#,##0.00\);_(&quot;$&quot;* &quot;-&quot;??_);_(@_)">
                  <c:v>1470.4974582543903</c:v>
                </c:pt>
                <c:pt idx="73" formatCode="_(&quot;$&quot;* #,##0.00_);_(&quot;$&quot;* \(#,##0.00\);_(&quot;$&quot;* &quot;-&quot;??_);_(@_)">
                  <c:v>1938.8802356610595</c:v>
                </c:pt>
                <c:pt idx="74" formatCode="_(&quot;$&quot;* #,##0.00_);_(&quot;$&quot;* \(#,##0.00\);_(&quot;$&quot;* &quot;-&quot;??_);_(@_)">
                  <c:v>1500.7717688878724</c:v>
                </c:pt>
                <c:pt idx="75" formatCode="_(&quot;$&quot;* #,##0.00_);_(&quot;$&quot;* \(#,##0.00\);_(&quot;$&quot;* &quot;-&quot;??_);_(@_)">
                  <c:v>1220.6142613946413</c:v>
                </c:pt>
                <c:pt idx="76" formatCode="_(&quot;$&quot;* #,##0.00_);_(&quot;$&quot;* \(#,##0.00\);_(&quot;$&quot;* &quot;-&quot;??_);_(@_)">
                  <c:v>1437.7742765248477</c:v>
                </c:pt>
                <c:pt idx="77" formatCode="_(&quot;$&quot;* #,##0.00_);_(&quot;$&quot;* \(#,##0.00\);_(&quot;$&quot;* &quot;-&quot;??_);_(@_)">
                  <c:v>1809.5489365758426</c:v>
                </c:pt>
                <c:pt idx="78" formatCode="_(&quot;$&quot;* #,##0.00_);_(&quot;$&quot;* \(#,##0.00\);_(&quot;$&quot;* &quot;-&quot;??_);_(@_)">
                  <c:v>2198.9339283098143</c:v>
                </c:pt>
                <c:pt idx="79" formatCode="_(&quot;$&quot;* #,##0.00_);_(&quot;$&quot;* \(#,##0.00\);_(&quot;$&quot;* &quot;-&quot;??_);_(@_)">
                  <c:v>2902.6005151128429</c:v>
                </c:pt>
                <c:pt idx="80" formatCode="_(&quot;$&quot;* #,##0.00_);_(&quot;$&quot;* \(#,##0.00\);_(&quot;$&quot;* &quot;-&quot;??_);_(@_)">
                  <c:v>3035.4501890543015</c:v>
                </c:pt>
                <c:pt idx="81" formatCode="_(&quot;$&quot;* #,##0.00_);_(&quot;$&quot;* \(#,##0.00\);_(&quot;$&quot;* &quot;-&quot;??_);_(@_)">
                  <c:v>2147.5141990385227</c:v>
                </c:pt>
                <c:pt idx="82" formatCode="_(&quot;$&quot;* #,##0.00_);_(&quot;$&quot;* \(#,##0.00\);_(&quot;$&quot;* &quot;-&quot;??_);_(@_)">
                  <c:v>1824.5302434613991</c:v>
                </c:pt>
                <c:pt idx="83" formatCode="_(&quot;$&quot;* #,##0.00_);_(&quot;$&quot;* \(#,##0.00\);_(&quot;$&quot;* &quot;-&quot;??_);_(@_)">
                  <c:v>1526.6620032520448</c:v>
                </c:pt>
                <c:pt idx="84" formatCode="_(&quot;$&quot;* #,##0.00_);_(&quot;$&quot;* \(#,##0.00\);_(&quot;$&quot;* &quot;-&quot;??_);_(@_)">
                  <c:v>1904.987683918788</c:v>
                </c:pt>
                <c:pt idx="85" formatCode="_(&quot;$&quot;* #,##0.00_);_(&quot;$&quot;* \(#,##0.00\);_(&quot;$&quot;* &quot;-&quot;??_);_(@_)">
                  <c:v>1912.6364971328555</c:v>
                </c:pt>
                <c:pt idx="86" formatCode="_(&quot;$&quot;* #,##0.00_);_(&quot;$&quot;* \(#,##0.00\);_(&quot;$&quot;* &quot;-&quot;??_);_(@_)">
                  <c:v>1950.6474849215547</c:v>
                </c:pt>
                <c:pt idx="87" formatCode="_(&quot;$&quot;* #,##0.00_);_(&quot;$&quot;* \(#,##0.00\);_(&quot;$&quot;* &quot;-&quot;??_);_(@_)">
                  <c:v>2243.018125159796</c:v>
                </c:pt>
                <c:pt idx="88" formatCode="_(&quot;$&quot;* #,##0.00_);_(&quot;$&quot;* \(#,##0.00\);_(&quot;$&quot;* &quot;-&quot;??_);_(@_)">
                  <c:v>2083.3588509086399</c:v>
                </c:pt>
                <c:pt idx="89" formatCode="_(&quot;$&quot;* #,##0.00_);_(&quot;$&quot;* \(#,##0.00\);_(&quot;$&quot;* &quot;-&quot;??_);_(@_)">
                  <c:v>1994.4259109512232</c:v>
                </c:pt>
                <c:pt idx="90" formatCode="_(&quot;$&quot;* #,##0.00_);_(&quot;$&quot;* \(#,##0.00\);_(&quot;$&quot;* &quot;-&quot;??_);_(@_)">
                  <c:v>2465.7630612398766</c:v>
                </c:pt>
                <c:pt idx="91" formatCode="_(&quot;$&quot;* #,##0.00_);_(&quot;$&quot;* \(#,##0.00\);_(&quot;$&quot;* &quot;-&quot;??_);_(@_)">
                  <c:v>1759.6239450284124</c:v>
                </c:pt>
                <c:pt idx="92" formatCode="_(&quot;$&quot;* #,##0.00_);_(&quot;$&quot;* \(#,##0.00\);_(&quot;$&quot;* &quot;-&quot;??_);_(@_)">
                  <c:v>1675.4290471237723</c:v>
                </c:pt>
                <c:pt idx="93" formatCode="_(&quot;$&quot;* #,##0.00_);_(&quot;$&quot;* \(#,##0.00\);_(&quot;$&quot;* &quot;-&quot;??_);_(@_)">
                  <c:v>1924.521348105792</c:v>
                </c:pt>
                <c:pt idx="94" formatCode="_(&quot;$&quot;* #,##0.00_);_(&quot;$&quot;* \(#,##0.00\);_(&quot;$&quot;* &quot;-&quot;??_);_(@_)">
                  <c:v>1673.3093182975788</c:v>
                </c:pt>
                <c:pt idx="95" formatCode="_(&quot;$&quot;* #,##0.00_);_(&quot;$&quot;* \(#,##0.00\);_(&quot;$&quot;* &quot;-&quot;??_);_(@_)">
                  <c:v>1970.8259109837513</c:v>
                </c:pt>
                <c:pt idx="96" formatCode="_(&quot;$&quot;* #,##0.00_);_(&quot;$&quot;* \(#,##0.00\);_(&quot;$&quot;* &quot;-&quot;??_);_(@_)">
                  <c:v>1914.4278389144313</c:v>
                </c:pt>
                <c:pt idx="97" formatCode="_(&quot;$&quot;* #,##0.00_);_(&quot;$&quot;* \(#,##0.00\);_(&quot;$&quot;* &quot;-&quot;??_);_(@_)">
                  <c:v>2050.2316116413558</c:v>
                </c:pt>
                <c:pt idx="98" formatCode="_(&quot;$&quot;* #,##0.00_);_(&quot;$&quot;* \(#,##0.00\);_(&quot;$&quot;* &quot;-&quot;??_);_(@_)">
                  <c:v>1814.4604265847163</c:v>
                </c:pt>
                <c:pt idx="99" formatCode="_(&quot;$&quot;* #,##0.00_);_(&quot;$&quot;* \(#,##0.00\);_(&quot;$&quot;* &quot;-&quot;??_);_(@_)">
                  <c:v>1647.0477954608373</c:v>
                </c:pt>
                <c:pt idx="100" formatCode="_(&quot;$&quot;* #,##0.00_);_(&quot;$&quot;* \(#,##0.00\);_(&quot;$&quot;* &quot;-&quot;??_);_(@_)">
                  <c:v>1530.0958429836239</c:v>
                </c:pt>
                <c:pt idx="101" formatCode="_(&quot;$&quot;* #,##0.00_);_(&quot;$&quot;* \(#,##0.00\);_(&quot;$&quot;* &quot;-&quot;??_);_(@_)">
                  <c:v>1782.1119720158915</c:v>
                </c:pt>
                <c:pt idx="102" formatCode="_(&quot;$&quot;* #,##0.00_);_(&quot;$&quot;* \(#,##0.00\);_(&quot;$&quot;* &quot;-&quot;??_);_(@_)">
                  <c:v>2275.0865926291131</c:v>
                </c:pt>
                <c:pt idx="103" formatCode="_(&quot;$&quot;* #,##0.00_);_(&quot;$&quot;* \(#,##0.00\);_(&quot;$&quot;* &quot;-&quot;??_);_(@_)">
                  <c:v>3112.8034253238429</c:v>
                </c:pt>
                <c:pt idx="104" formatCode="_(&quot;$&quot;* #,##0.00_);_(&quot;$&quot;* \(#,##0.00\);_(&quot;$&quot;* &quot;-&quot;??_);_(@_)">
                  <c:v>3492.2173058812123</c:v>
                </c:pt>
                <c:pt idx="105" formatCode="_(&quot;$&quot;* #,##0.00_);_(&quot;$&quot;* \(#,##0.00\);_(&quot;$&quot;* &quot;-&quot;??_);_(@_)">
                  <c:v>3808.8339442834208</c:v>
                </c:pt>
                <c:pt idx="106" formatCode="_(&quot;$&quot;* #,##0.00_);_(&quot;$&quot;* \(#,##0.00\);_(&quot;$&quot;* &quot;-&quot;??_);_(@_)">
                  <c:v>4043.7196638740938</c:v>
                </c:pt>
                <c:pt idx="107" formatCode="_(&quot;$&quot;* #,##0.00_);_(&quot;$&quot;* \(#,##0.00\);_(&quot;$&quot;* &quot;-&quot;??_);_(@_)">
                  <c:v>3667.448263984727</c:v>
                </c:pt>
                <c:pt idx="108" formatCode="_(&quot;$&quot;* #,##0.00_);_(&quot;$&quot;* \(#,##0.00\);_(&quot;$&quot;* &quot;-&quot;??_);_(@_)">
                  <c:v>3700.953276742905</c:v>
                </c:pt>
                <c:pt idx="109" formatCode="_(&quot;$&quot;* #,##0.00_);_(&quot;$&quot;* \(#,##0.00\);_(&quot;$&quot;* &quot;-&quot;??_);_(@_)">
                  <c:v>3510.6065514637294</c:v>
                </c:pt>
                <c:pt idx="110" formatCode="_(&quot;$&quot;* #,##0.00_);_(&quot;$&quot;* \(#,##0.00\);_(&quot;$&quot;* &quot;-&quot;??_);_(@_)">
                  <c:v>4427.2411173197879</c:v>
                </c:pt>
                <c:pt idx="111" formatCode="_(&quot;$&quot;* #,##0.00_);_(&quot;$&quot;* \(#,##0.00\);_(&quot;$&quot;* &quot;-&quot;??_);_(@_)">
                  <c:v>4213.3505580659557</c:v>
                </c:pt>
                <c:pt idx="112" formatCode="_(&quot;$&quot;* #,##0.00_);_(&quot;$&quot;* \(#,##0.00\);_(&quot;$&quot;* &quot;-&quot;??_);_(@_)">
                  <c:v>4393.7660309298763</c:v>
                </c:pt>
                <c:pt idx="113" formatCode="_(&quot;$&quot;* #,##0.00_);_(&quot;$&quot;* \(#,##0.00\);_(&quot;$&quot;* &quot;-&quot;??_);_(@_)">
                  <c:v>4394.4533490572539</c:v>
                </c:pt>
                <c:pt idx="114" formatCode="_(&quot;$&quot;* #,##0.00_);_(&quot;$&quot;* \(#,##0.00\);_(&quot;$&quot;* &quot;-&quot;??_);_(@_)">
                  <c:v>4230.2891893990982</c:v>
                </c:pt>
                <c:pt idx="115" formatCode="_(&quot;$&quot;* #,##0.00_);_(&quot;$&quot;* \(#,##0.00\);_(&quot;$&quot;* &quot;-&quot;??_);_(@_)">
                  <c:v>4732.2332273848378</c:v>
                </c:pt>
                <c:pt idx="116" formatCode="_(&quot;$&quot;* #,##0.00_);_(&quot;$&quot;* \(#,##0.00\);_(&quot;$&quot;* &quot;-&quot;??_);_(@_)">
                  <c:v>5058.7484107146256</c:v>
                </c:pt>
                <c:pt idx="117" formatCode="_(&quot;$&quot;* #,##0.00_);_(&quot;$&quot;* \(#,##0.00\);_(&quot;$&quot;* &quot;-&quot;??_);_(@_)">
                  <c:v>5333.0701557776947</c:v>
                </c:pt>
                <c:pt idx="118" formatCode="_(&quot;$&quot;* #,##0.00_);_(&quot;$&quot;* \(#,##0.00\);_(&quot;$&quot;* &quot;-&quot;??_);_(@_)">
                  <c:v>4778.8713399250655</c:v>
                </c:pt>
                <c:pt idx="119" formatCode="_(&quot;$&quot;* #,##0.00_);_(&quot;$&quot;* \(#,##0.00\);_(&quot;$&quot;* &quot;-&quot;??_);_(@_)">
                  <c:v>4711.7933163960024</c:v>
                </c:pt>
                <c:pt idx="120" formatCode="_(&quot;$&quot;* #,##0.00_);_(&quot;$&quot;* \(#,##0.00\);_(&quot;$&quot;* &quot;-&quot;??_);_(@_)">
                  <c:v>3940.2680834094526</c:v>
                </c:pt>
                <c:pt idx="121" formatCode="_(&quot;$&quot;* #,##0.00_);_(&quot;$&quot;* \(#,##0.00\);_(&quot;$&quot;* &quot;-&quot;??_);_(@_)">
                  <c:v>3678.8253314756885</c:v>
                </c:pt>
                <c:pt idx="122" formatCode="_(&quot;$&quot;* #,##0.00_);_(&quot;$&quot;* \(#,##0.00\);_(&quot;$&quot;* &quot;-&quot;??_);_(@_)">
                  <c:v>3780.5697444377938</c:v>
                </c:pt>
                <c:pt idx="123" formatCode="_(&quot;$&quot;* #,##0.00_);_(&quot;$&quot;* \(#,##0.00\);_(&quot;$&quot;* &quot;-&quot;??_);_(@_)">
                  <c:v>3459.462933679305</c:v>
                </c:pt>
                <c:pt idx="124" formatCode="_(&quot;$&quot;* #,##0.00_);_(&quot;$&quot;* \(#,##0.00\);_(&quot;$&quot;* &quot;-&quot;??_);_(@_)">
                  <c:v>4543.095222325338</c:v>
                </c:pt>
                <c:pt idx="125" formatCode="_(&quot;$&quot;* #,##0.00_);_(&quot;$&quot;* \(#,##0.00\);_(&quot;$&quot;* &quot;-&quot;??_);_(@_)">
                  <c:v>3983.0573481463675</c:v>
                </c:pt>
                <c:pt idx="126" formatCode="_(&quot;$&quot;* #,##0.00_);_(&quot;$&quot;* \(#,##0.00\);_(&quot;$&quot;* &quot;-&quot;??_);_(@_)">
                  <c:v>4368.198174149843</c:v>
                </c:pt>
                <c:pt idx="127" formatCode="_(&quot;$&quot;* #,##0.00_);_(&quot;$&quot;* \(#,##0.00\);_(&quot;$&quot;* &quot;-&quot;??_);_(@_)">
                  <c:v>4463.0772219086184</c:v>
                </c:pt>
                <c:pt idx="128" formatCode="_(&quot;$&quot;* #,##0.00_);_(&quot;$&quot;* \(#,##0.00\);_(&quot;$&quot;* &quot;-&quot;??_);_(@_)">
                  <c:v>4690.9342339891491</c:v>
                </c:pt>
                <c:pt idx="129" formatCode="_(&quot;$&quot;* #,##0.00_);_(&quot;$&quot;* \(#,##0.00\);_(&quot;$&quot;* &quot;-&quot;??_);_(@_)">
                  <c:v>4911.7105748631921</c:v>
                </c:pt>
                <c:pt idx="130" formatCode="_(&quot;$&quot;* #,##0.00_);_(&quot;$&quot;* \(#,##0.00\);_(&quot;$&quot;* &quot;-&quot;??_);_(@_)">
                  <c:v>5562.1052245899918</c:v>
                </c:pt>
                <c:pt idx="131" formatCode="_(&quot;$&quot;* #,##0.00_);_(&quot;$&quot;* \(#,##0.00\);_(&quot;$&quot;* &quot;-&quot;??_);_(@_)">
                  <c:v>5090.6843705766014</c:v>
                </c:pt>
                <c:pt idx="132" formatCode="_(&quot;$&quot;* #,##0.00_);_(&quot;$&quot;* \(#,##0.00\);_(&quot;$&quot;* &quot;-&quot;??_);_(@_)">
                  <c:v>5003.1833008618414</c:v>
                </c:pt>
                <c:pt idx="133" formatCode="_(&quot;$&quot;* #,##0.00_);_(&quot;$&quot;* \(#,##0.00\);_(&quot;$&quot;* &quot;-&quot;??_);_(@_)">
                  <c:v>5223.5178636991959</c:v>
                </c:pt>
                <c:pt idx="134" formatCode="_(&quot;$&quot;* #,##0.00_);_(&quot;$&quot;* \(#,##0.00\);_(&quot;$&quot;* &quot;-&quot;??_);_(@_)">
                  <c:v>5562.9070285434345</c:v>
                </c:pt>
                <c:pt idx="135" formatCode="_(&quot;$&quot;* #,##0.00_);_(&quot;$&quot;* \(#,##0.00\);_(&quot;$&quot;* &quot;-&quot;??_);_(@_)">
                  <c:v>5834.1096638454965</c:v>
                </c:pt>
                <c:pt idx="136" formatCode="_(&quot;$&quot;* #,##0.00_);_(&quot;$&quot;* \(#,##0.00\);_(&quot;$&quot;* &quot;-&quot;??_);_(@_)">
                  <c:v>5910.8555504267733</c:v>
                </c:pt>
                <c:pt idx="137" formatCode="_(&quot;$&quot;* #,##0.00_);_(&quot;$&quot;* \(#,##0.00\);_(&quot;$&quot;* &quot;-&quot;??_);_(@_)">
                  <c:v>6138.873210208294</c:v>
                </c:pt>
                <c:pt idx="138" formatCode="_(&quot;$&quot;* #,##0.00_);_(&quot;$&quot;* \(#,##0.00\);_(&quot;$&quot;* &quot;-&quot;??_);_(@_)">
                  <c:v>5589.39085691112</c:v>
                </c:pt>
                <c:pt idx="139" formatCode="_(&quot;$&quot;* #,##0.00_);_(&quot;$&quot;* \(#,##0.00\);_(&quot;$&quot;* &quot;-&quot;??_);_(@_)">
                  <c:v>6069.9557485386058</c:v>
                </c:pt>
                <c:pt idx="140" formatCode="_(&quot;$&quot;* #,##0.00_);_(&quot;$&quot;* \(#,##0.00\);_(&quot;$&quot;* &quot;-&quot;??_);_(@_)">
                  <c:v>5739.3181826148757</c:v>
                </c:pt>
                <c:pt idx="141" formatCode="_(&quot;$&quot;* #,##0.00_);_(&quot;$&quot;* \(#,##0.00\);_(&quot;$&quot;* &quot;-&quot;??_);_(@_)">
                  <c:v>5544.3565583489171</c:v>
                </c:pt>
                <c:pt idx="142" formatCode="_(&quot;$&quot;* #,##0.00_);_(&quot;$&quot;* \(#,##0.00\);_(&quot;$&quot;* &quot;-&quot;??_);_(@_)">
                  <c:v>5835.3429710445753</c:v>
                </c:pt>
                <c:pt idx="143" formatCode="_(&quot;$&quot;* #,##0.00_);_(&quot;$&quot;* \(#,##0.00\);_(&quot;$&quot;* &quot;-&quot;??_);_(@_)">
                  <c:v>6126.5066024947628</c:v>
                </c:pt>
                <c:pt idx="144" formatCode="_(&quot;$&quot;* #,##0.00_);_(&quot;$&quot;* \(#,##0.00\);_(&quot;$&quot;* &quot;-&quot;??_);_(@_)">
                  <c:v>6337.070820903512</c:v>
                </c:pt>
                <c:pt idx="145" formatCode="_(&quot;$&quot;* #,##0.00_);_(&quot;$&quot;* \(#,##0.00\);_(&quot;$&quot;* &quot;-&quot;??_);_(@_)">
                  <c:v>6517.6974290070793</c:v>
                </c:pt>
                <c:pt idx="146" formatCode="_(&quot;$&quot;* #,##0.00_);_(&quot;$&quot;* \(#,##0.00\);_(&quot;$&quot;* &quot;-&quot;??_);_(@_)">
                  <c:v>6559.3353823969774</c:v>
                </c:pt>
                <c:pt idx="147" formatCode="_(&quot;$&quot;* #,##0.00_);_(&quot;$&quot;* \(#,##0.00\);_(&quot;$&quot;* &quot;-&quot;??_);_(@_)">
                  <c:v>5996.1552860724096</c:v>
                </c:pt>
                <c:pt idx="148" formatCode="_(&quot;$&quot;* #,##0.00_);_(&quot;$&quot;* \(#,##0.00\);_(&quot;$&quot;* &quot;-&quot;??_);_(@_)">
                  <c:v>6256.1667643825112</c:v>
                </c:pt>
                <c:pt idx="149" formatCode="_(&quot;$&quot;* #,##0.00_);_(&quot;$&quot;* \(#,##0.00\);_(&quot;$&quot;* &quot;-&quot;??_);_(@_)">
                  <c:v>6475.4582687898092</c:v>
                </c:pt>
                <c:pt idx="150" formatCode="_(&quot;$&quot;* #,##0.00_);_(&quot;$&quot;* \(#,##0.00\);_(&quot;$&quot;* &quot;-&quot;??_);_(@_)">
                  <c:v>6838.4450779260333</c:v>
                </c:pt>
                <c:pt idx="151" formatCode="_(&quot;$&quot;* #,##0.00_);_(&quot;$&quot;* \(#,##0.00\);_(&quot;$&quot;* &quot;-&quot;??_);_(@_)">
                  <c:v>6250.4669405996856</c:v>
                </c:pt>
                <c:pt idx="152" formatCode="_(&quot;$&quot;* #,##0.00_);_(&quot;$&quot;* \(#,##0.00\);_(&quot;$&quot;* &quot;-&quot;??_);_(@_)">
                  <c:v>5922.4520241766058</c:v>
                </c:pt>
                <c:pt idx="153" formatCode="_(&quot;$&quot;* #,##0.00_);_(&quot;$&quot;* \(#,##0.00\);_(&quot;$&quot;* &quot;-&quot;??_);_(@_)">
                  <c:v>5929.2232595069208</c:v>
                </c:pt>
                <c:pt idx="154" formatCode="_(&quot;$&quot;* #,##0.00_);_(&quot;$&quot;* \(#,##0.00\);_(&quot;$&quot;* &quot;-&quot;??_);_(@_)">
                  <c:v>5787.3623391422952</c:v>
                </c:pt>
                <c:pt idx="155" formatCode="_(&quot;$&quot;* #,##0.00_);_(&quot;$&quot;* \(#,##0.00\);_(&quot;$&quot;* &quot;-&quot;??_);_(@_)">
                  <c:v>5123.0907930776166</c:v>
                </c:pt>
                <c:pt idx="156" formatCode="_(&quot;$&quot;* #,##0.00_);_(&quot;$&quot;* \(#,##0.00\);_(&quot;$&quot;* &quot;-&quot;??_);_(@_)">
                  <c:v>5453.920962905162</c:v>
                </c:pt>
                <c:pt idx="157" formatCode="_(&quot;$&quot;* #,##0.00_);_(&quot;$&quot;* \(#,##0.00\);_(&quot;$&quot;* &quot;-&quot;??_);_(@_)">
                  <c:v>5595.6507891897309</c:v>
                </c:pt>
                <c:pt idx="158" formatCode="_(&quot;$&quot;* #,##0.00_);_(&quot;$&quot;* \(#,##0.00\);_(&quot;$&quot;* &quot;-&quot;??_);_(@_)">
                  <c:v>5936.398418437132</c:v>
                </c:pt>
                <c:pt idx="159" formatCode="_(&quot;$&quot;* #,##0.00_);_(&quot;$&quot;* \(#,##0.00\);_(&quot;$&quot;* &quot;-&quot;??_);_(@_)">
                  <c:v>5743.0097617713018</c:v>
                </c:pt>
                <c:pt idx="160" formatCode="_(&quot;$&quot;* #,##0.00_);_(&quot;$&quot;* \(#,##0.00\);_(&quot;$&quot;* &quot;-&quot;??_);_(@_)">
                  <c:v>6156.8825978518398</c:v>
                </c:pt>
                <c:pt idx="161" formatCode="_(&quot;$&quot;* #,##0.00_);_(&quot;$&quot;* \(#,##0.00\);_(&quot;$&quot;* &quot;-&quot;??_);_(@_)">
                  <c:v>5734.55817650672</c:v>
                </c:pt>
                <c:pt idx="162" formatCode="_(&quot;$&quot;* #,##0.00_);_(&quot;$&quot;* \(#,##0.00\);_(&quot;$&quot;* &quot;-&quot;??_);_(@_)">
                  <c:v>5880.4797705224864</c:v>
                </c:pt>
                <c:pt idx="163" formatCode="_(&quot;$&quot;* #,##0.00_);_(&quot;$&quot;* \(#,##0.00\);_(&quot;$&quot;* &quot;-&quot;??_);_(@_)">
                  <c:v>5704.7848032104266</c:v>
                </c:pt>
                <c:pt idx="164" formatCode="_(&quot;$&quot;* #,##0.00_);_(&quot;$&quot;* \(#,##0.00\);_(&quot;$&quot;* &quot;-&quot;??_);_(@_)">
                  <c:v>5664.8180172723796</c:v>
                </c:pt>
                <c:pt idx="165" formatCode="_(&quot;$&quot;* #,##0.00_);_(&quot;$&quot;* \(#,##0.00\);_(&quot;$&quot;* &quot;-&quot;??_);_(@_)">
                  <c:v>6306.5907871157415</c:v>
                </c:pt>
                <c:pt idx="166" formatCode="_(&quot;$&quot;* #,##0.00_);_(&quot;$&quot;* \(#,##0.00\);_(&quot;$&quot;* &quot;-&quot;??_);_(@_)">
                  <c:v>6109.2985192266206</c:v>
                </c:pt>
                <c:pt idx="167" formatCode="_(&quot;$&quot;* #,##0.00_);_(&quot;$&quot;* \(#,##0.00\);_(&quot;$&quot;* &quot;-&quot;??_);_(@_)">
                  <c:v>5612.9667420701471</c:v>
                </c:pt>
                <c:pt idx="168" formatCode="_(&quot;$&quot;* #,##0.00_);_(&quot;$&quot;* \(#,##0.00\);_(&quot;$&quot;* &quot;-&quot;??_);_(@_)">
                  <c:v>5809.3289463628826</c:v>
                </c:pt>
                <c:pt idx="169" formatCode="_(&quot;$&quot;* #,##0.00_);_(&quot;$&quot;* \(#,##0.00\);_(&quot;$&quot;* &quot;-&quot;??_);_(@_)">
                  <c:v>5331.1495841593478</c:v>
                </c:pt>
                <c:pt idx="170" formatCode="_(&quot;$&quot;* #,##0.00_);_(&quot;$&quot;* \(#,##0.00\);_(&quot;$&quot;* &quot;-&quot;??_);_(@_)">
                  <c:v>6071.5477598034022</c:v>
                </c:pt>
                <c:pt idx="171" formatCode="_(&quot;$&quot;* #,##0.00_);_(&quot;$&quot;* \(#,##0.00\);_(&quot;$&quot;* &quot;-&quot;??_);_(@_)">
                  <c:v>6107.3847272648027</c:v>
                </c:pt>
                <c:pt idx="172" formatCode="_(&quot;$&quot;* #,##0.00_);_(&quot;$&quot;* \(#,##0.00\);_(&quot;$&quot;* &quot;-&quot;??_);_(@_)">
                  <c:v>6092.1502777505048</c:v>
                </c:pt>
                <c:pt idx="173" formatCode="_(&quot;$&quot;* #,##0.00_);_(&quot;$&quot;* \(#,##0.00\);_(&quot;$&quot;* &quot;-&quot;??_);_(@_)">
                  <c:v>6654.0591190333971</c:v>
                </c:pt>
                <c:pt idx="174" formatCode="_(&quot;$&quot;* #,##0.00_);_(&quot;$&quot;* \(#,##0.00\);_(&quot;$&quot;* &quot;-&quot;??_);_(@_)">
                  <c:v>6400.7658007516011</c:v>
                </c:pt>
                <c:pt idx="175" formatCode="_(&quot;$&quot;* #,##0.00_);_(&quot;$&quot;* \(#,##0.00\);_(&quot;$&quot;* &quot;-&quot;??_);_(@_)">
                  <c:v>6558.4071999530261</c:v>
                </c:pt>
                <c:pt idx="176" formatCode="_(&quot;$&quot;* #,##0.00_);_(&quot;$&quot;* \(#,##0.00\);_(&quot;$&quot;* &quot;-&quot;??_);_(@_)">
                  <c:v>7272.0006997630171</c:v>
                </c:pt>
                <c:pt idx="177" formatCode="_(&quot;$&quot;* #,##0.00_);_(&quot;$&quot;* \(#,##0.00\);_(&quot;$&quot;* &quot;-&quot;??_);_(@_)">
                  <c:v>7320.4523425083771</c:v>
                </c:pt>
                <c:pt idx="178" formatCode="_(&quot;$&quot;* #,##0.00_);_(&quot;$&quot;* \(#,##0.00\);_(&quot;$&quot;* &quot;-&quot;??_);_(@_)">
                  <c:v>7338.7208010874365</c:v>
                </c:pt>
                <c:pt idx="179" formatCode="_(&quot;$&quot;* #,##0.00_);_(&quot;$&quot;* \(#,##0.00\);_(&quot;$&quot;* &quot;-&quot;??_);_(@_)">
                  <c:v>7060.820109099941</c:v>
                </c:pt>
                <c:pt idx="180" formatCode="_(&quot;$&quot;* #,##0.00_);_(&quot;$&quot;* \(#,##0.00\);_(&quot;$&quot;* &quot;-&quot;??_);_(@_)">
                  <c:v>7562.3974647263385</c:v>
                </c:pt>
                <c:pt idx="181" formatCode="_(&quot;$&quot;* #,##0.00_);_(&quot;$&quot;* \(#,##0.00\);_(&quot;$&quot;* &quot;-&quot;??_);_(@_)">
                  <c:v>7468.8951960708991</c:v>
                </c:pt>
                <c:pt idx="182" formatCode="_(&quot;$&quot;* #,##0.00_);_(&quot;$&quot;* \(#,##0.00\);_(&quot;$&quot;* &quot;-&quot;??_);_(@_)">
                  <c:v>6682.4322549301678</c:v>
                </c:pt>
                <c:pt idx="183" formatCode="_(&quot;$&quot;* #,##0.00_);_(&quot;$&quot;* \(#,##0.00\);_(&quot;$&quot;* &quot;-&quot;??_);_(@_)">
                  <c:v>7339.9234725598708</c:v>
                </c:pt>
                <c:pt idx="184" formatCode="_(&quot;$&quot;* #,##0.00_);_(&quot;$&quot;* \(#,##0.00\);_(&quot;$&quot;* &quot;-&quot;??_);_(@_)">
                  <c:v>7009.2601244444977</c:v>
                </c:pt>
                <c:pt idx="185" formatCode="_(&quot;$&quot;* #,##0.00_);_(&quot;$&quot;* \(#,##0.00\);_(&quot;$&quot;* &quot;-&quot;??_);_(@_)">
                  <c:v>7376.0150470412254</c:v>
                </c:pt>
                <c:pt idx="186" formatCode="_(&quot;$&quot;* #,##0.00_);_(&quot;$&quot;* \(#,##0.00\);_(&quot;$&quot;* &quot;-&quot;??_);_(@_)">
                  <c:v>7114.6468981234584</c:v>
                </c:pt>
                <c:pt idx="187" formatCode="_(&quot;$&quot;* #,##0.00_);_(&quot;$&quot;* \(#,##0.00\);_(&quot;$&quot;* &quot;-&quot;??_);_(@_)">
                  <c:v>7660.1827560310776</c:v>
                </c:pt>
                <c:pt idx="188" formatCode="_(&quot;$&quot;* #,##0.00_);_(&quot;$&quot;* \(#,##0.00\);_(&quot;$&quot;* &quot;-&quot;??_);_(@_)">
                  <c:v>7341.9280204590877</c:v>
                </c:pt>
                <c:pt idx="189" formatCode="_(&quot;$&quot;* #,##0.00_);_(&quot;$&quot;* \(#,##0.00\);_(&quot;$&quot;* &quot;-&quot;??_);_(@_)">
                  <c:v>7575.9170131611336</c:v>
                </c:pt>
                <c:pt idx="190" formatCode="_(&quot;$&quot;* #,##0.00_);_(&quot;$&quot;* \(#,##0.00\);_(&quot;$&quot;* &quot;-&quot;??_);_(@_)">
                  <c:v>7085.9013603625772</c:v>
                </c:pt>
                <c:pt idx="191" formatCode="_(&quot;$&quot;* #,##0.00_);_(&quot;$&quot;* \(#,##0.00\);_(&quot;$&quot;* &quot;-&quot;??_);_(@_)">
                  <c:v>7383.3779933957931</c:v>
                </c:pt>
                <c:pt idx="192" formatCode="_(&quot;$&quot;* #,##0.00_);_(&quot;$&quot;* \(#,##0.00\);_(&quot;$&quot;* &quot;-&quot;??_);_(@_)">
                  <c:v>7914.3002773440949</c:v>
                </c:pt>
                <c:pt idx="193" formatCode="_(&quot;$&quot;* #,##0.00_);_(&quot;$&quot;* \(#,##0.00\);_(&quot;$&quot;* &quot;-&quot;??_);_(@_)">
                  <c:v>7809.9186986315854</c:v>
                </c:pt>
                <c:pt idx="194" formatCode="_(&quot;$&quot;* #,##0.00_);_(&quot;$&quot;* \(#,##0.00\);_(&quot;$&quot;* &quot;-&quot;??_);_(@_)">
                  <c:v>7862.7327745756338</c:v>
                </c:pt>
                <c:pt idx="195" formatCode="_(&quot;$&quot;* #,##0.00_);_(&quot;$&quot;* \(#,##0.00\);_(&quot;$&quot;* &quot;-&quot;??_);_(@_)">
                  <c:v>7923.8982609001214</c:v>
                </c:pt>
                <c:pt idx="196" formatCode="_(&quot;$&quot;* #,##0.00_);_(&quot;$&quot;* \(#,##0.00\);_(&quot;$&quot;* &quot;-&quot;??_);_(@_)">
                  <c:v>8194.1689056993891</c:v>
                </c:pt>
                <c:pt idx="197" formatCode="_(&quot;$&quot;* #,##0.00_);_(&quot;$&quot;* \(#,##0.00\);_(&quot;$&quot;* &quot;-&quot;??_);_(@_)">
                  <c:v>8580.5001118674572</c:v>
                </c:pt>
                <c:pt idx="198" formatCode="_(&quot;$&quot;* #,##0.00_);_(&quot;$&quot;* \(#,##0.00\);_(&quot;$&quot;* &quot;-&quot;??_);_(@_)">
                  <c:v>8536.8499295637503</c:v>
                </c:pt>
                <c:pt idx="199" formatCode="_(&quot;$&quot;* #,##0.00_);_(&quot;$&quot;* \(#,##0.00\);_(&quot;$&quot;* &quot;-&quot;??_);_(@_)">
                  <c:v>8075.2923647319631</c:v>
                </c:pt>
                <c:pt idx="200" formatCode="_(&quot;$&quot;* #,##0.00_);_(&quot;$&quot;* \(#,##0.00\);_(&quot;$&quot;* &quot;-&quot;??_);_(@_)">
                  <c:v>8217.075180554597</c:v>
                </c:pt>
                <c:pt idx="201" formatCode="_(&quot;$&quot;* #,##0.00_);_(&quot;$&quot;* \(#,##0.00\);_(&quot;$&quot;* &quot;-&quot;??_);_(@_)">
                  <c:v>8486.1555140708078</c:v>
                </c:pt>
                <c:pt idx="202" formatCode="_(&quot;$&quot;* #,##0.00_);_(&quot;$&quot;* \(#,##0.00\);_(&quot;$&quot;* &quot;-&quot;??_);_(@_)">
                  <c:v>8600.1556031124455</c:v>
                </c:pt>
                <c:pt idx="203" formatCode="_(&quot;$&quot;* #,##0.00_);_(&quot;$&quot;* \(#,##0.00\);_(&quot;$&quot;* &quot;-&quot;??_);_(@_)">
                  <c:v>8438.2295102949374</c:v>
                </c:pt>
                <c:pt idx="204" formatCode="_(&quot;$&quot;* #,##0.00_);_(&quot;$&quot;* \(#,##0.00\);_(&quot;$&quot;* &quot;-&quot;??_);_(@_)">
                  <c:v>8061.4496125748128</c:v>
                </c:pt>
                <c:pt idx="205" formatCode="_(&quot;$&quot;* #,##0.00_);_(&quot;$&quot;* \(#,##0.00\);_(&quot;$&quot;* &quot;-&quot;??_);_(@_)">
                  <c:v>7809.4023189872469</c:v>
                </c:pt>
                <c:pt idx="206" formatCode="_(&quot;$&quot;* #,##0.00_);_(&quot;$&quot;* \(#,##0.00\);_(&quot;$&quot;* &quot;-&quot;??_);_(@_)">
                  <c:v>7662.7786661936152</c:v>
                </c:pt>
                <c:pt idx="207" formatCode="_(&quot;$&quot;* #,##0.00_);_(&quot;$&quot;* \(#,##0.00\);_(&quot;$&quot;* &quot;-&quot;??_);_(@_)">
                  <c:v>8123.4574392481391</c:v>
                </c:pt>
                <c:pt idx="208" formatCode="_(&quot;$&quot;* #,##0.00_);_(&quot;$&quot;* \(#,##0.00\);_(&quot;$&quot;* &quot;-&quot;??_);_(@_)">
                  <c:v>8183.4266531742987</c:v>
                </c:pt>
                <c:pt idx="209" formatCode="_(&quot;$&quot;* #,##0.00_);_(&quot;$&quot;* \(#,##0.00\);_(&quot;$&quot;* &quot;-&quot;??_);_(@_)">
                  <c:v>8179.07848564293</c:v>
                </c:pt>
                <c:pt idx="210" formatCode="_(&quot;$&quot;* #,##0.00_);_(&quot;$&quot;* \(#,##0.00\);_(&quot;$&quot;* &quot;-&quot;??_);_(@_)">
                  <c:v>7840.865165534874</c:v>
                </c:pt>
                <c:pt idx="211" formatCode="_(&quot;$&quot;* #,##0.00_);_(&quot;$&quot;* \(#,##0.00\);_(&quot;$&quot;* &quot;-&quot;??_);_(@_)">
                  <c:v>7962.2449086358229</c:v>
                </c:pt>
                <c:pt idx="212" formatCode="_(&quot;$&quot;* #,##0.00_);_(&quot;$&quot;* \(#,##0.00\);_(&quot;$&quot;* &quot;-&quot;??_);_(@_)">
                  <c:v>8137.9903791073502</c:v>
                </c:pt>
                <c:pt idx="213" formatCode="_(&quot;$&quot;* #,##0.00_);_(&quot;$&quot;* \(#,##0.00\);_(&quot;$&quot;* &quot;-&quot;??_);_(@_)">
                  <c:v>7912.3517238072664</c:v>
                </c:pt>
                <c:pt idx="214" formatCode="_(&quot;$&quot;* #,##0.00_);_(&quot;$&quot;* \(#,##0.00\);_(&quot;$&quot;* &quot;-&quot;??_);_(@_)">
                  <c:v>7695.3585114167799</c:v>
                </c:pt>
                <c:pt idx="215" formatCode="_(&quot;$&quot;* #,##0.00_);_(&quot;$&quot;* \(#,##0.00\);_(&quot;$&quot;* &quot;-&quot;??_);_(@_)">
                  <c:v>8160.8091029419556</c:v>
                </c:pt>
                <c:pt idx="216" formatCode="_(&quot;$&quot;* #,##0.00_);_(&quot;$&quot;* \(#,##0.00\);_(&quot;$&quot;* &quot;-&quot;??_);_(@_)">
                  <c:v>8389.9890680269818</c:v>
                </c:pt>
                <c:pt idx="217" formatCode="_(&quot;$&quot;* #,##0.00_);_(&quot;$&quot;* \(#,##0.00\);_(&quot;$&quot;* &quot;-&quot;??_);_(@_)">
                  <c:v>8834.7410869237901</c:v>
                </c:pt>
                <c:pt idx="218" formatCode="_(&quot;$&quot;* #,##0.00_);_(&quot;$&quot;* \(#,##0.00\);_(&quot;$&quot;* &quot;-&quot;??_);_(@_)">
                  <c:v>10170.154491026469</c:v>
                </c:pt>
                <c:pt idx="219" formatCode="_(&quot;$&quot;* #,##0.00_);_(&quot;$&quot;* \(#,##0.00\);_(&quot;$&quot;* &quot;-&quot;??_);_(@_)">
                  <c:v>10041.609540923417</c:v>
                </c:pt>
                <c:pt idx="220" formatCode="_(&quot;$&quot;* #,##0.00_);_(&quot;$&quot;* \(#,##0.00\);_(&quot;$&quot;* &quot;-&quot;??_);_(@_)">
                  <c:v>10192.43327527473</c:v>
                </c:pt>
                <c:pt idx="221" formatCode="_(&quot;$&quot;* #,##0.00_);_(&quot;$&quot;* \(#,##0.00\);_(&quot;$&quot;* &quot;-&quot;??_);_(@_)">
                  <c:v>10118.756681880575</c:v>
                </c:pt>
                <c:pt idx="222" formatCode="_(&quot;$&quot;* #,##0.00_);_(&quot;$&quot;* \(#,##0.00\);_(&quot;$&quot;* &quot;-&quot;??_);_(@_)">
                  <c:v>9787.4826740877998</c:v>
                </c:pt>
                <c:pt idx="223" formatCode="_(&quot;$&quot;* #,##0.00_);_(&quot;$&quot;* \(#,##0.00\);_(&quot;$&quot;* &quot;-&quot;??_);_(@_)">
                  <c:v>9265.9371085705461</c:v>
                </c:pt>
                <c:pt idx="224" formatCode="_(&quot;$&quot;* #,##0.00_);_(&quot;$&quot;* \(#,##0.00\);_(&quot;$&quot;* &quot;-&quot;??_);_(@_)">
                  <c:v>9795.2406593787982</c:v>
                </c:pt>
                <c:pt idx="225" formatCode="_(&quot;$&quot;* #,##0.00_);_(&quot;$&quot;* \(#,##0.00\);_(&quot;$&quot;* &quot;-&quot;??_);_(@_)">
                  <c:v>9604.7094322561879</c:v>
                </c:pt>
                <c:pt idx="226" formatCode="_(&quot;$&quot;* #,##0.00_);_(&quot;$&quot;* \(#,##0.00\);_(&quot;$&quot;* &quot;-&quot;??_);_(@_)">
                  <c:v>9440.5800018802292</c:v>
                </c:pt>
                <c:pt idx="227" formatCode="_(&quot;$&quot;* #,##0.00_);_(&quot;$&quot;* \(#,##0.00\);_(&quot;$&quot;* &quot;-&quot;??_);_(@_)">
                  <c:v>9864.9566608720743</c:v>
                </c:pt>
                <c:pt idx="228" formatCode="_(&quot;$&quot;* #,##0.00_);_(&quot;$&quot;* \(#,##0.00\);_(&quot;$&quot;* &quot;-&quot;??_);_(@_)">
                  <c:v>10180.556305934091</c:v>
                </c:pt>
                <c:pt idx="229" formatCode="_(&quot;$&quot;* #,##0.00_);_(&quot;$&quot;* \(#,##0.00\);_(&quot;$&quot;* &quot;-&quot;??_);_(@_)">
                  <c:v>10225.256531786024</c:v>
                </c:pt>
                <c:pt idx="230" formatCode="_(&quot;$&quot;* #,##0.00_);_(&quot;$&quot;* \(#,##0.00\);_(&quot;$&quot;* &quot;-&quot;??_);_(@_)">
                  <c:v>10513.766470129007</c:v>
                </c:pt>
                <c:pt idx="231" formatCode="_(&quot;$&quot;* #,##0.00_);_(&quot;$&quot;* \(#,##0.00\);_(&quot;$&quot;* &quot;-&quot;??_);_(@_)">
                  <c:v>10290.848780150554</c:v>
                </c:pt>
                <c:pt idx="232" formatCode="_(&quot;$&quot;* #,##0.00_);_(&quot;$&quot;* \(#,##0.00\);_(&quot;$&quot;* &quot;-&quot;??_);_(@_)">
                  <c:v>9884.6776930240922</c:v>
                </c:pt>
                <c:pt idx="233" formatCode="_(&quot;$&quot;* #,##0.00_);_(&quot;$&quot;* \(#,##0.00\);_(&quot;$&quot;* &quot;-&quot;??_);_(@_)">
                  <c:v>9914.5300733773111</c:v>
                </c:pt>
                <c:pt idx="234" formatCode="_(&quot;$&quot;* #,##0.00_);_(&quot;$&quot;* \(#,##0.00\);_(&quot;$&quot;* &quot;-&quot;??_);_(@_)">
                  <c:v>10460.484936942588</c:v>
                </c:pt>
                <c:pt idx="235" formatCode="_(&quot;$&quot;* #,##0.00_);_(&quot;$&quot;* \(#,##0.00\);_(&quot;$&quot;* &quot;-&quot;??_);_(@_)">
                  <c:v>10473.302960826415</c:v>
                </c:pt>
                <c:pt idx="236" formatCode="_(&quot;$&quot;* #,##0.00_);_(&quot;$&quot;* \(#,##0.00\);_(&quot;$&quot;* &quot;-&quot;??_);_(@_)">
                  <c:v>10081.910280596199</c:v>
                </c:pt>
                <c:pt idx="237" formatCode="_(&quot;$&quot;* #,##0.00_);_(&quot;$&quot;* \(#,##0.00\);_(&quot;$&quot;* &quot;-&quot;??_);_(@_)">
                  <c:v>9915.2851559435439</c:v>
                </c:pt>
                <c:pt idx="238" formatCode="_(&quot;$&quot;* #,##0.00_);_(&quot;$&quot;* \(#,##0.00\);_(&quot;$&quot;* &quot;-&quot;??_);_(@_)">
                  <c:v>9884.2097421577255</c:v>
                </c:pt>
                <c:pt idx="239" formatCode="_(&quot;$&quot;* #,##0.00_);_(&quot;$&quot;* \(#,##0.00\);_(&quot;$&quot;* &quot;-&quot;??_);_(@_)">
                  <c:v>10124.341866340232</c:v>
                </c:pt>
                <c:pt idx="240" formatCode="_(&quot;$&quot;* #,##0.00_);_(&quot;$&quot;* \(#,##0.00\);_(&quot;$&quot;* &quot;-&quot;??_);_(@_)">
                  <c:v>9777.4363564587402</c:v>
                </c:pt>
                <c:pt idx="241" formatCode="_(&quot;$&quot;* #,##0.00_);_(&quot;$&quot;* \(#,##0.00\);_(&quot;$&quot;* &quot;-&quot;??_);_(@_)">
                  <c:v>9649.5333341767546</c:v>
                </c:pt>
                <c:pt idx="242" formatCode="_(&quot;$&quot;* #,##0.00_);_(&quot;$&quot;* \(#,##0.00\);_(&quot;$&quot;* &quot;-&quot;??_);_(@_)">
                  <c:v>9248.2912987279778</c:v>
                </c:pt>
                <c:pt idx="243" formatCode="_(&quot;$&quot;* #,##0.00_);_(&quot;$&quot;* \(#,##0.00\);_(&quot;$&quot;* &quot;-&quot;??_);_(@_)">
                  <c:v>9903.5299254697184</c:v>
                </c:pt>
                <c:pt idx="244" formatCode="_(&quot;$&quot;* #,##0.00_);_(&quot;$&quot;* \(#,##0.00\);_(&quot;$&quot;* &quot;-&quot;??_);_(@_)">
                  <c:v>9576.602354581988</c:v>
                </c:pt>
                <c:pt idx="245" formatCode="_(&quot;$&quot;* #,##0.00_);_(&quot;$&quot;* \(#,##0.00\);_(&quot;$&quot;* &quot;-&quot;??_);_(@_)">
                  <c:v>10142.054308827652</c:v>
                </c:pt>
                <c:pt idx="246" formatCode="_(&quot;$&quot;* #,##0.00_);_(&quot;$&quot;* \(#,##0.00\);_(&quot;$&quot;* &quot;-&quot;??_);_(@_)">
                  <c:v>10037.921839763381</c:v>
                </c:pt>
                <c:pt idx="247" formatCode="_(&quot;$&quot;* #,##0.00_);_(&quot;$&quot;* \(#,##0.00\);_(&quot;$&quot;* &quot;-&quot;??_);_(@_)">
                  <c:v>10085.797228823361</c:v>
                </c:pt>
                <c:pt idx="248" formatCode="_(&quot;$&quot;* #,##0.00_);_(&quot;$&quot;* \(#,##0.00\);_(&quot;$&quot;* &quot;-&quot;??_);_(@_)">
                  <c:v>10613.896599397725</c:v>
                </c:pt>
                <c:pt idx="249" formatCode="_(&quot;$&quot;* #,##0.00_);_(&quot;$&quot;* \(#,##0.00\);_(&quot;$&quot;* &quot;-&quot;??_);_(@_)">
                  <c:v>10758.622330191742</c:v>
                </c:pt>
                <c:pt idx="250" formatCode="_(&quot;$&quot;* #,##0.00_);_(&quot;$&quot;* \(#,##0.00\);_(&quot;$&quot;* &quot;-&quot;??_);_(@_)">
                  <c:v>10479.809990246733</c:v>
                </c:pt>
                <c:pt idx="251" formatCode="_(&quot;$&quot;* #,##0.00_);_(&quot;$&quot;* \(#,##0.00\);_(&quot;$&quot;* &quot;-&quot;??_);_(@_)">
                  <c:v>10082.666422591125</c:v>
                </c:pt>
                <c:pt idx="252" formatCode="_(&quot;$&quot;* #,##0.00_);_(&quot;$&quot;* \(#,##0.00\);_(&quot;$&quot;* &quot;-&quot;??_);_(@_)">
                  <c:v>10266.600041400474</c:v>
                </c:pt>
                <c:pt idx="253" formatCode="_(&quot;$&quot;* #,##0.00_);_(&quot;$&quot;* \(#,##0.00\);_(&quot;$&quot;* &quot;-&quot;??_);_(@_)">
                  <c:v>10228.662325786187</c:v>
                </c:pt>
                <c:pt idx="254" formatCode="_(&quot;$&quot;* #,##0.00_);_(&quot;$&quot;* \(#,##0.00\);_(&quot;$&quot;* &quot;-&quot;??_);_(@_)">
                  <c:v>9784.3674755674074</c:v>
                </c:pt>
                <c:pt idx="255" formatCode="_(&quot;$&quot;* #,##0.00_);_(&quot;$&quot;* \(#,##0.00\);_(&quot;$&quot;* &quot;-&quot;??_);_(@_)">
                  <c:v>9862.0916797456885</c:v>
                </c:pt>
                <c:pt idx="256" formatCode="_(&quot;$&quot;* #,##0.00_);_(&quot;$&quot;* \(#,##0.00\);_(&quot;$&quot;* &quot;-&quot;??_);_(@_)">
                  <c:v>10056.523772868373</c:v>
                </c:pt>
                <c:pt idx="257" formatCode="_(&quot;$&quot;* #,##0.00_);_(&quot;$&quot;* \(#,##0.00\);_(&quot;$&quot;* &quot;-&quot;??_);_(@_)">
                  <c:v>9962.8229511869085</c:v>
                </c:pt>
                <c:pt idx="258" formatCode="_(&quot;$&quot;* #,##0.00_);_(&quot;$&quot;* \(#,##0.00\);_(&quot;$&quot;* &quot;-&quot;??_);_(@_)">
                  <c:v>10191.40720160582</c:v>
                </c:pt>
                <c:pt idx="259" formatCode="_(&quot;$&quot;* #,##0.00_);_(&quot;$&quot;* \(#,##0.00\);_(&quot;$&quot;* &quot;-&quot;??_);_(@_)">
                  <c:v>10164.07853074099</c:v>
                </c:pt>
                <c:pt idx="260" formatCode="_(&quot;$&quot;* #,##0.00_);_(&quot;$&quot;* \(#,##0.00\);_(&quot;$&quot;* &quot;-&quot;??_);_(@_)">
                  <c:v>10140.930261707437</c:v>
                </c:pt>
                <c:pt idx="261" formatCode="_(&quot;$&quot;* #,##0.00_);_(&quot;$&quot;* \(#,##0.00\);_(&quot;$&quot;* &quot;-&quot;??_);_(@_)">
                  <c:v>10146.477098671225</c:v>
                </c:pt>
                <c:pt idx="262" formatCode="_(&quot;$&quot;* #,##0.00_);_(&quot;$&quot;* \(#,##0.00\);_(&quot;$&quot;* &quot;-&quot;??_);_(@_)">
                  <c:v>10164.256126567612</c:v>
                </c:pt>
                <c:pt idx="263" formatCode="_(&quot;$&quot;* #,##0.00_);_(&quot;$&quot;* \(#,##0.00\);_(&quot;$&quot;* &quot;-&quot;??_);_(@_)">
                  <c:v>9984.1669686030418</c:v>
                </c:pt>
                <c:pt idx="264" formatCode="_(&quot;$&quot;* #,##0.00_);_(&quot;$&quot;* \(#,##0.00\);_(&quot;$&quot;* &quot;-&quot;??_);_(@_)">
                  <c:v>10113.287709697908</c:v>
                </c:pt>
                <c:pt idx="265" formatCode="_(&quot;$&quot;* #,##0.00_);_(&quot;$&quot;* \(#,##0.00\);_(&quot;$&quot;* &quot;-&quot;??_);_(@_)">
                  <c:v>10275.198475565479</c:v>
                </c:pt>
                <c:pt idx="266" formatCode="_(&quot;$&quot;* #,##0.00_);_(&quot;$&quot;* \(#,##0.00\);_(&quot;$&quot;* &quot;-&quot;??_);_(@_)">
                  <c:v>10353.613561918715</c:v>
                </c:pt>
                <c:pt idx="267" formatCode="_(&quot;$&quot;* #,##0.00_);_(&quot;$&quot;* \(#,##0.00\);_(&quot;$&quot;* &quot;-&quot;??_);_(@_)">
                  <c:v>10397.588679827915</c:v>
                </c:pt>
                <c:pt idx="268" formatCode="_(&quot;$&quot;* #,##0.00_);_(&quot;$&quot;* \(#,##0.00\);_(&quot;$&quot;* &quot;-&quot;??_);_(@_)">
                  <c:v>10439.069269495441</c:v>
                </c:pt>
                <c:pt idx="269" formatCode="_(&quot;$&quot;* #,##0.00_);_(&quot;$&quot;* \(#,##0.00\);_(&quot;$&quot;* &quot;-&quot;??_);_(@_)">
                  <c:v>10210.539699601926</c:v>
                </c:pt>
                <c:pt idx="270" formatCode="_(&quot;$&quot;* #,##0.00_);_(&quot;$&quot;* \(#,##0.00\);_(&quot;$&quot;* &quot;-&quot;??_);_(@_)">
                  <c:v>10540.956469728646</c:v>
                </c:pt>
                <c:pt idx="271" formatCode="_(&quot;$&quot;* #,##0.00_);_(&quot;$&quot;* \(#,##0.00\);_(&quot;$&quot;* &quot;-&quot;??_);_(@_)">
                  <c:v>10639.426199036632</c:v>
                </c:pt>
                <c:pt idx="272" formatCode="_(&quot;$&quot;* #,##0.00_);_(&quot;$&quot;* \(#,##0.00\);_(&quot;$&quot;* &quot;-&quot;??_);_(@_)">
                  <c:v>11036.947288537955</c:v>
                </c:pt>
                <c:pt idx="273" formatCode="_(&quot;$&quot;* #,##0.00_);_(&quot;$&quot;* \(#,##0.00\);_(&quot;$&quot;* &quot;-&quot;??_);_(@_)">
                  <c:v>11246.295870706337</c:v>
                </c:pt>
                <c:pt idx="274" formatCode="_(&quot;$&quot;* #,##0.00_);_(&quot;$&quot;* \(#,##0.00\);_(&quot;$&quot;* &quot;-&quot;??_);_(@_)">
                  <c:v>11070.067211138276</c:v>
                </c:pt>
                <c:pt idx="275" formatCode="_(&quot;$&quot;* #,##0.00_);_(&quot;$&quot;* \(#,##0.00\);_(&quot;$&quot;* &quot;-&quot;??_);_(@_)">
                  <c:v>10928.469512509673</c:v>
                </c:pt>
                <c:pt idx="276" formatCode="_(&quot;$&quot;* #,##0.00_);_(&quot;$&quot;* \(#,##0.00\);_(&quot;$&quot;* &quot;-&quot;??_);_(@_)">
                  <c:v>11320.226594257232</c:v>
                </c:pt>
                <c:pt idx="277" formatCode="_(&quot;$&quot;* #,##0.00_);_(&quot;$&quot;* \(#,##0.00\);_(&quot;$&quot;* &quot;-&quot;??_);_(@_)">
                  <c:v>10931.566156980351</c:v>
                </c:pt>
                <c:pt idx="278" formatCode="_(&quot;$&quot;* #,##0.00_);_(&quot;$&quot;* \(#,##0.00\);_(&quot;$&quot;* &quot;-&quot;??_);_(@_)">
                  <c:v>11274.084972341878</c:v>
                </c:pt>
                <c:pt idx="279" formatCode="_(&quot;$&quot;* #,##0.00_);_(&quot;$&quot;* \(#,##0.00\);_(&quot;$&quot;* &quot;-&quot;??_);_(@_)">
                  <c:v>11444.026370762273</c:v>
                </c:pt>
                <c:pt idx="280" formatCode="_(&quot;$&quot;* #,##0.00_);_(&quot;$&quot;* \(#,##0.00\);_(&quot;$&quot;* &quot;-&quot;??_);_(@_)">
                  <c:v>10956.819275712041</c:v>
                </c:pt>
                <c:pt idx="281" formatCode="_(&quot;$&quot;* #,##0.00_);_(&quot;$&quot;* \(#,##0.00\);_(&quot;$&quot;* &quot;-&quot;??_);_(@_)">
                  <c:v>10494.903068735786</c:v>
                </c:pt>
                <c:pt idx="282" formatCode="_(&quot;$&quot;* #,##0.00_);_(&quot;$&quot;* \(#,##0.00\);_(&quot;$&quot;* &quot;-&quot;??_);_(@_)">
                  <c:v>10581.262376577239</c:v>
                </c:pt>
                <c:pt idx="283" formatCode="_(&quot;$&quot;* #,##0.00_);_(&quot;$&quot;* \(#,##0.00\);_(&quot;$&quot;* &quot;-&quot;??_);_(@_)">
                  <c:v>11174.734683641971</c:v>
                </c:pt>
                <c:pt idx="284" formatCode="_(&quot;$&quot;* #,##0.00_);_(&quot;$&quot;* \(#,##0.00\);_(&quot;$&quot;* &quot;-&quot;??_);_(@_)">
                  <c:v>11179.605337546864</c:v>
                </c:pt>
                <c:pt idx="285" formatCode="_(&quot;$&quot;* #,##0.00_);_(&quot;$&quot;* \(#,##0.00\);_(&quot;$&quot;* &quot;-&quot;??_);_(@_)">
                  <c:v>11638.838345857022</c:v>
                </c:pt>
                <c:pt idx="286" formatCode="_(&quot;$&quot;* #,##0.00_);_(&quot;$&quot;* \(#,##0.00\);_(&quot;$&quot;* &quot;-&quot;??_);_(@_)">
                  <c:v>11702.404080496131</c:v>
                </c:pt>
                <c:pt idx="287" formatCode="_(&quot;$&quot;* #,##0.00_);_(&quot;$&quot;* \(#,##0.00\);_(&quot;$&quot;* &quot;-&quot;??_);_(@_)">
                  <c:v>11345.185592999349</c:v>
                </c:pt>
                <c:pt idx="288" formatCode="_(&quot;$&quot;* #,##0.00_);_(&quot;$&quot;* \(#,##0.00\);_(&quot;$&quot;* &quot;-&quot;??_);_(@_)">
                  <c:v>11147.106280827913</c:v>
                </c:pt>
                <c:pt idx="289" formatCode="_(&quot;$&quot;* #,##0.00_);_(&quot;$&quot;* \(#,##0.00\);_(&quot;$&quot;* &quot;-&quot;??_);_(@_)">
                  <c:v>11605.485249889594</c:v>
                </c:pt>
                <c:pt idx="290" formatCode="_(&quot;$&quot;* #,##0.00_);_(&quot;$&quot;* \(#,##0.00\);_(&quot;$&quot;* &quot;-&quot;??_);_(@_)">
                  <c:v>11754.486158571968</c:v>
                </c:pt>
                <c:pt idx="291" formatCode="_(&quot;$&quot;* #,##0.00_);_(&quot;$&quot;* \(#,##0.00\);_(&quot;$&quot;* &quot;-&quot;??_);_(@_)">
                  <c:v>12103.047041726768</c:v>
                </c:pt>
                <c:pt idx="292" formatCode="_(&quot;$&quot;* #,##0.00_);_(&quot;$&quot;* \(#,##0.00\);_(&quot;$&quot;* &quot;-&quot;??_);_(@_)">
                  <c:v>11944.263427712349</c:v>
                </c:pt>
                <c:pt idx="293" formatCode="_(&quot;$&quot;* #,##0.00_);_(&quot;$&quot;* \(#,##0.00\);_(&quot;$&quot;* &quot;-&quot;??_);_(@_)">
                  <c:v>11863.170298603161</c:v>
                </c:pt>
                <c:pt idx="294" formatCode="_(&quot;$&quot;* #,##0.00_);_(&quot;$&quot;* \(#,##0.00\);_(&quot;$&quot;* &quot;-&quot;??_);_(@_)">
                  <c:v>12282.144543533317</c:v>
                </c:pt>
                <c:pt idx="295" formatCode="_(&quot;$&quot;* #,##0.00_);_(&quot;$&quot;* \(#,##0.00\);_(&quot;$&quot;* &quot;-&quot;??_);_(@_)">
                  <c:v>12369.528740855749</c:v>
                </c:pt>
                <c:pt idx="296" formatCode="_(&quot;$&quot;* #,##0.00_);_(&quot;$&quot;* \(#,##0.00\);_(&quot;$&quot;* &quot;-&quot;??_);_(@_)">
                  <c:v>12554.153571549514</c:v>
                </c:pt>
                <c:pt idx="297" formatCode="_(&quot;$&quot;* #,##0.00_);_(&quot;$&quot;* \(#,##0.00\);_(&quot;$&quot;* &quot;-&quot;??_);_(@_)">
                  <c:v>12363.371091211069</c:v>
                </c:pt>
                <c:pt idx="298" formatCode="_(&quot;$&quot;* #,##0.00_);_(&quot;$&quot;* \(#,##0.00\);_(&quot;$&quot;* &quot;-&quot;??_);_(@_)">
                  <c:v>12130.138150724728</c:v>
                </c:pt>
                <c:pt idx="299" formatCode="_(&quot;$&quot;* #,##0.00_);_(&quot;$&quot;* \(#,##0.00\);_(&quot;$&quot;* &quot;-&quot;??_);_(@_)">
                  <c:v>12196.961599571277</c:v>
                </c:pt>
                <c:pt idx="300" formatCode="_(&quot;$&quot;* #,##0.00_);_(&quot;$&quot;* \(#,##0.00\);_(&quot;$&quot;* &quot;-&quot;??_);_(@_)">
                  <c:v>11803.553714946203</c:v>
                </c:pt>
                <c:pt idx="301" formatCode="_(&quot;$&quot;* #,##0.00_);_(&quot;$&quot;* \(#,##0.00\);_(&quot;$&quot;* &quot;-&quot;??_);_(@_)">
                  <c:v>12109.619603927546</c:v>
                </c:pt>
                <c:pt idx="302" formatCode="_(&quot;$&quot;* #,##0.00_);_(&quot;$&quot;* \(#,##0.00\);_(&quot;$&quot;* &quot;-&quot;??_);_(@_)">
                  <c:v>11637.193424767114</c:v>
                </c:pt>
                <c:pt idx="303" formatCode="_(&quot;$&quot;* #,##0.00_);_(&quot;$&quot;* \(#,##0.00\);_(&quot;$&quot;* &quot;-&quot;??_);_(@_)">
                  <c:v>11910.108276926439</c:v>
                </c:pt>
                <c:pt idx="304" formatCode="_(&quot;$&quot;* #,##0.00_);_(&quot;$&quot;* \(#,##0.00\);_(&quot;$&quot;* &quot;-&quot;??_);_(@_)">
                  <c:v>12053.881101188572</c:v>
                </c:pt>
                <c:pt idx="305" formatCode="_(&quot;$&quot;* #,##0.00_);_(&quot;$&quot;* \(#,##0.00\);_(&quot;$&quot;* &quot;-&quot;??_);_(@_)">
                  <c:v>12163.660511380289</c:v>
                </c:pt>
                <c:pt idx="306" formatCode="_(&quot;$&quot;* #,##0.00_);_(&quot;$&quot;* \(#,##0.00\);_(&quot;$&quot;* &quot;-&quot;??_);_(@_)">
                  <c:v>11840.157037703751</c:v>
                </c:pt>
                <c:pt idx="307" formatCode="_(&quot;$&quot;* #,##0.00_);_(&quot;$&quot;* \(#,##0.00\);_(&quot;$&quot;* &quot;-&quot;??_);_(@_)">
                  <c:v>12790.741383694536</c:v>
                </c:pt>
                <c:pt idx="308" formatCode="_(&quot;$&quot;* #,##0.00_);_(&quot;$&quot;* \(#,##0.00\);_(&quot;$&quot;* &quot;-&quot;??_);_(@_)">
                  <c:v>13419.497025599941</c:v>
                </c:pt>
                <c:pt idx="309" formatCode="_(&quot;$&quot;* #,##0.00_);_(&quot;$&quot;* \(#,##0.00\);_(&quot;$&quot;* &quot;-&quot;??_);_(@_)">
                  <c:v>13115.717532470531</c:v>
                </c:pt>
                <c:pt idx="310" formatCode="_(&quot;$&quot;* #,##0.00_);_(&quot;$&quot;* \(#,##0.00\);_(&quot;$&quot;* &quot;-&quot;??_);_(@_)">
                  <c:v>13395.756947117674</c:v>
                </c:pt>
                <c:pt idx="311" formatCode="_(&quot;$&quot;* #,##0.00_);_(&quot;$&quot;* \(#,##0.00\);_(&quot;$&quot;* &quot;-&quot;??_);_(@_)">
                  <c:v>14076.965531077789</c:v>
                </c:pt>
                <c:pt idx="312" formatCode="_(&quot;$&quot;* #,##0.00_);_(&quot;$&quot;* \(#,##0.00\);_(&quot;$&quot;* &quot;-&quot;??_);_(@_)">
                  <c:v>14149.132592197293</c:v>
                </c:pt>
                <c:pt idx="313" formatCode="_(&quot;$&quot;* #,##0.00_);_(&quot;$&quot;* \(#,##0.00\);_(&quot;$&quot;* &quot;-&quot;??_);_(@_)">
                  <c:v>14673.29134405986</c:v>
                </c:pt>
                <c:pt idx="314" formatCode="_(&quot;$&quot;* #,##0.00_);_(&quot;$&quot;* \(#,##0.00\);_(&quot;$&quot;* &quot;-&quot;??_);_(@_)">
                  <c:v>14787.732562690877</c:v>
                </c:pt>
                <c:pt idx="315" formatCode="_(&quot;$&quot;* #,##0.00_);_(&quot;$&quot;* \(#,##0.00\);_(&quot;$&quot;* &quot;-&quot;??_);_(@_)">
                  <c:v>14628.797803019665</c:v>
                </c:pt>
                <c:pt idx="316" formatCode="_(&quot;$&quot;* #,##0.00_);_(&quot;$&quot;* \(#,##0.00\);_(&quot;$&quot;* &quot;-&quot;??_);_(@_)">
                  <c:v>14686.332472898077</c:v>
                </c:pt>
                <c:pt idx="317" formatCode="_(&quot;$&quot;* #,##0.00_);_(&quot;$&quot;* \(#,##0.00\);_(&quot;$&quot;* &quot;-&quot;??_);_(@_)">
                  <c:v>14951.633430162632</c:v>
                </c:pt>
                <c:pt idx="318" formatCode="_(&quot;$&quot;* #,##0.00_);_(&quot;$&quot;* \(#,##0.00\);_(&quot;$&quot;* &quot;-&quot;??_);_(@_)">
                  <c:v>14815.570780665686</c:v>
                </c:pt>
                <c:pt idx="319" formatCode="_(&quot;$&quot;* #,##0.00_);_(&quot;$&quot;* \(#,##0.00\);_(&quot;$&quot;* &quot;-&quot;??_);_(@_)">
                  <c:v>14808.397141594658</c:v>
                </c:pt>
                <c:pt idx="320" formatCode="_(&quot;$&quot;* #,##0.00_);_(&quot;$&quot;* \(#,##0.00\);_(&quot;$&quot;* &quot;-&quot;??_);_(@_)">
                  <c:v>14570.621194812824</c:v>
                </c:pt>
                <c:pt idx="321" formatCode="_(&quot;$&quot;* #,##0.00_);_(&quot;$&quot;* \(#,##0.00\);_(&quot;$&quot;* &quot;-&quot;??_);_(@_)">
                  <c:v>14658.95735678197</c:v>
                </c:pt>
                <c:pt idx="322" formatCode="_(&quot;$&quot;* #,##0.00_);_(&quot;$&quot;* \(#,##0.00\);_(&quot;$&quot;* &quot;-&quot;??_);_(@_)">
                  <c:v>14359.101540946938</c:v>
                </c:pt>
                <c:pt idx="323" formatCode="_(&quot;$&quot;* #,##0.00_);_(&quot;$&quot;* \(#,##0.00\);_(&quot;$&quot;* &quot;-&quot;??_);_(@_)">
                  <c:v>14082.961487338171</c:v>
                </c:pt>
                <c:pt idx="324" formatCode="_(&quot;$&quot;* #,##0.00_);_(&quot;$&quot;* \(#,##0.00\);_(&quot;$&quot;* &quot;-&quot;??_);_(@_)">
                  <c:v>14374.77584042723</c:v>
                </c:pt>
                <c:pt idx="325" formatCode="_(&quot;$&quot;* #,##0.00_);_(&quot;$&quot;* \(#,##0.00\);_(&quot;$&quot;* &quot;-&quot;??_);_(@_)">
                  <c:v>14696.870785388641</c:v>
                </c:pt>
                <c:pt idx="326" formatCode="_(&quot;$&quot;* #,##0.00_);_(&quot;$&quot;* \(#,##0.00\);_(&quot;$&quot;* &quot;-&quot;??_);_(@_)">
                  <c:v>14680.165823998259</c:v>
                </c:pt>
                <c:pt idx="327" formatCode="_(&quot;$&quot;* #,##0.00_);_(&quot;$&quot;* \(#,##0.00\);_(&quot;$&quot;* &quot;-&quot;??_);_(@_)">
                  <c:v>14466.703414062145</c:v>
                </c:pt>
                <c:pt idx="328" formatCode="_(&quot;$&quot;* #,##0.00_);_(&quot;$&quot;* \(#,##0.00\);_(&quot;$&quot;* &quot;-&quot;??_);_(@_)">
                  <c:v>14829.204162087619</c:v>
                </c:pt>
                <c:pt idx="329" formatCode="_(&quot;$&quot;* #,##0.00_);_(&quot;$&quot;* \(#,##0.00\);_(&quot;$&quot;* &quot;-&quot;??_);_(@_)">
                  <c:v>14641.85833289857</c:v>
                </c:pt>
                <c:pt idx="330" formatCode="_(&quot;$&quot;* #,##0.00_);_(&quot;$&quot;* \(#,##0.00\);_(&quot;$&quot;* &quot;-&quot;??_);_(@_)">
                  <c:v>15131.140597962354</c:v>
                </c:pt>
                <c:pt idx="331" formatCode="_(&quot;$&quot;* #,##0.00_);_(&quot;$&quot;* \(#,##0.00\);_(&quot;$&quot;* &quot;-&quot;??_);_(@_)">
                  <c:v>14382.507304055396</c:v>
                </c:pt>
                <c:pt idx="332" formatCode="_(&quot;$&quot;* #,##0.00_);_(&quot;$&quot;* \(#,##0.00\);_(&quot;$&quot;* &quot;-&quot;??_);_(@_)">
                  <c:v>14597.204497065324</c:v>
                </c:pt>
                <c:pt idx="333" formatCode="_(&quot;$&quot;* #,##0.00_);_(&quot;$&quot;* \(#,##0.00\);_(&quot;$&quot;* &quot;-&quot;??_);_(@_)">
                  <c:v>14652.185369379953</c:v>
                </c:pt>
                <c:pt idx="334" formatCode="_(&quot;$&quot;* #,##0.00_);_(&quot;$&quot;* \(#,##0.00\);_(&quot;$&quot;* &quot;-&quot;??_);_(@_)">
                  <c:v>14517.444401366864</c:v>
                </c:pt>
                <c:pt idx="335" formatCode="_(&quot;$&quot;* #,##0.00_);_(&quot;$&quot;* \(#,##0.00\);_(&quot;$&quot;* &quot;-&quot;??_);_(@_)">
                  <c:v>14863.481685776731</c:v>
                </c:pt>
                <c:pt idx="336" formatCode="_(&quot;$&quot;* #,##0.00_);_(&quot;$&quot;* \(#,##0.00\);_(&quot;$&quot;* &quot;-&quot;??_);_(@_)">
                  <c:v>14867.469896436174</c:v>
                </c:pt>
                <c:pt idx="337" formatCode="_(&quot;$&quot;* #,##0.00_);_(&quot;$&quot;* \(#,##0.00\);_(&quot;$&quot;* &quot;-&quot;??_);_(@_)">
                  <c:v>14728.921972252288</c:v>
                </c:pt>
                <c:pt idx="338" formatCode="_(&quot;$&quot;* #,##0.00_);_(&quot;$&quot;* \(#,##0.00\);_(&quot;$&quot;* &quot;-&quot;??_);_(@_)">
                  <c:v>14704.328409016924</c:v>
                </c:pt>
                <c:pt idx="339" formatCode="_(&quot;$&quot;* #,##0.00_);_(&quot;$&quot;* \(#,##0.00\);_(&quot;$&quot;* &quot;-&quot;??_);_(@_)">
                  <c:v>14734.523070851399</c:v>
                </c:pt>
                <c:pt idx="340" formatCode="_(&quot;$&quot;* #,##0.00_);_(&quot;$&quot;* \(#,##0.00\);_(&quot;$&quot;* &quot;-&quot;??_);_(@_)">
                  <c:v>14675.449082713596</c:v>
                </c:pt>
                <c:pt idx="341" formatCode="_(&quot;$&quot;* #,##0.00_);_(&quot;$&quot;* \(#,##0.00\);_(&quot;$&quot;* &quot;-&quot;??_);_(@_)">
                  <c:v>14723.64718981119</c:v>
                </c:pt>
                <c:pt idx="342" formatCode="_(&quot;$&quot;* #,##0.00_);_(&quot;$&quot;* \(#,##0.00\);_(&quot;$&quot;* &quot;-&quot;??_);_(@_)">
                  <c:v>14975.694775886124</c:v>
                </c:pt>
                <c:pt idx="343" formatCode="_(&quot;$&quot;* #,##0.00_);_(&quot;$&quot;* \(#,##0.00\);_(&quot;$&quot;* &quot;-&quot;??_);_(@_)">
                  <c:v>15398.983333618289</c:v>
                </c:pt>
                <c:pt idx="344" formatCode="_(&quot;$&quot;* #,##0.00_);_(&quot;$&quot;* \(#,##0.00\);_(&quot;$&quot;* &quot;-&quot;??_);_(@_)">
                  <c:v>15023.123826070496</c:v>
                </c:pt>
                <c:pt idx="345" formatCode="_(&quot;$&quot;* #,##0.00_);_(&quot;$&quot;* \(#,##0.00\);_(&quot;$&quot;* &quot;-&quot;??_);_(@_)">
                  <c:v>14986.553908678881</c:v>
                </c:pt>
                <c:pt idx="346" formatCode="_(&quot;$&quot;* #,##0.00_);_(&quot;$&quot;* \(#,##0.00\);_(&quot;$&quot;* &quot;-&quot;??_);_(@_)">
                  <c:v>15036.706315207563</c:v>
                </c:pt>
                <c:pt idx="347" formatCode="_(&quot;$&quot;* #,##0.00_);_(&quot;$&quot;* \(#,##0.00\);_(&quot;$&quot;* &quot;-&quot;??_);_(@_)">
                  <c:v>15378.275479791493</c:v>
                </c:pt>
                <c:pt idx="348" formatCode="_(&quot;$&quot;* #,##0.00_);_(&quot;$&quot;* \(#,##0.00\);_(&quot;$&quot;* &quot;-&quot;??_);_(@_)">
                  <c:v>15444.120893374688</c:v>
                </c:pt>
                <c:pt idx="349" formatCode="_(&quot;$&quot;* #,##0.00_);_(&quot;$&quot;* \(#,##0.00\);_(&quot;$&quot;* &quot;-&quot;??_);_(@_)">
                  <c:v>15902.168210375396</c:v>
                </c:pt>
                <c:pt idx="350" formatCode="_(&quot;$&quot;* #,##0.00_);_(&quot;$&quot;* \(#,##0.00\);_(&quot;$&quot;* &quot;-&quot;??_);_(@_)">
                  <c:v>15709.111278045379</c:v>
                </c:pt>
                <c:pt idx="351" formatCode="_(&quot;$&quot;* #,##0.00_);_(&quot;$&quot;* \(#,##0.00\);_(&quot;$&quot;* &quot;-&quot;??_);_(@_)">
                  <c:v>15688.7708435452</c:v>
                </c:pt>
                <c:pt idx="352" formatCode="_(&quot;$&quot;* #,##0.00_);_(&quot;$&quot;* \(#,##0.00\);_(&quot;$&quot;* &quot;-&quot;??_);_(@_)">
                  <c:v>15543.235528502346</c:v>
                </c:pt>
                <c:pt idx="353" formatCode="_(&quot;$&quot;* #,##0.00_);_(&quot;$&quot;* \(#,##0.00\);_(&quot;$&quot;* &quot;-&quot;??_);_(@_)">
                  <c:v>15872.192207253673</c:v>
                </c:pt>
                <c:pt idx="354" formatCode="_(&quot;$&quot;* #,##0.00_);_(&quot;$&quot;* \(#,##0.00\);_(&quot;$&quot;* &quot;-&quot;??_);_(@_)">
                  <c:v>16659.130847002405</c:v>
                </c:pt>
                <c:pt idx="355" formatCode="_(&quot;$&quot;* #,##0.00_);_(&quot;$&quot;* \(#,##0.00\);_(&quot;$&quot;* &quot;-&quot;??_);_(@_)">
                  <c:v>16760.837589826089</c:v>
                </c:pt>
                <c:pt idx="356" formatCode="_(&quot;$&quot;* #,##0.00_);_(&quot;$&quot;* \(#,##0.00\);_(&quot;$&quot;* &quot;-&quot;??_);_(@_)">
                  <c:v>16864.858471657095</c:v>
                </c:pt>
                <c:pt idx="357" formatCode="_(&quot;$&quot;* #,##0.00_);_(&quot;$&quot;* \(#,##0.00\);_(&quot;$&quot;* &quot;-&quot;??_);_(@_)">
                  <c:v>16962.861592205729</c:v>
                </c:pt>
                <c:pt idx="358" formatCode="_(&quot;$&quot;* #,##0.00_);_(&quot;$&quot;* \(#,##0.00\);_(&quot;$&quot;* &quot;-&quot;??_);_(@_)">
                  <c:v>17011.801314313452</c:v>
                </c:pt>
                <c:pt idx="359" formatCode="_(&quot;$&quot;* #,##0.00_);_(&quot;$&quot;* \(#,##0.00\);_(&quot;$&quot;* &quot;-&quot;??_);_(@_)">
                  <c:v>16963.028727546407</c:v>
                </c:pt>
                <c:pt idx="360" formatCode="_(&quot;$&quot;* #,##0.00_);_(&quot;$&quot;* \(#,##0.00\);_(&quot;$&quot;* &quot;-&quot;??_);_(@_)">
                  <c:v>16976.920820062503</c:v>
                </c:pt>
                <c:pt idx="361" formatCode="_(&quot;$&quot;* #,##0.00_);_(&quot;$&quot;* \(#,##0.00\);_(&quot;$&quot;* &quot;-&quot;??_);_(@_)">
                  <c:v>16824.313993657881</c:v>
                </c:pt>
                <c:pt idx="362" formatCode="_(&quot;$&quot;* #,##0.00_);_(&quot;$&quot;* \(#,##0.00\);_(&quot;$&quot;* &quot;-&quot;??_);_(@_)">
                  <c:v>16786.128435165127</c:v>
                </c:pt>
                <c:pt idx="363" formatCode="_(&quot;$&quot;* #,##0.00_);_(&quot;$&quot;* \(#,##0.00\);_(&quot;$&quot;* &quot;-&quot;??_);_(@_)">
                  <c:v>16825.330954519097</c:v>
                </c:pt>
                <c:pt idx="364" formatCode="_(&quot;$&quot;* #,##0.00_);_(&quot;$&quot;* \(#,##0.00\);_(&quot;$&quot;* &quot;-&quot;??_);_(@_)">
                  <c:v>16522.250273913236</c:v>
                </c:pt>
                <c:pt idx="365" formatCode="_(&quot;$&quot;* #,##0.00_);_(&quot;$&quot;* \(#,##0.00\);_(&quot;$&quot;* &quot;-&quot;??_);_(@_)">
                  <c:v>16397.994204068636</c:v>
                </c:pt>
                <c:pt idx="366" formatCode="_(&quot;$&quot;* #,##0.00_);_(&quot;$&quot;* \(#,##0.00\);_(&quot;$&quot;* &quot;-&quot;??_);_(@_)">
                  <c:v>16466.276173757218</c:v>
                </c:pt>
                <c:pt idx="367" formatCode="_(&quot;$&quot;* #,##0.00_);_(&quot;$&quot;* \(#,##0.00\);_(&quot;$&quot;* &quot;-&quot;??_);_(@_)">
                  <c:v>16339.226895803451</c:v>
                </c:pt>
                <c:pt idx="368" formatCode="_(&quot;$&quot;* #,##0.00_);_(&quot;$&quot;* \(#,##0.00\);_(&quot;$&quot;* &quot;-&quot;??_);_(@_)">
                  <c:v>16529.964189259012</c:v>
                </c:pt>
                <c:pt idx="369" formatCode="_(&quot;$&quot;* #,##0.00_);_(&quot;$&quot;* \(#,##0.00\);_(&quot;$&quot;* &quot;-&quot;??_);_(@_)">
                  <c:v>16234.569030234801</c:v>
                </c:pt>
                <c:pt idx="370" formatCode="_(&quot;$&quot;* #,##0.00_);_(&quot;$&quot;* \(#,##0.00\);_(&quot;$&quot;* &quot;-&quot;??_);_(@_)">
                  <c:v>16190.819357492319</c:v>
                </c:pt>
                <c:pt idx="371" formatCode="_(&quot;$&quot;* #,##0.00_);_(&quot;$&quot;* \(#,##0.00\);_(&quot;$&quot;* &quot;-&quot;??_);_(@_)">
                  <c:v>16384.494894312436</c:v>
                </c:pt>
                <c:pt idx="372" formatCode="_(&quot;$&quot;* #,##0.00_);_(&quot;$&quot;* \(#,##0.00\);_(&quot;$&quot;* &quot;-&quot;??_);_(@_)">
                  <c:v>16609.874088687051</c:v>
                </c:pt>
                <c:pt idx="373" formatCode="_(&quot;$&quot;* #,##0.00_);_(&quot;$&quot;* \(#,##0.00\);_(&quot;$&quot;* &quot;-&quot;??_);_(@_)">
                  <c:v>16568.642611996387</c:v>
                </c:pt>
                <c:pt idx="374" formatCode="_(&quot;$&quot;* #,##0.00_);_(&quot;$&quot;* \(#,##0.00\);_(&quot;$&quot;* &quot;-&quot;??_);_(@_)">
                  <c:v>16208.979812387512</c:v>
                </c:pt>
                <c:pt idx="375" formatCode="_(&quot;$&quot;* #,##0.00_);_(&quot;$&quot;* \(#,##0.00\);_(&quot;$&quot;* &quot;-&quot;??_);_(@_)">
                  <c:v>16045.767830207722</c:v>
                </c:pt>
                <c:pt idx="376" formatCode="_(&quot;$&quot;* #,##0.00_);_(&quot;$&quot;* \(#,##0.00\);_(&quot;$&quot;* &quot;-&quot;??_);_(@_)">
                  <c:v>15951.293505842739</c:v>
                </c:pt>
                <c:pt idx="377" formatCode="_(&quot;$&quot;* #,##0.00_);_(&quot;$&quot;* \(#,##0.00\);_(&quot;$&quot;* &quot;-&quot;??_);_(@_)">
                  <c:v>16324.819397231609</c:v>
                </c:pt>
                <c:pt idx="378" formatCode="_(&quot;$&quot;* #,##0.00_);_(&quot;$&quot;* \(#,##0.00\);_(&quot;$&quot;* &quot;-&quot;??_);_(@_)">
                  <c:v>16215.698749274554</c:v>
                </c:pt>
                <c:pt idx="379" formatCode="_(&quot;$&quot;* #,##0.00_);_(&quot;$&quot;* \(#,##0.00\);_(&quot;$&quot;* &quot;-&quot;??_);_(@_)">
                  <c:v>16263.91640266952</c:v>
                </c:pt>
                <c:pt idx="380" formatCode="_(&quot;$&quot;* #,##0.00_);_(&quot;$&quot;* \(#,##0.00\);_(&quot;$&quot;* &quot;-&quot;??_);_(@_)">
                  <c:v>16191.632191802166</c:v>
                </c:pt>
                <c:pt idx="381" formatCode="_(&quot;$&quot;* #,##0.00_);_(&quot;$&quot;* \(#,##0.00\);_(&quot;$&quot;* &quot;-&quot;??_);_(@_)">
                  <c:v>16246.034856170974</c:v>
                </c:pt>
                <c:pt idx="382" formatCode="_(&quot;$&quot;* #,##0.00_);_(&quot;$&quot;* \(#,##0.00\);_(&quot;$&quot;* &quot;-&quot;??_);_(@_)">
                  <c:v>16389.988140872709</c:v>
                </c:pt>
                <c:pt idx="383" formatCode="_(&quot;$&quot;* #,##0.00_);_(&quot;$&quot;* \(#,##0.00\);_(&quot;$&quot;* &quot;-&quot;??_);_(@_)">
                  <c:v>16242.161433835823</c:v>
                </c:pt>
                <c:pt idx="384" formatCode="_(&quot;$&quot;* #,##0.00_);_(&quot;$&quot;* \(#,##0.00\);_(&quot;$&quot;* &quot;-&quot;??_);_(@_)">
                  <c:v>16488.911506262062</c:v>
                </c:pt>
                <c:pt idx="385" formatCode="_(&quot;$&quot;* #,##0.00_);_(&quot;$&quot;* \(#,##0.00\);_(&quot;$&quot;* &quot;-&quot;??_);_(@_)">
                  <c:v>16527.309596096511</c:v>
                </c:pt>
                <c:pt idx="386" formatCode="_(&quot;$&quot;* #,##0.00_);_(&quot;$&quot;* \(#,##0.00\);_(&quot;$&quot;* &quot;-&quot;??_);_(@_)">
                  <c:v>16692.974076253744</c:v>
                </c:pt>
                <c:pt idx="387" formatCode="_(&quot;$&quot;* #,##0.00_);_(&quot;$&quot;* \(#,##0.00\);_(&quot;$&quot;* &quot;-&quot;??_);_(@_)">
                  <c:v>16676.987961650142</c:v>
                </c:pt>
                <c:pt idx="388" formatCode="_(&quot;$&quot;* #,##0.00_);_(&quot;$&quot;* \(#,##0.00\);_(&quot;$&quot;* &quot;-&quot;??_);_(@_)">
                  <c:v>16836.22506921173</c:v>
                </c:pt>
                <c:pt idx="389" formatCode="_(&quot;$&quot;* #,##0.00_);_(&quot;$&quot;* \(#,##0.00\);_(&quot;$&quot;* &quot;-&quot;??_);_(@_)">
                  <c:v>16625.400569387992</c:v>
                </c:pt>
                <c:pt idx="390" formatCode="_(&quot;$&quot;* #,##0.00_);_(&quot;$&quot;* \(#,##0.00\);_(&quot;$&quot;* &quot;-&quot;??_);_(@_)">
                  <c:v>16843.408783768999</c:v>
                </c:pt>
                <c:pt idx="391" formatCode="_(&quot;$&quot;* #,##0.00_);_(&quot;$&quot;* \(#,##0.00\);_(&quot;$&quot;* &quot;-&quot;??_);_(@_)">
                  <c:v>16766.268639786656</c:v>
                </c:pt>
                <c:pt idx="392" formatCode="_(&quot;$&quot;* #,##0.00_);_(&quot;$&quot;* \(#,##0.00\);_(&quot;$&quot;* &quot;-&quot;??_);_(@_)">
                  <c:v>16566.856730522341</c:v>
                </c:pt>
                <c:pt idx="393" formatCode="_(&quot;$&quot;* #,##0.00_);_(&quot;$&quot;* \(#,##0.00\);_(&quot;$&quot;* &quot;-&quot;??_);_(@_)">
                  <c:v>16558.688946938681</c:v>
                </c:pt>
                <c:pt idx="394" formatCode="_(&quot;$&quot;* #,##0.00_);_(&quot;$&quot;* \(#,##0.00\);_(&quot;$&quot;* &quot;-&quot;??_);_(@_)">
                  <c:v>16758.889499806952</c:v>
                </c:pt>
                <c:pt idx="395" formatCode="_(&quot;$&quot;* #,##0.00_);_(&quot;$&quot;* \(#,##0.00\);_(&quot;$&quot;* &quot;-&quot;??_);_(@_)">
                  <c:v>17309.608183977434</c:v>
                </c:pt>
                <c:pt idx="396" formatCode="_(&quot;$&quot;* #,##0.00_);_(&quot;$&quot;* \(#,##0.00\);_(&quot;$&quot;* &quot;-&quot;??_);_(@_)">
                  <c:v>17389.316117443999</c:v>
                </c:pt>
                <c:pt idx="397" formatCode="_(&quot;$&quot;* #,##0.00_);_(&quot;$&quot;* \(#,##0.00\);_(&quot;$&quot;* &quot;-&quot;??_);_(@_)">
                  <c:v>17340.816731155639</c:v>
                </c:pt>
                <c:pt idx="398" formatCode="_(&quot;$&quot;* #,##0.00_);_(&quot;$&quot;* \(#,##0.00\);_(&quot;$&quot;* &quot;-&quot;??_);_(@_)">
                  <c:v>17703.822196873964</c:v>
                </c:pt>
                <c:pt idx="399" formatCode="_(&quot;$&quot;* #,##0.00_);_(&quot;$&quot;* \(#,##0.00\);_(&quot;$&quot;* &quot;-&quot;??_);_(@_)">
                  <c:v>18372.374290651991</c:v>
                </c:pt>
                <c:pt idx="400" formatCode="_(&quot;$&quot;* #,##0.00_);_(&quot;$&quot;* \(#,##0.00\);_(&quot;$&quot;* &quot;-&quot;??_);_(@_)">
                  <c:v>19454.31475285134</c:v>
                </c:pt>
                <c:pt idx="401" formatCode="_(&quot;$&quot;* #,##0.00_);_(&quot;$&quot;* \(#,##0.00\);_(&quot;$&quot;* &quot;-&quot;??_);_(@_)">
                  <c:v>19701.909139847852</c:v>
                </c:pt>
                <c:pt idx="402" formatCode="_(&quot;$&quot;* #,##0.00_);_(&quot;$&quot;* \(#,##0.00\);_(&quot;$&quot;* &quot;-&quot;??_);_(@_)">
                  <c:v>20476.620504853083</c:v>
                </c:pt>
                <c:pt idx="403" formatCode="_(&quot;$&quot;* #,##0.00_);_(&quot;$&quot;* \(#,##0.00\);_(&quot;$&quot;* &quot;-&quot;??_);_(@_)">
                  <c:v>21027.364551109818</c:v>
                </c:pt>
                <c:pt idx="404" formatCode="_(&quot;$&quot;* #,##0.00_);_(&quot;$&quot;* \(#,##0.00\);_(&quot;$&quot;* &quot;-&quot;??_);_(@_)">
                  <c:v>21170.373367403834</c:v>
                </c:pt>
                <c:pt idx="405" formatCode="_(&quot;$&quot;* #,##0.00_);_(&quot;$&quot;* \(#,##0.00\);_(&quot;$&quot;* &quot;-&quot;??_);_(@_)">
                  <c:v>21342.25308224788</c:v>
                </c:pt>
                <c:pt idx="406" formatCode="_(&quot;$&quot;* #,##0.00_);_(&quot;$&quot;* \(#,##0.00\);_(&quot;$&quot;* &quot;-&quot;??_);_(@_)">
                  <c:v>21318.327029400069</c:v>
                </c:pt>
                <c:pt idx="407" formatCode="_(&quot;$&quot;* #,##0.00_);_(&quot;$&quot;* \(#,##0.00\);_(&quot;$&quot;* &quot;-&quot;??_);_(@_)">
                  <c:v>21862.227764378829</c:v>
                </c:pt>
                <c:pt idx="408" formatCode="_(&quot;$&quot;* #,##0.00_);_(&quot;$&quot;* \(#,##0.00\);_(&quot;$&quot;* &quot;-&quot;??_);_(@_)">
                  <c:v>22466.35297236187</c:v>
                </c:pt>
                <c:pt idx="409" formatCode="_(&quot;$&quot;* #,##0.00_);_(&quot;$&quot;* \(#,##0.00\);_(&quot;$&quot;* &quot;-&quot;??_);_(@_)">
                  <c:v>22270.719298401924</c:v>
                </c:pt>
                <c:pt idx="410" formatCode="_(&quot;$&quot;* #,##0.00_);_(&quot;$&quot;* \(#,##0.00\);_(&quot;$&quot;* &quot;-&quot;??_);_(@_)">
                  <c:v>21793.542012815054</c:v>
                </c:pt>
                <c:pt idx="411" formatCode="_(&quot;$&quot;* #,##0.00_);_(&quot;$&quot;* \(#,##0.00\);_(&quot;$&quot;* &quot;-&quot;??_);_(@_)">
                  <c:v>21368.269078154779</c:v>
                </c:pt>
                <c:pt idx="412" formatCode="_(&quot;$&quot;* #,##0.00_);_(&quot;$&quot;* \(#,##0.00\);_(&quot;$&quot;* &quot;-&quot;??_);_(@_)">
                  <c:v>21318.751438223757</c:v>
                </c:pt>
                <c:pt idx="413" formatCode="_(&quot;$&quot;* #,##0.00_);_(&quot;$&quot;* \(#,##0.00\);_(&quot;$&quot;* &quot;-&quot;??_);_(@_)">
                  <c:v>21410.691879609185</c:v>
                </c:pt>
                <c:pt idx="414" formatCode="_(&quot;$&quot;* #,##0.00_);_(&quot;$&quot;* \(#,##0.00\);_(&quot;$&quot;* &quot;-&quot;??_);_(@_)">
                  <c:v>21346.676945062198</c:v>
                </c:pt>
                <c:pt idx="415" formatCode="_(&quot;$&quot;* #,##0.00_);_(&quot;$&quot;* \(#,##0.00\);_(&quot;$&quot;* &quot;-&quot;??_);_(@_)">
                  <c:v>21644.755609809548</c:v>
                </c:pt>
                <c:pt idx="416" formatCode="_(&quot;$&quot;* #,##0.00_);_(&quot;$&quot;* \(#,##0.00\);_(&quot;$&quot;* &quot;-&quot;??_);_(@_)">
                  <c:v>22091.739913326277</c:v>
                </c:pt>
                <c:pt idx="417" formatCode="_(&quot;$&quot;* #,##0.00_);_(&quot;$&quot;* \(#,##0.00\);_(&quot;$&quot;* &quot;-&quot;??_);_(@_)">
                  <c:v>22039.280591159495</c:v>
                </c:pt>
                <c:pt idx="418" formatCode="_(&quot;$&quot;* #,##0.00_);_(&quot;$&quot;* \(#,##0.00\);_(&quot;$&quot;* &quot;-&quot;??_);_(@_)">
                  <c:v>22359.433952556945</c:v>
                </c:pt>
                <c:pt idx="419" formatCode="_(&quot;$&quot;* #,##0.00_);_(&quot;$&quot;* \(#,##0.00\);_(&quot;$&quot;* &quot;-&quot;??_);_(@_)">
                  <c:v>21854.066811678655</c:v>
                </c:pt>
                <c:pt idx="420" formatCode="_(&quot;$&quot;* #,##0.00_);_(&quot;$&quot;* \(#,##0.00\);_(&quot;$&quot;* &quot;-&quot;??_);_(@_)">
                  <c:v>21227.962469472652</c:v>
                </c:pt>
                <c:pt idx="421" formatCode="_(&quot;$&quot;* #,##0.00_);_(&quot;$&quot;* \(#,##0.00\);_(&quot;$&quot;* &quot;-&quot;??_);_(@_)">
                  <c:v>21303.458825886206</c:v>
                </c:pt>
                <c:pt idx="422" formatCode="_(&quot;$&quot;* #,##0.00_);_(&quot;$&quot;* \(#,##0.00\);_(&quot;$&quot;* &quot;-&quot;??_);_(@_)">
                  <c:v>21861.963204055024</c:v>
                </c:pt>
                <c:pt idx="423" formatCode="_(&quot;$&quot;* #,##0.00_);_(&quot;$&quot;* \(#,##0.00\);_(&quot;$&quot;* &quot;-&quot;??_);_(@_)">
                  <c:v>22071.890495988915</c:v>
                </c:pt>
                <c:pt idx="424" formatCode="_(&quot;$&quot;* #,##0.00_);_(&quot;$&quot;* \(#,##0.00\);_(&quot;$&quot;* &quot;-&quot;??_);_(@_)">
                  <c:v>21753.21576216731</c:v>
                </c:pt>
                <c:pt idx="425" formatCode="_(&quot;$&quot;* #,##0.00_);_(&quot;$&quot;* \(#,##0.00\);_(&quot;$&quot;* &quot;-&quot;??_);_(@_)">
                  <c:v>21811.575889614935</c:v>
                </c:pt>
                <c:pt idx="426" formatCode="_(&quot;$&quot;* #,##0.00_);_(&quot;$&quot;* \(#,##0.00\);_(&quot;$&quot;* &quot;-&quot;??_);_(@_)">
                  <c:v>21767.211267188075</c:v>
                </c:pt>
                <c:pt idx="427" formatCode="_(&quot;$&quot;* #,##0.00_);_(&quot;$&quot;* \(#,##0.00\);_(&quot;$&quot;* &quot;-&quot;??_);_(@_)">
                  <c:v>21770.650906047751</c:v>
                </c:pt>
                <c:pt idx="428" formatCode="_(&quot;$&quot;* #,##0.00_);_(&quot;$&quot;* \(#,##0.00\);_(&quot;$&quot;* &quot;-&quot;??_);_(@_)">
                  <c:v>21820.734382082843</c:v>
                </c:pt>
                <c:pt idx="429" formatCode="_(&quot;$&quot;* #,##0.00_);_(&quot;$&quot;* \(#,##0.00\);_(&quot;$&quot;* &quot;-&quot;??_);_(@_)">
                  <c:v>21738.742986070272</c:v>
                </c:pt>
                <c:pt idx="430" formatCode="_(&quot;$&quot;* #,##0.00_);_(&quot;$&quot;* \(#,##0.00\);_(&quot;$&quot;* &quot;-&quot;??_);_(@_)">
                  <c:v>21852.583555162146</c:v>
                </c:pt>
                <c:pt idx="431" formatCode="_(&quot;$&quot;* #,##0.00_);_(&quot;$&quot;* \(#,##0.00\);_(&quot;$&quot;* &quot;-&quot;??_);_(@_)">
                  <c:v>22473.023937582555</c:v>
                </c:pt>
                <c:pt idx="432" formatCode="_(&quot;$&quot;* #,##0.00_);_(&quot;$&quot;* \(#,##0.00\);_(&quot;$&quot;* &quot;-&quot;??_);_(@_)">
                  <c:v>22821.113742284189</c:v>
                </c:pt>
                <c:pt idx="433" formatCode="_(&quot;$&quot;* #,##0.00_);_(&quot;$&quot;* \(#,##0.00\);_(&quot;$&quot;* &quot;-&quot;??_);_(@_)">
                  <c:v>22567.005293886341</c:v>
                </c:pt>
                <c:pt idx="434" formatCode="_(&quot;$&quot;* #,##0.00_);_(&quot;$&quot;* \(#,##0.00\);_(&quot;$&quot;* &quot;-&quot;??_);_(@_)">
                  <c:v>22555.595456142313</c:v>
                </c:pt>
                <c:pt idx="435" formatCode="_(&quot;$&quot;* #,##0.00_);_(&quot;$&quot;* \(#,##0.00\);_(&quot;$&quot;* &quot;-&quot;??_);_(@_)">
                  <c:v>22928.123975008624</c:v>
                </c:pt>
                <c:pt idx="436" formatCode="_(&quot;$&quot;* #,##0.00_);_(&quot;$&quot;* \(#,##0.00\);_(&quot;$&quot;* &quot;-&quot;??_);_(@_)">
                  <c:v>22822.795105381687</c:v>
                </c:pt>
                <c:pt idx="437" formatCode="_(&quot;$&quot;* #,##0.00_);_(&quot;$&quot;* \(#,##0.00\);_(&quot;$&quot;* &quot;-&quot;??_);_(@_)">
                  <c:v>23065.133771633442</c:v>
                </c:pt>
                <c:pt idx="438" formatCode="_(&quot;$&quot;* #,##0.00_);_(&quot;$&quot;* \(#,##0.00\);_(&quot;$&quot;* &quot;-&quot;??_);_(@_)">
                  <c:v>23231.477415678244</c:v>
                </c:pt>
                <c:pt idx="439" formatCode="_(&quot;$&quot;* #,##0.00_);_(&quot;$&quot;* \(#,##0.00\);_(&quot;$&quot;* &quot;-&quot;??_);_(@_)">
                  <c:v>23439.915727096381</c:v>
                </c:pt>
                <c:pt idx="440" formatCode="_(&quot;$&quot;* #,##0.00_);_(&quot;$&quot;* \(#,##0.00\);_(&quot;$&quot;* &quot;-&quot;??_);_(@_)">
                  <c:v>23372.609442758938</c:v>
                </c:pt>
                <c:pt idx="441" formatCode="_(&quot;$&quot;* #,##0.00_);_(&quot;$&quot;* \(#,##0.00\);_(&quot;$&quot;* &quot;-&quot;??_);_(@_)">
                  <c:v>23853.903047210777</c:v>
                </c:pt>
                <c:pt idx="442" formatCode="_(&quot;$&quot;* #,##0.00_);_(&quot;$&quot;* \(#,##0.00\);_(&quot;$&quot;* &quot;-&quot;??_);_(@_)">
                  <c:v>24178.73211670035</c:v>
                </c:pt>
                <c:pt idx="443" formatCode="_(&quot;$&quot;* #,##0.00_);_(&quot;$&quot;* \(#,##0.00\);_(&quot;$&quot;* &quot;-&quot;??_);_(@_)">
                  <c:v>24040.638860485451</c:v>
                </c:pt>
                <c:pt idx="444" formatCode="_(&quot;$&quot;* #,##0.00_);_(&quot;$&quot;* \(#,##0.00\);_(&quot;$&quot;* &quot;-&quot;??_);_(@_)">
                  <c:v>23820.351258479426</c:v>
                </c:pt>
                <c:pt idx="445" formatCode="_(&quot;$&quot;* #,##0.00_);_(&quot;$&quot;* \(#,##0.00\);_(&quot;$&quot;* &quot;-&quot;??_);_(@_)">
                  <c:v>24564.396854229752</c:v>
                </c:pt>
                <c:pt idx="446" formatCode="_(&quot;$&quot;* #,##0.00_);_(&quot;$&quot;* \(#,##0.00\);_(&quot;$&quot;* &quot;-&quot;??_);_(@_)">
                  <c:v>24509.67133589786</c:v>
                </c:pt>
                <c:pt idx="447" formatCode="_(&quot;$&quot;* #,##0.00_);_(&quot;$&quot;* \(#,##0.00\);_(&quot;$&quot;* &quot;-&quot;??_);_(@_)">
                  <c:v>24663.646679507296</c:v>
                </c:pt>
                <c:pt idx="448" formatCode="_(&quot;$&quot;* #,##0.00_);_(&quot;$&quot;* \(#,##0.00\);_(&quot;$&quot;* &quot;-&quot;??_);_(@_)">
                  <c:v>24783.430850781839</c:v>
                </c:pt>
                <c:pt idx="449" formatCode="_(&quot;$&quot;* #,##0.00_);_(&quot;$&quot;* \(#,##0.00\);_(&quot;$&quot;* &quot;-&quot;??_);_(@_)">
                  <c:v>24670.04355281188</c:v>
                </c:pt>
                <c:pt idx="450" formatCode="_(&quot;$&quot;* #,##0.00_);_(&quot;$&quot;* \(#,##0.00\);_(&quot;$&quot;* &quot;-&quot;??_);_(@_)">
                  <c:v>24617.094538383859</c:v>
                </c:pt>
                <c:pt idx="451" formatCode="_(&quot;$&quot;* #,##0.00_);_(&quot;$&quot;* \(#,##0.00\);_(&quot;$&quot;* &quot;-&quot;??_);_(@_)">
                  <c:v>24980.56913921154</c:v>
                </c:pt>
                <c:pt idx="452" formatCode="_(&quot;$&quot;* #,##0.00_);_(&quot;$&quot;* \(#,##0.00\);_(&quot;$&quot;* &quot;-&quot;??_);_(@_)">
                  <c:v>25910.840677712538</c:v>
                </c:pt>
                <c:pt idx="453" formatCode="_(&quot;$&quot;* #,##0.00_);_(&quot;$&quot;* \(#,##0.00\);_(&quot;$&quot;* &quot;-&quot;??_);_(@_)">
                  <c:v>26369.716697683492</c:v>
                </c:pt>
                <c:pt idx="454" formatCode="_(&quot;$&quot;* #,##0.00_);_(&quot;$&quot;* \(#,##0.00\);_(&quot;$&quot;* &quot;-&quot;??_);_(@_)">
                  <c:v>26585.001985155795</c:v>
                </c:pt>
                <c:pt idx="455" formatCode="_(&quot;$&quot;* #,##0.00_);_(&quot;$&quot;* \(#,##0.00\);_(&quot;$&quot;* &quot;-&quot;??_);_(@_)">
                  <c:v>26903.809173576374</c:v>
                </c:pt>
                <c:pt idx="456" formatCode="_(&quot;$&quot;* #,##0.00_);_(&quot;$&quot;* \(#,##0.00\);_(&quot;$&quot;* &quot;-&quot;??_);_(@_)">
                  <c:v>27101.815762590817</c:v>
                </c:pt>
                <c:pt idx="457" formatCode="_(&quot;$&quot;* #,##0.00_);_(&quot;$&quot;* \(#,##0.00\);_(&quot;$&quot;* &quot;-&quot;??_);_(@_)">
                  <c:v>26365.362324781036</c:v>
                </c:pt>
                <c:pt idx="458" formatCode="_(&quot;$&quot;* #,##0.00_);_(&quot;$&quot;* \(#,##0.00\);_(&quot;$&quot;* &quot;-&quot;??_);_(@_)">
                  <c:v>26514.65471919897</c:v>
                </c:pt>
                <c:pt idx="459" formatCode="_(&quot;$&quot;* #,##0.00_);_(&quot;$&quot;* \(#,##0.00\);_(&quot;$&quot;* &quot;-&quot;??_);_(@_)">
                  <c:v>26055.217175478036</c:v>
                </c:pt>
                <c:pt idx="460" formatCode="_(&quot;$&quot;* #,##0.00_);_(&quot;$&quot;* \(#,##0.00\);_(&quot;$&quot;* &quot;-&quot;??_);_(@_)">
                  <c:v>24974.40784020548</c:v>
                </c:pt>
                <c:pt idx="461" formatCode="_(&quot;$&quot;* #,##0.00_);_(&quot;$&quot;* \(#,##0.00\);_(&quot;$&quot;* &quot;-&quot;??_);_(@_)">
                  <c:v>25537.958327244363</c:v>
                </c:pt>
                <c:pt idx="462" formatCode="_(&quot;$&quot;* #,##0.00_);_(&quot;$&quot;* \(#,##0.00\);_(&quot;$&quot;* &quot;-&quot;??_);_(@_)">
                  <c:v>25834.366293134735</c:v>
                </c:pt>
                <c:pt idx="463" formatCode="_(&quot;$&quot;* #,##0.00_);_(&quot;$&quot;* \(#,##0.00\);_(&quot;$&quot;* &quot;-&quot;??_);_(@_)">
                  <c:v>26080.214799304602</c:v>
                </c:pt>
                <c:pt idx="464" formatCode="_(&quot;$&quot;* #,##0.00_);_(&quot;$&quot;* \(#,##0.00\);_(&quot;$&quot;* &quot;-&quot;??_);_(@_)">
                  <c:v>25774.544488096872</c:v>
                </c:pt>
                <c:pt idx="465" formatCode="_(&quot;$&quot;* #,##0.00_);_(&quot;$&quot;* \(#,##0.00\);_(&quot;$&quot;* &quot;-&quot;??_);_(@_)">
                  <c:v>26083.422182396978</c:v>
                </c:pt>
                <c:pt idx="466" formatCode="_(&quot;$&quot;* #,##0.00_);_(&quot;$&quot;* \(#,##0.00\);_(&quot;$&quot;* &quot;-&quot;??_);_(@_)">
                  <c:v>26168.686972919299</c:v>
                </c:pt>
                <c:pt idx="467" formatCode="_(&quot;$&quot;* #,##0.00_);_(&quot;$&quot;* \(#,##0.00\);_(&quot;$&quot;* &quot;-&quot;??_);_(@_)">
                  <c:v>25539.806727150088</c:v>
                </c:pt>
                <c:pt idx="468" formatCode="_(&quot;$&quot;* #,##0.00_);_(&quot;$&quot;* \(#,##0.00\);_(&quot;$&quot;* &quot;-&quot;??_);_(@_)">
                  <c:v>26358.084192699673</c:v>
                </c:pt>
                <c:pt idx="469" formatCode="_(&quot;$&quot;* #,##0.00_);_(&quot;$&quot;* \(#,##0.00\);_(&quot;$&quot;* &quot;-&quot;??_);_(@_)">
                  <c:v>25988.722230207819</c:v>
                </c:pt>
                <c:pt idx="470" formatCode="_(&quot;$&quot;* #,##0.00_);_(&quot;$&quot;* \(#,##0.00\);_(&quot;$&quot;* &quot;-&quot;??_);_(@_)">
                  <c:v>26758.884766703435</c:v>
                </c:pt>
                <c:pt idx="471" formatCode="_(&quot;$&quot;* #,##0.00_);_(&quot;$&quot;* \(#,##0.00\);_(&quot;$&quot;* &quot;-&quot;??_);_(@_)">
                  <c:v>26865.72474398345</c:v>
                </c:pt>
                <c:pt idx="472" formatCode="_(&quot;$&quot;* #,##0.00_);_(&quot;$&quot;* \(#,##0.00\);_(&quot;$&quot;* &quot;-&quot;??_);_(@_)">
                  <c:v>25849.286173357414</c:v>
                </c:pt>
                <c:pt idx="473" formatCode="_(&quot;$&quot;* #,##0.00_);_(&quot;$&quot;* \(#,##0.00\);_(&quot;$&quot;* &quot;-&quot;??_);_(@_)">
                  <c:v>25723.506954781304</c:v>
                </c:pt>
                <c:pt idx="474" formatCode="_(&quot;$&quot;* #,##0.00_);_(&quot;$&quot;* \(#,##0.00\);_(&quot;$&quot;* &quot;-&quot;??_);_(@_)">
                  <c:v>25943.51800404727</c:v>
                </c:pt>
                <c:pt idx="475" formatCode="_(&quot;$&quot;* #,##0.00_);_(&quot;$&quot;* \(#,##0.00\);_(&quot;$&quot;* &quot;-&quot;??_);_(@_)">
                  <c:v>25556.304695394436</c:v>
                </c:pt>
                <c:pt idx="476" formatCode="_(&quot;$&quot;* #,##0.00_);_(&quot;$&quot;* \(#,##0.00\);_(&quot;$&quot;* &quot;-&quot;??_);_(@_)">
                  <c:v>25853.20771401357</c:v>
                </c:pt>
                <c:pt idx="477" formatCode="_(&quot;$&quot;* #,##0.00_);_(&quot;$&quot;* \(#,##0.00\);_(&quot;$&quot;* &quot;-&quot;??_);_(@_)">
                  <c:v>25720.999057887857</c:v>
                </c:pt>
                <c:pt idx="478" formatCode="_(&quot;$&quot;* #,##0.00_);_(&quot;$&quot;* \(#,##0.00\);_(&quot;$&quot;* &quot;-&quot;??_);_(@_)">
                  <c:v>25998.918293295359</c:v>
                </c:pt>
                <c:pt idx="479" formatCode="_(&quot;$&quot;* #,##0.00_);_(&quot;$&quot;* \(#,##0.00\);_(&quot;$&quot;* &quot;-&quot;??_);_(@_)">
                  <c:v>26032.616116890229</c:v>
                </c:pt>
                <c:pt idx="480" formatCode="_(&quot;$&quot;* #,##0.00_);_(&quot;$&quot;* \(#,##0.00\);_(&quot;$&quot;* &quot;-&quot;??_);_(@_)">
                  <c:v>25530.401422686533</c:v>
                </c:pt>
                <c:pt idx="481" formatCode="_(&quot;$&quot;* #,##0.00_);_(&quot;$&quot;* \(#,##0.00\);_(&quot;$&quot;* &quot;-&quot;??_);_(@_)">
                  <c:v>26172.796882616582</c:v>
                </c:pt>
                <c:pt idx="482" formatCode="_(&quot;$&quot;* #,##0.00_);_(&quot;$&quot;* \(#,##0.00\);_(&quot;$&quot;* &quot;-&quot;??_);_(@_)">
                  <c:v>26663.735591572251</c:v>
                </c:pt>
                <c:pt idx="483" formatCode="_(&quot;$&quot;* #,##0.00_);_(&quot;$&quot;* \(#,##0.00\);_(&quot;$&quot;* &quot;-&quot;??_);_(@_)">
                  <c:v>26321.067330458951</c:v>
                </c:pt>
                <c:pt idx="484" formatCode="_(&quot;$&quot;* #,##0.00_);_(&quot;$&quot;* \(#,##0.00\);_(&quot;$&quot;* &quot;-&quot;??_);_(@_)">
                  <c:v>26000.318415839465</c:v>
                </c:pt>
                <c:pt idx="485" formatCode="_(&quot;$&quot;* #,##0.00_);_(&quot;$&quot;* \(#,##0.00\);_(&quot;$&quot;* &quot;-&quot;??_);_(@_)">
                  <c:v>26526.424415904239</c:v>
                </c:pt>
                <c:pt idx="486" formatCode="_(&quot;$&quot;* #,##0.00_);_(&quot;$&quot;* \(#,##0.00\);_(&quot;$&quot;* &quot;-&quot;??_);_(@_)">
                  <c:v>26682.932446360061</c:v>
                </c:pt>
                <c:pt idx="487" formatCode="_(&quot;$&quot;* #,##0.00_);_(&quot;$&quot;* \(#,##0.00\);_(&quot;$&quot;* &quot;-&quot;??_);_(@_)">
                  <c:v>26808.989522125463</c:v>
                </c:pt>
                <c:pt idx="488" formatCode="_(&quot;$&quot;* #,##0.00_);_(&quot;$&quot;* \(#,##0.00\);_(&quot;$&quot;* &quot;-&quot;??_);_(@_)">
                  <c:v>26535.571129387234</c:v>
                </c:pt>
                <c:pt idx="489" formatCode="_(&quot;$&quot;* #,##0.00_);_(&quot;$&quot;* \(#,##0.00\);_(&quot;$&quot;* &quot;-&quot;??_);_(@_)">
                  <c:v>27095.153386762624</c:v>
                </c:pt>
                <c:pt idx="490" formatCode="_(&quot;$&quot;* #,##0.00_);_(&quot;$&quot;* \(#,##0.00\);_(&quot;$&quot;* &quot;-&quot;??_);_(@_)">
                  <c:v>27238.112643374508</c:v>
                </c:pt>
                <c:pt idx="491" formatCode="_(&quot;$&quot;* #,##0.00_);_(&quot;$&quot;* \(#,##0.00\);_(&quot;$&quot;* &quot;-&quot;??_);_(@_)">
                  <c:v>27070.409365911157</c:v>
                </c:pt>
                <c:pt idx="492" formatCode="_(&quot;$&quot;* #,##0.00_);_(&quot;$&quot;* \(#,##0.00\);_(&quot;$&quot;* &quot;-&quot;??_);_(@_)">
                  <c:v>26868.580863009669</c:v>
                </c:pt>
                <c:pt idx="493" formatCode="_(&quot;$&quot;* #,##0.00_);_(&quot;$&quot;* \(#,##0.00\);_(&quot;$&quot;* &quot;-&quot;??_);_(@_)">
                  <c:v>27079.528601791204</c:v>
                </c:pt>
                <c:pt idx="494" formatCode="_(&quot;$&quot;* #,##0.00_);_(&quot;$&quot;* \(#,##0.00\);_(&quot;$&quot;* &quot;-&quot;??_);_(@_)">
                  <c:v>26865.102375533632</c:v>
                </c:pt>
                <c:pt idx="495" formatCode="_(&quot;$&quot;* #,##0.00_);_(&quot;$&quot;* \(#,##0.00\);_(&quot;$&quot;* &quot;-&quot;??_);_(@_)">
                  <c:v>27349.466688138244</c:v>
                </c:pt>
                <c:pt idx="496" formatCode="_(&quot;$&quot;* #,##0.00_);_(&quot;$&quot;* \(#,##0.00\);_(&quot;$&quot;* &quot;-&quot;??_);_(@_)">
                  <c:v>27469.942194559015</c:v>
                </c:pt>
                <c:pt idx="497" formatCode="_(&quot;$&quot;* #,##0.00_);_(&quot;$&quot;* \(#,##0.00\);_(&quot;$&quot;* &quot;-&quot;??_);_(@_)">
                  <c:v>27590.551315065924</c:v>
                </c:pt>
                <c:pt idx="498" formatCode="_(&quot;$&quot;* #,##0.00_);_(&quot;$&quot;* \(#,##0.00\);_(&quot;$&quot;* &quot;-&quot;??_);_(@_)">
                  <c:v>28028.632501181259</c:v>
                </c:pt>
                <c:pt idx="499" formatCode="_(&quot;$&quot;* #,##0.00_);_(&quot;$&quot;* \(#,##0.00\);_(&quot;$&quot;* &quot;-&quot;??_);_(@_)">
                  <c:v>27817.769067093181</c:v>
                </c:pt>
                <c:pt idx="500" formatCode="_(&quot;$&quot;* #,##0.00_);_(&quot;$&quot;* \(#,##0.00\);_(&quot;$&quot;* &quot;-&quot;??_);_(@_)">
                  <c:v>27822.736483223449</c:v>
                </c:pt>
                <c:pt idx="501" formatCode="_(&quot;$&quot;* #,##0.00_);_(&quot;$&quot;* \(#,##0.00\);_(&quot;$&quot;* &quot;-&quot;??_);_(@_)">
                  <c:v>27795.659968923635</c:v>
                </c:pt>
                <c:pt idx="502" formatCode="_(&quot;$&quot;* #,##0.00_);_(&quot;$&quot;* \(#,##0.00\);_(&quot;$&quot;* &quot;-&quot;??_);_(@_)">
                  <c:v>27732.560585732015</c:v>
                </c:pt>
                <c:pt idx="503" formatCode="_(&quot;$&quot;* #,##0.00_);_(&quot;$&quot;* \(#,##0.00\);_(&quot;$&quot;* &quot;-&quot;??_);_(@_)">
                  <c:v>28111.343712105176</c:v>
                </c:pt>
                <c:pt idx="504" formatCode="_(&quot;$&quot;* #,##0.00_);_(&quot;$&quot;* \(#,##0.00\);_(&quot;$&quot;* &quot;-&quot;??_);_(@_)">
                  <c:v>27956.574499092134</c:v>
                </c:pt>
                <c:pt idx="505" formatCode="_(&quot;$&quot;* #,##0.00_);_(&quot;$&quot;* \(#,##0.00\);_(&quot;$&quot;* &quot;-&quot;??_);_(@_)">
                  <c:v>28034.71825156796</c:v>
                </c:pt>
                <c:pt idx="506" formatCode="_(&quot;$&quot;* #,##0.00_);_(&quot;$&quot;* \(#,##0.00\);_(&quot;$&quot;* &quot;-&quot;??_);_(@_)">
                  <c:v>28606.553032582931</c:v>
                </c:pt>
                <c:pt idx="507" formatCode="_(&quot;$&quot;* #,##0.00_);_(&quot;$&quot;* \(#,##0.00\);_(&quot;$&quot;* &quot;-&quot;??_);_(@_)">
                  <c:v>28757.449957562581</c:v>
                </c:pt>
                <c:pt idx="508" formatCode="_(&quot;$&quot;* #,##0.00_);_(&quot;$&quot;* \(#,##0.00\);_(&quot;$&quot;* &quot;-&quot;??_);_(@_)">
                  <c:v>28753.951692228824</c:v>
                </c:pt>
                <c:pt idx="509" formatCode="_(&quot;$&quot;* #,##0.00_);_(&quot;$&quot;* \(#,##0.00\);_(&quot;$&quot;* &quot;-&quot;??_);_(@_)">
                  <c:v>28761.403056814768</c:v>
                </c:pt>
                <c:pt idx="510" formatCode="_(&quot;$&quot;* #,##0.00_);_(&quot;$&quot;* \(#,##0.00\);_(&quot;$&quot;* &quot;-&quot;??_);_(@_)">
                  <c:v>28632.689491753677</c:v>
                </c:pt>
                <c:pt idx="511" formatCode="_(&quot;$&quot;* #,##0.00_);_(&quot;$&quot;* \(#,##0.00\);_(&quot;$&quot;* &quot;-&quot;??_);_(@_)">
                  <c:v>29303.688867684254</c:v>
                </c:pt>
                <c:pt idx="512" formatCode="_(&quot;$&quot;* #,##0.00_);_(&quot;$&quot;* \(#,##0.00\);_(&quot;$&quot;* &quot;-&quot;??_);_(@_)">
                  <c:v>29426.715976645282</c:v>
                </c:pt>
                <c:pt idx="513" formatCode="_(&quot;$&quot;* #,##0.00_);_(&quot;$&quot;* \(#,##0.00\);_(&quot;$&quot;* &quot;-&quot;??_);_(@_)">
                  <c:v>29708.69052110667</c:v>
                </c:pt>
                <c:pt idx="514" formatCode="_(&quot;$&quot;* #,##0.00_);_(&quot;$&quot;* \(#,##0.00\);_(&quot;$&quot;* &quot;-&quot;??_);_(@_)">
                  <c:v>29282.952962058647</c:v>
                </c:pt>
                <c:pt idx="515" formatCode="_(&quot;$&quot;* #,##0.00_);_(&quot;$&quot;* \(#,##0.00\);_(&quot;$&quot;* &quot;-&quot;??_);_(@_)">
                  <c:v>29482.712997169561</c:v>
                </c:pt>
                <c:pt idx="516" formatCode="_(&quot;$&quot;* #,##0.00_);_(&quot;$&quot;* \(#,##0.00\);_(&quot;$&quot;* &quot;-&quot;??_);_(@_)">
                  <c:v>29369.615297016819</c:v>
                </c:pt>
                <c:pt idx="517" formatCode="_(&quot;$&quot;* #,##0.00_);_(&quot;$&quot;* \(#,##0.00\);_(&quot;$&quot;* &quot;-&quot;??_);_(@_)">
                  <c:v>29689.073836669591</c:v>
                </c:pt>
                <c:pt idx="518" formatCode="_(&quot;$&quot;* #,##0.00_);_(&quot;$&quot;* \(#,##0.00\);_(&quot;$&quot;* &quot;-&quot;??_);_(@_)">
                  <c:v>29787.578673678694</c:v>
                </c:pt>
                <c:pt idx="519" formatCode="_(&quot;$&quot;* #,##0.00_);_(&quot;$&quot;* \(#,##0.00\);_(&quot;$&quot;* &quot;-&quot;??_);_(@_)">
                  <c:v>29993.516958835797</c:v>
                </c:pt>
                <c:pt idx="520" formatCode="_(&quot;$&quot;* #,##0.00_);_(&quot;$&quot;* \(#,##0.00\);_(&quot;$&quot;* &quot;-&quot;??_);_(@_)">
                  <c:v>29766.484657740435</c:v>
                </c:pt>
                <c:pt idx="521" formatCode="_(&quot;$&quot;* #,##0.00_);_(&quot;$&quot;* \(#,##0.00\);_(&quot;$&quot;* &quot;-&quot;??_);_(@_)">
                  <c:v>30569.846240742081</c:v>
                </c:pt>
                <c:pt idx="522" formatCode="_(&quot;$&quot;* #,##0.00_);_(&quot;$&quot;* \(#,##0.00\);_(&quot;$&quot;* &quot;-&quot;??_);_(@_)">
                  <c:v>30240.618343410482</c:v>
                </c:pt>
                <c:pt idx="523" formatCode="_(&quot;$&quot;* #,##0.00_);_(&quot;$&quot;* \(#,##0.00\);_(&quot;$&quot;* &quot;-&quot;??_);_(@_)">
                  <c:v>30331.786168846815</c:v>
                </c:pt>
                <c:pt idx="524" formatCode="_(&quot;$&quot;* #,##0.00_);_(&quot;$&quot;* \(#,##0.00\);_(&quot;$&quot;* &quot;-&quot;??_);_(@_)">
                  <c:v>30434.96683353866</c:v>
                </c:pt>
                <c:pt idx="525" formatCode="_(&quot;$&quot;* #,##0.00_);_(&quot;$&quot;* \(#,##0.00\);_(&quot;$&quot;* &quot;-&quot;??_);_(@_)">
                  <c:v>30930.078737232245</c:v>
                </c:pt>
                <c:pt idx="526" formatCode="_(&quot;$&quot;* #,##0.00_);_(&quot;$&quot;* \(#,##0.00\);_(&quot;$&quot;* &quot;-&quot;??_);_(@_)">
                  <c:v>30509.996465135242</c:v>
                </c:pt>
                <c:pt idx="527" formatCode="_(&quot;$&quot;* #,##0.00_);_(&quot;$&quot;* \(#,##0.00\);_(&quot;$&quot;* &quot;-&quot;??_);_(@_)">
                  <c:v>31026.049369157423</c:v>
                </c:pt>
                <c:pt idx="528" formatCode="_(&quot;$&quot;* #,##0.00_);_(&quot;$&quot;* \(#,##0.00\);_(&quot;$&quot;* &quot;-&quot;??_);_(@_)">
                  <c:v>30719.098975290075</c:v>
                </c:pt>
                <c:pt idx="529" formatCode="_(&quot;$&quot;* #,##0.00_);_(&quot;$&quot;* \(#,##0.00\);_(&quot;$&quot;* &quot;-&quot;??_);_(@_)">
                  <c:v>30006.891747186914</c:v>
                </c:pt>
                <c:pt idx="530" formatCode="_(&quot;$&quot;* #,##0.00_);_(&quot;$&quot;* \(#,##0.00\);_(&quot;$&quot;* &quot;-&quot;??_);_(@_)">
                  <c:v>30736.356118346343</c:v>
                </c:pt>
                <c:pt idx="531" formatCode="_(&quot;$&quot;* #,##0.00_);_(&quot;$&quot;* \(#,##0.00\);_(&quot;$&quot;* &quot;-&quot;??_);_(@_)">
                  <c:v>30692.698040015013</c:v>
                </c:pt>
                <c:pt idx="532" formatCode="_(&quot;$&quot;* #,##0.00_);_(&quot;$&quot;* \(#,##0.00\);_(&quot;$&quot;* &quot;-&quot;??_);_(@_)">
                  <c:v>30231.166952527226</c:v>
                </c:pt>
                <c:pt idx="533" formatCode="_(&quot;$&quot;* #,##0.00_);_(&quot;$&quot;* \(#,##0.00\);_(&quot;$&quot;* &quot;-&quot;??_);_(@_)">
                  <c:v>30239.50609233564</c:v>
                </c:pt>
                <c:pt idx="534" formatCode="_(&quot;$&quot;* #,##0.00_);_(&quot;$&quot;* \(#,##0.00\);_(&quot;$&quot;* &quot;-&quot;??_);_(@_)">
                  <c:v>30412.529536445094</c:v>
                </c:pt>
                <c:pt idx="535" formatCode="_(&quot;$&quot;* #,##0.00_);_(&quot;$&quot;* \(#,##0.00\);_(&quot;$&quot;* &quot;-&quot;??_);_(@_)">
                  <c:v>30580.75384366684</c:v>
                </c:pt>
                <c:pt idx="536" formatCode="_(&quot;$&quot;* #,##0.00_);_(&quot;$&quot;* \(#,##0.00\);_(&quot;$&quot;* &quot;-&quot;??_);_(@_)">
                  <c:v>30516.731720216983</c:v>
                </c:pt>
                <c:pt idx="537" formatCode="_(&quot;$&quot;* #,##0.00_);_(&quot;$&quot;* \(#,##0.00\);_(&quot;$&quot;* &quot;-&quot;??_);_(@_)">
                  <c:v>30521.198131921927</c:v>
                </c:pt>
                <c:pt idx="538" formatCode="_(&quot;$&quot;* #,##0.00_);_(&quot;$&quot;* \(#,##0.00\);_(&quot;$&quot;* &quot;-&quot;??_);_(@_)">
                  <c:v>30406.35018907475</c:v>
                </c:pt>
                <c:pt idx="539" formatCode="_(&quot;$&quot;* #,##0.00_);_(&quot;$&quot;* \(#,##0.00\);_(&quot;$&quot;* &quot;-&quot;??_);_(@_)">
                  <c:v>30431.128179443993</c:v>
                </c:pt>
                <c:pt idx="540" formatCode="_(&quot;$&quot;* #,##0.00_);_(&quot;$&quot;* \(#,##0.00\);_(&quot;$&quot;* &quot;-&quot;??_);_(@_)">
                  <c:v>31520.586011662414</c:v>
                </c:pt>
                <c:pt idx="541" formatCode="_(&quot;$&quot;* #,##0.00_);_(&quot;$&quot;* \(#,##0.00\);_(&quot;$&quot;* &quot;-&quot;??_);_(@_)">
                  <c:v>31381.208446503348</c:v>
                </c:pt>
                <c:pt idx="542" formatCode="_(&quot;$&quot;* #,##0.00_);_(&quot;$&quot;* \(#,##0.00\);_(&quot;$&quot;* &quot;-&quot;??_);_(@_)">
                  <c:v>31538.636078725514</c:v>
                </c:pt>
                <c:pt idx="543" formatCode="_(&quot;$&quot;* #,##0.00_);_(&quot;$&quot;* \(#,##0.00\);_(&quot;$&quot;* &quot;-&quot;??_);_(@_)">
                  <c:v>31788.315199980578</c:v>
                </c:pt>
                <c:pt idx="544" formatCode="_(&quot;$&quot;* #,##0.00_);_(&quot;$&quot;* \(#,##0.00\);_(&quot;$&quot;* &quot;-&quot;??_);_(@_)">
                  <c:v>32111.041037803017</c:v>
                </c:pt>
                <c:pt idx="545" formatCode="_(&quot;$&quot;* #,##0.00_);_(&quot;$&quot;* \(#,##0.00\);_(&quot;$&quot;* &quot;-&quot;??_);_(@_)">
                  <c:v>32036.975093503799</c:v>
                </c:pt>
                <c:pt idx="546" formatCode="_(&quot;$&quot;* #,##0.00_);_(&quot;$&quot;* \(#,##0.00\);_(&quot;$&quot;* &quot;-&quot;??_);_(@_)">
                  <c:v>31791.501581091172</c:v>
                </c:pt>
                <c:pt idx="547" formatCode="_(&quot;$&quot;* #,##0.00_);_(&quot;$&quot;* \(#,##0.00\);_(&quot;$&quot;* &quot;-&quot;??_);_(@_)">
                  <c:v>31989.981505186119</c:v>
                </c:pt>
                <c:pt idx="548" formatCode="_(&quot;$&quot;* #,##0.00_);_(&quot;$&quot;* \(#,##0.00\);_(&quot;$&quot;* &quot;-&quot;??_);_(@_)">
                  <c:v>32630.51279388179</c:v>
                </c:pt>
                <c:pt idx="549" formatCode="_(&quot;$&quot;* #,##0.00_);_(&quot;$&quot;* \(#,##0.00\);_(&quot;$&quot;* &quot;-&quot;??_);_(@_)">
                  <c:v>32352.91037721578</c:v>
                </c:pt>
                <c:pt idx="550" formatCode="_(&quot;$&quot;* #,##0.00_);_(&quot;$&quot;* \(#,##0.00\);_(&quot;$&quot;* &quot;-&quot;??_);_(@_)">
                  <c:v>32157.63799531724</c:v>
                </c:pt>
                <c:pt idx="551" formatCode="_(&quot;$&quot;* #,##0.00_);_(&quot;$&quot;* \(#,##0.00\);_(&quot;$&quot;* &quot;-&quot;??_);_(@_)">
                  <c:v>31660.232335908615</c:v>
                </c:pt>
                <c:pt idx="552" formatCode="_(&quot;$&quot;* #,##0.00_);_(&quot;$&quot;* \(#,##0.00\);_(&quot;$&quot;* &quot;-&quot;??_);_(@_)">
                  <c:v>31911.022957384608</c:v>
                </c:pt>
                <c:pt idx="553" formatCode="_(&quot;$&quot;* #,##0.00_);_(&quot;$&quot;* \(#,##0.00\);_(&quot;$&quot;* &quot;-&quot;??_);_(@_)">
                  <c:v>32270.992771882677</c:v>
                </c:pt>
                <c:pt idx="554" formatCode="_(&quot;$&quot;* #,##0.00_);_(&quot;$&quot;* \(#,##0.00\);_(&quot;$&quot;* &quot;-&quot;??_);_(@_)">
                  <c:v>32289.122884379442</c:v>
                </c:pt>
                <c:pt idx="555" formatCode="_(&quot;$&quot;* #,##0.00_);_(&quot;$&quot;* \(#,##0.00\);_(&quot;$&quot;* &quot;-&quot;??_);_(@_)">
                  <c:v>32750.794576229957</c:v>
                </c:pt>
                <c:pt idx="556" formatCode="_(&quot;$&quot;* #,##0.00_);_(&quot;$&quot;* \(#,##0.00\);_(&quot;$&quot;* &quot;-&quot;??_);_(@_)">
                  <c:v>32865.682702598802</c:v>
                </c:pt>
                <c:pt idx="557" formatCode="_(&quot;$&quot;* #,##0.00_);_(&quot;$&quot;* \(#,##0.00\);_(&quot;$&quot;* &quot;-&quot;??_);_(@_)">
                  <c:v>32532.577345617639</c:v>
                </c:pt>
                <c:pt idx="558" formatCode="_(&quot;$&quot;* #,##0.00_);_(&quot;$&quot;* \(#,##0.00\);_(&quot;$&quot;* &quot;-&quot;??_);_(@_)">
                  <c:v>31541.758030167868</c:v>
                </c:pt>
                <c:pt idx="559" formatCode="_(&quot;$&quot;* #,##0.00_);_(&quot;$&quot;* \(#,##0.00\);_(&quot;$&quot;* &quot;-&quot;??_);_(@_)">
                  <c:v>32242.155131460902</c:v>
                </c:pt>
                <c:pt idx="560" formatCode="_(&quot;$&quot;* #,##0.00_);_(&quot;$&quot;* \(#,##0.00\);_(&quot;$&quot;* &quot;-&quot;??_);_(@_)">
                  <c:v>32652.157856692123</c:v>
                </c:pt>
                <c:pt idx="561" formatCode="_(&quot;$&quot;* #,##0.00_);_(&quot;$&quot;* \(#,##0.00\);_(&quot;$&quot;* &quot;-&quot;??_);_(@_)">
                  <c:v>32448.765034052347</c:v>
                </c:pt>
                <c:pt idx="562" formatCode="_(&quot;$&quot;* #,##0.00_);_(&quot;$&quot;* \(#,##0.00\);_(&quot;$&quot;* &quot;-&quot;??_);_(@_)">
                  <c:v>33176.581787299045</c:v>
                </c:pt>
                <c:pt idx="563" formatCode="_(&quot;$&quot;* #,##0.00_);_(&quot;$&quot;* \(#,##0.00\);_(&quot;$&quot;* &quot;-&quot;??_);_(@_)">
                  <c:v>32877.152567641424</c:v>
                </c:pt>
                <c:pt idx="564" formatCode="_(&quot;$&quot;* #,##0.00_);_(&quot;$&quot;* \(#,##0.00\);_(&quot;$&quot;* &quot;-&quot;??_);_(@_)">
                  <c:v>32152.855831926896</c:v>
                </c:pt>
                <c:pt idx="565" formatCode="_(&quot;$&quot;* #,##0.00_);_(&quot;$&quot;* \(#,##0.00\);_(&quot;$&quot;* &quot;-&quot;??_);_(@_)">
                  <c:v>32905.540611726945</c:v>
                </c:pt>
                <c:pt idx="566" formatCode="_(&quot;$&quot;* #,##0.00_);_(&quot;$&quot;* \(#,##0.00\);_(&quot;$&quot;* &quot;-&quot;??_);_(@_)">
                  <c:v>33403.139184209038</c:v>
                </c:pt>
                <c:pt idx="567" formatCode="_(&quot;$&quot;* #,##0.00_);_(&quot;$&quot;* \(#,##0.00\);_(&quot;$&quot;* &quot;-&quot;??_);_(@_)">
                  <c:v>33640.020292095607</c:v>
                </c:pt>
                <c:pt idx="568" formatCode="_(&quot;$&quot;* #,##0.00_);_(&quot;$&quot;* \(#,##0.00\);_(&quot;$&quot;* &quot;-&quot;??_);_(@_)">
                  <c:v>33708.2076518053</c:v>
                </c:pt>
                <c:pt idx="569" formatCode="_(&quot;$&quot;* #,##0.00_);_(&quot;$&quot;* \(#,##0.00\);_(&quot;$&quot;* &quot;-&quot;??_);_(@_)">
                  <c:v>34097.124618081303</c:v>
                </c:pt>
                <c:pt idx="570" formatCode="_(&quot;$&quot;* #,##0.00_);_(&quot;$&quot;* \(#,##0.00\);_(&quot;$&quot;* &quot;-&quot;??_);_(@_)">
                  <c:v>34129.679461979111</c:v>
                </c:pt>
                <c:pt idx="571" formatCode="_(&quot;$&quot;* #,##0.00_);_(&quot;$&quot;* \(#,##0.00\);_(&quot;$&quot;* &quot;-&quot;??_);_(@_)">
                  <c:v>33217.282449386577</c:v>
                </c:pt>
                <c:pt idx="572" formatCode="_(&quot;$&quot;* #,##0.00_);_(&quot;$&quot;* \(#,##0.00\);_(&quot;$&quot;* &quot;-&quot;??_);_(@_)">
                  <c:v>32958.695731417603</c:v>
                </c:pt>
                <c:pt idx="573" formatCode="_(&quot;$&quot;* #,##0.00_);_(&quot;$&quot;* \(#,##0.00\);_(&quot;$&quot;* &quot;-&quot;??_);_(@_)">
                  <c:v>33411.424148453872</c:v>
                </c:pt>
                <c:pt idx="574" formatCode="_(&quot;$&quot;* #,##0.00_);_(&quot;$&quot;* \(#,##0.00\);_(&quot;$&quot;* &quot;-&quot;??_);_(@_)">
                  <c:v>33052.346218049133</c:v>
                </c:pt>
                <c:pt idx="575" formatCode="_(&quot;$&quot;* #,##0.00_);_(&quot;$&quot;* \(#,##0.00\);_(&quot;$&quot;* &quot;-&quot;??_);_(@_)">
                  <c:v>33423.453144772662</c:v>
                </c:pt>
                <c:pt idx="576" formatCode="_(&quot;$&quot;* #,##0.00_);_(&quot;$&quot;* \(#,##0.00\);_(&quot;$&quot;* &quot;-&quot;??_);_(@_)">
                  <c:v>33390.359163970817</c:v>
                </c:pt>
                <c:pt idx="577" formatCode="_(&quot;$&quot;* #,##0.00_);_(&quot;$&quot;* \(#,##0.00\);_(&quot;$&quot;* &quot;-&quot;??_);_(@_)">
                  <c:v>33310.050195606425</c:v>
                </c:pt>
                <c:pt idx="578" formatCode="_(&quot;$&quot;* #,##0.00_);_(&quot;$&quot;* \(#,##0.00\);_(&quot;$&quot;* &quot;-&quot;??_);_(@_)">
                  <c:v>33078.030518087493</c:v>
                </c:pt>
                <c:pt idx="579" formatCode="_(&quot;$&quot;* #,##0.00_);_(&quot;$&quot;* \(#,##0.00\);_(&quot;$&quot;* &quot;-&quot;??_);_(@_)">
                  <c:v>33102.1361429381</c:v>
                </c:pt>
                <c:pt idx="580" formatCode="_(&quot;$&quot;* #,##0.00_);_(&quot;$&quot;* \(#,##0.00\);_(&quot;$&quot;* &quot;-&quot;??_);_(@_)">
                  <c:v>33296.641840865763</c:v>
                </c:pt>
                <c:pt idx="581" formatCode="_(&quot;$&quot;* #,##0.00_);_(&quot;$&quot;* \(#,##0.00\);_(&quot;$&quot;* &quot;-&quot;??_);_(@_)">
                  <c:v>32830.315822875651</c:v>
                </c:pt>
                <c:pt idx="582" formatCode="_(&quot;$&quot;* #,##0.00_);_(&quot;$&quot;* \(#,##0.00\);_(&quot;$&quot;* &quot;-&quot;??_);_(@_)">
                  <c:v>32374.008908154916</c:v>
                </c:pt>
                <c:pt idx="583" formatCode="_(&quot;$&quot;* #,##0.00_);_(&quot;$&quot;* \(#,##0.00\);_(&quot;$&quot;* &quot;-&quot;??_);_(@_)">
                  <c:v>33286.131278956207</c:v>
                </c:pt>
                <c:pt idx="584" formatCode="_(&quot;$&quot;* #,##0.00_);_(&quot;$&quot;* \(#,##0.00\);_(&quot;$&quot;* &quot;-&quot;??_);_(@_)">
                  <c:v>33857.573737486127</c:v>
                </c:pt>
                <c:pt idx="585" formatCode="_(&quot;$&quot;* #,##0.00_);_(&quot;$&quot;* \(#,##0.00\);_(&quot;$&quot;* &quot;-&quot;??_);_(@_)">
                  <c:v>32987.506523367272</c:v>
                </c:pt>
                <c:pt idx="586" formatCode="_(&quot;$&quot;* #,##0.00_);_(&quot;$&quot;* \(#,##0.00\);_(&quot;$&quot;* &quot;-&quot;??_);_(@_)">
                  <c:v>33423.983653439078</c:v>
                </c:pt>
                <c:pt idx="587" formatCode="_(&quot;$&quot;* #,##0.00_);_(&quot;$&quot;* \(#,##0.00\);_(&quot;$&quot;* &quot;-&quot;??_);_(@_)">
                  <c:v>33190.044337346524</c:v>
                </c:pt>
                <c:pt idx="588" formatCode="_(&quot;$&quot;* #,##0.00_);_(&quot;$&quot;* \(#,##0.00\);_(&quot;$&quot;* &quot;-&quot;??_);_(@_)">
                  <c:v>33073.253812823983</c:v>
                </c:pt>
                <c:pt idx="589" formatCode="_(&quot;$&quot;* #,##0.00_);_(&quot;$&quot;* \(#,##0.00\);_(&quot;$&quot;* &quot;-&quot;??_);_(@_)">
                  <c:v>33574.244009225848</c:v>
                </c:pt>
                <c:pt idx="590" formatCode="_(&quot;$&quot;* #,##0.00_);_(&quot;$&quot;* \(#,##0.00\);_(&quot;$&quot;* &quot;-&quot;??_);_(@_)">
                  <c:v>33295.260984657696</c:v>
                </c:pt>
                <c:pt idx="591" formatCode="_(&quot;$&quot;* #,##0.00_);_(&quot;$&quot;* \(#,##0.00\);_(&quot;$&quot;* &quot;-&quot;??_);_(@_)">
                  <c:v>34038.734370048929</c:v>
                </c:pt>
                <c:pt idx="592" formatCode="_(&quot;$&quot;* #,##0.00_);_(&quot;$&quot;* \(#,##0.00\);_(&quot;$&quot;* &quot;-&quot;??_);_(@_)">
                  <c:v>35081.932776841131</c:v>
                </c:pt>
                <c:pt idx="593" formatCode="_(&quot;$&quot;* #,##0.00_);_(&quot;$&quot;* \(#,##0.00\);_(&quot;$&quot;* &quot;-&quot;??_);_(@_)">
                  <c:v>34938.741670505588</c:v>
                </c:pt>
                <c:pt idx="594" formatCode="_(&quot;$&quot;* #,##0.00_);_(&quot;$&quot;* \(#,##0.00\);_(&quot;$&quot;* &quot;-&quot;??_);_(@_)">
                  <c:v>34030.991207831641</c:v>
                </c:pt>
                <c:pt idx="595" formatCode="_(&quot;$&quot;* #,##0.00_);_(&quot;$&quot;* \(#,##0.00\);_(&quot;$&quot;* &quot;-&quot;??_);_(@_)">
                  <c:v>34263.345670327864</c:v>
                </c:pt>
                <c:pt idx="596" formatCode="_(&quot;$&quot;* #,##0.00_);_(&quot;$&quot;* \(#,##0.00\);_(&quot;$&quot;* &quot;-&quot;??_);_(@_)">
                  <c:v>33994.92112783037</c:v>
                </c:pt>
                <c:pt idx="597" formatCode="_(&quot;$&quot;* #,##0.00_);_(&quot;$&quot;* \(#,##0.00\);_(&quot;$&quot;* &quot;-&quot;??_);_(@_)">
                  <c:v>34275.866968419497</c:v>
                </c:pt>
                <c:pt idx="598" formatCode="_(&quot;$&quot;* #,##0.00_);_(&quot;$&quot;* \(#,##0.00\);_(&quot;$&quot;* &quot;-&quot;??_);_(@_)">
                  <c:v>34413.595266846976</c:v>
                </c:pt>
                <c:pt idx="599" formatCode="_(&quot;$&quot;* #,##0.00_);_(&quot;$&quot;* \(#,##0.00\);_(&quot;$&quot;* &quot;-&quot;??_);_(@_)">
                  <c:v>34564.554445926486</c:v>
                </c:pt>
                <c:pt idx="600" formatCode="_(&quot;$&quot;* #,##0.00_);_(&quot;$&quot;* \(#,##0.00\);_(&quot;$&quot;* &quot;-&quot;??_);_(@_)">
                  <c:v>34478.740049562992</c:v>
                </c:pt>
                <c:pt idx="601" formatCode="_(&quot;$&quot;* #,##0.00_);_(&quot;$&quot;* \(#,##0.00\);_(&quot;$&quot;* &quot;-&quot;??_);_(@_)">
                  <c:v>34662.400294495237</c:v>
                </c:pt>
                <c:pt idx="602" formatCode="_(&quot;$&quot;* #,##0.00_);_(&quot;$&quot;* \(#,##0.00\);_(&quot;$&quot;* &quot;-&quot;??_);_(@_)">
                  <c:v>34566.81991315398</c:v>
                </c:pt>
                <c:pt idx="603" formatCode="_(&quot;$&quot;* #,##0.00_);_(&quot;$&quot;* \(#,##0.00\);_(&quot;$&quot;* &quot;-&quot;??_);_(@_)">
                  <c:v>35158.140355907381</c:v>
                </c:pt>
                <c:pt idx="604" formatCode="_(&quot;$&quot;* #,##0.00_);_(&quot;$&quot;* \(#,##0.00\);_(&quot;$&quot;* &quot;-&quot;??_);_(@_)">
                  <c:v>34498.727421181153</c:v>
                </c:pt>
                <c:pt idx="605" formatCode="_(&quot;$&quot;* #,##0.00_);_(&quot;$&quot;* \(#,##0.00\);_(&quot;$&quot;* &quot;-&quot;??_);_(@_)">
                  <c:v>34653.65219819003</c:v>
                </c:pt>
                <c:pt idx="606" formatCode="_(&quot;$&quot;* #,##0.00_);_(&quot;$&quot;* \(#,##0.00\);_(&quot;$&quot;* &quot;-&quot;??_);_(@_)">
                  <c:v>34806.525752815047</c:v>
                </c:pt>
                <c:pt idx="607" formatCode="_(&quot;$&quot;* #,##0.00_);_(&quot;$&quot;* \(#,##0.00\);_(&quot;$&quot;* &quot;-&quot;??_);_(@_)">
                  <c:v>34451.437874973468</c:v>
                </c:pt>
                <c:pt idx="608" formatCode="_(&quot;$&quot;* #,##0.00_);_(&quot;$&quot;* \(#,##0.00\);_(&quot;$&quot;* &quot;-&quot;??_);_(@_)">
                  <c:v>34094.820773090709</c:v>
                </c:pt>
                <c:pt idx="609" formatCode="_(&quot;$&quot;* #,##0.00_);_(&quot;$&quot;* \(#,##0.00\);_(&quot;$&quot;* &quot;-&quot;??_);_(@_)">
                  <c:v>33701.712569065225</c:v>
                </c:pt>
                <c:pt idx="610" formatCode="_(&quot;$&quot;* #,##0.00_);_(&quot;$&quot;* \(#,##0.00\);_(&quot;$&quot;* &quot;-&quot;??_);_(@_)">
                  <c:v>33458.880063512872</c:v>
                </c:pt>
                <c:pt idx="611" formatCode="_(&quot;$&quot;* #,##0.00_);_(&quot;$&quot;* \(#,##0.00\);_(&quot;$&quot;* &quot;-&quot;??_);_(@_)">
                  <c:v>33165.818104997881</c:v>
                </c:pt>
                <c:pt idx="612" formatCode="_(&quot;$&quot;* #,##0.00_);_(&quot;$&quot;* \(#,##0.00\);_(&quot;$&quot;* &quot;-&quot;??_);_(@_)">
                  <c:v>33433.1075544493</c:v>
                </c:pt>
                <c:pt idx="613" formatCode="_(&quot;$&quot;* #,##0.00_);_(&quot;$&quot;* \(#,##0.00\);_(&quot;$&quot;* &quot;-&quot;??_);_(@_)">
                  <c:v>33664.028372343113</c:v>
                </c:pt>
                <c:pt idx="614" formatCode="_(&quot;$&quot;* #,##0.00_);_(&quot;$&quot;* \(#,##0.00\);_(&quot;$&quot;* &quot;-&quot;??_);_(@_)">
                  <c:v>34039.791957799825</c:v>
                </c:pt>
                <c:pt idx="615" formatCode="_(&quot;$&quot;* #,##0.00_);_(&quot;$&quot;* \(#,##0.00\);_(&quot;$&quot;* &quot;-&quot;??_);_(@_)">
                  <c:v>34516.828841391805</c:v>
                </c:pt>
                <c:pt idx="616" formatCode="_(&quot;$&quot;* #,##0.00_);_(&quot;$&quot;* \(#,##0.00\);_(&quot;$&quot;* &quot;-&quot;??_);_(@_)">
                  <c:v>34202.010243709046</c:v>
                </c:pt>
                <c:pt idx="617" formatCode="_(&quot;$&quot;* #,##0.00_);_(&quot;$&quot;* \(#,##0.00\);_(&quot;$&quot;* &quot;-&quot;??_);_(@_)">
                  <c:v>34442.591459479125</c:v>
                </c:pt>
                <c:pt idx="618" formatCode="_(&quot;$&quot;* #,##0.00_);_(&quot;$&quot;* \(#,##0.00\);_(&quot;$&quot;* &quot;-&quot;??_);_(@_)">
                  <c:v>35068.746692618523</c:v>
                </c:pt>
                <c:pt idx="619" formatCode="_(&quot;$&quot;* #,##0.00_);_(&quot;$&quot;* \(#,##0.00\);_(&quot;$&quot;* &quot;-&quot;??_);_(@_)">
                  <c:v>34605.648019758664</c:v>
                </c:pt>
                <c:pt idx="620" formatCode="_(&quot;$&quot;* #,##0.00_);_(&quot;$&quot;* \(#,##0.00\);_(&quot;$&quot;* &quot;-&quot;??_);_(@_)">
                  <c:v>34465.906623951058</c:v>
                </c:pt>
                <c:pt idx="621" formatCode="_(&quot;$&quot;* #,##0.00_);_(&quot;$&quot;* \(#,##0.00\);_(&quot;$&quot;* &quot;-&quot;??_);_(@_)">
                  <c:v>34648.323890728498</c:v>
                </c:pt>
                <c:pt idx="622" formatCode="_(&quot;$&quot;* #,##0.00_);_(&quot;$&quot;* \(#,##0.00\);_(&quot;$&quot;* &quot;-&quot;??_);_(@_)">
                  <c:v>34552.041127649543</c:v>
                </c:pt>
                <c:pt idx="623" formatCode="_(&quot;$&quot;* #,##0.00_);_(&quot;$&quot;* \(#,##0.00\);_(&quot;$&quot;* &quot;-&quot;??_);_(@_)">
                  <c:v>34201.14891256587</c:v>
                </c:pt>
                <c:pt idx="624" formatCode="_(&quot;$&quot;* #,##0.00_);_(&quot;$&quot;* \(#,##0.00\);_(&quot;$&quot;* &quot;-&quot;??_);_(@_)">
                  <c:v>34346.726086532595</c:v>
                </c:pt>
                <c:pt idx="625" formatCode="_(&quot;$&quot;* #,##0.00_);_(&quot;$&quot;* \(#,##0.00\);_(&quot;$&quot;* &quot;-&quot;??_);_(@_)">
                  <c:v>35487.916099118855</c:v>
                </c:pt>
                <c:pt idx="626" formatCode="_(&quot;$&quot;* #,##0.00_);_(&quot;$&quot;* \(#,##0.00\);_(&quot;$&quot;* &quot;-&quot;??_);_(@_)">
                  <c:v>35983.79907593481</c:v>
                </c:pt>
                <c:pt idx="627" formatCode="_(&quot;$&quot;* #,##0.00_);_(&quot;$&quot;* \(#,##0.00\);_(&quot;$&quot;* &quot;-&quot;??_);_(@_)">
                  <c:v>35642.66683703327</c:v>
                </c:pt>
                <c:pt idx="628" formatCode="_(&quot;$&quot;* #,##0.00_);_(&quot;$&quot;* \(#,##0.00\);_(&quot;$&quot;* &quot;-&quot;??_);_(@_)">
                  <c:v>36083.731582486012</c:v>
                </c:pt>
                <c:pt idx="629" formatCode="_(&quot;$&quot;* #,##0.00_);_(&quot;$&quot;* \(#,##0.00\);_(&quot;$&quot;* &quot;-&quot;??_);_(@_)">
                  <c:v>35906.92587395983</c:v>
                </c:pt>
                <c:pt idx="630" formatCode="_(&quot;$&quot;* #,##0.00_);_(&quot;$&quot;* \(#,##0.00\);_(&quot;$&quot;* &quot;-&quot;??_);_(@_)">
                  <c:v>36365.175179632432</c:v>
                </c:pt>
                <c:pt idx="631" formatCode="_(&quot;$&quot;* #,##0.00_);_(&quot;$&quot;* \(#,##0.00\);_(&quot;$&quot;* &quot;-&quot;??_);_(@_)">
                  <c:v>35641.736073266242</c:v>
                </c:pt>
                <c:pt idx="632" formatCode="_(&quot;$&quot;* #,##0.00_);_(&quot;$&quot;* \(#,##0.00\);_(&quot;$&quot;* &quot;-&quot;??_);_(@_)">
                  <c:v>35926.831682472402</c:v>
                </c:pt>
                <c:pt idx="633" formatCode="_(&quot;$&quot;* #,##0.00_);_(&quot;$&quot;* \(#,##0.00\);_(&quot;$&quot;* &quot;-&quot;??_);_(@_)">
                  <c:v>35920.434104838634</c:v>
                </c:pt>
                <c:pt idx="634" formatCode="_(&quot;$&quot;* #,##0.00_);_(&quot;$&quot;* \(#,##0.00\);_(&quot;$&quot;* &quot;-&quot;??_);_(@_)">
                  <c:v>35369.77514691461</c:v>
                </c:pt>
                <c:pt idx="635" formatCode="_(&quot;$&quot;* #,##0.00_);_(&quot;$&quot;* \(#,##0.00\);_(&quot;$&quot;* &quot;-&quot;??_);_(@_)">
                  <c:v>35325.870157041572</c:v>
                </c:pt>
                <c:pt idx="636" formatCode="_(&quot;$&quot;* #,##0.00_);_(&quot;$&quot;* \(#,##0.00\);_(&quot;$&quot;* &quot;-&quot;??_);_(@_)">
                  <c:v>35006.53727705677</c:v>
                </c:pt>
                <c:pt idx="637" formatCode="_(&quot;$&quot;* #,##0.00_);_(&quot;$&quot;* \(#,##0.00\);_(&quot;$&quot;* &quot;-&quot;??_);_(@_)">
                  <c:v>34896.698375793065</c:v>
                </c:pt>
                <c:pt idx="638" formatCode="_(&quot;$&quot;* #,##0.00_);_(&quot;$&quot;* \(#,##0.00\);_(&quot;$&quot;* &quot;-&quot;??_);_(@_)">
                  <c:v>35972.372219790566</c:v>
                </c:pt>
                <c:pt idx="639" formatCode="_(&quot;$&quot;* #,##0.00_);_(&quot;$&quot;* \(#,##0.00\);_(&quot;$&quot;* &quot;-&quot;??_);_(@_)">
                  <c:v>35775.199221218369</c:v>
                </c:pt>
                <c:pt idx="640" formatCode="_(&quot;$&quot;* #,##0.00_);_(&quot;$&quot;* \(#,##0.00\);_(&quot;$&quot;* &quot;-&quot;??_);_(@_)">
                  <c:v>35810.183912187436</c:v>
                </c:pt>
                <c:pt idx="641" formatCode="_(&quot;$&quot;* #,##0.00_);_(&quot;$&quot;* \(#,##0.00\);_(&quot;$&quot;* &quot;-&quot;??_);_(@_)">
                  <c:v>35555.921148365756</c:v>
                </c:pt>
                <c:pt idx="642" formatCode="_(&quot;$&quot;* #,##0.00_);_(&quot;$&quot;* \(#,##0.00\);_(&quot;$&quot;* &quot;-&quot;??_);_(@_)">
                  <c:v>35386.729674222552</c:v>
                </c:pt>
                <c:pt idx="643" formatCode="_(&quot;$&quot;* #,##0.00_);_(&quot;$&quot;* \(#,##0.00\);_(&quot;$&quot;* &quot;-&quot;??_);_(@_)">
                  <c:v>35332.954627908504</c:v>
                </c:pt>
                <c:pt idx="644" formatCode="_(&quot;$&quot;* #,##0.00_);_(&quot;$&quot;* \(#,##0.00\);_(&quot;$&quot;* &quot;-&quot;??_);_(@_)">
                  <c:v>35571.494443325442</c:v>
                </c:pt>
                <c:pt idx="645" formatCode="_(&quot;$&quot;* #,##0.00_);_(&quot;$&quot;* \(#,##0.00\);_(&quot;$&quot;* &quot;-&quot;??_);_(@_)">
                  <c:v>35281.24566871245</c:v>
                </c:pt>
                <c:pt idx="646" formatCode="_(&quot;$&quot;* #,##0.00_);_(&quot;$&quot;* \(#,##0.00\);_(&quot;$&quot;* &quot;-&quot;??_);_(@_)">
                  <c:v>34738.507875159194</c:v>
                </c:pt>
                <c:pt idx="647" formatCode="_(&quot;$&quot;* #,##0.00_);_(&quot;$&quot;* \(#,##0.00\);_(&quot;$&quot;* &quot;-&quot;??_);_(@_)">
                  <c:v>34676.354399558179</c:v>
                </c:pt>
                <c:pt idx="648" formatCode="_(&quot;$&quot;* #,##0.00_);_(&quot;$&quot;* \(#,##0.00\);_(&quot;$&quot;* &quot;-&quot;??_);_(@_)">
                  <c:v>34884.374045893237</c:v>
                </c:pt>
                <c:pt idx="649" formatCode="_(&quot;$&quot;* #,##0.00_);_(&quot;$&quot;* \(#,##0.00\);_(&quot;$&quot;* &quot;-&quot;??_);_(@_)">
                  <c:v>34398.817662305832</c:v>
                </c:pt>
                <c:pt idx="650" formatCode="_(&quot;$&quot;* #,##0.00_);_(&quot;$&quot;* \(#,##0.00\);_(&quot;$&quot;* &quot;-&quot;??_);_(@_)">
                  <c:v>34611.68273611585</c:v>
                </c:pt>
                <c:pt idx="651" formatCode="_(&quot;$&quot;* #,##0.00_);_(&quot;$&quot;* \(#,##0.00\);_(&quot;$&quot;* &quot;-&quot;??_);_(@_)">
                  <c:v>35427.940422286199</c:v>
                </c:pt>
                <c:pt idx="652" formatCode="_(&quot;$&quot;* #,##0.00_);_(&quot;$&quot;* \(#,##0.00\);_(&quot;$&quot;* &quot;-&quot;??_);_(@_)">
                  <c:v>35223.051347659581</c:v>
                </c:pt>
                <c:pt idx="653" formatCode="_(&quot;$&quot;* #,##0.00_);_(&quot;$&quot;* \(#,##0.00\);_(&quot;$&quot;* &quot;-&quot;??_);_(@_)">
                  <c:v>35921.713868582126</c:v>
                </c:pt>
                <c:pt idx="654" formatCode="_(&quot;$&quot;* #,##0.00_);_(&quot;$&quot;* \(#,##0.00\);_(&quot;$&quot;* &quot;-&quot;??_);_(@_)">
                  <c:v>35121.68805782999</c:v>
                </c:pt>
                <c:pt idx="655" formatCode="_(&quot;$&quot;* #,##0.00_);_(&quot;$&quot;* \(#,##0.00\);_(&quot;$&quot;* &quot;-&quot;??_);_(@_)">
                  <c:v>35855.889468818576</c:v>
                </c:pt>
                <c:pt idx="656" formatCode="_(&quot;$&quot;* #,##0.00_);_(&quot;$&quot;* \(#,##0.00\);_(&quot;$&quot;* &quot;-&quot;??_);_(@_)">
                  <c:v>35814.72719888344</c:v>
                </c:pt>
                <c:pt idx="657" formatCode="_(&quot;$&quot;* #,##0.00_);_(&quot;$&quot;* \(#,##0.00\);_(&quot;$&quot;* &quot;-&quot;??_);_(@_)">
                  <c:v>35885.999713313591</c:v>
                </c:pt>
                <c:pt idx="658" formatCode="_(&quot;$&quot;* #,##0.00_);_(&quot;$&quot;* \(#,##0.00\);_(&quot;$&quot;* &quot;-&quot;??_);_(@_)">
                  <c:v>35532.108035168174</c:v>
                </c:pt>
                <c:pt idx="659" formatCode="_(&quot;$&quot;* #,##0.00_);_(&quot;$&quot;* \(#,##0.00\);_(&quot;$&quot;* &quot;-&quot;??_);_(@_)">
                  <c:v>35986.455859865157</c:v>
                </c:pt>
                <c:pt idx="660" formatCode="_(&quot;$&quot;* #,##0.00_);_(&quot;$&quot;* \(#,##0.00\);_(&quot;$&quot;* &quot;-&quot;??_);_(@_)">
                  <c:v>35926.210231232042</c:v>
                </c:pt>
                <c:pt idx="661" formatCode="_(&quot;$&quot;* #,##0.00_);_(&quot;$&quot;* \(#,##0.00\);_(&quot;$&quot;* &quot;-&quot;??_);_(@_)">
                  <c:v>35837.736391590457</c:v>
                </c:pt>
                <c:pt idx="662" formatCode="_(&quot;$&quot;* #,##0.00_);_(&quot;$&quot;* \(#,##0.00\);_(&quot;$&quot;* &quot;-&quot;??_);_(@_)">
                  <c:v>36598.603771915281</c:v>
                </c:pt>
                <c:pt idx="663" formatCode="_(&quot;$&quot;* #,##0.00_);_(&quot;$&quot;* \(#,##0.00\);_(&quot;$&quot;* &quot;-&quot;??_);_(@_)">
                  <c:v>36967.285502061786</c:v>
                </c:pt>
                <c:pt idx="664" formatCode="_(&quot;$&quot;* #,##0.00_);_(&quot;$&quot;* \(#,##0.00\);_(&quot;$&quot;* &quot;-&quot;??_);_(@_)">
                  <c:v>36550.835059349331</c:v>
                </c:pt>
                <c:pt idx="665" formatCode="_(&quot;$&quot;* #,##0.00_);_(&quot;$&quot;* \(#,##0.00\);_(&quot;$&quot;* &quot;-&quot;??_);_(@_)">
                  <c:v>36325.456946718463</c:v>
                </c:pt>
                <c:pt idx="666" formatCode="_(&quot;$&quot;* #,##0.00_);_(&quot;$&quot;* \(#,##0.00\);_(&quot;$&quot;* &quot;-&quot;??_);_(@_)">
                  <c:v>36323.432577918335</c:v>
                </c:pt>
                <c:pt idx="667" formatCode="_(&quot;$&quot;* #,##0.00_);_(&quot;$&quot;* \(#,##0.00\);_(&quot;$&quot;* &quot;-&quot;??_);_(@_)">
                  <c:v>36526.69339918044</c:v>
                </c:pt>
                <c:pt idx="668" formatCode="_(&quot;$&quot;* #,##0.00_);_(&quot;$&quot;* \(#,##0.00\);_(&quot;$&quot;* &quot;-&quot;??_);_(@_)">
                  <c:v>36080.550613909087</c:v>
                </c:pt>
                <c:pt idx="669" formatCode="_(&quot;$&quot;* #,##0.00_);_(&quot;$&quot;* \(#,##0.00\);_(&quot;$&quot;* &quot;-&quot;??_);_(@_)">
                  <c:v>36331.121297659825</c:v>
                </c:pt>
                <c:pt idx="670" formatCode="_(&quot;$&quot;* #,##0.00_);_(&quot;$&quot;* \(#,##0.00\);_(&quot;$&quot;* &quot;-&quot;??_);_(@_)">
                  <c:v>36610.898332821082</c:v>
                </c:pt>
                <c:pt idx="671" formatCode="_(&quot;$&quot;* #,##0.00_);_(&quot;$&quot;* \(#,##0.00\);_(&quot;$&quot;* &quot;-&quot;??_);_(@_)">
                  <c:v>37310.472193910915</c:v>
                </c:pt>
                <c:pt idx="672" formatCode="_(&quot;$&quot;* #,##0.00_);_(&quot;$&quot;* \(#,##0.00\);_(&quot;$&quot;* &quot;-&quot;??_);_(@_)">
                  <c:v>38138.015136951974</c:v>
                </c:pt>
                <c:pt idx="673" formatCode="_(&quot;$&quot;* #,##0.00_);_(&quot;$&quot;* \(#,##0.00\);_(&quot;$&quot;* &quot;-&quot;??_);_(@_)">
                  <c:v>38343.464808195451</c:v>
                </c:pt>
                <c:pt idx="674" formatCode="_(&quot;$&quot;* #,##0.00_);_(&quot;$&quot;* \(#,##0.00\);_(&quot;$&quot;* &quot;-&quot;??_);_(@_)">
                  <c:v>37954.955105731126</c:v>
                </c:pt>
                <c:pt idx="675" formatCode="_(&quot;$&quot;* #,##0.00_);_(&quot;$&quot;* \(#,##0.00\);_(&quot;$&quot;* &quot;-&quot;??_);_(@_)">
                  <c:v>38326.819136482678</c:v>
                </c:pt>
                <c:pt idx="676" formatCode="_(&quot;$&quot;* #,##0.00_);_(&quot;$&quot;* \(#,##0.00\);_(&quot;$&quot;* &quot;-&quot;??_);_(@_)">
                  <c:v>37941.647783077839</c:v>
                </c:pt>
                <c:pt idx="677" formatCode="_(&quot;$&quot;* #,##0.00_);_(&quot;$&quot;* \(#,##0.00\);_(&quot;$&quot;* &quot;-&quot;??_);_(@_)">
                  <c:v>37830.000640115817</c:v>
                </c:pt>
                <c:pt idx="678" formatCode="_(&quot;$&quot;* #,##0.00_);_(&quot;$&quot;* \(#,##0.00\);_(&quot;$&quot;* &quot;-&quot;??_);_(@_)">
                  <c:v>39079.699314476129</c:v>
                </c:pt>
                <c:pt idx="679" formatCode="_(&quot;$&quot;* #,##0.00_);_(&quot;$&quot;* \(#,##0.00\);_(&quot;$&quot;* &quot;-&quot;??_);_(@_)">
                  <c:v>38922.191407854305</c:v>
                </c:pt>
                <c:pt idx="680" formatCode="_(&quot;$&quot;* #,##0.00_);_(&quot;$&quot;* \(#,##0.00\);_(&quot;$&quot;* &quot;-&quot;??_);_(@_)">
                  <c:v>38623.560161439476</c:v>
                </c:pt>
                <c:pt idx="681" formatCode="_(&quot;$&quot;* #,##0.00_);_(&quot;$&quot;* \(#,##0.00\);_(&quot;$&quot;* &quot;-&quot;??_);_(@_)">
                  <c:v>38812.597132427603</c:v>
                </c:pt>
                <c:pt idx="682" formatCode="_(&quot;$&quot;* #,##0.00_);_(&quot;$&quot;* \(#,##0.00\);_(&quot;$&quot;* &quot;-&quot;??_);_(@_)">
                  <c:v>38983.500311131211</c:v>
                </c:pt>
                <c:pt idx="683" formatCode="_(&quot;$&quot;* #,##0.00_);_(&quot;$&quot;* \(#,##0.00\);_(&quot;$&quot;* &quot;-&quot;??_);_(@_)">
                  <c:v>39881.611293211725</c:v>
                </c:pt>
                <c:pt idx="684" formatCode="_(&quot;$&quot;* #,##0.00_);_(&quot;$&quot;* \(#,##0.00\);_(&quot;$&quot;* &quot;-&quot;??_);_(@_)">
                  <c:v>39540.076449506945</c:v>
                </c:pt>
                <c:pt idx="685" formatCode="_(&quot;$&quot;* #,##0.00_);_(&quot;$&quot;* \(#,##0.00\);_(&quot;$&quot;* &quot;-&quot;??_);_(@_)">
                  <c:v>39681.308233582859</c:v>
                </c:pt>
                <c:pt idx="686" formatCode="_(&quot;$&quot;* #,##0.00_);_(&quot;$&quot;* \(#,##0.00\);_(&quot;$&quot;* &quot;-&quot;??_);_(@_)">
                  <c:v>39664.831298622485</c:v>
                </c:pt>
                <c:pt idx="687" formatCode="_(&quot;$&quot;* #,##0.00_);_(&quot;$&quot;* \(#,##0.00\);_(&quot;$&quot;* &quot;-&quot;??_);_(@_)">
                  <c:v>39983.930058342223</c:v>
                </c:pt>
                <c:pt idx="688" formatCode="_(&quot;$&quot;* #,##0.00_);_(&quot;$&quot;* \(#,##0.00\);_(&quot;$&quot;* &quot;-&quot;??_);_(@_)">
                  <c:v>40512.002823263523</c:v>
                </c:pt>
                <c:pt idx="689" formatCode="_(&quot;$&quot;* #,##0.00_);_(&quot;$&quot;* \(#,##0.00\);_(&quot;$&quot;* &quot;-&quot;??_);_(@_)">
                  <c:v>40776.824429122986</c:v>
                </c:pt>
                <c:pt idx="690" formatCode="_(&quot;$&quot;* #,##0.00_);_(&quot;$&quot;* \(#,##0.00\);_(&quot;$&quot;* &quot;-&quot;??_);_(@_)">
                  <c:v>40606.74824472965</c:v>
                </c:pt>
                <c:pt idx="691" formatCode="_(&quot;$&quot;* #,##0.00_);_(&quot;$&quot;* \(#,##0.00\);_(&quot;$&quot;* &quot;-&quot;??_);_(@_)">
                  <c:v>40640.732915856912</c:v>
                </c:pt>
                <c:pt idx="692" formatCode="_(&quot;$&quot;* #,##0.00_);_(&quot;$&quot;* \(#,##0.00\);_(&quot;$&quot;* &quot;-&quot;??_);_(@_)">
                  <c:v>40377.813670183488</c:v>
                </c:pt>
                <c:pt idx="693" formatCode="_(&quot;$&quot;* #,##0.00_);_(&quot;$&quot;* \(#,##0.00\);_(&quot;$&quot;* &quot;-&quot;??_);_(@_)">
                  <c:v>40343.810189689379</c:v>
                </c:pt>
                <c:pt idx="694" formatCode="_(&quot;$&quot;* #,##0.00_);_(&quot;$&quot;* \(#,##0.00\);_(&quot;$&quot;* &quot;-&quot;??_);_(@_)">
                  <c:v>40381.330446291213</c:v>
                </c:pt>
                <c:pt idx="695" formatCode="_(&quot;$&quot;* #,##0.00_);_(&quot;$&quot;* \(#,##0.00\);_(&quot;$&quot;* &quot;-&quot;??_);_(@_)">
                  <c:v>40442.720135567455</c:v>
                </c:pt>
                <c:pt idx="696" formatCode="_(&quot;$&quot;* #,##0.00_);_(&quot;$&quot;* \(#,##0.00\);_(&quot;$&quot;* &quot;-&quot;??_);_(@_)">
                  <c:v>40883.318693210138</c:v>
                </c:pt>
                <c:pt idx="697" formatCode="_(&quot;$&quot;* #,##0.00_);_(&quot;$&quot;* \(#,##0.00\);_(&quot;$&quot;* &quot;-&quot;??_);_(@_)">
                  <c:v>40838.229820189517</c:v>
                </c:pt>
                <c:pt idx="698" formatCode="_(&quot;$&quot;* #,##0.00_);_(&quot;$&quot;* \(#,##0.00\);_(&quot;$&quot;* &quot;-&quot;??_);_(@_)">
                  <c:v>40832.985588486757</c:v>
                </c:pt>
                <c:pt idx="699" formatCode="_(&quot;$&quot;* #,##0.00_);_(&quot;$&quot;* \(#,##0.00\);_(&quot;$&quot;* &quot;-&quot;??_);_(@_)">
                  <c:v>41031.512986491456</c:v>
                </c:pt>
                <c:pt idx="700" formatCode="_(&quot;$&quot;* #,##0.00_);_(&quot;$&quot;* \(#,##0.00\);_(&quot;$&quot;* &quot;-&quot;??_);_(@_)">
                  <c:v>41318.459723639251</c:v>
                </c:pt>
                <c:pt idx="701" formatCode="_(&quot;$&quot;* #,##0.00_);_(&quot;$&quot;* \(#,##0.00\);_(&quot;$&quot;* &quot;-&quot;??_);_(@_)">
                  <c:v>41411.857603187986</c:v>
                </c:pt>
                <c:pt idx="702" formatCode="_(&quot;$&quot;* #,##0.00_);_(&quot;$&quot;* \(#,##0.00\);_(&quot;$&quot;* &quot;-&quot;??_);_(@_)">
                  <c:v>42081.039876878836</c:v>
                </c:pt>
                <c:pt idx="703" formatCode="_(&quot;$&quot;* #,##0.00_);_(&quot;$&quot;* \(#,##0.00\);_(&quot;$&quot;* &quot;-&quot;??_);_(@_)">
                  <c:v>42081.479992413319</c:v>
                </c:pt>
                <c:pt idx="704" formatCode="_(&quot;$&quot;* #,##0.00_);_(&quot;$&quot;* \(#,##0.00\);_(&quot;$&quot;* &quot;-&quot;??_);_(@_)">
                  <c:v>42844.386728156482</c:v>
                </c:pt>
                <c:pt idx="705" formatCode="_(&quot;$&quot;* #,##0.00_);_(&quot;$&quot;* \(#,##0.00\);_(&quot;$&quot;* &quot;-&quot;??_);_(@_)">
                  <c:v>43315.323266828564</c:v>
                </c:pt>
                <c:pt idx="706" formatCode="_(&quot;$&quot;* #,##0.00_);_(&quot;$&quot;* \(#,##0.00\);_(&quot;$&quot;* &quot;-&quot;??_);_(@_)">
                  <c:v>42191.433047793565</c:v>
                </c:pt>
                <c:pt idx="707" formatCode="_(&quot;$&quot;* #,##0.00_);_(&quot;$&quot;* \(#,##0.00\);_(&quot;$&quot;* &quot;-&quot;??_);_(@_)">
                  <c:v>41775.921285597207</c:v>
                </c:pt>
                <c:pt idx="708" formatCode="_(&quot;$&quot;* #,##0.00_);_(&quot;$&quot;* \(#,##0.00\);_(&quot;$&quot;* &quot;-&quot;??_);_(@_)">
                  <c:v>42388.281951215809</c:v>
                </c:pt>
                <c:pt idx="709" formatCode="_(&quot;$&quot;* #,##0.00_);_(&quot;$&quot;* \(#,##0.00\);_(&quot;$&quot;* &quot;-&quot;??_);_(@_)">
                  <c:v>42803.280787305805</c:v>
                </c:pt>
                <c:pt idx="710" formatCode="_(&quot;$&quot;* #,##0.00_);_(&quot;$&quot;* \(#,##0.00\);_(&quot;$&quot;* &quot;-&quot;??_);_(@_)">
                  <c:v>43383.524339437652</c:v>
                </c:pt>
                <c:pt idx="711" formatCode="_(&quot;$&quot;* #,##0.00_);_(&quot;$&quot;* \(#,##0.00\);_(&quot;$&quot;* &quot;-&quot;??_);_(@_)">
                  <c:v>43575.124401757275</c:v>
                </c:pt>
                <c:pt idx="712" formatCode="_(&quot;$&quot;* #,##0.00_);_(&quot;$&quot;* \(#,##0.00\);_(&quot;$&quot;* &quot;-&quot;??_);_(@_)">
                  <c:v>43768.550602036601</c:v>
                </c:pt>
                <c:pt idx="713" formatCode="_(&quot;$&quot;* #,##0.00_);_(&quot;$&quot;* \(#,##0.00\);_(&quot;$&quot;* &quot;-&quot;??_);_(@_)">
                  <c:v>43810.153900739067</c:v>
                </c:pt>
                <c:pt idx="714" formatCode="_(&quot;$&quot;* #,##0.00_);_(&quot;$&quot;* \(#,##0.00\);_(&quot;$&quot;* &quot;-&quot;??_);_(@_)">
                  <c:v>44463.09951639986</c:v>
                </c:pt>
                <c:pt idx="715" formatCode="_(&quot;$&quot;* #,##0.00_);_(&quot;$&quot;* \(#,##0.00\);_(&quot;$&quot;* &quot;-&quot;??_);_(@_)">
                  <c:v>44748.864629371143</c:v>
                </c:pt>
                <c:pt idx="716" formatCode="_(&quot;$&quot;* #,##0.00_);_(&quot;$&quot;* \(#,##0.00\);_(&quot;$&quot;* &quot;-&quot;??_);_(@_)">
                  <c:v>45234.713022674216</c:v>
                </c:pt>
                <c:pt idx="717" formatCode="_(&quot;$&quot;* #,##0.00_);_(&quot;$&quot;* \(#,##0.00\);_(&quot;$&quot;* &quot;-&quot;??_);_(@_)">
                  <c:v>45932.954788135969</c:v>
                </c:pt>
                <c:pt idx="718" formatCode="_(&quot;$&quot;* #,##0.00_);_(&quot;$&quot;* \(#,##0.00\);_(&quot;$&quot;* &quot;-&quot;??_);_(@_)">
                  <c:v>46001.829015769057</c:v>
                </c:pt>
                <c:pt idx="719" formatCode="_(&quot;$&quot;* #,##0.00_);_(&quot;$&quot;* \(#,##0.00\);_(&quot;$&quot;* &quot;-&quot;??_);_(@_)">
                  <c:v>46007.215135164101</c:v>
                </c:pt>
                <c:pt idx="720" formatCode="_(&quot;$&quot;* #,##0.00_);_(&quot;$&quot;* \(#,##0.00\);_(&quot;$&quot;* &quot;-&quot;??_);_(@_)">
                  <c:v>45675.056839865756</c:v>
                </c:pt>
                <c:pt idx="721" formatCode="_(&quot;$&quot;* #,##0.00_);_(&quot;$&quot;* \(#,##0.00\);_(&quot;$&quot;* &quot;-&quot;??_);_(@_)">
                  <c:v>45092.866314383798</c:v>
                </c:pt>
                <c:pt idx="722" formatCode="_(&quot;$&quot;* #,##0.00_);_(&quot;$&quot;* \(#,##0.00\);_(&quot;$&quot;* &quot;-&quot;??_);_(@_)">
                  <c:v>44689.296257565045</c:v>
                </c:pt>
                <c:pt idx="723" formatCode="_(&quot;$&quot;* #,##0.00_);_(&quot;$&quot;* \(#,##0.00\);_(&quot;$&quot;* &quot;-&quot;??_);_(@_)">
                  <c:v>45762.286667984758</c:v>
                </c:pt>
                <c:pt idx="724" formatCode="_(&quot;$&quot;* #,##0.00_);_(&quot;$&quot;* \(#,##0.00\);_(&quot;$&quot;* &quot;-&quot;??_);_(@_)">
                  <c:v>46263.812732073791</c:v>
                </c:pt>
                <c:pt idx="725" formatCode="_(&quot;$&quot;* #,##0.00_);_(&quot;$&quot;* \(#,##0.00\);_(&quot;$&quot;* &quot;-&quot;??_);_(@_)">
                  <c:v>46299.482399956985</c:v>
                </c:pt>
                <c:pt idx="726" formatCode="_(&quot;$&quot;* #,##0.00_);_(&quot;$&quot;* \(#,##0.00\);_(&quot;$&quot;* &quot;-&quot;??_);_(@_)">
                  <c:v>45832.876752711752</c:v>
                </c:pt>
                <c:pt idx="727" formatCode="_(&quot;$&quot;* #,##0.00_);_(&quot;$&quot;* \(#,##0.00\);_(&quot;$&quot;* &quot;-&quot;??_);_(@_)">
                  <c:v>46848.26925522642</c:v>
                </c:pt>
                <c:pt idx="728" formatCode="_(&quot;$&quot;* #,##0.00_);_(&quot;$&quot;* \(#,##0.00\);_(&quot;$&quot;* &quot;-&quot;??_);_(@_)">
                  <c:v>47073.253732200792</c:v>
                </c:pt>
                <c:pt idx="729" formatCode="_(&quot;$&quot;* #,##0.00_);_(&quot;$&quot;* \(#,##0.00\);_(&quot;$&quot;* &quot;-&quot;??_);_(@_)">
                  <c:v>47476.745168300935</c:v>
                </c:pt>
                <c:pt idx="730" formatCode="_(&quot;$&quot;* #,##0.00_);_(&quot;$&quot;* \(#,##0.00\);_(&quot;$&quot;* &quot;-&quot;??_);_(@_)">
                  <c:v>48096.144331604555</c:v>
                </c:pt>
                <c:pt idx="731" formatCode="_(&quot;$&quot;* #,##0.00_);_(&quot;$&quot;* \(#,##0.00\);_(&quot;$&quot;* &quot;-&quot;??_);_(@_)">
                  <c:v>48016.031073283288</c:v>
                </c:pt>
                <c:pt idx="732" formatCode="_(&quot;$&quot;* #,##0.00_);_(&quot;$&quot;* \(#,##0.00\);_(&quot;$&quot;* &quot;-&quot;??_);_(@_)">
                  <c:v>48284.011015724995</c:v>
                </c:pt>
                <c:pt idx="733" formatCode="_(&quot;$&quot;* #,##0.00_);_(&quot;$&quot;* \(#,##0.00\);_(&quot;$&quot;* &quot;-&quot;??_);_(@_)">
                  <c:v>48448.961451186762</c:v>
                </c:pt>
                <c:pt idx="734" formatCode="_(&quot;$&quot;* #,##0.00_);_(&quot;$&quot;* \(#,##0.00\);_(&quot;$&quot;* &quot;-&quot;??_);_(@_)">
                  <c:v>46381.159030052288</c:v>
                </c:pt>
                <c:pt idx="735" formatCode="_(&quot;$&quot;* #,##0.00_);_(&quot;$&quot;* \(#,##0.00\);_(&quot;$&quot;* &quot;-&quot;??_);_(@_)">
                  <c:v>46131.986080513372</c:v>
                </c:pt>
                <c:pt idx="736" formatCode="_(&quot;$&quot;* #,##0.00_);_(&quot;$&quot;* \(#,##0.00\);_(&quot;$&quot;* &quot;-&quot;??_);_(@_)">
                  <c:v>46294.251419725719</c:v>
                </c:pt>
                <c:pt idx="737" formatCode="_(&quot;$&quot;* #,##0.00_);_(&quot;$&quot;* \(#,##0.00\);_(&quot;$&quot;* &quot;-&quot;??_);_(@_)">
                  <c:v>45115.107150567514</c:v>
                </c:pt>
                <c:pt idx="738" formatCode="_(&quot;$&quot;* #,##0.00_);_(&quot;$&quot;* \(#,##0.00\);_(&quot;$&quot;* &quot;-&quot;??_);_(@_)">
                  <c:v>44120.653896552045</c:v>
                </c:pt>
                <c:pt idx="739" formatCode="_(&quot;$&quot;* #,##0.00_);_(&quot;$&quot;* \(#,##0.00\);_(&quot;$&quot;* &quot;-&quot;??_);_(@_)">
                  <c:v>44211.767814879589</c:v>
                </c:pt>
                <c:pt idx="740" formatCode="_(&quot;$&quot;* #,##0.00_);_(&quot;$&quot;* \(#,##0.00\);_(&quot;$&quot;* &quot;-&quot;??_);_(@_)">
                  <c:v>44220.114419897625</c:v>
                </c:pt>
                <c:pt idx="741" formatCode="_(&quot;$&quot;* #,##0.00_);_(&quot;$&quot;* \(#,##0.00\);_(&quot;$&quot;* &quot;-&quot;??_);_(@_)">
                  <c:v>44461.312367551793</c:v>
                </c:pt>
                <c:pt idx="742" formatCode="_(&quot;$&quot;* #,##0.00_);_(&quot;$&quot;* \(#,##0.00\);_(&quot;$&quot;* &quot;-&quot;??_);_(@_)">
                  <c:v>44657.959314613057</c:v>
                </c:pt>
                <c:pt idx="743" formatCode="_(&quot;$&quot;* #,##0.00_);_(&quot;$&quot;* \(#,##0.00\);_(&quot;$&quot;* &quot;-&quot;??_);_(@_)">
                  <c:v>45753.505130053214</c:v>
                </c:pt>
                <c:pt idx="744" formatCode="_(&quot;$&quot;* #,##0.00_);_(&quot;$&quot;* \(#,##0.00\);_(&quot;$&quot;* &quot;-&quot;??_);_(@_)">
                  <c:v>46394.19355565765</c:v>
                </c:pt>
                <c:pt idx="745" formatCode="_(&quot;$&quot;* #,##0.00_);_(&quot;$&quot;* \(#,##0.00\);_(&quot;$&quot;* &quot;-&quot;??_);_(@_)">
                  <c:v>46702.373823324568</c:v>
                </c:pt>
                <c:pt idx="746" formatCode="_(&quot;$&quot;* #,##0.00_);_(&quot;$&quot;* \(#,##0.00\);_(&quot;$&quot;* &quot;-&quot;??_);_(@_)">
                  <c:v>46779.099188330045</c:v>
                </c:pt>
                <c:pt idx="747" formatCode="_(&quot;$&quot;* #,##0.00_);_(&quot;$&quot;* \(#,##0.00\);_(&quot;$&quot;* &quot;-&quot;??_);_(@_)">
                  <c:v>47768.182393767616</c:v>
                </c:pt>
                <c:pt idx="748" formatCode="_(&quot;$&quot;* #,##0.00_);_(&quot;$&quot;* \(#,##0.00\);_(&quot;$&quot;* &quot;-&quot;??_);_(@_)">
                  <c:v>46616.987782401171</c:v>
                </c:pt>
                <c:pt idx="749" formatCode="_(&quot;$&quot;* #,##0.00_);_(&quot;$&quot;* \(#,##0.00\);_(&quot;$&quot;* &quot;-&quot;??_);_(@_)">
                  <c:v>46920.030463895579</c:v>
                </c:pt>
                <c:pt idx="750" formatCode="_(&quot;$&quot;* #,##0.00_);_(&quot;$&quot;* \(#,##0.00\);_(&quot;$&quot;* &quot;-&quot;??_);_(@_)">
                  <c:v>47061.089668017201</c:v>
                </c:pt>
                <c:pt idx="751" formatCode="_(&quot;$&quot;* #,##0.00_);_(&quot;$&quot;* \(#,##0.00\);_(&quot;$&quot;* &quot;-&quot;??_);_(@_)">
                  <c:v>47610.92073747547</c:v>
                </c:pt>
                <c:pt idx="752" formatCode="_(&quot;$&quot;* #,##0.00_);_(&quot;$&quot;* \(#,##0.00\);_(&quot;$&quot;* &quot;-&quot;??_);_(@_)">
                  <c:v>47714.577352270251</c:v>
                </c:pt>
                <c:pt idx="753" formatCode="_(&quot;$&quot;* #,##0.00_);_(&quot;$&quot;* \(#,##0.00\);_(&quot;$&quot;* &quot;-&quot;??_);_(@_)">
                  <c:v>47677.800488316068</c:v>
                </c:pt>
                <c:pt idx="754" formatCode="_(&quot;$&quot;* #,##0.00_);_(&quot;$&quot;* \(#,##0.00\);_(&quot;$&quot;* &quot;-&quot;??_);_(@_)">
                  <c:v>47178.245048310506</c:v>
                </c:pt>
                <c:pt idx="755" formatCode="_(&quot;$&quot;* #,##0.00_);_(&quot;$&quot;* \(#,##0.00\);_(&quot;$&quot;* &quot;-&quot;??_);_(@_)">
                  <c:v>46947.739443565093</c:v>
                </c:pt>
                <c:pt idx="756" formatCode="_(&quot;$&quot;* #,##0.00_);_(&quot;$&quot;* \(#,##0.00\);_(&quot;$&quot;* &quot;-&quot;??_);_(@_)">
                  <c:v>46415.157620118858</c:v>
                </c:pt>
                <c:pt idx="757" formatCode="_(&quot;$&quot;* #,##0.00_);_(&quot;$&quot;* \(#,##0.00\);_(&quot;$&quot;* &quot;-&quot;??_);_(@_)">
                  <c:v>45910.17128880752</c:v>
                </c:pt>
                <c:pt idx="758" formatCode="_(&quot;$&quot;* #,##0.00_);_(&quot;$&quot;* \(#,##0.00\);_(&quot;$&quot;* &quot;-&quot;??_);_(@_)">
                  <c:v>45803.35266983039</c:v>
                </c:pt>
                <c:pt idx="759" formatCode="_(&quot;$&quot;* #,##0.00_);_(&quot;$&quot;* \(#,##0.00\);_(&quot;$&quot;* &quot;-&quot;??_);_(@_)">
                  <c:v>45445.745886928773</c:v>
                </c:pt>
                <c:pt idx="760" formatCode="_(&quot;$&quot;* #,##0.00_);_(&quot;$&quot;* \(#,##0.00\);_(&quot;$&quot;* &quot;-&quot;??_);_(@_)">
                  <c:v>45462.195499399371</c:v>
                </c:pt>
                <c:pt idx="761" formatCode="_(&quot;$&quot;* #,##0.00_);_(&quot;$&quot;* \(#,##0.00\);_(&quot;$&quot;* &quot;-&quot;??_);_(@_)">
                  <c:v>45267.265082103637</c:v>
                </c:pt>
                <c:pt idx="762" formatCode="_(&quot;$&quot;* #,##0.00_);_(&quot;$&quot;* \(#,##0.00\);_(&quot;$&quot;* &quot;-&quot;??_);_(@_)">
                  <c:v>45034.713291099477</c:v>
                </c:pt>
                <c:pt idx="763" formatCode="_(&quot;$&quot;* #,##0.00_);_(&quot;$&quot;* \(#,##0.00\);_(&quot;$&quot;* &quot;-&quot;??_);_(@_)">
                  <c:v>45391.175064022493</c:v>
                </c:pt>
                <c:pt idx="764" formatCode="_(&quot;$&quot;* #,##0.00_);_(&quot;$&quot;* \(#,##0.00\);_(&quot;$&quot;* &quot;-&quot;??_);_(@_)">
                  <c:v>45892.127018680549</c:v>
                </c:pt>
                <c:pt idx="765" formatCode="_(&quot;$&quot;* #,##0.00_);_(&quot;$&quot;* \(#,##0.00\);_(&quot;$&quot;* &quot;-&quot;??_);_(@_)">
                  <c:v>46102.03984650132</c:v>
                </c:pt>
                <c:pt idx="766" formatCode="_(&quot;$&quot;* #,##0.00_);_(&quot;$&quot;* \(#,##0.00\);_(&quot;$&quot;* &quot;-&quot;??_);_(@_)">
                  <c:v>46323.207165188644</c:v>
                </c:pt>
                <c:pt idx="767" formatCode="_(&quot;$&quot;* #,##0.00_);_(&quot;$&quot;* \(#,##0.00\);_(&quot;$&quot;* &quot;-&quot;??_);_(@_)">
                  <c:v>46231.806643537479</c:v>
                </c:pt>
                <c:pt idx="768" formatCode="_(&quot;$&quot;* #,##0.00_);_(&quot;$&quot;* \(#,##0.00\);_(&quot;$&quot;* &quot;-&quot;??_);_(@_)">
                  <c:v>46537.024034078029</c:v>
                </c:pt>
                <c:pt idx="769" formatCode="_(&quot;$&quot;* #,##0.00_);_(&quot;$&quot;* \(#,##0.00\);_(&quot;$&quot;* &quot;-&quot;??_);_(@_)">
                  <c:v>46901.910801550461</c:v>
                </c:pt>
                <c:pt idx="770" formatCode="_(&quot;$&quot;* #,##0.00_);_(&quot;$&quot;* \(#,##0.00\);_(&quot;$&quot;* &quot;-&quot;??_);_(@_)">
                  <c:v>46720.862740772689</c:v>
                </c:pt>
                <c:pt idx="771" formatCode="_(&quot;$&quot;* #,##0.00_);_(&quot;$&quot;* \(#,##0.00\);_(&quot;$&quot;* &quot;-&quot;??_);_(@_)">
                  <c:v>47493.72784878176</c:v>
                </c:pt>
                <c:pt idx="772" formatCode="_(&quot;$&quot;* #,##0.00_);_(&quot;$&quot;* \(#,##0.00\);_(&quot;$&quot;* &quot;-&quot;??_);_(@_)">
                  <c:v>47554.407408265557</c:v>
                </c:pt>
                <c:pt idx="773" formatCode="_(&quot;$&quot;* #,##0.00_);_(&quot;$&quot;* \(#,##0.00\);_(&quot;$&quot;* &quot;-&quot;??_);_(@_)">
                  <c:v>47186.179277914045</c:v>
                </c:pt>
                <c:pt idx="774" formatCode="_(&quot;$&quot;* #,##0.00_);_(&quot;$&quot;* \(#,##0.00\);_(&quot;$&quot;* &quot;-&quot;??_);_(@_)">
                  <c:v>47795.482220243117</c:v>
                </c:pt>
                <c:pt idx="775" formatCode="_(&quot;$&quot;* #,##0.00_);_(&quot;$&quot;* \(#,##0.00\);_(&quot;$&quot;* &quot;-&quot;??_);_(@_)">
                  <c:v>47643.884079864067</c:v>
                </c:pt>
                <c:pt idx="776" formatCode="_(&quot;$&quot;* #,##0.00_);_(&quot;$&quot;* \(#,##0.00\);_(&quot;$&quot;* &quot;-&quot;??_);_(@_)">
                  <c:v>47266.419473079521</c:v>
                </c:pt>
                <c:pt idx="777" formatCode="_(&quot;$&quot;* #,##0.00_);_(&quot;$&quot;* \(#,##0.00\);_(&quot;$&quot;* &quot;-&quot;??_);_(@_)">
                  <c:v>46286.983751552667</c:v>
                </c:pt>
                <c:pt idx="778" formatCode="_(&quot;$&quot;* #,##0.00_);_(&quot;$&quot;* \(#,##0.00\);_(&quot;$&quot;* &quot;-&quot;??_);_(@_)">
                  <c:v>46065.744005587119</c:v>
                </c:pt>
                <c:pt idx="779" formatCode="_(&quot;$&quot;* #,##0.00_);_(&quot;$&quot;* \(#,##0.00\);_(&quot;$&quot;* &quot;-&quot;??_);_(@_)">
                  <c:v>46501.066964338606</c:v>
                </c:pt>
                <c:pt idx="780" formatCode="_(&quot;$&quot;* #,##0.00_);_(&quot;$&quot;* \(#,##0.00\);_(&quot;$&quot;* &quot;-&quot;??_);_(@_)">
                  <c:v>47079.055578127292</c:v>
                </c:pt>
                <c:pt idx="781" formatCode="_(&quot;$&quot;* #,##0.00_);_(&quot;$&quot;* \(#,##0.00\);_(&quot;$&quot;* &quot;-&quot;??_);_(@_)">
                  <c:v>47185.684014738996</c:v>
                </c:pt>
                <c:pt idx="782" formatCode="_(&quot;$&quot;* #,##0.00_);_(&quot;$&quot;* \(#,##0.00\);_(&quot;$&quot;* &quot;-&quot;??_);_(@_)">
                  <c:v>47295.345885184324</c:v>
                </c:pt>
                <c:pt idx="783" formatCode="_(&quot;$&quot;* #,##0.00_);_(&quot;$&quot;* \(#,##0.00\);_(&quot;$&quot;* &quot;-&quot;??_);_(@_)">
                  <c:v>46655.806521880899</c:v>
                </c:pt>
                <c:pt idx="784" formatCode="_(&quot;$&quot;* #,##0.00_);_(&quot;$&quot;* \(#,##0.00\);_(&quot;$&quot;* &quot;-&quot;??_);_(@_)">
                  <c:v>46768.947853408157</c:v>
                </c:pt>
                <c:pt idx="785" formatCode="_(&quot;$&quot;* #,##0.00_);_(&quot;$&quot;* \(#,##0.00\);_(&quot;$&quot;* &quot;-&quot;??_);_(@_)">
                  <c:v>46637.407704952762</c:v>
                </c:pt>
                <c:pt idx="786" formatCode="_(&quot;$&quot;* #,##0.00_);_(&quot;$&quot;* \(#,##0.00\);_(&quot;$&quot;* &quot;-&quot;??_);_(@_)">
                  <c:v>46497.632330928194</c:v>
                </c:pt>
                <c:pt idx="787" formatCode="_(&quot;$&quot;* #,##0.00_);_(&quot;$&quot;* \(#,##0.00\);_(&quot;$&quot;* &quot;-&quot;??_);_(@_)">
                  <c:v>46895.372853966255</c:v>
                </c:pt>
                <c:pt idx="788" formatCode="_(&quot;$&quot;* #,##0.00_);_(&quot;$&quot;* \(#,##0.00\);_(&quot;$&quot;* &quot;-&quot;??_);_(@_)">
                  <c:v>47335.966175450143</c:v>
                </c:pt>
                <c:pt idx="789" formatCode="_(&quot;$&quot;* #,##0.00_);_(&quot;$&quot;* \(#,##0.00\);_(&quot;$&quot;* &quot;-&quot;??_);_(@_)">
                  <c:v>47839.96073647328</c:v>
                </c:pt>
                <c:pt idx="790" formatCode="_(&quot;$&quot;* #,##0.00_);_(&quot;$&quot;* \(#,##0.00\);_(&quot;$&quot;* &quot;-&quot;??_);_(@_)">
                  <c:v>47567.781676631108</c:v>
                </c:pt>
                <c:pt idx="791" formatCode="_(&quot;$&quot;* #,##0.00_);_(&quot;$&quot;* \(#,##0.00\);_(&quot;$&quot;* &quot;-&quot;??_);_(@_)">
                  <c:v>47933.374340767288</c:v>
                </c:pt>
                <c:pt idx="792" formatCode="_(&quot;$&quot;* #,##0.00_);_(&quot;$&quot;* \(#,##0.00\);_(&quot;$&quot;* &quot;-&quot;??_);_(@_)">
                  <c:v>47784.551100792742</c:v>
                </c:pt>
                <c:pt idx="793" formatCode="_(&quot;$&quot;* #,##0.00_);_(&quot;$&quot;* \(#,##0.00\);_(&quot;$&quot;* &quot;-&quot;??_);_(@_)">
                  <c:v>47495.515790002988</c:v>
                </c:pt>
                <c:pt idx="794" formatCode="_(&quot;$&quot;* #,##0.00_);_(&quot;$&quot;* \(#,##0.00\);_(&quot;$&quot;* &quot;-&quot;??_);_(@_)">
                  <c:v>47619.741550088132</c:v>
                </c:pt>
                <c:pt idx="795" formatCode="_(&quot;$&quot;* #,##0.00_);_(&quot;$&quot;* \(#,##0.00\);_(&quot;$&quot;* &quot;-&quot;??_);_(@_)">
                  <c:v>47745.380839261248</c:v>
                </c:pt>
                <c:pt idx="796" formatCode="_(&quot;$&quot;* #,##0.00_);_(&quot;$&quot;* \(#,##0.00\);_(&quot;$&quot;* &quot;-&quot;??_);_(@_)">
                  <c:v>48454.089316213845</c:v>
                </c:pt>
                <c:pt idx="797" formatCode="_(&quot;$&quot;* #,##0.00_);_(&quot;$&quot;* \(#,##0.00\);_(&quot;$&quot;* &quot;-&quot;??_);_(@_)">
                  <c:v>48459.791561369486</c:v>
                </c:pt>
                <c:pt idx="798" formatCode="_(&quot;$&quot;* #,##0.00_);_(&quot;$&quot;* \(#,##0.00\);_(&quot;$&quot;* &quot;-&quot;??_);_(@_)">
                  <c:v>48659.469142629496</c:v>
                </c:pt>
                <c:pt idx="799" formatCode="_(&quot;$&quot;* #,##0.00_);_(&quot;$&quot;* \(#,##0.00\);_(&quot;$&quot;* &quot;-&quot;??_);_(@_)">
                  <c:v>48275.974053777551</c:v>
                </c:pt>
                <c:pt idx="800" formatCode="_(&quot;$&quot;* #,##0.00_);_(&quot;$&quot;* \(#,##0.00\);_(&quot;$&quot;* &quot;-&quot;??_);_(@_)">
                  <c:v>48360.066690217573</c:v>
                </c:pt>
                <c:pt idx="801" formatCode="_(&quot;$&quot;* #,##0.00_);_(&quot;$&quot;* \(#,##0.00\);_(&quot;$&quot;* &quot;-&quot;??_);_(@_)">
                  <c:v>48035.583855546909</c:v>
                </c:pt>
                <c:pt idx="802" formatCode="_(&quot;$&quot;* #,##0.00_);_(&quot;$&quot;* \(#,##0.00\);_(&quot;$&quot;* &quot;-&quot;??_);_(@_)">
                  <c:v>48277.211175153345</c:v>
                </c:pt>
                <c:pt idx="803" formatCode="_(&quot;$&quot;* #,##0.00_);_(&quot;$&quot;* \(#,##0.00\);_(&quot;$&quot;* &quot;-&quot;??_);_(@_)">
                  <c:v>48445.471859051504</c:v>
                </c:pt>
                <c:pt idx="804" formatCode="_(&quot;$&quot;* #,##0.00_);_(&quot;$&quot;* \(#,##0.00\);_(&quot;$&quot;* &quot;-&quot;??_);_(@_)">
                  <c:v>48532.320674462433</c:v>
                </c:pt>
                <c:pt idx="805" formatCode="_(&quot;$&quot;* #,##0.00_);_(&quot;$&quot;* \(#,##0.00\);_(&quot;$&quot;* &quot;-&quot;??_);_(@_)">
                  <c:v>49220.360124367704</c:v>
                </c:pt>
                <c:pt idx="806" formatCode="_(&quot;$&quot;* #,##0.00_);_(&quot;$&quot;* \(#,##0.00\);_(&quot;$&quot;* &quot;-&quot;??_);_(@_)">
                  <c:v>49616.445700123804</c:v>
                </c:pt>
                <c:pt idx="807" formatCode="_(&quot;$&quot;* #,##0.00_);_(&quot;$&quot;* \(#,##0.00\);_(&quot;$&quot;* &quot;-&quot;??_);_(@_)">
                  <c:v>49031.383026388081</c:v>
                </c:pt>
                <c:pt idx="808" formatCode="_(&quot;$&quot;* #,##0.00_);_(&quot;$&quot;* \(#,##0.00\);_(&quot;$&quot;* &quot;-&quot;??_);_(@_)">
                  <c:v>49225.293383420794</c:v>
                </c:pt>
                <c:pt idx="809" formatCode="_(&quot;$&quot;* #,##0.00_);_(&quot;$&quot;* \(#,##0.00\);_(&quot;$&quot;* &quot;-&quot;??_);_(@_)">
                  <c:v>49665.731854165839</c:v>
                </c:pt>
                <c:pt idx="810" formatCode="_(&quot;$&quot;* #,##0.00_);_(&quot;$&quot;* \(#,##0.00\);_(&quot;$&quot;* &quot;-&quot;??_);_(@_)">
                  <c:v>49407.798914443811</c:v>
                </c:pt>
                <c:pt idx="811" formatCode="_(&quot;$&quot;* #,##0.00_);_(&quot;$&quot;* \(#,##0.00\);_(&quot;$&quot;* &quot;-&quot;??_);_(@_)">
                  <c:v>49871.110157367431</c:v>
                </c:pt>
                <c:pt idx="812" formatCode="_(&quot;$&quot;* #,##0.00_);_(&quot;$&quot;* \(#,##0.00\);_(&quot;$&quot;* &quot;-&quot;??_);_(@_)">
                  <c:v>49786.974621814668</c:v>
                </c:pt>
                <c:pt idx="813" formatCode="_(&quot;$&quot;* #,##0.00_);_(&quot;$&quot;* \(#,##0.00\);_(&quot;$&quot;* &quot;-&quot;??_);_(@_)">
                  <c:v>48892.941161581628</c:v>
                </c:pt>
                <c:pt idx="814" formatCode="_(&quot;$&quot;* #,##0.00_);_(&quot;$&quot;* \(#,##0.00\);_(&quot;$&quot;* &quot;-&quot;??_);_(@_)">
                  <c:v>49252.603626224831</c:v>
                </c:pt>
                <c:pt idx="815" formatCode="_(&quot;$&quot;* #,##0.00_);_(&quot;$&quot;* \(#,##0.00\);_(&quot;$&quot;* &quot;-&quot;??_);_(@_)">
                  <c:v>48918.159537577878</c:v>
                </c:pt>
                <c:pt idx="816" formatCode="_(&quot;$&quot;* #,##0.00_);_(&quot;$&quot;* \(#,##0.00\);_(&quot;$&quot;* &quot;-&quot;??_);_(@_)">
                  <c:v>48960.922657774208</c:v>
                </c:pt>
                <c:pt idx="817" formatCode="_(&quot;$&quot;* #,##0.00_);_(&quot;$&quot;* \(#,##0.00\);_(&quot;$&quot;* &quot;-&quot;??_);_(@_)">
                  <c:v>49079.990984424789</c:v>
                </c:pt>
                <c:pt idx="818" formatCode="_(&quot;$&quot;* #,##0.00_);_(&quot;$&quot;* \(#,##0.00\);_(&quot;$&quot;* &quot;-&quot;??_);_(@_)">
                  <c:v>49754.789869203298</c:v>
                </c:pt>
                <c:pt idx="819" formatCode="_(&quot;$&quot;* #,##0.00_);_(&quot;$&quot;* \(#,##0.00\);_(&quot;$&quot;* &quot;-&quot;??_);_(@_)">
                  <c:v>49630.825731435092</c:v>
                </c:pt>
                <c:pt idx="820" formatCode="_(&quot;$&quot;* #,##0.00_);_(&quot;$&quot;* \(#,##0.00\);_(&quot;$&quot;* &quot;-&quot;??_);_(@_)">
                  <c:v>49226.384773437021</c:v>
                </c:pt>
                <c:pt idx="821" formatCode="_(&quot;$&quot;* #,##0.00_);_(&quot;$&quot;* \(#,##0.00\);_(&quot;$&quot;* &quot;-&quot;??_);_(@_)">
                  <c:v>49677.822555143321</c:v>
                </c:pt>
                <c:pt idx="822" formatCode="_(&quot;$&quot;* #,##0.00_);_(&quot;$&quot;* \(#,##0.00\);_(&quot;$&quot;* &quot;-&quot;??_);_(@_)">
                  <c:v>49671.943643103114</c:v>
                </c:pt>
                <c:pt idx="823" formatCode="_(&quot;$&quot;* #,##0.00_);_(&quot;$&quot;* \(#,##0.00\);_(&quot;$&quot;* &quot;-&quot;??_);_(@_)">
                  <c:v>49829.106393785223</c:v>
                </c:pt>
                <c:pt idx="824" formatCode="_(&quot;$&quot;* #,##0.00_);_(&quot;$&quot;* \(#,##0.00\);_(&quot;$&quot;* &quot;-&quot;??_);_(@_)">
                  <c:v>49261.588536183932</c:v>
                </c:pt>
                <c:pt idx="825" formatCode="_(&quot;$&quot;* #,##0.00_);_(&quot;$&quot;* \(#,##0.00\);_(&quot;$&quot;* &quot;-&quot;??_);_(@_)">
                  <c:v>49267.870993127028</c:v>
                </c:pt>
                <c:pt idx="826" formatCode="_(&quot;$&quot;* #,##0.00_);_(&quot;$&quot;* \(#,##0.00\);_(&quot;$&quot;* &quot;-&quot;??_);_(@_)">
                  <c:v>49903.143819967416</c:v>
                </c:pt>
                <c:pt idx="827" formatCode="_(&quot;$&quot;* #,##0.00_);_(&quot;$&quot;* \(#,##0.00\);_(&quot;$&quot;* &quot;-&quot;??_);_(@_)">
                  <c:v>49600.343144432831</c:v>
                </c:pt>
                <c:pt idx="828" formatCode="_(&quot;$&quot;* #,##0.00_);_(&quot;$&quot;* \(#,##0.00\);_(&quot;$&quot;* &quot;-&quot;??_);_(@_)">
                  <c:v>48877.481083878629</c:v>
                </c:pt>
                <c:pt idx="829" formatCode="_(&quot;$&quot;* #,##0.00_);_(&quot;$&quot;* \(#,##0.00\);_(&quot;$&quot;* &quot;-&quot;??_);_(@_)">
                  <c:v>49355.245586737095</c:v>
                </c:pt>
                <c:pt idx="830" formatCode="_(&quot;$&quot;* #,##0.00_);_(&quot;$&quot;* \(#,##0.00\);_(&quot;$&quot;* &quot;-&quot;??_);_(@_)">
                  <c:v>49921.55446866111</c:v>
                </c:pt>
                <c:pt idx="831" formatCode="_(&quot;$&quot;* #,##0.00_);_(&quot;$&quot;* \(#,##0.00\);_(&quot;$&quot;* &quot;-&quot;??_);_(@_)">
                  <c:v>49410.088143156136</c:v>
                </c:pt>
                <c:pt idx="832" formatCode="_(&quot;$&quot;* #,##0.00_);_(&quot;$&quot;* \(#,##0.00\);_(&quot;$&quot;* &quot;-&quot;??_);_(@_)">
                  <c:v>49616.954781635817</c:v>
                </c:pt>
                <c:pt idx="833" formatCode="_(&quot;$&quot;* #,##0.00_);_(&quot;$&quot;* \(#,##0.00\);_(&quot;$&quot;* &quot;-&quot;??_);_(@_)">
                  <c:v>49300.474774732233</c:v>
                </c:pt>
                <c:pt idx="834" formatCode="_(&quot;$&quot;* #,##0.00_);_(&quot;$&quot;* \(#,##0.00\);_(&quot;$&quot;* &quot;-&quot;??_);_(@_)">
                  <c:v>48870.730194634161</c:v>
                </c:pt>
                <c:pt idx="835" formatCode="_(&quot;$&quot;* #,##0.00_);_(&quot;$&quot;* \(#,##0.00\);_(&quot;$&quot;* &quot;-&quot;??_);_(@_)">
                  <c:v>49360.610748922008</c:v>
                </c:pt>
                <c:pt idx="836" formatCode="_(&quot;$&quot;* #,##0.00_);_(&quot;$&quot;* \(#,##0.00\);_(&quot;$&quot;* &quot;-&quot;??_);_(@_)">
                  <c:v>49976.197091903348</c:v>
                </c:pt>
                <c:pt idx="837" formatCode="_(&quot;$&quot;* #,##0.00_);_(&quot;$&quot;* \(#,##0.00\);_(&quot;$&quot;* &quot;-&quot;??_);_(@_)">
                  <c:v>50310.745855134672</c:v>
                </c:pt>
                <c:pt idx="838" formatCode="_(&quot;$&quot;* #,##0.00_);_(&quot;$&quot;* \(#,##0.00\);_(&quot;$&quot;* &quot;-&quot;??_);_(@_)">
                  <c:v>50613.576986213993</c:v>
                </c:pt>
                <c:pt idx="839" formatCode="_(&quot;$&quot;* #,##0.00_);_(&quot;$&quot;* \(#,##0.00\);_(&quot;$&quot;* &quot;-&quot;??_);_(@_)">
                  <c:v>50509.002758400689</c:v>
                </c:pt>
                <c:pt idx="840" formatCode="_(&quot;$&quot;* #,##0.00_);_(&quot;$&quot;* \(#,##0.00\);_(&quot;$&quot;* &quot;-&quot;??_);_(@_)">
                  <c:v>50810.793094238419</c:v>
                </c:pt>
                <c:pt idx="841" formatCode="_(&quot;$&quot;* #,##0.00_);_(&quot;$&quot;* \(#,##0.00\);_(&quot;$&quot;* &quot;-&quot;??_);_(@_)">
                  <c:v>51491.1080166717</c:v>
                </c:pt>
                <c:pt idx="842" formatCode="_(&quot;$&quot;* #,##0.00_);_(&quot;$&quot;* \(#,##0.00\);_(&quot;$&quot;* &quot;-&quot;??_);_(@_)">
                  <c:v>51341.030071256588</c:v>
                </c:pt>
                <c:pt idx="843" formatCode="_(&quot;$&quot;* #,##0.00_);_(&quot;$&quot;* \(#,##0.00\);_(&quot;$&quot;* &quot;-&quot;??_);_(@_)">
                  <c:v>51671.282779637804</c:v>
                </c:pt>
                <c:pt idx="844" formatCode="_(&quot;$&quot;* #,##0.00_);_(&quot;$&quot;* \(#,##0.00\);_(&quot;$&quot;* &quot;-&quot;??_);_(@_)">
                  <c:v>52427.667400076301</c:v>
                </c:pt>
                <c:pt idx="845" formatCode="_(&quot;$&quot;* #,##0.00_);_(&quot;$&quot;* \(#,##0.00\);_(&quot;$&quot;* &quot;-&quot;??_);_(@_)">
                  <c:v>52803.28166522822</c:v>
                </c:pt>
                <c:pt idx="846" formatCode="_(&quot;$&quot;* #,##0.00_);_(&quot;$&quot;* \(#,##0.00\);_(&quot;$&quot;* &quot;-&quot;??_);_(@_)">
                  <c:v>52781.898626201371</c:v>
                </c:pt>
                <c:pt idx="847" formatCode="_(&quot;$&quot;* #,##0.00_);_(&quot;$&quot;* \(#,##0.00\);_(&quot;$&quot;* &quot;-&quot;??_);_(@_)">
                  <c:v>53083.004352895499</c:v>
                </c:pt>
                <c:pt idx="848" formatCode="_(&quot;$&quot;* #,##0.00_);_(&quot;$&quot;* \(#,##0.00\);_(&quot;$&quot;* &quot;-&quot;??_);_(@_)">
                  <c:v>52544.103993517594</c:v>
                </c:pt>
                <c:pt idx="849" formatCode="_(&quot;$&quot;* #,##0.00_);_(&quot;$&quot;* \(#,##0.00\);_(&quot;$&quot;* &quot;-&quot;??_);_(@_)">
                  <c:v>53358.039233771553</c:v>
                </c:pt>
                <c:pt idx="850" formatCode="_(&quot;$&quot;* #,##0.00_);_(&quot;$&quot;* \(#,##0.00\);_(&quot;$&quot;* &quot;-&quot;??_);_(@_)">
                  <c:v>53715.061199475014</c:v>
                </c:pt>
                <c:pt idx="851" formatCode="_(&quot;$&quot;* #,##0.00_);_(&quot;$&quot;* \(#,##0.00\);_(&quot;$&quot;* &quot;-&quot;??_);_(@_)">
                  <c:v>53558.434358280319</c:v>
                </c:pt>
                <c:pt idx="852" formatCode="_(&quot;$&quot;* #,##0.00_);_(&quot;$&quot;* \(#,##0.00\);_(&quot;$&quot;* &quot;-&quot;??_);_(@_)">
                  <c:v>53185.942666360417</c:v>
                </c:pt>
                <c:pt idx="853" formatCode="_(&quot;$&quot;* #,##0.00_);_(&quot;$&quot;* \(#,##0.00\);_(&quot;$&quot;* &quot;-&quot;??_);_(@_)">
                  <c:v>53052.1994900032</c:v>
                </c:pt>
                <c:pt idx="854" formatCode="_(&quot;$&quot;* #,##0.00_);_(&quot;$&quot;* \(#,##0.00\);_(&quot;$&quot;* &quot;-&quot;??_);_(@_)">
                  <c:v>52505.438798895069</c:v>
                </c:pt>
                <c:pt idx="855" formatCode="_(&quot;$&quot;* #,##0.00_);_(&quot;$&quot;* \(#,##0.00\);_(&quot;$&quot;* &quot;-&quot;??_);_(@_)">
                  <c:v>52550.78460695273</c:v>
                </c:pt>
                <c:pt idx="856" formatCode="_(&quot;$&quot;* #,##0.00_);_(&quot;$&quot;* \(#,##0.00\);_(&quot;$&quot;* &quot;-&quot;??_);_(@_)">
                  <c:v>52885.375782061157</c:v>
                </c:pt>
                <c:pt idx="857" formatCode="_(&quot;$&quot;* #,##0.00_);_(&quot;$&quot;* \(#,##0.00\);_(&quot;$&quot;* &quot;-&quot;??_);_(@_)">
                  <c:v>53529.496025698987</c:v>
                </c:pt>
                <c:pt idx="858" formatCode="_(&quot;$&quot;* #,##0.00_);_(&quot;$&quot;* \(#,##0.00\);_(&quot;$&quot;* &quot;-&quot;??_);_(@_)">
                  <c:v>52733.93429839793</c:v>
                </c:pt>
                <c:pt idx="859" formatCode="_(&quot;$&quot;* #,##0.00_);_(&quot;$&quot;* \(#,##0.00\);_(&quot;$&quot;* &quot;-&quot;??_);_(@_)">
                  <c:v>52760.453096733436</c:v>
                </c:pt>
                <c:pt idx="860" formatCode="_(&quot;$&quot;* #,##0.00_);_(&quot;$&quot;* \(#,##0.00\);_(&quot;$&quot;* &quot;-&quot;??_);_(@_)">
                  <c:v>52695.431856428149</c:v>
                </c:pt>
                <c:pt idx="861" formatCode="_(&quot;$&quot;* #,##0.00_);_(&quot;$&quot;* \(#,##0.00\);_(&quot;$&quot;* &quot;-&quot;??_);_(@_)">
                  <c:v>52030.84846731893</c:v>
                </c:pt>
                <c:pt idx="862" formatCode="_(&quot;$&quot;* #,##0.00_);_(&quot;$&quot;* \(#,##0.00\);_(&quot;$&quot;* &quot;-&quot;??_);_(@_)">
                  <c:v>51361.213230130408</c:v>
                </c:pt>
                <c:pt idx="863" formatCode="_(&quot;$&quot;* #,##0.00_);_(&quot;$&quot;* \(#,##0.00\);_(&quot;$&quot;* &quot;-&quot;??_);_(@_)">
                  <c:v>52220.416025316496</c:v>
                </c:pt>
                <c:pt idx="864" formatCode="_(&quot;$&quot;* #,##0.00_);_(&quot;$&quot;* \(#,##0.00\);_(&quot;$&quot;* &quot;-&quot;??_);_(@_)">
                  <c:v>51240.567390043747</c:v>
                </c:pt>
                <c:pt idx="865" formatCode="_(&quot;$&quot;* #,##0.00_);_(&quot;$&quot;* \(#,##0.00\);_(&quot;$&quot;* &quot;-&quot;??_);_(@_)">
                  <c:v>51758.983940775637</c:v>
                </c:pt>
                <c:pt idx="866" formatCode="_(&quot;$&quot;* #,##0.00_);_(&quot;$&quot;* \(#,##0.00\);_(&quot;$&quot;* &quot;-&quot;??_);_(@_)">
                  <c:v>51513.489410102513</c:v>
                </c:pt>
                <c:pt idx="867" formatCode="_(&quot;$&quot;* #,##0.00_);_(&quot;$&quot;* \(#,##0.00\);_(&quot;$&quot;* &quot;-&quot;??_);_(@_)">
                  <c:v>52427.029206224739</c:v>
                </c:pt>
                <c:pt idx="868" formatCode="_(&quot;$&quot;* #,##0.00_);_(&quot;$&quot;* \(#,##0.00\);_(&quot;$&quot;* &quot;-&quot;??_);_(@_)">
                  <c:v>52498.982221381477</c:v>
                </c:pt>
                <c:pt idx="869" formatCode="_(&quot;$&quot;* #,##0.00_);_(&quot;$&quot;* \(#,##0.00\);_(&quot;$&quot;* &quot;-&quot;??_);_(@_)">
                  <c:v>52294.802652851489</c:v>
                </c:pt>
                <c:pt idx="870" formatCode="_(&quot;$&quot;* #,##0.00_);_(&quot;$&quot;* \(#,##0.00\);_(&quot;$&quot;* &quot;-&quot;??_);_(@_)">
                  <c:v>53775.211439065701</c:v>
                </c:pt>
                <c:pt idx="871" formatCode="_(&quot;$&quot;* #,##0.00_);_(&quot;$&quot;* \(#,##0.00\);_(&quot;$&quot;* &quot;-&quot;??_);_(@_)">
                  <c:v>55128.111606862694</c:v>
                </c:pt>
                <c:pt idx="872" formatCode="_(&quot;$&quot;* #,##0.00_);_(&quot;$&quot;* \(#,##0.00\);_(&quot;$&quot;* &quot;-&quot;??_);_(@_)">
                  <c:v>55010.564571771953</c:v>
                </c:pt>
                <c:pt idx="873" formatCode="_(&quot;$&quot;* #,##0.00_);_(&quot;$&quot;* \(#,##0.00\);_(&quot;$&quot;* &quot;-&quot;??_);_(@_)">
                  <c:v>54479.859979678105</c:v>
                </c:pt>
                <c:pt idx="874" formatCode="_(&quot;$&quot;* #,##0.00_);_(&quot;$&quot;* \(#,##0.00\);_(&quot;$&quot;* &quot;-&quot;??_);_(@_)">
                  <c:v>54768.50211081397</c:v>
                </c:pt>
                <c:pt idx="875" formatCode="_(&quot;$&quot;* #,##0.00_);_(&quot;$&quot;* \(#,##0.00\);_(&quot;$&quot;* &quot;-&quot;??_);_(@_)">
                  <c:v>54641.780452613646</c:v>
                </c:pt>
                <c:pt idx="876" formatCode="_(&quot;$&quot;* #,##0.00_);_(&quot;$&quot;* \(#,##0.00\);_(&quot;$&quot;* &quot;-&quot;??_);_(@_)">
                  <c:v>55190.554320129617</c:v>
                </c:pt>
                <c:pt idx="877" formatCode="_(&quot;$&quot;* #,##0.00_);_(&quot;$&quot;* \(#,##0.00\);_(&quot;$&quot;* &quot;-&quot;??_);_(@_)">
                  <c:v>55108.402440689235</c:v>
                </c:pt>
                <c:pt idx="878" formatCode="_(&quot;$&quot;* #,##0.00_);_(&quot;$&quot;* \(#,##0.00\);_(&quot;$&quot;* &quot;-&quot;??_);_(@_)">
                  <c:v>55588.298744324158</c:v>
                </c:pt>
                <c:pt idx="879" formatCode="_(&quot;$&quot;* #,##0.00_);_(&quot;$&quot;* \(#,##0.00\);_(&quot;$&quot;* &quot;-&quot;??_);_(@_)">
                  <c:v>55164.354575400132</c:v>
                </c:pt>
                <c:pt idx="880" formatCode="_(&quot;$&quot;* #,##0.00_);_(&quot;$&quot;* \(#,##0.00\);_(&quot;$&quot;* &quot;-&quot;??_);_(@_)">
                  <c:v>55560.495567448917</c:v>
                </c:pt>
                <c:pt idx="881" formatCode="_(&quot;$&quot;* #,##0.00_);_(&quot;$&quot;* \(#,##0.00\);_(&quot;$&quot;* &quot;-&quot;??_);_(@_)">
                  <c:v>55625.48124975161</c:v>
                </c:pt>
                <c:pt idx="882" formatCode="_(&quot;$&quot;* #,##0.00_);_(&quot;$&quot;* \(#,##0.00\);_(&quot;$&quot;* &quot;-&quot;??_);_(@_)">
                  <c:v>55884.245131308562</c:v>
                </c:pt>
                <c:pt idx="883" formatCode="_(&quot;$&quot;* #,##0.00_);_(&quot;$&quot;* \(#,##0.00\);_(&quot;$&quot;* &quot;-&quot;??_);_(@_)">
                  <c:v>56071.886050563626</c:v>
                </c:pt>
                <c:pt idx="884" formatCode="_(&quot;$&quot;* #,##0.00_);_(&quot;$&quot;* \(#,##0.00\);_(&quot;$&quot;* &quot;-&quot;??_);_(@_)">
                  <c:v>56166.270705917035</c:v>
                </c:pt>
                <c:pt idx="885" formatCode="_(&quot;$&quot;* #,##0.00_);_(&quot;$&quot;* \(#,##0.00\);_(&quot;$&quot;* &quot;-&quot;??_);_(@_)">
                  <c:v>55692.241192838235</c:v>
                </c:pt>
                <c:pt idx="886" formatCode="_(&quot;$&quot;* #,##0.00_);_(&quot;$&quot;* \(#,##0.00\);_(&quot;$&quot;* &quot;-&quot;??_);_(@_)">
                  <c:v>55724.958493866652</c:v>
                </c:pt>
                <c:pt idx="887" formatCode="_(&quot;$&quot;* #,##0.00_);_(&quot;$&quot;* \(#,##0.00\);_(&quot;$&quot;* &quot;-&quot;??_);_(@_)">
                  <c:v>55560.510122620122</c:v>
                </c:pt>
                <c:pt idx="888" formatCode="_(&quot;$&quot;* #,##0.00_);_(&quot;$&quot;* \(#,##0.00\);_(&quot;$&quot;* &quot;-&quot;??_);_(@_)">
                  <c:v>55867.257348889994</c:v>
                </c:pt>
                <c:pt idx="889" formatCode="_(&quot;$&quot;* #,##0.00_);_(&quot;$&quot;* \(#,##0.00\);_(&quot;$&quot;* &quot;-&quot;??_);_(@_)">
                  <c:v>56405.719603523874</c:v>
                </c:pt>
                <c:pt idx="890" formatCode="_(&quot;$&quot;* #,##0.00_);_(&quot;$&quot;* \(#,##0.00\);_(&quot;$&quot;* &quot;-&quot;??_);_(@_)">
                  <c:v>57003.048776108386</c:v>
                </c:pt>
                <c:pt idx="891" formatCode="_(&quot;$&quot;* #,##0.00_);_(&quot;$&quot;* \(#,##0.00\);_(&quot;$&quot;* &quot;-&quot;??_);_(@_)">
                  <c:v>56741.628791774754</c:v>
                </c:pt>
                <c:pt idx="892" formatCode="_(&quot;$&quot;* #,##0.00_);_(&quot;$&quot;* \(#,##0.00\);_(&quot;$&quot;* &quot;-&quot;??_);_(@_)">
                  <c:v>57464.482651460472</c:v>
                </c:pt>
                <c:pt idx="893" formatCode="_(&quot;$&quot;* #,##0.00_);_(&quot;$&quot;* \(#,##0.00\);_(&quot;$&quot;* &quot;-&quot;??_);_(@_)">
                  <c:v>57015.043382262222</c:v>
                </c:pt>
                <c:pt idx="894" formatCode="_(&quot;$&quot;* #,##0.00_);_(&quot;$&quot;* \(#,##0.00\);_(&quot;$&quot;* &quot;-&quot;??_);_(@_)">
                  <c:v>57701.436661809079</c:v>
                </c:pt>
                <c:pt idx="895" formatCode="_(&quot;$&quot;* #,##0.00_);_(&quot;$&quot;* \(#,##0.00\);_(&quot;$&quot;* &quot;-&quot;??_);_(@_)">
                  <c:v>57269.504380183731</c:v>
                </c:pt>
                <c:pt idx="896" formatCode="_(&quot;$&quot;* #,##0.00_);_(&quot;$&quot;* \(#,##0.00\);_(&quot;$&quot;* &quot;-&quot;??_);_(@_)">
                  <c:v>57124.130626861763</c:v>
                </c:pt>
                <c:pt idx="897" formatCode="_(&quot;$&quot;* #,##0.00_);_(&quot;$&quot;* \(#,##0.00\);_(&quot;$&quot;* &quot;-&quot;??_);_(@_)">
                  <c:v>57791.966036023587</c:v>
                </c:pt>
                <c:pt idx="898" formatCode="_(&quot;$&quot;* #,##0.00_);_(&quot;$&quot;* \(#,##0.00\);_(&quot;$&quot;* &quot;-&quot;??_);_(@_)">
                  <c:v>58168.348120307841</c:v>
                </c:pt>
                <c:pt idx="899" formatCode="_(&quot;$&quot;* #,##0.00_);_(&quot;$&quot;* \(#,##0.00\);_(&quot;$&quot;* &quot;-&quot;??_);_(@_)">
                  <c:v>59422.66466905846</c:v>
                </c:pt>
                <c:pt idx="900" formatCode="_(&quot;$&quot;* #,##0.00_);_(&quot;$&quot;* \(#,##0.00\);_(&quot;$&quot;* &quot;-&quot;??_);_(@_)">
                  <c:v>58922.144029843534</c:v>
                </c:pt>
                <c:pt idx="901" formatCode="_(&quot;$&quot;* #,##0.00_);_(&quot;$&quot;* \(#,##0.00\);_(&quot;$&quot;* &quot;-&quot;??_);_(@_)">
                  <c:v>57920.233119565433</c:v>
                </c:pt>
                <c:pt idx="902" formatCode="_(&quot;$&quot;* #,##0.00_);_(&quot;$&quot;* \(#,##0.00\);_(&quot;$&quot;* &quot;-&quot;??_);_(@_)">
                  <c:v>58294.608272216217</c:v>
                </c:pt>
                <c:pt idx="903" formatCode="_(&quot;$&quot;* #,##0.00_);_(&quot;$&quot;* \(#,##0.00\);_(&quot;$&quot;* &quot;-&quot;??_);_(@_)">
                  <c:v>58135.424143667529</c:v>
                </c:pt>
                <c:pt idx="904" formatCode="_(&quot;$&quot;* #,##0.00_);_(&quot;$&quot;* \(#,##0.00\);_(&quot;$&quot;* &quot;-&quot;??_);_(@_)">
                  <c:v>58713.76651936469</c:v>
                </c:pt>
                <c:pt idx="905" formatCode="_(&quot;$&quot;* #,##0.00_);_(&quot;$&quot;* \(#,##0.00\);_(&quot;$&quot;* &quot;-&quot;??_);_(@_)">
                  <c:v>59274.579613924871</c:v>
                </c:pt>
                <c:pt idx="906" formatCode="_(&quot;$&quot;* #,##0.00_);_(&quot;$&quot;* \(#,##0.00\);_(&quot;$&quot;* &quot;-&quot;??_);_(@_)">
                  <c:v>58926.530483808398</c:v>
                </c:pt>
                <c:pt idx="907" formatCode="_(&quot;$&quot;* #,##0.00_);_(&quot;$&quot;* \(#,##0.00\);_(&quot;$&quot;* &quot;-&quot;??_);_(@_)">
                  <c:v>58799.443046424611</c:v>
                </c:pt>
                <c:pt idx="908" formatCode="_(&quot;$&quot;* #,##0.00_);_(&quot;$&quot;* \(#,##0.00\);_(&quot;$&quot;* &quot;-&quot;??_);_(@_)">
                  <c:v>58608.38290049108</c:v>
                </c:pt>
                <c:pt idx="909" formatCode="_(&quot;$&quot;* #,##0.00_);_(&quot;$&quot;* \(#,##0.00\);_(&quot;$&quot;* &quot;-&quot;??_);_(@_)">
                  <c:v>57881.736216277583</c:v>
                </c:pt>
                <c:pt idx="910" formatCode="_(&quot;$&quot;* #,##0.00_);_(&quot;$&quot;* \(#,##0.00\);_(&quot;$&quot;* &quot;-&quot;??_);_(@_)">
                  <c:v>57402.29417019117</c:v>
                </c:pt>
                <c:pt idx="911" formatCode="_(&quot;$&quot;* #,##0.00_);_(&quot;$&quot;* \(#,##0.00\);_(&quot;$&quot;* &quot;-&quot;??_);_(@_)">
                  <c:v>58407.840778868085</c:v>
                </c:pt>
                <c:pt idx="912" formatCode="_(&quot;$&quot;* #,##0.00_);_(&quot;$&quot;* \(#,##0.00\);_(&quot;$&quot;* &quot;-&quot;??_);_(@_)">
                  <c:v>58416.178943298044</c:v>
                </c:pt>
                <c:pt idx="913" formatCode="_(&quot;$&quot;* #,##0.00_);_(&quot;$&quot;* \(#,##0.00\);_(&quot;$&quot;* &quot;-&quot;??_);_(@_)">
                  <c:v>58888.36852932701</c:v>
                </c:pt>
                <c:pt idx="914" formatCode="_(&quot;$&quot;* #,##0.00_);_(&quot;$&quot;* \(#,##0.00\);_(&quot;$&quot;* &quot;-&quot;??_);_(@_)">
                  <c:v>59049.457941839908</c:v>
                </c:pt>
                <c:pt idx="915" formatCode="_(&quot;$&quot;* #,##0.00_);_(&quot;$&quot;* \(#,##0.00\);_(&quot;$&quot;* &quot;-&quot;??_);_(@_)">
                  <c:v>58870.915514432629</c:v>
                </c:pt>
                <c:pt idx="916" formatCode="_(&quot;$&quot;* #,##0.00_);_(&quot;$&quot;* \(#,##0.00\);_(&quot;$&quot;* &quot;-&quot;??_);_(@_)">
                  <c:v>59074.251716878745</c:v>
                </c:pt>
                <c:pt idx="917" formatCode="_(&quot;$&quot;* #,##0.00_);_(&quot;$&quot;* \(#,##0.00\);_(&quot;$&quot;* &quot;-&quot;??_);_(@_)">
                  <c:v>59238.521161201992</c:v>
                </c:pt>
                <c:pt idx="918" formatCode="_(&quot;$&quot;* #,##0.00_);_(&quot;$&quot;* \(#,##0.00\);_(&quot;$&quot;* &quot;-&quot;??_);_(@_)">
                  <c:v>59478.21195024265</c:v>
                </c:pt>
                <c:pt idx="919" formatCode="_(&quot;$&quot;* #,##0.00_);_(&quot;$&quot;* \(#,##0.00\);_(&quot;$&quot;* &quot;-&quot;??_);_(@_)">
                  <c:v>58822.891644064104</c:v>
                </c:pt>
                <c:pt idx="920" formatCode="_(&quot;$&quot;* #,##0.00_);_(&quot;$&quot;* \(#,##0.00\);_(&quot;$&quot;* &quot;-&quot;??_);_(@_)">
                  <c:v>58502.983829297489</c:v>
                </c:pt>
                <c:pt idx="921" formatCode="_(&quot;$&quot;* #,##0.00_);_(&quot;$&quot;* \(#,##0.00\);_(&quot;$&quot;* &quot;-&quot;??_);_(@_)">
                  <c:v>61007.794575259402</c:v>
                </c:pt>
                <c:pt idx="922" formatCode="_(&quot;$&quot;* #,##0.00_);_(&quot;$&quot;* \(#,##0.00\);_(&quot;$&quot;* &quot;-&quot;??_);_(@_)">
                  <c:v>59992.323439902539</c:v>
                </c:pt>
                <c:pt idx="923" formatCode="_(&quot;$&quot;* #,##0.00_);_(&quot;$&quot;* \(#,##0.00\);_(&quot;$&quot;* &quot;-&quot;??_);_(@_)">
                  <c:v>60260.317283599041</c:v>
                </c:pt>
                <c:pt idx="924" formatCode="_(&quot;$&quot;* #,##0.00_);_(&quot;$&quot;* \(#,##0.00\);_(&quot;$&quot;* &quot;-&quot;??_);_(@_)">
                  <c:v>59952.843695094809</c:v>
                </c:pt>
                <c:pt idx="925" formatCode="_(&quot;$&quot;* #,##0.00_);_(&quot;$&quot;* \(#,##0.00\);_(&quot;$&quot;* &quot;-&quot;??_);_(@_)">
                  <c:v>59995.751108101133</c:v>
                </c:pt>
                <c:pt idx="926" formatCode="_(&quot;$&quot;* #,##0.00_);_(&quot;$&quot;* \(#,##0.00\);_(&quot;$&quot;* &quot;-&quot;??_);_(@_)">
                  <c:v>60934.619521428504</c:v>
                </c:pt>
                <c:pt idx="927" formatCode="_(&quot;$&quot;* #,##0.00_);_(&quot;$&quot;* \(#,##0.00\);_(&quot;$&quot;* &quot;-&quot;??_);_(@_)">
                  <c:v>61535.159879441446</c:v>
                </c:pt>
                <c:pt idx="928" formatCode="_(&quot;$&quot;* #,##0.00_);_(&quot;$&quot;* \(#,##0.00\);_(&quot;$&quot;* &quot;-&quot;??_);_(@_)">
                  <c:v>61905.105518264674</c:v>
                </c:pt>
                <c:pt idx="929" formatCode="_(&quot;$&quot;* #,##0.00_);_(&quot;$&quot;* \(#,##0.00\);_(&quot;$&quot;* &quot;-&quot;??_);_(@_)">
                  <c:v>61768.981076601129</c:v>
                </c:pt>
                <c:pt idx="930" formatCode="_(&quot;$&quot;* #,##0.00_);_(&quot;$&quot;* \(#,##0.00\);_(&quot;$&quot;* &quot;-&quot;??_);_(@_)">
                  <c:v>61186.857439370971</c:v>
                </c:pt>
                <c:pt idx="931" formatCode="_(&quot;$&quot;* #,##0.00_);_(&quot;$&quot;* \(#,##0.00\);_(&quot;$&quot;* &quot;-&quot;??_);_(@_)">
                  <c:v>60773.902325767776</c:v>
                </c:pt>
                <c:pt idx="932" formatCode="_(&quot;$&quot;* #,##0.00_);_(&quot;$&quot;* \(#,##0.00\);_(&quot;$&quot;* &quot;-&quot;??_);_(@_)">
                  <c:v>61639.553697289935</c:v>
                </c:pt>
                <c:pt idx="933" formatCode="_(&quot;$&quot;* #,##0.00_);_(&quot;$&quot;* \(#,##0.00\);_(&quot;$&quot;* &quot;-&quot;??_);_(@_)">
                  <c:v>61397.010337120802</c:v>
                </c:pt>
                <c:pt idx="934" formatCode="_(&quot;$&quot;* #,##0.00_);_(&quot;$&quot;* \(#,##0.00\);_(&quot;$&quot;* &quot;-&quot;??_);_(@_)">
                  <c:v>61443.334647815129</c:v>
                </c:pt>
                <c:pt idx="935" formatCode="_(&quot;$&quot;* #,##0.00_);_(&quot;$&quot;* \(#,##0.00\);_(&quot;$&quot;* &quot;-&quot;??_);_(@_)">
                  <c:v>61340.926999777825</c:v>
                </c:pt>
                <c:pt idx="936" formatCode="_(&quot;$&quot;* #,##0.00_);_(&quot;$&quot;* \(#,##0.00\);_(&quot;$&quot;* &quot;-&quot;??_);_(@_)">
                  <c:v>62185.604521866786</c:v>
                </c:pt>
                <c:pt idx="937" formatCode="_(&quot;$&quot;* #,##0.00_);_(&quot;$&quot;* \(#,##0.00\);_(&quot;$&quot;* &quot;-&quot;??_);_(@_)">
                  <c:v>61905.764139905732</c:v>
                </c:pt>
                <c:pt idx="938" formatCode="_(&quot;$&quot;* #,##0.00_);_(&quot;$&quot;* \(#,##0.00\);_(&quot;$&quot;* &quot;-&quot;??_);_(@_)">
                  <c:v>61663.936599604829</c:v>
                </c:pt>
                <c:pt idx="939" formatCode="_(&quot;$&quot;* #,##0.00_);_(&quot;$&quot;* \(#,##0.00\);_(&quot;$&quot;* &quot;-&quot;??_);_(@_)">
                  <c:v>61569.406875171924</c:v>
                </c:pt>
                <c:pt idx="940" formatCode="_(&quot;$&quot;* #,##0.00_);_(&quot;$&quot;* \(#,##0.00\);_(&quot;$&quot;* &quot;-&quot;??_);_(@_)">
                  <c:v>61331.321083317802</c:v>
                </c:pt>
                <c:pt idx="941" formatCode="_(&quot;$&quot;* #,##0.00_);_(&quot;$&quot;* \(#,##0.00\);_(&quot;$&quot;* &quot;-&quot;??_);_(@_)">
                  <c:v>61186.835560622691</c:v>
                </c:pt>
                <c:pt idx="942" formatCode="_(&quot;$&quot;* #,##0.00_);_(&quot;$&quot;* \(#,##0.00\);_(&quot;$&quot;* &quot;-&quot;??_);_(@_)">
                  <c:v>61082.589092052738</c:v>
                </c:pt>
                <c:pt idx="943" formatCode="_(&quot;$&quot;* #,##0.00_);_(&quot;$&quot;* \(#,##0.00\);_(&quot;$&quot;* &quot;-&quot;??_);_(@_)">
                  <c:v>61646.417728878158</c:v>
                </c:pt>
                <c:pt idx="944" formatCode="_(&quot;$&quot;* #,##0.00_);_(&quot;$&quot;* \(#,##0.00\);_(&quot;$&quot;* &quot;-&quot;??_);_(@_)">
                  <c:v>62081.200097813577</c:v>
                </c:pt>
                <c:pt idx="945" formatCode="_(&quot;$&quot;* #,##0.00_);_(&quot;$&quot;* \(#,##0.00\);_(&quot;$&quot;* &quot;-&quot;??_);_(@_)">
                  <c:v>62811.141682448724</c:v>
                </c:pt>
                <c:pt idx="946" formatCode="_(&quot;$&quot;* #,##0.00_);_(&quot;$&quot;* \(#,##0.00\);_(&quot;$&quot;* &quot;-&quot;??_);_(@_)">
                  <c:v>62388.067560512311</c:v>
                </c:pt>
                <c:pt idx="947" formatCode="_(&quot;$&quot;* #,##0.00_);_(&quot;$&quot;* \(#,##0.00\);_(&quot;$&quot;* &quot;-&quot;??_);_(@_)">
                  <c:v>62039.649762709778</c:v>
                </c:pt>
                <c:pt idx="948" formatCode="_(&quot;$&quot;* #,##0.00_);_(&quot;$&quot;* \(#,##0.00\);_(&quot;$&quot;* &quot;-&quot;??_);_(@_)">
                  <c:v>62160.152268655125</c:v>
                </c:pt>
                <c:pt idx="949" formatCode="_(&quot;$&quot;* #,##0.00_);_(&quot;$&quot;* \(#,##0.00\);_(&quot;$&quot;* &quot;-&quot;??_);_(@_)">
                  <c:v>62085.087690610919</c:v>
                </c:pt>
                <c:pt idx="950" formatCode="_(&quot;$&quot;* #,##0.00_);_(&quot;$&quot;* \(#,##0.00\);_(&quot;$&quot;* &quot;-&quot;??_);_(@_)">
                  <c:v>62578.280127973238</c:v>
                </c:pt>
                <c:pt idx="951" formatCode="_(&quot;$&quot;* #,##0.00_);_(&quot;$&quot;* \(#,##0.00\);_(&quot;$&quot;* &quot;-&quot;??_);_(@_)">
                  <c:v>62936.66548677798</c:v>
                </c:pt>
                <c:pt idx="952" formatCode="_(&quot;$&quot;* #,##0.00_);_(&quot;$&quot;* \(#,##0.00\);_(&quot;$&quot;* &quot;-&quot;??_);_(@_)">
                  <c:v>62654.026483431699</c:v>
                </c:pt>
                <c:pt idx="953" formatCode="_(&quot;$&quot;* #,##0.00_);_(&quot;$&quot;* \(#,##0.00\);_(&quot;$&quot;* &quot;-&quot;??_);_(@_)">
                  <c:v>62868.79843459525</c:v>
                </c:pt>
                <c:pt idx="954" formatCode="_(&quot;$&quot;* #,##0.00_);_(&quot;$&quot;* \(#,##0.00\);_(&quot;$&quot;* &quot;-&quot;??_);_(@_)">
                  <c:v>63140.58604952215</c:v>
                </c:pt>
                <c:pt idx="955" formatCode="_(&quot;$&quot;* #,##0.00_);_(&quot;$&quot;* \(#,##0.00\);_(&quot;$&quot;* &quot;-&quot;??_);_(@_)">
                  <c:v>63291.104081945959</c:v>
                </c:pt>
                <c:pt idx="956" formatCode="_(&quot;$&quot;* #,##0.00_);_(&quot;$&quot;* \(#,##0.00\);_(&quot;$&quot;* &quot;-&quot;??_);_(@_)">
                  <c:v>63218.90921105467</c:v>
                </c:pt>
                <c:pt idx="957" formatCode="_(&quot;$&quot;* #,##0.00_);_(&quot;$&quot;* \(#,##0.00\);_(&quot;$&quot;* &quot;-&quot;??_);_(@_)">
                  <c:v>63702.851880237598</c:v>
                </c:pt>
                <c:pt idx="958" formatCode="_(&quot;$&quot;* #,##0.00_);_(&quot;$&quot;* \(#,##0.00\);_(&quot;$&quot;* &quot;-&quot;??_);_(@_)">
                  <c:v>63440.58288954309</c:v>
                </c:pt>
                <c:pt idx="959" formatCode="_(&quot;$&quot;* #,##0.00_);_(&quot;$&quot;* \(#,##0.00\);_(&quot;$&quot;* &quot;-&quot;??_);_(@_)">
                  <c:v>63638.409919013218</c:v>
                </c:pt>
                <c:pt idx="960" formatCode="_(&quot;$&quot;* #,##0.00_);_(&quot;$&quot;* \(#,##0.00\);_(&quot;$&quot;* &quot;-&quot;??_);_(@_)">
                  <c:v>63425.341093930867</c:v>
                </c:pt>
                <c:pt idx="961" formatCode="_(&quot;$&quot;* #,##0.00_);_(&quot;$&quot;* \(#,##0.00\);_(&quot;$&quot;* &quot;-&quot;??_);_(@_)">
                  <c:v>63588.609858756608</c:v>
                </c:pt>
                <c:pt idx="962" formatCode="_(&quot;$&quot;* #,##0.00_);_(&quot;$&quot;* \(#,##0.00\);_(&quot;$&quot;* &quot;-&quot;??_);_(@_)">
                  <c:v>63661.950191719865</c:v>
                </c:pt>
                <c:pt idx="963" formatCode="_(&quot;$&quot;* #,##0.00_);_(&quot;$&quot;* \(#,##0.00\);_(&quot;$&quot;* &quot;-&quot;??_);_(@_)">
                  <c:v>63730.933565962318</c:v>
                </c:pt>
                <c:pt idx="964" formatCode="_(&quot;$&quot;* #,##0.00_);_(&quot;$&quot;* \(#,##0.00\);_(&quot;$&quot;* &quot;-&quot;??_);_(@_)">
                  <c:v>63729.679494648051</c:v>
                </c:pt>
                <c:pt idx="965" formatCode="_(&quot;$&quot;* #,##0.00_);_(&quot;$&quot;* \(#,##0.00\);_(&quot;$&quot;* &quot;-&quot;??_);_(@_)">
                  <c:v>63892.606118365715</c:v>
                </c:pt>
                <c:pt idx="966" formatCode="_(&quot;$&quot;* #,##0.00_);_(&quot;$&quot;* \(#,##0.00\);_(&quot;$&quot;* &quot;-&quot;??_);_(@_)">
                  <c:v>63983.372662137379</c:v>
                </c:pt>
                <c:pt idx="967" formatCode="_(&quot;$&quot;* #,##0.00_);_(&quot;$&quot;* \(#,##0.00\);_(&quot;$&quot;* &quot;-&quot;??_);_(@_)">
                  <c:v>63970.601353285994</c:v>
                </c:pt>
                <c:pt idx="968" formatCode="_(&quot;$&quot;* #,##0.00_);_(&quot;$&quot;* \(#,##0.00\);_(&quot;$&quot;* &quot;-&quot;??_);_(@_)">
                  <c:v>64076.656735637102</c:v>
                </c:pt>
                <c:pt idx="969" formatCode="_(&quot;$&quot;* #,##0.00_);_(&quot;$&quot;* \(#,##0.00\);_(&quot;$&quot;* &quot;-&quot;??_);_(@_)">
                  <c:v>64050.316958869793</c:v>
                </c:pt>
                <c:pt idx="970" formatCode="_(&quot;$&quot;* #,##0.00_);_(&quot;$&quot;* \(#,##0.00\);_(&quot;$&quot;* &quot;-&quot;??_);_(@_)">
                  <c:v>63357.884305605425</c:v>
                </c:pt>
                <c:pt idx="971" formatCode="_(&quot;$&quot;* #,##0.00_);_(&quot;$&quot;* \(#,##0.00\);_(&quot;$&quot;* &quot;-&quot;??_);_(@_)">
                  <c:v>63872.79433417102</c:v>
                </c:pt>
                <c:pt idx="972" formatCode="_(&quot;$&quot;* #,##0.00_);_(&quot;$&quot;* \(#,##0.00\);_(&quot;$&quot;* &quot;-&quot;??_);_(@_)">
                  <c:v>64030.686397935853</c:v>
                </c:pt>
                <c:pt idx="973" formatCode="_(&quot;$&quot;* #,##0.00_);_(&quot;$&quot;* \(#,##0.00\);_(&quot;$&quot;* &quot;-&quot;??_);_(@_)">
                  <c:v>64808.220607686031</c:v>
                </c:pt>
                <c:pt idx="974" formatCode="_(&quot;$&quot;* #,##0.00_);_(&quot;$&quot;* \(#,##0.00\);_(&quot;$&quot;* &quot;-&quot;??_);_(@_)">
                  <c:v>64835.907117748735</c:v>
                </c:pt>
                <c:pt idx="975" formatCode="_(&quot;$&quot;* #,##0.00_);_(&quot;$&quot;* \(#,##0.00\);_(&quot;$&quot;* &quot;-&quot;??_);_(@_)">
                  <c:v>64966.545935236747</c:v>
                </c:pt>
                <c:pt idx="976" formatCode="_(&quot;$&quot;* #,##0.00_);_(&quot;$&quot;* \(#,##0.00\);_(&quot;$&quot;* &quot;-&quot;??_);_(@_)">
                  <c:v>64974.765850776726</c:v>
                </c:pt>
                <c:pt idx="977" formatCode="_(&quot;$&quot;* #,##0.00_);_(&quot;$&quot;* \(#,##0.00\);_(&quot;$&quot;* &quot;-&quot;??_);_(@_)">
                  <c:v>63770.391572653345</c:v>
                </c:pt>
                <c:pt idx="978" formatCode="_(&quot;$&quot;* #,##0.00_);_(&quot;$&quot;* \(#,##0.00\);_(&quot;$&quot;* &quot;-&quot;??_);_(@_)">
                  <c:v>63995.300492412847</c:v>
                </c:pt>
                <c:pt idx="979" formatCode="_(&quot;$&quot;* #,##0.00_);_(&quot;$&quot;* \(#,##0.00\);_(&quot;$&quot;* &quot;-&quot;??_);_(@_)">
                  <c:v>64300.503629047744</c:v>
                </c:pt>
                <c:pt idx="980" formatCode="_(&quot;$&quot;* #,##0.00_);_(&quot;$&quot;* \(#,##0.00\);_(&quot;$&quot;* &quot;-&quot;??_);_(@_)">
                  <c:v>64354.531393144418</c:v>
                </c:pt>
                <c:pt idx="981" formatCode="_(&quot;$&quot;* #,##0.00_);_(&quot;$&quot;* \(#,##0.00\);_(&quot;$&quot;* &quot;-&quot;??_);_(@_)">
                  <c:v>64049.344488894261</c:v>
                </c:pt>
                <c:pt idx="982" formatCode="_(&quot;$&quot;* #,##0.00_);_(&quot;$&quot;* \(#,##0.00\);_(&quot;$&quot;* &quot;-&quot;??_);_(@_)">
                  <c:v>64350.36229205686</c:v>
                </c:pt>
                <c:pt idx="983" formatCode="_(&quot;$&quot;* #,##0.00_);_(&quot;$&quot;* \(#,##0.00\);_(&quot;$&quot;* &quot;-&quot;??_);_(@_)">
                  <c:v>64053.100007371846</c:v>
                </c:pt>
                <c:pt idx="984" formatCode="_(&quot;$&quot;* #,##0.00_);_(&quot;$&quot;* \(#,##0.00\);_(&quot;$&quot;* &quot;-&quot;??_);_(@_)">
                  <c:v>64433.609885957703</c:v>
                </c:pt>
                <c:pt idx="985" formatCode="_(&quot;$&quot;* #,##0.00_);_(&quot;$&quot;* \(#,##0.00\);_(&quot;$&quot;* &quot;-&quot;??_);_(@_)">
                  <c:v>64521.405517260559</c:v>
                </c:pt>
                <c:pt idx="986" formatCode="_(&quot;$&quot;* #,##0.00_);_(&quot;$&quot;* \(#,##0.00\);_(&quot;$&quot;* &quot;-&quot;??_);_(@_)">
                  <c:v>65480.782721259224</c:v>
                </c:pt>
                <c:pt idx="987" formatCode="_(&quot;$&quot;* #,##0.00_);_(&quot;$&quot;* \(#,##0.00\);_(&quot;$&quot;* &quot;-&quot;??_);_(@_)">
                  <c:v>65425.109868354106</c:v>
                </c:pt>
                <c:pt idx="988" formatCode="_(&quot;$&quot;* #,##0.00_);_(&quot;$&quot;* \(#,##0.00\);_(&quot;$&quot;* &quot;-&quot;??_);_(@_)">
                  <c:v>65221.796733255076</c:v>
                </c:pt>
                <c:pt idx="989" formatCode="_(&quot;$&quot;* #,##0.00_);_(&quot;$&quot;* \(#,##0.00\);_(&quot;$&quot;* &quot;-&quot;??_);_(@_)">
                  <c:v>65186.544849705679</c:v>
                </c:pt>
                <c:pt idx="990" formatCode="_(&quot;$&quot;* #,##0.00_);_(&quot;$&quot;* \(#,##0.00\);_(&quot;$&quot;* &quot;-&quot;??_);_(@_)">
                  <c:v>65718.218793335604</c:v>
                </c:pt>
                <c:pt idx="991" formatCode="_(&quot;$&quot;* #,##0.00_);_(&quot;$&quot;* \(#,##0.00\);_(&quot;$&quot;* &quot;-&quot;??_);_(@_)">
                  <c:v>64457.675466141533</c:v>
                </c:pt>
                <c:pt idx="992" formatCode="_(&quot;$&quot;* #,##0.00_);_(&quot;$&quot;* \(#,##0.00\);_(&quot;$&quot;* &quot;-&quot;??_);_(@_)">
                  <c:v>64479.974329137236</c:v>
                </c:pt>
                <c:pt idx="993" formatCode="_(&quot;$&quot;* #,##0.00_);_(&quot;$&quot;* \(#,##0.00\);_(&quot;$&quot;* &quot;-&quot;??_);_(@_)">
                  <c:v>64833.205901095345</c:v>
                </c:pt>
                <c:pt idx="994" formatCode="_(&quot;$&quot;* #,##0.00_);_(&quot;$&quot;* \(#,##0.00\);_(&quot;$&quot;* &quot;-&quot;??_);_(@_)">
                  <c:v>64773.917638624873</c:v>
                </c:pt>
                <c:pt idx="995" formatCode="_(&quot;$&quot;* #,##0.00_);_(&quot;$&quot;* \(#,##0.00\);_(&quot;$&quot;* &quot;-&quot;??_);_(@_)">
                  <c:v>65340.078544763652</c:v>
                </c:pt>
                <c:pt idx="996" formatCode="_(&quot;$&quot;* #,##0.00_);_(&quot;$&quot;* \(#,##0.00\);_(&quot;$&quot;* &quot;-&quot;??_);_(@_)">
                  <c:v>65124.543779266853</c:v>
                </c:pt>
                <c:pt idx="997" formatCode="_(&quot;$&quot;* #,##0.00_);_(&quot;$&quot;* \(#,##0.00\);_(&quot;$&quot;* &quot;-&quot;??_);_(@_)">
                  <c:v>65647.300309181519</c:v>
                </c:pt>
                <c:pt idx="998" formatCode="_(&quot;$&quot;* #,##0.00_);_(&quot;$&quot;* \(#,##0.00\);_(&quot;$&quot;* &quot;-&quot;??_);_(@_)">
                  <c:v>66184.114268572434</c:v>
                </c:pt>
                <c:pt idx="999" formatCode="_(&quot;$&quot;* #,##0.00_);_(&quot;$&quot;* \(#,##0.00\);_(&quot;$&quot;* &quot;-&quot;??_);_(@_)">
                  <c:v>65672.348021252037</c:v>
                </c:pt>
                <c:pt idx="1000" formatCode="_(&quot;$&quot;* #,##0.00_);_(&quot;$&quot;* \(#,##0.00\);_(&quot;$&quot;* &quot;-&quot;??_);_(@_)">
                  <c:v>65969.588574174762</c:v>
                </c:pt>
                <c:pt idx="1001" formatCode="_(&quot;$&quot;* #,##0.00_);_(&quot;$&quot;* \(#,##0.00\);_(&quot;$&quot;* &quot;-&quot;??_);_(@_)">
                  <c:v>65740.099341633555</c:v>
                </c:pt>
                <c:pt idx="1002" formatCode="_(&quot;$&quot;* #,##0.00_);_(&quot;$&quot;* \(#,##0.00\);_(&quot;$&quot;* &quot;-&quot;??_);_(@_)">
                  <c:v>66729.773145498344</c:v>
                </c:pt>
                <c:pt idx="1003" formatCode="_(&quot;$&quot;* #,##0.00_);_(&quot;$&quot;* \(#,##0.00\);_(&quot;$&quot;* &quot;-&quot;??_);_(@_)">
                  <c:v>66706.171067537885</c:v>
                </c:pt>
                <c:pt idx="1004" formatCode="_(&quot;$&quot;* #,##0.00_);_(&quot;$&quot;* \(#,##0.00\);_(&quot;$&quot;* &quot;-&quot;??_);_(@_)">
                  <c:v>67305.351355946099</c:v>
                </c:pt>
                <c:pt idx="1005" formatCode="_(&quot;$&quot;* #,##0.00_);_(&quot;$&quot;* \(#,##0.00\);_(&quot;$&quot;* &quot;-&quot;??_);_(@_)">
                  <c:v>67380.709689928131</c:v>
                </c:pt>
                <c:pt idx="1006" formatCode="_(&quot;$&quot;* #,##0.00_);_(&quot;$&quot;* \(#,##0.00\);_(&quot;$&quot;* &quot;-&quot;??_);_(@_)">
                  <c:v>67174.633142484803</c:v>
                </c:pt>
                <c:pt idx="1007" formatCode="_(&quot;$&quot;* #,##0.00_);_(&quot;$&quot;* \(#,##0.00\);_(&quot;$&quot;* &quot;-&quot;??_);_(@_)">
                  <c:v>66089.145555457377</c:v>
                </c:pt>
                <c:pt idx="1008" formatCode="_(&quot;$&quot;* #,##0.00_);_(&quot;$&quot;* \(#,##0.00\);_(&quot;$&quot;* &quot;-&quot;??_);_(@_)">
                  <c:v>66748.977355136536</c:v>
                </c:pt>
                <c:pt idx="1009" formatCode="_(&quot;$&quot;* #,##0.00_);_(&quot;$&quot;* \(#,##0.00\);_(&quot;$&quot;* &quot;-&quot;??_);_(@_)">
                  <c:v>66761.73775464826</c:v>
                </c:pt>
                <c:pt idx="1010" formatCode="_(&quot;$&quot;* #,##0.00_);_(&quot;$&quot;* \(#,##0.00\);_(&quot;$&quot;* &quot;-&quot;??_);_(@_)">
                  <c:v>66761.501279548902</c:v>
                </c:pt>
                <c:pt idx="1011" formatCode="_(&quot;$&quot;* #,##0.00_);_(&quot;$&quot;* \(#,##0.00\);_(&quot;$&quot;* &quot;-&quot;??_);_(@_)">
                  <c:v>65750.79109587727</c:v>
                </c:pt>
                <c:pt idx="1012" formatCode="_(&quot;$&quot;* #,##0.00_);_(&quot;$&quot;* \(#,##0.00\);_(&quot;$&quot;* &quot;-&quot;??_);_(@_)">
                  <c:v>65576.147261103324</c:v>
                </c:pt>
                <c:pt idx="1013" formatCode="_(&quot;$&quot;* #,##0.00_);_(&quot;$&quot;* \(#,##0.00\);_(&quot;$&quot;* &quot;-&quot;??_);_(@_)">
                  <c:v>65523.450610183405</c:v>
                </c:pt>
                <c:pt idx="1014" formatCode="_(&quot;$&quot;* #,##0.00_);_(&quot;$&quot;* \(#,##0.00\);_(&quot;$&quot;* &quot;-&quot;??_);_(@_)">
                  <c:v>65935.370634159437</c:v>
                </c:pt>
                <c:pt idx="1015" formatCode="_(&quot;$&quot;* #,##0.00_);_(&quot;$&quot;* \(#,##0.00\);_(&quot;$&quot;* &quot;-&quot;??_);_(@_)">
                  <c:v>66260.483961409074</c:v>
                </c:pt>
                <c:pt idx="1016" formatCode="_(&quot;$&quot;* #,##0.00_);_(&quot;$&quot;* \(#,##0.00\);_(&quot;$&quot;* &quot;-&quot;??_);_(@_)">
                  <c:v>66610.046327485819</c:v>
                </c:pt>
                <c:pt idx="1017" formatCode="_(&quot;$&quot;* #,##0.00_);_(&quot;$&quot;* \(#,##0.00\);_(&quot;$&quot;* &quot;-&quot;??_);_(@_)">
                  <c:v>66476.521431111483</c:v>
                </c:pt>
                <c:pt idx="1018" formatCode="_(&quot;$&quot;* #,##0.00_);_(&quot;$&quot;* \(#,##0.00\);_(&quot;$&quot;* &quot;-&quot;??_);_(@_)">
                  <c:v>66878.322093301933</c:v>
                </c:pt>
                <c:pt idx="1019" formatCode="_(&quot;$&quot;* #,##0.00_);_(&quot;$&quot;* \(#,##0.00\);_(&quot;$&quot;* &quot;-&quot;??_);_(@_)">
                  <c:v>66356.114833045984</c:v>
                </c:pt>
                <c:pt idx="1020" formatCode="_(&quot;$&quot;* #,##0.00_);_(&quot;$&quot;* \(#,##0.00\);_(&quot;$&quot;* &quot;-&quot;??_);_(@_)">
                  <c:v>66405.035049431506</c:v>
                </c:pt>
                <c:pt idx="1021" formatCode="_(&quot;$&quot;* #,##0.00_);_(&quot;$&quot;* \(#,##0.00\);_(&quot;$&quot;* &quot;-&quot;??_);_(@_)">
                  <c:v>67101.966389562251</c:v>
                </c:pt>
                <c:pt idx="1022" formatCode="_(&quot;$&quot;* #,##0.00_);_(&quot;$&quot;* \(#,##0.00\);_(&quot;$&quot;* &quot;-&quot;??_);_(@_)">
                  <c:v>67199.107655740809</c:v>
                </c:pt>
                <c:pt idx="1023" formatCode="_(&quot;$&quot;* #,##0.00_);_(&quot;$&quot;* \(#,##0.00\);_(&quot;$&quot;* &quot;-&quot;??_);_(@_)">
                  <c:v>66792.60028483058</c:v>
                </c:pt>
                <c:pt idx="1024" formatCode="_(&quot;$&quot;* #,##0.00_);_(&quot;$&quot;* \(#,##0.00\);_(&quot;$&quot;* &quot;-&quot;??_);_(@_)">
                  <c:v>67117.859707165408</c:v>
                </c:pt>
                <c:pt idx="1025" formatCode="_(&quot;$&quot;* #,##0.00_);_(&quot;$&quot;* \(#,##0.00\);_(&quot;$&quot;* &quot;-&quot;??_);_(@_)">
                  <c:v>67657.080548780039</c:v>
                </c:pt>
                <c:pt idx="1026" formatCode="_(&quot;$&quot;* #,##0.00_);_(&quot;$&quot;* \(#,##0.00\);_(&quot;$&quot;* &quot;-&quot;??_);_(@_)">
                  <c:v>68047.384519256273</c:v>
                </c:pt>
                <c:pt idx="1027" formatCode="_(&quot;$&quot;* #,##0.00_);_(&quot;$&quot;* \(#,##0.00\);_(&quot;$&quot;* &quot;-&quot;??_);_(@_)">
                  <c:v>67379.898376839876</c:v>
                </c:pt>
                <c:pt idx="1028" formatCode="_(&quot;$&quot;* #,##0.00_);_(&quot;$&quot;* \(#,##0.00\);_(&quot;$&quot;* &quot;-&quot;??_);_(@_)">
                  <c:v>68066.247363546034</c:v>
                </c:pt>
                <c:pt idx="1029" formatCode="_(&quot;$&quot;* #,##0.00_);_(&quot;$&quot;* \(#,##0.00\);_(&quot;$&quot;* &quot;-&quot;??_);_(@_)">
                  <c:v>68773.279765646497</c:v>
                </c:pt>
                <c:pt idx="1030" formatCode="_(&quot;$&quot;* #,##0.00_);_(&quot;$&quot;* \(#,##0.00\);_(&quot;$&quot;* &quot;-&quot;??_);_(@_)">
                  <c:v>68900.660004671561</c:v>
                </c:pt>
                <c:pt idx="1031" formatCode="_(&quot;$&quot;* #,##0.00_);_(&quot;$&quot;* \(#,##0.00\);_(&quot;$&quot;* &quot;-&quot;??_);_(@_)">
                  <c:v>68680.739060256907</c:v>
                </c:pt>
                <c:pt idx="1032" formatCode="_(&quot;$&quot;* #,##0.00_);_(&quot;$&quot;* \(#,##0.00\);_(&quot;$&quot;* &quot;-&quot;??_);_(@_)">
                  <c:v>68494.807976280412</c:v>
                </c:pt>
                <c:pt idx="1033" formatCode="_(&quot;$&quot;* #,##0.00_);_(&quot;$&quot;* \(#,##0.00\);_(&quot;$&quot;* &quot;-&quot;??_);_(@_)">
                  <c:v>68886.350966232218</c:v>
                </c:pt>
                <c:pt idx="1034" formatCode="_(&quot;$&quot;* #,##0.00_);_(&quot;$&quot;* \(#,##0.00\);_(&quot;$&quot;* &quot;-&quot;??_);_(@_)">
                  <c:v>69745.270988140081</c:v>
                </c:pt>
                <c:pt idx="1035" formatCode="_(&quot;$&quot;* #,##0.00_);_(&quot;$&quot;* \(#,##0.00\);_(&quot;$&quot;* &quot;-&quot;??_);_(@_)">
                  <c:v>69078.883658862658</c:v>
                </c:pt>
                <c:pt idx="1036" formatCode="_(&quot;$&quot;* #,##0.00_);_(&quot;$&quot;* \(#,##0.00\);_(&quot;$&quot;* &quot;-&quot;??_);_(@_)">
                  <c:v>68993.896047751958</c:v>
                </c:pt>
                <c:pt idx="1037" formatCode="_(&quot;$&quot;* #,##0.00_);_(&quot;$&quot;* \(#,##0.00\);_(&quot;$&quot;* &quot;-&quot;??_);_(@_)">
                  <c:v>69355.829462814625</c:v>
                </c:pt>
                <c:pt idx="1038" formatCode="_(&quot;$&quot;* #,##0.00_);_(&quot;$&quot;* \(#,##0.00\);_(&quot;$&quot;* &quot;-&quot;??_);_(@_)">
                  <c:v>68937.945911096351</c:v>
                </c:pt>
                <c:pt idx="1039" formatCode="_(&quot;$&quot;* #,##0.00_);_(&quot;$&quot;* \(#,##0.00\);_(&quot;$&quot;* &quot;-&quot;??_);_(@_)">
                  <c:v>68884.895654941822</c:v>
                </c:pt>
                <c:pt idx="1040" formatCode="_(&quot;$&quot;* #,##0.00_);_(&quot;$&quot;* \(#,##0.00\);_(&quot;$&quot;* &quot;-&quot;??_);_(@_)">
                  <c:v>68997.312602104008</c:v>
                </c:pt>
                <c:pt idx="1041" formatCode="_(&quot;$&quot;* #,##0.00_);_(&quot;$&quot;* \(#,##0.00\);_(&quot;$&quot;* &quot;-&quot;??_);_(@_)">
                  <c:v>69111.387653380647</c:v>
                </c:pt>
                <c:pt idx="1042" formatCode="_(&quot;$&quot;* #,##0.00_);_(&quot;$&quot;* \(#,##0.00\);_(&quot;$&quot;* &quot;-&quot;??_);_(@_)">
                  <c:v>68989.899348948325</c:v>
                </c:pt>
                <c:pt idx="1043" formatCode="_(&quot;$&quot;* #,##0.00_);_(&quot;$&quot;* \(#,##0.00\);_(&quot;$&quot;* &quot;-&quot;??_);_(@_)">
                  <c:v>68636.8466713573</c:v>
                </c:pt>
                <c:pt idx="1044" formatCode="_(&quot;$&quot;* #,##0.00_);_(&quot;$&quot;* \(#,##0.00\);_(&quot;$&quot;* &quot;-&quot;??_);_(@_)">
                  <c:v>69026.851039985093</c:v>
                </c:pt>
                <c:pt idx="1045" formatCode="_(&quot;$&quot;* #,##0.00_);_(&quot;$&quot;* \(#,##0.00\);_(&quot;$&quot;* &quot;-&quot;??_);_(@_)">
                  <c:v>69095.453680450446</c:v>
                </c:pt>
                <c:pt idx="1046" formatCode="_(&quot;$&quot;* #,##0.00_);_(&quot;$&quot;* \(#,##0.00\);_(&quot;$&quot;* &quot;-&quot;??_);_(@_)">
                  <c:v>69366.043489150645</c:v>
                </c:pt>
                <c:pt idx="1047" formatCode="_(&quot;$&quot;* #,##0.00_);_(&quot;$&quot;* \(#,##0.00\);_(&quot;$&quot;* &quot;-&quot;??_);_(@_)">
                  <c:v>69903.698522074526</c:v>
                </c:pt>
                <c:pt idx="1048" formatCode="_(&quot;$&quot;* #,##0.00_);_(&quot;$&quot;* \(#,##0.00\);_(&quot;$&quot;* &quot;-&quot;??_);_(@_)">
                  <c:v>69455.522176942002</c:v>
                </c:pt>
                <c:pt idx="1049" formatCode="_(&quot;$&quot;* #,##0.00_);_(&quot;$&quot;* \(#,##0.00\);_(&quot;$&quot;* &quot;-&quot;??_);_(@_)">
                  <c:v>70017.589272055731</c:v>
                </c:pt>
                <c:pt idx="1050" formatCode="_(&quot;$&quot;* #,##0.00_);_(&quot;$&quot;* \(#,##0.00\);_(&quot;$&quot;* &quot;-&quot;??_);_(@_)">
                  <c:v>69066.192939864806</c:v>
                </c:pt>
                <c:pt idx="1051" formatCode="_(&quot;$&quot;* #,##0.00_);_(&quot;$&quot;* \(#,##0.00\);_(&quot;$&quot;* &quot;-&quot;??_);_(@_)">
                  <c:v>69308.523856604486</c:v>
                </c:pt>
                <c:pt idx="1052" formatCode="_(&quot;$&quot;* #,##0.00_);_(&quot;$&quot;* \(#,##0.00\);_(&quot;$&quot;* &quot;-&quot;??_);_(@_)">
                  <c:v>69575.33714950821</c:v>
                </c:pt>
                <c:pt idx="1053" formatCode="_(&quot;$&quot;* #,##0.00_);_(&quot;$&quot;* \(#,##0.00\);_(&quot;$&quot;* &quot;-&quot;??_);_(@_)">
                  <c:v>69635.110096111559</c:v>
                </c:pt>
                <c:pt idx="1054" formatCode="_(&quot;$&quot;* #,##0.00_);_(&quot;$&quot;* \(#,##0.00\);_(&quot;$&quot;* &quot;-&quot;??_);_(@_)">
                  <c:v>69675.215061589566</c:v>
                </c:pt>
                <c:pt idx="1055" formatCode="_(&quot;$&quot;* #,##0.00_);_(&quot;$&quot;* \(#,##0.00\);_(&quot;$&quot;* &quot;-&quot;??_);_(@_)">
                  <c:v>69215.565427274792</c:v>
                </c:pt>
                <c:pt idx="1056" formatCode="_(&quot;$&quot;* #,##0.00_);_(&quot;$&quot;* \(#,##0.00\);_(&quot;$&quot;* &quot;-&quot;??_);_(@_)">
                  <c:v>69177.952296563148</c:v>
                </c:pt>
                <c:pt idx="1057" formatCode="_(&quot;$&quot;* #,##0.00_);_(&quot;$&quot;* \(#,##0.00\);_(&quot;$&quot;* &quot;-&quot;??_);_(@_)">
                  <c:v>69296.860771624575</c:v>
                </c:pt>
                <c:pt idx="1058" formatCode="_(&quot;$&quot;* #,##0.00_);_(&quot;$&quot;* \(#,##0.00\);_(&quot;$&quot;* &quot;-&quot;??_);_(@_)">
                  <c:v>69841.494516588777</c:v>
                </c:pt>
                <c:pt idx="1059" formatCode="_(&quot;$&quot;* #,##0.00_);_(&quot;$&quot;* \(#,##0.00\);_(&quot;$&quot;* &quot;-&quot;??_);_(@_)">
                  <c:v>70576.84444311398</c:v>
                </c:pt>
                <c:pt idx="1060" formatCode="_(&quot;$&quot;* #,##0.00_);_(&quot;$&quot;* \(#,##0.00\);_(&quot;$&quot;* &quot;-&quot;??_);_(@_)">
                  <c:v>71701.327748359443</c:v>
                </c:pt>
                <c:pt idx="1061" formatCode="_(&quot;$&quot;* #,##0.00_);_(&quot;$&quot;* \(#,##0.00\);_(&quot;$&quot;* &quot;-&quot;??_);_(@_)">
                  <c:v>72867.703547362878</c:v>
                </c:pt>
                <c:pt idx="1062" formatCode="_(&quot;$&quot;* #,##0.00_);_(&quot;$&quot;* \(#,##0.00\);_(&quot;$&quot;* &quot;-&quot;??_);_(@_)">
                  <c:v>72197.987321648863</c:v>
                </c:pt>
                <c:pt idx="1063" formatCode="_(&quot;$&quot;* #,##0.00_);_(&quot;$&quot;* \(#,##0.00\);_(&quot;$&quot;* &quot;-&quot;??_);_(@_)">
                  <c:v>72307.367159205111</c:v>
                </c:pt>
                <c:pt idx="1064" formatCode="_(&quot;$&quot;* #,##0.00_);_(&quot;$&quot;* \(#,##0.00\);_(&quot;$&quot;* &quot;-&quot;??_);_(@_)">
                  <c:v>72739.8059229598</c:v>
                </c:pt>
                <c:pt idx="1065" formatCode="_(&quot;$&quot;* #,##0.00_);_(&quot;$&quot;* \(#,##0.00\);_(&quot;$&quot;* &quot;-&quot;??_);_(@_)">
                  <c:v>72215.890797332861</c:v>
                </c:pt>
                <c:pt idx="1066" formatCode="_(&quot;$&quot;* #,##0.00_);_(&quot;$&quot;* \(#,##0.00\);_(&quot;$&quot;* &quot;-&quot;??_);_(@_)">
                  <c:v>71977.136498456239</c:v>
                </c:pt>
                <c:pt idx="1067" formatCode="_(&quot;$&quot;* #,##0.00_);_(&quot;$&quot;* \(#,##0.00\);_(&quot;$&quot;* &quot;-&quot;??_);_(@_)">
                  <c:v>71608.876950812963</c:v>
                </c:pt>
                <c:pt idx="1068" formatCode="_(&quot;$&quot;* #,##0.00_);_(&quot;$&quot;* \(#,##0.00\);_(&quot;$&quot;* &quot;-&quot;??_);_(@_)">
                  <c:v>70868.629179079042</c:v>
                </c:pt>
                <c:pt idx="1069" formatCode="_(&quot;$&quot;* #,##0.00_);_(&quot;$&quot;* \(#,##0.00\);_(&quot;$&quot;* &quot;-&quot;??_);_(@_)">
                  <c:v>71853.240880984711</c:v>
                </c:pt>
                <c:pt idx="1070" formatCode="_(&quot;$&quot;* #,##0.00_);_(&quot;$&quot;* \(#,##0.00\);_(&quot;$&quot;* &quot;-&quot;??_);_(@_)">
                  <c:v>71504.347672549775</c:v>
                </c:pt>
                <c:pt idx="1071" formatCode="_(&quot;$&quot;* #,##0.00_);_(&quot;$&quot;* \(#,##0.00\);_(&quot;$&quot;* &quot;-&quot;??_);_(@_)">
                  <c:v>71322.805419279161</c:v>
                </c:pt>
                <c:pt idx="1072" formatCode="_(&quot;$&quot;* #,##0.00_);_(&quot;$&quot;* \(#,##0.00\);_(&quot;$&quot;* &quot;-&quot;??_);_(@_)">
                  <c:v>70793.91448880457</c:v>
                </c:pt>
                <c:pt idx="1073" formatCode="_(&quot;$&quot;* #,##0.00_);_(&quot;$&quot;* \(#,##0.00\);_(&quot;$&quot;* &quot;-&quot;??_);_(@_)">
                  <c:v>71144.509134190695</c:v>
                </c:pt>
                <c:pt idx="1074" formatCode="_(&quot;$&quot;* #,##0.00_);_(&quot;$&quot;* \(#,##0.00\);_(&quot;$&quot;* &quot;-&quot;??_);_(@_)">
                  <c:v>71525.98499834229</c:v>
                </c:pt>
                <c:pt idx="1075" formatCode="_(&quot;$&quot;* #,##0.00_);_(&quot;$&quot;* \(#,##0.00\);_(&quot;$&quot;* &quot;-&quot;??_);_(@_)">
                  <c:v>70626.731511176898</c:v>
                </c:pt>
                <c:pt idx="1076" formatCode="_(&quot;$&quot;* #,##0.00_);_(&quot;$&quot;* \(#,##0.00\);_(&quot;$&quot;* &quot;-&quot;??_);_(@_)">
                  <c:v>71315.767387155967</c:v>
                </c:pt>
                <c:pt idx="1077" formatCode="_(&quot;$&quot;* #,##0.00_);_(&quot;$&quot;* \(#,##0.00\);_(&quot;$&quot;* &quot;-&quot;??_);_(@_)">
                  <c:v>71011.513237590101</c:v>
                </c:pt>
                <c:pt idx="1078" formatCode="_(&quot;$&quot;* #,##0.00_);_(&quot;$&quot;* \(#,##0.00\);_(&quot;$&quot;* &quot;-&quot;??_);_(@_)">
                  <c:v>71980.4799259141</c:v>
                </c:pt>
                <c:pt idx="1079" formatCode="_(&quot;$&quot;* #,##0.00_);_(&quot;$&quot;* \(#,##0.00\);_(&quot;$&quot;* &quot;-&quot;??_);_(@_)">
                  <c:v>73037.826733465408</c:v>
                </c:pt>
                <c:pt idx="1080" formatCode="_(&quot;$&quot;* #,##0.00_);_(&quot;$&quot;* \(#,##0.00\);_(&quot;$&quot;* &quot;-&quot;??_);_(@_)">
                  <c:v>72557.732610836159</c:v>
                </c:pt>
                <c:pt idx="1081" formatCode="_(&quot;$&quot;* #,##0.00_);_(&quot;$&quot;* \(#,##0.00\);_(&quot;$&quot;* &quot;-&quot;??_);_(@_)">
                  <c:v>72550.334350054225</c:v>
                </c:pt>
                <c:pt idx="1082" formatCode="_(&quot;$&quot;* #,##0.00_);_(&quot;$&quot;* \(#,##0.00\);_(&quot;$&quot;* &quot;-&quot;??_);_(@_)">
                  <c:v>72555.49703893422</c:v>
                </c:pt>
                <c:pt idx="1083" formatCode="_(&quot;$&quot;* #,##0.00_);_(&quot;$&quot;* \(#,##0.00\);_(&quot;$&quot;* &quot;-&quot;??_);_(@_)">
                  <c:v>72782.915491453139</c:v>
                </c:pt>
                <c:pt idx="1084" formatCode="_(&quot;$&quot;* #,##0.00_);_(&quot;$&quot;* \(#,##0.00\);_(&quot;$&quot;* &quot;-&quot;??_);_(@_)">
                  <c:v>73062.763339320023</c:v>
                </c:pt>
                <c:pt idx="1085" formatCode="_(&quot;$&quot;* #,##0.00_);_(&quot;$&quot;* \(#,##0.00\);_(&quot;$&quot;* &quot;-&quot;??_);_(@_)">
                  <c:v>72646.045769803488</c:v>
                </c:pt>
                <c:pt idx="1086" formatCode="_(&quot;$&quot;* #,##0.00_);_(&quot;$&quot;* \(#,##0.00\);_(&quot;$&quot;* &quot;-&quot;??_);_(@_)">
                  <c:v>72687.82371376369</c:v>
                </c:pt>
                <c:pt idx="1087" formatCode="_(&quot;$&quot;* #,##0.00_);_(&quot;$&quot;* \(#,##0.00\);_(&quot;$&quot;* &quot;-&quot;??_);_(@_)">
                  <c:v>72642.848281480605</c:v>
                </c:pt>
                <c:pt idx="1088" formatCode="_(&quot;$&quot;* #,##0.00_);_(&quot;$&quot;* \(#,##0.00\);_(&quot;$&quot;* &quot;-&quot;??_);_(@_)">
                  <c:v>72941.379308013478</c:v>
                </c:pt>
                <c:pt idx="1089" formatCode="_(&quot;$&quot;* #,##0.00_);_(&quot;$&quot;* \(#,##0.00\);_(&quot;$&quot;* &quot;-&quot;??_);_(@_)">
                  <c:v>73043.705127152498</c:v>
                </c:pt>
                <c:pt idx="1090" formatCode="_(&quot;$&quot;* #,##0.00_);_(&quot;$&quot;* \(#,##0.00\);_(&quot;$&quot;* &quot;-&quot;??_);_(@_)">
                  <c:v>73787.391602100193</c:v>
                </c:pt>
                <c:pt idx="1091" formatCode="_(&quot;$&quot;* #,##0.00_);_(&quot;$&quot;* \(#,##0.00\);_(&quot;$&quot;* &quot;-&quot;??_);_(@_)">
                  <c:v>74362.266839414704</c:v>
                </c:pt>
                <c:pt idx="1092" formatCode="_(&quot;$&quot;* #,##0.00_);_(&quot;$&quot;* \(#,##0.00\);_(&quot;$&quot;* &quot;-&quot;??_);_(@_)">
                  <c:v>74759.611592523856</c:v>
                </c:pt>
                <c:pt idx="1093" formatCode="_(&quot;$&quot;* #,##0.00_);_(&quot;$&quot;* \(#,##0.00\);_(&quot;$&quot;* &quot;-&quot;??_);_(@_)">
                  <c:v>75034.779874750137</c:v>
                </c:pt>
                <c:pt idx="1094" formatCode="_(&quot;$&quot;* #,##0.00_);_(&quot;$&quot;* \(#,##0.00\);_(&quot;$&quot;* &quot;-&quot;??_);_(@_)">
                  <c:v>74605.717999303917</c:v>
                </c:pt>
                <c:pt idx="1095" formatCode="_(&quot;$&quot;* #,##0.00_);_(&quot;$&quot;* \(#,##0.00\);_(&quot;$&quot;* &quot;-&quot;??_);_(@_)">
                  <c:v>75435.651067981191</c:v>
                </c:pt>
                <c:pt idx="1096" formatCode="_(&quot;$&quot;* #,##0.00_);_(&quot;$&quot;* \(#,##0.00\);_(&quot;$&quot;* &quot;-&quot;??_);_(@_)">
                  <c:v>74894.310330037493</c:v>
                </c:pt>
                <c:pt idx="1097" formatCode="_(&quot;$&quot;* #,##0.00_);_(&quot;$&quot;* \(#,##0.00\);_(&quot;$&quot;* &quot;-&quot;??_);_(@_)">
                  <c:v>74649.508178765915</c:v>
                </c:pt>
                <c:pt idx="1098" formatCode="_(&quot;$&quot;* #,##0.00_);_(&quot;$&quot;* \(#,##0.00\);_(&quot;$&quot;* &quot;-&quot;??_);_(@_)">
                  <c:v>74368.700968826219</c:v>
                </c:pt>
                <c:pt idx="1099" formatCode="_(&quot;$&quot;* #,##0.00_);_(&quot;$&quot;* \(#,##0.00\);_(&quot;$&quot;* &quot;-&quot;??_);_(@_)">
                  <c:v>73679.14315891538</c:v>
                </c:pt>
                <c:pt idx="1100" formatCode="_(&quot;$&quot;* #,##0.00_);_(&quot;$&quot;* \(#,##0.00\);_(&quot;$&quot;* &quot;-&quot;??_);_(@_)">
                  <c:v>73689.903768730466</c:v>
                </c:pt>
                <c:pt idx="1101" formatCode="_(&quot;$&quot;* #,##0.00_);_(&quot;$&quot;* \(#,##0.00\);_(&quot;$&quot;* &quot;-&quot;??_);_(@_)">
                  <c:v>73725.844237209458</c:v>
                </c:pt>
                <c:pt idx="1102" formatCode="_(&quot;$&quot;* #,##0.00_);_(&quot;$&quot;* \(#,##0.00\);_(&quot;$&quot;* &quot;-&quot;??_);_(@_)">
                  <c:v>73917.121265976864</c:v>
                </c:pt>
                <c:pt idx="1103" formatCode="_(&quot;$&quot;* #,##0.00_);_(&quot;$&quot;* \(#,##0.00\);_(&quot;$&quot;* &quot;-&quot;??_);_(@_)">
                  <c:v>73879.050752932337</c:v>
                </c:pt>
                <c:pt idx="1104" formatCode="_(&quot;$&quot;* #,##0.00_);_(&quot;$&quot;* \(#,##0.00\);_(&quot;$&quot;* &quot;-&quot;??_);_(@_)">
                  <c:v>73765.94937846846</c:v>
                </c:pt>
                <c:pt idx="1105" formatCode="_(&quot;$&quot;* #,##0.00_);_(&quot;$&quot;* \(#,##0.00\);_(&quot;$&quot;* &quot;-&quot;??_);_(@_)">
                  <c:v>74261.281965494563</c:v>
                </c:pt>
                <c:pt idx="1106" formatCode="_(&quot;$&quot;* #,##0.00_);_(&quot;$&quot;* \(#,##0.00\);_(&quot;$&quot;* &quot;-&quot;??_);_(@_)">
                  <c:v>74523.403511651079</c:v>
                </c:pt>
                <c:pt idx="1107" formatCode="_(&quot;$&quot;* #,##0.00_);_(&quot;$&quot;* \(#,##0.00\);_(&quot;$&quot;* &quot;-&quot;??_);_(@_)">
                  <c:v>75135.979875884179</c:v>
                </c:pt>
                <c:pt idx="1108" formatCode="_(&quot;$&quot;* #,##0.00_);_(&quot;$&quot;* \(#,##0.00\);_(&quot;$&quot;* &quot;-&quot;??_);_(@_)">
                  <c:v>74336.495304513708</c:v>
                </c:pt>
                <c:pt idx="1109" formatCode="_(&quot;$&quot;* #,##0.00_);_(&quot;$&quot;* \(#,##0.00\);_(&quot;$&quot;* &quot;-&quot;??_);_(@_)">
                  <c:v>75203.979949667017</c:v>
                </c:pt>
                <c:pt idx="1110" formatCode="_(&quot;$&quot;* #,##0.00_);_(&quot;$&quot;* \(#,##0.00\);_(&quot;$&quot;* &quot;-&quot;??_);_(@_)">
                  <c:v>75122.91153079964</c:v>
                </c:pt>
                <c:pt idx="1111" formatCode="_(&quot;$&quot;* #,##0.00_);_(&quot;$&quot;* \(#,##0.00\);_(&quot;$&quot;* &quot;-&quot;??_);_(@_)">
                  <c:v>75056.959969717922</c:v>
                </c:pt>
                <c:pt idx="1112" formatCode="_(&quot;$&quot;* #,##0.00_);_(&quot;$&quot;* \(#,##0.00\);_(&quot;$&quot;* &quot;-&quot;??_);_(@_)">
                  <c:v>75256.913937149875</c:v>
                </c:pt>
                <c:pt idx="1113" formatCode="_(&quot;$&quot;* #,##0.00_);_(&quot;$&quot;* \(#,##0.00\);_(&quot;$&quot;* &quot;-&quot;??_);_(@_)">
                  <c:v>76203.482365653472</c:v>
                </c:pt>
                <c:pt idx="1114" formatCode="_(&quot;$&quot;* #,##0.00_);_(&quot;$&quot;* \(#,##0.00\);_(&quot;$&quot;* &quot;-&quot;??_);_(@_)">
                  <c:v>76374.083972156499</c:v>
                </c:pt>
                <c:pt idx="1115" formatCode="_(&quot;$&quot;* #,##0.00_);_(&quot;$&quot;* \(#,##0.00\);_(&quot;$&quot;* &quot;-&quot;??_);_(@_)">
                  <c:v>76202.307705419036</c:v>
                </c:pt>
                <c:pt idx="1116" formatCode="_(&quot;$&quot;* #,##0.00_);_(&quot;$&quot;* \(#,##0.00\);_(&quot;$&quot;* &quot;-&quot;??_);_(@_)">
                  <c:v>76745.902561833078</c:v>
                </c:pt>
                <c:pt idx="1117" formatCode="_(&quot;$&quot;* #,##0.00_);_(&quot;$&quot;* \(#,##0.00\);_(&quot;$&quot;* &quot;-&quot;??_);_(@_)">
                  <c:v>77284.981752254549</c:v>
                </c:pt>
                <c:pt idx="1118" formatCode="_(&quot;$&quot;* #,##0.00_);_(&quot;$&quot;* \(#,##0.00\);_(&quot;$&quot;* &quot;-&quot;??_);_(@_)">
                  <c:v>76893.050194523283</c:v>
                </c:pt>
                <c:pt idx="1119" formatCode="_(&quot;$&quot;* #,##0.00_);_(&quot;$&quot;* \(#,##0.00\);_(&quot;$&quot;* &quot;-&quot;??_);_(@_)">
                  <c:v>76411.006882755755</c:v>
                </c:pt>
                <c:pt idx="1120" formatCode="_(&quot;$&quot;* #,##0.00_);_(&quot;$&quot;* \(#,##0.00\);_(&quot;$&quot;* &quot;-&quot;??_);_(@_)">
                  <c:v>76139.648009288823</c:v>
                </c:pt>
                <c:pt idx="1121" formatCode="_(&quot;$&quot;* #,##0.00_);_(&quot;$&quot;* \(#,##0.00\);_(&quot;$&quot;* &quot;-&quot;??_);_(@_)">
                  <c:v>75585.633134297794</c:v>
                </c:pt>
                <c:pt idx="1122" formatCode="_(&quot;$&quot;* #,##0.00_);_(&quot;$&quot;* \(#,##0.00\);_(&quot;$&quot;* &quot;-&quot;??_);_(@_)">
                  <c:v>75258.896090552997</c:v>
                </c:pt>
                <c:pt idx="1123" formatCode="_(&quot;$&quot;* #,##0.00_);_(&quot;$&quot;* \(#,##0.00\);_(&quot;$&quot;* &quot;-&quot;??_);_(@_)">
                  <c:v>75588.478246370127</c:v>
                </c:pt>
                <c:pt idx="1124" formatCode="_(&quot;$&quot;* #,##0.00_);_(&quot;$&quot;* \(#,##0.00\);_(&quot;$&quot;* &quot;-&quot;??_);_(@_)">
                  <c:v>75665.091812312821</c:v>
                </c:pt>
                <c:pt idx="1125" formatCode="_(&quot;$&quot;* #,##0.00_);_(&quot;$&quot;* \(#,##0.00\);_(&quot;$&quot;* &quot;-&quot;??_);_(@_)">
                  <c:v>75682.903890973859</c:v>
                </c:pt>
                <c:pt idx="1126" formatCode="_(&quot;$&quot;* #,##0.00_);_(&quot;$&quot;* \(#,##0.00\);_(&quot;$&quot;* &quot;-&quot;??_);_(@_)">
                  <c:v>76262.250355595199</c:v>
                </c:pt>
                <c:pt idx="1127" formatCode="_(&quot;$&quot;* #,##0.00_);_(&quot;$&quot;* \(#,##0.00\);_(&quot;$&quot;* &quot;-&quot;??_);_(@_)">
                  <c:v>77617.867561421372</c:v>
                </c:pt>
                <c:pt idx="1128" formatCode="_(&quot;$&quot;* #,##0.00_);_(&quot;$&quot;* \(#,##0.00\);_(&quot;$&quot;* &quot;-&quot;??_);_(@_)">
                  <c:v>77998.095831645187</c:v>
                </c:pt>
                <c:pt idx="1129" formatCode="_(&quot;$&quot;* #,##0.00_);_(&quot;$&quot;* \(#,##0.00\);_(&quot;$&quot;* &quot;-&quot;??_);_(@_)">
                  <c:v>77943.033047436315</c:v>
                </c:pt>
                <c:pt idx="1130" formatCode="_(&quot;$&quot;* #,##0.00_);_(&quot;$&quot;* \(#,##0.00\);_(&quot;$&quot;* &quot;-&quot;??_);_(@_)">
                  <c:v>77520.1871866656</c:v>
                </c:pt>
                <c:pt idx="1131" formatCode="_(&quot;$&quot;* #,##0.00_);_(&quot;$&quot;* \(#,##0.00\);_(&quot;$&quot;* &quot;-&quot;??_);_(@_)">
                  <c:v>78139.66132666776</c:v>
                </c:pt>
                <c:pt idx="1132" formatCode="_(&quot;$&quot;* #,##0.00_);_(&quot;$&quot;* \(#,##0.00\);_(&quot;$&quot;* &quot;-&quot;??_);_(@_)">
                  <c:v>78340.03129009057</c:v>
                </c:pt>
                <c:pt idx="1133" formatCode="_(&quot;$&quot;* #,##0.00_);_(&quot;$&quot;* \(#,##0.00\);_(&quot;$&quot;* &quot;-&quot;??_);_(@_)">
                  <c:v>78572.621020331542</c:v>
                </c:pt>
                <c:pt idx="1134" formatCode="_(&quot;$&quot;* #,##0.00_);_(&quot;$&quot;* \(#,##0.00\);_(&quot;$&quot;* &quot;-&quot;??_);_(@_)">
                  <c:v>79538.072535944346</c:v>
                </c:pt>
                <c:pt idx="1135" formatCode="_(&quot;$&quot;* #,##0.00_);_(&quot;$&quot;* \(#,##0.00\);_(&quot;$&quot;* &quot;-&quot;??_);_(@_)">
                  <c:v>79204.198791033836</c:v>
                </c:pt>
                <c:pt idx="1136" formatCode="_(&quot;$&quot;* #,##0.00_);_(&quot;$&quot;* \(#,##0.00\);_(&quot;$&quot;* &quot;-&quot;??_);_(@_)">
                  <c:v>79218.895142956986</c:v>
                </c:pt>
                <c:pt idx="1137" formatCode="_(&quot;$&quot;* #,##0.00_);_(&quot;$&quot;* \(#,##0.00\);_(&quot;$&quot;* &quot;-&quot;??_);_(@_)">
                  <c:v>79271.402494693044</c:v>
                </c:pt>
                <c:pt idx="1138" formatCode="_(&quot;$&quot;* #,##0.00_);_(&quot;$&quot;* \(#,##0.00\);_(&quot;$&quot;* &quot;-&quot;??_);_(@_)">
                  <c:v>79015.883549564955</c:v>
                </c:pt>
                <c:pt idx="1139" formatCode="_(&quot;$&quot;* #,##0.00_);_(&quot;$&quot;* \(#,##0.00\);_(&quot;$&quot;* &quot;-&quot;??_);_(@_)">
                  <c:v>78939.46194937508</c:v>
                </c:pt>
                <c:pt idx="1140" formatCode="_(&quot;$&quot;* #,##0.00_);_(&quot;$&quot;* \(#,##0.00\);_(&quot;$&quot;* &quot;-&quot;??_);_(@_)">
                  <c:v>79010.226870041457</c:v>
                </c:pt>
                <c:pt idx="1141" formatCode="_(&quot;$&quot;* #,##0.00_);_(&quot;$&quot;* \(#,##0.00\);_(&quot;$&quot;* &quot;-&quot;??_);_(@_)">
                  <c:v>78225.386052140806</c:v>
                </c:pt>
                <c:pt idx="1142" formatCode="_(&quot;$&quot;* #,##0.00_);_(&quot;$&quot;* \(#,##0.00\);_(&quot;$&quot;* &quot;-&quot;??_);_(@_)">
                  <c:v>79345.709879521615</c:v>
                </c:pt>
                <c:pt idx="1143" formatCode="_(&quot;$&quot;* #,##0.00_);_(&quot;$&quot;* \(#,##0.00\);_(&quot;$&quot;* &quot;-&quot;??_);_(@_)">
                  <c:v>79943.134749148347</c:v>
                </c:pt>
                <c:pt idx="1144" formatCode="_(&quot;$&quot;* #,##0.00_);_(&quot;$&quot;* \(#,##0.00\);_(&quot;$&quot;* &quot;-&quot;??_);_(@_)">
                  <c:v>79700.889624107425</c:v>
                </c:pt>
                <c:pt idx="1145" formatCode="_(&quot;$&quot;* #,##0.00_);_(&quot;$&quot;* \(#,##0.00\);_(&quot;$&quot;* &quot;-&quot;??_);_(@_)">
                  <c:v>79355.481631617076</c:v>
                </c:pt>
                <c:pt idx="1146" formatCode="_(&quot;$&quot;* #,##0.00_);_(&quot;$&quot;* \(#,##0.00\);_(&quot;$&quot;* &quot;-&quot;??_);_(@_)">
                  <c:v>79050.77302698679</c:v>
                </c:pt>
                <c:pt idx="1147" formatCode="_(&quot;$&quot;* #,##0.00_);_(&quot;$&quot;* \(#,##0.00\);_(&quot;$&quot;* &quot;-&quot;??_);_(@_)">
                  <c:v>78450.06834832624</c:v>
                </c:pt>
                <c:pt idx="1148" formatCode="_(&quot;$&quot;* #,##0.00_);_(&quot;$&quot;* \(#,##0.00\);_(&quot;$&quot;* &quot;-&quot;??_);_(@_)">
                  <c:v>78568.996409606625</c:v>
                </c:pt>
                <c:pt idx="1149" formatCode="_(&quot;$&quot;* #,##0.00_);_(&quot;$&quot;* \(#,##0.00\);_(&quot;$&quot;* &quot;-&quot;??_);_(@_)">
                  <c:v>77975.617848583148</c:v>
                </c:pt>
                <c:pt idx="1150" formatCode="_(&quot;$&quot;* #,##0.00_);_(&quot;$&quot;* \(#,##0.00\);_(&quot;$&quot;* &quot;-&quot;??_);_(@_)">
                  <c:v>77386.484368408434</c:v>
                </c:pt>
                <c:pt idx="1151" formatCode="_(&quot;$&quot;* #,##0.00_);_(&quot;$&quot;* \(#,##0.00\);_(&quot;$&quot;* &quot;-&quot;??_);_(@_)">
                  <c:v>77182.423731096307</c:v>
                </c:pt>
                <c:pt idx="1152" formatCode="_(&quot;$&quot;* #,##0.00_);_(&quot;$&quot;* \(#,##0.00\);_(&quot;$&quot;* &quot;-&quot;??_);_(@_)">
                  <c:v>77154.390358697594</c:v>
                </c:pt>
                <c:pt idx="1153" formatCode="_(&quot;$&quot;* #,##0.00_);_(&quot;$&quot;* \(#,##0.00\);_(&quot;$&quot;* &quot;-&quot;??_);_(@_)">
                  <c:v>77715.238274868039</c:v>
                </c:pt>
                <c:pt idx="1154" formatCode="_(&quot;$&quot;* #,##0.00_);_(&quot;$&quot;* \(#,##0.00\);_(&quot;$&quot;* &quot;-&quot;??_);_(@_)">
                  <c:v>77441.666334608963</c:v>
                </c:pt>
                <c:pt idx="1155" formatCode="_(&quot;$&quot;* #,##0.00_);_(&quot;$&quot;* \(#,##0.00\);_(&quot;$&quot;* &quot;-&quot;??_);_(@_)">
                  <c:v>77737.687952540495</c:v>
                </c:pt>
                <c:pt idx="1156" formatCode="_(&quot;$&quot;* #,##0.00_);_(&quot;$&quot;* \(#,##0.00\);_(&quot;$&quot;* &quot;-&quot;??_);_(@_)">
                  <c:v>77817.066772655904</c:v>
                </c:pt>
                <c:pt idx="1157" formatCode="_(&quot;$&quot;* #,##0.00_);_(&quot;$&quot;* \(#,##0.00\);_(&quot;$&quot;* &quot;-&quot;??_);_(@_)">
                  <c:v>77985.971125277356</c:v>
                </c:pt>
                <c:pt idx="1158" formatCode="_(&quot;$&quot;* #,##0.00_);_(&quot;$&quot;* \(#,##0.00\);_(&quot;$&quot;* &quot;-&quot;??_);_(@_)">
                  <c:v>78218.93521154215</c:v>
                </c:pt>
                <c:pt idx="1159" formatCode="_(&quot;$&quot;* #,##0.00_);_(&quot;$&quot;* \(#,##0.00\);_(&quot;$&quot;* &quot;-&quot;??_);_(@_)">
                  <c:v>77804.170194015838</c:v>
                </c:pt>
                <c:pt idx="1160" formatCode="_(&quot;$&quot;* #,##0.00_);_(&quot;$&quot;* \(#,##0.00\);_(&quot;$&quot;* &quot;-&quot;??_);_(@_)">
                  <c:v>78259.838702237728</c:v>
                </c:pt>
                <c:pt idx="1161" formatCode="_(&quot;$&quot;* #,##0.00_);_(&quot;$&quot;* \(#,##0.00\);_(&quot;$&quot;* &quot;-&quot;??_);_(@_)">
                  <c:v>78187.141963426664</c:v>
                </c:pt>
                <c:pt idx="1162" formatCode="_(&quot;$&quot;* #,##0.00_);_(&quot;$&quot;* \(#,##0.00\);_(&quot;$&quot;* &quot;-&quot;??_);_(@_)">
                  <c:v>79055.207601956237</c:v>
                </c:pt>
                <c:pt idx="1163" formatCode="_(&quot;$&quot;* #,##0.00_);_(&quot;$&quot;* \(#,##0.00\);_(&quot;$&quot;* &quot;-&quot;??_);_(@_)">
                  <c:v>79389.242581693179</c:v>
                </c:pt>
                <c:pt idx="1164" formatCode="_(&quot;$&quot;* #,##0.00_);_(&quot;$&quot;* \(#,##0.00\);_(&quot;$&quot;* &quot;-&quot;??_);_(@_)">
                  <c:v>79516.639513772549</c:v>
                </c:pt>
                <c:pt idx="1165" formatCode="_(&quot;$&quot;* #,##0.00_);_(&quot;$&quot;* \(#,##0.00\);_(&quot;$&quot;* &quot;-&quot;??_);_(@_)">
                  <c:v>78656.966082493367</c:v>
                </c:pt>
                <c:pt idx="1166" formatCode="_(&quot;$&quot;* #,##0.00_);_(&quot;$&quot;* \(#,##0.00\);_(&quot;$&quot;* &quot;-&quot;??_);_(@_)">
                  <c:v>78226.565313385305</c:v>
                </c:pt>
                <c:pt idx="1167" formatCode="_(&quot;$&quot;* #,##0.00_);_(&quot;$&quot;* \(#,##0.00\);_(&quot;$&quot;* &quot;-&quot;??_);_(@_)">
                  <c:v>78422.176899333994</c:v>
                </c:pt>
                <c:pt idx="1168" formatCode="_(&quot;$&quot;* #,##0.00_);_(&quot;$&quot;* \(#,##0.00\);_(&quot;$&quot;* &quot;-&quot;??_);_(@_)">
                  <c:v>78379.344794180986</c:v>
                </c:pt>
                <c:pt idx="1169" formatCode="_(&quot;$&quot;* #,##0.00_);_(&quot;$&quot;* \(#,##0.00\);_(&quot;$&quot;* &quot;-&quot;??_);_(@_)">
                  <c:v>78113.593125396423</c:v>
                </c:pt>
                <c:pt idx="1170" formatCode="_(&quot;$&quot;* #,##0.00_);_(&quot;$&quot;* \(#,##0.00\);_(&quot;$&quot;* &quot;-&quot;??_);_(@_)">
                  <c:v>78350.345641073538</c:v>
                </c:pt>
                <c:pt idx="1171" formatCode="_(&quot;$&quot;* #,##0.00_);_(&quot;$&quot;* \(#,##0.00\);_(&quot;$&quot;* &quot;-&quot;??_);_(@_)">
                  <c:v>78866.641877029178</c:v>
                </c:pt>
                <c:pt idx="1172" formatCode="_(&quot;$&quot;* #,##0.00_);_(&quot;$&quot;* \(#,##0.00\);_(&quot;$&quot;* &quot;-&quot;??_);_(@_)">
                  <c:v>79522.387179748985</c:v>
                </c:pt>
                <c:pt idx="1173" formatCode="_(&quot;$&quot;* #,##0.00_);_(&quot;$&quot;* \(#,##0.00\);_(&quot;$&quot;* &quot;-&quot;??_);_(@_)">
                  <c:v>79391.0652940281</c:v>
                </c:pt>
                <c:pt idx="1174" formatCode="_(&quot;$&quot;* #,##0.00_);_(&quot;$&quot;* \(#,##0.00\);_(&quot;$&quot;* &quot;-&quot;??_);_(@_)">
                  <c:v>80192.104529069795</c:v>
                </c:pt>
                <c:pt idx="1175" formatCode="_(&quot;$&quot;* #,##0.00_);_(&quot;$&quot;* \(#,##0.00\);_(&quot;$&quot;* &quot;-&quot;??_);_(@_)">
                  <c:v>80946.147251855495</c:v>
                </c:pt>
                <c:pt idx="1176" formatCode="_(&quot;$&quot;* #,##0.00_);_(&quot;$&quot;* \(#,##0.00\);_(&quot;$&quot;* &quot;-&quot;??_);_(@_)">
                  <c:v>80736.267520241177</c:v>
                </c:pt>
                <c:pt idx="1177" formatCode="_(&quot;$&quot;* #,##0.00_);_(&quot;$&quot;* \(#,##0.00\);_(&quot;$&quot;* &quot;-&quot;??_);_(@_)">
                  <c:v>80688.849210660352</c:v>
                </c:pt>
                <c:pt idx="1178" formatCode="_(&quot;$&quot;* #,##0.00_);_(&quot;$&quot;* \(#,##0.00\);_(&quot;$&quot;* &quot;-&quot;??_);_(@_)">
                  <c:v>80173.865997252957</c:v>
                </c:pt>
                <c:pt idx="1179" formatCode="_(&quot;$&quot;* #,##0.00_);_(&quot;$&quot;* \(#,##0.00\);_(&quot;$&quot;* &quot;-&quot;??_);_(@_)">
                  <c:v>80132.510981739499</c:v>
                </c:pt>
                <c:pt idx="1180" formatCode="_(&quot;$&quot;* #,##0.00_);_(&quot;$&quot;* \(#,##0.00\);_(&quot;$&quot;* &quot;-&quot;??_);_(@_)">
                  <c:v>81189.613469840668</c:v>
                </c:pt>
                <c:pt idx="1181" formatCode="_(&quot;$&quot;* #,##0.00_);_(&quot;$&quot;* \(#,##0.00\);_(&quot;$&quot;* &quot;-&quot;??_);_(@_)">
                  <c:v>80806.481683227539</c:v>
                </c:pt>
                <c:pt idx="1182" formatCode="_(&quot;$&quot;* #,##0.00_);_(&quot;$&quot;* \(#,##0.00\);_(&quot;$&quot;* &quot;-&quot;??_);_(@_)">
                  <c:v>81788.871502792827</c:v>
                </c:pt>
                <c:pt idx="1183" formatCode="_(&quot;$&quot;* #,##0.00_);_(&quot;$&quot;* \(#,##0.00\);_(&quot;$&quot;* &quot;-&quot;??_);_(@_)">
                  <c:v>82079.949126430671</c:v>
                </c:pt>
                <c:pt idx="1184" formatCode="_(&quot;$&quot;* #,##0.00_);_(&quot;$&quot;* \(#,##0.00\);_(&quot;$&quot;* &quot;-&quot;??_);_(@_)">
                  <c:v>82103.783171099989</c:v>
                </c:pt>
                <c:pt idx="1185" formatCode="_(&quot;$&quot;* #,##0.00_);_(&quot;$&quot;* \(#,##0.00\);_(&quot;$&quot;* &quot;-&quot;??_);_(@_)">
                  <c:v>82262.664520820268</c:v>
                </c:pt>
                <c:pt idx="1186" formatCode="_(&quot;$&quot;* #,##0.00_);_(&quot;$&quot;* \(#,##0.00\);_(&quot;$&quot;* &quot;-&quot;??_);_(@_)">
                  <c:v>81745.732859411612</c:v>
                </c:pt>
                <c:pt idx="1187" formatCode="_(&quot;$&quot;* #,##0.00_);_(&quot;$&quot;* \(#,##0.00\);_(&quot;$&quot;* &quot;-&quot;??_);_(@_)">
                  <c:v>82327.395257509343</c:v>
                </c:pt>
                <c:pt idx="1188" formatCode="_(&quot;$&quot;* #,##0.00_);_(&quot;$&quot;* \(#,##0.00\);_(&quot;$&quot;* &quot;-&quot;??_);_(@_)">
                  <c:v>82542.855977789935</c:v>
                </c:pt>
                <c:pt idx="1189" formatCode="_(&quot;$&quot;* #,##0.00_);_(&quot;$&quot;* \(#,##0.00\);_(&quot;$&quot;* &quot;-&quot;??_);_(@_)">
                  <c:v>82551.579862610975</c:v>
                </c:pt>
                <c:pt idx="1190" formatCode="_(&quot;$&quot;* #,##0.00_);_(&quot;$&quot;* \(#,##0.00\);_(&quot;$&quot;* &quot;-&quot;??_);_(@_)">
                  <c:v>83149.357285658698</c:v>
                </c:pt>
                <c:pt idx="1191" formatCode="_(&quot;$&quot;* #,##0.00_);_(&quot;$&quot;* \(#,##0.00\);_(&quot;$&quot;* &quot;-&quot;??_);_(@_)">
                  <c:v>83482.239074232959</c:v>
                </c:pt>
                <c:pt idx="1192" formatCode="_(&quot;$&quot;* #,##0.00_);_(&quot;$&quot;* \(#,##0.00\);_(&quot;$&quot;* &quot;-&quot;??_);_(@_)">
                  <c:v>84032.719201556843</c:v>
                </c:pt>
                <c:pt idx="1193" formatCode="_(&quot;$&quot;* #,##0.00_);_(&quot;$&quot;* \(#,##0.00\);_(&quot;$&quot;* &quot;-&quot;??_);_(@_)">
                  <c:v>84314.3739019817</c:v>
                </c:pt>
                <c:pt idx="1194" formatCode="_(&quot;$&quot;* #,##0.00_);_(&quot;$&quot;* \(#,##0.00\);_(&quot;$&quot;* &quot;-&quot;??_);_(@_)">
                  <c:v>84251.118864462827</c:v>
                </c:pt>
                <c:pt idx="1195" formatCode="_(&quot;$&quot;* #,##0.00_);_(&quot;$&quot;* \(#,##0.00\);_(&quot;$&quot;* &quot;-&quot;??_);_(@_)">
                  <c:v>85247.284223830691</c:v>
                </c:pt>
                <c:pt idx="1196" formatCode="_(&quot;$&quot;* #,##0.00_);_(&quot;$&quot;* \(#,##0.00\);_(&quot;$&quot;* &quot;-&quot;??_);_(@_)">
                  <c:v>85672.036087185581</c:v>
                </c:pt>
                <c:pt idx="1197" formatCode="_(&quot;$&quot;* #,##0.00_);_(&quot;$&quot;* \(#,##0.00\);_(&quot;$&quot;* &quot;-&quot;??_);_(@_)">
                  <c:v>85500.231240622074</c:v>
                </c:pt>
                <c:pt idx="1198" formatCode="_(&quot;$&quot;* #,##0.00_);_(&quot;$&quot;* \(#,##0.00\);_(&quot;$&quot;* &quot;-&quot;??_);_(@_)">
                  <c:v>84814.68063634065</c:v>
                </c:pt>
                <c:pt idx="1199" formatCode="_(&quot;$&quot;* #,##0.00_);_(&quot;$&quot;* \(#,##0.00\);_(&quot;$&quot;* &quot;-&quot;??_);_(@_)">
                  <c:v>84730.454668902588</c:v>
                </c:pt>
                <c:pt idx="1200" formatCode="_(&quot;$&quot;* #,##0.00_);_(&quot;$&quot;* \(#,##0.00\);_(&quot;$&quot;* &quot;-&quot;??_);_(@_)">
                  <c:v>84659.233420013043</c:v>
                </c:pt>
                <c:pt idx="1201" formatCode="_(&quot;$&quot;* #,##0.00_);_(&quot;$&quot;* \(#,##0.00\);_(&quot;$&quot;* &quot;-&quot;??_);_(@_)">
                  <c:v>84425.814753414335</c:v>
                </c:pt>
                <c:pt idx="1202" formatCode="_(&quot;$&quot;* #,##0.00_);_(&quot;$&quot;* \(#,##0.00\);_(&quot;$&quot;* &quot;-&quot;??_);_(@_)">
                  <c:v>83905.4768855578</c:v>
                </c:pt>
                <c:pt idx="1203" formatCode="_(&quot;$&quot;* #,##0.00_);_(&quot;$&quot;* \(#,##0.00\);_(&quot;$&quot;* &quot;-&quot;??_);_(@_)">
                  <c:v>84056.217716085186</c:v>
                </c:pt>
                <c:pt idx="1204" formatCode="_(&quot;$&quot;* #,##0.00_);_(&quot;$&quot;* \(#,##0.00\);_(&quot;$&quot;* &quot;-&quot;??_);_(@_)">
                  <c:v>84111.138423693992</c:v>
                </c:pt>
                <c:pt idx="1205" formatCode="_(&quot;$&quot;* #,##0.00_);_(&quot;$&quot;* \(#,##0.00\);_(&quot;$&quot;* &quot;-&quot;??_);_(@_)">
                  <c:v>84296.517358796977</c:v>
                </c:pt>
                <c:pt idx="1206" formatCode="_(&quot;$&quot;* #,##0.00_);_(&quot;$&quot;* \(#,##0.00\);_(&quot;$&quot;* &quot;-&quot;??_);_(@_)">
                  <c:v>84267.144570720702</c:v>
                </c:pt>
                <c:pt idx="1207" formatCode="_(&quot;$&quot;* #,##0.00_);_(&quot;$&quot;* \(#,##0.00\);_(&quot;$&quot;* &quot;-&quot;??_);_(@_)">
                  <c:v>84357.492252912343</c:v>
                </c:pt>
                <c:pt idx="1208" formatCode="_(&quot;$&quot;* #,##0.00_);_(&quot;$&quot;* \(#,##0.00\);_(&quot;$&quot;* &quot;-&quot;??_);_(@_)">
                  <c:v>84096.548865189543</c:v>
                </c:pt>
                <c:pt idx="1209" formatCode="_(&quot;$&quot;* #,##0.00_);_(&quot;$&quot;* \(#,##0.00\);_(&quot;$&quot;* &quot;-&quot;??_);_(@_)">
                  <c:v>83770.954888501437</c:v>
                </c:pt>
                <c:pt idx="1210" formatCode="_(&quot;$&quot;* #,##0.00_);_(&quot;$&quot;* \(#,##0.00\);_(&quot;$&quot;* &quot;-&quot;??_);_(@_)">
                  <c:v>83393.741040125838</c:v>
                </c:pt>
                <c:pt idx="1211" formatCode="_(&quot;$&quot;* #,##0.00_);_(&quot;$&quot;* \(#,##0.00\);_(&quot;$&quot;* &quot;-&quot;??_);_(@_)">
                  <c:v>82235.753543048704</c:v>
                </c:pt>
                <c:pt idx="1212" formatCode="_(&quot;$&quot;* #,##0.00_);_(&quot;$&quot;* \(#,##0.00\);_(&quot;$&quot;* &quot;-&quot;??_);_(@_)">
                  <c:v>82568.034617631114</c:v>
                </c:pt>
                <c:pt idx="1213" formatCode="_(&quot;$&quot;* #,##0.00_);_(&quot;$&quot;* \(#,##0.00\);_(&quot;$&quot;* &quot;-&quot;??_);_(@_)">
                  <c:v>83622.629620250533</c:v>
                </c:pt>
                <c:pt idx="1214" formatCode="_(&quot;$&quot;* #,##0.00_);_(&quot;$&quot;* \(#,##0.00\);_(&quot;$&quot;* &quot;-&quot;??_);_(@_)">
                  <c:v>83927.613507646602</c:v>
                </c:pt>
                <c:pt idx="1215" formatCode="_(&quot;$&quot;* #,##0.00_);_(&quot;$&quot;* \(#,##0.00\);_(&quot;$&quot;* &quot;-&quot;??_);_(@_)">
                  <c:v>83787.027470388843</c:v>
                </c:pt>
                <c:pt idx="1216" formatCode="_(&quot;$&quot;* #,##0.00_);_(&quot;$&quot;* \(#,##0.00\);_(&quot;$&quot;* &quot;-&quot;??_);_(@_)">
                  <c:v>84152.041471472956</c:v>
                </c:pt>
                <c:pt idx="1217" formatCode="_(&quot;$&quot;* #,##0.00_);_(&quot;$&quot;* \(#,##0.00\);_(&quot;$&quot;* &quot;-&quot;??_);_(@_)">
                  <c:v>82969.792222290402</c:v>
                </c:pt>
                <c:pt idx="1218" formatCode="_(&quot;$&quot;* #,##0.00_);_(&quot;$&quot;* \(#,##0.00\);_(&quot;$&quot;* &quot;-&quot;??_);_(@_)">
                  <c:v>83232.431714602528</c:v>
                </c:pt>
                <c:pt idx="1219" formatCode="_(&quot;$&quot;* #,##0.00_);_(&quot;$&quot;* \(#,##0.00\);_(&quot;$&quot;* &quot;-&quot;??_);_(@_)">
                  <c:v>82982.417449461631</c:v>
                </c:pt>
                <c:pt idx="1220" formatCode="_(&quot;$&quot;* #,##0.00_);_(&quot;$&quot;* \(#,##0.00\);_(&quot;$&quot;* &quot;-&quot;??_);_(@_)">
                  <c:v>82666.485389964859</c:v>
                </c:pt>
                <c:pt idx="1221" formatCode="_(&quot;$&quot;* #,##0.00_);_(&quot;$&quot;* \(#,##0.00\);_(&quot;$&quot;* &quot;-&quot;??_);_(@_)">
                  <c:v>82814.488205918606</c:v>
                </c:pt>
                <c:pt idx="1222" formatCode="_(&quot;$&quot;* #,##0.00_);_(&quot;$&quot;* \(#,##0.00\);_(&quot;$&quot;* &quot;-&quot;??_);_(@_)">
                  <c:v>83923.188901260291</c:v>
                </c:pt>
                <c:pt idx="1223" formatCode="_(&quot;$&quot;* #,##0.00_);_(&quot;$&quot;* \(#,##0.00\);_(&quot;$&quot;* &quot;-&quot;??_);_(@_)">
                  <c:v>84682.831026049447</c:v>
                </c:pt>
                <c:pt idx="1224" formatCode="_(&quot;$&quot;* #,##0.00_);_(&quot;$&quot;* \(#,##0.00\);_(&quot;$&quot;* &quot;-&quot;??_);_(@_)">
                  <c:v>85189.469758265215</c:v>
                </c:pt>
                <c:pt idx="1225" formatCode="_(&quot;$&quot;* #,##0.00_);_(&quot;$&quot;* \(#,##0.00\);_(&quot;$&quot;* &quot;-&quot;??_);_(@_)">
                  <c:v>85232.560214909696</c:v>
                </c:pt>
                <c:pt idx="1226" formatCode="_(&quot;$&quot;* #,##0.00_);_(&quot;$&quot;* \(#,##0.00\);_(&quot;$&quot;* &quot;-&quot;??_);_(@_)">
                  <c:v>84887.914005304017</c:v>
                </c:pt>
                <c:pt idx="1227" formatCode="_(&quot;$&quot;* #,##0.00_);_(&quot;$&quot;* \(#,##0.00\);_(&quot;$&quot;* &quot;-&quot;??_);_(@_)">
                  <c:v>83977.811994187912</c:v>
                </c:pt>
                <c:pt idx="1228" formatCode="_(&quot;$&quot;* #,##0.00_);_(&quot;$&quot;* \(#,##0.00\);_(&quot;$&quot;* &quot;-&quot;??_);_(@_)">
                  <c:v>84413.855418724488</c:v>
                </c:pt>
                <c:pt idx="1229" formatCode="_(&quot;$&quot;* #,##0.00_);_(&quot;$&quot;* \(#,##0.00\);_(&quot;$&quot;* &quot;-&quot;??_);_(@_)">
                  <c:v>85248.137392715929</c:v>
                </c:pt>
                <c:pt idx="1230" formatCode="_(&quot;$&quot;* #,##0.00_);_(&quot;$&quot;* \(#,##0.00\);_(&quot;$&quot;* &quot;-&quot;??_);_(@_)">
                  <c:v>84417.274444521521</c:v>
                </c:pt>
                <c:pt idx="1231" formatCode="_(&quot;$&quot;* #,##0.00_);_(&quot;$&quot;* \(#,##0.00\);_(&quot;$&quot;* &quot;-&quot;??_);_(@_)">
                  <c:v>84766.882059927651</c:v>
                </c:pt>
                <c:pt idx="1232" formatCode="_(&quot;$&quot;* #,##0.00_);_(&quot;$&quot;* \(#,##0.00\);_(&quot;$&quot;* &quot;-&quot;??_);_(@_)">
                  <c:v>83897.601550869804</c:v>
                </c:pt>
                <c:pt idx="1233" formatCode="_(&quot;$&quot;* #,##0.00_);_(&quot;$&quot;* \(#,##0.00\);_(&quot;$&quot;* &quot;-&quot;??_);_(@_)">
                  <c:v>83663.705790077947</c:v>
                </c:pt>
                <c:pt idx="1234" formatCode="_(&quot;$&quot;* #,##0.00_);_(&quot;$&quot;* \(#,##0.00\);_(&quot;$&quot;* &quot;-&quot;??_);_(@_)">
                  <c:v>83607.395769430877</c:v>
                </c:pt>
                <c:pt idx="1235" formatCode="_(&quot;$&quot;* #,##0.00_);_(&quot;$&quot;* \(#,##0.00\);_(&quot;$&quot;* &quot;-&quot;??_);_(@_)">
                  <c:v>84340.344897192626</c:v>
                </c:pt>
                <c:pt idx="1236" formatCode="_(&quot;$&quot;* #,##0.00_);_(&quot;$&quot;* \(#,##0.00\);_(&quot;$&quot;* &quot;-&quot;??_);_(@_)">
                  <c:v>83621.190633289938</c:v>
                </c:pt>
                <c:pt idx="1237" formatCode="_(&quot;$&quot;* #,##0.00_);_(&quot;$&quot;* \(#,##0.00\);_(&quot;$&quot;* &quot;-&quot;??_);_(@_)">
                  <c:v>82999.947413104674</c:v>
                </c:pt>
                <c:pt idx="1238" formatCode="_(&quot;$&quot;* #,##0.00_);_(&quot;$&quot;* \(#,##0.00\);_(&quot;$&quot;* &quot;-&quot;??_);_(@_)">
                  <c:v>84523.164505916662</c:v>
                </c:pt>
                <c:pt idx="1239" formatCode="_(&quot;$&quot;* #,##0.00_);_(&quot;$&quot;* \(#,##0.00\);_(&quot;$&quot;* &quot;-&quot;??_);_(@_)">
                  <c:v>84727.053833695216</c:v>
                </c:pt>
                <c:pt idx="1240" formatCode="_(&quot;$&quot;* #,##0.00_);_(&quot;$&quot;* \(#,##0.00\);_(&quot;$&quot;* &quot;-&quot;??_);_(@_)">
                  <c:v>84443.26224776321</c:v>
                </c:pt>
                <c:pt idx="1241" formatCode="_(&quot;$&quot;* #,##0.00_);_(&quot;$&quot;* \(#,##0.00\);_(&quot;$&quot;* &quot;-&quot;??_);_(@_)">
                  <c:v>83769.191874687167</c:v>
                </c:pt>
                <c:pt idx="1242" formatCode="_(&quot;$&quot;* #,##0.00_);_(&quot;$&quot;* \(#,##0.00\);_(&quot;$&quot;* &quot;-&quot;??_);_(@_)">
                  <c:v>83857.25772322189</c:v>
                </c:pt>
                <c:pt idx="1243" formatCode="_(&quot;$&quot;* #,##0.00_);_(&quot;$&quot;* \(#,##0.00\);_(&quot;$&quot;* &quot;-&quot;??_);_(@_)">
                  <c:v>84725.475338056494</c:v>
                </c:pt>
                <c:pt idx="1244" formatCode="_(&quot;$&quot;* #,##0.00_);_(&quot;$&quot;* \(#,##0.00\);_(&quot;$&quot;* &quot;-&quot;??_);_(@_)">
                  <c:v>85402.469799074708</c:v>
                </c:pt>
                <c:pt idx="1245" formatCode="_(&quot;$&quot;* #,##0.00_);_(&quot;$&quot;* \(#,##0.00\);_(&quot;$&quot;* &quot;-&quot;??_);_(@_)">
                  <c:v>86134.668064814949</c:v>
                </c:pt>
                <c:pt idx="1246" formatCode="_(&quot;$&quot;* #,##0.00_);_(&quot;$&quot;* \(#,##0.00\);_(&quot;$&quot;* &quot;-&quot;??_);_(@_)">
                  <c:v>87061.649660290888</c:v>
                </c:pt>
                <c:pt idx="1247" formatCode="_(&quot;$&quot;* #,##0.00_);_(&quot;$&quot;* \(#,##0.00\);_(&quot;$&quot;* &quot;-&quot;??_);_(@_)">
                  <c:v>87700.039019803371</c:v>
                </c:pt>
                <c:pt idx="1248" formatCode="_(&quot;$&quot;* #,##0.00_);_(&quot;$&quot;* \(#,##0.00\);_(&quot;$&quot;* &quot;-&quot;??_);_(@_)">
                  <c:v>85861.216505373173</c:v>
                </c:pt>
                <c:pt idx="1249" formatCode="_(&quot;$&quot;* #,##0.00_);_(&quot;$&quot;* \(#,##0.00\);_(&quot;$&quot;* &quot;-&quot;??_);_(@_)">
                  <c:v>84969.449760858915</c:v>
                </c:pt>
                <c:pt idx="1250" formatCode="_(&quot;$&quot;* #,##0.00_);_(&quot;$&quot;* \(#,##0.00\);_(&quot;$&quot;* &quot;-&quot;??_);_(@_)">
                  <c:v>84521.84159697812</c:v>
                </c:pt>
                <c:pt idx="1251" formatCode="_(&quot;$&quot;* #,##0.00_);_(&quot;$&quot;* \(#,##0.00\);_(&quot;$&quot;* &quot;-&quot;??_);_(@_)">
                  <c:v>84156.005432269885</c:v>
                </c:pt>
                <c:pt idx="1252" formatCode="_(&quot;$&quot;* #,##0.00_);_(&quot;$&quot;* \(#,##0.00\);_(&quot;$&quot;* &quot;-&quot;??_);_(@_)">
                  <c:v>84128.625201278803</c:v>
                </c:pt>
                <c:pt idx="1253" formatCode="_(&quot;$&quot;* #,##0.00_);_(&quot;$&quot;* \(#,##0.00\);_(&quot;$&quot;* &quot;-&quot;??_);_(@_)">
                  <c:v>84492.210954079696</c:v>
                </c:pt>
                <c:pt idx="1254" formatCode="_(&quot;$&quot;* #,##0.00_);_(&quot;$&quot;* \(#,##0.00\);_(&quot;$&quot;* &quot;-&quot;??_);_(@_)">
                  <c:v>84412.921628958851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4-4E17-8396-4845B188F6A2}"/>
            </c:ext>
          </c:extLst>
        </c:ser>
        <c:ser>
          <c:idx val="3"/>
          <c:order val="3"/>
          <c:tx>
            <c:strRef>
              <c:f>'SPY vs RSP'!$AB$2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RSP'!$AB$3:$AB$1257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 formatCode="_(&quot;$&quot;* #,##0.00_);_(&quot;$&quot;* \(#,##0.00\);_(&quot;$&quot;* &quot;-&quot;??_);_(@_)">
                  <c:v>0</c:v>
                </c:pt>
                <c:pt idx="200" formatCode="_(&quot;$&quot;* #,##0.00_);_(&quot;$&quot;* \(#,##0.00\);_(&quot;$&quot;* &quot;-&quot;??_);_(@_)">
                  <c:v>141.78281582263321</c:v>
                </c:pt>
                <c:pt idx="201" formatCode="_(&quot;$&quot;* #,##0.00_);_(&quot;$&quot;* \(#,##0.00\);_(&quot;$&quot;* &quot;-&quot;??_);_(@_)">
                  <c:v>410.86314933884353</c:v>
                </c:pt>
                <c:pt idx="202" formatCode="_(&quot;$&quot;* #,##0.00_);_(&quot;$&quot;* \(#,##0.00\);_(&quot;$&quot;* &quot;-&quot;??_);_(@_)">
                  <c:v>524.86323838048145</c:v>
                </c:pt>
                <c:pt idx="203" formatCode="_(&quot;$&quot;* #,##0.00_);_(&quot;$&quot;* \(#,##0.00\);_(&quot;$&quot;* &quot;-&quot;??_);_(@_)">
                  <c:v>362.93714556297289</c:v>
                </c:pt>
                <c:pt idx="204" formatCode="_(&quot;$&quot;* #,##0.00_);_(&quot;$&quot;* \(#,##0.00\);_(&quot;$&quot;* &quot;-&quot;??_);_(@_)">
                  <c:v>-13.842752157151608</c:v>
                </c:pt>
                <c:pt idx="205" formatCode="_(&quot;$&quot;* #,##0.00_);_(&quot;$&quot;* \(#,##0.00\);_(&quot;$&quot;* &quot;-&quot;??_);_(@_)">
                  <c:v>-265.89004574471744</c:v>
                </c:pt>
                <c:pt idx="206" formatCode="_(&quot;$&quot;* #,##0.00_);_(&quot;$&quot;* \(#,##0.00\);_(&quot;$&quot;* &quot;-&quot;??_);_(@_)">
                  <c:v>-412.51369853834956</c:v>
                </c:pt>
                <c:pt idx="207" formatCode="_(&quot;$&quot;* #,##0.00_);_(&quot;$&quot;* \(#,##0.00\);_(&quot;$&quot;* &quot;-&quot;??_);_(@_)">
                  <c:v>48.165074516174741</c:v>
                </c:pt>
                <c:pt idx="208" formatCode="_(&quot;$&quot;* #,##0.00_);_(&quot;$&quot;* \(#,##0.00\);_(&quot;$&quot;* &quot;-&quot;??_);_(@_)">
                  <c:v>108.13428844233448</c:v>
                </c:pt>
                <c:pt idx="209" formatCode="_(&quot;$&quot;* #,##0.00_);_(&quot;$&quot;* \(#,##0.00\);_(&quot;$&quot;* &quot;-&quot;??_);_(@_)">
                  <c:v>103.78612091096608</c:v>
                </c:pt>
                <c:pt idx="210" formatCode="_(&quot;$&quot;* #,##0.00_);_(&quot;$&quot;* \(#,##0.00\);_(&quot;$&quot;* &quot;-&quot;??_);_(@_)">
                  <c:v>-234.42719919708992</c:v>
                </c:pt>
                <c:pt idx="211" formatCode="_(&quot;$&quot;* #,##0.00_);_(&quot;$&quot;* \(#,##0.00\);_(&quot;$&quot;* &quot;-&quot;??_);_(@_)">
                  <c:v>-113.04745609614105</c:v>
                </c:pt>
                <c:pt idx="212" formatCode="_(&quot;$&quot;* #,##0.00_);_(&quot;$&quot;* \(#,##0.00\);_(&quot;$&quot;* &quot;-&quot;??_);_(@_)">
                  <c:v>62.698014375386322</c:v>
                </c:pt>
                <c:pt idx="213" formatCode="_(&quot;$&quot;* #,##0.00_);_(&quot;$&quot;* \(#,##0.00\);_(&quot;$&quot;* &quot;-&quot;??_);_(@_)">
                  <c:v>-162.94064092469756</c:v>
                </c:pt>
                <c:pt idx="214" formatCode="_(&quot;$&quot;* #,##0.00_);_(&quot;$&quot;* \(#,##0.00\);_(&quot;$&quot;* &quot;-&quot;??_);_(@_)">
                  <c:v>-379.93385331518397</c:v>
                </c:pt>
                <c:pt idx="215" formatCode="_(&quot;$&quot;* #,##0.00_);_(&quot;$&quot;* \(#,##0.00\);_(&quot;$&quot;* &quot;-&quot;??_);_(@_)">
                  <c:v>-845.38444484035995</c:v>
                </c:pt>
                <c:pt idx="216" formatCode="_(&quot;$&quot;* #,##0.00_);_(&quot;$&quot;* \(#,##0.00\);_(&quot;$&quot;* &quot;-&quot;??_);_(@_)">
                  <c:v>-1074.5644099253861</c:v>
                </c:pt>
                <c:pt idx="217" formatCode="_(&quot;$&quot;* #,##0.00_);_(&quot;$&quot;* \(#,##0.00\);_(&quot;$&quot;* &quot;-&quot;??_);_(@_)">
                  <c:v>-629.81239102857728</c:v>
                </c:pt>
                <c:pt idx="218" formatCode="_(&quot;$&quot;* #,##0.00_);_(&quot;$&quot;* \(#,##0.00\);_(&quot;$&quot;* &quot;-&quot;??_);_(@_)">
                  <c:v>-1965.2257951312563</c:v>
                </c:pt>
                <c:pt idx="219" formatCode="_(&quot;$&quot;* #,##0.00_);_(&quot;$&quot;* \(#,##0.00\);_(&quot;$&quot;* &quot;-&quot;??_);_(@_)">
                  <c:v>-1836.6808450282031</c:v>
                </c:pt>
                <c:pt idx="220" formatCode="_(&quot;$&quot;* #,##0.00_);_(&quot;$&quot;* \(#,##0.00\);_(&quot;$&quot;* &quot;-&quot;??_);_(@_)">
                  <c:v>-1987.5045793795171</c:v>
                </c:pt>
                <c:pt idx="221" formatCode="_(&quot;$&quot;* #,##0.00_);_(&quot;$&quot;* \(#,##0.00\);_(&quot;$&quot;* &quot;-&quot;??_);_(@_)">
                  <c:v>-1913.8279859853624</c:v>
                </c:pt>
                <c:pt idx="222" formatCode="_(&quot;$&quot;* #,##0.00_);_(&quot;$&quot;* \(#,##0.00\);_(&quot;$&quot;* &quot;-&quot;??_);_(@_)">
                  <c:v>-1582.553978192587</c:v>
                </c:pt>
                <c:pt idx="223" formatCode="_(&quot;$&quot;* #,##0.00_);_(&quot;$&quot;* \(#,##0.00\);_(&quot;$&quot;* &quot;-&quot;??_);_(@_)">
                  <c:v>-1061.0084126753341</c:v>
                </c:pt>
                <c:pt idx="224" formatCode="_(&quot;$&quot;* #,##0.00_);_(&quot;$&quot;* \(#,##0.00\);_(&quot;$&quot;* &quot;-&quot;??_);_(@_)">
                  <c:v>-1590.3119634835871</c:v>
                </c:pt>
                <c:pt idx="225" formatCode="_(&quot;$&quot;* #,##0.00_);_(&quot;$&quot;* \(#,##0.00\);_(&quot;$&quot;* &quot;-&quot;??_);_(@_)">
                  <c:v>-1399.7807363609761</c:v>
                </c:pt>
                <c:pt idx="226" formatCode="_(&quot;$&quot;* #,##0.00_);_(&quot;$&quot;* \(#,##0.00\);_(&quot;$&quot;* &quot;-&quot;??_);_(@_)">
                  <c:v>-1235.651305985017</c:v>
                </c:pt>
                <c:pt idx="227" formatCode="_(&quot;$&quot;* #,##0.00_);_(&quot;$&quot;* \(#,##0.00\);_(&quot;$&quot;* &quot;-&quot;??_);_(@_)">
                  <c:v>-1660.0279649768627</c:v>
                </c:pt>
                <c:pt idx="228" formatCode="_(&quot;$&quot;* #,##0.00_);_(&quot;$&quot;* \(#,##0.00\);_(&quot;$&quot;* &quot;-&quot;??_);_(@_)">
                  <c:v>-1975.62761003888</c:v>
                </c:pt>
                <c:pt idx="229" formatCode="_(&quot;$&quot;* #,##0.00_);_(&quot;$&quot;* \(#,##0.00\);_(&quot;$&quot;* &quot;-&quot;??_);_(@_)">
                  <c:v>-2020.3278358908126</c:v>
                </c:pt>
                <c:pt idx="230" formatCode="_(&quot;$&quot;* #,##0.00_);_(&quot;$&quot;* \(#,##0.00\);_(&quot;$&quot;* &quot;-&quot;??_);_(@_)">
                  <c:v>-2308.8377742337948</c:v>
                </c:pt>
                <c:pt idx="231" formatCode="_(&quot;$&quot;* #,##0.00_);_(&quot;$&quot;* \(#,##0.00\);_(&quot;$&quot;* &quot;-&quot;??_);_(@_)">
                  <c:v>-2085.9200842553419</c:v>
                </c:pt>
                <c:pt idx="232" formatCode="_(&quot;$&quot;* #,##0.00_);_(&quot;$&quot;* \(#,##0.00\);_(&quot;$&quot;* &quot;-&quot;??_);_(@_)">
                  <c:v>-1679.7489971288794</c:v>
                </c:pt>
                <c:pt idx="233" formatCode="_(&quot;$&quot;* #,##0.00_);_(&quot;$&quot;* \(#,##0.00\);_(&quot;$&quot;* &quot;-&quot;??_);_(@_)">
                  <c:v>-1709.6013774820983</c:v>
                </c:pt>
                <c:pt idx="234" formatCode="_(&quot;$&quot;* #,##0.00_);_(&quot;$&quot;* \(#,##0.00\);_(&quot;$&quot;* &quot;-&quot;??_);_(@_)">
                  <c:v>-2255.5562410473758</c:v>
                </c:pt>
                <c:pt idx="235" formatCode="_(&quot;$&quot;* #,##0.00_);_(&quot;$&quot;* \(#,##0.00\);_(&quot;$&quot;* &quot;-&quot;??_);_(@_)">
                  <c:v>-2268.3742649312035</c:v>
                </c:pt>
                <c:pt idx="236" formatCode="_(&quot;$&quot;* #,##0.00_);_(&quot;$&quot;* \(#,##0.00\);_(&quot;$&quot;* &quot;-&quot;??_);_(@_)">
                  <c:v>-1876.9815847009886</c:v>
                </c:pt>
                <c:pt idx="237" formatCode="_(&quot;$&quot;* #,##0.00_);_(&quot;$&quot;* \(#,##0.00\);_(&quot;$&quot;* &quot;-&quot;??_);_(@_)">
                  <c:v>-1710.3564600483332</c:v>
                </c:pt>
                <c:pt idx="238" formatCode="_(&quot;$&quot;* #,##0.00_);_(&quot;$&quot;* \(#,##0.00\);_(&quot;$&quot;* &quot;-&quot;??_);_(@_)">
                  <c:v>-1679.2810462625148</c:v>
                </c:pt>
                <c:pt idx="239" formatCode="_(&quot;$&quot;* #,##0.00_);_(&quot;$&quot;* \(#,##0.00\);_(&quot;$&quot;* &quot;-&quot;??_);_(@_)">
                  <c:v>-1919.4131704450219</c:v>
                </c:pt>
                <c:pt idx="240" formatCode="_(&quot;$&quot;* #,##0.00_);_(&quot;$&quot;* \(#,##0.00\);_(&quot;$&quot;* &quot;-&quot;??_);_(@_)">
                  <c:v>-1572.5076605635311</c:v>
                </c:pt>
                <c:pt idx="241" formatCode="_(&quot;$&quot;* #,##0.00_);_(&quot;$&quot;* \(#,##0.00\);_(&quot;$&quot;* &quot;-&quot;??_);_(@_)">
                  <c:v>-1444.6046382815452</c:v>
                </c:pt>
                <c:pt idx="242" formatCode="_(&quot;$&quot;* #,##0.00_);_(&quot;$&quot;* \(#,##0.00\);_(&quot;$&quot;* &quot;-&quot;??_);_(@_)">
                  <c:v>-1043.3626028327676</c:v>
                </c:pt>
                <c:pt idx="243" formatCode="_(&quot;$&quot;* #,##0.00_);_(&quot;$&quot;* \(#,##0.00\);_(&quot;$&quot;* &quot;-&quot;??_);_(@_)">
                  <c:v>-1698.6012295745086</c:v>
                </c:pt>
                <c:pt idx="244" formatCode="_(&quot;$&quot;* #,##0.00_);_(&quot;$&quot;* \(#,##0.00\);_(&quot;$&quot;* &quot;-&quot;??_);_(@_)">
                  <c:v>-1371.6736586867789</c:v>
                </c:pt>
                <c:pt idx="245" formatCode="_(&quot;$&quot;* #,##0.00_);_(&quot;$&quot;* \(#,##0.00\);_(&quot;$&quot;* &quot;-&quot;??_);_(@_)">
                  <c:v>-1937.1256129324422</c:v>
                </c:pt>
                <c:pt idx="246" formatCode="_(&quot;$&quot;* #,##0.00_);_(&quot;$&quot;* \(#,##0.00\);_(&quot;$&quot;* &quot;-&quot;??_);_(@_)">
                  <c:v>-1832.9931438681724</c:v>
                </c:pt>
                <c:pt idx="247" formatCode="_(&quot;$&quot;* #,##0.00_);_(&quot;$&quot;* \(#,##0.00\);_(&quot;$&quot;* &quot;-&quot;??_);_(@_)">
                  <c:v>-1880.8685329281532</c:v>
                </c:pt>
                <c:pt idx="248" formatCode="_(&quot;$&quot;* #,##0.00_);_(&quot;$&quot;* \(#,##0.00\);_(&quot;$&quot;* &quot;-&quot;??_);_(@_)">
                  <c:v>-2408.9679035025174</c:v>
                </c:pt>
                <c:pt idx="249" formatCode="_(&quot;$&quot;* #,##0.00_);_(&quot;$&quot;* \(#,##0.00\);_(&quot;$&quot;* &quot;-&quot;??_);_(@_)">
                  <c:v>-2553.6936342965332</c:v>
                </c:pt>
                <c:pt idx="250" formatCode="_(&quot;$&quot;* #,##0.00_);_(&quot;$&quot;* \(#,##0.00\);_(&quot;$&quot;* &quot;-&quot;??_);_(@_)">
                  <c:v>-2274.881294351525</c:v>
                </c:pt>
                <c:pt idx="251" formatCode="_(&quot;$&quot;* #,##0.00_);_(&quot;$&quot;* \(#,##0.00\);_(&quot;$&quot;* &quot;-&quot;??_);_(@_)">
                  <c:v>-1877.7377266959174</c:v>
                </c:pt>
                <c:pt idx="252" formatCode="_(&quot;$&quot;* #,##0.00_);_(&quot;$&quot;* \(#,##0.00\);_(&quot;$&quot;* &quot;-&quot;??_);_(@_)">
                  <c:v>-2061.6713455052663</c:v>
                </c:pt>
                <c:pt idx="253" formatCode="_(&quot;$&quot;* #,##0.00_);_(&quot;$&quot;* \(#,##0.00\);_(&quot;$&quot;* &quot;-&quot;??_);_(@_)">
                  <c:v>-2023.7336298909795</c:v>
                </c:pt>
                <c:pt idx="254" formatCode="_(&quot;$&quot;* #,##0.00_);_(&quot;$&quot;* \(#,##0.00\);_(&quot;$&quot;* &quot;-&quot;??_);_(@_)">
                  <c:v>-1579.4387796722003</c:v>
                </c:pt>
                <c:pt idx="255" formatCode="_(&quot;$&quot;* #,##0.00_);_(&quot;$&quot;* \(#,##0.00\);_(&quot;$&quot;* &quot;-&quot;??_);_(@_)">
                  <c:v>-1657.1629838504821</c:v>
                </c:pt>
                <c:pt idx="256" formatCode="_(&quot;$&quot;* #,##0.00_);_(&quot;$&quot;* \(#,##0.00\);_(&quot;$&quot;* &quot;-&quot;??_);_(@_)">
                  <c:v>-1851.5950769731664</c:v>
                </c:pt>
                <c:pt idx="257" formatCode="_(&quot;$&quot;* #,##0.00_);_(&quot;$&quot;* \(#,##0.00\);_(&quot;$&quot;* &quot;-&quot;??_);_(@_)">
                  <c:v>-1757.8942552917013</c:v>
                </c:pt>
                <c:pt idx="258" formatCode="_(&quot;$&quot;* #,##0.00_);_(&quot;$&quot;* \(#,##0.00\);_(&quot;$&quot;* &quot;-&quot;??_);_(@_)">
                  <c:v>-1986.4785057106126</c:v>
                </c:pt>
                <c:pt idx="259" formatCode="_(&quot;$&quot;* #,##0.00_);_(&quot;$&quot;* \(#,##0.00\);_(&quot;$&quot;* &quot;-&quot;??_);_(@_)">
                  <c:v>-1959.1498348457831</c:v>
                </c:pt>
                <c:pt idx="260" formatCode="_(&quot;$&quot;* #,##0.00_);_(&quot;$&quot;* \(#,##0.00\);_(&quot;$&quot;* &quot;-&quot;??_);_(@_)">
                  <c:v>-1936.00156581223</c:v>
                </c:pt>
                <c:pt idx="261" formatCode="_(&quot;$&quot;* #,##0.00_);_(&quot;$&quot;* \(#,##0.00\);_(&quot;$&quot;* &quot;-&quot;??_);_(@_)">
                  <c:v>-1941.5484027760178</c:v>
                </c:pt>
                <c:pt idx="262" formatCode="_(&quot;$&quot;* #,##0.00_);_(&quot;$&quot;* \(#,##0.00\);_(&quot;$&quot;* &quot;-&quot;??_);_(@_)">
                  <c:v>-1959.3274306724056</c:v>
                </c:pt>
                <c:pt idx="263" formatCode="_(&quot;$&quot;* #,##0.00_);_(&quot;$&quot;* \(#,##0.00\);_(&quot;$&quot;* &quot;-&quot;??_);_(@_)">
                  <c:v>-1779.2382727078343</c:v>
                </c:pt>
                <c:pt idx="264" formatCode="_(&quot;$&quot;* #,##0.00_);_(&quot;$&quot;* \(#,##0.00\);_(&quot;$&quot;* &quot;-&quot;??_);_(@_)">
                  <c:v>-1650.1175316129682</c:v>
                </c:pt>
                <c:pt idx="265" formatCode="_(&quot;$&quot;* #,##0.00_);_(&quot;$&quot;* \(#,##0.00\);_(&quot;$&quot;* &quot;-&quot;??_);_(@_)">
                  <c:v>-1488.206765745397</c:v>
                </c:pt>
                <c:pt idx="266" formatCode="_(&quot;$&quot;* #,##0.00_);_(&quot;$&quot;* \(#,##0.00\);_(&quot;$&quot;* &quot;-&quot;??_);_(@_)">
                  <c:v>-1409.7916793921618</c:v>
                </c:pt>
                <c:pt idx="267" formatCode="_(&quot;$&quot;* #,##0.00_);_(&quot;$&quot;* \(#,##0.00\);_(&quot;$&quot;* &quot;-&quot;??_);_(@_)">
                  <c:v>-1365.8165614829622</c:v>
                </c:pt>
                <c:pt idx="268" formatCode="_(&quot;$&quot;* #,##0.00_);_(&quot;$&quot;* \(#,##0.00\);_(&quot;$&quot;* &quot;-&quot;??_);_(@_)">
                  <c:v>-1324.335971815437</c:v>
                </c:pt>
                <c:pt idx="269" formatCode="_(&quot;$&quot;* #,##0.00_);_(&quot;$&quot;* \(#,##0.00\);_(&quot;$&quot;* &quot;-&quot;??_);_(@_)">
                  <c:v>-1552.8655417089531</c:v>
                </c:pt>
                <c:pt idx="270" formatCode="_(&quot;$&quot;* #,##0.00_);_(&quot;$&quot;* \(#,##0.00\);_(&quot;$&quot;* &quot;-&quot;??_);_(@_)">
                  <c:v>-1222.4487715822329</c:v>
                </c:pt>
                <c:pt idx="271" formatCode="_(&quot;$&quot;* #,##0.00_);_(&quot;$&quot;* \(#,##0.00\);_(&quot;$&quot;* &quot;-&quot;??_);_(@_)">
                  <c:v>-1123.9790422742471</c:v>
                </c:pt>
                <c:pt idx="272" formatCode="_(&quot;$&quot;* #,##0.00_);_(&quot;$&quot;* \(#,##0.00\);_(&quot;$&quot;* &quot;-&quot;??_);_(@_)">
                  <c:v>-726.45795277292541</c:v>
                </c:pt>
                <c:pt idx="273" formatCode="_(&quot;$&quot;* #,##0.00_);_(&quot;$&quot;* \(#,##0.00\);_(&quot;$&quot;* &quot;-&quot;??_);_(@_)">
                  <c:v>-517.10937060454319</c:v>
                </c:pt>
                <c:pt idx="274" formatCode="_(&quot;$&quot;* #,##0.00_);_(&quot;$&quot;* \(#,##0.00\);_(&quot;$&quot;* &quot;-&quot;??_);_(@_)">
                  <c:v>-693.33803017260527</c:v>
                </c:pt>
                <c:pt idx="275" formatCode="_(&quot;$&quot;* #,##0.00_);_(&quot;$&quot;* \(#,##0.00\);_(&quot;$&quot;* &quot;-&quot;??_);_(@_)">
                  <c:v>-834.93572880120746</c:v>
                </c:pt>
                <c:pt idx="276" formatCode="_(&quot;$&quot;* #,##0.00_);_(&quot;$&quot;* \(#,##0.00\);_(&quot;$&quot;* &quot;-&quot;??_);_(@_)">
                  <c:v>-443.178647053649</c:v>
                </c:pt>
                <c:pt idx="277" formatCode="_(&quot;$&quot;* #,##0.00_);_(&quot;$&quot;* \(#,##0.00\);_(&quot;$&quot;* &quot;-&quot;??_);_(@_)">
                  <c:v>-831.8390843305308</c:v>
                </c:pt>
                <c:pt idx="278" formatCode="_(&quot;$&quot;* #,##0.00_);_(&quot;$&quot;* \(#,##0.00\);_(&quot;$&quot;* &quot;-&quot;??_);_(@_)">
                  <c:v>-489.32026896900436</c:v>
                </c:pt>
                <c:pt idx="279" formatCode="_(&quot;$&quot;* #,##0.00_);_(&quot;$&quot;* \(#,##0.00\);_(&quot;$&quot;* &quot;-&quot;??_);_(@_)">
                  <c:v>-319.37887054860903</c:v>
                </c:pt>
                <c:pt idx="280" formatCode="_(&quot;$&quot;* #,##0.00_);_(&quot;$&quot;* \(#,##0.00\);_(&quot;$&quot;* &quot;-&quot;??_);_(@_)">
                  <c:v>-806.58596559883949</c:v>
                </c:pt>
                <c:pt idx="281" formatCode="_(&quot;$&quot;* #,##0.00_);_(&quot;$&quot;* \(#,##0.00\);_(&quot;$&quot;* &quot;-&quot;??_);_(@_)">
                  <c:v>-1268.5021725750948</c:v>
                </c:pt>
                <c:pt idx="282" formatCode="_(&quot;$&quot;* #,##0.00_);_(&quot;$&quot;* \(#,##0.00\);_(&quot;$&quot;* &quot;-&quot;??_);_(@_)">
                  <c:v>-1182.1428647336418</c:v>
                </c:pt>
                <c:pt idx="283" formatCode="_(&quot;$&quot;* #,##0.00_);_(&quot;$&quot;* \(#,##0.00\);_(&quot;$&quot;* &quot;-&quot;??_);_(@_)">
                  <c:v>-1775.6151717983735</c:v>
                </c:pt>
                <c:pt idx="284" formatCode="_(&quot;$&quot;* #,##0.00_);_(&quot;$&quot;* \(#,##0.00\);_(&quot;$&quot;* &quot;-&quot;??_);_(@_)">
                  <c:v>-1780.4858257032658</c:v>
                </c:pt>
                <c:pt idx="285" formatCode="_(&quot;$&quot;* #,##0.00_);_(&quot;$&quot;* \(#,##0.00\);_(&quot;$&quot;* &quot;-&quot;??_);_(@_)">
                  <c:v>-1321.2528173931071</c:v>
                </c:pt>
                <c:pt idx="286" formatCode="_(&quot;$&quot;* #,##0.00_);_(&quot;$&quot;* \(#,##0.00\);_(&quot;$&quot;* &quot;-&quot;??_);_(@_)">
                  <c:v>-1257.6870827539985</c:v>
                </c:pt>
                <c:pt idx="287" formatCode="_(&quot;$&quot;* #,##0.00_);_(&quot;$&quot;* \(#,##0.00\);_(&quot;$&quot;* &quot;-&quot;??_);_(@_)">
                  <c:v>-900.46859525721675</c:v>
                </c:pt>
                <c:pt idx="288" formatCode="_(&quot;$&quot;* #,##0.00_);_(&quot;$&quot;* \(#,##0.00\);_(&quot;$&quot;* &quot;-&quot;??_);_(@_)">
                  <c:v>-702.3892830857817</c:v>
                </c:pt>
                <c:pt idx="289" formatCode="_(&quot;$&quot;* #,##0.00_);_(&quot;$&quot;* \(#,##0.00\);_(&quot;$&quot;* &quot;-&quot;??_);_(@_)">
                  <c:v>-244.01031402410081</c:v>
                </c:pt>
                <c:pt idx="290" formatCode="_(&quot;$&quot;* #,##0.00_);_(&quot;$&quot;* \(#,##0.00\);_(&quot;$&quot;* &quot;-&quot;??_);_(@_)">
                  <c:v>-95.009405341726506</c:v>
                </c:pt>
                <c:pt idx="291" formatCode="_(&quot;$&quot;* #,##0.00_);_(&quot;$&quot;* \(#,##0.00\);_(&quot;$&quot;* &quot;-&quot;??_);_(@_)">
                  <c:v>253.55147781307369</c:v>
                </c:pt>
                <c:pt idx="292" formatCode="_(&quot;$&quot;* #,##0.00_);_(&quot;$&quot;* \(#,##0.00\);_(&quot;$&quot;* &quot;-&quot;??_);_(@_)">
                  <c:v>94.767863798654218</c:v>
                </c:pt>
                <c:pt idx="293" formatCode="_(&quot;$&quot;* #,##0.00_);_(&quot;$&quot;* \(#,##0.00\);_(&quot;$&quot;* &quot;-&quot;??_);_(@_)">
                  <c:v>13.674734689466788</c:v>
                </c:pt>
                <c:pt idx="294" formatCode="_(&quot;$&quot;* #,##0.00_);_(&quot;$&quot;* \(#,##0.00\);_(&quot;$&quot;* &quot;-&quot;??_);_(@_)">
                  <c:v>432.64897961962248</c:v>
                </c:pt>
                <c:pt idx="295" formatCode="_(&quot;$&quot;* #,##0.00_);_(&quot;$&quot;* \(#,##0.00\);_(&quot;$&quot;* &quot;-&quot;??_);_(@_)">
                  <c:v>520.03317694205475</c:v>
                </c:pt>
                <c:pt idx="296" formatCode="_(&quot;$&quot;* #,##0.00_);_(&quot;$&quot;* \(#,##0.00\);_(&quot;$&quot;* &quot;-&quot;??_);_(@_)">
                  <c:v>704.6580076358207</c:v>
                </c:pt>
                <c:pt idx="297" formatCode="_(&quot;$&quot;* #,##0.00_);_(&quot;$&quot;* \(#,##0.00\);_(&quot;$&quot;* &quot;-&quot;??_);_(@_)">
                  <c:v>513.87552729737581</c:v>
                </c:pt>
                <c:pt idx="298" formatCode="_(&quot;$&quot;* #,##0.00_);_(&quot;$&quot;* \(#,##0.00\);_(&quot;$&quot;* &quot;-&quot;??_);_(@_)">
                  <c:v>280.64258681103365</c:v>
                </c:pt>
                <c:pt idx="299" formatCode="_(&quot;$&quot;* #,##0.00_);_(&quot;$&quot;* \(#,##0.00\);_(&quot;$&quot;* &quot;-&quot;??_);_(@_)">
                  <c:v>347.46603565758414</c:v>
                </c:pt>
                <c:pt idx="300" formatCode="_(&quot;$&quot;* #,##0.00_);_(&quot;$&quot;* \(#,##0.00\);_(&quot;$&quot;* &quot;-&quot;??_);_(@_)">
                  <c:v>-45.941848967489477</c:v>
                </c:pt>
                <c:pt idx="301" formatCode="_(&quot;$&quot;* #,##0.00_);_(&quot;$&quot;* \(#,##0.00\);_(&quot;$&quot;* &quot;-&quot;??_);_(@_)">
                  <c:v>260.12404001385335</c:v>
                </c:pt>
                <c:pt idx="302" formatCode="_(&quot;$&quot;* #,##0.00_);_(&quot;$&quot;* \(#,##0.00\);_(&quot;$&quot;* &quot;-&quot;??_);_(@_)">
                  <c:v>-212.30213914657782</c:v>
                </c:pt>
                <c:pt idx="303" formatCode="_(&quot;$&quot;* #,##0.00_);_(&quot;$&quot;* \(#,##0.00\);_(&quot;$&quot;* &quot;-&quot;??_);_(@_)">
                  <c:v>-485.21699130590264</c:v>
                </c:pt>
                <c:pt idx="304" formatCode="_(&quot;$&quot;* #,##0.00_);_(&quot;$&quot;* \(#,##0.00\);_(&quot;$&quot;* &quot;-&quot;??_);_(@_)">
                  <c:v>-628.98981556803506</c:v>
                </c:pt>
                <c:pt idx="305" formatCode="_(&quot;$&quot;* #,##0.00_);_(&quot;$&quot;* \(#,##0.00\);_(&quot;$&quot;* &quot;-&quot;??_);_(@_)">
                  <c:v>-519.2104053763187</c:v>
                </c:pt>
                <c:pt idx="306" formatCode="_(&quot;$&quot;* #,##0.00_);_(&quot;$&quot;* \(#,##0.00\);_(&quot;$&quot;* &quot;-&quot;??_);_(@_)">
                  <c:v>-195.70693169978108</c:v>
                </c:pt>
                <c:pt idx="307" formatCode="_(&quot;$&quot;* #,##0.00_);_(&quot;$&quot;* \(#,##0.00\);_(&quot;$&quot;* &quot;-&quot;??_);_(@_)">
                  <c:v>754.87741429100367</c:v>
                </c:pt>
                <c:pt idx="308" formatCode="_(&quot;$&quot;* #,##0.00_);_(&quot;$&quot;* \(#,##0.00\);_(&quot;$&quot;* &quot;-&quot;??_);_(@_)">
                  <c:v>1383.6330561964082</c:v>
                </c:pt>
                <c:pt idx="309" formatCode="_(&quot;$&quot;* #,##0.00_);_(&quot;$&quot;* \(#,##0.00\);_(&quot;$&quot;* &quot;-&quot;??_);_(@_)">
                  <c:v>1079.8535630669976</c:v>
                </c:pt>
                <c:pt idx="310" formatCode="_(&quot;$&quot;* #,##0.00_);_(&quot;$&quot;* \(#,##0.00\);_(&quot;$&quot;* &quot;-&quot;??_);_(@_)">
                  <c:v>1359.8929777141398</c:v>
                </c:pt>
                <c:pt idx="311" formatCode="_(&quot;$&quot;* #,##0.00_);_(&quot;$&quot;* \(#,##0.00\);_(&quot;$&quot;* &quot;-&quot;??_);_(@_)">
                  <c:v>2041.1015616742548</c:v>
                </c:pt>
                <c:pt idx="312" formatCode="_(&quot;$&quot;* #,##0.00_);_(&quot;$&quot;* \(#,##0.00\);_(&quot;$&quot;* &quot;-&quot;??_);_(@_)">
                  <c:v>2113.2686227937579</c:v>
                </c:pt>
                <c:pt idx="313" formatCode="_(&quot;$&quot;* #,##0.00_);_(&quot;$&quot;* \(#,##0.00\);_(&quot;$&quot;* &quot;-&quot;??_);_(@_)">
                  <c:v>2637.4273746563254</c:v>
                </c:pt>
                <c:pt idx="314" formatCode="_(&quot;$&quot;* #,##0.00_);_(&quot;$&quot;* \(#,##0.00\);_(&quot;$&quot;* &quot;-&quot;??_);_(@_)">
                  <c:v>2751.8685932873414</c:v>
                </c:pt>
                <c:pt idx="315" formatCode="_(&quot;$&quot;* #,##0.00_);_(&quot;$&quot;* \(#,##0.00\);_(&quot;$&quot;* &quot;-&quot;??_);_(@_)">
                  <c:v>2592.93383361613</c:v>
                </c:pt>
                <c:pt idx="316" formatCode="_(&quot;$&quot;* #,##0.00_);_(&quot;$&quot;* \(#,##0.00\);_(&quot;$&quot;* &quot;-&quot;??_);_(@_)">
                  <c:v>2650.4685034945428</c:v>
                </c:pt>
                <c:pt idx="317" formatCode="_(&quot;$&quot;* #,##0.00_);_(&quot;$&quot;* \(#,##0.00\);_(&quot;$&quot;* &quot;-&quot;??_);_(@_)">
                  <c:v>2915.7694607590979</c:v>
                </c:pt>
                <c:pt idx="318" formatCode="_(&quot;$&quot;* #,##0.00_);_(&quot;$&quot;* \(#,##0.00\);_(&quot;$&quot;* &quot;-&quot;??_);_(@_)">
                  <c:v>2779.7068112621523</c:v>
                </c:pt>
                <c:pt idx="319" formatCode="_(&quot;$&quot;* #,##0.00_);_(&quot;$&quot;* \(#,##0.00\);_(&quot;$&quot;* &quot;-&quot;??_);_(@_)">
                  <c:v>2772.5331721911248</c:v>
                </c:pt>
                <c:pt idx="320" formatCode="_(&quot;$&quot;* #,##0.00_);_(&quot;$&quot;* \(#,##0.00\);_(&quot;$&quot;* &quot;-&quot;??_);_(@_)">
                  <c:v>2534.7572254092911</c:v>
                </c:pt>
                <c:pt idx="321" formatCode="_(&quot;$&quot;* #,##0.00_);_(&quot;$&quot;* \(#,##0.00\);_(&quot;$&quot;* &quot;-&quot;??_);_(@_)">
                  <c:v>2623.0933873784379</c:v>
                </c:pt>
                <c:pt idx="322" formatCode="_(&quot;$&quot;* #,##0.00_);_(&quot;$&quot;* \(#,##0.00\);_(&quot;$&quot;* &quot;-&quot;??_);_(@_)">
                  <c:v>2323.2375715434064</c:v>
                </c:pt>
                <c:pt idx="323" formatCode="_(&quot;$&quot;* #,##0.00_);_(&quot;$&quot;* \(#,##0.00\);_(&quot;$&quot;* &quot;-&quot;??_);_(@_)">
                  <c:v>2047.0975179346387</c:v>
                </c:pt>
                <c:pt idx="324" formatCode="_(&quot;$&quot;* #,##0.00_);_(&quot;$&quot;* \(#,##0.00\);_(&quot;$&quot;* &quot;-&quot;??_);_(@_)">
                  <c:v>2338.9118710236985</c:v>
                </c:pt>
                <c:pt idx="325" formatCode="_(&quot;$&quot;* #,##0.00_);_(&quot;$&quot;* \(#,##0.00\);_(&quot;$&quot;* &quot;-&quot;??_);_(@_)">
                  <c:v>2661.0068159851098</c:v>
                </c:pt>
                <c:pt idx="326" formatCode="_(&quot;$&quot;* #,##0.00_);_(&quot;$&quot;* \(#,##0.00\);_(&quot;$&quot;* &quot;-&quot;??_);_(@_)">
                  <c:v>2644.301854594727</c:v>
                </c:pt>
                <c:pt idx="327" formatCode="_(&quot;$&quot;* #,##0.00_);_(&quot;$&quot;* \(#,##0.00\);_(&quot;$&quot;* &quot;-&quot;??_);_(@_)">
                  <c:v>2430.8394446586135</c:v>
                </c:pt>
                <c:pt idx="328" formatCode="_(&quot;$&quot;* #,##0.00_);_(&quot;$&quot;* \(#,##0.00\);_(&quot;$&quot;* &quot;-&quot;??_);_(@_)">
                  <c:v>2793.3401926840879</c:v>
                </c:pt>
                <c:pt idx="329" formatCode="_(&quot;$&quot;* #,##0.00_);_(&quot;$&quot;* \(#,##0.00\);_(&quot;$&quot;* &quot;-&quot;??_);_(@_)">
                  <c:v>2605.9943634950396</c:v>
                </c:pt>
                <c:pt idx="330" formatCode="_(&quot;$&quot;* #,##0.00_);_(&quot;$&quot;* \(#,##0.00\);_(&quot;$&quot;* &quot;-&quot;??_);_(@_)">
                  <c:v>3095.2766285588236</c:v>
                </c:pt>
                <c:pt idx="331" formatCode="_(&quot;$&quot;* #,##0.00_);_(&quot;$&quot;* \(#,##0.00\);_(&quot;$&quot;* &quot;-&quot;??_);_(@_)">
                  <c:v>2346.6433346518656</c:v>
                </c:pt>
                <c:pt idx="332" formatCode="_(&quot;$&quot;* #,##0.00_);_(&quot;$&quot;* \(#,##0.00\);_(&quot;$&quot;* &quot;-&quot;??_);_(@_)">
                  <c:v>2561.3405276617937</c:v>
                </c:pt>
                <c:pt idx="333" formatCode="_(&quot;$&quot;* #,##0.00_);_(&quot;$&quot;* \(#,##0.00\);_(&quot;$&quot;* &quot;-&quot;??_);_(@_)">
                  <c:v>2616.321399976423</c:v>
                </c:pt>
                <c:pt idx="334" formatCode="_(&quot;$&quot;* #,##0.00_);_(&quot;$&quot;* \(#,##0.00\);_(&quot;$&quot;* &quot;-&quot;??_);_(@_)">
                  <c:v>2481.5804319633335</c:v>
                </c:pt>
                <c:pt idx="335" formatCode="_(&quot;$&quot;* #,##0.00_);_(&quot;$&quot;* \(#,##0.00\);_(&quot;$&quot;* &quot;-&quot;??_);_(@_)">
                  <c:v>2827.6177163732004</c:v>
                </c:pt>
                <c:pt idx="336" formatCode="_(&quot;$&quot;* #,##0.00_);_(&quot;$&quot;* \(#,##0.00\);_(&quot;$&quot;* &quot;-&quot;??_);_(@_)">
                  <c:v>2831.6059270326432</c:v>
                </c:pt>
                <c:pt idx="337" formatCode="_(&quot;$&quot;* #,##0.00_);_(&quot;$&quot;* \(#,##0.00\);_(&quot;$&quot;* &quot;-&quot;??_);_(@_)">
                  <c:v>2693.058002848758</c:v>
                </c:pt>
                <c:pt idx="338" formatCode="_(&quot;$&quot;* #,##0.00_);_(&quot;$&quot;* \(#,##0.00\);_(&quot;$&quot;* &quot;-&quot;??_);_(@_)">
                  <c:v>2668.464439613394</c:v>
                </c:pt>
                <c:pt idx="339" formatCode="_(&quot;$&quot;* #,##0.00_);_(&quot;$&quot;* \(#,##0.00\);_(&quot;$&quot;* &quot;-&quot;??_);_(@_)">
                  <c:v>2698.6591014478686</c:v>
                </c:pt>
                <c:pt idx="340" formatCode="_(&quot;$&quot;* #,##0.00_);_(&quot;$&quot;* \(#,##0.00\);_(&quot;$&quot;* &quot;-&quot;??_);_(@_)">
                  <c:v>2639.5851133100659</c:v>
                </c:pt>
                <c:pt idx="341" formatCode="_(&quot;$&quot;* #,##0.00_);_(&quot;$&quot;* \(#,##0.00\);_(&quot;$&quot;* &quot;-&quot;??_);_(@_)">
                  <c:v>2687.7832204076612</c:v>
                </c:pt>
                <c:pt idx="342" formatCode="_(&quot;$&quot;* #,##0.00_);_(&quot;$&quot;* \(#,##0.00\);_(&quot;$&quot;* &quot;-&quot;??_);_(@_)">
                  <c:v>2939.8308064825947</c:v>
                </c:pt>
                <c:pt idx="343" formatCode="_(&quot;$&quot;* #,##0.00_);_(&quot;$&quot;* \(#,##0.00\);_(&quot;$&quot;* &quot;-&quot;??_);_(@_)">
                  <c:v>3363.1193642147587</c:v>
                </c:pt>
                <c:pt idx="344" formatCode="_(&quot;$&quot;* #,##0.00_);_(&quot;$&quot;* \(#,##0.00\);_(&quot;$&quot;* &quot;-&quot;??_);_(@_)">
                  <c:v>2987.2598566669649</c:v>
                </c:pt>
                <c:pt idx="345" formatCode="_(&quot;$&quot;* #,##0.00_);_(&quot;$&quot;* \(#,##0.00\);_(&quot;$&quot;* &quot;-&quot;??_);_(@_)">
                  <c:v>2950.6899392753498</c:v>
                </c:pt>
                <c:pt idx="346" formatCode="_(&quot;$&quot;* #,##0.00_);_(&quot;$&quot;* \(#,##0.00\);_(&quot;$&quot;* &quot;-&quot;??_);_(@_)">
                  <c:v>3000.8423458040306</c:v>
                </c:pt>
                <c:pt idx="347" formatCode="_(&quot;$&quot;* #,##0.00_);_(&quot;$&quot;* \(#,##0.00\);_(&quot;$&quot;* &quot;-&quot;??_);_(@_)">
                  <c:v>3342.4115103879608</c:v>
                </c:pt>
                <c:pt idx="348" formatCode="_(&quot;$&quot;* #,##0.00_);_(&quot;$&quot;* \(#,##0.00\);_(&quot;$&quot;* &quot;-&quot;??_);_(@_)">
                  <c:v>3408.2569239711547</c:v>
                </c:pt>
                <c:pt idx="349" formatCode="_(&quot;$&quot;* #,##0.00_);_(&quot;$&quot;* \(#,##0.00\);_(&quot;$&quot;* &quot;-&quot;??_);_(@_)">
                  <c:v>3866.3042409718628</c:v>
                </c:pt>
                <c:pt idx="350" formatCode="_(&quot;$&quot;* #,##0.00_);_(&quot;$&quot;* \(#,##0.00\);_(&quot;$&quot;* &quot;-&quot;??_);_(@_)">
                  <c:v>3673.2473086418458</c:v>
                </c:pt>
                <c:pt idx="351" formatCode="_(&quot;$&quot;* #,##0.00_);_(&quot;$&quot;* \(#,##0.00\);_(&quot;$&quot;* &quot;-&quot;??_);_(@_)">
                  <c:v>3652.9068741416677</c:v>
                </c:pt>
                <c:pt idx="352" formatCode="_(&quot;$&quot;* #,##0.00_);_(&quot;$&quot;* \(#,##0.00\);_(&quot;$&quot;* &quot;-&quot;??_);_(@_)">
                  <c:v>3507.3715590988122</c:v>
                </c:pt>
                <c:pt idx="353" formatCode="_(&quot;$&quot;* #,##0.00_);_(&quot;$&quot;* \(#,##0.00\);_(&quot;$&quot;* &quot;-&quot;??_);_(@_)">
                  <c:v>3836.328237850139</c:v>
                </c:pt>
                <c:pt idx="354" formatCode="_(&quot;$&quot;* #,##0.00_);_(&quot;$&quot;* \(#,##0.00\);_(&quot;$&quot;* &quot;-&quot;??_);_(@_)">
                  <c:v>4623.2668775988723</c:v>
                </c:pt>
                <c:pt idx="355" formatCode="_(&quot;$&quot;* #,##0.00_);_(&quot;$&quot;* \(#,##0.00\);_(&quot;$&quot;* &quot;-&quot;??_);_(@_)">
                  <c:v>4724.9736204225555</c:v>
                </c:pt>
                <c:pt idx="356" formatCode="_(&quot;$&quot;* #,##0.00_);_(&quot;$&quot;* \(#,##0.00\);_(&quot;$&quot;* &quot;-&quot;??_);_(@_)">
                  <c:v>4828.9945022535603</c:v>
                </c:pt>
                <c:pt idx="357" formatCode="_(&quot;$&quot;* #,##0.00_);_(&quot;$&quot;* \(#,##0.00\);_(&quot;$&quot;* &quot;-&quot;??_);_(@_)">
                  <c:v>4926.9976228021933</c:v>
                </c:pt>
                <c:pt idx="358" formatCode="_(&quot;$&quot;* #,##0.00_);_(&quot;$&quot;* \(#,##0.00\);_(&quot;$&quot;* &quot;-&quot;??_);_(@_)">
                  <c:v>4975.9373449099166</c:v>
                </c:pt>
                <c:pt idx="359" formatCode="_(&quot;$&quot;* #,##0.00_);_(&quot;$&quot;* \(#,##0.00\);_(&quot;$&quot;* &quot;-&quot;??_);_(@_)">
                  <c:v>4927.1647581428724</c:v>
                </c:pt>
                <c:pt idx="360" formatCode="_(&quot;$&quot;* #,##0.00_);_(&quot;$&quot;* \(#,##0.00\);_(&quot;$&quot;* &quot;-&quot;??_);_(@_)">
                  <c:v>4941.056850658968</c:v>
                </c:pt>
                <c:pt idx="361" formatCode="_(&quot;$&quot;* #,##0.00_);_(&quot;$&quot;* \(#,##0.00\);_(&quot;$&quot;* &quot;-&quot;??_);_(@_)">
                  <c:v>4788.4500242543463</c:v>
                </c:pt>
                <c:pt idx="362" formatCode="_(&quot;$&quot;* #,##0.00_);_(&quot;$&quot;* \(#,##0.00\);_(&quot;$&quot;* &quot;-&quot;??_);_(@_)">
                  <c:v>4750.2644657615938</c:v>
                </c:pt>
                <c:pt idx="363" formatCode="_(&quot;$&quot;* #,##0.00_);_(&quot;$&quot;* \(#,##0.00\);_(&quot;$&quot;* &quot;-&quot;??_);_(@_)">
                  <c:v>4789.4669851155641</c:v>
                </c:pt>
                <c:pt idx="364" formatCode="_(&quot;$&quot;* #,##0.00_);_(&quot;$&quot;* \(#,##0.00\);_(&quot;$&quot;* &quot;-&quot;??_);_(@_)">
                  <c:v>4486.3863045097041</c:v>
                </c:pt>
                <c:pt idx="365" formatCode="_(&quot;$&quot;* #,##0.00_);_(&quot;$&quot;* \(#,##0.00\);_(&quot;$&quot;* &quot;-&quot;??_);_(@_)">
                  <c:v>4362.1302346651037</c:v>
                </c:pt>
                <c:pt idx="366" formatCode="_(&quot;$&quot;* #,##0.00_);_(&quot;$&quot;* \(#,##0.00\);_(&quot;$&quot;* &quot;-&quot;??_);_(@_)">
                  <c:v>4430.4122043536854</c:v>
                </c:pt>
                <c:pt idx="367" formatCode="_(&quot;$&quot;* #,##0.00_);_(&quot;$&quot;* \(#,##0.00\);_(&quot;$&quot;* &quot;-&quot;??_);_(@_)">
                  <c:v>4303.3629263999183</c:v>
                </c:pt>
                <c:pt idx="368" formatCode="_(&quot;$&quot;* #,##0.00_);_(&quot;$&quot;* \(#,##0.00\);_(&quot;$&quot;* &quot;-&quot;??_);_(@_)">
                  <c:v>4494.1002198554797</c:v>
                </c:pt>
                <c:pt idx="369" formatCode="_(&quot;$&quot;* #,##0.00_);_(&quot;$&quot;* \(#,##0.00\);_(&quot;$&quot;* &quot;-&quot;??_);_(@_)">
                  <c:v>4198.7050608312693</c:v>
                </c:pt>
                <c:pt idx="370" formatCode="_(&quot;$&quot;* #,##0.00_);_(&quot;$&quot;* \(#,##0.00\);_(&quot;$&quot;* &quot;-&quot;??_);_(@_)">
                  <c:v>4154.955388088787</c:v>
                </c:pt>
                <c:pt idx="371" formatCode="_(&quot;$&quot;* #,##0.00_);_(&quot;$&quot;* \(#,##0.00\);_(&quot;$&quot;* &quot;-&quot;??_);_(@_)">
                  <c:v>4348.6309249089045</c:v>
                </c:pt>
                <c:pt idx="372" formatCode="_(&quot;$&quot;* #,##0.00_);_(&quot;$&quot;* \(#,##0.00\);_(&quot;$&quot;* &quot;-&quot;??_);_(@_)">
                  <c:v>4574.0101192835191</c:v>
                </c:pt>
                <c:pt idx="373" formatCode="_(&quot;$&quot;* #,##0.00_);_(&quot;$&quot;* \(#,##0.00\);_(&quot;$&quot;* &quot;-&quot;??_);_(@_)">
                  <c:v>4532.7786425928543</c:v>
                </c:pt>
                <c:pt idx="374" formatCode="_(&quot;$&quot;* #,##0.00_);_(&quot;$&quot;* \(#,##0.00\);_(&quot;$&quot;* &quot;-&quot;??_);_(@_)">
                  <c:v>4173.1158429839779</c:v>
                </c:pt>
                <c:pt idx="375" formatCode="_(&quot;$&quot;* #,##0.00_);_(&quot;$&quot;* \(#,##0.00\);_(&quot;$&quot;* &quot;-&quot;??_);_(@_)">
                  <c:v>4009.9038608041892</c:v>
                </c:pt>
                <c:pt idx="376" formatCode="_(&quot;$&quot;* #,##0.00_);_(&quot;$&quot;* \(#,##0.00\);_(&quot;$&quot;* &quot;-&quot;??_);_(@_)">
                  <c:v>3915.4295364392065</c:v>
                </c:pt>
                <c:pt idx="377" formatCode="_(&quot;$&quot;* #,##0.00_);_(&quot;$&quot;* \(#,##0.00\);_(&quot;$&quot;* &quot;-&quot;??_);_(@_)">
                  <c:v>3541.9036450503359</c:v>
                </c:pt>
                <c:pt idx="378" formatCode="_(&quot;$&quot;* #,##0.00_);_(&quot;$&quot;* \(#,##0.00\);_(&quot;$&quot;* &quot;-&quot;??_);_(@_)">
                  <c:v>3651.0242930073919</c:v>
                </c:pt>
                <c:pt idx="379" formatCode="_(&quot;$&quot;* #,##0.00_);_(&quot;$&quot;* \(#,##0.00\);_(&quot;$&quot;* &quot;-&quot;??_);_(@_)">
                  <c:v>3602.806639612425</c:v>
                </c:pt>
                <c:pt idx="380" formatCode="_(&quot;$&quot;* #,##0.00_);_(&quot;$&quot;* \(#,##0.00\);_(&quot;$&quot;* &quot;-&quot;??_);_(@_)">
                  <c:v>3675.0908504797785</c:v>
                </c:pt>
                <c:pt idx="381" formatCode="_(&quot;$&quot;* #,##0.00_);_(&quot;$&quot;* \(#,##0.00\);_(&quot;$&quot;* &quot;-&quot;??_);_(@_)">
                  <c:v>3620.6881861109705</c:v>
                </c:pt>
                <c:pt idx="382" formatCode="_(&quot;$&quot;* #,##0.00_);_(&quot;$&quot;* \(#,##0.00\);_(&quot;$&quot;* &quot;-&quot;??_);_(@_)">
                  <c:v>3476.7349014092347</c:v>
                </c:pt>
                <c:pt idx="383" formatCode="_(&quot;$&quot;* #,##0.00_);_(&quot;$&quot;* \(#,##0.00\);_(&quot;$&quot;* &quot;-&quot;??_);_(@_)">
                  <c:v>3624.5616084461199</c:v>
                </c:pt>
                <c:pt idx="384" formatCode="_(&quot;$&quot;* #,##0.00_);_(&quot;$&quot;* \(#,##0.00\);_(&quot;$&quot;* &quot;-&quot;??_);_(@_)">
                  <c:v>3871.3116808723603</c:v>
                </c:pt>
                <c:pt idx="385" formatCode="_(&quot;$&quot;* #,##0.00_);_(&quot;$&quot;* \(#,##0.00\);_(&quot;$&quot;* &quot;-&quot;??_);_(@_)">
                  <c:v>3909.7097707068078</c:v>
                </c:pt>
                <c:pt idx="386" formatCode="_(&quot;$&quot;* #,##0.00_);_(&quot;$&quot;* \(#,##0.00\);_(&quot;$&quot;* &quot;-&quot;??_);_(@_)">
                  <c:v>3744.0452905495731</c:v>
                </c:pt>
                <c:pt idx="387" formatCode="_(&quot;$&quot;* #,##0.00_);_(&quot;$&quot;* \(#,##0.00\);_(&quot;$&quot;* &quot;-&quot;??_);_(@_)">
                  <c:v>3760.0314051531736</c:v>
                </c:pt>
                <c:pt idx="388" formatCode="_(&quot;$&quot;* #,##0.00_);_(&quot;$&quot;* \(#,##0.00\);_(&quot;$&quot;* &quot;-&quot;??_);_(@_)">
                  <c:v>3600.7942975915862</c:v>
                </c:pt>
                <c:pt idx="389" formatCode="_(&quot;$&quot;* #,##0.00_);_(&quot;$&quot;* \(#,##0.00\);_(&quot;$&quot;* &quot;-&quot;??_);_(@_)">
                  <c:v>3811.6187974153245</c:v>
                </c:pt>
                <c:pt idx="390" formatCode="_(&quot;$&quot;* #,##0.00_);_(&quot;$&quot;* \(#,##0.00\);_(&quot;$&quot;* &quot;-&quot;??_);_(@_)">
                  <c:v>3593.6105830343172</c:v>
                </c:pt>
                <c:pt idx="391" formatCode="_(&quot;$&quot;* #,##0.00_);_(&quot;$&quot;* \(#,##0.00\);_(&quot;$&quot;* &quot;-&quot;??_);_(@_)">
                  <c:v>3670.7507270166575</c:v>
                </c:pt>
                <c:pt idx="392" formatCode="_(&quot;$&quot;* #,##0.00_);_(&quot;$&quot;* \(#,##0.00\);_(&quot;$&quot;* &quot;-&quot;??_);_(@_)">
                  <c:v>3870.1626362809743</c:v>
                </c:pt>
                <c:pt idx="393" formatCode="_(&quot;$&quot;* #,##0.00_);_(&quot;$&quot;* \(#,##0.00\);_(&quot;$&quot;* &quot;-&quot;??_);_(@_)">
                  <c:v>3878.3304198646356</c:v>
                </c:pt>
                <c:pt idx="394" formatCode="_(&quot;$&quot;* #,##0.00_);_(&quot;$&quot;* \(#,##0.00\);_(&quot;$&quot;* &quot;-&quot;??_);_(@_)">
                  <c:v>3678.129866996363</c:v>
                </c:pt>
                <c:pt idx="395" formatCode="_(&quot;$&quot;* #,##0.00_);_(&quot;$&quot;* \(#,##0.00\);_(&quot;$&quot;* &quot;-&quot;??_);_(@_)">
                  <c:v>3127.4111828258806</c:v>
                </c:pt>
                <c:pt idx="396" formatCode="_(&quot;$&quot;* #,##0.00_);_(&quot;$&quot;* \(#,##0.00\);_(&quot;$&quot;* &quot;-&quot;??_);_(@_)">
                  <c:v>3047.7032493593169</c:v>
                </c:pt>
                <c:pt idx="397" formatCode="_(&quot;$&quot;* #,##0.00_);_(&quot;$&quot;* \(#,##0.00\);_(&quot;$&quot;* &quot;-&quot;??_);_(@_)">
                  <c:v>3096.2026356476758</c:v>
                </c:pt>
                <c:pt idx="398" formatCode="_(&quot;$&quot;* #,##0.00_);_(&quot;$&quot;* \(#,##0.00\);_(&quot;$&quot;* &quot;-&quot;??_);_(@_)">
                  <c:v>2733.1971699293504</c:v>
                </c:pt>
                <c:pt idx="399" formatCode="_(&quot;$&quot;* #,##0.00_);_(&quot;$&quot;* \(#,##0.00\);_(&quot;$&quot;* &quot;-&quot;??_);_(@_)">
                  <c:v>2064.6450761513242</c:v>
                </c:pt>
                <c:pt idx="400" formatCode="_(&quot;$&quot;* #,##0.00_);_(&quot;$&quot;* \(#,##0.00\);_(&quot;$&quot;* &quot;-&quot;??_);_(@_)">
                  <c:v>3146.5855383506737</c:v>
                </c:pt>
                <c:pt idx="401" formatCode="_(&quot;$&quot;* #,##0.00_);_(&quot;$&quot;* \(#,##0.00\);_(&quot;$&quot;* &quot;-&quot;??_);_(@_)">
                  <c:v>3394.1799253471872</c:v>
                </c:pt>
                <c:pt idx="402" formatCode="_(&quot;$&quot;* #,##0.00_);_(&quot;$&quot;* \(#,##0.00\);_(&quot;$&quot;* &quot;-&quot;??_);_(@_)">
                  <c:v>4168.8912903524179</c:v>
                </c:pt>
                <c:pt idx="403" formatCode="_(&quot;$&quot;* #,##0.00_);_(&quot;$&quot;* \(#,##0.00\);_(&quot;$&quot;* &quot;-&quot;??_);_(@_)">
                  <c:v>4719.6353366091516</c:v>
                </c:pt>
                <c:pt idx="404" formatCode="_(&quot;$&quot;* #,##0.00_);_(&quot;$&quot;* \(#,##0.00\);_(&quot;$&quot;* &quot;-&quot;??_);_(@_)">
                  <c:v>4862.644152903169</c:v>
                </c:pt>
                <c:pt idx="405" formatCode="_(&quot;$&quot;* #,##0.00_);_(&quot;$&quot;* \(#,##0.00\);_(&quot;$&quot;* &quot;-&quot;??_);_(@_)">
                  <c:v>5034.5238677472153</c:v>
                </c:pt>
                <c:pt idx="406" formatCode="_(&quot;$&quot;* #,##0.00_);_(&quot;$&quot;* \(#,##0.00\);_(&quot;$&quot;* &quot;-&quot;??_);_(@_)">
                  <c:v>5010.5978148994018</c:v>
                </c:pt>
                <c:pt idx="407" formatCode="_(&quot;$&quot;* #,##0.00_);_(&quot;$&quot;* \(#,##0.00\);_(&quot;$&quot;* &quot;-&quot;??_);_(@_)">
                  <c:v>5554.4985498781616</c:v>
                </c:pt>
                <c:pt idx="408" formatCode="_(&quot;$&quot;* #,##0.00_);_(&quot;$&quot;* \(#,##0.00\);_(&quot;$&quot;* &quot;-&quot;??_);_(@_)">
                  <c:v>6158.6237578612026</c:v>
                </c:pt>
                <c:pt idx="409" formatCode="_(&quot;$&quot;* #,##0.00_);_(&quot;$&quot;* \(#,##0.00\);_(&quot;$&quot;* &quot;-&quot;??_);_(@_)">
                  <c:v>5962.9900839012553</c:v>
                </c:pt>
                <c:pt idx="410" formatCode="_(&quot;$&quot;* #,##0.00_);_(&quot;$&quot;* \(#,##0.00\);_(&quot;$&quot;* &quot;-&quot;??_);_(@_)">
                  <c:v>5485.8127983143868</c:v>
                </c:pt>
                <c:pt idx="411" formatCode="_(&quot;$&quot;* #,##0.00_);_(&quot;$&quot;* \(#,##0.00\);_(&quot;$&quot;* &quot;-&quot;??_);_(@_)">
                  <c:v>5060.5398636541113</c:v>
                </c:pt>
                <c:pt idx="412" formatCode="_(&quot;$&quot;* #,##0.00_);_(&quot;$&quot;* \(#,##0.00\);_(&quot;$&quot;* &quot;-&quot;??_);_(@_)">
                  <c:v>5011.0222237230901</c:v>
                </c:pt>
                <c:pt idx="413" formatCode="_(&quot;$&quot;* #,##0.00_);_(&quot;$&quot;* \(#,##0.00\);_(&quot;$&quot;* &quot;-&quot;??_);_(@_)">
                  <c:v>5102.9626651085173</c:v>
                </c:pt>
                <c:pt idx="414" formatCode="_(&quot;$&quot;* #,##0.00_);_(&quot;$&quot;* \(#,##0.00\);_(&quot;$&quot;* &quot;-&quot;??_);_(@_)">
                  <c:v>5038.9477305615283</c:v>
                </c:pt>
                <c:pt idx="415" formatCode="_(&quot;$&quot;* #,##0.00_);_(&quot;$&quot;* \(#,##0.00\);_(&quot;$&quot;* &quot;-&quot;??_);_(@_)">
                  <c:v>5337.026395308877</c:v>
                </c:pt>
                <c:pt idx="416" formatCode="_(&quot;$&quot;* #,##0.00_);_(&quot;$&quot;* \(#,##0.00\);_(&quot;$&quot;* &quot;-&quot;??_);_(@_)">
                  <c:v>5784.0106988256057</c:v>
                </c:pt>
                <c:pt idx="417" formatCode="_(&quot;$&quot;* #,##0.00_);_(&quot;$&quot;* \(#,##0.00\);_(&quot;$&quot;* &quot;-&quot;??_);_(@_)">
                  <c:v>5731.5513766588238</c:v>
                </c:pt>
                <c:pt idx="418" formatCode="_(&quot;$&quot;* #,##0.00_);_(&quot;$&quot;* \(#,##0.00\);_(&quot;$&quot;* &quot;-&quot;??_);_(@_)">
                  <c:v>6051.7047380562744</c:v>
                </c:pt>
                <c:pt idx="419" formatCode="_(&quot;$&quot;* #,##0.00_);_(&quot;$&quot;* \(#,##0.00\);_(&quot;$&quot;* &quot;-&quot;??_);_(@_)">
                  <c:v>5546.337597177986</c:v>
                </c:pt>
                <c:pt idx="420" formatCode="_(&quot;$&quot;* #,##0.00_);_(&quot;$&quot;* \(#,##0.00\);_(&quot;$&quot;* &quot;-&quot;??_);_(@_)">
                  <c:v>4920.2332549719831</c:v>
                </c:pt>
                <c:pt idx="421" formatCode="_(&quot;$&quot;* #,##0.00_);_(&quot;$&quot;* \(#,##0.00\);_(&quot;$&quot;* &quot;-&quot;??_);_(@_)">
                  <c:v>4995.7296113855382</c:v>
                </c:pt>
                <c:pt idx="422" formatCode="_(&quot;$&quot;* #,##0.00_);_(&quot;$&quot;* \(#,##0.00\);_(&quot;$&quot;* &quot;-&quot;??_);_(@_)">
                  <c:v>5554.2339895543573</c:v>
                </c:pt>
                <c:pt idx="423" formatCode="_(&quot;$&quot;* #,##0.00_);_(&quot;$&quot;* \(#,##0.00\);_(&quot;$&quot;* &quot;-&quot;??_);_(@_)">
                  <c:v>5764.1612814882492</c:v>
                </c:pt>
                <c:pt idx="424" formatCode="_(&quot;$&quot;* #,##0.00_);_(&quot;$&quot;* \(#,##0.00\);_(&quot;$&quot;* &quot;-&quot;??_);_(@_)">
                  <c:v>5445.4865476666455</c:v>
                </c:pt>
                <c:pt idx="425" formatCode="_(&quot;$&quot;* #,##0.00_);_(&quot;$&quot;* \(#,##0.00\);_(&quot;$&quot;* &quot;-&quot;??_);_(@_)">
                  <c:v>5503.8466751142687</c:v>
                </c:pt>
                <c:pt idx="426" formatCode="_(&quot;$&quot;* #,##0.00_);_(&quot;$&quot;* \(#,##0.00\);_(&quot;$&quot;* &quot;-&quot;??_);_(@_)">
                  <c:v>5459.4820526874091</c:v>
                </c:pt>
                <c:pt idx="427" formatCode="_(&quot;$&quot;* #,##0.00_);_(&quot;$&quot;* \(#,##0.00\);_(&quot;$&quot;* &quot;-&quot;??_);_(@_)">
                  <c:v>5462.9216915470852</c:v>
                </c:pt>
                <c:pt idx="428" formatCode="_(&quot;$&quot;* #,##0.00_);_(&quot;$&quot;* \(#,##0.00\);_(&quot;$&quot;* &quot;-&quot;??_);_(@_)">
                  <c:v>5513.0051675821769</c:v>
                </c:pt>
                <c:pt idx="429" formatCode="_(&quot;$&quot;* #,##0.00_);_(&quot;$&quot;* \(#,##0.00\);_(&quot;$&quot;* &quot;-&quot;??_);_(@_)">
                  <c:v>5431.0137715696083</c:v>
                </c:pt>
                <c:pt idx="430" formatCode="_(&quot;$&quot;* #,##0.00_);_(&quot;$&quot;* \(#,##0.00\);_(&quot;$&quot;* &quot;-&quot;??_);_(@_)">
                  <c:v>5544.8543406614835</c:v>
                </c:pt>
                <c:pt idx="431" formatCode="_(&quot;$&quot;* #,##0.00_);_(&quot;$&quot;* \(#,##0.00\);_(&quot;$&quot;* &quot;-&quot;??_);_(@_)">
                  <c:v>6165.2947230818909</c:v>
                </c:pt>
                <c:pt idx="432" formatCode="_(&quot;$&quot;* #,##0.00_);_(&quot;$&quot;* \(#,##0.00\);_(&quot;$&quot;* &quot;-&quot;??_);_(@_)">
                  <c:v>6513.3845277835253</c:v>
                </c:pt>
                <c:pt idx="433" formatCode="_(&quot;$&quot;* #,##0.00_);_(&quot;$&quot;* \(#,##0.00\);_(&quot;$&quot;* &quot;-&quot;??_);_(@_)">
                  <c:v>6259.2760793856778</c:v>
                </c:pt>
                <c:pt idx="434" formatCode="_(&quot;$&quot;* #,##0.00_);_(&quot;$&quot;* \(#,##0.00\);_(&quot;$&quot;* &quot;-&quot;??_);_(@_)">
                  <c:v>6247.866241641651</c:v>
                </c:pt>
                <c:pt idx="435" formatCode="_(&quot;$&quot;* #,##0.00_);_(&quot;$&quot;* \(#,##0.00\);_(&quot;$&quot;* &quot;-&quot;??_);_(@_)">
                  <c:v>6620.3947605079629</c:v>
                </c:pt>
                <c:pt idx="436" formatCode="_(&quot;$&quot;* #,##0.00_);_(&quot;$&quot;* \(#,##0.00\);_(&quot;$&quot;* &quot;-&quot;??_);_(@_)">
                  <c:v>6515.0658908810246</c:v>
                </c:pt>
                <c:pt idx="437" formatCode="_(&quot;$&quot;* #,##0.00_);_(&quot;$&quot;* \(#,##0.00\);_(&quot;$&quot;* &quot;-&quot;??_);_(@_)">
                  <c:v>6757.4045571327815</c:v>
                </c:pt>
                <c:pt idx="438" formatCode="_(&quot;$&quot;* #,##0.00_);_(&quot;$&quot;* \(#,##0.00\);_(&quot;$&quot;* &quot;-&quot;??_);_(@_)">
                  <c:v>6923.7482011775846</c:v>
                </c:pt>
                <c:pt idx="439" formatCode="_(&quot;$&quot;* #,##0.00_);_(&quot;$&quot;* \(#,##0.00\);_(&quot;$&quot;* &quot;-&quot;??_);_(@_)">
                  <c:v>7132.1865125957211</c:v>
                </c:pt>
                <c:pt idx="440" formatCode="_(&quot;$&quot;* #,##0.00_);_(&quot;$&quot;* \(#,##0.00\);_(&quot;$&quot;* &quot;-&quot;??_);_(@_)">
                  <c:v>7064.8802282582774</c:v>
                </c:pt>
                <c:pt idx="441" formatCode="_(&quot;$&quot;* #,##0.00_);_(&quot;$&quot;* \(#,##0.00\);_(&quot;$&quot;* &quot;-&quot;??_);_(@_)">
                  <c:v>7546.1738327101184</c:v>
                </c:pt>
                <c:pt idx="442" formatCode="_(&quot;$&quot;* #,##0.00_);_(&quot;$&quot;* \(#,##0.00\);_(&quot;$&quot;* &quot;-&quot;??_);_(@_)">
                  <c:v>7871.0029021996925</c:v>
                </c:pt>
                <c:pt idx="443" formatCode="_(&quot;$&quot;* #,##0.00_);_(&quot;$&quot;* \(#,##0.00\);_(&quot;$&quot;* &quot;-&quot;??_);_(@_)">
                  <c:v>7732.9096459847933</c:v>
                </c:pt>
                <c:pt idx="444" formatCode="_(&quot;$&quot;* #,##0.00_);_(&quot;$&quot;* \(#,##0.00\);_(&quot;$&quot;* &quot;-&quot;??_);_(@_)">
                  <c:v>7512.6220439787685</c:v>
                </c:pt>
                <c:pt idx="445" formatCode="_(&quot;$&quot;* #,##0.00_);_(&quot;$&quot;* \(#,##0.00\);_(&quot;$&quot;* &quot;-&quot;??_);_(@_)">
                  <c:v>8256.6676397290921</c:v>
                </c:pt>
                <c:pt idx="446" formatCode="_(&quot;$&quot;* #,##0.00_);_(&quot;$&quot;* \(#,##0.00\);_(&quot;$&quot;* &quot;-&quot;??_);_(@_)">
                  <c:v>8201.9421213972018</c:v>
                </c:pt>
                <c:pt idx="447" formatCode="_(&quot;$&quot;* #,##0.00_);_(&quot;$&quot;* \(#,##0.00\);_(&quot;$&quot;* &quot;-&quot;??_);_(@_)">
                  <c:v>8355.9174650066379</c:v>
                </c:pt>
                <c:pt idx="448" formatCode="_(&quot;$&quot;* #,##0.00_);_(&quot;$&quot;* \(#,##0.00\);_(&quot;$&quot;* &quot;-&quot;??_);_(@_)">
                  <c:v>8475.701636281181</c:v>
                </c:pt>
                <c:pt idx="449" formatCode="_(&quot;$&quot;* #,##0.00_);_(&quot;$&quot;* \(#,##0.00\);_(&quot;$&quot;* &quot;-&quot;??_);_(@_)">
                  <c:v>8362.3143383112219</c:v>
                </c:pt>
                <c:pt idx="450" formatCode="_(&quot;$&quot;* #,##0.00_);_(&quot;$&quot;* \(#,##0.00\);_(&quot;$&quot;* &quot;-&quot;??_);_(@_)">
                  <c:v>8309.3653238832012</c:v>
                </c:pt>
                <c:pt idx="451" formatCode="_(&quot;$&quot;* #,##0.00_);_(&quot;$&quot;* \(#,##0.00\);_(&quot;$&quot;* &quot;-&quot;??_);_(@_)">
                  <c:v>8672.8399247108828</c:v>
                </c:pt>
                <c:pt idx="452" formatCode="_(&quot;$&quot;* #,##0.00_);_(&quot;$&quot;* \(#,##0.00\);_(&quot;$&quot;* &quot;-&quot;??_);_(@_)">
                  <c:v>9603.1114632118806</c:v>
                </c:pt>
                <c:pt idx="453" formatCode="_(&quot;$&quot;* #,##0.00_);_(&quot;$&quot;* \(#,##0.00\);_(&quot;$&quot;* &quot;-&quot;??_);_(@_)">
                  <c:v>10061.987483182835</c:v>
                </c:pt>
                <c:pt idx="454" formatCode="_(&quot;$&quot;* #,##0.00_);_(&quot;$&quot;* \(#,##0.00\);_(&quot;$&quot;* &quot;-&quot;??_);_(@_)">
                  <c:v>10277.272770655136</c:v>
                </c:pt>
                <c:pt idx="455" formatCode="_(&quot;$&quot;* #,##0.00_);_(&quot;$&quot;* \(#,##0.00\);_(&quot;$&quot;* &quot;-&quot;??_);_(@_)">
                  <c:v>10596.079959075712</c:v>
                </c:pt>
                <c:pt idx="456" formatCode="_(&quot;$&quot;* #,##0.00_);_(&quot;$&quot;* \(#,##0.00\);_(&quot;$&quot;* &quot;-&quot;??_);_(@_)">
                  <c:v>10794.086548090158</c:v>
                </c:pt>
                <c:pt idx="457" formatCode="_(&quot;$&quot;* #,##0.00_);_(&quot;$&quot;* \(#,##0.00\);_(&quot;$&quot;* &quot;-&quot;??_);_(@_)">
                  <c:v>10057.633110280378</c:v>
                </c:pt>
                <c:pt idx="458" formatCode="_(&quot;$&quot;* #,##0.00_);_(&quot;$&quot;* \(#,##0.00\);_(&quot;$&quot;* &quot;-&quot;??_);_(@_)">
                  <c:v>10206.925504698313</c:v>
                </c:pt>
                <c:pt idx="459" formatCode="_(&quot;$&quot;* #,##0.00_);_(&quot;$&quot;* \(#,##0.00\);_(&quot;$&quot;* &quot;-&quot;??_);_(@_)">
                  <c:v>9747.4879609773798</c:v>
                </c:pt>
                <c:pt idx="460" formatCode="_(&quot;$&quot;* #,##0.00_);_(&quot;$&quot;* \(#,##0.00\);_(&quot;$&quot;* &quot;-&quot;??_);_(@_)">
                  <c:v>8666.6786257048261</c:v>
                </c:pt>
                <c:pt idx="461" formatCode="_(&quot;$&quot;* #,##0.00_);_(&quot;$&quot;* \(#,##0.00\);_(&quot;$&quot;* &quot;-&quot;??_);_(@_)">
                  <c:v>9230.2291127437093</c:v>
                </c:pt>
                <c:pt idx="462" formatCode="_(&quot;$&quot;* #,##0.00_);_(&quot;$&quot;* \(#,##0.00\);_(&quot;$&quot;* &quot;-&quot;??_);_(@_)">
                  <c:v>9526.6370786340813</c:v>
                </c:pt>
                <c:pt idx="463" formatCode="_(&quot;$&quot;* #,##0.00_);_(&quot;$&quot;* \(#,##0.00\);_(&quot;$&quot;* &quot;-&quot;??_);_(@_)">
                  <c:v>9772.4855848039479</c:v>
                </c:pt>
                <c:pt idx="464" formatCode="_(&quot;$&quot;* #,##0.00_);_(&quot;$&quot;* \(#,##0.00\);_(&quot;$&quot;* &quot;-&quot;??_);_(@_)">
                  <c:v>9466.8152735962158</c:v>
                </c:pt>
                <c:pt idx="465" formatCode="_(&quot;$&quot;* #,##0.00_);_(&quot;$&quot;* \(#,##0.00\);_(&quot;$&quot;* &quot;-&quot;??_);_(@_)">
                  <c:v>9775.6929678963224</c:v>
                </c:pt>
                <c:pt idx="466" formatCode="_(&quot;$&quot;* #,##0.00_);_(&quot;$&quot;* \(#,##0.00\);_(&quot;$&quot;* &quot;-&quot;??_);_(@_)">
                  <c:v>9860.9577584186427</c:v>
                </c:pt>
                <c:pt idx="467" formatCode="_(&quot;$&quot;* #,##0.00_);_(&quot;$&quot;* \(#,##0.00\);_(&quot;$&quot;* &quot;-&quot;??_);_(@_)">
                  <c:v>9232.07751264943</c:v>
                </c:pt>
                <c:pt idx="468" formatCode="_(&quot;$&quot;* #,##0.00_);_(&quot;$&quot;* \(#,##0.00\);_(&quot;$&quot;* &quot;-&quot;??_);_(@_)">
                  <c:v>10050.354978199013</c:v>
                </c:pt>
                <c:pt idx="469" formatCode="_(&quot;$&quot;* #,##0.00_);_(&quot;$&quot;* \(#,##0.00\);_(&quot;$&quot;* &quot;-&quot;??_);_(@_)">
                  <c:v>9680.9930157071594</c:v>
                </c:pt>
                <c:pt idx="470" formatCode="_(&quot;$&quot;* #,##0.00_);_(&quot;$&quot;* \(#,##0.00\);_(&quot;$&quot;* &quot;-&quot;??_);_(@_)">
                  <c:v>10451.155552202776</c:v>
                </c:pt>
                <c:pt idx="471" formatCode="_(&quot;$&quot;* #,##0.00_);_(&quot;$&quot;* \(#,##0.00\);_(&quot;$&quot;* &quot;-&quot;??_);_(@_)">
                  <c:v>10557.995529482792</c:v>
                </c:pt>
                <c:pt idx="472" formatCode="_(&quot;$&quot;* #,##0.00_);_(&quot;$&quot;* \(#,##0.00\);_(&quot;$&quot;* &quot;-&quot;??_);_(@_)">
                  <c:v>9541.5569588567578</c:v>
                </c:pt>
                <c:pt idx="473" formatCode="_(&quot;$&quot;* #,##0.00_);_(&quot;$&quot;* \(#,##0.00\);_(&quot;$&quot;* &quot;-&quot;??_);_(@_)">
                  <c:v>9415.7777402806478</c:v>
                </c:pt>
                <c:pt idx="474" formatCode="_(&quot;$&quot;* #,##0.00_);_(&quot;$&quot;* \(#,##0.00\);_(&quot;$&quot;* &quot;-&quot;??_);_(@_)">
                  <c:v>9635.7887895466138</c:v>
                </c:pt>
                <c:pt idx="475" formatCode="_(&quot;$&quot;* #,##0.00_);_(&quot;$&quot;* \(#,##0.00\);_(&quot;$&quot;* &quot;-&quot;??_);_(@_)">
                  <c:v>9248.57548089378</c:v>
                </c:pt>
                <c:pt idx="476" formatCode="_(&quot;$&quot;* #,##0.00_);_(&quot;$&quot;* \(#,##0.00\);_(&quot;$&quot;* &quot;-&quot;??_);_(@_)">
                  <c:v>9545.4784995129121</c:v>
                </c:pt>
                <c:pt idx="477" formatCode="_(&quot;$&quot;* #,##0.00_);_(&quot;$&quot;* \(#,##0.00\);_(&quot;$&quot;* &quot;-&quot;??_);_(@_)">
                  <c:v>9413.2698433871992</c:v>
                </c:pt>
                <c:pt idx="478" formatCode="_(&quot;$&quot;* #,##0.00_);_(&quot;$&quot;* \(#,##0.00\);_(&quot;$&quot;* &quot;-&quot;??_);_(@_)">
                  <c:v>9691.1890787946995</c:v>
                </c:pt>
                <c:pt idx="479" formatCode="_(&quot;$&quot;* #,##0.00_);_(&quot;$&quot;* \(#,##0.00\);_(&quot;$&quot;* &quot;-&quot;??_);_(@_)">
                  <c:v>9724.8869023895695</c:v>
                </c:pt>
                <c:pt idx="480" formatCode="_(&quot;$&quot;* #,##0.00_);_(&quot;$&quot;* \(#,##0.00\);_(&quot;$&quot;* &quot;-&quot;??_);_(@_)">
                  <c:v>9222.6722081858734</c:v>
                </c:pt>
                <c:pt idx="481" formatCode="_(&quot;$&quot;* #,##0.00_);_(&quot;$&quot;* \(#,##0.00\);_(&quot;$&quot;* &quot;-&quot;??_);_(@_)">
                  <c:v>8580.2767482558229</c:v>
                </c:pt>
                <c:pt idx="482" formatCode="_(&quot;$&quot;* #,##0.00_);_(&quot;$&quot;* \(#,##0.00\);_(&quot;$&quot;* &quot;-&quot;??_);_(@_)">
                  <c:v>8089.3380393001526</c:v>
                </c:pt>
                <c:pt idx="483" formatCode="_(&quot;$&quot;* #,##0.00_);_(&quot;$&quot;* \(#,##0.00\);_(&quot;$&quot;* &quot;-&quot;??_);_(@_)">
                  <c:v>8432.0063004134518</c:v>
                </c:pt>
                <c:pt idx="484" formatCode="_(&quot;$&quot;* #,##0.00_);_(&quot;$&quot;* \(#,##0.00\);_(&quot;$&quot;* &quot;-&quot;??_);_(@_)">
                  <c:v>8752.7552150329393</c:v>
                </c:pt>
                <c:pt idx="485" formatCode="_(&quot;$&quot;* #,##0.00_);_(&quot;$&quot;* \(#,##0.00\);_(&quot;$&quot;* &quot;-&quot;??_);_(@_)">
                  <c:v>9278.8612150977133</c:v>
                </c:pt>
                <c:pt idx="486" formatCode="_(&quot;$&quot;* #,##0.00_);_(&quot;$&quot;* \(#,##0.00\);_(&quot;$&quot;* &quot;-&quot;??_);_(@_)">
                  <c:v>9435.3692455535329</c:v>
                </c:pt>
                <c:pt idx="487" formatCode="_(&quot;$&quot;* #,##0.00_);_(&quot;$&quot;* \(#,##0.00\);_(&quot;$&quot;* &quot;-&quot;??_);_(@_)">
                  <c:v>9561.4263213189333</c:v>
                </c:pt>
                <c:pt idx="488" formatCode="_(&quot;$&quot;* #,##0.00_);_(&quot;$&quot;* \(#,##0.00\);_(&quot;$&quot;* &quot;-&quot;??_);_(@_)">
                  <c:v>9288.007928580706</c:v>
                </c:pt>
                <c:pt idx="489" formatCode="_(&quot;$&quot;* #,##0.00_);_(&quot;$&quot;* \(#,##0.00\);_(&quot;$&quot;* &quot;-&quot;??_);_(@_)">
                  <c:v>8728.4256712053157</c:v>
                </c:pt>
                <c:pt idx="490" formatCode="_(&quot;$&quot;* #,##0.00_);_(&quot;$&quot;* \(#,##0.00\);_(&quot;$&quot;* &quot;-&quot;??_);_(@_)">
                  <c:v>8585.466414593433</c:v>
                </c:pt>
                <c:pt idx="491" formatCode="_(&quot;$&quot;* #,##0.00_);_(&quot;$&quot;* \(#,##0.00\);_(&quot;$&quot;* &quot;-&quot;??_);_(@_)">
                  <c:v>8753.1696920567847</c:v>
                </c:pt>
                <c:pt idx="492" formatCode="_(&quot;$&quot;* #,##0.00_);_(&quot;$&quot;* \(#,##0.00\);_(&quot;$&quot;* &quot;-&quot;??_);_(@_)">
                  <c:v>8954.9981949582743</c:v>
                </c:pt>
                <c:pt idx="493" formatCode="_(&quot;$&quot;* #,##0.00_);_(&quot;$&quot;* \(#,##0.00\);_(&quot;$&quot;* &quot;-&quot;??_);_(@_)">
                  <c:v>8744.0504561767411</c:v>
                </c:pt>
                <c:pt idx="494" formatCode="_(&quot;$&quot;* #,##0.00_);_(&quot;$&quot;* \(#,##0.00\);_(&quot;$&quot;* &quot;-&quot;??_);_(@_)">
                  <c:v>8958.4766824343133</c:v>
                </c:pt>
                <c:pt idx="495" formatCode="_(&quot;$&quot;* #,##0.00_);_(&quot;$&quot;* \(#,##0.00\);_(&quot;$&quot;* &quot;-&quot;??_);_(@_)">
                  <c:v>9442.840995038925</c:v>
                </c:pt>
                <c:pt idx="496" formatCode="_(&quot;$&quot;* #,##0.00_);_(&quot;$&quot;* \(#,##0.00\);_(&quot;$&quot;* &quot;-&quot;??_);_(@_)">
                  <c:v>9322.3654886181539</c:v>
                </c:pt>
                <c:pt idx="497" formatCode="_(&quot;$&quot;* #,##0.00_);_(&quot;$&quot;* \(#,##0.00\);_(&quot;$&quot;* &quot;-&quot;??_);_(@_)">
                  <c:v>9442.9746091250636</c:v>
                </c:pt>
                <c:pt idx="498" formatCode="_(&quot;$&quot;* #,##0.00_);_(&quot;$&quot;* \(#,##0.00\);_(&quot;$&quot;* &quot;-&quot;??_);_(@_)">
                  <c:v>9004.8934230097293</c:v>
                </c:pt>
                <c:pt idx="499" formatCode="_(&quot;$&quot;* #,##0.00_);_(&quot;$&quot;* \(#,##0.00\);_(&quot;$&quot;* &quot;-&quot;??_);_(@_)">
                  <c:v>9215.7568570978074</c:v>
                </c:pt>
                <c:pt idx="500" formatCode="_(&quot;$&quot;* #,##0.00_);_(&quot;$&quot;* \(#,##0.00\);_(&quot;$&quot;* &quot;-&quot;??_);_(@_)">
                  <c:v>9210.7894409675409</c:v>
                </c:pt>
                <c:pt idx="501" formatCode="_(&quot;$&quot;* #,##0.00_);_(&quot;$&quot;* \(#,##0.00\);_(&quot;$&quot;* &quot;-&quot;??_);_(@_)">
                  <c:v>9237.8659552673525</c:v>
                </c:pt>
                <c:pt idx="502" formatCode="_(&quot;$&quot;* #,##0.00_);_(&quot;$&quot;* \(#,##0.00\);_(&quot;$&quot;* &quot;-&quot;??_);_(@_)">
                  <c:v>9300.9653384589747</c:v>
                </c:pt>
                <c:pt idx="503" formatCode="_(&quot;$&quot;* #,##0.00_);_(&quot;$&quot;* \(#,##0.00\);_(&quot;$&quot;* &quot;-&quot;??_);_(@_)">
                  <c:v>8922.1822120858142</c:v>
                </c:pt>
                <c:pt idx="504" formatCode="_(&quot;$&quot;* #,##0.00_);_(&quot;$&quot;* \(#,##0.00\);_(&quot;$&quot;* &quot;-&quot;??_);_(@_)">
                  <c:v>9076.9514250988577</c:v>
                </c:pt>
                <c:pt idx="505" formatCode="_(&quot;$&quot;* #,##0.00_);_(&quot;$&quot;* \(#,##0.00\);_(&quot;$&quot;* &quot;-&quot;??_);_(@_)">
                  <c:v>8998.807672623032</c:v>
                </c:pt>
                <c:pt idx="506" formatCode="_(&quot;$&quot;* #,##0.00_);_(&quot;$&quot;* \(#,##0.00\);_(&quot;$&quot;* &quot;-&quot;??_);_(@_)">
                  <c:v>9570.6424536380036</c:v>
                </c:pt>
                <c:pt idx="507" formatCode="_(&quot;$&quot;* #,##0.00_);_(&quot;$&quot;* \(#,##0.00\);_(&quot;$&quot;* &quot;-&quot;??_);_(@_)">
                  <c:v>9721.5393786176555</c:v>
                </c:pt>
                <c:pt idx="508" formatCode="_(&quot;$&quot;* #,##0.00_);_(&quot;$&quot;* \(#,##0.00\);_(&quot;$&quot;* &quot;-&quot;??_);_(@_)">
                  <c:v>9718.0411132838999</c:v>
                </c:pt>
                <c:pt idx="509" formatCode="_(&quot;$&quot;* #,##0.00_);_(&quot;$&quot;* \(#,##0.00\);_(&quot;$&quot;* &quot;-&quot;??_);_(@_)">
                  <c:v>9725.492477869846</c:v>
                </c:pt>
                <c:pt idx="510" formatCode="_(&quot;$&quot;* #,##0.00_);_(&quot;$&quot;* \(#,##0.00\);_(&quot;$&quot;* &quot;-&quot;??_);_(@_)">
                  <c:v>9596.778912808757</c:v>
                </c:pt>
                <c:pt idx="511" formatCode="_(&quot;$&quot;* #,##0.00_);_(&quot;$&quot;* \(#,##0.00\);_(&quot;$&quot;* &quot;-&quot;??_);_(@_)">
                  <c:v>10267.778288739333</c:v>
                </c:pt>
                <c:pt idx="512" formatCode="_(&quot;$&quot;* #,##0.00_);_(&quot;$&quot;* \(#,##0.00\);_(&quot;$&quot;* &quot;-&quot;??_);_(@_)">
                  <c:v>10390.80539770036</c:v>
                </c:pt>
                <c:pt idx="513" formatCode="_(&quot;$&quot;* #,##0.00_);_(&quot;$&quot;* \(#,##0.00\);_(&quot;$&quot;* &quot;-&quot;??_);_(@_)">
                  <c:v>10672.779942161749</c:v>
                </c:pt>
                <c:pt idx="514" formatCode="_(&quot;$&quot;* #,##0.00_);_(&quot;$&quot;* \(#,##0.00\);_(&quot;$&quot;* &quot;-&quot;??_);_(@_)">
                  <c:v>10247.042383113727</c:v>
                </c:pt>
                <c:pt idx="515" formatCode="_(&quot;$&quot;* #,##0.00_);_(&quot;$&quot;* \(#,##0.00\);_(&quot;$&quot;* &quot;-&quot;??_);_(@_)">
                  <c:v>10446.802418224639</c:v>
                </c:pt>
                <c:pt idx="516" formatCode="_(&quot;$&quot;* #,##0.00_);_(&quot;$&quot;* \(#,##0.00\);_(&quot;$&quot;* &quot;-&quot;??_);_(@_)">
                  <c:v>10333.704718071896</c:v>
                </c:pt>
                <c:pt idx="517" formatCode="_(&quot;$&quot;* #,##0.00_);_(&quot;$&quot;* \(#,##0.00\);_(&quot;$&quot;* &quot;-&quot;??_);_(@_)">
                  <c:v>10653.163257724669</c:v>
                </c:pt>
                <c:pt idx="518" formatCode="_(&quot;$&quot;* #,##0.00_);_(&quot;$&quot;* \(#,##0.00\);_(&quot;$&quot;* &quot;-&quot;??_);_(@_)">
                  <c:v>10751.668094733774</c:v>
                </c:pt>
                <c:pt idx="519" formatCode="_(&quot;$&quot;* #,##0.00_);_(&quot;$&quot;* \(#,##0.00\);_(&quot;$&quot;* &quot;-&quot;??_);_(@_)">
                  <c:v>10957.606379890874</c:v>
                </c:pt>
                <c:pt idx="520" formatCode="_(&quot;$&quot;* #,##0.00_);_(&quot;$&quot;* \(#,##0.00\);_(&quot;$&quot;* &quot;-&quot;??_);_(@_)">
                  <c:v>10730.574078795513</c:v>
                </c:pt>
                <c:pt idx="521" formatCode="_(&quot;$&quot;* #,##0.00_);_(&quot;$&quot;* \(#,##0.00\);_(&quot;$&quot;* &quot;-&quot;??_);_(@_)">
                  <c:v>11533.935661797159</c:v>
                </c:pt>
                <c:pt idx="522" formatCode="_(&quot;$&quot;* #,##0.00_);_(&quot;$&quot;* \(#,##0.00\);_(&quot;$&quot;* &quot;-&quot;??_);_(@_)">
                  <c:v>11204.707764465558</c:v>
                </c:pt>
                <c:pt idx="523" formatCode="_(&quot;$&quot;* #,##0.00_);_(&quot;$&quot;* \(#,##0.00\);_(&quot;$&quot;* &quot;-&quot;??_);_(@_)">
                  <c:v>11295.875589901889</c:v>
                </c:pt>
                <c:pt idx="524" formatCode="_(&quot;$&quot;* #,##0.00_);_(&quot;$&quot;* \(#,##0.00\);_(&quot;$&quot;* &quot;-&quot;??_);_(@_)">
                  <c:v>11399.056254593734</c:v>
                </c:pt>
                <c:pt idx="525" formatCode="_(&quot;$&quot;* #,##0.00_);_(&quot;$&quot;* \(#,##0.00\);_(&quot;$&quot;* &quot;-&quot;??_);_(@_)">
                  <c:v>11894.168158287317</c:v>
                </c:pt>
                <c:pt idx="526" formatCode="_(&quot;$&quot;* #,##0.00_);_(&quot;$&quot;* \(#,##0.00\);_(&quot;$&quot;* &quot;-&quot;??_);_(@_)">
                  <c:v>11474.085886190316</c:v>
                </c:pt>
                <c:pt idx="527" formatCode="_(&quot;$&quot;* #,##0.00_);_(&quot;$&quot;* \(#,##0.00\);_(&quot;$&quot;* &quot;-&quot;??_);_(@_)">
                  <c:v>11990.138790212495</c:v>
                </c:pt>
                <c:pt idx="528" formatCode="_(&quot;$&quot;* #,##0.00_);_(&quot;$&quot;* \(#,##0.00\);_(&quot;$&quot;* &quot;-&quot;??_);_(@_)">
                  <c:v>11683.188396345146</c:v>
                </c:pt>
                <c:pt idx="529" formatCode="_(&quot;$&quot;* #,##0.00_);_(&quot;$&quot;* \(#,##0.00\);_(&quot;$&quot;* &quot;-&quot;??_);_(@_)">
                  <c:v>10970.981168241984</c:v>
                </c:pt>
                <c:pt idx="530" formatCode="_(&quot;$&quot;* #,##0.00_);_(&quot;$&quot;* \(#,##0.00\);_(&quot;$&quot;* &quot;-&quot;??_);_(@_)">
                  <c:v>11700.445539401413</c:v>
                </c:pt>
                <c:pt idx="531" formatCode="_(&quot;$&quot;* #,##0.00_);_(&quot;$&quot;* \(#,##0.00\);_(&quot;$&quot;* &quot;-&quot;??_);_(@_)">
                  <c:v>11656.787461070084</c:v>
                </c:pt>
                <c:pt idx="532" formatCode="_(&quot;$&quot;* #,##0.00_);_(&quot;$&quot;* \(#,##0.00\);_(&quot;$&quot;* &quot;-&quot;??_);_(@_)">
                  <c:v>11195.256373582297</c:v>
                </c:pt>
                <c:pt idx="533" formatCode="_(&quot;$&quot;* #,##0.00_);_(&quot;$&quot;* \(#,##0.00\);_(&quot;$&quot;* &quot;-&quot;??_);_(@_)">
                  <c:v>11203.59551339071</c:v>
                </c:pt>
                <c:pt idx="534" formatCode="_(&quot;$&quot;* #,##0.00_);_(&quot;$&quot;* \(#,##0.00\);_(&quot;$&quot;* &quot;-&quot;??_);_(@_)">
                  <c:v>11376.618957500164</c:v>
                </c:pt>
                <c:pt idx="535" formatCode="_(&quot;$&quot;* #,##0.00_);_(&quot;$&quot;* \(#,##0.00\);_(&quot;$&quot;* &quot;-&quot;??_);_(@_)">
                  <c:v>11544.843264721911</c:v>
                </c:pt>
                <c:pt idx="536" formatCode="_(&quot;$&quot;* #,##0.00_);_(&quot;$&quot;* \(#,##0.00\);_(&quot;$&quot;* &quot;-&quot;??_);_(@_)">
                  <c:v>11480.821141272056</c:v>
                </c:pt>
                <c:pt idx="537" formatCode="_(&quot;$&quot;* #,##0.00_);_(&quot;$&quot;* \(#,##0.00\);_(&quot;$&quot;* &quot;-&quot;??_);_(@_)">
                  <c:v>11485.287552976999</c:v>
                </c:pt>
                <c:pt idx="538" formatCode="_(&quot;$&quot;* #,##0.00_);_(&quot;$&quot;* \(#,##0.00\);_(&quot;$&quot;* &quot;-&quot;??_);_(@_)">
                  <c:v>11370.439610129824</c:v>
                </c:pt>
                <c:pt idx="539" formatCode="_(&quot;$&quot;* #,##0.00_);_(&quot;$&quot;* \(#,##0.00\);_(&quot;$&quot;* &quot;-&quot;??_);_(@_)">
                  <c:v>11395.217600499069</c:v>
                </c:pt>
                <c:pt idx="540" formatCode="_(&quot;$&quot;* #,##0.00_);_(&quot;$&quot;* \(#,##0.00\);_(&quot;$&quot;* &quot;-&quot;??_);_(@_)">
                  <c:v>12484.675432717489</c:v>
                </c:pt>
                <c:pt idx="541" formatCode="_(&quot;$&quot;* #,##0.00_);_(&quot;$&quot;* \(#,##0.00\);_(&quot;$&quot;* &quot;-&quot;??_);_(@_)">
                  <c:v>12345.297867558422</c:v>
                </c:pt>
                <c:pt idx="542" formatCode="_(&quot;$&quot;* #,##0.00_);_(&quot;$&quot;* \(#,##0.00\);_(&quot;$&quot;* &quot;-&quot;??_);_(@_)">
                  <c:v>12502.725499780589</c:v>
                </c:pt>
                <c:pt idx="543" formatCode="_(&quot;$&quot;* #,##0.00_);_(&quot;$&quot;* \(#,##0.00\);_(&quot;$&quot;* &quot;-&quot;??_);_(@_)">
                  <c:v>12752.40462103565</c:v>
                </c:pt>
                <c:pt idx="544" formatCode="_(&quot;$&quot;* #,##0.00_);_(&quot;$&quot;* \(#,##0.00\);_(&quot;$&quot;* &quot;-&quot;??_);_(@_)">
                  <c:v>13075.130458858088</c:v>
                </c:pt>
                <c:pt idx="545" formatCode="_(&quot;$&quot;* #,##0.00_);_(&quot;$&quot;* \(#,##0.00\);_(&quot;$&quot;* &quot;-&quot;??_);_(@_)">
                  <c:v>13001.064514558871</c:v>
                </c:pt>
                <c:pt idx="546" formatCode="_(&quot;$&quot;* #,##0.00_);_(&quot;$&quot;* \(#,##0.00\);_(&quot;$&quot;* &quot;-&quot;??_);_(@_)">
                  <c:v>12755.591002146244</c:v>
                </c:pt>
                <c:pt idx="547" formatCode="_(&quot;$&quot;* #,##0.00_);_(&quot;$&quot;* \(#,##0.00\);_(&quot;$&quot;* &quot;-&quot;??_);_(@_)">
                  <c:v>12954.070926241193</c:v>
                </c:pt>
                <c:pt idx="548" formatCode="_(&quot;$&quot;* #,##0.00_);_(&quot;$&quot;* \(#,##0.00\);_(&quot;$&quot;* &quot;-&quot;??_);_(@_)">
                  <c:v>13594.602214936864</c:v>
                </c:pt>
                <c:pt idx="549" formatCode="_(&quot;$&quot;* #,##0.00_);_(&quot;$&quot;* \(#,##0.00\);_(&quot;$&quot;* &quot;-&quot;??_);_(@_)">
                  <c:v>13316.999798270854</c:v>
                </c:pt>
                <c:pt idx="550" formatCode="_(&quot;$&quot;* #,##0.00_);_(&quot;$&quot;* \(#,##0.00\);_(&quot;$&quot;* &quot;-&quot;??_);_(@_)">
                  <c:v>13121.727416372312</c:v>
                </c:pt>
                <c:pt idx="551" formatCode="_(&quot;$&quot;* #,##0.00_);_(&quot;$&quot;* \(#,##0.00\);_(&quot;$&quot;* &quot;-&quot;??_);_(@_)">
                  <c:v>12624.321756963689</c:v>
                </c:pt>
                <c:pt idx="552" formatCode="_(&quot;$&quot;* #,##0.00_);_(&quot;$&quot;* \(#,##0.00\);_(&quot;$&quot;* &quot;-&quot;??_);_(@_)">
                  <c:v>12875.11237843968</c:v>
                </c:pt>
                <c:pt idx="553" formatCode="_(&quot;$&quot;* #,##0.00_);_(&quot;$&quot;* \(#,##0.00\);_(&quot;$&quot;* &quot;-&quot;??_);_(@_)">
                  <c:v>13235.082192937747</c:v>
                </c:pt>
                <c:pt idx="554" formatCode="_(&quot;$&quot;* #,##0.00_);_(&quot;$&quot;* \(#,##0.00\);_(&quot;$&quot;* &quot;-&quot;??_);_(@_)">
                  <c:v>13253.212305434512</c:v>
                </c:pt>
                <c:pt idx="555" formatCode="_(&quot;$&quot;* #,##0.00_);_(&quot;$&quot;* \(#,##0.00\);_(&quot;$&quot;* &quot;-&quot;??_);_(@_)">
                  <c:v>13714.883997285027</c:v>
                </c:pt>
                <c:pt idx="556" formatCode="_(&quot;$&quot;* #,##0.00_);_(&quot;$&quot;* \(#,##0.00\);_(&quot;$&quot;* &quot;-&quot;??_);_(@_)">
                  <c:v>13829.772123653875</c:v>
                </c:pt>
                <c:pt idx="557" formatCode="_(&quot;$&quot;* #,##0.00_);_(&quot;$&quot;* \(#,##0.00\);_(&quot;$&quot;* &quot;-&quot;??_);_(@_)">
                  <c:v>13496.666766672712</c:v>
                </c:pt>
                <c:pt idx="558" formatCode="_(&quot;$&quot;* #,##0.00_);_(&quot;$&quot;* \(#,##0.00\);_(&quot;$&quot;* &quot;-&quot;??_);_(@_)">
                  <c:v>12505.847451222942</c:v>
                </c:pt>
                <c:pt idx="559" formatCode="_(&quot;$&quot;* #,##0.00_);_(&quot;$&quot;* \(#,##0.00\);_(&quot;$&quot;* &quot;-&quot;??_);_(@_)">
                  <c:v>13206.244552515976</c:v>
                </c:pt>
                <c:pt idx="560" formatCode="_(&quot;$&quot;* #,##0.00_);_(&quot;$&quot;* \(#,##0.00\);_(&quot;$&quot;* &quot;-&quot;??_);_(@_)">
                  <c:v>13616.247277747199</c:v>
                </c:pt>
                <c:pt idx="561" formatCode="_(&quot;$&quot;* #,##0.00_);_(&quot;$&quot;* \(#,##0.00\);_(&quot;$&quot;* &quot;-&quot;??_);_(@_)">
                  <c:v>13412.854455107425</c:v>
                </c:pt>
                <c:pt idx="562" formatCode="_(&quot;$&quot;* #,##0.00_);_(&quot;$&quot;* \(#,##0.00\);_(&quot;$&quot;* &quot;-&quot;??_);_(@_)">
                  <c:v>14140.671208354124</c:v>
                </c:pt>
                <c:pt idx="563" formatCode="_(&quot;$&quot;* #,##0.00_);_(&quot;$&quot;* \(#,##0.00\);_(&quot;$&quot;* &quot;-&quot;??_);_(@_)">
                  <c:v>13841.241988696504</c:v>
                </c:pt>
                <c:pt idx="564" formatCode="_(&quot;$&quot;* #,##0.00_);_(&quot;$&quot;* \(#,##0.00\);_(&quot;$&quot;* &quot;-&quot;??_);_(@_)">
                  <c:v>13116.945252981976</c:v>
                </c:pt>
                <c:pt idx="565" formatCode="_(&quot;$&quot;* #,##0.00_);_(&quot;$&quot;* \(#,##0.00\);_(&quot;$&quot;* &quot;-&quot;??_);_(@_)">
                  <c:v>13869.630032782025</c:v>
                </c:pt>
                <c:pt idx="566" formatCode="_(&quot;$&quot;* #,##0.00_);_(&quot;$&quot;* \(#,##0.00\);_(&quot;$&quot;* &quot;-&quot;??_);_(@_)">
                  <c:v>14367.228605264119</c:v>
                </c:pt>
                <c:pt idx="567" formatCode="_(&quot;$&quot;* #,##0.00_);_(&quot;$&quot;* \(#,##0.00\);_(&quot;$&quot;* &quot;-&quot;??_);_(@_)">
                  <c:v>14604.109713150685</c:v>
                </c:pt>
                <c:pt idx="568" formatCode="_(&quot;$&quot;* #,##0.00_);_(&quot;$&quot;* \(#,##0.00\);_(&quot;$&quot;* &quot;-&quot;??_);_(@_)">
                  <c:v>14672.29707286038</c:v>
                </c:pt>
                <c:pt idx="569" formatCode="_(&quot;$&quot;* #,##0.00_);_(&quot;$&quot;* \(#,##0.00\);_(&quot;$&quot;* &quot;-&quot;??_);_(@_)">
                  <c:v>15061.214039136385</c:v>
                </c:pt>
                <c:pt idx="570" formatCode="_(&quot;$&quot;* #,##0.00_);_(&quot;$&quot;* \(#,##0.00\);_(&quot;$&quot;* &quot;-&quot;??_);_(@_)">
                  <c:v>15093.768883034192</c:v>
                </c:pt>
                <c:pt idx="571" formatCode="_(&quot;$&quot;* #,##0.00_);_(&quot;$&quot;* \(#,##0.00\);_(&quot;$&quot;* &quot;-&quot;??_);_(@_)">
                  <c:v>14181.371870441661</c:v>
                </c:pt>
                <c:pt idx="572" formatCode="_(&quot;$&quot;* #,##0.00_);_(&quot;$&quot;* \(#,##0.00\);_(&quot;$&quot;* &quot;-&quot;??_);_(@_)">
                  <c:v>13922.785152472685</c:v>
                </c:pt>
                <c:pt idx="573" formatCode="_(&quot;$&quot;* #,##0.00_);_(&quot;$&quot;* \(#,##0.00\);_(&quot;$&quot;* &quot;-&quot;??_);_(@_)">
                  <c:v>14375.513569508958</c:v>
                </c:pt>
                <c:pt idx="574" formatCode="_(&quot;$&quot;* #,##0.00_);_(&quot;$&quot;* \(#,##0.00\);_(&quot;$&quot;* &quot;-&quot;??_);_(@_)">
                  <c:v>14016.435639104222</c:v>
                </c:pt>
                <c:pt idx="575" formatCode="_(&quot;$&quot;* #,##0.00_);_(&quot;$&quot;* \(#,##0.00\);_(&quot;$&quot;* &quot;-&quot;??_);_(@_)">
                  <c:v>14387.542565827751</c:v>
                </c:pt>
                <c:pt idx="576" formatCode="_(&quot;$&quot;* #,##0.00_);_(&quot;$&quot;* \(#,##0.00\);_(&quot;$&quot;* &quot;-&quot;??_);_(@_)">
                  <c:v>14354.448585025908</c:v>
                </c:pt>
                <c:pt idx="577" formatCode="_(&quot;$&quot;* #,##0.00_);_(&quot;$&quot;* \(#,##0.00\);_(&quot;$&quot;* &quot;-&quot;??_);_(@_)">
                  <c:v>14274.139616661516</c:v>
                </c:pt>
                <c:pt idx="578" formatCode="_(&quot;$&quot;* #,##0.00_);_(&quot;$&quot;* \(#,##0.00\);_(&quot;$&quot;* &quot;-&quot;??_);_(@_)">
                  <c:v>14042.119939142587</c:v>
                </c:pt>
                <c:pt idx="579" formatCode="_(&quot;$&quot;* #,##0.00_);_(&quot;$&quot;* \(#,##0.00\);_(&quot;$&quot;* &quot;-&quot;??_);_(@_)">
                  <c:v>14066.225563993195</c:v>
                </c:pt>
                <c:pt idx="580" formatCode="_(&quot;$&quot;* #,##0.00_);_(&quot;$&quot;* \(#,##0.00\);_(&quot;$&quot;* &quot;-&quot;??_);_(@_)">
                  <c:v>14260.731261920861</c:v>
                </c:pt>
                <c:pt idx="581" formatCode="_(&quot;$&quot;* #,##0.00_);_(&quot;$&quot;* \(#,##0.00\);_(&quot;$&quot;* &quot;-&quot;??_);_(@_)">
                  <c:v>13794.405243930749</c:v>
                </c:pt>
                <c:pt idx="582" formatCode="_(&quot;$&quot;* #,##0.00_);_(&quot;$&quot;* \(#,##0.00\);_(&quot;$&quot;* &quot;-&quot;??_);_(@_)">
                  <c:v>13338.098329210014</c:v>
                </c:pt>
                <c:pt idx="583" formatCode="_(&quot;$&quot;* #,##0.00_);_(&quot;$&quot;* \(#,##0.00\);_(&quot;$&quot;* &quot;-&quot;??_);_(@_)">
                  <c:v>12425.975958408726</c:v>
                </c:pt>
                <c:pt idx="584" formatCode="_(&quot;$&quot;* #,##0.00_);_(&quot;$&quot;* \(#,##0.00\);_(&quot;$&quot;* &quot;-&quot;??_);_(@_)">
                  <c:v>11854.533499878802</c:v>
                </c:pt>
                <c:pt idx="585" formatCode="_(&quot;$&quot;* #,##0.00_);_(&quot;$&quot;* \(#,##0.00\);_(&quot;$&quot;* &quot;-&quot;??_);_(@_)">
                  <c:v>12724.600713997657</c:v>
                </c:pt>
                <c:pt idx="586" formatCode="_(&quot;$&quot;* #,##0.00_);_(&quot;$&quot;* \(#,##0.00\);_(&quot;$&quot;* &quot;-&quot;??_);_(@_)">
                  <c:v>12288.123583925848</c:v>
                </c:pt>
                <c:pt idx="587" formatCode="_(&quot;$&quot;* #,##0.00_);_(&quot;$&quot;* \(#,##0.00\);_(&quot;$&quot;* &quot;-&quot;??_);_(@_)">
                  <c:v>12522.0629000184</c:v>
                </c:pt>
                <c:pt idx="588" formatCode="_(&quot;$&quot;* #,##0.00_);_(&quot;$&quot;* \(#,##0.00\);_(&quot;$&quot;* &quot;-&quot;??_);_(@_)">
                  <c:v>12638.853424540937</c:v>
                </c:pt>
                <c:pt idx="589" formatCode="_(&quot;$&quot;* #,##0.00_);_(&quot;$&quot;* \(#,##0.00\);_(&quot;$&quot;* &quot;-&quot;??_);_(@_)">
                  <c:v>12137.863228139071</c:v>
                </c:pt>
                <c:pt idx="590" formatCode="_(&quot;$&quot;* #,##0.00_);_(&quot;$&quot;* \(#,##0.00\);_(&quot;$&quot;* &quot;-&quot;??_);_(@_)">
                  <c:v>12416.846252707222</c:v>
                </c:pt>
                <c:pt idx="591" formatCode="_(&quot;$&quot;* #,##0.00_);_(&quot;$&quot;* \(#,##0.00\);_(&quot;$&quot;* &quot;-&quot;??_);_(@_)">
                  <c:v>11673.372867315986</c:v>
                </c:pt>
                <c:pt idx="592" formatCode="_(&quot;$&quot;* #,##0.00_);_(&quot;$&quot;* \(#,##0.00\);_(&quot;$&quot;* &quot;-&quot;??_);_(@_)">
                  <c:v>10630.174460523787</c:v>
                </c:pt>
                <c:pt idx="593" formatCode="_(&quot;$&quot;* #,##0.00_);_(&quot;$&quot;* \(#,##0.00\);_(&quot;$&quot;* &quot;-&quot;??_);_(@_)">
                  <c:v>10773.365566859335</c:v>
                </c:pt>
                <c:pt idx="594" formatCode="_(&quot;$&quot;* #,##0.00_);_(&quot;$&quot;* \(#,##0.00\);_(&quot;$&quot;* &quot;-&quot;??_);_(@_)">
                  <c:v>11681.116029533281</c:v>
                </c:pt>
                <c:pt idx="595" formatCode="_(&quot;$&quot;* #,##0.00_);_(&quot;$&quot;* \(#,##0.00\);_(&quot;$&quot;* &quot;-&quot;??_);_(@_)">
                  <c:v>11448.76156703706</c:v>
                </c:pt>
                <c:pt idx="596" formatCode="_(&quot;$&quot;* #,##0.00_);_(&quot;$&quot;* \(#,##0.00\);_(&quot;$&quot;* &quot;-&quot;??_);_(@_)">
                  <c:v>11717.186109534556</c:v>
                </c:pt>
                <c:pt idx="597" formatCode="_(&quot;$&quot;* #,##0.00_);_(&quot;$&quot;* \(#,##0.00\);_(&quot;$&quot;* &quot;-&quot;??_);_(@_)">
                  <c:v>11436.24026894543</c:v>
                </c:pt>
                <c:pt idx="598" formatCode="_(&quot;$&quot;* #,##0.00_);_(&quot;$&quot;* \(#,##0.00\);_(&quot;$&quot;* &quot;-&quot;??_);_(@_)">
                  <c:v>11298.511970517953</c:v>
                </c:pt>
                <c:pt idx="599" formatCode="_(&quot;$&quot;* #,##0.00_);_(&quot;$&quot;* \(#,##0.00\);_(&quot;$&quot;* &quot;-&quot;??_);_(@_)">
                  <c:v>11147.552791438444</c:v>
                </c:pt>
                <c:pt idx="600" formatCode="_(&quot;$&quot;* #,##0.00_);_(&quot;$&quot;* \(#,##0.00\);_(&quot;$&quot;* &quot;-&quot;??_);_(@_)">
                  <c:v>11233.367187801936</c:v>
                </c:pt>
                <c:pt idx="601" formatCode="_(&quot;$&quot;* #,##0.00_);_(&quot;$&quot;* \(#,##0.00\);_(&quot;$&quot;* &quot;-&quot;??_);_(@_)">
                  <c:v>11049.706942869692</c:v>
                </c:pt>
                <c:pt idx="602" formatCode="_(&quot;$&quot;* #,##0.00_);_(&quot;$&quot;* \(#,##0.00\);_(&quot;$&quot;* &quot;-&quot;??_);_(@_)">
                  <c:v>11145.287324210947</c:v>
                </c:pt>
                <c:pt idx="603" formatCode="_(&quot;$&quot;* #,##0.00_);_(&quot;$&quot;* \(#,##0.00\);_(&quot;$&quot;* &quot;-&quot;??_);_(@_)">
                  <c:v>10553.966881457549</c:v>
                </c:pt>
                <c:pt idx="604" formatCode="_(&quot;$&quot;* #,##0.00_);_(&quot;$&quot;* \(#,##0.00\);_(&quot;$&quot;* &quot;-&quot;??_);_(@_)">
                  <c:v>11213.379816183779</c:v>
                </c:pt>
                <c:pt idx="605" formatCode="_(&quot;$&quot;* #,##0.00_);_(&quot;$&quot;* \(#,##0.00\);_(&quot;$&quot;* &quot;-&quot;??_);_(@_)">
                  <c:v>11058.455039174904</c:v>
                </c:pt>
                <c:pt idx="606" formatCode="_(&quot;$&quot;* #,##0.00_);_(&quot;$&quot;* \(#,##0.00\);_(&quot;$&quot;* &quot;-&quot;??_);_(@_)">
                  <c:v>10905.581484549884</c:v>
                </c:pt>
                <c:pt idx="607" formatCode="_(&quot;$&quot;* #,##0.00_);_(&quot;$&quot;* \(#,##0.00\);_(&quot;$&quot;* &quot;-&quot;??_);_(@_)">
                  <c:v>11260.669362391463</c:v>
                </c:pt>
                <c:pt idx="608" formatCode="_(&quot;$&quot;* #,##0.00_);_(&quot;$&quot;* \(#,##0.00\);_(&quot;$&quot;* &quot;-&quot;??_);_(@_)">
                  <c:v>11617.286464274221</c:v>
                </c:pt>
                <c:pt idx="609" formatCode="_(&quot;$&quot;* #,##0.00_);_(&quot;$&quot;* \(#,##0.00\);_(&quot;$&quot;* &quot;-&quot;??_);_(@_)">
                  <c:v>12010.394668299708</c:v>
                </c:pt>
                <c:pt idx="610" formatCode="_(&quot;$&quot;* #,##0.00_);_(&quot;$&quot;* \(#,##0.00\);_(&quot;$&quot;* &quot;-&quot;??_);_(@_)">
                  <c:v>12253.227173852063</c:v>
                </c:pt>
                <c:pt idx="611" formatCode="_(&quot;$&quot;* #,##0.00_);_(&quot;$&quot;* \(#,##0.00\);_(&quot;$&quot;* &quot;-&quot;??_);_(@_)">
                  <c:v>12546.289132367054</c:v>
                </c:pt>
                <c:pt idx="612" formatCode="_(&quot;$&quot;* #,##0.00_);_(&quot;$&quot;* \(#,##0.00\);_(&quot;$&quot;* &quot;-&quot;??_);_(@_)">
                  <c:v>12813.57858181847</c:v>
                </c:pt>
                <c:pt idx="613" formatCode="_(&quot;$&quot;* #,##0.00_);_(&quot;$&quot;* \(#,##0.00\);_(&quot;$&quot;* &quot;-&quot;??_);_(@_)">
                  <c:v>13044.49939971228</c:v>
                </c:pt>
                <c:pt idx="614" formatCode="_(&quot;$&quot;* #,##0.00_);_(&quot;$&quot;* \(#,##0.00\);_(&quot;$&quot;* &quot;-&quot;??_);_(@_)">
                  <c:v>13420.262985168996</c:v>
                </c:pt>
                <c:pt idx="615" formatCode="_(&quot;$&quot;* #,##0.00_);_(&quot;$&quot;* \(#,##0.00\);_(&quot;$&quot;* &quot;-&quot;??_);_(@_)">
                  <c:v>13897.29986876098</c:v>
                </c:pt>
                <c:pt idx="616" formatCode="_(&quot;$&quot;* #,##0.00_);_(&quot;$&quot;* \(#,##0.00\);_(&quot;$&quot;* &quot;-&quot;??_);_(@_)">
                  <c:v>13582.481271078224</c:v>
                </c:pt>
                <c:pt idx="617" formatCode="_(&quot;$&quot;* #,##0.00_);_(&quot;$&quot;* \(#,##0.00\);_(&quot;$&quot;* &quot;-&quot;??_);_(@_)">
                  <c:v>13823.062486848301</c:v>
                </c:pt>
                <c:pt idx="618" formatCode="_(&quot;$&quot;* #,##0.00_);_(&quot;$&quot;* \(#,##0.00\);_(&quot;$&quot;* &quot;-&quot;??_);_(@_)">
                  <c:v>14449.217719987697</c:v>
                </c:pt>
                <c:pt idx="619" formatCode="_(&quot;$&quot;* #,##0.00_);_(&quot;$&quot;* \(#,##0.00\);_(&quot;$&quot;* &quot;-&quot;??_);_(@_)">
                  <c:v>13986.119047127839</c:v>
                </c:pt>
                <c:pt idx="620" formatCode="_(&quot;$&quot;* #,##0.00_);_(&quot;$&quot;* \(#,##0.00\);_(&quot;$&quot;* &quot;-&quot;??_);_(@_)">
                  <c:v>13846.377651320236</c:v>
                </c:pt>
                <c:pt idx="621" formatCode="_(&quot;$&quot;* #,##0.00_);_(&quot;$&quot;* \(#,##0.00\);_(&quot;$&quot;* &quot;-&quot;??_);_(@_)">
                  <c:v>14028.794918097678</c:v>
                </c:pt>
                <c:pt idx="622" formatCode="_(&quot;$&quot;* #,##0.00_);_(&quot;$&quot;* \(#,##0.00\);_(&quot;$&quot;* &quot;-&quot;??_);_(@_)">
                  <c:v>13932.512155018727</c:v>
                </c:pt>
                <c:pt idx="623" formatCode="_(&quot;$&quot;* #,##0.00_);_(&quot;$&quot;* \(#,##0.00\);_(&quot;$&quot;* &quot;-&quot;??_);_(@_)">
                  <c:v>13581.619939935052</c:v>
                </c:pt>
                <c:pt idx="624" formatCode="_(&quot;$&quot;* #,##0.00_);_(&quot;$&quot;* \(#,##0.00\);_(&quot;$&quot;* &quot;-&quot;??_);_(@_)">
                  <c:v>13727.197113901779</c:v>
                </c:pt>
                <c:pt idx="625" formatCode="_(&quot;$&quot;* #,##0.00_);_(&quot;$&quot;* \(#,##0.00\);_(&quot;$&quot;* &quot;-&quot;??_);_(@_)">
                  <c:v>14868.387126488038</c:v>
                </c:pt>
                <c:pt idx="626" formatCode="_(&quot;$&quot;* #,##0.00_);_(&quot;$&quot;* \(#,##0.00\);_(&quot;$&quot;* &quot;-&quot;??_);_(@_)">
                  <c:v>15364.27010330399</c:v>
                </c:pt>
                <c:pt idx="627" formatCode="_(&quot;$&quot;* #,##0.00_);_(&quot;$&quot;* \(#,##0.00\);_(&quot;$&quot;* &quot;-&quot;??_);_(@_)">
                  <c:v>15023.137864402446</c:v>
                </c:pt>
                <c:pt idx="628" formatCode="_(&quot;$&quot;* #,##0.00_);_(&quot;$&quot;* \(#,##0.00\);_(&quot;$&quot;* &quot;-&quot;??_);_(@_)">
                  <c:v>15464.202609855189</c:v>
                </c:pt>
                <c:pt idx="629" formatCode="_(&quot;$&quot;* #,##0.00_);_(&quot;$&quot;* \(#,##0.00\);_(&quot;$&quot;* &quot;-&quot;??_);_(@_)">
                  <c:v>15287.396901329004</c:v>
                </c:pt>
                <c:pt idx="630" formatCode="_(&quot;$&quot;* #,##0.00_);_(&quot;$&quot;* \(#,##0.00\);_(&quot;$&quot;* &quot;-&quot;??_);_(@_)">
                  <c:v>15745.646207001608</c:v>
                </c:pt>
                <c:pt idx="631" formatCode="_(&quot;$&quot;* #,##0.00_);_(&quot;$&quot;* \(#,##0.00\);_(&quot;$&quot;* &quot;-&quot;??_);_(@_)">
                  <c:v>15022.207100635422</c:v>
                </c:pt>
                <c:pt idx="632" formatCode="_(&quot;$&quot;* #,##0.00_);_(&quot;$&quot;* \(#,##0.00\);_(&quot;$&quot;* &quot;-&quot;??_);_(@_)">
                  <c:v>15307.302709841581</c:v>
                </c:pt>
                <c:pt idx="633" formatCode="_(&quot;$&quot;* #,##0.00_);_(&quot;$&quot;* \(#,##0.00\);_(&quot;$&quot;* &quot;-&quot;??_);_(@_)">
                  <c:v>15300.905132207816</c:v>
                </c:pt>
                <c:pt idx="634" formatCode="_(&quot;$&quot;* #,##0.00_);_(&quot;$&quot;* \(#,##0.00\);_(&quot;$&quot;* &quot;-&quot;??_);_(@_)">
                  <c:v>14750.24617428379</c:v>
                </c:pt>
                <c:pt idx="635" formatCode="_(&quot;$&quot;* #,##0.00_);_(&quot;$&quot;* \(#,##0.00\);_(&quot;$&quot;* &quot;-&quot;??_);_(@_)">
                  <c:v>14706.34118441075</c:v>
                </c:pt>
                <c:pt idx="636" formatCode="_(&quot;$&quot;* #,##0.00_);_(&quot;$&quot;* \(#,##0.00\);_(&quot;$&quot;* &quot;-&quot;??_);_(@_)">
                  <c:v>14387.008304425948</c:v>
                </c:pt>
                <c:pt idx="637" formatCode="_(&quot;$&quot;* #,##0.00_);_(&quot;$&quot;* \(#,##0.00\);_(&quot;$&quot;* &quot;-&quot;??_);_(@_)">
                  <c:v>14277.169403162246</c:v>
                </c:pt>
                <c:pt idx="638" formatCode="_(&quot;$&quot;* #,##0.00_);_(&quot;$&quot;* \(#,##0.00\);_(&quot;$&quot;* &quot;-&quot;??_);_(@_)">
                  <c:v>15352.843247159748</c:v>
                </c:pt>
                <c:pt idx="639" formatCode="_(&quot;$&quot;* #,##0.00_);_(&quot;$&quot;* \(#,##0.00\);_(&quot;$&quot;* &quot;-&quot;??_);_(@_)">
                  <c:v>15155.670248587548</c:v>
                </c:pt>
                <c:pt idx="640" formatCode="_(&quot;$&quot;* #,##0.00_);_(&quot;$&quot;* \(#,##0.00\);_(&quot;$&quot;* &quot;-&quot;??_);_(@_)">
                  <c:v>15190.654939556618</c:v>
                </c:pt>
                <c:pt idx="641" formatCode="_(&quot;$&quot;* #,##0.00_);_(&quot;$&quot;* \(#,##0.00\);_(&quot;$&quot;* &quot;-&quot;??_);_(@_)">
                  <c:v>14936.392175734938</c:v>
                </c:pt>
                <c:pt idx="642" formatCode="_(&quot;$&quot;* #,##0.00_);_(&quot;$&quot;* \(#,##0.00\);_(&quot;$&quot;* &quot;-&quot;??_);_(@_)">
                  <c:v>14767.200701591733</c:v>
                </c:pt>
                <c:pt idx="643" formatCode="_(&quot;$&quot;* #,##0.00_);_(&quot;$&quot;* \(#,##0.00\);_(&quot;$&quot;* &quot;-&quot;??_);_(@_)">
                  <c:v>14713.425655277686</c:v>
                </c:pt>
                <c:pt idx="644" formatCode="_(&quot;$&quot;* #,##0.00_);_(&quot;$&quot;* \(#,##0.00\);_(&quot;$&quot;* &quot;-&quot;??_);_(@_)">
                  <c:v>14951.965470694628</c:v>
                </c:pt>
                <c:pt idx="645" formatCode="_(&quot;$&quot;* #,##0.00_);_(&quot;$&quot;* \(#,##0.00\);_(&quot;$&quot;* &quot;-&quot;??_);_(@_)">
                  <c:v>14661.716696081639</c:v>
                </c:pt>
                <c:pt idx="646" formatCode="_(&quot;$&quot;* #,##0.00_);_(&quot;$&quot;* \(#,##0.00\);_(&quot;$&quot;* &quot;-&quot;??_);_(@_)">
                  <c:v>14118.978902528384</c:v>
                </c:pt>
                <c:pt idx="647" formatCode="_(&quot;$&quot;* #,##0.00_);_(&quot;$&quot;* \(#,##0.00\);_(&quot;$&quot;* &quot;-&quot;??_);_(@_)">
                  <c:v>14056.825426927366</c:v>
                </c:pt>
                <c:pt idx="648" formatCode="_(&quot;$&quot;* #,##0.00_);_(&quot;$&quot;* \(#,##0.00\);_(&quot;$&quot;* &quot;-&quot;??_);_(@_)">
                  <c:v>14264.845073262424</c:v>
                </c:pt>
                <c:pt idx="649" formatCode="_(&quot;$&quot;* #,##0.00_);_(&quot;$&quot;* \(#,##0.00\);_(&quot;$&quot;* &quot;-&quot;??_);_(@_)">
                  <c:v>13779.288689675017</c:v>
                </c:pt>
                <c:pt idx="650" formatCode="_(&quot;$&quot;* #,##0.00_);_(&quot;$&quot;* \(#,##0.00\);_(&quot;$&quot;* &quot;-&quot;??_);_(@_)">
                  <c:v>13566.423615864996</c:v>
                </c:pt>
                <c:pt idx="651" formatCode="_(&quot;$&quot;* #,##0.00_);_(&quot;$&quot;* \(#,##0.00\);_(&quot;$&quot;* &quot;-&quot;??_);_(@_)">
                  <c:v>14382.681302035349</c:v>
                </c:pt>
                <c:pt idx="652" formatCode="_(&quot;$&quot;* #,##0.00_);_(&quot;$&quot;* \(#,##0.00\);_(&quot;$&quot;* &quot;-&quot;??_);_(@_)">
                  <c:v>14177.792227408729</c:v>
                </c:pt>
                <c:pt idx="653" formatCode="_(&quot;$&quot;* #,##0.00_);_(&quot;$&quot;* \(#,##0.00\);_(&quot;$&quot;* &quot;-&quot;??_);_(@_)">
                  <c:v>14876.454748331278</c:v>
                </c:pt>
                <c:pt idx="654" formatCode="_(&quot;$&quot;* #,##0.00_);_(&quot;$&quot;* \(#,##0.00\);_(&quot;$&quot;* &quot;-&quot;??_);_(@_)">
                  <c:v>14076.428937579141</c:v>
                </c:pt>
                <c:pt idx="655" formatCode="_(&quot;$&quot;* #,##0.00_);_(&quot;$&quot;* \(#,##0.00\);_(&quot;$&quot;* &quot;-&quot;??_);_(@_)">
                  <c:v>14810.630348567727</c:v>
                </c:pt>
                <c:pt idx="656" formatCode="_(&quot;$&quot;* #,##0.00_);_(&quot;$&quot;* \(#,##0.00\);_(&quot;$&quot;* &quot;-&quot;??_);_(@_)">
                  <c:v>14769.468078632593</c:v>
                </c:pt>
                <c:pt idx="657" formatCode="_(&quot;$&quot;* #,##0.00_);_(&quot;$&quot;* \(#,##0.00\);_(&quot;$&quot;* &quot;-&quot;??_);_(@_)">
                  <c:v>14840.740593062745</c:v>
                </c:pt>
                <c:pt idx="658" formatCode="_(&quot;$&quot;* #,##0.00_);_(&quot;$&quot;* \(#,##0.00\);_(&quot;$&quot;* &quot;-&quot;??_);_(@_)">
                  <c:v>14486.848914917327</c:v>
                </c:pt>
                <c:pt idx="659" formatCode="_(&quot;$&quot;* #,##0.00_);_(&quot;$&quot;* \(#,##0.00\);_(&quot;$&quot;* &quot;-&quot;??_);_(@_)">
                  <c:v>14941.19673961431</c:v>
                </c:pt>
                <c:pt idx="660" formatCode="_(&quot;$&quot;* #,##0.00_);_(&quot;$&quot;* \(#,##0.00\);_(&quot;$&quot;* &quot;-&quot;??_);_(@_)">
                  <c:v>14880.951110981194</c:v>
                </c:pt>
                <c:pt idx="661" formatCode="_(&quot;$&quot;* #,##0.00_);_(&quot;$&quot;* \(#,##0.00\);_(&quot;$&quot;* &quot;-&quot;??_);_(@_)">
                  <c:v>14792.477271339607</c:v>
                </c:pt>
                <c:pt idx="662" formatCode="_(&quot;$&quot;* #,##0.00_);_(&quot;$&quot;* \(#,##0.00\);_(&quot;$&quot;* &quot;-&quot;??_);_(@_)">
                  <c:v>14031.609891014785</c:v>
                </c:pt>
                <c:pt idx="663" formatCode="_(&quot;$&quot;* #,##0.00_);_(&quot;$&quot;* \(#,##0.00\);_(&quot;$&quot;* &quot;-&quot;??_);_(@_)">
                  <c:v>13662.928160868283</c:v>
                </c:pt>
                <c:pt idx="664" formatCode="_(&quot;$&quot;* #,##0.00_);_(&quot;$&quot;* \(#,##0.00\);_(&quot;$&quot;* &quot;-&quot;??_);_(@_)">
                  <c:v>14079.378603580735</c:v>
                </c:pt>
                <c:pt idx="665" formatCode="_(&quot;$&quot;* #,##0.00_);_(&quot;$&quot;* \(#,##0.00\);_(&quot;$&quot;* &quot;-&quot;??_);_(@_)">
                  <c:v>14304.756716211603</c:v>
                </c:pt>
                <c:pt idx="666" formatCode="_(&quot;$&quot;* #,##0.00_);_(&quot;$&quot;* \(#,##0.00\);_(&quot;$&quot;* &quot;-&quot;??_);_(@_)">
                  <c:v>14306.781085011731</c:v>
                </c:pt>
                <c:pt idx="667" formatCode="_(&quot;$&quot;* #,##0.00_);_(&quot;$&quot;* \(#,##0.00\);_(&quot;$&quot;* &quot;-&quot;??_);_(@_)">
                  <c:v>14103.520263749628</c:v>
                </c:pt>
                <c:pt idx="668" formatCode="_(&quot;$&quot;* #,##0.00_);_(&quot;$&quot;* \(#,##0.00\);_(&quot;$&quot;* &quot;-&quot;??_);_(@_)">
                  <c:v>14549.663049020983</c:v>
                </c:pt>
                <c:pt idx="669" formatCode="_(&quot;$&quot;* #,##0.00_);_(&quot;$&quot;* \(#,##0.00\);_(&quot;$&quot;* &quot;-&quot;??_);_(@_)">
                  <c:v>14299.092365270242</c:v>
                </c:pt>
                <c:pt idx="670" formatCode="_(&quot;$&quot;* #,##0.00_);_(&quot;$&quot;* \(#,##0.00\);_(&quot;$&quot;* &quot;-&quot;??_);_(@_)">
                  <c:v>14019.315330108988</c:v>
                </c:pt>
                <c:pt idx="671" formatCode="_(&quot;$&quot;* #,##0.00_);_(&quot;$&quot;* \(#,##0.00\);_(&quot;$&quot;* &quot;-&quot;??_);_(@_)">
                  <c:v>14718.889191198823</c:v>
                </c:pt>
                <c:pt idx="672" formatCode="_(&quot;$&quot;* #,##0.00_);_(&quot;$&quot;* \(#,##0.00\);_(&quot;$&quot;* &quot;-&quot;??_);_(@_)">
                  <c:v>15546.43213423988</c:v>
                </c:pt>
                <c:pt idx="673" formatCode="_(&quot;$&quot;* #,##0.00_);_(&quot;$&quot;* \(#,##0.00\);_(&quot;$&quot;* &quot;-&quot;??_);_(@_)">
                  <c:v>15751.881805483354</c:v>
                </c:pt>
                <c:pt idx="674" formatCode="_(&quot;$&quot;* #,##0.00_);_(&quot;$&quot;* \(#,##0.00\);_(&quot;$&quot;* &quot;-&quot;??_);_(@_)">
                  <c:v>15363.37210301903</c:v>
                </c:pt>
                <c:pt idx="675" formatCode="_(&quot;$&quot;* #,##0.00_);_(&quot;$&quot;* \(#,##0.00\);_(&quot;$&quot;* &quot;-&quot;??_);_(@_)">
                  <c:v>15735.236133770581</c:v>
                </c:pt>
                <c:pt idx="676" formatCode="_(&quot;$&quot;* #,##0.00_);_(&quot;$&quot;* \(#,##0.00\);_(&quot;$&quot;* &quot;-&quot;??_);_(@_)">
                  <c:v>15350.064780365745</c:v>
                </c:pt>
                <c:pt idx="677" formatCode="_(&quot;$&quot;* #,##0.00_);_(&quot;$&quot;* \(#,##0.00\);_(&quot;$&quot;* &quot;-&quot;??_);_(@_)">
                  <c:v>15238.417637403723</c:v>
                </c:pt>
                <c:pt idx="678" formatCode="_(&quot;$&quot;* #,##0.00_);_(&quot;$&quot;* \(#,##0.00\);_(&quot;$&quot;* &quot;-&quot;??_);_(@_)">
                  <c:v>13988.718963043411</c:v>
                </c:pt>
                <c:pt idx="679" formatCode="_(&quot;$&quot;* #,##0.00_);_(&quot;$&quot;* \(#,##0.00\);_(&quot;$&quot;* &quot;-&quot;??_);_(@_)">
                  <c:v>14146.226869665239</c:v>
                </c:pt>
                <c:pt idx="680" formatCode="_(&quot;$&quot;* #,##0.00_);_(&quot;$&quot;* \(#,##0.00\);_(&quot;$&quot;* &quot;-&quot;??_);_(@_)">
                  <c:v>14444.858116080064</c:v>
                </c:pt>
                <c:pt idx="681" formatCode="_(&quot;$&quot;* #,##0.00_);_(&quot;$&quot;* \(#,##0.00\);_(&quot;$&quot;* &quot;-&quot;??_);_(@_)">
                  <c:v>14255.821145091935</c:v>
                </c:pt>
                <c:pt idx="682" formatCode="_(&quot;$&quot;* #,##0.00_);_(&quot;$&quot;* \(#,##0.00\);_(&quot;$&quot;* &quot;-&quot;??_);_(@_)">
                  <c:v>14084.917966388328</c:v>
                </c:pt>
                <c:pt idx="683" formatCode="_(&quot;$&quot;* #,##0.00_);_(&quot;$&quot;* \(#,##0.00\);_(&quot;$&quot;* &quot;-&quot;??_);_(@_)">
                  <c:v>14983.028948468842</c:v>
                </c:pt>
                <c:pt idx="684" formatCode="_(&quot;$&quot;* #,##0.00_);_(&quot;$&quot;* \(#,##0.00\);_(&quot;$&quot;* &quot;-&quot;??_);_(@_)">
                  <c:v>14641.494104764064</c:v>
                </c:pt>
                <c:pt idx="685" formatCode="_(&quot;$&quot;* #,##0.00_);_(&quot;$&quot;* \(#,##0.00\);_(&quot;$&quot;* &quot;-&quot;??_);_(@_)">
                  <c:v>14500.262320688151</c:v>
                </c:pt>
                <c:pt idx="686" formatCode="_(&quot;$&quot;* #,##0.00_);_(&quot;$&quot;* \(#,##0.00\);_(&quot;$&quot;* &quot;-&quot;??_);_(@_)">
                  <c:v>14516.739255648527</c:v>
                </c:pt>
                <c:pt idx="687" formatCode="_(&quot;$&quot;* #,##0.00_);_(&quot;$&quot;* \(#,##0.00\);_(&quot;$&quot;* &quot;-&quot;??_);_(@_)">
                  <c:v>14835.838015368265</c:v>
                </c:pt>
                <c:pt idx="688" formatCode="_(&quot;$&quot;* #,##0.00_);_(&quot;$&quot;* \(#,##0.00\);_(&quot;$&quot;* &quot;-&quot;??_);_(@_)">
                  <c:v>15363.910780289565</c:v>
                </c:pt>
                <c:pt idx="689" formatCode="_(&quot;$&quot;* #,##0.00_);_(&quot;$&quot;* \(#,##0.00\);_(&quot;$&quot;* &quot;-&quot;??_);_(@_)">
                  <c:v>15628.732386149026</c:v>
                </c:pt>
                <c:pt idx="690" formatCode="_(&quot;$&quot;* #,##0.00_);_(&quot;$&quot;* \(#,##0.00\);_(&quot;$&quot;* &quot;-&quot;??_);_(@_)">
                  <c:v>15458.656201755692</c:v>
                </c:pt>
                <c:pt idx="691" formatCode="_(&quot;$&quot;* #,##0.00_);_(&quot;$&quot;* \(#,##0.00\);_(&quot;$&quot;* &quot;-&quot;??_);_(@_)">
                  <c:v>15492.640872882954</c:v>
                </c:pt>
                <c:pt idx="692" formatCode="_(&quot;$&quot;* #,##0.00_);_(&quot;$&quot;* \(#,##0.00\);_(&quot;$&quot;* &quot;-&quot;??_);_(@_)">
                  <c:v>15229.721627209532</c:v>
                </c:pt>
                <c:pt idx="693" formatCode="_(&quot;$&quot;* #,##0.00_);_(&quot;$&quot;* \(#,##0.00\);_(&quot;$&quot;* &quot;-&quot;??_);_(@_)">
                  <c:v>15195.718146715422</c:v>
                </c:pt>
                <c:pt idx="694" formatCode="_(&quot;$&quot;* #,##0.00_);_(&quot;$&quot;* \(#,##0.00\);_(&quot;$&quot;* &quot;-&quot;??_);_(@_)">
                  <c:v>15233.238403317255</c:v>
                </c:pt>
                <c:pt idx="695" formatCode="_(&quot;$&quot;* #,##0.00_);_(&quot;$&quot;* \(#,##0.00\);_(&quot;$&quot;* &quot;-&quot;??_);_(@_)">
                  <c:v>15294.628092593495</c:v>
                </c:pt>
                <c:pt idx="696" formatCode="_(&quot;$&quot;* #,##0.00_);_(&quot;$&quot;* \(#,##0.00\);_(&quot;$&quot;* &quot;-&quot;??_);_(@_)">
                  <c:v>15735.226650236178</c:v>
                </c:pt>
                <c:pt idx="697" formatCode="_(&quot;$&quot;* #,##0.00_);_(&quot;$&quot;* \(#,##0.00\);_(&quot;$&quot;* &quot;-&quot;??_);_(@_)">
                  <c:v>15690.137777215557</c:v>
                </c:pt>
                <c:pt idx="698" formatCode="_(&quot;$&quot;* #,##0.00_);_(&quot;$&quot;* \(#,##0.00\);_(&quot;$&quot;* &quot;-&quot;??_);_(@_)">
                  <c:v>15684.893545512798</c:v>
                </c:pt>
                <c:pt idx="699" formatCode="_(&quot;$&quot;* #,##0.00_);_(&quot;$&quot;* \(#,##0.00\);_(&quot;$&quot;* &quot;-&quot;??_);_(@_)">
                  <c:v>15883.420943517496</c:v>
                </c:pt>
                <c:pt idx="700" formatCode="_(&quot;$&quot;* #,##0.00_);_(&quot;$&quot;* \(#,##0.00\);_(&quot;$&quot;* &quot;-&quot;??_);_(@_)">
                  <c:v>16170.367680665291</c:v>
                </c:pt>
                <c:pt idx="701" formatCode="_(&quot;$&quot;* #,##0.00_);_(&quot;$&quot;* \(#,##0.00\);_(&quot;$&quot;* &quot;-&quot;??_);_(@_)">
                  <c:v>16263.765560214022</c:v>
                </c:pt>
                <c:pt idx="702" formatCode="_(&quot;$&quot;* #,##0.00_);_(&quot;$&quot;* \(#,##0.00\);_(&quot;$&quot;* &quot;-&quot;??_);_(@_)">
                  <c:v>16932.947833904869</c:v>
                </c:pt>
                <c:pt idx="703" formatCode="_(&quot;$&quot;* #,##0.00_);_(&quot;$&quot;* \(#,##0.00\);_(&quot;$&quot;* &quot;-&quot;??_);_(@_)">
                  <c:v>16933.387949439351</c:v>
                </c:pt>
                <c:pt idx="704" formatCode="_(&quot;$&quot;* #,##0.00_);_(&quot;$&quot;* \(#,##0.00\);_(&quot;$&quot;* &quot;-&quot;??_);_(@_)">
                  <c:v>17696.294685182515</c:v>
                </c:pt>
                <c:pt idx="705" formatCode="_(&quot;$&quot;* #,##0.00_);_(&quot;$&quot;* \(#,##0.00\);_(&quot;$&quot;* &quot;-&quot;??_);_(@_)">
                  <c:v>18167.2312238546</c:v>
                </c:pt>
                <c:pt idx="706" formatCode="_(&quot;$&quot;* #,##0.00_);_(&quot;$&quot;* \(#,##0.00\);_(&quot;$&quot;* &quot;-&quot;??_);_(@_)">
                  <c:v>17043.341004819602</c:v>
                </c:pt>
                <c:pt idx="707" formatCode="_(&quot;$&quot;* #,##0.00_);_(&quot;$&quot;* \(#,##0.00\);_(&quot;$&quot;* &quot;-&quot;??_);_(@_)">
                  <c:v>16627.829242623247</c:v>
                </c:pt>
                <c:pt idx="708" formatCode="_(&quot;$&quot;* #,##0.00_);_(&quot;$&quot;* \(#,##0.00\);_(&quot;$&quot;* &quot;-&quot;??_);_(@_)">
                  <c:v>17240.189908241849</c:v>
                </c:pt>
                <c:pt idx="709" formatCode="_(&quot;$&quot;* #,##0.00_);_(&quot;$&quot;* \(#,##0.00\);_(&quot;$&quot;* &quot;-&quot;??_);_(@_)">
                  <c:v>17655.188744331845</c:v>
                </c:pt>
                <c:pt idx="710" formatCode="_(&quot;$&quot;* #,##0.00_);_(&quot;$&quot;* \(#,##0.00\);_(&quot;$&quot;* &quot;-&quot;??_);_(@_)">
                  <c:v>18235.432296463692</c:v>
                </c:pt>
                <c:pt idx="711" formatCode="_(&quot;$&quot;* #,##0.00_);_(&quot;$&quot;* \(#,##0.00\);_(&quot;$&quot;* &quot;-&quot;??_);_(@_)">
                  <c:v>18427.032358783319</c:v>
                </c:pt>
                <c:pt idx="712" formatCode="_(&quot;$&quot;* #,##0.00_);_(&quot;$&quot;* \(#,##0.00\);_(&quot;$&quot;* &quot;-&quot;??_);_(@_)">
                  <c:v>18620.458559062641</c:v>
                </c:pt>
                <c:pt idx="713" formatCode="_(&quot;$&quot;* #,##0.00_);_(&quot;$&quot;* \(#,##0.00\);_(&quot;$&quot;* &quot;-&quot;??_);_(@_)">
                  <c:v>18662.061857765111</c:v>
                </c:pt>
                <c:pt idx="714" formatCode="_(&quot;$&quot;* #,##0.00_);_(&quot;$&quot;* \(#,##0.00\);_(&quot;$&quot;* &quot;-&quot;??_);_(@_)">
                  <c:v>19315.0074734259</c:v>
                </c:pt>
                <c:pt idx="715" formatCode="_(&quot;$&quot;* #,##0.00_);_(&quot;$&quot;* \(#,##0.00\);_(&quot;$&quot;* &quot;-&quot;??_);_(@_)">
                  <c:v>19600.772586397183</c:v>
                </c:pt>
                <c:pt idx="716" formatCode="_(&quot;$&quot;* #,##0.00_);_(&quot;$&quot;* \(#,##0.00\);_(&quot;$&quot;* &quot;-&quot;??_);_(@_)">
                  <c:v>20086.620979700252</c:v>
                </c:pt>
                <c:pt idx="717" formatCode="_(&quot;$&quot;* #,##0.00_);_(&quot;$&quot;* \(#,##0.00\);_(&quot;$&quot;* &quot;-&quot;??_);_(@_)">
                  <c:v>20784.862745162005</c:v>
                </c:pt>
                <c:pt idx="718" formatCode="_(&quot;$&quot;* #,##0.00_);_(&quot;$&quot;* \(#,##0.00\);_(&quot;$&quot;* &quot;-&quot;??_);_(@_)">
                  <c:v>20853.736972795094</c:v>
                </c:pt>
                <c:pt idx="719" formatCode="_(&quot;$&quot;* #,##0.00_);_(&quot;$&quot;* \(#,##0.00\);_(&quot;$&quot;* &quot;-&quot;??_);_(@_)">
                  <c:v>20859.123092190137</c:v>
                </c:pt>
                <c:pt idx="720" formatCode="_(&quot;$&quot;* #,##0.00_);_(&quot;$&quot;* \(#,##0.00\);_(&quot;$&quot;* &quot;-&quot;??_);_(@_)">
                  <c:v>20526.964796891793</c:v>
                </c:pt>
                <c:pt idx="721" formatCode="_(&quot;$&quot;* #,##0.00_);_(&quot;$&quot;* \(#,##0.00\);_(&quot;$&quot;* &quot;-&quot;??_);_(@_)">
                  <c:v>19944.774271409839</c:v>
                </c:pt>
                <c:pt idx="722" formatCode="_(&quot;$&quot;* #,##0.00_);_(&quot;$&quot;* \(#,##0.00\);_(&quot;$&quot;* &quot;-&quot;??_);_(@_)">
                  <c:v>19541.204214591082</c:v>
                </c:pt>
                <c:pt idx="723" formatCode="_(&quot;$&quot;* #,##0.00_);_(&quot;$&quot;* \(#,##0.00\);_(&quot;$&quot;* &quot;-&quot;??_);_(@_)">
                  <c:v>20614.19462501079</c:v>
                </c:pt>
                <c:pt idx="724" formatCode="_(&quot;$&quot;* #,##0.00_);_(&quot;$&quot;* \(#,##0.00\);_(&quot;$&quot;* &quot;-&quot;??_);_(@_)">
                  <c:v>21115.72068909982</c:v>
                </c:pt>
                <c:pt idx="725" formatCode="_(&quot;$&quot;* #,##0.00_);_(&quot;$&quot;* \(#,##0.00\);_(&quot;$&quot;* &quot;-&quot;??_);_(@_)">
                  <c:v>21151.390356983018</c:v>
                </c:pt>
                <c:pt idx="726" formatCode="_(&quot;$&quot;* #,##0.00_);_(&quot;$&quot;* \(#,##0.00\);_(&quot;$&quot;* &quot;-&quot;??_);_(@_)">
                  <c:v>20684.784709737782</c:v>
                </c:pt>
                <c:pt idx="727" formatCode="_(&quot;$&quot;* #,##0.00_);_(&quot;$&quot;* \(#,##0.00\);_(&quot;$&quot;* &quot;-&quot;??_);_(@_)">
                  <c:v>21700.177212252453</c:v>
                </c:pt>
                <c:pt idx="728" formatCode="_(&quot;$&quot;* #,##0.00_);_(&quot;$&quot;* \(#,##0.00\);_(&quot;$&quot;* &quot;-&quot;??_);_(@_)">
                  <c:v>21925.161689226821</c:v>
                </c:pt>
                <c:pt idx="729" formatCode="_(&quot;$&quot;* #,##0.00_);_(&quot;$&quot;* \(#,##0.00\);_(&quot;$&quot;* &quot;-&quot;??_);_(@_)">
                  <c:v>22328.653125326964</c:v>
                </c:pt>
                <c:pt idx="730" formatCode="_(&quot;$&quot;* #,##0.00_);_(&quot;$&quot;* \(#,##0.00\);_(&quot;$&quot;* &quot;-&quot;??_);_(@_)">
                  <c:v>22948.052288630581</c:v>
                </c:pt>
                <c:pt idx="731" formatCode="_(&quot;$&quot;* #,##0.00_);_(&quot;$&quot;* \(#,##0.00\);_(&quot;$&quot;* &quot;-&quot;??_);_(@_)">
                  <c:v>22867.939030309313</c:v>
                </c:pt>
                <c:pt idx="732" formatCode="_(&quot;$&quot;* #,##0.00_);_(&quot;$&quot;* \(#,##0.00\);_(&quot;$&quot;* &quot;-&quot;??_);_(@_)">
                  <c:v>23135.918972751024</c:v>
                </c:pt>
                <c:pt idx="733" formatCode="_(&quot;$&quot;* #,##0.00_);_(&quot;$&quot;* \(#,##0.00\);_(&quot;$&quot;* &quot;-&quot;??_);_(@_)">
                  <c:v>23300.869408212791</c:v>
                </c:pt>
                <c:pt idx="734" formatCode="_(&quot;$&quot;* #,##0.00_);_(&quot;$&quot;* \(#,##0.00\);_(&quot;$&quot;* &quot;-&quot;??_);_(@_)">
                  <c:v>21233.066987078313</c:v>
                </c:pt>
                <c:pt idx="735" formatCode="_(&quot;$&quot;* #,##0.00_);_(&quot;$&quot;* \(#,##0.00\);_(&quot;$&quot;* &quot;-&quot;??_);_(@_)">
                  <c:v>20983.894037539398</c:v>
                </c:pt>
                <c:pt idx="736" formatCode="_(&quot;$&quot;* #,##0.00_);_(&quot;$&quot;* \(#,##0.00\);_(&quot;$&quot;* &quot;-&quot;??_);_(@_)">
                  <c:v>21146.159376751744</c:v>
                </c:pt>
                <c:pt idx="737" formatCode="_(&quot;$&quot;* #,##0.00_);_(&quot;$&quot;* \(#,##0.00\);_(&quot;$&quot;* &quot;-&quot;??_);_(@_)">
                  <c:v>19967.015107593539</c:v>
                </c:pt>
                <c:pt idx="738" formatCode="_(&quot;$&quot;* #,##0.00_);_(&quot;$&quot;* \(#,##0.00\);_(&quot;$&quot;* &quot;-&quot;??_);_(@_)">
                  <c:v>18972.56185357807</c:v>
                </c:pt>
                <c:pt idx="739" formatCode="_(&quot;$&quot;* #,##0.00_);_(&quot;$&quot;* \(#,##0.00\);_(&quot;$&quot;* &quot;-&quot;??_);_(@_)">
                  <c:v>19063.675771905615</c:v>
                </c:pt>
                <c:pt idx="740" formatCode="_(&quot;$&quot;* #,##0.00_);_(&quot;$&quot;* \(#,##0.00\);_(&quot;$&quot;* &quot;-&quot;??_);_(@_)">
                  <c:v>19072.022376923651</c:v>
                </c:pt>
                <c:pt idx="741" formatCode="_(&quot;$&quot;* #,##0.00_);_(&quot;$&quot;* \(#,##0.00\);_(&quot;$&quot;* &quot;-&quot;??_);_(@_)">
                  <c:v>19313.220324577822</c:v>
                </c:pt>
                <c:pt idx="742" formatCode="_(&quot;$&quot;* #,##0.00_);_(&quot;$&quot;* \(#,##0.00\);_(&quot;$&quot;* &quot;-&quot;??_);_(@_)">
                  <c:v>19509.867271639087</c:v>
                </c:pt>
                <c:pt idx="743" formatCode="_(&quot;$&quot;* #,##0.00_);_(&quot;$&quot;* \(#,##0.00\);_(&quot;$&quot;* &quot;-&quot;??_);_(@_)">
                  <c:v>18414.32145619893</c:v>
                </c:pt>
                <c:pt idx="744" formatCode="_(&quot;$&quot;* #,##0.00_);_(&quot;$&quot;* \(#,##0.00\);_(&quot;$&quot;* &quot;-&quot;??_);_(@_)">
                  <c:v>17773.63303059449</c:v>
                </c:pt>
                <c:pt idx="745" formatCode="_(&quot;$&quot;* #,##0.00_);_(&quot;$&quot;* \(#,##0.00\);_(&quot;$&quot;* &quot;-&quot;??_);_(@_)">
                  <c:v>17465.452762927569</c:v>
                </c:pt>
                <c:pt idx="746" formatCode="_(&quot;$&quot;* #,##0.00_);_(&quot;$&quot;* \(#,##0.00\);_(&quot;$&quot;* &quot;-&quot;??_);_(@_)">
                  <c:v>17388.727397922095</c:v>
                </c:pt>
                <c:pt idx="747" formatCode="_(&quot;$&quot;* #,##0.00_);_(&quot;$&quot;* \(#,##0.00\);_(&quot;$&quot;* &quot;-&quot;??_);_(@_)">
                  <c:v>16399.644192484524</c:v>
                </c:pt>
                <c:pt idx="748" formatCode="_(&quot;$&quot;* #,##0.00_);_(&quot;$&quot;* \(#,##0.00\);_(&quot;$&quot;* &quot;-&quot;??_);_(@_)">
                  <c:v>17550.838803850966</c:v>
                </c:pt>
                <c:pt idx="749" formatCode="_(&quot;$&quot;* #,##0.00_);_(&quot;$&quot;* \(#,##0.00\);_(&quot;$&quot;* &quot;-&quot;??_);_(@_)">
                  <c:v>17247.796122356554</c:v>
                </c:pt>
                <c:pt idx="750" formatCode="_(&quot;$&quot;* #,##0.00_);_(&quot;$&quot;* \(#,##0.00\);_(&quot;$&quot;* &quot;-&quot;??_);_(@_)">
                  <c:v>17106.736918234928</c:v>
                </c:pt>
                <c:pt idx="751" formatCode="_(&quot;$&quot;* #,##0.00_);_(&quot;$&quot;* \(#,##0.00\);_(&quot;$&quot;* &quot;-&quot;??_);_(@_)">
                  <c:v>16556.90584877666</c:v>
                </c:pt>
                <c:pt idx="752" formatCode="_(&quot;$&quot;* #,##0.00_);_(&quot;$&quot;* \(#,##0.00\);_(&quot;$&quot;* &quot;-&quot;??_);_(@_)">
                  <c:v>16453.249233981878</c:v>
                </c:pt>
                <c:pt idx="753" formatCode="_(&quot;$&quot;* #,##0.00_);_(&quot;$&quot;* \(#,##0.00\);_(&quot;$&quot;* &quot;-&quot;??_);_(@_)">
                  <c:v>16490.026097936061</c:v>
                </c:pt>
                <c:pt idx="754" formatCode="_(&quot;$&quot;* #,##0.00_);_(&quot;$&quot;* \(#,##0.00\);_(&quot;$&quot;* &quot;-&quot;??_);_(@_)">
                  <c:v>16989.58153794162</c:v>
                </c:pt>
                <c:pt idx="755" formatCode="_(&quot;$&quot;* #,##0.00_);_(&quot;$&quot;* \(#,##0.00\);_(&quot;$&quot;* &quot;-&quot;??_);_(@_)">
                  <c:v>17220.087142687033</c:v>
                </c:pt>
                <c:pt idx="756" formatCode="_(&quot;$&quot;* #,##0.00_);_(&quot;$&quot;* \(#,##0.00\);_(&quot;$&quot;* &quot;-&quot;??_);_(@_)">
                  <c:v>17752.668966133268</c:v>
                </c:pt>
                <c:pt idx="757" formatCode="_(&quot;$&quot;* #,##0.00_);_(&quot;$&quot;* \(#,##0.00\);_(&quot;$&quot;* &quot;-&quot;??_);_(@_)">
                  <c:v>18257.655297444602</c:v>
                </c:pt>
                <c:pt idx="758" formatCode="_(&quot;$&quot;* #,##0.00_);_(&quot;$&quot;* \(#,##0.00\);_(&quot;$&quot;* &quot;-&quot;??_);_(@_)">
                  <c:v>18364.473916421728</c:v>
                </c:pt>
                <c:pt idx="759" formatCode="_(&quot;$&quot;* #,##0.00_);_(&quot;$&quot;* \(#,##0.00\);_(&quot;$&quot;* &quot;-&quot;??_);_(@_)">
                  <c:v>18722.080699323342</c:v>
                </c:pt>
                <c:pt idx="760" formatCode="_(&quot;$&quot;* #,##0.00_);_(&quot;$&quot;* \(#,##0.00\);_(&quot;$&quot;* &quot;-&quot;??_);_(@_)">
                  <c:v>18705.631086852747</c:v>
                </c:pt>
                <c:pt idx="761" formatCode="_(&quot;$&quot;* #,##0.00_);_(&quot;$&quot;* \(#,##0.00\);_(&quot;$&quot;* &quot;-&quot;??_);_(@_)">
                  <c:v>18900.561504148482</c:v>
                </c:pt>
                <c:pt idx="762" formatCode="_(&quot;$&quot;* #,##0.00_);_(&quot;$&quot;* \(#,##0.00\);_(&quot;$&quot;* &quot;-&quot;??_);_(@_)">
                  <c:v>19133.113295152638</c:v>
                </c:pt>
                <c:pt idx="763" formatCode="_(&quot;$&quot;* #,##0.00_);_(&quot;$&quot;* \(#,##0.00\);_(&quot;$&quot;* &quot;-&quot;??_);_(@_)">
                  <c:v>18776.651522229622</c:v>
                </c:pt>
                <c:pt idx="764" formatCode="_(&quot;$&quot;* #,##0.00_);_(&quot;$&quot;* \(#,##0.00\);_(&quot;$&quot;* &quot;-&quot;??_);_(@_)">
                  <c:v>18275.69956757157</c:v>
                </c:pt>
                <c:pt idx="765" formatCode="_(&quot;$&quot;* #,##0.00_);_(&quot;$&quot;* \(#,##0.00\);_(&quot;$&quot;* &quot;-&quot;??_);_(@_)">
                  <c:v>18065.786739750802</c:v>
                </c:pt>
                <c:pt idx="766" formatCode="_(&quot;$&quot;* #,##0.00_);_(&quot;$&quot;* \(#,##0.00\);_(&quot;$&quot;* &quot;-&quot;??_);_(@_)">
                  <c:v>17844.619421063482</c:v>
                </c:pt>
                <c:pt idx="767" formatCode="_(&quot;$&quot;* #,##0.00_);_(&quot;$&quot;* \(#,##0.00\);_(&quot;$&quot;* &quot;-&quot;??_);_(@_)">
                  <c:v>17936.019942714647</c:v>
                </c:pt>
                <c:pt idx="768" formatCode="_(&quot;$&quot;* #,##0.00_);_(&quot;$&quot;* \(#,##0.00\);_(&quot;$&quot;* &quot;-&quot;??_);_(@_)">
                  <c:v>17630.8025521741</c:v>
                </c:pt>
                <c:pt idx="769" formatCode="_(&quot;$&quot;* #,##0.00_);_(&quot;$&quot;* \(#,##0.00\);_(&quot;$&quot;* &quot;-&quot;??_);_(@_)">
                  <c:v>17265.915784701669</c:v>
                </c:pt>
                <c:pt idx="770" formatCode="_(&quot;$&quot;* #,##0.00_);_(&quot;$&quot;* \(#,##0.00\);_(&quot;$&quot;* &quot;-&quot;??_);_(@_)">
                  <c:v>17446.96384547944</c:v>
                </c:pt>
                <c:pt idx="771" formatCode="_(&quot;$&quot;* #,##0.00_);_(&quot;$&quot;* \(#,##0.00\);_(&quot;$&quot;* &quot;-&quot;??_);_(@_)">
                  <c:v>16674.098737470365</c:v>
                </c:pt>
                <c:pt idx="772" formatCode="_(&quot;$&quot;* #,##0.00_);_(&quot;$&quot;* \(#,##0.00\);_(&quot;$&quot;* &quot;-&quot;??_);_(@_)">
                  <c:v>16613.419177986569</c:v>
                </c:pt>
                <c:pt idx="773" formatCode="_(&quot;$&quot;* #,##0.00_);_(&quot;$&quot;* \(#,##0.00\);_(&quot;$&quot;* &quot;-&quot;??_);_(@_)">
                  <c:v>16981.647308338077</c:v>
                </c:pt>
                <c:pt idx="774" formatCode="_(&quot;$&quot;* #,##0.00_);_(&quot;$&quot;* \(#,##0.00\);_(&quot;$&quot;* &quot;-&quot;??_);_(@_)">
                  <c:v>16372.344366009005</c:v>
                </c:pt>
                <c:pt idx="775" formatCode="_(&quot;$&quot;* #,##0.00_);_(&quot;$&quot;* \(#,##0.00\);_(&quot;$&quot;* &quot;-&quot;??_);_(@_)">
                  <c:v>16523.942506388055</c:v>
                </c:pt>
                <c:pt idx="776" formatCode="_(&quot;$&quot;* #,##0.00_);_(&quot;$&quot;* \(#,##0.00\);_(&quot;$&quot;* &quot;-&quot;??_);_(@_)">
                  <c:v>16901.407113172605</c:v>
                </c:pt>
                <c:pt idx="777" formatCode="_(&quot;$&quot;* #,##0.00_);_(&quot;$&quot;* \(#,##0.00\);_(&quot;$&quot;* &quot;-&quot;??_);_(@_)">
                  <c:v>17880.842834699455</c:v>
                </c:pt>
                <c:pt idx="778" formatCode="_(&quot;$&quot;* #,##0.00_);_(&quot;$&quot;* \(#,##0.00\);_(&quot;$&quot;* &quot;-&quot;??_);_(@_)">
                  <c:v>18102.082580664999</c:v>
                </c:pt>
                <c:pt idx="779" formatCode="_(&quot;$&quot;* #,##0.00_);_(&quot;$&quot;* \(#,##0.00\);_(&quot;$&quot;* &quot;-&quot;??_);_(@_)">
                  <c:v>17666.759621913516</c:v>
                </c:pt>
                <c:pt idx="780" formatCode="_(&quot;$&quot;* #,##0.00_);_(&quot;$&quot;* \(#,##0.00\);_(&quot;$&quot;* &quot;-&quot;??_);_(@_)">
                  <c:v>17088.77100812483</c:v>
                </c:pt>
                <c:pt idx="781" formatCode="_(&quot;$&quot;* #,##0.00_);_(&quot;$&quot;* \(#,##0.00\);_(&quot;$&quot;* &quot;-&quot;??_);_(@_)">
                  <c:v>16982.142571513123</c:v>
                </c:pt>
                <c:pt idx="782" formatCode="_(&quot;$&quot;* #,##0.00_);_(&quot;$&quot;* \(#,##0.00\);_(&quot;$&quot;* &quot;-&quot;??_);_(@_)">
                  <c:v>16872.480701067794</c:v>
                </c:pt>
                <c:pt idx="783" formatCode="_(&quot;$&quot;* #,##0.00_);_(&quot;$&quot;* \(#,##0.00\);_(&quot;$&quot;* &quot;-&quot;??_);_(@_)">
                  <c:v>17512.02006437122</c:v>
                </c:pt>
                <c:pt idx="784" formatCode="_(&quot;$&quot;* #,##0.00_);_(&quot;$&quot;* \(#,##0.00\);_(&quot;$&quot;* &quot;-&quot;??_);_(@_)">
                  <c:v>17398.878732843961</c:v>
                </c:pt>
                <c:pt idx="785" formatCode="_(&quot;$&quot;* #,##0.00_);_(&quot;$&quot;* \(#,##0.00\);_(&quot;$&quot;* &quot;-&quot;??_);_(@_)">
                  <c:v>17530.418881299353</c:v>
                </c:pt>
                <c:pt idx="786" formatCode="_(&quot;$&quot;* #,##0.00_);_(&quot;$&quot;* \(#,##0.00\);_(&quot;$&quot;* &quot;-&quot;??_);_(@_)">
                  <c:v>17670.194255323921</c:v>
                </c:pt>
                <c:pt idx="787" formatCode="_(&quot;$&quot;* #,##0.00_);_(&quot;$&quot;* \(#,##0.00\);_(&quot;$&quot;* &quot;-&quot;??_);_(@_)">
                  <c:v>18067.934778361985</c:v>
                </c:pt>
                <c:pt idx="788" formatCode="_(&quot;$&quot;* #,##0.00_);_(&quot;$&quot;* \(#,##0.00\);_(&quot;$&quot;* &quot;-&quot;??_);_(@_)">
                  <c:v>17627.341456878097</c:v>
                </c:pt>
                <c:pt idx="789" formatCode="_(&quot;$&quot;* #,##0.00_);_(&quot;$&quot;* \(#,##0.00\);_(&quot;$&quot;* &quot;-&quot;??_);_(@_)">
                  <c:v>17123.34689585496</c:v>
                </c:pt>
                <c:pt idx="790" formatCode="_(&quot;$&quot;* #,##0.00_);_(&quot;$&quot;* \(#,##0.00\);_(&quot;$&quot;* &quot;-&quot;??_);_(@_)">
                  <c:v>17395.525955697129</c:v>
                </c:pt>
                <c:pt idx="791" formatCode="_(&quot;$&quot;* #,##0.00_);_(&quot;$&quot;* \(#,##0.00\);_(&quot;$&quot;* &quot;-&quot;??_);_(@_)">
                  <c:v>17029.933291560952</c:v>
                </c:pt>
                <c:pt idx="792" formatCode="_(&quot;$&quot;* #,##0.00_);_(&quot;$&quot;* \(#,##0.00\);_(&quot;$&quot;* &quot;-&quot;??_);_(@_)">
                  <c:v>17178.756531535499</c:v>
                </c:pt>
                <c:pt idx="793" formatCode="_(&quot;$&quot;* #,##0.00_);_(&quot;$&quot;* \(#,##0.00\);_(&quot;$&quot;* &quot;-&quot;??_);_(@_)">
                  <c:v>17467.791842325252</c:v>
                </c:pt>
                <c:pt idx="794" formatCode="_(&quot;$&quot;* #,##0.00_);_(&quot;$&quot;* \(#,##0.00\);_(&quot;$&quot;* &quot;-&quot;??_);_(@_)">
                  <c:v>17592.017602410397</c:v>
                </c:pt>
                <c:pt idx="795" formatCode="_(&quot;$&quot;* #,##0.00_);_(&quot;$&quot;* \(#,##0.00\);_(&quot;$&quot;* &quot;-&quot;??_);_(@_)">
                  <c:v>17466.378313237285</c:v>
                </c:pt>
                <c:pt idx="796" formatCode="_(&quot;$&quot;* #,##0.00_);_(&quot;$&quot;* \(#,##0.00\);_(&quot;$&quot;* &quot;-&quot;??_);_(@_)">
                  <c:v>18175.086790189882</c:v>
                </c:pt>
                <c:pt idx="797" formatCode="_(&quot;$&quot;* #,##0.00_);_(&quot;$&quot;* \(#,##0.00\);_(&quot;$&quot;* &quot;-&quot;??_);_(@_)">
                  <c:v>18180.789035345522</c:v>
                </c:pt>
                <c:pt idx="798" formatCode="_(&quot;$&quot;* #,##0.00_);_(&quot;$&quot;* \(#,##0.00\);_(&quot;$&quot;* &quot;-&quot;??_);_(@_)">
                  <c:v>18380.466616605532</c:v>
                </c:pt>
                <c:pt idx="799" formatCode="_(&quot;$&quot;* #,##0.00_);_(&quot;$&quot;* \(#,##0.00\);_(&quot;$&quot;* &quot;-&quot;??_);_(@_)">
                  <c:v>17996.971527753587</c:v>
                </c:pt>
                <c:pt idx="800" formatCode="_(&quot;$&quot;* #,##0.00_);_(&quot;$&quot;* \(#,##0.00\);_(&quot;$&quot;* &quot;-&quot;??_);_(@_)">
                  <c:v>18081.064164193609</c:v>
                </c:pt>
                <c:pt idx="801" formatCode="_(&quot;$&quot;* #,##0.00_);_(&quot;$&quot;* \(#,##0.00\);_(&quot;$&quot;* &quot;-&quot;??_);_(@_)">
                  <c:v>17756.581329522945</c:v>
                </c:pt>
                <c:pt idx="802" formatCode="_(&quot;$&quot;* #,##0.00_);_(&quot;$&quot;* \(#,##0.00\);_(&quot;$&quot;* &quot;-&quot;??_);_(@_)">
                  <c:v>17514.954009916506</c:v>
                </c:pt>
                <c:pt idx="803" formatCode="_(&quot;$&quot;* #,##0.00_);_(&quot;$&quot;* \(#,##0.00\);_(&quot;$&quot;* &quot;-&quot;??_);_(@_)">
                  <c:v>17683.214693814669</c:v>
                </c:pt>
                <c:pt idx="804" formatCode="_(&quot;$&quot;* #,##0.00_);_(&quot;$&quot;* \(#,##0.00\);_(&quot;$&quot;* &quot;-&quot;??_);_(@_)">
                  <c:v>17770.063509225602</c:v>
                </c:pt>
                <c:pt idx="805" formatCode="_(&quot;$&quot;* #,##0.00_);_(&quot;$&quot;* \(#,##0.00\);_(&quot;$&quot;* &quot;-&quot;??_);_(@_)">
                  <c:v>18458.102959130876</c:v>
                </c:pt>
                <c:pt idx="806" formatCode="_(&quot;$&quot;* #,##0.00_);_(&quot;$&quot;* \(#,##0.00\);_(&quot;$&quot;* &quot;-&quot;??_);_(@_)">
                  <c:v>18854.188534886976</c:v>
                </c:pt>
                <c:pt idx="807" formatCode="_(&quot;$&quot;* #,##0.00_);_(&quot;$&quot;* \(#,##0.00\);_(&quot;$&quot;* &quot;-&quot;??_);_(@_)">
                  <c:v>18269.125861151253</c:v>
                </c:pt>
                <c:pt idx="808" formatCode="_(&quot;$&quot;* #,##0.00_);_(&quot;$&quot;* \(#,##0.00\);_(&quot;$&quot;* &quot;-&quot;??_);_(@_)">
                  <c:v>18463.03621818397</c:v>
                </c:pt>
                <c:pt idx="809" formatCode="_(&quot;$&quot;* #,##0.00_);_(&quot;$&quot;* \(#,##0.00\);_(&quot;$&quot;* &quot;-&quot;??_);_(@_)">
                  <c:v>18903.474688929018</c:v>
                </c:pt>
                <c:pt idx="810" formatCode="_(&quot;$&quot;* #,##0.00_);_(&quot;$&quot;* \(#,##0.00\);_(&quot;$&quot;* &quot;-&quot;??_);_(@_)">
                  <c:v>18645.541749206994</c:v>
                </c:pt>
                <c:pt idx="811" formatCode="_(&quot;$&quot;* #,##0.00_);_(&quot;$&quot;* \(#,##0.00\);_(&quot;$&quot;* &quot;-&quot;??_);_(@_)">
                  <c:v>19108.852992130611</c:v>
                </c:pt>
                <c:pt idx="812" formatCode="_(&quot;$&quot;* #,##0.00_);_(&quot;$&quot;* \(#,##0.00\);_(&quot;$&quot;* &quot;-&quot;??_);_(@_)">
                  <c:v>19024.717456577851</c:v>
                </c:pt>
                <c:pt idx="813" formatCode="_(&quot;$&quot;* #,##0.00_);_(&quot;$&quot;* \(#,##0.00\);_(&quot;$&quot;* &quot;-&quot;??_);_(@_)">
                  <c:v>18130.683996344807</c:v>
                </c:pt>
                <c:pt idx="814" formatCode="_(&quot;$&quot;* #,##0.00_);_(&quot;$&quot;* \(#,##0.00\);_(&quot;$&quot;* &quot;-&quot;??_);_(@_)">
                  <c:v>18490.346460988014</c:v>
                </c:pt>
                <c:pt idx="815" formatCode="_(&quot;$&quot;* #,##0.00_);_(&quot;$&quot;* \(#,##0.00\);_(&quot;$&quot;* &quot;-&quot;??_);_(@_)">
                  <c:v>18155.902372341061</c:v>
                </c:pt>
                <c:pt idx="816" formatCode="_(&quot;$&quot;* #,##0.00_);_(&quot;$&quot;* \(#,##0.00\);_(&quot;$&quot;* &quot;-&quot;??_);_(@_)">
                  <c:v>18198.665492537391</c:v>
                </c:pt>
                <c:pt idx="817" formatCode="_(&quot;$&quot;* #,##0.00_);_(&quot;$&quot;* \(#,##0.00\);_(&quot;$&quot;* &quot;-&quot;??_);_(@_)">
                  <c:v>18317.733819187972</c:v>
                </c:pt>
                <c:pt idx="818" formatCode="_(&quot;$&quot;* #,##0.00_);_(&quot;$&quot;* \(#,##0.00\);_(&quot;$&quot;* &quot;-&quot;??_);_(@_)">
                  <c:v>18992.532703966477</c:v>
                </c:pt>
                <c:pt idx="819" formatCode="_(&quot;$&quot;* #,##0.00_);_(&quot;$&quot;* \(#,##0.00\);_(&quot;$&quot;* &quot;-&quot;??_);_(@_)">
                  <c:v>18868.568566198268</c:v>
                </c:pt>
                <c:pt idx="820" formatCode="_(&quot;$&quot;* #,##0.00_);_(&quot;$&quot;* \(#,##0.00\);_(&quot;$&quot;* &quot;-&quot;??_);_(@_)">
                  <c:v>18464.127608200193</c:v>
                </c:pt>
                <c:pt idx="821" formatCode="_(&quot;$&quot;* #,##0.00_);_(&quot;$&quot;* \(#,##0.00\);_(&quot;$&quot;* &quot;-&quot;??_);_(@_)">
                  <c:v>18915.565389906496</c:v>
                </c:pt>
                <c:pt idx="822" formatCode="_(&quot;$&quot;* #,##0.00_);_(&quot;$&quot;* \(#,##0.00\);_(&quot;$&quot;* &quot;-&quot;??_);_(@_)">
                  <c:v>18909.686477866289</c:v>
                </c:pt>
                <c:pt idx="823" formatCode="_(&quot;$&quot;* #,##0.00_);_(&quot;$&quot;* \(#,##0.00\);_(&quot;$&quot;* &quot;-&quot;??_);_(@_)">
                  <c:v>19066.849228548403</c:v>
                </c:pt>
                <c:pt idx="824" formatCode="_(&quot;$&quot;* #,##0.00_);_(&quot;$&quot;* \(#,##0.00\);_(&quot;$&quot;* &quot;-&quot;??_);_(@_)">
                  <c:v>18499.331370947115</c:v>
                </c:pt>
                <c:pt idx="825" formatCode="_(&quot;$&quot;* #,##0.00_);_(&quot;$&quot;* \(#,##0.00\);_(&quot;$&quot;* &quot;-&quot;??_);_(@_)">
                  <c:v>18505.613827890207</c:v>
                </c:pt>
                <c:pt idx="826" formatCode="_(&quot;$&quot;* #,##0.00_);_(&quot;$&quot;* \(#,##0.00\);_(&quot;$&quot;* &quot;-&quot;??_);_(@_)">
                  <c:v>19140.886654730592</c:v>
                </c:pt>
                <c:pt idx="827" formatCode="_(&quot;$&quot;* #,##0.00_);_(&quot;$&quot;* \(#,##0.00\);_(&quot;$&quot;* &quot;-&quot;??_);_(@_)">
                  <c:v>18838.085979196007</c:v>
                </c:pt>
                <c:pt idx="828" formatCode="_(&quot;$&quot;* #,##0.00_);_(&quot;$&quot;* \(#,##0.00\);_(&quot;$&quot;* &quot;-&quot;??_);_(@_)">
                  <c:v>18115.223918641801</c:v>
                </c:pt>
                <c:pt idx="829" formatCode="_(&quot;$&quot;* #,##0.00_);_(&quot;$&quot;* \(#,##0.00\);_(&quot;$&quot;* &quot;-&quot;??_);_(@_)">
                  <c:v>17637.459415783331</c:v>
                </c:pt>
                <c:pt idx="830" formatCode="_(&quot;$&quot;* #,##0.00_);_(&quot;$&quot;* \(#,##0.00\);_(&quot;$&quot;* &quot;-&quot;??_);_(@_)">
                  <c:v>18203.768297707342</c:v>
                </c:pt>
                <c:pt idx="831" formatCode="_(&quot;$&quot;* #,##0.00_);_(&quot;$&quot;* \(#,##0.00\);_(&quot;$&quot;* &quot;-&quot;??_);_(@_)">
                  <c:v>18715.234623212316</c:v>
                </c:pt>
                <c:pt idx="832" formatCode="_(&quot;$&quot;* #,##0.00_);_(&quot;$&quot;* \(#,##0.00\);_(&quot;$&quot;* &quot;-&quot;??_);_(@_)">
                  <c:v>18508.367984732635</c:v>
                </c:pt>
                <c:pt idx="833" formatCode="_(&quot;$&quot;* #,##0.00_);_(&quot;$&quot;* \(#,##0.00\);_(&quot;$&quot;* &quot;-&quot;??_);_(@_)">
                  <c:v>18824.847991636223</c:v>
                </c:pt>
                <c:pt idx="834" formatCode="_(&quot;$&quot;* #,##0.00_);_(&quot;$&quot;* \(#,##0.00\);_(&quot;$&quot;* &quot;-&quot;??_);_(@_)">
                  <c:v>19254.592571734291</c:v>
                </c:pt>
                <c:pt idx="835" formatCode="_(&quot;$&quot;* #,##0.00_);_(&quot;$&quot;* \(#,##0.00\);_(&quot;$&quot;* &quot;-&quot;??_);_(@_)">
                  <c:v>19744.473126022138</c:v>
                </c:pt>
                <c:pt idx="836" formatCode="_(&quot;$&quot;* #,##0.00_);_(&quot;$&quot;* \(#,##0.00\);_(&quot;$&quot;* &quot;-&quot;??_);_(@_)">
                  <c:v>20360.059469003478</c:v>
                </c:pt>
                <c:pt idx="837" formatCode="_(&quot;$&quot;* #,##0.00_);_(&quot;$&quot;* \(#,##0.00\);_(&quot;$&quot;* &quot;-&quot;??_);_(@_)">
                  <c:v>20694.608232234797</c:v>
                </c:pt>
                <c:pt idx="838" formatCode="_(&quot;$&quot;* #,##0.00_);_(&quot;$&quot;* \(#,##0.00\);_(&quot;$&quot;* &quot;-&quot;??_);_(@_)">
                  <c:v>20997.439363314123</c:v>
                </c:pt>
                <c:pt idx="839" formatCode="_(&quot;$&quot;* #,##0.00_);_(&quot;$&quot;* \(#,##0.00\);_(&quot;$&quot;* &quot;-&quot;??_);_(@_)">
                  <c:v>20892.865135500815</c:v>
                </c:pt>
                <c:pt idx="840" formatCode="_(&quot;$&quot;* #,##0.00_);_(&quot;$&quot;* \(#,##0.00\);_(&quot;$&quot;* &quot;-&quot;??_);_(@_)">
                  <c:v>21194.655471338545</c:v>
                </c:pt>
                <c:pt idx="841" formatCode="_(&quot;$&quot;* #,##0.00_);_(&quot;$&quot;* \(#,##0.00\);_(&quot;$&quot;* &quot;-&quot;??_);_(@_)">
                  <c:v>21874.97039377183</c:v>
                </c:pt>
                <c:pt idx="842" formatCode="_(&quot;$&quot;* #,##0.00_);_(&quot;$&quot;* \(#,##0.00\);_(&quot;$&quot;* &quot;-&quot;??_);_(@_)">
                  <c:v>21724.892448356713</c:v>
                </c:pt>
                <c:pt idx="843" formatCode="_(&quot;$&quot;* #,##0.00_);_(&quot;$&quot;* \(#,##0.00\);_(&quot;$&quot;* &quot;-&quot;??_);_(@_)">
                  <c:v>22055.145156737934</c:v>
                </c:pt>
                <c:pt idx="844" formatCode="_(&quot;$&quot;* #,##0.00_);_(&quot;$&quot;* \(#,##0.00\);_(&quot;$&quot;* &quot;-&quot;??_);_(@_)">
                  <c:v>22811.529777176427</c:v>
                </c:pt>
                <c:pt idx="845" formatCode="_(&quot;$&quot;* #,##0.00_);_(&quot;$&quot;* \(#,##0.00\);_(&quot;$&quot;* &quot;-&quot;??_);_(@_)">
                  <c:v>23187.144042328346</c:v>
                </c:pt>
                <c:pt idx="846" formatCode="_(&quot;$&quot;* #,##0.00_);_(&quot;$&quot;* \(#,##0.00\);_(&quot;$&quot;* &quot;-&quot;??_);_(@_)">
                  <c:v>23165.761003301501</c:v>
                </c:pt>
                <c:pt idx="847" formatCode="_(&quot;$&quot;* #,##0.00_);_(&quot;$&quot;* \(#,##0.00\);_(&quot;$&quot;* &quot;-&quot;??_);_(@_)">
                  <c:v>23466.866729995629</c:v>
                </c:pt>
                <c:pt idx="848" formatCode="_(&quot;$&quot;* #,##0.00_);_(&quot;$&quot;* \(#,##0.00\);_(&quot;$&quot;* &quot;-&quot;??_);_(@_)">
                  <c:v>22927.966370617723</c:v>
                </c:pt>
                <c:pt idx="849" formatCode="_(&quot;$&quot;* #,##0.00_);_(&quot;$&quot;* \(#,##0.00\);_(&quot;$&quot;* &quot;-&quot;??_);_(@_)">
                  <c:v>23741.901610871686</c:v>
                </c:pt>
                <c:pt idx="850" formatCode="_(&quot;$&quot;* #,##0.00_);_(&quot;$&quot;* \(#,##0.00\);_(&quot;$&quot;* &quot;-&quot;??_);_(@_)">
                  <c:v>24098.923576575151</c:v>
                </c:pt>
                <c:pt idx="851" formatCode="_(&quot;$&quot;* #,##0.00_);_(&quot;$&quot;* \(#,##0.00\);_(&quot;$&quot;* &quot;-&quot;??_);_(@_)">
                  <c:v>23942.296735380452</c:v>
                </c:pt>
                <c:pt idx="852" formatCode="_(&quot;$&quot;* #,##0.00_);_(&quot;$&quot;* \(#,##0.00\);_(&quot;$&quot;* &quot;-&quot;??_);_(@_)">
                  <c:v>23569.80504346055</c:v>
                </c:pt>
                <c:pt idx="853" formatCode="_(&quot;$&quot;* #,##0.00_);_(&quot;$&quot;* \(#,##0.00\);_(&quot;$&quot;* &quot;-&quot;??_);_(@_)">
                  <c:v>23436.061867103337</c:v>
                </c:pt>
                <c:pt idx="854" formatCode="_(&quot;$&quot;* #,##0.00_);_(&quot;$&quot;* \(#,##0.00\);_(&quot;$&quot;* &quot;-&quot;??_);_(@_)">
                  <c:v>22889.301175995206</c:v>
                </c:pt>
                <c:pt idx="855" formatCode="_(&quot;$&quot;* #,##0.00_);_(&quot;$&quot;* \(#,##0.00\);_(&quot;$&quot;* &quot;-&quot;??_);_(@_)">
                  <c:v>22934.646984052863</c:v>
                </c:pt>
                <c:pt idx="856" formatCode="_(&quot;$&quot;* #,##0.00_);_(&quot;$&quot;* \(#,##0.00\);_(&quot;$&quot;* &quot;-&quot;??_);_(@_)">
                  <c:v>23269.238159161294</c:v>
                </c:pt>
                <c:pt idx="857" formatCode="_(&quot;$&quot;* #,##0.00_);_(&quot;$&quot;* \(#,##0.00\);_(&quot;$&quot;* &quot;-&quot;??_);_(@_)">
                  <c:v>23913.358402799124</c:v>
                </c:pt>
                <c:pt idx="858" formatCode="_(&quot;$&quot;* #,##0.00_);_(&quot;$&quot;* \(#,##0.00\);_(&quot;$&quot;* &quot;-&quot;??_);_(@_)">
                  <c:v>23117.796675498066</c:v>
                </c:pt>
                <c:pt idx="859" formatCode="_(&quot;$&quot;* #,##0.00_);_(&quot;$&quot;* \(#,##0.00\);_(&quot;$&quot;* &quot;-&quot;??_);_(@_)">
                  <c:v>23144.315473833572</c:v>
                </c:pt>
                <c:pt idx="860" formatCode="_(&quot;$&quot;* #,##0.00_);_(&quot;$&quot;* \(#,##0.00\);_(&quot;$&quot;* &quot;-&quot;??_);_(@_)">
                  <c:v>23079.294233528286</c:v>
                </c:pt>
                <c:pt idx="861" formatCode="_(&quot;$&quot;* #,##0.00_);_(&quot;$&quot;* \(#,##0.00\);_(&quot;$&quot;* &quot;-&quot;??_);_(@_)">
                  <c:v>22414.710844419067</c:v>
                </c:pt>
                <c:pt idx="862" formatCode="_(&quot;$&quot;* #,##0.00_);_(&quot;$&quot;* \(#,##0.00\);_(&quot;$&quot;* &quot;-&quot;??_);_(@_)">
                  <c:v>21745.075607230541</c:v>
                </c:pt>
                <c:pt idx="863" formatCode="_(&quot;$&quot;* #,##0.00_);_(&quot;$&quot;* \(#,##0.00\);_(&quot;$&quot;* &quot;-&quot;??_);_(@_)">
                  <c:v>22604.278402416629</c:v>
                </c:pt>
                <c:pt idx="864" formatCode="_(&quot;$&quot;* #,##0.00_);_(&quot;$&quot;* \(#,##0.00\);_(&quot;$&quot;* &quot;-&quot;??_);_(@_)">
                  <c:v>21624.42976714388</c:v>
                </c:pt>
                <c:pt idx="865" formatCode="_(&quot;$&quot;* #,##0.00_);_(&quot;$&quot;* \(#,##0.00\);_(&quot;$&quot;* &quot;-&quot;??_);_(@_)">
                  <c:v>22142.84631787577</c:v>
                </c:pt>
                <c:pt idx="866" formatCode="_(&quot;$&quot;* #,##0.00_);_(&quot;$&quot;* \(#,##0.00\);_(&quot;$&quot;* &quot;-&quot;??_);_(@_)">
                  <c:v>21897.351787202646</c:v>
                </c:pt>
                <c:pt idx="867" formatCode="_(&quot;$&quot;* #,##0.00_);_(&quot;$&quot;* \(#,##0.00\);_(&quot;$&quot;* &quot;-&quot;??_);_(@_)">
                  <c:v>22810.891583324868</c:v>
                </c:pt>
                <c:pt idx="868" formatCode="_(&quot;$&quot;* #,##0.00_);_(&quot;$&quot;* \(#,##0.00\);_(&quot;$&quot;* &quot;-&quot;??_);_(@_)">
                  <c:v>22882.844598481606</c:v>
                </c:pt>
                <c:pt idx="869" formatCode="_(&quot;$&quot;* #,##0.00_);_(&quot;$&quot;* \(#,##0.00\);_(&quot;$&quot;* &quot;-&quot;??_);_(@_)">
                  <c:v>22678.665029951622</c:v>
                </c:pt>
                <c:pt idx="870" formatCode="_(&quot;$&quot;* #,##0.00_);_(&quot;$&quot;* \(#,##0.00\);_(&quot;$&quot;* &quot;-&quot;??_);_(@_)">
                  <c:v>21198.256243737407</c:v>
                </c:pt>
                <c:pt idx="871" formatCode="_(&quot;$&quot;* #,##0.00_);_(&quot;$&quot;* \(#,##0.00\);_(&quot;$&quot;* &quot;-&quot;??_);_(@_)">
                  <c:v>22551.156411534404</c:v>
                </c:pt>
                <c:pt idx="872" formatCode="_(&quot;$&quot;* #,##0.00_);_(&quot;$&quot;* \(#,##0.00\);_(&quot;$&quot;* &quot;-&quot;??_);_(@_)">
                  <c:v>22433.609376443659</c:v>
                </c:pt>
                <c:pt idx="873" formatCode="_(&quot;$&quot;* #,##0.00_);_(&quot;$&quot;* \(#,##0.00\);_(&quot;$&quot;* &quot;-&quot;??_);_(@_)">
                  <c:v>21902.904784349808</c:v>
                </c:pt>
                <c:pt idx="874" formatCode="_(&quot;$&quot;* #,##0.00_);_(&quot;$&quot;* \(#,##0.00\);_(&quot;$&quot;* &quot;-&quot;??_);_(@_)">
                  <c:v>22191.546915485676</c:v>
                </c:pt>
                <c:pt idx="875" formatCode="_(&quot;$&quot;* #,##0.00_);_(&quot;$&quot;* \(#,##0.00\);_(&quot;$&quot;* &quot;-&quot;??_);_(@_)">
                  <c:v>22064.825257285353</c:v>
                </c:pt>
                <c:pt idx="876" formatCode="_(&quot;$&quot;* #,##0.00_);_(&quot;$&quot;* \(#,##0.00\);_(&quot;$&quot;* &quot;-&quot;??_);_(@_)">
                  <c:v>22613.59912480132</c:v>
                </c:pt>
                <c:pt idx="877" formatCode="_(&quot;$&quot;* #,##0.00_);_(&quot;$&quot;* \(#,##0.00\);_(&quot;$&quot;* &quot;-&quot;??_);_(@_)">
                  <c:v>22531.447245360934</c:v>
                </c:pt>
                <c:pt idx="878" formatCode="_(&quot;$&quot;* #,##0.00_);_(&quot;$&quot;* \(#,##0.00\);_(&quot;$&quot;* &quot;-&quot;??_);_(@_)">
                  <c:v>23011.343548995861</c:v>
                </c:pt>
                <c:pt idx="879" formatCode="_(&quot;$&quot;* #,##0.00_);_(&quot;$&quot;* \(#,##0.00\);_(&quot;$&quot;* &quot;-&quot;??_);_(@_)">
                  <c:v>22587.399380071831</c:v>
                </c:pt>
                <c:pt idx="880" formatCode="_(&quot;$&quot;* #,##0.00_);_(&quot;$&quot;* \(#,##0.00\);_(&quot;$&quot;* &quot;-&quot;??_);_(@_)">
                  <c:v>22983.540372120617</c:v>
                </c:pt>
                <c:pt idx="881" formatCode="_(&quot;$&quot;* #,##0.00_);_(&quot;$&quot;* \(#,##0.00\);_(&quot;$&quot;* &quot;-&quot;??_);_(@_)">
                  <c:v>23048.52605442331</c:v>
                </c:pt>
                <c:pt idx="882" formatCode="_(&quot;$&quot;* #,##0.00_);_(&quot;$&quot;* \(#,##0.00\);_(&quot;$&quot;* &quot;-&quot;??_);_(@_)">
                  <c:v>23307.289935980261</c:v>
                </c:pt>
                <c:pt idx="883" formatCode="_(&quot;$&quot;* #,##0.00_);_(&quot;$&quot;* \(#,##0.00\);_(&quot;$&quot;* &quot;-&quot;??_);_(@_)">
                  <c:v>23494.930855235325</c:v>
                </c:pt>
                <c:pt idx="884" formatCode="_(&quot;$&quot;* #,##0.00_);_(&quot;$&quot;* \(#,##0.00\);_(&quot;$&quot;* &quot;-&quot;??_);_(@_)">
                  <c:v>23589.315510588734</c:v>
                </c:pt>
                <c:pt idx="885" formatCode="_(&quot;$&quot;* #,##0.00_);_(&quot;$&quot;* \(#,##0.00\);_(&quot;$&quot;* &quot;-&quot;??_);_(@_)">
                  <c:v>23115.285997509938</c:v>
                </c:pt>
                <c:pt idx="886" formatCode="_(&quot;$&quot;* #,##0.00_);_(&quot;$&quot;* \(#,##0.00\);_(&quot;$&quot;* &quot;-&quot;??_);_(@_)">
                  <c:v>23148.003298538355</c:v>
                </c:pt>
                <c:pt idx="887" formatCode="_(&quot;$&quot;* #,##0.00_);_(&quot;$&quot;* \(#,##0.00\);_(&quot;$&quot;* &quot;-&quot;??_);_(@_)">
                  <c:v>22983.554927291825</c:v>
                </c:pt>
                <c:pt idx="888" formatCode="_(&quot;$&quot;* #,##0.00_);_(&quot;$&quot;* \(#,##0.00\);_(&quot;$&quot;* &quot;-&quot;??_);_(@_)">
                  <c:v>22676.807701021953</c:v>
                </c:pt>
                <c:pt idx="889" formatCode="_(&quot;$&quot;* #,##0.00_);_(&quot;$&quot;* \(#,##0.00\);_(&quot;$&quot;* &quot;-&quot;??_);_(@_)">
                  <c:v>22138.345446388073</c:v>
                </c:pt>
                <c:pt idx="890" formatCode="_(&quot;$&quot;* #,##0.00_);_(&quot;$&quot;* \(#,##0.00\);_(&quot;$&quot;* &quot;-&quot;??_);_(@_)">
                  <c:v>21541.016273803558</c:v>
                </c:pt>
                <c:pt idx="891" formatCode="_(&quot;$&quot;* #,##0.00_);_(&quot;$&quot;* \(#,##0.00\);_(&quot;$&quot;* &quot;-&quot;??_);_(@_)">
                  <c:v>21802.436258137193</c:v>
                </c:pt>
                <c:pt idx="892" formatCode="_(&quot;$&quot;* #,##0.00_);_(&quot;$&quot;* \(#,##0.00\);_(&quot;$&quot;* &quot;-&quot;??_);_(@_)">
                  <c:v>21079.582398451475</c:v>
                </c:pt>
                <c:pt idx="893" formatCode="_(&quot;$&quot;* #,##0.00_);_(&quot;$&quot;* \(#,##0.00\);_(&quot;$&quot;* &quot;-&quot;??_);_(@_)">
                  <c:v>21529.021667649729</c:v>
                </c:pt>
                <c:pt idx="894" formatCode="_(&quot;$&quot;* #,##0.00_);_(&quot;$&quot;* \(#,##0.00\);_(&quot;$&quot;* &quot;-&quot;??_);_(@_)">
                  <c:v>20842.628388102872</c:v>
                </c:pt>
                <c:pt idx="895" formatCode="_(&quot;$&quot;* #,##0.00_);_(&quot;$&quot;* \(#,##0.00\);_(&quot;$&quot;* &quot;-&quot;??_);_(@_)">
                  <c:v>21274.560669728224</c:v>
                </c:pt>
                <c:pt idx="896" formatCode="_(&quot;$&quot;* #,##0.00_);_(&quot;$&quot;* \(#,##0.00\);_(&quot;$&quot;* &quot;-&quot;??_);_(@_)">
                  <c:v>21419.934423050192</c:v>
                </c:pt>
                <c:pt idx="897" formatCode="_(&quot;$&quot;* #,##0.00_);_(&quot;$&quot;* \(#,##0.00\);_(&quot;$&quot;* &quot;-&quot;??_);_(@_)">
                  <c:v>20752.099013888368</c:v>
                </c:pt>
                <c:pt idx="898" formatCode="_(&quot;$&quot;* #,##0.00_);_(&quot;$&quot;* \(#,##0.00\);_(&quot;$&quot;* &quot;-&quot;??_);_(@_)">
                  <c:v>21128.481098172622</c:v>
                </c:pt>
                <c:pt idx="899" formatCode="_(&quot;$&quot;* #,##0.00_);_(&quot;$&quot;* \(#,##0.00\);_(&quot;$&quot;* &quot;-&quot;??_);_(@_)">
                  <c:v>22382.797646923238</c:v>
                </c:pt>
                <c:pt idx="900" formatCode="_(&quot;$&quot;* #,##0.00_);_(&quot;$&quot;* \(#,##0.00\);_(&quot;$&quot;* &quot;-&quot;??_);_(@_)">
                  <c:v>21882.277007708311</c:v>
                </c:pt>
                <c:pt idx="901" formatCode="_(&quot;$&quot;* #,##0.00_);_(&quot;$&quot;* \(#,##0.00\);_(&quot;$&quot;* &quot;-&quot;??_);_(@_)">
                  <c:v>20880.366097430211</c:v>
                </c:pt>
                <c:pt idx="902" formatCode="_(&quot;$&quot;* #,##0.00_);_(&quot;$&quot;* \(#,##0.00\);_(&quot;$&quot;* &quot;-&quot;??_);_(@_)">
                  <c:v>21254.741250080995</c:v>
                </c:pt>
                <c:pt idx="903" formatCode="_(&quot;$&quot;* #,##0.00_);_(&quot;$&quot;* \(#,##0.00\);_(&quot;$&quot;* &quot;-&quot;??_);_(@_)">
                  <c:v>21095.557121532307</c:v>
                </c:pt>
                <c:pt idx="904" formatCode="_(&quot;$&quot;* #,##0.00_);_(&quot;$&quot;* \(#,##0.00\);_(&quot;$&quot;* &quot;-&quot;??_);_(@_)">
                  <c:v>21673.899497229468</c:v>
                </c:pt>
                <c:pt idx="905" formatCode="_(&quot;$&quot;* #,##0.00_);_(&quot;$&quot;* \(#,##0.00\);_(&quot;$&quot;* &quot;-&quot;??_);_(@_)">
                  <c:v>22234.712591789645</c:v>
                </c:pt>
                <c:pt idx="906" formatCode="_(&quot;$&quot;* #,##0.00_);_(&quot;$&quot;* \(#,##0.00\);_(&quot;$&quot;* &quot;-&quot;??_);_(@_)">
                  <c:v>21886.663461673168</c:v>
                </c:pt>
                <c:pt idx="907" formatCode="_(&quot;$&quot;* #,##0.00_);_(&quot;$&quot;* \(#,##0.00\);_(&quot;$&quot;* &quot;-&quot;??_);_(@_)">
                  <c:v>21759.576024289381</c:v>
                </c:pt>
                <c:pt idx="908" formatCode="_(&quot;$&quot;* #,##0.00_);_(&quot;$&quot;* \(#,##0.00\);_(&quot;$&quot;* &quot;-&quot;??_);_(@_)">
                  <c:v>21568.515878355847</c:v>
                </c:pt>
                <c:pt idx="909" formatCode="_(&quot;$&quot;* #,##0.00_);_(&quot;$&quot;* \(#,##0.00\);_(&quot;$&quot;* &quot;-&quot;??_);_(@_)">
                  <c:v>20841.869194142349</c:v>
                </c:pt>
                <c:pt idx="910" formatCode="_(&quot;$&quot;* #,##0.00_);_(&quot;$&quot;* \(#,##0.00\);_(&quot;$&quot;* &quot;-&quot;??_);_(@_)">
                  <c:v>21321.311240228762</c:v>
                </c:pt>
                <c:pt idx="911" formatCode="_(&quot;$&quot;* #,##0.00_);_(&quot;$&quot;* \(#,##0.00\);_(&quot;$&quot;* &quot;-&quot;??_);_(@_)">
                  <c:v>22326.857848905682</c:v>
                </c:pt>
                <c:pt idx="912" formatCode="_(&quot;$&quot;* #,##0.00_);_(&quot;$&quot;* \(#,##0.00\);_(&quot;$&quot;* &quot;-&quot;??_);_(@_)">
                  <c:v>22335.196013335641</c:v>
                </c:pt>
                <c:pt idx="913" formatCode="_(&quot;$&quot;* #,##0.00_);_(&quot;$&quot;* \(#,##0.00\);_(&quot;$&quot;* &quot;-&quot;??_);_(@_)">
                  <c:v>22807.385599364607</c:v>
                </c:pt>
                <c:pt idx="914" formatCode="_(&quot;$&quot;* #,##0.00_);_(&quot;$&quot;* \(#,##0.00\);_(&quot;$&quot;* &quot;-&quot;??_);_(@_)">
                  <c:v>22968.475011877505</c:v>
                </c:pt>
                <c:pt idx="915" formatCode="_(&quot;$&quot;* #,##0.00_);_(&quot;$&quot;* \(#,##0.00\);_(&quot;$&quot;* &quot;-&quot;??_);_(@_)">
                  <c:v>22789.932584470225</c:v>
                </c:pt>
                <c:pt idx="916" formatCode="_(&quot;$&quot;* #,##0.00_);_(&quot;$&quot;* \(#,##0.00\);_(&quot;$&quot;* &quot;-&quot;??_);_(@_)">
                  <c:v>22993.268786916342</c:v>
                </c:pt>
                <c:pt idx="917" formatCode="_(&quot;$&quot;* #,##0.00_);_(&quot;$&quot;* \(#,##0.00\);_(&quot;$&quot;* &quot;-&quot;??_);_(@_)">
                  <c:v>23157.538231239585</c:v>
                </c:pt>
                <c:pt idx="918" formatCode="_(&quot;$&quot;* #,##0.00_);_(&quot;$&quot;* \(#,##0.00\);_(&quot;$&quot;* &quot;-&quot;??_);_(@_)">
                  <c:v>23397.229020280243</c:v>
                </c:pt>
                <c:pt idx="919" formatCode="_(&quot;$&quot;* #,##0.00_);_(&quot;$&quot;* \(#,##0.00\);_(&quot;$&quot;* &quot;-&quot;??_);_(@_)">
                  <c:v>22741.908714101701</c:v>
                </c:pt>
                <c:pt idx="920" formatCode="_(&quot;$&quot;* #,##0.00_);_(&quot;$&quot;* \(#,##0.00\);_(&quot;$&quot;* &quot;-&quot;??_);_(@_)">
                  <c:v>22422.000899335086</c:v>
                </c:pt>
                <c:pt idx="921" formatCode="_(&quot;$&quot;* #,##0.00_);_(&quot;$&quot;* \(#,##0.00\);_(&quot;$&quot;* &quot;-&quot;??_);_(@_)">
                  <c:v>24926.811645296999</c:v>
                </c:pt>
                <c:pt idx="922" formatCode="_(&quot;$&quot;* #,##0.00_);_(&quot;$&quot;* \(#,##0.00\);_(&quot;$&quot;* &quot;-&quot;??_);_(@_)">
                  <c:v>23911.340509940135</c:v>
                </c:pt>
                <c:pt idx="923" formatCode="_(&quot;$&quot;* #,##0.00_);_(&quot;$&quot;* \(#,##0.00\);_(&quot;$&quot;* &quot;-&quot;??_);_(@_)">
                  <c:v>24179.334353636637</c:v>
                </c:pt>
                <c:pt idx="924" formatCode="_(&quot;$&quot;* #,##0.00_);_(&quot;$&quot;* \(#,##0.00\);_(&quot;$&quot;* &quot;-&quot;??_);_(@_)">
                  <c:v>23871.860765132409</c:v>
                </c:pt>
                <c:pt idx="925" formatCode="_(&quot;$&quot;* #,##0.00_);_(&quot;$&quot;* \(#,##0.00\);_(&quot;$&quot;* &quot;-&quot;??_);_(@_)">
                  <c:v>23914.768178138736</c:v>
                </c:pt>
                <c:pt idx="926" formatCode="_(&quot;$&quot;* #,##0.00_);_(&quot;$&quot;* \(#,##0.00\);_(&quot;$&quot;* &quot;-&quot;??_);_(@_)">
                  <c:v>24853.636591466107</c:v>
                </c:pt>
                <c:pt idx="927" formatCode="_(&quot;$&quot;* #,##0.00_);_(&quot;$&quot;* \(#,##0.00\);_(&quot;$&quot;* &quot;-&quot;??_);_(@_)">
                  <c:v>25454.176949479053</c:v>
                </c:pt>
                <c:pt idx="928" formatCode="_(&quot;$&quot;* #,##0.00_);_(&quot;$&quot;* \(#,##0.00\);_(&quot;$&quot;* &quot;-&quot;??_);_(@_)">
                  <c:v>25824.122588302278</c:v>
                </c:pt>
                <c:pt idx="929" formatCode="_(&quot;$&quot;* #,##0.00_);_(&quot;$&quot;* \(#,##0.00\);_(&quot;$&quot;* &quot;-&quot;??_);_(@_)">
                  <c:v>25687.998146638736</c:v>
                </c:pt>
                <c:pt idx="930" formatCode="_(&quot;$&quot;* #,##0.00_);_(&quot;$&quot;* \(#,##0.00\);_(&quot;$&quot;* &quot;-&quot;??_);_(@_)">
                  <c:v>25105.874509408575</c:v>
                </c:pt>
                <c:pt idx="931" formatCode="_(&quot;$&quot;* #,##0.00_);_(&quot;$&quot;* \(#,##0.00\);_(&quot;$&quot;* &quot;-&quot;??_);_(@_)">
                  <c:v>24692.919395805384</c:v>
                </c:pt>
                <c:pt idx="932" formatCode="_(&quot;$&quot;* #,##0.00_);_(&quot;$&quot;* \(#,##0.00\);_(&quot;$&quot;* &quot;-&quot;??_);_(@_)">
                  <c:v>25558.570767327543</c:v>
                </c:pt>
                <c:pt idx="933" formatCode="_(&quot;$&quot;* #,##0.00_);_(&quot;$&quot;* \(#,##0.00\);_(&quot;$&quot;* &quot;-&quot;??_);_(@_)">
                  <c:v>25316.02740715841</c:v>
                </c:pt>
                <c:pt idx="934" formatCode="_(&quot;$&quot;* #,##0.00_);_(&quot;$&quot;* \(#,##0.00\);_(&quot;$&quot;* &quot;-&quot;??_);_(@_)">
                  <c:v>25362.35171785274</c:v>
                </c:pt>
                <c:pt idx="935" formatCode="_(&quot;$&quot;* #,##0.00_);_(&quot;$&quot;* \(#,##0.00\);_(&quot;$&quot;* &quot;-&quot;??_);_(@_)">
                  <c:v>25259.944069815436</c:v>
                </c:pt>
                <c:pt idx="936" formatCode="_(&quot;$&quot;* #,##0.00_);_(&quot;$&quot;* \(#,##0.00\);_(&quot;$&quot;* &quot;-&quot;??_);_(@_)">
                  <c:v>26104.621591904393</c:v>
                </c:pt>
                <c:pt idx="937" formatCode="_(&quot;$&quot;* #,##0.00_);_(&quot;$&quot;* \(#,##0.00\);_(&quot;$&quot;* &quot;-&quot;??_);_(@_)">
                  <c:v>25824.781209943343</c:v>
                </c:pt>
                <c:pt idx="938" formatCode="_(&quot;$&quot;* #,##0.00_);_(&quot;$&quot;* \(#,##0.00\);_(&quot;$&quot;* &quot;-&quot;??_);_(@_)">
                  <c:v>25582.953669642437</c:v>
                </c:pt>
                <c:pt idx="939" formatCode="_(&quot;$&quot;* #,##0.00_);_(&quot;$&quot;* \(#,##0.00\);_(&quot;$&quot;* &quot;-&quot;??_);_(@_)">
                  <c:v>25488.423945209532</c:v>
                </c:pt>
                <c:pt idx="940" formatCode="_(&quot;$&quot;* #,##0.00_);_(&quot;$&quot;* \(#,##0.00\);_(&quot;$&quot;* &quot;-&quot;??_);_(@_)">
                  <c:v>25250.338153355413</c:v>
                </c:pt>
                <c:pt idx="941" formatCode="_(&quot;$&quot;* #,##0.00_);_(&quot;$&quot;* \(#,##0.00\);_(&quot;$&quot;* &quot;-&quot;??_);_(@_)">
                  <c:v>25105.852630660302</c:v>
                </c:pt>
                <c:pt idx="942" formatCode="_(&quot;$&quot;* #,##0.00_);_(&quot;$&quot;* \(#,##0.00\);_(&quot;$&quot;* &quot;-&quot;??_);_(@_)">
                  <c:v>25001.606162090346</c:v>
                </c:pt>
                <c:pt idx="943" formatCode="_(&quot;$&quot;* #,##0.00_);_(&quot;$&quot;* \(#,##0.00\);_(&quot;$&quot;* &quot;-&quot;??_);_(@_)">
                  <c:v>25565.434798915769</c:v>
                </c:pt>
                <c:pt idx="944" formatCode="_(&quot;$&quot;* #,##0.00_);_(&quot;$&quot;* \(#,##0.00\);_(&quot;$&quot;* &quot;-&quot;??_);_(@_)">
                  <c:v>26000.217167851191</c:v>
                </c:pt>
                <c:pt idx="945" formatCode="_(&quot;$&quot;* #,##0.00_);_(&quot;$&quot;* \(#,##0.00\);_(&quot;$&quot;* &quot;-&quot;??_);_(@_)">
                  <c:v>26730.158752486339</c:v>
                </c:pt>
                <c:pt idx="946" formatCode="_(&quot;$&quot;* #,##0.00_);_(&quot;$&quot;* \(#,##0.00\);_(&quot;$&quot;* &quot;-&quot;??_);_(@_)">
                  <c:v>26307.084630549929</c:v>
                </c:pt>
                <c:pt idx="947" formatCode="_(&quot;$&quot;* #,##0.00_);_(&quot;$&quot;* \(#,##0.00\);_(&quot;$&quot;* &quot;-&quot;??_);_(@_)">
                  <c:v>25958.666832747396</c:v>
                </c:pt>
                <c:pt idx="948" formatCode="_(&quot;$&quot;* #,##0.00_);_(&quot;$&quot;* \(#,##0.00\);_(&quot;$&quot;* &quot;-&quot;??_);_(@_)">
                  <c:v>26079.169338692744</c:v>
                </c:pt>
                <c:pt idx="949" formatCode="_(&quot;$&quot;* #,##0.00_);_(&quot;$&quot;* \(#,##0.00\);_(&quot;$&quot;* &quot;-&quot;??_);_(@_)">
                  <c:v>26004.104760648534</c:v>
                </c:pt>
                <c:pt idx="950" formatCode="_(&quot;$&quot;* #,##0.00_);_(&quot;$&quot;* \(#,##0.00\);_(&quot;$&quot;* &quot;-&quot;??_);_(@_)">
                  <c:v>26497.297198010849</c:v>
                </c:pt>
                <c:pt idx="951" formatCode="_(&quot;$&quot;* #,##0.00_);_(&quot;$&quot;* \(#,##0.00\);_(&quot;$&quot;* &quot;-&quot;??_);_(@_)">
                  <c:v>26855.682556815591</c:v>
                </c:pt>
                <c:pt idx="952" formatCode="_(&quot;$&quot;* #,##0.00_);_(&quot;$&quot;* \(#,##0.00\);_(&quot;$&quot;* &quot;-&quot;??_);_(@_)">
                  <c:v>26573.04355346931</c:v>
                </c:pt>
                <c:pt idx="953" formatCode="_(&quot;$&quot;* #,##0.00_);_(&quot;$&quot;* \(#,##0.00\);_(&quot;$&quot;* &quot;-&quot;??_);_(@_)">
                  <c:v>26787.815504632865</c:v>
                </c:pt>
                <c:pt idx="954" formatCode="_(&quot;$&quot;* #,##0.00_);_(&quot;$&quot;* \(#,##0.00\);_(&quot;$&quot;* &quot;-&quot;??_);_(@_)">
                  <c:v>27059.603119559768</c:v>
                </c:pt>
                <c:pt idx="955" formatCode="_(&quot;$&quot;* #,##0.00_);_(&quot;$&quot;* \(#,##0.00\);_(&quot;$&quot;* &quot;-&quot;??_);_(@_)">
                  <c:v>27210.121151983582</c:v>
                </c:pt>
                <c:pt idx="956" formatCode="_(&quot;$&quot;* #,##0.00_);_(&quot;$&quot;* \(#,##0.00\);_(&quot;$&quot;* &quot;-&quot;??_);_(@_)">
                  <c:v>27137.926281092296</c:v>
                </c:pt>
                <c:pt idx="957" formatCode="_(&quot;$&quot;* #,##0.00_);_(&quot;$&quot;* \(#,##0.00\);_(&quot;$&quot;* &quot;-&quot;??_);_(@_)">
                  <c:v>27621.868950275228</c:v>
                </c:pt>
                <c:pt idx="958" formatCode="_(&quot;$&quot;* #,##0.00_);_(&quot;$&quot;* \(#,##0.00\);_(&quot;$&quot;* &quot;-&quot;??_);_(@_)">
                  <c:v>27359.599959580719</c:v>
                </c:pt>
                <c:pt idx="959" formatCode="_(&quot;$&quot;* #,##0.00_);_(&quot;$&quot;* \(#,##0.00\);_(&quot;$&quot;* &quot;-&quot;??_);_(@_)">
                  <c:v>27557.426989050848</c:v>
                </c:pt>
                <c:pt idx="960" formatCode="_(&quot;$&quot;* #,##0.00_);_(&quot;$&quot;* \(#,##0.00\);_(&quot;$&quot;* &quot;-&quot;??_);_(@_)">
                  <c:v>27344.358163968496</c:v>
                </c:pt>
                <c:pt idx="961" formatCode="_(&quot;$&quot;* #,##0.00_);_(&quot;$&quot;* \(#,##0.00\);_(&quot;$&quot;* &quot;-&quot;??_);_(@_)">
                  <c:v>27507.626928794241</c:v>
                </c:pt>
                <c:pt idx="962" formatCode="_(&quot;$&quot;* #,##0.00_);_(&quot;$&quot;* \(#,##0.00\);_(&quot;$&quot;* &quot;-&quot;??_);_(@_)">
                  <c:v>27580.967261757502</c:v>
                </c:pt>
                <c:pt idx="963" formatCode="_(&quot;$&quot;* #,##0.00_);_(&quot;$&quot;* \(#,##0.00\);_(&quot;$&quot;* &quot;-&quot;??_);_(@_)">
                  <c:v>27649.950635999958</c:v>
                </c:pt>
                <c:pt idx="964" formatCode="_(&quot;$&quot;* #,##0.00_);_(&quot;$&quot;* \(#,##0.00\);_(&quot;$&quot;* &quot;-&quot;??_);_(@_)">
                  <c:v>27648.696564685692</c:v>
                </c:pt>
                <c:pt idx="965" formatCode="_(&quot;$&quot;* #,##0.00_);_(&quot;$&quot;* \(#,##0.00\);_(&quot;$&quot;* &quot;-&quot;??_);_(@_)">
                  <c:v>27811.623188403355</c:v>
                </c:pt>
                <c:pt idx="966" formatCode="_(&quot;$&quot;* #,##0.00_);_(&quot;$&quot;* \(#,##0.00\);_(&quot;$&quot;* &quot;-&quot;??_);_(@_)">
                  <c:v>27902.389732175023</c:v>
                </c:pt>
                <c:pt idx="967" formatCode="_(&quot;$&quot;* #,##0.00_);_(&quot;$&quot;* \(#,##0.00\);_(&quot;$&quot;* &quot;-&quot;??_);_(@_)">
                  <c:v>27889.618423323638</c:v>
                </c:pt>
                <c:pt idx="968" formatCode="_(&quot;$&quot;* #,##0.00_);_(&quot;$&quot;* \(#,##0.00\);_(&quot;$&quot;* &quot;-&quot;??_);_(@_)">
                  <c:v>27995.673805674745</c:v>
                </c:pt>
                <c:pt idx="969" formatCode="_(&quot;$&quot;* #,##0.00_);_(&quot;$&quot;* \(#,##0.00\);_(&quot;$&quot;* &quot;-&quot;??_);_(@_)">
                  <c:v>27969.334028907437</c:v>
                </c:pt>
                <c:pt idx="970" formatCode="_(&quot;$&quot;* #,##0.00_);_(&quot;$&quot;* \(#,##0.00\);_(&quot;$&quot;* &quot;-&quot;??_);_(@_)">
                  <c:v>27276.901375643065</c:v>
                </c:pt>
                <c:pt idx="971" formatCode="_(&quot;$&quot;* #,##0.00_);_(&quot;$&quot;* \(#,##0.00\);_(&quot;$&quot;* &quot;-&quot;??_);_(@_)">
                  <c:v>27791.811404208664</c:v>
                </c:pt>
                <c:pt idx="972" formatCode="_(&quot;$&quot;* #,##0.00_);_(&quot;$&quot;* \(#,##0.00\);_(&quot;$&quot;* &quot;-&quot;??_);_(@_)">
                  <c:v>27949.703467973493</c:v>
                </c:pt>
                <c:pt idx="973" formatCode="_(&quot;$&quot;* #,##0.00_);_(&quot;$&quot;* \(#,##0.00\);_(&quot;$&quot;* &quot;-&quot;??_);_(@_)">
                  <c:v>28727.237677723675</c:v>
                </c:pt>
                <c:pt idx="974" formatCode="_(&quot;$&quot;* #,##0.00_);_(&quot;$&quot;* \(#,##0.00\);_(&quot;$&quot;* &quot;-&quot;??_);_(@_)">
                  <c:v>28754.924187786379</c:v>
                </c:pt>
                <c:pt idx="975" formatCode="_(&quot;$&quot;* #,##0.00_);_(&quot;$&quot;* \(#,##0.00\);_(&quot;$&quot;* &quot;-&quot;??_);_(@_)">
                  <c:v>28885.563005274395</c:v>
                </c:pt>
                <c:pt idx="976" formatCode="_(&quot;$&quot;* #,##0.00_);_(&quot;$&quot;* \(#,##0.00\);_(&quot;$&quot;* &quot;-&quot;??_);_(@_)">
                  <c:v>28893.782920814374</c:v>
                </c:pt>
                <c:pt idx="977" formatCode="_(&quot;$&quot;* #,##0.00_);_(&quot;$&quot;* \(#,##0.00\);_(&quot;$&quot;* &quot;-&quot;??_);_(@_)">
                  <c:v>27689.408642690993</c:v>
                </c:pt>
                <c:pt idx="978" formatCode="_(&quot;$&quot;* #,##0.00_);_(&quot;$&quot;* \(#,##0.00\);_(&quot;$&quot;* &quot;-&quot;??_);_(@_)">
                  <c:v>27914.317562450491</c:v>
                </c:pt>
                <c:pt idx="979" formatCode="_(&quot;$&quot;* #,##0.00_);_(&quot;$&quot;* \(#,##0.00\);_(&quot;$&quot;* &quot;-&quot;??_);_(@_)">
                  <c:v>28219.520699085388</c:v>
                </c:pt>
                <c:pt idx="980" formatCode="_(&quot;$&quot;* #,##0.00_);_(&quot;$&quot;* \(#,##0.00\);_(&quot;$&quot;* &quot;-&quot;??_);_(@_)">
                  <c:v>28273.548463182062</c:v>
                </c:pt>
                <c:pt idx="981" formatCode="_(&quot;$&quot;* #,##0.00_);_(&quot;$&quot;* \(#,##0.00\);_(&quot;$&quot;* &quot;-&quot;??_);_(@_)">
                  <c:v>27968.361558931902</c:v>
                </c:pt>
                <c:pt idx="982" formatCode="_(&quot;$&quot;* #,##0.00_);_(&quot;$&quot;* \(#,##0.00\);_(&quot;$&quot;* &quot;-&quot;??_);_(@_)">
                  <c:v>28269.379362094503</c:v>
                </c:pt>
                <c:pt idx="983" formatCode="_(&quot;$&quot;* #,##0.00_);_(&quot;$&quot;* \(#,##0.00\);_(&quot;$&quot;* &quot;-&quot;??_);_(@_)">
                  <c:v>27972.11707740949</c:v>
                </c:pt>
                <c:pt idx="984" formatCode="_(&quot;$&quot;* #,##0.00_);_(&quot;$&quot;* \(#,##0.00\);_(&quot;$&quot;* &quot;-&quot;??_);_(@_)">
                  <c:v>28352.626955995347</c:v>
                </c:pt>
                <c:pt idx="985" formatCode="_(&quot;$&quot;* #,##0.00_);_(&quot;$&quot;* \(#,##0.00\);_(&quot;$&quot;* &quot;-&quot;??_);_(@_)">
                  <c:v>28440.422587298206</c:v>
                </c:pt>
                <c:pt idx="986" formatCode="_(&quot;$&quot;* #,##0.00_);_(&quot;$&quot;* \(#,##0.00\);_(&quot;$&quot;* &quot;-&quot;??_);_(@_)">
                  <c:v>29399.799791296868</c:v>
                </c:pt>
                <c:pt idx="987" formatCode="_(&quot;$&quot;* #,##0.00_);_(&quot;$&quot;* \(#,##0.00\);_(&quot;$&quot;* &quot;-&quot;??_);_(@_)">
                  <c:v>29344.126938391753</c:v>
                </c:pt>
                <c:pt idx="988" formatCode="_(&quot;$&quot;* #,##0.00_);_(&quot;$&quot;* \(#,##0.00\);_(&quot;$&quot;* &quot;-&quot;??_);_(@_)">
                  <c:v>29140.813803292724</c:v>
                </c:pt>
                <c:pt idx="989" formatCode="_(&quot;$&quot;* #,##0.00_);_(&quot;$&quot;* \(#,##0.00\);_(&quot;$&quot;* &quot;-&quot;??_);_(@_)">
                  <c:v>29105.561919743326</c:v>
                </c:pt>
                <c:pt idx="990" formatCode="_(&quot;$&quot;* #,##0.00_);_(&quot;$&quot;* \(#,##0.00\);_(&quot;$&quot;* &quot;-&quot;??_);_(@_)">
                  <c:v>29637.235863373247</c:v>
                </c:pt>
                <c:pt idx="991" formatCode="_(&quot;$&quot;* #,##0.00_);_(&quot;$&quot;* \(#,##0.00\);_(&quot;$&quot;* &quot;-&quot;??_);_(@_)">
                  <c:v>28376.69253617918</c:v>
                </c:pt>
                <c:pt idx="992" formatCode="_(&quot;$&quot;* #,##0.00_);_(&quot;$&quot;* \(#,##0.00\);_(&quot;$&quot;* &quot;-&quot;??_);_(@_)">
                  <c:v>28398.991399174887</c:v>
                </c:pt>
                <c:pt idx="993" formatCode="_(&quot;$&quot;* #,##0.00_);_(&quot;$&quot;* \(#,##0.00\);_(&quot;$&quot;* &quot;-&quot;??_);_(@_)">
                  <c:v>28752.222971132993</c:v>
                </c:pt>
                <c:pt idx="994" formatCode="_(&quot;$&quot;* #,##0.00_);_(&quot;$&quot;* \(#,##0.00\);_(&quot;$&quot;* &quot;-&quot;??_);_(@_)">
                  <c:v>28692.934708662524</c:v>
                </c:pt>
                <c:pt idx="995" formatCode="_(&quot;$&quot;* #,##0.00_);_(&quot;$&quot;* \(#,##0.00\);_(&quot;$&quot;* &quot;-&quot;??_);_(@_)">
                  <c:v>29259.095614801303</c:v>
                </c:pt>
                <c:pt idx="996" formatCode="_(&quot;$&quot;* #,##0.00_);_(&quot;$&quot;* \(#,##0.00\);_(&quot;$&quot;* &quot;-&quot;??_);_(@_)">
                  <c:v>29043.560849304504</c:v>
                </c:pt>
                <c:pt idx="997" formatCode="_(&quot;$&quot;* #,##0.00_);_(&quot;$&quot;* \(#,##0.00\);_(&quot;$&quot;* &quot;-&quot;??_);_(@_)">
                  <c:v>29566.317379219177</c:v>
                </c:pt>
                <c:pt idx="998" formatCode="_(&quot;$&quot;* #,##0.00_);_(&quot;$&quot;* \(#,##0.00\);_(&quot;$&quot;* &quot;-&quot;??_);_(@_)">
                  <c:v>30103.131338610088</c:v>
                </c:pt>
                <c:pt idx="999" formatCode="_(&quot;$&quot;* #,##0.00_);_(&quot;$&quot;* \(#,##0.00\);_(&quot;$&quot;* &quot;-&quot;??_);_(@_)">
                  <c:v>29591.365091289692</c:v>
                </c:pt>
                <c:pt idx="1000" formatCode="_(&quot;$&quot;* #,##0.00_);_(&quot;$&quot;* \(#,##0.00\);_(&quot;$&quot;* &quot;-&quot;??_);_(@_)">
                  <c:v>29888.60564421241</c:v>
                </c:pt>
                <c:pt idx="1001" formatCode="_(&quot;$&quot;* #,##0.00_);_(&quot;$&quot;* \(#,##0.00\);_(&quot;$&quot;* &quot;-&quot;??_);_(@_)">
                  <c:v>29659.116411671206</c:v>
                </c:pt>
                <c:pt idx="1002" formatCode="_(&quot;$&quot;* #,##0.00_);_(&quot;$&quot;* \(#,##0.00\);_(&quot;$&quot;* &quot;-&quot;??_);_(@_)">
                  <c:v>30648.790215535992</c:v>
                </c:pt>
                <c:pt idx="1003" formatCode="_(&quot;$&quot;* #,##0.00_);_(&quot;$&quot;* \(#,##0.00\);_(&quot;$&quot;* &quot;-&quot;??_);_(@_)">
                  <c:v>30625.188137575529</c:v>
                </c:pt>
                <c:pt idx="1004" formatCode="_(&quot;$&quot;* #,##0.00_);_(&quot;$&quot;* \(#,##0.00\);_(&quot;$&quot;* &quot;-&quot;??_);_(@_)">
                  <c:v>31224.368425983739</c:v>
                </c:pt>
                <c:pt idx="1005" formatCode="_(&quot;$&quot;* #,##0.00_);_(&quot;$&quot;* \(#,##0.00\);_(&quot;$&quot;* &quot;-&quot;??_);_(@_)">
                  <c:v>31299.726759965768</c:v>
                </c:pt>
                <c:pt idx="1006" formatCode="_(&quot;$&quot;* #,##0.00_);_(&quot;$&quot;* \(#,##0.00\);_(&quot;$&quot;* &quot;-&quot;??_);_(@_)">
                  <c:v>31093.650212522443</c:v>
                </c:pt>
                <c:pt idx="1007" formatCode="_(&quot;$&quot;* #,##0.00_);_(&quot;$&quot;* \(#,##0.00\);_(&quot;$&quot;* &quot;-&quot;??_);_(@_)">
                  <c:v>30008.162625495021</c:v>
                </c:pt>
                <c:pt idx="1008" formatCode="_(&quot;$&quot;* #,##0.00_);_(&quot;$&quot;* \(#,##0.00\);_(&quot;$&quot;* &quot;-&quot;??_);_(@_)">
                  <c:v>30667.994425174173</c:v>
                </c:pt>
                <c:pt idx="1009" formatCode="_(&quot;$&quot;* #,##0.00_);_(&quot;$&quot;* \(#,##0.00\);_(&quot;$&quot;* &quot;-&quot;??_);_(@_)">
                  <c:v>30680.754824685897</c:v>
                </c:pt>
                <c:pt idx="1010" formatCode="_(&quot;$&quot;* #,##0.00_);_(&quot;$&quot;* \(#,##0.00\);_(&quot;$&quot;* &quot;-&quot;??_);_(@_)">
                  <c:v>30680.518349586531</c:v>
                </c:pt>
                <c:pt idx="1011" formatCode="_(&quot;$&quot;* #,##0.00_);_(&quot;$&quot;* \(#,##0.00\);_(&quot;$&quot;* &quot;-&quot;??_);_(@_)">
                  <c:v>29669.808165914899</c:v>
                </c:pt>
                <c:pt idx="1012" formatCode="_(&quot;$&quot;* #,##0.00_);_(&quot;$&quot;* \(#,##0.00\);_(&quot;$&quot;* &quot;-&quot;??_);_(@_)">
                  <c:v>29495.16433114095</c:v>
                </c:pt>
                <c:pt idx="1013" formatCode="_(&quot;$&quot;* #,##0.00_);_(&quot;$&quot;* \(#,##0.00\);_(&quot;$&quot;* &quot;-&quot;??_);_(@_)">
                  <c:v>29442.467680221027</c:v>
                </c:pt>
                <c:pt idx="1014" formatCode="_(&quot;$&quot;* #,##0.00_);_(&quot;$&quot;* \(#,##0.00\);_(&quot;$&quot;* &quot;-&quot;??_);_(@_)">
                  <c:v>29030.547656244999</c:v>
                </c:pt>
                <c:pt idx="1015" formatCode="_(&quot;$&quot;* #,##0.00_);_(&quot;$&quot;* \(#,##0.00\);_(&quot;$&quot;* &quot;-&quot;??_);_(@_)">
                  <c:v>29355.660983494639</c:v>
                </c:pt>
                <c:pt idx="1016" formatCode="_(&quot;$&quot;* #,##0.00_);_(&quot;$&quot;* \(#,##0.00\);_(&quot;$&quot;* &quot;-&quot;??_);_(@_)">
                  <c:v>29705.223349571388</c:v>
                </c:pt>
                <c:pt idx="1017" formatCode="_(&quot;$&quot;* #,##0.00_);_(&quot;$&quot;* \(#,##0.00\);_(&quot;$&quot;* &quot;-&quot;??_);_(@_)">
                  <c:v>29571.698453197048</c:v>
                </c:pt>
                <c:pt idx="1018" formatCode="_(&quot;$&quot;* #,##0.00_);_(&quot;$&quot;* \(#,##0.00\);_(&quot;$&quot;* &quot;-&quot;??_);_(@_)">
                  <c:v>29973.499115387502</c:v>
                </c:pt>
                <c:pt idx="1019" formatCode="_(&quot;$&quot;* #,##0.00_);_(&quot;$&quot;* \(#,##0.00\);_(&quot;$&quot;* &quot;-&quot;??_);_(@_)">
                  <c:v>29451.29185513156</c:v>
                </c:pt>
                <c:pt idx="1020" formatCode="_(&quot;$&quot;* #,##0.00_);_(&quot;$&quot;* \(#,##0.00\);_(&quot;$&quot;* &quot;-&quot;??_);_(@_)">
                  <c:v>29500.212071517075</c:v>
                </c:pt>
                <c:pt idx="1021" formatCode="_(&quot;$&quot;* #,##0.00_);_(&quot;$&quot;* \(#,##0.00\);_(&quot;$&quot;* &quot;-&quot;??_);_(@_)">
                  <c:v>30197.143411647823</c:v>
                </c:pt>
                <c:pt idx="1022" formatCode="_(&quot;$&quot;* #,##0.00_);_(&quot;$&quot;* \(#,##0.00\);_(&quot;$&quot;* &quot;-&quot;??_);_(@_)">
                  <c:v>30294.284677826388</c:v>
                </c:pt>
                <c:pt idx="1023" formatCode="_(&quot;$&quot;* #,##0.00_);_(&quot;$&quot;* \(#,##0.00\);_(&quot;$&quot;* &quot;-&quot;??_);_(@_)">
                  <c:v>29887.777306916159</c:v>
                </c:pt>
                <c:pt idx="1024" formatCode="_(&quot;$&quot;* #,##0.00_);_(&quot;$&quot;* \(#,##0.00\);_(&quot;$&quot;* &quot;-&quot;??_);_(@_)">
                  <c:v>30213.036729250995</c:v>
                </c:pt>
                <c:pt idx="1025" formatCode="_(&quot;$&quot;* #,##0.00_);_(&quot;$&quot;* \(#,##0.00\);_(&quot;$&quot;* &quot;-&quot;??_);_(@_)">
                  <c:v>30752.257570865622</c:v>
                </c:pt>
                <c:pt idx="1026" formatCode="_(&quot;$&quot;* #,##0.00_);_(&quot;$&quot;* \(#,##0.00\);_(&quot;$&quot;* &quot;-&quot;??_);_(@_)">
                  <c:v>31142.56154134186</c:v>
                </c:pt>
                <c:pt idx="1027" formatCode="_(&quot;$&quot;* #,##0.00_);_(&quot;$&quot;* \(#,##0.00\);_(&quot;$&quot;* &quot;-&quot;??_);_(@_)">
                  <c:v>30475.075398925466</c:v>
                </c:pt>
                <c:pt idx="1028" formatCode="_(&quot;$&quot;* #,##0.00_);_(&quot;$&quot;* \(#,##0.00\);_(&quot;$&quot;* &quot;-&quot;??_);_(@_)">
                  <c:v>31161.424385631617</c:v>
                </c:pt>
                <c:pt idx="1029" formatCode="_(&quot;$&quot;* #,##0.00_);_(&quot;$&quot;* \(#,##0.00\);_(&quot;$&quot;* &quot;-&quot;??_);_(@_)">
                  <c:v>31868.456787732081</c:v>
                </c:pt>
                <c:pt idx="1030" formatCode="_(&quot;$&quot;* #,##0.00_);_(&quot;$&quot;* \(#,##0.00\);_(&quot;$&quot;* &quot;-&quot;??_);_(@_)">
                  <c:v>31995.837026757148</c:v>
                </c:pt>
                <c:pt idx="1031" formatCode="_(&quot;$&quot;* #,##0.00_);_(&quot;$&quot;* \(#,##0.00\);_(&quot;$&quot;* &quot;-&quot;??_);_(@_)">
                  <c:v>31775.91608234249</c:v>
                </c:pt>
                <c:pt idx="1032" formatCode="_(&quot;$&quot;* #,##0.00_);_(&quot;$&quot;* \(#,##0.00\);_(&quot;$&quot;* &quot;-&quot;??_);_(@_)">
                  <c:v>31589.984998365988</c:v>
                </c:pt>
                <c:pt idx="1033" formatCode="_(&quot;$&quot;* #,##0.00_);_(&quot;$&quot;* \(#,##0.00\);_(&quot;$&quot;* &quot;-&quot;??_);_(@_)">
                  <c:v>31981.527988317794</c:v>
                </c:pt>
                <c:pt idx="1034" formatCode="_(&quot;$&quot;* #,##0.00_);_(&quot;$&quot;* \(#,##0.00\);_(&quot;$&quot;* &quot;-&quot;??_);_(@_)">
                  <c:v>32840.448010225664</c:v>
                </c:pt>
                <c:pt idx="1035" formatCode="_(&quot;$&quot;* #,##0.00_);_(&quot;$&quot;* \(#,##0.00\);_(&quot;$&quot;* &quot;-&quot;??_);_(@_)">
                  <c:v>32174.060680948245</c:v>
                </c:pt>
                <c:pt idx="1036" formatCode="_(&quot;$&quot;* #,##0.00_);_(&quot;$&quot;* \(#,##0.00\);_(&quot;$&quot;* &quot;-&quot;??_);_(@_)">
                  <c:v>32089.073069837541</c:v>
                </c:pt>
                <c:pt idx="1037" formatCode="_(&quot;$&quot;* #,##0.00_);_(&quot;$&quot;* \(#,##0.00\);_(&quot;$&quot;* &quot;-&quot;??_);_(@_)">
                  <c:v>32451.006484900212</c:v>
                </c:pt>
                <c:pt idx="1038" formatCode="_(&quot;$&quot;* #,##0.00_);_(&quot;$&quot;* \(#,##0.00\);_(&quot;$&quot;* &quot;-&quot;??_);_(@_)">
                  <c:v>32033.12293318193</c:v>
                </c:pt>
                <c:pt idx="1039" formatCode="_(&quot;$&quot;* #,##0.00_);_(&quot;$&quot;* \(#,##0.00\);_(&quot;$&quot;* &quot;-&quot;??_);_(@_)">
                  <c:v>31980.072677027394</c:v>
                </c:pt>
                <c:pt idx="1040" formatCode="_(&quot;$&quot;* #,##0.00_);_(&quot;$&quot;* \(#,##0.00\);_(&quot;$&quot;* &quot;-&quot;??_);_(@_)">
                  <c:v>32092.48962418958</c:v>
                </c:pt>
                <c:pt idx="1041" formatCode="_(&quot;$&quot;* #,##0.00_);_(&quot;$&quot;* \(#,##0.00\);_(&quot;$&quot;* &quot;-&quot;??_);_(@_)">
                  <c:v>32206.564675466216</c:v>
                </c:pt>
                <c:pt idx="1042" formatCode="_(&quot;$&quot;* #,##0.00_);_(&quot;$&quot;* \(#,##0.00\);_(&quot;$&quot;* &quot;-&quot;??_);_(@_)">
                  <c:v>32085.076371033898</c:v>
                </c:pt>
                <c:pt idx="1043" formatCode="_(&quot;$&quot;* #,##0.00_);_(&quot;$&quot;* \(#,##0.00\);_(&quot;$&quot;* &quot;-&quot;??_);_(@_)">
                  <c:v>31732.023693442872</c:v>
                </c:pt>
                <c:pt idx="1044" formatCode="_(&quot;$&quot;* #,##0.00_);_(&quot;$&quot;* \(#,##0.00\);_(&quot;$&quot;* &quot;-&quot;??_);_(@_)">
                  <c:v>32122.028062070673</c:v>
                </c:pt>
                <c:pt idx="1045" formatCode="_(&quot;$&quot;* #,##0.00_);_(&quot;$&quot;* \(#,##0.00\);_(&quot;$&quot;* &quot;-&quot;??_);_(@_)">
                  <c:v>32190.630702536029</c:v>
                </c:pt>
                <c:pt idx="1046" formatCode="_(&quot;$&quot;* #,##0.00_);_(&quot;$&quot;* \(#,##0.00\);_(&quot;$&quot;* &quot;-&quot;??_);_(@_)">
                  <c:v>32461.220511236228</c:v>
                </c:pt>
                <c:pt idx="1047" formatCode="_(&quot;$&quot;* #,##0.00_);_(&quot;$&quot;* \(#,##0.00\);_(&quot;$&quot;* &quot;-&quot;??_);_(@_)">
                  <c:v>32998.87554416011</c:v>
                </c:pt>
                <c:pt idx="1048" formatCode="_(&quot;$&quot;* #,##0.00_);_(&quot;$&quot;* \(#,##0.00\);_(&quot;$&quot;* &quot;-&quot;??_);_(@_)">
                  <c:v>32550.699199027578</c:v>
                </c:pt>
                <c:pt idx="1049" formatCode="_(&quot;$&quot;* #,##0.00_);_(&quot;$&quot;* \(#,##0.00\);_(&quot;$&quot;* &quot;-&quot;??_);_(@_)">
                  <c:v>33112.766294141315</c:v>
                </c:pt>
                <c:pt idx="1050" formatCode="_(&quot;$&quot;* #,##0.00_);_(&quot;$&quot;* \(#,##0.00\);_(&quot;$&quot;* &quot;-&quot;??_);_(@_)">
                  <c:v>32161.369961950393</c:v>
                </c:pt>
                <c:pt idx="1051" formatCode="_(&quot;$&quot;* #,##0.00_);_(&quot;$&quot;* \(#,##0.00\);_(&quot;$&quot;* &quot;-&quot;??_);_(@_)">
                  <c:v>32403.700878690066</c:v>
                </c:pt>
                <c:pt idx="1052" formatCode="_(&quot;$&quot;* #,##0.00_);_(&quot;$&quot;* \(#,##0.00\);_(&quot;$&quot;* &quot;-&quot;??_);_(@_)">
                  <c:v>32670.514171593793</c:v>
                </c:pt>
                <c:pt idx="1053" formatCode="_(&quot;$&quot;* #,##0.00_);_(&quot;$&quot;* \(#,##0.00\);_(&quot;$&quot;* &quot;-&quot;??_);_(@_)">
                  <c:v>32730.287118197135</c:v>
                </c:pt>
                <c:pt idx="1054" formatCode="_(&quot;$&quot;* #,##0.00_);_(&quot;$&quot;* \(#,##0.00\);_(&quot;$&quot;* &quot;-&quot;??_);_(@_)">
                  <c:v>32770.392083675142</c:v>
                </c:pt>
                <c:pt idx="1055" formatCode="_(&quot;$&quot;* #,##0.00_);_(&quot;$&quot;* \(#,##0.00\);_(&quot;$&quot;* &quot;-&quot;??_);_(@_)">
                  <c:v>32310.742449360365</c:v>
                </c:pt>
                <c:pt idx="1056" formatCode="_(&quot;$&quot;* #,##0.00_);_(&quot;$&quot;* \(#,##0.00\);_(&quot;$&quot;* &quot;-&quot;??_);_(@_)">
                  <c:v>32273.129318648724</c:v>
                </c:pt>
                <c:pt idx="1057" formatCode="_(&quot;$&quot;* #,##0.00_);_(&quot;$&quot;* \(#,##0.00\);_(&quot;$&quot;* &quot;-&quot;??_);_(@_)">
                  <c:v>32392.037793710148</c:v>
                </c:pt>
                <c:pt idx="1058" formatCode="_(&quot;$&quot;* #,##0.00_);_(&quot;$&quot;* \(#,##0.00\);_(&quot;$&quot;* &quot;-&quot;??_);_(@_)">
                  <c:v>32936.671538674345</c:v>
                </c:pt>
                <c:pt idx="1059" formatCode="_(&quot;$&quot;* #,##0.00_);_(&quot;$&quot;* \(#,##0.00\);_(&quot;$&quot;* &quot;-&quot;??_);_(@_)">
                  <c:v>33672.021465199548</c:v>
                </c:pt>
                <c:pt idx="1060" formatCode="_(&quot;$&quot;* #,##0.00_);_(&quot;$&quot;* \(#,##0.00\);_(&quot;$&quot;* &quot;-&quot;??_);_(@_)">
                  <c:v>34796.504770445019</c:v>
                </c:pt>
                <c:pt idx="1061" formatCode="_(&quot;$&quot;* #,##0.00_);_(&quot;$&quot;* \(#,##0.00\);_(&quot;$&quot;* &quot;-&quot;??_);_(@_)">
                  <c:v>35962.880569448454</c:v>
                </c:pt>
                <c:pt idx="1062" formatCode="_(&quot;$&quot;* #,##0.00_);_(&quot;$&quot;* \(#,##0.00\);_(&quot;$&quot;* &quot;-&quot;??_);_(@_)">
                  <c:v>35293.164343734439</c:v>
                </c:pt>
                <c:pt idx="1063" formatCode="_(&quot;$&quot;* #,##0.00_);_(&quot;$&quot;* \(#,##0.00\);_(&quot;$&quot;* &quot;-&quot;??_);_(@_)">
                  <c:v>35402.544181290687</c:v>
                </c:pt>
                <c:pt idx="1064" formatCode="_(&quot;$&quot;* #,##0.00_);_(&quot;$&quot;* \(#,##0.00\);_(&quot;$&quot;* &quot;-&quot;??_);_(@_)">
                  <c:v>35834.982945045376</c:v>
                </c:pt>
                <c:pt idx="1065" formatCode="_(&quot;$&quot;* #,##0.00_);_(&quot;$&quot;* \(#,##0.00\);_(&quot;$&quot;* &quot;-&quot;??_);_(@_)">
                  <c:v>35311.067819418444</c:v>
                </c:pt>
                <c:pt idx="1066" formatCode="_(&quot;$&quot;* #,##0.00_);_(&quot;$&quot;* \(#,##0.00\);_(&quot;$&quot;* &quot;-&quot;??_);_(@_)">
                  <c:v>35072.313520541822</c:v>
                </c:pt>
                <c:pt idx="1067" formatCode="_(&quot;$&quot;* #,##0.00_);_(&quot;$&quot;* \(#,##0.00\);_(&quot;$&quot;* &quot;-&quot;??_);_(@_)">
                  <c:v>34704.053972898546</c:v>
                </c:pt>
                <c:pt idx="1068" formatCode="_(&quot;$&quot;* #,##0.00_);_(&quot;$&quot;* \(#,##0.00\);_(&quot;$&quot;* &quot;-&quot;??_);_(@_)">
                  <c:v>33963.806201164633</c:v>
                </c:pt>
                <c:pt idx="1069" formatCode="_(&quot;$&quot;* #,##0.00_);_(&quot;$&quot;* \(#,##0.00\);_(&quot;$&quot;* &quot;-&quot;??_);_(@_)">
                  <c:v>34948.417903070302</c:v>
                </c:pt>
                <c:pt idx="1070" formatCode="_(&quot;$&quot;* #,##0.00_);_(&quot;$&quot;* \(#,##0.00\);_(&quot;$&quot;* &quot;-&quot;??_);_(@_)">
                  <c:v>34599.524694635365</c:v>
                </c:pt>
                <c:pt idx="1071" formatCode="_(&quot;$&quot;* #,##0.00_);_(&quot;$&quot;* \(#,##0.00\);_(&quot;$&quot;* &quot;-&quot;??_);_(@_)">
                  <c:v>34417.982441364758</c:v>
                </c:pt>
                <c:pt idx="1072" formatCode="_(&quot;$&quot;* #,##0.00_);_(&quot;$&quot;* \(#,##0.00\);_(&quot;$&quot;* &quot;-&quot;??_);_(@_)">
                  <c:v>33889.091510890168</c:v>
                </c:pt>
                <c:pt idx="1073" formatCode="_(&quot;$&quot;* #,##0.00_);_(&quot;$&quot;* \(#,##0.00\);_(&quot;$&quot;* &quot;-&quot;??_);_(@_)">
                  <c:v>34239.686156276293</c:v>
                </c:pt>
                <c:pt idx="1074" formatCode="_(&quot;$&quot;* #,##0.00_);_(&quot;$&quot;* \(#,##0.00\);_(&quot;$&quot;* &quot;-&quot;??_);_(@_)">
                  <c:v>34621.162020427895</c:v>
                </c:pt>
                <c:pt idx="1075" formatCode="_(&quot;$&quot;* #,##0.00_);_(&quot;$&quot;* \(#,##0.00\);_(&quot;$&quot;* &quot;-&quot;??_);_(@_)">
                  <c:v>33721.908533262511</c:v>
                </c:pt>
                <c:pt idx="1076" formatCode="_(&quot;$&quot;* #,##0.00_);_(&quot;$&quot;* \(#,##0.00\);_(&quot;$&quot;* &quot;-&quot;??_);_(@_)">
                  <c:v>34410.944409241587</c:v>
                </c:pt>
                <c:pt idx="1077" formatCode="_(&quot;$&quot;* #,##0.00_);_(&quot;$&quot;* \(#,##0.00\);_(&quot;$&quot;* &quot;-&quot;??_);_(@_)">
                  <c:v>34106.690259675728</c:v>
                </c:pt>
                <c:pt idx="1078" formatCode="_(&quot;$&quot;* #,##0.00_);_(&quot;$&quot;* \(#,##0.00\);_(&quot;$&quot;* &quot;-&quot;??_);_(@_)">
                  <c:v>33137.723571351729</c:v>
                </c:pt>
                <c:pt idx="1079" formatCode="_(&quot;$&quot;* #,##0.00_);_(&quot;$&quot;* \(#,##0.00\);_(&quot;$&quot;* &quot;-&quot;??_);_(@_)">
                  <c:v>34195.07037890303</c:v>
                </c:pt>
                <c:pt idx="1080" formatCode="_(&quot;$&quot;* #,##0.00_);_(&quot;$&quot;* \(#,##0.00\);_(&quot;$&quot;* &quot;-&quot;??_);_(@_)">
                  <c:v>33714.976256273781</c:v>
                </c:pt>
                <c:pt idx="1081" formatCode="_(&quot;$&quot;* #,##0.00_);_(&quot;$&quot;* \(#,##0.00\);_(&quot;$&quot;* &quot;-&quot;??_);_(@_)">
                  <c:v>33707.577995491847</c:v>
                </c:pt>
                <c:pt idx="1082" formatCode="_(&quot;$&quot;* #,##0.00_);_(&quot;$&quot;* \(#,##0.00\);_(&quot;$&quot;* &quot;-&quot;??_);_(@_)">
                  <c:v>33712.740684371842</c:v>
                </c:pt>
                <c:pt idx="1083" formatCode="_(&quot;$&quot;* #,##0.00_);_(&quot;$&quot;* \(#,##0.00\);_(&quot;$&quot;* &quot;-&quot;??_);_(@_)">
                  <c:v>33940.159136890761</c:v>
                </c:pt>
                <c:pt idx="1084" formatCode="_(&quot;$&quot;* #,##0.00_);_(&quot;$&quot;* \(#,##0.00\);_(&quot;$&quot;* &quot;-&quot;??_);_(@_)">
                  <c:v>34220.006984757645</c:v>
                </c:pt>
                <c:pt idx="1085" formatCode="_(&quot;$&quot;* #,##0.00_);_(&quot;$&quot;* \(#,##0.00\);_(&quot;$&quot;* &quot;-&quot;??_);_(@_)">
                  <c:v>33803.28941524111</c:v>
                </c:pt>
                <c:pt idx="1086" formatCode="_(&quot;$&quot;* #,##0.00_);_(&quot;$&quot;* \(#,##0.00\);_(&quot;$&quot;* &quot;-&quot;??_);_(@_)">
                  <c:v>33845.067359201304</c:v>
                </c:pt>
                <c:pt idx="1087" formatCode="_(&quot;$&quot;* #,##0.00_);_(&quot;$&quot;* \(#,##0.00\);_(&quot;$&quot;* &quot;-&quot;??_);_(@_)">
                  <c:v>33800.091926918212</c:v>
                </c:pt>
                <c:pt idx="1088" formatCode="_(&quot;$&quot;* #,##0.00_);_(&quot;$&quot;* \(#,##0.00\);_(&quot;$&quot;* &quot;-&quot;??_);_(@_)">
                  <c:v>34098.622953451093</c:v>
                </c:pt>
                <c:pt idx="1089" formatCode="_(&quot;$&quot;* #,##0.00_);_(&quot;$&quot;* \(#,##0.00\);_(&quot;$&quot;* &quot;-&quot;??_);_(@_)">
                  <c:v>34200.948772590113</c:v>
                </c:pt>
                <c:pt idx="1090" formatCode="_(&quot;$&quot;* #,##0.00_);_(&quot;$&quot;* \(#,##0.00\);_(&quot;$&quot;* &quot;-&quot;??_);_(@_)">
                  <c:v>33457.262297642425</c:v>
                </c:pt>
                <c:pt idx="1091" formatCode="_(&quot;$&quot;* #,##0.00_);_(&quot;$&quot;* \(#,##0.00\);_(&quot;$&quot;* &quot;-&quot;??_);_(@_)">
                  <c:v>32882.387060327914</c:v>
                </c:pt>
                <c:pt idx="1092" formatCode="_(&quot;$&quot;* #,##0.00_);_(&quot;$&quot;* \(#,##0.00\);_(&quot;$&quot;* &quot;-&quot;??_);_(@_)">
                  <c:v>32485.042307218766</c:v>
                </c:pt>
                <c:pt idx="1093" formatCode="_(&quot;$&quot;* #,##0.00_);_(&quot;$&quot;* \(#,##0.00\);_(&quot;$&quot;* &quot;-&quot;??_);_(@_)">
                  <c:v>32209.874024992492</c:v>
                </c:pt>
                <c:pt idx="1094" formatCode="_(&quot;$&quot;* #,##0.00_);_(&quot;$&quot;* \(#,##0.00\);_(&quot;$&quot;* &quot;-&quot;??_);_(@_)">
                  <c:v>32638.935900438712</c:v>
                </c:pt>
                <c:pt idx="1095" formatCode="_(&quot;$&quot;* #,##0.00_);_(&quot;$&quot;* \(#,##0.00\);_(&quot;$&quot;* &quot;-&quot;??_);_(@_)">
                  <c:v>31809.002831761434</c:v>
                </c:pt>
                <c:pt idx="1096" formatCode="_(&quot;$&quot;* #,##0.00_);_(&quot;$&quot;* \(#,##0.00\);_(&quot;$&quot;* &quot;-&quot;??_);_(@_)">
                  <c:v>32350.343569705128</c:v>
                </c:pt>
                <c:pt idx="1097" formatCode="_(&quot;$&quot;* #,##0.00_);_(&quot;$&quot;* \(#,##0.00\);_(&quot;$&quot;* &quot;-&quot;??_);_(@_)">
                  <c:v>32595.14572097671</c:v>
                </c:pt>
                <c:pt idx="1098" formatCode="_(&quot;$&quot;* #,##0.00_);_(&quot;$&quot;* \(#,##0.00\);_(&quot;$&quot;* &quot;-&quot;??_);_(@_)">
                  <c:v>32875.952930916406</c:v>
                </c:pt>
                <c:pt idx="1099" formatCode="_(&quot;$&quot;* #,##0.00_);_(&quot;$&quot;* \(#,##0.00\);_(&quot;$&quot;* &quot;-&quot;??_);_(@_)">
                  <c:v>33565.510740827252</c:v>
                </c:pt>
                <c:pt idx="1100" formatCode="_(&quot;$&quot;* #,##0.00_);_(&quot;$&quot;* \(#,##0.00\);_(&quot;$&quot;* &quot;-&quot;??_);_(@_)">
                  <c:v>33554.750131012166</c:v>
                </c:pt>
                <c:pt idx="1101" formatCode="_(&quot;$&quot;* #,##0.00_);_(&quot;$&quot;* \(#,##0.00\);_(&quot;$&quot;* &quot;-&quot;??_);_(@_)">
                  <c:v>33518.809662533175</c:v>
                </c:pt>
                <c:pt idx="1102" formatCode="_(&quot;$&quot;* #,##0.00_);_(&quot;$&quot;* \(#,##0.00\);_(&quot;$&quot;* &quot;-&quot;??_);_(@_)">
                  <c:v>33327.532633765768</c:v>
                </c:pt>
                <c:pt idx="1103" formatCode="_(&quot;$&quot;* #,##0.00_);_(&quot;$&quot;* \(#,##0.00\);_(&quot;$&quot;* &quot;-&quot;??_);_(@_)">
                  <c:v>33365.603146810303</c:v>
                </c:pt>
                <c:pt idx="1104" formatCode="_(&quot;$&quot;* #,##0.00_);_(&quot;$&quot;* \(#,##0.00\);_(&quot;$&quot;* &quot;-&quot;??_);_(@_)">
                  <c:v>33478.70452127418</c:v>
                </c:pt>
                <c:pt idx="1105" formatCode="_(&quot;$&quot;* #,##0.00_);_(&quot;$&quot;* \(#,##0.00\);_(&quot;$&quot;* &quot;-&quot;??_);_(@_)">
                  <c:v>32983.371934248084</c:v>
                </c:pt>
                <c:pt idx="1106" formatCode="_(&quot;$&quot;* #,##0.00_);_(&quot;$&quot;* \(#,##0.00\);_(&quot;$&quot;* &quot;-&quot;??_);_(@_)">
                  <c:v>32721.250388091572</c:v>
                </c:pt>
                <c:pt idx="1107" formatCode="_(&quot;$&quot;* #,##0.00_);_(&quot;$&quot;* \(#,##0.00\);_(&quot;$&quot;* &quot;-&quot;??_);_(@_)">
                  <c:v>32108.674023858479</c:v>
                </c:pt>
                <c:pt idx="1108" formatCode="_(&quot;$&quot;* #,##0.00_);_(&quot;$&quot;* \(#,##0.00\);_(&quot;$&quot;* &quot;-&quot;??_);_(@_)">
                  <c:v>32908.158595228953</c:v>
                </c:pt>
                <c:pt idx="1109" formatCode="_(&quot;$&quot;* #,##0.00_);_(&quot;$&quot;* \(#,##0.00\);_(&quot;$&quot;* &quot;-&quot;??_);_(@_)">
                  <c:v>32040.673950075648</c:v>
                </c:pt>
                <c:pt idx="1110" formatCode="_(&quot;$&quot;* #,##0.00_);_(&quot;$&quot;* \(#,##0.00\);_(&quot;$&quot;* &quot;-&quot;??_);_(@_)">
                  <c:v>32121.742368943018</c:v>
                </c:pt>
                <c:pt idx="1111" formatCode="_(&quot;$&quot;* #,##0.00_);_(&quot;$&quot;* \(#,##0.00\);_(&quot;$&quot;* &quot;-&quot;??_);_(@_)">
                  <c:v>32187.69393002474</c:v>
                </c:pt>
                <c:pt idx="1112" formatCode="_(&quot;$&quot;* #,##0.00_);_(&quot;$&quot;* \(#,##0.00\);_(&quot;$&quot;* &quot;-&quot;??_);_(@_)">
                  <c:v>31987.739962592783</c:v>
                </c:pt>
                <c:pt idx="1113" formatCode="_(&quot;$&quot;* #,##0.00_);_(&quot;$&quot;* \(#,##0.00\);_(&quot;$&quot;* &quot;-&quot;??_);_(@_)">
                  <c:v>31041.171534089193</c:v>
                </c:pt>
                <c:pt idx="1114" formatCode="_(&quot;$&quot;* #,##0.00_);_(&quot;$&quot;* \(#,##0.00\);_(&quot;$&quot;* &quot;-&quot;??_);_(@_)">
                  <c:v>30870.569927586166</c:v>
                </c:pt>
                <c:pt idx="1115" formatCode="_(&quot;$&quot;* #,##0.00_);_(&quot;$&quot;* \(#,##0.00\);_(&quot;$&quot;* &quot;-&quot;??_);_(@_)">
                  <c:v>31042.346194323633</c:v>
                </c:pt>
                <c:pt idx="1116" formatCode="_(&quot;$&quot;* #,##0.00_);_(&quot;$&quot;* \(#,##0.00\);_(&quot;$&quot;* &quot;-&quot;??_);_(@_)">
                  <c:v>30498.751337909594</c:v>
                </c:pt>
                <c:pt idx="1117" formatCode="_(&quot;$&quot;* #,##0.00_);_(&quot;$&quot;* \(#,##0.00\);_(&quot;$&quot;* &quot;-&quot;??_);_(@_)">
                  <c:v>31037.830528331066</c:v>
                </c:pt>
                <c:pt idx="1118" formatCode="_(&quot;$&quot;* #,##0.00_);_(&quot;$&quot;* \(#,##0.00\);_(&quot;$&quot;* &quot;-&quot;??_);_(@_)">
                  <c:v>31429.762086062339</c:v>
                </c:pt>
                <c:pt idx="1119" formatCode="_(&quot;$&quot;* #,##0.00_);_(&quot;$&quot;* \(#,##0.00\);_(&quot;$&quot;* &quot;-&quot;??_);_(@_)">
                  <c:v>31911.805397829874</c:v>
                </c:pt>
                <c:pt idx="1120" formatCode="_(&quot;$&quot;* #,##0.00_);_(&quot;$&quot;* \(#,##0.00\);_(&quot;$&quot;* &quot;-&quot;??_);_(@_)">
                  <c:v>32183.164271296802</c:v>
                </c:pt>
                <c:pt idx="1121" formatCode="_(&quot;$&quot;* #,##0.00_);_(&quot;$&quot;* \(#,##0.00\);_(&quot;$&quot;* &quot;-&quot;??_);_(@_)">
                  <c:v>32737.179146287835</c:v>
                </c:pt>
                <c:pt idx="1122" formatCode="_(&quot;$&quot;* #,##0.00_);_(&quot;$&quot;* \(#,##0.00\);_(&quot;$&quot;* &quot;-&quot;??_);_(@_)">
                  <c:v>33063.916190032629</c:v>
                </c:pt>
                <c:pt idx="1123" formatCode="_(&quot;$&quot;* #,##0.00_);_(&quot;$&quot;* \(#,##0.00\);_(&quot;$&quot;* &quot;-&quot;??_);_(@_)">
                  <c:v>32734.334034215495</c:v>
                </c:pt>
                <c:pt idx="1124" formatCode="_(&quot;$&quot;* #,##0.00_);_(&quot;$&quot;* \(#,##0.00\);_(&quot;$&quot;* &quot;-&quot;??_);_(@_)">
                  <c:v>32657.720468272804</c:v>
                </c:pt>
                <c:pt idx="1125" formatCode="_(&quot;$&quot;* #,##0.00_);_(&quot;$&quot;* \(#,##0.00\);_(&quot;$&quot;* &quot;-&quot;??_);_(@_)">
                  <c:v>32639.908389611763</c:v>
                </c:pt>
                <c:pt idx="1126" formatCode="_(&quot;$&quot;* #,##0.00_);_(&quot;$&quot;* \(#,##0.00\);_(&quot;$&quot;* &quot;-&quot;??_);_(@_)">
                  <c:v>32060.561924990416</c:v>
                </c:pt>
                <c:pt idx="1127" formatCode="_(&quot;$&quot;* #,##0.00_);_(&quot;$&quot;* \(#,##0.00\);_(&quot;$&quot;* &quot;-&quot;??_);_(@_)">
                  <c:v>33416.179130816592</c:v>
                </c:pt>
                <c:pt idx="1128" formatCode="_(&quot;$&quot;* #,##0.00_);_(&quot;$&quot;* \(#,##0.00\);_(&quot;$&quot;* &quot;-&quot;??_);_(@_)">
                  <c:v>33796.407401040415</c:v>
                </c:pt>
                <c:pt idx="1129" formatCode="_(&quot;$&quot;* #,##0.00_);_(&quot;$&quot;* \(#,##0.00\);_(&quot;$&quot;* &quot;-&quot;??_);_(@_)">
                  <c:v>33741.344616831535</c:v>
                </c:pt>
                <c:pt idx="1130" formatCode="_(&quot;$&quot;* #,##0.00_);_(&quot;$&quot;* \(#,##0.00\);_(&quot;$&quot;* &quot;-&quot;??_);_(@_)">
                  <c:v>33318.498756060821</c:v>
                </c:pt>
                <c:pt idx="1131" formatCode="_(&quot;$&quot;* #,##0.00_);_(&quot;$&quot;* \(#,##0.00\);_(&quot;$&quot;* &quot;-&quot;??_);_(@_)">
                  <c:v>33937.972896062973</c:v>
                </c:pt>
                <c:pt idx="1132" formatCode="_(&quot;$&quot;* #,##0.00_);_(&quot;$&quot;* \(#,##0.00\);_(&quot;$&quot;* &quot;-&quot;??_);_(@_)">
                  <c:v>34138.342859485783</c:v>
                </c:pt>
                <c:pt idx="1133" formatCode="_(&quot;$&quot;* #,##0.00_);_(&quot;$&quot;* \(#,##0.00\);_(&quot;$&quot;* &quot;-&quot;??_);_(@_)">
                  <c:v>34370.932589726755</c:v>
                </c:pt>
                <c:pt idx="1134" formatCode="_(&quot;$&quot;* #,##0.00_);_(&quot;$&quot;* \(#,##0.00\);_(&quot;$&quot;* &quot;-&quot;??_);_(@_)">
                  <c:v>35336.384105339566</c:v>
                </c:pt>
                <c:pt idx="1135" formatCode="_(&quot;$&quot;* #,##0.00_);_(&quot;$&quot;* \(#,##0.00\);_(&quot;$&quot;* &quot;-&quot;??_);_(@_)">
                  <c:v>35002.510360429049</c:v>
                </c:pt>
                <c:pt idx="1136" formatCode="_(&quot;$&quot;* #,##0.00_);_(&quot;$&quot;* \(#,##0.00\);_(&quot;$&quot;* &quot;-&quot;??_);_(@_)">
                  <c:v>35017.206712352199</c:v>
                </c:pt>
                <c:pt idx="1137" formatCode="_(&quot;$&quot;* #,##0.00_);_(&quot;$&quot;* \(#,##0.00\);_(&quot;$&quot;* &quot;-&quot;??_);_(@_)">
                  <c:v>35069.714064088264</c:v>
                </c:pt>
                <c:pt idx="1138" formatCode="_(&quot;$&quot;* #,##0.00_);_(&quot;$&quot;* \(#,##0.00\);_(&quot;$&quot;* &quot;-&quot;??_);_(@_)">
                  <c:v>34814.195118960175</c:v>
                </c:pt>
                <c:pt idx="1139" formatCode="_(&quot;$&quot;* #,##0.00_);_(&quot;$&quot;* \(#,##0.00\);_(&quot;$&quot;* &quot;-&quot;??_);_(@_)">
                  <c:v>34737.773518770293</c:v>
                </c:pt>
                <c:pt idx="1140" formatCode="_(&quot;$&quot;* #,##0.00_);_(&quot;$&quot;* \(#,##0.00\);_(&quot;$&quot;* &quot;-&quot;??_);_(@_)">
                  <c:v>34808.538439436663</c:v>
                </c:pt>
                <c:pt idx="1141" formatCode="_(&quot;$&quot;* #,##0.00_);_(&quot;$&quot;* \(#,##0.00\);_(&quot;$&quot;* &quot;-&quot;??_);_(@_)">
                  <c:v>34023.697621536012</c:v>
                </c:pt>
                <c:pt idx="1142" formatCode="_(&quot;$&quot;* #,##0.00_);_(&quot;$&quot;* \(#,##0.00\);_(&quot;$&quot;* &quot;-&quot;??_);_(@_)">
                  <c:v>35144.021448916821</c:v>
                </c:pt>
                <c:pt idx="1143" formatCode="_(&quot;$&quot;* #,##0.00_);_(&quot;$&quot;* \(#,##0.00\);_(&quot;$&quot;* &quot;-&quot;??_);_(@_)">
                  <c:v>35741.44631854356</c:v>
                </c:pt>
                <c:pt idx="1144" formatCode="_(&quot;$&quot;* #,##0.00_);_(&quot;$&quot;* \(#,##0.00\);_(&quot;$&quot;* &quot;-&quot;??_);_(@_)">
                  <c:v>35499.201193502631</c:v>
                </c:pt>
                <c:pt idx="1145" formatCode="_(&quot;$&quot;* #,##0.00_);_(&quot;$&quot;* \(#,##0.00\);_(&quot;$&quot;* &quot;-&quot;??_);_(@_)">
                  <c:v>35153.793201012275</c:v>
                </c:pt>
                <c:pt idx="1146" formatCode="_(&quot;$&quot;* #,##0.00_);_(&quot;$&quot;* \(#,##0.00\);_(&quot;$&quot;* &quot;-&quot;??_);_(@_)">
                  <c:v>34849.084596381981</c:v>
                </c:pt>
                <c:pt idx="1147" formatCode="_(&quot;$&quot;* #,##0.00_);_(&quot;$&quot;* \(#,##0.00\);_(&quot;$&quot;* &quot;-&quot;??_);_(@_)">
                  <c:v>34248.379917721431</c:v>
                </c:pt>
                <c:pt idx="1148" formatCode="_(&quot;$&quot;* #,##0.00_);_(&quot;$&quot;* \(#,##0.00\);_(&quot;$&quot;* &quot;-&quot;??_);_(@_)">
                  <c:v>34367.307979001809</c:v>
                </c:pt>
                <c:pt idx="1149" formatCode="_(&quot;$&quot;* #,##0.00_);_(&quot;$&quot;* \(#,##0.00\);_(&quot;$&quot;* &quot;-&quot;??_);_(@_)">
                  <c:v>33773.929417978339</c:v>
                </c:pt>
                <c:pt idx="1150" formatCode="_(&quot;$&quot;* #,##0.00_);_(&quot;$&quot;* \(#,##0.00\);_(&quot;$&quot;* &quot;-&quot;??_);_(@_)">
                  <c:v>33184.795937803618</c:v>
                </c:pt>
                <c:pt idx="1151" formatCode="_(&quot;$&quot;* #,##0.00_);_(&quot;$&quot;* \(#,##0.00\);_(&quot;$&quot;* &quot;-&quot;??_);_(@_)">
                  <c:v>32980.735300491491</c:v>
                </c:pt>
                <c:pt idx="1152" formatCode="_(&quot;$&quot;* #,##0.00_);_(&quot;$&quot;* \(#,##0.00\);_(&quot;$&quot;* &quot;-&quot;??_);_(@_)">
                  <c:v>32952.701928092771</c:v>
                </c:pt>
                <c:pt idx="1153" formatCode="_(&quot;$&quot;* #,##0.00_);_(&quot;$&quot;* \(#,##0.00\);_(&quot;$&quot;* &quot;-&quot;??_);_(@_)">
                  <c:v>33513.549844263223</c:v>
                </c:pt>
                <c:pt idx="1154" formatCode="_(&quot;$&quot;* #,##0.00_);_(&quot;$&quot;* \(#,##0.00\);_(&quot;$&quot;* &quot;-&quot;??_);_(@_)">
                  <c:v>33239.977904004154</c:v>
                </c:pt>
                <c:pt idx="1155" formatCode="_(&quot;$&quot;* #,##0.00_);_(&quot;$&quot;* \(#,##0.00\);_(&quot;$&quot;* &quot;-&quot;??_);_(@_)">
                  <c:v>33535.999521935679</c:v>
                </c:pt>
                <c:pt idx="1156" formatCode="_(&quot;$&quot;* #,##0.00_);_(&quot;$&quot;* \(#,##0.00\);_(&quot;$&quot;* &quot;-&quot;??_);_(@_)">
                  <c:v>33615.378342051088</c:v>
                </c:pt>
                <c:pt idx="1157" formatCode="_(&quot;$&quot;* #,##0.00_);_(&quot;$&quot;* \(#,##0.00\);_(&quot;$&quot;* &quot;-&quot;??_);_(@_)">
                  <c:v>33784.28269467254</c:v>
                </c:pt>
                <c:pt idx="1158" formatCode="_(&quot;$&quot;* #,##0.00_);_(&quot;$&quot;* \(#,##0.00\);_(&quot;$&quot;* &quot;-&quot;??_);_(@_)">
                  <c:v>34017.246780937341</c:v>
                </c:pt>
                <c:pt idx="1159" formatCode="_(&quot;$&quot;* #,##0.00_);_(&quot;$&quot;* \(#,##0.00\);_(&quot;$&quot;* &quot;-&quot;??_);_(@_)">
                  <c:v>33602.481763411022</c:v>
                </c:pt>
                <c:pt idx="1160" formatCode="_(&quot;$&quot;* #,##0.00_);_(&quot;$&quot;* \(#,##0.00\);_(&quot;$&quot;* &quot;-&quot;??_);_(@_)">
                  <c:v>34058.150271632912</c:v>
                </c:pt>
                <c:pt idx="1161" formatCode="_(&quot;$&quot;* #,##0.00_);_(&quot;$&quot;* \(#,##0.00\);_(&quot;$&quot;* &quot;-&quot;??_);_(@_)">
                  <c:v>33985.453532821841</c:v>
                </c:pt>
                <c:pt idx="1162" formatCode="_(&quot;$&quot;* #,##0.00_);_(&quot;$&quot;* \(#,##0.00\);_(&quot;$&quot;* &quot;-&quot;??_);_(@_)">
                  <c:v>34853.519171351421</c:v>
                </c:pt>
                <c:pt idx="1163" formatCode="_(&quot;$&quot;* #,##0.00_);_(&quot;$&quot;* \(#,##0.00\);_(&quot;$&quot;* &quot;-&quot;??_);_(@_)">
                  <c:v>35187.554151088356</c:v>
                </c:pt>
                <c:pt idx="1164" formatCode="_(&quot;$&quot;* #,##0.00_);_(&quot;$&quot;* \(#,##0.00\);_(&quot;$&quot;* &quot;-&quot;??_);_(@_)">
                  <c:v>35314.951083167718</c:v>
                </c:pt>
                <c:pt idx="1165" formatCode="_(&quot;$&quot;* #,##0.00_);_(&quot;$&quot;* \(#,##0.00\);_(&quot;$&quot;* &quot;-&quot;??_);_(@_)">
                  <c:v>34455.277651888537</c:v>
                </c:pt>
                <c:pt idx="1166" formatCode="_(&quot;$&quot;* #,##0.00_);_(&quot;$&quot;* \(#,##0.00\);_(&quot;$&quot;* &quot;-&quot;??_);_(@_)">
                  <c:v>34024.876882780474</c:v>
                </c:pt>
                <c:pt idx="1167" formatCode="_(&quot;$&quot;* #,##0.00_);_(&quot;$&quot;* \(#,##0.00\);_(&quot;$&quot;* &quot;-&quot;??_);_(@_)">
                  <c:v>34220.488468729171</c:v>
                </c:pt>
                <c:pt idx="1168" formatCode="_(&quot;$&quot;* #,##0.00_);_(&quot;$&quot;* \(#,##0.00\);_(&quot;$&quot;* &quot;-&quot;??_);_(@_)">
                  <c:v>34177.656363576163</c:v>
                </c:pt>
                <c:pt idx="1169" formatCode="_(&quot;$&quot;* #,##0.00_);_(&quot;$&quot;* \(#,##0.00\);_(&quot;$&quot;* &quot;-&quot;??_);_(@_)">
                  <c:v>33911.904694791599</c:v>
                </c:pt>
                <c:pt idx="1170" formatCode="_(&quot;$&quot;* #,##0.00_);_(&quot;$&quot;* \(#,##0.00\);_(&quot;$&quot;* &quot;-&quot;??_);_(@_)">
                  <c:v>33675.152179114484</c:v>
                </c:pt>
                <c:pt idx="1171" formatCode="_(&quot;$&quot;* #,##0.00_);_(&quot;$&quot;* \(#,##0.00\);_(&quot;$&quot;* &quot;-&quot;??_);_(@_)">
                  <c:v>33158.855943158844</c:v>
                </c:pt>
                <c:pt idx="1172" formatCode="_(&quot;$&quot;* #,##0.00_);_(&quot;$&quot;* \(#,##0.00\);_(&quot;$&quot;* &quot;-&quot;??_);_(@_)">
                  <c:v>32503.110640439038</c:v>
                </c:pt>
                <c:pt idx="1173" formatCode="_(&quot;$&quot;* #,##0.00_);_(&quot;$&quot;* \(#,##0.00\);_(&quot;$&quot;* &quot;-&quot;??_);_(@_)">
                  <c:v>32634.432526159915</c:v>
                </c:pt>
                <c:pt idx="1174" formatCode="_(&quot;$&quot;* #,##0.00_);_(&quot;$&quot;* \(#,##0.00\);_(&quot;$&quot;* &quot;-&quot;??_);_(@_)">
                  <c:v>33435.47176120161</c:v>
                </c:pt>
                <c:pt idx="1175" formatCode="_(&quot;$&quot;* #,##0.00_);_(&quot;$&quot;* \(#,##0.00\);_(&quot;$&quot;* &quot;-&quot;??_);_(@_)">
                  <c:v>34189.51448398731</c:v>
                </c:pt>
                <c:pt idx="1176" formatCode="_(&quot;$&quot;* #,##0.00_);_(&quot;$&quot;* \(#,##0.00\);_(&quot;$&quot;* &quot;-&quot;??_);_(@_)">
                  <c:v>33979.634752372993</c:v>
                </c:pt>
                <c:pt idx="1177" formatCode="_(&quot;$&quot;* #,##0.00_);_(&quot;$&quot;* \(#,##0.00\);_(&quot;$&quot;* &quot;-&quot;??_);_(@_)">
                  <c:v>33932.216442792167</c:v>
                </c:pt>
                <c:pt idx="1178" formatCode="_(&quot;$&quot;* #,##0.00_);_(&quot;$&quot;* \(#,##0.00\);_(&quot;$&quot;* &quot;-&quot;??_);_(@_)">
                  <c:v>33417.233229384772</c:v>
                </c:pt>
                <c:pt idx="1179" formatCode="_(&quot;$&quot;* #,##0.00_);_(&quot;$&quot;* \(#,##0.00\);_(&quot;$&quot;* &quot;-&quot;??_);_(@_)">
                  <c:v>33458.58824489823</c:v>
                </c:pt>
                <c:pt idx="1180" formatCode="_(&quot;$&quot;* #,##0.00_);_(&quot;$&quot;* \(#,##0.00\);_(&quot;$&quot;* &quot;-&quot;??_);_(@_)">
                  <c:v>34515.690732999392</c:v>
                </c:pt>
                <c:pt idx="1181" formatCode="_(&quot;$&quot;* #,##0.00_);_(&quot;$&quot;* \(#,##0.00\);_(&quot;$&quot;* &quot;-&quot;??_);_(@_)">
                  <c:v>34132.558946386271</c:v>
                </c:pt>
                <c:pt idx="1182" formatCode="_(&quot;$&quot;* #,##0.00_);_(&quot;$&quot;* \(#,##0.00\);_(&quot;$&quot;* &quot;-&quot;??_);_(@_)">
                  <c:v>35114.948765951558</c:v>
                </c:pt>
                <c:pt idx="1183" formatCode="_(&quot;$&quot;* #,##0.00_);_(&quot;$&quot;* \(#,##0.00\);_(&quot;$&quot;* &quot;-&quot;??_);_(@_)">
                  <c:v>35406.026389589402</c:v>
                </c:pt>
                <c:pt idx="1184" formatCode="_(&quot;$&quot;* #,##0.00_);_(&quot;$&quot;* \(#,##0.00\);_(&quot;$&quot;* &quot;-&quot;??_);_(@_)">
                  <c:v>35429.860434258728</c:v>
                </c:pt>
                <c:pt idx="1185" formatCode="_(&quot;$&quot;* #,##0.00_);_(&quot;$&quot;* \(#,##0.00\);_(&quot;$&quot;* &quot;-&quot;??_);_(@_)">
                  <c:v>35588.741783979007</c:v>
                </c:pt>
                <c:pt idx="1186" formatCode="_(&quot;$&quot;* #,##0.00_);_(&quot;$&quot;* \(#,##0.00\);_(&quot;$&quot;* &quot;-&quot;??_);_(@_)">
                  <c:v>35071.810122570343</c:v>
                </c:pt>
                <c:pt idx="1187" formatCode="_(&quot;$&quot;* #,##0.00_);_(&quot;$&quot;* \(#,##0.00\);_(&quot;$&quot;* &quot;-&quot;??_);_(@_)">
                  <c:v>35653.472520668067</c:v>
                </c:pt>
                <c:pt idx="1188" formatCode="_(&quot;$&quot;* #,##0.00_);_(&quot;$&quot;* \(#,##0.00\);_(&quot;$&quot;* &quot;-&quot;??_);_(@_)">
                  <c:v>35868.933240948667</c:v>
                </c:pt>
                <c:pt idx="1189" formatCode="_(&quot;$&quot;* #,##0.00_);_(&quot;$&quot;* \(#,##0.00\);_(&quot;$&quot;* &quot;-&quot;??_);_(@_)">
                  <c:v>35877.657125769714</c:v>
                </c:pt>
                <c:pt idx="1190" formatCode="_(&quot;$&quot;* #,##0.00_);_(&quot;$&quot;* \(#,##0.00\);_(&quot;$&quot;* &quot;-&quot;??_);_(@_)">
                  <c:v>36475.434548817429</c:v>
                </c:pt>
                <c:pt idx="1191" formatCode="_(&quot;$&quot;* #,##0.00_);_(&quot;$&quot;* \(#,##0.00\);_(&quot;$&quot;* &quot;-&quot;??_);_(@_)">
                  <c:v>36808.316337391683</c:v>
                </c:pt>
                <c:pt idx="1192" formatCode="_(&quot;$&quot;* #,##0.00_);_(&quot;$&quot;* \(#,##0.00\);_(&quot;$&quot;* &quot;-&quot;??_);_(@_)">
                  <c:v>37358.79646471556</c:v>
                </c:pt>
                <c:pt idx="1193" formatCode="_(&quot;$&quot;* #,##0.00_);_(&quot;$&quot;* \(#,##0.00\);_(&quot;$&quot;* &quot;-&quot;??_);_(@_)">
                  <c:v>37640.45116514041</c:v>
                </c:pt>
                <c:pt idx="1194" formatCode="_(&quot;$&quot;* #,##0.00_);_(&quot;$&quot;* \(#,##0.00\);_(&quot;$&quot;* &quot;-&quot;??_);_(@_)">
                  <c:v>37577.19612762153</c:v>
                </c:pt>
                <c:pt idx="1195" formatCode="_(&quot;$&quot;* #,##0.00_);_(&quot;$&quot;* \(#,##0.00\);_(&quot;$&quot;* &quot;-&quot;??_);_(@_)">
                  <c:v>38573.361486989394</c:v>
                </c:pt>
                <c:pt idx="1196" formatCode="_(&quot;$&quot;* #,##0.00_);_(&quot;$&quot;* \(#,##0.00\);_(&quot;$&quot;* &quot;-&quot;??_);_(@_)">
                  <c:v>38998.113350344283</c:v>
                </c:pt>
                <c:pt idx="1197" formatCode="_(&quot;$&quot;* #,##0.00_);_(&quot;$&quot;* \(#,##0.00\);_(&quot;$&quot;* &quot;-&quot;??_);_(@_)">
                  <c:v>38826.308503780769</c:v>
                </c:pt>
                <c:pt idx="1198" formatCode="_(&quot;$&quot;* #,##0.00_);_(&quot;$&quot;* \(#,##0.00\);_(&quot;$&quot;* &quot;-&quot;??_);_(@_)">
                  <c:v>38140.757899499346</c:v>
                </c:pt>
                <c:pt idx="1199" formatCode="_(&quot;$&quot;* #,##0.00_);_(&quot;$&quot;* \(#,##0.00\);_(&quot;$&quot;* &quot;-&quot;??_);_(@_)">
                  <c:v>38056.531932061291</c:v>
                </c:pt>
                <c:pt idx="1200" formatCode="_(&quot;$&quot;* #,##0.00_);_(&quot;$&quot;* \(#,##0.00\);_(&quot;$&quot;* &quot;-&quot;??_);_(@_)">
                  <c:v>37985.310683171745</c:v>
                </c:pt>
                <c:pt idx="1201" formatCode="_(&quot;$&quot;* #,##0.00_);_(&quot;$&quot;* \(#,##0.00\);_(&quot;$&quot;* &quot;-&quot;??_);_(@_)">
                  <c:v>37751.892016573038</c:v>
                </c:pt>
                <c:pt idx="1202" formatCode="_(&quot;$&quot;* #,##0.00_);_(&quot;$&quot;* \(#,##0.00\);_(&quot;$&quot;* &quot;-&quot;??_);_(@_)">
                  <c:v>37231.554148716503</c:v>
                </c:pt>
                <c:pt idx="1203" formatCode="_(&quot;$&quot;* #,##0.00_);_(&quot;$&quot;* \(#,##0.00\);_(&quot;$&quot;* &quot;-&quot;??_);_(@_)">
                  <c:v>37382.294979243896</c:v>
                </c:pt>
                <c:pt idx="1204" formatCode="_(&quot;$&quot;* #,##0.00_);_(&quot;$&quot;* \(#,##0.00\);_(&quot;$&quot;* &quot;-&quot;??_);_(@_)">
                  <c:v>37437.215686852702</c:v>
                </c:pt>
                <c:pt idx="1205" formatCode="_(&quot;$&quot;* #,##0.00_);_(&quot;$&quot;* \(#,##0.00\);_(&quot;$&quot;* &quot;-&quot;??_);_(@_)">
                  <c:v>37622.594621955679</c:v>
                </c:pt>
                <c:pt idx="1206" formatCode="_(&quot;$&quot;* #,##0.00_);_(&quot;$&quot;* \(#,##0.00\);_(&quot;$&quot;* &quot;-&quot;??_);_(@_)">
                  <c:v>37593.221833879405</c:v>
                </c:pt>
                <c:pt idx="1207" formatCode="_(&quot;$&quot;* #,##0.00_);_(&quot;$&quot;* \(#,##0.00\);_(&quot;$&quot;* &quot;-&quot;??_);_(@_)">
                  <c:v>37683.569516071046</c:v>
                </c:pt>
                <c:pt idx="1208" formatCode="_(&quot;$&quot;* #,##0.00_);_(&quot;$&quot;* \(#,##0.00\);_(&quot;$&quot;* &quot;-&quot;??_);_(@_)">
                  <c:v>37422.626128348253</c:v>
                </c:pt>
                <c:pt idx="1209" formatCode="_(&quot;$&quot;* #,##0.00_);_(&quot;$&quot;* \(#,##0.00\);_(&quot;$&quot;* &quot;-&quot;??_);_(@_)">
                  <c:v>37097.032151660147</c:v>
                </c:pt>
                <c:pt idx="1210" formatCode="_(&quot;$&quot;* #,##0.00_);_(&quot;$&quot;* \(#,##0.00\);_(&quot;$&quot;* &quot;-&quot;??_);_(@_)">
                  <c:v>36719.818303284555</c:v>
                </c:pt>
                <c:pt idx="1211" formatCode="_(&quot;$&quot;* #,##0.00_);_(&quot;$&quot;* \(#,##0.00\);_(&quot;$&quot;* &quot;-&quot;??_);_(@_)">
                  <c:v>35561.830806207421</c:v>
                </c:pt>
                <c:pt idx="1212" formatCode="_(&quot;$&quot;* #,##0.00_);_(&quot;$&quot;* \(#,##0.00\);_(&quot;$&quot;* &quot;-&quot;??_);_(@_)">
                  <c:v>35894.111880789824</c:v>
                </c:pt>
                <c:pt idx="1213" formatCode="_(&quot;$&quot;* #,##0.00_);_(&quot;$&quot;* \(#,##0.00\);_(&quot;$&quot;* &quot;-&quot;??_);_(@_)">
                  <c:v>34839.516878170398</c:v>
                </c:pt>
                <c:pt idx="1214" formatCode="_(&quot;$&quot;* #,##0.00_);_(&quot;$&quot;* \(#,##0.00\);_(&quot;$&quot;* &quot;-&quot;??_);_(@_)">
                  <c:v>34534.532990774336</c:v>
                </c:pt>
                <c:pt idx="1215" formatCode="_(&quot;$&quot;* #,##0.00_);_(&quot;$&quot;* \(#,##0.00\);_(&quot;$&quot;* &quot;-&quot;??_);_(@_)">
                  <c:v>34675.119028032095</c:v>
                </c:pt>
                <c:pt idx="1216" formatCode="_(&quot;$&quot;* #,##0.00_);_(&quot;$&quot;* \(#,##0.00\);_(&quot;$&quot;* &quot;-&quot;??_);_(@_)">
                  <c:v>35040.133029116201</c:v>
                </c:pt>
                <c:pt idx="1217" formatCode="_(&quot;$&quot;* #,##0.00_);_(&quot;$&quot;* \(#,##0.00\);_(&quot;$&quot;* &quot;-&quot;??_);_(@_)">
                  <c:v>36222.382278298748</c:v>
                </c:pt>
                <c:pt idx="1218" formatCode="_(&quot;$&quot;* #,##0.00_);_(&quot;$&quot;* \(#,##0.00\);_(&quot;$&quot;* &quot;-&quot;??_);_(@_)">
                  <c:v>35959.742785986629</c:v>
                </c:pt>
                <c:pt idx="1219" formatCode="_(&quot;$&quot;* #,##0.00_);_(&quot;$&quot;* \(#,##0.00\);_(&quot;$&quot;* &quot;-&quot;??_);_(@_)">
                  <c:v>36209.757051127533</c:v>
                </c:pt>
                <c:pt idx="1220" formatCode="_(&quot;$&quot;* #,##0.00_);_(&quot;$&quot;* \(#,##0.00\);_(&quot;$&quot;* &quot;-&quot;??_);_(@_)">
                  <c:v>36525.689110624298</c:v>
                </c:pt>
                <c:pt idx="1221" formatCode="_(&quot;$&quot;* #,##0.00_);_(&quot;$&quot;* \(#,##0.00\);_(&quot;$&quot;* &quot;-&quot;??_);_(@_)">
                  <c:v>36377.686294670559</c:v>
                </c:pt>
                <c:pt idx="1222" formatCode="_(&quot;$&quot;* #,##0.00_);_(&quot;$&quot;* \(#,##0.00\);_(&quot;$&quot;* &quot;-&quot;??_);_(@_)">
                  <c:v>35268.98559932888</c:v>
                </c:pt>
                <c:pt idx="1223" formatCode="_(&quot;$&quot;* #,##0.00_);_(&quot;$&quot;* \(#,##0.00\);_(&quot;$&quot;* &quot;-&quot;??_);_(@_)">
                  <c:v>36028.627724118029</c:v>
                </c:pt>
                <c:pt idx="1224" formatCode="_(&quot;$&quot;* #,##0.00_);_(&quot;$&quot;* \(#,##0.00\);_(&quot;$&quot;* &quot;-&quot;??_);_(@_)">
                  <c:v>36535.266456333804</c:v>
                </c:pt>
                <c:pt idx="1225" formatCode="_(&quot;$&quot;* #,##0.00_);_(&quot;$&quot;* \(#,##0.00\);_(&quot;$&quot;* &quot;-&quot;??_);_(@_)">
                  <c:v>36578.356912978292</c:v>
                </c:pt>
                <c:pt idx="1226" formatCode="_(&quot;$&quot;* #,##0.00_);_(&quot;$&quot;* \(#,##0.00\);_(&quot;$&quot;* &quot;-&quot;??_);_(@_)">
                  <c:v>36233.710703372613</c:v>
                </c:pt>
                <c:pt idx="1227" formatCode="_(&quot;$&quot;* #,##0.00_);_(&quot;$&quot;* \(#,##0.00\);_(&quot;$&quot;* &quot;-&quot;??_);_(@_)">
                  <c:v>35323.608692256508</c:v>
                </c:pt>
                <c:pt idx="1228" formatCode="_(&quot;$&quot;* #,##0.00_);_(&quot;$&quot;* \(#,##0.00\);_(&quot;$&quot;* &quot;-&quot;??_);_(@_)">
                  <c:v>35759.652116793084</c:v>
                </c:pt>
                <c:pt idx="1229" formatCode="_(&quot;$&quot;* #,##0.00_);_(&quot;$&quot;* \(#,##0.00\);_(&quot;$&quot;* &quot;-&quot;??_);_(@_)">
                  <c:v>36593.934090784525</c:v>
                </c:pt>
                <c:pt idx="1230" formatCode="_(&quot;$&quot;* #,##0.00_);_(&quot;$&quot;* \(#,##0.00\);_(&quot;$&quot;* &quot;-&quot;??_);_(@_)">
                  <c:v>35763.071142590117</c:v>
                </c:pt>
                <c:pt idx="1231" formatCode="_(&quot;$&quot;* #,##0.00_);_(&quot;$&quot;* \(#,##0.00\);_(&quot;$&quot;* &quot;-&quot;??_);_(@_)">
                  <c:v>36112.678757996247</c:v>
                </c:pt>
                <c:pt idx="1232" formatCode="_(&quot;$&quot;* #,##0.00_);_(&quot;$&quot;* \(#,##0.00\);_(&quot;$&quot;* &quot;-&quot;??_);_(@_)">
                  <c:v>36981.959267054102</c:v>
                </c:pt>
                <c:pt idx="1233" formatCode="_(&quot;$&quot;* #,##0.00_);_(&quot;$&quot;* \(#,##0.00\);_(&quot;$&quot;* &quot;-&quot;??_);_(@_)">
                  <c:v>37215.855027845966</c:v>
                </c:pt>
                <c:pt idx="1234" formatCode="_(&quot;$&quot;* #,##0.00_);_(&quot;$&quot;* \(#,##0.00\);_(&quot;$&quot;* &quot;-&quot;??_);_(@_)">
                  <c:v>37272.165048493029</c:v>
                </c:pt>
                <c:pt idx="1235" formatCode="_(&quot;$&quot;* #,##0.00_);_(&quot;$&quot;* \(#,##0.00\);_(&quot;$&quot;* &quot;-&quot;??_);_(@_)">
                  <c:v>38005.114176254778</c:v>
                </c:pt>
                <c:pt idx="1236" formatCode="_(&quot;$&quot;* #,##0.00_);_(&quot;$&quot;* \(#,##0.00\);_(&quot;$&quot;* &quot;-&quot;??_);_(@_)">
                  <c:v>38724.268440157466</c:v>
                </c:pt>
                <c:pt idx="1237" formatCode="_(&quot;$&quot;* #,##0.00_);_(&quot;$&quot;* \(#,##0.00\);_(&quot;$&quot;* &quot;-&quot;??_);_(@_)">
                  <c:v>39345.511660342738</c:v>
                </c:pt>
                <c:pt idx="1238" formatCode="_(&quot;$&quot;* #,##0.00_);_(&quot;$&quot;* \(#,##0.00\);_(&quot;$&quot;* &quot;-&quot;??_);_(@_)">
                  <c:v>40868.728753154726</c:v>
                </c:pt>
                <c:pt idx="1239" formatCode="_(&quot;$&quot;* #,##0.00_);_(&quot;$&quot;* \(#,##0.00\);_(&quot;$&quot;* &quot;-&quot;??_);_(@_)">
                  <c:v>41072.618080933287</c:v>
                </c:pt>
                <c:pt idx="1240" formatCode="_(&quot;$&quot;* #,##0.00_);_(&quot;$&quot;* \(#,##0.00\);_(&quot;$&quot;* &quot;-&quot;??_);_(@_)">
                  <c:v>40788.826495001274</c:v>
                </c:pt>
                <c:pt idx="1241" formatCode="_(&quot;$&quot;* #,##0.00_);_(&quot;$&quot;* \(#,##0.00\);_(&quot;$&quot;* &quot;-&quot;??_);_(@_)">
                  <c:v>41462.896868077325</c:v>
                </c:pt>
                <c:pt idx="1242" formatCode="_(&quot;$&quot;* #,##0.00_);_(&quot;$&quot;* \(#,##0.00\);_(&quot;$&quot;* &quot;-&quot;??_);_(@_)">
                  <c:v>41374.831019542595</c:v>
                </c:pt>
                <c:pt idx="1243" formatCode="_(&quot;$&quot;* #,##0.00_);_(&quot;$&quot;* \(#,##0.00\);_(&quot;$&quot;* &quot;-&quot;??_);_(@_)">
                  <c:v>42243.048634377192</c:v>
                </c:pt>
                <c:pt idx="1244" formatCode="_(&quot;$&quot;* #,##0.00_);_(&quot;$&quot;* \(#,##0.00\);_(&quot;$&quot;* &quot;-&quot;??_);_(@_)">
                  <c:v>42920.043095395413</c:v>
                </c:pt>
                <c:pt idx="1245" formatCode="_(&quot;$&quot;* #,##0.00_);_(&quot;$&quot;* \(#,##0.00\);_(&quot;$&quot;* &quot;-&quot;??_);_(@_)">
                  <c:v>43652.241361135653</c:v>
                </c:pt>
                <c:pt idx="1246" formatCode="_(&quot;$&quot;* #,##0.00_);_(&quot;$&quot;* \(#,##0.00\);_(&quot;$&quot;* &quot;-&quot;??_);_(@_)">
                  <c:v>44579.222956611593</c:v>
                </c:pt>
                <c:pt idx="1247" formatCode="_(&quot;$&quot;* #,##0.00_);_(&quot;$&quot;* \(#,##0.00\);_(&quot;$&quot;* &quot;-&quot;??_);_(@_)">
                  <c:v>45217.612316124068</c:v>
                </c:pt>
                <c:pt idx="1248" formatCode="_(&quot;$&quot;* #,##0.00_);_(&quot;$&quot;* \(#,##0.00\);_(&quot;$&quot;* &quot;-&quot;??_);_(@_)">
                  <c:v>43378.789801693863</c:v>
                </c:pt>
                <c:pt idx="1249" formatCode="_(&quot;$&quot;* #,##0.00_);_(&quot;$&quot;* \(#,##0.00\);_(&quot;$&quot;* &quot;-&quot;??_);_(@_)">
                  <c:v>42487.023057179606</c:v>
                </c:pt>
                <c:pt idx="1250" formatCode="_(&quot;$&quot;* #,##0.00_);_(&quot;$&quot;* \(#,##0.00\);_(&quot;$&quot;* &quot;-&quot;??_);_(@_)">
                  <c:v>42039.414893298817</c:v>
                </c:pt>
                <c:pt idx="1251" formatCode="_(&quot;$&quot;* #,##0.00_);_(&quot;$&quot;* \(#,##0.00\);_(&quot;$&quot;* &quot;-&quot;??_);_(@_)">
                  <c:v>41673.57872859059</c:v>
                </c:pt>
                <c:pt idx="1252" formatCode="_(&quot;$&quot;* #,##0.00_);_(&quot;$&quot;* \(#,##0.00\);_(&quot;$&quot;* &quot;-&quot;??_);_(@_)">
                  <c:v>41646.198497599507</c:v>
                </c:pt>
                <c:pt idx="1253" formatCode="_(&quot;$&quot;* #,##0.00_);_(&quot;$&quot;* \(#,##0.00\);_(&quot;$&quot;* &quot;-&quot;??_);_(@_)">
                  <c:v>42009.784250400407</c:v>
                </c:pt>
                <c:pt idx="1254" formatCode="_(&quot;$&quot;* #,##0.00_);_(&quot;$&quot;* \(#,##0.00\);_(&quot;$&quot;* &quot;-&quot;??_);_(@_)">
                  <c:v>41930.494925279556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4-4E17-8396-4845B188F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956847"/>
        <c:axId val="1145506831"/>
      </c:lineChart>
      <c:dateAx>
        <c:axId val="11379568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06831"/>
        <c:crosses val="autoZero"/>
        <c:auto val="1"/>
        <c:lblOffset val="100"/>
        <c:baseTimeUnit val="days"/>
      </c:dateAx>
      <c:valAx>
        <c:axId val="11455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5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407670</xdr:colOff>
      <xdr:row>2</xdr:row>
      <xdr:rowOff>80010</xdr:rowOff>
    </xdr:from>
    <xdr:to>
      <xdr:col>45</xdr:col>
      <xdr:colOff>449580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5B16E-6B44-7D1A-50EB-7FA9928E6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C0EE-55EE-48F0-8470-EF2E7E6344AE}">
  <dimension ref="A1:AF1257"/>
  <sheetViews>
    <sheetView tabSelected="1" workbookViewId="0">
      <pane xSplit="1" ySplit="2" topLeftCell="B1006" activePane="bottomRight" state="frozen"/>
      <selection pane="topRight" activeCell="B1" sqref="B1"/>
      <selection pane="bottomLeft" activeCell="A3" sqref="A3"/>
      <selection pane="bottomRight" activeCell="F1006" sqref="F1006"/>
    </sheetView>
  </sheetViews>
  <sheetFormatPr defaultRowHeight="14.4" x14ac:dyDescent="0.3"/>
  <cols>
    <col min="1" max="1" width="10.33203125" bestFit="1" customWidth="1"/>
    <col min="2" max="2" width="8.88671875" style="2"/>
    <col min="3" max="3" width="12.21875" style="2" bestFit="1" customWidth="1"/>
    <col min="4" max="4" width="12.21875" bestFit="1" customWidth="1"/>
    <col min="6" max="6" width="12.21875" bestFit="1" customWidth="1"/>
    <col min="8" max="8" width="10.77734375" bestFit="1" customWidth="1"/>
    <col min="9" max="9" width="11.21875" bestFit="1" customWidth="1"/>
    <col min="10" max="11" width="11.21875" customWidth="1"/>
    <col min="17" max="20" width="8.88671875" style="4"/>
    <col min="21" max="21" width="12.77734375" bestFit="1" customWidth="1"/>
    <col min="22" max="22" width="12.21875" bestFit="1" customWidth="1"/>
    <col min="23" max="24" width="11.21875" bestFit="1" customWidth="1"/>
    <col min="25" max="26" width="12.21875" bestFit="1" customWidth="1"/>
    <col min="27" max="28" width="11.21875" bestFit="1" customWidth="1"/>
  </cols>
  <sheetData>
    <row r="1" spans="1:32" x14ac:dyDescent="0.3">
      <c r="D1" s="2"/>
      <c r="F1" s="10">
        <v>100000</v>
      </c>
      <c r="G1" s="10"/>
      <c r="H1" s="11" t="s">
        <v>7</v>
      </c>
      <c r="I1" s="11"/>
      <c r="J1" s="11" t="s">
        <v>10</v>
      </c>
      <c r="K1" s="11"/>
      <c r="M1" s="11" t="s">
        <v>8</v>
      </c>
      <c r="N1" s="11"/>
      <c r="O1" s="11"/>
      <c r="P1" s="11"/>
      <c r="Q1" s="11" t="s">
        <v>9</v>
      </c>
      <c r="R1" s="11"/>
      <c r="S1" s="11"/>
      <c r="T1" s="11"/>
      <c r="U1" s="9">
        <f>SUM(U12:U1257)</f>
        <v>-4579.671946097249</v>
      </c>
      <c r="V1" s="9">
        <f t="shared" ref="V1:X1" si="0">SUM(V12:V1257)</f>
        <v>14502.685268118696</v>
      </c>
      <c r="W1" s="9">
        <f t="shared" si="0"/>
        <v>84412.921628958851</v>
      </c>
      <c r="X1" s="9">
        <f t="shared" si="0"/>
        <v>41930.494925279556</v>
      </c>
      <c r="Y1" s="11" t="s">
        <v>12</v>
      </c>
      <c r="Z1" s="11"/>
      <c r="AA1" s="11"/>
      <c r="AB1" s="11"/>
    </row>
    <row r="2" spans="1:32" s="8" customFormat="1" x14ac:dyDescent="0.3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1</v>
      </c>
      <c r="I2" s="7" t="s">
        <v>2</v>
      </c>
      <c r="J2" s="7" t="s">
        <v>14</v>
      </c>
      <c r="K2" s="7" t="s">
        <v>15</v>
      </c>
      <c r="L2" s="7" t="str">
        <f>_xlfn.CONCAT(C2,"/",B2)</f>
        <v>SPY/RSP</v>
      </c>
      <c r="M2" s="7">
        <v>10</v>
      </c>
      <c r="N2" s="7">
        <v>20</v>
      </c>
      <c r="O2" s="7">
        <v>50</v>
      </c>
      <c r="P2" s="7">
        <v>200</v>
      </c>
      <c r="Q2" s="7">
        <f>M2</f>
        <v>10</v>
      </c>
      <c r="R2" s="7">
        <f t="shared" ref="R2:X2" si="1">N2</f>
        <v>20</v>
      </c>
      <c r="S2" s="7">
        <f t="shared" si="1"/>
        <v>50</v>
      </c>
      <c r="T2" s="7">
        <f t="shared" si="1"/>
        <v>200</v>
      </c>
      <c r="U2" s="7">
        <f t="shared" si="1"/>
        <v>10</v>
      </c>
      <c r="V2" s="7">
        <f t="shared" si="1"/>
        <v>20</v>
      </c>
      <c r="W2" s="7">
        <f t="shared" si="1"/>
        <v>50</v>
      </c>
      <c r="X2" s="7">
        <f t="shared" si="1"/>
        <v>200</v>
      </c>
      <c r="Y2" s="7">
        <f t="shared" ref="Y2" si="2">U2</f>
        <v>10</v>
      </c>
      <c r="Z2" s="7">
        <f t="shared" ref="Z2" si="3">V2</f>
        <v>20</v>
      </c>
      <c r="AA2" s="7">
        <f t="shared" ref="AA2" si="4">W2</f>
        <v>50</v>
      </c>
      <c r="AB2" s="7">
        <f t="shared" ref="AB2" si="5">X2</f>
        <v>200</v>
      </c>
    </row>
    <row r="3" spans="1:32" x14ac:dyDescent="0.3">
      <c r="A3" s="1">
        <v>44417</v>
      </c>
      <c r="B3" s="2">
        <v>153.71</v>
      </c>
      <c r="C3" s="2">
        <v>442.13</v>
      </c>
      <c r="D3" s="4" t="s">
        <v>11</v>
      </c>
      <c r="E3" s="4" t="s">
        <v>11</v>
      </c>
      <c r="F3" s="3">
        <f>F$1/B3</f>
        <v>650.57575954719925</v>
      </c>
      <c r="G3" s="3">
        <f>F$1/C3</f>
        <v>226.17782100287246</v>
      </c>
      <c r="H3" s="4" t="s">
        <v>11</v>
      </c>
      <c r="I3" s="4" t="s">
        <v>11</v>
      </c>
      <c r="J3" s="4" t="s">
        <v>11</v>
      </c>
      <c r="K3" s="4" t="s">
        <v>11</v>
      </c>
      <c r="L3" s="3">
        <f>C3/B3</f>
        <v>2.8763906056860318</v>
      </c>
      <c r="M3" s="12" t="s">
        <v>11</v>
      </c>
      <c r="N3" s="12" t="s">
        <v>11</v>
      </c>
      <c r="O3" s="12" t="s">
        <v>11</v>
      </c>
      <c r="P3" s="12" t="s">
        <v>11</v>
      </c>
      <c r="Q3" s="12" t="s">
        <v>11</v>
      </c>
      <c r="R3" s="12" t="s">
        <v>11</v>
      </c>
      <c r="S3" s="12" t="s">
        <v>11</v>
      </c>
      <c r="T3" s="12" t="s">
        <v>11</v>
      </c>
      <c r="U3" s="12" t="s">
        <v>11</v>
      </c>
      <c r="V3" s="12" t="s">
        <v>11</v>
      </c>
      <c r="W3" s="12" t="s">
        <v>11</v>
      </c>
      <c r="X3" s="12" t="s">
        <v>11</v>
      </c>
      <c r="Y3" s="12" t="s">
        <v>11</v>
      </c>
      <c r="Z3" s="12" t="s">
        <v>11</v>
      </c>
      <c r="AA3" s="12" t="s">
        <v>11</v>
      </c>
      <c r="AB3" s="12" t="s">
        <v>11</v>
      </c>
    </row>
    <row r="4" spans="1:32" x14ac:dyDescent="0.3">
      <c r="A4" s="1">
        <v>44418</v>
      </c>
      <c r="B4" s="2">
        <v>154.43</v>
      </c>
      <c r="C4" s="2">
        <v>442.68</v>
      </c>
      <c r="D4" s="9">
        <f>B4-B3</f>
        <v>0.71999999999999886</v>
      </c>
      <c r="E4" s="9">
        <f>C4-C3</f>
        <v>0.55000000000001137</v>
      </c>
      <c r="F4" s="3">
        <f>F$1/B4</f>
        <v>647.54257592436704</v>
      </c>
      <c r="G4" s="3">
        <f>F$1/C4</f>
        <v>225.89681033703803</v>
      </c>
      <c r="H4" s="2">
        <f>D4*F3</f>
        <v>468.41454687398272</v>
      </c>
      <c r="I4" s="2">
        <f>E4*G3</f>
        <v>124.39780155158243</v>
      </c>
      <c r="J4" s="2">
        <f>I4-H4</f>
        <v>-344.01674532240031</v>
      </c>
      <c r="K4" s="2">
        <f>H4-I4</f>
        <v>344.01674532240031</v>
      </c>
      <c r="L4" s="3">
        <f>C4/B4</f>
        <v>2.8665414751019878</v>
      </c>
      <c r="M4" s="12" t="s">
        <v>11</v>
      </c>
      <c r="N4" s="12" t="s">
        <v>11</v>
      </c>
      <c r="O4" s="12" t="s">
        <v>11</v>
      </c>
      <c r="P4" s="12" t="s">
        <v>11</v>
      </c>
      <c r="Q4" s="12" t="s">
        <v>11</v>
      </c>
      <c r="R4" s="12" t="s">
        <v>11</v>
      </c>
      <c r="S4" s="12" t="s">
        <v>11</v>
      </c>
      <c r="T4" s="12" t="s">
        <v>11</v>
      </c>
      <c r="U4" s="12" t="s">
        <v>11</v>
      </c>
      <c r="V4" s="12" t="s">
        <v>11</v>
      </c>
      <c r="W4" s="12" t="s">
        <v>11</v>
      </c>
      <c r="X4" s="12" t="s">
        <v>11</v>
      </c>
      <c r="Y4" s="12" t="s">
        <v>11</v>
      </c>
      <c r="Z4" s="12" t="s">
        <v>11</v>
      </c>
      <c r="AA4" s="12" t="s">
        <v>11</v>
      </c>
      <c r="AB4" s="12" t="s">
        <v>11</v>
      </c>
    </row>
    <row r="5" spans="1:32" x14ac:dyDescent="0.3">
      <c r="A5" s="1">
        <v>44419</v>
      </c>
      <c r="B5" s="2">
        <v>155.41999999999999</v>
      </c>
      <c r="C5" s="2">
        <v>443.78</v>
      </c>
      <c r="D5" s="9">
        <f>B5-B4</f>
        <v>0.98999999999998067</v>
      </c>
      <c r="E5" s="9">
        <f>C5-C4</f>
        <v>1.0999999999999659</v>
      </c>
      <c r="F5" s="3">
        <f>F$1/B5</f>
        <v>643.41783554240124</v>
      </c>
      <c r="G5" s="3">
        <f>F$1/C5</f>
        <v>225.33687863355718</v>
      </c>
      <c r="H5" s="2">
        <f>D5*F4</f>
        <v>641.06715016511089</v>
      </c>
      <c r="I5" s="2">
        <f>E5*G4</f>
        <v>248.48649137073414</v>
      </c>
      <c r="J5" s="2">
        <f>I5-H5</f>
        <v>-392.58065879437675</v>
      </c>
      <c r="K5" s="2">
        <f t="shared" ref="K5:K68" si="6">H5-I5</f>
        <v>392.58065879437675</v>
      </c>
      <c r="L5" s="3">
        <f>C5/B5</f>
        <v>2.8553596705700683</v>
      </c>
      <c r="M5" s="12" t="s">
        <v>11</v>
      </c>
      <c r="N5" s="12" t="s">
        <v>11</v>
      </c>
      <c r="O5" s="12" t="s">
        <v>11</v>
      </c>
      <c r="P5" s="12" t="s">
        <v>11</v>
      </c>
      <c r="Q5" s="12" t="s">
        <v>11</v>
      </c>
      <c r="R5" s="12" t="s">
        <v>11</v>
      </c>
      <c r="S5" s="12" t="s">
        <v>11</v>
      </c>
      <c r="T5" s="12" t="s">
        <v>11</v>
      </c>
      <c r="U5" s="12" t="s">
        <v>11</v>
      </c>
      <c r="V5" s="12" t="s">
        <v>11</v>
      </c>
      <c r="W5" s="12" t="s">
        <v>11</v>
      </c>
      <c r="X5" s="12" t="s">
        <v>11</v>
      </c>
      <c r="Y5" s="12" t="s">
        <v>11</v>
      </c>
      <c r="Z5" s="12" t="s">
        <v>11</v>
      </c>
      <c r="AA5" s="12" t="s">
        <v>11</v>
      </c>
      <c r="AB5" s="12" t="s">
        <v>11</v>
      </c>
    </row>
    <row r="6" spans="1:32" x14ac:dyDescent="0.3">
      <c r="A6" s="1">
        <v>44420</v>
      </c>
      <c r="B6" s="2">
        <v>155.34</v>
      </c>
      <c r="C6" s="2">
        <v>445.11</v>
      </c>
      <c r="D6" s="9">
        <f>B6-B5</f>
        <v>-7.9999999999984084E-2</v>
      </c>
      <c r="E6" s="9">
        <f>C6-C5</f>
        <v>1.3300000000000409</v>
      </c>
      <c r="F6" s="3">
        <f>F$1/B6</f>
        <v>643.74919531350588</v>
      </c>
      <c r="G6" s="3">
        <f>F$1/C6</f>
        <v>224.6635663094516</v>
      </c>
      <c r="H6" s="2">
        <f>D6*F5</f>
        <v>-51.473426843381858</v>
      </c>
      <c r="I6" s="2">
        <f>E6*G5</f>
        <v>299.69804858264024</v>
      </c>
      <c r="J6" s="2">
        <f>I6-H6</f>
        <v>351.17147542602208</v>
      </c>
      <c r="K6" s="2">
        <f t="shared" si="6"/>
        <v>-351.17147542602208</v>
      </c>
      <c r="L6" s="3">
        <f>C6/B6</f>
        <v>2.8653920432599458</v>
      </c>
      <c r="M6" s="12" t="s">
        <v>11</v>
      </c>
      <c r="N6" s="12" t="s">
        <v>11</v>
      </c>
      <c r="O6" s="12" t="s">
        <v>11</v>
      </c>
      <c r="P6" s="12" t="s">
        <v>11</v>
      </c>
      <c r="Q6" s="12" t="s">
        <v>11</v>
      </c>
      <c r="R6" s="12" t="s">
        <v>11</v>
      </c>
      <c r="S6" s="12" t="s">
        <v>11</v>
      </c>
      <c r="T6" s="12" t="s">
        <v>11</v>
      </c>
      <c r="U6" s="12" t="s">
        <v>11</v>
      </c>
      <c r="V6" s="12" t="s">
        <v>11</v>
      </c>
      <c r="W6" s="12" t="s">
        <v>11</v>
      </c>
      <c r="X6" s="12" t="s">
        <v>11</v>
      </c>
      <c r="Y6" s="12" t="s">
        <v>11</v>
      </c>
      <c r="Z6" s="12" t="s">
        <v>11</v>
      </c>
      <c r="AA6" s="12" t="s">
        <v>11</v>
      </c>
      <c r="AB6" s="12" t="s">
        <v>11</v>
      </c>
    </row>
    <row r="7" spans="1:32" x14ac:dyDescent="0.3">
      <c r="A7" s="1">
        <v>44421</v>
      </c>
      <c r="B7" s="2">
        <v>155.32</v>
      </c>
      <c r="C7" s="2">
        <v>445.92</v>
      </c>
      <c r="D7" s="9">
        <f>B7-B6</f>
        <v>-2.0000000000010232E-2</v>
      </c>
      <c r="E7" s="9">
        <f>C7-C6</f>
        <v>0.81000000000000227</v>
      </c>
      <c r="F7" s="3">
        <f>F$1/B7</f>
        <v>643.83208859129547</v>
      </c>
      <c r="G7" s="3">
        <f>F$1/C7</f>
        <v>224.25547183351273</v>
      </c>
      <c r="H7" s="2">
        <f>D7*F6</f>
        <v>-12.874983906276704</v>
      </c>
      <c r="I7" s="2">
        <f>E7*G6</f>
        <v>181.9774887106563</v>
      </c>
      <c r="J7" s="2">
        <f>I7-H7</f>
        <v>194.852472616933</v>
      </c>
      <c r="K7" s="2">
        <f t="shared" si="6"/>
        <v>-194.852472616933</v>
      </c>
      <c r="L7" s="3">
        <f>C7/B7</f>
        <v>2.8709760494463046</v>
      </c>
      <c r="M7" s="12" t="s">
        <v>11</v>
      </c>
      <c r="N7" s="12" t="s">
        <v>11</v>
      </c>
      <c r="O7" s="12" t="s">
        <v>11</v>
      </c>
      <c r="P7" s="12" t="s">
        <v>11</v>
      </c>
      <c r="Q7" s="12" t="s">
        <v>11</v>
      </c>
      <c r="R7" s="12" t="s">
        <v>11</v>
      </c>
      <c r="S7" s="12" t="s">
        <v>11</v>
      </c>
      <c r="T7" s="12" t="s">
        <v>11</v>
      </c>
      <c r="U7" s="12" t="s">
        <v>11</v>
      </c>
      <c r="V7" s="12" t="s">
        <v>11</v>
      </c>
      <c r="W7" s="12" t="s">
        <v>11</v>
      </c>
      <c r="X7" s="12" t="s">
        <v>11</v>
      </c>
      <c r="Y7" s="12" t="s">
        <v>11</v>
      </c>
      <c r="Z7" s="12" t="s">
        <v>11</v>
      </c>
      <c r="AA7" s="12" t="s">
        <v>11</v>
      </c>
      <c r="AB7" s="12" t="s">
        <v>11</v>
      </c>
    </row>
    <row r="8" spans="1:32" x14ac:dyDescent="0.3">
      <c r="A8" s="1">
        <v>44424</v>
      </c>
      <c r="B8" s="2">
        <v>155.37</v>
      </c>
      <c r="C8" s="2">
        <v>446.97</v>
      </c>
      <c r="D8" s="9">
        <f>B8-B7</f>
        <v>5.0000000000011369E-2</v>
      </c>
      <c r="E8" s="9">
        <f>C8-C7</f>
        <v>1.0500000000000114</v>
      </c>
      <c r="F8" s="3">
        <f>F$1/B8</f>
        <v>643.62489541095442</v>
      </c>
      <c r="G8" s="3">
        <f>F$1/C8</f>
        <v>223.72866187887328</v>
      </c>
      <c r="H8" s="2">
        <f>D8*F7</f>
        <v>32.191604429572095</v>
      </c>
      <c r="I8" s="2">
        <f>E8*G7</f>
        <v>235.46824542519093</v>
      </c>
      <c r="J8" s="2">
        <f>I8-H8</f>
        <v>203.27664099561883</v>
      </c>
      <c r="K8" s="2">
        <f t="shared" si="6"/>
        <v>-203.27664099561883</v>
      </c>
      <c r="L8" s="3">
        <f>C8/B8</f>
        <v>2.8768101950183436</v>
      </c>
      <c r="M8" s="12" t="s">
        <v>11</v>
      </c>
      <c r="N8" s="12" t="s">
        <v>11</v>
      </c>
      <c r="O8" s="12" t="s">
        <v>11</v>
      </c>
      <c r="P8" s="12" t="s">
        <v>11</v>
      </c>
      <c r="Q8" s="12" t="s">
        <v>11</v>
      </c>
      <c r="R8" s="12" t="s">
        <v>11</v>
      </c>
      <c r="S8" s="12" t="s">
        <v>11</v>
      </c>
      <c r="T8" s="12" t="s">
        <v>11</v>
      </c>
      <c r="U8" s="12" t="s">
        <v>11</v>
      </c>
      <c r="V8" s="12" t="s">
        <v>11</v>
      </c>
      <c r="W8" s="12" t="s">
        <v>11</v>
      </c>
      <c r="X8" s="12" t="s">
        <v>11</v>
      </c>
      <c r="Y8" s="12" t="s">
        <v>11</v>
      </c>
      <c r="Z8" s="12" t="s">
        <v>11</v>
      </c>
      <c r="AA8" s="12" t="s">
        <v>11</v>
      </c>
      <c r="AB8" s="12" t="s">
        <v>11</v>
      </c>
    </row>
    <row r="9" spans="1:32" x14ac:dyDescent="0.3">
      <c r="A9" s="1">
        <v>44425</v>
      </c>
      <c r="B9" s="2">
        <v>154.19999999999999</v>
      </c>
      <c r="C9" s="2">
        <v>444.04</v>
      </c>
      <c r="D9" s="9">
        <f>B9-B8</f>
        <v>-1.1700000000000159</v>
      </c>
      <c r="E9" s="9">
        <f>C9-C8</f>
        <v>-2.9300000000000068</v>
      </c>
      <c r="F9" s="3">
        <f>F$1/B9</f>
        <v>648.50843060959801</v>
      </c>
      <c r="G9" s="3">
        <f>F$1/C9</f>
        <v>225.20493649220791</v>
      </c>
      <c r="H9" s="2">
        <f>D9*F8</f>
        <v>-753.04112763082696</v>
      </c>
      <c r="I9" s="2">
        <f>E9*G8</f>
        <v>-655.52497930510026</v>
      </c>
      <c r="J9" s="2">
        <f>I9-H9</f>
        <v>97.516148325726704</v>
      </c>
      <c r="K9" s="2">
        <f t="shared" si="6"/>
        <v>-97.516148325726704</v>
      </c>
      <c r="L9" s="3">
        <f>C9/B9</f>
        <v>2.8796368352788591</v>
      </c>
      <c r="M9" s="12" t="s">
        <v>11</v>
      </c>
      <c r="N9" s="12" t="s">
        <v>11</v>
      </c>
      <c r="O9" s="12" t="s">
        <v>11</v>
      </c>
      <c r="P9" s="12" t="s">
        <v>11</v>
      </c>
      <c r="Q9" s="12" t="s">
        <v>11</v>
      </c>
      <c r="R9" s="12" t="s">
        <v>11</v>
      </c>
      <c r="S9" s="12" t="s">
        <v>11</v>
      </c>
      <c r="T9" s="12" t="s">
        <v>11</v>
      </c>
      <c r="U9" s="12" t="s">
        <v>11</v>
      </c>
      <c r="V9" s="12" t="s">
        <v>11</v>
      </c>
      <c r="W9" s="12" t="s">
        <v>11</v>
      </c>
      <c r="X9" s="12" t="s">
        <v>11</v>
      </c>
      <c r="Y9" s="12" t="s">
        <v>11</v>
      </c>
      <c r="Z9" s="12" t="s">
        <v>11</v>
      </c>
      <c r="AA9" s="12" t="s">
        <v>11</v>
      </c>
      <c r="AB9" s="12" t="s">
        <v>11</v>
      </c>
    </row>
    <row r="10" spans="1:32" x14ac:dyDescent="0.3">
      <c r="A10" s="1">
        <v>44426</v>
      </c>
      <c r="B10" s="2">
        <v>152.61000000000001</v>
      </c>
      <c r="C10" s="2">
        <v>439.18</v>
      </c>
      <c r="D10" s="9">
        <f>B10-B9</f>
        <v>-1.589999999999975</v>
      </c>
      <c r="E10" s="9">
        <f>C10-C9</f>
        <v>-4.8600000000000136</v>
      </c>
      <c r="F10" s="3">
        <f>F$1/B10</f>
        <v>655.26505471463202</v>
      </c>
      <c r="G10" s="3">
        <f>F$1/C10</f>
        <v>227.69707181565644</v>
      </c>
      <c r="H10" s="2">
        <f>D10*F9</f>
        <v>-1031.1284046692447</v>
      </c>
      <c r="I10" s="2">
        <f>E10*G9</f>
        <v>-1094.4959913521334</v>
      </c>
      <c r="J10" s="2">
        <f>I10-H10</f>
        <v>-63.367586682888714</v>
      </c>
      <c r="K10" s="2">
        <f t="shared" si="6"/>
        <v>63.367586682888714</v>
      </c>
      <c r="L10" s="3">
        <f>C10/B10</f>
        <v>2.877793067295721</v>
      </c>
      <c r="M10" s="12" t="s">
        <v>11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</row>
    <row r="11" spans="1:32" x14ac:dyDescent="0.3">
      <c r="A11" s="1">
        <v>44427</v>
      </c>
      <c r="B11" s="2">
        <v>152.27000000000001</v>
      </c>
      <c r="C11" s="2">
        <v>439.86</v>
      </c>
      <c r="D11" s="9">
        <f>B11-B10</f>
        <v>-0.34000000000000341</v>
      </c>
      <c r="E11" s="9">
        <f>C11-C10</f>
        <v>0.68000000000000682</v>
      </c>
      <c r="F11" s="3">
        <f>F$1/B11</f>
        <v>656.72818020621264</v>
      </c>
      <c r="G11" s="3">
        <f>F$1/C11</f>
        <v>227.3450643386532</v>
      </c>
      <c r="H11" s="2">
        <f>D11*F10</f>
        <v>-222.79011860297712</v>
      </c>
      <c r="I11" s="2">
        <f>E11*G10</f>
        <v>154.83400883464793</v>
      </c>
      <c r="J11" s="2">
        <f>I11-H11</f>
        <v>377.62412743762502</v>
      </c>
      <c r="K11" s="2">
        <f t="shared" si="6"/>
        <v>-377.62412743762502</v>
      </c>
      <c r="L11" s="3">
        <f>C11/B11</f>
        <v>2.888684573455047</v>
      </c>
      <c r="M11" s="12" t="s">
        <v>11</v>
      </c>
      <c r="N11" s="12" t="s">
        <v>11</v>
      </c>
      <c r="O11" s="12" t="s">
        <v>11</v>
      </c>
      <c r="P11" s="12" t="s">
        <v>11</v>
      </c>
      <c r="Q11" s="12" t="s">
        <v>11</v>
      </c>
      <c r="R11" s="12" t="s">
        <v>11</v>
      </c>
      <c r="S11" s="12" t="s">
        <v>11</v>
      </c>
      <c r="T11" s="12" t="s">
        <v>11</v>
      </c>
      <c r="U11" s="12" t="s">
        <v>11</v>
      </c>
      <c r="V11" s="12" t="s">
        <v>11</v>
      </c>
      <c r="W11" s="12" t="s">
        <v>11</v>
      </c>
      <c r="X11" s="12" t="s">
        <v>11</v>
      </c>
      <c r="Y11" s="12" t="s">
        <v>11</v>
      </c>
      <c r="Z11" s="12" t="s">
        <v>11</v>
      </c>
      <c r="AA11" s="12" t="s">
        <v>11</v>
      </c>
      <c r="AB11" s="12" t="s">
        <v>11</v>
      </c>
    </row>
    <row r="12" spans="1:32" x14ac:dyDescent="0.3">
      <c r="A12" s="1">
        <v>44428</v>
      </c>
      <c r="B12" s="2">
        <v>153.37</v>
      </c>
      <c r="C12" s="2">
        <v>443.36</v>
      </c>
      <c r="D12" s="9">
        <f>B12-B11</f>
        <v>1.0999999999999943</v>
      </c>
      <c r="E12" s="9">
        <f>C12-C11</f>
        <v>3.5</v>
      </c>
      <c r="F12" s="3">
        <f>F$1/B12</f>
        <v>652.01799569668117</v>
      </c>
      <c r="G12" s="3">
        <f>F$1/C12</f>
        <v>225.55034283652111</v>
      </c>
      <c r="H12" s="2">
        <f>D12*F11</f>
        <v>722.40099822683021</v>
      </c>
      <c r="I12" s="2">
        <f>E12*G11</f>
        <v>795.70772518528622</v>
      </c>
      <c r="J12" s="2">
        <f>I12-H12</f>
        <v>73.306726958456011</v>
      </c>
      <c r="K12" s="2">
        <f t="shared" si="6"/>
        <v>-73.306726958456011</v>
      </c>
      <c r="L12" s="3">
        <f>C12/B12</f>
        <v>2.8907869857208057</v>
      </c>
      <c r="M12" s="3">
        <f>AVERAGE(L3:L12)</f>
        <v>2.8748371500833114</v>
      </c>
      <c r="N12" s="12" t="s">
        <v>11</v>
      </c>
      <c r="O12" s="12" t="s">
        <v>11</v>
      </c>
      <c r="P12" s="12" t="s">
        <v>11</v>
      </c>
      <c r="Q12" s="12" t="s">
        <v>11</v>
      </c>
      <c r="R12" s="12" t="s">
        <v>11</v>
      </c>
      <c r="S12" s="12" t="s">
        <v>11</v>
      </c>
      <c r="T12" s="12" t="s">
        <v>11</v>
      </c>
      <c r="U12" s="12" t="s">
        <v>11</v>
      </c>
      <c r="V12" s="12" t="s">
        <v>11</v>
      </c>
      <c r="W12" s="12" t="s">
        <v>11</v>
      </c>
      <c r="X12" s="12" t="s">
        <v>11</v>
      </c>
      <c r="Y12" s="2">
        <v>0</v>
      </c>
      <c r="Z12" s="12" t="s">
        <v>11</v>
      </c>
      <c r="AA12" s="12" t="s">
        <v>11</v>
      </c>
      <c r="AB12" s="12" t="s">
        <v>11</v>
      </c>
      <c r="AD12" s="12" t="s">
        <v>16</v>
      </c>
      <c r="AE12" s="9">
        <f>AVERAGE(W53:W1257)</f>
        <v>70.052217119467926</v>
      </c>
      <c r="AF12" s="9">
        <f>AE12*16/AE13</f>
        <v>2.5315748818725501</v>
      </c>
    </row>
    <row r="13" spans="1:32" x14ac:dyDescent="0.3">
      <c r="A13" s="1">
        <v>44431</v>
      </c>
      <c r="B13" s="2">
        <v>154.52000000000001</v>
      </c>
      <c r="C13" s="2">
        <v>447.26</v>
      </c>
      <c r="D13" s="9">
        <f>B13-B12</f>
        <v>1.1500000000000057</v>
      </c>
      <c r="E13" s="9">
        <f>C13-C12</f>
        <v>3.8999999999999773</v>
      </c>
      <c r="F13" s="3">
        <f>F$1/B13</f>
        <v>647.16541548019666</v>
      </c>
      <c r="G13" s="3">
        <f>F$1/C13</f>
        <v>223.58359790725754</v>
      </c>
      <c r="H13" s="2">
        <f>D13*F12</f>
        <v>749.82069505118704</v>
      </c>
      <c r="I13" s="2">
        <f>E13*G12</f>
        <v>879.64633706242716</v>
      </c>
      <c r="J13" s="2">
        <f>I13-H13</f>
        <v>129.82564201124012</v>
      </c>
      <c r="K13" s="2">
        <f t="shared" si="6"/>
        <v>-129.82564201124012</v>
      </c>
      <c r="L13" s="3">
        <f>C13/B13</f>
        <v>2.8945120372767277</v>
      </c>
      <c r="M13" s="3">
        <f t="shared" ref="M13:M76" si="7">AVERAGE(L4:L13)</f>
        <v>2.8766492932423811</v>
      </c>
      <c r="N13" s="12" t="s">
        <v>11</v>
      </c>
      <c r="O13" s="12" t="s">
        <v>11</v>
      </c>
      <c r="P13" s="12" t="s">
        <v>11</v>
      </c>
      <c r="Q13" s="4" t="str">
        <f>IF($L12&gt;M12,"OVER","UNDER")</f>
        <v>OVER</v>
      </c>
      <c r="R13" s="12" t="s">
        <v>11</v>
      </c>
      <c r="S13" s="12" t="s">
        <v>11</v>
      </c>
      <c r="T13" s="12" t="s">
        <v>11</v>
      </c>
      <c r="U13" s="2">
        <f>IF(Q13="OVER",J13,K13)</f>
        <v>129.82564201124012</v>
      </c>
      <c r="V13" s="12" t="s">
        <v>11</v>
      </c>
      <c r="W13" s="12" t="s">
        <v>11</v>
      </c>
      <c r="X13" s="12" t="s">
        <v>11</v>
      </c>
      <c r="Y13" s="9">
        <f t="shared" ref="Y13:AA76" si="8">Y12+U13</f>
        <v>129.82564201124012</v>
      </c>
      <c r="Z13" s="12" t="s">
        <v>11</v>
      </c>
      <c r="AA13" s="12" t="s">
        <v>11</v>
      </c>
      <c r="AB13" s="12" t="s">
        <v>11</v>
      </c>
      <c r="AD13" s="12" t="s">
        <v>13</v>
      </c>
      <c r="AE13">
        <f>STDEV(W53:W1257)</f>
        <v>442.74237429723178</v>
      </c>
    </row>
    <row r="14" spans="1:32" x14ac:dyDescent="0.3">
      <c r="A14" s="1">
        <v>44432</v>
      </c>
      <c r="B14" s="2">
        <v>155.15</v>
      </c>
      <c r="C14" s="2">
        <v>447.97</v>
      </c>
      <c r="D14" s="9">
        <f>B14-B13</f>
        <v>0.62999999999999545</v>
      </c>
      <c r="E14" s="9">
        <f>C14-C13</f>
        <v>0.71000000000003638</v>
      </c>
      <c r="F14" s="3">
        <f>F$1/B14</f>
        <v>644.53754431195614</v>
      </c>
      <c r="G14" s="3">
        <f>F$1/C14</f>
        <v>223.22923410049779</v>
      </c>
      <c r="H14" s="2">
        <f>D14*F13</f>
        <v>407.71421175252095</v>
      </c>
      <c r="I14" s="2">
        <f>E14*G13</f>
        <v>158.74435451416099</v>
      </c>
      <c r="J14" s="2">
        <f>I14-H14</f>
        <v>-248.96985723835996</v>
      </c>
      <c r="K14" s="2">
        <f t="shared" si="6"/>
        <v>248.96985723835996</v>
      </c>
      <c r="L14" s="3">
        <f>C14/B14</f>
        <v>2.88733483725427</v>
      </c>
      <c r="M14" s="3">
        <f t="shared" si="7"/>
        <v>2.8787286294576089</v>
      </c>
      <c r="N14" s="12" t="s">
        <v>11</v>
      </c>
      <c r="O14" s="12" t="s">
        <v>11</v>
      </c>
      <c r="P14" s="12" t="s">
        <v>11</v>
      </c>
      <c r="Q14" s="4" t="str">
        <f t="shared" ref="Q14:S77" si="9">IF($L13&gt;M13,"OVER","UNDER")</f>
        <v>OVER</v>
      </c>
      <c r="R14" s="12" t="s">
        <v>11</v>
      </c>
      <c r="S14" s="12" t="s">
        <v>11</v>
      </c>
      <c r="T14" s="12" t="s">
        <v>11</v>
      </c>
      <c r="U14" s="2">
        <f>IF(Q14="OVER",J14,K14)</f>
        <v>-248.96985723835996</v>
      </c>
      <c r="V14" s="12" t="s">
        <v>11</v>
      </c>
      <c r="W14" s="12" t="s">
        <v>11</v>
      </c>
      <c r="X14" s="12" t="s">
        <v>11</v>
      </c>
      <c r="Y14" s="9">
        <f t="shared" si="8"/>
        <v>-119.14421522711984</v>
      </c>
      <c r="Z14" s="12" t="s">
        <v>11</v>
      </c>
      <c r="AA14" s="12" t="s">
        <v>11</v>
      </c>
      <c r="AB14" s="12" t="s">
        <v>11</v>
      </c>
    </row>
    <row r="15" spans="1:32" x14ac:dyDescent="0.3">
      <c r="A15" s="1">
        <v>44433</v>
      </c>
      <c r="B15" s="2">
        <v>155.97</v>
      </c>
      <c r="C15" s="2">
        <v>448.91</v>
      </c>
      <c r="D15" s="9">
        <f>B15-B14</f>
        <v>0.81999999999999318</v>
      </c>
      <c r="E15" s="9">
        <f>C15-C14</f>
        <v>0.93999999999999773</v>
      </c>
      <c r="F15" s="3">
        <f>F$1/B15</f>
        <v>641.14893889850612</v>
      </c>
      <c r="G15" s="3">
        <f>F$1/C15</f>
        <v>222.7618008063977</v>
      </c>
      <c r="H15" s="2">
        <f>D15*F14</f>
        <v>528.52078633579958</v>
      </c>
      <c r="I15" s="2">
        <f>E15*G14</f>
        <v>209.83548005446741</v>
      </c>
      <c r="J15" s="2">
        <f>I15-H15</f>
        <v>-318.68530628133215</v>
      </c>
      <c r="K15" s="2">
        <f t="shared" si="6"/>
        <v>318.68530628133215</v>
      </c>
      <c r="L15" s="3">
        <f>C15/B15</f>
        <v>2.8781817016092841</v>
      </c>
      <c r="M15" s="3">
        <f t="shared" si="7"/>
        <v>2.8810108325615302</v>
      </c>
      <c r="N15" s="12" t="s">
        <v>11</v>
      </c>
      <c r="O15" s="12" t="s">
        <v>11</v>
      </c>
      <c r="P15" s="12" t="s">
        <v>11</v>
      </c>
      <c r="Q15" s="4" t="str">
        <f t="shared" si="9"/>
        <v>OVER</v>
      </c>
      <c r="R15" s="12" t="s">
        <v>11</v>
      </c>
      <c r="S15" s="12" t="s">
        <v>11</v>
      </c>
      <c r="T15" s="12" t="s">
        <v>11</v>
      </c>
      <c r="U15" s="2">
        <f>IF(Q15="OVER",J15,K15)</f>
        <v>-318.68530628133215</v>
      </c>
      <c r="V15" s="12" t="s">
        <v>11</v>
      </c>
      <c r="W15" s="12" t="s">
        <v>11</v>
      </c>
      <c r="X15" s="12" t="s">
        <v>11</v>
      </c>
      <c r="Y15" s="9">
        <f t="shared" si="8"/>
        <v>-437.82952150845199</v>
      </c>
      <c r="Z15" s="12" t="s">
        <v>11</v>
      </c>
      <c r="AA15" s="12" t="s">
        <v>11</v>
      </c>
      <c r="AB15" s="12" t="s">
        <v>11</v>
      </c>
    </row>
    <row r="16" spans="1:32" x14ac:dyDescent="0.3">
      <c r="A16" s="1">
        <v>44434</v>
      </c>
      <c r="B16" s="2">
        <v>154.9</v>
      </c>
      <c r="C16" s="2">
        <v>446.26</v>
      </c>
      <c r="D16" s="9">
        <f>B16-B15</f>
        <v>-1.0699999999999932</v>
      </c>
      <c r="E16" s="9">
        <f>C16-C15</f>
        <v>-2.6500000000000341</v>
      </c>
      <c r="F16" s="3">
        <f>F$1/B16</f>
        <v>645.57779212395087</v>
      </c>
      <c r="G16" s="3">
        <f>F$1/C16</f>
        <v>224.0846143503787</v>
      </c>
      <c r="H16" s="2">
        <f>D16*F15</f>
        <v>-686.02936462139712</v>
      </c>
      <c r="I16" s="2">
        <f>E16*G15</f>
        <v>-590.31877213696146</v>
      </c>
      <c r="J16" s="2">
        <f>I16-H16</f>
        <v>95.710592484435665</v>
      </c>
      <c r="K16" s="2">
        <f t="shared" si="6"/>
        <v>-95.710592484435665</v>
      </c>
      <c r="L16" s="3">
        <f>C16/B16</f>
        <v>2.8809554551323431</v>
      </c>
      <c r="M16" s="3">
        <f t="shared" si="7"/>
        <v>2.8825671737487704</v>
      </c>
      <c r="N16" s="12" t="s">
        <v>11</v>
      </c>
      <c r="O16" s="12" t="s">
        <v>11</v>
      </c>
      <c r="P16" s="12" t="s">
        <v>11</v>
      </c>
      <c r="Q16" s="4" t="str">
        <f t="shared" si="9"/>
        <v>UNDER</v>
      </c>
      <c r="R16" s="12" t="s">
        <v>11</v>
      </c>
      <c r="S16" s="12" t="s">
        <v>11</v>
      </c>
      <c r="T16" s="12" t="s">
        <v>11</v>
      </c>
      <c r="U16" s="2">
        <f>IF(Q16="OVER",J16,K16)</f>
        <v>-95.710592484435665</v>
      </c>
      <c r="V16" s="12" t="s">
        <v>11</v>
      </c>
      <c r="W16" s="12" t="s">
        <v>11</v>
      </c>
      <c r="X16" s="12" t="s">
        <v>11</v>
      </c>
      <c r="Y16" s="9">
        <f t="shared" si="8"/>
        <v>-533.54011399288765</v>
      </c>
      <c r="Z16" s="12" t="s">
        <v>11</v>
      </c>
      <c r="AA16" s="12" t="s">
        <v>11</v>
      </c>
      <c r="AB16" s="12" t="s">
        <v>11</v>
      </c>
    </row>
    <row r="17" spans="1:28" x14ac:dyDescent="0.3">
      <c r="A17" s="1">
        <v>44435</v>
      </c>
      <c r="B17" s="2">
        <v>156.56</v>
      </c>
      <c r="C17" s="2">
        <v>450.25</v>
      </c>
      <c r="D17" s="9">
        <f>B17-B16</f>
        <v>1.6599999999999966</v>
      </c>
      <c r="E17" s="9">
        <f>C17-C16</f>
        <v>3.9900000000000091</v>
      </c>
      <c r="F17" s="3">
        <f>F$1/B17</f>
        <v>638.73275421563619</v>
      </c>
      <c r="G17" s="3">
        <f>F$1/C17</f>
        <v>222.0988339811216</v>
      </c>
      <c r="H17" s="2">
        <f>D17*F16</f>
        <v>1071.6591349257562</v>
      </c>
      <c r="I17" s="2">
        <f>E17*G16</f>
        <v>894.0976112580131</v>
      </c>
      <c r="J17" s="2">
        <f>I17-H17</f>
        <v>-177.56152366774313</v>
      </c>
      <c r="K17" s="2">
        <f t="shared" si="6"/>
        <v>177.56152366774313</v>
      </c>
      <c r="L17" s="3">
        <f>C17/B17</f>
        <v>2.8758942258559017</v>
      </c>
      <c r="M17" s="3">
        <f t="shared" si="7"/>
        <v>2.88305899138973</v>
      </c>
      <c r="N17" s="12" t="s">
        <v>11</v>
      </c>
      <c r="O17" s="12" t="s">
        <v>11</v>
      </c>
      <c r="P17" s="12" t="s">
        <v>11</v>
      </c>
      <c r="Q17" s="4" t="str">
        <f t="shared" si="9"/>
        <v>UNDER</v>
      </c>
      <c r="R17" s="12" t="s">
        <v>11</v>
      </c>
      <c r="S17" s="12" t="s">
        <v>11</v>
      </c>
      <c r="T17" s="12" t="s">
        <v>11</v>
      </c>
      <c r="U17" s="2">
        <f>IF(Q17="OVER",J17,K17)</f>
        <v>177.56152366774313</v>
      </c>
      <c r="V17" s="12" t="s">
        <v>11</v>
      </c>
      <c r="W17" s="12" t="s">
        <v>11</v>
      </c>
      <c r="X17" s="12" t="s">
        <v>11</v>
      </c>
      <c r="Y17" s="9">
        <f t="shared" si="8"/>
        <v>-355.97859032514452</v>
      </c>
      <c r="Z17" s="12" t="s">
        <v>11</v>
      </c>
      <c r="AA17" s="12" t="s">
        <v>11</v>
      </c>
      <c r="AB17" s="12" t="s">
        <v>11</v>
      </c>
    </row>
    <row r="18" spans="1:28" x14ac:dyDescent="0.3">
      <c r="A18" s="1">
        <v>44438</v>
      </c>
      <c r="B18" s="2">
        <v>156.33000000000001</v>
      </c>
      <c r="C18" s="2">
        <v>452.23</v>
      </c>
      <c r="D18" s="9">
        <f>B18-B17</f>
        <v>-0.22999999999998977</v>
      </c>
      <c r="E18" s="9">
        <f>C18-C17</f>
        <v>1.9800000000000182</v>
      </c>
      <c r="F18" s="3">
        <f>F$1/B18</f>
        <v>639.67248768630452</v>
      </c>
      <c r="G18" s="3">
        <f>F$1/C18</f>
        <v>221.12641797315524</v>
      </c>
      <c r="H18" s="2">
        <f>D18*F17</f>
        <v>-146.9085334695898</v>
      </c>
      <c r="I18" s="2">
        <f>E18*G17</f>
        <v>439.75569128262481</v>
      </c>
      <c r="J18" s="2">
        <f>I18-H18</f>
        <v>586.66422475221464</v>
      </c>
      <c r="K18" s="2">
        <f t="shared" si="6"/>
        <v>-586.66422475221464</v>
      </c>
      <c r="L18" s="3">
        <f>C18/B18</f>
        <v>2.8927908910637754</v>
      </c>
      <c r="M18" s="3">
        <f t="shared" si="7"/>
        <v>2.8846570609942739</v>
      </c>
      <c r="N18" s="12" t="s">
        <v>11</v>
      </c>
      <c r="O18" s="12" t="s">
        <v>11</v>
      </c>
      <c r="P18" s="12" t="s">
        <v>11</v>
      </c>
      <c r="Q18" s="4" t="str">
        <f t="shared" si="9"/>
        <v>UNDER</v>
      </c>
      <c r="R18" s="12" t="s">
        <v>11</v>
      </c>
      <c r="S18" s="12" t="s">
        <v>11</v>
      </c>
      <c r="T18" s="12" t="s">
        <v>11</v>
      </c>
      <c r="U18" s="2">
        <f>IF(Q18="OVER",J18,K18)</f>
        <v>-586.66422475221464</v>
      </c>
      <c r="V18" s="12" t="s">
        <v>11</v>
      </c>
      <c r="W18" s="12" t="s">
        <v>11</v>
      </c>
      <c r="X18" s="12" t="s">
        <v>11</v>
      </c>
      <c r="Y18" s="9">
        <f t="shared" si="8"/>
        <v>-942.64281507735916</v>
      </c>
      <c r="Z18" s="12" t="s">
        <v>11</v>
      </c>
      <c r="AA18" s="12" t="s">
        <v>11</v>
      </c>
      <c r="AB18" s="12" t="s">
        <v>11</v>
      </c>
    </row>
    <row r="19" spans="1:28" x14ac:dyDescent="0.3">
      <c r="A19" s="1">
        <v>44439</v>
      </c>
      <c r="B19" s="2">
        <v>156.30000000000001</v>
      </c>
      <c r="C19" s="2">
        <v>451.56</v>
      </c>
      <c r="D19" s="9">
        <f>B19-B18</f>
        <v>-3.0000000000001137E-2</v>
      </c>
      <c r="E19" s="9">
        <f>C19-C18</f>
        <v>-0.67000000000001592</v>
      </c>
      <c r="F19" s="3">
        <f>F$1/B19</f>
        <v>639.79526551503511</v>
      </c>
      <c r="G19" s="3">
        <f>F$1/C19</f>
        <v>221.45451324297989</v>
      </c>
      <c r="H19" s="2">
        <f>D19*F18</f>
        <v>-19.190174630589862</v>
      </c>
      <c r="I19" s="2">
        <f>E19*G18</f>
        <v>-148.15470004201754</v>
      </c>
      <c r="J19" s="2">
        <f>I19-H19</f>
        <v>-128.96452541142767</v>
      </c>
      <c r="K19" s="2">
        <f t="shared" si="6"/>
        <v>128.96452541142767</v>
      </c>
      <c r="L19" s="3">
        <f>C19/B19</f>
        <v>2.8890595009596929</v>
      </c>
      <c r="M19" s="3">
        <f t="shared" si="7"/>
        <v>2.8855993275623573</v>
      </c>
      <c r="N19" s="12" t="s">
        <v>11</v>
      </c>
      <c r="O19" s="12" t="s">
        <v>11</v>
      </c>
      <c r="P19" s="12" t="s">
        <v>11</v>
      </c>
      <c r="Q19" s="4" t="str">
        <f t="shared" si="9"/>
        <v>OVER</v>
      </c>
      <c r="R19" s="12" t="s">
        <v>11</v>
      </c>
      <c r="S19" s="12" t="s">
        <v>11</v>
      </c>
      <c r="T19" s="12" t="s">
        <v>11</v>
      </c>
      <c r="U19" s="2">
        <f>IF(Q19="OVER",J19,K19)</f>
        <v>-128.96452541142767</v>
      </c>
      <c r="V19" s="12" t="s">
        <v>11</v>
      </c>
      <c r="W19" s="12" t="s">
        <v>11</v>
      </c>
      <c r="X19" s="12" t="s">
        <v>11</v>
      </c>
      <c r="Y19" s="9">
        <f t="shared" si="8"/>
        <v>-1071.6073404887868</v>
      </c>
      <c r="Z19" s="12" t="s">
        <v>11</v>
      </c>
      <c r="AA19" s="12" t="s">
        <v>11</v>
      </c>
      <c r="AB19" s="12" t="s">
        <v>11</v>
      </c>
    </row>
    <row r="20" spans="1:28" x14ac:dyDescent="0.3">
      <c r="A20" s="1">
        <v>44440</v>
      </c>
      <c r="B20" s="2">
        <v>156.33000000000001</v>
      </c>
      <c r="C20" s="2">
        <v>451.8</v>
      </c>
      <c r="D20" s="9">
        <f>B20-B19</f>
        <v>3.0000000000001137E-2</v>
      </c>
      <c r="E20" s="9">
        <f>C20-C19</f>
        <v>0.24000000000000909</v>
      </c>
      <c r="F20" s="3">
        <f>F$1/B20</f>
        <v>639.67248768630452</v>
      </c>
      <c r="G20" s="3">
        <f>F$1/C20</f>
        <v>221.33687472332889</v>
      </c>
      <c r="H20" s="2">
        <f>D20*F19</f>
        <v>19.19385796545178</v>
      </c>
      <c r="I20" s="2">
        <f>E20*G19</f>
        <v>53.149083178317184</v>
      </c>
      <c r="J20" s="2">
        <f>I20-H20</f>
        <v>33.9552252128654</v>
      </c>
      <c r="K20" s="2">
        <f t="shared" si="6"/>
        <v>-33.9552252128654</v>
      </c>
      <c r="L20" s="3">
        <f>C20/B20</f>
        <v>2.8900402993667242</v>
      </c>
      <c r="M20" s="3">
        <f t="shared" si="7"/>
        <v>2.8868240507694574</v>
      </c>
      <c r="N20" s="12" t="s">
        <v>11</v>
      </c>
      <c r="O20" s="12" t="s">
        <v>11</v>
      </c>
      <c r="P20" s="12" t="s">
        <v>11</v>
      </c>
      <c r="Q20" s="4" t="str">
        <f t="shared" si="9"/>
        <v>OVER</v>
      </c>
      <c r="R20" s="12" t="s">
        <v>11</v>
      </c>
      <c r="S20" s="12" t="s">
        <v>11</v>
      </c>
      <c r="T20" s="12" t="s">
        <v>11</v>
      </c>
      <c r="U20" s="2">
        <f>IF(Q20="OVER",J20,K20)</f>
        <v>33.9552252128654</v>
      </c>
      <c r="V20" s="12" t="s">
        <v>11</v>
      </c>
      <c r="W20" s="12" t="s">
        <v>11</v>
      </c>
      <c r="X20" s="12" t="s">
        <v>11</v>
      </c>
      <c r="Y20" s="9">
        <f t="shared" si="8"/>
        <v>-1037.6521152759215</v>
      </c>
      <c r="Z20" s="12" t="s">
        <v>11</v>
      </c>
      <c r="AA20" s="12" t="s">
        <v>11</v>
      </c>
      <c r="AB20" s="12" t="s">
        <v>11</v>
      </c>
    </row>
    <row r="21" spans="1:28" x14ac:dyDescent="0.3">
      <c r="A21" s="1">
        <v>44441</v>
      </c>
      <c r="B21" s="2">
        <v>157.38999999999999</v>
      </c>
      <c r="C21" s="2">
        <v>453.19</v>
      </c>
      <c r="D21" s="9">
        <f>B21-B20</f>
        <v>1.0599999999999739</v>
      </c>
      <c r="E21" s="9">
        <f>C21-C20</f>
        <v>1.3899999999999864</v>
      </c>
      <c r="F21" s="3">
        <f>F$1/B21</f>
        <v>635.36438147277465</v>
      </c>
      <c r="G21" s="3">
        <f>F$1/C21</f>
        <v>220.65800216244841</v>
      </c>
      <c r="H21" s="2">
        <f>D21*F20</f>
        <v>678.05283694746606</v>
      </c>
      <c r="I21" s="2">
        <f>E21*G20</f>
        <v>307.65825586542411</v>
      </c>
      <c r="J21" s="2">
        <f>I21-H21</f>
        <v>-370.39458108204195</v>
      </c>
      <c r="K21" s="2">
        <f t="shared" si="6"/>
        <v>370.39458108204195</v>
      </c>
      <c r="L21" s="3">
        <f>C21/B21</f>
        <v>2.8794078403964676</v>
      </c>
      <c r="M21" s="3">
        <f t="shared" si="7"/>
        <v>2.8858963774635993</v>
      </c>
      <c r="N21" s="12" t="s">
        <v>11</v>
      </c>
      <c r="O21" s="12" t="s">
        <v>11</v>
      </c>
      <c r="P21" s="12" t="s">
        <v>11</v>
      </c>
      <c r="Q21" s="4" t="str">
        <f t="shared" si="9"/>
        <v>OVER</v>
      </c>
      <c r="R21" s="12" t="s">
        <v>11</v>
      </c>
      <c r="S21" s="12" t="s">
        <v>11</v>
      </c>
      <c r="T21" s="12" t="s">
        <v>11</v>
      </c>
      <c r="U21" s="2">
        <f>IF(Q21="OVER",J21,K21)</f>
        <v>-370.39458108204195</v>
      </c>
      <c r="V21" s="12" t="s">
        <v>11</v>
      </c>
      <c r="W21" s="12" t="s">
        <v>11</v>
      </c>
      <c r="X21" s="12" t="s">
        <v>11</v>
      </c>
      <c r="Y21" s="9">
        <f t="shared" si="8"/>
        <v>-1408.0466963579634</v>
      </c>
      <c r="Z21" s="12" t="s">
        <v>11</v>
      </c>
      <c r="AA21" s="12" t="s">
        <v>11</v>
      </c>
      <c r="AB21" s="12" t="s">
        <v>11</v>
      </c>
    </row>
    <row r="22" spans="1:28" x14ac:dyDescent="0.3">
      <c r="A22" s="1">
        <v>44442</v>
      </c>
      <c r="B22" s="2">
        <v>156.88</v>
      </c>
      <c r="C22" s="2">
        <v>453.08</v>
      </c>
      <c r="D22" s="9">
        <f>B22-B21</f>
        <v>-0.50999999999999091</v>
      </c>
      <c r="E22" s="9">
        <f>C22-C21</f>
        <v>-0.11000000000001364</v>
      </c>
      <c r="F22" s="3">
        <f>F$1/B22</f>
        <v>637.42988271290164</v>
      </c>
      <c r="G22" s="3">
        <f>F$1/C22</f>
        <v>220.71157411494659</v>
      </c>
      <c r="H22" s="2">
        <f>D22*F21</f>
        <v>-324.0358345511093</v>
      </c>
      <c r="I22" s="2">
        <f>E22*G21</f>
        <v>-24.272380237872337</v>
      </c>
      <c r="J22" s="2">
        <f>I22-H22</f>
        <v>299.76345431323699</v>
      </c>
      <c r="K22" s="2">
        <f t="shared" si="6"/>
        <v>-299.76345431323699</v>
      </c>
      <c r="L22" s="3">
        <f>C22/B22</f>
        <v>2.8880673125956147</v>
      </c>
      <c r="M22" s="3">
        <f t="shared" si="7"/>
        <v>2.8856244101510797</v>
      </c>
      <c r="N22" s="3">
        <f>AVERAGE(L3:L22)</f>
        <v>2.8802307801171962</v>
      </c>
      <c r="O22" s="12" t="s">
        <v>11</v>
      </c>
      <c r="P22" s="12" t="s">
        <v>11</v>
      </c>
      <c r="Q22" s="4" t="str">
        <f t="shared" si="9"/>
        <v>UNDER</v>
      </c>
      <c r="R22" s="12" t="s">
        <v>11</v>
      </c>
      <c r="S22" s="12" t="s">
        <v>11</v>
      </c>
      <c r="T22" s="12" t="s">
        <v>11</v>
      </c>
      <c r="U22" s="2">
        <f>IF(Q22="OVER",J22,K22)</f>
        <v>-299.76345431323699</v>
      </c>
      <c r="V22" s="12" t="s">
        <v>11</v>
      </c>
      <c r="W22" s="12" t="s">
        <v>11</v>
      </c>
      <c r="X22" s="12" t="s">
        <v>11</v>
      </c>
      <c r="Y22" s="9">
        <f t="shared" si="8"/>
        <v>-1707.8101506712003</v>
      </c>
      <c r="Z22" s="2">
        <v>0</v>
      </c>
      <c r="AA22" s="12" t="s">
        <v>11</v>
      </c>
      <c r="AB22" s="12" t="s">
        <v>11</v>
      </c>
    </row>
    <row r="23" spans="1:28" x14ac:dyDescent="0.3">
      <c r="A23" s="1">
        <v>44446</v>
      </c>
      <c r="B23" s="2">
        <v>155.57</v>
      </c>
      <c r="C23" s="2">
        <v>451.46</v>
      </c>
      <c r="D23" s="9">
        <f>B23-B22</f>
        <v>-1.3100000000000023</v>
      </c>
      <c r="E23" s="9">
        <f>C23-C22</f>
        <v>-1.6200000000000045</v>
      </c>
      <c r="F23" s="3">
        <f>F$1/B23</f>
        <v>642.7974545220801</v>
      </c>
      <c r="G23" s="3">
        <f>F$1/C23</f>
        <v>221.50356620741596</v>
      </c>
      <c r="H23" s="2">
        <f>D23*F22</f>
        <v>-835.03314635390257</v>
      </c>
      <c r="I23" s="2">
        <f>E23*G22</f>
        <v>-357.55275006621446</v>
      </c>
      <c r="J23" s="2">
        <f>I23-H23</f>
        <v>477.48039628768811</v>
      </c>
      <c r="K23" s="2">
        <f t="shared" si="6"/>
        <v>-477.48039628768811</v>
      </c>
      <c r="L23" s="3">
        <f>C23/B23</f>
        <v>2.9019733881853829</v>
      </c>
      <c r="M23" s="3">
        <f t="shared" si="7"/>
        <v>2.8863705452419461</v>
      </c>
      <c r="N23" s="3">
        <f t="shared" ref="N23:N86" si="10">AVERAGE(L4:L23)</f>
        <v>2.8815099192421636</v>
      </c>
      <c r="O23" s="12" t="s">
        <v>11</v>
      </c>
      <c r="P23" s="12" t="s">
        <v>11</v>
      </c>
      <c r="Q23" s="4" t="str">
        <f t="shared" si="9"/>
        <v>OVER</v>
      </c>
      <c r="R23" s="4" t="str">
        <f t="shared" si="9"/>
        <v>OVER</v>
      </c>
      <c r="S23" s="12" t="s">
        <v>11</v>
      </c>
      <c r="T23" s="12" t="s">
        <v>11</v>
      </c>
      <c r="U23" s="2">
        <f>IF(Q23="OVER",J23,K23)</f>
        <v>477.48039628768811</v>
      </c>
      <c r="V23" s="2">
        <f>IF(R23="OVER",J23,K23)</f>
        <v>477.48039628768811</v>
      </c>
      <c r="W23" s="12" t="s">
        <v>11</v>
      </c>
      <c r="X23" s="12" t="s">
        <v>11</v>
      </c>
      <c r="Y23" s="9">
        <f t="shared" si="8"/>
        <v>-1230.3297543835122</v>
      </c>
      <c r="Z23" s="9">
        <f t="shared" si="8"/>
        <v>477.48039628768811</v>
      </c>
      <c r="AA23" s="12" t="s">
        <v>11</v>
      </c>
      <c r="AB23" s="12" t="s">
        <v>11</v>
      </c>
    </row>
    <row r="24" spans="1:28" x14ac:dyDescent="0.3">
      <c r="A24" s="1">
        <v>44447</v>
      </c>
      <c r="B24" s="2">
        <v>155.47</v>
      </c>
      <c r="C24" s="2">
        <v>450.91</v>
      </c>
      <c r="D24" s="9">
        <f>B24-B23</f>
        <v>-9.9999999999994316E-2</v>
      </c>
      <c r="E24" s="9">
        <f>C24-C23</f>
        <v>-0.54999999999995453</v>
      </c>
      <c r="F24" s="3">
        <f>F$1/B24</f>
        <v>643.21090885701426</v>
      </c>
      <c r="G24" s="3">
        <f>F$1/C24</f>
        <v>221.77374642389833</v>
      </c>
      <c r="H24" s="2">
        <f>D24*F23</f>
        <v>-64.279745452204352</v>
      </c>
      <c r="I24" s="2">
        <f>E24*G23</f>
        <v>-121.82696141406871</v>
      </c>
      <c r="J24" s="2">
        <f>I24-H24</f>
        <v>-57.547215961864353</v>
      </c>
      <c r="K24" s="2">
        <f t="shared" si="6"/>
        <v>57.547215961864353</v>
      </c>
      <c r="L24" s="3">
        <f>C24/B24</f>
        <v>2.9003023091271629</v>
      </c>
      <c r="M24" s="3">
        <f t="shared" si="7"/>
        <v>2.887667292429235</v>
      </c>
      <c r="N24" s="3">
        <f t="shared" si="10"/>
        <v>2.8831979609434217</v>
      </c>
      <c r="O24" s="12" t="s">
        <v>11</v>
      </c>
      <c r="P24" s="12" t="s">
        <v>11</v>
      </c>
      <c r="Q24" s="4" t="str">
        <f t="shared" si="9"/>
        <v>OVER</v>
      </c>
      <c r="R24" s="4" t="str">
        <f t="shared" si="9"/>
        <v>OVER</v>
      </c>
      <c r="S24" s="12" t="s">
        <v>11</v>
      </c>
      <c r="T24" s="12" t="s">
        <v>11</v>
      </c>
      <c r="U24" s="2">
        <f>IF(Q24="OVER",J24,K24)</f>
        <v>-57.547215961864353</v>
      </c>
      <c r="V24" s="2">
        <f>IF(R24="OVER",J24,K24)</f>
        <v>-57.547215961864353</v>
      </c>
      <c r="W24" s="12" t="s">
        <v>11</v>
      </c>
      <c r="X24" s="12" t="s">
        <v>11</v>
      </c>
      <c r="Y24" s="9">
        <f t="shared" si="8"/>
        <v>-1287.8769703453765</v>
      </c>
      <c r="Z24" s="9">
        <f t="shared" si="8"/>
        <v>419.93318032582374</v>
      </c>
      <c r="AA24" s="12" t="s">
        <v>11</v>
      </c>
      <c r="AB24" s="12" t="s">
        <v>11</v>
      </c>
    </row>
    <row r="25" spans="1:28" x14ac:dyDescent="0.3">
      <c r="A25" s="1">
        <v>44448</v>
      </c>
      <c r="B25" s="2">
        <v>155.03</v>
      </c>
      <c r="C25" s="2">
        <v>448.98</v>
      </c>
      <c r="D25" s="9">
        <f>B25-B24</f>
        <v>-0.43999999999999773</v>
      </c>
      <c r="E25" s="9">
        <f>C25-C24</f>
        <v>-1.9300000000000068</v>
      </c>
      <c r="F25" s="3">
        <f>F$1/B25</f>
        <v>645.03644455911763</v>
      </c>
      <c r="G25" s="3">
        <f>F$1/C25</f>
        <v>222.72707024811794</v>
      </c>
      <c r="H25" s="2">
        <f>D25*F24</f>
        <v>-283.01279989708479</v>
      </c>
      <c r="I25" s="2">
        <f>E25*G24</f>
        <v>-428.02333059812531</v>
      </c>
      <c r="J25" s="2">
        <f>I25-H25</f>
        <v>-145.01053070104052</v>
      </c>
      <c r="K25" s="2">
        <f t="shared" si="6"/>
        <v>145.01053070104052</v>
      </c>
      <c r="L25" s="3">
        <f>C25/B25</f>
        <v>2.8960846287815261</v>
      </c>
      <c r="M25" s="3">
        <f t="shared" si="7"/>
        <v>2.889457585146459</v>
      </c>
      <c r="N25" s="3">
        <f t="shared" si="10"/>
        <v>2.8852342088539946</v>
      </c>
      <c r="O25" s="12" t="s">
        <v>11</v>
      </c>
      <c r="P25" s="12" t="s">
        <v>11</v>
      </c>
      <c r="Q25" s="4" t="str">
        <f t="shared" si="9"/>
        <v>OVER</v>
      </c>
      <c r="R25" s="4" t="str">
        <f t="shared" si="9"/>
        <v>OVER</v>
      </c>
      <c r="S25" s="12" t="s">
        <v>11</v>
      </c>
      <c r="T25" s="12" t="s">
        <v>11</v>
      </c>
      <c r="U25" s="2">
        <f>IF(Q25="OVER",J25,K25)</f>
        <v>-145.01053070104052</v>
      </c>
      <c r="V25" s="2">
        <f>IF(R25="OVER",J25,K25)</f>
        <v>-145.01053070104052</v>
      </c>
      <c r="W25" s="12" t="s">
        <v>11</v>
      </c>
      <c r="X25" s="12" t="s">
        <v>11</v>
      </c>
      <c r="Y25" s="9">
        <f t="shared" si="8"/>
        <v>-1432.8875010464171</v>
      </c>
      <c r="Z25" s="9">
        <f t="shared" si="8"/>
        <v>274.92264962478322</v>
      </c>
      <c r="AA25" s="12" t="s">
        <v>11</v>
      </c>
      <c r="AB25" s="12" t="s">
        <v>11</v>
      </c>
    </row>
    <row r="26" spans="1:28" x14ac:dyDescent="0.3">
      <c r="A26" s="1">
        <v>44449</v>
      </c>
      <c r="B26" s="2">
        <v>154.01</v>
      </c>
      <c r="C26" s="2">
        <v>445.44</v>
      </c>
      <c r="D26" s="9">
        <f>B26-B25</f>
        <v>-1.0200000000000102</v>
      </c>
      <c r="E26" s="9">
        <f>C26-C25</f>
        <v>-3.5400000000000205</v>
      </c>
      <c r="F26" s="3">
        <f>F$1/B26</f>
        <v>649.30848646191805</v>
      </c>
      <c r="G26" s="3">
        <f>F$1/C26</f>
        <v>224.4971264367816</v>
      </c>
      <c r="H26" s="2">
        <f>D26*F25</f>
        <v>-657.93717345030655</v>
      </c>
      <c r="I26" s="2">
        <f>E26*G25</f>
        <v>-788.45382867834212</v>
      </c>
      <c r="J26" s="2">
        <f>I26-H26</f>
        <v>-130.51665522803557</v>
      </c>
      <c r="K26" s="2">
        <f t="shared" si="6"/>
        <v>130.51665522803557</v>
      </c>
      <c r="L26" s="3">
        <f>C26/B26</f>
        <v>2.8922797220959677</v>
      </c>
      <c r="M26" s="3">
        <f t="shared" si="7"/>
        <v>2.8905900118428214</v>
      </c>
      <c r="N26" s="3">
        <f t="shared" si="10"/>
        <v>2.8865785927957957</v>
      </c>
      <c r="O26" s="12" t="s">
        <v>11</v>
      </c>
      <c r="P26" s="12" t="s">
        <v>11</v>
      </c>
      <c r="Q26" s="4" t="str">
        <f t="shared" si="9"/>
        <v>OVER</v>
      </c>
      <c r="R26" s="4" t="str">
        <f t="shared" si="9"/>
        <v>OVER</v>
      </c>
      <c r="S26" s="12" t="s">
        <v>11</v>
      </c>
      <c r="T26" s="12" t="s">
        <v>11</v>
      </c>
      <c r="U26" s="2">
        <f>IF(Q26="OVER",J26,K26)</f>
        <v>-130.51665522803557</v>
      </c>
      <c r="V26" s="2">
        <f>IF(R26="OVER",J26,K26)</f>
        <v>-130.51665522803557</v>
      </c>
      <c r="W26" s="12" t="s">
        <v>11</v>
      </c>
      <c r="X26" s="12" t="s">
        <v>11</v>
      </c>
      <c r="Y26" s="9">
        <f t="shared" si="8"/>
        <v>-1563.4041562744528</v>
      </c>
      <c r="Z26" s="9">
        <f t="shared" si="8"/>
        <v>144.40599439674764</v>
      </c>
      <c r="AA26" s="12" t="s">
        <v>11</v>
      </c>
      <c r="AB26" s="12" t="s">
        <v>11</v>
      </c>
    </row>
    <row r="27" spans="1:28" x14ac:dyDescent="0.3">
      <c r="A27" s="1">
        <v>44452</v>
      </c>
      <c r="B27" s="2">
        <v>154.44</v>
      </c>
      <c r="C27" s="2">
        <v>446.58</v>
      </c>
      <c r="D27" s="9">
        <f>B27-B26</f>
        <v>0.43000000000000682</v>
      </c>
      <c r="E27" s="9">
        <f>C27-C26</f>
        <v>1.1399999999999864</v>
      </c>
      <c r="F27" s="3">
        <f>F$1/B27</f>
        <v>647.50064750064746</v>
      </c>
      <c r="G27" s="3">
        <f>F$1/C27</f>
        <v>223.92404496394823</v>
      </c>
      <c r="H27" s="2">
        <f>D27*F26</f>
        <v>279.2026491786292</v>
      </c>
      <c r="I27" s="2">
        <f>E27*G26</f>
        <v>255.92672413792795</v>
      </c>
      <c r="J27" s="2">
        <f>I27-H27</f>
        <v>-23.275925040701253</v>
      </c>
      <c r="K27" s="2">
        <f t="shared" si="6"/>
        <v>23.275925040701253</v>
      </c>
      <c r="L27" s="3">
        <f>C27/B27</f>
        <v>2.8916083916083917</v>
      </c>
      <c r="M27" s="3">
        <f t="shared" si="7"/>
        <v>2.8921614284180706</v>
      </c>
      <c r="N27" s="3">
        <f t="shared" si="10"/>
        <v>2.8876102099039005</v>
      </c>
      <c r="O27" s="12" t="s">
        <v>11</v>
      </c>
      <c r="P27" s="12" t="s">
        <v>11</v>
      </c>
      <c r="Q27" s="4" t="str">
        <f t="shared" si="9"/>
        <v>OVER</v>
      </c>
      <c r="R27" s="4" t="str">
        <f t="shared" si="9"/>
        <v>OVER</v>
      </c>
      <c r="S27" s="12" t="s">
        <v>11</v>
      </c>
      <c r="T27" s="12" t="s">
        <v>11</v>
      </c>
      <c r="U27" s="2">
        <f>IF(Q27="OVER",J27,K27)</f>
        <v>-23.275925040701253</v>
      </c>
      <c r="V27" s="2">
        <f>IF(R27="OVER",J27,K27)</f>
        <v>-23.275925040701253</v>
      </c>
      <c r="W27" s="12" t="s">
        <v>11</v>
      </c>
      <c r="X27" s="12" t="s">
        <v>11</v>
      </c>
      <c r="Y27" s="9">
        <f t="shared" si="8"/>
        <v>-1586.680081315154</v>
      </c>
      <c r="Z27" s="9">
        <f t="shared" si="8"/>
        <v>121.13006935604639</v>
      </c>
      <c r="AA27" s="12" t="s">
        <v>11</v>
      </c>
      <c r="AB27" s="12" t="s">
        <v>11</v>
      </c>
    </row>
    <row r="28" spans="1:28" x14ac:dyDescent="0.3">
      <c r="A28" s="1">
        <v>44453</v>
      </c>
      <c r="B28" s="2">
        <v>153.34</v>
      </c>
      <c r="C28" s="2">
        <v>444.17</v>
      </c>
      <c r="D28" s="9">
        <f>B28-B27</f>
        <v>-1.0999999999999943</v>
      </c>
      <c r="E28" s="9">
        <f>C28-C27</f>
        <v>-2.4099999999999682</v>
      </c>
      <c r="F28" s="3">
        <f>F$1/B28</f>
        <v>652.14555888874395</v>
      </c>
      <c r="G28" s="3">
        <f>F$1/C28</f>
        <v>225.1390233469167</v>
      </c>
      <c r="H28" s="2">
        <f>D28*F27</f>
        <v>-712.25071225070849</v>
      </c>
      <c r="I28" s="2">
        <f>E28*G27</f>
        <v>-539.65694836310809</v>
      </c>
      <c r="J28" s="2">
        <f>I28-H28</f>
        <v>172.5937638876004</v>
      </c>
      <c r="K28" s="2">
        <f t="shared" si="6"/>
        <v>-172.5937638876004</v>
      </c>
      <c r="L28" s="3">
        <f>C28/B28</f>
        <v>2.8966349289161339</v>
      </c>
      <c r="M28" s="3">
        <f t="shared" si="7"/>
        <v>2.8925458322033064</v>
      </c>
      <c r="N28" s="3">
        <f t="shared" si="10"/>
        <v>2.8886014465987904</v>
      </c>
      <c r="O28" s="12" t="s">
        <v>11</v>
      </c>
      <c r="P28" s="12" t="s">
        <v>11</v>
      </c>
      <c r="Q28" s="4" t="str">
        <f t="shared" si="9"/>
        <v>UNDER</v>
      </c>
      <c r="R28" s="4" t="str">
        <f t="shared" si="9"/>
        <v>OVER</v>
      </c>
      <c r="S28" s="12" t="s">
        <v>11</v>
      </c>
      <c r="T28" s="12" t="s">
        <v>11</v>
      </c>
      <c r="U28" s="2">
        <f>IF(Q28="OVER",J28,K28)</f>
        <v>-172.5937638876004</v>
      </c>
      <c r="V28" s="2">
        <f>IF(R28="OVER",J28,K28)</f>
        <v>172.5937638876004</v>
      </c>
      <c r="W28" s="12" t="s">
        <v>11</v>
      </c>
      <c r="X28" s="12" t="s">
        <v>11</v>
      </c>
      <c r="Y28" s="9">
        <f t="shared" si="8"/>
        <v>-1759.2738452027543</v>
      </c>
      <c r="Z28" s="9">
        <f t="shared" si="8"/>
        <v>293.72383324364682</v>
      </c>
      <c r="AA28" s="12" t="s">
        <v>11</v>
      </c>
      <c r="AB28" s="12" t="s">
        <v>11</v>
      </c>
    </row>
    <row r="29" spans="1:28" x14ac:dyDescent="0.3">
      <c r="A29" s="1">
        <v>44454</v>
      </c>
      <c r="B29" s="2">
        <v>154.69999999999999</v>
      </c>
      <c r="C29" s="2">
        <v>447.88</v>
      </c>
      <c r="D29" s="9">
        <f>B29-B28</f>
        <v>1.3599999999999852</v>
      </c>
      <c r="E29" s="9">
        <f>C29-C28</f>
        <v>3.7099999999999795</v>
      </c>
      <c r="F29" s="3">
        <f>F$1/B29</f>
        <v>646.41241111829356</v>
      </c>
      <c r="G29" s="3">
        <f>F$1/C29</f>
        <v>223.27409127444852</v>
      </c>
      <c r="H29" s="2">
        <f>D29*F28</f>
        <v>886.91796008868209</v>
      </c>
      <c r="I29" s="2">
        <f>E29*G28</f>
        <v>835.2657766170563</v>
      </c>
      <c r="J29" s="2">
        <f>I29-H29</f>
        <v>-51.65218347162579</v>
      </c>
      <c r="K29" s="2">
        <f t="shared" si="6"/>
        <v>51.65218347162579</v>
      </c>
      <c r="L29" s="3">
        <f>C29/B29</f>
        <v>2.8951519069166132</v>
      </c>
      <c r="M29" s="3">
        <f t="shared" si="7"/>
        <v>2.8931550727989981</v>
      </c>
      <c r="N29" s="3">
        <f t="shared" si="10"/>
        <v>2.8893772001806779</v>
      </c>
      <c r="O29" s="12" t="s">
        <v>11</v>
      </c>
      <c r="P29" s="12" t="s">
        <v>11</v>
      </c>
      <c r="Q29" s="4" t="str">
        <f t="shared" si="9"/>
        <v>OVER</v>
      </c>
      <c r="R29" s="4" t="str">
        <f t="shared" si="9"/>
        <v>OVER</v>
      </c>
      <c r="S29" s="12" t="s">
        <v>11</v>
      </c>
      <c r="T29" s="12" t="s">
        <v>11</v>
      </c>
      <c r="U29" s="2">
        <f>IF(Q29="OVER",J29,K29)</f>
        <v>-51.65218347162579</v>
      </c>
      <c r="V29" s="2">
        <f>IF(R29="OVER",J29,K29)</f>
        <v>-51.65218347162579</v>
      </c>
      <c r="W29" s="12" t="s">
        <v>11</v>
      </c>
      <c r="X29" s="12" t="s">
        <v>11</v>
      </c>
      <c r="Y29" s="9">
        <f t="shared" si="8"/>
        <v>-1810.9260286743802</v>
      </c>
      <c r="Z29" s="9">
        <f t="shared" si="8"/>
        <v>242.07164977202103</v>
      </c>
      <c r="AA29" s="12" t="s">
        <v>11</v>
      </c>
      <c r="AB29" s="12" t="s">
        <v>11</v>
      </c>
    </row>
    <row r="30" spans="1:28" x14ac:dyDescent="0.3">
      <c r="A30" s="1">
        <v>44455</v>
      </c>
      <c r="B30" s="2">
        <v>154.41</v>
      </c>
      <c r="C30" s="2">
        <v>447.17</v>
      </c>
      <c r="D30" s="9">
        <f>B30-B29</f>
        <v>-0.28999999999999204</v>
      </c>
      <c r="E30" s="9">
        <f>C30-C29</f>
        <v>-0.70999999999997954</v>
      </c>
      <c r="F30" s="3">
        <f>F$1/B30</f>
        <v>647.62644906417984</v>
      </c>
      <c r="G30" s="3">
        <f>F$1/C30</f>
        <v>223.62859762506429</v>
      </c>
      <c r="H30" s="2">
        <f>D30*F29</f>
        <v>-187.45959922429998</v>
      </c>
      <c r="I30" s="2">
        <f>E30*G29</f>
        <v>-158.52460480485388</v>
      </c>
      <c r="J30" s="2">
        <f>I30-H30</f>
        <v>28.934994419446099</v>
      </c>
      <c r="K30" s="2">
        <f t="shared" si="6"/>
        <v>-28.934994419446099</v>
      </c>
      <c r="L30" s="3">
        <f>C30/B30</f>
        <v>2.895991192280293</v>
      </c>
      <c r="M30" s="3">
        <f t="shared" si="7"/>
        <v>2.8937501620903556</v>
      </c>
      <c r="N30" s="3">
        <f t="shared" si="10"/>
        <v>2.8902871064299065</v>
      </c>
      <c r="O30" s="12" t="s">
        <v>11</v>
      </c>
      <c r="P30" s="12" t="s">
        <v>11</v>
      </c>
      <c r="Q30" s="4" t="str">
        <f t="shared" si="9"/>
        <v>OVER</v>
      </c>
      <c r="R30" s="4" t="str">
        <f t="shared" si="9"/>
        <v>OVER</v>
      </c>
      <c r="S30" s="12" t="s">
        <v>11</v>
      </c>
      <c r="T30" s="12" t="s">
        <v>11</v>
      </c>
      <c r="U30" s="2">
        <f>IF(Q30="OVER",J30,K30)</f>
        <v>28.934994419446099</v>
      </c>
      <c r="V30" s="2">
        <f>IF(R30="OVER",J30,K30)</f>
        <v>28.934994419446099</v>
      </c>
      <c r="W30" s="12" t="s">
        <v>11</v>
      </c>
      <c r="X30" s="12" t="s">
        <v>11</v>
      </c>
      <c r="Y30" s="9">
        <f t="shared" si="8"/>
        <v>-1781.991034254934</v>
      </c>
      <c r="Z30" s="9">
        <f t="shared" si="8"/>
        <v>271.0066441914671</v>
      </c>
      <c r="AA30" s="12" t="s">
        <v>11</v>
      </c>
      <c r="AB30" s="12" t="s">
        <v>11</v>
      </c>
    </row>
    <row r="31" spans="1:28" x14ac:dyDescent="0.3">
      <c r="A31" s="1">
        <v>44456</v>
      </c>
      <c r="B31" s="2">
        <v>153.04</v>
      </c>
      <c r="C31" s="2">
        <v>441.4</v>
      </c>
      <c r="D31" s="9">
        <f>B31-B30</f>
        <v>-1.3700000000000045</v>
      </c>
      <c r="E31" s="9">
        <f>C31-C30</f>
        <v>-5.7700000000000387</v>
      </c>
      <c r="F31" s="3">
        <f>F$1/B31</f>
        <v>653.42394145321487</v>
      </c>
      <c r="G31" s="3">
        <f>F$1/C31</f>
        <v>226.55188038060717</v>
      </c>
      <c r="H31" s="2">
        <f>D31*F30</f>
        <v>-887.24823521792928</v>
      </c>
      <c r="I31" s="2">
        <f>E31*G30</f>
        <v>-1290.3370082966296</v>
      </c>
      <c r="J31" s="2">
        <f>I31-H31</f>
        <v>-403.08877307870034</v>
      </c>
      <c r="K31" s="2">
        <f t="shared" si="6"/>
        <v>403.08877307870034</v>
      </c>
      <c r="L31" s="3">
        <f>C31/B31</f>
        <v>2.8842132775744904</v>
      </c>
      <c r="M31" s="3">
        <f t="shared" si="7"/>
        <v>2.8942307058081576</v>
      </c>
      <c r="N31" s="3">
        <f t="shared" si="10"/>
        <v>2.890063541635878</v>
      </c>
      <c r="O31" s="12" t="s">
        <v>11</v>
      </c>
      <c r="P31" s="12" t="s">
        <v>11</v>
      </c>
      <c r="Q31" s="4" t="str">
        <f t="shared" si="9"/>
        <v>OVER</v>
      </c>
      <c r="R31" s="4" t="str">
        <f t="shared" si="9"/>
        <v>OVER</v>
      </c>
      <c r="S31" s="12" t="s">
        <v>11</v>
      </c>
      <c r="T31" s="12" t="s">
        <v>11</v>
      </c>
      <c r="U31" s="2">
        <f>IF(Q31="OVER",J31,K31)</f>
        <v>-403.08877307870034</v>
      </c>
      <c r="V31" s="2">
        <f>IF(R31="OVER",J31,K31)</f>
        <v>-403.08877307870034</v>
      </c>
      <c r="W31" s="12" t="s">
        <v>11</v>
      </c>
      <c r="X31" s="12" t="s">
        <v>11</v>
      </c>
      <c r="Y31" s="9">
        <f t="shared" si="8"/>
        <v>-2185.0798073336346</v>
      </c>
      <c r="Z31" s="9">
        <f t="shared" si="8"/>
        <v>-132.08212888723324</v>
      </c>
      <c r="AA31" s="12" t="s">
        <v>11</v>
      </c>
      <c r="AB31" s="12" t="s">
        <v>11</v>
      </c>
    </row>
    <row r="32" spans="1:28" x14ac:dyDescent="0.3">
      <c r="A32" s="1">
        <v>44459</v>
      </c>
      <c r="B32" s="2">
        <v>150.18</v>
      </c>
      <c r="C32" s="2">
        <v>434.04</v>
      </c>
      <c r="D32" s="9">
        <f>B32-B31</f>
        <v>-2.8599999999999852</v>
      </c>
      <c r="E32" s="9">
        <f>C32-C31</f>
        <v>-7.3599999999999568</v>
      </c>
      <c r="F32" s="3">
        <f>F$1/B32</f>
        <v>665.86762551604738</v>
      </c>
      <c r="G32" s="3">
        <f>F$1/C32</f>
        <v>230.39351211869874</v>
      </c>
      <c r="H32" s="2">
        <f>D32*F31</f>
        <v>-1868.7924725561847</v>
      </c>
      <c r="I32" s="2">
        <f>E32*G31</f>
        <v>-1667.4218396012591</v>
      </c>
      <c r="J32" s="2">
        <f>I32-H32</f>
        <v>201.37063295492567</v>
      </c>
      <c r="K32" s="2">
        <f t="shared" si="6"/>
        <v>-201.37063295492567</v>
      </c>
      <c r="L32" s="3">
        <f>C32/B32</f>
        <v>2.8901318417898523</v>
      </c>
      <c r="M32" s="3">
        <f t="shared" si="7"/>
        <v>2.8944371587275812</v>
      </c>
      <c r="N32" s="3">
        <f t="shared" si="10"/>
        <v>2.8900307844393303</v>
      </c>
      <c r="O32" s="12" t="s">
        <v>11</v>
      </c>
      <c r="P32" s="12" t="s">
        <v>11</v>
      </c>
      <c r="Q32" s="4" t="str">
        <f t="shared" si="9"/>
        <v>UNDER</v>
      </c>
      <c r="R32" s="4" t="str">
        <f t="shared" si="9"/>
        <v>UNDER</v>
      </c>
      <c r="S32" s="12" t="s">
        <v>11</v>
      </c>
      <c r="T32" s="12" t="s">
        <v>11</v>
      </c>
      <c r="U32" s="2">
        <f>IF(Q32="OVER",J32,K32)</f>
        <v>-201.37063295492567</v>
      </c>
      <c r="V32" s="2">
        <f>IF(R32="OVER",J32,K32)</f>
        <v>-201.37063295492567</v>
      </c>
      <c r="W32" s="12" t="s">
        <v>11</v>
      </c>
      <c r="X32" s="12" t="s">
        <v>11</v>
      </c>
      <c r="Y32" s="9">
        <f t="shared" si="8"/>
        <v>-2386.4504402885605</v>
      </c>
      <c r="Z32" s="9">
        <f t="shared" si="8"/>
        <v>-333.45276184215891</v>
      </c>
      <c r="AA32" s="12" t="s">
        <v>11</v>
      </c>
      <c r="AB32" s="12" t="s">
        <v>11</v>
      </c>
    </row>
    <row r="33" spans="1:28" x14ac:dyDescent="0.3">
      <c r="A33" s="1">
        <v>44460</v>
      </c>
      <c r="B33" s="2">
        <v>149.63999999999999</v>
      </c>
      <c r="C33" s="2">
        <v>433.63</v>
      </c>
      <c r="D33" s="9">
        <f>B33-B32</f>
        <v>-0.54000000000002046</v>
      </c>
      <c r="E33" s="9">
        <f>C33-C32</f>
        <v>-0.41000000000002501</v>
      </c>
      <c r="F33" s="3">
        <f>F$1/B33</f>
        <v>668.27051590483836</v>
      </c>
      <c r="G33" s="3">
        <f>F$1/C33</f>
        <v>230.61135069068101</v>
      </c>
      <c r="H33" s="2">
        <f>D33*F32</f>
        <v>-359.56851777867922</v>
      </c>
      <c r="I33" s="2">
        <f>E33*G32</f>
        <v>-94.461339968672249</v>
      </c>
      <c r="J33" s="2">
        <f>I33-H33</f>
        <v>265.10717781000699</v>
      </c>
      <c r="K33" s="2">
        <f t="shared" si="6"/>
        <v>-265.10717781000699</v>
      </c>
      <c r="L33" s="3">
        <f>C33/B33</f>
        <v>2.8978214381181506</v>
      </c>
      <c r="M33" s="3">
        <f t="shared" si="7"/>
        <v>2.8940219637208577</v>
      </c>
      <c r="N33" s="3">
        <f t="shared" si="10"/>
        <v>2.8901962544814022</v>
      </c>
      <c r="O33" s="12" t="s">
        <v>11</v>
      </c>
      <c r="P33" s="12" t="s">
        <v>11</v>
      </c>
      <c r="Q33" s="4" t="str">
        <f t="shared" si="9"/>
        <v>UNDER</v>
      </c>
      <c r="R33" s="4" t="str">
        <f t="shared" si="9"/>
        <v>OVER</v>
      </c>
      <c r="S33" s="12" t="s">
        <v>11</v>
      </c>
      <c r="T33" s="12" t="s">
        <v>11</v>
      </c>
      <c r="U33" s="2">
        <f>IF(Q33="OVER",J33,K33)</f>
        <v>-265.10717781000699</v>
      </c>
      <c r="V33" s="2">
        <f>IF(R33="OVER",J33,K33)</f>
        <v>265.10717781000699</v>
      </c>
      <c r="W33" s="12" t="s">
        <v>11</v>
      </c>
      <c r="X33" s="12" t="s">
        <v>11</v>
      </c>
      <c r="Y33" s="9">
        <f t="shared" si="8"/>
        <v>-2651.5576180985672</v>
      </c>
      <c r="Z33" s="9">
        <f t="shared" si="8"/>
        <v>-68.345584032151919</v>
      </c>
      <c r="AA33" s="12" t="s">
        <v>11</v>
      </c>
      <c r="AB33" s="12" t="s">
        <v>11</v>
      </c>
    </row>
    <row r="34" spans="1:28" x14ac:dyDescent="0.3">
      <c r="A34" s="1">
        <v>44461</v>
      </c>
      <c r="B34" s="2">
        <v>151.32</v>
      </c>
      <c r="C34" s="2">
        <v>437.86</v>
      </c>
      <c r="D34" s="9">
        <f>B34-B33</f>
        <v>1.6800000000000068</v>
      </c>
      <c r="E34" s="9">
        <f>C34-C33</f>
        <v>4.2300000000000182</v>
      </c>
      <c r="F34" s="3">
        <f>F$1/B34</f>
        <v>660.85117631509388</v>
      </c>
      <c r="G34" s="3">
        <f>F$1/C34</f>
        <v>228.38350157584617</v>
      </c>
      <c r="H34" s="2">
        <f>D34*F33</f>
        <v>1122.6944667201331</v>
      </c>
      <c r="I34" s="2">
        <f>E34*G33</f>
        <v>975.48601342158486</v>
      </c>
      <c r="J34" s="2">
        <f>I34-H34</f>
        <v>-147.20845329854819</v>
      </c>
      <c r="K34" s="2">
        <f t="shared" si="6"/>
        <v>147.20845329854819</v>
      </c>
      <c r="L34" s="3">
        <f>C34/B34</f>
        <v>2.8936029606132703</v>
      </c>
      <c r="M34" s="3">
        <f t="shared" si="7"/>
        <v>2.8933520288694687</v>
      </c>
      <c r="N34" s="3">
        <f t="shared" si="10"/>
        <v>2.8905096606493523</v>
      </c>
      <c r="O34" s="12" t="s">
        <v>11</v>
      </c>
      <c r="P34" s="12" t="s">
        <v>11</v>
      </c>
      <c r="Q34" s="4" t="str">
        <f t="shared" si="9"/>
        <v>OVER</v>
      </c>
      <c r="R34" s="4" t="str">
        <f t="shared" si="9"/>
        <v>OVER</v>
      </c>
      <c r="S34" s="12" t="s">
        <v>11</v>
      </c>
      <c r="T34" s="12" t="s">
        <v>11</v>
      </c>
      <c r="U34" s="2">
        <f>IF(Q34="OVER",J34,K34)</f>
        <v>-147.20845329854819</v>
      </c>
      <c r="V34" s="2">
        <f>IF(R34="OVER",J34,K34)</f>
        <v>-147.20845329854819</v>
      </c>
      <c r="W34" s="12" t="s">
        <v>11</v>
      </c>
      <c r="X34" s="12" t="s">
        <v>11</v>
      </c>
      <c r="Y34" s="9">
        <f t="shared" si="8"/>
        <v>-2798.7660713971154</v>
      </c>
      <c r="Z34" s="9">
        <f t="shared" si="8"/>
        <v>-215.55403733070011</v>
      </c>
      <c r="AA34" s="12" t="s">
        <v>11</v>
      </c>
      <c r="AB34" s="12" t="s">
        <v>11</v>
      </c>
    </row>
    <row r="35" spans="1:28" x14ac:dyDescent="0.3">
      <c r="A35" s="1">
        <v>44462</v>
      </c>
      <c r="B35" s="2">
        <v>153.54</v>
      </c>
      <c r="C35" s="2">
        <v>443.18</v>
      </c>
      <c r="D35" s="9">
        <f>B35-B34</f>
        <v>2.2199999999999989</v>
      </c>
      <c r="E35" s="9">
        <f>C35-C34</f>
        <v>5.3199999999999932</v>
      </c>
      <c r="F35" s="3">
        <f>F$1/B35</f>
        <v>651.29607919760326</v>
      </c>
      <c r="G35" s="3">
        <f>F$1/C35</f>
        <v>225.64195135159528</v>
      </c>
      <c r="H35" s="2">
        <f>D35*F34</f>
        <v>1467.0896114195077</v>
      </c>
      <c r="I35" s="2">
        <f>E35*G34</f>
        <v>1215.0002283835001</v>
      </c>
      <c r="J35" s="2">
        <f>I35-H35</f>
        <v>-252.08938303600758</v>
      </c>
      <c r="K35" s="2">
        <f t="shared" si="6"/>
        <v>252.08938303600758</v>
      </c>
      <c r="L35" s="3">
        <f>C35/B35</f>
        <v>2.886413963787938</v>
      </c>
      <c r="M35" s="3">
        <f t="shared" si="7"/>
        <v>2.8923849623701101</v>
      </c>
      <c r="N35" s="3">
        <f t="shared" si="10"/>
        <v>2.8909212737582846</v>
      </c>
      <c r="O35" s="12" t="s">
        <v>11</v>
      </c>
      <c r="P35" s="12" t="s">
        <v>11</v>
      </c>
      <c r="Q35" s="4" t="str">
        <f t="shared" si="9"/>
        <v>OVER</v>
      </c>
      <c r="R35" s="4" t="str">
        <f t="shared" si="9"/>
        <v>OVER</v>
      </c>
      <c r="S35" s="12" t="s">
        <v>11</v>
      </c>
      <c r="T35" s="12" t="s">
        <v>11</v>
      </c>
      <c r="U35" s="2">
        <f>IF(Q35="OVER",J35,K35)</f>
        <v>-252.08938303600758</v>
      </c>
      <c r="V35" s="2">
        <f>IF(R35="OVER",J35,K35)</f>
        <v>-252.08938303600758</v>
      </c>
      <c r="W35" s="12" t="s">
        <v>11</v>
      </c>
      <c r="X35" s="12" t="s">
        <v>11</v>
      </c>
      <c r="Y35" s="9">
        <f t="shared" si="8"/>
        <v>-3050.8554544331228</v>
      </c>
      <c r="Z35" s="9">
        <f t="shared" si="8"/>
        <v>-467.64342036670769</v>
      </c>
      <c r="AA35" s="12" t="s">
        <v>11</v>
      </c>
      <c r="AB35" s="12" t="s">
        <v>11</v>
      </c>
    </row>
    <row r="36" spans="1:28" x14ac:dyDescent="0.3">
      <c r="A36" s="1">
        <v>44463</v>
      </c>
      <c r="B36" s="2">
        <v>153.80000000000001</v>
      </c>
      <c r="C36" s="2">
        <v>443.91</v>
      </c>
      <c r="D36" s="9">
        <f>B36-B35</f>
        <v>0.26000000000001933</v>
      </c>
      <c r="E36" s="9">
        <f>C36-C35</f>
        <v>0.73000000000001819</v>
      </c>
      <c r="F36" s="3">
        <f>F$1/B36</f>
        <v>650.19505851755525</v>
      </c>
      <c r="G36" s="3">
        <f>F$1/C36</f>
        <v>225.27088824311232</v>
      </c>
      <c r="H36" s="2">
        <f>D36*F35</f>
        <v>169.33698059138945</v>
      </c>
      <c r="I36" s="2">
        <f>E36*G35</f>
        <v>164.71862448666866</v>
      </c>
      <c r="J36" s="2">
        <f>I36-H36</f>
        <v>-4.6183561047207888</v>
      </c>
      <c r="K36" s="2">
        <f t="shared" si="6"/>
        <v>4.6183561047207888</v>
      </c>
      <c r="L36" s="3">
        <f>C36/B36</f>
        <v>2.8862808842652794</v>
      </c>
      <c r="M36" s="3">
        <f t="shared" si="7"/>
        <v>2.8917850785870409</v>
      </c>
      <c r="N36" s="3">
        <f t="shared" si="10"/>
        <v>2.8911875452149318</v>
      </c>
      <c r="O36" s="12" t="s">
        <v>11</v>
      </c>
      <c r="P36" s="12" t="s">
        <v>11</v>
      </c>
      <c r="Q36" s="4" t="str">
        <f t="shared" si="9"/>
        <v>UNDER</v>
      </c>
      <c r="R36" s="4" t="str">
        <f t="shared" si="9"/>
        <v>UNDER</v>
      </c>
      <c r="S36" s="12" t="s">
        <v>11</v>
      </c>
      <c r="T36" s="12" t="s">
        <v>11</v>
      </c>
      <c r="U36" s="2">
        <f>IF(Q36="OVER",J36,K36)</f>
        <v>4.6183561047207888</v>
      </c>
      <c r="V36" s="2">
        <f>IF(R36="OVER",J36,K36)</f>
        <v>4.6183561047207888</v>
      </c>
      <c r="W36" s="12" t="s">
        <v>11</v>
      </c>
      <c r="X36" s="12" t="s">
        <v>11</v>
      </c>
      <c r="Y36" s="9">
        <f t="shared" si="8"/>
        <v>-3046.2370983284018</v>
      </c>
      <c r="Z36" s="9">
        <f t="shared" si="8"/>
        <v>-463.02506426198693</v>
      </c>
      <c r="AA36" s="12" t="s">
        <v>11</v>
      </c>
      <c r="AB36" s="12" t="s">
        <v>11</v>
      </c>
    </row>
    <row r="37" spans="1:28" x14ac:dyDescent="0.3">
      <c r="A37" s="1">
        <v>44466</v>
      </c>
      <c r="B37" s="2">
        <v>154.31</v>
      </c>
      <c r="C37" s="2">
        <v>442.64</v>
      </c>
      <c r="D37" s="9">
        <f>B37-B36</f>
        <v>0.50999999999999091</v>
      </c>
      <c r="E37" s="9">
        <f>C37-C36</f>
        <v>-1.2700000000000387</v>
      </c>
      <c r="F37" s="3">
        <f>F$1/B37</f>
        <v>648.04614088523101</v>
      </c>
      <c r="G37" s="3">
        <f>F$1/C37</f>
        <v>225.91722392915236</v>
      </c>
      <c r="H37" s="2">
        <f>D37*F36</f>
        <v>331.59947984394728</v>
      </c>
      <c r="I37" s="2">
        <f>E37*G36</f>
        <v>-286.09402806876136</v>
      </c>
      <c r="J37" s="2">
        <f>I37-H37</f>
        <v>-617.69350791270858</v>
      </c>
      <c r="K37" s="2">
        <f t="shared" si="6"/>
        <v>617.69350791270858</v>
      </c>
      <c r="L37" s="3">
        <f>C37/B37</f>
        <v>2.8685114380143863</v>
      </c>
      <c r="M37" s="3">
        <f t="shared" si="7"/>
        <v>2.8894753832276412</v>
      </c>
      <c r="N37" s="3">
        <f t="shared" si="10"/>
        <v>2.8908184058228561</v>
      </c>
      <c r="O37" s="12" t="s">
        <v>11</v>
      </c>
      <c r="P37" s="12" t="s">
        <v>11</v>
      </c>
      <c r="Q37" s="4" t="str">
        <f t="shared" si="9"/>
        <v>UNDER</v>
      </c>
      <c r="R37" s="4" t="str">
        <f t="shared" si="9"/>
        <v>UNDER</v>
      </c>
      <c r="S37" s="12" t="s">
        <v>11</v>
      </c>
      <c r="T37" s="12" t="s">
        <v>11</v>
      </c>
      <c r="U37" s="2">
        <f>IF(Q37="OVER",J37,K37)</f>
        <v>617.69350791270858</v>
      </c>
      <c r="V37" s="2">
        <f>IF(R37="OVER",J37,K37)</f>
        <v>617.69350791270858</v>
      </c>
      <c r="W37" s="12" t="s">
        <v>11</v>
      </c>
      <c r="X37" s="12" t="s">
        <v>11</v>
      </c>
      <c r="Y37" s="9">
        <f t="shared" si="8"/>
        <v>-2428.543590415693</v>
      </c>
      <c r="Z37" s="9">
        <f t="shared" si="8"/>
        <v>154.66844365072166</v>
      </c>
      <c r="AA37" s="12" t="s">
        <v>11</v>
      </c>
      <c r="AB37" s="12" t="s">
        <v>11</v>
      </c>
    </row>
    <row r="38" spans="1:28" x14ac:dyDescent="0.3">
      <c r="A38" s="1">
        <v>44467</v>
      </c>
      <c r="B38" s="2">
        <v>152</v>
      </c>
      <c r="C38" s="2">
        <v>433.72</v>
      </c>
      <c r="D38" s="9">
        <f>B38-B37</f>
        <v>-2.3100000000000023</v>
      </c>
      <c r="E38" s="9">
        <f>C38-C37</f>
        <v>-8.9199999999999591</v>
      </c>
      <c r="F38" s="3">
        <f>F$1/B38</f>
        <v>657.89473684210532</v>
      </c>
      <c r="G38" s="3">
        <f>F$1/C38</f>
        <v>230.56349718712531</v>
      </c>
      <c r="H38" s="2">
        <f>D38*F37</f>
        <v>-1496.9865854448851</v>
      </c>
      <c r="I38" s="2">
        <f>E38*G37</f>
        <v>-2015.1816374480297</v>
      </c>
      <c r="J38" s="2">
        <f>I38-H38</f>
        <v>-518.19505200314461</v>
      </c>
      <c r="K38" s="2">
        <f t="shared" si="6"/>
        <v>518.19505200314461</v>
      </c>
      <c r="L38" s="3">
        <f>C38/B38</f>
        <v>2.8534210526315791</v>
      </c>
      <c r="M38" s="3">
        <f t="shared" si="7"/>
        <v>2.8851539955991852</v>
      </c>
      <c r="N38" s="3">
        <f t="shared" si="10"/>
        <v>2.8888499139012462</v>
      </c>
      <c r="O38" s="12" t="s">
        <v>11</v>
      </c>
      <c r="P38" s="12" t="s">
        <v>11</v>
      </c>
      <c r="Q38" s="4" t="str">
        <f t="shared" si="9"/>
        <v>UNDER</v>
      </c>
      <c r="R38" s="4" t="str">
        <f t="shared" si="9"/>
        <v>UNDER</v>
      </c>
      <c r="S38" s="12" t="s">
        <v>11</v>
      </c>
      <c r="T38" s="12" t="s">
        <v>11</v>
      </c>
      <c r="U38" s="2">
        <f>IF(Q38="OVER",J38,K38)</f>
        <v>518.19505200314461</v>
      </c>
      <c r="V38" s="2">
        <f>IF(R38="OVER",J38,K38)</f>
        <v>518.19505200314461</v>
      </c>
      <c r="W38" s="12" t="s">
        <v>11</v>
      </c>
      <c r="X38" s="12" t="s">
        <v>11</v>
      </c>
      <c r="Y38" s="9">
        <f t="shared" si="8"/>
        <v>-1910.3485384125484</v>
      </c>
      <c r="Z38" s="9">
        <f t="shared" si="8"/>
        <v>672.86349565386627</v>
      </c>
      <c r="AA38" s="12" t="s">
        <v>11</v>
      </c>
      <c r="AB38" s="12" t="s">
        <v>11</v>
      </c>
    </row>
    <row r="39" spans="1:28" x14ac:dyDescent="0.3">
      <c r="A39" s="1">
        <v>44468</v>
      </c>
      <c r="B39" s="2">
        <v>152.33000000000001</v>
      </c>
      <c r="C39" s="2">
        <v>434.45</v>
      </c>
      <c r="D39" s="9">
        <f>B39-B38</f>
        <v>0.33000000000001251</v>
      </c>
      <c r="E39" s="9">
        <f>C39-C38</f>
        <v>0.72999999999996135</v>
      </c>
      <c r="F39" s="3">
        <f>F$1/B39</f>
        <v>656.46950699140018</v>
      </c>
      <c r="G39" s="3">
        <f>F$1/C39</f>
        <v>230.17608470479917</v>
      </c>
      <c r="H39" s="2">
        <f>D39*F38</f>
        <v>217.10526315790298</v>
      </c>
      <c r="I39" s="2">
        <f>E39*G38</f>
        <v>168.31135294659256</v>
      </c>
      <c r="J39" s="2">
        <f>I39-H39</f>
        <v>-48.793910211310418</v>
      </c>
      <c r="K39" s="2">
        <f t="shared" si="6"/>
        <v>48.793910211310418</v>
      </c>
      <c r="L39" s="3">
        <f>C39/B39</f>
        <v>2.8520317731241382</v>
      </c>
      <c r="M39" s="3">
        <f t="shared" si="7"/>
        <v>2.880841982219938</v>
      </c>
      <c r="N39" s="3">
        <f t="shared" si="10"/>
        <v>2.8869985275094683</v>
      </c>
      <c r="O39" s="12" t="s">
        <v>11</v>
      </c>
      <c r="P39" s="12" t="s">
        <v>11</v>
      </c>
      <c r="Q39" s="4" t="str">
        <f t="shared" si="9"/>
        <v>UNDER</v>
      </c>
      <c r="R39" s="4" t="str">
        <f t="shared" si="9"/>
        <v>UNDER</v>
      </c>
      <c r="S39" s="12" t="s">
        <v>11</v>
      </c>
      <c r="T39" s="12" t="s">
        <v>11</v>
      </c>
      <c r="U39" s="2">
        <f>IF(Q39="OVER",J39,K39)</f>
        <v>48.793910211310418</v>
      </c>
      <c r="V39" s="2">
        <f>IF(R39="OVER",J39,K39)</f>
        <v>48.793910211310418</v>
      </c>
      <c r="W39" s="12" t="s">
        <v>11</v>
      </c>
      <c r="X39" s="12" t="s">
        <v>11</v>
      </c>
      <c r="Y39" s="9">
        <f t="shared" si="8"/>
        <v>-1861.5546282012378</v>
      </c>
      <c r="Z39" s="9">
        <f t="shared" si="8"/>
        <v>721.65740586517666</v>
      </c>
      <c r="AA39" s="12" t="s">
        <v>11</v>
      </c>
      <c r="AB39" s="12" t="s">
        <v>11</v>
      </c>
    </row>
    <row r="40" spans="1:28" x14ac:dyDescent="0.3">
      <c r="A40" s="1">
        <v>44469</v>
      </c>
      <c r="B40" s="2">
        <v>149.82</v>
      </c>
      <c r="C40" s="2">
        <v>429.14</v>
      </c>
      <c r="D40" s="9">
        <f>B40-B39</f>
        <v>-2.5100000000000193</v>
      </c>
      <c r="E40" s="9">
        <f>C40-C39</f>
        <v>-5.3100000000000023</v>
      </c>
      <c r="F40" s="3">
        <f>F$1/B40</f>
        <v>667.46762782005078</v>
      </c>
      <c r="G40" s="3">
        <f>F$1/C40</f>
        <v>233.02418791070514</v>
      </c>
      <c r="H40" s="2">
        <f>D40*F39</f>
        <v>-1647.7384625484272</v>
      </c>
      <c r="I40" s="2">
        <f>E40*G39</f>
        <v>-1222.235009782484</v>
      </c>
      <c r="J40" s="2">
        <f>I40-H40</f>
        <v>425.50345276594317</v>
      </c>
      <c r="K40" s="2">
        <f t="shared" si="6"/>
        <v>-425.50345276594317</v>
      </c>
      <c r="L40" s="3">
        <f>C40/B40</f>
        <v>2.8643705780269659</v>
      </c>
      <c r="M40" s="3">
        <f t="shared" si="7"/>
        <v>2.8776799207946047</v>
      </c>
      <c r="N40" s="3">
        <f t="shared" si="10"/>
        <v>2.8857150414424808</v>
      </c>
      <c r="O40" s="12" t="s">
        <v>11</v>
      </c>
      <c r="P40" s="12" t="s">
        <v>11</v>
      </c>
      <c r="Q40" s="4" t="str">
        <f t="shared" si="9"/>
        <v>UNDER</v>
      </c>
      <c r="R40" s="4" t="str">
        <f t="shared" si="9"/>
        <v>UNDER</v>
      </c>
      <c r="S40" s="12" t="s">
        <v>11</v>
      </c>
      <c r="T40" s="12" t="s">
        <v>11</v>
      </c>
      <c r="U40" s="2">
        <f>IF(Q40="OVER",J40,K40)</f>
        <v>-425.50345276594317</v>
      </c>
      <c r="V40" s="2">
        <f>IF(R40="OVER",J40,K40)</f>
        <v>-425.50345276594317</v>
      </c>
      <c r="W40" s="12" t="s">
        <v>11</v>
      </c>
      <c r="X40" s="12" t="s">
        <v>11</v>
      </c>
      <c r="Y40" s="9">
        <f t="shared" si="8"/>
        <v>-2287.058080967181</v>
      </c>
      <c r="Z40" s="9">
        <f t="shared" si="8"/>
        <v>296.15395309923349</v>
      </c>
      <c r="AA40" s="12" t="s">
        <v>11</v>
      </c>
      <c r="AB40" s="12" t="s">
        <v>11</v>
      </c>
    </row>
    <row r="41" spans="1:28" x14ac:dyDescent="0.3">
      <c r="A41" s="1">
        <v>44470</v>
      </c>
      <c r="B41" s="2">
        <v>151.84</v>
      </c>
      <c r="C41" s="2">
        <v>434.24</v>
      </c>
      <c r="D41" s="9">
        <f>B41-B40</f>
        <v>2.0200000000000102</v>
      </c>
      <c r="E41" s="9">
        <f>C41-C40</f>
        <v>5.1000000000000227</v>
      </c>
      <c r="F41" s="3">
        <f>F$1/B41</f>
        <v>658.58798735511061</v>
      </c>
      <c r="G41" s="3">
        <f>F$1/C41</f>
        <v>230.28739867354457</v>
      </c>
      <c r="H41" s="2">
        <f>D41*F40</f>
        <v>1348.2846081965095</v>
      </c>
      <c r="I41" s="2">
        <f>E41*G40</f>
        <v>1188.4233583446014</v>
      </c>
      <c r="J41" s="2">
        <f>I41-H41</f>
        <v>-159.86124985190804</v>
      </c>
      <c r="K41" s="2">
        <f t="shared" si="6"/>
        <v>159.86124985190804</v>
      </c>
      <c r="L41" s="3">
        <f>C41/B41</f>
        <v>2.8598524762908326</v>
      </c>
      <c r="M41" s="3">
        <f t="shared" si="7"/>
        <v>2.8752438406662391</v>
      </c>
      <c r="N41" s="3">
        <f t="shared" si="10"/>
        <v>2.8847372732371985</v>
      </c>
      <c r="O41" s="12" t="s">
        <v>11</v>
      </c>
      <c r="P41" s="12" t="s">
        <v>11</v>
      </c>
      <c r="Q41" s="4" t="str">
        <f t="shared" si="9"/>
        <v>UNDER</v>
      </c>
      <c r="R41" s="4" t="str">
        <f t="shared" si="9"/>
        <v>UNDER</v>
      </c>
      <c r="S41" s="12" t="s">
        <v>11</v>
      </c>
      <c r="T41" s="12" t="s">
        <v>11</v>
      </c>
      <c r="U41" s="2">
        <f>IF(Q41="OVER",J41,K41)</f>
        <v>159.86124985190804</v>
      </c>
      <c r="V41" s="2">
        <f>IF(R41="OVER",J41,K41)</f>
        <v>159.86124985190804</v>
      </c>
      <c r="W41" s="12" t="s">
        <v>11</v>
      </c>
      <c r="X41" s="12" t="s">
        <v>11</v>
      </c>
      <c r="Y41" s="9">
        <f t="shared" si="8"/>
        <v>-2127.1968311152732</v>
      </c>
      <c r="Z41" s="9">
        <f t="shared" si="8"/>
        <v>456.01520295114153</v>
      </c>
      <c r="AA41" s="12" t="s">
        <v>11</v>
      </c>
      <c r="AB41" s="12" t="s">
        <v>11</v>
      </c>
    </row>
    <row r="42" spans="1:28" x14ac:dyDescent="0.3">
      <c r="A42" s="1">
        <v>44473</v>
      </c>
      <c r="B42" s="2">
        <v>150.88</v>
      </c>
      <c r="C42" s="2">
        <v>428.64</v>
      </c>
      <c r="D42" s="9">
        <f>B42-B41</f>
        <v>-0.96000000000000796</v>
      </c>
      <c r="E42" s="9">
        <f>C42-C41</f>
        <v>-5.6000000000000227</v>
      </c>
      <c r="F42" s="3">
        <f>F$1/B42</f>
        <v>662.77836691410391</v>
      </c>
      <c r="G42" s="3">
        <f>F$1/C42</f>
        <v>233.29600597237777</v>
      </c>
      <c r="H42" s="2">
        <f>D42*F41</f>
        <v>-632.24446786091141</v>
      </c>
      <c r="I42" s="2">
        <f>E42*G41</f>
        <v>-1289.6094325718548</v>
      </c>
      <c r="J42" s="2">
        <f>I42-H42</f>
        <v>-657.36496471094335</v>
      </c>
      <c r="K42" s="2">
        <f t="shared" si="6"/>
        <v>657.36496471094335</v>
      </c>
      <c r="L42" s="3">
        <f>C42/B42</f>
        <v>2.8409331919406151</v>
      </c>
      <c r="M42" s="3">
        <f t="shared" si="7"/>
        <v>2.8703239756813153</v>
      </c>
      <c r="N42" s="3">
        <f t="shared" si="10"/>
        <v>2.8823805672044487</v>
      </c>
      <c r="O42" s="12" t="s">
        <v>11</v>
      </c>
      <c r="P42" s="12" t="s">
        <v>11</v>
      </c>
      <c r="Q42" s="4" t="str">
        <f t="shared" si="9"/>
        <v>UNDER</v>
      </c>
      <c r="R42" s="4" t="str">
        <f t="shared" si="9"/>
        <v>UNDER</v>
      </c>
      <c r="S42" s="12" t="s">
        <v>11</v>
      </c>
      <c r="T42" s="12" t="s">
        <v>11</v>
      </c>
      <c r="U42" s="2">
        <f>IF(Q42="OVER",J42,K42)</f>
        <v>657.36496471094335</v>
      </c>
      <c r="V42" s="2">
        <f>IF(R42="OVER",J42,K42)</f>
        <v>657.36496471094335</v>
      </c>
      <c r="W42" s="12" t="s">
        <v>11</v>
      </c>
      <c r="X42" s="12" t="s">
        <v>11</v>
      </c>
      <c r="Y42" s="9">
        <f t="shared" si="8"/>
        <v>-1469.83186640433</v>
      </c>
      <c r="Z42" s="9">
        <f t="shared" si="8"/>
        <v>1113.3801676620849</v>
      </c>
      <c r="AA42" s="12" t="s">
        <v>11</v>
      </c>
      <c r="AB42" s="12" t="s">
        <v>11</v>
      </c>
    </row>
    <row r="43" spans="1:28" x14ac:dyDescent="0.3">
      <c r="A43" s="1">
        <v>44474</v>
      </c>
      <c r="B43" s="2">
        <v>151.96</v>
      </c>
      <c r="C43" s="2">
        <v>433.1</v>
      </c>
      <c r="D43" s="9">
        <f>B43-B42</f>
        <v>1.0800000000000125</v>
      </c>
      <c r="E43" s="9">
        <f>C43-C42</f>
        <v>4.4600000000000364</v>
      </c>
      <c r="F43" s="3">
        <f>F$1/B43</f>
        <v>658.0679126085812</v>
      </c>
      <c r="G43" s="3">
        <f>F$1/C43</f>
        <v>230.89355806972983</v>
      </c>
      <c r="H43" s="2">
        <f>D43*F42</f>
        <v>715.80063626724052</v>
      </c>
      <c r="I43" s="2">
        <f>E43*G42</f>
        <v>1040.5001866368134</v>
      </c>
      <c r="J43" s="2">
        <f>I43-H43</f>
        <v>324.69955036957288</v>
      </c>
      <c r="K43" s="2">
        <f t="shared" si="6"/>
        <v>-324.69955036957288</v>
      </c>
      <c r="L43" s="3">
        <f>C43/B43</f>
        <v>2.850092129507765</v>
      </c>
      <c r="M43" s="3">
        <f t="shared" si="7"/>
        <v>2.8655510448202768</v>
      </c>
      <c r="N43" s="3">
        <f t="shared" si="10"/>
        <v>2.8797865042705677</v>
      </c>
      <c r="O43" s="12" t="s">
        <v>11</v>
      </c>
      <c r="P43" s="12" t="s">
        <v>11</v>
      </c>
      <c r="Q43" s="4" t="str">
        <f t="shared" si="9"/>
        <v>UNDER</v>
      </c>
      <c r="R43" s="4" t="str">
        <f t="shared" si="9"/>
        <v>UNDER</v>
      </c>
      <c r="S43" s="12" t="s">
        <v>11</v>
      </c>
      <c r="T43" s="12" t="s">
        <v>11</v>
      </c>
      <c r="U43" s="2">
        <f>IF(Q43="OVER",J43,K43)</f>
        <v>-324.69955036957288</v>
      </c>
      <c r="V43" s="2">
        <f>IF(R43="OVER",J43,K43)</f>
        <v>-324.69955036957288</v>
      </c>
      <c r="W43" s="12" t="s">
        <v>11</v>
      </c>
      <c r="X43" s="12" t="s">
        <v>11</v>
      </c>
      <c r="Y43" s="9">
        <f t="shared" si="8"/>
        <v>-1794.5314167739029</v>
      </c>
      <c r="Z43" s="9">
        <f t="shared" si="8"/>
        <v>788.68061729251201</v>
      </c>
      <c r="AA43" s="12" t="s">
        <v>11</v>
      </c>
      <c r="AB43" s="12" t="s">
        <v>11</v>
      </c>
    </row>
    <row r="44" spans="1:28" x14ac:dyDescent="0.3">
      <c r="A44" s="1">
        <v>44475</v>
      </c>
      <c r="B44" s="2">
        <v>152.16999999999999</v>
      </c>
      <c r="C44" s="2">
        <v>434.9</v>
      </c>
      <c r="D44" s="9">
        <f>B44-B43</f>
        <v>0.20999999999997954</v>
      </c>
      <c r="E44" s="9">
        <f>C44-C43</f>
        <v>1.7999999999999545</v>
      </c>
      <c r="F44" s="3">
        <f>F$1/B44</f>
        <v>657.15975553657097</v>
      </c>
      <c r="G44" s="3">
        <f>F$1/C44</f>
        <v>229.93791676247415</v>
      </c>
      <c r="H44" s="2">
        <f>D44*F43</f>
        <v>138.19426164778858</v>
      </c>
      <c r="I44" s="2">
        <f>E44*G43</f>
        <v>415.6084045255032</v>
      </c>
      <c r="J44" s="2">
        <f>I44-H44</f>
        <v>277.41414287771465</v>
      </c>
      <c r="K44" s="2">
        <f t="shared" si="6"/>
        <v>-277.41414287771465</v>
      </c>
      <c r="L44" s="3">
        <f>C44/B44</f>
        <v>2.8579877768285473</v>
      </c>
      <c r="M44" s="3">
        <f t="shared" si="7"/>
        <v>2.8619895264418043</v>
      </c>
      <c r="N44" s="3">
        <f t="shared" si="10"/>
        <v>2.8776707776556369</v>
      </c>
      <c r="O44" s="12" t="s">
        <v>11</v>
      </c>
      <c r="P44" s="12" t="s">
        <v>11</v>
      </c>
      <c r="Q44" s="4" t="str">
        <f t="shared" si="9"/>
        <v>UNDER</v>
      </c>
      <c r="R44" s="4" t="str">
        <f t="shared" si="9"/>
        <v>UNDER</v>
      </c>
      <c r="S44" s="12" t="s">
        <v>11</v>
      </c>
      <c r="T44" s="12" t="s">
        <v>11</v>
      </c>
      <c r="U44" s="2">
        <f>IF(Q44="OVER",J44,K44)</f>
        <v>-277.41414287771465</v>
      </c>
      <c r="V44" s="2">
        <f>IF(R44="OVER",J44,K44)</f>
        <v>-277.41414287771465</v>
      </c>
      <c r="W44" s="12" t="s">
        <v>11</v>
      </c>
      <c r="X44" s="12" t="s">
        <v>11</v>
      </c>
      <c r="Y44" s="9">
        <f t="shared" si="8"/>
        <v>-2071.9455596516177</v>
      </c>
      <c r="Z44" s="9">
        <f t="shared" si="8"/>
        <v>511.26647441479736</v>
      </c>
      <c r="AA44" s="12" t="s">
        <v>11</v>
      </c>
      <c r="AB44" s="12" t="s">
        <v>11</v>
      </c>
    </row>
    <row r="45" spans="1:28" x14ac:dyDescent="0.3">
      <c r="A45" s="1">
        <v>44476</v>
      </c>
      <c r="B45" s="2">
        <v>153.46</v>
      </c>
      <c r="C45" s="2">
        <v>438.66</v>
      </c>
      <c r="D45" s="9">
        <f>B45-B44</f>
        <v>1.2900000000000205</v>
      </c>
      <c r="E45" s="9">
        <f>C45-C44</f>
        <v>3.7600000000000477</v>
      </c>
      <c r="F45" s="3">
        <f>F$1/B45</f>
        <v>651.63560536947739</v>
      </c>
      <c r="G45" s="3">
        <f>F$1/C45</f>
        <v>227.966990379793</v>
      </c>
      <c r="H45" s="2">
        <f>D45*F44</f>
        <v>847.73608464219001</v>
      </c>
      <c r="I45" s="2">
        <f>E45*G44</f>
        <v>864.56656702691373</v>
      </c>
      <c r="J45" s="2">
        <f>I45-H45</f>
        <v>16.830482384723723</v>
      </c>
      <c r="K45" s="2">
        <f t="shared" si="6"/>
        <v>-16.830482384723723</v>
      </c>
      <c r="L45" s="3">
        <f>C45/B45</f>
        <v>2.8584647465137496</v>
      </c>
      <c r="M45" s="3">
        <f t="shared" si="7"/>
        <v>2.8591946047143857</v>
      </c>
      <c r="N45" s="3">
        <f t="shared" si="10"/>
        <v>2.8757897835422477</v>
      </c>
      <c r="O45" s="12" t="s">
        <v>11</v>
      </c>
      <c r="P45" s="12" t="s">
        <v>11</v>
      </c>
      <c r="Q45" s="4" t="str">
        <f t="shared" si="9"/>
        <v>UNDER</v>
      </c>
      <c r="R45" s="4" t="str">
        <f t="shared" si="9"/>
        <v>UNDER</v>
      </c>
      <c r="S45" s="12" t="s">
        <v>11</v>
      </c>
      <c r="T45" s="12" t="s">
        <v>11</v>
      </c>
      <c r="U45" s="2">
        <f>IF(Q45="OVER",J45,K45)</f>
        <v>-16.830482384723723</v>
      </c>
      <c r="V45" s="2">
        <f>IF(R45="OVER",J45,K45)</f>
        <v>-16.830482384723723</v>
      </c>
      <c r="W45" s="12" t="s">
        <v>11</v>
      </c>
      <c r="X45" s="12" t="s">
        <v>11</v>
      </c>
      <c r="Y45" s="9">
        <f t="shared" si="8"/>
        <v>-2088.7760420363416</v>
      </c>
      <c r="Z45" s="9">
        <f t="shared" si="8"/>
        <v>494.43599203007363</v>
      </c>
      <c r="AA45" s="12" t="s">
        <v>11</v>
      </c>
      <c r="AB45" s="12" t="s">
        <v>11</v>
      </c>
    </row>
    <row r="46" spans="1:28" x14ac:dyDescent="0.3">
      <c r="A46" s="1">
        <v>44477</v>
      </c>
      <c r="B46" s="2">
        <v>153.1</v>
      </c>
      <c r="C46" s="2">
        <v>437.86</v>
      </c>
      <c r="D46" s="9">
        <f>B46-B45</f>
        <v>-0.36000000000001364</v>
      </c>
      <c r="E46" s="9">
        <f>C46-C45</f>
        <v>-0.80000000000001137</v>
      </c>
      <c r="F46" s="3">
        <f>F$1/B46</f>
        <v>653.16786414108424</v>
      </c>
      <c r="G46" s="3">
        <f>F$1/C46</f>
        <v>228.38350157584617</v>
      </c>
      <c r="H46" s="2">
        <f>D46*F45</f>
        <v>-234.58881793302075</v>
      </c>
      <c r="I46" s="2">
        <f>E46*G45</f>
        <v>-182.373592303837</v>
      </c>
      <c r="J46" s="2">
        <f>I46-H46</f>
        <v>52.215225629183749</v>
      </c>
      <c r="K46" s="2">
        <f t="shared" si="6"/>
        <v>-52.215225629183749</v>
      </c>
      <c r="L46" s="3">
        <f>C46/B46</f>
        <v>2.8599608099281517</v>
      </c>
      <c r="M46" s="3">
        <f t="shared" si="7"/>
        <v>2.8565625972806732</v>
      </c>
      <c r="N46" s="3">
        <f t="shared" si="10"/>
        <v>2.8741738379338568</v>
      </c>
      <c r="O46" s="12" t="s">
        <v>11</v>
      </c>
      <c r="P46" s="12" t="s">
        <v>11</v>
      </c>
      <c r="Q46" s="4" t="str">
        <f t="shared" si="9"/>
        <v>UNDER</v>
      </c>
      <c r="R46" s="4" t="str">
        <f t="shared" si="9"/>
        <v>UNDER</v>
      </c>
      <c r="S46" s="12" t="s">
        <v>11</v>
      </c>
      <c r="T46" s="12" t="s">
        <v>11</v>
      </c>
      <c r="U46" s="2">
        <f>IF(Q46="OVER",J46,K46)</f>
        <v>-52.215225629183749</v>
      </c>
      <c r="V46" s="2">
        <f>IF(R46="OVER",J46,K46)</f>
        <v>-52.215225629183749</v>
      </c>
      <c r="W46" s="12" t="s">
        <v>11</v>
      </c>
      <c r="X46" s="12" t="s">
        <v>11</v>
      </c>
      <c r="Y46" s="9">
        <f t="shared" si="8"/>
        <v>-2140.9912676655254</v>
      </c>
      <c r="Z46" s="9">
        <f t="shared" si="8"/>
        <v>442.22076640088989</v>
      </c>
      <c r="AA46" s="12" t="s">
        <v>11</v>
      </c>
      <c r="AB46" s="12" t="s">
        <v>11</v>
      </c>
    </row>
    <row r="47" spans="1:28" x14ac:dyDescent="0.3">
      <c r="A47" s="1">
        <v>44480</v>
      </c>
      <c r="B47" s="2">
        <v>152.26</v>
      </c>
      <c r="C47" s="2">
        <v>434.69</v>
      </c>
      <c r="D47" s="9">
        <f>B47-B46</f>
        <v>-0.84000000000000341</v>
      </c>
      <c r="E47" s="9">
        <f>C47-C46</f>
        <v>-3.1700000000000159</v>
      </c>
      <c r="F47" s="3">
        <f>F$1/B47</f>
        <v>656.7713122290819</v>
      </c>
      <c r="G47" s="3">
        <f>F$1/C47</f>
        <v>230.0490004370931</v>
      </c>
      <c r="H47" s="2">
        <f>D47*F46</f>
        <v>-548.66100587851304</v>
      </c>
      <c r="I47" s="2">
        <f>E47*G46</f>
        <v>-723.975699995436</v>
      </c>
      <c r="J47" s="2">
        <f>I47-H47</f>
        <v>-175.31469411692296</v>
      </c>
      <c r="K47" s="2">
        <f t="shared" si="6"/>
        <v>175.31469411692296</v>
      </c>
      <c r="L47" s="3">
        <f>C47/B47</f>
        <v>2.8549192171285962</v>
      </c>
      <c r="M47" s="3">
        <f t="shared" si="7"/>
        <v>2.8552033751920942</v>
      </c>
      <c r="N47" s="3">
        <f t="shared" si="10"/>
        <v>2.8723393792098673</v>
      </c>
      <c r="O47" s="12" t="s">
        <v>11</v>
      </c>
      <c r="P47" s="12" t="s">
        <v>11</v>
      </c>
      <c r="Q47" s="4" t="str">
        <f t="shared" si="9"/>
        <v>OVER</v>
      </c>
      <c r="R47" s="4" t="str">
        <f t="shared" si="9"/>
        <v>UNDER</v>
      </c>
      <c r="S47" s="12" t="s">
        <v>11</v>
      </c>
      <c r="T47" s="12" t="s">
        <v>11</v>
      </c>
      <c r="U47" s="2">
        <f>IF(Q47="OVER",J47,K47)</f>
        <v>-175.31469411692296</v>
      </c>
      <c r="V47" s="2">
        <f>IF(R47="OVER",J47,K47)</f>
        <v>175.31469411692296</v>
      </c>
      <c r="W47" s="12" t="s">
        <v>11</v>
      </c>
      <c r="X47" s="12" t="s">
        <v>11</v>
      </c>
      <c r="Y47" s="9">
        <f t="shared" si="8"/>
        <v>-2316.3059617824483</v>
      </c>
      <c r="Z47" s="9">
        <f t="shared" si="8"/>
        <v>617.53546051781291</v>
      </c>
      <c r="AA47" s="12" t="s">
        <v>11</v>
      </c>
      <c r="AB47" s="12" t="s">
        <v>11</v>
      </c>
    </row>
    <row r="48" spans="1:28" x14ac:dyDescent="0.3">
      <c r="A48" s="1">
        <v>44481</v>
      </c>
      <c r="B48" s="2">
        <v>152.30000000000001</v>
      </c>
      <c r="C48" s="2">
        <v>433.62</v>
      </c>
      <c r="D48" s="9">
        <f>B48-B47</f>
        <v>4.0000000000020464E-2</v>
      </c>
      <c r="E48" s="9">
        <f>C48-C47</f>
        <v>-1.0699999999999932</v>
      </c>
      <c r="F48" s="3">
        <f>F$1/B48</f>
        <v>656.59881812212734</v>
      </c>
      <c r="G48" s="3">
        <f>F$1/C48</f>
        <v>230.61666897283337</v>
      </c>
      <c r="H48" s="2">
        <f>D48*F47</f>
        <v>26.270852489176715</v>
      </c>
      <c r="I48" s="2">
        <f>E48*G47</f>
        <v>-246.15243046768805</v>
      </c>
      <c r="J48" s="2">
        <f>I48-H48</f>
        <v>-272.42328295686474</v>
      </c>
      <c r="K48" s="2">
        <f t="shared" si="6"/>
        <v>272.42328295686474</v>
      </c>
      <c r="L48" s="3">
        <f>C48/B48</f>
        <v>2.8471437951411684</v>
      </c>
      <c r="M48" s="3">
        <f t="shared" si="7"/>
        <v>2.8545756494430528</v>
      </c>
      <c r="N48" s="3">
        <f t="shared" si="10"/>
        <v>2.869864822521119</v>
      </c>
      <c r="O48" s="12" t="s">
        <v>11</v>
      </c>
      <c r="P48" s="12" t="s">
        <v>11</v>
      </c>
      <c r="Q48" s="4" t="str">
        <f t="shared" si="9"/>
        <v>UNDER</v>
      </c>
      <c r="R48" s="4" t="str">
        <f t="shared" si="9"/>
        <v>UNDER</v>
      </c>
      <c r="S48" s="12" t="s">
        <v>11</v>
      </c>
      <c r="T48" s="12" t="s">
        <v>11</v>
      </c>
      <c r="U48" s="2">
        <f>IF(Q48="OVER",J48,K48)</f>
        <v>272.42328295686474</v>
      </c>
      <c r="V48" s="2">
        <f>IF(R48="OVER",J48,K48)</f>
        <v>272.42328295686474</v>
      </c>
      <c r="W48" s="12" t="s">
        <v>11</v>
      </c>
      <c r="X48" s="12" t="s">
        <v>11</v>
      </c>
      <c r="Y48" s="9">
        <f t="shared" si="8"/>
        <v>-2043.8826788255835</v>
      </c>
      <c r="Z48" s="9">
        <f t="shared" si="8"/>
        <v>889.9587434746777</v>
      </c>
      <c r="AA48" s="12" t="s">
        <v>11</v>
      </c>
      <c r="AB48" s="12" t="s">
        <v>11</v>
      </c>
    </row>
    <row r="49" spans="1:28" x14ac:dyDescent="0.3">
      <c r="A49" s="1">
        <v>44482</v>
      </c>
      <c r="B49" s="2">
        <v>152.55000000000001</v>
      </c>
      <c r="C49" s="2">
        <v>435.18</v>
      </c>
      <c r="D49" s="9">
        <f>B49-B48</f>
        <v>0.25</v>
      </c>
      <c r="E49" s="9">
        <f>C49-C48</f>
        <v>1.5600000000000023</v>
      </c>
      <c r="F49" s="3">
        <f>F$1/B49</f>
        <v>655.52277941658463</v>
      </c>
      <c r="G49" s="3">
        <f>F$1/C49</f>
        <v>229.78997196562341</v>
      </c>
      <c r="H49" s="2">
        <f>D49*F48</f>
        <v>164.14970453053184</v>
      </c>
      <c r="I49" s="2">
        <f>E49*G48</f>
        <v>359.76200359762055</v>
      </c>
      <c r="J49" s="2">
        <f>I49-H49</f>
        <v>195.61229906708871</v>
      </c>
      <c r="K49" s="2">
        <f t="shared" si="6"/>
        <v>-195.61229906708871</v>
      </c>
      <c r="L49" s="3">
        <f>C49/B49</f>
        <v>2.8527040314650933</v>
      </c>
      <c r="M49" s="3">
        <f t="shared" si="7"/>
        <v>2.8546428752771487</v>
      </c>
      <c r="N49" s="3">
        <f t="shared" si="10"/>
        <v>2.8677424287485431</v>
      </c>
      <c r="O49" s="12" t="s">
        <v>11</v>
      </c>
      <c r="P49" s="12" t="s">
        <v>11</v>
      </c>
      <c r="Q49" s="4" t="str">
        <f t="shared" si="9"/>
        <v>UNDER</v>
      </c>
      <c r="R49" s="4" t="str">
        <f t="shared" si="9"/>
        <v>UNDER</v>
      </c>
      <c r="S49" s="12" t="s">
        <v>11</v>
      </c>
      <c r="T49" s="12" t="s">
        <v>11</v>
      </c>
      <c r="U49" s="2">
        <f>IF(Q49="OVER",J49,K49)</f>
        <v>-195.61229906708871</v>
      </c>
      <c r="V49" s="2">
        <f>IF(R49="OVER",J49,K49)</f>
        <v>-195.61229906708871</v>
      </c>
      <c r="W49" s="12" t="s">
        <v>11</v>
      </c>
      <c r="X49" s="12" t="s">
        <v>11</v>
      </c>
      <c r="Y49" s="9">
        <f t="shared" si="8"/>
        <v>-2239.4949778926721</v>
      </c>
      <c r="Z49" s="9">
        <f t="shared" si="8"/>
        <v>694.34644440758893</v>
      </c>
      <c r="AA49" s="12" t="s">
        <v>11</v>
      </c>
      <c r="AB49" s="12" t="s">
        <v>11</v>
      </c>
    </row>
    <row r="50" spans="1:28" x14ac:dyDescent="0.3">
      <c r="A50" s="1">
        <v>44483</v>
      </c>
      <c r="B50" s="2">
        <v>155.16999999999999</v>
      </c>
      <c r="C50" s="2">
        <v>442.5</v>
      </c>
      <c r="D50" s="9">
        <f>B50-B49</f>
        <v>2.6199999999999761</v>
      </c>
      <c r="E50" s="9">
        <f>C50-C49</f>
        <v>7.3199999999999932</v>
      </c>
      <c r="F50" s="3">
        <f>F$1/B50</f>
        <v>644.45446929174454</v>
      </c>
      <c r="G50" s="3">
        <f>F$1/C50</f>
        <v>225.98870056497177</v>
      </c>
      <c r="H50" s="2">
        <f>D50*F49</f>
        <v>1717.4696820714362</v>
      </c>
      <c r="I50" s="2">
        <f>E50*G49</f>
        <v>1682.0625947883618</v>
      </c>
      <c r="J50" s="2">
        <f>I50-H50</f>
        <v>-35.407087283074361</v>
      </c>
      <c r="K50" s="2">
        <f t="shared" si="6"/>
        <v>35.407087283074361</v>
      </c>
      <c r="L50" s="3">
        <f>C50/B50</f>
        <v>2.8517110266159698</v>
      </c>
      <c r="M50" s="3">
        <f t="shared" si="7"/>
        <v>2.853376920136049</v>
      </c>
      <c r="N50" s="3">
        <f t="shared" si="10"/>
        <v>2.8655284204653269</v>
      </c>
      <c r="O50" s="12" t="s">
        <v>11</v>
      </c>
      <c r="P50" s="12" t="s">
        <v>11</v>
      </c>
      <c r="Q50" s="4" t="str">
        <f t="shared" si="9"/>
        <v>UNDER</v>
      </c>
      <c r="R50" s="4" t="str">
        <f t="shared" si="9"/>
        <v>UNDER</v>
      </c>
      <c r="S50" s="12" t="s">
        <v>11</v>
      </c>
      <c r="T50" s="12" t="s">
        <v>11</v>
      </c>
      <c r="U50" s="2">
        <f>IF(Q50="OVER",J50,K50)</f>
        <v>35.407087283074361</v>
      </c>
      <c r="V50" s="2">
        <f>IF(R50="OVER",J50,K50)</f>
        <v>35.407087283074361</v>
      </c>
      <c r="W50" s="12" t="s">
        <v>11</v>
      </c>
      <c r="X50" s="12" t="s">
        <v>11</v>
      </c>
      <c r="Y50" s="9">
        <f t="shared" si="8"/>
        <v>-2204.0878906095977</v>
      </c>
      <c r="Z50" s="9">
        <f t="shared" si="8"/>
        <v>729.75353169066329</v>
      </c>
      <c r="AA50" s="12" t="s">
        <v>11</v>
      </c>
      <c r="AB50" s="12" t="s">
        <v>11</v>
      </c>
    </row>
    <row r="51" spans="1:28" x14ac:dyDescent="0.3">
      <c r="A51" s="1">
        <v>44484</v>
      </c>
      <c r="B51" s="2">
        <v>155.69999999999999</v>
      </c>
      <c r="C51" s="2">
        <v>445.87</v>
      </c>
      <c r="D51" s="9">
        <f>B51-B50</f>
        <v>0.53000000000000114</v>
      </c>
      <c r="E51" s="9">
        <f>C51-C50</f>
        <v>3.3700000000000045</v>
      </c>
      <c r="F51" s="3">
        <f>F$1/B51</f>
        <v>642.26075786769434</v>
      </c>
      <c r="G51" s="3">
        <f>F$1/C51</f>
        <v>224.28061991163344</v>
      </c>
      <c r="H51" s="2">
        <f>D51*F50</f>
        <v>341.56086872462532</v>
      </c>
      <c r="I51" s="2">
        <f>E51*G50</f>
        <v>761.58192090395585</v>
      </c>
      <c r="J51" s="2">
        <f>I51-H51</f>
        <v>420.02105217933052</v>
      </c>
      <c r="K51" s="2">
        <f t="shared" si="6"/>
        <v>-420.02105217933052</v>
      </c>
      <c r="L51" s="3">
        <f>C51/B51</f>
        <v>2.863648041104689</v>
      </c>
      <c r="M51" s="3">
        <f t="shared" si="7"/>
        <v>2.853756476617435</v>
      </c>
      <c r="N51" s="3">
        <f t="shared" si="10"/>
        <v>2.864500158641837</v>
      </c>
      <c r="O51" s="12" t="s">
        <v>11</v>
      </c>
      <c r="P51" s="12" t="s">
        <v>11</v>
      </c>
      <c r="Q51" s="4" t="str">
        <f t="shared" si="9"/>
        <v>UNDER</v>
      </c>
      <c r="R51" s="4" t="str">
        <f t="shared" si="9"/>
        <v>UNDER</v>
      </c>
      <c r="S51" s="12" t="s">
        <v>11</v>
      </c>
      <c r="T51" s="12" t="s">
        <v>11</v>
      </c>
      <c r="U51" s="2">
        <f>IF(Q51="OVER",J51,K51)</f>
        <v>-420.02105217933052</v>
      </c>
      <c r="V51" s="2">
        <f>IF(R51="OVER",J51,K51)</f>
        <v>-420.02105217933052</v>
      </c>
      <c r="W51" s="12" t="s">
        <v>11</v>
      </c>
      <c r="X51" s="12" t="s">
        <v>11</v>
      </c>
      <c r="Y51" s="9">
        <f t="shared" si="8"/>
        <v>-2624.1089427889283</v>
      </c>
      <c r="Z51" s="9">
        <f t="shared" si="8"/>
        <v>309.73247951133277</v>
      </c>
      <c r="AA51" s="12" t="s">
        <v>11</v>
      </c>
      <c r="AB51" s="12" t="s">
        <v>11</v>
      </c>
    </row>
    <row r="52" spans="1:28" x14ac:dyDescent="0.3">
      <c r="A52" s="1">
        <v>44487</v>
      </c>
      <c r="B52" s="2">
        <v>155.76</v>
      </c>
      <c r="C52" s="2">
        <v>447.19</v>
      </c>
      <c r="D52" s="9">
        <f>B52-B51</f>
        <v>6.0000000000002274E-2</v>
      </c>
      <c r="E52" s="9">
        <f>C52-C51</f>
        <v>1.3199999999999932</v>
      </c>
      <c r="F52" s="3">
        <f>F$1/B52</f>
        <v>642.01335387776066</v>
      </c>
      <c r="G52" s="3">
        <f>F$1/C52</f>
        <v>223.61859612245354</v>
      </c>
      <c r="H52" s="2">
        <f>D52*F51</f>
        <v>38.535645472063123</v>
      </c>
      <c r="I52" s="2">
        <f>E52*G51</f>
        <v>296.05041828335459</v>
      </c>
      <c r="J52" s="2">
        <f>I52-H52</f>
        <v>257.51477281129144</v>
      </c>
      <c r="K52" s="2">
        <f t="shared" si="6"/>
        <v>-257.51477281129144</v>
      </c>
      <c r="L52" s="3">
        <f>C52/B52</f>
        <v>2.871019517205958</v>
      </c>
      <c r="M52" s="3">
        <f t="shared" si="7"/>
        <v>2.8567651091439692</v>
      </c>
      <c r="N52" s="3">
        <f t="shared" si="10"/>
        <v>2.8635445424126424</v>
      </c>
      <c r="O52" s="3">
        <f>AVERAGE(L3:L52)</f>
        <v>2.876397560757451</v>
      </c>
      <c r="P52" s="12" t="s">
        <v>11</v>
      </c>
      <c r="Q52" s="4" t="str">
        <f t="shared" si="9"/>
        <v>OVER</v>
      </c>
      <c r="R52" s="4" t="str">
        <f t="shared" si="9"/>
        <v>UNDER</v>
      </c>
      <c r="S52" s="12" t="s">
        <v>11</v>
      </c>
      <c r="T52" s="12" t="s">
        <v>11</v>
      </c>
      <c r="U52" s="2">
        <f>IF(Q52="OVER",$J52,$K52)</f>
        <v>257.51477281129144</v>
      </c>
      <c r="V52" s="2">
        <f>IF(R52="OVER",$J52,$K52)</f>
        <v>-257.51477281129144</v>
      </c>
      <c r="W52" s="12" t="s">
        <v>11</v>
      </c>
      <c r="X52" s="12" t="s">
        <v>11</v>
      </c>
      <c r="Y52" s="9">
        <f t="shared" si="8"/>
        <v>-2366.5941699776367</v>
      </c>
      <c r="Z52" s="9">
        <f t="shared" si="8"/>
        <v>52.217706700041333</v>
      </c>
      <c r="AA52" s="2">
        <v>0</v>
      </c>
      <c r="AB52" s="12" t="s">
        <v>11</v>
      </c>
    </row>
    <row r="53" spans="1:28" x14ac:dyDescent="0.3">
      <c r="A53" s="1">
        <v>44488</v>
      </c>
      <c r="B53" s="2">
        <v>156.66999999999999</v>
      </c>
      <c r="C53" s="2">
        <v>450.64</v>
      </c>
      <c r="D53" s="9">
        <f>B53-B52</f>
        <v>0.90999999999999659</v>
      </c>
      <c r="E53" s="9">
        <f>C53-C52</f>
        <v>3.4499999999999886</v>
      </c>
      <c r="F53" s="3">
        <f>F$1/B53</f>
        <v>638.28429182357831</v>
      </c>
      <c r="G53" s="3">
        <f>F$1/C53</f>
        <v>221.90662169359135</v>
      </c>
      <c r="H53" s="2">
        <f>D53*F52</f>
        <v>584.23215202875997</v>
      </c>
      <c r="I53" s="2">
        <f>E53*G52</f>
        <v>771.48415662246214</v>
      </c>
      <c r="J53" s="2">
        <f>I53-H53</f>
        <v>187.25200459370217</v>
      </c>
      <c r="K53" s="2">
        <f t="shared" si="6"/>
        <v>-187.25200459370217</v>
      </c>
      <c r="L53" s="3">
        <f>C53/B53</f>
        <v>2.8763643326737731</v>
      </c>
      <c r="M53" s="3">
        <f t="shared" si="7"/>
        <v>2.8593923294605696</v>
      </c>
      <c r="N53" s="3">
        <f t="shared" si="10"/>
        <v>2.8624716871404239</v>
      </c>
      <c r="O53" s="3">
        <f t="shared" ref="O53:O116" si="11">AVERAGE(L4:L53)</f>
        <v>2.8763970352972059</v>
      </c>
      <c r="P53" s="12" t="s">
        <v>11</v>
      </c>
      <c r="Q53" s="4" t="str">
        <f t="shared" si="9"/>
        <v>OVER</v>
      </c>
      <c r="R53" s="4" t="str">
        <f t="shared" si="9"/>
        <v>OVER</v>
      </c>
      <c r="S53" s="4" t="str">
        <f>IF($L52&gt;O52,"OVER","UNDER")</f>
        <v>UNDER</v>
      </c>
      <c r="T53" s="12" t="s">
        <v>11</v>
      </c>
      <c r="U53" s="2">
        <f>IF(Q53="OVER",$J53,$K53)</f>
        <v>187.25200459370217</v>
      </c>
      <c r="V53" s="2">
        <f>IF(R53="OVER",$J53,$K53)</f>
        <v>187.25200459370217</v>
      </c>
      <c r="W53" s="2">
        <f>IF(S53="OVER",$J53,$K53)</f>
        <v>-187.25200459370217</v>
      </c>
      <c r="X53" s="12" t="s">
        <v>11</v>
      </c>
      <c r="Y53" s="9">
        <f t="shared" si="8"/>
        <v>-2179.3421653839346</v>
      </c>
      <c r="Z53" s="9">
        <f t="shared" si="8"/>
        <v>239.4697112937435</v>
      </c>
      <c r="AA53" s="9">
        <f t="shared" si="8"/>
        <v>-187.25200459370217</v>
      </c>
      <c r="AB53" s="12" t="s">
        <v>11</v>
      </c>
    </row>
    <row r="54" spans="1:28" x14ac:dyDescent="0.3">
      <c r="A54" s="1">
        <v>44489</v>
      </c>
      <c r="B54" s="2">
        <v>157.87</v>
      </c>
      <c r="C54" s="2">
        <v>452.41</v>
      </c>
      <c r="D54" s="9">
        <f>B54-B53</f>
        <v>1.2000000000000171</v>
      </c>
      <c r="E54" s="9">
        <f>C54-C53</f>
        <v>1.7700000000000387</v>
      </c>
      <c r="F54" s="3">
        <f>F$1/B54</f>
        <v>633.43257110280604</v>
      </c>
      <c r="G54" s="3">
        <f>F$1/C54</f>
        <v>221.03843858446982</v>
      </c>
      <c r="H54" s="2">
        <f>D54*F53</f>
        <v>765.94115018830485</v>
      </c>
      <c r="I54" s="2">
        <f>E54*G53</f>
        <v>392.77472039766525</v>
      </c>
      <c r="J54" s="2">
        <f>I54-H54</f>
        <v>-373.1664297906396</v>
      </c>
      <c r="K54" s="2">
        <f t="shared" si="6"/>
        <v>373.1664297906396</v>
      </c>
      <c r="L54" s="3">
        <f>C54/B54</f>
        <v>2.8657122949262051</v>
      </c>
      <c r="M54" s="3">
        <f t="shared" si="7"/>
        <v>2.8601647812703357</v>
      </c>
      <c r="N54" s="3">
        <f t="shared" si="10"/>
        <v>2.86107715385607</v>
      </c>
      <c r="O54" s="3">
        <f t="shared" si="11"/>
        <v>2.8763804516936897</v>
      </c>
      <c r="P54" s="12" t="s">
        <v>11</v>
      </c>
      <c r="Q54" s="4" t="str">
        <f t="shared" si="9"/>
        <v>OVER</v>
      </c>
      <c r="R54" s="4" t="str">
        <f t="shared" si="9"/>
        <v>OVER</v>
      </c>
      <c r="S54" s="4" t="str">
        <f>IF($L54&gt;O54,"OVER","UNDER")</f>
        <v>UNDER</v>
      </c>
      <c r="T54" s="12" t="s">
        <v>11</v>
      </c>
      <c r="U54" s="2">
        <f>IF(Q54="OVER",$J54,$K54)</f>
        <v>-373.1664297906396</v>
      </c>
      <c r="V54" s="2">
        <f>IF(R54="OVER",$J54,$K54)</f>
        <v>-373.1664297906396</v>
      </c>
      <c r="W54" s="2">
        <f>IF(S54="OVER",$J54,$K54)</f>
        <v>373.1664297906396</v>
      </c>
      <c r="X54" s="12" t="s">
        <v>11</v>
      </c>
      <c r="Y54" s="9">
        <f t="shared" si="8"/>
        <v>-2552.5085951745741</v>
      </c>
      <c r="Z54" s="9">
        <f t="shared" si="8"/>
        <v>-133.6967184968961</v>
      </c>
      <c r="AA54" s="9">
        <f t="shared" si="8"/>
        <v>185.91442519693743</v>
      </c>
      <c r="AB54" s="12" t="s">
        <v>11</v>
      </c>
    </row>
    <row r="55" spans="1:28" x14ac:dyDescent="0.3">
      <c r="A55" s="1">
        <v>44490</v>
      </c>
      <c r="B55" s="2">
        <v>158.06</v>
      </c>
      <c r="C55" s="2">
        <v>453.59</v>
      </c>
      <c r="D55" s="9">
        <f>B55-B54</f>
        <v>0.18999999999999773</v>
      </c>
      <c r="E55" s="9">
        <f>C55-C54</f>
        <v>1.17999999999995</v>
      </c>
      <c r="F55" s="3">
        <f>F$1/B55</f>
        <v>632.67113754270531</v>
      </c>
      <c r="G55" s="3">
        <f>F$1/C55</f>
        <v>220.46341409643071</v>
      </c>
      <c r="H55" s="2">
        <f>D55*F54</f>
        <v>120.3521885095317</v>
      </c>
      <c r="I55" s="2">
        <f>E55*G54</f>
        <v>260.82535752966334</v>
      </c>
      <c r="J55" s="2">
        <f>I55-H55</f>
        <v>140.47316902013165</v>
      </c>
      <c r="K55" s="2">
        <f t="shared" si="6"/>
        <v>-140.47316902013165</v>
      </c>
      <c r="L55" s="3">
        <f>C55/B55</f>
        <v>2.8697330127799567</v>
      </c>
      <c r="M55" s="3">
        <f t="shared" si="7"/>
        <v>2.8612916078969564</v>
      </c>
      <c r="N55" s="3">
        <f t="shared" si="10"/>
        <v>2.8602431063056706</v>
      </c>
      <c r="O55" s="3">
        <f t="shared" si="11"/>
        <v>2.8766679185378878</v>
      </c>
      <c r="P55" s="12" t="s">
        <v>11</v>
      </c>
      <c r="Q55" s="4" t="str">
        <f t="shared" si="9"/>
        <v>OVER</v>
      </c>
      <c r="R55" s="4" t="str">
        <f t="shared" si="9"/>
        <v>OVER</v>
      </c>
      <c r="S55" s="4" t="str">
        <f>IF($L55&gt;O55,"OVER","UNDER")</f>
        <v>UNDER</v>
      </c>
      <c r="T55" s="12" t="s">
        <v>11</v>
      </c>
      <c r="U55" s="2">
        <f>IF(Q55="OVER",$J55,$K55)</f>
        <v>140.47316902013165</v>
      </c>
      <c r="V55" s="2">
        <f>IF(R55="OVER",$J55,$K55)</f>
        <v>140.47316902013165</v>
      </c>
      <c r="W55" s="2">
        <f>IF(S55="OVER",$J55,$K55)</f>
        <v>-140.47316902013165</v>
      </c>
      <c r="X55" s="12" t="s">
        <v>11</v>
      </c>
      <c r="Y55" s="9">
        <f t="shared" si="8"/>
        <v>-2412.0354261544426</v>
      </c>
      <c r="Z55" s="9">
        <f t="shared" si="8"/>
        <v>6.7764505232355532</v>
      </c>
      <c r="AA55" s="9">
        <f t="shared" si="8"/>
        <v>45.44125617680578</v>
      </c>
      <c r="AB55" s="12" t="s">
        <v>11</v>
      </c>
    </row>
    <row r="56" spans="1:28" x14ac:dyDescent="0.3">
      <c r="A56" s="1">
        <v>44491</v>
      </c>
      <c r="B56" s="2">
        <v>158.51</v>
      </c>
      <c r="C56" s="2">
        <v>453.12</v>
      </c>
      <c r="D56" s="9">
        <f>B56-B55</f>
        <v>0.44999999999998863</v>
      </c>
      <c r="E56" s="9">
        <f>C56-C55</f>
        <v>-0.46999999999997044</v>
      </c>
      <c r="F56" s="3">
        <f>F$1/B56</f>
        <v>630.87502365781347</v>
      </c>
      <c r="G56" s="3">
        <f>F$1/C56</f>
        <v>220.69209039548022</v>
      </c>
      <c r="H56" s="2">
        <f>D56*F55</f>
        <v>284.70201189421022</v>
      </c>
      <c r="I56" s="2">
        <f>E56*G55</f>
        <v>-103.61780462531591</v>
      </c>
      <c r="J56" s="2">
        <f>I56-H56</f>
        <v>-388.31981651952611</v>
      </c>
      <c r="K56" s="2">
        <f t="shared" si="6"/>
        <v>388.31981651952611</v>
      </c>
      <c r="L56" s="3">
        <f>C56/B56</f>
        <v>2.8586209071982842</v>
      </c>
      <c r="M56" s="3">
        <f t="shared" si="7"/>
        <v>2.8611576176239693</v>
      </c>
      <c r="N56" s="3">
        <f t="shared" si="10"/>
        <v>2.8588601074523212</v>
      </c>
      <c r="O56" s="3">
        <f t="shared" si="11"/>
        <v>2.8765324958166554</v>
      </c>
      <c r="P56" s="12" t="s">
        <v>11</v>
      </c>
      <c r="Q56" s="4" t="str">
        <f t="shared" si="9"/>
        <v>OVER</v>
      </c>
      <c r="R56" s="4" t="str">
        <f t="shared" si="9"/>
        <v>OVER</v>
      </c>
      <c r="S56" s="4" t="str">
        <f>IF($L56&gt;O56,"OVER","UNDER")</f>
        <v>UNDER</v>
      </c>
      <c r="T56" s="12" t="s">
        <v>11</v>
      </c>
      <c r="U56" s="2">
        <f>IF(Q56="OVER",$J56,$K56)</f>
        <v>-388.31981651952611</v>
      </c>
      <c r="V56" s="2">
        <f>IF(R56="OVER",$J56,$K56)</f>
        <v>-388.31981651952611</v>
      </c>
      <c r="W56" s="2">
        <f>IF(S56="OVER",$J56,$K56)</f>
        <v>388.31981651952611</v>
      </c>
      <c r="X56" s="12" t="s">
        <v>11</v>
      </c>
      <c r="Y56" s="9">
        <f t="shared" si="8"/>
        <v>-2800.3552426739689</v>
      </c>
      <c r="Z56" s="9">
        <f t="shared" si="8"/>
        <v>-381.54336599629056</v>
      </c>
      <c r="AA56" s="9">
        <f t="shared" si="8"/>
        <v>433.76107269633189</v>
      </c>
      <c r="AB56" s="12" t="s">
        <v>11</v>
      </c>
    </row>
    <row r="57" spans="1:28" x14ac:dyDescent="0.3">
      <c r="A57" s="1">
        <v>44494</v>
      </c>
      <c r="B57" s="2">
        <v>158.87</v>
      </c>
      <c r="C57" s="2">
        <v>455.55</v>
      </c>
      <c r="D57" s="9">
        <f>B57-B56</f>
        <v>0.36000000000001364</v>
      </c>
      <c r="E57" s="9">
        <f>C57-C56</f>
        <v>2.4300000000000068</v>
      </c>
      <c r="F57" s="3">
        <f>F$1/B57</f>
        <v>629.44545855101649</v>
      </c>
      <c r="G57" s="3">
        <f>F$1/C57</f>
        <v>219.51487213258699</v>
      </c>
      <c r="H57" s="2">
        <f>D57*F56</f>
        <v>227.11500851682146</v>
      </c>
      <c r="I57" s="2">
        <f>E57*G56</f>
        <v>536.28177966101839</v>
      </c>
      <c r="J57" s="2">
        <f>I57-H57</f>
        <v>309.1667711441969</v>
      </c>
      <c r="K57" s="2">
        <f t="shared" si="6"/>
        <v>-309.1667711441969</v>
      </c>
      <c r="L57" s="3">
        <f>C57/B57</f>
        <v>2.867438786429156</v>
      </c>
      <c r="M57" s="3">
        <f t="shared" si="7"/>
        <v>2.8624095745540252</v>
      </c>
      <c r="N57" s="3">
        <f t="shared" si="10"/>
        <v>2.8588064748730599</v>
      </c>
      <c r="O57" s="3">
        <f t="shared" si="11"/>
        <v>2.8764617505563121</v>
      </c>
      <c r="P57" s="12" t="s">
        <v>11</v>
      </c>
      <c r="Q57" s="4" t="str">
        <f t="shared" si="9"/>
        <v>UNDER</v>
      </c>
      <c r="R57" s="4" t="str">
        <f t="shared" si="9"/>
        <v>UNDER</v>
      </c>
      <c r="S57" s="4" t="str">
        <f>IF($L57&gt;O57,"OVER","UNDER")</f>
        <v>UNDER</v>
      </c>
      <c r="T57" s="12" t="s">
        <v>11</v>
      </c>
      <c r="U57" s="2">
        <f>IF(Q57="OVER",$J57,$K57)</f>
        <v>-309.1667711441969</v>
      </c>
      <c r="V57" s="2">
        <f>IF(R57="OVER",$J57,$K57)</f>
        <v>-309.1667711441969</v>
      </c>
      <c r="W57" s="2">
        <f>IF(S57="OVER",$J57,$K57)</f>
        <v>-309.1667711441969</v>
      </c>
      <c r="X57" s="12" t="s">
        <v>11</v>
      </c>
      <c r="Y57" s="9">
        <f t="shared" si="8"/>
        <v>-3109.5220138181658</v>
      </c>
      <c r="Z57" s="9">
        <f t="shared" si="8"/>
        <v>-690.7101371404874</v>
      </c>
      <c r="AA57" s="9">
        <f t="shared" si="8"/>
        <v>124.59430155213499</v>
      </c>
      <c r="AB57" s="12" t="s">
        <v>11</v>
      </c>
    </row>
    <row r="58" spans="1:28" x14ac:dyDescent="0.3">
      <c r="A58" s="1">
        <v>44495</v>
      </c>
      <c r="B58" s="2">
        <v>158.56</v>
      </c>
      <c r="C58" s="2">
        <v>455.96</v>
      </c>
      <c r="D58" s="9">
        <f>B58-B57</f>
        <v>-0.31000000000000227</v>
      </c>
      <c r="E58" s="9">
        <f>C58-C57</f>
        <v>0.40999999999996817</v>
      </c>
      <c r="F58" s="3">
        <f>F$1/B58</f>
        <v>630.6760847628658</v>
      </c>
      <c r="G58" s="3">
        <f>F$1/C58</f>
        <v>219.31748398982367</v>
      </c>
      <c r="H58" s="2">
        <f>D58*F57</f>
        <v>-195.12809215081654</v>
      </c>
      <c r="I58" s="2">
        <f>E58*G57</f>
        <v>90.001097574353679</v>
      </c>
      <c r="J58" s="2">
        <f>I58-H58</f>
        <v>285.12918972517025</v>
      </c>
      <c r="K58" s="2">
        <f t="shared" si="6"/>
        <v>-285.12918972517025</v>
      </c>
      <c r="L58" s="3">
        <f>C58/B58</f>
        <v>2.8756306760847625</v>
      </c>
      <c r="M58" s="3">
        <f t="shared" si="7"/>
        <v>2.8652582626483847</v>
      </c>
      <c r="N58" s="3">
        <f t="shared" si="10"/>
        <v>2.8599169560457183</v>
      </c>
      <c r="O58" s="3">
        <f t="shared" si="11"/>
        <v>2.8764381601776408</v>
      </c>
      <c r="P58" s="12" t="s">
        <v>11</v>
      </c>
      <c r="Q58" s="4" t="str">
        <f t="shared" si="9"/>
        <v>OVER</v>
      </c>
      <c r="R58" s="4" t="str">
        <f t="shared" si="9"/>
        <v>OVER</v>
      </c>
      <c r="S58" s="4" t="str">
        <f>IF($L58&gt;O58,"OVER","UNDER")</f>
        <v>UNDER</v>
      </c>
      <c r="T58" s="12" t="s">
        <v>11</v>
      </c>
      <c r="U58" s="2">
        <f>IF(Q58="OVER",$J58,$K58)</f>
        <v>285.12918972517025</v>
      </c>
      <c r="V58" s="2">
        <f>IF(R58="OVER",$J58,$K58)</f>
        <v>285.12918972517025</v>
      </c>
      <c r="W58" s="2">
        <f>IF(S58="OVER",$J58,$K58)</f>
        <v>-285.12918972517025</v>
      </c>
      <c r="X58" s="12" t="s">
        <v>11</v>
      </c>
      <c r="Y58" s="9">
        <f t="shared" si="8"/>
        <v>-2824.3928240929954</v>
      </c>
      <c r="Z58" s="9">
        <f t="shared" si="8"/>
        <v>-405.58094741531715</v>
      </c>
      <c r="AA58" s="9">
        <f t="shared" si="8"/>
        <v>-160.53488817303526</v>
      </c>
      <c r="AB58" s="12" t="s">
        <v>11</v>
      </c>
    </row>
    <row r="59" spans="1:28" x14ac:dyDescent="0.3">
      <c r="A59" s="1">
        <v>44496</v>
      </c>
      <c r="B59" s="2">
        <v>156.44999999999999</v>
      </c>
      <c r="C59" s="2">
        <v>453.94</v>
      </c>
      <c r="D59" s="9">
        <f>B59-B58</f>
        <v>-2.1100000000000136</v>
      </c>
      <c r="E59" s="9">
        <f>C59-C58</f>
        <v>-2.0199999999999818</v>
      </c>
      <c r="F59" s="3">
        <f>F$1/B59</f>
        <v>639.18184723553861</v>
      </c>
      <c r="G59" s="3">
        <f>F$1/C59</f>
        <v>220.29343084989205</v>
      </c>
      <c r="H59" s="2">
        <f>D59*F58</f>
        <v>-1330.7265388496555</v>
      </c>
      <c r="I59" s="2">
        <f>E59*G58</f>
        <v>-443.02131765943983</v>
      </c>
      <c r="J59" s="2">
        <f>I59-H59</f>
        <v>887.70522119021575</v>
      </c>
      <c r="K59" s="2">
        <f t="shared" si="6"/>
        <v>-887.70522119021575</v>
      </c>
      <c r="L59" s="3">
        <f>C59/B59</f>
        <v>2.9015020773410036</v>
      </c>
      <c r="M59" s="3">
        <f t="shared" si="7"/>
        <v>2.8701380672359758</v>
      </c>
      <c r="N59" s="3">
        <f t="shared" si="10"/>
        <v>2.8623904712565627</v>
      </c>
      <c r="O59" s="3">
        <f t="shared" si="11"/>
        <v>2.8768754650188839</v>
      </c>
      <c r="P59" s="12" t="s">
        <v>11</v>
      </c>
      <c r="Q59" s="4" t="str">
        <f t="shared" si="9"/>
        <v>OVER</v>
      </c>
      <c r="R59" s="4" t="str">
        <f t="shared" si="9"/>
        <v>OVER</v>
      </c>
      <c r="S59" s="4" t="str">
        <f>IF($L59&gt;O59,"OVER","UNDER")</f>
        <v>OVER</v>
      </c>
      <c r="T59" s="12" t="s">
        <v>11</v>
      </c>
      <c r="U59" s="2">
        <f>IF(Q59="OVER",$J59,$K59)</f>
        <v>887.70522119021575</v>
      </c>
      <c r="V59" s="2">
        <f>IF(R59="OVER",$J59,$K59)</f>
        <v>887.70522119021575</v>
      </c>
      <c r="W59" s="2">
        <f>IF(S59="OVER",$J59,$K59)</f>
        <v>887.70522119021575</v>
      </c>
      <c r="X59" s="12" t="s">
        <v>11</v>
      </c>
      <c r="Y59" s="9">
        <f t="shared" si="8"/>
        <v>-1936.6876029027796</v>
      </c>
      <c r="Z59" s="9">
        <f t="shared" si="8"/>
        <v>482.1242737748986</v>
      </c>
      <c r="AA59" s="9">
        <f t="shared" si="8"/>
        <v>727.1703330171805</v>
      </c>
      <c r="AB59" s="12" t="s">
        <v>11</v>
      </c>
    </row>
    <row r="60" spans="1:28" x14ac:dyDescent="0.3">
      <c r="A60" s="1">
        <v>44497</v>
      </c>
      <c r="B60" s="2">
        <v>158.04</v>
      </c>
      <c r="C60" s="2">
        <v>458.32</v>
      </c>
      <c r="D60" s="9">
        <f>B60-B59</f>
        <v>1.5900000000000034</v>
      </c>
      <c r="E60" s="9">
        <f>C60-C59</f>
        <v>4.3799999999999955</v>
      </c>
      <c r="F60" s="3">
        <f>F$1/B60</f>
        <v>632.75120222728424</v>
      </c>
      <c r="G60" s="3">
        <f>F$1/C60</f>
        <v>218.18816547390469</v>
      </c>
      <c r="H60" s="2">
        <f>D60*F59</f>
        <v>1016.2991371045085</v>
      </c>
      <c r="I60" s="2">
        <f>E60*G59</f>
        <v>964.8852271225262</v>
      </c>
      <c r="J60" s="2">
        <f>I60-H60</f>
        <v>-51.413909981982329</v>
      </c>
      <c r="K60" s="2">
        <f t="shared" si="6"/>
        <v>51.413909981982329</v>
      </c>
      <c r="L60" s="3">
        <f>C60/B60</f>
        <v>2.9000253100480893</v>
      </c>
      <c r="M60" s="3">
        <f t="shared" si="7"/>
        <v>2.8749694955791876</v>
      </c>
      <c r="N60" s="3">
        <f t="shared" si="10"/>
        <v>2.8641732078576188</v>
      </c>
      <c r="O60" s="3">
        <f t="shared" si="11"/>
        <v>2.8773201098739309</v>
      </c>
      <c r="P60" s="12" t="s">
        <v>11</v>
      </c>
      <c r="Q60" s="4" t="str">
        <f t="shared" si="9"/>
        <v>OVER</v>
      </c>
      <c r="R60" s="4" t="str">
        <f t="shared" si="9"/>
        <v>OVER</v>
      </c>
      <c r="S60" s="4" t="str">
        <f>IF($L60&gt;O60,"OVER","UNDER")</f>
        <v>OVER</v>
      </c>
      <c r="T60" s="12" t="s">
        <v>11</v>
      </c>
      <c r="U60" s="2">
        <f>IF(Q60="OVER",$J60,$K60)</f>
        <v>-51.413909981982329</v>
      </c>
      <c r="V60" s="2">
        <f>IF(R60="OVER",$J60,$K60)</f>
        <v>-51.413909981982329</v>
      </c>
      <c r="W60" s="2">
        <f>IF(S60="OVER",$J60,$K60)</f>
        <v>-51.413909981982329</v>
      </c>
      <c r="X60" s="12" t="s">
        <v>11</v>
      </c>
      <c r="Y60" s="9">
        <f t="shared" si="8"/>
        <v>-1988.1015128847621</v>
      </c>
      <c r="Z60" s="9">
        <f t="shared" si="8"/>
        <v>430.71036379291627</v>
      </c>
      <c r="AA60" s="9">
        <f t="shared" si="8"/>
        <v>675.75642303519817</v>
      </c>
      <c r="AB60" s="12" t="s">
        <v>11</v>
      </c>
    </row>
    <row r="61" spans="1:28" x14ac:dyDescent="0.3">
      <c r="A61" s="1">
        <v>44498</v>
      </c>
      <c r="B61" s="2">
        <v>157.76</v>
      </c>
      <c r="C61" s="2">
        <v>459.25</v>
      </c>
      <c r="D61" s="9">
        <f>B61-B60</f>
        <v>-0.28000000000000114</v>
      </c>
      <c r="E61" s="9">
        <f>C61-C60</f>
        <v>0.93000000000000682</v>
      </c>
      <c r="F61" s="3">
        <f>F$1/B61</f>
        <v>633.87423935091283</v>
      </c>
      <c r="G61" s="3">
        <f>F$1/C61</f>
        <v>217.74632553075668</v>
      </c>
      <c r="H61" s="2">
        <f>D61*F60</f>
        <v>-177.17033662364031</v>
      </c>
      <c r="I61" s="2">
        <f>E61*G60</f>
        <v>202.91499389073286</v>
      </c>
      <c r="J61" s="2">
        <f>I61-H61</f>
        <v>380.08533051437314</v>
      </c>
      <c r="K61" s="2">
        <f t="shared" si="6"/>
        <v>-380.08533051437314</v>
      </c>
      <c r="L61" s="3">
        <f>C61/B61</f>
        <v>2.9110674442190669</v>
      </c>
      <c r="M61" s="3">
        <f t="shared" si="7"/>
        <v>2.8797114358906262</v>
      </c>
      <c r="N61" s="3">
        <f t="shared" si="10"/>
        <v>2.8667339562540297</v>
      </c>
      <c r="O61" s="3">
        <f t="shared" si="11"/>
        <v>2.8777677672892112</v>
      </c>
      <c r="P61" s="12" t="s">
        <v>11</v>
      </c>
      <c r="Q61" s="4" t="str">
        <f t="shared" si="9"/>
        <v>OVER</v>
      </c>
      <c r="R61" s="4" t="str">
        <f t="shared" si="9"/>
        <v>OVER</v>
      </c>
      <c r="S61" s="4" t="str">
        <f>IF($L61&gt;O61,"OVER","UNDER")</f>
        <v>OVER</v>
      </c>
      <c r="T61" s="12" t="s">
        <v>11</v>
      </c>
      <c r="U61" s="2">
        <f>IF(Q61="OVER",$J61,$K61)</f>
        <v>380.08533051437314</v>
      </c>
      <c r="V61" s="2">
        <f>IF(R61="OVER",$J61,$K61)</f>
        <v>380.08533051437314</v>
      </c>
      <c r="W61" s="2">
        <f>IF(S61="OVER",$J61,$K61)</f>
        <v>380.08533051437314</v>
      </c>
      <c r="X61" s="12" t="s">
        <v>11</v>
      </c>
      <c r="Y61" s="9">
        <f t="shared" si="8"/>
        <v>-1608.0161823703888</v>
      </c>
      <c r="Z61" s="9">
        <f t="shared" si="8"/>
        <v>810.79569430728941</v>
      </c>
      <c r="AA61" s="9">
        <f t="shared" si="8"/>
        <v>1055.8417535495714</v>
      </c>
      <c r="AB61" s="12" t="s">
        <v>11</v>
      </c>
    </row>
    <row r="62" spans="1:28" x14ac:dyDescent="0.3">
      <c r="A62" s="1">
        <v>44501</v>
      </c>
      <c r="B62" s="2">
        <v>159.02000000000001</v>
      </c>
      <c r="C62" s="2">
        <v>460.04</v>
      </c>
      <c r="D62" s="9">
        <f>B62-B61</f>
        <v>1.2600000000000193</v>
      </c>
      <c r="E62" s="9">
        <f>C62-C61</f>
        <v>0.79000000000002046</v>
      </c>
      <c r="F62" s="3">
        <f>F$1/B62</f>
        <v>628.85171676518678</v>
      </c>
      <c r="G62" s="3">
        <f>F$1/C62</f>
        <v>217.37240239979133</v>
      </c>
      <c r="H62" s="2">
        <f>D62*F61</f>
        <v>798.68154158216237</v>
      </c>
      <c r="I62" s="2">
        <f>E62*G61</f>
        <v>172.01959716930224</v>
      </c>
      <c r="J62" s="2">
        <f>I62-H62</f>
        <v>-626.66194441286007</v>
      </c>
      <c r="K62" s="2">
        <f t="shared" si="6"/>
        <v>626.66194441286007</v>
      </c>
      <c r="L62" s="3">
        <f>C62/B62</f>
        <v>2.8929694378065651</v>
      </c>
      <c r="M62" s="3">
        <f t="shared" si="7"/>
        <v>2.8819064279506867</v>
      </c>
      <c r="N62" s="3">
        <f t="shared" si="10"/>
        <v>2.8693357685473275</v>
      </c>
      <c r="O62" s="3">
        <f t="shared" si="11"/>
        <v>2.8778114163309265</v>
      </c>
      <c r="P62" s="12" t="s">
        <v>11</v>
      </c>
      <c r="Q62" s="4" t="str">
        <f t="shared" si="9"/>
        <v>OVER</v>
      </c>
      <c r="R62" s="4" t="str">
        <f t="shared" si="9"/>
        <v>OVER</v>
      </c>
      <c r="S62" s="4" t="str">
        <f>IF($L62&gt;O62,"OVER","UNDER")</f>
        <v>OVER</v>
      </c>
      <c r="T62" s="12" t="s">
        <v>11</v>
      </c>
      <c r="U62" s="2">
        <f>IF(Q62="OVER",$J62,$K62)</f>
        <v>-626.66194441286007</v>
      </c>
      <c r="V62" s="2">
        <f>IF(R62="OVER",$J62,$K62)</f>
        <v>-626.66194441286007</v>
      </c>
      <c r="W62" s="2">
        <f>IF(S62="OVER",$J62,$K62)</f>
        <v>-626.66194441286007</v>
      </c>
      <c r="X62" s="12" t="s">
        <v>11</v>
      </c>
      <c r="Y62" s="9">
        <f t="shared" si="8"/>
        <v>-2234.6781267832489</v>
      </c>
      <c r="Z62" s="9">
        <f t="shared" si="8"/>
        <v>184.13374989442934</v>
      </c>
      <c r="AA62" s="9">
        <f t="shared" si="8"/>
        <v>429.17980913671136</v>
      </c>
      <c r="AB62" s="12" t="s">
        <v>11</v>
      </c>
    </row>
    <row r="63" spans="1:28" x14ac:dyDescent="0.3">
      <c r="A63" s="1">
        <v>44502</v>
      </c>
      <c r="B63" s="2">
        <v>159.46</v>
      </c>
      <c r="C63" s="2">
        <v>461.9</v>
      </c>
      <c r="D63" s="9">
        <f>B63-B62</f>
        <v>0.43999999999999773</v>
      </c>
      <c r="E63" s="9">
        <f>C63-C62</f>
        <v>1.8599999999999568</v>
      </c>
      <c r="F63" s="3">
        <f>F$1/B63</f>
        <v>627.11651824909063</v>
      </c>
      <c r="G63" s="3">
        <f>F$1/C63</f>
        <v>216.4970772894566</v>
      </c>
      <c r="H63" s="2">
        <f>D63*F62</f>
        <v>276.69475537668075</v>
      </c>
      <c r="I63" s="2">
        <f>E63*G62</f>
        <v>404.31266846360245</v>
      </c>
      <c r="J63" s="2">
        <f>I63-H63</f>
        <v>127.6179130869217</v>
      </c>
      <c r="K63" s="2">
        <f t="shared" si="6"/>
        <v>-127.6179130869217</v>
      </c>
      <c r="L63" s="3">
        <f>C63/B63</f>
        <v>2.8966511977925498</v>
      </c>
      <c r="M63" s="3">
        <f t="shared" si="7"/>
        <v>2.883935114462564</v>
      </c>
      <c r="N63" s="3">
        <f t="shared" si="10"/>
        <v>2.8716637219615668</v>
      </c>
      <c r="O63" s="3">
        <f t="shared" si="11"/>
        <v>2.8778541995412432</v>
      </c>
      <c r="P63" s="12" t="s">
        <v>11</v>
      </c>
      <c r="Q63" s="4" t="str">
        <f t="shared" si="9"/>
        <v>OVER</v>
      </c>
      <c r="R63" s="4" t="str">
        <f t="shared" si="9"/>
        <v>OVER</v>
      </c>
      <c r="S63" s="4" t="str">
        <f>IF($L63&gt;O63,"OVER","UNDER")</f>
        <v>OVER</v>
      </c>
      <c r="T63" s="12" t="s">
        <v>11</v>
      </c>
      <c r="U63" s="2">
        <f>IF(Q63="OVER",$J63,$K63)</f>
        <v>127.6179130869217</v>
      </c>
      <c r="V63" s="2">
        <f>IF(R63="OVER",$J63,$K63)</f>
        <v>127.6179130869217</v>
      </c>
      <c r="W63" s="2">
        <f>IF(S63="OVER",$J63,$K63)</f>
        <v>127.6179130869217</v>
      </c>
      <c r="X63" s="12" t="s">
        <v>11</v>
      </c>
      <c r="Y63" s="9">
        <f t="shared" si="8"/>
        <v>-2107.0602136963271</v>
      </c>
      <c r="Z63" s="9">
        <f t="shared" si="8"/>
        <v>311.75166298135105</v>
      </c>
      <c r="AA63" s="9">
        <f t="shared" si="8"/>
        <v>556.79772222363306</v>
      </c>
      <c r="AB63" s="12" t="s">
        <v>11</v>
      </c>
    </row>
    <row r="64" spans="1:28" x14ac:dyDescent="0.3">
      <c r="A64" s="1">
        <v>44503</v>
      </c>
      <c r="B64" s="2">
        <v>160.4</v>
      </c>
      <c r="C64" s="2">
        <v>464.72</v>
      </c>
      <c r="D64" s="9">
        <f>B64-B63</f>
        <v>0.93999999999999773</v>
      </c>
      <c r="E64" s="9">
        <f>C64-C63</f>
        <v>2.82000000000005</v>
      </c>
      <c r="F64" s="3">
        <f>F$1/B64</f>
        <v>623.44139650872819</v>
      </c>
      <c r="G64" s="3">
        <f>F$1/C64</f>
        <v>215.18333620244448</v>
      </c>
      <c r="H64" s="2">
        <f>D64*F63</f>
        <v>589.48952715414373</v>
      </c>
      <c r="I64" s="2">
        <f>E64*G63</f>
        <v>610.52175795627841</v>
      </c>
      <c r="J64" s="2">
        <f>I64-H64</f>
        <v>21.032230802134677</v>
      </c>
      <c r="K64" s="2">
        <f t="shared" si="6"/>
        <v>-21.032230802134677</v>
      </c>
      <c r="L64" s="3">
        <f>C64/B64</f>
        <v>2.8972568578553615</v>
      </c>
      <c r="M64" s="3">
        <f t="shared" si="7"/>
        <v>2.8870895707554793</v>
      </c>
      <c r="N64" s="3">
        <f t="shared" si="10"/>
        <v>2.8736271760129073</v>
      </c>
      <c r="O64" s="3">
        <f t="shared" si="11"/>
        <v>2.8780526399532653</v>
      </c>
      <c r="P64" s="12" t="s">
        <v>11</v>
      </c>
      <c r="Q64" s="4" t="str">
        <f t="shared" si="9"/>
        <v>OVER</v>
      </c>
      <c r="R64" s="4" t="str">
        <f t="shared" si="9"/>
        <v>OVER</v>
      </c>
      <c r="S64" s="4" t="str">
        <f>IF($L64&gt;O64,"OVER","UNDER")</f>
        <v>OVER</v>
      </c>
      <c r="T64" s="12" t="s">
        <v>11</v>
      </c>
      <c r="U64" s="2">
        <f>IF(Q64="OVER",$J64,$K64)</f>
        <v>21.032230802134677</v>
      </c>
      <c r="V64" s="2">
        <f>IF(R64="OVER",$J64,$K64)</f>
        <v>21.032230802134677</v>
      </c>
      <c r="W64" s="2">
        <f>IF(S64="OVER",$J64,$K64)</f>
        <v>21.032230802134677</v>
      </c>
      <c r="X64" s="12" t="s">
        <v>11</v>
      </c>
      <c r="Y64" s="9">
        <f t="shared" si="8"/>
        <v>-2086.0279828941925</v>
      </c>
      <c r="Z64" s="9">
        <f t="shared" si="8"/>
        <v>332.78389378348572</v>
      </c>
      <c r="AA64" s="9">
        <f t="shared" si="8"/>
        <v>577.82995302576774</v>
      </c>
      <c r="AB64" s="12" t="s">
        <v>11</v>
      </c>
    </row>
    <row r="65" spans="1:28" x14ac:dyDescent="0.3">
      <c r="A65" s="1">
        <v>44504</v>
      </c>
      <c r="B65" s="2">
        <v>160.07</v>
      </c>
      <c r="C65" s="2">
        <v>466.91</v>
      </c>
      <c r="D65" s="9">
        <f>B65-B64</f>
        <v>-0.33000000000001251</v>
      </c>
      <c r="E65" s="9">
        <f>C65-C64</f>
        <v>2.1899999999999977</v>
      </c>
      <c r="F65" s="3">
        <f>F$1/B65</f>
        <v>624.72668207659149</v>
      </c>
      <c r="G65" s="3">
        <f>F$1/C65</f>
        <v>214.17403782313508</v>
      </c>
      <c r="H65" s="2">
        <f>D65*F64</f>
        <v>-205.73566084788811</v>
      </c>
      <c r="I65" s="2">
        <f>E65*G64</f>
        <v>471.25150628335291</v>
      </c>
      <c r="J65" s="2">
        <f>I65-H65</f>
        <v>676.98716713124099</v>
      </c>
      <c r="K65" s="2">
        <f t="shared" si="6"/>
        <v>-676.98716713124099</v>
      </c>
      <c r="L65" s="3">
        <f>C65/B65</f>
        <v>2.9169113512838134</v>
      </c>
      <c r="M65" s="3">
        <f t="shared" si="7"/>
        <v>2.8918074046058657</v>
      </c>
      <c r="N65" s="3">
        <f t="shared" si="10"/>
        <v>2.8765495062514104</v>
      </c>
      <c r="O65" s="3">
        <f t="shared" si="11"/>
        <v>2.8788272329467555</v>
      </c>
      <c r="P65" s="12" t="s">
        <v>11</v>
      </c>
      <c r="Q65" s="4" t="str">
        <f t="shared" si="9"/>
        <v>OVER</v>
      </c>
      <c r="R65" s="4" t="str">
        <f t="shared" si="9"/>
        <v>OVER</v>
      </c>
      <c r="S65" s="4" t="str">
        <f>IF($L65&gt;O65,"OVER","UNDER")</f>
        <v>OVER</v>
      </c>
      <c r="T65" s="12" t="s">
        <v>11</v>
      </c>
      <c r="U65" s="2">
        <f>IF(Q65="OVER",$J65,$K65)</f>
        <v>676.98716713124099</v>
      </c>
      <c r="V65" s="2">
        <f>IF(R65="OVER",$J65,$K65)</f>
        <v>676.98716713124099</v>
      </c>
      <c r="W65" s="2">
        <f>IF(S65="OVER",$J65,$K65)</f>
        <v>676.98716713124099</v>
      </c>
      <c r="X65" s="12" t="s">
        <v>11</v>
      </c>
      <c r="Y65" s="9">
        <f t="shared" si="8"/>
        <v>-1409.0408157629515</v>
      </c>
      <c r="Z65" s="9">
        <f t="shared" si="8"/>
        <v>1009.7710609147267</v>
      </c>
      <c r="AA65" s="9">
        <f t="shared" si="8"/>
        <v>1254.8171201570087</v>
      </c>
      <c r="AB65" s="12" t="s">
        <v>11</v>
      </c>
    </row>
    <row r="66" spans="1:28" x14ac:dyDescent="0.3">
      <c r="A66" s="1">
        <v>44505</v>
      </c>
      <c r="B66" s="2">
        <v>161.29</v>
      </c>
      <c r="C66" s="2">
        <v>468.53</v>
      </c>
      <c r="D66" s="9">
        <f>B66-B65</f>
        <v>1.2199999999999989</v>
      </c>
      <c r="E66" s="9">
        <f>C66-C65</f>
        <v>1.6199999999999477</v>
      </c>
      <c r="F66" s="3">
        <f>F$1/B66</f>
        <v>620.00124000248002</v>
      </c>
      <c r="G66" s="3">
        <f>F$1/C66</f>
        <v>213.43350479158221</v>
      </c>
      <c r="H66" s="2">
        <f>D66*F65</f>
        <v>762.16655213344086</v>
      </c>
      <c r="I66" s="2">
        <f>E66*G65</f>
        <v>346.96194127346763</v>
      </c>
      <c r="J66" s="2">
        <f>I66-H66</f>
        <v>-415.20461085997323</v>
      </c>
      <c r="K66" s="2">
        <f t="shared" si="6"/>
        <v>415.20461085997323</v>
      </c>
      <c r="L66" s="3">
        <f>C66/B66</f>
        <v>2.9048918097836194</v>
      </c>
      <c r="M66" s="3">
        <f t="shared" si="7"/>
        <v>2.896434494864399</v>
      </c>
      <c r="N66" s="3">
        <f t="shared" si="10"/>
        <v>2.8787960562441839</v>
      </c>
      <c r="O66" s="3">
        <f t="shared" si="11"/>
        <v>2.879305960039781</v>
      </c>
      <c r="P66" s="12" t="s">
        <v>11</v>
      </c>
      <c r="Q66" s="4" t="str">
        <f t="shared" si="9"/>
        <v>OVER</v>
      </c>
      <c r="R66" s="4" t="str">
        <f t="shared" si="9"/>
        <v>OVER</v>
      </c>
      <c r="S66" s="4" t="str">
        <f>IF($L66&gt;O66,"OVER","UNDER")</f>
        <v>OVER</v>
      </c>
      <c r="T66" s="12" t="s">
        <v>11</v>
      </c>
      <c r="U66" s="2">
        <f>IF(Q66="OVER",$J66,$K66)</f>
        <v>-415.20461085997323</v>
      </c>
      <c r="V66" s="2">
        <f>IF(R66="OVER",$J66,$K66)</f>
        <v>-415.20461085997323</v>
      </c>
      <c r="W66" s="2">
        <f>IF(S66="OVER",$J66,$K66)</f>
        <v>-415.20461085997323</v>
      </c>
      <c r="X66" s="12" t="s">
        <v>11</v>
      </c>
      <c r="Y66" s="9">
        <f t="shared" si="8"/>
        <v>-1824.2454266229247</v>
      </c>
      <c r="Z66" s="9">
        <f t="shared" si="8"/>
        <v>594.56645005475343</v>
      </c>
      <c r="AA66" s="9">
        <f t="shared" si="8"/>
        <v>839.61250929703556</v>
      </c>
      <c r="AB66" s="12" t="s">
        <v>11</v>
      </c>
    </row>
    <row r="67" spans="1:28" x14ac:dyDescent="0.3">
      <c r="A67" s="1">
        <v>44508</v>
      </c>
      <c r="B67" s="2">
        <v>161.53</v>
      </c>
      <c r="C67" s="2">
        <v>468.93</v>
      </c>
      <c r="D67" s="9">
        <f>B67-B66</f>
        <v>0.24000000000000909</v>
      </c>
      <c r="E67" s="9">
        <f>C67-C66</f>
        <v>0.40000000000003411</v>
      </c>
      <c r="F67" s="3">
        <f>F$1/B67</f>
        <v>619.08004705008352</v>
      </c>
      <c r="G67" s="3">
        <f>F$1/C67</f>
        <v>213.25144477853837</v>
      </c>
      <c r="H67" s="2">
        <f>D67*F66</f>
        <v>148.80029760060086</v>
      </c>
      <c r="I67" s="2">
        <f>E67*G66</f>
        <v>85.373401916640162</v>
      </c>
      <c r="J67" s="2">
        <f>I67-H67</f>
        <v>-63.426895683960694</v>
      </c>
      <c r="K67" s="2">
        <f t="shared" si="6"/>
        <v>63.426895683960694</v>
      </c>
      <c r="L67" s="3">
        <f>C67/B67</f>
        <v>2.9030520646319569</v>
      </c>
      <c r="M67" s="3">
        <f t="shared" si="7"/>
        <v>2.8999958226846787</v>
      </c>
      <c r="N67" s="3">
        <f t="shared" si="10"/>
        <v>2.8812026986193517</v>
      </c>
      <c r="O67" s="3">
        <f t="shared" si="11"/>
        <v>2.8798491168153024</v>
      </c>
      <c r="P67" s="12" t="s">
        <v>11</v>
      </c>
      <c r="Q67" s="4" t="str">
        <f t="shared" si="9"/>
        <v>OVER</v>
      </c>
      <c r="R67" s="4" t="str">
        <f t="shared" si="9"/>
        <v>OVER</v>
      </c>
      <c r="S67" s="4" t="str">
        <f>IF($L67&gt;O67,"OVER","UNDER")</f>
        <v>OVER</v>
      </c>
      <c r="T67" s="12" t="s">
        <v>11</v>
      </c>
      <c r="U67" s="2">
        <f>IF(Q67="OVER",$J67,$K67)</f>
        <v>-63.426895683960694</v>
      </c>
      <c r="V67" s="2">
        <f>IF(R67="OVER",$J67,$K67)</f>
        <v>-63.426895683960694</v>
      </c>
      <c r="W67" s="2">
        <f>IF(S67="OVER",$J67,$K67)</f>
        <v>-63.426895683960694</v>
      </c>
      <c r="X67" s="12" t="s">
        <v>11</v>
      </c>
      <c r="Y67" s="9">
        <f t="shared" si="8"/>
        <v>-1887.6723223068855</v>
      </c>
      <c r="Z67" s="9">
        <f t="shared" si="8"/>
        <v>531.13955437079278</v>
      </c>
      <c r="AA67" s="9">
        <f t="shared" si="8"/>
        <v>776.18561361307491</v>
      </c>
      <c r="AB67" s="12" t="s">
        <v>11</v>
      </c>
    </row>
    <row r="68" spans="1:28" x14ac:dyDescent="0.3">
      <c r="A68" s="1">
        <v>44509</v>
      </c>
      <c r="B68" s="2">
        <v>161.51</v>
      </c>
      <c r="C68" s="2">
        <v>467.38</v>
      </c>
      <c r="D68" s="9">
        <f>B68-B67</f>
        <v>-2.0000000000010232E-2</v>
      </c>
      <c r="E68" s="9">
        <f>C68-C67</f>
        <v>-1.5500000000000114</v>
      </c>
      <c r="F68" s="3">
        <f>F$1/B68</f>
        <v>619.1567085629373</v>
      </c>
      <c r="G68" s="3">
        <f>F$1/C68</f>
        <v>213.95866318627242</v>
      </c>
      <c r="H68" s="2">
        <f>D68*F67</f>
        <v>-12.381600941008005</v>
      </c>
      <c r="I68" s="2">
        <f>E68*G67</f>
        <v>-330.53973940673689</v>
      </c>
      <c r="J68" s="2">
        <f>I68-H68</f>
        <v>-318.15813846572888</v>
      </c>
      <c r="K68" s="2">
        <f t="shared" si="6"/>
        <v>318.15813846572888</v>
      </c>
      <c r="L68" s="3">
        <f>C68/B68</f>
        <v>2.8938146244814562</v>
      </c>
      <c r="M68" s="3">
        <f t="shared" si="7"/>
        <v>2.9018142175243482</v>
      </c>
      <c r="N68" s="3">
        <f t="shared" si="10"/>
        <v>2.8835362400863667</v>
      </c>
      <c r="O68" s="3">
        <f t="shared" si="11"/>
        <v>2.8798695914836561</v>
      </c>
      <c r="P68" s="12" t="s">
        <v>11</v>
      </c>
      <c r="Q68" s="4" t="str">
        <f t="shared" si="9"/>
        <v>OVER</v>
      </c>
      <c r="R68" s="4" t="str">
        <f t="shared" si="9"/>
        <v>OVER</v>
      </c>
      <c r="S68" s="4" t="str">
        <f>IF($L68&gt;O68,"OVER","UNDER")</f>
        <v>OVER</v>
      </c>
      <c r="T68" s="12" t="s">
        <v>11</v>
      </c>
      <c r="U68" s="2">
        <f>IF(Q68="OVER",$J68,$K68)</f>
        <v>-318.15813846572888</v>
      </c>
      <c r="V68" s="2">
        <f>IF(R68="OVER",$J68,$K68)</f>
        <v>-318.15813846572888</v>
      </c>
      <c r="W68" s="2">
        <f>IF(S68="OVER",$J68,$K68)</f>
        <v>-318.15813846572888</v>
      </c>
      <c r="X68" s="12" t="s">
        <v>11</v>
      </c>
      <c r="Y68" s="9">
        <f t="shared" si="8"/>
        <v>-2205.8304607726145</v>
      </c>
      <c r="Z68" s="9">
        <f t="shared" si="8"/>
        <v>212.9814159050639</v>
      </c>
      <c r="AA68" s="9">
        <f t="shared" si="8"/>
        <v>458.02747514734602</v>
      </c>
      <c r="AB68" s="12" t="s">
        <v>11</v>
      </c>
    </row>
    <row r="69" spans="1:28" x14ac:dyDescent="0.3">
      <c r="A69" s="1">
        <v>44510</v>
      </c>
      <c r="B69" s="2">
        <v>160.47999999999999</v>
      </c>
      <c r="C69" s="2">
        <v>463.62</v>
      </c>
      <c r="D69" s="9">
        <f>B69-B68</f>
        <v>-1.0300000000000011</v>
      </c>
      <c r="E69" s="9">
        <f>C69-C68</f>
        <v>-3.7599999999999909</v>
      </c>
      <c r="F69" s="3">
        <f>F$1/B69</f>
        <v>623.13060817547364</v>
      </c>
      <c r="G69" s="3">
        <f>F$1/C69</f>
        <v>215.69388723523576</v>
      </c>
      <c r="H69" s="2">
        <f>D69*F68</f>
        <v>-637.73140981982613</v>
      </c>
      <c r="I69" s="2">
        <f>E69*G68</f>
        <v>-804.48457358038229</v>
      </c>
      <c r="J69" s="2">
        <f>I69-H69</f>
        <v>-166.75316376055616</v>
      </c>
      <c r="K69" s="2">
        <f t="shared" ref="K69:K132" si="12">H69-I69</f>
        <v>166.75316376055616</v>
      </c>
      <c r="L69" s="3">
        <f>C69/B69</f>
        <v>2.8889581256231307</v>
      </c>
      <c r="M69" s="3">
        <f t="shared" si="7"/>
        <v>2.9005598223525615</v>
      </c>
      <c r="N69" s="3">
        <f t="shared" si="10"/>
        <v>2.8853489447942686</v>
      </c>
      <c r="O69" s="3">
        <f t="shared" si="11"/>
        <v>2.8798675639769247</v>
      </c>
      <c r="P69" s="12" t="s">
        <v>11</v>
      </c>
      <c r="Q69" s="4" t="str">
        <f t="shared" si="9"/>
        <v>UNDER</v>
      </c>
      <c r="R69" s="4" t="str">
        <f t="shared" si="9"/>
        <v>OVER</v>
      </c>
      <c r="S69" s="4" t="str">
        <f>IF($L69&gt;O69,"OVER","UNDER")</f>
        <v>OVER</v>
      </c>
      <c r="T69" s="12" t="s">
        <v>11</v>
      </c>
      <c r="U69" s="2">
        <f>IF(Q69="OVER",$J69,$K69)</f>
        <v>166.75316376055616</v>
      </c>
      <c r="V69" s="2">
        <f>IF(R69="OVER",$J69,$K69)</f>
        <v>-166.75316376055616</v>
      </c>
      <c r="W69" s="2">
        <f>IF(S69="OVER",$J69,$K69)</f>
        <v>-166.75316376055616</v>
      </c>
      <c r="X69" s="12" t="s">
        <v>11</v>
      </c>
      <c r="Y69" s="9">
        <f t="shared" si="8"/>
        <v>-2039.0772970120584</v>
      </c>
      <c r="Z69" s="9">
        <f t="shared" si="8"/>
        <v>46.228252144507735</v>
      </c>
      <c r="AA69" s="9">
        <f t="shared" si="8"/>
        <v>291.27431138678986</v>
      </c>
      <c r="AB69" s="12" t="s">
        <v>11</v>
      </c>
    </row>
    <row r="70" spans="1:28" x14ac:dyDescent="0.3">
      <c r="A70" s="1">
        <v>44511</v>
      </c>
      <c r="B70" s="2">
        <v>160.87</v>
      </c>
      <c r="C70" s="2">
        <v>463.77</v>
      </c>
      <c r="D70" s="9">
        <f>B70-B69</f>
        <v>0.39000000000001478</v>
      </c>
      <c r="E70" s="9">
        <f>C70-C69</f>
        <v>0.14999999999997726</v>
      </c>
      <c r="F70" s="3">
        <f>F$1/B70</f>
        <v>621.6199415677255</v>
      </c>
      <c r="G70" s="3">
        <f>F$1/C70</f>
        <v>215.62412402699616</v>
      </c>
      <c r="H70" s="2">
        <f>D70*F69</f>
        <v>243.02093718844392</v>
      </c>
      <c r="I70" s="2">
        <f>E70*G69</f>
        <v>32.354083085280458</v>
      </c>
      <c r="J70" s="2">
        <f>I70-H70</f>
        <v>-210.66685410316347</v>
      </c>
      <c r="K70" s="2">
        <f t="shared" si="12"/>
        <v>210.66685410316347</v>
      </c>
      <c r="L70" s="3">
        <f>C70/B70</f>
        <v>2.8828868030086405</v>
      </c>
      <c r="M70" s="3">
        <f t="shared" si="7"/>
        <v>2.8988459716486163</v>
      </c>
      <c r="N70" s="3">
        <f t="shared" si="10"/>
        <v>2.886907733613902</v>
      </c>
      <c r="O70" s="3">
        <f t="shared" si="11"/>
        <v>2.8797244940497637</v>
      </c>
      <c r="P70" s="12" t="s">
        <v>11</v>
      </c>
      <c r="Q70" s="4" t="str">
        <f t="shared" si="9"/>
        <v>UNDER</v>
      </c>
      <c r="R70" s="4" t="str">
        <f t="shared" si="9"/>
        <v>OVER</v>
      </c>
      <c r="S70" s="4" t="str">
        <f>IF($L70&gt;O70,"OVER","UNDER")</f>
        <v>OVER</v>
      </c>
      <c r="T70" s="12" t="s">
        <v>11</v>
      </c>
      <c r="U70" s="2">
        <f>IF(Q70="OVER",$J70,$K70)</f>
        <v>210.66685410316347</v>
      </c>
      <c r="V70" s="2">
        <f>IF(R70="OVER",$J70,$K70)</f>
        <v>-210.66685410316347</v>
      </c>
      <c r="W70" s="2">
        <f>IF(S70="OVER",$J70,$K70)</f>
        <v>-210.66685410316347</v>
      </c>
      <c r="X70" s="12" t="s">
        <v>11</v>
      </c>
      <c r="Y70" s="9">
        <f t="shared" si="8"/>
        <v>-1828.4104429088948</v>
      </c>
      <c r="Z70" s="9">
        <f t="shared" si="8"/>
        <v>-164.43860195865574</v>
      </c>
      <c r="AA70" s="9">
        <f t="shared" si="8"/>
        <v>80.607457283626388</v>
      </c>
      <c r="AB70" s="12" t="s">
        <v>11</v>
      </c>
    </row>
    <row r="71" spans="1:28" x14ac:dyDescent="0.3">
      <c r="A71" s="1">
        <v>44512</v>
      </c>
      <c r="B71" s="2">
        <v>161.65</v>
      </c>
      <c r="C71" s="2">
        <v>467.27</v>
      </c>
      <c r="D71" s="9">
        <f>B71-B70</f>
        <v>0.78000000000000114</v>
      </c>
      <c r="E71" s="9">
        <f>C71-C70</f>
        <v>3.5</v>
      </c>
      <c r="F71" s="3">
        <f>F$1/B71</f>
        <v>618.62047633776672</v>
      </c>
      <c r="G71" s="3">
        <f>F$1/C71</f>
        <v>214.00903118111586</v>
      </c>
      <c r="H71" s="2">
        <f>D71*F70</f>
        <v>484.86355442282661</v>
      </c>
      <c r="I71" s="2">
        <f>E71*G70</f>
        <v>754.68443409448651</v>
      </c>
      <c r="J71" s="2">
        <f>I71-H71</f>
        <v>269.8208796716599</v>
      </c>
      <c r="K71" s="2">
        <f t="shared" si="12"/>
        <v>-269.8208796716599</v>
      </c>
      <c r="L71" s="3">
        <f>C71/B71</f>
        <v>2.8906278997834827</v>
      </c>
      <c r="M71" s="3">
        <f t="shared" si="7"/>
        <v>2.8968020172050575</v>
      </c>
      <c r="N71" s="3">
        <f t="shared" si="10"/>
        <v>2.888256726547842</v>
      </c>
      <c r="O71" s="3">
        <f t="shared" si="11"/>
        <v>2.8799488952375039</v>
      </c>
      <c r="P71" s="12" t="s">
        <v>11</v>
      </c>
      <c r="Q71" s="4" t="str">
        <f t="shared" si="9"/>
        <v>UNDER</v>
      </c>
      <c r="R71" s="4" t="str">
        <f t="shared" si="9"/>
        <v>UNDER</v>
      </c>
      <c r="S71" s="4" t="str">
        <f>IF($L71&gt;O71,"OVER","UNDER")</f>
        <v>OVER</v>
      </c>
      <c r="T71" s="12" t="s">
        <v>11</v>
      </c>
      <c r="U71" s="2">
        <f>IF(Q71="OVER",$J71,$K71)</f>
        <v>-269.8208796716599</v>
      </c>
      <c r="V71" s="2">
        <f>IF(R71="OVER",$J71,$K71)</f>
        <v>-269.8208796716599</v>
      </c>
      <c r="W71" s="2">
        <f>IF(S71="OVER",$J71,$K71)</f>
        <v>269.8208796716599</v>
      </c>
      <c r="X71" s="12" t="s">
        <v>11</v>
      </c>
      <c r="Y71" s="9">
        <f t="shared" si="8"/>
        <v>-2098.2313225805547</v>
      </c>
      <c r="Z71" s="9">
        <f t="shared" si="8"/>
        <v>-434.25948163031563</v>
      </c>
      <c r="AA71" s="9">
        <f t="shared" si="8"/>
        <v>350.42833695528628</v>
      </c>
      <c r="AB71" s="12" t="s">
        <v>11</v>
      </c>
    </row>
    <row r="72" spans="1:28" x14ac:dyDescent="0.3">
      <c r="A72" s="1">
        <v>44515</v>
      </c>
      <c r="B72" s="2">
        <v>161.93</v>
      </c>
      <c r="C72" s="2">
        <v>467.43</v>
      </c>
      <c r="D72" s="9">
        <f>B72-B71</f>
        <v>0.28000000000000114</v>
      </c>
      <c r="E72" s="9">
        <f>C72-C71</f>
        <v>0.16000000000002501</v>
      </c>
      <c r="F72" s="3">
        <f>F$1/B72</f>
        <v>617.55079355276973</v>
      </c>
      <c r="G72" s="3">
        <f>F$1/C72</f>
        <v>213.93577647990074</v>
      </c>
      <c r="H72" s="2">
        <f>D72*F71</f>
        <v>173.21373337457538</v>
      </c>
      <c r="I72" s="2">
        <f>E72*G71</f>
        <v>34.241444988983893</v>
      </c>
      <c r="J72" s="2">
        <f>I72-H72</f>
        <v>-138.9722883855915</v>
      </c>
      <c r="K72" s="2">
        <f t="shared" si="12"/>
        <v>138.9722883855915</v>
      </c>
      <c r="L72" s="3">
        <f>C72/B72</f>
        <v>2.8866176743037113</v>
      </c>
      <c r="M72" s="3">
        <f t="shared" si="7"/>
        <v>2.8961668408547725</v>
      </c>
      <c r="N72" s="3">
        <f t="shared" si="10"/>
        <v>2.8890366344027298</v>
      </c>
      <c r="O72" s="3">
        <f t="shared" si="11"/>
        <v>2.8799199024716655</v>
      </c>
      <c r="P72" s="12" t="s">
        <v>11</v>
      </c>
      <c r="Q72" s="4" t="str">
        <f t="shared" si="9"/>
        <v>UNDER</v>
      </c>
      <c r="R72" s="4" t="str">
        <f t="shared" si="9"/>
        <v>OVER</v>
      </c>
      <c r="S72" s="4" t="str">
        <f>IF($L72&gt;O72,"OVER","UNDER")</f>
        <v>OVER</v>
      </c>
      <c r="T72" s="12" t="s">
        <v>11</v>
      </c>
      <c r="U72" s="2">
        <f>IF(Q72="OVER",$J72,$K72)</f>
        <v>138.9722883855915</v>
      </c>
      <c r="V72" s="2">
        <f>IF(R72="OVER",$J72,$K72)</f>
        <v>-138.9722883855915</v>
      </c>
      <c r="W72" s="2">
        <f>IF(S72="OVER",$J72,$K72)</f>
        <v>-138.9722883855915</v>
      </c>
      <c r="X72" s="12" t="s">
        <v>11</v>
      </c>
      <c r="Y72" s="9">
        <f t="shared" si="8"/>
        <v>-1959.2590341949631</v>
      </c>
      <c r="Z72" s="9">
        <f t="shared" si="8"/>
        <v>-573.23177001590716</v>
      </c>
      <c r="AA72" s="9">
        <f t="shared" si="8"/>
        <v>211.45604856969479</v>
      </c>
      <c r="AB72" s="12" t="s">
        <v>11</v>
      </c>
    </row>
    <row r="73" spans="1:28" x14ac:dyDescent="0.3">
      <c r="A73" s="1">
        <v>44516</v>
      </c>
      <c r="B73" s="2">
        <v>162.13999999999999</v>
      </c>
      <c r="C73" s="2">
        <v>469.28</v>
      </c>
      <c r="D73" s="9">
        <f>B73-B72</f>
        <v>0.20999999999997954</v>
      </c>
      <c r="E73" s="9">
        <f>C73-C72</f>
        <v>1.8499999999999659</v>
      </c>
      <c r="F73" s="3">
        <f>F$1/B73</f>
        <v>616.75095596398182</v>
      </c>
      <c r="G73" s="3">
        <f>F$1/C73</f>
        <v>213.09239686327993</v>
      </c>
      <c r="H73" s="2">
        <f>D73*F72</f>
        <v>129.685666646069</v>
      </c>
      <c r="I73" s="2">
        <f>E73*G72</f>
        <v>395.78118648780907</v>
      </c>
      <c r="J73" s="2">
        <f>I73-H73</f>
        <v>266.09551984174004</v>
      </c>
      <c r="K73" s="2">
        <f t="shared" si="12"/>
        <v>-266.09551984174004</v>
      </c>
      <c r="L73" s="3">
        <f>C73/B73</f>
        <v>2.8942888861477738</v>
      </c>
      <c r="M73" s="3">
        <f t="shared" si="7"/>
        <v>2.8959306096902946</v>
      </c>
      <c r="N73" s="3">
        <f t="shared" si="10"/>
        <v>2.8899328620764297</v>
      </c>
      <c r="O73" s="3">
        <f t="shared" si="11"/>
        <v>2.8797662124309129</v>
      </c>
      <c r="P73" s="12" t="s">
        <v>11</v>
      </c>
      <c r="Q73" s="4" t="str">
        <f t="shared" si="9"/>
        <v>UNDER</v>
      </c>
      <c r="R73" s="4" t="str">
        <f t="shared" si="9"/>
        <v>UNDER</v>
      </c>
      <c r="S73" s="4" t="str">
        <f>IF($L73&gt;O73,"OVER","UNDER")</f>
        <v>OVER</v>
      </c>
      <c r="T73" s="12" t="s">
        <v>11</v>
      </c>
      <c r="U73" s="2">
        <f>IF(Q73="OVER",$J73,$K73)</f>
        <v>-266.09551984174004</v>
      </c>
      <c r="V73" s="2">
        <f>IF(R73="OVER",$J73,$K73)</f>
        <v>-266.09551984174004</v>
      </c>
      <c r="W73" s="2">
        <f>IF(S73="OVER",$J73,$K73)</f>
        <v>266.09551984174004</v>
      </c>
      <c r="X73" s="12" t="s">
        <v>11</v>
      </c>
      <c r="Y73" s="9">
        <f t="shared" si="8"/>
        <v>-2225.3545540367031</v>
      </c>
      <c r="Z73" s="9">
        <f t="shared" si="8"/>
        <v>-839.3272898576472</v>
      </c>
      <c r="AA73" s="9">
        <f t="shared" si="8"/>
        <v>477.5515684114348</v>
      </c>
      <c r="AB73" s="12" t="s">
        <v>11</v>
      </c>
    </row>
    <row r="74" spans="1:28" x14ac:dyDescent="0.3">
      <c r="A74" s="1">
        <v>44517</v>
      </c>
      <c r="B74" s="2">
        <v>161.28</v>
      </c>
      <c r="C74" s="2">
        <v>468.14</v>
      </c>
      <c r="D74" s="9">
        <f>B74-B73</f>
        <v>-0.85999999999998522</v>
      </c>
      <c r="E74" s="9">
        <f>C74-C73</f>
        <v>-1.1399999999999864</v>
      </c>
      <c r="F74" s="3">
        <f>F$1/B74</f>
        <v>620.03968253968253</v>
      </c>
      <c r="G74" s="3">
        <f>F$1/C74</f>
        <v>213.6113128551288</v>
      </c>
      <c r="H74" s="2">
        <f>D74*F73</f>
        <v>-530.40582212901529</v>
      </c>
      <c r="I74" s="2">
        <f>E74*G73</f>
        <v>-242.9253324241362</v>
      </c>
      <c r="J74" s="2">
        <f>I74-H74</f>
        <v>287.48048970487912</v>
      </c>
      <c r="K74" s="2">
        <f t="shared" si="12"/>
        <v>-287.48048970487912</v>
      </c>
      <c r="L74" s="3">
        <f>C74/B74</f>
        <v>2.9026537698412698</v>
      </c>
      <c r="M74" s="3">
        <f t="shared" si="7"/>
        <v>2.8964703008888852</v>
      </c>
      <c r="N74" s="3">
        <f t="shared" si="10"/>
        <v>2.891779935822183</v>
      </c>
      <c r="O74" s="3">
        <f t="shared" si="11"/>
        <v>2.8798132416451949</v>
      </c>
      <c r="P74" s="12" t="s">
        <v>11</v>
      </c>
      <c r="Q74" s="4" t="str">
        <f t="shared" si="9"/>
        <v>UNDER</v>
      </c>
      <c r="R74" s="4" t="str">
        <f t="shared" si="9"/>
        <v>OVER</v>
      </c>
      <c r="S74" s="4" t="str">
        <f>IF($L74&gt;O74,"OVER","UNDER")</f>
        <v>OVER</v>
      </c>
      <c r="T74" s="12" t="s">
        <v>11</v>
      </c>
      <c r="U74" s="2">
        <f>IF(Q74="OVER",$J74,$K74)</f>
        <v>-287.48048970487912</v>
      </c>
      <c r="V74" s="2">
        <f>IF(R74="OVER",$J74,$K74)</f>
        <v>287.48048970487912</v>
      </c>
      <c r="W74" s="2">
        <f>IF(S74="OVER",$J74,$K74)</f>
        <v>287.48048970487912</v>
      </c>
      <c r="X74" s="12" t="s">
        <v>11</v>
      </c>
      <c r="Y74" s="9">
        <f t="shared" si="8"/>
        <v>-2512.835043741582</v>
      </c>
      <c r="Z74" s="9">
        <f t="shared" si="8"/>
        <v>-551.84680015276808</v>
      </c>
      <c r="AA74" s="9">
        <f t="shared" si="8"/>
        <v>765.03205811631392</v>
      </c>
      <c r="AB74" s="12" t="s">
        <v>11</v>
      </c>
    </row>
    <row r="75" spans="1:28" x14ac:dyDescent="0.3">
      <c r="A75" s="1">
        <v>44518</v>
      </c>
      <c r="B75" s="2">
        <v>160.69</v>
      </c>
      <c r="C75" s="2">
        <v>469.73</v>
      </c>
      <c r="D75" s="9">
        <f>B75-B74</f>
        <v>-0.59000000000000341</v>
      </c>
      <c r="E75" s="9">
        <f>C75-C74</f>
        <v>1.5900000000000318</v>
      </c>
      <c r="F75" s="3">
        <f>F$1/B75</f>
        <v>622.31626112390313</v>
      </c>
      <c r="G75" s="3">
        <f>F$1/C75</f>
        <v>212.88825495497412</v>
      </c>
      <c r="H75" s="2">
        <f>D75*F74</f>
        <v>-365.82341269841481</v>
      </c>
      <c r="I75" s="2">
        <f>E75*G74</f>
        <v>339.64198743966159</v>
      </c>
      <c r="J75" s="2">
        <f>I75-H75</f>
        <v>705.46540013807635</v>
      </c>
      <c r="K75" s="2">
        <f t="shared" si="12"/>
        <v>-705.46540013807635</v>
      </c>
      <c r="L75" s="3">
        <f>C75/B75</f>
        <v>2.9232061733773107</v>
      </c>
      <c r="M75" s="3">
        <f t="shared" si="7"/>
        <v>2.897099783098235</v>
      </c>
      <c r="N75" s="3">
        <f t="shared" si="10"/>
        <v>2.894453593852051</v>
      </c>
      <c r="O75" s="3">
        <f t="shared" si="11"/>
        <v>2.8803556725371107</v>
      </c>
      <c r="P75" s="12" t="s">
        <v>11</v>
      </c>
      <c r="Q75" s="4" t="str">
        <f t="shared" si="9"/>
        <v>OVER</v>
      </c>
      <c r="R75" s="4" t="str">
        <f t="shared" si="9"/>
        <v>OVER</v>
      </c>
      <c r="S75" s="4" t="str">
        <f>IF($L75&gt;O75,"OVER","UNDER")</f>
        <v>OVER</v>
      </c>
      <c r="T75" s="12" t="s">
        <v>11</v>
      </c>
      <c r="U75" s="2">
        <f>IF(Q75="OVER",$J75,$K75)</f>
        <v>705.46540013807635</v>
      </c>
      <c r="V75" s="2">
        <f>IF(R75="OVER",$J75,$K75)</f>
        <v>705.46540013807635</v>
      </c>
      <c r="W75" s="2">
        <f>IF(S75="OVER",$J75,$K75)</f>
        <v>705.46540013807635</v>
      </c>
      <c r="X75" s="12" t="s">
        <v>11</v>
      </c>
      <c r="Y75" s="9">
        <f t="shared" si="8"/>
        <v>-1807.3696436035057</v>
      </c>
      <c r="Z75" s="9">
        <f t="shared" si="8"/>
        <v>153.61859998530826</v>
      </c>
      <c r="AA75" s="9">
        <f t="shared" si="8"/>
        <v>1470.4974582543903</v>
      </c>
      <c r="AB75" s="12" t="s">
        <v>11</v>
      </c>
    </row>
    <row r="76" spans="1:28" x14ac:dyDescent="0.3">
      <c r="A76" s="1">
        <v>44519</v>
      </c>
      <c r="B76" s="2">
        <v>159.65</v>
      </c>
      <c r="C76" s="2">
        <v>468.89</v>
      </c>
      <c r="D76" s="9">
        <f>B76-B75</f>
        <v>-1.039999999999992</v>
      </c>
      <c r="E76" s="9">
        <f>C76-C75</f>
        <v>-0.84000000000003183</v>
      </c>
      <c r="F76" s="3">
        <f>F$1/B76</f>
        <v>626.37018477920446</v>
      </c>
      <c r="G76" s="3">
        <f>F$1/C76</f>
        <v>213.26963680180853</v>
      </c>
      <c r="H76" s="2">
        <f>D76*F75</f>
        <v>-647.20891156885432</v>
      </c>
      <c r="I76" s="2">
        <f>E76*G75</f>
        <v>-178.82613416218504</v>
      </c>
      <c r="J76" s="2">
        <f>I76-H76</f>
        <v>468.38277740666928</v>
      </c>
      <c r="K76" s="2">
        <f t="shared" si="12"/>
        <v>-468.38277740666928</v>
      </c>
      <c r="L76" s="3">
        <f>C76/B76</f>
        <v>2.936987159411212</v>
      </c>
      <c r="M76" s="3">
        <f t="shared" si="7"/>
        <v>2.900309318060994</v>
      </c>
      <c r="N76" s="3">
        <f t="shared" si="10"/>
        <v>2.8983719064626969</v>
      </c>
      <c r="O76" s="3">
        <f t="shared" si="11"/>
        <v>2.8812498212834163</v>
      </c>
      <c r="P76" s="12" t="s">
        <v>11</v>
      </c>
      <c r="Q76" s="4" t="str">
        <f t="shared" si="9"/>
        <v>OVER</v>
      </c>
      <c r="R76" s="4" t="str">
        <f t="shared" si="9"/>
        <v>OVER</v>
      </c>
      <c r="S76" s="4" t="str">
        <f>IF($L76&gt;O76,"OVER","UNDER")</f>
        <v>OVER</v>
      </c>
      <c r="T76" s="12" t="s">
        <v>11</v>
      </c>
      <c r="U76" s="2">
        <f>IF(Q76="OVER",$J76,$K76)</f>
        <v>468.38277740666928</v>
      </c>
      <c r="V76" s="2">
        <f>IF(R76="OVER",$J76,$K76)</f>
        <v>468.38277740666928</v>
      </c>
      <c r="W76" s="2">
        <f>IF(S76="OVER",$J76,$K76)</f>
        <v>468.38277740666928</v>
      </c>
      <c r="X76" s="12" t="s">
        <v>11</v>
      </c>
      <c r="Y76" s="9">
        <f t="shared" si="8"/>
        <v>-1338.9868661968364</v>
      </c>
      <c r="Z76" s="9">
        <f t="shared" si="8"/>
        <v>622.00137739197748</v>
      </c>
      <c r="AA76" s="9">
        <f t="shared" si="8"/>
        <v>1938.8802356610595</v>
      </c>
      <c r="AB76" s="12" t="s">
        <v>11</v>
      </c>
    </row>
    <row r="77" spans="1:28" x14ac:dyDescent="0.3">
      <c r="A77" s="1">
        <v>44522</v>
      </c>
      <c r="B77" s="2">
        <v>159.9</v>
      </c>
      <c r="C77" s="2">
        <v>467.57</v>
      </c>
      <c r="D77" s="9">
        <f>B77-B76</f>
        <v>0.25</v>
      </c>
      <c r="E77" s="9">
        <f>C77-C76</f>
        <v>-1.3199999999999932</v>
      </c>
      <c r="F77" s="3">
        <f>F$1/B77</f>
        <v>625.39086929330824</v>
      </c>
      <c r="G77" s="3">
        <f>F$1/C77</f>
        <v>213.87171974249844</v>
      </c>
      <c r="H77" s="2">
        <f>D77*F76</f>
        <v>156.59254619480112</v>
      </c>
      <c r="I77" s="2">
        <f>E77*G76</f>
        <v>-281.51592057838582</v>
      </c>
      <c r="J77" s="2">
        <f>I77-H77</f>
        <v>-438.10846677318693</v>
      </c>
      <c r="K77" s="2">
        <f t="shared" si="12"/>
        <v>438.10846677318693</v>
      </c>
      <c r="L77" s="3">
        <f>C77/B77</f>
        <v>2.9241400875547217</v>
      </c>
      <c r="M77" s="3">
        <f t="shared" ref="M77:M140" si="13">AVERAGE(L68:L77)</f>
        <v>2.9024181203532708</v>
      </c>
      <c r="N77" s="3">
        <f t="shared" si="10"/>
        <v>2.9012069715189748</v>
      </c>
      <c r="O77" s="3">
        <f t="shared" si="11"/>
        <v>2.8819004552023428</v>
      </c>
      <c r="P77" s="12" t="s">
        <v>11</v>
      </c>
      <c r="Q77" s="4" t="str">
        <f t="shared" si="9"/>
        <v>OVER</v>
      </c>
      <c r="R77" s="4" t="str">
        <f t="shared" si="9"/>
        <v>OVER</v>
      </c>
      <c r="S77" s="4" t="str">
        <f t="shared" ref="S77:S140" si="14">IF($L77&gt;O77,"OVER","UNDER")</f>
        <v>OVER</v>
      </c>
      <c r="T77" s="12" t="s">
        <v>11</v>
      </c>
      <c r="U77" s="2">
        <f>IF(Q77="OVER",$J77,$K77)</f>
        <v>-438.10846677318693</v>
      </c>
      <c r="V77" s="2">
        <f>IF(R77="OVER",$J77,$K77)</f>
        <v>-438.10846677318693</v>
      </c>
      <c r="W77" s="2">
        <f>IF(S77="OVER",$J77,$K77)</f>
        <v>-438.10846677318693</v>
      </c>
      <c r="X77" s="12" t="s">
        <v>11</v>
      </c>
      <c r="Y77" s="9">
        <f t="shared" ref="Y77:AA140" si="15">Y76+U77</f>
        <v>-1777.0953329700233</v>
      </c>
      <c r="Z77" s="9">
        <f t="shared" si="15"/>
        <v>183.89291061879055</v>
      </c>
      <c r="AA77" s="9">
        <f t="shared" si="15"/>
        <v>1500.7717688878724</v>
      </c>
      <c r="AB77" s="12" t="s">
        <v>11</v>
      </c>
    </row>
    <row r="78" spans="1:28" x14ac:dyDescent="0.3">
      <c r="A78" s="1">
        <v>44523</v>
      </c>
      <c r="B78" s="2">
        <v>160.56</v>
      </c>
      <c r="C78" s="2">
        <v>468.19</v>
      </c>
      <c r="D78" s="9">
        <f>B78-B77</f>
        <v>0.65999999999999659</v>
      </c>
      <c r="E78" s="9">
        <f>C78-C77</f>
        <v>0.62000000000000455</v>
      </c>
      <c r="F78" s="3">
        <f>F$1/B78</f>
        <v>622.82012954658694</v>
      </c>
      <c r="G78" s="3">
        <f>F$1/C78</f>
        <v>213.58850039513874</v>
      </c>
      <c r="H78" s="2">
        <f>D78*F77</f>
        <v>412.75797373358131</v>
      </c>
      <c r="I78" s="2">
        <f>E78*G77</f>
        <v>132.60046624035002</v>
      </c>
      <c r="J78" s="2">
        <f>I78-H78</f>
        <v>-280.15750749323126</v>
      </c>
      <c r="K78" s="2">
        <f t="shared" si="12"/>
        <v>280.15750749323126</v>
      </c>
      <c r="L78" s="3">
        <f>C78/B78</f>
        <v>2.9159815645241656</v>
      </c>
      <c r="M78" s="3">
        <f t="shared" si="13"/>
        <v>2.904634814357542</v>
      </c>
      <c r="N78" s="3">
        <f t="shared" si="10"/>
        <v>2.9032245159409453</v>
      </c>
      <c r="O78" s="3">
        <f t="shared" si="11"/>
        <v>2.8822873879145035</v>
      </c>
      <c r="P78" s="12" t="s">
        <v>11</v>
      </c>
      <c r="Q78" s="4" t="str">
        <f t="shared" ref="Q78:R141" si="16">IF($L77&gt;M77,"OVER","UNDER")</f>
        <v>OVER</v>
      </c>
      <c r="R78" s="4" t="str">
        <f t="shared" si="16"/>
        <v>OVER</v>
      </c>
      <c r="S78" s="4" t="str">
        <f t="shared" si="14"/>
        <v>OVER</v>
      </c>
      <c r="T78" s="12" t="s">
        <v>11</v>
      </c>
      <c r="U78" s="2">
        <f>IF(Q78="OVER",$J78,$K78)</f>
        <v>-280.15750749323126</v>
      </c>
      <c r="V78" s="2">
        <f>IF(R78="OVER",$J78,$K78)</f>
        <v>-280.15750749323126</v>
      </c>
      <c r="W78" s="2">
        <f>IF(S78="OVER",$J78,$K78)</f>
        <v>-280.15750749323126</v>
      </c>
      <c r="X78" s="12" t="s">
        <v>11</v>
      </c>
      <c r="Y78" s="9">
        <f t="shared" si="15"/>
        <v>-2057.2528404632544</v>
      </c>
      <c r="Z78" s="9">
        <f t="shared" si="15"/>
        <v>-96.264596874440713</v>
      </c>
      <c r="AA78" s="9">
        <f t="shared" si="15"/>
        <v>1220.6142613946413</v>
      </c>
      <c r="AB78" s="12" t="s">
        <v>11</v>
      </c>
    </row>
    <row r="79" spans="1:28" x14ac:dyDescent="0.3">
      <c r="A79" s="1">
        <v>44524</v>
      </c>
      <c r="B79" s="2">
        <v>160.63999999999999</v>
      </c>
      <c r="C79" s="2">
        <v>469.44</v>
      </c>
      <c r="D79" s="9">
        <f>B79-B78</f>
        <v>7.9999999999984084E-2</v>
      </c>
      <c r="E79" s="9">
        <f>C79-C78</f>
        <v>1.25</v>
      </c>
      <c r="F79" s="3">
        <f>F$1/B79</f>
        <v>622.50996015936255</v>
      </c>
      <c r="G79" s="3">
        <f>F$1/C79</f>
        <v>213.01976823449218</v>
      </c>
      <c r="H79" s="2">
        <f>D79*F78</f>
        <v>49.82561036371704</v>
      </c>
      <c r="I79" s="2">
        <f>E79*G78</f>
        <v>266.98562549392341</v>
      </c>
      <c r="J79" s="2">
        <f>I79-H79</f>
        <v>217.16001513020638</v>
      </c>
      <c r="K79" s="2">
        <f t="shared" si="12"/>
        <v>-217.16001513020638</v>
      </c>
      <c r="L79" s="3">
        <f>C79/B79</f>
        <v>2.9223107569721116</v>
      </c>
      <c r="M79" s="3">
        <f t="shared" si="13"/>
        <v>2.9079700774924402</v>
      </c>
      <c r="N79" s="3">
        <f t="shared" si="10"/>
        <v>2.9042649499225006</v>
      </c>
      <c r="O79" s="3">
        <f t="shared" si="11"/>
        <v>2.8828305649156136</v>
      </c>
      <c r="P79" s="12" t="s">
        <v>11</v>
      </c>
      <c r="Q79" s="4" t="str">
        <f t="shared" si="16"/>
        <v>OVER</v>
      </c>
      <c r="R79" s="4" t="str">
        <f t="shared" si="16"/>
        <v>OVER</v>
      </c>
      <c r="S79" s="4" t="str">
        <f t="shared" si="14"/>
        <v>OVER</v>
      </c>
      <c r="T79" s="12" t="s">
        <v>11</v>
      </c>
      <c r="U79" s="2">
        <f>IF(Q79="OVER",$J79,$K79)</f>
        <v>217.16001513020638</v>
      </c>
      <c r="V79" s="2">
        <f>IF(R79="OVER",$J79,$K79)</f>
        <v>217.16001513020638</v>
      </c>
      <c r="W79" s="2">
        <f>IF(S79="OVER",$J79,$K79)</f>
        <v>217.16001513020638</v>
      </c>
      <c r="X79" s="12" t="s">
        <v>11</v>
      </c>
      <c r="Y79" s="9">
        <f t="shared" si="15"/>
        <v>-1840.092825333048</v>
      </c>
      <c r="Z79" s="9">
        <f t="shared" si="15"/>
        <v>120.89541825576566</v>
      </c>
      <c r="AA79" s="9">
        <f t="shared" si="15"/>
        <v>1437.7742765248477</v>
      </c>
      <c r="AB79" s="12" t="s">
        <v>11</v>
      </c>
    </row>
    <row r="80" spans="1:28" x14ac:dyDescent="0.3">
      <c r="A80" s="1">
        <v>44526</v>
      </c>
      <c r="B80" s="2">
        <v>156.46</v>
      </c>
      <c r="C80" s="2">
        <v>458.97</v>
      </c>
      <c r="D80" s="9">
        <f>B80-B79</f>
        <v>-4.1799999999999784</v>
      </c>
      <c r="E80" s="9">
        <f>C80-C79</f>
        <v>-10.46999999999997</v>
      </c>
      <c r="F80" s="3">
        <f>F$1/B80</f>
        <v>639.14099450338745</v>
      </c>
      <c r="G80" s="3">
        <f>F$1/C80</f>
        <v>217.87916421552606</v>
      </c>
      <c r="H80" s="2">
        <f>D80*F79</f>
        <v>-2602.0916334661219</v>
      </c>
      <c r="I80" s="2">
        <f>E80*G79</f>
        <v>-2230.316973415127</v>
      </c>
      <c r="J80" s="2">
        <f>I80-H80</f>
        <v>371.77466005099495</v>
      </c>
      <c r="K80" s="2">
        <f t="shared" si="12"/>
        <v>-371.77466005099495</v>
      </c>
      <c r="L80" s="3">
        <f>C80/B80</f>
        <v>2.9334654224721972</v>
      </c>
      <c r="M80" s="3">
        <f t="shared" si="13"/>
        <v>2.9130279394387957</v>
      </c>
      <c r="N80" s="3">
        <f t="shared" si="10"/>
        <v>2.905936955543706</v>
      </c>
      <c r="O80" s="3">
        <f t="shared" si="11"/>
        <v>2.8835800495194519</v>
      </c>
      <c r="P80" s="12" t="s">
        <v>11</v>
      </c>
      <c r="Q80" s="4" t="str">
        <f t="shared" si="16"/>
        <v>OVER</v>
      </c>
      <c r="R80" s="4" t="str">
        <f t="shared" si="16"/>
        <v>OVER</v>
      </c>
      <c r="S80" s="4" t="str">
        <f t="shared" si="14"/>
        <v>OVER</v>
      </c>
      <c r="T80" s="12" t="s">
        <v>11</v>
      </c>
      <c r="U80" s="2">
        <f>IF(Q80="OVER",$J80,$K80)</f>
        <v>371.77466005099495</v>
      </c>
      <c r="V80" s="2">
        <f>IF(R80="OVER",$J80,$K80)</f>
        <v>371.77466005099495</v>
      </c>
      <c r="W80" s="2">
        <f>IF(S80="OVER",$J80,$K80)</f>
        <v>371.77466005099495</v>
      </c>
      <c r="X80" s="12" t="s">
        <v>11</v>
      </c>
      <c r="Y80" s="9">
        <f t="shared" si="15"/>
        <v>-1468.3181652820531</v>
      </c>
      <c r="Z80" s="9">
        <f t="shared" si="15"/>
        <v>492.67007830676062</v>
      </c>
      <c r="AA80" s="9">
        <f t="shared" si="15"/>
        <v>1809.5489365758426</v>
      </c>
      <c r="AB80" s="12" t="s">
        <v>11</v>
      </c>
    </row>
    <row r="81" spans="1:28" x14ac:dyDescent="0.3">
      <c r="A81" s="1">
        <v>44529</v>
      </c>
      <c r="B81" s="2">
        <v>157.77000000000001</v>
      </c>
      <c r="C81" s="2">
        <v>464.6</v>
      </c>
      <c r="D81" s="9">
        <f>B81-B80</f>
        <v>1.3100000000000023</v>
      </c>
      <c r="E81" s="9">
        <f>C81-C80</f>
        <v>5.6299999999999955</v>
      </c>
      <c r="F81" s="3">
        <f>F$1/B81</f>
        <v>633.83406224250484</v>
      </c>
      <c r="G81" s="3">
        <f>F$1/C81</f>
        <v>215.23891519586741</v>
      </c>
      <c r="H81" s="2">
        <f>D81*F80</f>
        <v>837.27470279943896</v>
      </c>
      <c r="I81" s="2">
        <f>E81*G80</f>
        <v>1226.6596945334106</v>
      </c>
      <c r="J81" s="2">
        <f>I81-H81</f>
        <v>389.38499173397167</v>
      </c>
      <c r="K81" s="2">
        <f t="shared" si="12"/>
        <v>-389.38499173397167</v>
      </c>
      <c r="L81" s="3">
        <f>C81/B81</f>
        <v>2.9447930531786777</v>
      </c>
      <c r="M81" s="3">
        <f t="shared" si="13"/>
        <v>2.918444454778315</v>
      </c>
      <c r="N81" s="3">
        <f t="shared" si="10"/>
        <v>2.9076232359916863</v>
      </c>
      <c r="O81" s="3">
        <f t="shared" si="11"/>
        <v>2.8847916450315352</v>
      </c>
      <c r="P81" s="12" t="s">
        <v>11</v>
      </c>
      <c r="Q81" s="4" t="str">
        <f t="shared" si="16"/>
        <v>OVER</v>
      </c>
      <c r="R81" s="4" t="str">
        <f t="shared" si="16"/>
        <v>OVER</v>
      </c>
      <c r="S81" s="4" t="str">
        <f t="shared" si="14"/>
        <v>OVER</v>
      </c>
      <c r="T81" s="12" t="s">
        <v>11</v>
      </c>
      <c r="U81" s="2">
        <f>IF(Q81="OVER",$J81,$K81)</f>
        <v>389.38499173397167</v>
      </c>
      <c r="V81" s="2">
        <f>IF(R81="OVER",$J81,$K81)</f>
        <v>389.38499173397167</v>
      </c>
      <c r="W81" s="2">
        <f>IF(S81="OVER",$J81,$K81)</f>
        <v>389.38499173397167</v>
      </c>
      <c r="X81" s="12" t="s">
        <v>11</v>
      </c>
      <c r="Y81" s="9">
        <f t="shared" si="15"/>
        <v>-1078.9331735480814</v>
      </c>
      <c r="Z81" s="9">
        <f t="shared" si="15"/>
        <v>882.05507004073229</v>
      </c>
      <c r="AA81" s="9">
        <f t="shared" si="15"/>
        <v>2198.9339283098143</v>
      </c>
      <c r="AB81" s="12" t="s">
        <v>11</v>
      </c>
    </row>
    <row r="82" spans="1:28" x14ac:dyDescent="0.3">
      <c r="A82" s="1">
        <v>44530</v>
      </c>
      <c r="B82" s="2">
        <v>153.59</v>
      </c>
      <c r="C82" s="2">
        <v>455.56</v>
      </c>
      <c r="D82" s="9">
        <f>B82-B81</f>
        <v>-4.1800000000000068</v>
      </c>
      <c r="E82" s="9">
        <f>C82-C81</f>
        <v>-9.0400000000000205</v>
      </c>
      <c r="F82" s="3">
        <f>F$1/B82</f>
        <v>651.08405495149418</v>
      </c>
      <c r="G82" s="3">
        <f>F$1/C82</f>
        <v>219.51005356045306</v>
      </c>
      <c r="H82" s="2">
        <f>D82*F81</f>
        <v>-2649.4263801736747</v>
      </c>
      <c r="I82" s="2">
        <f>E82*G81</f>
        <v>-1945.7597933706459</v>
      </c>
      <c r="J82" s="2">
        <f>I82-H82</f>
        <v>703.66658680302885</v>
      </c>
      <c r="K82" s="2">
        <f t="shared" si="12"/>
        <v>-703.66658680302885</v>
      </c>
      <c r="L82" s="3">
        <f>C82/B82</f>
        <v>2.9660785207370273</v>
      </c>
      <c r="M82" s="3">
        <f t="shared" si="13"/>
        <v>2.926390539421647</v>
      </c>
      <c r="N82" s="3">
        <f t="shared" si="10"/>
        <v>2.9112786901382091</v>
      </c>
      <c r="O82" s="3">
        <f t="shared" si="11"/>
        <v>2.886310578610479</v>
      </c>
      <c r="P82" s="12" t="s">
        <v>11</v>
      </c>
      <c r="Q82" s="4" t="str">
        <f t="shared" si="16"/>
        <v>OVER</v>
      </c>
      <c r="R82" s="4" t="str">
        <f t="shared" si="16"/>
        <v>OVER</v>
      </c>
      <c r="S82" s="4" t="str">
        <f t="shared" si="14"/>
        <v>OVER</v>
      </c>
      <c r="T82" s="12" t="s">
        <v>11</v>
      </c>
      <c r="U82" s="2">
        <f>IF(Q82="OVER",$J82,$K82)</f>
        <v>703.66658680302885</v>
      </c>
      <c r="V82" s="2">
        <f>IF(R82="OVER",$J82,$K82)</f>
        <v>703.66658680302885</v>
      </c>
      <c r="W82" s="2">
        <f>IF(S82="OVER",$J82,$K82)</f>
        <v>703.66658680302885</v>
      </c>
      <c r="X82" s="12" t="s">
        <v>11</v>
      </c>
      <c r="Y82" s="9">
        <f t="shared" si="15"/>
        <v>-375.26658674505256</v>
      </c>
      <c r="Z82" s="9">
        <f t="shared" si="15"/>
        <v>1585.7216568437611</v>
      </c>
      <c r="AA82" s="9">
        <f t="shared" si="15"/>
        <v>2902.6005151128429</v>
      </c>
      <c r="AB82" s="12" t="s">
        <v>11</v>
      </c>
    </row>
    <row r="83" spans="1:28" x14ac:dyDescent="0.3">
      <c r="A83" s="1">
        <v>44531</v>
      </c>
      <c r="B83" s="2">
        <v>151.68</v>
      </c>
      <c r="C83" s="2">
        <v>450.5</v>
      </c>
      <c r="D83" s="9">
        <f>B83-B82</f>
        <v>-1.9099999999999966</v>
      </c>
      <c r="E83" s="9">
        <f>C83-C82</f>
        <v>-5.0600000000000023</v>
      </c>
      <c r="F83" s="3">
        <f>F$1/B83</f>
        <v>659.28270042194094</v>
      </c>
      <c r="G83" s="3">
        <f>F$1/C83</f>
        <v>221.97558268590456</v>
      </c>
      <c r="H83" s="2">
        <f>D83*F82</f>
        <v>-1243.5705449573516</v>
      </c>
      <c r="I83" s="2">
        <f>E83*G82</f>
        <v>-1110.720871015893</v>
      </c>
      <c r="J83" s="2">
        <f>I83-H83</f>
        <v>132.8496739414586</v>
      </c>
      <c r="K83" s="2">
        <f t="shared" si="12"/>
        <v>-132.8496739414586</v>
      </c>
      <c r="L83" s="3">
        <f>C83/B83</f>
        <v>2.9700685654008439</v>
      </c>
      <c r="M83" s="3">
        <f t="shared" si="13"/>
        <v>2.9339685073469539</v>
      </c>
      <c r="N83" s="3">
        <f t="shared" si="10"/>
        <v>2.9149495585186238</v>
      </c>
      <c r="O83" s="3">
        <f t="shared" si="11"/>
        <v>2.8877555211561328</v>
      </c>
      <c r="P83" s="12" t="s">
        <v>11</v>
      </c>
      <c r="Q83" s="4" t="str">
        <f t="shared" si="16"/>
        <v>OVER</v>
      </c>
      <c r="R83" s="4" t="str">
        <f t="shared" si="16"/>
        <v>OVER</v>
      </c>
      <c r="S83" s="4" t="str">
        <f t="shared" si="14"/>
        <v>OVER</v>
      </c>
      <c r="T83" s="12" t="s">
        <v>11</v>
      </c>
      <c r="U83" s="2">
        <f>IF(Q83="OVER",$J83,$K83)</f>
        <v>132.8496739414586</v>
      </c>
      <c r="V83" s="2">
        <f>IF(R83="OVER",$J83,$K83)</f>
        <v>132.8496739414586</v>
      </c>
      <c r="W83" s="2">
        <f>IF(S83="OVER",$J83,$K83)</f>
        <v>132.8496739414586</v>
      </c>
      <c r="X83" s="12" t="s">
        <v>11</v>
      </c>
      <c r="Y83" s="9">
        <f t="shared" si="15"/>
        <v>-242.41691280359396</v>
      </c>
      <c r="Z83" s="9">
        <f t="shared" si="15"/>
        <v>1718.5713307852197</v>
      </c>
      <c r="AA83" s="9">
        <f t="shared" si="15"/>
        <v>3035.4501890543015</v>
      </c>
      <c r="AB83" s="12" t="s">
        <v>11</v>
      </c>
    </row>
    <row r="84" spans="1:28" x14ac:dyDescent="0.3">
      <c r="A84" s="1">
        <v>44532</v>
      </c>
      <c r="B84" s="2">
        <v>155.35</v>
      </c>
      <c r="C84" s="2">
        <v>457.4</v>
      </c>
      <c r="D84" s="9">
        <f>B84-B83</f>
        <v>3.6699999999999875</v>
      </c>
      <c r="E84" s="9">
        <f>C84-C83</f>
        <v>6.8999999999999773</v>
      </c>
      <c r="F84" s="3">
        <f>F$1/B84</f>
        <v>643.70775667846794</v>
      </c>
      <c r="G84" s="3">
        <f>F$1/C84</f>
        <v>218.62702229995628</v>
      </c>
      <c r="H84" s="2">
        <f>D84*F83</f>
        <v>2419.5675105485152</v>
      </c>
      <c r="I84" s="2">
        <f>E84*G83</f>
        <v>1531.6315205327364</v>
      </c>
      <c r="J84" s="2">
        <f>I84-H84</f>
        <v>-887.93599001577877</v>
      </c>
      <c r="K84" s="2">
        <f t="shared" si="12"/>
        <v>887.93599001577877</v>
      </c>
      <c r="L84" s="3">
        <f>C84/B84</f>
        <v>2.9443192790473125</v>
      </c>
      <c r="M84" s="3">
        <f t="shared" si="13"/>
        <v>2.9381350582675583</v>
      </c>
      <c r="N84" s="3">
        <f t="shared" si="10"/>
        <v>2.9173026795782215</v>
      </c>
      <c r="O84" s="3">
        <f t="shared" si="11"/>
        <v>2.8887698475248134</v>
      </c>
      <c r="P84" s="12" t="s">
        <v>11</v>
      </c>
      <c r="Q84" s="4" t="str">
        <f t="shared" si="16"/>
        <v>OVER</v>
      </c>
      <c r="R84" s="4" t="str">
        <f t="shared" si="16"/>
        <v>OVER</v>
      </c>
      <c r="S84" s="4" t="str">
        <f t="shared" si="14"/>
        <v>OVER</v>
      </c>
      <c r="T84" s="12" t="s">
        <v>11</v>
      </c>
      <c r="U84" s="2">
        <f>IF(Q84="OVER",$J84,$K84)</f>
        <v>-887.93599001577877</v>
      </c>
      <c r="V84" s="2">
        <f>IF(R84="OVER",$J84,$K84)</f>
        <v>-887.93599001577877</v>
      </c>
      <c r="W84" s="2">
        <f>IF(S84="OVER",$J84,$K84)</f>
        <v>-887.93599001577877</v>
      </c>
      <c r="X84" s="12" t="s">
        <v>11</v>
      </c>
      <c r="Y84" s="9">
        <f t="shared" si="15"/>
        <v>-1130.3529028193727</v>
      </c>
      <c r="Z84" s="9">
        <f t="shared" si="15"/>
        <v>830.63534076944097</v>
      </c>
      <c r="AA84" s="9">
        <f t="shared" si="15"/>
        <v>2147.5141990385227</v>
      </c>
      <c r="AB84" s="12" t="s">
        <v>11</v>
      </c>
    </row>
    <row r="85" spans="1:28" x14ac:dyDescent="0.3">
      <c r="A85" s="1">
        <v>44533</v>
      </c>
      <c r="B85" s="2">
        <v>154.5</v>
      </c>
      <c r="C85" s="2">
        <v>453.42</v>
      </c>
      <c r="D85" s="9">
        <f>B85-B84</f>
        <v>-0.84999999999999432</v>
      </c>
      <c r="E85" s="9">
        <f>C85-C84</f>
        <v>-3.9799999999999613</v>
      </c>
      <c r="F85" s="3">
        <f>F$1/B85</f>
        <v>647.24919093851133</v>
      </c>
      <c r="G85" s="3">
        <f>F$1/C85</f>
        <v>220.54607207445633</v>
      </c>
      <c r="H85" s="2">
        <f>D85*F84</f>
        <v>-547.15159317669406</v>
      </c>
      <c r="I85" s="2">
        <f>E85*G84</f>
        <v>-870.1355487538176</v>
      </c>
      <c r="J85" s="2">
        <f>I85-H85</f>
        <v>-322.98395557712354</v>
      </c>
      <c r="K85" s="2">
        <f t="shared" si="12"/>
        <v>322.98395557712354</v>
      </c>
      <c r="L85" s="3">
        <f>C85/B85</f>
        <v>2.9347572815533982</v>
      </c>
      <c r="M85" s="3">
        <f t="shared" si="13"/>
        <v>2.9392901690851669</v>
      </c>
      <c r="N85" s="3">
        <f t="shared" si="10"/>
        <v>2.9181949760917005</v>
      </c>
      <c r="O85" s="3">
        <f t="shared" si="11"/>
        <v>2.8897367138801218</v>
      </c>
      <c r="P85" s="12" t="s">
        <v>11</v>
      </c>
      <c r="Q85" s="4" t="str">
        <f t="shared" si="16"/>
        <v>OVER</v>
      </c>
      <c r="R85" s="4" t="str">
        <f t="shared" si="16"/>
        <v>OVER</v>
      </c>
      <c r="S85" s="4" t="str">
        <f t="shared" si="14"/>
        <v>OVER</v>
      </c>
      <c r="T85" s="12" t="s">
        <v>11</v>
      </c>
      <c r="U85" s="2">
        <f>IF(Q85="OVER",$J85,$K85)</f>
        <v>-322.98395557712354</v>
      </c>
      <c r="V85" s="2">
        <f>IF(R85="OVER",$J85,$K85)</f>
        <v>-322.98395557712354</v>
      </c>
      <c r="W85" s="2">
        <f>IF(S85="OVER",$J85,$K85)</f>
        <v>-322.98395557712354</v>
      </c>
      <c r="X85" s="12" t="s">
        <v>11</v>
      </c>
      <c r="Y85" s="9">
        <f t="shared" si="15"/>
        <v>-1453.3368583964962</v>
      </c>
      <c r="Z85" s="9">
        <f t="shared" si="15"/>
        <v>507.65138519231743</v>
      </c>
      <c r="AA85" s="9">
        <f t="shared" si="15"/>
        <v>1824.5302434613991</v>
      </c>
      <c r="AB85" s="12" t="s">
        <v>11</v>
      </c>
    </row>
    <row r="86" spans="1:28" x14ac:dyDescent="0.3">
      <c r="A86" s="1">
        <v>44536</v>
      </c>
      <c r="B86" s="2">
        <v>156.79</v>
      </c>
      <c r="C86" s="2">
        <v>458.79</v>
      </c>
      <c r="D86" s="9">
        <f>B86-B85</f>
        <v>2.289999999999992</v>
      </c>
      <c r="E86" s="9">
        <f>C86-C85</f>
        <v>5.3700000000000045</v>
      </c>
      <c r="F86" s="3">
        <f>F$1/B86</f>
        <v>637.79577779195108</v>
      </c>
      <c r="G86" s="3">
        <f>F$1/C86</f>
        <v>217.96464613439699</v>
      </c>
      <c r="H86" s="2">
        <f>D86*F85</f>
        <v>1482.2006472491857</v>
      </c>
      <c r="I86" s="2">
        <f>E86*G85</f>
        <v>1184.3324070398314</v>
      </c>
      <c r="J86" s="2">
        <f>I86-H86</f>
        <v>-297.86824020935433</v>
      </c>
      <c r="K86" s="2">
        <f t="shared" si="12"/>
        <v>297.86824020935433</v>
      </c>
      <c r="L86" s="3">
        <f>C86/B86</f>
        <v>2.9261432489316923</v>
      </c>
      <c r="M86" s="3">
        <f t="shared" si="13"/>
        <v>2.9382057780372146</v>
      </c>
      <c r="N86" s="3">
        <f t="shared" si="10"/>
        <v>2.9192575480491043</v>
      </c>
      <c r="O86" s="3">
        <f t="shared" si="11"/>
        <v>2.8905339611734502</v>
      </c>
      <c r="P86" s="12" t="s">
        <v>11</v>
      </c>
      <c r="Q86" s="4" t="str">
        <f t="shared" si="16"/>
        <v>UNDER</v>
      </c>
      <c r="R86" s="4" t="str">
        <f t="shared" si="16"/>
        <v>OVER</v>
      </c>
      <c r="S86" s="4" t="str">
        <f t="shared" si="14"/>
        <v>OVER</v>
      </c>
      <c r="T86" s="12" t="s">
        <v>11</v>
      </c>
      <c r="U86" s="2">
        <f>IF(Q86="OVER",$J86,$K86)</f>
        <v>297.86824020935433</v>
      </c>
      <c r="V86" s="2">
        <f>IF(R86="OVER",$J86,$K86)</f>
        <v>-297.86824020935433</v>
      </c>
      <c r="W86" s="2">
        <f>IF(S86="OVER",$J86,$K86)</f>
        <v>-297.86824020935433</v>
      </c>
      <c r="X86" s="12" t="s">
        <v>11</v>
      </c>
      <c r="Y86" s="9">
        <f t="shared" si="15"/>
        <v>-1155.4686181871418</v>
      </c>
      <c r="Z86" s="9">
        <f t="shared" si="15"/>
        <v>209.78314498296311</v>
      </c>
      <c r="AA86" s="9">
        <f t="shared" si="15"/>
        <v>1526.6620032520448</v>
      </c>
      <c r="AB86" s="12" t="s">
        <v>11</v>
      </c>
    </row>
    <row r="87" spans="1:28" x14ac:dyDescent="0.3">
      <c r="A87" s="1">
        <v>44537</v>
      </c>
      <c r="B87" s="2">
        <v>159.44</v>
      </c>
      <c r="C87" s="2">
        <v>468.28</v>
      </c>
      <c r="D87" s="9">
        <f>B87-B86</f>
        <v>2.6500000000000057</v>
      </c>
      <c r="E87" s="9">
        <f>C87-C86</f>
        <v>9.4899999999999523</v>
      </c>
      <c r="F87" s="3">
        <f>F$1/B87</f>
        <v>627.19518314099344</v>
      </c>
      <c r="G87" s="3">
        <f>F$1/C87</f>
        <v>213.5474502434441</v>
      </c>
      <c r="H87" s="2">
        <f>D87*F86</f>
        <v>1690.158811148674</v>
      </c>
      <c r="I87" s="2">
        <f>E87*G86</f>
        <v>2068.4844918154172</v>
      </c>
      <c r="J87" s="2">
        <f>I87-H87</f>
        <v>378.32568066674321</v>
      </c>
      <c r="K87" s="2">
        <f t="shared" si="12"/>
        <v>-378.32568066674321</v>
      </c>
      <c r="L87" s="3">
        <f>C87/B87</f>
        <v>2.9370296036126442</v>
      </c>
      <c r="M87" s="3">
        <f t="shared" si="13"/>
        <v>2.9394947296430072</v>
      </c>
      <c r="N87" s="3">
        <f t="shared" ref="N87:N150" si="17">AVERAGE(L68:L87)</f>
        <v>2.9209564249981392</v>
      </c>
      <c r="O87" s="3">
        <f t="shared" si="11"/>
        <v>2.8919043244854152</v>
      </c>
      <c r="P87" s="12" t="s">
        <v>11</v>
      </c>
      <c r="Q87" s="4" t="str">
        <f t="shared" si="16"/>
        <v>UNDER</v>
      </c>
      <c r="R87" s="4" t="str">
        <f t="shared" si="16"/>
        <v>OVER</v>
      </c>
      <c r="S87" s="4" t="str">
        <f t="shared" si="14"/>
        <v>OVER</v>
      </c>
      <c r="T87" s="12" t="s">
        <v>11</v>
      </c>
      <c r="U87" s="2">
        <f>IF(Q87="OVER",$J87,$K87)</f>
        <v>-378.32568066674321</v>
      </c>
      <c r="V87" s="2">
        <f>IF(R87="OVER",$J87,$K87)</f>
        <v>378.32568066674321</v>
      </c>
      <c r="W87" s="2">
        <f>IF(S87="OVER",$J87,$K87)</f>
        <v>378.32568066674321</v>
      </c>
      <c r="X87" s="12" t="s">
        <v>11</v>
      </c>
      <c r="Y87" s="9">
        <f t="shared" si="15"/>
        <v>-1533.794298853885</v>
      </c>
      <c r="Z87" s="9">
        <f t="shared" si="15"/>
        <v>588.10882564970632</v>
      </c>
      <c r="AA87" s="9">
        <f t="shared" si="15"/>
        <v>1904.987683918788</v>
      </c>
      <c r="AB87" s="12" t="s">
        <v>11</v>
      </c>
    </row>
    <row r="88" spans="1:28" x14ac:dyDescent="0.3">
      <c r="A88" s="1">
        <v>44538</v>
      </c>
      <c r="B88" s="2">
        <v>159.85</v>
      </c>
      <c r="C88" s="2">
        <v>469.52</v>
      </c>
      <c r="D88" s="9">
        <f>B88-B87</f>
        <v>0.40999999999999659</v>
      </c>
      <c r="E88" s="9">
        <f>C88-C87</f>
        <v>1.2400000000000091</v>
      </c>
      <c r="F88" s="3">
        <f>F$1/B88</f>
        <v>625.58648733187363</v>
      </c>
      <c r="G88" s="3">
        <f>F$1/C88</f>
        <v>212.98347248253538</v>
      </c>
      <c r="H88" s="2">
        <f>D88*F87</f>
        <v>257.15002508780515</v>
      </c>
      <c r="I88" s="2">
        <f>E88*G87</f>
        <v>264.79883830187265</v>
      </c>
      <c r="J88" s="2">
        <f>I88-H88</f>
        <v>7.648813214067502</v>
      </c>
      <c r="K88" s="2">
        <f t="shared" si="12"/>
        <v>-7.648813214067502</v>
      </c>
      <c r="L88" s="3">
        <f>C88/B88</f>
        <v>2.9372536753206129</v>
      </c>
      <c r="M88" s="3">
        <f t="shared" si="13"/>
        <v>2.9416219407226518</v>
      </c>
      <c r="N88" s="3">
        <f t="shared" si="17"/>
        <v>2.9231283775400967</v>
      </c>
      <c r="O88" s="3">
        <f t="shared" si="11"/>
        <v>2.8935809769391954</v>
      </c>
      <c r="P88" s="12" t="s">
        <v>11</v>
      </c>
      <c r="Q88" s="4" t="str">
        <f t="shared" si="16"/>
        <v>UNDER</v>
      </c>
      <c r="R88" s="4" t="str">
        <f t="shared" si="16"/>
        <v>OVER</v>
      </c>
      <c r="S88" s="4" t="str">
        <f t="shared" si="14"/>
        <v>OVER</v>
      </c>
      <c r="T88" s="12" t="s">
        <v>11</v>
      </c>
      <c r="U88" s="2">
        <f>IF(Q88="OVER",$J88,$K88)</f>
        <v>-7.648813214067502</v>
      </c>
      <c r="V88" s="2">
        <f>IF(R88="OVER",$J88,$K88)</f>
        <v>7.648813214067502</v>
      </c>
      <c r="W88" s="2">
        <f>IF(S88="OVER",$J88,$K88)</f>
        <v>7.648813214067502</v>
      </c>
      <c r="X88" s="12" t="s">
        <v>11</v>
      </c>
      <c r="Y88" s="9">
        <f t="shared" si="15"/>
        <v>-1541.4431120679526</v>
      </c>
      <c r="Z88" s="9">
        <f t="shared" si="15"/>
        <v>595.75763886377376</v>
      </c>
      <c r="AA88" s="9">
        <f t="shared" si="15"/>
        <v>1912.6364971328555</v>
      </c>
      <c r="AB88" s="12" t="s">
        <v>11</v>
      </c>
    </row>
    <row r="89" spans="1:28" x14ac:dyDescent="0.3">
      <c r="A89" s="1">
        <v>44539</v>
      </c>
      <c r="B89" s="2">
        <v>158.71</v>
      </c>
      <c r="C89" s="2">
        <v>466.35</v>
      </c>
      <c r="D89" s="9">
        <f>B89-B88</f>
        <v>-1.1399999999999864</v>
      </c>
      <c r="E89" s="9">
        <f>C89-C88</f>
        <v>-3.1699999999999591</v>
      </c>
      <c r="F89" s="3">
        <f>F$1/B89</f>
        <v>630.08002016256057</v>
      </c>
      <c r="G89" s="3">
        <f>F$1/C89</f>
        <v>214.43122118580465</v>
      </c>
      <c r="H89" s="2">
        <f>D89*F88</f>
        <v>-713.16859555832741</v>
      </c>
      <c r="I89" s="2">
        <f>E89*G88</f>
        <v>-675.15760776962838</v>
      </c>
      <c r="J89" s="2">
        <f>I89-H89</f>
        <v>38.010987788699026</v>
      </c>
      <c r="K89" s="2">
        <f t="shared" si="12"/>
        <v>-38.010987788699026</v>
      </c>
      <c r="L89" s="3">
        <f>C89/B89</f>
        <v>2.9383781740281014</v>
      </c>
      <c r="M89" s="3">
        <f t="shared" si="13"/>
        <v>2.9432286824282508</v>
      </c>
      <c r="N89" s="3">
        <f t="shared" si="17"/>
        <v>2.9255993799603455</v>
      </c>
      <c r="O89" s="3">
        <f t="shared" si="11"/>
        <v>2.8953079049572743</v>
      </c>
      <c r="P89" s="12" t="s">
        <v>11</v>
      </c>
      <c r="Q89" s="4" t="str">
        <f t="shared" si="16"/>
        <v>UNDER</v>
      </c>
      <c r="R89" s="4" t="str">
        <f t="shared" si="16"/>
        <v>OVER</v>
      </c>
      <c r="S89" s="4" t="str">
        <f t="shared" si="14"/>
        <v>OVER</v>
      </c>
      <c r="T89" s="12" t="s">
        <v>11</v>
      </c>
      <c r="U89" s="2">
        <f>IF(Q89="OVER",$J89,$K89)</f>
        <v>-38.010987788699026</v>
      </c>
      <c r="V89" s="2">
        <f>IF(R89="OVER",$J89,$K89)</f>
        <v>38.010987788699026</v>
      </c>
      <c r="W89" s="2">
        <f>IF(S89="OVER",$J89,$K89)</f>
        <v>38.010987788699026</v>
      </c>
      <c r="X89" s="12" t="s">
        <v>11</v>
      </c>
      <c r="Y89" s="9">
        <f t="shared" si="15"/>
        <v>-1579.4540998566517</v>
      </c>
      <c r="Z89" s="9">
        <f t="shared" si="15"/>
        <v>633.76862665247279</v>
      </c>
      <c r="AA89" s="9">
        <f t="shared" si="15"/>
        <v>1950.6474849215547</v>
      </c>
      <c r="AB89" s="12" t="s">
        <v>11</v>
      </c>
    </row>
    <row r="90" spans="1:28" x14ac:dyDescent="0.3">
      <c r="A90" s="1">
        <v>44540</v>
      </c>
      <c r="B90" s="2">
        <v>159.74</v>
      </c>
      <c r="C90" s="2">
        <v>470.74</v>
      </c>
      <c r="D90" s="9">
        <f>B90-B89</f>
        <v>1.0300000000000011</v>
      </c>
      <c r="E90" s="9">
        <f>C90-C89</f>
        <v>4.3899999999999864</v>
      </c>
      <c r="F90" s="3">
        <f>F$1/B90</f>
        <v>626.01727807687485</v>
      </c>
      <c r="G90" s="3">
        <f>F$1/C90</f>
        <v>212.43149084420273</v>
      </c>
      <c r="H90" s="2">
        <f>D90*F89</f>
        <v>648.98242076743816</v>
      </c>
      <c r="I90" s="2">
        <f>E90*G89</f>
        <v>941.35306100567948</v>
      </c>
      <c r="J90" s="2">
        <f>I90-H90</f>
        <v>292.37064023824132</v>
      </c>
      <c r="K90" s="2">
        <f t="shared" si="12"/>
        <v>-292.37064023824132</v>
      </c>
      <c r="L90" s="3">
        <f>C90/B90</f>
        <v>2.946913734819081</v>
      </c>
      <c r="M90" s="3">
        <f t="shared" si="13"/>
        <v>2.944573513662939</v>
      </c>
      <c r="N90" s="3">
        <f t="shared" si="17"/>
        <v>2.9288007265508673</v>
      </c>
      <c r="O90" s="3">
        <f t="shared" si="11"/>
        <v>2.8969587680931164</v>
      </c>
      <c r="P90" s="12" t="s">
        <v>11</v>
      </c>
      <c r="Q90" s="4" t="str">
        <f t="shared" si="16"/>
        <v>UNDER</v>
      </c>
      <c r="R90" s="4" t="str">
        <f t="shared" si="16"/>
        <v>OVER</v>
      </c>
      <c r="S90" s="4" t="str">
        <f t="shared" si="14"/>
        <v>OVER</v>
      </c>
      <c r="T90" s="12" t="s">
        <v>11</v>
      </c>
      <c r="U90" s="2">
        <f>IF(Q90="OVER",$J90,$K90)</f>
        <v>-292.37064023824132</v>
      </c>
      <c r="V90" s="2">
        <f>IF(R90="OVER",$J90,$K90)</f>
        <v>292.37064023824132</v>
      </c>
      <c r="W90" s="2">
        <f>IF(S90="OVER",$J90,$K90)</f>
        <v>292.37064023824132</v>
      </c>
      <c r="X90" s="12" t="s">
        <v>11</v>
      </c>
      <c r="Y90" s="9">
        <f t="shared" si="15"/>
        <v>-1871.8247400948931</v>
      </c>
      <c r="Z90" s="9">
        <f t="shared" si="15"/>
        <v>926.13926689071411</v>
      </c>
      <c r="AA90" s="9">
        <f t="shared" si="15"/>
        <v>2243.018125159796</v>
      </c>
      <c r="AB90" s="12" t="s">
        <v>11</v>
      </c>
    </row>
    <row r="91" spans="1:28" x14ac:dyDescent="0.3">
      <c r="A91" s="1">
        <v>44543</v>
      </c>
      <c r="B91" s="2">
        <v>158.58000000000001</v>
      </c>
      <c r="C91" s="2">
        <v>466.57</v>
      </c>
      <c r="D91" s="9">
        <f>B91-B90</f>
        <v>-1.1599999999999966</v>
      </c>
      <c r="E91" s="9">
        <f>C91-C90</f>
        <v>-4.1700000000000159</v>
      </c>
      <c r="F91" s="3">
        <f>F$1/B91</f>
        <v>630.59654433093704</v>
      </c>
      <c r="G91" s="3">
        <f>F$1/C91</f>
        <v>214.33011123732774</v>
      </c>
      <c r="H91" s="2">
        <f>D91*F90</f>
        <v>-726.18004256917266</v>
      </c>
      <c r="I91" s="2">
        <f>E91*G90</f>
        <v>-885.8393168203288</v>
      </c>
      <c r="J91" s="2">
        <f>I91-H91</f>
        <v>-159.65927425115615</v>
      </c>
      <c r="K91" s="2">
        <f t="shared" si="12"/>
        <v>159.65927425115615</v>
      </c>
      <c r="L91" s="3">
        <f>C91/B91</f>
        <v>2.9421742968848528</v>
      </c>
      <c r="M91" s="3">
        <f t="shared" si="13"/>
        <v>2.9443116380335566</v>
      </c>
      <c r="N91" s="3">
        <f t="shared" si="17"/>
        <v>2.931378046405936</v>
      </c>
      <c r="O91" s="3">
        <f t="shared" si="11"/>
        <v>2.8986052045049968</v>
      </c>
      <c r="P91" s="12" t="s">
        <v>11</v>
      </c>
      <c r="Q91" s="4" t="str">
        <f t="shared" si="16"/>
        <v>OVER</v>
      </c>
      <c r="R91" s="4" t="str">
        <f t="shared" si="16"/>
        <v>OVER</v>
      </c>
      <c r="S91" s="4" t="str">
        <f t="shared" si="14"/>
        <v>OVER</v>
      </c>
      <c r="T91" s="12" t="s">
        <v>11</v>
      </c>
      <c r="U91" s="2">
        <f>IF(Q91="OVER",$J91,$K91)</f>
        <v>-159.65927425115615</v>
      </c>
      <c r="V91" s="2">
        <f>IF(R91="OVER",$J91,$K91)</f>
        <v>-159.65927425115615</v>
      </c>
      <c r="W91" s="2">
        <f>IF(S91="OVER",$J91,$K91)</f>
        <v>-159.65927425115615</v>
      </c>
      <c r="X91" s="12" t="s">
        <v>11</v>
      </c>
      <c r="Y91" s="9">
        <f t="shared" si="15"/>
        <v>-2031.4840143460492</v>
      </c>
      <c r="Z91" s="9">
        <f t="shared" si="15"/>
        <v>766.47999263955796</v>
      </c>
      <c r="AA91" s="9">
        <f t="shared" si="15"/>
        <v>2083.3588509086399</v>
      </c>
      <c r="AB91" s="12" t="s">
        <v>11</v>
      </c>
    </row>
    <row r="92" spans="1:28" x14ac:dyDescent="0.3">
      <c r="A92" s="1">
        <v>44544</v>
      </c>
      <c r="B92" s="2">
        <v>157.63</v>
      </c>
      <c r="C92" s="2">
        <v>463.36</v>
      </c>
      <c r="D92" s="9">
        <f>B92-B91</f>
        <v>-0.95000000000001705</v>
      </c>
      <c r="E92" s="9">
        <f>C92-C91</f>
        <v>-3.2099999999999795</v>
      </c>
      <c r="F92" s="3">
        <f>F$1/B92</f>
        <v>634.39700564613338</v>
      </c>
      <c r="G92" s="3">
        <f>F$1/C92</f>
        <v>215.81491712707182</v>
      </c>
      <c r="H92" s="2">
        <f>D92*F91</f>
        <v>-599.06671711440094</v>
      </c>
      <c r="I92" s="2">
        <f>E92*G91</f>
        <v>-687.99965707181764</v>
      </c>
      <c r="J92" s="2">
        <f>I92-H92</f>
        <v>-88.932939957416693</v>
      </c>
      <c r="K92" s="2">
        <f t="shared" si="12"/>
        <v>88.932939957416693</v>
      </c>
      <c r="L92" s="3">
        <f>C92/B92</f>
        <v>2.9395419653619235</v>
      </c>
      <c r="M92" s="3">
        <f t="shared" si="13"/>
        <v>2.941657982496046</v>
      </c>
      <c r="N92" s="3">
        <f t="shared" si="17"/>
        <v>2.9340242609588469</v>
      </c>
      <c r="O92" s="3">
        <f t="shared" si="11"/>
        <v>2.9005773799734231</v>
      </c>
      <c r="P92" s="12" t="s">
        <v>11</v>
      </c>
      <c r="Q92" s="4" t="str">
        <f t="shared" si="16"/>
        <v>UNDER</v>
      </c>
      <c r="R92" s="4" t="str">
        <f t="shared" si="16"/>
        <v>OVER</v>
      </c>
      <c r="S92" s="4" t="str">
        <f t="shared" si="14"/>
        <v>OVER</v>
      </c>
      <c r="T92" s="12" t="s">
        <v>11</v>
      </c>
      <c r="U92" s="2">
        <f>IF(Q92="OVER",$J92,$K92)</f>
        <v>88.932939957416693</v>
      </c>
      <c r="V92" s="2">
        <f>IF(R92="OVER",$J92,$K92)</f>
        <v>-88.932939957416693</v>
      </c>
      <c r="W92" s="2">
        <f>IF(S92="OVER",$J92,$K92)</f>
        <v>-88.932939957416693</v>
      </c>
      <c r="X92" s="12" t="s">
        <v>11</v>
      </c>
      <c r="Y92" s="9">
        <f t="shared" si="15"/>
        <v>-1942.5510743886325</v>
      </c>
      <c r="Z92" s="9">
        <f t="shared" si="15"/>
        <v>677.54705268214127</v>
      </c>
      <c r="AA92" s="9">
        <f t="shared" si="15"/>
        <v>1994.4259109512232</v>
      </c>
      <c r="AB92" s="12" t="s">
        <v>11</v>
      </c>
    </row>
    <row r="93" spans="1:28" x14ac:dyDescent="0.3">
      <c r="A93" s="1">
        <v>44545</v>
      </c>
      <c r="B93" s="2">
        <v>159.35</v>
      </c>
      <c r="C93" s="2">
        <v>470.6</v>
      </c>
      <c r="D93" s="9">
        <f>B93-B92</f>
        <v>1.7199999999999989</v>
      </c>
      <c r="E93" s="9">
        <f>C93-C92</f>
        <v>7.2400000000000091</v>
      </c>
      <c r="F93" s="3">
        <f>F$1/B93</f>
        <v>627.549419516787</v>
      </c>
      <c r="G93" s="3">
        <f>F$1/C93</f>
        <v>212.49468763280916</v>
      </c>
      <c r="H93" s="2">
        <f>D93*F92</f>
        <v>1091.1628497113486</v>
      </c>
      <c r="I93" s="2">
        <f>E93*G92</f>
        <v>1562.500000000002</v>
      </c>
      <c r="J93" s="2">
        <f>I93-H93</f>
        <v>471.33715028865345</v>
      </c>
      <c r="K93" s="2">
        <f t="shared" si="12"/>
        <v>-471.33715028865345</v>
      </c>
      <c r="L93" s="3">
        <f>C93/B93</f>
        <v>2.9532475682459998</v>
      </c>
      <c r="M93" s="3">
        <f t="shared" si="13"/>
        <v>2.9399758827805615</v>
      </c>
      <c r="N93" s="3">
        <f t="shared" si="17"/>
        <v>2.936972195063758</v>
      </c>
      <c r="O93" s="3">
        <f t="shared" si="11"/>
        <v>2.9026404887481876</v>
      </c>
      <c r="P93" s="12" t="s">
        <v>11</v>
      </c>
      <c r="Q93" s="4" t="str">
        <f t="shared" si="16"/>
        <v>UNDER</v>
      </c>
      <c r="R93" s="4" t="str">
        <f t="shared" si="16"/>
        <v>OVER</v>
      </c>
      <c r="S93" s="4" t="str">
        <f t="shared" si="14"/>
        <v>OVER</v>
      </c>
      <c r="T93" s="12" t="s">
        <v>11</v>
      </c>
      <c r="U93" s="2">
        <f>IF(Q93="OVER",$J93,$K93)</f>
        <v>-471.33715028865345</v>
      </c>
      <c r="V93" s="2">
        <f>IF(R93="OVER",$J93,$K93)</f>
        <v>471.33715028865345</v>
      </c>
      <c r="W93" s="2">
        <f>IF(S93="OVER",$J93,$K93)</f>
        <v>471.33715028865345</v>
      </c>
      <c r="X93" s="12" t="s">
        <v>11</v>
      </c>
      <c r="Y93" s="9">
        <f t="shared" si="15"/>
        <v>-2413.888224677286</v>
      </c>
      <c r="Z93" s="9">
        <f t="shared" si="15"/>
        <v>1148.8842029707948</v>
      </c>
      <c r="AA93" s="9">
        <f t="shared" si="15"/>
        <v>2465.7630612398766</v>
      </c>
      <c r="AB93" s="12" t="s">
        <v>11</v>
      </c>
    </row>
    <row r="94" spans="1:28" x14ac:dyDescent="0.3">
      <c r="A94" s="1">
        <v>44546</v>
      </c>
      <c r="B94" s="2">
        <v>159.07</v>
      </c>
      <c r="C94" s="2">
        <v>466.45</v>
      </c>
      <c r="D94" s="9">
        <f>B94-B93</f>
        <v>-0.28000000000000114</v>
      </c>
      <c r="E94" s="9">
        <f>C94-C93</f>
        <v>-4.1500000000000341</v>
      </c>
      <c r="F94" s="3">
        <f>F$1/B94</f>
        <v>628.65405167536312</v>
      </c>
      <c r="G94" s="3">
        <f>F$1/C94</f>
        <v>214.38525029477972</v>
      </c>
      <c r="H94" s="2">
        <f>D94*F93</f>
        <v>-175.71383746470107</v>
      </c>
      <c r="I94" s="2">
        <f>E94*G93</f>
        <v>-881.85295367616527</v>
      </c>
      <c r="J94" s="2">
        <f>I94-H94</f>
        <v>-706.13911621146417</v>
      </c>
      <c r="K94" s="2">
        <f t="shared" si="12"/>
        <v>706.13911621146417</v>
      </c>
      <c r="L94" s="3">
        <f>C94/B94</f>
        <v>2.9323568240397311</v>
      </c>
      <c r="M94" s="3">
        <f t="shared" si="13"/>
        <v>2.9387796372798034</v>
      </c>
      <c r="N94" s="3">
        <f t="shared" si="17"/>
        <v>2.9384573477736811</v>
      </c>
      <c r="O94" s="3">
        <f t="shared" si="11"/>
        <v>2.9041278696924122</v>
      </c>
      <c r="P94" s="12" t="s">
        <v>11</v>
      </c>
      <c r="Q94" s="4" t="str">
        <f t="shared" si="16"/>
        <v>OVER</v>
      </c>
      <c r="R94" s="4" t="str">
        <f t="shared" si="16"/>
        <v>OVER</v>
      </c>
      <c r="S94" s="4" t="str">
        <f t="shared" si="14"/>
        <v>OVER</v>
      </c>
      <c r="T94" s="12" t="s">
        <v>11</v>
      </c>
      <c r="U94" s="2">
        <f>IF(Q94="OVER",$J94,$K94)</f>
        <v>-706.13911621146417</v>
      </c>
      <c r="V94" s="2">
        <f>IF(R94="OVER",$J94,$K94)</f>
        <v>-706.13911621146417</v>
      </c>
      <c r="W94" s="2">
        <f>IF(S94="OVER",$J94,$K94)</f>
        <v>-706.13911621146417</v>
      </c>
      <c r="X94" s="12" t="s">
        <v>11</v>
      </c>
      <c r="Y94" s="9">
        <f t="shared" si="15"/>
        <v>-3120.0273408887501</v>
      </c>
      <c r="Z94" s="9">
        <f t="shared" si="15"/>
        <v>442.74508675933066</v>
      </c>
      <c r="AA94" s="9">
        <f t="shared" si="15"/>
        <v>1759.6239450284124</v>
      </c>
      <c r="AB94" s="12" t="s">
        <v>11</v>
      </c>
    </row>
    <row r="95" spans="1:28" x14ac:dyDescent="0.3">
      <c r="A95" s="1">
        <v>44547</v>
      </c>
      <c r="B95" s="2">
        <v>156.96</v>
      </c>
      <c r="C95" s="2">
        <v>459.87</v>
      </c>
      <c r="D95" s="9">
        <f>B95-B94</f>
        <v>-2.1099999999999852</v>
      </c>
      <c r="E95" s="9">
        <f>C95-C94</f>
        <v>-6.5799999999999841</v>
      </c>
      <c r="F95" s="3">
        <f>F$1/B95</f>
        <v>637.10499490315999</v>
      </c>
      <c r="G95" s="3">
        <f>F$1/C95</f>
        <v>217.45275838824014</v>
      </c>
      <c r="H95" s="2">
        <f>D95*F94</f>
        <v>-1326.4600490350069</v>
      </c>
      <c r="I95" s="2">
        <f>E95*G94</f>
        <v>-1410.6549469396471</v>
      </c>
      <c r="J95" s="2">
        <f>I95-H95</f>
        <v>-84.194897904640129</v>
      </c>
      <c r="K95" s="2">
        <f t="shared" si="12"/>
        <v>84.194897904640129</v>
      </c>
      <c r="L95" s="3">
        <f>C95/B95</f>
        <v>2.9298547400611619</v>
      </c>
      <c r="M95" s="3">
        <f t="shared" si="13"/>
        <v>2.9382893831305803</v>
      </c>
      <c r="N95" s="3">
        <f t="shared" si="17"/>
        <v>2.9387897761078734</v>
      </c>
      <c r="O95" s="3">
        <f t="shared" si="11"/>
        <v>2.9055556695633609</v>
      </c>
      <c r="P95" s="12" t="s">
        <v>11</v>
      </c>
      <c r="Q95" s="4" t="str">
        <f t="shared" si="16"/>
        <v>UNDER</v>
      </c>
      <c r="R95" s="4" t="str">
        <f t="shared" si="16"/>
        <v>UNDER</v>
      </c>
      <c r="S95" s="4" t="str">
        <f t="shared" si="14"/>
        <v>OVER</v>
      </c>
      <c r="T95" s="12" t="s">
        <v>11</v>
      </c>
      <c r="U95" s="2">
        <f>IF(Q95="OVER",$J95,$K95)</f>
        <v>84.194897904640129</v>
      </c>
      <c r="V95" s="2">
        <f>IF(R95="OVER",$J95,$K95)</f>
        <v>84.194897904640129</v>
      </c>
      <c r="W95" s="2">
        <f>IF(S95="OVER",$J95,$K95)</f>
        <v>-84.194897904640129</v>
      </c>
      <c r="X95" s="12" t="s">
        <v>11</v>
      </c>
      <c r="Y95" s="9">
        <f t="shared" si="15"/>
        <v>-3035.83244298411</v>
      </c>
      <c r="Z95" s="9">
        <f t="shared" si="15"/>
        <v>526.93998466397079</v>
      </c>
      <c r="AA95" s="9">
        <f t="shared" si="15"/>
        <v>1675.4290471237723</v>
      </c>
      <c r="AB95" s="12" t="s">
        <v>11</v>
      </c>
    </row>
    <row r="96" spans="1:28" x14ac:dyDescent="0.3">
      <c r="A96" s="1">
        <v>44550</v>
      </c>
      <c r="B96" s="2">
        <v>154.9</v>
      </c>
      <c r="C96" s="2">
        <v>454.98</v>
      </c>
      <c r="D96" s="9">
        <f>B96-B95</f>
        <v>-2.0600000000000023</v>
      </c>
      <c r="E96" s="9">
        <f>C96-C95</f>
        <v>-4.8899999999999864</v>
      </c>
      <c r="F96" s="3">
        <f>F$1/B96</f>
        <v>645.57779212395087</v>
      </c>
      <c r="G96" s="3">
        <f>F$1/C96</f>
        <v>219.78988087388456</v>
      </c>
      <c r="H96" s="2">
        <f>D96*F95</f>
        <v>-1312.4362895005111</v>
      </c>
      <c r="I96" s="2">
        <f>E96*G95</f>
        <v>-1063.3439885184914</v>
      </c>
      <c r="J96" s="2">
        <f>I96-H96</f>
        <v>249.09230098201965</v>
      </c>
      <c r="K96" s="2">
        <f t="shared" si="12"/>
        <v>-249.09230098201965</v>
      </c>
      <c r="L96" s="3">
        <f>C96/B96</f>
        <v>2.9372498386055521</v>
      </c>
      <c r="M96" s="3">
        <f t="shared" si="13"/>
        <v>2.939400042097966</v>
      </c>
      <c r="N96" s="3">
        <f t="shared" si="17"/>
        <v>2.9388029100675905</v>
      </c>
      <c r="O96" s="3">
        <f t="shared" si="11"/>
        <v>2.9071014501369081</v>
      </c>
      <c r="P96" s="12" t="s">
        <v>11</v>
      </c>
      <c r="Q96" s="4" t="str">
        <f t="shared" si="16"/>
        <v>UNDER</v>
      </c>
      <c r="R96" s="4" t="str">
        <f t="shared" si="16"/>
        <v>UNDER</v>
      </c>
      <c r="S96" s="4" t="str">
        <f t="shared" si="14"/>
        <v>OVER</v>
      </c>
      <c r="T96" s="12" t="s">
        <v>11</v>
      </c>
      <c r="U96" s="2">
        <f>IF(Q96="OVER",$J96,$K96)</f>
        <v>-249.09230098201965</v>
      </c>
      <c r="V96" s="2">
        <f>IF(R96="OVER",$J96,$K96)</f>
        <v>-249.09230098201965</v>
      </c>
      <c r="W96" s="2">
        <f>IF(S96="OVER",$J96,$K96)</f>
        <v>249.09230098201965</v>
      </c>
      <c r="X96" s="12" t="s">
        <v>11</v>
      </c>
      <c r="Y96" s="9">
        <f t="shared" si="15"/>
        <v>-3284.9247439661294</v>
      </c>
      <c r="Z96" s="9">
        <f t="shared" si="15"/>
        <v>277.84768368195114</v>
      </c>
      <c r="AA96" s="9">
        <f t="shared" si="15"/>
        <v>1924.521348105792</v>
      </c>
      <c r="AB96" s="12" t="s">
        <v>11</v>
      </c>
    </row>
    <row r="97" spans="1:28" x14ac:dyDescent="0.3">
      <c r="A97" s="1">
        <v>44551</v>
      </c>
      <c r="B97" s="2">
        <v>158.04</v>
      </c>
      <c r="C97" s="2">
        <v>463.06</v>
      </c>
      <c r="D97" s="9">
        <f>B97-B96</f>
        <v>3.1399999999999864</v>
      </c>
      <c r="E97" s="9">
        <f>C97-C96</f>
        <v>8.0799999999999841</v>
      </c>
      <c r="F97" s="3">
        <f>F$1/B97</f>
        <v>632.75120222728424</v>
      </c>
      <c r="G97" s="3">
        <f>F$1/C97</f>
        <v>215.954735887358</v>
      </c>
      <c r="H97" s="2">
        <f>D97*F96</f>
        <v>2027.1142672691969</v>
      </c>
      <c r="I97" s="2">
        <f>E97*G96</f>
        <v>1775.9022374609838</v>
      </c>
      <c r="J97" s="2">
        <f>I97-H97</f>
        <v>-251.21202980821317</v>
      </c>
      <c r="K97" s="2">
        <f t="shared" si="12"/>
        <v>251.21202980821317</v>
      </c>
      <c r="L97" s="3">
        <f>C97/B97</f>
        <v>2.9300177170336625</v>
      </c>
      <c r="M97" s="3">
        <f t="shared" si="13"/>
        <v>2.9386988534400684</v>
      </c>
      <c r="N97" s="3">
        <f t="shared" si="17"/>
        <v>2.9390967915415378</v>
      </c>
      <c r="O97" s="3">
        <f t="shared" si="11"/>
        <v>2.9086034201350102</v>
      </c>
      <c r="P97" s="12" t="s">
        <v>11</v>
      </c>
      <c r="Q97" s="4" t="str">
        <f t="shared" si="16"/>
        <v>UNDER</v>
      </c>
      <c r="R97" s="4" t="str">
        <f t="shared" si="16"/>
        <v>UNDER</v>
      </c>
      <c r="S97" s="4" t="str">
        <f t="shared" si="14"/>
        <v>OVER</v>
      </c>
      <c r="T97" s="12" t="s">
        <v>11</v>
      </c>
      <c r="U97" s="2">
        <f>IF(Q97="OVER",$J97,$K97)</f>
        <v>251.21202980821317</v>
      </c>
      <c r="V97" s="2">
        <f>IF(R97="OVER",$J97,$K97)</f>
        <v>251.21202980821317</v>
      </c>
      <c r="W97" s="2">
        <f>IF(S97="OVER",$J97,$K97)</f>
        <v>-251.21202980821317</v>
      </c>
      <c r="X97" s="12" t="s">
        <v>11</v>
      </c>
      <c r="Y97" s="9">
        <f t="shared" si="15"/>
        <v>-3033.7127141579163</v>
      </c>
      <c r="Z97" s="9">
        <f t="shared" si="15"/>
        <v>529.05971349016431</v>
      </c>
      <c r="AA97" s="9">
        <f t="shared" si="15"/>
        <v>1673.3093182975788</v>
      </c>
      <c r="AB97" s="12" t="s">
        <v>11</v>
      </c>
    </row>
    <row r="98" spans="1:28" x14ac:dyDescent="0.3">
      <c r="A98" s="1">
        <v>44552</v>
      </c>
      <c r="B98" s="2">
        <v>159.15</v>
      </c>
      <c r="C98" s="2">
        <v>467.69</v>
      </c>
      <c r="D98" s="9">
        <f>B98-B97</f>
        <v>1.1100000000000136</v>
      </c>
      <c r="E98" s="9">
        <f>C98-C97</f>
        <v>4.6299999999999955</v>
      </c>
      <c r="F98" s="3">
        <f>F$1/B98</f>
        <v>628.33804586867734</v>
      </c>
      <c r="G98" s="3">
        <f>F$1/C98</f>
        <v>213.81684449100899</v>
      </c>
      <c r="H98" s="2">
        <f>D98*F97</f>
        <v>702.35383447229412</v>
      </c>
      <c r="I98" s="2">
        <f>E98*G97</f>
        <v>999.87042715846655</v>
      </c>
      <c r="J98" s="2">
        <f>I98-H98</f>
        <v>297.51659268617243</v>
      </c>
      <c r="K98" s="2">
        <f t="shared" si="12"/>
        <v>-297.51659268617243</v>
      </c>
      <c r="L98" s="3">
        <f>C98/B98</f>
        <v>2.938674206723217</v>
      </c>
      <c r="M98" s="3">
        <f t="shared" si="13"/>
        <v>2.9388409065803289</v>
      </c>
      <c r="N98" s="3">
        <f t="shared" si="17"/>
        <v>2.9402314236514897</v>
      </c>
      <c r="O98" s="3">
        <f t="shared" si="11"/>
        <v>2.9104340283666512</v>
      </c>
      <c r="P98" s="12" t="s">
        <v>11</v>
      </c>
      <c r="Q98" s="4" t="str">
        <f t="shared" si="16"/>
        <v>UNDER</v>
      </c>
      <c r="R98" s="4" t="str">
        <f t="shared" si="16"/>
        <v>UNDER</v>
      </c>
      <c r="S98" s="4" t="str">
        <f t="shared" si="14"/>
        <v>OVER</v>
      </c>
      <c r="T98" s="12" t="s">
        <v>11</v>
      </c>
      <c r="U98" s="2">
        <f>IF(Q98="OVER",$J98,$K98)</f>
        <v>-297.51659268617243</v>
      </c>
      <c r="V98" s="2">
        <f>IF(R98="OVER",$J98,$K98)</f>
        <v>-297.51659268617243</v>
      </c>
      <c r="W98" s="2">
        <f>IF(S98="OVER",$J98,$K98)</f>
        <v>297.51659268617243</v>
      </c>
      <c r="X98" s="12" t="s">
        <v>11</v>
      </c>
      <c r="Y98" s="9">
        <f t="shared" si="15"/>
        <v>-3331.2293068440886</v>
      </c>
      <c r="Z98" s="9">
        <f t="shared" si="15"/>
        <v>231.54312080399188</v>
      </c>
      <c r="AA98" s="9">
        <f t="shared" si="15"/>
        <v>1970.8259109837513</v>
      </c>
      <c r="AB98" s="12" t="s">
        <v>11</v>
      </c>
    </row>
    <row r="99" spans="1:28" x14ac:dyDescent="0.3">
      <c r="A99" s="1">
        <v>44553</v>
      </c>
      <c r="B99" s="2">
        <v>160.22999999999999</v>
      </c>
      <c r="C99" s="2">
        <v>470.6</v>
      </c>
      <c r="D99" s="9">
        <f>B99-B98</f>
        <v>1.0799999999999841</v>
      </c>
      <c r="E99" s="9">
        <f>C99-C98</f>
        <v>2.910000000000025</v>
      </c>
      <c r="F99" s="3">
        <f>F$1/B99</f>
        <v>624.10285215003432</v>
      </c>
      <c r="G99" s="3">
        <f>F$1/C99</f>
        <v>212.49468763280916</v>
      </c>
      <c r="H99" s="2">
        <f>D99*F98</f>
        <v>678.60508953816156</v>
      </c>
      <c r="I99" s="2">
        <f>E99*G98</f>
        <v>622.20701746884151</v>
      </c>
      <c r="J99" s="2">
        <f>I99-H99</f>
        <v>-56.398072069320051</v>
      </c>
      <c r="K99" s="2">
        <f t="shared" si="12"/>
        <v>56.398072069320051</v>
      </c>
      <c r="L99" s="3">
        <f>C99/B99</f>
        <v>2.9370280222180618</v>
      </c>
      <c r="M99" s="3">
        <f t="shared" si="13"/>
        <v>2.9387058913993243</v>
      </c>
      <c r="N99" s="3">
        <f t="shared" si="17"/>
        <v>2.9409672869137871</v>
      </c>
      <c r="O99" s="3">
        <f t="shared" si="11"/>
        <v>2.9121205081817108</v>
      </c>
      <c r="P99" s="12" t="s">
        <v>11</v>
      </c>
      <c r="Q99" s="4" t="str">
        <f t="shared" si="16"/>
        <v>UNDER</v>
      </c>
      <c r="R99" s="4" t="str">
        <f t="shared" si="16"/>
        <v>UNDER</v>
      </c>
      <c r="S99" s="4" t="str">
        <f t="shared" si="14"/>
        <v>OVER</v>
      </c>
      <c r="T99" s="12" t="s">
        <v>11</v>
      </c>
      <c r="U99" s="2">
        <f>IF(Q99="OVER",$J99,$K99)</f>
        <v>56.398072069320051</v>
      </c>
      <c r="V99" s="2">
        <f>IF(R99="OVER",$J99,$K99)</f>
        <v>56.398072069320051</v>
      </c>
      <c r="W99" s="2">
        <f>IF(S99="OVER",$J99,$K99)</f>
        <v>-56.398072069320051</v>
      </c>
      <c r="X99" s="12" t="s">
        <v>11</v>
      </c>
      <c r="Y99" s="9">
        <f t="shared" si="15"/>
        <v>-3274.8312347747687</v>
      </c>
      <c r="Z99" s="9">
        <f t="shared" si="15"/>
        <v>287.94119287331193</v>
      </c>
      <c r="AA99" s="9">
        <f t="shared" si="15"/>
        <v>1914.4278389144313</v>
      </c>
      <c r="AB99" s="12" t="s">
        <v>11</v>
      </c>
    </row>
    <row r="100" spans="1:28" x14ac:dyDescent="0.3">
      <c r="A100" s="1">
        <v>44557</v>
      </c>
      <c r="B100" s="2">
        <v>162.28</v>
      </c>
      <c r="C100" s="2">
        <v>477.26</v>
      </c>
      <c r="D100" s="9">
        <f>B100-B99</f>
        <v>2.0500000000000114</v>
      </c>
      <c r="E100" s="9">
        <f>C100-C99</f>
        <v>6.6599999999999682</v>
      </c>
      <c r="F100" s="3">
        <f>F$1/B100</f>
        <v>616.21888094651217</v>
      </c>
      <c r="G100" s="3">
        <f>F$1/C100</f>
        <v>209.52939697439552</v>
      </c>
      <c r="H100" s="2">
        <f>D100*F99</f>
        <v>1279.4108469075775</v>
      </c>
      <c r="I100" s="2">
        <f>E100*G99</f>
        <v>1415.2146196345022</v>
      </c>
      <c r="J100" s="2">
        <f>I100-H100</f>
        <v>135.80377272692476</v>
      </c>
      <c r="K100" s="2">
        <f t="shared" si="12"/>
        <v>-135.80377272692476</v>
      </c>
      <c r="L100" s="3">
        <f>C100/B100</f>
        <v>2.9409662312053242</v>
      </c>
      <c r="M100" s="3">
        <f t="shared" si="13"/>
        <v>2.9381111410379486</v>
      </c>
      <c r="N100" s="3">
        <f t="shared" si="17"/>
        <v>2.9413423273504433</v>
      </c>
      <c r="O100" s="3">
        <f t="shared" si="11"/>
        <v>2.913905612273497</v>
      </c>
      <c r="P100" s="12" t="s">
        <v>11</v>
      </c>
      <c r="Q100" s="4" t="str">
        <f t="shared" si="16"/>
        <v>UNDER</v>
      </c>
      <c r="R100" s="4" t="str">
        <f t="shared" si="16"/>
        <v>UNDER</v>
      </c>
      <c r="S100" s="4" t="str">
        <f t="shared" si="14"/>
        <v>OVER</v>
      </c>
      <c r="T100" s="12" t="s">
        <v>11</v>
      </c>
      <c r="U100" s="2">
        <f>IF(Q100="OVER",$J100,$K100)</f>
        <v>-135.80377272692476</v>
      </c>
      <c r="V100" s="2">
        <f>IF(R100="OVER",$J100,$K100)</f>
        <v>-135.80377272692476</v>
      </c>
      <c r="W100" s="2">
        <f>IF(S100="OVER",$J100,$K100)</f>
        <v>135.80377272692476</v>
      </c>
      <c r="X100" s="12" t="s">
        <v>11</v>
      </c>
      <c r="Y100" s="9">
        <f t="shared" si="15"/>
        <v>-3410.6350075016935</v>
      </c>
      <c r="Z100" s="9">
        <f t="shared" si="15"/>
        <v>152.13742014638717</v>
      </c>
      <c r="AA100" s="9">
        <f t="shared" si="15"/>
        <v>2050.2316116413558</v>
      </c>
      <c r="AB100" s="12" t="s">
        <v>11</v>
      </c>
    </row>
    <row r="101" spans="1:28" x14ac:dyDescent="0.3">
      <c r="A101" s="1">
        <v>44558</v>
      </c>
      <c r="B101" s="2">
        <v>162.53</v>
      </c>
      <c r="C101" s="2">
        <v>476.87</v>
      </c>
      <c r="D101" s="9">
        <f>B101-B100</f>
        <v>0.25</v>
      </c>
      <c r="E101" s="9">
        <f>C101-C100</f>
        <v>-0.38999999999998636</v>
      </c>
      <c r="F101" s="3">
        <f>F$1/B101</f>
        <v>615.27102688734385</v>
      </c>
      <c r="G101" s="3">
        <f>F$1/C101</f>
        <v>209.70075701973283</v>
      </c>
      <c r="H101" s="2">
        <f>D101*F100</f>
        <v>154.05472023662804</v>
      </c>
      <c r="I101" s="2">
        <f>E101*G100</f>
        <v>-81.716464820011396</v>
      </c>
      <c r="J101" s="2">
        <f>I101-H101</f>
        <v>-235.77118505663944</v>
      </c>
      <c r="K101" s="2">
        <f t="shared" si="12"/>
        <v>235.77118505663944</v>
      </c>
      <c r="L101" s="3">
        <f>C101/B101</f>
        <v>2.9340429459176769</v>
      </c>
      <c r="M101" s="3">
        <f t="shared" si="13"/>
        <v>2.9372980059412308</v>
      </c>
      <c r="N101" s="3">
        <f t="shared" si="17"/>
        <v>2.9408048219873937</v>
      </c>
      <c r="O101" s="3">
        <f t="shared" si="11"/>
        <v>2.9153135103697569</v>
      </c>
      <c r="P101" s="12" t="s">
        <v>11</v>
      </c>
      <c r="Q101" s="4" t="str">
        <f t="shared" si="16"/>
        <v>OVER</v>
      </c>
      <c r="R101" s="4" t="str">
        <f t="shared" si="16"/>
        <v>UNDER</v>
      </c>
      <c r="S101" s="4" t="str">
        <f t="shared" si="14"/>
        <v>OVER</v>
      </c>
      <c r="T101" s="12" t="s">
        <v>11</v>
      </c>
      <c r="U101" s="2">
        <f>IF(Q101="OVER",$J101,$K101)</f>
        <v>-235.77118505663944</v>
      </c>
      <c r="V101" s="2">
        <f>IF(R101="OVER",$J101,$K101)</f>
        <v>235.77118505663944</v>
      </c>
      <c r="W101" s="2">
        <f>IF(S101="OVER",$J101,$K101)</f>
        <v>-235.77118505663944</v>
      </c>
      <c r="X101" s="12" t="s">
        <v>11</v>
      </c>
      <c r="Y101" s="9">
        <f t="shared" si="15"/>
        <v>-3646.4061925583328</v>
      </c>
      <c r="Z101" s="9">
        <f t="shared" si="15"/>
        <v>387.90860520302658</v>
      </c>
      <c r="AA101" s="9">
        <f t="shared" si="15"/>
        <v>1814.4604265847163</v>
      </c>
      <c r="AB101" s="12" t="s">
        <v>11</v>
      </c>
    </row>
    <row r="102" spans="1:28" x14ac:dyDescent="0.3">
      <c r="A102" s="1">
        <v>44559</v>
      </c>
      <c r="B102" s="2">
        <v>163.01</v>
      </c>
      <c r="C102" s="2">
        <v>477.48</v>
      </c>
      <c r="D102" s="9">
        <f>B102-B101</f>
        <v>0.47999999999998977</v>
      </c>
      <c r="E102" s="9">
        <f>C102-C101</f>
        <v>0.61000000000001364</v>
      </c>
      <c r="F102" s="3">
        <f>F$1/B102</f>
        <v>613.45929697564566</v>
      </c>
      <c r="G102" s="3">
        <f>F$1/C102</f>
        <v>209.43285582642204</v>
      </c>
      <c r="H102" s="2">
        <f>D102*F101</f>
        <v>295.33009290591878</v>
      </c>
      <c r="I102" s="2">
        <f>E102*G101</f>
        <v>127.91746178203989</v>
      </c>
      <c r="J102" s="2">
        <f>I102-H102</f>
        <v>-167.4126311238789</v>
      </c>
      <c r="K102" s="2">
        <f t="shared" si="12"/>
        <v>167.4126311238789</v>
      </c>
      <c r="L102" s="3">
        <f>C102/B102</f>
        <v>2.9291454511993131</v>
      </c>
      <c r="M102" s="3">
        <f t="shared" si="13"/>
        <v>2.9362583545249703</v>
      </c>
      <c r="N102" s="3">
        <f t="shared" si="17"/>
        <v>2.9389581685105077</v>
      </c>
      <c r="O102" s="3">
        <f t="shared" si="11"/>
        <v>2.9164760290496243</v>
      </c>
      <c r="P102" s="12" t="s">
        <v>11</v>
      </c>
      <c r="Q102" s="4" t="str">
        <f t="shared" si="16"/>
        <v>UNDER</v>
      </c>
      <c r="R102" s="4" t="str">
        <f t="shared" si="16"/>
        <v>UNDER</v>
      </c>
      <c r="S102" s="4" t="str">
        <f t="shared" si="14"/>
        <v>OVER</v>
      </c>
      <c r="T102" s="12" t="s">
        <v>11</v>
      </c>
      <c r="U102" s="2">
        <f>IF(Q102="OVER",$J102,$K102)</f>
        <v>167.4126311238789</v>
      </c>
      <c r="V102" s="2">
        <f>IF(R102="OVER",$J102,$K102)</f>
        <v>167.4126311238789</v>
      </c>
      <c r="W102" s="2">
        <f>IF(S102="OVER",$J102,$K102)</f>
        <v>-167.4126311238789</v>
      </c>
      <c r="X102" s="12" t="s">
        <v>11</v>
      </c>
      <c r="Y102" s="9">
        <f t="shared" si="15"/>
        <v>-3478.993561434454</v>
      </c>
      <c r="Z102" s="9">
        <f t="shared" si="15"/>
        <v>555.32123632690548</v>
      </c>
      <c r="AA102" s="9">
        <f t="shared" si="15"/>
        <v>1647.0477954608373</v>
      </c>
      <c r="AB102" s="12" t="s">
        <v>11</v>
      </c>
    </row>
    <row r="103" spans="1:28" x14ac:dyDescent="0.3">
      <c r="A103" s="1">
        <v>44560</v>
      </c>
      <c r="B103" s="2">
        <v>162.75</v>
      </c>
      <c r="C103" s="2">
        <v>476.16</v>
      </c>
      <c r="D103" s="9">
        <f>B103-B102</f>
        <v>-0.25999999999999091</v>
      </c>
      <c r="E103" s="9">
        <f>C103-C102</f>
        <v>-1.3199999999999932</v>
      </c>
      <c r="F103" s="3">
        <f>F$1/B103</f>
        <v>614.43932411674348</v>
      </c>
      <c r="G103" s="3">
        <f>F$1/C103</f>
        <v>210.01344086021504</v>
      </c>
      <c r="H103" s="2">
        <f>D103*F102</f>
        <v>-159.4994172136623</v>
      </c>
      <c r="I103" s="2">
        <f>E103*G102</f>
        <v>-276.45136969087565</v>
      </c>
      <c r="J103" s="2">
        <f>I103-H103</f>
        <v>-116.95195247721335</v>
      </c>
      <c r="K103" s="2">
        <f t="shared" si="12"/>
        <v>116.95195247721335</v>
      </c>
      <c r="L103" s="3">
        <f>C103/B103</f>
        <v>2.9257142857142857</v>
      </c>
      <c r="M103" s="3">
        <f t="shared" si="13"/>
        <v>2.9335050262717983</v>
      </c>
      <c r="N103" s="3">
        <f t="shared" si="17"/>
        <v>2.9367404545261797</v>
      </c>
      <c r="O103" s="3">
        <f t="shared" si="11"/>
        <v>2.9174630281104346</v>
      </c>
      <c r="P103" s="12" t="s">
        <v>11</v>
      </c>
      <c r="Q103" s="4" t="str">
        <f t="shared" si="16"/>
        <v>UNDER</v>
      </c>
      <c r="R103" s="4" t="str">
        <f t="shared" si="16"/>
        <v>UNDER</v>
      </c>
      <c r="S103" s="4" t="str">
        <f t="shared" si="14"/>
        <v>OVER</v>
      </c>
      <c r="T103" s="12" t="s">
        <v>11</v>
      </c>
      <c r="U103" s="2">
        <f>IF(Q103="OVER",$J103,$K103)</f>
        <v>116.95195247721335</v>
      </c>
      <c r="V103" s="2">
        <f>IF(R103="OVER",$J103,$K103)</f>
        <v>116.95195247721335</v>
      </c>
      <c r="W103" s="2">
        <f>IF(S103="OVER",$J103,$K103)</f>
        <v>-116.95195247721335</v>
      </c>
      <c r="X103" s="12" t="s">
        <v>11</v>
      </c>
      <c r="Y103" s="9">
        <f t="shared" si="15"/>
        <v>-3362.0416089572409</v>
      </c>
      <c r="Z103" s="9">
        <f t="shared" si="15"/>
        <v>672.27318880411883</v>
      </c>
      <c r="AA103" s="9">
        <f t="shared" si="15"/>
        <v>1530.0958429836239</v>
      </c>
      <c r="AB103" s="12" t="s">
        <v>11</v>
      </c>
    </row>
    <row r="104" spans="1:28" x14ac:dyDescent="0.3">
      <c r="A104" s="1">
        <v>44561</v>
      </c>
      <c r="B104" s="2">
        <v>162.75</v>
      </c>
      <c r="C104" s="2">
        <v>474.96</v>
      </c>
      <c r="D104" s="9">
        <f>B104-B103</f>
        <v>0</v>
      </c>
      <c r="E104" s="9">
        <f>C104-C103</f>
        <v>-1.2000000000000455</v>
      </c>
      <c r="F104" s="3">
        <f>F$1/B104</f>
        <v>614.43932411674348</v>
      </c>
      <c r="G104" s="3">
        <f>F$1/C104</f>
        <v>210.54404581438439</v>
      </c>
      <c r="H104" s="2">
        <f>D104*F103</f>
        <v>0</v>
      </c>
      <c r="I104" s="2">
        <f>E104*G103</f>
        <v>-252.0161290322676</v>
      </c>
      <c r="J104" s="2">
        <f>I104-H104</f>
        <v>-252.0161290322676</v>
      </c>
      <c r="K104" s="2">
        <f t="shared" si="12"/>
        <v>252.0161290322676</v>
      </c>
      <c r="L104" s="3">
        <f>C104/B104</f>
        <v>2.9183410138248846</v>
      </c>
      <c r="M104" s="3">
        <f t="shared" si="13"/>
        <v>2.9321034452503141</v>
      </c>
      <c r="N104" s="3">
        <f t="shared" si="17"/>
        <v>2.9354415412650585</v>
      </c>
      <c r="O104" s="3">
        <f t="shared" si="11"/>
        <v>2.9185156024884082</v>
      </c>
      <c r="P104" s="12" t="s">
        <v>11</v>
      </c>
      <c r="Q104" s="4" t="str">
        <f t="shared" si="16"/>
        <v>UNDER</v>
      </c>
      <c r="R104" s="4" t="str">
        <f t="shared" si="16"/>
        <v>UNDER</v>
      </c>
      <c r="S104" s="4" t="str">
        <f t="shared" si="14"/>
        <v>UNDER</v>
      </c>
      <c r="T104" s="12" t="s">
        <v>11</v>
      </c>
      <c r="U104" s="2">
        <f>IF(Q104="OVER",$J104,$K104)</f>
        <v>252.0161290322676</v>
      </c>
      <c r="V104" s="2">
        <f>IF(R104="OVER",$J104,$K104)</f>
        <v>252.0161290322676</v>
      </c>
      <c r="W104" s="2">
        <f>IF(S104="OVER",$J104,$K104)</f>
        <v>252.0161290322676</v>
      </c>
      <c r="X104" s="12" t="s">
        <v>11</v>
      </c>
      <c r="Y104" s="9">
        <f t="shared" si="15"/>
        <v>-3110.0254799249733</v>
      </c>
      <c r="Z104" s="9">
        <f t="shared" si="15"/>
        <v>924.28931783638643</v>
      </c>
      <c r="AA104" s="9">
        <f t="shared" si="15"/>
        <v>1782.1119720158915</v>
      </c>
      <c r="AB104" s="12" t="s">
        <v>11</v>
      </c>
    </row>
    <row r="105" spans="1:28" x14ac:dyDescent="0.3">
      <c r="A105" s="1">
        <v>44564</v>
      </c>
      <c r="B105" s="2">
        <v>162.88999999999999</v>
      </c>
      <c r="C105" s="2">
        <v>477.71</v>
      </c>
      <c r="D105" s="9">
        <f>B105-B104</f>
        <v>0.13999999999998636</v>
      </c>
      <c r="E105" s="9">
        <f>C105-C104</f>
        <v>2.75</v>
      </c>
      <c r="F105" s="3">
        <f>F$1/B105</f>
        <v>613.91122843636811</v>
      </c>
      <c r="G105" s="3">
        <f>F$1/C105</f>
        <v>209.33202151933182</v>
      </c>
      <c r="H105" s="2">
        <f>D105*F104</f>
        <v>86.02150537633571</v>
      </c>
      <c r="I105" s="2">
        <f>E105*G104</f>
        <v>578.99612598955707</v>
      </c>
      <c r="J105" s="2">
        <f>I105-H105</f>
        <v>492.97462061322136</v>
      </c>
      <c r="K105" s="2">
        <f t="shared" si="12"/>
        <v>-492.97462061322136</v>
      </c>
      <c r="L105" s="3">
        <f>C105/B105</f>
        <v>2.9327153293633743</v>
      </c>
      <c r="M105" s="3">
        <f t="shared" si="13"/>
        <v>2.9323895041805357</v>
      </c>
      <c r="N105" s="3">
        <f t="shared" si="17"/>
        <v>2.9353394436555571</v>
      </c>
      <c r="O105" s="3">
        <f t="shared" si="11"/>
        <v>2.9197752488200761</v>
      </c>
      <c r="P105" s="12" t="s">
        <v>11</v>
      </c>
      <c r="Q105" s="4" t="str">
        <f t="shared" si="16"/>
        <v>UNDER</v>
      </c>
      <c r="R105" s="4" t="str">
        <f t="shared" si="16"/>
        <v>UNDER</v>
      </c>
      <c r="S105" s="4" t="str">
        <f t="shared" si="14"/>
        <v>OVER</v>
      </c>
      <c r="T105" s="12" t="s">
        <v>11</v>
      </c>
      <c r="U105" s="2">
        <f>IF(Q105="OVER",$J105,$K105)</f>
        <v>-492.97462061322136</v>
      </c>
      <c r="V105" s="2">
        <f>IF(R105="OVER",$J105,$K105)</f>
        <v>-492.97462061322136</v>
      </c>
      <c r="W105" s="2">
        <f>IF(S105="OVER",$J105,$K105)</f>
        <v>492.97462061322136</v>
      </c>
      <c r="X105" s="12" t="s">
        <v>11</v>
      </c>
      <c r="Y105" s="9">
        <f t="shared" si="15"/>
        <v>-3603.0001005381946</v>
      </c>
      <c r="Z105" s="9">
        <f t="shared" si="15"/>
        <v>431.31469722316507</v>
      </c>
      <c r="AA105" s="9">
        <f t="shared" si="15"/>
        <v>2275.0865926291131</v>
      </c>
      <c r="AB105" s="12" t="s">
        <v>11</v>
      </c>
    </row>
    <row r="106" spans="1:28" x14ac:dyDescent="0.3">
      <c r="A106" s="1">
        <v>44565</v>
      </c>
      <c r="B106" s="2">
        <v>164.2</v>
      </c>
      <c r="C106" s="2">
        <v>477.55</v>
      </c>
      <c r="D106" s="9">
        <f>B106-B105</f>
        <v>1.3100000000000023</v>
      </c>
      <c r="E106" s="9">
        <f>C106-C105</f>
        <v>-0.15999999999996817</v>
      </c>
      <c r="F106" s="3">
        <f>F$1/B106</f>
        <v>609.01339829476251</v>
      </c>
      <c r="G106" s="3">
        <f>F$1/C106</f>
        <v>209.40215684221548</v>
      </c>
      <c r="H106" s="2">
        <f>D106*F105</f>
        <v>804.22370925164364</v>
      </c>
      <c r="I106" s="2">
        <f>E106*G105</f>
        <v>-33.493123443086425</v>
      </c>
      <c r="J106" s="2">
        <f>I106-H106</f>
        <v>-837.7168326947301</v>
      </c>
      <c r="K106" s="2">
        <f t="shared" si="12"/>
        <v>837.7168326947301</v>
      </c>
      <c r="L106" s="3">
        <f>C106/B106</f>
        <v>2.9083434835566386</v>
      </c>
      <c r="M106" s="3">
        <f t="shared" si="13"/>
        <v>2.929498868675644</v>
      </c>
      <c r="N106" s="3">
        <f t="shared" si="17"/>
        <v>2.9344494553868046</v>
      </c>
      <c r="O106" s="3">
        <f t="shared" si="11"/>
        <v>2.9207697003472437</v>
      </c>
      <c r="P106" s="12" t="s">
        <v>11</v>
      </c>
      <c r="Q106" s="4" t="str">
        <f t="shared" si="16"/>
        <v>OVER</v>
      </c>
      <c r="R106" s="4" t="str">
        <f t="shared" si="16"/>
        <v>UNDER</v>
      </c>
      <c r="S106" s="4" t="str">
        <f t="shared" si="14"/>
        <v>UNDER</v>
      </c>
      <c r="T106" s="12" t="s">
        <v>11</v>
      </c>
      <c r="U106" s="2">
        <f>IF(Q106="OVER",$J106,$K106)</f>
        <v>-837.7168326947301</v>
      </c>
      <c r="V106" s="2">
        <f>IF(R106="OVER",$J106,$K106)</f>
        <v>837.7168326947301</v>
      </c>
      <c r="W106" s="2">
        <f>IF(S106="OVER",$J106,$K106)</f>
        <v>837.7168326947301</v>
      </c>
      <c r="X106" s="12" t="s">
        <v>11</v>
      </c>
      <c r="Y106" s="9">
        <f t="shared" si="15"/>
        <v>-4440.7169332329249</v>
      </c>
      <c r="Z106" s="9">
        <f t="shared" si="15"/>
        <v>1269.0315299178951</v>
      </c>
      <c r="AA106" s="9">
        <f t="shared" si="15"/>
        <v>3112.8034253238429</v>
      </c>
      <c r="AB106" s="12" t="s">
        <v>11</v>
      </c>
    </row>
    <row r="107" spans="1:28" x14ac:dyDescent="0.3">
      <c r="A107" s="1">
        <v>44566</v>
      </c>
      <c r="B107" s="2">
        <v>161.66999999999999</v>
      </c>
      <c r="C107" s="2">
        <v>468.38</v>
      </c>
      <c r="D107" s="9">
        <f>B107-B106</f>
        <v>-2.5300000000000011</v>
      </c>
      <c r="E107" s="9">
        <f>C107-C106</f>
        <v>-9.1700000000000159</v>
      </c>
      <c r="F107" s="3">
        <f>F$1/B107</f>
        <v>618.54394754747329</v>
      </c>
      <c r="G107" s="3">
        <f>F$1/C107</f>
        <v>213.50185746615995</v>
      </c>
      <c r="H107" s="2">
        <f>D107*F106</f>
        <v>-1540.8038976857499</v>
      </c>
      <c r="I107" s="2">
        <f>E107*G106</f>
        <v>-1920.2177782431193</v>
      </c>
      <c r="J107" s="2">
        <f>I107-H107</f>
        <v>-379.41388055736934</v>
      </c>
      <c r="K107" s="2">
        <f t="shared" si="12"/>
        <v>379.41388055736934</v>
      </c>
      <c r="L107" s="3">
        <f>C107/B107</f>
        <v>2.8971361415228554</v>
      </c>
      <c r="M107" s="3">
        <f t="shared" si="13"/>
        <v>2.9262107111245634</v>
      </c>
      <c r="N107" s="3">
        <f t="shared" si="17"/>
        <v>2.9324547822823162</v>
      </c>
      <c r="O107" s="3">
        <f t="shared" si="11"/>
        <v>2.9213636474491178</v>
      </c>
      <c r="P107" s="12" t="s">
        <v>11</v>
      </c>
      <c r="Q107" s="4" t="str">
        <f t="shared" si="16"/>
        <v>UNDER</v>
      </c>
      <c r="R107" s="4" t="str">
        <f t="shared" si="16"/>
        <v>UNDER</v>
      </c>
      <c r="S107" s="4" t="str">
        <f t="shared" si="14"/>
        <v>UNDER</v>
      </c>
      <c r="T107" s="12" t="s">
        <v>11</v>
      </c>
      <c r="U107" s="2">
        <f>IF(Q107="OVER",$J107,$K107)</f>
        <v>379.41388055736934</v>
      </c>
      <c r="V107" s="2">
        <f>IF(R107="OVER",$J107,$K107)</f>
        <v>379.41388055736934</v>
      </c>
      <c r="W107" s="2">
        <f>IF(S107="OVER",$J107,$K107)</f>
        <v>379.41388055736934</v>
      </c>
      <c r="X107" s="12" t="s">
        <v>11</v>
      </c>
      <c r="Y107" s="9">
        <f t="shared" si="15"/>
        <v>-4061.3030526755556</v>
      </c>
      <c r="Z107" s="9">
        <f t="shared" si="15"/>
        <v>1648.4454104752645</v>
      </c>
      <c r="AA107" s="9">
        <f t="shared" si="15"/>
        <v>3492.2173058812123</v>
      </c>
      <c r="AB107" s="12" t="s">
        <v>11</v>
      </c>
    </row>
    <row r="108" spans="1:28" x14ac:dyDescent="0.3">
      <c r="A108" s="1">
        <v>44567</v>
      </c>
      <c r="B108" s="2">
        <v>162.03</v>
      </c>
      <c r="C108" s="2">
        <v>467.94</v>
      </c>
      <c r="D108" s="9">
        <f>B108-B107</f>
        <v>0.36000000000001364</v>
      </c>
      <c r="E108" s="9">
        <f>C108-C107</f>
        <v>-0.43999999999999773</v>
      </c>
      <c r="F108" s="3">
        <f>F$1/B108</f>
        <v>617.16965993951737</v>
      </c>
      <c r="G108" s="3">
        <f>F$1/C108</f>
        <v>213.70261144591186</v>
      </c>
      <c r="H108" s="2">
        <f>D108*F107</f>
        <v>222.67582111709882</v>
      </c>
      <c r="I108" s="2">
        <f>E108*G107</f>
        <v>-93.940817285109887</v>
      </c>
      <c r="J108" s="2">
        <f>I108-H108</f>
        <v>-316.61663840220871</v>
      </c>
      <c r="K108" s="2">
        <f t="shared" si="12"/>
        <v>316.61663840220871</v>
      </c>
      <c r="L108" s="3">
        <f>C108/B108</f>
        <v>2.8879837067209775</v>
      </c>
      <c r="M108" s="3">
        <f t="shared" si="13"/>
        <v>2.9211416611243388</v>
      </c>
      <c r="N108" s="3">
        <f t="shared" si="17"/>
        <v>2.9299912838523339</v>
      </c>
      <c r="O108" s="3">
        <f t="shared" si="11"/>
        <v>2.9216107080618419</v>
      </c>
      <c r="P108" s="12" t="s">
        <v>11</v>
      </c>
      <c r="Q108" s="4" t="str">
        <f t="shared" si="16"/>
        <v>UNDER</v>
      </c>
      <c r="R108" s="4" t="str">
        <f t="shared" si="16"/>
        <v>UNDER</v>
      </c>
      <c r="S108" s="4" t="str">
        <f t="shared" si="14"/>
        <v>UNDER</v>
      </c>
      <c r="T108" s="12" t="s">
        <v>11</v>
      </c>
      <c r="U108" s="2">
        <f>IF(Q108="OVER",$J108,$K108)</f>
        <v>316.61663840220871</v>
      </c>
      <c r="V108" s="2">
        <f>IF(R108="OVER",$J108,$K108)</f>
        <v>316.61663840220871</v>
      </c>
      <c r="W108" s="2">
        <f>IF(S108="OVER",$J108,$K108)</f>
        <v>316.61663840220871</v>
      </c>
      <c r="X108" s="12" t="s">
        <v>11</v>
      </c>
      <c r="Y108" s="9">
        <f t="shared" si="15"/>
        <v>-3744.6864142733471</v>
      </c>
      <c r="Z108" s="9">
        <f t="shared" si="15"/>
        <v>1965.0620488774732</v>
      </c>
      <c r="AA108" s="9">
        <f t="shared" si="15"/>
        <v>3808.8339442834208</v>
      </c>
      <c r="AB108" s="12" t="s">
        <v>11</v>
      </c>
    </row>
    <row r="109" spans="1:28" x14ac:dyDescent="0.3">
      <c r="A109" s="1">
        <v>44568</v>
      </c>
      <c r="B109" s="2">
        <v>161.77000000000001</v>
      </c>
      <c r="C109" s="2">
        <v>466.09</v>
      </c>
      <c r="D109" s="9">
        <f>B109-B108</f>
        <v>-0.25999999999999091</v>
      </c>
      <c r="E109" s="9">
        <f>C109-C108</f>
        <v>-1.8500000000000227</v>
      </c>
      <c r="F109" s="3">
        <f>F$1/B109</f>
        <v>618.16158743895653</v>
      </c>
      <c r="G109" s="3">
        <f>F$1/C109</f>
        <v>214.5508378210217</v>
      </c>
      <c r="H109" s="2">
        <f>D109*F108</f>
        <v>-160.46411158426889</v>
      </c>
      <c r="I109" s="2">
        <f>E109*G108</f>
        <v>-395.34983117494181</v>
      </c>
      <c r="J109" s="2">
        <f>I109-H109</f>
        <v>-234.88571959067292</v>
      </c>
      <c r="K109" s="2">
        <f t="shared" si="12"/>
        <v>234.88571959067292</v>
      </c>
      <c r="L109" s="3">
        <f>C109/B109</f>
        <v>2.8811893428942321</v>
      </c>
      <c r="M109" s="3">
        <f t="shared" si="13"/>
        <v>2.9155577931919563</v>
      </c>
      <c r="N109" s="3">
        <f t="shared" si="17"/>
        <v>2.9271318422956405</v>
      </c>
      <c r="O109" s="3">
        <f t="shared" si="11"/>
        <v>2.9212044533729062</v>
      </c>
      <c r="P109" s="12" t="s">
        <v>11</v>
      </c>
      <c r="Q109" s="4" t="str">
        <f t="shared" si="16"/>
        <v>UNDER</v>
      </c>
      <c r="R109" s="4" t="str">
        <f t="shared" si="16"/>
        <v>UNDER</v>
      </c>
      <c r="S109" s="4" t="str">
        <f t="shared" si="14"/>
        <v>UNDER</v>
      </c>
      <c r="T109" s="12" t="s">
        <v>11</v>
      </c>
      <c r="U109" s="2">
        <f>IF(Q109="OVER",$J109,$K109)</f>
        <v>234.88571959067292</v>
      </c>
      <c r="V109" s="2">
        <f>IF(R109="OVER",$J109,$K109)</f>
        <v>234.88571959067292</v>
      </c>
      <c r="W109" s="2">
        <f>IF(S109="OVER",$J109,$K109)</f>
        <v>234.88571959067292</v>
      </c>
      <c r="X109" s="12" t="s">
        <v>11</v>
      </c>
      <c r="Y109" s="9">
        <f t="shared" si="15"/>
        <v>-3509.800694682674</v>
      </c>
      <c r="Z109" s="9">
        <f t="shared" si="15"/>
        <v>2199.947768468146</v>
      </c>
      <c r="AA109" s="9">
        <f t="shared" si="15"/>
        <v>4043.7196638740938</v>
      </c>
      <c r="AB109" s="12" t="s">
        <v>11</v>
      </c>
    </row>
    <row r="110" spans="1:28" x14ac:dyDescent="0.3">
      <c r="A110" s="1">
        <v>44571</v>
      </c>
      <c r="B110" s="2">
        <v>160.96</v>
      </c>
      <c r="C110" s="2">
        <v>465.51</v>
      </c>
      <c r="D110" s="9">
        <f>B110-B109</f>
        <v>-0.81000000000000227</v>
      </c>
      <c r="E110" s="9">
        <f>C110-C109</f>
        <v>-0.57999999999998408</v>
      </c>
      <c r="F110" s="3">
        <f>F$1/B110</f>
        <v>621.27236580516899</v>
      </c>
      <c r="G110" s="3">
        <f>F$1/C110</f>
        <v>214.81815643058152</v>
      </c>
      <c r="H110" s="2">
        <f>D110*F109</f>
        <v>-500.7108858255562</v>
      </c>
      <c r="I110" s="2">
        <f>E110*G109</f>
        <v>-124.43948593618917</v>
      </c>
      <c r="J110" s="2">
        <f>I110-H110</f>
        <v>376.27139988936705</v>
      </c>
      <c r="K110" s="2">
        <f t="shared" si="12"/>
        <v>-376.27139988936705</v>
      </c>
      <c r="L110" s="3">
        <f>C110/B110</f>
        <v>2.8920849900596419</v>
      </c>
      <c r="M110" s="3">
        <f t="shared" si="13"/>
        <v>2.9106696690773881</v>
      </c>
      <c r="N110" s="3">
        <f t="shared" si="17"/>
        <v>2.924390405057669</v>
      </c>
      <c r="O110" s="3">
        <f t="shared" si="11"/>
        <v>2.9210456469731372</v>
      </c>
      <c r="P110" s="12" t="s">
        <v>11</v>
      </c>
      <c r="Q110" s="4" t="str">
        <f t="shared" si="16"/>
        <v>UNDER</v>
      </c>
      <c r="R110" s="4" t="str">
        <f t="shared" si="16"/>
        <v>UNDER</v>
      </c>
      <c r="S110" s="4" t="str">
        <f t="shared" si="14"/>
        <v>UNDER</v>
      </c>
      <c r="T110" s="12" t="s">
        <v>11</v>
      </c>
      <c r="U110" s="2">
        <f>IF(Q110="OVER",$J110,$K110)</f>
        <v>-376.27139988936705</v>
      </c>
      <c r="V110" s="2">
        <f>IF(R110="OVER",$J110,$K110)</f>
        <v>-376.27139988936705</v>
      </c>
      <c r="W110" s="2">
        <f>IF(S110="OVER",$J110,$K110)</f>
        <v>-376.27139988936705</v>
      </c>
      <c r="X110" s="12" t="s">
        <v>11</v>
      </c>
      <c r="Y110" s="9">
        <f t="shared" si="15"/>
        <v>-3886.0720945720409</v>
      </c>
      <c r="Z110" s="9">
        <f t="shared" si="15"/>
        <v>1823.6763685787789</v>
      </c>
      <c r="AA110" s="9">
        <f t="shared" si="15"/>
        <v>3667.448263984727</v>
      </c>
      <c r="AB110" s="12" t="s">
        <v>11</v>
      </c>
    </row>
    <row r="111" spans="1:28" x14ac:dyDescent="0.3">
      <c r="A111" s="1">
        <v>44572</v>
      </c>
      <c r="B111" s="2">
        <v>162.47999999999999</v>
      </c>
      <c r="C111" s="2">
        <v>469.75</v>
      </c>
      <c r="D111" s="9">
        <f>B111-B110</f>
        <v>1.5199999999999818</v>
      </c>
      <c r="E111" s="9">
        <f>C111-C110</f>
        <v>4.2400000000000091</v>
      </c>
      <c r="F111" s="3">
        <f>F$1/B111</f>
        <v>615.46036435253575</v>
      </c>
      <c r="G111" s="3">
        <f>F$1/C111</f>
        <v>212.87919105907397</v>
      </c>
      <c r="H111" s="2">
        <f>D111*F110</f>
        <v>944.33399602384554</v>
      </c>
      <c r="I111" s="2">
        <f>E111*G110</f>
        <v>910.8289832656676</v>
      </c>
      <c r="J111" s="2">
        <f>I111-H111</f>
        <v>-33.505012758177941</v>
      </c>
      <c r="K111" s="2">
        <f t="shared" si="12"/>
        <v>33.505012758177941</v>
      </c>
      <c r="L111" s="3">
        <f>C111/B111</f>
        <v>2.8911250615460364</v>
      </c>
      <c r="M111" s="3">
        <f t="shared" si="13"/>
        <v>2.9063778806402234</v>
      </c>
      <c r="N111" s="3">
        <f t="shared" si="17"/>
        <v>2.9218379432907278</v>
      </c>
      <c r="O111" s="3">
        <f t="shared" si="11"/>
        <v>2.9206467993196772</v>
      </c>
      <c r="P111" s="12" t="s">
        <v>11</v>
      </c>
      <c r="Q111" s="4" t="str">
        <f t="shared" si="16"/>
        <v>UNDER</v>
      </c>
      <c r="R111" s="4" t="str">
        <f t="shared" si="16"/>
        <v>UNDER</v>
      </c>
      <c r="S111" s="4" t="str">
        <f t="shared" si="14"/>
        <v>UNDER</v>
      </c>
      <c r="T111" s="12" t="s">
        <v>11</v>
      </c>
      <c r="U111" s="2">
        <f>IF(Q111="OVER",$J111,$K111)</f>
        <v>33.505012758177941</v>
      </c>
      <c r="V111" s="2">
        <f>IF(R111="OVER",$J111,$K111)</f>
        <v>33.505012758177941</v>
      </c>
      <c r="W111" s="2">
        <f>IF(S111="OVER",$J111,$K111)</f>
        <v>33.505012758177941</v>
      </c>
      <c r="X111" s="12" t="s">
        <v>11</v>
      </c>
      <c r="Y111" s="9">
        <f t="shared" si="15"/>
        <v>-3852.5670818138628</v>
      </c>
      <c r="Z111" s="9">
        <f t="shared" si="15"/>
        <v>1857.1813813369567</v>
      </c>
      <c r="AA111" s="9">
        <f t="shared" si="15"/>
        <v>3700.953276742905</v>
      </c>
      <c r="AB111" s="12" t="s">
        <v>11</v>
      </c>
    </row>
    <row r="112" spans="1:28" x14ac:dyDescent="0.3">
      <c r="A112" s="1">
        <v>44573</v>
      </c>
      <c r="B112" s="2">
        <v>162.61000000000001</v>
      </c>
      <c r="C112" s="2">
        <v>471.02</v>
      </c>
      <c r="D112" s="9">
        <f>B112-B111</f>
        <v>0.13000000000002387</v>
      </c>
      <c r="E112" s="9">
        <f>C112-C111</f>
        <v>1.2699999999999818</v>
      </c>
      <c r="F112" s="3">
        <f>F$1/B112</f>
        <v>614.9683291310497</v>
      </c>
      <c r="G112" s="3">
        <f>F$1/C112</f>
        <v>212.30520996985265</v>
      </c>
      <c r="H112" s="2">
        <f>D112*F111</f>
        <v>80.009847365844337</v>
      </c>
      <c r="I112" s="2">
        <f>E112*G111</f>
        <v>270.35657264502009</v>
      </c>
      <c r="J112" s="2">
        <f>I112-H112</f>
        <v>190.34672527917576</v>
      </c>
      <c r="K112" s="2">
        <f t="shared" si="12"/>
        <v>-190.34672527917576</v>
      </c>
      <c r="L112" s="3">
        <f>C112/B112</f>
        <v>2.8966238238730702</v>
      </c>
      <c r="M112" s="3">
        <f t="shared" si="13"/>
        <v>2.9031257179075993</v>
      </c>
      <c r="N112" s="3">
        <f t="shared" si="17"/>
        <v>2.9196920362162855</v>
      </c>
      <c r="O112" s="3">
        <f t="shared" si="11"/>
        <v>2.9207198870410065</v>
      </c>
      <c r="P112" s="12" t="s">
        <v>11</v>
      </c>
      <c r="Q112" s="4" t="str">
        <f t="shared" si="16"/>
        <v>UNDER</v>
      </c>
      <c r="R112" s="4" t="str">
        <f t="shared" si="16"/>
        <v>UNDER</v>
      </c>
      <c r="S112" s="4" t="str">
        <f t="shared" si="14"/>
        <v>UNDER</v>
      </c>
      <c r="T112" s="12" t="s">
        <v>11</v>
      </c>
      <c r="U112" s="2">
        <f>IF(Q112="OVER",$J112,$K112)</f>
        <v>-190.34672527917576</v>
      </c>
      <c r="V112" s="2">
        <f>IF(R112="OVER",$J112,$K112)</f>
        <v>-190.34672527917576</v>
      </c>
      <c r="W112" s="2">
        <f>IF(S112="OVER",$J112,$K112)</f>
        <v>-190.34672527917576</v>
      </c>
      <c r="X112" s="12" t="s">
        <v>11</v>
      </c>
      <c r="Y112" s="9">
        <f t="shared" si="15"/>
        <v>-4042.9138070930385</v>
      </c>
      <c r="Z112" s="9">
        <f t="shared" si="15"/>
        <v>1666.8346560577811</v>
      </c>
      <c r="AA112" s="9">
        <f t="shared" si="15"/>
        <v>3510.6065514637294</v>
      </c>
      <c r="AB112" s="12" t="s">
        <v>11</v>
      </c>
    </row>
    <row r="113" spans="1:28" x14ac:dyDescent="0.3">
      <c r="A113" s="1">
        <v>44574</v>
      </c>
      <c r="B113" s="2">
        <v>161.86000000000001</v>
      </c>
      <c r="C113" s="2">
        <v>464.53</v>
      </c>
      <c r="D113" s="9">
        <f>B113-B112</f>
        <v>-0.75</v>
      </c>
      <c r="E113" s="9">
        <f>C113-C112</f>
        <v>-6.4900000000000091</v>
      </c>
      <c r="F113" s="3">
        <f>F$1/B113</f>
        <v>617.8178672927221</v>
      </c>
      <c r="G113" s="3">
        <f>F$1/C113</f>
        <v>215.27134953609024</v>
      </c>
      <c r="H113" s="2">
        <f>D113*F112</f>
        <v>-461.22624684828725</v>
      </c>
      <c r="I113" s="2">
        <f>E113*G112</f>
        <v>-1377.8608127043456</v>
      </c>
      <c r="J113" s="2">
        <f>I113-H113</f>
        <v>-916.63456585605832</v>
      </c>
      <c r="K113" s="2">
        <f t="shared" si="12"/>
        <v>916.63456585605832</v>
      </c>
      <c r="L113" s="3">
        <f>C113/B113</f>
        <v>2.8699493389348816</v>
      </c>
      <c r="M113" s="3">
        <f t="shared" si="13"/>
        <v>2.8975492232296589</v>
      </c>
      <c r="N113" s="3">
        <f t="shared" si="17"/>
        <v>2.9155271247507288</v>
      </c>
      <c r="O113" s="3">
        <f t="shared" si="11"/>
        <v>2.9201858498638531</v>
      </c>
      <c r="P113" s="12" t="s">
        <v>11</v>
      </c>
      <c r="Q113" s="4" t="str">
        <f t="shared" si="16"/>
        <v>UNDER</v>
      </c>
      <c r="R113" s="4" t="str">
        <f t="shared" si="16"/>
        <v>UNDER</v>
      </c>
      <c r="S113" s="4" t="str">
        <f t="shared" si="14"/>
        <v>UNDER</v>
      </c>
      <c r="T113" s="12" t="s">
        <v>11</v>
      </c>
      <c r="U113" s="2">
        <f>IF(Q113="OVER",$J113,$K113)</f>
        <v>916.63456585605832</v>
      </c>
      <c r="V113" s="2">
        <f>IF(R113="OVER",$J113,$K113)</f>
        <v>916.63456585605832</v>
      </c>
      <c r="W113" s="2">
        <f>IF(S113="OVER",$J113,$K113)</f>
        <v>916.63456585605832</v>
      </c>
      <c r="X113" s="12" t="s">
        <v>11</v>
      </c>
      <c r="Y113" s="9">
        <f t="shared" si="15"/>
        <v>-3126.2792412369799</v>
      </c>
      <c r="Z113" s="9">
        <f t="shared" si="15"/>
        <v>2583.4692219138396</v>
      </c>
      <c r="AA113" s="9">
        <f t="shared" si="15"/>
        <v>4427.2411173197879</v>
      </c>
      <c r="AB113" s="12" t="s">
        <v>11</v>
      </c>
    </row>
    <row r="114" spans="1:28" x14ac:dyDescent="0.3">
      <c r="A114" s="1">
        <v>44575</v>
      </c>
      <c r="B114" s="2">
        <v>161.58000000000001</v>
      </c>
      <c r="C114" s="2">
        <v>464.72</v>
      </c>
      <c r="D114" s="9">
        <f>B114-B113</f>
        <v>-0.28000000000000114</v>
      </c>
      <c r="E114" s="9">
        <f>C114-C113</f>
        <v>0.19000000000005457</v>
      </c>
      <c r="F114" s="3">
        <f>F$1/B114</f>
        <v>618.8884762965713</v>
      </c>
      <c r="G114" s="3">
        <f>F$1/C114</f>
        <v>215.18333620244448</v>
      </c>
      <c r="H114" s="2">
        <f>D114*F113</f>
        <v>-172.9890028419629</v>
      </c>
      <c r="I114" s="2">
        <f>E114*G113</f>
        <v>40.901556411868896</v>
      </c>
      <c r="J114" s="2">
        <f>I114-H114</f>
        <v>213.89055925383178</v>
      </c>
      <c r="K114" s="2">
        <f t="shared" si="12"/>
        <v>-213.89055925383178</v>
      </c>
      <c r="L114" s="3">
        <f>C114/B114</f>
        <v>2.8760985270454262</v>
      </c>
      <c r="M114" s="3">
        <f t="shared" si="13"/>
        <v>2.8933249745517129</v>
      </c>
      <c r="N114" s="3">
        <f t="shared" si="17"/>
        <v>2.9127142099010142</v>
      </c>
      <c r="O114" s="3">
        <f t="shared" si="11"/>
        <v>2.9197626832476544</v>
      </c>
      <c r="P114" s="12" t="s">
        <v>11</v>
      </c>
      <c r="Q114" s="4" t="str">
        <f t="shared" si="16"/>
        <v>UNDER</v>
      </c>
      <c r="R114" s="4" t="str">
        <f t="shared" si="16"/>
        <v>UNDER</v>
      </c>
      <c r="S114" s="4" t="str">
        <f t="shared" si="14"/>
        <v>UNDER</v>
      </c>
      <c r="T114" s="12" t="s">
        <v>11</v>
      </c>
      <c r="U114" s="2">
        <f>IF(Q114="OVER",$J114,$K114)</f>
        <v>-213.89055925383178</v>
      </c>
      <c r="V114" s="2">
        <f>IF(R114="OVER",$J114,$K114)</f>
        <v>-213.89055925383178</v>
      </c>
      <c r="W114" s="2">
        <f>IF(S114="OVER",$J114,$K114)</f>
        <v>-213.89055925383178</v>
      </c>
      <c r="X114" s="12" t="s">
        <v>11</v>
      </c>
      <c r="Y114" s="9">
        <f t="shared" si="15"/>
        <v>-3340.1698004908117</v>
      </c>
      <c r="Z114" s="9">
        <f t="shared" si="15"/>
        <v>2369.5786626600079</v>
      </c>
      <c r="AA114" s="9">
        <f t="shared" si="15"/>
        <v>4213.3505580659557</v>
      </c>
      <c r="AB114" s="12" t="s">
        <v>11</v>
      </c>
    </row>
    <row r="115" spans="1:28" x14ac:dyDescent="0.3">
      <c r="A115" s="1">
        <v>44579</v>
      </c>
      <c r="B115" s="2">
        <v>159.01</v>
      </c>
      <c r="C115" s="2">
        <v>456.49</v>
      </c>
      <c r="D115" s="9">
        <f>B115-B114</f>
        <v>-2.5700000000000216</v>
      </c>
      <c r="E115" s="9">
        <f>C115-C114</f>
        <v>-8.2300000000000182</v>
      </c>
      <c r="F115" s="3">
        <f>F$1/B115</f>
        <v>628.89126470033329</v>
      </c>
      <c r="G115" s="3">
        <f>F$1/C115</f>
        <v>219.06284913141579</v>
      </c>
      <c r="H115" s="2">
        <f>D115*F114</f>
        <v>-1590.5433840822016</v>
      </c>
      <c r="I115" s="2">
        <f>E115*G114</f>
        <v>-1770.9588569461221</v>
      </c>
      <c r="J115" s="2">
        <f>I115-H115</f>
        <v>-180.41547286392051</v>
      </c>
      <c r="K115" s="2">
        <f t="shared" si="12"/>
        <v>180.41547286392051</v>
      </c>
      <c r="L115" s="3">
        <f>C115/B115</f>
        <v>2.8708257342305519</v>
      </c>
      <c r="M115" s="3">
        <f t="shared" si="13"/>
        <v>2.8871360150384313</v>
      </c>
      <c r="N115" s="3">
        <f t="shared" si="17"/>
        <v>2.9097627596094835</v>
      </c>
      <c r="O115" s="3">
        <f t="shared" si="11"/>
        <v>2.9188409709065892</v>
      </c>
      <c r="P115" s="12" t="s">
        <v>11</v>
      </c>
      <c r="Q115" s="4" t="str">
        <f t="shared" si="16"/>
        <v>UNDER</v>
      </c>
      <c r="R115" s="4" t="str">
        <f t="shared" si="16"/>
        <v>UNDER</v>
      </c>
      <c r="S115" s="4" t="str">
        <f t="shared" si="14"/>
        <v>UNDER</v>
      </c>
      <c r="T115" s="12" t="s">
        <v>11</v>
      </c>
      <c r="U115" s="2">
        <f>IF(Q115="OVER",$J115,$K115)</f>
        <v>180.41547286392051</v>
      </c>
      <c r="V115" s="2">
        <f>IF(R115="OVER",$J115,$K115)</f>
        <v>180.41547286392051</v>
      </c>
      <c r="W115" s="2">
        <f>IF(S115="OVER",$J115,$K115)</f>
        <v>180.41547286392051</v>
      </c>
      <c r="X115" s="12" t="s">
        <v>11</v>
      </c>
      <c r="Y115" s="9">
        <f t="shared" si="15"/>
        <v>-3159.7543276268912</v>
      </c>
      <c r="Z115" s="9">
        <f t="shared" si="15"/>
        <v>2549.9941355239284</v>
      </c>
      <c r="AA115" s="9">
        <f t="shared" si="15"/>
        <v>4393.7660309298763</v>
      </c>
      <c r="AB115" s="12" t="s">
        <v>11</v>
      </c>
    </row>
    <row r="116" spans="1:28" x14ac:dyDescent="0.3">
      <c r="A116" s="1">
        <v>44580</v>
      </c>
      <c r="B116" s="2">
        <v>157.36000000000001</v>
      </c>
      <c r="C116" s="2">
        <v>451.75</v>
      </c>
      <c r="D116" s="9">
        <f>B116-B115</f>
        <v>-1.6499999999999773</v>
      </c>
      <c r="E116" s="9">
        <f>C116-C115</f>
        <v>-4.7400000000000091</v>
      </c>
      <c r="F116" s="3">
        <f>F$1/B116</f>
        <v>635.48551093035076</v>
      </c>
      <c r="G116" s="3">
        <f>F$1/C116</f>
        <v>221.36137244050914</v>
      </c>
      <c r="H116" s="2">
        <f>D116*F115</f>
        <v>-1037.6705867555356</v>
      </c>
      <c r="I116" s="2">
        <f>E116*G115</f>
        <v>-1038.3579048829129</v>
      </c>
      <c r="J116" s="2">
        <f>I116-H116</f>
        <v>-0.68731812737723885</v>
      </c>
      <c r="K116" s="2">
        <f t="shared" si="12"/>
        <v>0.68731812737723885</v>
      </c>
      <c r="L116" s="3">
        <f>C116/B116</f>
        <v>2.8708057956278594</v>
      </c>
      <c r="M116" s="3">
        <f t="shared" si="13"/>
        <v>2.8833822462455529</v>
      </c>
      <c r="N116" s="3">
        <f t="shared" si="17"/>
        <v>2.9064405574605989</v>
      </c>
      <c r="O116" s="3">
        <f t="shared" si="11"/>
        <v>2.9181592506234737</v>
      </c>
      <c r="P116" s="12" t="s">
        <v>11</v>
      </c>
      <c r="Q116" s="4" t="str">
        <f t="shared" si="16"/>
        <v>UNDER</v>
      </c>
      <c r="R116" s="4" t="str">
        <f t="shared" si="16"/>
        <v>UNDER</v>
      </c>
      <c r="S116" s="4" t="str">
        <f t="shared" si="14"/>
        <v>UNDER</v>
      </c>
      <c r="T116" s="12" t="s">
        <v>11</v>
      </c>
      <c r="U116" s="2">
        <f>IF(Q116="OVER",$J116,$K116)</f>
        <v>0.68731812737723885</v>
      </c>
      <c r="V116" s="2">
        <f>IF(R116="OVER",$J116,$K116)</f>
        <v>0.68731812737723885</v>
      </c>
      <c r="W116" s="2">
        <f>IF(S116="OVER",$J116,$K116)</f>
        <v>0.68731812737723885</v>
      </c>
      <c r="X116" s="12" t="s">
        <v>11</v>
      </c>
      <c r="Y116" s="9">
        <f t="shared" si="15"/>
        <v>-3159.0670094995139</v>
      </c>
      <c r="Z116" s="9">
        <f t="shared" si="15"/>
        <v>2550.6814536513057</v>
      </c>
      <c r="AA116" s="9">
        <f t="shared" si="15"/>
        <v>4394.4533490572539</v>
      </c>
      <c r="AB116" s="12" t="s">
        <v>11</v>
      </c>
    </row>
    <row r="117" spans="1:28" x14ac:dyDescent="0.3">
      <c r="A117" s="1">
        <v>44581</v>
      </c>
      <c r="B117" s="2">
        <v>155.36000000000001</v>
      </c>
      <c r="C117" s="2">
        <v>446.75</v>
      </c>
      <c r="D117" s="9">
        <f>B117-B116</f>
        <v>-2</v>
      </c>
      <c r="E117" s="9">
        <f>C117-C116</f>
        <v>-5</v>
      </c>
      <c r="F117" s="3">
        <f>F$1/B117</f>
        <v>643.66632337796079</v>
      </c>
      <c r="G117" s="3">
        <f>F$1/C117</f>
        <v>223.83883603805259</v>
      </c>
      <c r="H117" s="2">
        <f>D117*F116</f>
        <v>-1270.9710218607015</v>
      </c>
      <c r="I117" s="2">
        <f>E117*G116</f>
        <v>-1106.8068622025457</v>
      </c>
      <c r="J117" s="2">
        <f>I117-H117</f>
        <v>164.16415965815577</v>
      </c>
      <c r="K117" s="2">
        <f t="shared" si="12"/>
        <v>-164.16415965815577</v>
      </c>
      <c r="L117" s="3">
        <f>C117/B117</f>
        <v>2.8755792996910401</v>
      </c>
      <c r="M117" s="3">
        <f t="shared" si="13"/>
        <v>2.8812265620623712</v>
      </c>
      <c r="N117" s="3">
        <f t="shared" si="17"/>
        <v>2.9037186365934677</v>
      </c>
      <c r="O117" s="3">
        <f t="shared" ref="O117:O180" si="18">AVERAGE(L68:L117)</f>
        <v>2.9176097953246565</v>
      </c>
      <c r="P117" s="12" t="s">
        <v>11</v>
      </c>
      <c r="Q117" s="4" t="str">
        <f t="shared" si="16"/>
        <v>UNDER</v>
      </c>
      <c r="R117" s="4" t="str">
        <f t="shared" si="16"/>
        <v>UNDER</v>
      </c>
      <c r="S117" s="4" t="str">
        <f t="shared" si="14"/>
        <v>UNDER</v>
      </c>
      <c r="T117" s="12" t="s">
        <v>11</v>
      </c>
      <c r="U117" s="2">
        <f>IF(Q117="OVER",$J117,$K117)</f>
        <v>-164.16415965815577</v>
      </c>
      <c r="V117" s="2">
        <f>IF(R117="OVER",$J117,$K117)</f>
        <v>-164.16415965815577</v>
      </c>
      <c r="W117" s="2">
        <f>IF(S117="OVER",$J117,$K117)</f>
        <v>-164.16415965815577</v>
      </c>
      <c r="X117" s="12" t="s">
        <v>11</v>
      </c>
      <c r="Y117" s="9">
        <f t="shared" si="15"/>
        <v>-3323.2311691576697</v>
      </c>
      <c r="Z117" s="9">
        <f t="shared" si="15"/>
        <v>2386.5172939931499</v>
      </c>
      <c r="AA117" s="9">
        <f t="shared" si="15"/>
        <v>4230.2891893990982</v>
      </c>
      <c r="AB117" s="12" t="s">
        <v>11</v>
      </c>
    </row>
    <row r="118" spans="1:28" x14ac:dyDescent="0.3">
      <c r="A118" s="1">
        <v>44582</v>
      </c>
      <c r="B118" s="2">
        <v>153.09</v>
      </c>
      <c r="C118" s="2">
        <v>437.98</v>
      </c>
      <c r="D118" s="9">
        <f>B118-B117</f>
        <v>-2.2700000000000102</v>
      </c>
      <c r="E118" s="9">
        <f>C118-C117</f>
        <v>-8.7699999999999818</v>
      </c>
      <c r="F118" s="3">
        <f>F$1/B118</f>
        <v>653.21052975373959</v>
      </c>
      <c r="G118" s="3">
        <f>F$1/C118</f>
        <v>228.32092789625096</v>
      </c>
      <c r="H118" s="2">
        <f>D118*F117</f>
        <v>-1461.1225540679775</v>
      </c>
      <c r="I118" s="2">
        <f>E118*G117</f>
        <v>-1963.0665920537172</v>
      </c>
      <c r="J118" s="2">
        <f>I118-H118</f>
        <v>-501.94403798573967</v>
      </c>
      <c r="K118" s="2">
        <f t="shared" si="12"/>
        <v>501.94403798573967</v>
      </c>
      <c r="L118" s="3">
        <f>C118/B118</f>
        <v>2.8609314782154289</v>
      </c>
      <c r="M118" s="3">
        <f t="shared" si="13"/>
        <v>2.8785213392118165</v>
      </c>
      <c r="N118" s="3">
        <f t="shared" si="17"/>
        <v>2.8998315001680779</v>
      </c>
      <c r="O118" s="3">
        <f t="shared" si="18"/>
        <v>2.9169521323993353</v>
      </c>
      <c r="P118" s="12" t="s">
        <v>11</v>
      </c>
      <c r="Q118" s="4" t="str">
        <f t="shared" si="16"/>
        <v>UNDER</v>
      </c>
      <c r="R118" s="4" t="str">
        <f t="shared" si="16"/>
        <v>UNDER</v>
      </c>
      <c r="S118" s="4" t="str">
        <f t="shared" si="14"/>
        <v>UNDER</v>
      </c>
      <c r="T118" s="12" t="s">
        <v>11</v>
      </c>
      <c r="U118" s="2">
        <f>IF(Q118="OVER",$J118,$K118)</f>
        <v>501.94403798573967</v>
      </c>
      <c r="V118" s="2">
        <f>IF(R118="OVER",$J118,$K118)</f>
        <v>501.94403798573967</v>
      </c>
      <c r="W118" s="2">
        <f>IF(S118="OVER",$J118,$K118)</f>
        <v>501.94403798573967</v>
      </c>
      <c r="X118" s="12" t="s">
        <v>11</v>
      </c>
      <c r="Y118" s="9">
        <f t="shared" si="15"/>
        <v>-2821.28713117193</v>
      </c>
      <c r="Z118" s="9">
        <f t="shared" si="15"/>
        <v>2888.4613319788896</v>
      </c>
      <c r="AA118" s="9">
        <f t="shared" si="15"/>
        <v>4732.2332273848378</v>
      </c>
      <c r="AB118" s="12" t="s">
        <v>11</v>
      </c>
    </row>
    <row r="119" spans="1:28" x14ac:dyDescent="0.3">
      <c r="A119" s="1">
        <v>44585</v>
      </c>
      <c r="B119" s="2">
        <v>154.24</v>
      </c>
      <c r="C119" s="2">
        <v>439.84</v>
      </c>
      <c r="D119" s="9">
        <f>B119-B118</f>
        <v>1.1500000000000057</v>
      </c>
      <c r="E119" s="9">
        <f>C119-C118</f>
        <v>1.8599999999999568</v>
      </c>
      <c r="F119" s="3">
        <f>F$1/B119</f>
        <v>648.34024896265555</v>
      </c>
      <c r="G119" s="3">
        <f>F$1/C119</f>
        <v>227.35540196435068</v>
      </c>
      <c r="H119" s="2">
        <f>D119*F118</f>
        <v>751.19210921680428</v>
      </c>
      <c r="I119" s="2">
        <f>E119*G118</f>
        <v>424.67692588701692</v>
      </c>
      <c r="J119" s="2">
        <f>I119-H119</f>
        <v>-326.51518332978736</v>
      </c>
      <c r="K119" s="2">
        <f t="shared" si="12"/>
        <v>326.51518332978736</v>
      </c>
      <c r="L119" s="3">
        <f>C119/B119</f>
        <v>2.851659751037344</v>
      </c>
      <c r="M119" s="3">
        <f t="shared" si="13"/>
        <v>2.8755683800261282</v>
      </c>
      <c r="N119" s="3">
        <f t="shared" si="17"/>
        <v>2.8955630866090418</v>
      </c>
      <c r="O119" s="3">
        <f t="shared" si="18"/>
        <v>2.9162061649076203</v>
      </c>
      <c r="P119" s="12" t="s">
        <v>11</v>
      </c>
      <c r="Q119" s="4" t="str">
        <f t="shared" si="16"/>
        <v>UNDER</v>
      </c>
      <c r="R119" s="4" t="str">
        <f t="shared" si="16"/>
        <v>UNDER</v>
      </c>
      <c r="S119" s="4" t="str">
        <f t="shared" si="14"/>
        <v>UNDER</v>
      </c>
      <c r="T119" s="12" t="s">
        <v>11</v>
      </c>
      <c r="U119" s="2">
        <f>IF(Q119="OVER",$J119,$K119)</f>
        <v>326.51518332978736</v>
      </c>
      <c r="V119" s="2">
        <f>IF(R119="OVER",$J119,$K119)</f>
        <v>326.51518332978736</v>
      </c>
      <c r="W119" s="2">
        <f>IF(S119="OVER",$J119,$K119)</f>
        <v>326.51518332978736</v>
      </c>
      <c r="X119" s="12" t="s">
        <v>11</v>
      </c>
      <c r="Y119" s="9">
        <f t="shared" si="15"/>
        <v>-2494.7719478421427</v>
      </c>
      <c r="Z119" s="9">
        <f t="shared" si="15"/>
        <v>3214.9765153086769</v>
      </c>
      <c r="AA119" s="9">
        <f t="shared" si="15"/>
        <v>5058.7484107146256</v>
      </c>
      <c r="AB119" s="12" t="s">
        <v>11</v>
      </c>
    </row>
    <row r="120" spans="1:28" x14ac:dyDescent="0.3">
      <c r="A120" s="1">
        <v>44586</v>
      </c>
      <c r="B120" s="2">
        <v>152.78</v>
      </c>
      <c r="C120" s="2">
        <v>434.47</v>
      </c>
      <c r="D120" s="9">
        <f>B120-B119</f>
        <v>-1.460000000000008</v>
      </c>
      <c r="E120" s="9">
        <f>C120-C119</f>
        <v>-5.3699999999999477</v>
      </c>
      <c r="F120" s="3">
        <f>F$1/B120</f>
        <v>654.53593402277784</v>
      </c>
      <c r="G120" s="3">
        <f>F$1/C120</f>
        <v>230.16548898658135</v>
      </c>
      <c r="H120" s="2">
        <f>D120*F119</f>
        <v>-946.57676348548227</v>
      </c>
      <c r="I120" s="2">
        <f>E120*G119</f>
        <v>-1220.8985085485513</v>
      </c>
      <c r="J120" s="2">
        <f>I120-H120</f>
        <v>-274.32174506306899</v>
      </c>
      <c r="K120" s="2">
        <f t="shared" si="12"/>
        <v>274.32174506306899</v>
      </c>
      <c r="L120" s="3">
        <f>C120/B120</f>
        <v>2.843762272548763</v>
      </c>
      <c r="M120" s="3">
        <f t="shared" si="13"/>
        <v>2.87073610827504</v>
      </c>
      <c r="N120" s="3">
        <f t="shared" si="17"/>
        <v>2.8907028886762141</v>
      </c>
      <c r="O120" s="3">
        <f t="shared" si="18"/>
        <v>2.9154236742984221</v>
      </c>
      <c r="P120" s="12" t="s">
        <v>11</v>
      </c>
      <c r="Q120" s="4" t="str">
        <f t="shared" si="16"/>
        <v>UNDER</v>
      </c>
      <c r="R120" s="4" t="str">
        <f t="shared" si="16"/>
        <v>UNDER</v>
      </c>
      <c r="S120" s="4" t="str">
        <f t="shared" si="14"/>
        <v>UNDER</v>
      </c>
      <c r="T120" s="12" t="s">
        <v>11</v>
      </c>
      <c r="U120" s="2">
        <f>IF(Q120="OVER",$J120,$K120)</f>
        <v>274.32174506306899</v>
      </c>
      <c r="V120" s="2">
        <f>IF(R120="OVER",$J120,$K120)</f>
        <v>274.32174506306899</v>
      </c>
      <c r="W120" s="2">
        <f>IF(S120="OVER",$J120,$K120)</f>
        <v>274.32174506306899</v>
      </c>
      <c r="X120" s="12" t="s">
        <v>11</v>
      </c>
      <c r="Y120" s="9">
        <f t="shared" si="15"/>
        <v>-2220.4502027790736</v>
      </c>
      <c r="Z120" s="9">
        <f t="shared" si="15"/>
        <v>3489.298260371746</v>
      </c>
      <c r="AA120" s="9">
        <f t="shared" si="15"/>
        <v>5333.0701557776947</v>
      </c>
      <c r="AB120" s="12" t="s">
        <v>11</v>
      </c>
    </row>
    <row r="121" spans="1:28" x14ac:dyDescent="0.3">
      <c r="A121" s="1">
        <v>44587</v>
      </c>
      <c r="B121" s="2">
        <v>151.55000000000001</v>
      </c>
      <c r="C121" s="2">
        <v>433.38</v>
      </c>
      <c r="D121" s="9">
        <f>B121-B120</f>
        <v>-1.2299999999999898</v>
      </c>
      <c r="E121" s="9">
        <f>C121-C120</f>
        <v>-1.0900000000000318</v>
      </c>
      <c r="F121" s="3">
        <f>F$1/B121</f>
        <v>659.84823490597159</v>
      </c>
      <c r="G121" s="3">
        <f>F$1/C121</f>
        <v>230.74438137431355</v>
      </c>
      <c r="H121" s="2">
        <f>D121*F120</f>
        <v>-805.07919884801004</v>
      </c>
      <c r="I121" s="2">
        <f>E121*G120</f>
        <v>-250.88038299538101</v>
      </c>
      <c r="J121" s="2">
        <f>I121-H121</f>
        <v>554.19881585262897</v>
      </c>
      <c r="K121" s="2">
        <f t="shared" si="12"/>
        <v>-554.19881585262897</v>
      </c>
      <c r="L121" s="3">
        <f>C121/B121</f>
        <v>2.8596502804354995</v>
      </c>
      <c r="M121" s="3">
        <f t="shared" si="13"/>
        <v>2.8675886301639864</v>
      </c>
      <c r="N121" s="3">
        <f t="shared" si="17"/>
        <v>2.8869832554021051</v>
      </c>
      <c r="O121" s="3">
        <f t="shared" si="18"/>
        <v>2.9148041219114629</v>
      </c>
      <c r="P121" s="12" t="s">
        <v>11</v>
      </c>
      <c r="Q121" s="4" t="str">
        <f t="shared" si="16"/>
        <v>UNDER</v>
      </c>
      <c r="R121" s="4" t="str">
        <f t="shared" si="16"/>
        <v>UNDER</v>
      </c>
      <c r="S121" s="4" t="str">
        <f t="shared" si="14"/>
        <v>UNDER</v>
      </c>
      <c r="T121" s="12" t="s">
        <v>11</v>
      </c>
      <c r="U121" s="2">
        <f>IF(Q121="OVER",$J121,$K121)</f>
        <v>-554.19881585262897</v>
      </c>
      <c r="V121" s="2">
        <f>IF(R121="OVER",$J121,$K121)</f>
        <v>-554.19881585262897</v>
      </c>
      <c r="W121" s="2">
        <f>IF(S121="OVER",$J121,$K121)</f>
        <v>-554.19881585262897</v>
      </c>
      <c r="X121" s="12" t="s">
        <v>11</v>
      </c>
      <c r="Y121" s="9">
        <f t="shared" si="15"/>
        <v>-2774.6490186317023</v>
      </c>
      <c r="Z121" s="9">
        <f t="shared" si="15"/>
        <v>2935.0994445191172</v>
      </c>
      <c r="AA121" s="9">
        <f t="shared" si="15"/>
        <v>4778.8713399250655</v>
      </c>
      <c r="AB121" s="12" t="s">
        <v>11</v>
      </c>
    </row>
    <row r="122" spans="1:28" x14ac:dyDescent="0.3">
      <c r="A122" s="1">
        <v>44588</v>
      </c>
      <c r="B122" s="2">
        <v>150.69999999999999</v>
      </c>
      <c r="C122" s="2">
        <v>431.24</v>
      </c>
      <c r="D122" s="9">
        <f>B122-B121</f>
        <v>-0.85000000000002274</v>
      </c>
      <c r="E122" s="9">
        <f>C122-C121</f>
        <v>-2.1399999999999864</v>
      </c>
      <c r="F122" s="3">
        <f>F$1/B122</f>
        <v>663.57000663570011</v>
      </c>
      <c r="G122" s="3">
        <f>F$1/C122</f>
        <v>231.88943511733606</v>
      </c>
      <c r="H122" s="2">
        <f>D122*F121</f>
        <v>-560.8709996700909</v>
      </c>
      <c r="I122" s="2">
        <f>E122*G121</f>
        <v>-493.79297614102785</v>
      </c>
      <c r="J122" s="2">
        <f>I122-H122</f>
        <v>67.078023529063046</v>
      </c>
      <c r="K122" s="2">
        <f t="shared" si="12"/>
        <v>-67.078023529063046</v>
      </c>
      <c r="L122" s="3">
        <f>C122/B122</f>
        <v>2.8615792966157931</v>
      </c>
      <c r="M122" s="3">
        <f t="shared" si="13"/>
        <v>2.8640841774382588</v>
      </c>
      <c r="N122" s="3">
        <f t="shared" si="17"/>
        <v>2.8836049476729295</v>
      </c>
      <c r="O122" s="3">
        <f t="shared" si="18"/>
        <v>2.9143033543577048</v>
      </c>
      <c r="P122" s="12" t="s">
        <v>11</v>
      </c>
      <c r="Q122" s="4" t="str">
        <f t="shared" si="16"/>
        <v>UNDER</v>
      </c>
      <c r="R122" s="4" t="str">
        <f t="shared" si="16"/>
        <v>UNDER</v>
      </c>
      <c r="S122" s="4" t="str">
        <f t="shared" si="14"/>
        <v>UNDER</v>
      </c>
      <c r="T122" s="12" t="s">
        <v>11</v>
      </c>
      <c r="U122" s="2">
        <f>IF(Q122="OVER",$J122,$K122)</f>
        <v>-67.078023529063046</v>
      </c>
      <c r="V122" s="2">
        <f>IF(R122="OVER",$J122,$K122)</f>
        <v>-67.078023529063046</v>
      </c>
      <c r="W122" s="2">
        <f>IF(S122="OVER",$J122,$K122)</f>
        <v>-67.078023529063046</v>
      </c>
      <c r="X122" s="12" t="s">
        <v>11</v>
      </c>
      <c r="Y122" s="9">
        <f t="shared" si="15"/>
        <v>-2841.7270421607654</v>
      </c>
      <c r="Z122" s="9">
        <f t="shared" si="15"/>
        <v>2868.0214209900541</v>
      </c>
      <c r="AA122" s="9">
        <f t="shared" si="15"/>
        <v>4711.7933163960024</v>
      </c>
      <c r="AB122" s="12" t="s">
        <v>11</v>
      </c>
    </row>
    <row r="123" spans="1:28" x14ac:dyDescent="0.3">
      <c r="A123" s="1">
        <v>44589</v>
      </c>
      <c r="B123" s="2">
        <v>153.28</v>
      </c>
      <c r="C123" s="2">
        <v>441.95</v>
      </c>
      <c r="D123" s="9">
        <f>B123-B122</f>
        <v>2.5800000000000125</v>
      </c>
      <c r="E123" s="9">
        <f>C123-C122</f>
        <v>10.70999999999998</v>
      </c>
      <c r="F123" s="3">
        <f>F$1/B123</f>
        <v>652.40083507306883</v>
      </c>
      <c r="G123" s="3">
        <f>F$1/C123</f>
        <v>226.2699400384659</v>
      </c>
      <c r="H123" s="2">
        <f>D123*F122</f>
        <v>1712.0106171201146</v>
      </c>
      <c r="I123" s="2">
        <f>E123*G122</f>
        <v>2483.5358501066644</v>
      </c>
      <c r="J123" s="2">
        <f>I123-H123</f>
        <v>771.52523298654978</v>
      </c>
      <c r="K123" s="2">
        <f t="shared" si="12"/>
        <v>-771.52523298654978</v>
      </c>
      <c r="L123" s="3">
        <f>C123/B123</f>
        <v>2.8832854906054277</v>
      </c>
      <c r="M123" s="3">
        <f t="shared" si="13"/>
        <v>2.8654177926053133</v>
      </c>
      <c r="N123" s="3">
        <f t="shared" si="17"/>
        <v>2.8814835079174865</v>
      </c>
      <c r="O123" s="3">
        <f t="shared" si="18"/>
        <v>2.9140832864468575</v>
      </c>
      <c r="P123" s="12" t="s">
        <v>11</v>
      </c>
      <c r="Q123" s="4" t="str">
        <f t="shared" si="16"/>
        <v>UNDER</v>
      </c>
      <c r="R123" s="4" t="str">
        <f t="shared" si="16"/>
        <v>UNDER</v>
      </c>
      <c r="S123" s="4" t="str">
        <f t="shared" si="14"/>
        <v>UNDER</v>
      </c>
      <c r="T123" s="12" t="s">
        <v>11</v>
      </c>
      <c r="U123" s="2">
        <f>IF(Q123="OVER",$J123,$K123)</f>
        <v>-771.52523298654978</v>
      </c>
      <c r="V123" s="2">
        <f>IF(R123="OVER",$J123,$K123)</f>
        <v>-771.52523298654978</v>
      </c>
      <c r="W123" s="2">
        <f>IF(S123="OVER",$J123,$K123)</f>
        <v>-771.52523298654978</v>
      </c>
      <c r="X123" s="12" t="s">
        <v>11</v>
      </c>
      <c r="Y123" s="9">
        <f t="shared" si="15"/>
        <v>-3613.2522751473152</v>
      </c>
      <c r="Z123" s="9">
        <f t="shared" si="15"/>
        <v>2096.4961880035044</v>
      </c>
      <c r="AA123" s="9">
        <f t="shared" si="15"/>
        <v>3940.2680834094526</v>
      </c>
      <c r="AB123" s="12" t="s">
        <v>11</v>
      </c>
    </row>
    <row r="124" spans="1:28" x14ac:dyDescent="0.3">
      <c r="A124" s="1">
        <v>44592</v>
      </c>
      <c r="B124" s="2">
        <v>155.63999999999999</v>
      </c>
      <c r="C124" s="2">
        <v>449.91</v>
      </c>
      <c r="D124" s="9">
        <f>B124-B123</f>
        <v>2.3599999999999852</v>
      </c>
      <c r="E124" s="9">
        <f>C124-C123</f>
        <v>7.9600000000000364</v>
      </c>
      <c r="F124" s="3">
        <f>F$1/B124</f>
        <v>642.508352608584</v>
      </c>
      <c r="G124" s="3">
        <f>F$1/C124</f>
        <v>222.26667555733368</v>
      </c>
      <c r="H124" s="2">
        <f>D124*F123</f>
        <v>1539.6659707724327</v>
      </c>
      <c r="I124" s="2">
        <f>E124*G123</f>
        <v>1801.1087227061969</v>
      </c>
      <c r="J124" s="2">
        <f>I124-H124</f>
        <v>261.44275193376416</v>
      </c>
      <c r="K124" s="2">
        <f t="shared" si="12"/>
        <v>-261.44275193376416</v>
      </c>
      <c r="L124" s="3">
        <f>C124/B124</f>
        <v>2.8907093292212802</v>
      </c>
      <c r="M124" s="3">
        <f t="shared" si="13"/>
        <v>2.8668788728228991</v>
      </c>
      <c r="N124" s="3">
        <f t="shared" si="17"/>
        <v>2.8801019236873064</v>
      </c>
      <c r="O124" s="3">
        <f t="shared" si="18"/>
        <v>2.913844397634457</v>
      </c>
      <c r="P124" s="12" t="s">
        <v>11</v>
      </c>
      <c r="Q124" s="4" t="str">
        <f t="shared" si="16"/>
        <v>OVER</v>
      </c>
      <c r="R124" s="4" t="str">
        <f t="shared" si="16"/>
        <v>OVER</v>
      </c>
      <c r="S124" s="4" t="str">
        <f t="shared" si="14"/>
        <v>UNDER</v>
      </c>
      <c r="T124" s="12" t="s">
        <v>11</v>
      </c>
      <c r="U124" s="2">
        <f>IF(Q124="OVER",$J124,$K124)</f>
        <v>261.44275193376416</v>
      </c>
      <c r="V124" s="2">
        <f>IF(R124="OVER",$J124,$K124)</f>
        <v>261.44275193376416</v>
      </c>
      <c r="W124" s="2">
        <f>IF(S124="OVER",$J124,$K124)</f>
        <v>-261.44275193376416</v>
      </c>
      <c r="X124" s="12" t="s">
        <v>11</v>
      </c>
      <c r="Y124" s="9">
        <f t="shared" si="15"/>
        <v>-3351.8095232135511</v>
      </c>
      <c r="Z124" s="9">
        <f t="shared" si="15"/>
        <v>2357.9389399372685</v>
      </c>
      <c r="AA124" s="9">
        <f t="shared" si="15"/>
        <v>3678.8253314756885</v>
      </c>
      <c r="AB124" s="12" t="s">
        <v>11</v>
      </c>
    </row>
    <row r="125" spans="1:28" x14ac:dyDescent="0.3">
      <c r="A125" s="1">
        <v>44593</v>
      </c>
      <c r="B125" s="2">
        <v>156.85</v>
      </c>
      <c r="C125" s="2">
        <v>452.95</v>
      </c>
      <c r="D125" s="9">
        <f>B125-B124</f>
        <v>1.210000000000008</v>
      </c>
      <c r="E125" s="9">
        <f>C125-C124</f>
        <v>3.0399999999999636</v>
      </c>
      <c r="F125" s="3">
        <f>F$1/B125</f>
        <v>637.55180108383809</v>
      </c>
      <c r="G125" s="3">
        <f>F$1/C125</f>
        <v>220.77491996909151</v>
      </c>
      <c r="H125" s="2">
        <f>D125*F124</f>
        <v>777.43510665639178</v>
      </c>
      <c r="I125" s="2">
        <f>E125*G124</f>
        <v>675.69069369428632</v>
      </c>
      <c r="J125" s="2">
        <f>I125-H125</f>
        <v>-101.74441296210546</v>
      </c>
      <c r="K125" s="2">
        <f t="shared" si="12"/>
        <v>101.74441296210546</v>
      </c>
      <c r="L125" s="3">
        <f>C125/B125</f>
        <v>2.8877908830092447</v>
      </c>
      <c r="M125" s="3">
        <f t="shared" si="13"/>
        <v>2.8685753877007683</v>
      </c>
      <c r="N125" s="3">
        <f t="shared" si="17"/>
        <v>2.8778557013696</v>
      </c>
      <c r="O125" s="3">
        <f t="shared" si="18"/>
        <v>2.9131360918270959</v>
      </c>
      <c r="P125" s="12" t="s">
        <v>11</v>
      </c>
      <c r="Q125" s="4" t="str">
        <f t="shared" si="16"/>
        <v>OVER</v>
      </c>
      <c r="R125" s="4" t="str">
        <f t="shared" si="16"/>
        <v>OVER</v>
      </c>
      <c r="S125" s="4" t="str">
        <f t="shared" si="14"/>
        <v>UNDER</v>
      </c>
      <c r="T125" s="12" t="s">
        <v>11</v>
      </c>
      <c r="U125" s="2">
        <f>IF(Q125="OVER",$J125,$K125)</f>
        <v>-101.74441296210546</v>
      </c>
      <c r="V125" s="2">
        <f>IF(R125="OVER",$J125,$K125)</f>
        <v>-101.74441296210546</v>
      </c>
      <c r="W125" s="2">
        <f>IF(S125="OVER",$J125,$K125)</f>
        <v>101.74441296210546</v>
      </c>
      <c r="X125" s="12" t="s">
        <v>11</v>
      </c>
      <c r="Y125" s="9">
        <f t="shared" si="15"/>
        <v>-3453.5539361756564</v>
      </c>
      <c r="Z125" s="9">
        <f t="shared" si="15"/>
        <v>2256.1945269751632</v>
      </c>
      <c r="AA125" s="9">
        <f t="shared" si="15"/>
        <v>3780.5697444377938</v>
      </c>
      <c r="AB125" s="12" t="s">
        <v>11</v>
      </c>
    </row>
    <row r="126" spans="1:28" x14ac:dyDescent="0.3">
      <c r="A126" s="1">
        <v>44594</v>
      </c>
      <c r="B126" s="2">
        <v>157.87</v>
      </c>
      <c r="C126" s="2">
        <v>457.35</v>
      </c>
      <c r="D126" s="9">
        <f>B126-B125</f>
        <v>1.0200000000000102</v>
      </c>
      <c r="E126" s="9">
        <f>C126-C125</f>
        <v>4.4000000000000341</v>
      </c>
      <c r="F126" s="3">
        <f>F$1/B126</f>
        <v>633.43257110280604</v>
      </c>
      <c r="G126" s="3">
        <f>F$1/C126</f>
        <v>218.65092380015304</v>
      </c>
      <c r="H126" s="2">
        <f>D126*F125</f>
        <v>650.30283710552135</v>
      </c>
      <c r="I126" s="2">
        <f>E126*G125</f>
        <v>971.40964786401014</v>
      </c>
      <c r="J126" s="2">
        <f>I126-H126</f>
        <v>321.10681075848879</v>
      </c>
      <c r="K126" s="2">
        <f t="shared" si="12"/>
        <v>-321.10681075848879</v>
      </c>
      <c r="L126" s="3">
        <f>C126/B126</f>
        <v>2.8970038639386839</v>
      </c>
      <c r="M126" s="3">
        <f t="shared" si="13"/>
        <v>2.8711951945318503</v>
      </c>
      <c r="N126" s="3">
        <f t="shared" si="17"/>
        <v>2.8772887203887025</v>
      </c>
      <c r="O126" s="3">
        <f t="shared" si="18"/>
        <v>2.9123364259176459</v>
      </c>
      <c r="P126" s="12" t="s">
        <v>11</v>
      </c>
      <c r="Q126" s="4" t="str">
        <f t="shared" si="16"/>
        <v>OVER</v>
      </c>
      <c r="R126" s="4" t="str">
        <f t="shared" si="16"/>
        <v>OVER</v>
      </c>
      <c r="S126" s="4" t="str">
        <f t="shared" si="14"/>
        <v>UNDER</v>
      </c>
      <c r="T126" s="12" t="s">
        <v>11</v>
      </c>
      <c r="U126" s="2">
        <f>IF(Q126="OVER",$J126,$K126)</f>
        <v>321.10681075848879</v>
      </c>
      <c r="V126" s="2">
        <f>IF(R126="OVER",$J126,$K126)</f>
        <v>321.10681075848879</v>
      </c>
      <c r="W126" s="2">
        <f>IF(S126="OVER",$J126,$K126)</f>
        <v>-321.10681075848879</v>
      </c>
      <c r="X126" s="12" t="s">
        <v>11</v>
      </c>
      <c r="Y126" s="9">
        <f t="shared" si="15"/>
        <v>-3132.4471254171676</v>
      </c>
      <c r="Z126" s="9">
        <f t="shared" si="15"/>
        <v>2577.301337733652</v>
      </c>
      <c r="AA126" s="9">
        <f t="shared" si="15"/>
        <v>3459.462933679305</v>
      </c>
      <c r="AB126" s="12" t="s">
        <v>11</v>
      </c>
    </row>
    <row r="127" spans="1:28" x14ac:dyDescent="0.3">
      <c r="A127" s="1">
        <v>44595</v>
      </c>
      <c r="B127" s="2">
        <v>155.87</v>
      </c>
      <c r="C127" s="2">
        <v>446.6</v>
      </c>
      <c r="D127" s="9">
        <f>B127-B126</f>
        <v>-2</v>
      </c>
      <c r="E127" s="9">
        <f>C127-C126</f>
        <v>-10.75</v>
      </c>
      <c r="F127" s="3">
        <f>F$1/B127</f>
        <v>641.56027458779749</v>
      </c>
      <c r="G127" s="3">
        <f>F$1/C127</f>
        <v>223.91401701746528</v>
      </c>
      <c r="H127" s="2">
        <f>D127*F126</f>
        <v>-1266.8651422056121</v>
      </c>
      <c r="I127" s="2">
        <f>E127*G126</f>
        <v>-2350.4974308516453</v>
      </c>
      <c r="J127" s="2">
        <f>I127-H127</f>
        <v>-1083.6322886460332</v>
      </c>
      <c r="K127" s="2">
        <f t="shared" si="12"/>
        <v>1083.6322886460332</v>
      </c>
      <c r="L127" s="3">
        <f>C127/B127</f>
        <v>2.8652081863091037</v>
      </c>
      <c r="M127" s="3">
        <f t="shared" si="13"/>
        <v>2.8701580831936568</v>
      </c>
      <c r="N127" s="3">
        <f t="shared" si="17"/>
        <v>2.8756923226280149</v>
      </c>
      <c r="O127" s="3">
        <f t="shared" si="18"/>
        <v>2.9111577878927335</v>
      </c>
      <c r="P127" s="12" t="s">
        <v>11</v>
      </c>
      <c r="Q127" s="4" t="str">
        <f t="shared" si="16"/>
        <v>OVER</v>
      </c>
      <c r="R127" s="4" t="str">
        <f t="shared" si="16"/>
        <v>OVER</v>
      </c>
      <c r="S127" s="4" t="str">
        <f t="shared" si="14"/>
        <v>UNDER</v>
      </c>
      <c r="T127" s="12" t="s">
        <v>11</v>
      </c>
      <c r="U127" s="2">
        <f>IF(Q127="OVER",$J127,$K127)</f>
        <v>-1083.6322886460332</v>
      </c>
      <c r="V127" s="2">
        <f>IF(R127="OVER",$J127,$K127)</f>
        <v>-1083.6322886460332</v>
      </c>
      <c r="W127" s="2">
        <f>IF(S127="OVER",$J127,$K127)</f>
        <v>1083.6322886460332</v>
      </c>
      <c r="X127" s="12" t="s">
        <v>11</v>
      </c>
      <c r="Y127" s="9">
        <f t="shared" si="15"/>
        <v>-4216.0794140632006</v>
      </c>
      <c r="Z127" s="9">
        <f t="shared" si="15"/>
        <v>1493.6690490876188</v>
      </c>
      <c r="AA127" s="9">
        <f t="shared" si="15"/>
        <v>4543.095222325338</v>
      </c>
      <c r="AB127" s="12" t="s">
        <v>11</v>
      </c>
    </row>
    <row r="128" spans="1:28" x14ac:dyDescent="0.3">
      <c r="A128" s="1">
        <v>44596</v>
      </c>
      <c r="B128" s="2">
        <v>155.72999999999999</v>
      </c>
      <c r="C128" s="2">
        <v>448.7</v>
      </c>
      <c r="D128" s="9">
        <f>B128-B127</f>
        <v>-0.14000000000001478</v>
      </c>
      <c r="E128" s="9">
        <f>C128-C127</f>
        <v>2.0999999999999659</v>
      </c>
      <c r="F128" s="3">
        <f>F$1/B128</f>
        <v>642.137032042638</v>
      </c>
      <c r="G128" s="3">
        <f>F$1/C128</f>
        <v>222.86605749944283</v>
      </c>
      <c r="H128" s="2">
        <f>D128*F127</f>
        <v>-89.818438442301129</v>
      </c>
      <c r="I128" s="2">
        <f>E128*G127</f>
        <v>470.21943573666948</v>
      </c>
      <c r="J128" s="2">
        <f>I128-H128</f>
        <v>560.03787417897058</v>
      </c>
      <c r="K128" s="2">
        <f t="shared" si="12"/>
        <v>-560.03787417897058</v>
      </c>
      <c r="L128" s="3">
        <f>C128/B128</f>
        <v>2.8812688627753165</v>
      </c>
      <c r="M128" s="3">
        <f t="shared" si="13"/>
        <v>2.8721918216496456</v>
      </c>
      <c r="N128" s="3">
        <f t="shared" si="17"/>
        <v>2.8753565804307319</v>
      </c>
      <c r="O128" s="3">
        <f t="shared" si="18"/>
        <v>2.9104635338577567</v>
      </c>
      <c r="P128" s="12" t="s">
        <v>11</v>
      </c>
      <c r="Q128" s="4" t="str">
        <f t="shared" si="16"/>
        <v>UNDER</v>
      </c>
      <c r="R128" s="4" t="str">
        <f t="shared" si="16"/>
        <v>UNDER</v>
      </c>
      <c r="S128" s="4" t="str">
        <f t="shared" si="14"/>
        <v>UNDER</v>
      </c>
      <c r="T128" s="12" t="s">
        <v>11</v>
      </c>
      <c r="U128" s="2">
        <f>IF(Q128="OVER",$J128,$K128)</f>
        <v>-560.03787417897058</v>
      </c>
      <c r="V128" s="2">
        <f>IF(R128="OVER",$J128,$K128)</f>
        <v>-560.03787417897058</v>
      </c>
      <c r="W128" s="2">
        <f>IF(S128="OVER",$J128,$K128)</f>
        <v>-560.03787417897058</v>
      </c>
      <c r="X128" s="12" t="s">
        <v>11</v>
      </c>
      <c r="Y128" s="9">
        <f t="shared" si="15"/>
        <v>-4776.1172882421715</v>
      </c>
      <c r="Z128" s="9">
        <f t="shared" si="15"/>
        <v>933.63117490864818</v>
      </c>
      <c r="AA128" s="9">
        <f t="shared" si="15"/>
        <v>3983.0573481463675</v>
      </c>
      <c r="AB128" s="12" t="s">
        <v>11</v>
      </c>
    </row>
    <row r="129" spans="1:28" x14ac:dyDescent="0.3">
      <c r="A129" s="1">
        <v>44599</v>
      </c>
      <c r="B129" s="2">
        <v>155.83000000000001</v>
      </c>
      <c r="C129" s="2">
        <v>447.26</v>
      </c>
      <c r="D129" s="9">
        <f>B129-B128</f>
        <v>0.10000000000002274</v>
      </c>
      <c r="E129" s="9">
        <f>C129-C128</f>
        <v>-1.4399999999999977</v>
      </c>
      <c r="F129" s="3">
        <f>F$1/B129</f>
        <v>641.72495668356532</v>
      </c>
      <c r="G129" s="3">
        <f>F$1/C129</f>
        <v>223.58359790725754</v>
      </c>
      <c r="H129" s="2">
        <f>D129*F128</f>
        <v>64.213703204278403</v>
      </c>
      <c r="I129" s="2">
        <f>E129*G128</f>
        <v>-320.92712279919715</v>
      </c>
      <c r="J129" s="2">
        <f>I129-H129</f>
        <v>-385.14082600347558</v>
      </c>
      <c r="K129" s="2">
        <f t="shared" si="12"/>
        <v>385.14082600347558</v>
      </c>
      <c r="L129" s="3">
        <f>C129/B129</f>
        <v>2.8701790412629142</v>
      </c>
      <c r="M129" s="3">
        <f t="shared" si="13"/>
        <v>2.8740437506722025</v>
      </c>
      <c r="N129" s="3">
        <f t="shared" si="17"/>
        <v>2.8748060653491656</v>
      </c>
      <c r="O129" s="3">
        <f t="shared" si="18"/>
        <v>2.9094208995435724</v>
      </c>
      <c r="P129" s="12" t="s">
        <v>11</v>
      </c>
      <c r="Q129" s="4" t="str">
        <f t="shared" si="16"/>
        <v>OVER</v>
      </c>
      <c r="R129" s="4" t="str">
        <f t="shared" si="16"/>
        <v>OVER</v>
      </c>
      <c r="S129" s="4" t="str">
        <f t="shared" si="14"/>
        <v>UNDER</v>
      </c>
      <c r="T129" s="12" t="s">
        <v>11</v>
      </c>
      <c r="U129" s="2">
        <f>IF(Q129="OVER",$J129,$K129)</f>
        <v>-385.14082600347558</v>
      </c>
      <c r="V129" s="2">
        <f>IF(R129="OVER",$J129,$K129)</f>
        <v>-385.14082600347558</v>
      </c>
      <c r="W129" s="2">
        <f>IF(S129="OVER",$J129,$K129)</f>
        <v>385.14082600347558</v>
      </c>
      <c r="X129" s="12" t="s">
        <v>11</v>
      </c>
      <c r="Y129" s="9">
        <f t="shared" si="15"/>
        <v>-5161.2581142456474</v>
      </c>
      <c r="Z129" s="9">
        <f t="shared" si="15"/>
        <v>548.4903489051726</v>
      </c>
      <c r="AA129" s="9">
        <f t="shared" si="15"/>
        <v>4368.198174149843</v>
      </c>
      <c r="AB129" s="12" t="s">
        <v>11</v>
      </c>
    </row>
    <row r="130" spans="1:28" x14ac:dyDescent="0.3">
      <c r="A130" s="1">
        <v>44600</v>
      </c>
      <c r="B130" s="2">
        <v>157.26</v>
      </c>
      <c r="C130" s="2">
        <v>450.94</v>
      </c>
      <c r="D130" s="9">
        <f>B130-B129</f>
        <v>1.4299999999999784</v>
      </c>
      <c r="E130" s="9">
        <f>C130-C129</f>
        <v>3.6800000000000068</v>
      </c>
      <c r="F130" s="3">
        <f>F$1/B130</f>
        <v>635.8896095637798</v>
      </c>
      <c r="G130" s="3">
        <f>F$1/C130</f>
        <v>221.75899232713886</v>
      </c>
      <c r="H130" s="2">
        <f>D130*F129</f>
        <v>917.66668805748452</v>
      </c>
      <c r="I130" s="2">
        <f>E130*G129</f>
        <v>822.78764029870922</v>
      </c>
      <c r="J130" s="2">
        <f>I130-H130</f>
        <v>-94.8790477587753</v>
      </c>
      <c r="K130" s="2">
        <f t="shared" si="12"/>
        <v>94.8790477587753</v>
      </c>
      <c r="L130" s="3">
        <f>C130/B130</f>
        <v>2.8674806053669086</v>
      </c>
      <c r="M130" s="3">
        <f t="shared" si="13"/>
        <v>2.8764155839540173</v>
      </c>
      <c r="N130" s="3">
        <f t="shared" si="17"/>
        <v>2.8735758461145289</v>
      </c>
      <c r="O130" s="3">
        <f t="shared" si="18"/>
        <v>2.9081012032014666</v>
      </c>
      <c r="P130" s="12" t="s">
        <v>11</v>
      </c>
      <c r="Q130" s="4" t="str">
        <f t="shared" si="16"/>
        <v>UNDER</v>
      </c>
      <c r="R130" s="4" t="str">
        <f t="shared" si="16"/>
        <v>UNDER</v>
      </c>
      <c r="S130" s="4" t="str">
        <f t="shared" si="14"/>
        <v>UNDER</v>
      </c>
      <c r="T130" s="12" t="s">
        <v>11</v>
      </c>
      <c r="U130" s="2">
        <f>IF(Q130="OVER",$J130,$K130)</f>
        <v>94.8790477587753</v>
      </c>
      <c r="V130" s="2">
        <f>IF(R130="OVER",$J130,$K130)</f>
        <v>94.8790477587753</v>
      </c>
      <c r="W130" s="2">
        <f>IF(S130="OVER",$J130,$K130)</f>
        <v>94.8790477587753</v>
      </c>
      <c r="X130" s="12" t="s">
        <v>11</v>
      </c>
      <c r="Y130" s="9">
        <f t="shared" si="15"/>
        <v>-5066.379066486872</v>
      </c>
      <c r="Z130" s="9">
        <f t="shared" si="15"/>
        <v>643.3693966639479</v>
      </c>
      <c r="AA130" s="9">
        <f t="shared" si="15"/>
        <v>4463.0772219086184</v>
      </c>
      <c r="AB130" s="12" t="s">
        <v>11</v>
      </c>
    </row>
    <row r="131" spans="1:28" x14ac:dyDescent="0.3">
      <c r="A131" s="1">
        <v>44601</v>
      </c>
      <c r="B131" s="2">
        <v>159.91999999999999</v>
      </c>
      <c r="C131" s="2">
        <v>457.54</v>
      </c>
      <c r="D131" s="9">
        <f>B131-B130</f>
        <v>2.6599999999999966</v>
      </c>
      <c r="E131" s="9">
        <f>C131-C130</f>
        <v>6.6000000000000227</v>
      </c>
      <c r="F131" s="3">
        <f>F$1/B131</f>
        <v>625.31265632816417</v>
      </c>
      <c r="G131" s="3">
        <f>F$1/C131</f>
        <v>218.56012589063249</v>
      </c>
      <c r="H131" s="2">
        <f>D131*F130</f>
        <v>1691.466361439652</v>
      </c>
      <c r="I131" s="2">
        <f>E131*G130</f>
        <v>1463.6093493591216</v>
      </c>
      <c r="J131" s="2">
        <f>I131-H131</f>
        <v>-227.85701208053047</v>
      </c>
      <c r="K131" s="2">
        <f t="shared" si="12"/>
        <v>227.85701208053047</v>
      </c>
      <c r="L131" s="3">
        <f>C131/B131</f>
        <v>2.8610555277638823</v>
      </c>
      <c r="M131" s="3">
        <f t="shared" si="13"/>
        <v>2.876556108686855</v>
      </c>
      <c r="N131" s="3">
        <f t="shared" si="17"/>
        <v>2.8720723694254211</v>
      </c>
      <c r="O131" s="3">
        <f t="shared" si="18"/>
        <v>2.9064264526931707</v>
      </c>
      <c r="P131" s="12" t="s">
        <v>11</v>
      </c>
      <c r="Q131" s="4" t="str">
        <f t="shared" si="16"/>
        <v>UNDER</v>
      </c>
      <c r="R131" s="4" t="str">
        <f t="shared" si="16"/>
        <v>UNDER</v>
      </c>
      <c r="S131" s="4" t="str">
        <f t="shared" si="14"/>
        <v>UNDER</v>
      </c>
      <c r="T131" s="12" t="s">
        <v>11</v>
      </c>
      <c r="U131" s="2">
        <f>IF(Q131="OVER",$J131,$K131)</f>
        <v>227.85701208053047</v>
      </c>
      <c r="V131" s="2">
        <f>IF(R131="OVER",$J131,$K131)</f>
        <v>227.85701208053047</v>
      </c>
      <c r="W131" s="2">
        <f>IF(S131="OVER",$J131,$K131)</f>
        <v>227.85701208053047</v>
      </c>
      <c r="X131" s="12" t="s">
        <v>11</v>
      </c>
      <c r="Y131" s="9">
        <f t="shared" si="15"/>
        <v>-4838.5220544063413</v>
      </c>
      <c r="Z131" s="9">
        <f t="shared" si="15"/>
        <v>871.22640874447836</v>
      </c>
      <c r="AA131" s="9">
        <f t="shared" si="15"/>
        <v>4690.9342339891491</v>
      </c>
      <c r="AB131" s="12" t="s">
        <v>11</v>
      </c>
    </row>
    <row r="132" spans="1:28" x14ac:dyDescent="0.3">
      <c r="A132" s="1">
        <v>44602</v>
      </c>
      <c r="B132" s="2">
        <v>157.4</v>
      </c>
      <c r="C132" s="2">
        <v>449.32</v>
      </c>
      <c r="D132" s="9">
        <f>B132-B131</f>
        <v>-2.5199999999999818</v>
      </c>
      <c r="E132" s="9">
        <f>C132-C131</f>
        <v>-8.2200000000000273</v>
      </c>
      <c r="F132" s="3">
        <f>F$1/B132</f>
        <v>635.32401524777629</v>
      </c>
      <c r="G132" s="3">
        <f>F$1/C132</f>
        <v>222.55853289415117</v>
      </c>
      <c r="H132" s="2">
        <f>D132*F131</f>
        <v>-1575.7878939469624</v>
      </c>
      <c r="I132" s="2">
        <f>E132*G131</f>
        <v>-1796.5642348210051</v>
      </c>
      <c r="J132" s="2">
        <f>I132-H132</f>
        <v>-220.77634087404272</v>
      </c>
      <c r="K132" s="2">
        <f t="shared" si="12"/>
        <v>220.77634087404272</v>
      </c>
      <c r="L132" s="3">
        <f>C132/B132</f>
        <v>2.8546378653113087</v>
      </c>
      <c r="M132" s="3">
        <f t="shared" si="13"/>
        <v>2.8758619655564068</v>
      </c>
      <c r="N132" s="3">
        <f t="shared" si="17"/>
        <v>2.8699730714973328</v>
      </c>
      <c r="O132" s="3">
        <f t="shared" si="18"/>
        <v>2.9041976395846563</v>
      </c>
      <c r="P132" s="12" t="s">
        <v>11</v>
      </c>
      <c r="Q132" s="4" t="str">
        <f t="shared" si="16"/>
        <v>UNDER</v>
      </c>
      <c r="R132" s="4" t="str">
        <f t="shared" si="16"/>
        <v>UNDER</v>
      </c>
      <c r="S132" s="4" t="str">
        <f t="shared" si="14"/>
        <v>UNDER</v>
      </c>
      <c r="T132" s="12" t="s">
        <v>11</v>
      </c>
      <c r="U132" s="2">
        <f>IF(Q132="OVER",$J132,$K132)</f>
        <v>220.77634087404272</v>
      </c>
      <c r="V132" s="2">
        <f>IF(R132="OVER",$J132,$K132)</f>
        <v>220.77634087404272</v>
      </c>
      <c r="W132" s="2">
        <f>IF(S132="OVER",$J132,$K132)</f>
        <v>220.77634087404272</v>
      </c>
      <c r="X132" s="12" t="s">
        <v>11</v>
      </c>
      <c r="Y132" s="9">
        <f t="shared" si="15"/>
        <v>-4617.7457135322984</v>
      </c>
      <c r="Z132" s="9">
        <f t="shared" si="15"/>
        <v>1092.0027496185212</v>
      </c>
      <c r="AA132" s="9">
        <f t="shared" si="15"/>
        <v>4911.7105748631921</v>
      </c>
      <c r="AB132" s="12" t="s">
        <v>11</v>
      </c>
    </row>
    <row r="133" spans="1:28" x14ac:dyDescent="0.3">
      <c r="A133" s="1">
        <v>44603</v>
      </c>
      <c r="B133" s="2">
        <v>155.32</v>
      </c>
      <c r="C133" s="2">
        <v>440.46</v>
      </c>
      <c r="D133" s="9">
        <f>B133-B132</f>
        <v>-2.0800000000000125</v>
      </c>
      <c r="E133" s="9">
        <f>C133-C132</f>
        <v>-8.8600000000000136</v>
      </c>
      <c r="F133" s="3">
        <f>F$1/B133</f>
        <v>643.83208859129547</v>
      </c>
      <c r="G133" s="3">
        <f>F$1/C133</f>
        <v>227.03537211097489</v>
      </c>
      <c r="H133" s="2">
        <f>D133*F132</f>
        <v>-1321.4739517153826</v>
      </c>
      <c r="I133" s="2">
        <f>E133*G132</f>
        <v>-1971.8686014421824</v>
      </c>
      <c r="J133" s="2">
        <f>I133-H133</f>
        <v>-650.3946497267998</v>
      </c>
      <c r="K133" s="2">
        <f t="shared" ref="K133:K196" si="19">H133-I133</f>
        <v>650.3946497267998</v>
      </c>
      <c r="L133" s="3">
        <f>C133/B133</f>
        <v>2.8358228174092197</v>
      </c>
      <c r="M133" s="3">
        <f t="shared" si="13"/>
        <v>2.8711156982367858</v>
      </c>
      <c r="N133" s="3">
        <f t="shared" si="17"/>
        <v>2.8682667454210495</v>
      </c>
      <c r="O133" s="3">
        <f t="shared" si="18"/>
        <v>2.9015127246248231</v>
      </c>
      <c r="P133" s="12" t="s">
        <v>11</v>
      </c>
      <c r="Q133" s="4" t="str">
        <f t="shared" si="16"/>
        <v>UNDER</v>
      </c>
      <c r="R133" s="4" t="str">
        <f t="shared" si="16"/>
        <v>UNDER</v>
      </c>
      <c r="S133" s="4" t="str">
        <f t="shared" si="14"/>
        <v>UNDER</v>
      </c>
      <c r="T133" s="12" t="s">
        <v>11</v>
      </c>
      <c r="U133" s="2">
        <f>IF(Q133="OVER",$J133,$K133)</f>
        <v>650.3946497267998</v>
      </c>
      <c r="V133" s="2">
        <f>IF(R133="OVER",$J133,$K133)</f>
        <v>650.3946497267998</v>
      </c>
      <c r="W133" s="2">
        <f>IF(S133="OVER",$J133,$K133)</f>
        <v>650.3946497267998</v>
      </c>
      <c r="X133" s="12" t="s">
        <v>11</v>
      </c>
      <c r="Y133" s="9">
        <f t="shared" si="15"/>
        <v>-3967.3510638054986</v>
      </c>
      <c r="Z133" s="9">
        <f t="shared" si="15"/>
        <v>1742.397399345321</v>
      </c>
      <c r="AA133" s="9">
        <f t="shared" si="15"/>
        <v>5562.1052245899918</v>
      </c>
      <c r="AB133" s="12" t="s">
        <v>11</v>
      </c>
    </row>
    <row r="134" spans="1:28" x14ac:dyDescent="0.3">
      <c r="A134" s="1">
        <v>44606</v>
      </c>
      <c r="B134" s="2">
        <v>154.08000000000001</v>
      </c>
      <c r="C134" s="2">
        <v>439.02</v>
      </c>
      <c r="D134" s="9">
        <f>B134-B133</f>
        <v>-1.2399999999999807</v>
      </c>
      <c r="E134" s="9">
        <f>C134-C133</f>
        <v>-1.4399999999999977</v>
      </c>
      <c r="F134" s="3">
        <f>F$1/B134</f>
        <v>649.01349948078916</v>
      </c>
      <c r="G134" s="3">
        <f>F$1/C134</f>
        <v>227.78005557833356</v>
      </c>
      <c r="H134" s="2">
        <f>D134*F133</f>
        <v>-798.35178985319396</v>
      </c>
      <c r="I134" s="2">
        <f>E134*G133</f>
        <v>-326.93093583980334</v>
      </c>
      <c r="J134" s="2">
        <f>I134-H134</f>
        <v>471.42085401339062</v>
      </c>
      <c r="K134" s="2">
        <f t="shared" si="19"/>
        <v>-471.42085401339062</v>
      </c>
      <c r="L134" s="3">
        <f>C134/B134</f>
        <v>2.8492990654205603</v>
      </c>
      <c r="M134" s="3">
        <f t="shared" si="13"/>
        <v>2.8669746718567142</v>
      </c>
      <c r="N134" s="3">
        <f t="shared" si="17"/>
        <v>2.8669267723398066</v>
      </c>
      <c r="O134" s="3">
        <f t="shared" si="18"/>
        <v>2.8996123203522886</v>
      </c>
      <c r="P134" s="12" t="s">
        <v>11</v>
      </c>
      <c r="Q134" s="4" t="str">
        <f t="shared" si="16"/>
        <v>UNDER</v>
      </c>
      <c r="R134" s="4" t="str">
        <f t="shared" si="16"/>
        <v>UNDER</v>
      </c>
      <c r="S134" s="4" t="str">
        <f t="shared" si="14"/>
        <v>UNDER</v>
      </c>
      <c r="T134" s="12" t="s">
        <v>11</v>
      </c>
      <c r="U134" s="2">
        <f>IF(Q134="OVER",$J134,$K134)</f>
        <v>-471.42085401339062</v>
      </c>
      <c r="V134" s="2">
        <f>IF(R134="OVER",$J134,$K134)</f>
        <v>-471.42085401339062</v>
      </c>
      <c r="W134" s="2">
        <f>IF(S134="OVER",$J134,$K134)</f>
        <v>-471.42085401339062</v>
      </c>
      <c r="X134" s="12" t="s">
        <v>11</v>
      </c>
      <c r="Y134" s="9">
        <f t="shared" si="15"/>
        <v>-4438.7719178188891</v>
      </c>
      <c r="Z134" s="9">
        <f t="shared" si="15"/>
        <v>1270.9765453319303</v>
      </c>
      <c r="AA134" s="9">
        <f t="shared" si="15"/>
        <v>5090.6843705766014</v>
      </c>
      <c r="AB134" s="12" t="s">
        <v>11</v>
      </c>
    </row>
    <row r="135" spans="1:28" x14ac:dyDescent="0.3">
      <c r="A135" s="1">
        <v>44607</v>
      </c>
      <c r="B135" s="2">
        <v>156.43</v>
      </c>
      <c r="C135" s="2">
        <v>446.1</v>
      </c>
      <c r="D135" s="9">
        <f>B135-B134</f>
        <v>2.3499999999999943</v>
      </c>
      <c r="E135" s="9">
        <f>C135-C134</f>
        <v>7.0800000000000409</v>
      </c>
      <c r="F135" s="3">
        <f>F$1/B135</f>
        <v>639.26356836923856</v>
      </c>
      <c r="G135" s="3">
        <f>F$1/C135</f>
        <v>224.16498542927593</v>
      </c>
      <c r="H135" s="2">
        <f>D135*F134</f>
        <v>1525.1817237798509</v>
      </c>
      <c r="I135" s="2">
        <f>E135*G134</f>
        <v>1612.6827934946109</v>
      </c>
      <c r="J135" s="2">
        <f>I135-H135</f>
        <v>87.501069714759979</v>
      </c>
      <c r="K135" s="2">
        <f t="shared" si="19"/>
        <v>-87.501069714759979</v>
      </c>
      <c r="L135" s="3">
        <f>C135/B135</f>
        <v>2.8517547784951738</v>
      </c>
      <c r="M135" s="3">
        <f t="shared" si="13"/>
        <v>2.8633710614053074</v>
      </c>
      <c r="N135" s="3">
        <f t="shared" si="17"/>
        <v>2.8659732245530369</v>
      </c>
      <c r="O135" s="3">
        <f t="shared" si="18"/>
        <v>2.8979522702911242</v>
      </c>
      <c r="P135" s="12" t="s">
        <v>11</v>
      </c>
      <c r="Q135" s="4" t="str">
        <f t="shared" si="16"/>
        <v>UNDER</v>
      </c>
      <c r="R135" s="4" t="str">
        <f t="shared" si="16"/>
        <v>UNDER</v>
      </c>
      <c r="S135" s="4" t="str">
        <f t="shared" si="14"/>
        <v>UNDER</v>
      </c>
      <c r="T135" s="12" t="s">
        <v>11</v>
      </c>
      <c r="U135" s="2">
        <f>IF(Q135="OVER",$J135,$K135)</f>
        <v>-87.501069714759979</v>
      </c>
      <c r="V135" s="2">
        <f>IF(R135="OVER",$J135,$K135)</f>
        <v>-87.501069714759979</v>
      </c>
      <c r="W135" s="2">
        <f>IF(S135="OVER",$J135,$K135)</f>
        <v>-87.501069714759979</v>
      </c>
      <c r="X135" s="12" t="s">
        <v>11</v>
      </c>
      <c r="Y135" s="9">
        <f t="shared" si="15"/>
        <v>-4526.272987533649</v>
      </c>
      <c r="Z135" s="9">
        <f t="shared" si="15"/>
        <v>1183.4754756171703</v>
      </c>
      <c r="AA135" s="9">
        <f t="shared" si="15"/>
        <v>5003.1833008618414</v>
      </c>
      <c r="AB135" s="12" t="s">
        <v>11</v>
      </c>
    </row>
    <row r="136" spans="1:28" x14ac:dyDescent="0.3">
      <c r="A136" s="1">
        <v>44608</v>
      </c>
      <c r="B136" s="2">
        <v>156.94999999999999</v>
      </c>
      <c r="C136" s="2">
        <v>446.6</v>
      </c>
      <c r="D136" s="9">
        <f>B136-B135</f>
        <v>0.51999999999998181</v>
      </c>
      <c r="E136" s="9">
        <f>C136-C135</f>
        <v>0.5</v>
      </c>
      <c r="F136" s="3">
        <f>F$1/B136</f>
        <v>637.14558776680474</v>
      </c>
      <c r="G136" s="3">
        <f>F$1/C136</f>
        <v>223.91401701746528</v>
      </c>
      <c r="H136" s="2">
        <f>D136*F135</f>
        <v>332.41705555199241</v>
      </c>
      <c r="I136" s="2">
        <f>E136*G135</f>
        <v>112.08249271463797</v>
      </c>
      <c r="J136" s="2">
        <f>I136-H136</f>
        <v>-220.33456283735444</v>
      </c>
      <c r="K136" s="2">
        <f t="shared" si="19"/>
        <v>220.33456283735444</v>
      </c>
      <c r="L136" s="3">
        <f>C136/B136</f>
        <v>2.8454921949665501</v>
      </c>
      <c r="M136" s="3">
        <f t="shared" si="13"/>
        <v>2.8582198945080934</v>
      </c>
      <c r="N136" s="3">
        <f t="shared" si="17"/>
        <v>2.8647075445199719</v>
      </c>
      <c r="O136" s="3">
        <f t="shared" si="18"/>
        <v>2.8963392492118216</v>
      </c>
      <c r="P136" s="12" t="s">
        <v>11</v>
      </c>
      <c r="Q136" s="4" t="str">
        <f t="shared" si="16"/>
        <v>UNDER</v>
      </c>
      <c r="R136" s="4" t="str">
        <f t="shared" si="16"/>
        <v>UNDER</v>
      </c>
      <c r="S136" s="4" t="str">
        <f t="shared" si="14"/>
        <v>UNDER</v>
      </c>
      <c r="T136" s="12" t="s">
        <v>11</v>
      </c>
      <c r="U136" s="2">
        <f>IF(Q136="OVER",$J136,$K136)</f>
        <v>220.33456283735444</v>
      </c>
      <c r="V136" s="2">
        <f>IF(R136="OVER",$J136,$K136)</f>
        <v>220.33456283735444</v>
      </c>
      <c r="W136" s="2">
        <f>IF(S136="OVER",$J136,$K136)</f>
        <v>220.33456283735444</v>
      </c>
      <c r="X136" s="12" t="s">
        <v>11</v>
      </c>
      <c r="Y136" s="9">
        <f t="shared" si="15"/>
        <v>-4305.9384246962945</v>
      </c>
      <c r="Z136" s="9">
        <f t="shared" si="15"/>
        <v>1403.8100384545248</v>
      </c>
      <c r="AA136" s="9">
        <f t="shared" si="15"/>
        <v>5223.5178636991959</v>
      </c>
      <c r="AB136" s="12" t="s">
        <v>11</v>
      </c>
    </row>
    <row r="137" spans="1:28" x14ac:dyDescent="0.3">
      <c r="A137" s="1">
        <v>44609</v>
      </c>
      <c r="B137" s="2">
        <v>154.13</v>
      </c>
      <c r="C137" s="2">
        <v>437.06</v>
      </c>
      <c r="D137" s="9">
        <f>B137-B136</f>
        <v>-2.8199999999999932</v>
      </c>
      <c r="E137" s="9">
        <f>C137-C136</f>
        <v>-9.5400000000000205</v>
      </c>
      <c r="F137" s="3">
        <f>F$1/B137</f>
        <v>648.80295854149097</v>
      </c>
      <c r="G137" s="3">
        <f>F$1/C137</f>
        <v>228.8015375463323</v>
      </c>
      <c r="H137" s="2">
        <f>D137*F136</f>
        <v>-1796.7505575023849</v>
      </c>
      <c r="I137" s="2">
        <f>E137*G136</f>
        <v>-2136.1397223466233</v>
      </c>
      <c r="J137" s="2">
        <f>I137-H137</f>
        <v>-339.38916484423839</v>
      </c>
      <c r="K137" s="2">
        <f t="shared" si="19"/>
        <v>339.38916484423839</v>
      </c>
      <c r="L137" s="3">
        <f>C137/B137</f>
        <v>2.8356582106014403</v>
      </c>
      <c r="M137" s="3">
        <f t="shared" si="13"/>
        <v>2.8552648969373275</v>
      </c>
      <c r="N137" s="3">
        <f t="shared" si="17"/>
        <v>2.8627114900654917</v>
      </c>
      <c r="O137" s="3">
        <f t="shared" si="18"/>
        <v>2.8943118213515975</v>
      </c>
      <c r="P137" s="12" t="s">
        <v>11</v>
      </c>
      <c r="Q137" s="4" t="str">
        <f t="shared" si="16"/>
        <v>UNDER</v>
      </c>
      <c r="R137" s="4" t="str">
        <f t="shared" si="16"/>
        <v>UNDER</v>
      </c>
      <c r="S137" s="4" t="str">
        <f t="shared" si="14"/>
        <v>UNDER</v>
      </c>
      <c r="T137" s="12" t="s">
        <v>11</v>
      </c>
      <c r="U137" s="2">
        <f>IF(Q137="OVER",$J137,$K137)</f>
        <v>339.38916484423839</v>
      </c>
      <c r="V137" s="2">
        <f>IF(R137="OVER",$J137,$K137)</f>
        <v>339.38916484423839</v>
      </c>
      <c r="W137" s="2">
        <f>IF(S137="OVER",$J137,$K137)</f>
        <v>339.38916484423839</v>
      </c>
      <c r="X137" s="12" t="s">
        <v>11</v>
      </c>
      <c r="Y137" s="9">
        <f t="shared" si="15"/>
        <v>-3966.5492598520559</v>
      </c>
      <c r="Z137" s="9">
        <f t="shared" si="15"/>
        <v>1743.1992032987632</v>
      </c>
      <c r="AA137" s="9">
        <f t="shared" si="15"/>
        <v>5562.9070285434345</v>
      </c>
      <c r="AB137" s="12" t="s">
        <v>11</v>
      </c>
    </row>
    <row r="138" spans="1:28" x14ac:dyDescent="0.3">
      <c r="A138" s="1">
        <v>44610</v>
      </c>
      <c r="B138" s="2">
        <v>153.55000000000001</v>
      </c>
      <c r="C138" s="2">
        <v>434.23</v>
      </c>
      <c r="D138" s="9">
        <f>B138-B137</f>
        <v>-0.57999999999998408</v>
      </c>
      <c r="E138" s="9">
        <f>C138-C137</f>
        <v>-2.8299999999999841</v>
      </c>
      <c r="F138" s="3">
        <f>F$1/B138</f>
        <v>651.25366330185602</v>
      </c>
      <c r="G138" s="3">
        <f>F$1/C138</f>
        <v>230.29270202427284</v>
      </c>
      <c r="H138" s="2">
        <f>D138*F137</f>
        <v>-376.30571595405445</v>
      </c>
      <c r="I138" s="2">
        <f>E138*G137</f>
        <v>-647.50835125611673</v>
      </c>
      <c r="J138" s="2">
        <f>I138-H138</f>
        <v>-271.20263530206228</v>
      </c>
      <c r="K138" s="2">
        <f t="shared" si="19"/>
        <v>271.20263530206228</v>
      </c>
      <c r="L138" s="3">
        <f>C138/B138</f>
        <v>2.8279387821556496</v>
      </c>
      <c r="M138" s="3">
        <f t="shared" si="13"/>
        <v>2.8499318888753606</v>
      </c>
      <c r="N138" s="3">
        <f t="shared" si="17"/>
        <v>2.8610618552625029</v>
      </c>
      <c r="O138" s="3">
        <f t="shared" si="18"/>
        <v>2.8921255234882981</v>
      </c>
      <c r="P138" s="12" t="s">
        <v>11</v>
      </c>
      <c r="Q138" s="4" t="str">
        <f t="shared" si="16"/>
        <v>UNDER</v>
      </c>
      <c r="R138" s="4" t="str">
        <f t="shared" si="16"/>
        <v>UNDER</v>
      </c>
      <c r="S138" s="4" t="str">
        <f t="shared" si="14"/>
        <v>UNDER</v>
      </c>
      <c r="T138" s="12" t="s">
        <v>11</v>
      </c>
      <c r="U138" s="2">
        <f>IF(Q138="OVER",$J138,$K138)</f>
        <v>271.20263530206228</v>
      </c>
      <c r="V138" s="2">
        <f>IF(R138="OVER",$J138,$K138)</f>
        <v>271.20263530206228</v>
      </c>
      <c r="W138" s="2">
        <f>IF(S138="OVER",$J138,$K138)</f>
        <v>271.20263530206228</v>
      </c>
      <c r="X138" s="12" t="s">
        <v>11</v>
      </c>
      <c r="Y138" s="9">
        <f t="shared" si="15"/>
        <v>-3695.3466245499935</v>
      </c>
      <c r="Z138" s="9">
        <f t="shared" si="15"/>
        <v>2014.4018386008256</v>
      </c>
      <c r="AA138" s="9">
        <f t="shared" si="15"/>
        <v>5834.1096638454965</v>
      </c>
      <c r="AB138" s="12" t="s">
        <v>11</v>
      </c>
    </row>
    <row r="139" spans="1:28" x14ac:dyDescent="0.3">
      <c r="A139" s="1">
        <v>44614</v>
      </c>
      <c r="B139" s="2">
        <v>152.02000000000001</v>
      </c>
      <c r="C139" s="2">
        <v>429.57</v>
      </c>
      <c r="D139" s="9">
        <f>B139-B138</f>
        <v>-1.5300000000000011</v>
      </c>
      <c r="E139" s="9">
        <f>C139-C138</f>
        <v>-4.660000000000025</v>
      </c>
      <c r="F139" s="3">
        <f>F$1/B139</f>
        <v>657.80818313379814</v>
      </c>
      <c r="G139" s="3">
        <f>F$1/C139</f>
        <v>232.79093046534908</v>
      </c>
      <c r="H139" s="2">
        <f>D139*F138</f>
        <v>-996.41810485184044</v>
      </c>
      <c r="I139" s="2">
        <f>E139*G138</f>
        <v>-1073.1639914331172</v>
      </c>
      <c r="J139" s="2">
        <f>I139-H139</f>
        <v>-76.74588658127675</v>
      </c>
      <c r="K139" s="2">
        <f t="shared" si="19"/>
        <v>76.74588658127675</v>
      </c>
      <c r="L139" s="3">
        <f>C139/B139</f>
        <v>2.8257466122878565</v>
      </c>
      <c r="M139" s="3">
        <f t="shared" si="13"/>
        <v>2.8454886459778548</v>
      </c>
      <c r="N139" s="3">
        <f t="shared" si="17"/>
        <v>2.8597661983250289</v>
      </c>
      <c r="O139" s="3">
        <f t="shared" si="18"/>
        <v>2.8898728922534933</v>
      </c>
      <c r="P139" s="12" t="s">
        <v>11</v>
      </c>
      <c r="Q139" s="4" t="str">
        <f t="shared" si="16"/>
        <v>UNDER</v>
      </c>
      <c r="R139" s="4" t="str">
        <f t="shared" si="16"/>
        <v>UNDER</v>
      </c>
      <c r="S139" s="4" t="str">
        <f t="shared" si="14"/>
        <v>UNDER</v>
      </c>
      <c r="T139" s="12" t="s">
        <v>11</v>
      </c>
      <c r="U139" s="2">
        <f>IF(Q139="OVER",$J139,$K139)</f>
        <v>76.74588658127675</v>
      </c>
      <c r="V139" s="2">
        <f>IF(R139="OVER",$J139,$K139)</f>
        <v>76.74588658127675</v>
      </c>
      <c r="W139" s="2">
        <f>IF(S139="OVER",$J139,$K139)</f>
        <v>76.74588658127675</v>
      </c>
      <c r="X139" s="12" t="s">
        <v>11</v>
      </c>
      <c r="Y139" s="9">
        <f t="shared" si="15"/>
        <v>-3618.6007379687167</v>
      </c>
      <c r="Z139" s="9">
        <f t="shared" si="15"/>
        <v>2091.1477251821025</v>
      </c>
      <c r="AA139" s="9">
        <f t="shared" si="15"/>
        <v>5910.8555504267733</v>
      </c>
      <c r="AB139" s="12" t="s">
        <v>11</v>
      </c>
    </row>
    <row r="140" spans="1:28" x14ac:dyDescent="0.3">
      <c r="A140" s="1">
        <v>44615</v>
      </c>
      <c r="B140" s="2">
        <v>149.66999999999999</v>
      </c>
      <c r="C140" s="2">
        <v>421.95</v>
      </c>
      <c r="D140" s="9">
        <f>B140-B139</f>
        <v>-2.3500000000000227</v>
      </c>
      <c r="E140" s="9">
        <f>C140-C139</f>
        <v>-7.6200000000000045</v>
      </c>
      <c r="F140" s="3">
        <f>F$1/B140</f>
        <v>668.13656711431827</v>
      </c>
      <c r="G140" s="3">
        <f>F$1/C140</f>
        <v>236.9949046095509</v>
      </c>
      <c r="H140" s="2">
        <f>D140*F139</f>
        <v>-1545.8492303644405</v>
      </c>
      <c r="I140" s="2">
        <f>E140*G139</f>
        <v>-1773.866890145961</v>
      </c>
      <c r="J140" s="2">
        <f>I140-H140</f>
        <v>-228.01765978152048</v>
      </c>
      <c r="K140" s="2">
        <f t="shared" si="19"/>
        <v>228.01765978152048</v>
      </c>
      <c r="L140" s="3">
        <f>C140/B140</f>
        <v>2.8192022449388658</v>
      </c>
      <c r="M140" s="3">
        <f t="shared" si="13"/>
        <v>2.8406608099350508</v>
      </c>
      <c r="N140" s="3">
        <f t="shared" si="17"/>
        <v>2.8585381969445338</v>
      </c>
      <c r="O140" s="3">
        <f t="shared" si="18"/>
        <v>2.8873186624558893</v>
      </c>
      <c r="P140" s="12" t="s">
        <v>11</v>
      </c>
      <c r="Q140" s="4" t="str">
        <f t="shared" si="16"/>
        <v>UNDER</v>
      </c>
      <c r="R140" s="4" t="str">
        <f t="shared" si="16"/>
        <v>UNDER</v>
      </c>
      <c r="S140" s="4" t="str">
        <f t="shared" si="14"/>
        <v>UNDER</v>
      </c>
      <c r="T140" s="12" t="s">
        <v>11</v>
      </c>
      <c r="U140" s="2">
        <f>IF(Q140="OVER",$J140,$K140)</f>
        <v>228.01765978152048</v>
      </c>
      <c r="V140" s="2">
        <f>IF(R140="OVER",$J140,$K140)</f>
        <v>228.01765978152048</v>
      </c>
      <c r="W140" s="2">
        <f>IF(S140="OVER",$J140,$K140)</f>
        <v>228.01765978152048</v>
      </c>
      <c r="X140" s="12" t="s">
        <v>11</v>
      </c>
      <c r="Y140" s="9">
        <f t="shared" si="15"/>
        <v>-3390.5830781871964</v>
      </c>
      <c r="Z140" s="9">
        <f t="shared" si="15"/>
        <v>2319.1653849636232</v>
      </c>
      <c r="AA140" s="9">
        <f t="shared" si="15"/>
        <v>6138.873210208294</v>
      </c>
      <c r="AB140" s="12" t="s">
        <v>11</v>
      </c>
    </row>
    <row r="141" spans="1:28" x14ac:dyDescent="0.3">
      <c r="A141" s="1">
        <v>44616</v>
      </c>
      <c r="B141" s="2">
        <v>151.1</v>
      </c>
      <c r="C141" s="2">
        <v>428.3</v>
      </c>
      <c r="D141" s="9">
        <f>B141-B140</f>
        <v>1.4300000000000068</v>
      </c>
      <c r="E141" s="9">
        <f>C141-C140</f>
        <v>6.3500000000000227</v>
      </c>
      <c r="F141" s="3">
        <f>F$1/B141</f>
        <v>661.8133686300464</v>
      </c>
      <c r="G141" s="3">
        <f>F$1/C141</f>
        <v>233.48120476301656</v>
      </c>
      <c r="H141" s="2">
        <f>D141*F140</f>
        <v>955.43529097347971</v>
      </c>
      <c r="I141" s="2">
        <f>E141*G140</f>
        <v>1504.9176442706537</v>
      </c>
      <c r="J141" s="2">
        <f>I141-H141</f>
        <v>549.48235329717397</v>
      </c>
      <c r="K141" s="2">
        <f t="shared" si="19"/>
        <v>-549.48235329717397</v>
      </c>
      <c r="L141" s="3">
        <f>C141/B141</f>
        <v>2.8345466578424885</v>
      </c>
      <c r="M141" s="3">
        <f t="shared" ref="M141:M204" si="20">AVERAGE(L132:L141)</f>
        <v>2.8380099229429105</v>
      </c>
      <c r="N141" s="3">
        <f t="shared" si="17"/>
        <v>2.8572830158148834</v>
      </c>
      <c r="O141" s="3">
        <f t="shared" si="18"/>
        <v>2.8851661096750423</v>
      </c>
      <c r="P141" s="12" t="s">
        <v>11</v>
      </c>
      <c r="Q141" s="4" t="str">
        <f t="shared" si="16"/>
        <v>UNDER</v>
      </c>
      <c r="R141" s="4" t="str">
        <f t="shared" si="16"/>
        <v>UNDER</v>
      </c>
      <c r="S141" s="4" t="str">
        <f t="shared" ref="S141:T204" si="21">IF($L141&gt;O141,"OVER","UNDER")</f>
        <v>UNDER</v>
      </c>
      <c r="T141" s="12" t="s">
        <v>11</v>
      </c>
      <c r="U141" s="2">
        <f>IF(Q141="OVER",$J141,$K141)</f>
        <v>-549.48235329717397</v>
      </c>
      <c r="V141" s="2">
        <f>IF(R141="OVER",$J141,$K141)</f>
        <v>-549.48235329717397</v>
      </c>
      <c r="W141" s="2">
        <f>IF(S141="OVER",$J141,$K141)</f>
        <v>-549.48235329717397</v>
      </c>
      <c r="X141" s="12" t="s">
        <v>11</v>
      </c>
      <c r="Y141" s="9">
        <f t="shared" ref="Y141:AB204" si="22">Y140+U141</f>
        <v>-3940.0654314843705</v>
      </c>
      <c r="Z141" s="9">
        <f t="shared" si="22"/>
        <v>1769.6830316664491</v>
      </c>
      <c r="AA141" s="9">
        <f t="shared" si="22"/>
        <v>5589.39085691112</v>
      </c>
      <c r="AB141" s="12" t="s">
        <v>11</v>
      </c>
    </row>
    <row r="142" spans="1:28" x14ac:dyDescent="0.3">
      <c r="A142" s="1">
        <v>44617</v>
      </c>
      <c r="B142" s="2">
        <v>155.16</v>
      </c>
      <c r="C142" s="2">
        <v>437.75</v>
      </c>
      <c r="D142" s="9">
        <f>B142-B141</f>
        <v>4.0600000000000023</v>
      </c>
      <c r="E142" s="9">
        <f>C142-C141</f>
        <v>9.4499999999999886</v>
      </c>
      <c r="F142" s="3">
        <f>F$1/B142</f>
        <v>644.49600412477446</v>
      </c>
      <c r="G142" s="3">
        <f>F$1/C142</f>
        <v>228.44089091947458</v>
      </c>
      <c r="H142" s="2">
        <f>D142*F141</f>
        <v>2686.9622766379898</v>
      </c>
      <c r="I142" s="2">
        <f>E142*G141</f>
        <v>2206.397385010504</v>
      </c>
      <c r="J142" s="2">
        <f>I142-H142</f>
        <v>-480.56489162748585</v>
      </c>
      <c r="K142" s="2">
        <f t="shared" si="19"/>
        <v>480.56489162748585</v>
      </c>
      <c r="L142" s="3">
        <f>C142/B142</f>
        <v>2.8212812580561999</v>
      </c>
      <c r="M142" s="3">
        <f t="shared" si="20"/>
        <v>2.8346742622174004</v>
      </c>
      <c r="N142" s="3">
        <f t="shared" si="17"/>
        <v>2.855268113886904</v>
      </c>
      <c r="O142" s="3">
        <f t="shared" si="18"/>
        <v>2.882800895528927</v>
      </c>
      <c r="P142" s="12" t="s">
        <v>11</v>
      </c>
      <c r="Q142" s="4" t="str">
        <f t="shared" ref="Q142:R205" si="23">IF($L141&gt;M141,"OVER","UNDER")</f>
        <v>UNDER</v>
      </c>
      <c r="R142" s="4" t="str">
        <f t="shared" si="23"/>
        <v>UNDER</v>
      </c>
      <c r="S142" s="4" t="str">
        <f t="shared" si="21"/>
        <v>UNDER</v>
      </c>
      <c r="T142" s="12" t="s">
        <v>11</v>
      </c>
      <c r="U142" s="2">
        <f>IF(Q142="OVER",$J142,$K142)</f>
        <v>480.56489162748585</v>
      </c>
      <c r="V142" s="2">
        <f>IF(R142="OVER",$J142,$K142)</f>
        <v>480.56489162748585</v>
      </c>
      <c r="W142" s="2">
        <f>IF(S142="OVER",$J142,$K142)</f>
        <v>480.56489162748585</v>
      </c>
      <c r="X142" s="12" t="s">
        <v>11</v>
      </c>
      <c r="Y142" s="9">
        <f t="shared" si="22"/>
        <v>-3459.5005398568846</v>
      </c>
      <c r="Z142" s="9">
        <f t="shared" si="22"/>
        <v>2250.2479232939349</v>
      </c>
      <c r="AA142" s="9">
        <f t="shared" si="22"/>
        <v>6069.9557485386058</v>
      </c>
      <c r="AB142" s="12" t="s">
        <v>11</v>
      </c>
    </row>
    <row r="143" spans="1:28" x14ac:dyDescent="0.3">
      <c r="A143" s="1">
        <v>44620</v>
      </c>
      <c r="B143" s="2">
        <v>154.25</v>
      </c>
      <c r="C143" s="2">
        <v>436.63</v>
      </c>
      <c r="D143" s="9">
        <f>B143-B142</f>
        <v>-0.90999999999999659</v>
      </c>
      <c r="E143" s="9">
        <f>C143-C142</f>
        <v>-1.1200000000000045</v>
      </c>
      <c r="F143" s="3">
        <f>F$1/B143</f>
        <v>648.29821717990274</v>
      </c>
      <c r="G143" s="3">
        <f>F$1/C143</f>
        <v>229.02686485124704</v>
      </c>
      <c r="H143" s="2">
        <f>D143*F142</f>
        <v>-586.4913637535426</v>
      </c>
      <c r="I143" s="2">
        <f>E143*G142</f>
        <v>-255.85379782981258</v>
      </c>
      <c r="J143" s="2">
        <f>I143-H143</f>
        <v>330.63756592372999</v>
      </c>
      <c r="K143" s="2">
        <f t="shared" si="19"/>
        <v>-330.63756592372999</v>
      </c>
      <c r="L143" s="3">
        <f>C143/B143</f>
        <v>2.8306645056726092</v>
      </c>
      <c r="M143" s="3">
        <f t="shared" si="20"/>
        <v>2.8341584310437389</v>
      </c>
      <c r="N143" s="3">
        <f t="shared" si="17"/>
        <v>2.8526370646402626</v>
      </c>
      <c r="O143" s="3">
        <f t="shared" si="18"/>
        <v>2.880349234277459</v>
      </c>
      <c r="P143" s="12" t="s">
        <v>11</v>
      </c>
      <c r="Q143" s="4" t="str">
        <f t="shared" si="23"/>
        <v>UNDER</v>
      </c>
      <c r="R143" s="4" t="str">
        <f t="shared" si="23"/>
        <v>UNDER</v>
      </c>
      <c r="S143" s="4" t="str">
        <f t="shared" si="21"/>
        <v>UNDER</v>
      </c>
      <c r="T143" s="12" t="s">
        <v>11</v>
      </c>
      <c r="U143" s="2">
        <f>IF(Q143="OVER",$J143,$K143)</f>
        <v>-330.63756592372999</v>
      </c>
      <c r="V143" s="2">
        <f>IF(R143="OVER",$J143,$K143)</f>
        <v>-330.63756592372999</v>
      </c>
      <c r="W143" s="2">
        <f>IF(S143="OVER",$J143,$K143)</f>
        <v>-330.63756592372999</v>
      </c>
      <c r="X143" s="12" t="s">
        <v>11</v>
      </c>
      <c r="Y143" s="9">
        <f t="shared" si="22"/>
        <v>-3790.1381057806148</v>
      </c>
      <c r="Z143" s="9">
        <f t="shared" si="22"/>
        <v>1919.6103573702048</v>
      </c>
      <c r="AA143" s="9">
        <f t="shared" si="22"/>
        <v>5739.3181826148757</v>
      </c>
      <c r="AB143" s="12" t="s">
        <v>11</v>
      </c>
    </row>
    <row r="144" spans="1:28" x14ac:dyDescent="0.3">
      <c r="A144" s="1">
        <v>44621</v>
      </c>
      <c r="B144" s="2">
        <v>151.6</v>
      </c>
      <c r="C144" s="2">
        <v>429.98</v>
      </c>
      <c r="D144" s="9">
        <f>B144-B143</f>
        <v>-2.6500000000000057</v>
      </c>
      <c r="E144" s="9">
        <f>C144-C143</f>
        <v>-6.6499999999999773</v>
      </c>
      <c r="F144" s="3">
        <f>F$1/B144</f>
        <v>659.63060686015831</v>
      </c>
      <c r="G144" s="3">
        <f>F$1/C144</f>
        <v>232.56895669566026</v>
      </c>
      <c r="H144" s="2">
        <f>D144*F143</f>
        <v>-1717.990275526746</v>
      </c>
      <c r="I144" s="2">
        <f>E144*G143</f>
        <v>-1523.0286512607877</v>
      </c>
      <c r="J144" s="2">
        <f>I144-H144</f>
        <v>194.96162426595833</v>
      </c>
      <c r="K144" s="2">
        <f t="shared" si="19"/>
        <v>-194.96162426595833</v>
      </c>
      <c r="L144" s="3">
        <f>C144/B144</f>
        <v>2.8362796833773087</v>
      </c>
      <c r="M144" s="3">
        <f t="shared" si="20"/>
        <v>2.8328564928394142</v>
      </c>
      <c r="N144" s="3">
        <f t="shared" si="17"/>
        <v>2.8499155823480637</v>
      </c>
      <c r="O144" s="3">
        <f t="shared" si="18"/>
        <v>2.8784276914642111</v>
      </c>
      <c r="P144" s="12" t="s">
        <v>11</v>
      </c>
      <c r="Q144" s="4" t="str">
        <f t="shared" si="23"/>
        <v>UNDER</v>
      </c>
      <c r="R144" s="4" t="str">
        <f t="shared" si="23"/>
        <v>UNDER</v>
      </c>
      <c r="S144" s="4" t="str">
        <f t="shared" si="21"/>
        <v>UNDER</v>
      </c>
      <c r="T144" s="12" t="s">
        <v>11</v>
      </c>
      <c r="U144" s="2">
        <f>IF(Q144="OVER",$J144,$K144)</f>
        <v>-194.96162426595833</v>
      </c>
      <c r="V144" s="2">
        <f>IF(R144="OVER",$J144,$K144)</f>
        <v>-194.96162426595833</v>
      </c>
      <c r="W144" s="2">
        <f>IF(S144="OVER",$J144,$K144)</f>
        <v>-194.96162426595833</v>
      </c>
      <c r="X144" s="12" t="s">
        <v>11</v>
      </c>
      <c r="Y144" s="9">
        <f t="shared" si="22"/>
        <v>-3985.0997300465733</v>
      </c>
      <c r="Z144" s="9">
        <f t="shared" si="22"/>
        <v>1724.6487331042465</v>
      </c>
      <c r="AA144" s="9">
        <f t="shared" si="22"/>
        <v>5544.3565583489171</v>
      </c>
      <c r="AB144" s="12" t="s">
        <v>11</v>
      </c>
    </row>
    <row r="145" spans="1:28" x14ac:dyDescent="0.3">
      <c r="A145" s="1">
        <v>44622</v>
      </c>
      <c r="B145" s="2">
        <v>154.83000000000001</v>
      </c>
      <c r="C145" s="2">
        <v>437.89</v>
      </c>
      <c r="D145" s="9">
        <f>B145-B144</f>
        <v>3.2300000000000182</v>
      </c>
      <c r="E145" s="9">
        <f>C145-C144</f>
        <v>7.9099999999999682</v>
      </c>
      <c r="F145" s="3">
        <f>F$1/B145</f>
        <v>645.86966350190528</v>
      </c>
      <c r="G145" s="3">
        <f>F$1/C145</f>
        <v>228.36785494073854</v>
      </c>
      <c r="H145" s="2">
        <f>D145*F144</f>
        <v>2130.6068601583233</v>
      </c>
      <c r="I145" s="2">
        <f>E145*G144</f>
        <v>1839.6204474626652</v>
      </c>
      <c r="J145" s="2">
        <f>I145-H145</f>
        <v>-290.98641269565815</v>
      </c>
      <c r="K145" s="2">
        <f t="shared" si="19"/>
        <v>290.98641269565815</v>
      </c>
      <c r="L145" s="3">
        <f>C145/B145</f>
        <v>2.8281986695084931</v>
      </c>
      <c r="M145" s="3">
        <f t="shared" si="20"/>
        <v>2.830500881940746</v>
      </c>
      <c r="N145" s="3">
        <f t="shared" si="17"/>
        <v>2.8469359716730267</v>
      </c>
      <c r="O145" s="3">
        <f t="shared" si="18"/>
        <v>2.8763945700531575</v>
      </c>
      <c r="P145" s="12" t="s">
        <v>11</v>
      </c>
      <c r="Q145" s="4" t="str">
        <f t="shared" si="23"/>
        <v>OVER</v>
      </c>
      <c r="R145" s="4" t="str">
        <f t="shared" si="23"/>
        <v>UNDER</v>
      </c>
      <c r="S145" s="4" t="str">
        <f t="shared" si="21"/>
        <v>UNDER</v>
      </c>
      <c r="T145" s="12" t="s">
        <v>11</v>
      </c>
      <c r="U145" s="2">
        <f>IF(Q145="OVER",$J145,$K145)</f>
        <v>-290.98641269565815</v>
      </c>
      <c r="V145" s="2">
        <f>IF(R145="OVER",$J145,$K145)</f>
        <v>290.98641269565815</v>
      </c>
      <c r="W145" s="2">
        <f>IF(S145="OVER",$J145,$K145)</f>
        <v>290.98641269565815</v>
      </c>
      <c r="X145" s="12" t="s">
        <v>11</v>
      </c>
      <c r="Y145" s="9">
        <f t="shared" si="22"/>
        <v>-4276.0861427422315</v>
      </c>
      <c r="Z145" s="9">
        <f t="shared" si="22"/>
        <v>2015.6351457999046</v>
      </c>
      <c r="AA145" s="9">
        <f t="shared" si="22"/>
        <v>5835.3429710445753</v>
      </c>
      <c r="AB145" s="12" t="s">
        <v>11</v>
      </c>
    </row>
    <row r="146" spans="1:28" x14ac:dyDescent="0.3">
      <c r="A146" s="1">
        <v>44623</v>
      </c>
      <c r="B146" s="2">
        <v>154.51</v>
      </c>
      <c r="C146" s="2">
        <v>435.71</v>
      </c>
      <c r="D146" s="9">
        <f>B146-B145</f>
        <v>-0.3200000000000216</v>
      </c>
      <c r="E146" s="9">
        <f>C146-C145</f>
        <v>-2.1800000000000068</v>
      </c>
      <c r="F146" s="3">
        <f>F$1/B146</f>
        <v>647.2073004983497</v>
      </c>
      <c r="G146" s="3">
        <f>F$1/C146</f>
        <v>229.51045420118888</v>
      </c>
      <c r="H146" s="2">
        <f>D146*F145</f>
        <v>-206.67829232062365</v>
      </c>
      <c r="I146" s="2">
        <f>E146*G145</f>
        <v>-497.84192377081155</v>
      </c>
      <c r="J146" s="2">
        <f>I146-H146</f>
        <v>-291.16363145018789</v>
      </c>
      <c r="K146" s="2">
        <f t="shared" si="19"/>
        <v>291.16363145018789</v>
      </c>
      <c r="L146" s="3">
        <f>C146/B146</f>
        <v>2.8199469290013592</v>
      </c>
      <c r="M146" s="3">
        <f t="shared" si="20"/>
        <v>2.8279463553442268</v>
      </c>
      <c r="N146" s="3">
        <f t="shared" si="17"/>
        <v>2.8430831249261606</v>
      </c>
      <c r="O146" s="3">
        <f t="shared" si="18"/>
        <v>2.8740485118610737</v>
      </c>
      <c r="P146" s="12" t="s">
        <v>11</v>
      </c>
      <c r="Q146" s="4" t="str">
        <f t="shared" si="23"/>
        <v>UNDER</v>
      </c>
      <c r="R146" s="4" t="str">
        <f t="shared" si="23"/>
        <v>UNDER</v>
      </c>
      <c r="S146" s="4" t="str">
        <f t="shared" si="21"/>
        <v>UNDER</v>
      </c>
      <c r="T146" s="12" t="s">
        <v>11</v>
      </c>
      <c r="U146" s="2">
        <f>IF(Q146="OVER",$J146,$K146)</f>
        <v>291.16363145018789</v>
      </c>
      <c r="V146" s="2">
        <f>IF(R146="OVER",$J146,$K146)</f>
        <v>291.16363145018789</v>
      </c>
      <c r="W146" s="2">
        <f>IF(S146="OVER",$J146,$K146)</f>
        <v>291.16363145018789</v>
      </c>
      <c r="X146" s="12" t="s">
        <v>11</v>
      </c>
      <c r="Y146" s="9">
        <f t="shared" si="22"/>
        <v>-3984.9225112920435</v>
      </c>
      <c r="Z146" s="9">
        <f t="shared" si="22"/>
        <v>2306.7987772500924</v>
      </c>
      <c r="AA146" s="9">
        <f t="shared" si="22"/>
        <v>6126.5066024947628</v>
      </c>
      <c r="AB146" s="12" t="s">
        <v>11</v>
      </c>
    </row>
    <row r="147" spans="1:28" x14ac:dyDescent="0.3">
      <c r="A147" s="1">
        <v>44624</v>
      </c>
      <c r="B147" s="2">
        <v>153.58000000000001</v>
      </c>
      <c r="C147" s="2">
        <v>432.17</v>
      </c>
      <c r="D147" s="9">
        <f>B147-B146</f>
        <v>-0.9299999999999784</v>
      </c>
      <c r="E147" s="9">
        <f>C147-C146</f>
        <v>-3.5399999999999636</v>
      </c>
      <c r="F147" s="3">
        <f>F$1/B147</f>
        <v>651.1264487563484</v>
      </c>
      <c r="G147" s="3">
        <f>F$1/C147</f>
        <v>231.39042506421083</v>
      </c>
      <c r="H147" s="2">
        <f>D147*F146</f>
        <v>-601.9027894634512</v>
      </c>
      <c r="I147" s="2">
        <f>E147*G146</f>
        <v>-812.46700787220027</v>
      </c>
      <c r="J147" s="2">
        <f>I147-H147</f>
        <v>-210.56421840874907</v>
      </c>
      <c r="K147" s="2">
        <f t="shared" si="19"/>
        <v>210.56421840874907</v>
      </c>
      <c r="L147" s="3">
        <f>C147/B147</f>
        <v>2.8139731735903113</v>
      </c>
      <c r="M147" s="3">
        <f t="shared" si="20"/>
        <v>2.8257778516431147</v>
      </c>
      <c r="N147" s="3">
        <f t="shared" si="17"/>
        <v>2.8405213742902209</v>
      </c>
      <c r="O147" s="3">
        <f t="shared" si="18"/>
        <v>2.8717276209922069</v>
      </c>
      <c r="P147" s="12" t="s">
        <v>11</v>
      </c>
      <c r="Q147" s="4" t="str">
        <f t="shared" si="23"/>
        <v>UNDER</v>
      </c>
      <c r="R147" s="4" t="str">
        <f t="shared" si="23"/>
        <v>UNDER</v>
      </c>
      <c r="S147" s="4" t="str">
        <f t="shared" si="21"/>
        <v>UNDER</v>
      </c>
      <c r="T147" s="12" t="s">
        <v>11</v>
      </c>
      <c r="U147" s="2">
        <f>IF(Q147="OVER",$J147,$K147)</f>
        <v>210.56421840874907</v>
      </c>
      <c r="V147" s="2">
        <f>IF(R147="OVER",$J147,$K147)</f>
        <v>210.56421840874907</v>
      </c>
      <c r="W147" s="2">
        <f>IF(S147="OVER",$J147,$K147)</f>
        <v>210.56421840874907</v>
      </c>
      <c r="X147" s="12" t="s">
        <v>11</v>
      </c>
      <c r="Y147" s="9">
        <f t="shared" si="22"/>
        <v>-3774.3582928832943</v>
      </c>
      <c r="Z147" s="9">
        <f t="shared" si="22"/>
        <v>2517.3629956588416</v>
      </c>
      <c r="AA147" s="9">
        <f t="shared" si="22"/>
        <v>6337.070820903512</v>
      </c>
      <c r="AB147" s="12" t="s">
        <v>11</v>
      </c>
    </row>
    <row r="148" spans="1:28" x14ac:dyDescent="0.3">
      <c r="A148" s="1">
        <v>44627</v>
      </c>
      <c r="B148" s="2">
        <v>149.33000000000001</v>
      </c>
      <c r="C148" s="2">
        <v>419.43</v>
      </c>
      <c r="D148" s="9">
        <f>B148-B147</f>
        <v>-4.25</v>
      </c>
      <c r="E148" s="9">
        <f>C148-C147</f>
        <v>-12.740000000000009</v>
      </c>
      <c r="F148" s="3">
        <f>F$1/B148</f>
        <v>669.65780486171559</v>
      </c>
      <c r="G148" s="3">
        <f>F$1/C148</f>
        <v>238.41880647545477</v>
      </c>
      <c r="H148" s="2">
        <f>D148*F147</f>
        <v>-2767.2874072144805</v>
      </c>
      <c r="I148" s="2">
        <f>E148*G147</f>
        <v>-2947.9140153180483</v>
      </c>
      <c r="J148" s="2">
        <f>I148-H148</f>
        <v>-180.62660810356783</v>
      </c>
      <c r="K148" s="2">
        <f t="shared" si="19"/>
        <v>180.62660810356783</v>
      </c>
      <c r="L148" s="3">
        <f>C148/B148</f>
        <v>2.8087457309314936</v>
      </c>
      <c r="M148" s="3">
        <f t="shared" si="20"/>
        <v>2.8238585465206985</v>
      </c>
      <c r="N148" s="3">
        <f t="shared" si="17"/>
        <v>2.8368952176980295</v>
      </c>
      <c r="O148" s="3">
        <f t="shared" si="18"/>
        <v>2.8691290514763721</v>
      </c>
      <c r="P148" s="12" t="s">
        <v>11</v>
      </c>
      <c r="Q148" s="4" t="str">
        <f t="shared" si="23"/>
        <v>UNDER</v>
      </c>
      <c r="R148" s="4" t="str">
        <f t="shared" si="23"/>
        <v>UNDER</v>
      </c>
      <c r="S148" s="4" t="str">
        <f t="shared" si="21"/>
        <v>UNDER</v>
      </c>
      <c r="T148" s="12" t="s">
        <v>11</v>
      </c>
      <c r="U148" s="2">
        <f>IF(Q148="OVER",$J148,$K148)</f>
        <v>180.62660810356783</v>
      </c>
      <c r="V148" s="2">
        <f>IF(R148="OVER",$J148,$K148)</f>
        <v>180.62660810356783</v>
      </c>
      <c r="W148" s="2">
        <f>IF(S148="OVER",$J148,$K148)</f>
        <v>180.62660810356783</v>
      </c>
      <c r="X148" s="12" t="s">
        <v>11</v>
      </c>
      <c r="Y148" s="9">
        <f t="shared" si="22"/>
        <v>-3593.7316847797265</v>
      </c>
      <c r="Z148" s="9">
        <f t="shared" si="22"/>
        <v>2697.9896037624094</v>
      </c>
      <c r="AA148" s="9">
        <f t="shared" si="22"/>
        <v>6517.6974290070793</v>
      </c>
      <c r="AB148" s="12" t="s">
        <v>11</v>
      </c>
    </row>
    <row r="149" spans="1:28" x14ac:dyDescent="0.3">
      <c r="A149" s="1">
        <v>44628</v>
      </c>
      <c r="B149" s="2">
        <v>148.26</v>
      </c>
      <c r="C149" s="2">
        <v>416.25</v>
      </c>
      <c r="D149" s="9">
        <f>B149-B148</f>
        <v>-1.0700000000000216</v>
      </c>
      <c r="E149" s="9">
        <f>C149-C148</f>
        <v>-3.1800000000000068</v>
      </c>
      <c r="F149" s="3">
        <f>F$1/B149</f>
        <v>674.49075947659526</v>
      </c>
      <c r="G149" s="3">
        <f>F$1/C149</f>
        <v>240.24024024024024</v>
      </c>
      <c r="H149" s="2">
        <f>D149*F148</f>
        <v>-716.53385120205019</v>
      </c>
      <c r="I149" s="2">
        <f>E149*G148</f>
        <v>-758.17180459194776</v>
      </c>
      <c r="J149" s="2">
        <f>I149-H149</f>
        <v>-41.637953389897575</v>
      </c>
      <c r="K149" s="2">
        <f t="shared" si="19"/>
        <v>41.637953389897575</v>
      </c>
      <c r="L149" s="3">
        <f>C149/B149</f>
        <v>2.8075677863213278</v>
      </c>
      <c r="M149" s="3">
        <f t="shared" si="20"/>
        <v>2.8220406639240463</v>
      </c>
      <c r="N149" s="3">
        <f t="shared" si="17"/>
        <v>2.8337646549509503</v>
      </c>
      <c r="O149" s="3">
        <f t="shared" si="18"/>
        <v>2.866539846758438</v>
      </c>
      <c r="P149" s="12" t="s">
        <v>11</v>
      </c>
      <c r="Q149" s="4" t="str">
        <f t="shared" si="23"/>
        <v>UNDER</v>
      </c>
      <c r="R149" s="4" t="str">
        <f t="shared" si="23"/>
        <v>UNDER</v>
      </c>
      <c r="S149" s="4" t="str">
        <f t="shared" si="21"/>
        <v>UNDER</v>
      </c>
      <c r="T149" s="12" t="s">
        <v>11</v>
      </c>
      <c r="U149" s="2">
        <f>IF(Q149="OVER",$J149,$K149)</f>
        <v>41.637953389897575</v>
      </c>
      <c r="V149" s="2">
        <f>IF(R149="OVER",$J149,$K149)</f>
        <v>41.637953389897575</v>
      </c>
      <c r="W149" s="2">
        <f>IF(S149="OVER",$J149,$K149)</f>
        <v>41.637953389897575</v>
      </c>
      <c r="X149" s="12" t="s">
        <v>11</v>
      </c>
      <c r="Y149" s="9">
        <f t="shared" si="22"/>
        <v>-3552.0937313898289</v>
      </c>
      <c r="Z149" s="9">
        <f t="shared" si="22"/>
        <v>2739.627557152307</v>
      </c>
      <c r="AA149" s="9">
        <f t="shared" si="22"/>
        <v>6559.3353823969774</v>
      </c>
      <c r="AB149" s="12" t="s">
        <v>11</v>
      </c>
    </row>
    <row r="150" spans="1:28" x14ac:dyDescent="0.3">
      <c r="A150" s="1">
        <v>44629</v>
      </c>
      <c r="B150" s="2">
        <v>151.4</v>
      </c>
      <c r="C150" s="2">
        <v>427.41</v>
      </c>
      <c r="D150" s="9">
        <f>B150-B149</f>
        <v>3.1400000000000148</v>
      </c>
      <c r="E150" s="9">
        <f>C150-C149</f>
        <v>11.160000000000025</v>
      </c>
      <c r="F150" s="3">
        <f>F$1/B150</f>
        <v>660.50198150594451</v>
      </c>
      <c r="G150" s="3">
        <f>F$1/C150</f>
        <v>233.96738494653843</v>
      </c>
      <c r="H150" s="2">
        <f>D150*F149</f>
        <v>2117.9009847565189</v>
      </c>
      <c r="I150" s="2">
        <f>E150*G149</f>
        <v>2681.0810810810872</v>
      </c>
      <c r="J150" s="2">
        <f>I150-H150</f>
        <v>563.18009632456824</v>
      </c>
      <c r="K150" s="2">
        <f t="shared" si="19"/>
        <v>-563.18009632456824</v>
      </c>
      <c r="L150" s="3">
        <f>C150/B150</f>
        <v>2.8230515191545575</v>
      </c>
      <c r="M150" s="3">
        <f t="shared" si="20"/>
        <v>2.8224255913456155</v>
      </c>
      <c r="N150" s="3">
        <f t="shared" si="17"/>
        <v>2.8315432006403332</v>
      </c>
      <c r="O150" s="3">
        <f t="shared" si="18"/>
        <v>2.8641815525174223</v>
      </c>
      <c r="P150" s="12" t="s">
        <v>11</v>
      </c>
      <c r="Q150" s="4" t="str">
        <f t="shared" si="23"/>
        <v>UNDER</v>
      </c>
      <c r="R150" s="4" t="str">
        <f t="shared" si="23"/>
        <v>UNDER</v>
      </c>
      <c r="S150" s="4" t="str">
        <f t="shared" si="21"/>
        <v>UNDER</v>
      </c>
      <c r="T150" s="12" t="s">
        <v>11</v>
      </c>
      <c r="U150" s="2">
        <f>IF(Q150="OVER",$J150,$K150)</f>
        <v>-563.18009632456824</v>
      </c>
      <c r="V150" s="2">
        <f>IF(R150="OVER",$J150,$K150)</f>
        <v>-563.18009632456824</v>
      </c>
      <c r="W150" s="2">
        <f>IF(S150="OVER",$J150,$K150)</f>
        <v>-563.18009632456824</v>
      </c>
      <c r="X150" s="12" t="s">
        <v>11</v>
      </c>
      <c r="Y150" s="9">
        <f t="shared" si="22"/>
        <v>-4115.2738277143972</v>
      </c>
      <c r="Z150" s="9">
        <f t="shared" si="22"/>
        <v>2176.4474608277387</v>
      </c>
      <c r="AA150" s="9">
        <f t="shared" si="22"/>
        <v>5996.1552860724096</v>
      </c>
      <c r="AB150" s="12" t="s">
        <v>11</v>
      </c>
    </row>
    <row r="151" spans="1:28" x14ac:dyDescent="0.3">
      <c r="A151" s="1">
        <v>44630</v>
      </c>
      <c r="B151" s="2">
        <v>151.11000000000001</v>
      </c>
      <c r="C151" s="2">
        <v>425.48</v>
      </c>
      <c r="D151" s="9">
        <f>B151-B150</f>
        <v>-0.28999999999999204</v>
      </c>
      <c r="E151" s="9">
        <f>C151-C150</f>
        <v>-1.9300000000000068</v>
      </c>
      <c r="F151" s="3">
        <f>F$1/B151</f>
        <v>661.76957183508694</v>
      </c>
      <c r="G151" s="3">
        <f>F$1/C151</f>
        <v>235.02867349816677</v>
      </c>
      <c r="H151" s="2">
        <f>D151*F150</f>
        <v>-191.54557463671864</v>
      </c>
      <c r="I151" s="2">
        <f>E151*G150</f>
        <v>-451.55705294682076</v>
      </c>
      <c r="J151" s="2">
        <f>I151-H151</f>
        <v>-260.01147831010212</v>
      </c>
      <c r="K151" s="2">
        <f t="shared" si="19"/>
        <v>260.01147831010212</v>
      </c>
      <c r="L151" s="3">
        <f>C151/B151</f>
        <v>2.8156971742439283</v>
      </c>
      <c r="M151" s="3">
        <f t="shared" si="20"/>
        <v>2.8205406429857591</v>
      </c>
      <c r="N151" s="3">
        <f t="shared" ref="N151:N214" si="24">AVERAGE(L132:L151)</f>
        <v>2.8292752829643351</v>
      </c>
      <c r="O151" s="3">
        <f t="shared" si="18"/>
        <v>2.8618146370839472</v>
      </c>
      <c r="P151" s="12" t="s">
        <v>11</v>
      </c>
      <c r="Q151" s="4" t="str">
        <f t="shared" si="23"/>
        <v>OVER</v>
      </c>
      <c r="R151" s="4" t="str">
        <f t="shared" si="23"/>
        <v>UNDER</v>
      </c>
      <c r="S151" s="4" t="str">
        <f t="shared" si="21"/>
        <v>UNDER</v>
      </c>
      <c r="T151" s="12" t="s">
        <v>11</v>
      </c>
      <c r="U151" s="2">
        <f>IF(Q151="OVER",$J151,$K151)</f>
        <v>-260.01147831010212</v>
      </c>
      <c r="V151" s="2">
        <f>IF(R151="OVER",$J151,$K151)</f>
        <v>260.01147831010212</v>
      </c>
      <c r="W151" s="2">
        <f>IF(S151="OVER",$J151,$K151)</f>
        <v>260.01147831010212</v>
      </c>
      <c r="X151" s="12" t="s">
        <v>11</v>
      </c>
      <c r="Y151" s="9">
        <f t="shared" si="22"/>
        <v>-4375.2853060244997</v>
      </c>
      <c r="Z151" s="9">
        <f t="shared" si="22"/>
        <v>2436.4589391378408</v>
      </c>
      <c r="AA151" s="9">
        <f t="shared" si="22"/>
        <v>6256.1667643825112</v>
      </c>
      <c r="AB151" s="12" t="s">
        <v>11</v>
      </c>
    </row>
    <row r="152" spans="1:28" x14ac:dyDescent="0.3">
      <c r="A152" s="1">
        <v>44631</v>
      </c>
      <c r="B152" s="2">
        <v>149.52000000000001</v>
      </c>
      <c r="C152" s="2">
        <v>420.07</v>
      </c>
      <c r="D152" s="9">
        <f>B152-B151</f>
        <v>-1.5900000000000034</v>
      </c>
      <c r="E152" s="9">
        <f>C152-C151</f>
        <v>-5.410000000000025</v>
      </c>
      <c r="F152" s="3">
        <f>F$1/B152</f>
        <v>668.80684858212942</v>
      </c>
      <c r="G152" s="3">
        <f>F$1/C152</f>
        <v>238.05556216821006</v>
      </c>
      <c r="H152" s="2">
        <f>D152*F151</f>
        <v>-1052.2136192177904</v>
      </c>
      <c r="I152" s="2">
        <f>E152*G151</f>
        <v>-1271.5051236250881</v>
      </c>
      <c r="J152" s="2">
        <f>I152-H152</f>
        <v>-219.29150440729768</v>
      </c>
      <c r="K152" s="2">
        <f t="shared" si="19"/>
        <v>219.29150440729768</v>
      </c>
      <c r="L152" s="3">
        <f>C152/B152</f>
        <v>2.809456928838951</v>
      </c>
      <c r="M152" s="3">
        <f t="shared" si="20"/>
        <v>2.819358210064034</v>
      </c>
      <c r="N152" s="3">
        <f t="shared" si="24"/>
        <v>2.8270162361407172</v>
      </c>
      <c r="O152" s="3">
        <f t="shared" si="18"/>
        <v>2.8594208666367407</v>
      </c>
      <c r="P152" s="12" t="s">
        <v>11</v>
      </c>
      <c r="Q152" s="4" t="str">
        <f t="shared" si="23"/>
        <v>UNDER</v>
      </c>
      <c r="R152" s="4" t="str">
        <f t="shared" si="23"/>
        <v>UNDER</v>
      </c>
      <c r="S152" s="4" t="str">
        <f t="shared" si="21"/>
        <v>UNDER</v>
      </c>
      <c r="T152" s="12" t="s">
        <v>11</v>
      </c>
      <c r="U152" s="2">
        <f>IF(Q152="OVER",$J152,$K152)</f>
        <v>219.29150440729768</v>
      </c>
      <c r="V152" s="2">
        <f>IF(R152="OVER",$J152,$K152)</f>
        <v>219.29150440729768</v>
      </c>
      <c r="W152" s="2">
        <f>IF(S152="OVER",$J152,$K152)</f>
        <v>219.29150440729768</v>
      </c>
      <c r="X152" s="12" t="s">
        <v>11</v>
      </c>
      <c r="Y152" s="9">
        <f t="shared" si="22"/>
        <v>-4155.9938016172018</v>
      </c>
      <c r="Z152" s="9">
        <f t="shared" si="22"/>
        <v>2655.7504435451383</v>
      </c>
      <c r="AA152" s="9">
        <f t="shared" si="22"/>
        <v>6475.4582687898092</v>
      </c>
      <c r="AB152" s="12" t="s">
        <v>11</v>
      </c>
    </row>
    <row r="153" spans="1:28" x14ac:dyDescent="0.3">
      <c r="A153" s="1">
        <v>44634</v>
      </c>
      <c r="B153" s="2">
        <v>148.97</v>
      </c>
      <c r="C153" s="2">
        <v>417</v>
      </c>
      <c r="D153" s="9">
        <f>B153-B152</f>
        <v>-0.55000000000001137</v>
      </c>
      <c r="E153" s="9">
        <f>C153-C152</f>
        <v>-3.0699999999999932</v>
      </c>
      <c r="F153" s="3">
        <f>F$1/B153</f>
        <v>671.27609585822654</v>
      </c>
      <c r="G153" s="3">
        <f>F$1/C153</f>
        <v>239.80815347721821</v>
      </c>
      <c r="H153" s="2">
        <f>D153*F152</f>
        <v>-367.84376672017879</v>
      </c>
      <c r="I153" s="2">
        <f>E153*G152</f>
        <v>-730.83057585640324</v>
      </c>
      <c r="J153" s="2">
        <f>I153-H153</f>
        <v>-362.98680913622445</v>
      </c>
      <c r="K153" s="2">
        <f t="shared" si="19"/>
        <v>362.98680913622445</v>
      </c>
      <c r="L153" s="3">
        <f>C153/B153</f>
        <v>2.7992213197288045</v>
      </c>
      <c r="M153" s="3">
        <f t="shared" si="20"/>
        <v>2.8162138914696535</v>
      </c>
      <c r="N153" s="3">
        <f t="shared" si="24"/>
        <v>2.8251861612566964</v>
      </c>
      <c r="O153" s="3">
        <f t="shared" si="18"/>
        <v>2.8568910073170315</v>
      </c>
      <c r="P153" s="12" t="s">
        <v>11</v>
      </c>
      <c r="Q153" s="4" t="str">
        <f t="shared" si="23"/>
        <v>UNDER</v>
      </c>
      <c r="R153" s="4" t="str">
        <f t="shared" si="23"/>
        <v>UNDER</v>
      </c>
      <c r="S153" s="4" t="str">
        <f t="shared" si="21"/>
        <v>UNDER</v>
      </c>
      <c r="T153" s="12" t="s">
        <v>11</v>
      </c>
      <c r="U153" s="2">
        <f>IF(Q153="OVER",$J153,$K153)</f>
        <v>362.98680913622445</v>
      </c>
      <c r="V153" s="2">
        <f>IF(R153="OVER",$J153,$K153)</f>
        <v>362.98680913622445</v>
      </c>
      <c r="W153" s="2">
        <f>IF(S153="OVER",$J153,$K153)</f>
        <v>362.98680913622445</v>
      </c>
      <c r="X153" s="12" t="s">
        <v>11</v>
      </c>
      <c r="Y153" s="9">
        <f t="shared" si="22"/>
        <v>-3793.0069924809773</v>
      </c>
      <c r="Z153" s="9">
        <f t="shared" si="22"/>
        <v>3018.7372526813629</v>
      </c>
      <c r="AA153" s="9">
        <f t="shared" si="22"/>
        <v>6838.4450779260333</v>
      </c>
      <c r="AB153" s="12" t="s">
        <v>11</v>
      </c>
    </row>
    <row r="154" spans="1:28" x14ac:dyDescent="0.3">
      <c r="A154" s="1">
        <v>44635</v>
      </c>
      <c r="B154" s="2">
        <v>151.37</v>
      </c>
      <c r="C154" s="2">
        <v>426.17</v>
      </c>
      <c r="D154" s="9">
        <f>B154-B153</f>
        <v>2.4000000000000057</v>
      </c>
      <c r="E154" s="9">
        <f>C154-C153</f>
        <v>9.1700000000000159</v>
      </c>
      <c r="F154" s="3">
        <f>F$1/B154</f>
        <v>660.63288630508021</v>
      </c>
      <c r="G154" s="3">
        <f>F$1/C154</f>
        <v>234.64814510641293</v>
      </c>
      <c r="H154" s="2">
        <f>D154*F153</f>
        <v>1611.0626300597476</v>
      </c>
      <c r="I154" s="2">
        <f>E154*G153</f>
        <v>2199.040767386095</v>
      </c>
      <c r="J154" s="2">
        <f>I154-H154</f>
        <v>587.97813732634745</v>
      </c>
      <c r="K154" s="2">
        <f t="shared" si="19"/>
        <v>-587.97813732634745</v>
      </c>
      <c r="L154" s="3">
        <f>C154/B154</f>
        <v>2.8154191715663606</v>
      </c>
      <c r="M154" s="3">
        <f t="shared" si="20"/>
        <v>2.8141278402885588</v>
      </c>
      <c r="N154" s="3">
        <f t="shared" si="24"/>
        <v>2.8234921665639865</v>
      </c>
      <c r="O154" s="3">
        <f t="shared" si="18"/>
        <v>2.8548325704718605</v>
      </c>
      <c r="P154" s="12" t="s">
        <v>11</v>
      </c>
      <c r="Q154" s="4" t="str">
        <f t="shared" si="23"/>
        <v>UNDER</v>
      </c>
      <c r="R154" s="4" t="str">
        <f t="shared" si="23"/>
        <v>UNDER</v>
      </c>
      <c r="S154" s="4" t="str">
        <f t="shared" si="21"/>
        <v>UNDER</v>
      </c>
      <c r="T154" s="12" t="s">
        <v>11</v>
      </c>
      <c r="U154" s="2">
        <f>IF(Q154="OVER",$J154,$K154)</f>
        <v>-587.97813732634745</v>
      </c>
      <c r="V154" s="2">
        <f>IF(R154="OVER",$J154,$K154)</f>
        <v>-587.97813732634745</v>
      </c>
      <c r="W154" s="2">
        <f>IF(S154="OVER",$J154,$K154)</f>
        <v>-587.97813732634745</v>
      </c>
      <c r="X154" s="12" t="s">
        <v>11</v>
      </c>
      <c r="Y154" s="9">
        <f t="shared" si="22"/>
        <v>-4380.9851298073245</v>
      </c>
      <c r="Z154" s="9">
        <f t="shared" si="22"/>
        <v>2430.7591153550156</v>
      </c>
      <c r="AA154" s="9">
        <f t="shared" si="22"/>
        <v>6250.4669405996856</v>
      </c>
      <c r="AB154" s="12" t="s">
        <v>11</v>
      </c>
    </row>
    <row r="155" spans="1:28" x14ac:dyDescent="0.3">
      <c r="A155" s="1">
        <v>44636</v>
      </c>
      <c r="B155" s="2">
        <v>154.22999999999999</v>
      </c>
      <c r="C155" s="2">
        <v>435.62</v>
      </c>
      <c r="D155" s="9">
        <f>B155-B154</f>
        <v>2.8599999999999852</v>
      </c>
      <c r="E155" s="9">
        <f>C155-C154</f>
        <v>9.4499999999999886</v>
      </c>
      <c r="F155" s="3">
        <f>F$1/B155</f>
        <v>648.38228619594122</v>
      </c>
      <c r="G155" s="3">
        <f>F$1/C155</f>
        <v>229.55787153941509</v>
      </c>
      <c r="H155" s="2">
        <f>D155*F154</f>
        <v>1889.4100548325196</v>
      </c>
      <c r="I155" s="2">
        <f>E155*G154</f>
        <v>2217.4249712555993</v>
      </c>
      <c r="J155" s="2">
        <f>I155-H155</f>
        <v>328.01491642307974</v>
      </c>
      <c r="K155" s="2">
        <f t="shared" si="19"/>
        <v>-328.01491642307974</v>
      </c>
      <c r="L155" s="3">
        <f>C155/B155</f>
        <v>2.824482915126759</v>
      </c>
      <c r="M155" s="3">
        <f t="shared" si="20"/>
        <v>2.8137562648503853</v>
      </c>
      <c r="N155" s="3">
        <f t="shared" si="24"/>
        <v>2.8221285733955659</v>
      </c>
      <c r="O155" s="3">
        <f t="shared" si="18"/>
        <v>2.8526679221871292</v>
      </c>
      <c r="P155" s="12" t="s">
        <v>11</v>
      </c>
      <c r="Q155" s="4" t="str">
        <f t="shared" si="23"/>
        <v>OVER</v>
      </c>
      <c r="R155" s="4" t="str">
        <f t="shared" si="23"/>
        <v>UNDER</v>
      </c>
      <c r="S155" s="4" t="str">
        <f t="shared" si="21"/>
        <v>UNDER</v>
      </c>
      <c r="T155" s="12" t="s">
        <v>11</v>
      </c>
      <c r="U155" s="2">
        <f>IF(Q155="OVER",$J155,$K155)</f>
        <v>328.01491642307974</v>
      </c>
      <c r="V155" s="2">
        <f>IF(R155="OVER",$J155,$K155)</f>
        <v>-328.01491642307974</v>
      </c>
      <c r="W155" s="2">
        <f>IF(S155="OVER",$J155,$K155)</f>
        <v>-328.01491642307974</v>
      </c>
      <c r="X155" s="12" t="s">
        <v>11</v>
      </c>
      <c r="Y155" s="9">
        <f t="shared" si="22"/>
        <v>-4052.9702133842447</v>
      </c>
      <c r="Z155" s="9">
        <f t="shared" si="22"/>
        <v>2102.7441989319359</v>
      </c>
      <c r="AA155" s="9">
        <f t="shared" si="22"/>
        <v>5922.4520241766058</v>
      </c>
      <c r="AB155" s="12" t="s">
        <v>11</v>
      </c>
    </row>
    <row r="156" spans="1:28" x14ac:dyDescent="0.3">
      <c r="A156" s="1">
        <v>44637</v>
      </c>
      <c r="B156" s="2">
        <v>156.16999999999999</v>
      </c>
      <c r="C156" s="2">
        <v>441.07</v>
      </c>
      <c r="D156" s="9">
        <f>B156-B155</f>
        <v>1.9399999999999977</v>
      </c>
      <c r="E156" s="9">
        <f>C156-C155</f>
        <v>5.4499999999999886</v>
      </c>
      <c r="F156" s="3">
        <f>F$1/B156</f>
        <v>640.32784785810338</v>
      </c>
      <c r="G156" s="3">
        <f>F$1/C156</f>
        <v>226.72138209354526</v>
      </c>
      <c r="H156" s="2">
        <f>D156*F155</f>
        <v>1257.8616352201245</v>
      </c>
      <c r="I156" s="2">
        <f>E156*G155</f>
        <v>1251.0903998898095</v>
      </c>
      <c r="J156" s="2">
        <f>I156-H156</f>
        <v>-6.7712353303149939</v>
      </c>
      <c r="K156" s="2">
        <f t="shared" si="19"/>
        <v>6.7712353303149939</v>
      </c>
      <c r="L156" s="3">
        <f>C156/B156</f>
        <v>2.8242940385477366</v>
      </c>
      <c r="M156" s="3">
        <f t="shared" si="20"/>
        <v>2.814190975805023</v>
      </c>
      <c r="N156" s="3">
        <f t="shared" si="24"/>
        <v>2.8210686655746247</v>
      </c>
      <c r="O156" s="3">
        <f t="shared" si="18"/>
        <v>2.8509869332869511</v>
      </c>
      <c r="P156" s="12" t="s">
        <v>11</v>
      </c>
      <c r="Q156" s="4" t="str">
        <f t="shared" si="23"/>
        <v>OVER</v>
      </c>
      <c r="R156" s="4" t="str">
        <f t="shared" si="23"/>
        <v>OVER</v>
      </c>
      <c r="S156" s="4" t="str">
        <f t="shared" si="21"/>
        <v>UNDER</v>
      </c>
      <c r="T156" s="12" t="s">
        <v>11</v>
      </c>
      <c r="U156" s="2">
        <f>IF(Q156="OVER",$J156,$K156)</f>
        <v>-6.7712353303149939</v>
      </c>
      <c r="V156" s="2">
        <f>IF(R156="OVER",$J156,$K156)</f>
        <v>-6.7712353303149939</v>
      </c>
      <c r="W156" s="2">
        <f>IF(S156="OVER",$J156,$K156)</f>
        <v>6.7712353303149939</v>
      </c>
      <c r="X156" s="12" t="s">
        <v>11</v>
      </c>
      <c r="Y156" s="9">
        <f t="shared" si="22"/>
        <v>-4059.7414487145597</v>
      </c>
      <c r="Z156" s="9">
        <f t="shared" si="22"/>
        <v>2095.9729636016209</v>
      </c>
      <c r="AA156" s="9">
        <f t="shared" si="22"/>
        <v>5929.2232595069208</v>
      </c>
      <c r="AB156" s="12" t="s">
        <v>11</v>
      </c>
    </row>
    <row r="157" spans="1:28" x14ac:dyDescent="0.3">
      <c r="A157" s="1">
        <v>44638</v>
      </c>
      <c r="B157" s="2">
        <v>157.16999999999999</v>
      </c>
      <c r="C157" s="2">
        <v>444.52</v>
      </c>
      <c r="D157" s="9">
        <f>B157-B156</f>
        <v>1</v>
      </c>
      <c r="E157" s="9">
        <f>C157-C156</f>
        <v>3.4499999999999886</v>
      </c>
      <c r="F157" s="3">
        <f>F$1/B157</f>
        <v>636.25373799071076</v>
      </c>
      <c r="G157" s="3">
        <f>F$1/C157</f>
        <v>224.96175650139477</v>
      </c>
      <c r="H157" s="2">
        <f>D157*F156</f>
        <v>640.32784785810338</v>
      </c>
      <c r="I157" s="2">
        <f>E157*G156</f>
        <v>782.18876822272853</v>
      </c>
      <c r="J157" s="2">
        <f>I157-H157</f>
        <v>141.86092036462514</v>
      </c>
      <c r="K157" s="2">
        <f t="shared" si="19"/>
        <v>-141.86092036462514</v>
      </c>
      <c r="L157" s="3">
        <f>C157/B157</f>
        <v>2.8282751161163073</v>
      </c>
      <c r="M157" s="3">
        <f t="shared" si="20"/>
        <v>2.8156211700576228</v>
      </c>
      <c r="N157" s="3">
        <f t="shared" si="24"/>
        <v>2.8206995108503685</v>
      </c>
      <c r="O157" s="3">
        <f t="shared" si="18"/>
        <v>2.8496097127788205</v>
      </c>
      <c r="P157" s="12" t="s">
        <v>11</v>
      </c>
      <c r="Q157" s="4" t="str">
        <f t="shared" si="23"/>
        <v>OVER</v>
      </c>
      <c r="R157" s="4" t="str">
        <f t="shared" si="23"/>
        <v>OVER</v>
      </c>
      <c r="S157" s="4" t="str">
        <f t="shared" si="21"/>
        <v>UNDER</v>
      </c>
      <c r="T157" s="12" t="s">
        <v>11</v>
      </c>
      <c r="U157" s="2">
        <f>IF(Q157="OVER",$J157,$K157)</f>
        <v>141.86092036462514</v>
      </c>
      <c r="V157" s="2">
        <f>IF(R157="OVER",$J157,$K157)</f>
        <v>141.86092036462514</v>
      </c>
      <c r="W157" s="2">
        <f>IF(S157="OVER",$J157,$K157)</f>
        <v>-141.86092036462514</v>
      </c>
      <c r="X157" s="12" t="s">
        <v>11</v>
      </c>
      <c r="Y157" s="9">
        <f t="shared" si="22"/>
        <v>-3917.8805283499346</v>
      </c>
      <c r="Z157" s="9">
        <f t="shared" si="22"/>
        <v>2237.833883966246</v>
      </c>
      <c r="AA157" s="9">
        <f t="shared" si="22"/>
        <v>5787.3623391422952</v>
      </c>
      <c r="AB157" s="12" t="s">
        <v>11</v>
      </c>
    </row>
    <row r="158" spans="1:28" x14ac:dyDescent="0.3">
      <c r="A158" s="1">
        <v>44641</v>
      </c>
      <c r="B158" s="2">
        <v>156.08000000000001</v>
      </c>
      <c r="C158" s="2">
        <v>444.39</v>
      </c>
      <c r="D158" s="9">
        <f>B158-B157</f>
        <v>-1.089999999999975</v>
      </c>
      <c r="E158" s="9">
        <f>C158-C157</f>
        <v>-0.12999999999999545</v>
      </c>
      <c r="F158" s="3">
        <f>F$1/B158</f>
        <v>640.69707842132232</v>
      </c>
      <c r="G158" s="3">
        <f>F$1/C158</f>
        <v>225.02756587681992</v>
      </c>
      <c r="H158" s="2">
        <f>D158*F157</f>
        <v>-693.51657440985878</v>
      </c>
      <c r="I158" s="2">
        <f>E158*G157</f>
        <v>-29.245028345180298</v>
      </c>
      <c r="J158" s="2">
        <f>I158-H158</f>
        <v>664.27154606467843</v>
      </c>
      <c r="K158" s="2">
        <f t="shared" si="19"/>
        <v>-664.27154606467843</v>
      </c>
      <c r="L158" s="3">
        <f>C158/B158</f>
        <v>2.8471937467965143</v>
      </c>
      <c r="M158" s="3">
        <f t="shared" si="20"/>
        <v>2.8194659716441244</v>
      </c>
      <c r="N158" s="3">
        <f t="shared" si="24"/>
        <v>2.8216622590824114</v>
      </c>
      <c r="O158" s="3">
        <f t="shared" si="18"/>
        <v>2.8487939135803311</v>
      </c>
      <c r="P158" s="12" t="s">
        <v>11</v>
      </c>
      <c r="Q158" s="4" t="str">
        <f t="shared" si="23"/>
        <v>OVER</v>
      </c>
      <c r="R158" s="4" t="str">
        <f t="shared" si="23"/>
        <v>OVER</v>
      </c>
      <c r="S158" s="4" t="str">
        <f t="shared" si="21"/>
        <v>UNDER</v>
      </c>
      <c r="T158" s="12" t="s">
        <v>11</v>
      </c>
      <c r="U158" s="2">
        <f>IF(Q158="OVER",$J158,$K158)</f>
        <v>664.27154606467843</v>
      </c>
      <c r="V158" s="2">
        <f>IF(R158="OVER",$J158,$K158)</f>
        <v>664.27154606467843</v>
      </c>
      <c r="W158" s="2">
        <f>IF(S158="OVER",$J158,$K158)</f>
        <v>-664.27154606467843</v>
      </c>
      <c r="X158" s="12" t="s">
        <v>11</v>
      </c>
      <c r="Y158" s="9">
        <f t="shared" si="22"/>
        <v>-3253.6089822852564</v>
      </c>
      <c r="Z158" s="9">
        <f t="shared" si="22"/>
        <v>2902.1054300309243</v>
      </c>
      <c r="AA158" s="9">
        <f t="shared" si="22"/>
        <v>5123.0907930776166</v>
      </c>
      <c r="AB158" s="12" t="s">
        <v>11</v>
      </c>
    </row>
    <row r="159" spans="1:28" x14ac:dyDescent="0.3">
      <c r="A159" s="1">
        <v>44642</v>
      </c>
      <c r="B159" s="2">
        <v>157.38999999999999</v>
      </c>
      <c r="C159" s="2">
        <v>449.59</v>
      </c>
      <c r="D159" s="9">
        <f>B159-B158</f>
        <v>1.3099999999999739</v>
      </c>
      <c r="E159" s="9">
        <f>C159-C158</f>
        <v>5.1999999999999886</v>
      </c>
      <c r="F159" s="3">
        <f>F$1/B159</f>
        <v>635.36438147277465</v>
      </c>
      <c r="G159" s="3">
        <f>F$1/C159</f>
        <v>222.42487599813165</v>
      </c>
      <c r="H159" s="2">
        <f>D159*F158</f>
        <v>839.31317273191553</v>
      </c>
      <c r="I159" s="2">
        <f>E159*G158</f>
        <v>1170.143342559461</v>
      </c>
      <c r="J159" s="2">
        <f>I159-H159</f>
        <v>330.83016982754543</v>
      </c>
      <c r="K159" s="2">
        <f t="shared" si="19"/>
        <v>-330.83016982754543</v>
      </c>
      <c r="L159" s="3">
        <f>C159/B159</f>
        <v>2.8565347226634477</v>
      </c>
      <c r="M159" s="3">
        <f t="shared" si="20"/>
        <v>2.8243626652783362</v>
      </c>
      <c r="N159" s="3">
        <f t="shared" si="24"/>
        <v>2.8232016646011915</v>
      </c>
      <c r="O159" s="3">
        <f t="shared" si="18"/>
        <v>2.8483008211757146</v>
      </c>
      <c r="P159" s="12" t="s">
        <v>11</v>
      </c>
      <c r="Q159" s="4" t="str">
        <f t="shared" si="23"/>
        <v>OVER</v>
      </c>
      <c r="R159" s="4" t="str">
        <f t="shared" si="23"/>
        <v>OVER</v>
      </c>
      <c r="S159" s="4" t="str">
        <f t="shared" si="21"/>
        <v>OVER</v>
      </c>
      <c r="T159" s="12" t="s">
        <v>11</v>
      </c>
      <c r="U159" s="2">
        <f>IF(Q159="OVER",$J159,$K159)</f>
        <v>330.83016982754543</v>
      </c>
      <c r="V159" s="2">
        <f>IF(R159="OVER",$J159,$K159)</f>
        <v>330.83016982754543</v>
      </c>
      <c r="W159" s="2">
        <f>IF(S159="OVER",$J159,$K159)</f>
        <v>330.83016982754543</v>
      </c>
      <c r="X159" s="12" t="s">
        <v>11</v>
      </c>
      <c r="Y159" s="9">
        <f t="shared" si="22"/>
        <v>-2922.778812457711</v>
      </c>
      <c r="Z159" s="9">
        <f t="shared" si="22"/>
        <v>3232.9355998584697</v>
      </c>
      <c r="AA159" s="9">
        <f t="shared" si="22"/>
        <v>5453.920962905162</v>
      </c>
      <c r="AB159" s="12" t="s">
        <v>11</v>
      </c>
    </row>
    <row r="160" spans="1:28" x14ac:dyDescent="0.3">
      <c r="A160" s="1">
        <v>44643</v>
      </c>
      <c r="B160" s="2">
        <v>155.13999999999999</v>
      </c>
      <c r="C160" s="2">
        <v>443.8</v>
      </c>
      <c r="D160" s="9">
        <f>B160-B159</f>
        <v>-2.25</v>
      </c>
      <c r="E160" s="9">
        <f>C160-C159</f>
        <v>-5.7899999999999636</v>
      </c>
      <c r="F160" s="3">
        <f>F$1/B160</f>
        <v>644.57908985432516</v>
      </c>
      <c r="G160" s="3">
        <f>F$1/C160</f>
        <v>225.32672374943667</v>
      </c>
      <c r="H160" s="2">
        <f>D160*F159</f>
        <v>-1429.569858313743</v>
      </c>
      <c r="I160" s="2">
        <f>E160*G159</f>
        <v>-1287.8400320291742</v>
      </c>
      <c r="J160" s="2">
        <f>I160-H160</f>
        <v>141.72982628456884</v>
      </c>
      <c r="K160" s="2">
        <f t="shared" si="19"/>
        <v>-141.72982628456884</v>
      </c>
      <c r="L160" s="3">
        <f>C160/B160</f>
        <v>2.8606420007734954</v>
      </c>
      <c r="M160" s="3">
        <f t="shared" si="20"/>
        <v>2.8281217134402303</v>
      </c>
      <c r="N160" s="3">
        <f t="shared" si="24"/>
        <v>2.8252736523929229</v>
      </c>
      <c r="O160" s="3">
        <f t="shared" si="18"/>
        <v>2.8476719613899912</v>
      </c>
      <c r="P160" s="12" t="s">
        <v>11</v>
      </c>
      <c r="Q160" s="4" t="str">
        <f t="shared" si="23"/>
        <v>OVER</v>
      </c>
      <c r="R160" s="4" t="str">
        <f t="shared" si="23"/>
        <v>OVER</v>
      </c>
      <c r="S160" s="4" t="str">
        <f t="shared" si="21"/>
        <v>OVER</v>
      </c>
      <c r="T160" s="12" t="s">
        <v>11</v>
      </c>
      <c r="U160" s="2">
        <f>IF(Q160="OVER",$J160,$K160)</f>
        <v>141.72982628456884</v>
      </c>
      <c r="V160" s="2">
        <f>IF(R160="OVER",$J160,$K160)</f>
        <v>141.72982628456884</v>
      </c>
      <c r="W160" s="2">
        <f>IF(S160="OVER",$J160,$K160)</f>
        <v>141.72982628456884</v>
      </c>
      <c r="X160" s="12" t="s">
        <v>11</v>
      </c>
      <c r="Y160" s="9">
        <f t="shared" si="22"/>
        <v>-2781.0489861731421</v>
      </c>
      <c r="Z160" s="9">
        <f t="shared" si="22"/>
        <v>3374.6654261430385</v>
      </c>
      <c r="AA160" s="9">
        <f t="shared" si="22"/>
        <v>5595.6507891897309</v>
      </c>
      <c r="AB160" s="12" t="s">
        <v>11</v>
      </c>
    </row>
    <row r="161" spans="1:28" x14ac:dyDescent="0.3">
      <c r="A161" s="1">
        <v>44644</v>
      </c>
      <c r="B161" s="2">
        <v>156.94999999999999</v>
      </c>
      <c r="C161" s="2">
        <v>450.49</v>
      </c>
      <c r="D161" s="9">
        <f>B161-B160</f>
        <v>1.8100000000000023</v>
      </c>
      <c r="E161" s="9">
        <f>C161-C160</f>
        <v>6.6899999999999977</v>
      </c>
      <c r="F161" s="3">
        <f>F$1/B161</f>
        <v>637.14558776680474</v>
      </c>
      <c r="G161" s="3">
        <f>F$1/C161</f>
        <v>221.98051011121223</v>
      </c>
      <c r="H161" s="2">
        <f>D161*F160</f>
        <v>1166.68815263633</v>
      </c>
      <c r="I161" s="2">
        <f>E161*G160</f>
        <v>1507.4357818837309</v>
      </c>
      <c r="J161" s="2">
        <f>I161-H161</f>
        <v>340.74762924740094</v>
      </c>
      <c r="K161" s="2">
        <f t="shared" si="19"/>
        <v>-340.74762924740094</v>
      </c>
      <c r="L161" s="3">
        <f>C161/B161</f>
        <v>2.870277158330679</v>
      </c>
      <c r="M161" s="3">
        <f t="shared" si="20"/>
        <v>2.8335797118489054</v>
      </c>
      <c r="N161" s="3">
        <f t="shared" si="24"/>
        <v>2.8270601774173323</v>
      </c>
      <c r="O161" s="3">
        <f t="shared" si="18"/>
        <v>2.8472550033256847</v>
      </c>
      <c r="P161" s="12" t="s">
        <v>11</v>
      </c>
      <c r="Q161" s="4" t="str">
        <f t="shared" si="23"/>
        <v>OVER</v>
      </c>
      <c r="R161" s="4" t="str">
        <f t="shared" si="23"/>
        <v>OVER</v>
      </c>
      <c r="S161" s="4" t="str">
        <f t="shared" si="21"/>
        <v>OVER</v>
      </c>
      <c r="T161" s="12" t="s">
        <v>11</v>
      </c>
      <c r="U161" s="2">
        <f>IF(Q161="OVER",$J161,$K161)</f>
        <v>340.74762924740094</v>
      </c>
      <c r="V161" s="2">
        <f>IF(R161="OVER",$J161,$K161)</f>
        <v>340.74762924740094</v>
      </c>
      <c r="W161" s="2">
        <f>IF(S161="OVER",$J161,$K161)</f>
        <v>340.74762924740094</v>
      </c>
      <c r="X161" s="12" t="s">
        <v>11</v>
      </c>
      <c r="Y161" s="9">
        <f t="shared" si="22"/>
        <v>-2440.3013569257409</v>
      </c>
      <c r="Z161" s="9">
        <f t="shared" si="22"/>
        <v>3715.4130553904397</v>
      </c>
      <c r="AA161" s="9">
        <f t="shared" si="22"/>
        <v>5936.398418437132</v>
      </c>
      <c r="AB161" s="12" t="s">
        <v>11</v>
      </c>
    </row>
    <row r="162" spans="1:28" x14ac:dyDescent="0.3">
      <c r="A162" s="1">
        <v>44645</v>
      </c>
      <c r="B162" s="2">
        <v>158.02000000000001</v>
      </c>
      <c r="C162" s="2">
        <v>452.69</v>
      </c>
      <c r="D162" s="9">
        <f>B162-B161</f>
        <v>1.0700000000000216</v>
      </c>
      <c r="E162" s="9">
        <f>C162-C161</f>
        <v>2.1999999999999886</v>
      </c>
      <c r="F162" s="3">
        <f>F$1/B162</f>
        <v>632.83128717883812</v>
      </c>
      <c r="G162" s="3">
        <f>F$1/C162</f>
        <v>220.90172082440523</v>
      </c>
      <c r="H162" s="2">
        <f>D162*F161</f>
        <v>681.74577891049478</v>
      </c>
      <c r="I162" s="2">
        <f>E162*G161</f>
        <v>488.35712224466437</v>
      </c>
      <c r="J162" s="2">
        <f>I162-H162</f>
        <v>-193.38865666583041</v>
      </c>
      <c r="K162" s="2">
        <f t="shared" si="19"/>
        <v>193.38865666583041</v>
      </c>
      <c r="L162" s="3">
        <f>C162/B162</f>
        <v>2.8647639539298821</v>
      </c>
      <c r="M162" s="3">
        <f t="shared" si="20"/>
        <v>2.8391104143579988</v>
      </c>
      <c r="N162" s="3">
        <f t="shared" si="24"/>
        <v>2.8292343122110162</v>
      </c>
      <c r="O162" s="3">
        <f t="shared" si="18"/>
        <v>2.8466178059268206</v>
      </c>
      <c r="P162" s="12" t="s">
        <v>11</v>
      </c>
      <c r="Q162" s="4" t="str">
        <f t="shared" si="23"/>
        <v>OVER</v>
      </c>
      <c r="R162" s="4" t="str">
        <f t="shared" si="23"/>
        <v>OVER</v>
      </c>
      <c r="S162" s="4" t="str">
        <f t="shared" si="21"/>
        <v>OVER</v>
      </c>
      <c r="T162" s="12" t="s">
        <v>11</v>
      </c>
      <c r="U162" s="2">
        <f>IF(Q162="OVER",$J162,$K162)</f>
        <v>-193.38865666583041</v>
      </c>
      <c r="V162" s="2">
        <f>IF(R162="OVER",$J162,$K162)</f>
        <v>-193.38865666583041</v>
      </c>
      <c r="W162" s="2">
        <f>IF(S162="OVER",$J162,$K162)</f>
        <v>-193.38865666583041</v>
      </c>
      <c r="X162" s="12" t="s">
        <v>11</v>
      </c>
      <c r="Y162" s="9">
        <f t="shared" si="22"/>
        <v>-2633.6900135915712</v>
      </c>
      <c r="Z162" s="9">
        <f t="shared" si="22"/>
        <v>3522.0243987246095</v>
      </c>
      <c r="AA162" s="9">
        <f t="shared" si="22"/>
        <v>5743.0097617713018</v>
      </c>
      <c r="AB162" s="12" t="s">
        <v>11</v>
      </c>
    </row>
    <row r="163" spans="1:28" x14ac:dyDescent="0.3">
      <c r="A163" s="1">
        <v>44648</v>
      </c>
      <c r="B163" s="2">
        <v>158.49</v>
      </c>
      <c r="C163" s="2">
        <v>455.91</v>
      </c>
      <c r="D163" s="9">
        <f>B163-B162</f>
        <v>0.46999999999999886</v>
      </c>
      <c r="E163" s="9">
        <f>C163-C162</f>
        <v>3.2200000000000273</v>
      </c>
      <c r="F163" s="3">
        <f>F$1/B163</f>
        <v>630.95463436178932</v>
      </c>
      <c r="G163" s="3">
        <f>F$1/C163</f>
        <v>219.34153670680615</v>
      </c>
      <c r="H163" s="2">
        <f>D163*F162</f>
        <v>297.43070497405319</v>
      </c>
      <c r="I163" s="2">
        <f>E163*G162</f>
        <v>711.30354105459082</v>
      </c>
      <c r="J163" s="2">
        <f>I163-H163</f>
        <v>413.87283608053764</v>
      </c>
      <c r="K163" s="2">
        <f t="shared" si="19"/>
        <v>-413.87283608053764</v>
      </c>
      <c r="L163" s="3">
        <f>C163/B163</f>
        <v>2.8765852735188342</v>
      </c>
      <c r="M163" s="3">
        <f t="shared" si="20"/>
        <v>2.8468468097370017</v>
      </c>
      <c r="N163" s="3">
        <f t="shared" si="24"/>
        <v>2.8315303506033276</v>
      </c>
      <c r="O163" s="3">
        <f t="shared" si="18"/>
        <v>2.8467505246184985</v>
      </c>
      <c r="P163" s="12" t="s">
        <v>11</v>
      </c>
      <c r="Q163" s="4" t="str">
        <f t="shared" si="23"/>
        <v>OVER</v>
      </c>
      <c r="R163" s="4" t="str">
        <f t="shared" si="23"/>
        <v>OVER</v>
      </c>
      <c r="S163" s="4" t="str">
        <f t="shared" si="21"/>
        <v>OVER</v>
      </c>
      <c r="T163" s="12" t="s">
        <v>11</v>
      </c>
      <c r="U163" s="2">
        <f>IF(Q163="OVER",$J163,$K163)</f>
        <v>413.87283608053764</v>
      </c>
      <c r="V163" s="2">
        <f>IF(R163="OVER",$J163,$K163)</f>
        <v>413.87283608053764</v>
      </c>
      <c r="W163" s="2">
        <f>IF(S163="OVER",$J163,$K163)</f>
        <v>413.87283608053764</v>
      </c>
      <c r="X163" s="12" t="s">
        <v>11</v>
      </c>
      <c r="Y163" s="9">
        <f t="shared" si="22"/>
        <v>-2219.8171775110336</v>
      </c>
      <c r="Z163" s="9">
        <f t="shared" si="22"/>
        <v>3935.897234805147</v>
      </c>
      <c r="AA163" s="9">
        <f t="shared" si="22"/>
        <v>6156.8825978518398</v>
      </c>
      <c r="AB163" s="12" t="s">
        <v>11</v>
      </c>
    </row>
    <row r="164" spans="1:28" x14ac:dyDescent="0.3">
      <c r="A164" s="1">
        <v>44649</v>
      </c>
      <c r="B164" s="2">
        <v>161.12</v>
      </c>
      <c r="C164" s="2">
        <v>461.55</v>
      </c>
      <c r="D164" s="9">
        <f>B164-B163</f>
        <v>2.6299999999999955</v>
      </c>
      <c r="E164" s="9">
        <f>C164-C163</f>
        <v>5.6399999999999864</v>
      </c>
      <c r="F164" s="3">
        <f>F$1/B164</f>
        <v>620.6554121151936</v>
      </c>
      <c r="G164" s="3">
        <f>F$1/C164</f>
        <v>216.66125013541327</v>
      </c>
      <c r="H164" s="2">
        <f>D164*F163</f>
        <v>1659.4106883715031</v>
      </c>
      <c r="I164" s="2">
        <f>E164*G163</f>
        <v>1237.0862670263837</v>
      </c>
      <c r="J164" s="2">
        <f>I164-H164</f>
        <v>-422.32442134511939</v>
      </c>
      <c r="K164" s="2">
        <f t="shared" si="19"/>
        <v>422.32442134511939</v>
      </c>
      <c r="L164" s="3">
        <f>C164/B164</f>
        <v>2.8646350546176764</v>
      </c>
      <c r="M164" s="3">
        <f t="shared" si="20"/>
        <v>2.8517683980421333</v>
      </c>
      <c r="N164" s="3">
        <f t="shared" si="24"/>
        <v>2.8329481191653461</v>
      </c>
      <c r="O164" s="3">
        <f t="shared" si="18"/>
        <v>2.8465212551699448</v>
      </c>
      <c r="P164" s="12" t="s">
        <v>11</v>
      </c>
      <c r="Q164" s="4" t="str">
        <f t="shared" si="23"/>
        <v>OVER</v>
      </c>
      <c r="R164" s="4" t="str">
        <f t="shared" si="23"/>
        <v>OVER</v>
      </c>
      <c r="S164" s="4" t="str">
        <f t="shared" si="21"/>
        <v>OVER</v>
      </c>
      <c r="T164" s="12" t="s">
        <v>11</v>
      </c>
      <c r="U164" s="2">
        <f>IF(Q164="OVER",$J164,$K164)</f>
        <v>-422.32442134511939</v>
      </c>
      <c r="V164" s="2">
        <f>IF(R164="OVER",$J164,$K164)</f>
        <v>-422.32442134511939</v>
      </c>
      <c r="W164" s="2">
        <f>IF(S164="OVER",$J164,$K164)</f>
        <v>-422.32442134511939</v>
      </c>
      <c r="X164" s="12" t="s">
        <v>11</v>
      </c>
      <c r="Y164" s="9">
        <f t="shared" si="22"/>
        <v>-2642.141598856153</v>
      </c>
      <c r="Z164" s="9">
        <f t="shared" si="22"/>
        <v>3513.5728134600276</v>
      </c>
      <c r="AA164" s="9">
        <f t="shared" si="22"/>
        <v>5734.55817650672</v>
      </c>
      <c r="AB164" s="12" t="s">
        <v>11</v>
      </c>
    </row>
    <row r="165" spans="1:28" x14ac:dyDescent="0.3">
      <c r="A165" s="1">
        <v>44650</v>
      </c>
      <c r="B165" s="2">
        <v>159.88999999999999</v>
      </c>
      <c r="C165" s="2">
        <v>458.7</v>
      </c>
      <c r="D165" s="9">
        <f>B165-B164</f>
        <v>-1.2300000000000182</v>
      </c>
      <c r="E165" s="9">
        <f>C165-C164</f>
        <v>-2.8500000000000227</v>
      </c>
      <c r="F165" s="3">
        <f>F$1/B165</f>
        <v>625.42998311339056</v>
      </c>
      <c r="G165" s="3">
        <f>F$1/C165</f>
        <v>218.00741225201656</v>
      </c>
      <c r="H165" s="2">
        <f>D165*F164</f>
        <v>-763.40615690169943</v>
      </c>
      <c r="I165" s="2">
        <f>E165*G164</f>
        <v>-617.48456288593275</v>
      </c>
      <c r="J165" s="2">
        <f>I165-H165</f>
        <v>145.92159401576669</v>
      </c>
      <c r="K165" s="2">
        <f t="shared" si="19"/>
        <v>-145.92159401576669</v>
      </c>
      <c r="L165" s="3">
        <f>C165/B165</f>
        <v>2.8688473325411223</v>
      </c>
      <c r="M165" s="3">
        <f t="shared" si="20"/>
        <v>2.8562048397835693</v>
      </c>
      <c r="N165" s="3">
        <f t="shared" si="24"/>
        <v>2.8349805523169773</v>
      </c>
      <c r="O165" s="3">
        <f t="shared" si="18"/>
        <v>2.8464816871361558</v>
      </c>
      <c r="P165" s="12" t="s">
        <v>11</v>
      </c>
      <c r="Q165" s="4" t="str">
        <f t="shared" si="23"/>
        <v>OVER</v>
      </c>
      <c r="R165" s="4" t="str">
        <f t="shared" si="23"/>
        <v>OVER</v>
      </c>
      <c r="S165" s="4" t="str">
        <f t="shared" si="21"/>
        <v>OVER</v>
      </c>
      <c r="T165" s="12" t="s">
        <v>11</v>
      </c>
      <c r="U165" s="2">
        <f>IF(Q165="OVER",$J165,$K165)</f>
        <v>145.92159401576669</v>
      </c>
      <c r="V165" s="2">
        <f>IF(R165="OVER",$J165,$K165)</f>
        <v>145.92159401576669</v>
      </c>
      <c r="W165" s="2">
        <f>IF(S165="OVER",$J165,$K165)</f>
        <v>145.92159401576669</v>
      </c>
      <c r="X165" s="12" t="s">
        <v>11</v>
      </c>
      <c r="Y165" s="9">
        <f t="shared" si="22"/>
        <v>-2496.2200048403865</v>
      </c>
      <c r="Z165" s="9">
        <f t="shared" si="22"/>
        <v>3659.4944074757941</v>
      </c>
      <c r="AA165" s="9">
        <f t="shared" si="22"/>
        <v>5880.4797705224864</v>
      </c>
      <c r="AB165" s="12" t="s">
        <v>11</v>
      </c>
    </row>
    <row r="166" spans="1:28" x14ac:dyDescent="0.3">
      <c r="A166" s="1">
        <v>44651</v>
      </c>
      <c r="B166" s="2">
        <v>157.71</v>
      </c>
      <c r="C166" s="2">
        <v>451.64</v>
      </c>
      <c r="D166" s="9">
        <f>B166-B165</f>
        <v>-2.1799999999999784</v>
      </c>
      <c r="E166" s="9">
        <f>C166-C165</f>
        <v>-7.0600000000000023</v>
      </c>
      <c r="F166" s="3">
        <f>F$1/B166</f>
        <v>634.07520131887634</v>
      </c>
      <c r="G166" s="3">
        <f>F$1/C166</f>
        <v>221.41528651138074</v>
      </c>
      <c r="H166" s="2">
        <f>D166*F165</f>
        <v>-1363.4373631871779</v>
      </c>
      <c r="I166" s="2">
        <f>E166*G165</f>
        <v>-1539.1323304992375</v>
      </c>
      <c r="J166" s="2">
        <f>I166-H166</f>
        <v>-175.69496731205959</v>
      </c>
      <c r="K166" s="2">
        <f t="shared" si="19"/>
        <v>175.69496731205959</v>
      </c>
      <c r="L166" s="3">
        <f>C166/B166</f>
        <v>2.8637372392365732</v>
      </c>
      <c r="M166" s="3">
        <f t="shared" si="20"/>
        <v>2.8601491598524533</v>
      </c>
      <c r="N166" s="3">
        <f t="shared" si="24"/>
        <v>2.8371700678287377</v>
      </c>
      <c r="O166" s="3">
        <f t="shared" si="18"/>
        <v>2.8463403160083298</v>
      </c>
      <c r="P166" s="12" t="s">
        <v>11</v>
      </c>
      <c r="Q166" s="4" t="str">
        <f t="shared" si="23"/>
        <v>OVER</v>
      </c>
      <c r="R166" s="4" t="str">
        <f t="shared" si="23"/>
        <v>OVER</v>
      </c>
      <c r="S166" s="4" t="str">
        <f t="shared" si="21"/>
        <v>OVER</v>
      </c>
      <c r="T166" s="12" t="s">
        <v>11</v>
      </c>
      <c r="U166" s="2">
        <f>IF(Q166="OVER",$J166,$K166)</f>
        <v>-175.69496731205959</v>
      </c>
      <c r="V166" s="2">
        <f>IF(R166="OVER",$J166,$K166)</f>
        <v>-175.69496731205959</v>
      </c>
      <c r="W166" s="2">
        <f>IF(S166="OVER",$J166,$K166)</f>
        <v>-175.69496731205959</v>
      </c>
      <c r="X166" s="12" t="s">
        <v>11</v>
      </c>
      <c r="Y166" s="9">
        <f t="shared" si="22"/>
        <v>-2671.9149721524464</v>
      </c>
      <c r="Z166" s="9">
        <f t="shared" si="22"/>
        <v>3483.7994401637343</v>
      </c>
      <c r="AA166" s="9">
        <f t="shared" si="22"/>
        <v>5704.7848032104266</v>
      </c>
      <c r="AB166" s="12" t="s">
        <v>11</v>
      </c>
    </row>
    <row r="167" spans="1:28" x14ac:dyDescent="0.3">
      <c r="A167" s="1">
        <v>44652</v>
      </c>
      <c r="B167" s="2">
        <v>158.22</v>
      </c>
      <c r="C167" s="2">
        <v>452.92</v>
      </c>
      <c r="D167" s="9">
        <f>B167-B166</f>
        <v>0.50999999999999091</v>
      </c>
      <c r="E167" s="9">
        <f>C167-C166</f>
        <v>1.2800000000000296</v>
      </c>
      <c r="F167" s="3">
        <f>F$1/B167</f>
        <v>632.0313487548982</v>
      </c>
      <c r="G167" s="3">
        <f>F$1/C167</f>
        <v>220.78954340722422</v>
      </c>
      <c r="H167" s="2">
        <f>D167*F166</f>
        <v>323.37835267262119</v>
      </c>
      <c r="I167" s="2">
        <f>E167*G166</f>
        <v>283.41156673457391</v>
      </c>
      <c r="J167" s="2">
        <f>I167-H167</f>
        <v>-39.966785938047281</v>
      </c>
      <c r="K167" s="2">
        <f t="shared" si="19"/>
        <v>39.966785938047281</v>
      </c>
      <c r="L167" s="3">
        <f>C167/B167</f>
        <v>2.8625963847806855</v>
      </c>
      <c r="M167" s="3">
        <f t="shared" si="20"/>
        <v>2.8635812867188912</v>
      </c>
      <c r="N167" s="3">
        <f t="shared" si="24"/>
        <v>2.8396012283882568</v>
      </c>
      <c r="O167" s="3">
        <f t="shared" si="18"/>
        <v>2.8460806577101234</v>
      </c>
      <c r="P167" s="12" t="s">
        <v>11</v>
      </c>
      <c r="Q167" s="4" t="str">
        <f t="shared" si="23"/>
        <v>OVER</v>
      </c>
      <c r="R167" s="4" t="str">
        <f t="shared" si="23"/>
        <v>OVER</v>
      </c>
      <c r="S167" s="4" t="str">
        <f t="shared" si="21"/>
        <v>OVER</v>
      </c>
      <c r="T167" s="12" t="s">
        <v>11</v>
      </c>
      <c r="U167" s="2">
        <f>IF(Q167="OVER",$J167,$K167)</f>
        <v>-39.966785938047281</v>
      </c>
      <c r="V167" s="2">
        <f>IF(R167="OVER",$J167,$K167)</f>
        <v>-39.966785938047281</v>
      </c>
      <c r="W167" s="2">
        <f>IF(S167="OVER",$J167,$K167)</f>
        <v>-39.966785938047281</v>
      </c>
      <c r="X167" s="12" t="s">
        <v>11</v>
      </c>
      <c r="Y167" s="9">
        <f t="shared" si="22"/>
        <v>-2711.8817580904938</v>
      </c>
      <c r="Z167" s="9">
        <f t="shared" si="22"/>
        <v>3443.8326542256868</v>
      </c>
      <c r="AA167" s="9">
        <f t="shared" si="22"/>
        <v>5664.8180172723796</v>
      </c>
      <c r="AB167" s="12" t="s">
        <v>11</v>
      </c>
    </row>
    <row r="168" spans="1:28" x14ac:dyDescent="0.3">
      <c r="A168" s="1">
        <v>44655</v>
      </c>
      <c r="B168" s="2">
        <v>158.56</v>
      </c>
      <c r="C168" s="2">
        <v>456.8</v>
      </c>
      <c r="D168" s="9">
        <f>B168-B167</f>
        <v>0.34000000000000341</v>
      </c>
      <c r="E168" s="9">
        <f>C168-C167</f>
        <v>3.8799999999999955</v>
      </c>
      <c r="F168" s="3">
        <f>F$1/B168</f>
        <v>630.6760847628658</v>
      </c>
      <c r="G168" s="3">
        <f>F$1/C168</f>
        <v>218.91418563922943</v>
      </c>
      <c r="H168" s="2">
        <f>D168*F167</f>
        <v>214.89065857666753</v>
      </c>
      <c r="I168" s="2">
        <f>E168*G167</f>
        <v>856.66342842002894</v>
      </c>
      <c r="J168" s="2">
        <f>I168-H168</f>
        <v>641.7727698433614</v>
      </c>
      <c r="K168" s="2">
        <f t="shared" si="19"/>
        <v>-641.7727698433614</v>
      </c>
      <c r="L168" s="3">
        <f>C168/B168</f>
        <v>2.880928355196771</v>
      </c>
      <c r="M168" s="3">
        <f t="shared" si="20"/>
        <v>2.8669547475589168</v>
      </c>
      <c r="N168" s="3">
        <f t="shared" si="24"/>
        <v>2.8432103596015206</v>
      </c>
      <c r="O168" s="3">
        <f t="shared" si="18"/>
        <v>2.8464805952497496</v>
      </c>
      <c r="P168" s="12" t="s">
        <v>11</v>
      </c>
      <c r="Q168" s="4" t="str">
        <f t="shared" si="23"/>
        <v>UNDER</v>
      </c>
      <c r="R168" s="4" t="str">
        <f t="shared" si="23"/>
        <v>OVER</v>
      </c>
      <c r="S168" s="4" t="str">
        <f t="shared" si="21"/>
        <v>OVER</v>
      </c>
      <c r="T168" s="12" t="s">
        <v>11</v>
      </c>
      <c r="U168" s="2">
        <f>IF(Q168="OVER",$J168,$K168)</f>
        <v>-641.7727698433614</v>
      </c>
      <c r="V168" s="2">
        <f>IF(R168="OVER",$J168,$K168)</f>
        <v>641.7727698433614</v>
      </c>
      <c r="W168" s="2">
        <f>IF(S168="OVER",$J168,$K168)</f>
        <v>641.7727698433614</v>
      </c>
      <c r="X168" s="12" t="s">
        <v>11</v>
      </c>
      <c r="Y168" s="9">
        <f t="shared" si="22"/>
        <v>-3353.6545279338552</v>
      </c>
      <c r="Z168" s="9">
        <f t="shared" si="22"/>
        <v>4085.6054240690482</v>
      </c>
      <c r="AA168" s="9">
        <f t="shared" si="22"/>
        <v>6306.5907871157415</v>
      </c>
      <c r="AB168" s="12" t="s">
        <v>11</v>
      </c>
    </row>
    <row r="169" spans="1:28" x14ac:dyDescent="0.3">
      <c r="A169" s="1">
        <v>44656</v>
      </c>
      <c r="B169" s="2">
        <v>156.87</v>
      </c>
      <c r="C169" s="2">
        <v>451.03</v>
      </c>
      <c r="D169" s="9">
        <f>B169-B168</f>
        <v>-1.6899999999999977</v>
      </c>
      <c r="E169" s="9">
        <f>C169-C168</f>
        <v>-5.7700000000000387</v>
      </c>
      <c r="F169" s="3">
        <f>F$1/B169</f>
        <v>637.47051698858922</v>
      </c>
      <c r="G169" s="3">
        <f>F$1/C169</f>
        <v>221.71474181318317</v>
      </c>
      <c r="H169" s="2">
        <f>D169*F168</f>
        <v>-1065.8425832492417</v>
      </c>
      <c r="I169" s="2">
        <f>E169*G168</f>
        <v>-1263.1348511383624</v>
      </c>
      <c r="J169" s="2">
        <f>I169-H169</f>
        <v>-197.29226788912069</v>
      </c>
      <c r="K169" s="2">
        <f t="shared" si="19"/>
        <v>197.29226788912069</v>
      </c>
      <c r="L169" s="3">
        <f>C169/B169</f>
        <v>2.8751832727736342</v>
      </c>
      <c r="M169" s="3">
        <f t="shared" si="20"/>
        <v>2.8688196025699355</v>
      </c>
      <c r="N169" s="3">
        <f t="shared" si="24"/>
        <v>2.8465911339241359</v>
      </c>
      <c r="O169" s="3">
        <f t="shared" si="18"/>
        <v>2.846951065684475</v>
      </c>
      <c r="P169" s="12" t="s">
        <v>11</v>
      </c>
      <c r="Q169" s="4" t="str">
        <f t="shared" si="23"/>
        <v>OVER</v>
      </c>
      <c r="R169" s="4" t="str">
        <f t="shared" si="23"/>
        <v>OVER</v>
      </c>
      <c r="S169" s="4" t="str">
        <f t="shared" si="21"/>
        <v>OVER</v>
      </c>
      <c r="T169" s="12" t="s">
        <v>11</v>
      </c>
      <c r="U169" s="2">
        <f>IF(Q169="OVER",$J169,$K169)</f>
        <v>-197.29226788912069</v>
      </c>
      <c r="V169" s="2">
        <f>IF(R169="OVER",$J169,$K169)</f>
        <v>-197.29226788912069</v>
      </c>
      <c r="W169" s="2">
        <f>IF(S169="OVER",$J169,$K169)</f>
        <v>-197.29226788912069</v>
      </c>
      <c r="X169" s="12" t="s">
        <v>11</v>
      </c>
      <c r="Y169" s="9">
        <f t="shared" si="22"/>
        <v>-3550.9467958229761</v>
      </c>
      <c r="Z169" s="9">
        <f t="shared" si="22"/>
        <v>3888.3131561799273</v>
      </c>
      <c r="AA169" s="9">
        <f t="shared" si="22"/>
        <v>6109.2985192266206</v>
      </c>
      <c r="AB169" s="12" t="s">
        <v>11</v>
      </c>
    </row>
    <row r="170" spans="1:28" x14ac:dyDescent="0.3">
      <c r="A170" s="1">
        <v>44657</v>
      </c>
      <c r="B170" s="2">
        <v>156.08000000000001</v>
      </c>
      <c r="C170" s="2">
        <v>446.52</v>
      </c>
      <c r="D170" s="9">
        <f>B170-B169</f>
        <v>-0.78999999999999204</v>
      </c>
      <c r="E170" s="9">
        <f>C170-C169</f>
        <v>-4.5099999999999909</v>
      </c>
      <c r="F170" s="3">
        <f>F$1/B170</f>
        <v>640.69707842132232</v>
      </c>
      <c r="G170" s="3">
        <f>F$1/C170</f>
        <v>223.95413419331723</v>
      </c>
      <c r="H170" s="2">
        <f>D170*F169</f>
        <v>-503.6017084209804</v>
      </c>
      <c r="I170" s="2">
        <f>E170*G169</f>
        <v>-999.93348557745412</v>
      </c>
      <c r="J170" s="2">
        <f>I170-H170</f>
        <v>-496.33177715647372</v>
      </c>
      <c r="K170" s="2">
        <f t="shared" si="19"/>
        <v>496.33177715647372</v>
      </c>
      <c r="L170" s="3">
        <f>C170/B170</f>
        <v>2.8608405945668882</v>
      </c>
      <c r="M170" s="3">
        <f t="shared" si="20"/>
        <v>2.8688394619492747</v>
      </c>
      <c r="N170" s="3">
        <f t="shared" si="24"/>
        <v>2.8484805876947528</v>
      </c>
      <c r="O170" s="3">
        <f t="shared" si="18"/>
        <v>2.8472926321248377</v>
      </c>
      <c r="P170" s="12" t="s">
        <v>11</v>
      </c>
      <c r="Q170" s="4" t="str">
        <f t="shared" si="23"/>
        <v>OVER</v>
      </c>
      <c r="R170" s="4" t="str">
        <f t="shared" si="23"/>
        <v>OVER</v>
      </c>
      <c r="S170" s="4" t="str">
        <f t="shared" si="21"/>
        <v>OVER</v>
      </c>
      <c r="T170" s="12" t="s">
        <v>11</v>
      </c>
      <c r="U170" s="2">
        <f>IF(Q170="OVER",$J170,$K170)</f>
        <v>-496.33177715647372</v>
      </c>
      <c r="V170" s="2">
        <f>IF(R170="OVER",$J170,$K170)</f>
        <v>-496.33177715647372</v>
      </c>
      <c r="W170" s="2">
        <f>IF(S170="OVER",$J170,$K170)</f>
        <v>-496.33177715647372</v>
      </c>
      <c r="X170" s="12" t="s">
        <v>11</v>
      </c>
      <c r="Y170" s="9">
        <f t="shared" si="22"/>
        <v>-4047.27857297945</v>
      </c>
      <c r="Z170" s="9">
        <f t="shared" si="22"/>
        <v>3391.9813790234534</v>
      </c>
      <c r="AA170" s="9">
        <f t="shared" si="22"/>
        <v>5612.9667420701471</v>
      </c>
      <c r="AB170" s="12" t="s">
        <v>11</v>
      </c>
    </row>
    <row r="171" spans="1:28" x14ac:dyDescent="0.3">
      <c r="A171" s="1">
        <v>44658</v>
      </c>
      <c r="B171" s="2">
        <v>156.56</v>
      </c>
      <c r="C171" s="2">
        <v>448.77</v>
      </c>
      <c r="D171" s="9">
        <f>B171-B170</f>
        <v>0.47999999999998977</v>
      </c>
      <c r="E171" s="9">
        <f>C171-C170</f>
        <v>2.25</v>
      </c>
      <c r="F171" s="3">
        <f>F$1/B171</f>
        <v>638.73275421563619</v>
      </c>
      <c r="G171" s="3">
        <f>F$1/C171</f>
        <v>222.83129442698933</v>
      </c>
      <c r="H171" s="2">
        <f>D171*F170</f>
        <v>307.53459764222816</v>
      </c>
      <c r="I171" s="2">
        <f>E171*G170</f>
        <v>503.89680193496378</v>
      </c>
      <c r="J171" s="2">
        <f>I171-H171</f>
        <v>196.36220429273561</v>
      </c>
      <c r="K171" s="2">
        <f t="shared" si="19"/>
        <v>-196.36220429273561</v>
      </c>
      <c r="L171" s="3">
        <f>C171/B171</f>
        <v>2.8664409810935103</v>
      </c>
      <c r="M171" s="3">
        <f t="shared" si="20"/>
        <v>2.8684558442255579</v>
      </c>
      <c r="N171" s="3">
        <f t="shared" si="24"/>
        <v>2.8510177780372317</v>
      </c>
      <c r="O171" s="3">
        <f t="shared" si="18"/>
        <v>2.8474284461379984</v>
      </c>
      <c r="P171" s="12" t="s">
        <v>11</v>
      </c>
      <c r="Q171" s="4" t="str">
        <f t="shared" si="23"/>
        <v>UNDER</v>
      </c>
      <c r="R171" s="4" t="str">
        <f t="shared" si="23"/>
        <v>OVER</v>
      </c>
      <c r="S171" s="4" t="str">
        <f t="shared" si="21"/>
        <v>OVER</v>
      </c>
      <c r="T171" s="12" t="s">
        <v>11</v>
      </c>
      <c r="U171" s="2">
        <f>IF(Q171="OVER",$J171,$K171)</f>
        <v>-196.36220429273561</v>
      </c>
      <c r="V171" s="2">
        <f>IF(R171="OVER",$J171,$K171)</f>
        <v>196.36220429273561</v>
      </c>
      <c r="W171" s="2">
        <f>IF(S171="OVER",$J171,$K171)</f>
        <v>196.36220429273561</v>
      </c>
      <c r="X171" s="12" t="s">
        <v>11</v>
      </c>
      <c r="Y171" s="9">
        <f t="shared" si="22"/>
        <v>-4243.6407772721859</v>
      </c>
      <c r="Z171" s="9">
        <f t="shared" si="22"/>
        <v>3588.3435833161889</v>
      </c>
      <c r="AA171" s="9">
        <f t="shared" si="22"/>
        <v>5809.3289463628826</v>
      </c>
      <c r="AB171" s="12" t="s">
        <v>11</v>
      </c>
    </row>
    <row r="172" spans="1:28" x14ac:dyDescent="0.3">
      <c r="A172" s="1">
        <v>44659</v>
      </c>
      <c r="B172" s="2">
        <v>156.88999999999999</v>
      </c>
      <c r="C172" s="2">
        <v>447.57</v>
      </c>
      <c r="D172" s="9">
        <f>B172-B171</f>
        <v>0.32999999999998408</v>
      </c>
      <c r="E172" s="9">
        <f>C172-C171</f>
        <v>-1.1999999999999886</v>
      </c>
      <c r="F172" s="3">
        <f>F$1/B172</f>
        <v>637.38925361718407</v>
      </c>
      <c r="G172" s="3">
        <f>F$1/C172</f>
        <v>223.42873740420492</v>
      </c>
      <c r="H172" s="2">
        <f>D172*F171</f>
        <v>210.78180889114978</v>
      </c>
      <c r="I172" s="2">
        <f>E172*G171</f>
        <v>-267.39755331238467</v>
      </c>
      <c r="J172" s="2">
        <f>I172-H172</f>
        <v>-478.17936220353442</v>
      </c>
      <c r="K172" s="2">
        <f t="shared" si="19"/>
        <v>478.17936220353442</v>
      </c>
      <c r="L172" s="3">
        <f>C172/B172</f>
        <v>2.8527630824144308</v>
      </c>
      <c r="M172" s="3">
        <f t="shared" si="20"/>
        <v>2.8672557570740125</v>
      </c>
      <c r="N172" s="3">
        <f t="shared" si="24"/>
        <v>2.8531830857160059</v>
      </c>
      <c r="O172" s="3">
        <f t="shared" si="18"/>
        <v>2.847252121853971</v>
      </c>
      <c r="P172" s="12" t="s">
        <v>11</v>
      </c>
      <c r="Q172" s="4" t="str">
        <f t="shared" si="23"/>
        <v>UNDER</v>
      </c>
      <c r="R172" s="4" t="str">
        <f t="shared" si="23"/>
        <v>OVER</v>
      </c>
      <c r="S172" s="4" t="str">
        <f t="shared" si="21"/>
        <v>OVER</v>
      </c>
      <c r="T172" s="12" t="s">
        <v>11</v>
      </c>
      <c r="U172" s="2">
        <f>IF(Q172="OVER",$J172,$K172)</f>
        <v>478.17936220353442</v>
      </c>
      <c r="V172" s="2">
        <f>IF(R172="OVER",$J172,$K172)</f>
        <v>-478.17936220353442</v>
      </c>
      <c r="W172" s="2">
        <f>IF(S172="OVER",$J172,$K172)</f>
        <v>-478.17936220353442</v>
      </c>
      <c r="X172" s="12" t="s">
        <v>11</v>
      </c>
      <c r="Y172" s="9">
        <f t="shared" si="22"/>
        <v>-3765.4614150686516</v>
      </c>
      <c r="Z172" s="9">
        <f t="shared" si="22"/>
        <v>3110.1642211126546</v>
      </c>
      <c r="AA172" s="9">
        <f t="shared" si="22"/>
        <v>5331.1495841593478</v>
      </c>
      <c r="AB172" s="12" t="s">
        <v>11</v>
      </c>
    </row>
    <row r="173" spans="1:28" x14ac:dyDescent="0.3">
      <c r="A173" s="1">
        <v>44662</v>
      </c>
      <c r="B173" s="2">
        <v>155.37</v>
      </c>
      <c r="C173" s="2">
        <v>439.92</v>
      </c>
      <c r="D173" s="9">
        <f>B173-B172</f>
        <v>-1.5199999999999818</v>
      </c>
      <c r="E173" s="9">
        <f>C173-C172</f>
        <v>-7.6499999999999773</v>
      </c>
      <c r="F173" s="3">
        <f>F$1/B173</f>
        <v>643.62489541095442</v>
      </c>
      <c r="G173" s="3">
        <f>F$1/C173</f>
        <v>227.31405710129113</v>
      </c>
      <c r="H173" s="2">
        <f>D173*F172</f>
        <v>-968.83166549810824</v>
      </c>
      <c r="I173" s="2">
        <f>E173*G172</f>
        <v>-1709.2298411421625</v>
      </c>
      <c r="J173" s="2">
        <f>I173-H173</f>
        <v>-740.39817564405428</v>
      </c>
      <c r="K173" s="2">
        <f t="shared" si="19"/>
        <v>740.39817564405428</v>
      </c>
      <c r="L173" s="3">
        <f>C173/B173</f>
        <v>2.8314346398918708</v>
      </c>
      <c r="M173" s="3">
        <f t="shared" si="20"/>
        <v>2.862740693711316</v>
      </c>
      <c r="N173" s="3">
        <f t="shared" si="24"/>
        <v>2.8547937517241593</v>
      </c>
      <c r="O173" s="3">
        <f t="shared" si="18"/>
        <v>2.8462151048397</v>
      </c>
      <c r="P173" s="12" t="s">
        <v>11</v>
      </c>
      <c r="Q173" s="4" t="str">
        <f t="shared" si="23"/>
        <v>UNDER</v>
      </c>
      <c r="R173" s="4" t="str">
        <f t="shared" si="23"/>
        <v>UNDER</v>
      </c>
      <c r="S173" s="4" t="str">
        <f t="shared" si="21"/>
        <v>UNDER</v>
      </c>
      <c r="T173" s="12" t="s">
        <v>11</v>
      </c>
      <c r="U173" s="2">
        <f>IF(Q173="OVER",$J173,$K173)</f>
        <v>740.39817564405428</v>
      </c>
      <c r="V173" s="2">
        <f>IF(R173="OVER",$J173,$K173)</f>
        <v>740.39817564405428</v>
      </c>
      <c r="W173" s="2">
        <f>IF(S173="OVER",$J173,$K173)</f>
        <v>740.39817564405428</v>
      </c>
      <c r="X173" s="12" t="s">
        <v>11</v>
      </c>
      <c r="Y173" s="9">
        <f t="shared" si="22"/>
        <v>-3025.0632394245972</v>
      </c>
      <c r="Z173" s="9">
        <f t="shared" si="22"/>
        <v>3850.5623967567089</v>
      </c>
      <c r="AA173" s="9">
        <f t="shared" si="22"/>
        <v>6071.5477598034022</v>
      </c>
      <c r="AB173" s="12" t="s">
        <v>11</v>
      </c>
    </row>
    <row r="174" spans="1:28" x14ac:dyDescent="0.3">
      <c r="A174" s="1">
        <v>44663</v>
      </c>
      <c r="B174" s="2">
        <v>154.85</v>
      </c>
      <c r="C174" s="2">
        <v>438.29</v>
      </c>
      <c r="D174" s="9">
        <f>B174-B173</f>
        <v>-0.52000000000001023</v>
      </c>
      <c r="E174" s="9">
        <f>C174-C173</f>
        <v>-1.6299999999999955</v>
      </c>
      <c r="F174" s="3">
        <f>F$1/B174</f>
        <v>645.78624475298682</v>
      </c>
      <c r="G174" s="3">
        <f>F$1/C174</f>
        <v>228.15943781514522</v>
      </c>
      <c r="H174" s="2">
        <f>D174*F173</f>
        <v>-334.68494561370289</v>
      </c>
      <c r="I174" s="2">
        <f>E174*G173</f>
        <v>-370.5219130751035</v>
      </c>
      <c r="J174" s="2">
        <f>I174-H174</f>
        <v>-35.836967461400604</v>
      </c>
      <c r="K174" s="2">
        <f t="shared" si="19"/>
        <v>35.836967461400604</v>
      </c>
      <c r="L174" s="3">
        <f>C174/B174</f>
        <v>2.8304165321278658</v>
      </c>
      <c r="M174" s="3">
        <f t="shared" si="20"/>
        <v>2.8593188414623354</v>
      </c>
      <c r="N174" s="3">
        <f t="shared" si="24"/>
        <v>2.8555436197522344</v>
      </c>
      <c r="O174" s="3">
        <f t="shared" si="18"/>
        <v>2.8450092488978318</v>
      </c>
      <c r="P174" s="12" t="s">
        <v>11</v>
      </c>
      <c r="Q174" s="4" t="str">
        <f t="shared" si="23"/>
        <v>UNDER</v>
      </c>
      <c r="R174" s="4" t="str">
        <f t="shared" si="23"/>
        <v>UNDER</v>
      </c>
      <c r="S174" s="4" t="str">
        <f t="shared" si="21"/>
        <v>UNDER</v>
      </c>
      <c r="T174" s="12" t="s">
        <v>11</v>
      </c>
      <c r="U174" s="2">
        <f>IF(Q174="OVER",$J174,$K174)</f>
        <v>35.836967461400604</v>
      </c>
      <c r="V174" s="2">
        <f>IF(R174="OVER",$J174,$K174)</f>
        <v>35.836967461400604</v>
      </c>
      <c r="W174" s="2">
        <f>IF(S174="OVER",$J174,$K174)</f>
        <v>35.836967461400604</v>
      </c>
      <c r="X174" s="12" t="s">
        <v>11</v>
      </c>
      <c r="Y174" s="9">
        <f t="shared" si="22"/>
        <v>-2989.2262719631967</v>
      </c>
      <c r="Z174" s="9">
        <f t="shared" si="22"/>
        <v>3886.3993642181094</v>
      </c>
      <c r="AA174" s="9">
        <f t="shared" si="22"/>
        <v>6107.3847272648027</v>
      </c>
      <c r="AB174" s="12" t="s">
        <v>11</v>
      </c>
    </row>
    <row r="175" spans="1:28" x14ac:dyDescent="0.3">
      <c r="A175" s="1">
        <v>44664</v>
      </c>
      <c r="B175" s="2">
        <v>156.6</v>
      </c>
      <c r="C175" s="2">
        <v>443.31</v>
      </c>
      <c r="D175" s="9">
        <f>B175-B174</f>
        <v>1.75</v>
      </c>
      <c r="E175" s="9">
        <f>C175-C174</f>
        <v>5.0199999999999818</v>
      </c>
      <c r="F175" s="3">
        <f>F$1/B175</f>
        <v>638.56960408684552</v>
      </c>
      <c r="G175" s="3">
        <f>F$1/C175</f>
        <v>225.57578218402472</v>
      </c>
      <c r="H175" s="2">
        <f>D175*F174</f>
        <v>1130.1259283177269</v>
      </c>
      <c r="I175" s="2">
        <f>E175*G174</f>
        <v>1145.3603778320248</v>
      </c>
      <c r="J175" s="2">
        <f>I175-H175</f>
        <v>15.234449514297921</v>
      </c>
      <c r="K175" s="2">
        <f t="shared" si="19"/>
        <v>-15.234449514297921</v>
      </c>
      <c r="L175" s="3">
        <f>C175/B175</f>
        <v>2.8308429118773946</v>
      </c>
      <c r="M175" s="3">
        <f t="shared" si="20"/>
        <v>2.8555183993959625</v>
      </c>
      <c r="N175" s="3">
        <f t="shared" si="24"/>
        <v>2.8558616195897661</v>
      </c>
      <c r="O175" s="3">
        <f t="shared" si="18"/>
        <v>2.8438702894751948</v>
      </c>
      <c r="P175" s="12" t="s">
        <v>11</v>
      </c>
      <c r="Q175" s="4" t="str">
        <f t="shared" si="23"/>
        <v>UNDER</v>
      </c>
      <c r="R175" s="4" t="str">
        <f t="shared" si="23"/>
        <v>UNDER</v>
      </c>
      <c r="S175" s="4" t="str">
        <f t="shared" si="21"/>
        <v>UNDER</v>
      </c>
      <c r="T175" s="12" t="s">
        <v>11</v>
      </c>
      <c r="U175" s="2">
        <f>IF(Q175="OVER",$J175,$K175)</f>
        <v>-15.234449514297921</v>
      </c>
      <c r="V175" s="2">
        <f>IF(R175="OVER",$J175,$K175)</f>
        <v>-15.234449514297921</v>
      </c>
      <c r="W175" s="2">
        <f>IF(S175="OVER",$J175,$K175)</f>
        <v>-15.234449514297921</v>
      </c>
      <c r="X175" s="12" t="s">
        <v>11</v>
      </c>
      <c r="Y175" s="9">
        <f t="shared" si="22"/>
        <v>-3004.4607214774946</v>
      </c>
      <c r="Z175" s="9">
        <f t="shared" si="22"/>
        <v>3871.1649147038115</v>
      </c>
      <c r="AA175" s="9">
        <f t="shared" si="22"/>
        <v>6092.1502777505048</v>
      </c>
      <c r="AB175" s="12" t="s">
        <v>11</v>
      </c>
    </row>
    <row r="176" spans="1:28" x14ac:dyDescent="0.3">
      <c r="A176" s="1">
        <v>44665</v>
      </c>
      <c r="B176" s="2">
        <v>155.53</v>
      </c>
      <c r="C176" s="2">
        <v>437.79</v>
      </c>
      <c r="D176" s="9">
        <f>B176-B175</f>
        <v>-1.0699999999999932</v>
      </c>
      <c r="E176" s="9">
        <f>C176-C175</f>
        <v>-5.5199999999999818</v>
      </c>
      <c r="F176" s="3">
        <f>F$1/B176</f>
        <v>642.96277245547481</v>
      </c>
      <c r="G176" s="3">
        <f>F$1/C176</f>
        <v>228.42001873044151</v>
      </c>
      <c r="H176" s="2">
        <f>D176*F175</f>
        <v>-683.26947637292039</v>
      </c>
      <c r="I176" s="2">
        <f>E176*G175</f>
        <v>-1245.1783176558124</v>
      </c>
      <c r="J176" s="2">
        <f>I176-H176</f>
        <v>-561.90884128289201</v>
      </c>
      <c r="K176" s="2">
        <f t="shared" si="19"/>
        <v>561.90884128289201</v>
      </c>
      <c r="L176" s="3">
        <f>C176/B176</f>
        <v>2.8148267215328233</v>
      </c>
      <c r="M176" s="3">
        <f t="shared" si="20"/>
        <v>2.8506273476255872</v>
      </c>
      <c r="N176" s="3">
        <f t="shared" si="24"/>
        <v>2.8553882537390205</v>
      </c>
      <c r="O176" s="3">
        <f t="shared" si="18"/>
        <v>2.8422267466270772</v>
      </c>
      <c r="P176" s="12" t="s">
        <v>11</v>
      </c>
      <c r="Q176" s="4" t="str">
        <f t="shared" si="23"/>
        <v>UNDER</v>
      </c>
      <c r="R176" s="4" t="str">
        <f t="shared" si="23"/>
        <v>UNDER</v>
      </c>
      <c r="S176" s="4" t="str">
        <f t="shared" si="21"/>
        <v>UNDER</v>
      </c>
      <c r="T176" s="12" t="s">
        <v>11</v>
      </c>
      <c r="U176" s="2">
        <f>IF(Q176="OVER",$J176,$K176)</f>
        <v>561.90884128289201</v>
      </c>
      <c r="V176" s="2">
        <f>IF(R176="OVER",$J176,$K176)</f>
        <v>561.90884128289201</v>
      </c>
      <c r="W176" s="2">
        <f>IF(S176="OVER",$J176,$K176)</f>
        <v>561.90884128289201</v>
      </c>
      <c r="X176" s="12" t="s">
        <v>11</v>
      </c>
      <c r="Y176" s="9">
        <f t="shared" si="22"/>
        <v>-2442.5518801946027</v>
      </c>
      <c r="Z176" s="9">
        <f t="shared" si="22"/>
        <v>4433.0737559867039</v>
      </c>
      <c r="AA176" s="9">
        <f t="shared" si="22"/>
        <v>6654.0591190333971</v>
      </c>
      <c r="AB176" s="12" t="s">
        <v>11</v>
      </c>
    </row>
    <row r="177" spans="1:28" x14ac:dyDescent="0.3">
      <c r="A177" s="1">
        <v>44669</v>
      </c>
      <c r="B177" s="2">
        <v>155.19999999999999</v>
      </c>
      <c r="C177" s="2">
        <v>437.97</v>
      </c>
      <c r="D177" s="9">
        <f>B177-B176</f>
        <v>-0.33000000000001251</v>
      </c>
      <c r="E177" s="9">
        <f>C177-C176</f>
        <v>0.18000000000000682</v>
      </c>
      <c r="F177" s="3">
        <f>F$1/B177</f>
        <v>644.32989690721649</v>
      </c>
      <c r="G177" s="3">
        <f>F$1/C177</f>
        <v>228.32614105988992</v>
      </c>
      <c r="H177" s="2">
        <f>D177*F176</f>
        <v>-212.17771491031473</v>
      </c>
      <c r="I177" s="2">
        <f>E177*G176</f>
        <v>41.115603371481029</v>
      </c>
      <c r="J177" s="2">
        <f>I177-H177</f>
        <v>253.29331828179576</v>
      </c>
      <c r="K177" s="2">
        <f t="shared" si="19"/>
        <v>-253.29331828179576</v>
      </c>
      <c r="L177" s="3">
        <f>C177/B177</f>
        <v>2.8219716494845364</v>
      </c>
      <c r="M177" s="3">
        <f t="shared" si="20"/>
        <v>2.8465648740959724</v>
      </c>
      <c r="N177" s="3">
        <f t="shared" si="24"/>
        <v>2.8550730804074322</v>
      </c>
      <c r="O177" s="3">
        <f t="shared" si="18"/>
        <v>2.8413620158905855</v>
      </c>
      <c r="P177" s="12" t="s">
        <v>11</v>
      </c>
      <c r="Q177" s="4" t="str">
        <f t="shared" si="23"/>
        <v>UNDER</v>
      </c>
      <c r="R177" s="4" t="str">
        <f t="shared" si="23"/>
        <v>UNDER</v>
      </c>
      <c r="S177" s="4" t="str">
        <f t="shared" si="21"/>
        <v>UNDER</v>
      </c>
      <c r="T177" s="12" t="s">
        <v>11</v>
      </c>
      <c r="U177" s="2">
        <f>IF(Q177="OVER",$J177,$K177)</f>
        <v>-253.29331828179576</v>
      </c>
      <c r="V177" s="2">
        <f>IF(R177="OVER",$J177,$K177)</f>
        <v>-253.29331828179576</v>
      </c>
      <c r="W177" s="2">
        <f>IF(S177="OVER",$J177,$K177)</f>
        <v>-253.29331828179576</v>
      </c>
      <c r="X177" s="12" t="s">
        <v>11</v>
      </c>
      <c r="Y177" s="9">
        <f t="shared" si="22"/>
        <v>-2695.8451984763983</v>
      </c>
      <c r="Z177" s="9">
        <f t="shared" si="22"/>
        <v>4179.7804377049079</v>
      </c>
      <c r="AA177" s="9">
        <f t="shared" si="22"/>
        <v>6400.7658007516011</v>
      </c>
      <c r="AB177" s="12" t="s">
        <v>11</v>
      </c>
    </row>
    <row r="178" spans="1:28" x14ac:dyDescent="0.3">
      <c r="A178" s="1">
        <v>44670</v>
      </c>
      <c r="B178" s="2">
        <v>157.94999999999999</v>
      </c>
      <c r="C178" s="2">
        <v>445.04</v>
      </c>
      <c r="D178" s="9">
        <f>B178-B177</f>
        <v>2.75</v>
      </c>
      <c r="E178" s="9">
        <f>C178-C177</f>
        <v>7.0699999999999932</v>
      </c>
      <c r="F178" s="3">
        <f>F$1/B178</f>
        <v>633.11174422285535</v>
      </c>
      <c r="G178" s="3">
        <f>F$1/C178</f>
        <v>224.69890346935105</v>
      </c>
      <c r="H178" s="2">
        <f>D178*F177</f>
        <v>1771.9072164948454</v>
      </c>
      <c r="I178" s="2">
        <f>E178*G177</f>
        <v>1614.2658172934202</v>
      </c>
      <c r="J178" s="2">
        <f>I178-H178</f>
        <v>-157.6413992014252</v>
      </c>
      <c r="K178" s="2">
        <f t="shared" si="19"/>
        <v>157.6413992014252</v>
      </c>
      <c r="L178" s="3">
        <f>C178/B178</f>
        <v>2.8176005064893959</v>
      </c>
      <c r="M178" s="3">
        <f t="shared" si="20"/>
        <v>2.8402320892252346</v>
      </c>
      <c r="N178" s="3">
        <f t="shared" si="24"/>
        <v>2.8535934183920761</v>
      </c>
      <c r="O178" s="3">
        <f t="shared" si="18"/>
        <v>2.8400886487648673</v>
      </c>
      <c r="P178" s="12" t="s">
        <v>11</v>
      </c>
      <c r="Q178" s="4" t="str">
        <f t="shared" si="23"/>
        <v>UNDER</v>
      </c>
      <c r="R178" s="4" t="str">
        <f t="shared" si="23"/>
        <v>UNDER</v>
      </c>
      <c r="S178" s="4" t="str">
        <f t="shared" si="21"/>
        <v>UNDER</v>
      </c>
      <c r="T178" s="12" t="s">
        <v>11</v>
      </c>
      <c r="U178" s="2">
        <f>IF(Q178="OVER",$J178,$K178)</f>
        <v>157.6413992014252</v>
      </c>
      <c r="V178" s="2">
        <f>IF(R178="OVER",$J178,$K178)</f>
        <v>157.6413992014252</v>
      </c>
      <c r="W178" s="2">
        <f>IF(S178="OVER",$J178,$K178)</f>
        <v>157.6413992014252</v>
      </c>
      <c r="X178" s="12" t="s">
        <v>11</v>
      </c>
      <c r="Y178" s="9">
        <f t="shared" si="22"/>
        <v>-2538.2037992749729</v>
      </c>
      <c r="Z178" s="9">
        <f t="shared" si="22"/>
        <v>4337.4218369063328</v>
      </c>
      <c r="AA178" s="9">
        <f t="shared" si="22"/>
        <v>6558.4071999530261</v>
      </c>
      <c r="AB178" s="12" t="s">
        <v>11</v>
      </c>
    </row>
    <row r="179" spans="1:28" x14ac:dyDescent="0.3">
      <c r="A179" s="1">
        <v>44671</v>
      </c>
      <c r="B179" s="2">
        <v>158.96</v>
      </c>
      <c r="C179" s="2">
        <v>444.71</v>
      </c>
      <c r="D179" s="9">
        <f>B179-B178</f>
        <v>1.0100000000000193</v>
      </c>
      <c r="E179" s="9">
        <f>C179-C178</f>
        <v>-0.33000000000004093</v>
      </c>
      <c r="F179" s="3">
        <f>F$1/B179</f>
        <v>629.08907901358828</v>
      </c>
      <c r="G179" s="3">
        <f>F$1/C179</f>
        <v>224.86564277843991</v>
      </c>
      <c r="H179" s="2">
        <f>D179*F178</f>
        <v>639.44286166509619</v>
      </c>
      <c r="I179" s="2">
        <f>E179*G178</f>
        <v>-74.150638144895041</v>
      </c>
      <c r="J179" s="2">
        <f>I179-H179</f>
        <v>-713.59349980999127</v>
      </c>
      <c r="K179" s="2">
        <f t="shared" si="19"/>
        <v>713.59349980999127</v>
      </c>
      <c r="L179" s="3">
        <f>C179/B179</f>
        <v>2.7976220432813284</v>
      </c>
      <c r="M179" s="3">
        <f t="shared" si="20"/>
        <v>2.8324759662760046</v>
      </c>
      <c r="N179" s="3">
        <f t="shared" si="24"/>
        <v>2.8506477844229705</v>
      </c>
      <c r="O179" s="3">
        <f t="shared" si="18"/>
        <v>2.838637508805236</v>
      </c>
      <c r="P179" s="12" t="s">
        <v>11</v>
      </c>
      <c r="Q179" s="4" t="str">
        <f t="shared" si="23"/>
        <v>UNDER</v>
      </c>
      <c r="R179" s="4" t="str">
        <f t="shared" si="23"/>
        <v>UNDER</v>
      </c>
      <c r="S179" s="4" t="str">
        <f t="shared" si="21"/>
        <v>UNDER</v>
      </c>
      <c r="T179" s="12" t="s">
        <v>11</v>
      </c>
      <c r="U179" s="2">
        <f>IF(Q179="OVER",$J179,$K179)</f>
        <v>713.59349980999127</v>
      </c>
      <c r="V179" s="2">
        <f>IF(R179="OVER",$J179,$K179)</f>
        <v>713.59349980999127</v>
      </c>
      <c r="W179" s="2">
        <f>IF(S179="OVER",$J179,$K179)</f>
        <v>713.59349980999127</v>
      </c>
      <c r="X179" s="12" t="s">
        <v>11</v>
      </c>
      <c r="Y179" s="9">
        <f t="shared" si="22"/>
        <v>-1824.6102994649816</v>
      </c>
      <c r="Z179" s="9">
        <f t="shared" si="22"/>
        <v>5051.0153367163239</v>
      </c>
      <c r="AA179" s="9">
        <f t="shared" si="22"/>
        <v>7272.0006997630171</v>
      </c>
      <c r="AB179" s="12" t="s">
        <v>11</v>
      </c>
    </row>
    <row r="180" spans="1:28" x14ac:dyDescent="0.3">
      <c r="A180" s="1">
        <v>44672</v>
      </c>
      <c r="B180" s="2">
        <v>156.66</v>
      </c>
      <c r="C180" s="2">
        <v>438.06</v>
      </c>
      <c r="D180" s="9">
        <f>B180-B179</f>
        <v>-2.3000000000000114</v>
      </c>
      <c r="E180" s="9">
        <f>C180-C179</f>
        <v>-6.6499999999999773</v>
      </c>
      <c r="F180" s="3">
        <f>F$1/B180</f>
        <v>638.32503510787694</v>
      </c>
      <c r="G180" s="3">
        <f>F$1/C180</f>
        <v>228.27923115554947</v>
      </c>
      <c r="H180" s="2">
        <f>D180*F179</f>
        <v>-1446.9048817312603</v>
      </c>
      <c r="I180" s="2">
        <f>E180*G179</f>
        <v>-1495.3565244766203</v>
      </c>
      <c r="J180" s="2">
        <f>I180-H180</f>
        <v>-48.451642745360004</v>
      </c>
      <c r="K180" s="2">
        <f t="shared" si="19"/>
        <v>48.451642745360004</v>
      </c>
      <c r="L180" s="3">
        <f>C180/B180</f>
        <v>2.7962466487935655</v>
      </c>
      <c r="M180" s="3">
        <f t="shared" si="20"/>
        <v>2.8260165716986725</v>
      </c>
      <c r="N180" s="3">
        <f t="shared" si="24"/>
        <v>2.8474280168239741</v>
      </c>
      <c r="O180" s="3">
        <f t="shared" si="18"/>
        <v>2.8372128296737684</v>
      </c>
      <c r="P180" s="12" t="s">
        <v>11</v>
      </c>
      <c r="Q180" s="4" t="str">
        <f t="shared" si="23"/>
        <v>UNDER</v>
      </c>
      <c r="R180" s="4" t="str">
        <f t="shared" si="23"/>
        <v>UNDER</v>
      </c>
      <c r="S180" s="4" t="str">
        <f t="shared" si="21"/>
        <v>UNDER</v>
      </c>
      <c r="T180" s="12" t="s">
        <v>11</v>
      </c>
      <c r="U180" s="2">
        <f>IF(Q180="OVER",$J180,$K180)</f>
        <v>48.451642745360004</v>
      </c>
      <c r="V180" s="2">
        <f>IF(R180="OVER",$J180,$K180)</f>
        <v>48.451642745360004</v>
      </c>
      <c r="W180" s="2">
        <f>IF(S180="OVER",$J180,$K180)</f>
        <v>48.451642745360004</v>
      </c>
      <c r="X180" s="12" t="s">
        <v>11</v>
      </c>
      <c r="Y180" s="9">
        <f t="shared" si="22"/>
        <v>-1776.1586567196216</v>
      </c>
      <c r="Z180" s="9">
        <f t="shared" si="22"/>
        <v>5099.4669794616839</v>
      </c>
      <c r="AA180" s="9">
        <f t="shared" si="22"/>
        <v>7320.4523425083771</v>
      </c>
      <c r="AB180" s="12" t="s">
        <v>11</v>
      </c>
    </row>
    <row r="181" spans="1:28" x14ac:dyDescent="0.3">
      <c r="A181" s="1">
        <v>44673</v>
      </c>
      <c r="B181" s="2">
        <v>152.38999999999999</v>
      </c>
      <c r="C181" s="2">
        <v>426.04</v>
      </c>
      <c r="D181" s="9">
        <f>B181-B180</f>
        <v>-4.2700000000000102</v>
      </c>
      <c r="E181" s="9">
        <f>C181-C180</f>
        <v>-12.019999999999982</v>
      </c>
      <c r="F181" s="3">
        <f>F$1/B181</f>
        <v>656.21103746965025</v>
      </c>
      <c r="G181" s="3">
        <f>F$1/C181</f>
        <v>234.71974462491784</v>
      </c>
      <c r="H181" s="2">
        <f>D181*F180</f>
        <v>-2725.6478999106412</v>
      </c>
      <c r="I181" s="2">
        <f>E181*G180</f>
        <v>-2743.9163584897005</v>
      </c>
      <c r="J181" s="2">
        <f>I181-H181</f>
        <v>-18.26845857905937</v>
      </c>
      <c r="K181" s="2">
        <f t="shared" si="19"/>
        <v>18.26845857905937</v>
      </c>
      <c r="L181" s="3">
        <f>C181/B181</f>
        <v>2.7957215040356984</v>
      </c>
      <c r="M181" s="3">
        <f t="shared" si="20"/>
        <v>2.8189446239928908</v>
      </c>
      <c r="N181" s="3">
        <f t="shared" si="24"/>
        <v>2.8437002341092246</v>
      </c>
      <c r="O181" s="3">
        <f t="shared" ref="O181:O244" si="25">AVERAGE(L132:L181)</f>
        <v>2.835906149199205</v>
      </c>
      <c r="P181" s="12" t="s">
        <v>11</v>
      </c>
      <c r="Q181" s="4" t="str">
        <f t="shared" si="23"/>
        <v>UNDER</v>
      </c>
      <c r="R181" s="4" t="str">
        <f t="shared" si="23"/>
        <v>UNDER</v>
      </c>
      <c r="S181" s="4" t="str">
        <f t="shared" si="21"/>
        <v>UNDER</v>
      </c>
      <c r="T181" s="12" t="s">
        <v>11</v>
      </c>
      <c r="U181" s="2">
        <f>IF(Q181="OVER",$J181,$K181)</f>
        <v>18.26845857905937</v>
      </c>
      <c r="V181" s="2">
        <f>IF(R181="OVER",$J181,$K181)</f>
        <v>18.26845857905937</v>
      </c>
      <c r="W181" s="2">
        <f>IF(S181="OVER",$J181,$K181)</f>
        <v>18.26845857905937</v>
      </c>
      <c r="X181" s="12" t="s">
        <v>11</v>
      </c>
      <c r="Y181" s="9">
        <f t="shared" si="22"/>
        <v>-1757.8901981405622</v>
      </c>
      <c r="Z181" s="9">
        <f t="shared" si="22"/>
        <v>5117.7354380407432</v>
      </c>
      <c r="AA181" s="9">
        <f t="shared" si="22"/>
        <v>7338.7208010874365</v>
      </c>
      <c r="AB181" s="12" t="s">
        <v>11</v>
      </c>
    </row>
    <row r="182" spans="1:28" x14ac:dyDescent="0.3">
      <c r="A182" s="1">
        <v>44676</v>
      </c>
      <c r="B182" s="2">
        <v>152.85</v>
      </c>
      <c r="C182" s="2">
        <v>428.51</v>
      </c>
      <c r="D182" s="9">
        <f>B182-B181</f>
        <v>0.46000000000000796</v>
      </c>
      <c r="E182" s="9">
        <f>C182-C181</f>
        <v>2.4699999999999704</v>
      </c>
      <c r="F182" s="3">
        <f>F$1/B182</f>
        <v>654.23617926071313</v>
      </c>
      <c r="G182" s="3">
        <f>F$1/C182</f>
        <v>233.36678257216869</v>
      </c>
      <c r="H182" s="2">
        <f>D182*F181</f>
        <v>301.85707723604435</v>
      </c>
      <c r="I182" s="2">
        <f>E182*G181</f>
        <v>579.75776922354009</v>
      </c>
      <c r="J182" s="2">
        <f>I182-H182</f>
        <v>277.90069198749575</v>
      </c>
      <c r="K182" s="2">
        <f t="shared" si="19"/>
        <v>-277.90069198749575</v>
      </c>
      <c r="L182" s="3">
        <f>C182/B182</f>
        <v>2.8034674517500817</v>
      </c>
      <c r="M182" s="3">
        <f t="shared" si="20"/>
        <v>2.8140150609264558</v>
      </c>
      <c r="N182" s="3">
        <f t="shared" si="24"/>
        <v>2.8406354090002344</v>
      </c>
      <c r="O182" s="3">
        <f t="shared" si="25"/>
        <v>2.8348827409279806</v>
      </c>
      <c r="P182" s="12" t="s">
        <v>11</v>
      </c>
      <c r="Q182" s="4" t="str">
        <f t="shared" si="23"/>
        <v>UNDER</v>
      </c>
      <c r="R182" s="4" t="str">
        <f t="shared" si="23"/>
        <v>UNDER</v>
      </c>
      <c r="S182" s="4" t="str">
        <f t="shared" si="21"/>
        <v>UNDER</v>
      </c>
      <c r="T182" s="12" t="s">
        <v>11</v>
      </c>
      <c r="U182" s="2">
        <f>IF(Q182="OVER",$J182,$K182)</f>
        <v>-277.90069198749575</v>
      </c>
      <c r="V182" s="2">
        <f>IF(R182="OVER",$J182,$K182)</f>
        <v>-277.90069198749575</v>
      </c>
      <c r="W182" s="2">
        <f>IF(S182="OVER",$J182,$K182)</f>
        <v>-277.90069198749575</v>
      </c>
      <c r="X182" s="12" t="s">
        <v>11</v>
      </c>
      <c r="Y182" s="9">
        <f t="shared" si="22"/>
        <v>-2035.790890128058</v>
      </c>
      <c r="Z182" s="9">
        <f t="shared" si="22"/>
        <v>4839.8347460532477</v>
      </c>
      <c r="AA182" s="9">
        <f t="shared" si="22"/>
        <v>7060.820109099941</v>
      </c>
      <c r="AB182" s="12" t="s">
        <v>11</v>
      </c>
    </row>
    <row r="183" spans="1:28" x14ac:dyDescent="0.3">
      <c r="A183" s="1">
        <v>44677</v>
      </c>
      <c r="B183" s="2">
        <v>149.19</v>
      </c>
      <c r="C183" s="2">
        <v>416.1</v>
      </c>
      <c r="D183" s="9">
        <f>B183-B182</f>
        <v>-3.6599999999999966</v>
      </c>
      <c r="E183" s="9">
        <f>C183-C182</f>
        <v>-12.409999999999968</v>
      </c>
      <c r="F183" s="3">
        <f>F$1/B183</f>
        <v>670.28621221261483</v>
      </c>
      <c r="G183" s="3">
        <f>F$1/C183</f>
        <v>240.32684450853159</v>
      </c>
      <c r="H183" s="2">
        <f>D183*F182</f>
        <v>-2394.504416094208</v>
      </c>
      <c r="I183" s="2">
        <f>E183*G182</f>
        <v>-2896.081771720606</v>
      </c>
      <c r="J183" s="2">
        <f>I183-H183</f>
        <v>-501.577355626398</v>
      </c>
      <c r="K183" s="2">
        <f t="shared" si="19"/>
        <v>501.577355626398</v>
      </c>
      <c r="L183" s="3">
        <f>C183/B183</f>
        <v>2.7890609290166903</v>
      </c>
      <c r="M183" s="3">
        <f t="shared" si="20"/>
        <v>2.8097776898389375</v>
      </c>
      <c r="N183" s="3">
        <f t="shared" si="24"/>
        <v>2.8362591917751274</v>
      </c>
      <c r="O183" s="3">
        <f t="shared" si="25"/>
        <v>2.8339475031601302</v>
      </c>
      <c r="P183" s="12" t="s">
        <v>11</v>
      </c>
      <c r="Q183" s="4" t="str">
        <f t="shared" si="23"/>
        <v>UNDER</v>
      </c>
      <c r="R183" s="4" t="str">
        <f t="shared" si="23"/>
        <v>UNDER</v>
      </c>
      <c r="S183" s="4" t="str">
        <f t="shared" si="21"/>
        <v>UNDER</v>
      </c>
      <c r="T183" s="12" t="s">
        <v>11</v>
      </c>
      <c r="U183" s="2">
        <f>IF(Q183="OVER",$J183,$K183)</f>
        <v>501.577355626398</v>
      </c>
      <c r="V183" s="2">
        <f>IF(R183="OVER",$J183,$K183)</f>
        <v>501.577355626398</v>
      </c>
      <c r="W183" s="2">
        <f>IF(S183="OVER",$J183,$K183)</f>
        <v>501.577355626398</v>
      </c>
      <c r="X183" s="12" t="s">
        <v>11</v>
      </c>
      <c r="Y183" s="9">
        <f t="shared" si="22"/>
        <v>-1534.21353450166</v>
      </c>
      <c r="Z183" s="9">
        <f t="shared" si="22"/>
        <v>5341.4121016796453</v>
      </c>
      <c r="AA183" s="9">
        <f t="shared" si="22"/>
        <v>7562.3974647263385</v>
      </c>
      <c r="AB183" s="12" t="s">
        <v>11</v>
      </c>
    </row>
    <row r="184" spans="1:28" x14ac:dyDescent="0.3">
      <c r="A184" s="1">
        <v>44678</v>
      </c>
      <c r="B184" s="2">
        <v>149.47</v>
      </c>
      <c r="C184" s="2">
        <v>417.27</v>
      </c>
      <c r="D184" s="9">
        <f>B184-B183</f>
        <v>0.28000000000000114</v>
      </c>
      <c r="E184" s="9">
        <f>C184-C183</f>
        <v>1.1699999999999591</v>
      </c>
      <c r="F184" s="3">
        <f>F$1/B184</f>
        <v>669.03057469726366</v>
      </c>
      <c r="G184" s="3">
        <f>F$1/C184</f>
        <v>239.65298248136699</v>
      </c>
      <c r="H184" s="2">
        <f>D184*F183</f>
        <v>187.68013941953291</v>
      </c>
      <c r="I184" s="2">
        <f>E184*G183</f>
        <v>281.1824080749721</v>
      </c>
      <c r="J184" s="2">
        <f>I184-H184</f>
        <v>93.502268655439195</v>
      </c>
      <c r="K184" s="2">
        <f t="shared" si="19"/>
        <v>-93.502268655439195</v>
      </c>
      <c r="L184" s="3">
        <f>C184/B184</f>
        <v>2.7916638790392718</v>
      </c>
      <c r="M184" s="3">
        <f t="shared" si="20"/>
        <v>2.8059024245300788</v>
      </c>
      <c r="N184" s="3">
        <f t="shared" si="24"/>
        <v>2.8326106329962069</v>
      </c>
      <c r="O184" s="3">
        <f t="shared" si="25"/>
        <v>2.8327947994325045</v>
      </c>
      <c r="P184" s="12" t="s">
        <v>11</v>
      </c>
      <c r="Q184" s="4" t="str">
        <f t="shared" si="23"/>
        <v>UNDER</v>
      </c>
      <c r="R184" s="4" t="str">
        <f t="shared" si="23"/>
        <v>UNDER</v>
      </c>
      <c r="S184" s="4" t="str">
        <f t="shared" si="21"/>
        <v>UNDER</v>
      </c>
      <c r="T184" s="12" t="s">
        <v>11</v>
      </c>
      <c r="U184" s="2">
        <f>IF(Q184="OVER",$J184,$K184)</f>
        <v>-93.502268655439195</v>
      </c>
      <c r="V184" s="2">
        <f>IF(R184="OVER",$J184,$K184)</f>
        <v>-93.502268655439195</v>
      </c>
      <c r="W184" s="2">
        <f>IF(S184="OVER",$J184,$K184)</f>
        <v>-93.502268655439195</v>
      </c>
      <c r="X184" s="12" t="s">
        <v>11</v>
      </c>
      <c r="Y184" s="9">
        <f t="shared" si="22"/>
        <v>-1627.7158031570991</v>
      </c>
      <c r="Z184" s="9">
        <f t="shared" si="22"/>
        <v>5247.9098330242059</v>
      </c>
      <c r="AA184" s="9">
        <f t="shared" si="22"/>
        <v>7468.8951960708991</v>
      </c>
      <c r="AB184" s="12" t="s">
        <v>11</v>
      </c>
    </row>
    <row r="185" spans="1:28" x14ac:dyDescent="0.3">
      <c r="A185" s="1">
        <v>44679</v>
      </c>
      <c r="B185" s="2">
        <v>152.07</v>
      </c>
      <c r="C185" s="2">
        <v>427.81</v>
      </c>
      <c r="D185" s="9">
        <f>B185-B184</f>
        <v>2.5999999999999943</v>
      </c>
      <c r="E185" s="9">
        <f>C185-C184</f>
        <v>10.54000000000002</v>
      </c>
      <c r="F185" s="3">
        <f>F$1/B185</f>
        <v>657.59189846781089</v>
      </c>
      <c r="G185" s="3">
        <f>F$1/C185</f>
        <v>233.74862672681797</v>
      </c>
      <c r="H185" s="2">
        <f>D185*F184</f>
        <v>1739.4794942128817</v>
      </c>
      <c r="I185" s="2">
        <f>E185*G184</f>
        <v>2525.9424353536128</v>
      </c>
      <c r="J185" s="2">
        <f>I185-H185</f>
        <v>786.46294114073112</v>
      </c>
      <c r="K185" s="2">
        <f t="shared" si="19"/>
        <v>-786.46294114073112</v>
      </c>
      <c r="L185" s="3">
        <f>C185/B185</f>
        <v>2.813243900835142</v>
      </c>
      <c r="M185" s="3">
        <f t="shared" si="20"/>
        <v>2.8041425234258535</v>
      </c>
      <c r="N185" s="3">
        <f t="shared" si="24"/>
        <v>2.829830461410908</v>
      </c>
      <c r="O185" s="3">
        <f t="shared" si="25"/>
        <v>2.8320245818793044</v>
      </c>
      <c r="P185" s="12" t="s">
        <v>11</v>
      </c>
      <c r="Q185" s="4" t="str">
        <f t="shared" si="23"/>
        <v>UNDER</v>
      </c>
      <c r="R185" s="4" t="str">
        <f t="shared" si="23"/>
        <v>UNDER</v>
      </c>
      <c r="S185" s="4" t="str">
        <f t="shared" si="21"/>
        <v>UNDER</v>
      </c>
      <c r="T185" s="12" t="s">
        <v>11</v>
      </c>
      <c r="U185" s="2">
        <f>IF(Q185="OVER",$J185,$K185)</f>
        <v>-786.46294114073112</v>
      </c>
      <c r="V185" s="2">
        <f>IF(R185="OVER",$J185,$K185)</f>
        <v>-786.46294114073112</v>
      </c>
      <c r="W185" s="2">
        <f>IF(S185="OVER",$J185,$K185)</f>
        <v>-786.46294114073112</v>
      </c>
      <c r="X185" s="12" t="s">
        <v>11</v>
      </c>
      <c r="Y185" s="9">
        <f t="shared" si="22"/>
        <v>-2414.1787442978302</v>
      </c>
      <c r="Z185" s="9">
        <f t="shared" si="22"/>
        <v>4461.4468918834746</v>
      </c>
      <c r="AA185" s="9">
        <f t="shared" si="22"/>
        <v>6682.4322549301678</v>
      </c>
      <c r="AB185" s="12" t="s">
        <v>11</v>
      </c>
    </row>
    <row r="186" spans="1:28" x14ac:dyDescent="0.3">
      <c r="A186" s="1">
        <v>44680</v>
      </c>
      <c r="B186" s="2">
        <v>147.44999999999999</v>
      </c>
      <c r="C186" s="2">
        <v>412</v>
      </c>
      <c r="D186" s="9">
        <f>B186-B185</f>
        <v>-4.6200000000000045</v>
      </c>
      <c r="E186" s="9">
        <f>C186-C185</f>
        <v>-15.810000000000002</v>
      </c>
      <c r="F186" s="3">
        <f>F$1/B186</f>
        <v>678.19599864360805</v>
      </c>
      <c r="G186" s="3">
        <f>F$1/C186</f>
        <v>242.71844660194174</v>
      </c>
      <c r="H186" s="2">
        <f>D186*F185</f>
        <v>-3038.0745709212893</v>
      </c>
      <c r="I186" s="2">
        <f>E186*G185</f>
        <v>-3695.5657885509927</v>
      </c>
      <c r="J186" s="2">
        <f>I186-H186</f>
        <v>-657.49121762970344</v>
      </c>
      <c r="K186" s="2">
        <f t="shared" si="19"/>
        <v>657.49121762970344</v>
      </c>
      <c r="L186" s="3">
        <f>C186/B186</f>
        <v>2.7941675144116651</v>
      </c>
      <c r="M186" s="3">
        <f t="shared" si="20"/>
        <v>2.802076602713738</v>
      </c>
      <c r="N186" s="3">
        <f t="shared" si="24"/>
        <v>2.8263519751696622</v>
      </c>
      <c r="O186" s="3">
        <f t="shared" si="25"/>
        <v>2.8309980882682062</v>
      </c>
      <c r="P186" s="12" t="s">
        <v>11</v>
      </c>
      <c r="Q186" s="4" t="str">
        <f t="shared" si="23"/>
        <v>OVER</v>
      </c>
      <c r="R186" s="4" t="str">
        <f t="shared" si="23"/>
        <v>UNDER</v>
      </c>
      <c r="S186" s="4" t="str">
        <f t="shared" si="21"/>
        <v>UNDER</v>
      </c>
      <c r="T186" s="12" t="s">
        <v>11</v>
      </c>
      <c r="U186" s="2">
        <f>IF(Q186="OVER",$J186,$K186)</f>
        <v>-657.49121762970344</v>
      </c>
      <c r="V186" s="2">
        <f>IF(R186="OVER",$J186,$K186)</f>
        <v>657.49121762970344</v>
      </c>
      <c r="W186" s="2">
        <f>IF(S186="OVER",$J186,$K186)</f>
        <v>657.49121762970344</v>
      </c>
      <c r="X186" s="12" t="s">
        <v>11</v>
      </c>
      <c r="Y186" s="9">
        <f t="shared" si="22"/>
        <v>-3071.6699619275337</v>
      </c>
      <c r="Z186" s="9">
        <f t="shared" si="22"/>
        <v>5118.9381095131776</v>
      </c>
      <c r="AA186" s="9">
        <f t="shared" si="22"/>
        <v>7339.9234725598708</v>
      </c>
      <c r="AB186" s="12" t="s">
        <v>11</v>
      </c>
    </row>
    <row r="187" spans="1:28" x14ac:dyDescent="0.3">
      <c r="A187" s="1">
        <v>44683</v>
      </c>
      <c r="B187" s="2">
        <v>147.85</v>
      </c>
      <c r="C187" s="2">
        <v>414.48</v>
      </c>
      <c r="D187" s="9">
        <f>B187-B186</f>
        <v>0.40000000000000568</v>
      </c>
      <c r="E187" s="9">
        <f>C187-C186</f>
        <v>2.4800000000000182</v>
      </c>
      <c r="F187" s="3">
        <f>F$1/B187</f>
        <v>676.36117686844773</v>
      </c>
      <c r="G187" s="3">
        <f>F$1/C187</f>
        <v>241.2661648330438</v>
      </c>
      <c r="H187" s="2">
        <f>D187*F186</f>
        <v>271.27839945744705</v>
      </c>
      <c r="I187" s="2">
        <f>E187*G186</f>
        <v>601.94174757281996</v>
      </c>
      <c r="J187" s="2">
        <f>I187-H187</f>
        <v>330.66334811537291</v>
      </c>
      <c r="K187" s="2">
        <f t="shared" si="19"/>
        <v>-330.66334811537291</v>
      </c>
      <c r="L187" s="3">
        <f>C187/B187</f>
        <v>2.8033818058843423</v>
      </c>
      <c r="M187" s="3">
        <f t="shared" si="20"/>
        <v>2.8002176183537184</v>
      </c>
      <c r="N187" s="3">
        <f t="shared" si="24"/>
        <v>2.8233912462248449</v>
      </c>
      <c r="O187" s="3">
        <f t="shared" si="25"/>
        <v>2.8303525601738637</v>
      </c>
      <c r="P187" s="12" t="s">
        <v>11</v>
      </c>
      <c r="Q187" s="4" t="str">
        <f t="shared" si="23"/>
        <v>UNDER</v>
      </c>
      <c r="R187" s="4" t="str">
        <f t="shared" si="23"/>
        <v>UNDER</v>
      </c>
      <c r="S187" s="4" t="str">
        <f t="shared" si="21"/>
        <v>UNDER</v>
      </c>
      <c r="T187" s="12" t="s">
        <v>11</v>
      </c>
      <c r="U187" s="2">
        <f>IF(Q187="OVER",$J187,$K187)</f>
        <v>-330.66334811537291</v>
      </c>
      <c r="V187" s="2">
        <f>IF(R187="OVER",$J187,$K187)</f>
        <v>-330.66334811537291</v>
      </c>
      <c r="W187" s="2">
        <f>IF(S187="OVER",$J187,$K187)</f>
        <v>-330.66334811537291</v>
      </c>
      <c r="X187" s="12" t="s">
        <v>11</v>
      </c>
      <c r="Y187" s="9">
        <f t="shared" si="22"/>
        <v>-3402.3333100429068</v>
      </c>
      <c r="Z187" s="9">
        <f t="shared" si="22"/>
        <v>4788.2747613978045</v>
      </c>
      <c r="AA187" s="9">
        <f t="shared" si="22"/>
        <v>7009.2601244444977</v>
      </c>
      <c r="AB187" s="12" t="s">
        <v>11</v>
      </c>
    </row>
    <row r="188" spans="1:28" x14ac:dyDescent="0.3">
      <c r="A188" s="1">
        <v>44684</v>
      </c>
      <c r="B188" s="2">
        <v>149.07</v>
      </c>
      <c r="C188" s="2">
        <v>416.38</v>
      </c>
      <c r="D188" s="9">
        <f>B188-B187</f>
        <v>1.2199999999999989</v>
      </c>
      <c r="E188" s="9">
        <f>C188-C187</f>
        <v>1.8999999999999773</v>
      </c>
      <c r="F188" s="3">
        <f>F$1/B188</f>
        <v>670.8257865432347</v>
      </c>
      <c r="G188" s="3">
        <f>F$1/C188</f>
        <v>240.16523368077236</v>
      </c>
      <c r="H188" s="2">
        <f>D188*F187</f>
        <v>825.16063577950547</v>
      </c>
      <c r="I188" s="2">
        <f>E188*G187</f>
        <v>458.40571318277773</v>
      </c>
      <c r="J188" s="2">
        <f>I188-H188</f>
        <v>-366.75492259672774</v>
      </c>
      <c r="K188" s="2">
        <f t="shared" si="19"/>
        <v>366.75492259672774</v>
      </c>
      <c r="L188" s="3">
        <f>C188/B188</f>
        <v>2.7931844100087209</v>
      </c>
      <c r="M188" s="3">
        <f t="shared" si="20"/>
        <v>2.7977760087056511</v>
      </c>
      <c r="N188" s="3">
        <f t="shared" si="24"/>
        <v>2.819004048965442</v>
      </c>
      <c r="O188" s="3">
        <f t="shared" si="25"/>
        <v>2.8296574727309256</v>
      </c>
      <c r="P188" s="12" t="s">
        <v>11</v>
      </c>
      <c r="Q188" s="4" t="str">
        <f t="shared" si="23"/>
        <v>OVER</v>
      </c>
      <c r="R188" s="4" t="str">
        <f t="shared" si="23"/>
        <v>UNDER</v>
      </c>
      <c r="S188" s="4" t="str">
        <f t="shared" si="21"/>
        <v>UNDER</v>
      </c>
      <c r="T188" s="12" t="s">
        <v>11</v>
      </c>
      <c r="U188" s="2">
        <f>IF(Q188="OVER",$J188,$K188)</f>
        <v>-366.75492259672774</v>
      </c>
      <c r="V188" s="2">
        <f>IF(R188="OVER",$J188,$K188)</f>
        <v>366.75492259672774</v>
      </c>
      <c r="W188" s="2">
        <f>IF(S188="OVER",$J188,$K188)</f>
        <v>366.75492259672774</v>
      </c>
      <c r="X188" s="12" t="s">
        <v>11</v>
      </c>
      <c r="Y188" s="9">
        <f t="shared" si="22"/>
        <v>-3769.0882326396345</v>
      </c>
      <c r="Z188" s="9">
        <f t="shared" si="22"/>
        <v>5155.0296839945322</v>
      </c>
      <c r="AA188" s="9">
        <f t="shared" si="22"/>
        <v>7376.0150470412254</v>
      </c>
      <c r="AB188" s="12" t="s">
        <v>11</v>
      </c>
    </row>
    <row r="189" spans="1:28" x14ac:dyDescent="0.3">
      <c r="A189" s="1">
        <v>44685</v>
      </c>
      <c r="B189" s="2">
        <v>153.22</v>
      </c>
      <c r="C189" s="2">
        <v>429.06</v>
      </c>
      <c r="D189" s="9">
        <f>B189-B188</f>
        <v>4.1500000000000057</v>
      </c>
      <c r="E189" s="9">
        <f>C189-C188</f>
        <v>12.680000000000007</v>
      </c>
      <c r="F189" s="3">
        <f>F$1/B189</f>
        <v>652.65631118652914</v>
      </c>
      <c r="G189" s="3">
        <f>F$1/C189</f>
        <v>233.06763622803336</v>
      </c>
      <c r="H189" s="2">
        <f>D189*F188</f>
        <v>2783.927014154428</v>
      </c>
      <c r="I189" s="2">
        <f>E189*G188</f>
        <v>3045.295163072195</v>
      </c>
      <c r="J189" s="2">
        <f>I189-H189</f>
        <v>261.36814891776703</v>
      </c>
      <c r="K189" s="2">
        <f t="shared" si="19"/>
        <v>-261.36814891776703</v>
      </c>
      <c r="L189" s="3">
        <f>C189/B189</f>
        <v>2.8002871687769222</v>
      </c>
      <c r="M189" s="3">
        <f t="shared" si="20"/>
        <v>2.7980425212552098</v>
      </c>
      <c r="N189" s="3">
        <f t="shared" si="24"/>
        <v>2.815259243765607</v>
      </c>
      <c r="O189" s="3">
        <f t="shared" si="25"/>
        <v>2.8291482838607074</v>
      </c>
      <c r="P189" s="12" t="s">
        <v>11</v>
      </c>
      <c r="Q189" s="4" t="str">
        <f t="shared" si="23"/>
        <v>UNDER</v>
      </c>
      <c r="R189" s="4" t="str">
        <f t="shared" si="23"/>
        <v>UNDER</v>
      </c>
      <c r="S189" s="4" t="str">
        <f t="shared" si="21"/>
        <v>UNDER</v>
      </c>
      <c r="T189" s="12" t="s">
        <v>11</v>
      </c>
      <c r="U189" s="2">
        <f>IF(Q189="OVER",$J189,$K189)</f>
        <v>-261.36814891776703</v>
      </c>
      <c r="V189" s="2">
        <f>IF(R189="OVER",$J189,$K189)</f>
        <v>-261.36814891776703</v>
      </c>
      <c r="W189" s="2">
        <f>IF(S189="OVER",$J189,$K189)</f>
        <v>-261.36814891776703</v>
      </c>
      <c r="X189" s="12" t="s">
        <v>11</v>
      </c>
      <c r="Y189" s="9">
        <f t="shared" si="22"/>
        <v>-4030.4563815574015</v>
      </c>
      <c r="Z189" s="9">
        <f t="shared" si="22"/>
        <v>4893.6615350767652</v>
      </c>
      <c r="AA189" s="9">
        <f t="shared" si="22"/>
        <v>7114.6468981234584</v>
      </c>
      <c r="AB189" s="12" t="s">
        <v>11</v>
      </c>
    </row>
    <row r="190" spans="1:28" x14ac:dyDescent="0.3">
      <c r="A190" s="1">
        <v>44686</v>
      </c>
      <c r="B190" s="2">
        <v>148.61000000000001</v>
      </c>
      <c r="C190" s="2">
        <v>413.81</v>
      </c>
      <c r="D190" s="9">
        <f>B190-B189</f>
        <v>-4.6099999999999852</v>
      </c>
      <c r="E190" s="9">
        <f>C190-C189</f>
        <v>-15.25</v>
      </c>
      <c r="F190" s="3">
        <f>F$1/B190</f>
        <v>672.90222730637231</v>
      </c>
      <c r="G190" s="3">
        <f>F$1/C190</f>
        <v>241.65679901404025</v>
      </c>
      <c r="H190" s="2">
        <f>D190*F189</f>
        <v>-3008.7455945698898</v>
      </c>
      <c r="I190" s="2">
        <f>E190*G189</f>
        <v>-3554.281452477509</v>
      </c>
      <c r="J190" s="2">
        <f>I190-H190</f>
        <v>-545.53585790761917</v>
      </c>
      <c r="K190" s="2">
        <f t="shared" si="19"/>
        <v>545.53585790761917</v>
      </c>
      <c r="L190" s="3">
        <f>C190/B190</f>
        <v>2.7845367068164992</v>
      </c>
      <c r="M190" s="3">
        <f t="shared" si="20"/>
        <v>2.7968715270575033</v>
      </c>
      <c r="N190" s="3">
        <f t="shared" si="24"/>
        <v>2.8114440493780877</v>
      </c>
      <c r="O190" s="3">
        <f t="shared" si="25"/>
        <v>2.82845497309826</v>
      </c>
      <c r="P190" s="12" t="s">
        <v>11</v>
      </c>
      <c r="Q190" s="4" t="str">
        <f t="shared" si="23"/>
        <v>OVER</v>
      </c>
      <c r="R190" s="4" t="str">
        <f t="shared" si="23"/>
        <v>UNDER</v>
      </c>
      <c r="S190" s="4" t="str">
        <f t="shared" si="21"/>
        <v>UNDER</v>
      </c>
      <c r="T190" s="12" t="s">
        <v>11</v>
      </c>
      <c r="U190" s="2">
        <f>IF(Q190="OVER",$J190,$K190)</f>
        <v>-545.53585790761917</v>
      </c>
      <c r="V190" s="2">
        <f>IF(R190="OVER",$J190,$K190)</f>
        <v>545.53585790761917</v>
      </c>
      <c r="W190" s="2">
        <f>IF(S190="OVER",$J190,$K190)</f>
        <v>545.53585790761917</v>
      </c>
      <c r="X190" s="12" t="s">
        <v>11</v>
      </c>
      <c r="Y190" s="9">
        <f t="shared" si="22"/>
        <v>-4575.9922394650202</v>
      </c>
      <c r="Z190" s="9">
        <f t="shared" si="22"/>
        <v>5439.1973929843844</v>
      </c>
      <c r="AA190" s="9">
        <f t="shared" si="22"/>
        <v>7660.1827560310776</v>
      </c>
      <c r="AB190" s="12" t="s">
        <v>11</v>
      </c>
    </row>
    <row r="191" spans="1:28" x14ac:dyDescent="0.3">
      <c r="A191" s="1">
        <v>44687</v>
      </c>
      <c r="B191" s="2">
        <v>147.25</v>
      </c>
      <c r="C191" s="2">
        <v>411.34</v>
      </c>
      <c r="D191" s="9">
        <f>B191-B190</f>
        <v>-1.3600000000000136</v>
      </c>
      <c r="E191" s="9">
        <f>C191-C190</f>
        <v>-2.4700000000000273</v>
      </c>
      <c r="F191" s="3">
        <f>F$1/B191</f>
        <v>679.1171477079796</v>
      </c>
      <c r="G191" s="3">
        <f>F$1/C191</f>
        <v>243.10789128215103</v>
      </c>
      <c r="H191" s="2">
        <f>D191*F190</f>
        <v>-915.14702913667554</v>
      </c>
      <c r="I191" s="2">
        <f>E191*G190</f>
        <v>-596.89229356468604</v>
      </c>
      <c r="J191" s="2">
        <f>I191-H191</f>
        <v>318.2547355719895</v>
      </c>
      <c r="K191" s="2">
        <f t="shared" si="19"/>
        <v>-318.2547355719895</v>
      </c>
      <c r="L191" s="3">
        <f>C191/B191</f>
        <v>2.7934804753820033</v>
      </c>
      <c r="M191" s="3">
        <f t="shared" si="20"/>
        <v>2.796647424192134</v>
      </c>
      <c r="N191" s="3">
        <f t="shared" si="24"/>
        <v>2.8077960240925117</v>
      </c>
      <c r="O191" s="3">
        <f t="shared" si="25"/>
        <v>2.8276336494490497</v>
      </c>
      <c r="P191" s="12" t="s">
        <v>11</v>
      </c>
      <c r="Q191" s="4" t="str">
        <f t="shared" si="23"/>
        <v>UNDER</v>
      </c>
      <c r="R191" s="4" t="str">
        <f t="shared" si="23"/>
        <v>UNDER</v>
      </c>
      <c r="S191" s="4" t="str">
        <f t="shared" si="21"/>
        <v>UNDER</v>
      </c>
      <c r="T191" s="12" t="s">
        <v>11</v>
      </c>
      <c r="U191" s="2">
        <f>IF(Q191="OVER",$J191,$K191)</f>
        <v>-318.2547355719895</v>
      </c>
      <c r="V191" s="2">
        <f>IF(R191="OVER",$J191,$K191)</f>
        <v>-318.2547355719895</v>
      </c>
      <c r="W191" s="2">
        <f>IF(S191="OVER",$J191,$K191)</f>
        <v>-318.2547355719895</v>
      </c>
      <c r="X191" s="12" t="s">
        <v>11</v>
      </c>
      <c r="Y191" s="9">
        <f t="shared" si="22"/>
        <v>-4894.2469750370101</v>
      </c>
      <c r="Z191" s="9">
        <f t="shared" si="22"/>
        <v>5120.9426574123945</v>
      </c>
      <c r="AA191" s="9">
        <f t="shared" si="22"/>
        <v>7341.9280204590877</v>
      </c>
      <c r="AB191" s="12" t="s">
        <v>11</v>
      </c>
    </row>
    <row r="192" spans="1:28" x14ac:dyDescent="0.3">
      <c r="A192" s="1">
        <v>44690</v>
      </c>
      <c r="B192" s="2">
        <v>142.88</v>
      </c>
      <c r="C192" s="2">
        <v>398.17</v>
      </c>
      <c r="D192" s="9">
        <f>B192-B191</f>
        <v>-4.3700000000000045</v>
      </c>
      <c r="E192" s="9">
        <f>C192-C191</f>
        <v>-13.169999999999959</v>
      </c>
      <c r="F192" s="3">
        <f>F$1/B192</f>
        <v>699.88801791713331</v>
      </c>
      <c r="G192" s="3">
        <f>F$1/C192</f>
        <v>251.14900670567846</v>
      </c>
      <c r="H192" s="2">
        <f>D192*F191</f>
        <v>-2967.7419354838739</v>
      </c>
      <c r="I192" s="2">
        <f>E192*G191</f>
        <v>-3201.7309281859193</v>
      </c>
      <c r="J192" s="2">
        <f>I192-H192</f>
        <v>-233.98899270204538</v>
      </c>
      <c r="K192" s="2">
        <f t="shared" si="19"/>
        <v>233.98899270204538</v>
      </c>
      <c r="L192" s="3">
        <f>C192/B192</f>
        <v>2.7867441209406496</v>
      </c>
      <c r="M192" s="3">
        <f t="shared" si="20"/>
        <v>2.794975091111191</v>
      </c>
      <c r="N192" s="3">
        <f t="shared" si="24"/>
        <v>2.804495076018823</v>
      </c>
      <c r="O192" s="3">
        <f t="shared" si="25"/>
        <v>2.8269429067067393</v>
      </c>
      <c r="P192" s="12" t="s">
        <v>11</v>
      </c>
      <c r="Q192" s="4" t="str">
        <f t="shared" si="23"/>
        <v>UNDER</v>
      </c>
      <c r="R192" s="4" t="str">
        <f t="shared" si="23"/>
        <v>UNDER</v>
      </c>
      <c r="S192" s="4" t="str">
        <f t="shared" si="21"/>
        <v>UNDER</v>
      </c>
      <c r="T192" s="12" t="s">
        <v>11</v>
      </c>
      <c r="U192" s="2">
        <f>IF(Q192="OVER",$J192,$K192)</f>
        <v>233.98899270204538</v>
      </c>
      <c r="V192" s="2">
        <f>IF(R192="OVER",$J192,$K192)</f>
        <v>233.98899270204538</v>
      </c>
      <c r="W192" s="2">
        <f>IF(S192="OVER",$J192,$K192)</f>
        <v>233.98899270204538</v>
      </c>
      <c r="X192" s="12" t="s">
        <v>11</v>
      </c>
      <c r="Y192" s="9">
        <f t="shared" si="22"/>
        <v>-4660.2579823349643</v>
      </c>
      <c r="Z192" s="9">
        <f t="shared" si="22"/>
        <v>5354.9316501144403</v>
      </c>
      <c r="AA192" s="9">
        <f t="shared" si="22"/>
        <v>7575.9170131611336</v>
      </c>
      <c r="AB192" s="12" t="s">
        <v>11</v>
      </c>
    </row>
    <row r="193" spans="1:28" x14ac:dyDescent="0.3">
      <c r="A193" s="1">
        <v>44691</v>
      </c>
      <c r="B193" s="2">
        <v>142.51</v>
      </c>
      <c r="C193" s="2">
        <v>399.09</v>
      </c>
      <c r="D193" s="9">
        <f>B193-B192</f>
        <v>-0.37000000000000455</v>
      </c>
      <c r="E193" s="9">
        <f>C193-C192</f>
        <v>0.91999999999995907</v>
      </c>
      <c r="F193" s="3">
        <f>F$1/B193</f>
        <v>701.70514349870189</v>
      </c>
      <c r="G193" s="3">
        <f>F$1/C193</f>
        <v>250.57004685659876</v>
      </c>
      <c r="H193" s="2">
        <f>D193*F192</f>
        <v>-258.9585666293425</v>
      </c>
      <c r="I193" s="2">
        <f>E193*G192</f>
        <v>231.0570861692139</v>
      </c>
      <c r="J193" s="2">
        <f>I193-H193</f>
        <v>490.0156527985564</v>
      </c>
      <c r="K193" s="2">
        <f t="shared" si="19"/>
        <v>-490.0156527985564</v>
      </c>
      <c r="L193" s="3">
        <f>C193/B193</f>
        <v>2.8004350571889693</v>
      </c>
      <c r="M193" s="3">
        <f t="shared" si="20"/>
        <v>2.7961125039284189</v>
      </c>
      <c r="N193" s="3">
        <f t="shared" si="24"/>
        <v>2.8029450968836782</v>
      </c>
      <c r="O193" s="3">
        <f t="shared" si="25"/>
        <v>2.8263383177370662</v>
      </c>
      <c r="P193" s="12" t="s">
        <v>11</v>
      </c>
      <c r="Q193" s="4" t="str">
        <f t="shared" si="23"/>
        <v>UNDER</v>
      </c>
      <c r="R193" s="4" t="str">
        <f t="shared" si="23"/>
        <v>UNDER</v>
      </c>
      <c r="S193" s="4" t="str">
        <f t="shared" si="21"/>
        <v>UNDER</v>
      </c>
      <c r="T193" s="12" t="s">
        <v>11</v>
      </c>
      <c r="U193" s="2">
        <f>IF(Q193="OVER",$J193,$K193)</f>
        <v>-490.0156527985564</v>
      </c>
      <c r="V193" s="2">
        <f>IF(R193="OVER",$J193,$K193)</f>
        <v>-490.0156527985564</v>
      </c>
      <c r="W193" s="2">
        <f>IF(S193="OVER",$J193,$K193)</f>
        <v>-490.0156527985564</v>
      </c>
      <c r="X193" s="12" t="s">
        <v>11</v>
      </c>
      <c r="Y193" s="9">
        <f t="shared" si="22"/>
        <v>-5150.2736351335207</v>
      </c>
      <c r="Z193" s="9">
        <f t="shared" si="22"/>
        <v>4864.9159973158839</v>
      </c>
      <c r="AA193" s="9">
        <f t="shared" si="22"/>
        <v>7085.9013603625772</v>
      </c>
      <c r="AB193" s="12" t="s">
        <v>11</v>
      </c>
    </row>
    <row r="194" spans="1:28" x14ac:dyDescent="0.3">
      <c r="A194" s="1">
        <v>44692</v>
      </c>
      <c r="B194" s="2">
        <v>140.66999999999999</v>
      </c>
      <c r="C194" s="2">
        <v>392.75</v>
      </c>
      <c r="D194" s="9">
        <f>B194-B193</f>
        <v>-1.8400000000000034</v>
      </c>
      <c r="E194" s="9">
        <f>C194-C193</f>
        <v>-6.339999999999975</v>
      </c>
      <c r="F194" s="3">
        <f>F$1/B194</f>
        <v>710.8836283500392</v>
      </c>
      <c r="G194" s="3">
        <f>F$1/C194</f>
        <v>254.61489497135582</v>
      </c>
      <c r="H194" s="2">
        <f>D194*F193</f>
        <v>-1291.1374640376139</v>
      </c>
      <c r="I194" s="2">
        <f>E194*G193</f>
        <v>-1588.61409707083</v>
      </c>
      <c r="J194" s="2">
        <f>I194-H194</f>
        <v>-297.4766330332161</v>
      </c>
      <c r="K194" s="2">
        <f t="shared" si="19"/>
        <v>297.4766330332161</v>
      </c>
      <c r="L194" s="3">
        <f>C194/B194</f>
        <v>2.7919954503447788</v>
      </c>
      <c r="M194" s="3">
        <f t="shared" si="20"/>
        <v>2.7961456610589694</v>
      </c>
      <c r="N194" s="3">
        <f t="shared" si="24"/>
        <v>2.8010240427945234</v>
      </c>
      <c r="O194" s="3">
        <f t="shared" si="25"/>
        <v>2.8254526330764156</v>
      </c>
      <c r="P194" s="12" t="s">
        <v>11</v>
      </c>
      <c r="Q194" s="4" t="str">
        <f t="shared" si="23"/>
        <v>OVER</v>
      </c>
      <c r="R194" s="4" t="str">
        <f t="shared" si="23"/>
        <v>UNDER</v>
      </c>
      <c r="S194" s="4" t="str">
        <f t="shared" si="21"/>
        <v>UNDER</v>
      </c>
      <c r="T194" s="12" t="s">
        <v>11</v>
      </c>
      <c r="U194" s="2">
        <f>IF(Q194="OVER",$J194,$K194)</f>
        <v>-297.4766330332161</v>
      </c>
      <c r="V194" s="2">
        <f>IF(R194="OVER",$J194,$K194)</f>
        <v>297.4766330332161</v>
      </c>
      <c r="W194" s="2">
        <f>IF(S194="OVER",$J194,$K194)</f>
        <v>297.4766330332161</v>
      </c>
      <c r="X194" s="12" t="s">
        <v>11</v>
      </c>
      <c r="Y194" s="9">
        <f t="shared" si="22"/>
        <v>-5447.7502681667365</v>
      </c>
      <c r="Z194" s="9">
        <f t="shared" si="22"/>
        <v>5162.3926303490998</v>
      </c>
      <c r="AA194" s="9">
        <f t="shared" si="22"/>
        <v>7383.3779933957931</v>
      </c>
      <c r="AB194" s="12" t="s">
        <v>11</v>
      </c>
    </row>
    <row r="195" spans="1:28" x14ac:dyDescent="0.3">
      <c r="A195" s="1">
        <v>44693</v>
      </c>
      <c r="B195" s="2">
        <v>141.27000000000001</v>
      </c>
      <c r="C195" s="2">
        <v>392.34</v>
      </c>
      <c r="D195" s="9">
        <f>B195-B194</f>
        <v>0.60000000000002274</v>
      </c>
      <c r="E195" s="9">
        <f>C195-C194</f>
        <v>-0.41000000000002501</v>
      </c>
      <c r="F195" s="3">
        <f>F$1/B195</f>
        <v>707.86437318609751</v>
      </c>
      <c r="G195" s="3">
        <f>F$1/C195</f>
        <v>254.880970586736</v>
      </c>
      <c r="H195" s="2">
        <f>D195*F194</f>
        <v>426.53017701003967</v>
      </c>
      <c r="I195" s="2">
        <f>E195*G194</f>
        <v>-104.39210693826226</v>
      </c>
      <c r="J195" s="2">
        <f>I195-H195</f>
        <v>-530.92228394830192</v>
      </c>
      <c r="K195" s="2">
        <f t="shared" si="19"/>
        <v>530.92228394830192</v>
      </c>
      <c r="L195" s="3">
        <f>C195/B195</f>
        <v>2.7772350817583349</v>
      </c>
      <c r="M195" s="3">
        <f t="shared" si="20"/>
        <v>2.7925447791512887</v>
      </c>
      <c r="N195" s="3">
        <f t="shared" si="24"/>
        <v>2.7983436512885702</v>
      </c>
      <c r="O195" s="3">
        <f t="shared" si="25"/>
        <v>2.8244333613214123</v>
      </c>
      <c r="P195" s="12" t="s">
        <v>11</v>
      </c>
      <c r="Q195" s="4" t="str">
        <f t="shared" si="23"/>
        <v>UNDER</v>
      </c>
      <c r="R195" s="4" t="str">
        <f t="shared" si="23"/>
        <v>UNDER</v>
      </c>
      <c r="S195" s="4" t="str">
        <f t="shared" si="21"/>
        <v>UNDER</v>
      </c>
      <c r="T195" s="12" t="s">
        <v>11</v>
      </c>
      <c r="U195" s="2">
        <f>IF(Q195="OVER",$J195,$K195)</f>
        <v>530.92228394830192</v>
      </c>
      <c r="V195" s="2">
        <f>IF(R195="OVER",$J195,$K195)</f>
        <v>530.92228394830192</v>
      </c>
      <c r="W195" s="2">
        <f>IF(S195="OVER",$J195,$K195)</f>
        <v>530.92228394830192</v>
      </c>
      <c r="X195" s="12" t="s">
        <v>11</v>
      </c>
      <c r="Y195" s="9">
        <f t="shared" si="22"/>
        <v>-4916.8279842184347</v>
      </c>
      <c r="Z195" s="9">
        <f t="shared" si="22"/>
        <v>5693.3149142974016</v>
      </c>
      <c r="AA195" s="9">
        <f t="shared" si="22"/>
        <v>7914.3002773440949</v>
      </c>
      <c r="AB195" s="12" t="s">
        <v>11</v>
      </c>
    </row>
    <row r="196" spans="1:28" x14ac:dyDescent="0.3">
      <c r="A196" s="1">
        <v>44694</v>
      </c>
      <c r="B196" s="2">
        <v>144.5</v>
      </c>
      <c r="C196" s="2">
        <v>401.72</v>
      </c>
      <c r="D196" s="9">
        <f>B196-B195</f>
        <v>3.2299999999999898</v>
      </c>
      <c r="E196" s="9">
        <f>C196-C195</f>
        <v>9.3800000000000523</v>
      </c>
      <c r="F196" s="3">
        <f>F$1/B196</f>
        <v>692.0415224913495</v>
      </c>
      <c r="G196" s="3">
        <f>F$1/C196</f>
        <v>248.92960270835405</v>
      </c>
      <c r="H196" s="2">
        <f>D196*F195</f>
        <v>2286.4019253910878</v>
      </c>
      <c r="I196" s="2">
        <f>E196*G195</f>
        <v>2390.7835041035969</v>
      </c>
      <c r="J196" s="2">
        <f>I196-H196</f>
        <v>104.38157871250905</v>
      </c>
      <c r="K196" s="2">
        <f t="shared" si="19"/>
        <v>-104.38157871250905</v>
      </c>
      <c r="L196" s="3">
        <f>C196/B196</f>
        <v>2.7800692041522495</v>
      </c>
      <c r="M196" s="3">
        <f t="shared" si="20"/>
        <v>2.7911349481253467</v>
      </c>
      <c r="N196" s="3">
        <f t="shared" si="24"/>
        <v>2.7966057754195424</v>
      </c>
      <c r="O196" s="3">
        <f t="shared" si="25"/>
        <v>2.8236358068244294</v>
      </c>
      <c r="P196" s="12" t="s">
        <v>11</v>
      </c>
      <c r="Q196" s="4" t="str">
        <f t="shared" si="23"/>
        <v>UNDER</v>
      </c>
      <c r="R196" s="4" t="str">
        <f t="shared" si="23"/>
        <v>UNDER</v>
      </c>
      <c r="S196" s="4" t="str">
        <f t="shared" si="21"/>
        <v>UNDER</v>
      </c>
      <c r="T196" s="12" t="s">
        <v>11</v>
      </c>
      <c r="U196" s="2">
        <f>IF(Q196="OVER",$J196,$K196)</f>
        <v>-104.38157871250905</v>
      </c>
      <c r="V196" s="2">
        <f>IF(R196="OVER",$J196,$K196)</f>
        <v>-104.38157871250905</v>
      </c>
      <c r="W196" s="2">
        <f>IF(S196="OVER",$J196,$K196)</f>
        <v>-104.38157871250905</v>
      </c>
      <c r="X196" s="12" t="s">
        <v>11</v>
      </c>
      <c r="Y196" s="9">
        <f t="shared" si="22"/>
        <v>-5021.2095629309442</v>
      </c>
      <c r="Z196" s="9">
        <f t="shared" si="22"/>
        <v>5588.9333355848921</v>
      </c>
      <c r="AA196" s="9">
        <f t="shared" si="22"/>
        <v>7809.9186986315854</v>
      </c>
      <c r="AB196" s="12" t="s">
        <v>11</v>
      </c>
    </row>
    <row r="197" spans="1:28" x14ac:dyDescent="0.3">
      <c r="A197" s="1">
        <v>44697</v>
      </c>
      <c r="B197" s="2">
        <v>143.99</v>
      </c>
      <c r="C197" s="2">
        <v>400.09</v>
      </c>
      <c r="D197" s="9">
        <f>B197-B196</f>
        <v>-0.50999999999999091</v>
      </c>
      <c r="E197" s="9">
        <f>C197-C196</f>
        <v>-1.6300000000000523</v>
      </c>
      <c r="F197" s="3">
        <f>F$1/B197</f>
        <v>694.49267310229868</v>
      </c>
      <c r="G197" s="3">
        <f>F$1/C197</f>
        <v>249.94376265340301</v>
      </c>
      <c r="H197" s="2">
        <f>D197*F196</f>
        <v>-352.94117647058192</v>
      </c>
      <c r="I197" s="2">
        <f>E197*G196</f>
        <v>-405.75525241463015</v>
      </c>
      <c r="J197" s="2">
        <f>I197-H197</f>
        <v>-52.814075944048227</v>
      </c>
      <c r="K197" s="2">
        <f t="shared" ref="K197:K260" si="26">H197-I197</f>
        <v>52.814075944048227</v>
      </c>
      <c r="L197" s="3">
        <f>C197/B197</f>
        <v>2.7785957358149869</v>
      </c>
      <c r="M197" s="3">
        <f t="shared" si="20"/>
        <v>2.7886563411184113</v>
      </c>
      <c r="N197" s="3">
        <f t="shared" si="24"/>
        <v>2.7944369797360649</v>
      </c>
      <c r="O197" s="3">
        <f t="shared" si="25"/>
        <v>2.8229282580689232</v>
      </c>
      <c r="P197" s="12" t="s">
        <v>11</v>
      </c>
      <c r="Q197" s="4" t="str">
        <f t="shared" si="23"/>
        <v>UNDER</v>
      </c>
      <c r="R197" s="4" t="str">
        <f t="shared" si="23"/>
        <v>UNDER</v>
      </c>
      <c r="S197" s="4" t="str">
        <f t="shared" si="21"/>
        <v>UNDER</v>
      </c>
      <c r="T197" s="12" t="s">
        <v>11</v>
      </c>
      <c r="U197" s="2">
        <f>IF(Q197="OVER",$J197,$K197)</f>
        <v>52.814075944048227</v>
      </c>
      <c r="V197" s="2">
        <f>IF(R197="OVER",$J197,$K197)</f>
        <v>52.814075944048227</v>
      </c>
      <c r="W197" s="2">
        <f>IF(S197="OVER",$J197,$K197)</f>
        <v>52.814075944048227</v>
      </c>
      <c r="X197" s="12" t="s">
        <v>11</v>
      </c>
      <c r="Y197" s="9">
        <f t="shared" si="22"/>
        <v>-4968.3954869868958</v>
      </c>
      <c r="Z197" s="9">
        <f t="shared" si="22"/>
        <v>5641.7474115289406</v>
      </c>
      <c r="AA197" s="9">
        <f t="shared" si="22"/>
        <v>7862.7327745756338</v>
      </c>
      <c r="AB197" s="12" t="s">
        <v>11</v>
      </c>
    </row>
    <row r="198" spans="1:28" x14ac:dyDescent="0.3">
      <c r="A198" s="1">
        <v>44698</v>
      </c>
      <c r="B198" s="2">
        <v>147.04</v>
      </c>
      <c r="C198" s="2">
        <v>408.32</v>
      </c>
      <c r="D198" s="9">
        <f>B198-B197</f>
        <v>3.0499999999999829</v>
      </c>
      <c r="E198" s="9">
        <f>C198-C197</f>
        <v>8.2300000000000182</v>
      </c>
      <c r="F198" s="3">
        <f>F$1/B198</f>
        <v>680.08705114254633</v>
      </c>
      <c r="G198" s="3">
        <f>F$1/C198</f>
        <v>244.90595611285266</v>
      </c>
      <c r="H198" s="2">
        <f>D198*F197</f>
        <v>2118.2026529619993</v>
      </c>
      <c r="I198" s="2">
        <f>E198*G197</f>
        <v>2057.0371666375113</v>
      </c>
      <c r="J198" s="2">
        <f>I198-H198</f>
        <v>-61.165486324488029</v>
      </c>
      <c r="K198" s="2">
        <f t="shared" si="26"/>
        <v>61.165486324488029</v>
      </c>
      <c r="L198" s="3">
        <f>C198/B198</f>
        <v>2.7769314472252451</v>
      </c>
      <c r="M198" s="3">
        <f t="shared" si="20"/>
        <v>2.7870310448400639</v>
      </c>
      <c r="N198" s="3">
        <f t="shared" si="24"/>
        <v>2.7924035267728575</v>
      </c>
      <c r="O198" s="3">
        <f t="shared" si="25"/>
        <v>2.8222919723947979</v>
      </c>
      <c r="P198" s="12" t="s">
        <v>11</v>
      </c>
      <c r="Q198" s="4" t="str">
        <f t="shared" si="23"/>
        <v>UNDER</v>
      </c>
      <c r="R198" s="4" t="str">
        <f t="shared" si="23"/>
        <v>UNDER</v>
      </c>
      <c r="S198" s="4" t="str">
        <f t="shared" si="21"/>
        <v>UNDER</v>
      </c>
      <c r="T198" s="12" t="s">
        <v>11</v>
      </c>
      <c r="U198" s="2">
        <f>IF(Q198="OVER",$J198,$K198)</f>
        <v>61.165486324488029</v>
      </c>
      <c r="V198" s="2">
        <f>IF(R198="OVER",$J198,$K198)</f>
        <v>61.165486324488029</v>
      </c>
      <c r="W198" s="2">
        <f>IF(S198="OVER",$J198,$K198)</f>
        <v>61.165486324488029</v>
      </c>
      <c r="X198" s="12" t="s">
        <v>11</v>
      </c>
      <c r="Y198" s="9">
        <f t="shared" si="22"/>
        <v>-4907.2300006624082</v>
      </c>
      <c r="Z198" s="9">
        <f t="shared" si="22"/>
        <v>5702.9128978534281</v>
      </c>
      <c r="AA198" s="9">
        <f t="shared" si="22"/>
        <v>7923.8982609001214</v>
      </c>
      <c r="AB198" s="12" t="s">
        <v>11</v>
      </c>
    </row>
    <row r="199" spans="1:28" x14ac:dyDescent="0.3">
      <c r="A199" s="1">
        <v>44699</v>
      </c>
      <c r="B199" s="2">
        <v>141.51</v>
      </c>
      <c r="C199" s="2">
        <v>391.86</v>
      </c>
      <c r="D199" s="9">
        <f>B199-B198</f>
        <v>-5.5300000000000011</v>
      </c>
      <c r="E199" s="9">
        <f>C199-C198</f>
        <v>-16.45999999999998</v>
      </c>
      <c r="F199" s="3">
        <f>F$1/B199</f>
        <v>706.66384001130666</v>
      </c>
      <c r="G199" s="3">
        <f>F$1/C199</f>
        <v>255.1931812381973</v>
      </c>
      <c r="H199" s="2">
        <f>D199*F198</f>
        <v>-3760.8813928182822</v>
      </c>
      <c r="I199" s="2">
        <f>E199*G198</f>
        <v>-4031.1520376175499</v>
      </c>
      <c r="J199" s="2">
        <f>I199-H199</f>
        <v>-270.27064479926776</v>
      </c>
      <c r="K199" s="2">
        <f t="shared" si="26"/>
        <v>270.27064479926776</v>
      </c>
      <c r="L199" s="3">
        <f>C199/B199</f>
        <v>2.7691329234683062</v>
      </c>
      <c r="M199" s="3">
        <f t="shared" si="20"/>
        <v>2.7839156203092017</v>
      </c>
      <c r="N199" s="3">
        <f t="shared" si="24"/>
        <v>2.790979070782206</v>
      </c>
      <c r="O199" s="3">
        <f t="shared" si="25"/>
        <v>2.8215232751377379</v>
      </c>
      <c r="P199" s="12" t="s">
        <v>11</v>
      </c>
      <c r="Q199" s="4" t="str">
        <f t="shared" si="23"/>
        <v>UNDER</v>
      </c>
      <c r="R199" s="4" t="str">
        <f t="shared" si="23"/>
        <v>UNDER</v>
      </c>
      <c r="S199" s="4" t="str">
        <f t="shared" si="21"/>
        <v>UNDER</v>
      </c>
      <c r="T199" s="12" t="s">
        <v>11</v>
      </c>
      <c r="U199" s="2">
        <f>IF(Q199="OVER",$J199,$K199)</f>
        <v>270.27064479926776</v>
      </c>
      <c r="V199" s="2">
        <f>IF(R199="OVER",$J199,$K199)</f>
        <v>270.27064479926776</v>
      </c>
      <c r="W199" s="2">
        <f>IF(S199="OVER",$J199,$K199)</f>
        <v>270.27064479926776</v>
      </c>
      <c r="X199" s="12" t="s">
        <v>11</v>
      </c>
      <c r="Y199" s="9">
        <f t="shared" si="22"/>
        <v>-4636.9593558631404</v>
      </c>
      <c r="Z199" s="9">
        <f t="shared" si="22"/>
        <v>5973.1835426526959</v>
      </c>
      <c r="AA199" s="9">
        <f t="shared" si="22"/>
        <v>8194.1689056993891</v>
      </c>
      <c r="AB199" s="12" t="s">
        <v>11</v>
      </c>
    </row>
    <row r="200" spans="1:28" x14ac:dyDescent="0.3">
      <c r="A200" s="1">
        <v>44700</v>
      </c>
      <c r="B200" s="2">
        <v>141.19</v>
      </c>
      <c r="C200" s="2">
        <v>389.46</v>
      </c>
      <c r="D200" s="9">
        <f>B200-B199</f>
        <v>-0.31999999999999318</v>
      </c>
      <c r="E200" s="9">
        <f>C200-C199</f>
        <v>-2.4000000000000341</v>
      </c>
      <c r="F200" s="3">
        <f>F$1/B200</f>
        <v>708.26545789361853</v>
      </c>
      <c r="G200" s="3">
        <f>F$1/C200</f>
        <v>256.76577825707392</v>
      </c>
      <c r="H200" s="2">
        <f>D200*F199</f>
        <v>-226.13242880361332</v>
      </c>
      <c r="I200" s="2">
        <f>E200*G199</f>
        <v>-612.46363497168227</v>
      </c>
      <c r="J200" s="2">
        <f>I200-H200</f>
        <v>-386.33120616806895</v>
      </c>
      <c r="K200" s="2">
        <f t="shared" si="26"/>
        <v>386.33120616806895</v>
      </c>
      <c r="L200" s="3">
        <f>C200/B200</f>
        <v>2.7584106523124867</v>
      </c>
      <c r="M200" s="3">
        <f t="shared" si="20"/>
        <v>2.7813030148588007</v>
      </c>
      <c r="N200" s="3">
        <f t="shared" si="24"/>
        <v>2.7890872709581518</v>
      </c>
      <c r="O200" s="3">
        <f t="shared" si="25"/>
        <v>2.8202304578008959</v>
      </c>
      <c r="P200" s="12" t="s">
        <v>11</v>
      </c>
      <c r="Q200" s="4" t="str">
        <f t="shared" si="23"/>
        <v>UNDER</v>
      </c>
      <c r="R200" s="4" t="str">
        <f t="shared" si="23"/>
        <v>UNDER</v>
      </c>
      <c r="S200" s="4" t="str">
        <f t="shared" si="21"/>
        <v>UNDER</v>
      </c>
      <c r="T200" s="12" t="s">
        <v>11</v>
      </c>
      <c r="U200" s="2">
        <f>IF(Q200="OVER",$J200,$K200)</f>
        <v>386.33120616806895</v>
      </c>
      <c r="V200" s="2">
        <f>IF(R200="OVER",$J200,$K200)</f>
        <v>386.33120616806895</v>
      </c>
      <c r="W200" s="2">
        <f>IF(S200="OVER",$J200,$K200)</f>
        <v>386.33120616806895</v>
      </c>
      <c r="X200" s="12" t="s">
        <v>11</v>
      </c>
      <c r="Y200" s="9">
        <f t="shared" si="22"/>
        <v>-4250.6281496950714</v>
      </c>
      <c r="Z200" s="9">
        <f t="shared" si="22"/>
        <v>6359.5147488207649</v>
      </c>
      <c r="AA200" s="9">
        <f t="shared" si="22"/>
        <v>8580.5001118674572</v>
      </c>
      <c r="AB200" s="12" t="s">
        <v>11</v>
      </c>
    </row>
    <row r="201" spans="1:28" x14ac:dyDescent="0.3">
      <c r="A201" s="1">
        <v>44701</v>
      </c>
      <c r="B201" s="2">
        <v>141.19</v>
      </c>
      <c r="C201" s="2">
        <v>389.63</v>
      </c>
      <c r="D201" s="9">
        <f>B201-B200</f>
        <v>0</v>
      </c>
      <c r="E201" s="9">
        <f>C201-C200</f>
        <v>0.17000000000001592</v>
      </c>
      <c r="F201" s="3">
        <f>F$1/B201</f>
        <v>708.26545789361853</v>
      </c>
      <c r="G201" s="3">
        <f>F$1/C201</f>
        <v>256.65374842799582</v>
      </c>
      <c r="H201" s="2">
        <f>D201*F200</f>
        <v>0</v>
      </c>
      <c r="I201" s="2">
        <f>E201*G200</f>
        <v>43.65018230370665</v>
      </c>
      <c r="J201" s="2">
        <f>I201-H201</f>
        <v>43.65018230370665</v>
      </c>
      <c r="K201" s="2">
        <f t="shared" si="26"/>
        <v>-43.65018230370665</v>
      </c>
      <c r="L201" s="3">
        <f>C201/B201</f>
        <v>2.759614703590906</v>
      </c>
      <c r="M201" s="3">
        <f t="shared" si="20"/>
        <v>2.777916437679691</v>
      </c>
      <c r="N201" s="3">
        <f t="shared" si="24"/>
        <v>2.7872819309359125</v>
      </c>
      <c r="O201" s="3">
        <f t="shared" si="25"/>
        <v>2.8191088083878362</v>
      </c>
      <c r="P201" s="12" t="s">
        <v>11</v>
      </c>
      <c r="Q201" s="4" t="str">
        <f t="shared" si="23"/>
        <v>UNDER</v>
      </c>
      <c r="R201" s="4" t="str">
        <f t="shared" si="23"/>
        <v>UNDER</v>
      </c>
      <c r="S201" s="4" t="str">
        <f t="shared" si="21"/>
        <v>UNDER</v>
      </c>
      <c r="T201" s="12" t="s">
        <v>11</v>
      </c>
      <c r="U201" s="2">
        <f>IF(Q201="OVER",$J201,$K201)</f>
        <v>-43.65018230370665</v>
      </c>
      <c r="V201" s="2">
        <f>IF(R201="OVER",$J201,$K201)</f>
        <v>-43.65018230370665</v>
      </c>
      <c r="W201" s="2">
        <f>IF(S201="OVER",$J201,$K201)</f>
        <v>-43.65018230370665</v>
      </c>
      <c r="X201" s="12" t="s">
        <v>11</v>
      </c>
      <c r="Y201" s="9">
        <f t="shared" si="22"/>
        <v>-4294.2783319987784</v>
      </c>
      <c r="Z201" s="9">
        <f t="shared" si="22"/>
        <v>6315.8645665170579</v>
      </c>
      <c r="AA201" s="9">
        <f t="shared" si="22"/>
        <v>8536.8499295637503</v>
      </c>
      <c r="AB201" s="12" t="s">
        <v>11</v>
      </c>
    </row>
    <row r="202" spans="1:28" x14ac:dyDescent="0.3">
      <c r="A202" s="1">
        <v>44704</v>
      </c>
      <c r="B202" s="2">
        <v>143.18</v>
      </c>
      <c r="C202" s="2">
        <v>396.92</v>
      </c>
      <c r="D202" s="9">
        <f>B202-B201</f>
        <v>1.9900000000000091</v>
      </c>
      <c r="E202" s="9">
        <f>C202-C201</f>
        <v>7.2900000000000205</v>
      </c>
      <c r="F202" s="3">
        <f>F$1/B202</f>
        <v>698.42156725799691</v>
      </c>
      <c r="G202" s="3">
        <f>F$1/C202</f>
        <v>251.93993751889548</v>
      </c>
      <c r="H202" s="2">
        <f>D202*F201</f>
        <v>1409.4482612083073</v>
      </c>
      <c r="I202" s="2">
        <f>E202*G201</f>
        <v>1871.0058260400947</v>
      </c>
      <c r="J202" s="2">
        <f>I202-H202</f>
        <v>461.55756483178743</v>
      </c>
      <c r="K202" s="2">
        <f t="shared" si="26"/>
        <v>-461.55756483178743</v>
      </c>
      <c r="L202" s="3">
        <f>C202/B202</f>
        <v>2.7721748847604415</v>
      </c>
      <c r="M202" s="3">
        <f t="shared" si="20"/>
        <v>2.7764595140616706</v>
      </c>
      <c r="N202" s="3">
        <f t="shared" si="24"/>
        <v>2.7857173025864306</v>
      </c>
      <c r="O202" s="3">
        <f t="shared" si="25"/>
        <v>2.818363167506265</v>
      </c>
      <c r="P202" s="3">
        <f>AVERAGE(L3:L202)</f>
        <v>2.8676644059875183</v>
      </c>
      <c r="Q202" s="4" t="str">
        <f t="shared" si="23"/>
        <v>UNDER</v>
      </c>
      <c r="R202" s="4" t="str">
        <f t="shared" si="23"/>
        <v>UNDER</v>
      </c>
      <c r="S202" s="4" t="str">
        <f t="shared" si="21"/>
        <v>UNDER</v>
      </c>
      <c r="T202" s="12" t="s">
        <v>11</v>
      </c>
      <c r="U202" s="2">
        <f>IF(Q202="OVER",$J202,$K202)</f>
        <v>-461.55756483178743</v>
      </c>
      <c r="V202" s="2">
        <f>IF(R202="OVER",$J202,$K202)</f>
        <v>-461.55756483178743</v>
      </c>
      <c r="W202" s="2">
        <f>IF(S202="OVER",$J202,$K202)</f>
        <v>-461.55756483178743</v>
      </c>
      <c r="X202" s="12" t="s">
        <v>11</v>
      </c>
      <c r="Y202" s="9">
        <f t="shared" si="22"/>
        <v>-4755.8358968305656</v>
      </c>
      <c r="Z202" s="9">
        <f t="shared" si="22"/>
        <v>5854.3070016852707</v>
      </c>
      <c r="AA202" s="9">
        <f t="shared" si="22"/>
        <v>8075.2923647319631</v>
      </c>
      <c r="AB202" s="2">
        <v>0</v>
      </c>
    </row>
    <row r="203" spans="1:28" x14ac:dyDescent="0.3">
      <c r="A203" s="1">
        <v>44705</v>
      </c>
      <c r="B203" s="2">
        <v>142.29</v>
      </c>
      <c r="C203" s="2">
        <v>393.89</v>
      </c>
      <c r="D203" s="9">
        <f>B203-B202</f>
        <v>-0.89000000000001478</v>
      </c>
      <c r="E203" s="9">
        <f>C203-C202</f>
        <v>-3.0300000000000296</v>
      </c>
      <c r="F203" s="3">
        <f>F$1/B203</f>
        <v>702.79007660411844</v>
      </c>
      <c r="G203" s="3">
        <f>F$1/C203</f>
        <v>253.87798623981317</v>
      </c>
      <c r="H203" s="2">
        <f>D203*F202</f>
        <v>-621.59519485962755</v>
      </c>
      <c r="I203" s="2">
        <f>E203*G202</f>
        <v>-763.37801068226076</v>
      </c>
      <c r="J203" s="2">
        <f>I203-H203</f>
        <v>-141.78281582263321</v>
      </c>
      <c r="K203" s="2">
        <f t="shared" si="26"/>
        <v>141.78281582263321</v>
      </c>
      <c r="L203" s="3">
        <f>C203/B203</f>
        <v>2.7682198327359617</v>
      </c>
      <c r="M203" s="3">
        <f t="shared" si="20"/>
        <v>2.7732379916163699</v>
      </c>
      <c r="N203" s="3">
        <f t="shared" si="24"/>
        <v>2.7846752477723937</v>
      </c>
      <c r="O203" s="3">
        <f t="shared" si="25"/>
        <v>2.8177431377664082</v>
      </c>
      <c r="P203" s="3">
        <f t="shared" ref="P203:P266" si="27">AVERAGE(L4:L203)</f>
        <v>2.8671235521227687</v>
      </c>
      <c r="Q203" s="4" t="str">
        <f t="shared" si="23"/>
        <v>UNDER</v>
      </c>
      <c r="R203" s="4" t="str">
        <f t="shared" si="23"/>
        <v>UNDER</v>
      </c>
      <c r="S203" s="4" t="str">
        <f t="shared" si="21"/>
        <v>UNDER</v>
      </c>
      <c r="T203" s="4" t="str">
        <f t="shared" si="21"/>
        <v>UNDER</v>
      </c>
      <c r="U203" s="2">
        <f>IF(Q203="OVER",$J203,$K203)</f>
        <v>141.78281582263321</v>
      </c>
      <c r="V203" s="2">
        <f>IF(R203="OVER",$J203,$K203)</f>
        <v>141.78281582263321</v>
      </c>
      <c r="W203" s="2">
        <f>IF(S203="OVER",$J203,$K203)</f>
        <v>141.78281582263321</v>
      </c>
      <c r="X203" s="2">
        <f>IF(T203="OVER",$J203,$K203)</f>
        <v>141.78281582263321</v>
      </c>
      <c r="Y203" s="9">
        <f t="shared" si="22"/>
        <v>-4614.0530810079326</v>
      </c>
      <c r="Z203" s="9">
        <f t="shared" si="22"/>
        <v>5996.0898175079037</v>
      </c>
      <c r="AA203" s="9">
        <f t="shared" si="22"/>
        <v>8217.075180554597</v>
      </c>
      <c r="AB203" s="9">
        <f t="shared" si="22"/>
        <v>141.78281582263321</v>
      </c>
    </row>
    <row r="204" spans="1:28" x14ac:dyDescent="0.3">
      <c r="A204" s="1">
        <v>44706</v>
      </c>
      <c r="B204" s="2">
        <v>143.93</v>
      </c>
      <c r="C204" s="2">
        <v>397.37</v>
      </c>
      <c r="D204" s="9">
        <f>B204-B203</f>
        <v>1.6400000000000148</v>
      </c>
      <c r="E204" s="9">
        <f>C204-C203</f>
        <v>3.4800000000000182</v>
      </c>
      <c r="F204" s="3">
        <f>F$1/B204</f>
        <v>694.78218578475639</v>
      </c>
      <c r="G204" s="3">
        <f>F$1/C204</f>
        <v>251.65462918690389</v>
      </c>
      <c r="H204" s="2">
        <f>D204*F203</f>
        <v>1152.5757256307647</v>
      </c>
      <c r="I204" s="2">
        <f>E204*G203</f>
        <v>883.49539211455442</v>
      </c>
      <c r="J204" s="2">
        <f>I204-H204</f>
        <v>-269.08033351621032</v>
      </c>
      <c r="K204" s="2">
        <f t="shared" si="26"/>
        <v>269.08033351621032</v>
      </c>
      <c r="L204" s="3">
        <f>C204/B204</f>
        <v>2.7608559716528869</v>
      </c>
      <c r="M204" s="3">
        <f t="shared" si="20"/>
        <v>2.7701240437471806</v>
      </c>
      <c r="N204" s="3">
        <f t="shared" si="24"/>
        <v>2.7831348524030743</v>
      </c>
      <c r="O204" s="3">
        <f t="shared" si="25"/>
        <v>2.816651873768139</v>
      </c>
      <c r="P204" s="3">
        <f t="shared" si="27"/>
        <v>2.866595124605523</v>
      </c>
      <c r="Q204" s="4" t="str">
        <f t="shared" si="23"/>
        <v>UNDER</v>
      </c>
      <c r="R204" s="4" t="str">
        <f t="shared" si="23"/>
        <v>UNDER</v>
      </c>
      <c r="S204" s="4" t="str">
        <f t="shared" si="21"/>
        <v>UNDER</v>
      </c>
      <c r="T204" s="4" t="str">
        <f t="shared" si="21"/>
        <v>UNDER</v>
      </c>
      <c r="U204" s="2">
        <f>IF(Q204="OVER",$J204,$K204)</f>
        <v>269.08033351621032</v>
      </c>
      <c r="V204" s="2">
        <f>IF(R204="OVER",$J204,$K204)</f>
        <v>269.08033351621032</v>
      </c>
      <c r="W204" s="2">
        <f>IF(S204="OVER",$J204,$K204)</f>
        <v>269.08033351621032</v>
      </c>
      <c r="X204" s="2">
        <f>IF(T204="OVER",$J204,$K204)</f>
        <v>269.08033351621032</v>
      </c>
      <c r="Y204" s="9">
        <f t="shared" si="22"/>
        <v>-4344.9727474917227</v>
      </c>
      <c r="Z204" s="9">
        <f t="shared" si="22"/>
        <v>6265.1701510241137</v>
      </c>
      <c r="AA204" s="9">
        <f t="shared" si="22"/>
        <v>8486.1555140708078</v>
      </c>
      <c r="AB204" s="9">
        <f t="shared" si="22"/>
        <v>410.86314933884353</v>
      </c>
    </row>
    <row r="205" spans="1:28" x14ac:dyDescent="0.3">
      <c r="A205" s="1">
        <v>44707</v>
      </c>
      <c r="B205" s="2">
        <v>146.97</v>
      </c>
      <c r="C205" s="2">
        <v>405.31</v>
      </c>
      <c r="D205" s="9">
        <f>B205-B204</f>
        <v>3.039999999999992</v>
      </c>
      <c r="E205" s="9">
        <f>C205-C204</f>
        <v>7.9399999999999977</v>
      </c>
      <c r="F205" s="3">
        <f>F$1/B205</f>
        <v>680.41096822480779</v>
      </c>
      <c r="G205" s="3">
        <f>F$1/C205</f>
        <v>246.72472921960969</v>
      </c>
      <c r="H205" s="2">
        <f>D205*F204</f>
        <v>2112.1378447856541</v>
      </c>
      <c r="I205" s="2">
        <f>E205*G204</f>
        <v>1998.1377557440162</v>
      </c>
      <c r="J205" s="2">
        <f>I205-H205</f>
        <v>-114.00008904163792</v>
      </c>
      <c r="K205" s="2">
        <f t="shared" si="26"/>
        <v>114.00008904163792</v>
      </c>
      <c r="L205" s="3">
        <f>C205/B205</f>
        <v>2.7577736953119683</v>
      </c>
      <c r="M205" s="3">
        <f t="shared" ref="M205:M268" si="28">AVERAGE(L196:L205)</f>
        <v>2.7681779051025441</v>
      </c>
      <c r="N205" s="3">
        <f t="shared" si="24"/>
        <v>2.7803613421269158</v>
      </c>
      <c r="O205" s="3">
        <f t="shared" si="25"/>
        <v>2.8153176893718435</v>
      </c>
      <c r="P205" s="3">
        <f t="shared" si="27"/>
        <v>2.8661071947292323</v>
      </c>
      <c r="Q205" s="4" t="str">
        <f t="shared" si="23"/>
        <v>UNDER</v>
      </c>
      <c r="R205" s="4" t="str">
        <f t="shared" si="23"/>
        <v>UNDER</v>
      </c>
      <c r="S205" s="4" t="str">
        <f t="shared" ref="S205:T268" si="29">IF($L205&gt;O205,"OVER","UNDER")</f>
        <v>UNDER</v>
      </c>
      <c r="T205" s="4" t="str">
        <f t="shared" si="29"/>
        <v>UNDER</v>
      </c>
      <c r="U205" s="2">
        <f>IF(Q205="OVER",$J205,$K205)</f>
        <v>114.00008904163792</v>
      </c>
      <c r="V205" s="2">
        <f>IF(R205="OVER",$J205,$K205)</f>
        <v>114.00008904163792</v>
      </c>
      <c r="W205" s="2">
        <f>IF(S205="OVER",$J205,$K205)</f>
        <v>114.00008904163792</v>
      </c>
      <c r="X205" s="2">
        <f>IF(T205="OVER",$J205,$K205)</f>
        <v>114.00008904163792</v>
      </c>
      <c r="Y205" s="9">
        <f t="shared" ref="Y205:AB268" si="30">Y204+U205</f>
        <v>-4230.972658450085</v>
      </c>
      <c r="Z205" s="9">
        <f t="shared" si="30"/>
        <v>6379.1702400657514</v>
      </c>
      <c r="AA205" s="9">
        <f t="shared" si="30"/>
        <v>8600.1556031124455</v>
      </c>
      <c r="AB205" s="9">
        <f t="shared" si="30"/>
        <v>524.86323838048145</v>
      </c>
    </row>
    <row r="206" spans="1:28" x14ac:dyDescent="0.3">
      <c r="A206" s="1">
        <v>44708</v>
      </c>
      <c r="B206" s="2">
        <v>150.34</v>
      </c>
      <c r="C206" s="2">
        <v>415.26</v>
      </c>
      <c r="D206" s="9">
        <f>B206-B205</f>
        <v>3.3700000000000045</v>
      </c>
      <c r="E206" s="9">
        <f>C206-C205</f>
        <v>9.9499999999999886</v>
      </c>
      <c r="F206" s="3">
        <f>F$1/B206</f>
        <v>665.15897299454571</v>
      </c>
      <c r="G206" s="3">
        <f>F$1/C206</f>
        <v>240.81298463613157</v>
      </c>
      <c r="H206" s="2">
        <f>D206*F205</f>
        <v>2292.9849629176051</v>
      </c>
      <c r="I206" s="2">
        <f>E206*G205</f>
        <v>2454.9110557351137</v>
      </c>
      <c r="J206" s="2">
        <f>I206-H206</f>
        <v>161.92609281750856</v>
      </c>
      <c r="K206" s="2">
        <f t="shared" si="26"/>
        <v>-161.92609281750856</v>
      </c>
      <c r="L206" s="3">
        <f>C206/B206</f>
        <v>2.7621391512571503</v>
      </c>
      <c r="M206" s="3">
        <f t="shared" si="28"/>
        <v>2.7663848998130343</v>
      </c>
      <c r="N206" s="3">
        <f t="shared" si="24"/>
        <v>2.77875992396919</v>
      </c>
      <c r="O206" s="3">
        <f t="shared" si="25"/>
        <v>2.8140745916260324</v>
      </c>
      <c r="P206" s="3">
        <f t="shared" si="27"/>
        <v>2.8655909302692191</v>
      </c>
      <c r="Q206" s="4" t="str">
        <f t="shared" ref="Q206:R269" si="31">IF($L205&gt;M205,"OVER","UNDER")</f>
        <v>UNDER</v>
      </c>
      <c r="R206" s="4" t="str">
        <f t="shared" si="31"/>
        <v>UNDER</v>
      </c>
      <c r="S206" s="4" t="str">
        <f t="shared" si="29"/>
        <v>UNDER</v>
      </c>
      <c r="T206" s="4" t="str">
        <f t="shared" si="29"/>
        <v>UNDER</v>
      </c>
      <c r="U206" s="2">
        <f>IF(Q206="OVER",$J206,$K206)</f>
        <v>-161.92609281750856</v>
      </c>
      <c r="V206" s="2">
        <f>IF(R206="OVER",$J206,$K206)</f>
        <v>-161.92609281750856</v>
      </c>
      <c r="W206" s="2">
        <f>IF(S206="OVER",$J206,$K206)</f>
        <v>-161.92609281750856</v>
      </c>
      <c r="X206" s="2">
        <f>IF(T206="OVER",$J206,$K206)</f>
        <v>-161.92609281750856</v>
      </c>
      <c r="Y206" s="9">
        <f t="shared" si="30"/>
        <v>-4392.898751267594</v>
      </c>
      <c r="Z206" s="9">
        <f t="shared" si="30"/>
        <v>6217.2441472482424</v>
      </c>
      <c r="AA206" s="9">
        <f t="shared" si="30"/>
        <v>8438.2295102949374</v>
      </c>
      <c r="AB206" s="9">
        <f t="shared" si="30"/>
        <v>362.93714556297289</v>
      </c>
    </row>
    <row r="207" spans="1:28" x14ac:dyDescent="0.3">
      <c r="A207" s="1">
        <v>44712</v>
      </c>
      <c r="B207" s="2">
        <v>148.93</v>
      </c>
      <c r="C207" s="2">
        <v>412.93</v>
      </c>
      <c r="D207" s="9">
        <f>B207-B206</f>
        <v>-1.4099999999999966</v>
      </c>
      <c r="E207" s="9">
        <f>C207-C206</f>
        <v>-2.3299999999999841</v>
      </c>
      <c r="F207" s="3">
        <f>F$1/B207</f>
        <v>671.45638890754037</v>
      </c>
      <c r="G207" s="3">
        <f>F$1/C207</f>
        <v>242.17179667255951</v>
      </c>
      <c r="H207" s="2">
        <f>D207*F206</f>
        <v>-937.87415192230719</v>
      </c>
      <c r="I207" s="2">
        <f>E207*G206</f>
        <v>-561.0942542021827</v>
      </c>
      <c r="J207" s="2">
        <f>I207-H207</f>
        <v>376.7798977201245</v>
      </c>
      <c r="K207" s="2">
        <f t="shared" si="26"/>
        <v>-376.7798977201245</v>
      </c>
      <c r="L207" s="3">
        <f>C207/B207</f>
        <v>2.7726448667159067</v>
      </c>
      <c r="M207" s="3">
        <f t="shared" si="28"/>
        <v>2.765789812903126</v>
      </c>
      <c r="N207" s="3">
        <f t="shared" si="24"/>
        <v>2.7772230770107682</v>
      </c>
      <c r="O207" s="3">
        <f t="shared" si="25"/>
        <v>2.8129619866380242</v>
      </c>
      <c r="P207" s="3">
        <f t="shared" si="27"/>
        <v>2.8650992743555665</v>
      </c>
      <c r="Q207" s="4" t="str">
        <f t="shared" si="31"/>
        <v>UNDER</v>
      </c>
      <c r="R207" s="4" t="str">
        <f t="shared" si="31"/>
        <v>UNDER</v>
      </c>
      <c r="S207" s="4" t="str">
        <f t="shared" si="29"/>
        <v>UNDER</v>
      </c>
      <c r="T207" s="4" t="str">
        <f t="shared" si="29"/>
        <v>UNDER</v>
      </c>
      <c r="U207" s="2">
        <f>IF(Q207="OVER",$J207,$K207)</f>
        <v>-376.7798977201245</v>
      </c>
      <c r="V207" s="2">
        <f>IF(R207="OVER",$J207,$K207)</f>
        <v>-376.7798977201245</v>
      </c>
      <c r="W207" s="2">
        <f>IF(S207="OVER",$J207,$K207)</f>
        <v>-376.7798977201245</v>
      </c>
      <c r="X207" s="2">
        <f>IF(T207="OVER",$J207,$K207)</f>
        <v>-376.7798977201245</v>
      </c>
      <c r="Y207" s="9">
        <f t="shared" si="30"/>
        <v>-4769.6786489877186</v>
      </c>
      <c r="Z207" s="9">
        <f t="shared" si="30"/>
        <v>5840.4642495281178</v>
      </c>
      <c r="AA207" s="9">
        <f t="shared" si="30"/>
        <v>8061.4496125748128</v>
      </c>
      <c r="AB207" s="9">
        <f t="shared" si="30"/>
        <v>-13.842752157151608</v>
      </c>
    </row>
    <row r="208" spans="1:28" x14ac:dyDescent="0.3">
      <c r="A208" s="1">
        <v>44713</v>
      </c>
      <c r="B208" s="2">
        <v>147.35</v>
      </c>
      <c r="C208" s="2">
        <v>409.59</v>
      </c>
      <c r="D208" s="9">
        <f>B208-B207</f>
        <v>-1.5800000000000125</v>
      </c>
      <c r="E208" s="9">
        <f>C208-C207</f>
        <v>-3.3400000000000318</v>
      </c>
      <c r="F208" s="3">
        <f>F$1/B208</f>
        <v>678.65626060400405</v>
      </c>
      <c r="G208" s="3">
        <f>F$1/C208</f>
        <v>244.14658561000027</v>
      </c>
      <c r="H208" s="2">
        <f>D208*F207</f>
        <v>-1060.9010944739223</v>
      </c>
      <c r="I208" s="2">
        <f>E208*G207</f>
        <v>-808.85380088635645</v>
      </c>
      <c r="J208" s="2">
        <f>I208-H208</f>
        <v>252.04729358756583</v>
      </c>
      <c r="K208" s="2">
        <f t="shared" si="26"/>
        <v>-252.04729358756583</v>
      </c>
      <c r="L208" s="3">
        <f>C208/B208</f>
        <v>2.7797081778079402</v>
      </c>
      <c r="M208" s="3">
        <f t="shared" si="28"/>
        <v>2.7660674859613956</v>
      </c>
      <c r="N208" s="3">
        <f t="shared" si="24"/>
        <v>2.7765492654007291</v>
      </c>
      <c r="O208" s="3">
        <f t="shared" si="25"/>
        <v>2.8116122752582533</v>
      </c>
      <c r="P208" s="3">
        <f t="shared" si="27"/>
        <v>2.8646137642695146</v>
      </c>
      <c r="Q208" s="4" t="str">
        <f t="shared" si="31"/>
        <v>OVER</v>
      </c>
      <c r="R208" s="4" t="str">
        <f t="shared" si="31"/>
        <v>UNDER</v>
      </c>
      <c r="S208" s="4" t="str">
        <f t="shared" si="29"/>
        <v>UNDER</v>
      </c>
      <c r="T208" s="4" t="str">
        <f t="shared" si="29"/>
        <v>UNDER</v>
      </c>
      <c r="U208" s="2">
        <f>IF(Q208="OVER",$J208,$K208)</f>
        <v>252.04729358756583</v>
      </c>
      <c r="V208" s="2">
        <f>IF(R208="OVER",$J208,$K208)</f>
        <v>-252.04729358756583</v>
      </c>
      <c r="W208" s="2">
        <f>IF(S208="OVER",$J208,$K208)</f>
        <v>-252.04729358756583</v>
      </c>
      <c r="X208" s="2">
        <f>IF(T208="OVER",$J208,$K208)</f>
        <v>-252.04729358756583</v>
      </c>
      <c r="Y208" s="9">
        <f t="shared" si="30"/>
        <v>-4517.6313554001526</v>
      </c>
      <c r="Z208" s="9">
        <f t="shared" si="30"/>
        <v>5588.4169559405518</v>
      </c>
      <c r="AA208" s="9">
        <f t="shared" si="30"/>
        <v>7809.4023189872469</v>
      </c>
      <c r="AB208" s="9">
        <f t="shared" si="30"/>
        <v>-265.89004574471744</v>
      </c>
    </row>
    <row r="209" spans="1:28" x14ac:dyDescent="0.3">
      <c r="A209" s="1">
        <v>44714</v>
      </c>
      <c r="B209" s="2">
        <v>149.94</v>
      </c>
      <c r="C209" s="2">
        <v>417.39</v>
      </c>
      <c r="D209" s="9">
        <f>B209-B208</f>
        <v>2.5900000000000034</v>
      </c>
      <c r="E209" s="9">
        <f>C209-C208</f>
        <v>7.8000000000000114</v>
      </c>
      <c r="F209" s="3">
        <f>F$1/B209</f>
        <v>666.93344004268374</v>
      </c>
      <c r="G209" s="3">
        <f>F$1/C209</f>
        <v>239.58408203358971</v>
      </c>
      <c r="H209" s="2">
        <f>D209*F208</f>
        <v>1757.7197149643728</v>
      </c>
      <c r="I209" s="2">
        <f>E209*G208</f>
        <v>1904.3433677580049</v>
      </c>
      <c r="J209" s="2">
        <f>I209-H209</f>
        <v>146.62365279363212</v>
      </c>
      <c r="K209" s="2">
        <f t="shared" si="26"/>
        <v>-146.62365279363212</v>
      </c>
      <c r="L209" s="3">
        <f>C209/B209</f>
        <v>2.7837134853941574</v>
      </c>
      <c r="M209" s="3">
        <f t="shared" si="28"/>
        <v>2.7675255421539808</v>
      </c>
      <c r="N209" s="3">
        <f t="shared" si="24"/>
        <v>2.7757205812315915</v>
      </c>
      <c r="O209" s="3">
        <f t="shared" si="25"/>
        <v>2.8101558505128668</v>
      </c>
      <c r="P209" s="3">
        <f t="shared" si="27"/>
        <v>2.8641341475200908</v>
      </c>
      <c r="Q209" s="4" t="str">
        <f t="shared" si="31"/>
        <v>OVER</v>
      </c>
      <c r="R209" s="4" t="str">
        <f t="shared" si="31"/>
        <v>OVER</v>
      </c>
      <c r="S209" s="4" t="str">
        <f t="shared" si="29"/>
        <v>UNDER</v>
      </c>
      <c r="T209" s="4" t="str">
        <f t="shared" si="29"/>
        <v>UNDER</v>
      </c>
      <c r="U209" s="2">
        <f>IF(Q209="OVER",$J209,$K209)</f>
        <v>146.62365279363212</v>
      </c>
      <c r="V209" s="2">
        <f>IF(R209="OVER",$J209,$K209)</f>
        <v>146.62365279363212</v>
      </c>
      <c r="W209" s="2">
        <f>IF(S209="OVER",$J209,$K209)</f>
        <v>-146.62365279363212</v>
      </c>
      <c r="X209" s="2">
        <f>IF(T209="OVER",$J209,$K209)</f>
        <v>-146.62365279363212</v>
      </c>
      <c r="Y209" s="9">
        <f t="shared" si="30"/>
        <v>-4371.007702606521</v>
      </c>
      <c r="Z209" s="9">
        <f t="shared" si="30"/>
        <v>5735.0406087341835</v>
      </c>
      <c r="AA209" s="9">
        <f t="shared" si="30"/>
        <v>7662.7786661936152</v>
      </c>
      <c r="AB209" s="9">
        <f t="shared" si="30"/>
        <v>-412.51369853834956</v>
      </c>
    </row>
    <row r="210" spans="1:28" x14ac:dyDescent="0.3">
      <c r="A210" s="1">
        <v>44715</v>
      </c>
      <c r="B210" s="2">
        <v>148.16999999999999</v>
      </c>
      <c r="C210" s="2">
        <v>410.54</v>
      </c>
      <c r="D210" s="9">
        <f>B210-B209</f>
        <v>-1.7700000000000102</v>
      </c>
      <c r="E210" s="9">
        <f>C210-C209</f>
        <v>-6.8499999999999659</v>
      </c>
      <c r="F210" s="3">
        <f>F$1/B210</f>
        <v>674.90045218330306</v>
      </c>
      <c r="G210" s="3">
        <f>F$1/C210</f>
        <v>243.58162420227018</v>
      </c>
      <c r="H210" s="2">
        <f>D210*F209</f>
        <v>-1180.4721888755571</v>
      </c>
      <c r="I210" s="2">
        <f>E210*G209</f>
        <v>-1641.1509619300814</v>
      </c>
      <c r="J210" s="2">
        <f>I210-H210</f>
        <v>-460.6787730545243</v>
      </c>
      <c r="K210" s="2">
        <f t="shared" si="26"/>
        <v>460.6787730545243</v>
      </c>
      <c r="L210" s="3">
        <f>C210/B210</f>
        <v>2.7707363163933323</v>
      </c>
      <c r="M210" s="3">
        <f t="shared" si="28"/>
        <v>2.7687581085620656</v>
      </c>
      <c r="N210" s="3">
        <f t="shared" si="24"/>
        <v>2.7750305617104329</v>
      </c>
      <c r="O210" s="3">
        <f t="shared" si="25"/>
        <v>2.8083577368252639</v>
      </c>
      <c r="P210" s="3">
        <f t="shared" si="27"/>
        <v>2.86359886376558</v>
      </c>
      <c r="Q210" s="4" t="str">
        <f t="shared" si="31"/>
        <v>OVER</v>
      </c>
      <c r="R210" s="4" t="str">
        <f t="shared" si="31"/>
        <v>OVER</v>
      </c>
      <c r="S210" s="4" t="str">
        <f t="shared" si="29"/>
        <v>UNDER</v>
      </c>
      <c r="T210" s="4" t="str">
        <f t="shared" si="29"/>
        <v>UNDER</v>
      </c>
      <c r="U210" s="2">
        <f>IF(Q210="OVER",$J210,$K210)</f>
        <v>-460.6787730545243</v>
      </c>
      <c r="V210" s="2">
        <f>IF(R210="OVER",$J210,$K210)</f>
        <v>-460.6787730545243</v>
      </c>
      <c r="W210" s="2">
        <f>IF(S210="OVER",$J210,$K210)</f>
        <v>460.6787730545243</v>
      </c>
      <c r="X210" s="2">
        <f>IF(T210="OVER",$J210,$K210)</f>
        <v>460.6787730545243</v>
      </c>
      <c r="Y210" s="9">
        <f t="shared" si="30"/>
        <v>-4831.6864756610448</v>
      </c>
      <c r="Z210" s="9">
        <f t="shared" si="30"/>
        <v>5274.3618356796596</v>
      </c>
      <c r="AA210" s="9">
        <f t="shared" si="30"/>
        <v>8123.4574392481391</v>
      </c>
      <c r="AB210" s="9">
        <f t="shared" si="30"/>
        <v>48.165074516174741</v>
      </c>
    </row>
    <row r="211" spans="1:28" x14ac:dyDescent="0.3">
      <c r="A211" s="1">
        <v>44718</v>
      </c>
      <c r="B211" s="2">
        <v>148.71</v>
      </c>
      <c r="C211" s="2">
        <v>411.79</v>
      </c>
      <c r="D211" s="9">
        <f>B211-B210</f>
        <v>0.54000000000002046</v>
      </c>
      <c r="E211" s="9">
        <f>C211-C210</f>
        <v>1.25</v>
      </c>
      <c r="F211" s="3">
        <f>F$1/B211</f>
        <v>672.4497343823549</v>
      </c>
      <c r="G211" s="3">
        <f>F$1/C211</f>
        <v>242.8422254061536</v>
      </c>
      <c r="H211" s="2">
        <f>D211*F210</f>
        <v>364.44624417899746</v>
      </c>
      <c r="I211" s="2">
        <f>E211*G210</f>
        <v>304.47703025283772</v>
      </c>
      <c r="J211" s="2">
        <f>I211-H211</f>
        <v>-59.969213926159739</v>
      </c>
      <c r="K211" s="2">
        <f t="shared" si="26"/>
        <v>59.969213926159739</v>
      </c>
      <c r="L211" s="3">
        <f>C211/B211</f>
        <v>2.7690807612130994</v>
      </c>
      <c r="M211" s="3">
        <f t="shared" si="28"/>
        <v>2.7697047143242846</v>
      </c>
      <c r="N211" s="3">
        <f t="shared" si="24"/>
        <v>2.7738105760019875</v>
      </c>
      <c r="O211" s="3">
        <f t="shared" si="25"/>
        <v>2.8063338088829126</v>
      </c>
      <c r="P211" s="3">
        <f t="shared" si="27"/>
        <v>2.86300084470437</v>
      </c>
      <c r="Q211" s="4" t="str">
        <f t="shared" si="31"/>
        <v>OVER</v>
      </c>
      <c r="R211" s="4" t="str">
        <f t="shared" si="31"/>
        <v>UNDER</v>
      </c>
      <c r="S211" s="4" t="str">
        <f t="shared" si="29"/>
        <v>UNDER</v>
      </c>
      <c r="T211" s="4" t="str">
        <f t="shared" si="29"/>
        <v>UNDER</v>
      </c>
      <c r="U211" s="2">
        <f>IF(Q211="OVER",$J211,$K211)</f>
        <v>-59.969213926159739</v>
      </c>
      <c r="V211" s="2">
        <f>IF(R211="OVER",$J211,$K211)</f>
        <v>59.969213926159739</v>
      </c>
      <c r="W211" s="2">
        <f>IF(S211="OVER",$J211,$K211)</f>
        <v>59.969213926159739</v>
      </c>
      <c r="X211" s="2">
        <f>IF(T211="OVER",$J211,$K211)</f>
        <v>59.969213926159739</v>
      </c>
      <c r="Y211" s="9">
        <f t="shared" si="30"/>
        <v>-4891.6556895872045</v>
      </c>
      <c r="Z211" s="9">
        <f t="shared" si="30"/>
        <v>5334.3310496058193</v>
      </c>
      <c r="AA211" s="9">
        <f t="shared" si="30"/>
        <v>8183.4266531742987</v>
      </c>
      <c r="AB211" s="9">
        <f t="shared" si="30"/>
        <v>108.13428844233448</v>
      </c>
    </row>
    <row r="212" spans="1:28" x14ac:dyDescent="0.3">
      <c r="A212" s="1">
        <v>44719</v>
      </c>
      <c r="B212" s="2">
        <v>150.13</v>
      </c>
      <c r="C212" s="2">
        <v>415.74</v>
      </c>
      <c r="D212" s="9">
        <f>B212-B211</f>
        <v>1.4199999999999875</v>
      </c>
      <c r="E212" s="9">
        <f>C212-C211</f>
        <v>3.9499999999999886</v>
      </c>
      <c r="F212" s="3">
        <f>F$1/B212</f>
        <v>666.08938919603008</v>
      </c>
      <c r="G212" s="3">
        <f>F$1/C212</f>
        <v>240.5349497281955</v>
      </c>
      <c r="H212" s="2">
        <f>D212*F211</f>
        <v>954.87862282293554</v>
      </c>
      <c r="I212" s="2">
        <f>E212*G211</f>
        <v>959.22679035430394</v>
      </c>
      <c r="J212" s="2">
        <f>I212-H212</f>
        <v>4.3481675313684036</v>
      </c>
      <c r="K212" s="2">
        <f t="shared" si="26"/>
        <v>-4.3481675313684036</v>
      </c>
      <c r="L212" s="3">
        <f>C212/B212</f>
        <v>2.7692000266435759</v>
      </c>
      <c r="M212" s="3">
        <f t="shared" si="28"/>
        <v>2.7694072285125984</v>
      </c>
      <c r="N212" s="3">
        <f t="shared" si="24"/>
        <v>2.772933371287134</v>
      </c>
      <c r="O212" s="3">
        <f t="shared" si="25"/>
        <v>2.8044225303371859</v>
      </c>
      <c r="P212" s="3">
        <f t="shared" si="27"/>
        <v>2.862392909908984</v>
      </c>
      <c r="Q212" s="4" t="str">
        <f t="shared" si="31"/>
        <v>UNDER</v>
      </c>
      <c r="R212" s="4" t="str">
        <f t="shared" si="31"/>
        <v>UNDER</v>
      </c>
      <c r="S212" s="4" t="str">
        <f t="shared" si="29"/>
        <v>UNDER</v>
      </c>
      <c r="T212" s="4" t="str">
        <f t="shared" si="29"/>
        <v>UNDER</v>
      </c>
      <c r="U212" s="2">
        <f>IF(Q212="OVER",$J212,$K212)</f>
        <v>-4.3481675313684036</v>
      </c>
      <c r="V212" s="2">
        <f>IF(R212="OVER",$J212,$K212)</f>
        <v>-4.3481675313684036</v>
      </c>
      <c r="W212" s="2">
        <f>IF(S212="OVER",$J212,$K212)</f>
        <v>-4.3481675313684036</v>
      </c>
      <c r="X212" s="2">
        <f>IF(T212="OVER",$J212,$K212)</f>
        <v>-4.3481675313684036</v>
      </c>
      <c r="Y212" s="9">
        <f t="shared" si="30"/>
        <v>-4896.0038571185733</v>
      </c>
      <c r="Z212" s="9">
        <f t="shared" si="30"/>
        <v>5329.9828820744506</v>
      </c>
      <c r="AA212" s="9">
        <f t="shared" si="30"/>
        <v>8179.07848564293</v>
      </c>
      <c r="AB212" s="9">
        <f t="shared" si="30"/>
        <v>103.78612091096608</v>
      </c>
    </row>
    <row r="213" spans="1:28" x14ac:dyDescent="0.3">
      <c r="A213" s="1">
        <v>44720</v>
      </c>
      <c r="B213" s="2">
        <v>147.99</v>
      </c>
      <c r="C213" s="2">
        <v>411.22</v>
      </c>
      <c r="D213" s="9">
        <f>B213-B212</f>
        <v>-2.1399999999999864</v>
      </c>
      <c r="E213" s="9">
        <f>C213-C212</f>
        <v>-4.5199999999999818</v>
      </c>
      <c r="F213" s="3">
        <f>F$1/B213</f>
        <v>675.72133252246772</v>
      </c>
      <c r="G213" s="3">
        <f>F$1/C213</f>
        <v>243.1788337143135</v>
      </c>
      <c r="H213" s="2">
        <f>D213*F212</f>
        <v>-1425.4312928794952</v>
      </c>
      <c r="I213" s="2">
        <f>E213*G212</f>
        <v>-1087.2179727714392</v>
      </c>
      <c r="J213" s="2">
        <f>I213-H213</f>
        <v>338.213320108056</v>
      </c>
      <c r="K213" s="2">
        <f t="shared" si="26"/>
        <v>-338.213320108056</v>
      </c>
      <c r="L213" s="3">
        <f>C213/B213</f>
        <v>2.7787012635988919</v>
      </c>
      <c r="M213" s="3">
        <f t="shared" si="28"/>
        <v>2.7704553715988909</v>
      </c>
      <c r="N213" s="3">
        <f t="shared" si="24"/>
        <v>2.7718466816076299</v>
      </c>
      <c r="O213" s="3">
        <f t="shared" si="25"/>
        <v>2.8024648501387874</v>
      </c>
      <c r="P213" s="3">
        <f t="shared" si="27"/>
        <v>2.8618138560405955</v>
      </c>
      <c r="Q213" s="4" t="str">
        <f t="shared" si="31"/>
        <v>UNDER</v>
      </c>
      <c r="R213" s="4" t="str">
        <f t="shared" si="31"/>
        <v>UNDER</v>
      </c>
      <c r="S213" s="4" t="str">
        <f t="shared" si="29"/>
        <v>UNDER</v>
      </c>
      <c r="T213" s="4" t="str">
        <f t="shared" si="29"/>
        <v>UNDER</v>
      </c>
      <c r="U213" s="2">
        <f>IF(Q213="OVER",$J213,$K213)</f>
        <v>-338.213320108056</v>
      </c>
      <c r="V213" s="2">
        <f>IF(R213="OVER",$J213,$K213)</f>
        <v>-338.213320108056</v>
      </c>
      <c r="W213" s="2">
        <f>IF(S213="OVER",$J213,$K213)</f>
        <v>-338.213320108056</v>
      </c>
      <c r="X213" s="2">
        <f>IF(T213="OVER",$J213,$K213)</f>
        <v>-338.213320108056</v>
      </c>
      <c r="Y213" s="9">
        <f t="shared" si="30"/>
        <v>-5234.2171772266292</v>
      </c>
      <c r="Z213" s="9">
        <f t="shared" si="30"/>
        <v>4991.7695619663946</v>
      </c>
      <c r="AA213" s="9">
        <f t="shared" si="30"/>
        <v>7840.865165534874</v>
      </c>
      <c r="AB213" s="9">
        <f t="shared" si="30"/>
        <v>-234.42719919708992</v>
      </c>
    </row>
    <row r="214" spans="1:28" x14ac:dyDescent="0.3">
      <c r="A214" s="1">
        <v>44721</v>
      </c>
      <c r="B214" s="2">
        <v>144.65</v>
      </c>
      <c r="C214" s="2">
        <v>401.44</v>
      </c>
      <c r="D214" s="9">
        <f>B214-B213</f>
        <v>-3.3400000000000034</v>
      </c>
      <c r="E214" s="9">
        <f>C214-C213</f>
        <v>-9.7800000000000296</v>
      </c>
      <c r="F214" s="3">
        <f>F$1/B214</f>
        <v>691.32388524023497</v>
      </c>
      <c r="G214" s="3">
        <f>F$1/C214</f>
        <v>249.10322837783977</v>
      </c>
      <c r="H214" s="2">
        <f>D214*F213</f>
        <v>-2256.9092506250445</v>
      </c>
      <c r="I214" s="2">
        <f>E214*G213</f>
        <v>-2378.2889937259934</v>
      </c>
      <c r="J214" s="2">
        <f>I214-H214</f>
        <v>-121.37974310094887</v>
      </c>
      <c r="K214" s="2">
        <f t="shared" si="26"/>
        <v>121.37974310094887</v>
      </c>
      <c r="L214" s="3">
        <f>C214/B214</f>
        <v>2.7752506049083996</v>
      </c>
      <c r="M214" s="3">
        <f t="shared" si="28"/>
        <v>2.7718948349244421</v>
      </c>
      <c r="N214" s="3">
        <f t="shared" si="24"/>
        <v>2.7710094393358111</v>
      </c>
      <c r="O214" s="3">
        <f t="shared" si="25"/>
        <v>2.8006771611446015</v>
      </c>
      <c r="P214" s="3">
        <f t="shared" si="27"/>
        <v>2.8612534348788654</v>
      </c>
      <c r="Q214" s="4" t="str">
        <f t="shared" si="31"/>
        <v>OVER</v>
      </c>
      <c r="R214" s="4" t="str">
        <f t="shared" si="31"/>
        <v>OVER</v>
      </c>
      <c r="S214" s="4" t="str">
        <f t="shared" si="29"/>
        <v>UNDER</v>
      </c>
      <c r="T214" s="4" t="str">
        <f t="shared" si="29"/>
        <v>UNDER</v>
      </c>
      <c r="U214" s="2">
        <f>IF(Q214="OVER",$J214,$K214)</f>
        <v>-121.37974310094887</v>
      </c>
      <c r="V214" s="2">
        <f>IF(R214="OVER",$J214,$K214)</f>
        <v>-121.37974310094887</v>
      </c>
      <c r="W214" s="2">
        <f>IF(S214="OVER",$J214,$K214)</f>
        <v>121.37974310094887</v>
      </c>
      <c r="X214" s="2">
        <f>IF(T214="OVER",$J214,$K214)</f>
        <v>121.37974310094887</v>
      </c>
      <c r="Y214" s="9">
        <f t="shared" si="30"/>
        <v>-5355.5969203275781</v>
      </c>
      <c r="Z214" s="9">
        <f t="shared" si="30"/>
        <v>4870.3898188654457</v>
      </c>
      <c r="AA214" s="9">
        <f t="shared" si="30"/>
        <v>7962.2449086358229</v>
      </c>
      <c r="AB214" s="9">
        <f t="shared" si="30"/>
        <v>-113.04745609614105</v>
      </c>
    </row>
    <row r="215" spans="1:28" x14ac:dyDescent="0.3">
      <c r="A215" s="1">
        <v>44722</v>
      </c>
      <c r="B215" s="2">
        <v>140.71</v>
      </c>
      <c r="C215" s="2">
        <v>389.8</v>
      </c>
      <c r="D215" s="9">
        <f>B215-B214</f>
        <v>-3.9399999999999977</v>
      </c>
      <c r="E215" s="9">
        <f>C215-C214</f>
        <v>-11.639999999999986</v>
      </c>
      <c r="F215" s="3">
        <f>F$1/B215</f>
        <v>710.68154360031269</v>
      </c>
      <c r="G215" s="3">
        <f>F$1/C215</f>
        <v>256.54181631605951</v>
      </c>
      <c r="H215" s="2">
        <f>D215*F214</f>
        <v>-2723.8161078465241</v>
      </c>
      <c r="I215" s="2">
        <f>E215*G214</f>
        <v>-2899.5615783180515</v>
      </c>
      <c r="J215" s="2">
        <f>I215-H215</f>
        <v>-175.74547047152737</v>
      </c>
      <c r="K215" s="2">
        <f t="shared" si="26"/>
        <v>175.74547047152737</v>
      </c>
      <c r="L215" s="3">
        <f>C215/B215</f>
        <v>2.7702366569540189</v>
      </c>
      <c r="M215" s="3">
        <f t="shared" si="28"/>
        <v>2.7731411310886473</v>
      </c>
      <c r="N215" s="3">
        <f t="shared" ref="N215:N278" si="32">AVERAGE(L196:L215)</f>
        <v>2.7706595180955955</v>
      </c>
      <c r="O215" s="3">
        <f t="shared" si="25"/>
        <v>2.7987049476328592</v>
      </c>
      <c r="P215" s="3">
        <f t="shared" si="27"/>
        <v>2.860713709655589</v>
      </c>
      <c r="Q215" s="4" t="str">
        <f t="shared" si="31"/>
        <v>OVER</v>
      </c>
      <c r="R215" s="4" t="str">
        <f t="shared" si="31"/>
        <v>OVER</v>
      </c>
      <c r="S215" s="4" t="str">
        <f t="shared" si="29"/>
        <v>UNDER</v>
      </c>
      <c r="T215" s="4" t="str">
        <f t="shared" si="29"/>
        <v>UNDER</v>
      </c>
      <c r="U215" s="2">
        <f>IF(Q215="OVER",$J215,$K215)</f>
        <v>-175.74547047152737</v>
      </c>
      <c r="V215" s="2">
        <f>IF(R215="OVER",$J215,$K215)</f>
        <v>-175.74547047152737</v>
      </c>
      <c r="W215" s="2">
        <f>IF(S215="OVER",$J215,$K215)</f>
        <v>175.74547047152737</v>
      </c>
      <c r="X215" s="2">
        <f>IF(T215="OVER",$J215,$K215)</f>
        <v>175.74547047152737</v>
      </c>
      <c r="Y215" s="9">
        <f t="shared" si="30"/>
        <v>-5531.3423907991055</v>
      </c>
      <c r="Z215" s="9">
        <f t="shared" si="30"/>
        <v>4694.6443483939183</v>
      </c>
      <c r="AA215" s="9">
        <f t="shared" si="30"/>
        <v>8137.9903791073502</v>
      </c>
      <c r="AB215" s="9">
        <f t="shared" si="30"/>
        <v>62.698014375386322</v>
      </c>
    </row>
    <row r="216" spans="1:28" x14ac:dyDescent="0.3">
      <c r="A216" s="1">
        <v>44725</v>
      </c>
      <c r="B216" s="2">
        <v>135.05000000000001</v>
      </c>
      <c r="C216" s="2">
        <v>375</v>
      </c>
      <c r="D216" s="9">
        <f>B216-B215</f>
        <v>-5.6599999999999966</v>
      </c>
      <c r="E216" s="9">
        <f>C216-C215</f>
        <v>-14.800000000000011</v>
      </c>
      <c r="F216" s="3">
        <f>F$1/B216</f>
        <v>740.46649389115134</v>
      </c>
      <c r="G216" s="3">
        <f>F$1/C216</f>
        <v>266.66666666666669</v>
      </c>
      <c r="H216" s="2">
        <f>D216*F215</f>
        <v>-4022.4575367777675</v>
      </c>
      <c r="I216" s="2">
        <f>E216*G215</f>
        <v>-3796.8188814776836</v>
      </c>
      <c r="J216" s="2">
        <f>I216-H216</f>
        <v>225.63865530008388</v>
      </c>
      <c r="K216" s="2">
        <f t="shared" si="26"/>
        <v>-225.63865530008388</v>
      </c>
      <c r="L216" s="3">
        <f>C216/B216</f>
        <v>2.7767493520918176</v>
      </c>
      <c r="M216" s="3">
        <f t="shared" si="28"/>
        <v>2.7746021511721137</v>
      </c>
      <c r="N216" s="3">
        <f t="shared" si="32"/>
        <v>2.770493525492574</v>
      </c>
      <c r="O216" s="3">
        <f t="shared" si="25"/>
        <v>2.7969651898899639</v>
      </c>
      <c r="P216" s="3">
        <f t="shared" si="27"/>
        <v>2.8601926791403862</v>
      </c>
      <c r="Q216" s="4" t="str">
        <f t="shared" si="31"/>
        <v>UNDER</v>
      </c>
      <c r="R216" s="4" t="str">
        <f t="shared" si="31"/>
        <v>UNDER</v>
      </c>
      <c r="S216" s="4" t="str">
        <f t="shared" si="29"/>
        <v>UNDER</v>
      </c>
      <c r="T216" s="4" t="str">
        <f t="shared" si="29"/>
        <v>UNDER</v>
      </c>
      <c r="U216" s="2">
        <f>IF(Q216="OVER",$J216,$K216)</f>
        <v>-225.63865530008388</v>
      </c>
      <c r="V216" s="2">
        <f>IF(R216="OVER",$J216,$K216)</f>
        <v>-225.63865530008388</v>
      </c>
      <c r="W216" s="2">
        <f>IF(S216="OVER",$J216,$K216)</f>
        <v>-225.63865530008388</v>
      </c>
      <c r="X216" s="2">
        <f>IF(T216="OVER",$J216,$K216)</f>
        <v>-225.63865530008388</v>
      </c>
      <c r="Y216" s="9">
        <f t="shared" si="30"/>
        <v>-5756.9810460991894</v>
      </c>
      <c r="Z216" s="9">
        <f t="shared" si="30"/>
        <v>4469.0056930938345</v>
      </c>
      <c r="AA216" s="9">
        <f t="shared" si="30"/>
        <v>7912.3517238072664</v>
      </c>
      <c r="AB216" s="9">
        <f t="shared" si="30"/>
        <v>-162.94064092469756</v>
      </c>
    </row>
    <row r="217" spans="1:28" x14ac:dyDescent="0.3">
      <c r="A217" s="1">
        <v>44726</v>
      </c>
      <c r="B217" s="2">
        <v>134.35</v>
      </c>
      <c r="C217" s="2">
        <v>373.87</v>
      </c>
      <c r="D217" s="9">
        <f>B217-B216</f>
        <v>-0.70000000000001705</v>
      </c>
      <c r="E217" s="9">
        <f>C217-C216</f>
        <v>-1.1299999999999955</v>
      </c>
      <c r="F217" s="3">
        <f>F$1/B217</f>
        <v>744.32452549311506</v>
      </c>
      <c r="G217" s="3">
        <f>F$1/C217</f>
        <v>267.47265092144329</v>
      </c>
      <c r="H217" s="2">
        <f>D217*F216</f>
        <v>-518.32654572381853</v>
      </c>
      <c r="I217" s="2">
        <f>E217*G216</f>
        <v>-301.33333333333212</v>
      </c>
      <c r="J217" s="2">
        <f>I217-H217</f>
        <v>216.99321239048641</v>
      </c>
      <c r="K217" s="2">
        <f t="shared" si="26"/>
        <v>-216.99321239048641</v>
      </c>
      <c r="L217" s="3">
        <f>C217/B217</f>
        <v>2.7828061034611093</v>
      </c>
      <c r="M217" s="3">
        <f t="shared" si="28"/>
        <v>2.775618274846634</v>
      </c>
      <c r="N217" s="3">
        <f t="shared" si="32"/>
        <v>2.77070404387488</v>
      </c>
      <c r="O217" s="3">
        <f t="shared" si="25"/>
        <v>2.7953693842635721</v>
      </c>
      <c r="P217" s="3">
        <f t="shared" si="27"/>
        <v>2.8597272385284125</v>
      </c>
      <c r="Q217" s="4" t="str">
        <f t="shared" si="31"/>
        <v>OVER</v>
      </c>
      <c r="R217" s="4" t="str">
        <f t="shared" si="31"/>
        <v>OVER</v>
      </c>
      <c r="S217" s="4" t="str">
        <f t="shared" si="29"/>
        <v>UNDER</v>
      </c>
      <c r="T217" s="4" t="str">
        <f t="shared" si="29"/>
        <v>UNDER</v>
      </c>
      <c r="U217" s="2">
        <f>IF(Q217="OVER",$J217,$K217)</f>
        <v>216.99321239048641</v>
      </c>
      <c r="V217" s="2">
        <f>IF(R217="OVER",$J217,$K217)</f>
        <v>216.99321239048641</v>
      </c>
      <c r="W217" s="2">
        <f>IF(S217="OVER",$J217,$K217)</f>
        <v>-216.99321239048641</v>
      </c>
      <c r="X217" s="2">
        <f>IF(T217="OVER",$J217,$K217)</f>
        <v>-216.99321239048641</v>
      </c>
      <c r="Y217" s="9">
        <f t="shared" si="30"/>
        <v>-5539.987833708703</v>
      </c>
      <c r="Z217" s="9">
        <f t="shared" si="30"/>
        <v>4685.9989054843209</v>
      </c>
      <c r="AA217" s="9">
        <f t="shared" si="30"/>
        <v>7695.3585114167799</v>
      </c>
      <c r="AB217" s="9">
        <f t="shared" si="30"/>
        <v>-379.93385331518397</v>
      </c>
    </row>
    <row r="218" spans="1:28" x14ac:dyDescent="0.3">
      <c r="A218" s="1">
        <v>44727</v>
      </c>
      <c r="B218" s="2">
        <v>135.63999999999999</v>
      </c>
      <c r="C218" s="2">
        <v>379.2</v>
      </c>
      <c r="D218" s="9">
        <f>B218-B217</f>
        <v>1.289999999999992</v>
      </c>
      <c r="E218" s="9">
        <f>C218-C217</f>
        <v>5.3299999999999841</v>
      </c>
      <c r="F218" s="3">
        <f>F$1/B218</f>
        <v>737.24565025066363</v>
      </c>
      <c r="G218" s="3">
        <f>F$1/C218</f>
        <v>263.7130801687764</v>
      </c>
      <c r="H218" s="2">
        <f>D218*F217</f>
        <v>960.17863788611248</v>
      </c>
      <c r="I218" s="2">
        <f>E218*G217</f>
        <v>1425.6292294112884</v>
      </c>
      <c r="J218" s="2">
        <f>I218-H218</f>
        <v>465.45059152517592</v>
      </c>
      <c r="K218" s="2">
        <f t="shared" si="26"/>
        <v>-465.45059152517592</v>
      </c>
      <c r="L218" s="3">
        <f>C218/B218</f>
        <v>2.7956355057505164</v>
      </c>
      <c r="M218" s="3">
        <f t="shared" si="28"/>
        <v>2.7772110076408918</v>
      </c>
      <c r="N218" s="3">
        <f t="shared" si="32"/>
        <v>2.7716392468011439</v>
      </c>
      <c r="O218" s="3">
        <f t="shared" si="25"/>
        <v>2.7936635272746471</v>
      </c>
      <c r="P218" s="3">
        <f t="shared" si="27"/>
        <v>2.859241461601846</v>
      </c>
      <c r="Q218" s="4" t="str">
        <f t="shared" si="31"/>
        <v>OVER</v>
      </c>
      <c r="R218" s="4" t="str">
        <f t="shared" si="31"/>
        <v>OVER</v>
      </c>
      <c r="S218" s="4" t="str">
        <f t="shared" si="29"/>
        <v>OVER</v>
      </c>
      <c r="T218" s="4" t="str">
        <f t="shared" si="29"/>
        <v>UNDER</v>
      </c>
      <c r="U218" s="2">
        <f>IF(Q218="OVER",$J218,$K218)</f>
        <v>465.45059152517592</v>
      </c>
      <c r="V218" s="2">
        <f>IF(R218="OVER",$J218,$K218)</f>
        <v>465.45059152517592</v>
      </c>
      <c r="W218" s="2">
        <f>IF(S218="OVER",$J218,$K218)</f>
        <v>465.45059152517592</v>
      </c>
      <c r="X218" s="2">
        <f>IF(T218="OVER",$J218,$K218)</f>
        <v>-465.45059152517592</v>
      </c>
      <c r="Y218" s="9">
        <f t="shared" si="30"/>
        <v>-5074.5372421835273</v>
      </c>
      <c r="Z218" s="9">
        <f t="shared" si="30"/>
        <v>5151.4494970094966</v>
      </c>
      <c r="AA218" s="9">
        <f t="shared" si="30"/>
        <v>8160.8091029419556</v>
      </c>
      <c r="AB218" s="9">
        <f t="shared" si="30"/>
        <v>-845.38444484035995</v>
      </c>
    </row>
    <row r="219" spans="1:28" x14ac:dyDescent="0.3">
      <c r="A219" s="1">
        <v>44728</v>
      </c>
      <c r="B219" s="2">
        <v>130.84</v>
      </c>
      <c r="C219" s="2">
        <v>366.65</v>
      </c>
      <c r="D219" s="9">
        <f>B219-B218</f>
        <v>-4.7999999999999829</v>
      </c>
      <c r="E219" s="9">
        <f>C219-C218</f>
        <v>-12.550000000000011</v>
      </c>
      <c r="F219" s="3">
        <f>F$1/B219</f>
        <v>764.29226536227452</v>
      </c>
      <c r="G219" s="3">
        <f>F$1/C219</f>
        <v>272.73966998499935</v>
      </c>
      <c r="H219" s="2">
        <f>D219*F218</f>
        <v>-3538.779121203173</v>
      </c>
      <c r="I219" s="2">
        <f>E219*G218</f>
        <v>-3309.5991561181468</v>
      </c>
      <c r="J219" s="2">
        <f>I219-H219</f>
        <v>229.1799650850262</v>
      </c>
      <c r="K219" s="2">
        <f t="shared" si="26"/>
        <v>-229.1799650850262</v>
      </c>
      <c r="L219" s="3">
        <f>C219/B219</f>
        <v>2.8022775909507796</v>
      </c>
      <c r="M219" s="3">
        <f t="shared" si="28"/>
        <v>2.7790674181965538</v>
      </c>
      <c r="N219" s="3">
        <f t="shared" si="32"/>
        <v>2.7732964801752678</v>
      </c>
      <c r="O219" s="3">
        <f t="shared" si="25"/>
        <v>2.79220541363819</v>
      </c>
      <c r="P219" s="3">
        <f t="shared" si="27"/>
        <v>2.8588075520518008</v>
      </c>
      <c r="Q219" s="4" t="str">
        <f t="shared" si="31"/>
        <v>OVER</v>
      </c>
      <c r="R219" s="4" t="str">
        <f t="shared" si="31"/>
        <v>OVER</v>
      </c>
      <c r="S219" s="4" t="str">
        <f t="shared" si="29"/>
        <v>OVER</v>
      </c>
      <c r="T219" s="4" t="str">
        <f t="shared" si="29"/>
        <v>UNDER</v>
      </c>
      <c r="U219" s="2">
        <f>IF(Q219="OVER",$J219,$K219)</f>
        <v>229.1799650850262</v>
      </c>
      <c r="V219" s="2">
        <f>IF(R219="OVER",$J219,$K219)</f>
        <v>229.1799650850262</v>
      </c>
      <c r="W219" s="2">
        <f>IF(S219="OVER",$J219,$K219)</f>
        <v>229.1799650850262</v>
      </c>
      <c r="X219" s="2">
        <f>IF(T219="OVER",$J219,$K219)</f>
        <v>-229.1799650850262</v>
      </c>
      <c r="Y219" s="9">
        <f t="shared" si="30"/>
        <v>-4845.3572770985011</v>
      </c>
      <c r="Z219" s="9">
        <f t="shared" si="30"/>
        <v>5380.6294620945228</v>
      </c>
      <c r="AA219" s="9">
        <f t="shared" si="30"/>
        <v>8389.9890680269818</v>
      </c>
      <c r="AB219" s="9">
        <f t="shared" si="30"/>
        <v>-1074.5644099253861</v>
      </c>
    </row>
    <row r="220" spans="1:28" x14ac:dyDescent="0.3">
      <c r="A220" s="1">
        <v>44729</v>
      </c>
      <c r="B220" s="2">
        <v>131.13999999999999</v>
      </c>
      <c r="C220" s="2">
        <v>365.86</v>
      </c>
      <c r="D220" s="9">
        <f>B220-B219</f>
        <v>0.29999999999998295</v>
      </c>
      <c r="E220" s="9">
        <f>C220-C219</f>
        <v>-0.78999999999996362</v>
      </c>
      <c r="F220" s="3">
        <f>F$1/B220</f>
        <v>762.54384627116065</v>
      </c>
      <c r="G220" s="3">
        <f>F$1/C220</f>
        <v>273.32859563767562</v>
      </c>
      <c r="H220" s="2">
        <f>D220*F219</f>
        <v>229.28767960866932</v>
      </c>
      <c r="I220" s="2">
        <f>E220*G219</f>
        <v>-215.46433928813957</v>
      </c>
      <c r="J220" s="2">
        <f>I220-H220</f>
        <v>-444.75201889680886</v>
      </c>
      <c r="K220" s="2">
        <f t="shared" si="26"/>
        <v>444.75201889680886</v>
      </c>
      <c r="L220" s="3">
        <f>C220/B220</f>
        <v>2.7898429159676685</v>
      </c>
      <c r="M220" s="3">
        <f t="shared" si="28"/>
        <v>2.7809780781539883</v>
      </c>
      <c r="N220" s="3">
        <f t="shared" si="32"/>
        <v>2.7748680933580272</v>
      </c>
      <c r="O220" s="3">
        <f t="shared" si="25"/>
        <v>2.7907854600662061</v>
      </c>
      <c r="P220" s="3">
        <f t="shared" si="27"/>
        <v>2.8583065651348067</v>
      </c>
      <c r="Q220" s="4" t="str">
        <f t="shared" si="31"/>
        <v>OVER</v>
      </c>
      <c r="R220" s="4" t="str">
        <f t="shared" si="31"/>
        <v>OVER</v>
      </c>
      <c r="S220" s="4" t="str">
        <f t="shared" si="29"/>
        <v>UNDER</v>
      </c>
      <c r="T220" s="4" t="str">
        <f t="shared" si="29"/>
        <v>UNDER</v>
      </c>
      <c r="U220" s="2">
        <f>IF(Q220="OVER",$J220,$K220)</f>
        <v>-444.75201889680886</v>
      </c>
      <c r="V220" s="2">
        <f>IF(R220="OVER",$J220,$K220)</f>
        <v>-444.75201889680886</v>
      </c>
      <c r="W220" s="2">
        <f>IF(S220="OVER",$J220,$K220)</f>
        <v>444.75201889680886</v>
      </c>
      <c r="X220" s="2">
        <f>IF(T220="OVER",$J220,$K220)</f>
        <v>444.75201889680886</v>
      </c>
      <c r="Y220" s="9">
        <f t="shared" si="30"/>
        <v>-5290.1092959953103</v>
      </c>
      <c r="Z220" s="9">
        <f t="shared" si="30"/>
        <v>4935.8774431977135</v>
      </c>
      <c r="AA220" s="9">
        <f t="shared" si="30"/>
        <v>8834.7410869237901</v>
      </c>
      <c r="AB220" s="9">
        <f t="shared" si="30"/>
        <v>-629.81239102857728</v>
      </c>
    </row>
    <row r="221" spans="1:28" x14ac:dyDescent="0.3">
      <c r="A221" s="1">
        <v>44733</v>
      </c>
      <c r="B221" s="2">
        <v>132.69</v>
      </c>
      <c r="C221" s="2">
        <v>375.07</v>
      </c>
      <c r="D221" s="9">
        <f>B221-B220</f>
        <v>1.5500000000000114</v>
      </c>
      <c r="E221" s="9">
        <f>C221-C220</f>
        <v>9.2099999999999795</v>
      </c>
      <c r="F221" s="3">
        <f>F$1/B221</f>
        <v>753.63629512397313</v>
      </c>
      <c r="G221" s="3">
        <f>F$1/C221</f>
        <v>266.61689817900657</v>
      </c>
      <c r="H221" s="2">
        <f>D221*F220</f>
        <v>1181.9429617203077</v>
      </c>
      <c r="I221" s="2">
        <f>E221*G220</f>
        <v>2517.3563658229868</v>
      </c>
      <c r="J221" s="2">
        <f>I221-H221</f>
        <v>1335.4134041026791</v>
      </c>
      <c r="K221" s="2">
        <f t="shared" si="26"/>
        <v>-1335.4134041026791</v>
      </c>
      <c r="L221" s="3">
        <f>C221/B221</f>
        <v>2.8266636521214861</v>
      </c>
      <c r="M221" s="3">
        <f t="shared" si="28"/>
        <v>2.7867363672448269</v>
      </c>
      <c r="N221" s="3">
        <f t="shared" si="32"/>
        <v>2.7782205407845559</v>
      </c>
      <c r="O221" s="3">
        <f t="shared" si="25"/>
        <v>2.7899899134867656</v>
      </c>
      <c r="P221" s="3">
        <f t="shared" si="27"/>
        <v>2.8580428441934318</v>
      </c>
      <c r="Q221" s="4" t="str">
        <f t="shared" si="31"/>
        <v>OVER</v>
      </c>
      <c r="R221" s="4" t="str">
        <f t="shared" si="31"/>
        <v>OVER</v>
      </c>
      <c r="S221" s="4" t="str">
        <f t="shared" si="29"/>
        <v>OVER</v>
      </c>
      <c r="T221" s="4" t="str">
        <f t="shared" si="29"/>
        <v>UNDER</v>
      </c>
      <c r="U221" s="2">
        <f>IF(Q221="OVER",$J221,$K221)</f>
        <v>1335.4134041026791</v>
      </c>
      <c r="V221" s="2">
        <f>IF(R221="OVER",$J221,$K221)</f>
        <v>1335.4134041026791</v>
      </c>
      <c r="W221" s="2">
        <f>IF(S221="OVER",$J221,$K221)</f>
        <v>1335.4134041026791</v>
      </c>
      <c r="X221" s="2">
        <f>IF(T221="OVER",$J221,$K221)</f>
        <v>-1335.4134041026791</v>
      </c>
      <c r="Y221" s="9">
        <f t="shared" si="30"/>
        <v>-3954.6958918926312</v>
      </c>
      <c r="Z221" s="9">
        <f t="shared" si="30"/>
        <v>6271.2908473003927</v>
      </c>
      <c r="AA221" s="9">
        <f t="shared" si="30"/>
        <v>10170.154491026469</v>
      </c>
      <c r="AB221" s="9">
        <f t="shared" si="30"/>
        <v>-1965.2257951312563</v>
      </c>
    </row>
    <row r="222" spans="1:28" x14ac:dyDescent="0.3">
      <c r="A222" s="1">
        <v>44734</v>
      </c>
      <c r="B222" s="2">
        <v>132.62</v>
      </c>
      <c r="C222" s="2">
        <v>374.39</v>
      </c>
      <c r="D222" s="9">
        <f>B222-B221</f>
        <v>-6.9999999999993179E-2</v>
      </c>
      <c r="E222" s="9">
        <f>C222-C221</f>
        <v>-0.68000000000000682</v>
      </c>
      <c r="F222" s="3">
        <f>F$1/B222</f>
        <v>754.03408234052176</v>
      </c>
      <c r="G222" s="3">
        <f>F$1/C222</f>
        <v>267.10115120596168</v>
      </c>
      <c r="H222" s="2">
        <f>D222*F221</f>
        <v>-52.75454065867298</v>
      </c>
      <c r="I222" s="2">
        <f>E222*G221</f>
        <v>-181.29949076172628</v>
      </c>
      <c r="J222" s="2">
        <f>I222-H222</f>
        <v>-128.54495010305328</v>
      </c>
      <c r="K222" s="2">
        <f t="shared" si="26"/>
        <v>128.54495010305328</v>
      </c>
      <c r="L222" s="3">
        <f>C222/B222</f>
        <v>2.8230282008746794</v>
      </c>
      <c r="M222" s="3">
        <f t="shared" si="28"/>
        <v>2.7921191846679365</v>
      </c>
      <c r="N222" s="3">
        <f t="shared" si="32"/>
        <v>2.7807632065902679</v>
      </c>
      <c r="O222" s="3">
        <f t="shared" si="25"/>
        <v>2.7893952158559703</v>
      </c>
      <c r="P222" s="3">
        <f t="shared" si="27"/>
        <v>2.8577176486348264</v>
      </c>
      <c r="Q222" s="4" t="str">
        <f t="shared" si="31"/>
        <v>OVER</v>
      </c>
      <c r="R222" s="4" t="str">
        <f t="shared" si="31"/>
        <v>OVER</v>
      </c>
      <c r="S222" s="4" t="str">
        <f t="shared" si="29"/>
        <v>OVER</v>
      </c>
      <c r="T222" s="4" t="str">
        <f t="shared" si="29"/>
        <v>UNDER</v>
      </c>
      <c r="U222" s="2">
        <f>IF(Q222="OVER",$J222,$K222)</f>
        <v>-128.54495010305328</v>
      </c>
      <c r="V222" s="2">
        <f>IF(R222="OVER",$J222,$K222)</f>
        <v>-128.54495010305328</v>
      </c>
      <c r="W222" s="2">
        <f>IF(S222="OVER",$J222,$K222)</f>
        <v>-128.54495010305328</v>
      </c>
      <c r="X222" s="2">
        <f>IF(T222="OVER",$J222,$K222)</f>
        <v>128.54495010305328</v>
      </c>
      <c r="Y222" s="9">
        <f t="shared" si="30"/>
        <v>-4083.2408419956846</v>
      </c>
      <c r="Z222" s="9">
        <f t="shared" si="30"/>
        <v>6142.7458971973392</v>
      </c>
      <c r="AA222" s="9">
        <f t="shared" si="30"/>
        <v>10041.609540923417</v>
      </c>
      <c r="AB222" s="9">
        <f t="shared" si="30"/>
        <v>-1836.6808450282031</v>
      </c>
    </row>
    <row r="223" spans="1:28" x14ac:dyDescent="0.3">
      <c r="A223" s="1">
        <v>44735</v>
      </c>
      <c r="B223" s="2">
        <v>133.72</v>
      </c>
      <c r="C223" s="2">
        <v>378.06</v>
      </c>
      <c r="D223" s="9">
        <f>B223-B222</f>
        <v>1.0999999999999943</v>
      </c>
      <c r="E223" s="9">
        <f>C223-C222</f>
        <v>3.6700000000000159</v>
      </c>
      <c r="F223" s="3">
        <f>F$1/B223</f>
        <v>747.83128926114273</v>
      </c>
      <c r="G223" s="3">
        <f>F$1/C223</f>
        <v>264.50827910913614</v>
      </c>
      <c r="H223" s="2">
        <f>D223*F222</f>
        <v>829.43749057456967</v>
      </c>
      <c r="I223" s="2">
        <f>E223*G222</f>
        <v>980.26122492588365</v>
      </c>
      <c r="J223" s="2">
        <f>I223-H223</f>
        <v>150.82373435131399</v>
      </c>
      <c r="K223" s="2">
        <f t="shared" si="26"/>
        <v>-150.82373435131399</v>
      </c>
      <c r="L223" s="3">
        <f>C223/B223</f>
        <v>2.8272509721806762</v>
      </c>
      <c r="M223" s="3">
        <f t="shared" si="28"/>
        <v>2.7969741555261147</v>
      </c>
      <c r="N223" s="3">
        <f t="shared" si="32"/>
        <v>2.7837147635625037</v>
      </c>
      <c r="O223" s="3">
        <f t="shared" si="25"/>
        <v>2.7893115425017472</v>
      </c>
      <c r="P223" s="3">
        <f t="shared" si="27"/>
        <v>2.8573440365548022</v>
      </c>
      <c r="Q223" s="4" t="str">
        <f t="shared" si="31"/>
        <v>OVER</v>
      </c>
      <c r="R223" s="4" t="str">
        <f t="shared" si="31"/>
        <v>OVER</v>
      </c>
      <c r="S223" s="4" t="str">
        <f t="shared" si="29"/>
        <v>OVER</v>
      </c>
      <c r="T223" s="4" t="str">
        <f t="shared" si="29"/>
        <v>UNDER</v>
      </c>
      <c r="U223" s="2">
        <f>IF(Q223="OVER",$J223,$K223)</f>
        <v>150.82373435131399</v>
      </c>
      <c r="V223" s="2">
        <f>IF(R223="OVER",$J223,$K223)</f>
        <v>150.82373435131399</v>
      </c>
      <c r="W223" s="2">
        <f>IF(S223="OVER",$J223,$K223)</f>
        <v>150.82373435131399</v>
      </c>
      <c r="X223" s="2">
        <f>IF(T223="OVER",$J223,$K223)</f>
        <v>-150.82373435131399</v>
      </c>
      <c r="Y223" s="9">
        <f t="shared" si="30"/>
        <v>-3932.4171076443708</v>
      </c>
      <c r="Z223" s="9">
        <f t="shared" si="30"/>
        <v>6293.569631548653</v>
      </c>
      <c r="AA223" s="9">
        <f t="shared" si="30"/>
        <v>10192.43327527473</v>
      </c>
      <c r="AB223" s="9">
        <f t="shared" si="30"/>
        <v>-1987.5045793795171</v>
      </c>
    </row>
    <row r="224" spans="1:28" x14ac:dyDescent="0.3">
      <c r="A224" s="1">
        <v>44736</v>
      </c>
      <c r="B224" s="2">
        <v>138.07</v>
      </c>
      <c r="C224" s="2">
        <v>390.08</v>
      </c>
      <c r="D224" s="9">
        <f>B224-B223</f>
        <v>4.3499999999999943</v>
      </c>
      <c r="E224" s="9">
        <f>C224-C223</f>
        <v>12.019999999999982</v>
      </c>
      <c r="F224" s="3">
        <f>F$1/B224</f>
        <v>724.27029767509237</v>
      </c>
      <c r="G224" s="3">
        <f>F$1/C224</f>
        <v>256.35767022149304</v>
      </c>
      <c r="H224" s="2">
        <f>D224*F223</f>
        <v>3253.0661082859665</v>
      </c>
      <c r="I224" s="2">
        <f>E224*G223</f>
        <v>3179.3895148918118</v>
      </c>
      <c r="J224" s="2">
        <f>I224-H224</f>
        <v>-73.676593394154679</v>
      </c>
      <c r="K224" s="2">
        <f t="shared" si="26"/>
        <v>73.676593394154679</v>
      </c>
      <c r="L224" s="3">
        <f>C224/B224</f>
        <v>2.8252335771710002</v>
      </c>
      <c r="M224" s="3">
        <f t="shared" si="28"/>
        <v>2.8019724527523748</v>
      </c>
      <c r="N224" s="3">
        <f t="shared" si="32"/>
        <v>2.7869336438384091</v>
      </c>
      <c r="O224" s="3">
        <f t="shared" si="25"/>
        <v>2.7892078834026091</v>
      </c>
      <c r="P224" s="3">
        <f t="shared" si="27"/>
        <v>2.8569686928950215</v>
      </c>
      <c r="Q224" s="4" t="str">
        <f t="shared" si="31"/>
        <v>OVER</v>
      </c>
      <c r="R224" s="4" t="str">
        <f t="shared" si="31"/>
        <v>OVER</v>
      </c>
      <c r="S224" s="4" t="str">
        <f t="shared" si="29"/>
        <v>OVER</v>
      </c>
      <c r="T224" s="4" t="str">
        <f t="shared" si="29"/>
        <v>UNDER</v>
      </c>
      <c r="U224" s="2">
        <f>IF(Q224="OVER",$J224,$K224)</f>
        <v>-73.676593394154679</v>
      </c>
      <c r="V224" s="2">
        <f>IF(R224="OVER",$J224,$K224)</f>
        <v>-73.676593394154679</v>
      </c>
      <c r="W224" s="2">
        <f>IF(S224="OVER",$J224,$K224)</f>
        <v>-73.676593394154679</v>
      </c>
      <c r="X224" s="2">
        <f>IF(T224="OVER",$J224,$K224)</f>
        <v>73.676593394154679</v>
      </c>
      <c r="Y224" s="9">
        <f t="shared" si="30"/>
        <v>-4006.0937010385255</v>
      </c>
      <c r="Z224" s="9">
        <f t="shared" si="30"/>
        <v>6219.8930381544978</v>
      </c>
      <c r="AA224" s="9">
        <f t="shared" si="30"/>
        <v>10118.756681880575</v>
      </c>
      <c r="AB224" s="9">
        <f t="shared" si="30"/>
        <v>-1913.8279859853624</v>
      </c>
    </row>
    <row r="225" spans="1:28" x14ac:dyDescent="0.3">
      <c r="A225" s="1">
        <v>44739</v>
      </c>
      <c r="B225" s="2">
        <v>138</v>
      </c>
      <c r="C225" s="2">
        <v>388.59</v>
      </c>
      <c r="D225" s="9">
        <f>B225-B224</f>
        <v>-6.9999999999993179E-2</v>
      </c>
      <c r="E225" s="9">
        <f>C225-C224</f>
        <v>-1.4900000000000091</v>
      </c>
      <c r="F225" s="3">
        <f>F$1/B225</f>
        <v>724.63768115942025</v>
      </c>
      <c r="G225" s="3">
        <f>F$1/C225</f>
        <v>257.3406418075607</v>
      </c>
      <c r="H225" s="2">
        <f>D225*F224</f>
        <v>-50.698920837251528</v>
      </c>
      <c r="I225" s="2">
        <f>E225*G224</f>
        <v>-381.97292863002696</v>
      </c>
      <c r="J225" s="2">
        <f>I225-H225</f>
        <v>-331.27400779277542</v>
      </c>
      <c r="K225" s="2">
        <f t="shared" si="26"/>
        <v>331.27400779277542</v>
      </c>
      <c r="L225" s="3">
        <f>C225/B225</f>
        <v>2.8158695652173913</v>
      </c>
      <c r="M225" s="3">
        <f t="shared" si="28"/>
        <v>2.8065357435787122</v>
      </c>
      <c r="N225" s="3">
        <f t="shared" si="32"/>
        <v>2.7898384373336804</v>
      </c>
      <c r="O225" s="3">
        <f t="shared" si="25"/>
        <v>2.7889084164694089</v>
      </c>
      <c r="P225" s="3">
        <f t="shared" si="27"/>
        <v>2.8565676175772006</v>
      </c>
      <c r="Q225" s="4" t="str">
        <f t="shared" si="31"/>
        <v>OVER</v>
      </c>
      <c r="R225" s="4" t="str">
        <f t="shared" si="31"/>
        <v>OVER</v>
      </c>
      <c r="S225" s="4" t="str">
        <f t="shared" si="29"/>
        <v>OVER</v>
      </c>
      <c r="T225" s="4" t="str">
        <f t="shared" si="29"/>
        <v>UNDER</v>
      </c>
      <c r="U225" s="2">
        <f>IF(Q225="OVER",$J225,$K225)</f>
        <v>-331.27400779277542</v>
      </c>
      <c r="V225" s="2">
        <f>IF(R225="OVER",$J225,$K225)</f>
        <v>-331.27400779277542</v>
      </c>
      <c r="W225" s="2">
        <f>IF(S225="OVER",$J225,$K225)</f>
        <v>-331.27400779277542</v>
      </c>
      <c r="X225" s="2">
        <f>IF(T225="OVER",$J225,$K225)</f>
        <v>331.27400779277542</v>
      </c>
      <c r="Y225" s="9">
        <f t="shared" si="30"/>
        <v>-4337.3677088313007</v>
      </c>
      <c r="Z225" s="9">
        <f t="shared" si="30"/>
        <v>5888.6190303617223</v>
      </c>
      <c r="AA225" s="9">
        <f t="shared" si="30"/>
        <v>9787.4826740877998</v>
      </c>
      <c r="AB225" s="9">
        <f t="shared" si="30"/>
        <v>-1582.553978192587</v>
      </c>
    </row>
    <row r="226" spans="1:28" x14ac:dyDescent="0.3">
      <c r="A226" s="1">
        <v>44740</v>
      </c>
      <c r="B226" s="2">
        <v>135.9</v>
      </c>
      <c r="C226" s="2">
        <v>380.65</v>
      </c>
      <c r="D226" s="9">
        <f>B226-B225</f>
        <v>-2.0999999999999943</v>
      </c>
      <c r="E226" s="9">
        <f>C226-C225</f>
        <v>-7.9399999999999977</v>
      </c>
      <c r="F226" s="3">
        <f>F$1/B226</f>
        <v>735.83517292126555</v>
      </c>
      <c r="G226" s="3">
        <f>F$1/C226</f>
        <v>262.70852489163275</v>
      </c>
      <c r="H226" s="2">
        <f>D226*F225</f>
        <v>-1521.7391304347784</v>
      </c>
      <c r="I226" s="2">
        <f>E226*G225</f>
        <v>-2043.2846959520314</v>
      </c>
      <c r="J226" s="2">
        <f>I226-H226</f>
        <v>-521.54556551725295</v>
      </c>
      <c r="K226" s="2">
        <f t="shared" si="26"/>
        <v>521.54556551725295</v>
      </c>
      <c r="L226" s="3">
        <f>C226/B226</f>
        <v>2.8009565857247973</v>
      </c>
      <c r="M226" s="3">
        <f t="shared" si="28"/>
        <v>2.8089564669420102</v>
      </c>
      <c r="N226" s="3">
        <f t="shared" si="32"/>
        <v>2.7917793090570622</v>
      </c>
      <c r="O226" s="3">
        <f t="shared" si="25"/>
        <v>2.788631013753248</v>
      </c>
      <c r="P226" s="3">
        <f t="shared" si="27"/>
        <v>2.8561110018953451</v>
      </c>
      <c r="Q226" s="4" t="str">
        <f t="shared" si="31"/>
        <v>OVER</v>
      </c>
      <c r="R226" s="4" t="str">
        <f t="shared" si="31"/>
        <v>OVER</v>
      </c>
      <c r="S226" s="4" t="str">
        <f t="shared" si="29"/>
        <v>OVER</v>
      </c>
      <c r="T226" s="4" t="str">
        <f t="shared" si="29"/>
        <v>UNDER</v>
      </c>
      <c r="U226" s="2">
        <f>IF(Q226="OVER",$J226,$K226)</f>
        <v>-521.54556551725295</v>
      </c>
      <c r="V226" s="2">
        <f>IF(R226="OVER",$J226,$K226)</f>
        <v>-521.54556551725295</v>
      </c>
      <c r="W226" s="2">
        <f>IF(S226="OVER",$J226,$K226)</f>
        <v>-521.54556551725295</v>
      </c>
      <c r="X226" s="2">
        <f>IF(T226="OVER",$J226,$K226)</f>
        <v>521.54556551725295</v>
      </c>
      <c r="Y226" s="9">
        <f t="shared" si="30"/>
        <v>-4858.9132743485534</v>
      </c>
      <c r="Z226" s="9">
        <f t="shared" si="30"/>
        <v>5367.0734648444695</v>
      </c>
      <c r="AA226" s="9">
        <f t="shared" si="30"/>
        <v>9265.9371085705461</v>
      </c>
      <c r="AB226" s="9">
        <f t="shared" si="30"/>
        <v>-1061.0084126753341</v>
      </c>
    </row>
    <row r="227" spans="1:28" x14ac:dyDescent="0.3">
      <c r="A227" s="1">
        <v>44741</v>
      </c>
      <c r="B227" s="2">
        <v>135.07</v>
      </c>
      <c r="C227" s="2">
        <v>380.34</v>
      </c>
      <c r="D227" s="9">
        <f>B227-B226</f>
        <v>-0.83000000000001251</v>
      </c>
      <c r="E227" s="9">
        <f>C227-C226</f>
        <v>-0.31000000000000227</v>
      </c>
      <c r="F227" s="3">
        <f>F$1/B227</f>
        <v>740.35685200266528</v>
      </c>
      <c r="G227" s="3">
        <f>F$1/C227</f>
        <v>262.92264815691226</v>
      </c>
      <c r="H227" s="2">
        <f>D227*F226</f>
        <v>-610.74319352465966</v>
      </c>
      <c r="I227" s="2">
        <f>E227*G226</f>
        <v>-81.439642716406752</v>
      </c>
      <c r="J227" s="2">
        <f>I227-H227</f>
        <v>529.30355080825291</v>
      </c>
      <c r="K227" s="2">
        <f t="shared" si="26"/>
        <v>-529.30355080825291</v>
      </c>
      <c r="L227" s="3">
        <f>C227/B227</f>
        <v>2.8158732509069373</v>
      </c>
      <c r="M227" s="3">
        <f t="shared" si="28"/>
        <v>2.8122631816865931</v>
      </c>
      <c r="N227" s="3">
        <f t="shared" si="32"/>
        <v>2.7939407282666138</v>
      </c>
      <c r="O227" s="3">
        <f t="shared" si="25"/>
        <v>2.7885090457816961</v>
      </c>
      <c r="P227" s="3">
        <f t="shared" si="27"/>
        <v>2.8557323261918377</v>
      </c>
      <c r="Q227" s="4" t="str">
        <f t="shared" si="31"/>
        <v>UNDER</v>
      </c>
      <c r="R227" s="4" t="str">
        <f t="shared" si="31"/>
        <v>OVER</v>
      </c>
      <c r="S227" s="4" t="str">
        <f t="shared" si="29"/>
        <v>OVER</v>
      </c>
      <c r="T227" s="4" t="str">
        <f t="shared" si="29"/>
        <v>UNDER</v>
      </c>
      <c r="U227" s="2">
        <f>IF(Q227="OVER",$J227,$K227)</f>
        <v>-529.30355080825291</v>
      </c>
      <c r="V227" s="2">
        <f>IF(R227="OVER",$J227,$K227)</f>
        <v>529.30355080825291</v>
      </c>
      <c r="W227" s="2">
        <f>IF(S227="OVER",$J227,$K227)</f>
        <v>529.30355080825291</v>
      </c>
      <c r="X227" s="2">
        <f>IF(T227="OVER",$J227,$K227)</f>
        <v>-529.30355080825291</v>
      </c>
      <c r="Y227" s="9">
        <f t="shared" si="30"/>
        <v>-5388.2168251568064</v>
      </c>
      <c r="Z227" s="9">
        <f t="shared" si="30"/>
        <v>5896.3770156527225</v>
      </c>
      <c r="AA227" s="9">
        <f t="shared" si="30"/>
        <v>9795.2406593787982</v>
      </c>
      <c r="AB227" s="9">
        <f t="shared" si="30"/>
        <v>-1590.3119634835871</v>
      </c>
    </row>
    <row r="228" spans="1:28" x14ac:dyDescent="0.3">
      <c r="A228" s="1">
        <v>44742</v>
      </c>
      <c r="B228" s="2">
        <v>134.22999999999999</v>
      </c>
      <c r="C228" s="2">
        <v>377.25</v>
      </c>
      <c r="D228" s="9">
        <f>B228-B227</f>
        <v>-0.84000000000000341</v>
      </c>
      <c r="E228" s="9">
        <f>C228-C227</f>
        <v>-3.089999999999975</v>
      </c>
      <c r="F228" s="3">
        <f>F$1/B228</f>
        <v>744.98994263577447</v>
      </c>
      <c r="G228" s="3">
        <f>F$1/C228</f>
        <v>265.07620941020542</v>
      </c>
      <c r="H228" s="2">
        <f>D228*F227</f>
        <v>-621.89975568224133</v>
      </c>
      <c r="I228" s="2">
        <f>E228*G227</f>
        <v>-812.43098280485231</v>
      </c>
      <c r="J228" s="2">
        <f>I228-H228</f>
        <v>-190.53122712261097</v>
      </c>
      <c r="K228" s="2">
        <f t="shared" si="26"/>
        <v>190.53122712261097</v>
      </c>
      <c r="L228" s="3">
        <f>C228/B228</f>
        <v>2.8104745585934592</v>
      </c>
      <c r="M228" s="3">
        <f t="shared" si="28"/>
        <v>2.8137470869708876</v>
      </c>
      <c r="N228" s="3">
        <f t="shared" si="32"/>
        <v>2.7954790473058901</v>
      </c>
      <c r="O228" s="3">
        <f t="shared" si="25"/>
        <v>2.7883665268237774</v>
      </c>
      <c r="P228" s="3">
        <f t="shared" si="27"/>
        <v>2.855301524340224</v>
      </c>
      <c r="Q228" s="4" t="str">
        <f t="shared" si="31"/>
        <v>OVER</v>
      </c>
      <c r="R228" s="4" t="str">
        <f t="shared" si="31"/>
        <v>OVER</v>
      </c>
      <c r="S228" s="4" t="str">
        <f t="shared" si="29"/>
        <v>OVER</v>
      </c>
      <c r="T228" s="4" t="str">
        <f t="shared" si="29"/>
        <v>UNDER</v>
      </c>
      <c r="U228" s="2">
        <f>IF(Q228="OVER",$J228,$K228)</f>
        <v>-190.53122712261097</v>
      </c>
      <c r="V228" s="2">
        <f>IF(R228="OVER",$J228,$K228)</f>
        <v>-190.53122712261097</v>
      </c>
      <c r="W228" s="2">
        <f>IF(S228="OVER",$J228,$K228)</f>
        <v>-190.53122712261097</v>
      </c>
      <c r="X228" s="2">
        <f>IF(T228="OVER",$J228,$K228)</f>
        <v>190.53122712261097</v>
      </c>
      <c r="Y228" s="9">
        <f t="shared" si="30"/>
        <v>-5578.7480522794176</v>
      </c>
      <c r="Z228" s="9">
        <f t="shared" si="30"/>
        <v>5705.8457885301113</v>
      </c>
      <c r="AA228" s="9">
        <f t="shared" si="30"/>
        <v>9604.7094322561879</v>
      </c>
      <c r="AB228" s="9">
        <f t="shared" si="30"/>
        <v>-1399.7807363609761</v>
      </c>
    </row>
    <row r="229" spans="1:28" x14ac:dyDescent="0.3">
      <c r="A229" s="1">
        <v>44743</v>
      </c>
      <c r="B229" s="2">
        <v>135.87</v>
      </c>
      <c r="C229" s="2">
        <v>381.24</v>
      </c>
      <c r="D229" s="9">
        <f>B229-B228</f>
        <v>1.6400000000000148</v>
      </c>
      <c r="E229" s="9">
        <f>C229-C228</f>
        <v>3.9900000000000091</v>
      </c>
      <c r="F229" s="3">
        <f>F$1/B229</f>
        <v>735.99764480753663</v>
      </c>
      <c r="G229" s="3">
        <f>F$1/C229</f>
        <v>262.30196201867591</v>
      </c>
      <c r="H229" s="2">
        <f>D229*F228</f>
        <v>1221.7835059226811</v>
      </c>
      <c r="I229" s="2">
        <f>E229*G228</f>
        <v>1057.654075546722</v>
      </c>
      <c r="J229" s="2">
        <f>I229-H229</f>
        <v>-164.12943037595915</v>
      </c>
      <c r="K229" s="2">
        <f t="shared" si="26"/>
        <v>164.12943037595915</v>
      </c>
      <c r="L229" s="3">
        <f>C229/B229</f>
        <v>2.8059174210642523</v>
      </c>
      <c r="M229" s="3">
        <f t="shared" si="28"/>
        <v>2.8141110699822347</v>
      </c>
      <c r="N229" s="3">
        <f t="shared" si="32"/>
        <v>2.7965892440893945</v>
      </c>
      <c r="O229" s="3">
        <f t="shared" si="25"/>
        <v>2.788532434379436</v>
      </c>
      <c r="P229" s="3">
        <f t="shared" si="27"/>
        <v>2.8548553519109623</v>
      </c>
      <c r="Q229" s="4" t="str">
        <f t="shared" si="31"/>
        <v>UNDER</v>
      </c>
      <c r="R229" s="4" t="str">
        <f t="shared" si="31"/>
        <v>OVER</v>
      </c>
      <c r="S229" s="4" t="str">
        <f t="shared" si="29"/>
        <v>OVER</v>
      </c>
      <c r="T229" s="4" t="str">
        <f t="shared" si="29"/>
        <v>UNDER</v>
      </c>
      <c r="U229" s="2">
        <f>IF(Q229="OVER",$J229,$K229)</f>
        <v>164.12943037595915</v>
      </c>
      <c r="V229" s="2">
        <f>IF(R229="OVER",$J229,$K229)</f>
        <v>-164.12943037595915</v>
      </c>
      <c r="W229" s="2">
        <f>IF(S229="OVER",$J229,$K229)</f>
        <v>-164.12943037595915</v>
      </c>
      <c r="X229" s="2">
        <f>IF(T229="OVER",$J229,$K229)</f>
        <v>164.12943037595915</v>
      </c>
      <c r="Y229" s="9">
        <f t="shared" si="30"/>
        <v>-5414.6186219034589</v>
      </c>
      <c r="Z229" s="9">
        <f t="shared" si="30"/>
        <v>5541.7163581541517</v>
      </c>
      <c r="AA229" s="9">
        <f t="shared" si="30"/>
        <v>9440.5800018802292</v>
      </c>
      <c r="AB229" s="9">
        <f t="shared" si="30"/>
        <v>-1235.651305985017</v>
      </c>
    </row>
    <row r="230" spans="1:28" x14ac:dyDescent="0.3">
      <c r="A230" s="1">
        <v>44747</v>
      </c>
      <c r="B230" s="2">
        <v>135.55000000000001</v>
      </c>
      <c r="C230" s="2">
        <v>381.96</v>
      </c>
      <c r="D230" s="9">
        <f>B230-B229</f>
        <v>-0.31999999999999318</v>
      </c>
      <c r="E230" s="9">
        <f>C230-C229</f>
        <v>0.71999999999997044</v>
      </c>
      <c r="F230" s="3">
        <f>F$1/B230</f>
        <v>737.73515308004426</v>
      </c>
      <c r="G230" s="3">
        <f>F$1/C230</f>
        <v>261.80751911194892</v>
      </c>
      <c r="H230" s="2">
        <f>D230*F229</f>
        <v>-235.5192463384067</v>
      </c>
      <c r="I230" s="2">
        <f>E230*G229</f>
        <v>188.8574126534389</v>
      </c>
      <c r="J230" s="2">
        <f>I230-H230</f>
        <v>424.3766589918456</v>
      </c>
      <c r="K230" s="2">
        <f t="shared" si="26"/>
        <v>-424.3766589918456</v>
      </c>
      <c r="L230" s="3">
        <f>C230/B230</f>
        <v>2.8178531907045365</v>
      </c>
      <c r="M230" s="3">
        <f t="shared" si="28"/>
        <v>2.8169120974559214</v>
      </c>
      <c r="N230" s="3">
        <f t="shared" si="32"/>
        <v>2.7989450878049551</v>
      </c>
      <c r="O230" s="3">
        <f t="shared" si="25"/>
        <v>2.7889645652176558</v>
      </c>
      <c r="P230" s="3">
        <f t="shared" si="27"/>
        <v>2.8544646619030836</v>
      </c>
      <c r="Q230" s="4" t="str">
        <f t="shared" si="31"/>
        <v>UNDER</v>
      </c>
      <c r="R230" s="4" t="str">
        <f t="shared" si="31"/>
        <v>OVER</v>
      </c>
      <c r="S230" s="4" t="str">
        <f t="shared" si="29"/>
        <v>OVER</v>
      </c>
      <c r="T230" s="4" t="str">
        <f t="shared" si="29"/>
        <v>UNDER</v>
      </c>
      <c r="U230" s="2">
        <f>IF(Q230="OVER",$J230,$K230)</f>
        <v>-424.3766589918456</v>
      </c>
      <c r="V230" s="2">
        <f>IF(R230="OVER",$J230,$K230)</f>
        <v>424.3766589918456</v>
      </c>
      <c r="W230" s="2">
        <f>IF(S230="OVER",$J230,$K230)</f>
        <v>424.3766589918456</v>
      </c>
      <c r="X230" s="2">
        <f>IF(T230="OVER",$J230,$K230)</f>
        <v>-424.3766589918456</v>
      </c>
      <c r="Y230" s="9">
        <f t="shared" si="30"/>
        <v>-5838.9952808953049</v>
      </c>
      <c r="Z230" s="9">
        <f t="shared" si="30"/>
        <v>5966.0930171459977</v>
      </c>
      <c r="AA230" s="9">
        <f t="shared" si="30"/>
        <v>9864.9566608720743</v>
      </c>
      <c r="AB230" s="9">
        <f t="shared" si="30"/>
        <v>-1660.0279649768627</v>
      </c>
    </row>
    <row r="231" spans="1:28" x14ac:dyDescent="0.3">
      <c r="A231" s="1">
        <v>44748</v>
      </c>
      <c r="B231" s="2">
        <v>135.58000000000001</v>
      </c>
      <c r="C231" s="2">
        <v>383.25</v>
      </c>
      <c r="D231" s="9">
        <f>B231-B230</f>
        <v>3.0000000000001137E-2</v>
      </c>
      <c r="E231" s="9">
        <f>C231-C230</f>
        <v>1.2900000000000205</v>
      </c>
      <c r="F231" s="3">
        <f>F$1/B231</f>
        <v>737.57191326154293</v>
      </c>
      <c r="G231" s="3">
        <f>F$1/C231</f>
        <v>260.92628832354859</v>
      </c>
      <c r="H231" s="2">
        <f>D231*F230</f>
        <v>22.132054592402167</v>
      </c>
      <c r="I231" s="2">
        <f>E231*G230</f>
        <v>337.73169965441946</v>
      </c>
      <c r="J231" s="2">
        <f>I231-H231</f>
        <v>315.59964506201732</v>
      </c>
      <c r="K231" s="2">
        <f t="shared" si="26"/>
        <v>-315.59964506201732</v>
      </c>
      <c r="L231" s="3">
        <f>C231/B231</f>
        <v>2.8267443575748632</v>
      </c>
      <c r="M231" s="3">
        <f t="shared" si="28"/>
        <v>2.8169201680012592</v>
      </c>
      <c r="N231" s="3">
        <f t="shared" si="32"/>
        <v>2.8018282676230433</v>
      </c>
      <c r="O231" s="3">
        <f t="shared" si="25"/>
        <v>2.7895850222884384</v>
      </c>
      <c r="P231" s="3">
        <f t="shared" si="27"/>
        <v>2.8541773173030851</v>
      </c>
      <c r="Q231" s="4" t="str">
        <f t="shared" si="31"/>
        <v>OVER</v>
      </c>
      <c r="R231" s="4" t="str">
        <f t="shared" si="31"/>
        <v>OVER</v>
      </c>
      <c r="S231" s="4" t="str">
        <f t="shared" si="29"/>
        <v>OVER</v>
      </c>
      <c r="T231" s="4" t="str">
        <f t="shared" si="29"/>
        <v>UNDER</v>
      </c>
      <c r="U231" s="2">
        <f>IF(Q231="OVER",$J231,$K231)</f>
        <v>315.59964506201732</v>
      </c>
      <c r="V231" s="2">
        <f>IF(R231="OVER",$J231,$K231)</f>
        <v>315.59964506201732</v>
      </c>
      <c r="W231" s="2">
        <f>IF(S231="OVER",$J231,$K231)</f>
        <v>315.59964506201732</v>
      </c>
      <c r="X231" s="2">
        <f>IF(T231="OVER",$J231,$K231)</f>
        <v>-315.59964506201732</v>
      </c>
      <c r="Y231" s="9">
        <f t="shared" si="30"/>
        <v>-5523.3956358332871</v>
      </c>
      <c r="Z231" s="9">
        <f t="shared" si="30"/>
        <v>6281.6926622080155</v>
      </c>
      <c r="AA231" s="9">
        <f t="shared" si="30"/>
        <v>10180.556305934091</v>
      </c>
      <c r="AB231" s="9">
        <f t="shared" si="30"/>
        <v>-1975.62761003888</v>
      </c>
    </row>
    <row r="232" spans="1:28" x14ac:dyDescent="0.3">
      <c r="A232" s="1">
        <v>44749</v>
      </c>
      <c r="B232" s="2">
        <v>137.55000000000001</v>
      </c>
      <c r="C232" s="2">
        <v>388.99</v>
      </c>
      <c r="D232" s="9">
        <f>B232-B231</f>
        <v>1.9699999999999989</v>
      </c>
      <c r="E232" s="9">
        <f>C232-C231</f>
        <v>5.7400000000000091</v>
      </c>
      <c r="F232" s="3">
        <f>F$1/B232</f>
        <v>727.00836059614676</v>
      </c>
      <c r="G232" s="3">
        <f>F$1/C232</f>
        <v>257.07601737833875</v>
      </c>
      <c r="H232" s="2">
        <f>D232*F231</f>
        <v>1453.0166691252386</v>
      </c>
      <c r="I232" s="2">
        <f>E232*G231</f>
        <v>1497.7168949771713</v>
      </c>
      <c r="J232" s="2">
        <f>I232-H232</f>
        <v>44.700225851932601</v>
      </c>
      <c r="K232" s="2">
        <f t="shared" si="26"/>
        <v>-44.700225851932601</v>
      </c>
      <c r="L232" s="3">
        <f>C232/B232</f>
        <v>2.8279898218829516</v>
      </c>
      <c r="M232" s="3">
        <f t="shared" si="28"/>
        <v>2.8174163301020867</v>
      </c>
      <c r="N232" s="3">
        <f t="shared" si="32"/>
        <v>2.8047677573850116</v>
      </c>
      <c r="O232" s="3">
        <f t="shared" si="25"/>
        <v>2.7900754696910952</v>
      </c>
      <c r="P232" s="3">
        <f t="shared" si="27"/>
        <v>2.8538666072035506</v>
      </c>
      <c r="Q232" s="4" t="str">
        <f t="shared" si="31"/>
        <v>OVER</v>
      </c>
      <c r="R232" s="4" t="str">
        <f t="shared" si="31"/>
        <v>OVER</v>
      </c>
      <c r="S232" s="4" t="str">
        <f t="shared" si="29"/>
        <v>OVER</v>
      </c>
      <c r="T232" s="4" t="str">
        <f t="shared" si="29"/>
        <v>UNDER</v>
      </c>
      <c r="U232" s="2">
        <f>IF(Q232="OVER",$J232,$K232)</f>
        <v>44.700225851932601</v>
      </c>
      <c r="V232" s="2">
        <f>IF(R232="OVER",$J232,$K232)</f>
        <v>44.700225851932601</v>
      </c>
      <c r="W232" s="2">
        <f>IF(S232="OVER",$J232,$K232)</f>
        <v>44.700225851932601</v>
      </c>
      <c r="X232" s="2">
        <f>IF(T232="OVER",$J232,$K232)</f>
        <v>-44.700225851932601</v>
      </c>
      <c r="Y232" s="9">
        <f t="shared" si="30"/>
        <v>-5478.6954099813547</v>
      </c>
      <c r="Z232" s="9">
        <f t="shared" si="30"/>
        <v>6326.3928880599478</v>
      </c>
      <c r="AA232" s="9">
        <f t="shared" si="30"/>
        <v>10225.256531786024</v>
      </c>
      <c r="AB232" s="9">
        <f t="shared" si="30"/>
        <v>-2020.3278358908126</v>
      </c>
    </row>
    <row r="233" spans="1:28" x14ac:dyDescent="0.3">
      <c r="A233" s="1">
        <v>44750</v>
      </c>
      <c r="B233" s="2">
        <v>137.04</v>
      </c>
      <c r="C233" s="2">
        <v>388.67</v>
      </c>
      <c r="D233" s="9">
        <f>B233-B232</f>
        <v>-0.51000000000001933</v>
      </c>
      <c r="E233" s="9">
        <f>C233-C232</f>
        <v>-0.31999999999999318</v>
      </c>
      <c r="F233" s="3">
        <f>F$1/B233</f>
        <v>729.71395213076482</v>
      </c>
      <c r="G233" s="3">
        <f>F$1/C233</f>
        <v>257.28767334756992</v>
      </c>
      <c r="H233" s="2">
        <f>D233*F232</f>
        <v>-370.77426390404889</v>
      </c>
      <c r="I233" s="2">
        <f>E233*G232</f>
        <v>-82.264325561066642</v>
      </c>
      <c r="J233" s="2">
        <f>I233-H233</f>
        <v>288.50993834298225</v>
      </c>
      <c r="K233" s="2">
        <f t="shared" si="26"/>
        <v>-288.50993834298225</v>
      </c>
      <c r="L233" s="3">
        <f>C233/B233</f>
        <v>2.8361792177466434</v>
      </c>
      <c r="M233" s="3">
        <f t="shared" si="28"/>
        <v>2.8183091546586834</v>
      </c>
      <c r="N233" s="3">
        <f t="shared" si="32"/>
        <v>2.8076416550923993</v>
      </c>
      <c r="O233" s="3">
        <f t="shared" si="25"/>
        <v>2.7910178354656945</v>
      </c>
      <c r="P233" s="3">
        <f t="shared" si="27"/>
        <v>2.8535583961016933</v>
      </c>
      <c r="Q233" s="4" t="str">
        <f t="shared" si="31"/>
        <v>OVER</v>
      </c>
      <c r="R233" s="4" t="str">
        <f t="shared" si="31"/>
        <v>OVER</v>
      </c>
      <c r="S233" s="4" t="str">
        <f t="shared" si="29"/>
        <v>OVER</v>
      </c>
      <c r="T233" s="4" t="str">
        <f t="shared" si="29"/>
        <v>UNDER</v>
      </c>
      <c r="U233" s="2">
        <f>IF(Q233="OVER",$J233,$K233)</f>
        <v>288.50993834298225</v>
      </c>
      <c r="V233" s="2">
        <f>IF(R233="OVER",$J233,$K233)</f>
        <v>288.50993834298225</v>
      </c>
      <c r="W233" s="2">
        <f>IF(S233="OVER",$J233,$K233)</f>
        <v>288.50993834298225</v>
      </c>
      <c r="X233" s="2">
        <f>IF(T233="OVER",$J233,$K233)</f>
        <v>-288.50993834298225</v>
      </c>
      <c r="Y233" s="9">
        <f t="shared" si="30"/>
        <v>-5190.1854716383723</v>
      </c>
      <c r="Z233" s="9">
        <f t="shared" si="30"/>
        <v>6614.9028264029303</v>
      </c>
      <c r="AA233" s="9">
        <f t="shared" si="30"/>
        <v>10513.766470129007</v>
      </c>
      <c r="AB233" s="9">
        <f t="shared" si="30"/>
        <v>-2308.8377742337948</v>
      </c>
    </row>
    <row r="234" spans="1:28" x14ac:dyDescent="0.3">
      <c r="A234" s="1">
        <v>44753</v>
      </c>
      <c r="B234" s="2">
        <v>135.78</v>
      </c>
      <c r="C234" s="2">
        <v>384.23</v>
      </c>
      <c r="D234" s="9">
        <f>B234-B233</f>
        <v>-1.2599999999999909</v>
      </c>
      <c r="E234" s="9">
        <f>C234-C233</f>
        <v>-4.4399999999999977</v>
      </c>
      <c r="F234" s="3">
        <f>F$1/B234</f>
        <v>736.48549123582268</v>
      </c>
      <c r="G234" s="3">
        <f>F$1/C234</f>
        <v>260.26078130286544</v>
      </c>
      <c r="H234" s="2">
        <f>D234*F233</f>
        <v>-919.43957968475706</v>
      </c>
      <c r="I234" s="2">
        <f>E234*G233</f>
        <v>-1142.3572696632098</v>
      </c>
      <c r="J234" s="2">
        <f>I234-H234</f>
        <v>-222.9176899784527</v>
      </c>
      <c r="K234" s="2">
        <f t="shared" si="26"/>
        <v>222.9176899784527</v>
      </c>
      <c r="L234" s="3">
        <f>C234/B234</f>
        <v>2.8297982029754016</v>
      </c>
      <c r="M234" s="3">
        <f t="shared" si="28"/>
        <v>2.8187656172391233</v>
      </c>
      <c r="N234" s="3">
        <f t="shared" si="32"/>
        <v>2.8103690349957491</v>
      </c>
      <c r="O234" s="3">
        <f t="shared" si="25"/>
        <v>2.7917805219444172</v>
      </c>
      <c r="P234" s="3">
        <f t="shared" si="27"/>
        <v>2.8532393723135039</v>
      </c>
      <c r="Q234" s="4" t="str">
        <f t="shared" si="31"/>
        <v>OVER</v>
      </c>
      <c r="R234" s="4" t="str">
        <f t="shared" si="31"/>
        <v>OVER</v>
      </c>
      <c r="S234" s="4" t="str">
        <f t="shared" si="29"/>
        <v>OVER</v>
      </c>
      <c r="T234" s="4" t="str">
        <f t="shared" si="29"/>
        <v>UNDER</v>
      </c>
      <c r="U234" s="2">
        <f>IF(Q234="OVER",$J234,$K234)</f>
        <v>-222.9176899784527</v>
      </c>
      <c r="V234" s="2">
        <f>IF(R234="OVER",$J234,$K234)</f>
        <v>-222.9176899784527</v>
      </c>
      <c r="W234" s="2">
        <f>IF(S234="OVER",$J234,$K234)</f>
        <v>-222.9176899784527</v>
      </c>
      <c r="X234" s="2">
        <f>IF(T234="OVER",$J234,$K234)</f>
        <v>222.9176899784527</v>
      </c>
      <c r="Y234" s="9">
        <f t="shared" si="30"/>
        <v>-5413.1031616168248</v>
      </c>
      <c r="Z234" s="9">
        <f t="shared" si="30"/>
        <v>6391.9851364244778</v>
      </c>
      <c r="AA234" s="9">
        <f t="shared" si="30"/>
        <v>10290.848780150554</v>
      </c>
      <c r="AB234" s="9">
        <f t="shared" si="30"/>
        <v>-2085.9200842553419</v>
      </c>
    </row>
    <row r="235" spans="1:28" x14ac:dyDescent="0.3">
      <c r="A235" s="1">
        <v>44754</v>
      </c>
      <c r="B235" s="2">
        <v>135.13</v>
      </c>
      <c r="C235" s="2">
        <v>380.83</v>
      </c>
      <c r="D235" s="9">
        <f>B235-B234</f>
        <v>-0.65000000000000568</v>
      </c>
      <c r="E235" s="9">
        <f>C235-C234</f>
        <v>-3.4000000000000341</v>
      </c>
      <c r="F235" s="3">
        <f>F$1/B235</f>
        <v>740.02812106860063</v>
      </c>
      <c r="G235" s="3">
        <f>F$1/C235</f>
        <v>262.58435522411577</v>
      </c>
      <c r="H235" s="2">
        <f>D235*F234</f>
        <v>-478.71556930328893</v>
      </c>
      <c r="I235" s="2">
        <f>E235*G234</f>
        <v>-884.88665642975138</v>
      </c>
      <c r="J235" s="2">
        <f>I235-H235</f>
        <v>-406.17108712646245</v>
      </c>
      <c r="K235" s="2">
        <f t="shared" si="26"/>
        <v>406.17108712646245</v>
      </c>
      <c r="L235" s="3">
        <f>C235/B235</f>
        <v>2.8182490934655515</v>
      </c>
      <c r="M235" s="3">
        <f t="shared" si="28"/>
        <v>2.8190035700639391</v>
      </c>
      <c r="N235" s="3">
        <f t="shared" si="32"/>
        <v>2.8127696568213265</v>
      </c>
      <c r="O235" s="3">
        <f t="shared" si="25"/>
        <v>2.7918806257970257</v>
      </c>
      <c r="P235" s="3">
        <f t="shared" si="27"/>
        <v>2.852898547961892</v>
      </c>
      <c r="Q235" s="4" t="str">
        <f t="shared" si="31"/>
        <v>OVER</v>
      </c>
      <c r="R235" s="4" t="str">
        <f t="shared" si="31"/>
        <v>OVER</v>
      </c>
      <c r="S235" s="4" t="str">
        <f t="shared" si="29"/>
        <v>OVER</v>
      </c>
      <c r="T235" s="4" t="str">
        <f t="shared" si="29"/>
        <v>UNDER</v>
      </c>
      <c r="U235" s="2">
        <f>IF(Q235="OVER",$J235,$K235)</f>
        <v>-406.17108712646245</v>
      </c>
      <c r="V235" s="2">
        <f>IF(R235="OVER",$J235,$K235)</f>
        <v>-406.17108712646245</v>
      </c>
      <c r="W235" s="2">
        <f>IF(S235="OVER",$J235,$K235)</f>
        <v>-406.17108712646245</v>
      </c>
      <c r="X235" s="2">
        <f>IF(T235="OVER",$J235,$K235)</f>
        <v>406.17108712646245</v>
      </c>
      <c r="Y235" s="9">
        <f t="shared" si="30"/>
        <v>-5819.274248743287</v>
      </c>
      <c r="Z235" s="9">
        <f t="shared" si="30"/>
        <v>5985.8140492980156</v>
      </c>
      <c r="AA235" s="9">
        <f t="shared" si="30"/>
        <v>9884.6776930240922</v>
      </c>
      <c r="AB235" s="9">
        <f t="shared" si="30"/>
        <v>-1679.7489971288794</v>
      </c>
    </row>
    <row r="236" spans="1:28" x14ac:dyDescent="0.3">
      <c r="A236" s="1">
        <v>44755</v>
      </c>
      <c r="B236" s="2">
        <v>134.38</v>
      </c>
      <c r="C236" s="2">
        <v>378.83</v>
      </c>
      <c r="D236" s="9">
        <f>B236-B235</f>
        <v>-0.75</v>
      </c>
      <c r="E236" s="9">
        <f>C236-C235</f>
        <v>-2</v>
      </c>
      <c r="F236" s="3">
        <f>F$1/B236</f>
        <v>744.15835689834796</v>
      </c>
      <c r="G236" s="3">
        <f>F$1/C236</f>
        <v>263.9706464641132</v>
      </c>
      <c r="H236" s="2">
        <f>D236*F235</f>
        <v>-555.02109080145044</v>
      </c>
      <c r="I236" s="2">
        <f>E236*G235</f>
        <v>-525.16871044823154</v>
      </c>
      <c r="J236" s="2">
        <f>I236-H236</f>
        <v>29.852380353218905</v>
      </c>
      <c r="K236" s="2">
        <f t="shared" si="26"/>
        <v>-29.852380353218905</v>
      </c>
      <c r="L236" s="3">
        <f>C236/B236</f>
        <v>2.8190951034380114</v>
      </c>
      <c r="M236" s="3">
        <f t="shared" si="28"/>
        <v>2.8208174218352609</v>
      </c>
      <c r="N236" s="3">
        <f t="shared" si="32"/>
        <v>2.8148869443886353</v>
      </c>
      <c r="O236" s="3">
        <f t="shared" si="25"/>
        <v>2.7923791775775526</v>
      </c>
      <c r="P236" s="3">
        <f t="shared" si="27"/>
        <v>2.852562619057756</v>
      </c>
      <c r="Q236" s="4" t="str">
        <f t="shared" si="31"/>
        <v>UNDER</v>
      </c>
      <c r="R236" s="4" t="str">
        <f t="shared" si="31"/>
        <v>OVER</v>
      </c>
      <c r="S236" s="4" t="str">
        <f t="shared" si="29"/>
        <v>OVER</v>
      </c>
      <c r="T236" s="4" t="str">
        <f t="shared" si="29"/>
        <v>UNDER</v>
      </c>
      <c r="U236" s="2">
        <f>IF(Q236="OVER",$J236,$K236)</f>
        <v>-29.852380353218905</v>
      </c>
      <c r="V236" s="2">
        <f>IF(R236="OVER",$J236,$K236)</f>
        <v>29.852380353218905</v>
      </c>
      <c r="W236" s="2">
        <f>IF(S236="OVER",$J236,$K236)</f>
        <v>29.852380353218905</v>
      </c>
      <c r="X236" s="2">
        <f>IF(T236="OVER",$J236,$K236)</f>
        <v>-29.852380353218905</v>
      </c>
      <c r="Y236" s="9">
        <f t="shared" si="30"/>
        <v>-5849.1266290965059</v>
      </c>
      <c r="Z236" s="9">
        <f t="shared" si="30"/>
        <v>6015.6664296512345</v>
      </c>
      <c r="AA236" s="9">
        <f t="shared" si="30"/>
        <v>9914.5300733773111</v>
      </c>
      <c r="AB236" s="9">
        <f t="shared" si="30"/>
        <v>-1709.6013774820983</v>
      </c>
    </row>
    <row r="237" spans="1:28" x14ac:dyDescent="0.3">
      <c r="A237" s="1">
        <v>44756</v>
      </c>
      <c r="B237" s="2">
        <v>133.32</v>
      </c>
      <c r="C237" s="2">
        <v>377.91</v>
      </c>
      <c r="D237" s="9">
        <f>B237-B236</f>
        <v>-1.0600000000000023</v>
      </c>
      <c r="E237" s="9">
        <f>C237-C236</f>
        <v>-0.91999999999995907</v>
      </c>
      <c r="F237" s="3">
        <f>F$1/B237</f>
        <v>750.07500750075008</v>
      </c>
      <c r="G237" s="3">
        <f>F$1/C237</f>
        <v>264.6132677092429</v>
      </c>
      <c r="H237" s="2">
        <f>D237*F236</f>
        <v>-788.80785831225057</v>
      </c>
      <c r="I237" s="2">
        <f>E237*G236</f>
        <v>-242.85299474697334</v>
      </c>
      <c r="J237" s="2">
        <f>I237-H237</f>
        <v>545.95486356527726</v>
      </c>
      <c r="K237" s="2">
        <f t="shared" si="26"/>
        <v>-545.95486356527726</v>
      </c>
      <c r="L237" s="3">
        <f>C237/B237</f>
        <v>2.8346084608460851</v>
      </c>
      <c r="M237" s="3">
        <f t="shared" si="28"/>
        <v>2.8226909428291753</v>
      </c>
      <c r="N237" s="3">
        <f t="shared" si="32"/>
        <v>2.817477062257884</v>
      </c>
      <c r="O237" s="3">
        <f t="shared" si="25"/>
        <v>2.7930037106767873</v>
      </c>
      <c r="P237" s="3">
        <f t="shared" si="27"/>
        <v>2.8523931041719148</v>
      </c>
      <c r="Q237" s="4" t="str">
        <f t="shared" si="31"/>
        <v>UNDER</v>
      </c>
      <c r="R237" s="4" t="str">
        <f t="shared" si="31"/>
        <v>OVER</v>
      </c>
      <c r="S237" s="4" t="str">
        <f t="shared" si="29"/>
        <v>OVER</v>
      </c>
      <c r="T237" s="4" t="str">
        <f t="shared" si="29"/>
        <v>UNDER</v>
      </c>
      <c r="U237" s="2">
        <f>IF(Q237="OVER",$J237,$K237)</f>
        <v>-545.95486356527726</v>
      </c>
      <c r="V237" s="2">
        <f>IF(R237="OVER",$J237,$K237)</f>
        <v>545.95486356527726</v>
      </c>
      <c r="W237" s="2">
        <f>IF(S237="OVER",$J237,$K237)</f>
        <v>545.95486356527726</v>
      </c>
      <c r="X237" s="2">
        <f>IF(T237="OVER",$J237,$K237)</f>
        <v>-545.95486356527726</v>
      </c>
      <c r="Y237" s="9">
        <f t="shared" si="30"/>
        <v>-6395.0814926617832</v>
      </c>
      <c r="Z237" s="9">
        <f t="shared" si="30"/>
        <v>6561.6212932165117</v>
      </c>
      <c r="AA237" s="9">
        <f t="shared" si="30"/>
        <v>10460.484936942588</v>
      </c>
      <c r="AB237" s="9">
        <f t="shared" si="30"/>
        <v>-2255.5562410473758</v>
      </c>
    </row>
    <row r="238" spans="1:28" x14ac:dyDescent="0.3">
      <c r="A238" s="1">
        <v>44757</v>
      </c>
      <c r="B238" s="2">
        <v>135.85</v>
      </c>
      <c r="C238" s="2">
        <v>385.13</v>
      </c>
      <c r="D238" s="9">
        <f>B238-B237</f>
        <v>2.5300000000000011</v>
      </c>
      <c r="E238" s="9">
        <f>C238-C237</f>
        <v>7.2199999999999704</v>
      </c>
      <c r="F238" s="3">
        <f>F$1/B238</f>
        <v>736.10599926389398</v>
      </c>
      <c r="G238" s="3">
        <f>F$1/C238</f>
        <v>259.65258484148211</v>
      </c>
      <c r="H238" s="2">
        <f>D238*F237</f>
        <v>1897.6897689768984</v>
      </c>
      <c r="I238" s="2">
        <f>E238*G237</f>
        <v>1910.5077928607259</v>
      </c>
      <c r="J238" s="2">
        <f>I238-H238</f>
        <v>12.818023883827436</v>
      </c>
      <c r="K238" s="2">
        <f t="shared" si="26"/>
        <v>-12.818023883827436</v>
      </c>
      <c r="L238" s="3">
        <f>C238/B238</f>
        <v>2.8349650349650353</v>
      </c>
      <c r="M238" s="3">
        <f t="shared" si="28"/>
        <v>2.825139990466333</v>
      </c>
      <c r="N238" s="3">
        <f t="shared" si="32"/>
        <v>2.8194435387186103</v>
      </c>
      <c r="O238" s="3">
        <f t="shared" si="25"/>
        <v>2.7938393231759138</v>
      </c>
      <c r="P238" s="3">
        <f t="shared" si="27"/>
        <v>2.8523008240835823</v>
      </c>
      <c r="Q238" s="4" t="str">
        <f t="shared" si="31"/>
        <v>OVER</v>
      </c>
      <c r="R238" s="4" t="str">
        <f t="shared" si="31"/>
        <v>OVER</v>
      </c>
      <c r="S238" s="4" t="str">
        <f t="shared" si="29"/>
        <v>OVER</v>
      </c>
      <c r="T238" s="4" t="str">
        <f t="shared" si="29"/>
        <v>UNDER</v>
      </c>
      <c r="U238" s="2">
        <f>IF(Q238="OVER",$J238,$K238)</f>
        <v>12.818023883827436</v>
      </c>
      <c r="V238" s="2">
        <f>IF(R238="OVER",$J238,$K238)</f>
        <v>12.818023883827436</v>
      </c>
      <c r="W238" s="2">
        <f>IF(S238="OVER",$J238,$K238)</f>
        <v>12.818023883827436</v>
      </c>
      <c r="X238" s="2">
        <f>IF(T238="OVER",$J238,$K238)</f>
        <v>-12.818023883827436</v>
      </c>
      <c r="Y238" s="9">
        <f t="shared" si="30"/>
        <v>-6382.2634687779555</v>
      </c>
      <c r="Z238" s="9">
        <f t="shared" si="30"/>
        <v>6574.4393171003394</v>
      </c>
      <c r="AA238" s="9">
        <f t="shared" si="30"/>
        <v>10473.302960826415</v>
      </c>
      <c r="AB238" s="9">
        <f t="shared" si="30"/>
        <v>-2268.3742649312035</v>
      </c>
    </row>
    <row r="239" spans="1:28" x14ac:dyDescent="0.3">
      <c r="A239" s="1">
        <v>44760</v>
      </c>
      <c r="B239" s="2">
        <v>135.26</v>
      </c>
      <c r="C239" s="2">
        <v>381.95</v>
      </c>
      <c r="D239" s="9">
        <f>B239-B238</f>
        <v>-0.59000000000000341</v>
      </c>
      <c r="E239" s="9">
        <f>C239-C238</f>
        <v>-3.1800000000000068</v>
      </c>
      <c r="F239" s="3">
        <f>F$1/B239</f>
        <v>739.31687121100106</v>
      </c>
      <c r="G239" s="3">
        <f>F$1/C239</f>
        <v>261.81437360911116</v>
      </c>
      <c r="H239" s="2">
        <f>D239*F238</f>
        <v>-434.30253956569993</v>
      </c>
      <c r="I239" s="2">
        <f>E239*G238</f>
        <v>-825.69521979591491</v>
      </c>
      <c r="J239" s="2">
        <f>I239-H239</f>
        <v>-391.39268023021498</v>
      </c>
      <c r="K239" s="2">
        <f t="shared" si="26"/>
        <v>391.39268023021498</v>
      </c>
      <c r="L239" s="3">
        <f>C239/B239</f>
        <v>2.8238207895904184</v>
      </c>
      <c r="M239" s="3">
        <f t="shared" si="28"/>
        <v>2.8269303273189497</v>
      </c>
      <c r="N239" s="3">
        <f t="shared" si="32"/>
        <v>2.8205206986505926</v>
      </c>
      <c r="O239" s="3">
        <f t="shared" si="25"/>
        <v>2.794309995592184</v>
      </c>
      <c r="P239" s="3">
        <f t="shared" si="27"/>
        <v>2.8521597691659135</v>
      </c>
      <c r="Q239" s="4" t="str">
        <f t="shared" si="31"/>
        <v>OVER</v>
      </c>
      <c r="R239" s="4" t="str">
        <f t="shared" si="31"/>
        <v>OVER</v>
      </c>
      <c r="S239" s="4" t="str">
        <f t="shared" si="29"/>
        <v>OVER</v>
      </c>
      <c r="T239" s="4" t="str">
        <f t="shared" si="29"/>
        <v>UNDER</v>
      </c>
      <c r="U239" s="2">
        <f>IF(Q239="OVER",$J239,$K239)</f>
        <v>-391.39268023021498</v>
      </c>
      <c r="V239" s="2">
        <f>IF(R239="OVER",$J239,$K239)</f>
        <v>-391.39268023021498</v>
      </c>
      <c r="W239" s="2">
        <f>IF(S239="OVER",$J239,$K239)</f>
        <v>-391.39268023021498</v>
      </c>
      <c r="X239" s="2">
        <f>IF(T239="OVER",$J239,$K239)</f>
        <v>391.39268023021498</v>
      </c>
      <c r="Y239" s="9">
        <f t="shared" si="30"/>
        <v>-6773.6561490081704</v>
      </c>
      <c r="Z239" s="9">
        <f t="shared" si="30"/>
        <v>6183.0466368701245</v>
      </c>
      <c r="AA239" s="9">
        <f t="shared" si="30"/>
        <v>10081.910280596199</v>
      </c>
      <c r="AB239" s="9">
        <f t="shared" si="30"/>
        <v>-1876.9815847009886</v>
      </c>
    </row>
    <row r="240" spans="1:28" x14ac:dyDescent="0.3">
      <c r="A240" s="1">
        <v>44761</v>
      </c>
      <c r="B240" s="2">
        <v>139.13999999999999</v>
      </c>
      <c r="C240" s="2">
        <v>392.27</v>
      </c>
      <c r="D240" s="9">
        <f>B240-B239</f>
        <v>3.8799999999999955</v>
      </c>
      <c r="E240" s="9">
        <f>C240-C239</f>
        <v>10.319999999999993</v>
      </c>
      <c r="F240" s="3">
        <f>F$1/B240</f>
        <v>718.70058933448331</v>
      </c>
      <c r="G240" s="3">
        <f>F$1/C240</f>
        <v>254.92645371810235</v>
      </c>
      <c r="H240" s="2">
        <f>D240*F239</f>
        <v>2868.5494602986805</v>
      </c>
      <c r="I240" s="2">
        <f>E240*G239</f>
        <v>2701.9243356460252</v>
      </c>
      <c r="J240" s="2">
        <f>I240-H240</f>
        <v>-166.62512465265536</v>
      </c>
      <c r="K240" s="2">
        <f t="shared" si="26"/>
        <v>166.62512465265536</v>
      </c>
      <c r="L240" s="3">
        <f>C240/B240</f>
        <v>2.8192468017823775</v>
      </c>
      <c r="M240" s="3">
        <f t="shared" si="28"/>
        <v>2.8270696884267337</v>
      </c>
      <c r="N240" s="3">
        <f t="shared" si="32"/>
        <v>2.821990892941328</v>
      </c>
      <c r="O240" s="3">
        <f t="shared" si="25"/>
        <v>2.7950041974915014</v>
      </c>
      <c r="P240" s="3">
        <f t="shared" si="27"/>
        <v>2.85193415028469</v>
      </c>
      <c r="Q240" s="4" t="str">
        <f t="shared" si="31"/>
        <v>UNDER</v>
      </c>
      <c r="R240" s="4" t="str">
        <f t="shared" si="31"/>
        <v>OVER</v>
      </c>
      <c r="S240" s="4" t="str">
        <f t="shared" si="29"/>
        <v>OVER</v>
      </c>
      <c r="T240" s="4" t="str">
        <f t="shared" si="29"/>
        <v>UNDER</v>
      </c>
      <c r="U240" s="2">
        <f>IF(Q240="OVER",$J240,$K240)</f>
        <v>166.62512465265536</v>
      </c>
      <c r="V240" s="2">
        <f>IF(R240="OVER",$J240,$K240)</f>
        <v>-166.62512465265536</v>
      </c>
      <c r="W240" s="2">
        <f>IF(S240="OVER",$J240,$K240)</f>
        <v>-166.62512465265536</v>
      </c>
      <c r="X240" s="2">
        <f>IF(T240="OVER",$J240,$K240)</f>
        <v>166.62512465265536</v>
      </c>
      <c r="Y240" s="9">
        <f t="shared" si="30"/>
        <v>-6607.031024355515</v>
      </c>
      <c r="Z240" s="9">
        <f t="shared" si="30"/>
        <v>6016.4215122174692</v>
      </c>
      <c r="AA240" s="9">
        <f t="shared" si="30"/>
        <v>9915.2851559435439</v>
      </c>
      <c r="AB240" s="9">
        <f t="shared" si="30"/>
        <v>-1710.3564600483332</v>
      </c>
    </row>
    <row r="241" spans="1:28" x14ac:dyDescent="0.3">
      <c r="A241" s="1">
        <v>44762</v>
      </c>
      <c r="B241" s="2">
        <v>140.07</v>
      </c>
      <c r="C241" s="2">
        <v>394.77</v>
      </c>
      <c r="D241" s="9">
        <f>B241-B240</f>
        <v>0.93000000000000682</v>
      </c>
      <c r="E241" s="9">
        <f>C241-C240</f>
        <v>2.5</v>
      </c>
      <c r="F241" s="3">
        <f>F$1/B241</f>
        <v>713.92874991075894</v>
      </c>
      <c r="G241" s="3">
        <f>F$1/C241</f>
        <v>253.31205512070321</v>
      </c>
      <c r="H241" s="2">
        <f>D241*F240</f>
        <v>668.39154808107435</v>
      </c>
      <c r="I241" s="2">
        <f>E241*G240</f>
        <v>637.31613429525589</v>
      </c>
      <c r="J241" s="2">
        <f>I241-H241</f>
        <v>-31.075413785818455</v>
      </c>
      <c r="K241" s="2">
        <f t="shared" si="26"/>
        <v>31.075413785818455</v>
      </c>
      <c r="L241" s="3">
        <f>C241/B241</f>
        <v>2.8183765260227029</v>
      </c>
      <c r="M241" s="3">
        <f t="shared" si="28"/>
        <v>2.8262329052715178</v>
      </c>
      <c r="N241" s="3">
        <f t="shared" si="32"/>
        <v>2.821576536636389</v>
      </c>
      <c r="O241" s="3">
        <f t="shared" si="25"/>
        <v>2.7955021185043152</v>
      </c>
      <c r="P241" s="3">
        <f t="shared" si="27"/>
        <v>2.8517267705333489</v>
      </c>
      <c r="Q241" s="4" t="str">
        <f t="shared" si="31"/>
        <v>UNDER</v>
      </c>
      <c r="R241" s="4" t="str">
        <f t="shared" si="31"/>
        <v>UNDER</v>
      </c>
      <c r="S241" s="4" t="str">
        <f t="shared" si="29"/>
        <v>OVER</v>
      </c>
      <c r="T241" s="4" t="str">
        <f t="shared" si="29"/>
        <v>UNDER</v>
      </c>
      <c r="U241" s="2">
        <f>IF(Q241="OVER",$J241,$K241)</f>
        <v>31.075413785818455</v>
      </c>
      <c r="V241" s="2">
        <f>IF(R241="OVER",$J241,$K241)</f>
        <v>31.075413785818455</v>
      </c>
      <c r="W241" s="2">
        <f>IF(S241="OVER",$J241,$K241)</f>
        <v>-31.075413785818455</v>
      </c>
      <c r="X241" s="2">
        <f>IF(T241="OVER",$J241,$K241)</f>
        <v>31.075413785818455</v>
      </c>
      <c r="Y241" s="9">
        <f t="shared" si="30"/>
        <v>-6575.9556105696965</v>
      </c>
      <c r="Z241" s="9">
        <f t="shared" si="30"/>
        <v>6047.4969260032876</v>
      </c>
      <c r="AA241" s="9">
        <f t="shared" si="30"/>
        <v>9884.2097421577255</v>
      </c>
      <c r="AB241" s="9">
        <f t="shared" si="30"/>
        <v>-1679.2810462625148</v>
      </c>
    </row>
    <row r="242" spans="1:28" x14ac:dyDescent="0.3">
      <c r="A242" s="1">
        <v>44763</v>
      </c>
      <c r="B242" s="2">
        <v>141.16</v>
      </c>
      <c r="C242" s="2">
        <v>398.79</v>
      </c>
      <c r="D242" s="9">
        <f>B242-B241</f>
        <v>1.0900000000000034</v>
      </c>
      <c r="E242" s="9">
        <f>C242-C241</f>
        <v>4.0200000000000387</v>
      </c>
      <c r="F242" s="3">
        <f>F$1/B242</f>
        <v>708.41598186455087</v>
      </c>
      <c r="G242" s="3">
        <f>F$1/C242</f>
        <v>250.75854459740714</v>
      </c>
      <c r="H242" s="2">
        <f>D242*F241</f>
        <v>778.18233740272967</v>
      </c>
      <c r="I242" s="2">
        <f>E242*G241</f>
        <v>1018.3144615852367</v>
      </c>
      <c r="J242" s="2">
        <f>I242-H242</f>
        <v>240.13212418250703</v>
      </c>
      <c r="K242" s="2">
        <f t="shared" si="26"/>
        <v>-240.13212418250703</v>
      </c>
      <c r="L242" s="3">
        <f>C242/B242</f>
        <v>2.8250920940776427</v>
      </c>
      <c r="M242" s="3">
        <f t="shared" si="28"/>
        <v>2.8259431324909867</v>
      </c>
      <c r="N242" s="3">
        <f t="shared" si="32"/>
        <v>2.8216797312965367</v>
      </c>
      <c r="O242" s="3">
        <f t="shared" si="25"/>
        <v>2.7962690779670556</v>
      </c>
      <c r="P242" s="3">
        <f t="shared" si="27"/>
        <v>2.8516475650440349</v>
      </c>
      <c r="Q242" s="4" t="str">
        <f t="shared" si="31"/>
        <v>UNDER</v>
      </c>
      <c r="R242" s="4" t="str">
        <f t="shared" si="31"/>
        <v>UNDER</v>
      </c>
      <c r="S242" s="4" t="str">
        <f t="shared" si="29"/>
        <v>OVER</v>
      </c>
      <c r="T242" s="4" t="str">
        <f t="shared" si="29"/>
        <v>UNDER</v>
      </c>
      <c r="U242" s="2">
        <f>IF(Q242="OVER",$J242,$K242)</f>
        <v>-240.13212418250703</v>
      </c>
      <c r="V242" s="2">
        <f>IF(R242="OVER",$J242,$K242)</f>
        <v>-240.13212418250703</v>
      </c>
      <c r="W242" s="2">
        <f>IF(S242="OVER",$J242,$K242)</f>
        <v>240.13212418250703</v>
      </c>
      <c r="X242" s="2">
        <f>IF(T242="OVER",$J242,$K242)</f>
        <v>-240.13212418250703</v>
      </c>
      <c r="Y242" s="9">
        <f t="shared" si="30"/>
        <v>-6816.0877347522037</v>
      </c>
      <c r="Z242" s="9">
        <f t="shared" si="30"/>
        <v>5807.3648018207805</v>
      </c>
      <c r="AA242" s="9">
        <f t="shared" si="30"/>
        <v>10124.341866340232</v>
      </c>
      <c r="AB242" s="9">
        <f t="shared" si="30"/>
        <v>-1919.4131704450219</v>
      </c>
    </row>
    <row r="243" spans="1:28" x14ac:dyDescent="0.3">
      <c r="A243" s="1">
        <v>44764</v>
      </c>
      <c r="B243" s="2">
        <v>140.34</v>
      </c>
      <c r="C243" s="2">
        <v>395.09</v>
      </c>
      <c r="D243" s="9">
        <f>B243-B242</f>
        <v>-0.81999999999999318</v>
      </c>
      <c r="E243" s="9">
        <f>C243-C242</f>
        <v>-3.7000000000000455</v>
      </c>
      <c r="F243" s="3">
        <f>F$1/B243</f>
        <v>712.55522302978477</v>
      </c>
      <c r="G243" s="3">
        <f>F$1/C243</f>
        <v>253.10688703839634</v>
      </c>
      <c r="H243" s="2">
        <f>D243*F242</f>
        <v>-580.90110512892693</v>
      </c>
      <c r="I243" s="2">
        <f>E243*G242</f>
        <v>-927.80661501041777</v>
      </c>
      <c r="J243" s="2">
        <f>I243-H243</f>
        <v>-346.90550988149084</v>
      </c>
      <c r="K243" s="2">
        <f t="shared" si="26"/>
        <v>346.90550988149084</v>
      </c>
      <c r="L243" s="3">
        <f>C243/B243</f>
        <v>2.8152344306683768</v>
      </c>
      <c r="M243" s="3">
        <f t="shared" si="28"/>
        <v>2.8238486537831604</v>
      </c>
      <c r="N243" s="3">
        <f t="shared" si="32"/>
        <v>2.8210789042209217</v>
      </c>
      <c r="O243" s="3">
        <f t="shared" si="25"/>
        <v>2.796565065436643</v>
      </c>
      <c r="P243" s="3">
        <f t="shared" si="27"/>
        <v>2.8514732765498376</v>
      </c>
      <c r="Q243" s="4" t="str">
        <f t="shared" si="31"/>
        <v>UNDER</v>
      </c>
      <c r="R243" s="4" t="str">
        <f t="shared" si="31"/>
        <v>OVER</v>
      </c>
      <c r="S243" s="4" t="str">
        <f t="shared" si="29"/>
        <v>OVER</v>
      </c>
      <c r="T243" s="4" t="str">
        <f t="shared" si="29"/>
        <v>UNDER</v>
      </c>
      <c r="U243" s="2">
        <f>IF(Q243="OVER",$J243,$K243)</f>
        <v>346.90550988149084</v>
      </c>
      <c r="V243" s="2">
        <f>IF(R243="OVER",$J243,$K243)</f>
        <v>-346.90550988149084</v>
      </c>
      <c r="W243" s="2">
        <f>IF(S243="OVER",$J243,$K243)</f>
        <v>-346.90550988149084</v>
      </c>
      <c r="X243" s="2">
        <f>IF(T243="OVER",$J243,$K243)</f>
        <v>346.90550988149084</v>
      </c>
      <c r="Y243" s="9">
        <f t="shared" si="30"/>
        <v>-6469.1822248707131</v>
      </c>
      <c r="Z243" s="9">
        <f t="shared" si="30"/>
        <v>5460.4592919392899</v>
      </c>
      <c r="AA243" s="9">
        <f t="shared" si="30"/>
        <v>9777.4363564587402</v>
      </c>
      <c r="AB243" s="9">
        <f t="shared" si="30"/>
        <v>-1572.5076605635311</v>
      </c>
    </row>
    <row r="244" spans="1:28" x14ac:dyDescent="0.3">
      <c r="A244" s="1">
        <v>44767</v>
      </c>
      <c r="B244" s="2">
        <v>140.69</v>
      </c>
      <c r="C244" s="2">
        <v>395.57</v>
      </c>
      <c r="D244" s="9">
        <f>B244-B243</f>
        <v>0.34999999999999432</v>
      </c>
      <c r="E244" s="9">
        <f>C244-C243</f>
        <v>0.48000000000001819</v>
      </c>
      <c r="F244" s="3">
        <f>F$1/B244</f>
        <v>710.78257161134411</v>
      </c>
      <c r="G244" s="3">
        <f>F$1/C244</f>
        <v>252.799757312233</v>
      </c>
      <c r="H244" s="2">
        <f>D244*F243</f>
        <v>249.39432806042061</v>
      </c>
      <c r="I244" s="2">
        <f>E244*G243</f>
        <v>121.49130577843485</v>
      </c>
      <c r="J244" s="2">
        <f>I244-H244</f>
        <v>-127.90302228198576</v>
      </c>
      <c r="K244" s="2">
        <f t="shared" si="26"/>
        <v>127.90302228198576</v>
      </c>
      <c r="L244" s="3">
        <f>C244/B244</f>
        <v>2.8116426185229937</v>
      </c>
      <c r="M244" s="3">
        <f t="shared" si="28"/>
        <v>2.8220330953379196</v>
      </c>
      <c r="N244" s="3">
        <f t="shared" si="32"/>
        <v>2.8203993562885215</v>
      </c>
      <c r="O244" s="3">
        <f t="shared" si="25"/>
        <v>2.7969580088002073</v>
      </c>
      <c r="P244" s="3">
        <f t="shared" si="27"/>
        <v>2.8512415507583095</v>
      </c>
      <c r="Q244" s="4" t="str">
        <f t="shared" si="31"/>
        <v>UNDER</v>
      </c>
      <c r="R244" s="4" t="str">
        <f t="shared" si="31"/>
        <v>UNDER</v>
      </c>
      <c r="S244" s="4" t="str">
        <f t="shared" si="29"/>
        <v>OVER</v>
      </c>
      <c r="T244" s="4" t="str">
        <f t="shared" si="29"/>
        <v>UNDER</v>
      </c>
      <c r="U244" s="2">
        <f>IF(Q244="OVER",$J244,$K244)</f>
        <v>127.90302228198576</v>
      </c>
      <c r="V244" s="2">
        <f>IF(R244="OVER",$J244,$K244)</f>
        <v>127.90302228198576</v>
      </c>
      <c r="W244" s="2">
        <f>IF(S244="OVER",$J244,$K244)</f>
        <v>-127.90302228198576</v>
      </c>
      <c r="X244" s="2">
        <f>IF(T244="OVER",$J244,$K244)</f>
        <v>127.90302228198576</v>
      </c>
      <c r="Y244" s="9">
        <f t="shared" si="30"/>
        <v>-6341.2792025887275</v>
      </c>
      <c r="Z244" s="9">
        <f t="shared" si="30"/>
        <v>5588.3623142212755</v>
      </c>
      <c r="AA244" s="9">
        <f t="shared" si="30"/>
        <v>9649.5333341767546</v>
      </c>
      <c r="AB244" s="9">
        <f t="shared" si="30"/>
        <v>-1444.6046382815452</v>
      </c>
    </row>
    <row r="245" spans="1:28" x14ac:dyDescent="0.3">
      <c r="A245" s="1">
        <v>44768</v>
      </c>
      <c r="B245" s="2">
        <v>139.59</v>
      </c>
      <c r="C245" s="2">
        <v>390.89</v>
      </c>
      <c r="D245" s="9">
        <f>B245-B244</f>
        <v>-1.0999999999999943</v>
      </c>
      <c r="E245" s="9">
        <f>C245-C244</f>
        <v>-4.6800000000000068</v>
      </c>
      <c r="F245" s="3">
        <f>F$1/B245</f>
        <v>716.38369510709936</v>
      </c>
      <c r="G245" s="3">
        <f>F$1/C245</f>
        <v>255.82644733812583</v>
      </c>
      <c r="H245" s="2">
        <f>D245*F244</f>
        <v>-781.86082877247452</v>
      </c>
      <c r="I245" s="2">
        <f>E245*G244</f>
        <v>-1183.102864221252</v>
      </c>
      <c r="J245" s="2">
        <f>I245-H245</f>
        <v>-401.24203544877753</v>
      </c>
      <c r="K245" s="2">
        <f t="shared" si="26"/>
        <v>401.24203544877753</v>
      </c>
      <c r="L245" s="3">
        <f>C245/B245</f>
        <v>2.8002722258041404</v>
      </c>
      <c r="M245" s="3">
        <f t="shared" si="28"/>
        <v>2.8202354085717785</v>
      </c>
      <c r="N245" s="3">
        <f t="shared" si="32"/>
        <v>2.8196194893178594</v>
      </c>
      <c r="O245" s="3">
        <f t="shared" ref="O245:O308" si="33">AVERAGE(L196:L245)</f>
        <v>2.797418751681124</v>
      </c>
      <c r="P245" s="3">
        <f t="shared" si="27"/>
        <v>2.8509505881547619</v>
      </c>
      <c r="Q245" s="4" t="str">
        <f t="shared" si="31"/>
        <v>UNDER</v>
      </c>
      <c r="R245" s="4" t="str">
        <f t="shared" si="31"/>
        <v>UNDER</v>
      </c>
      <c r="S245" s="4" t="str">
        <f t="shared" si="29"/>
        <v>OVER</v>
      </c>
      <c r="T245" s="4" t="str">
        <f t="shared" si="29"/>
        <v>UNDER</v>
      </c>
      <c r="U245" s="2">
        <f>IF(Q245="OVER",$J245,$K245)</f>
        <v>401.24203544877753</v>
      </c>
      <c r="V245" s="2">
        <f>IF(R245="OVER",$J245,$K245)</f>
        <v>401.24203544877753</v>
      </c>
      <c r="W245" s="2">
        <f>IF(S245="OVER",$J245,$K245)</f>
        <v>-401.24203544877753</v>
      </c>
      <c r="X245" s="2">
        <f>IF(T245="OVER",$J245,$K245)</f>
        <v>401.24203544877753</v>
      </c>
      <c r="Y245" s="9">
        <f t="shared" si="30"/>
        <v>-5940.0371671399498</v>
      </c>
      <c r="Z245" s="9">
        <f t="shared" si="30"/>
        <v>5989.6043496700531</v>
      </c>
      <c r="AA245" s="9">
        <f t="shared" si="30"/>
        <v>9248.2912987279778</v>
      </c>
      <c r="AB245" s="9">
        <f t="shared" si="30"/>
        <v>-1043.3626028327676</v>
      </c>
    </row>
    <row r="246" spans="1:28" x14ac:dyDescent="0.3">
      <c r="A246" s="1">
        <v>44769</v>
      </c>
      <c r="B246" s="2">
        <v>142.30000000000001</v>
      </c>
      <c r="C246" s="2">
        <v>401.04</v>
      </c>
      <c r="D246" s="9">
        <f>B246-B245</f>
        <v>2.710000000000008</v>
      </c>
      <c r="E246" s="9">
        <f>C246-C245</f>
        <v>10.150000000000034</v>
      </c>
      <c r="F246" s="3">
        <f>F$1/B246</f>
        <v>702.74068868587483</v>
      </c>
      <c r="G246" s="3">
        <f>F$1/C246</f>
        <v>249.35168561739476</v>
      </c>
      <c r="H246" s="2">
        <f>D246*F245</f>
        <v>1941.399813740245</v>
      </c>
      <c r="I246" s="2">
        <f>E246*G245</f>
        <v>2596.638440481986</v>
      </c>
      <c r="J246" s="2">
        <f>I246-H246</f>
        <v>655.23862674174097</v>
      </c>
      <c r="K246" s="2">
        <f t="shared" si="26"/>
        <v>-655.23862674174097</v>
      </c>
      <c r="L246" s="3">
        <f>C246/B246</f>
        <v>2.8182712579058329</v>
      </c>
      <c r="M246" s="3">
        <f t="shared" si="28"/>
        <v>2.8201530240185604</v>
      </c>
      <c r="N246" s="3">
        <f t="shared" si="32"/>
        <v>2.8204852229269108</v>
      </c>
      <c r="O246" s="3">
        <f t="shared" si="33"/>
        <v>2.798182792756196</v>
      </c>
      <c r="P246" s="3">
        <f t="shared" si="27"/>
        <v>2.8507421403946505</v>
      </c>
      <c r="Q246" s="4" t="str">
        <f t="shared" si="31"/>
        <v>UNDER</v>
      </c>
      <c r="R246" s="4" t="str">
        <f t="shared" si="31"/>
        <v>UNDER</v>
      </c>
      <c r="S246" s="4" t="str">
        <f t="shared" si="29"/>
        <v>OVER</v>
      </c>
      <c r="T246" s="4" t="str">
        <f t="shared" si="29"/>
        <v>UNDER</v>
      </c>
      <c r="U246" s="2">
        <f>IF(Q246="OVER",$J246,$K246)</f>
        <v>-655.23862674174097</v>
      </c>
      <c r="V246" s="2">
        <f>IF(R246="OVER",$J246,$K246)</f>
        <v>-655.23862674174097</v>
      </c>
      <c r="W246" s="2">
        <f>IF(S246="OVER",$J246,$K246)</f>
        <v>655.23862674174097</v>
      </c>
      <c r="X246" s="2">
        <f>IF(T246="OVER",$J246,$K246)</f>
        <v>-655.23862674174097</v>
      </c>
      <c r="Y246" s="9">
        <f t="shared" si="30"/>
        <v>-6595.2757938816903</v>
      </c>
      <c r="Z246" s="9">
        <f t="shared" si="30"/>
        <v>5334.3657229283126</v>
      </c>
      <c r="AA246" s="9">
        <f t="shared" si="30"/>
        <v>9903.5299254697184</v>
      </c>
      <c r="AB246" s="9">
        <f t="shared" si="30"/>
        <v>-1698.6012295745086</v>
      </c>
    </row>
    <row r="247" spans="1:28" x14ac:dyDescent="0.3">
      <c r="A247" s="1">
        <v>44770</v>
      </c>
      <c r="B247" s="2">
        <v>144.55000000000001</v>
      </c>
      <c r="C247" s="2">
        <v>406.07</v>
      </c>
      <c r="D247" s="9">
        <f>B247-B246</f>
        <v>2.25</v>
      </c>
      <c r="E247" s="9">
        <f>C247-C246</f>
        <v>5.0299999999999727</v>
      </c>
      <c r="F247" s="3">
        <f>F$1/B247</f>
        <v>691.80214458664818</v>
      </c>
      <c r="G247" s="3">
        <f>F$1/C247</f>
        <v>246.26295958824832</v>
      </c>
      <c r="H247" s="2">
        <f>D247*F246</f>
        <v>1581.1665495432185</v>
      </c>
      <c r="I247" s="2">
        <f>E247*G246</f>
        <v>1254.2389786554888</v>
      </c>
      <c r="J247" s="2">
        <f>I247-H247</f>
        <v>-326.92757088772964</v>
      </c>
      <c r="K247" s="2">
        <f t="shared" si="26"/>
        <v>326.92757088772964</v>
      </c>
      <c r="L247" s="3">
        <f>C247/B247</f>
        <v>2.8092009685230019</v>
      </c>
      <c r="M247" s="3">
        <f t="shared" si="28"/>
        <v>2.817612274786252</v>
      </c>
      <c r="N247" s="3">
        <f t="shared" si="32"/>
        <v>2.8201516088077137</v>
      </c>
      <c r="O247" s="3">
        <f t="shared" si="33"/>
        <v>2.7987948974103567</v>
      </c>
      <c r="P247" s="3">
        <f t="shared" si="27"/>
        <v>2.8505135491516227</v>
      </c>
      <c r="Q247" s="4" t="str">
        <f t="shared" si="31"/>
        <v>UNDER</v>
      </c>
      <c r="R247" s="4" t="str">
        <f t="shared" si="31"/>
        <v>UNDER</v>
      </c>
      <c r="S247" s="4" t="str">
        <f t="shared" si="29"/>
        <v>OVER</v>
      </c>
      <c r="T247" s="4" t="str">
        <f t="shared" si="29"/>
        <v>UNDER</v>
      </c>
      <c r="U247" s="2">
        <f>IF(Q247="OVER",$J247,$K247)</f>
        <v>326.92757088772964</v>
      </c>
      <c r="V247" s="2">
        <f>IF(R247="OVER",$J247,$K247)</f>
        <v>326.92757088772964</v>
      </c>
      <c r="W247" s="2">
        <f>IF(S247="OVER",$J247,$K247)</f>
        <v>-326.92757088772964</v>
      </c>
      <c r="X247" s="2">
        <f>IF(T247="OVER",$J247,$K247)</f>
        <v>326.92757088772964</v>
      </c>
      <c r="Y247" s="9">
        <f t="shared" si="30"/>
        <v>-6268.3482229939609</v>
      </c>
      <c r="Z247" s="9">
        <f t="shared" si="30"/>
        <v>5661.293293816042</v>
      </c>
      <c r="AA247" s="9">
        <f t="shared" si="30"/>
        <v>9576.602354581988</v>
      </c>
      <c r="AB247" s="9">
        <f t="shared" si="30"/>
        <v>-1371.6736586867789</v>
      </c>
    </row>
    <row r="248" spans="1:28" x14ac:dyDescent="0.3">
      <c r="A248" s="1">
        <v>44771</v>
      </c>
      <c r="B248" s="2">
        <v>145.84</v>
      </c>
      <c r="C248" s="2">
        <v>411.99</v>
      </c>
      <c r="D248" s="9">
        <f>B248-B247</f>
        <v>1.289999999999992</v>
      </c>
      <c r="E248" s="9">
        <f>C248-C247</f>
        <v>5.9200000000000159</v>
      </c>
      <c r="F248" s="3">
        <f>F$1/B248</f>
        <v>685.68294020844758</v>
      </c>
      <c r="G248" s="3">
        <f>F$1/C248</f>
        <v>242.72433796936818</v>
      </c>
      <c r="H248" s="2">
        <f>D248*F247</f>
        <v>892.42476651677066</v>
      </c>
      <c r="I248" s="2">
        <f>E248*G247</f>
        <v>1457.8767207624339</v>
      </c>
      <c r="J248" s="2">
        <f>I248-H248</f>
        <v>565.45195424566327</v>
      </c>
      <c r="K248" s="2">
        <f t="shared" si="26"/>
        <v>-565.45195424566327</v>
      </c>
      <c r="L248" s="3">
        <f>C248/B248</f>
        <v>2.8249451453647834</v>
      </c>
      <c r="M248" s="3">
        <f t="shared" si="28"/>
        <v>2.8166102858262265</v>
      </c>
      <c r="N248" s="3">
        <f t="shared" si="32"/>
        <v>2.8208751381462802</v>
      </c>
      <c r="O248" s="3">
        <f t="shared" si="33"/>
        <v>2.7997551713731474</v>
      </c>
      <c r="P248" s="3">
        <f t="shared" si="27"/>
        <v>2.8504025559027411</v>
      </c>
      <c r="Q248" s="4" t="str">
        <f t="shared" si="31"/>
        <v>UNDER</v>
      </c>
      <c r="R248" s="4" t="str">
        <f t="shared" si="31"/>
        <v>UNDER</v>
      </c>
      <c r="S248" s="4" t="str">
        <f t="shared" si="29"/>
        <v>OVER</v>
      </c>
      <c r="T248" s="4" t="str">
        <f t="shared" si="29"/>
        <v>UNDER</v>
      </c>
      <c r="U248" s="2">
        <f>IF(Q248="OVER",$J248,$K248)</f>
        <v>-565.45195424566327</v>
      </c>
      <c r="V248" s="2">
        <f>IF(R248="OVER",$J248,$K248)</f>
        <v>-565.45195424566327</v>
      </c>
      <c r="W248" s="2">
        <f>IF(S248="OVER",$J248,$K248)</f>
        <v>565.45195424566327</v>
      </c>
      <c r="X248" s="2">
        <f>IF(T248="OVER",$J248,$K248)</f>
        <v>-565.45195424566327</v>
      </c>
      <c r="Y248" s="9">
        <f t="shared" si="30"/>
        <v>-6833.8001772396237</v>
      </c>
      <c r="Z248" s="9">
        <f t="shared" si="30"/>
        <v>5095.8413395703792</v>
      </c>
      <c r="AA248" s="9">
        <f t="shared" si="30"/>
        <v>10142.054308827652</v>
      </c>
      <c r="AB248" s="9">
        <f t="shared" si="30"/>
        <v>-1937.1256129324422</v>
      </c>
    </row>
    <row r="249" spans="1:28" x14ac:dyDescent="0.3">
      <c r="A249" s="1">
        <v>44774</v>
      </c>
      <c r="B249" s="2">
        <v>145.56</v>
      </c>
      <c r="C249" s="2">
        <v>410.77</v>
      </c>
      <c r="D249" s="9">
        <f>B249-B248</f>
        <v>-0.28000000000000114</v>
      </c>
      <c r="E249" s="9">
        <f>C249-C248</f>
        <v>-1.2200000000000273</v>
      </c>
      <c r="F249" s="3">
        <f>F$1/B249</f>
        <v>687.00192360538608</v>
      </c>
      <c r="G249" s="3">
        <f>F$1/C249</f>
        <v>243.44523699393824</v>
      </c>
      <c r="H249" s="2">
        <f>D249*F248</f>
        <v>-191.99122325836609</v>
      </c>
      <c r="I249" s="2">
        <f>E249*G248</f>
        <v>-296.1236923226358</v>
      </c>
      <c r="J249" s="2">
        <f>I249-H249</f>
        <v>-104.13246906426971</v>
      </c>
      <c r="K249" s="2">
        <f t="shared" si="26"/>
        <v>104.13246906426971</v>
      </c>
      <c r="L249" s="3">
        <f>C249/B249</f>
        <v>2.8219978015938443</v>
      </c>
      <c r="M249" s="3">
        <f t="shared" si="28"/>
        <v>2.8164279870265698</v>
      </c>
      <c r="N249" s="3">
        <f t="shared" si="32"/>
        <v>2.8216791571727597</v>
      </c>
      <c r="O249" s="3">
        <f t="shared" si="33"/>
        <v>2.8008124689356584</v>
      </c>
      <c r="P249" s="3">
        <f t="shared" si="27"/>
        <v>2.8502490247533849</v>
      </c>
      <c r="Q249" s="4" t="str">
        <f t="shared" si="31"/>
        <v>OVER</v>
      </c>
      <c r="R249" s="4" t="str">
        <f t="shared" si="31"/>
        <v>OVER</v>
      </c>
      <c r="S249" s="4" t="str">
        <f t="shared" si="29"/>
        <v>OVER</v>
      </c>
      <c r="T249" s="4" t="str">
        <f t="shared" si="29"/>
        <v>UNDER</v>
      </c>
      <c r="U249" s="2">
        <f>IF(Q249="OVER",$J249,$K249)</f>
        <v>-104.13246906426971</v>
      </c>
      <c r="V249" s="2">
        <f>IF(R249="OVER",$J249,$K249)</f>
        <v>-104.13246906426971</v>
      </c>
      <c r="W249" s="2">
        <f>IF(S249="OVER",$J249,$K249)</f>
        <v>-104.13246906426971</v>
      </c>
      <c r="X249" s="2">
        <f>IF(T249="OVER",$J249,$K249)</f>
        <v>104.13246906426971</v>
      </c>
      <c r="Y249" s="9">
        <f t="shared" si="30"/>
        <v>-6937.9326463038933</v>
      </c>
      <c r="Z249" s="9">
        <f t="shared" si="30"/>
        <v>4991.7088705061096</v>
      </c>
      <c r="AA249" s="9">
        <f t="shared" si="30"/>
        <v>10037.921839763381</v>
      </c>
      <c r="AB249" s="9">
        <f t="shared" si="30"/>
        <v>-1832.9931438681724</v>
      </c>
    </row>
    <row r="250" spans="1:28" x14ac:dyDescent="0.3">
      <c r="A250" s="1">
        <v>44775</v>
      </c>
      <c r="B250" s="2">
        <v>144.53</v>
      </c>
      <c r="C250" s="2">
        <v>408.06</v>
      </c>
      <c r="D250" s="9">
        <f>B250-B249</f>
        <v>-1.0300000000000011</v>
      </c>
      <c r="E250" s="9">
        <f>C250-C249</f>
        <v>-2.7099999999999795</v>
      </c>
      <c r="F250" s="3">
        <f>F$1/B250</f>
        <v>691.89787587352112</v>
      </c>
      <c r="G250" s="3">
        <f>F$1/C250</f>
        <v>245.0620006861736</v>
      </c>
      <c r="H250" s="2">
        <f>D250*F249</f>
        <v>-707.61198131354843</v>
      </c>
      <c r="I250" s="2">
        <f>E250*G249</f>
        <v>-659.73659225356766</v>
      </c>
      <c r="J250" s="2">
        <f>I250-H250</f>
        <v>47.875389059980762</v>
      </c>
      <c r="K250" s="2">
        <f t="shared" si="26"/>
        <v>-47.875389059980762</v>
      </c>
      <c r="L250" s="3">
        <f>C250/B250</f>
        <v>2.82335847228949</v>
      </c>
      <c r="M250" s="3">
        <f t="shared" si="28"/>
        <v>2.816839154077281</v>
      </c>
      <c r="N250" s="3">
        <f t="shared" si="32"/>
        <v>2.8219544212520078</v>
      </c>
      <c r="O250" s="3">
        <f t="shared" si="33"/>
        <v>2.8021114253351986</v>
      </c>
      <c r="P250" s="3">
        <f t="shared" si="27"/>
        <v>2.8501072619817518</v>
      </c>
      <c r="Q250" s="4" t="str">
        <f t="shared" si="31"/>
        <v>OVER</v>
      </c>
      <c r="R250" s="4" t="str">
        <f t="shared" si="31"/>
        <v>OVER</v>
      </c>
      <c r="S250" s="4" t="str">
        <f t="shared" si="29"/>
        <v>OVER</v>
      </c>
      <c r="T250" s="4" t="str">
        <f t="shared" si="29"/>
        <v>UNDER</v>
      </c>
      <c r="U250" s="2">
        <f>IF(Q250="OVER",$J250,$K250)</f>
        <v>47.875389059980762</v>
      </c>
      <c r="V250" s="2">
        <f>IF(R250="OVER",$J250,$K250)</f>
        <v>47.875389059980762</v>
      </c>
      <c r="W250" s="2">
        <f>IF(S250="OVER",$J250,$K250)</f>
        <v>47.875389059980762</v>
      </c>
      <c r="X250" s="2">
        <f>IF(T250="OVER",$J250,$K250)</f>
        <v>-47.875389059980762</v>
      </c>
      <c r="Y250" s="9">
        <f t="shared" si="30"/>
        <v>-6890.0572572439123</v>
      </c>
      <c r="Z250" s="9">
        <f t="shared" si="30"/>
        <v>5039.5842595660906</v>
      </c>
      <c r="AA250" s="9">
        <f t="shared" si="30"/>
        <v>10085.797228823361</v>
      </c>
      <c r="AB250" s="9">
        <f t="shared" si="30"/>
        <v>-1880.8685329281532</v>
      </c>
    </row>
    <row r="251" spans="1:28" x14ac:dyDescent="0.3">
      <c r="A251" s="1">
        <v>44776</v>
      </c>
      <c r="B251" s="2">
        <v>146.03</v>
      </c>
      <c r="C251" s="2">
        <v>414.45</v>
      </c>
      <c r="D251" s="9">
        <f>B251-B250</f>
        <v>1.5</v>
      </c>
      <c r="E251" s="9">
        <f>C251-C250</f>
        <v>6.3899999999999864</v>
      </c>
      <c r="F251" s="3">
        <f>F$1/B251</f>
        <v>684.79079641169619</v>
      </c>
      <c r="G251" s="3">
        <f>F$1/C251</f>
        <v>241.28362890577876</v>
      </c>
      <c r="H251" s="2">
        <f>D251*F250</f>
        <v>1037.8468138102817</v>
      </c>
      <c r="I251" s="2">
        <f>E251*G250</f>
        <v>1565.9461843846459</v>
      </c>
      <c r="J251" s="2">
        <f>I251-H251</f>
        <v>528.09937057436423</v>
      </c>
      <c r="K251" s="2">
        <f t="shared" si="26"/>
        <v>-528.09937057436423</v>
      </c>
      <c r="L251" s="3">
        <f>C251/B251</f>
        <v>2.8381154557282748</v>
      </c>
      <c r="M251" s="3">
        <f t="shared" si="28"/>
        <v>2.8188130470478381</v>
      </c>
      <c r="N251" s="3">
        <f t="shared" si="32"/>
        <v>2.8225229761596786</v>
      </c>
      <c r="O251" s="3">
        <f t="shared" si="33"/>
        <v>2.8036814403779466</v>
      </c>
      <c r="P251" s="3">
        <f t="shared" si="27"/>
        <v>2.84997959905487</v>
      </c>
      <c r="Q251" s="4" t="str">
        <f t="shared" si="31"/>
        <v>OVER</v>
      </c>
      <c r="R251" s="4" t="str">
        <f t="shared" si="31"/>
        <v>OVER</v>
      </c>
      <c r="S251" s="4" t="str">
        <f t="shared" si="29"/>
        <v>OVER</v>
      </c>
      <c r="T251" s="4" t="str">
        <f t="shared" si="29"/>
        <v>UNDER</v>
      </c>
      <c r="U251" s="2">
        <f>IF(Q251="OVER",$J251,$K251)</f>
        <v>528.09937057436423</v>
      </c>
      <c r="V251" s="2">
        <f>IF(R251="OVER",$J251,$K251)</f>
        <v>528.09937057436423</v>
      </c>
      <c r="W251" s="2">
        <f>IF(S251="OVER",$J251,$K251)</f>
        <v>528.09937057436423</v>
      </c>
      <c r="X251" s="2">
        <f>IF(T251="OVER",$J251,$K251)</f>
        <v>-528.09937057436423</v>
      </c>
      <c r="Y251" s="9">
        <f t="shared" si="30"/>
        <v>-6361.9578866695483</v>
      </c>
      <c r="Z251" s="9">
        <f t="shared" si="30"/>
        <v>5567.6836301404546</v>
      </c>
      <c r="AA251" s="9">
        <f t="shared" si="30"/>
        <v>10613.896599397725</v>
      </c>
      <c r="AB251" s="9">
        <f t="shared" si="30"/>
        <v>-2408.9679035025174</v>
      </c>
    </row>
    <row r="252" spans="1:28" x14ac:dyDescent="0.3">
      <c r="A252" s="1">
        <v>44777</v>
      </c>
      <c r="B252" s="2">
        <v>145.72</v>
      </c>
      <c r="C252" s="2">
        <v>414.17</v>
      </c>
      <c r="D252" s="9">
        <f>B252-B251</f>
        <v>-0.31000000000000227</v>
      </c>
      <c r="E252" s="9">
        <f>C252-C251</f>
        <v>-0.27999999999997272</v>
      </c>
      <c r="F252" s="3">
        <f>F$1/B252</f>
        <v>686.24759813340654</v>
      </c>
      <c r="G252" s="3">
        <f>F$1/C252</f>
        <v>241.44674891952579</v>
      </c>
      <c r="H252" s="2">
        <f>D252*F251</f>
        <v>-212.28514688762738</v>
      </c>
      <c r="I252" s="2">
        <f>E252*G251</f>
        <v>-67.559416093611475</v>
      </c>
      <c r="J252" s="2">
        <f>I252-H252</f>
        <v>144.7257307940159</v>
      </c>
      <c r="K252" s="2">
        <f t="shared" si="26"/>
        <v>-144.7257307940159</v>
      </c>
      <c r="L252" s="3">
        <f>C252/B252</f>
        <v>2.8422316771891301</v>
      </c>
      <c r="M252" s="3">
        <f t="shared" si="28"/>
        <v>2.8205270053589873</v>
      </c>
      <c r="N252" s="3">
        <f t="shared" si="32"/>
        <v>2.8232350689249879</v>
      </c>
      <c r="O252" s="3">
        <f t="shared" si="33"/>
        <v>2.8050825762265195</v>
      </c>
      <c r="P252" s="3">
        <f t="shared" si="27"/>
        <v>2.8498356598547856</v>
      </c>
      <c r="Q252" s="4" t="str">
        <f t="shared" si="31"/>
        <v>OVER</v>
      </c>
      <c r="R252" s="4" t="str">
        <f t="shared" si="31"/>
        <v>OVER</v>
      </c>
      <c r="S252" s="4" t="str">
        <f t="shared" si="29"/>
        <v>OVER</v>
      </c>
      <c r="T252" s="4" t="str">
        <f t="shared" si="29"/>
        <v>UNDER</v>
      </c>
      <c r="U252" s="2">
        <f>IF(Q252="OVER",$J252,$K252)</f>
        <v>144.7257307940159</v>
      </c>
      <c r="V252" s="2">
        <f>IF(R252="OVER",$J252,$K252)</f>
        <v>144.7257307940159</v>
      </c>
      <c r="W252" s="2">
        <f>IF(S252="OVER",$J252,$K252)</f>
        <v>144.7257307940159</v>
      </c>
      <c r="X252" s="2">
        <f>IF(T252="OVER",$J252,$K252)</f>
        <v>-144.7257307940159</v>
      </c>
      <c r="Y252" s="9">
        <f t="shared" si="30"/>
        <v>-6217.232155875532</v>
      </c>
      <c r="Z252" s="9">
        <f t="shared" si="30"/>
        <v>5712.4093609344709</v>
      </c>
      <c r="AA252" s="9">
        <f t="shared" si="30"/>
        <v>10758.622330191742</v>
      </c>
      <c r="AB252" s="9">
        <f t="shared" si="30"/>
        <v>-2553.6936342965332</v>
      </c>
    </row>
    <row r="253" spans="1:28" x14ac:dyDescent="0.3">
      <c r="A253" s="1">
        <v>44778</v>
      </c>
      <c r="B253" s="2">
        <v>145.88</v>
      </c>
      <c r="C253" s="2">
        <v>413.47</v>
      </c>
      <c r="D253" s="9">
        <f>B253-B252</f>
        <v>0.15999999999999659</v>
      </c>
      <c r="E253" s="9">
        <f>C253-C252</f>
        <v>-0.69999999999998863</v>
      </c>
      <c r="F253" s="3">
        <f>F$1/B253</f>
        <v>685.49492733753777</v>
      </c>
      <c r="G253" s="3">
        <f>F$1/C253</f>
        <v>241.8555155150313</v>
      </c>
      <c r="H253" s="2">
        <f>D253*F252</f>
        <v>109.7996157013427</v>
      </c>
      <c r="I253" s="2">
        <f>E253*G252</f>
        <v>-169.0127242436653</v>
      </c>
      <c r="J253" s="2">
        <f>I253-H253</f>
        <v>-278.81233994500803</v>
      </c>
      <c r="K253" s="2">
        <f t="shared" si="26"/>
        <v>278.81233994500803</v>
      </c>
      <c r="L253" s="3">
        <f>C253/B253</f>
        <v>2.8343158760625173</v>
      </c>
      <c r="M253" s="3">
        <f t="shared" si="28"/>
        <v>2.8224351498984008</v>
      </c>
      <c r="N253" s="3">
        <f t="shared" si="32"/>
        <v>2.8231419018407813</v>
      </c>
      <c r="O253" s="3">
        <f t="shared" si="33"/>
        <v>2.80640449709305</v>
      </c>
      <c r="P253" s="3">
        <f t="shared" si="27"/>
        <v>2.8496254175717293</v>
      </c>
      <c r="Q253" s="4" t="str">
        <f t="shared" si="31"/>
        <v>OVER</v>
      </c>
      <c r="R253" s="4" t="str">
        <f t="shared" si="31"/>
        <v>OVER</v>
      </c>
      <c r="S253" s="4" t="str">
        <f t="shared" si="29"/>
        <v>OVER</v>
      </c>
      <c r="T253" s="4" t="str">
        <f t="shared" si="29"/>
        <v>UNDER</v>
      </c>
      <c r="U253" s="2">
        <f>IF(Q253="OVER",$J253,$K253)</f>
        <v>-278.81233994500803</v>
      </c>
      <c r="V253" s="2">
        <f>IF(R253="OVER",$J253,$K253)</f>
        <v>-278.81233994500803</v>
      </c>
      <c r="W253" s="2">
        <f>IF(S253="OVER",$J253,$K253)</f>
        <v>-278.81233994500803</v>
      </c>
      <c r="X253" s="2">
        <f>IF(T253="OVER",$J253,$K253)</f>
        <v>278.81233994500803</v>
      </c>
      <c r="Y253" s="9">
        <f t="shared" si="30"/>
        <v>-6496.0444958205399</v>
      </c>
      <c r="Z253" s="9">
        <f t="shared" si="30"/>
        <v>5433.5970209894631</v>
      </c>
      <c r="AA253" s="9">
        <f t="shared" si="30"/>
        <v>10479.809990246733</v>
      </c>
      <c r="AB253" s="9">
        <f t="shared" si="30"/>
        <v>-2274.881294351525</v>
      </c>
    </row>
    <row r="254" spans="1:28" x14ac:dyDescent="0.3">
      <c r="A254" s="1">
        <v>44781</v>
      </c>
      <c r="B254" s="2">
        <v>146.29</v>
      </c>
      <c r="C254" s="2">
        <v>412.99</v>
      </c>
      <c r="D254" s="9">
        <f>B254-B253</f>
        <v>0.40999999999999659</v>
      </c>
      <c r="E254" s="9">
        <f>C254-C253</f>
        <v>-0.48000000000001819</v>
      </c>
      <c r="F254" s="3">
        <f>F$1/B254</f>
        <v>683.57372342607152</v>
      </c>
      <c r="G254" s="3">
        <f>F$1/C254</f>
        <v>242.13661347732389</v>
      </c>
      <c r="H254" s="2">
        <f>D254*F253</f>
        <v>281.05292020838817</v>
      </c>
      <c r="I254" s="2">
        <f>E254*G253</f>
        <v>-116.09064744721942</v>
      </c>
      <c r="J254" s="2">
        <f>I254-H254</f>
        <v>-397.14356765560763</v>
      </c>
      <c r="K254" s="2">
        <f t="shared" si="26"/>
        <v>397.14356765560763</v>
      </c>
      <c r="L254" s="3">
        <f>C254/B254</f>
        <v>2.8230911203773328</v>
      </c>
      <c r="M254" s="3">
        <f t="shared" si="28"/>
        <v>2.8235800000838354</v>
      </c>
      <c r="N254" s="3">
        <f t="shared" si="32"/>
        <v>2.8228065477108775</v>
      </c>
      <c r="O254" s="3">
        <f t="shared" si="33"/>
        <v>2.807649200067539</v>
      </c>
      <c r="P254" s="3">
        <f t="shared" si="27"/>
        <v>2.849412311698984</v>
      </c>
      <c r="Q254" s="4" t="str">
        <f t="shared" si="31"/>
        <v>OVER</v>
      </c>
      <c r="R254" s="4" t="str">
        <f t="shared" si="31"/>
        <v>OVER</v>
      </c>
      <c r="S254" s="4" t="str">
        <f t="shared" si="29"/>
        <v>OVER</v>
      </c>
      <c r="T254" s="4" t="str">
        <f t="shared" si="29"/>
        <v>UNDER</v>
      </c>
      <c r="U254" s="2">
        <f>IF(Q254="OVER",$J254,$K254)</f>
        <v>-397.14356765560763</v>
      </c>
      <c r="V254" s="2">
        <f>IF(R254="OVER",$J254,$K254)</f>
        <v>-397.14356765560763</v>
      </c>
      <c r="W254" s="2">
        <f>IF(S254="OVER",$J254,$K254)</f>
        <v>-397.14356765560763</v>
      </c>
      <c r="X254" s="2">
        <f>IF(T254="OVER",$J254,$K254)</f>
        <v>397.14356765560763</v>
      </c>
      <c r="Y254" s="9">
        <f t="shared" si="30"/>
        <v>-6893.1880634761474</v>
      </c>
      <c r="Z254" s="9">
        <f t="shared" si="30"/>
        <v>5036.4534533338556</v>
      </c>
      <c r="AA254" s="9">
        <f t="shared" si="30"/>
        <v>10082.666422591125</v>
      </c>
      <c r="AB254" s="9">
        <f t="shared" si="30"/>
        <v>-1877.7377266959174</v>
      </c>
    </row>
    <row r="255" spans="1:28" x14ac:dyDescent="0.3">
      <c r="A255" s="1">
        <v>44782</v>
      </c>
      <c r="B255" s="2">
        <v>145.44</v>
      </c>
      <c r="C255" s="2">
        <v>411.35</v>
      </c>
      <c r="D255" s="9">
        <f>B255-B254</f>
        <v>-0.84999999999999432</v>
      </c>
      <c r="E255" s="9">
        <f>C255-C254</f>
        <v>-1.6399999999999864</v>
      </c>
      <c r="F255" s="3">
        <f>F$1/B255</f>
        <v>687.56875687568754</v>
      </c>
      <c r="G255" s="3">
        <f>F$1/C255</f>
        <v>243.10198128114743</v>
      </c>
      <c r="H255" s="2">
        <f>D255*F254</f>
        <v>-581.03766491215686</v>
      </c>
      <c r="I255" s="2">
        <f>E255*G254</f>
        <v>-397.1040461028079</v>
      </c>
      <c r="J255" s="2">
        <f>I255-H255</f>
        <v>183.93361880934896</v>
      </c>
      <c r="K255" s="2">
        <f t="shared" si="26"/>
        <v>-183.93361880934896</v>
      </c>
      <c r="L255" s="3">
        <f>C255/B255</f>
        <v>2.8283140814081409</v>
      </c>
      <c r="M255" s="3">
        <f t="shared" si="28"/>
        <v>2.8263841856442351</v>
      </c>
      <c r="N255" s="3">
        <f t="shared" si="32"/>
        <v>2.8233097971080068</v>
      </c>
      <c r="O255" s="3">
        <f t="shared" si="33"/>
        <v>2.8090600077894625</v>
      </c>
      <c r="P255" s="3">
        <f t="shared" si="27"/>
        <v>2.8492052170421256</v>
      </c>
      <c r="Q255" s="4" t="str">
        <f t="shared" si="31"/>
        <v>UNDER</v>
      </c>
      <c r="R255" s="4" t="str">
        <f t="shared" si="31"/>
        <v>OVER</v>
      </c>
      <c r="S255" s="4" t="str">
        <f t="shared" si="29"/>
        <v>OVER</v>
      </c>
      <c r="T255" s="4" t="str">
        <f t="shared" si="29"/>
        <v>UNDER</v>
      </c>
      <c r="U255" s="2">
        <f>IF(Q255="OVER",$J255,$K255)</f>
        <v>-183.93361880934896</v>
      </c>
      <c r="V255" s="2">
        <f>IF(R255="OVER",$J255,$K255)</f>
        <v>183.93361880934896</v>
      </c>
      <c r="W255" s="2">
        <f>IF(S255="OVER",$J255,$K255)</f>
        <v>183.93361880934896</v>
      </c>
      <c r="X255" s="2">
        <f>IF(T255="OVER",$J255,$K255)</f>
        <v>-183.93361880934896</v>
      </c>
      <c r="Y255" s="9">
        <f t="shared" si="30"/>
        <v>-7077.1216822854967</v>
      </c>
      <c r="Z255" s="9">
        <f t="shared" si="30"/>
        <v>5220.3870721432049</v>
      </c>
      <c r="AA255" s="9">
        <f t="shared" si="30"/>
        <v>10266.600041400474</v>
      </c>
      <c r="AB255" s="9">
        <f t="shared" si="30"/>
        <v>-2061.6713455052663</v>
      </c>
    </row>
    <row r="256" spans="1:28" x14ac:dyDescent="0.3">
      <c r="A256" s="1">
        <v>44783</v>
      </c>
      <c r="B256" s="2">
        <v>148.55000000000001</v>
      </c>
      <c r="C256" s="2">
        <v>419.99</v>
      </c>
      <c r="D256" s="9">
        <f>B256-B255</f>
        <v>3.1100000000000136</v>
      </c>
      <c r="E256" s="9">
        <f>C256-C255</f>
        <v>8.6399999999999864</v>
      </c>
      <c r="F256" s="3">
        <f>F$1/B256</f>
        <v>673.17401548300234</v>
      </c>
      <c r="G256" s="3">
        <f>F$1/C256</f>
        <v>238.10090716445629</v>
      </c>
      <c r="H256" s="2">
        <f>D256*F255</f>
        <v>2138.3388338833975</v>
      </c>
      <c r="I256" s="2">
        <f>E256*G255</f>
        <v>2100.4011182691106</v>
      </c>
      <c r="J256" s="2">
        <f>I256-H256</f>
        <v>-37.937715614286844</v>
      </c>
      <c r="K256" s="2">
        <f t="shared" si="26"/>
        <v>37.937715614286844</v>
      </c>
      <c r="L256" s="3">
        <f>C256/B256</f>
        <v>2.8272635476270613</v>
      </c>
      <c r="M256" s="3">
        <f t="shared" si="28"/>
        <v>2.8272834146163577</v>
      </c>
      <c r="N256" s="3">
        <f t="shared" si="32"/>
        <v>2.8237182193174597</v>
      </c>
      <c r="O256" s="3">
        <f t="shared" si="33"/>
        <v>2.8103624957168609</v>
      </c>
      <c r="P256" s="3">
        <f t="shared" si="27"/>
        <v>2.8490484302442689</v>
      </c>
      <c r="Q256" s="4" t="str">
        <f t="shared" si="31"/>
        <v>OVER</v>
      </c>
      <c r="R256" s="4" t="str">
        <f t="shared" si="31"/>
        <v>OVER</v>
      </c>
      <c r="S256" s="4" t="str">
        <f t="shared" si="29"/>
        <v>OVER</v>
      </c>
      <c r="T256" s="4" t="str">
        <f t="shared" si="29"/>
        <v>UNDER</v>
      </c>
      <c r="U256" s="2">
        <f>IF(Q256="OVER",$J256,$K256)</f>
        <v>-37.937715614286844</v>
      </c>
      <c r="V256" s="2">
        <f>IF(R256="OVER",$J256,$K256)</f>
        <v>-37.937715614286844</v>
      </c>
      <c r="W256" s="2">
        <f>IF(S256="OVER",$J256,$K256)</f>
        <v>-37.937715614286844</v>
      </c>
      <c r="X256" s="2">
        <f>IF(T256="OVER",$J256,$K256)</f>
        <v>37.937715614286844</v>
      </c>
      <c r="Y256" s="9">
        <f t="shared" si="30"/>
        <v>-7115.059397899784</v>
      </c>
      <c r="Z256" s="9">
        <f t="shared" si="30"/>
        <v>5182.4493565289176</v>
      </c>
      <c r="AA256" s="9">
        <f t="shared" si="30"/>
        <v>10228.662325786187</v>
      </c>
      <c r="AB256" s="9">
        <f t="shared" si="30"/>
        <v>-2023.7336298909795</v>
      </c>
    </row>
    <row r="257" spans="1:28" x14ac:dyDescent="0.3">
      <c r="A257" s="1">
        <v>44784</v>
      </c>
      <c r="B257" s="2">
        <v>149.21</v>
      </c>
      <c r="C257" s="2">
        <v>419.99</v>
      </c>
      <c r="D257" s="9">
        <f>B257-B256</f>
        <v>0.65999999999999659</v>
      </c>
      <c r="E257" s="9">
        <f>C257-C256</f>
        <v>0</v>
      </c>
      <c r="F257" s="3">
        <f>F$1/B257</f>
        <v>670.19636753568795</v>
      </c>
      <c r="G257" s="3">
        <f>F$1/C257</f>
        <v>238.10090716445629</v>
      </c>
      <c r="H257" s="2">
        <f>D257*F256</f>
        <v>444.29485021877923</v>
      </c>
      <c r="I257" s="2">
        <f>E257*G256</f>
        <v>0</v>
      </c>
      <c r="J257" s="2">
        <f>I257-H257</f>
        <v>-444.29485021877923</v>
      </c>
      <c r="K257" s="2">
        <f t="shared" si="26"/>
        <v>444.29485021877923</v>
      </c>
      <c r="L257" s="3">
        <f>C257/B257</f>
        <v>2.8147577240131358</v>
      </c>
      <c r="M257" s="3">
        <f t="shared" si="28"/>
        <v>2.8278390901653716</v>
      </c>
      <c r="N257" s="3">
        <f t="shared" si="32"/>
        <v>2.8227256824758116</v>
      </c>
      <c r="O257" s="3">
        <f t="shared" si="33"/>
        <v>2.8112047528628055</v>
      </c>
      <c r="P257" s="3">
        <f t="shared" si="27"/>
        <v>2.8487850249321895</v>
      </c>
      <c r="Q257" s="4" t="str">
        <f t="shared" si="31"/>
        <v>UNDER</v>
      </c>
      <c r="R257" s="4" t="str">
        <f t="shared" si="31"/>
        <v>OVER</v>
      </c>
      <c r="S257" s="4" t="str">
        <f t="shared" si="29"/>
        <v>OVER</v>
      </c>
      <c r="T257" s="4" t="str">
        <f t="shared" si="29"/>
        <v>UNDER</v>
      </c>
      <c r="U257" s="2">
        <f>IF(Q257="OVER",$J257,$K257)</f>
        <v>444.29485021877923</v>
      </c>
      <c r="V257" s="2">
        <f>IF(R257="OVER",$J257,$K257)</f>
        <v>-444.29485021877923</v>
      </c>
      <c r="W257" s="2">
        <f>IF(S257="OVER",$J257,$K257)</f>
        <v>-444.29485021877923</v>
      </c>
      <c r="X257" s="2">
        <f>IF(T257="OVER",$J257,$K257)</f>
        <v>444.29485021877923</v>
      </c>
      <c r="Y257" s="9">
        <f t="shared" si="30"/>
        <v>-6670.7645476810048</v>
      </c>
      <c r="Z257" s="9">
        <f t="shared" si="30"/>
        <v>4738.1545063101385</v>
      </c>
      <c r="AA257" s="9">
        <f t="shared" si="30"/>
        <v>9784.3674755674074</v>
      </c>
      <c r="AB257" s="9">
        <f t="shared" si="30"/>
        <v>-1579.4387796722003</v>
      </c>
    </row>
    <row r="258" spans="1:28" x14ac:dyDescent="0.3">
      <c r="A258" s="1">
        <v>44785</v>
      </c>
      <c r="B258" s="2">
        <v>151.62</v>
      </c>
      <c r="C258" s="2">
        <v>427.1</v>
      </c>
      <c r="D258" s="9">
        <f>B258-B257</f>
        <v>2.4099999999999966</v>
      </c>
      <c r="E258" s="9">
        <f>C258-C257</f>
        <v>7.1100000000000136</v>
      </c>
      <c r="F258" s="3">
        <f>F$1/B258</f>
        <v>659.54359583168446</v>
      </c>
      <c r="G258" s="3">
        <f>F$1/C258</f>
        <v>234.13720440177943</v>
      </c>
      <c r="H258" s="2">
        <f>D258*F257</f>
        <v>1615.1732457610058</v>
      </c>
      <c r="I258" s="2">
        <f>E258*G257</f>
        <v>1692.8974499392875</v>
      </c>
      <c r="J258" s="2">
        <f>I258-H258</f>
        <v>77.724204178281752</v>
      </c>
      <c r="K258" s="2">
        <f t="shared" si="26"/>
        <v>-77.724204178281752</v>
      </c>
      <c r="L258" s="3">
        <f>C258/B258</f>
        <v>2.8169106977971246</v>
      </c>
      <c r="M258" s="3">
        <f t="shared" si="28"/>
        <v>2.8270356454086052</v>
      </c>
      <c r="N258" s="3">
        <f t="shared" si="32"/>
        <v>2.8218229656174159</v>
      </c>
      <c r="O258" s="3">
        <f t="shared" si="33"/>
        <v>2.811948803262589</v>
      </c>
      <c r="P258" s="3">
        <f t="shared" si="27"/>
        <v>2.8484914250407507</v>
      </c>
      <c r="Q258" s="4" t="str">
        <f t="shared" si="31"/>
        <v>UNDER</v>
      </c>
      <c r="R258" s="4" t="str">
        <f t="shared" si="31"/>
        <v>UNDER</v>
      </c>
      <c r="S258" s="4" t="str">
        <f t="shared" si="29"/>
        <v>OVER</v>
      </c>
      <c r="T258" s="4" t="str">
        <f t="shared" si="29"/>
        <v>UNDER</v>
      </c>
      <c r="U258" s="2">
        <f>IF(Q258="OVER",$J258,$K258)</f>
        <v>-77.724204178281752</v>
      </c>
      <c r="V258" s="2">
        <f>IF(R258="OVER",$J258,$K258)</f>
        <v>-77.724204178281752</v>
      </c>
      <c r="W258" s="2">
        <f>IF(S258="OVER",$J258,$K258)</f>
        <v>77.724204178281752</v>
      </c>
      <c r="X258" s="2">
        <f>IF(T258="OVER",$J258,$K258)</f>
        <v>-77.724204178281752</v>
      </c>
      <c r="Y258" s="9">
        <f t="shared" si="30"/>
        <v>-6748.4887518592868</v>
      </c>
      <c r="Z258" s="9">
        <f t="shared" si="30"/>
        <v>4660.4303021318565</v>
      </c>
      <c r="AA258" s="9">
        <f t="shared" si="30"/>
        <v>9862.0916797456885</v>
      </c>
      <c r="AB258" s="9">
        <f t="shared" si="30"/>
        <v>-1657.1629838504821</v>
      </c>
    </row>
    <row r="259" spans="1:28" x14ac:dyDescent="0.3">
      <c r="A259" s="1">
        <v>44788</v>
      </c>
      <c r="B259" s="2">
        <v>151.94999999999999</v>
      </c>
      <c r="C259" s="2">
        <v>428.86</v>
      </c>
      <c r="D259" s="9">
        <f>B259-B258</f>
        <v>0.32999999999998408</v>
      </c>
      <c r="E259" s="9">
        <f>C259-C258</f>
        <v>1.7599999999999909</v>
      </c>
      <c r="F259" s="3">
        <f>F$1/B259</f>
        <v>658.11122079631468</v>
      </c>
      <c r="G259" s="3">
        <f>F$1/C259</f>
        <v>233.17632793918762</v>
      </c>
      <c r="H259" s="2">
        <f>D259*F258</f>
        <v>217.64938662444538</v>
      </c>
      <c r="I259" s="2">
        <f>E259*G258</f>
        <v>412.08147974712966</v>
      </c>
      <c r="J259" s="2">
        <f>I259-H259</f>
        <v>194.43209312268428</v>
      </c>
      <c r="K259" s="2">
        <f t="shared" si="26"/>
        <v>-194.43209312268428</v>
      </c>
      <c r="L259" s="3">
        <f>C259/B259</f>
        <v>2.8223757815070751</v>
      </c>
      <c r="M259" s="3">
        <f t="shared" si="28"/>
        <v>2.8270734433999278</v>
      </c>
      <c r="N259" s="3">
        <f t="shared" si="32"/>
        <v>2.8217507152132493</v>
      </c>
      <c r="O259" s="3">
        <f t="shared" si="33"/>
        <v>2.8127220491848473</v>
      </c>
      <c r="P259" s="3">
        <f t="shared" si="27"/>
        <v>2.8480957935615812</v>
      </c>
      <c r="Q259" s="4" t="str">
        <f t="shared" si="31"/>
        <v>UNDER</v>
      </c>
      <c r="R259" s="4" t="str">
        <f t="shared" si="31"/>
        <v>UNDER</v>
      </c>
      <c r="S259" s="4" t="str">
        <f t="shared" si="29"/>
        <v>OVER</v>
      </c>
      <c r="T259" s="4" t="str">
        <f t="shared" si="29"/>
        <v>UNDER</v>
      </c>
      <c r="U259" s="2">
        <f>IF(Q259="OVER",$J259,$K259)</f>
        <v>-194.43209312268428</v>
      </c>
      <c r="V259" s="2">
        <f>IF(R259="OVER",$J259,$K259)</f>
        <v>-194.43209312268428</v>
      </c>
      <c r="W259" s="2">
        <f>IF(S259="OVER",$J259,$K259)</f>
        <v>194.43209312268428</v>
      </c>
      <c r="X259" s="2">
        <f>IF(T259="OVER",$J259,$K259)</f>
        <v>-194.43209312268428</v>
      </c>
      <c r="Y259" s="9">
        <f t="shared" si="30"/>
        <v>-6942.9208449819707</v>
      </c>
      <c r="Z259" s="9">
        <f t="shared" si="30"/>
        <v>4465.9982090091726</v>
      </c>
      <c r="AA259" s="9">
        <f t="shared" si="30"/>
        <v>10056.523772868373</v>
      </c>
      <c r="AB259" s="9">
        <f t="shared" si="30"/>
        <v>-1851.5950769731664</v>
      </c>
    </row>
    <row r="260" spans="1:28" x14ac:dyDescent="0.3">
      <c r="A260" s="1">
        <v>44789</v>
      </c>
      <c r="B260" s="2">
        <v>152.38999999999999</v>
      </c>
      <c r="C260" s="2">
        <v>429.7</v>
      </c>
      <c r="D260" s="9">
        <f>B260-B259</f>
        <v>0.43999999999999773</v>
      </c>
      <c r="E260" s="9">
        <f>C260-C259</f>
        <v>0.83999999999997499</v>
      </c>
      <c r="F260" s="3">
        <f>F$1/B260</f>
        <v>656.21103746965025</v>
      </c>
      <c r="G260" s="3">
        <f>F$1/C260</f>
        <v>232.72050267628578</v>
      </c>
      <c r="H260" s="2">
        <f>D260*F259</f>
        <v>289.56893715037694</v>
      </c>
      <c r="I260" s="2">
        <f>E260*G259</f>
        <v>195.86811546891175</v>
      </c>
      <c r="J260" s="2">
        <f>I260-H260</f>
        <v>-93.700821681465186</v>
      </c>
      <c r="K260" s="2">
        <f t="shared" si="26"/>
        <v>93.700821681465186</v>
      </c>
      <c r="L260" s="3">
        <f>C260/B260</f>
        <v>2.8197388280070874</v>
      </c>
      <c r="M260" s="3">
        <f t="shared" si="28"/>
        <v>2.8267114789716876</v>
      </c>
      <c r="N260" s="3">
        <f t="shared" si="32"/>
        <v>2.8217753165244845</v>
      </c>
      <c r="O260" s="3">
        <f t="shared" si="33"/>
        <v>2.8137020994171218</v>
      </c>
      <c r="P260" s="3">
        <f t="shared" si="27"/>
        <v>2.8476943611513756</v>
      </c>
      <c r="Q260" s="4" t="str">
        <f t="shared" si="31"/>
        <v>UNDER</v>
      </c>
      <c r="R260" s="4" t="str">
        <f t="shared" si="31"/>
        <v>OVER</v>
      </c>
      <c r="S260" s="4" t="str">
        <f t="shared" si="29"/>
        <v>OVER</v>
      </c>
      <c r="T260" s="4" t="str">
        <f t="shared" si="29"/>
        <v>UNDER</v>
      </c>
      <c r="U260" s="2">
        <f>IF(Q260="OVER",$J260,$K260)</f>
        <v>93.700821681465186</v>
      </c>
      <c r="V260" s="2">
        <f>IF(R260="OVER",$J260,$K260)</f>
        <v>-93.700821681465186</v>
      </c>
      <c r="W260" s="2">
        <f>IF(S260="OVER",$J260,$K260)</f>
        <v>-93.700821681465186</v>
      </c>
      <c r="X260" s="2">
        <f>IF(T260="OVER",$J260,$K260)</f>
        <v>93.700821681465186</v>
      </c>
      <c r="Y260" s="9">
        <f t="shared" si="30"/>
        <v>-6849.220023300506</v>
      </c>
      <c r="Z260" s="9">
        <f t="shared" si="30"/>
        <v>4372.2973873277078</v>
      </c>
      <c r="AA260" s="9">
        <f t="shared" si="30"/>
        <v>9962.8229511869085</v>
      </c>
      <c r="AB260" s="9">
        <f t="shared" si="30"/>
        <v>-1757.8942552917013</v>
      </c>
    </row>
    <row r="261" spans="1:28" x14ac:dyDescent="0.3">
      <c r="A261" s="1">
        <v>44790</v>
      </c>
      <c r="B261" s="2">
        <v>150.96</v>
      </c>
      <c r="C261" s="2">
        <v>426.65</v>
      </c>
      <c r="D261" s="9">
        <f>B261-B260</f>
        <v>-1.4299999999999784</v>
      </c>
      <c r="E261" s="9">
        <f>C261-C260</f>
        <v>-3.0500000000000114</v>
      </c>
      <c r="F261" s="3">
        <f>F$1/B261</f>
        <v>662.42713301536833</v>
      </c>
      <c r="G261" s="3">
        <f>F$1/C261</f>
        <v>234.38415563107935</v>
      </c>
      <c r="H261" s="2">
        <f>D261*F260</f>
        <v>-938.38178358158564</v>
      </c>
      <c r="I261" s="2">
        <f>E261*G260</f>
        <v>-709.79753316267431</v>
      </c>
      <c r="J261" s="2">
        <f>I261-H261</f>
        <v>228.58425041891132</v>
      </c>
      <c r="K261" s="2">
        <f t="shared" ref="K261:K324" si="34">H261-I261</f>
        <v>-228.58425041891132</v>
      </c>
      <c r="L261" s="3">
        <f>C261/B261</f>
        <v>2.8262453630100688</v>
      </c>
      <c r="M261" s="3">
        <f t="shared" si="28"/>
        <v>2.8255244696998671</v>
      </c>
      <c r="N261" s="3">
        <f t="shared" si="32"/>
        <v>2.8221687583738531</v>
      </c>
      <c r="O261" s="3">
        <f t="shared" si="33"/>
        <v>2.8148453914530607</v>
      </c>
      <c r="P261" s="3">
        <f t="shared" si="27"/>
        <v>2.8472702507453316</v>
      </c>
      <c r="Q261" s="4" t="str">
        <f t="shared" si="31"/>
        <v>UNDER</v>
      </c>
      <c r="R261" s="4" t="str">
        <f t="shared" si="31"/>
        <v>UNDER</v>
      </c>
      <c r="S261" s="4" t="str">
        <f t="shared" si="29"/>
        <v>OVER</v>
      </c>
      <c r="T261" s="4" t="str">
        <f t="shared" si="29"/>
        <v>UNDER</v>
      </c>
      <c r="U261" s="2">
        <f>IF(Q261="OVER",$J261,$K261)</f>
        <v>-228.58425041891132</v>
      </c>
      <c r="V261" s="2">
        <f>IF(R261="OVER",$J261,$K261)</f>
        <v>-228.58425041891132</v>
      </c>
      <c r="W261" s="2">
        <f>IF(S261="OVER",$J261,$K261)</f>
        <v>228.58425041891132</v>
      </c>
      <c r="X261" s="2">
        <f>IF(T261="OVER",$J261,$K261)</f>
        <v>-228.58425041891132</v>
      </c>
      <c r="Y261" s="9">
        <f t="shared" si="30"/>
        <v>-7077.8042737194173</v>
      </c>
      <c r="Z261" s="9">
        <f t="shared" si="30"/>
        <v>4143.7131369087965</v>
      </c>
      <c r="AA261" s="9">
        <f t="shared" si="30"/>
        <v>10191.40720160582</v>
      </c>
      <c r="AB261" s="9">
        <f t="shared" si="30"/>
        <v>-1986.4785057106126</v>
      </c>
    </row>
    <row r="262" spans="1:28" x14ac:dyDescent="0.3">
      <c r="A262" s="1">
        <v>44791</v>
      </c>
      <c r="B262" s="2">
        <v>151.44</v>
      </c>
      <c r="C262" s="2">
        <v>427.89</v>
      </c>
      <c r="D262" s="9">
        <f>B262-B261</f>
        <v>0.47999999999998977</v>
      </c>
      <c r="E262" s="9">
        <f>C262-C261</f>
        <v>1.2400000000000091</v>
      </c>
      <c r="F262" s="3">
        <f>F$1/B262</f>
        <v>660.32752245113579</v>
      </c>
      <c r="G262" s="3">
        <f>F$1/C262</f>
        <v>233.70492416275212</v>
      </c>
      <c r="H262" s="2">
        <f>D262*F261</f>
        <v>317.96502384736999</v>
      </c>
      <c r="I262" s="2">
        <f>E262*G261</f>
        <v>290.63635298254053</v>
      </c>
      <c r="J262" s="2">
        <f>I262-H262</f>
        <v>-27.328670864829462</v>
      </c>
      <c r="K262" s="2">
        <f t="shared" si="34"/>
        <v>27.328670864829462</v>
      </c>
      <c r="L262" s="3">
        <f>C262/B262</f>
        <v>2.8254754358161649</v>
      </c>
      <c r="M262" s="3">
        <f t="shared" si="28"/>
        <v>2.8238488455625714</v>
      </c>
      <c r="N262" s="3">
        <f t="shared" si="32"/>
        <v>2.8221879254607791</v>
      </c>
      <c r="O262" s="3">
        <f t="shared" si="33"/>
        <v>2.8159708996365129</v>
      </c>
      <c r="P262" s="3">
        <f t="shared" si="27"/>
        <v>2.8469327807353797</v>
      </c>
      <c r="Q262" s="4" t="str">
        <f t="shared" si="31"/>
        <v>OVER</v>
      </c>
      <c r="R262" s="4" t="str">
        <f t="shared" si="31"/>
        <v>OVER</v>
      </c>
      <c r="S262" s="4" t="str">
        <f t="shared" si="29"/>
        <v>OVER</v>
      </c>
      <c r="T262" s="4" t="str">
        <f t="shared" si="29"/>
        <v>UNDER</v>
      </c>
      <c r="U262" s="2">
        <f>IF(Q262="OVER",$J262,$K262)</f>
        <v>-27.328670864829462</v>
      </c>
      <c r="V262" s="2">
        <f>IF(R262="OVER",$J262,$K262)</f>
        <v>-27.328670864829462</v>
      </c>
      <c r="W262" s="2">
        <f>IF(S262="OVER",$J262,$K262)</f>
        <v>-27.328670864829462</v>
      </c>
      <c r="X262" s="2">
        <f>IF(T262="OVER",$J262,$K262)</f>
        <v>27.328670864829462</v>
      </c>
      <c r="Y262" s="9">
        <f t="shared" si="30"/>
        <v>-7105.1329445842466</v>
      </c>
      <c r="Z262" s="9">
        <f t="shared" si="30"/>
        <v>4116.3844660439672</v>
      </c>
      <c r="AA262" s="9">
        <f t="shared" si="30"/>
        <v>10164.07853074099</v>
      </c>
      <c r="AB262" s="9">
        <f t="shared" si="30"/>
        <v>-1959.1498348457831</v>
      </c>
    </row>
    <row r="263" spans="1:28" x14ac:dyDescent="0.3">
      <c r="A263" s="1">
        <v>44792</v>
      </c>
      <c r="B263" s="2">
        <v>149.44</v>
      </c>
      <c r="C263" s="2">
        <v>422.14</v>
      </c>
      <c r="D263" s="9">
        <f>B263-B262</f>
        <v>-2</v>
      </c>
      <c r="E263" s="9">
        <f>C263-C262</f>
        <v>-5.75</v>
      </c>
      <c r="F263" s="3">
        <f>F$1/B263</f>
        <v>669.16488222698069</v>
      </c>
      <c r="G263" s="3">
        <f>F$1/C263</f>
        <v>236.88823613019377</v>
      </c>
      <c r="H263" s="2">
        <f>D263*F262</f>
        <v>-1320.6550449022716</v>
      </c>
      <c r="I263" s="2">
        <f>E263*G262</f>
        <v>-1343.8033139358247</v>
      </c>
      <c r="J263" s="2">
        <f>I263-H263</f>
        <v>-23.148269033553106</v>
      </c>
      <c r="K263" s="2">
        <f t="shared" si="34"/>
        <v>23.148269033553106</v>
      </c>
      <c r="L263" s="3">
        <f>C263/B263</f>
        <v>2.8248126338329764</v>
      </c>
      <c r="M263" s="3">
        <f t="shared" si="28"/>
        <v>2.8228985213396172</v>
      </c>
      <c r="N263" s="3">
        <f t="shared" si="32"/>
        <v>2.822666835619009</v>
      </c>
      <c r="O263" s="3">
        <f t="shared" si="33"/>
        <v>2.8168931270411948</v>
      </c>
      <c r="P263" s="3">
        <f t="shared" si="27"/>
        <v>2.8465735879155813</v>
      </c>
      <c r="Q263" s="4" t="str">
        <f t="shared" si="31"/>
        <v>OVER</v>
      </c>
      <c r="R263" s="4" t="str">
        <f t="shared" si="31"/>
        <v>OVER</v>
      </c>
      <c r="S263" s="4" t="str">
        <f t="shared" si="29"/>
        <v>OVER</v>
      </c>
      <c r="T263" s="4" t="str">
        <f t="shared" si="29"/>
        <v>UNDER</v>
      </c>
      <c r="U263" s="2">
        <f>IF(Q263="OVER",$J263,$K263)</f>
        <v>-23.148269033553106</v>
      </c>
      <c r="V263" s="2">
        <f>IF(R263="OVER",$J263,$K263)</f>
        <v>-23.148269033553106</v>
      </c>
      <c r="W263" s="2">
        <f>IF(S263="OVER",$J263,$K263)</f>
        <v>-23.148269033553106</v>
      </c>
      <c r="X263" s="2">
        <f>IF(T263="OVER",$J263,$K263)</f>
        <v>23.148269033553106</v>
      </c>
      <c r="Y263" s="9">
        <f t="shared" si="30"/>
        <v>-7128.2812136177999</v>
      </c>
      <c r="Z263" s="9">
        <f t="shared" si="30"/>
        <v>4093.2361970104139</v>
      </c>
      <c r="AA263" s="9">
        <f t="shared" si="30"/>
        <v>10140.930261707437</v>
      </c>
      <c r="AB263" s="9">
        <f t="shared" si="30"/>
        <v>-1936.00156581223</v>
      </c>
    </row>
    <row r="264" spans="1:28" x14ac:dyDescent="0.3">
      <c r="A264" s="1">
        <v>44795</v>
      </c>
      <c r="B264" s="2">
        <v>146.32</v>
      </c>
      <c r="C264" s="2">
        <v>413.35</v>
      </c>
      <c r="D264" s="9">
        <f>B264-B263</f>
        <v>-3.1200000000000045</v>
      </c>
      <c r="E264" s="9">
        <f>C264-C263</f>
        <v>-8.7899999999999636</v>
      </c>
      <c r="F264" s="3">
        <f>F$1/B264</f>
        <v>683.43357025697105</v>
      </c>
      <c r="G264" s="3">
        <f>F$1/C264</f>
        <v>241.925728801258</v>
      </c>
      <c r="H264" s="2">
        <f>D264*F263</f>
        <v>-2087.7944325481826</v>
      </c>
      <c r="I264" s="2">
        <f>E264*G263</f>
        <v>-2082.2475955843947</v>
      </c>
      <c r="J264" s="2">
        <f>I264-H264</f>
        <v>5.5468369637878823</v>
      </c>
      <c r="K264" s="2">
        <f t="shared" si="34"/>
        <v>-5.5468369637878823</v>
      </c>
      <c r="L264" s="3">
        <f>C264/B264</f>
        <v>2.8249726626571898</v>
      </c>
      <c r="M264" s="3">
        <f t="shared" si="28"/>
        <v>2.8230866755676027</v>
      </c>
      <c r="N264" s="3">
        <f t="shared" si="32"/>
        <v>2.8233333378257188</v>
      </c>
      <c r="O264" s="3">
        <f t="shared" si="33"/>
        <v>2.8178875681961704</v>
      </c>
      <c r="P264" s="3">
        <f t="shared" si="27"/>
        <v>2.8462121669395901</v>
      </c>
      <c r="Q264" s="4" t="str">
        <f t="shared" si="31"/>
        <v>OVER</v>
      </c>
      <c r="R264" s="4" t="str">
        <f t="shared" si="31"/>
        <v>OVER</v>
      </c>
      <c r="S264" s="4" t="str">
        <f t="shared" si="29"/>
        <v>OVER</v>
      </c>
      <c r="T264" s="4" t="str">
        <f t="shared" si="29"/>
        <v>UNDER</v>
      </c>
      <c r="U264" s="2">
        <f>IF(Q264="OVER",$J264,$K264)</f>
        <v>5.5468369637878823</v>
      </c>
      <c r="V264" s="2">
        <f>IF(R264="OVER",$J264,$K264)</f>
        <v>5.5468369637878823</v>
      </c>
      <c r="W264" s="2">
        <f>IF(S264="OVER",$J264,$K264)</f>
        <v>5.5468369637878823</v>
      </c>
      <c r="X264" s="2">
        <f>IF(T264="OVER",$J264,$K264)</f>
        <v>-5.5468369637878823</v>
      </c>
      <c r="Y264" s="9">
        <f t="shared" si="30"/>
        <v>-7122.7343766540125</v>
      </c>
      <c r="Z264" s="9">
        <f t="shared" si="30"/>
        <v>4098.7830339742013</v>
      </c>
      <c r="AA264" s="9">
        <f t="shared" si="30"/>
        <v>10146.477098671225</v>
      </c>
      <c r="AB264" s="9">
        <f t="shared" si="30"/>
        <v>-1941.5484027760178</v>
      </c>
    </row>
    <row r="265" spans="1:28" x14ac:dyDescent="0.3">
      <c r="A265" s="1">
        <v>44796</v>
      </c>
      <c r="B265" s="2">
        <v>145.94</v>
      </c>
      <c r="C265" s="2">
        <v>412.35</v>
      </c>
      <c r="D265" s="9">
        <f>B265-B264</f>
        <v>-0.37999999999999545</v>
      </c>
      <c r="E265" s="9">
        <f>C265-C264</f>
        <v>-1</v>
      </c>
      <c r="F265" s="3">
        <f>F$1/B265</f>
        <v>685.21310127449635</v>
      </c>
      <c r="G265" s="3">
        <f>F$1/C265</f>
        <v>242.51242876197404</v>
      </c>
      <c r="H265" s="2">
        <f>D265*F264</f>
        <v>-259.70475669764591</v>
      </c>
      <c r="I265" s="2">
        <f>E265*G264</f>
        <v>-241.925728801258</v>
      </c>
      <c r="J265" s="2">
        <f>I265-H265</f>
        <v>17.779027896387902</v>
      </c>
      <c r="K265" s="2">
        <f t="shared" si="34"/>
        <v>-17.779027896387902</v>
      </c>
      <c r="L265" s="3">
        <f>C265/B265</f>
        <v>2.8254762231053858</v>
      </c>
      <c r="M265" s="3">
        <f t="shared" si="28"/>
        <v>2.8228028897373272</v>
      </c>
      <c r="N265" s="3">
        <f t="shared" si="32"/>
        <v>2.8245935376907814</v>
      </c>
      <c r="O265" s="3">
        <f t="shared" si="33"/>
        <v>2.8189923595191986</v>
      </c>
      <c r="P265" s="3">
        <f t="shared" si="27"/>
        <v>2.8457549912986981</v>
      </c>
      <c r="Q265" s="4" t="str">
        <f t="shared" si="31"/>
        <v>OVER</v>
      </c>
      <c r="R265" s="4" t="str">
        <f t="shared" si="31"/>
        <v>OVER</v>
      </c>
      <c r="S265" s="4" t="str">
        <f t="shared" si="29"/>
        <v>OVER</v>
      </c>
      <c r="T265" s="4" t="str">
        <f t="shared" si="29"/>
        <v>UNDER</v>
      </c>
      <c r="U265" s="2">
        <f>IF(Q265="OVER",$J265,$K265)</f>
        <v>17.779027896387902</v>
      </c>
      <c r="V265" s="2">
        <f>IF(R265="OVER",$J265,$K265)</f>
        <v>17.779027896387902</v>
      </c>
      <c r="W265" s="2">
        <f>IF(S265="OVER",$J265,$K265)</f>
        <v>17.779027896387902</v>
      </c>
      <c r="X265" s="2">
        <f>IF(T265="OVER",$J265,$K265)</f>
        <v>-17.779027896387902</v>
      </c>
      <c r="Y265" s="9">
        <f t="shared" si="30"/>
        <v>-7104.955348757625</v>
      </c>
      <c r="Z265" s="9">
        <f t="shared" si="30"/>
        <v>4116.5620618705889</v>
      </c>
      <c r="AA265" s="9">
        <f t="shared" si="30"/>
        <v>10164.256126567612</v>
      </c>
      <c r="AB265" s="9">
        <f t="shared" si="30"/>
        <v>-1959.3274306724056</v>
      </c>
    </row>
    <row r="266" spans="1:28" x14ac:dyDescent="0.3">
      <c r="A266" s="1">
        <v>44797</v>
      </c>
      <c r="B266" s="2">
        <v>146.66999999999999</v>
      </c>
      <c r="C266" s="2">
        <v>413.67</v>
      </c>
      <c r="D266" s="9">
        <f>B266-B265</f>
        <v>0.72999999999998977</v>
      </c>
      <c r="E266" s="9">
        <f>C266-C265</f>
        <v>1.3199999999999932</v>
      </c>
      <c r="F266" s="3">
        <f>F$1/B266</f>
        <v>681.80268630258411</v>
      </c>
      <c r="G266" s="3">
        <f>F$1/C266</f>
        <v>241.73858389537554</v>
      </c>
      <c r="H266" s="2">
        <f>D266*F265</f>
        <v>500.20556393037532</v>
      </c>
      <c r="I266" s="2">
        <f>E266*G265</f>
        <v>320.11640596580406</v>
      </c>
      <c r="J266" s="2">
        <f>I266-H266</f>
        <v>-180.08915796457126</v>
      </c>
      <c r="K266" s="2">
        <f t="shared" si="34"/>
        <v>180.08915796457126</v>
      </c>
      <c r="L266" s="3">
        <f>C266/B266</f>
        <v>2.8204131724278998</v>
      </c>
      <c r="M266" s="3">
        <f t="shared" si="28"/>
        <v>2.8221178522174108</v>
      </c>
      <c r="N266" s="3">
        <f t="shared" si="32"/>
        <v>2.8247006334168843</v>
      </c>
      <c r="O266" s="3">
        <f t="shared" si="33"/>
        <v>2.81986563592592</v>
      </c>
      <c r="P266" s="3">
        <f t="shared" si="27"/>
        <v>2.8453325981119195</v>
      </c>
      <c r="Q266" s="4" t="str">
        <f t="shared" si="31"/>
        <v>OVER</v>
      </c>
      <c r="R266" s="4" t="str">
        <f t="shared" si="31"/>
        <v>OVER</v>
      </c>
      <c r="S266" s="4" t="str">
        <f t="shared" si="29"/>
        <v>OVER</v>
      </c>
      <c r="T266" s="4" t="str">
        <f t="shared" si="29"/>
        <v>UNDER</v>
      </c>
      <c r="U266" s="2">
        <f>IF(Q266="OVER",$J266,$K266)</f>
        <v>-180.08915796457126</v>
      </c>
      <c r="V266" s="2">
        <f>IF(R266="OVER",$J266,$K266)</f>
        <v>-180.08915796457126</v>
      </c>
      <c r="W266" s="2">
        <f>IF(S266="OVER",$J266,$K266)</f>
        <v>-180.08915796457126</v>
      </c>
      <c r="X266" s="2">
        <f>IF(T266="OVER",$J266,$K266)</f>
        <v>180.08915796457126</v>
      </c>
      <c r="Y266" s="9">
        <f t="shared" si="30"/>
        <v>-7285.0445067221963</v>
      </c>
      <c r="Z266" s="9">
        <f t="shared" si="30"/>
        <v>3936.4729039060176</v>
      </c>
      <c r="AA266" s="9">
        <f t="shared" si="30"/>
        <v>9984.1669686030418</v>
      </c>
      <c r="AB266" s="9">
        <f t="shared" si="30"/>
        <v>-1779.2382727078343</v>
      </c>
    </row>
    <row r="267" spans="1:28" x14ac:dyDescent="0.3">
      <c r="A267" s="1">
        <v>44798</v>
      </c>
      <c r="B267" s="2">
        <v>148.93</v>
      </c>
      <c r="C267" s="2">
        <v>419.51</v>
      </c>
      <c r="D267" s="9">
        <f>B267-B266</f>
        <v>2.2600000000000193</v>
      </c>
      <c r="E267" s="9">
        <f>C267-C266</f>
        <v>5.839999999999975</v>
      </c>
      <c r="F267" s="3">
        <f>F$1/B267</f>
        <v>671.45638890754037</v>
      </c>
      <c r="G267" s="3">
        <f>F$1/C267</f>
        <v>238.37334032561799</v>
      </c>
      <c r="H267" s="2">
        <f>D267*F266</f>
        <v>1540.8740710438533</v>
      </c>
      <c r="I267" s="2">
        <f>E267*G266</f>
        <v>1411.7533299489871</v>
      </c>
      <c r="J267" s="2">
        <f>I267-H267</f>
        <v>-129.12074109486616</v>
      </c>
      <c r="K267" s="2">
        <f t="shared" si="34"/>
        <v>129.12074109486616</v>
      </c>
      <c r="L267" s="3">
        <f>C267/B267</f>
        <v>2.816826697106023</v>
      </c>
      <c r="M267" s="3">
        <f t="shared" si="28"/>
        <v>2.8223247495266994</v>
      </c>
      <c r="N267" s="3">
        <f t="shared" si="32"/>
        <v>2.8250819198460353</v>
      </c>
      <c r="O267" s="3">
        <f t="shared" si="33"/>
        <v>2.820546047798818</v>
      </c>
      <c r="P267" s="3">
        <f t="shared" ref="P267:P330" si="35">AVERAGE(L68:L267)</f>
        <v>2.8449014712742899</v>
      </c>
      <c r="Q267" s="4" t="str">
        <f t="shared" si="31"/>
        <v>UNDER</v>
      </c>
      <c r="R267" s="4" t="str">
        <f t="shared" si="31"/>
        <v>UNDER</v>
      </c>
      <c r="S267" s="4" t="str">
        <f t="shared" si="29"/>
        <v>UNDER</v>
      </c>
      <c r="T267" s="4" t="str">
        <f t="shared" si="29"/>
        <v>UNDER</v>
      </c>
      <c r="U267" s="2">
        <f>IF(Q267="OVER",$J267,$K267)</f>
        <v>129.12074109486616</v>
      </c>
      <c r="V267" s="2">
        <f>IF(R267="OVER",$J267,$K267)</f>
        <v>129.12074109486616</v>
      </c>
      <c r="W267" s="2">
        <f>IF(S267="OVER",$J267,$K267)</f>
        <v>129.12074109486616</v>
      </c>
      <c r="X267" s="2">
        <f>IF(T267="OVER",$J267,$K267)</f>
        <v>129.12074109486616</v>
      </c>
      <c r="Y267" s="9">
        <f t="shared" si="30"/>
        <v>-7155.9237656273299</v>
      </c>
      <c r="Z267" s="9">
        <f t="shared" si="30"/>
        <v>4065.593645000884</v>
      </c>
      <c r="AA267" s="9">
        <f t="shared" si="30"/>
        <v>10113.287709697908</v>
      </c>
      <c r="AB267" s="9">
        <f t="shared" si="30"/>
        <v>-1650.1175316129682</v>
      </c>
    </row>
    <row r="268" spans="1:28" x14ac:dyDescent="0.3">
      <c r="A268" s="1">
        <v>44799</v>
      </c>
      <c r="B268" s="2">
        <v>144.13</v>
      </c>
      <c r="C268" s="2">
        <v>405.31</v>
      </c>
      <c r="D268" s="9">
        <f>B268-B267</f>
        <v>-4.8000000000000114</v>
      </c>
      <c r="E268" s="9">
        <f>C268-C267</f>
        <v>-14.199999999999989</v>
      </c>
      <c r="F268" s="3">
        <f>F$1/B268</f>
        <v>693.8180808991882</v>
      </c>
      <c r="G268" s="3">
        <f>F$1/C268</f>
        <v>246.72472921960969</v>
      </c>
      <c r="H268" s="2">
        <f>D268*F267</f>
        <v>-3222.9906667562013</v>
      </c>
      <c r="I268" s="2">
        <f>E268*G267</f>
        <v>-3384.9014326237725</v>
      </c>
      <c r="J268" s="2">
        <f>I268-H268</f>
        <v>-161.91076586757117</v>
      </c>
      <c r="K268" s="2">
        <f t="shared" si="34"/>
        <v>161.91076586757117</v>
      </c>
      <c r="L268" s="3">
        <f>C268/B268</f>
        <v>2.8121140636924999</v>
      </c>
      <c r="M268" s="3">
        <f t="shared" si="28"/>
        <v>2.821845086116237</v>
      </c>
      <c r="N268" s="3">
        <f t="shared" si="32"/>
        <v>2.8244403657624209</v>
      </c>
      <c r="O268" s="3">
        <f t="shared" si="33"/>
        <v>2.8208756189576576</v>
      </c>
      <c r="P268" s="3">
        <f t="shared" si="35"/>
        <v>2.8444929684703455</v>
      </c>
      <c r="Q268" s="4" t="str">
        <f t="shared" si="31"/>
        <v>UNDER</v>
      </c>
      <c r="R268" s="4" t="str">
        <f t="shared" si="31"/>
        <v>UNDER</v>
      </c>
      <c r="S268" s="4" t="str">
        <f t="shared" si="29"/>
        <v>UNDER</v>
      </c>
      <c r="T268" s="4" t="str">
        <f t="shared" si="29"/>
        <v>UNDER</v>
      </c>
      <c r="U268" s="2">
        <f>IF(Q268="OVER",$J268,$K268)</f>
        <v>161.91076586757117</v>
      </c>
      <c r="V268" s="2">
        <f>IF(R268="OVER",$J268,$K268)</f>
        <v>161.91076586757117</v>
      </c>
      <c r="W268" s="2">
        <f>IF(S268="OVER",$J268,$K268)</f>
        <v>161.91076586757117</v>
      </c>
      <c r="X268" s="2">
        <f>IF(T268="OVER",$J268,$K268)</f>
        <v>161.91076586757117</v>
      </c>
      <c r="Y268" s="9">
        <f t="shared" si="30"/>
        <v>-6994.0129997597587</v>
      </c>
      <c r="Z268" s="9">
        <f t="shared" si="30"/>
        <v>4227.5044108684551</v>
      </c>
      <c r="AA268" s="9">
        <f t="shared" si="30"/>
        <v>10275.198475565479</v>
      </c>
      <c r="AB268" s="9">
        <f t="shared" ref="AB268:AB331" si="36">AB267+X268</f>
        <v>-1488.206765745397</v>
      </c>
    </row>
    <row r="269" spans="1:28" x14ac:dyDescent="0.3">
      <c r="A269" s="1">
        <v>44802</v>
      </c>
      <c r="B269" s="2">
        <v>143.29</v>
      </c>
      <c r="C269" s="2">
        <v>402.63</v>
      </c>
      <c r="D269" s="9">
        <f>B269-B268</f>
        <v>-0.84000000000000341</v>
      </c>
      <c r="E269" s="9">
        <f>C269-C268</f>
        <v>-2.6800000000000068</v>
      </c>
      <c r="F269" s="3">
        <f>F$1/B269</f>
        <v>697.88540721613515</v>
      </c>
      <c r="G269" s="3">
        <f>F$1/C269</f>
        <v>248.36698706007996</v>
      </c>
      <c r="H269" s="2">
        <f>D269*F268</f>
        <v>-582.8071879553205</v>
      </c>
      <c r="I269" s="2">
        <f>E269*G268</f>
        <v>-661.2222743085556</v>
      </c>
      <c r="J269" s="2">
        <f>I269-H269</f>
        <v>-78.415086353235097</v>
      </c>
      <c r="K269" s="2">
        <f t="shared" si="34"/>
        <v>78.415086353235097</v>
      </c>
      <c r="L269" s="3">
        <f>C269/B269</f>
        <v>2.8098960150743251</v>
      </c>
      <c r="M269" s="3">
        <f t="shared" ref="M269:M332" si="37">AVERAGE(L260:L269)</f>
        <v>2.8205971094729625</v>
      </c>
      <c r="N269" s="3">
        <f t="shared" si="32"/>
        <v>2.8238352764364447</v>
      </c>
      <c r="O269" s="3">
        <f t="shared" si="33"/>
        <v>2.8210279874401283</v>
      </c>
      <c r="P269" s="3">
        <f t="shared" si="35"/>
        <v>2.8440976579176009</v>
      </c>
      <c r="Q269" s="4" t="str">
        <f t="shared" si="31"/>
        <v>UNDER</v>
      </c>
      <c r="R269" s="4" t="str">
        <f t="shared" si="31"/>
        <v>UNDER</v>
      </c>
      <c r="S269" s="4" t="str">
        <f t="shared" ref="S269:T332" si="38">IF($L269&gt;O269,"OVER","UNDER")</f>
        <v>UNDER</v>
      </c>
      <c r="T269" s="4" t="str">
        <f t="shared" si="38"/>
        <v>UNDER</v>
      </c>
      <c r="U269" s="2">
        <f>IF(Q269="OVER",$J269,$K269)</f>
        <v>78.415086353235097</v>
      </c>
      <c r="V269" s="2">
        <f>IF(R269="OVER",$J269,$K269)</f>
        <v>78.415086353235097</v>
      </c>
      <c r="W269" s="2">
        <f>IF(S269="OVER",$J269,$K269)</f>
        <v>78.415086353235097</v>
      </c>
      <c r="X269" s="2">
        <f>IF(T269="OVER",$J269,$K269)</f>
        <v>78.415086353235097</v>
      </c>
      <c r="Y269" s="9">
        <f t="shared" ref="Y269:AB332" si="39">Y268+U269</f>
        <v>-6915.5979134065237</v>
      </c>
      <c r="Z269" s="9">
        <f t="shared" si="39"/>
        <v>4305.9194972216901</v>
      </c>
      <c r="AA269" s="9">
        <f t="shared" si="39"/>
        <v>10353.613561918715</v>
      </c>
      <c r="AB269" s="9">
        <f t="shared" si="36"/>
        <v>-1409.7916793921618</v>
      </c>
    </row>
    <row r="270" spans="1:28" x14ac:dyDescent="0.3">
      <c r="A270" s="1">
        <v>44803</v>
      </c>
      <c r="B270" s="2">
        <v>141.78</v>
      </c>
      <c r="C270" s="2">
        <v>398.21</v>
      </c>
      <c r="D270" s="9">
        <f>B270-B269</f>
        <v>-1.5099999999999909</v>
      </c>
      <c r="E270" s="9">
        <f>C270-C269</f>
        <v>-4.4200000000000159</v>
      </c>
      <c r="F270" s="3">
        <f>F$1/B270</f>
        <v>705.31809846240651</v>
      </c>
      <c r="G270" s="3">
        <f>F$1/C270</f>
        <v>251.12377891062505</v>
      </c>
      <c r="H270" s="2">
        <f>D270*F269</f>
        <v>-1053.8069648963578</v>
      </c>
      <c r="I270" s="2">
        <f>E270*G269</f>
        <v>-1097.7820828055574</v>
      </c>
      <c r="J270" s="2">
        <f>I270-H270</f>
        <v>-43.975117909199525</v>
      </c>
      <c r="K270" s="2">
        <f t="shared" si="34"/>
        <v>43.975117909199525</v>
      </c>
      <c r="L270" s="3">
        <f>C270/B270</f>
        <v>2.8086471998871487</v>
      </c>
      <c r="M270" s="3">
        <f t="shared" si="37"/>
        <v>2.8194879466609684</v>
      </c>
      <c r="N270" s="3">
        <f t="shared" si="32"/>
        <v>2.8230997128163273</v>
      </c>
      <c r="O270" s="3">
        <f t="shared" si="33"/>
        <v>2.8214040731185177</v>
      </c>
      <c r="P270" s="3">
        <f t="shared" si="35"/>
        <v>2.8437264599019931</v>
      </c>
      <c r="Q270" s="4" t="str">
        <f t="shared" ref="Q270:R333" si="40">IF($L269&gt;M269,"OVER","UNDER")</f>
        <v>UNDER</v>
      </c>
      <c r="R270" s="4" t="str">
        <f t="shared" si="40"/>
        <v>UNDER</v>
      </c>
      <c r="S270" s="4" t="str">
        <f t="shared" si="38"/>
        <v>UNDER</v>
      </c>
      <c r="T270" s="4" t="str">
        <f t="shared" si="38"/>
        <v>UNDER</v>
      </c>
      <c r="U270" s="2">
        <f>IF(Q270="OVER",$J270,$K270)</f>
        <v>43.975117909199525</v>
      </c>
      <c r="V270" s="2">
        <f>IF(R270="OVER",$J270,$K270)</f>
        <v>43.975117909199525</v>
      </c>
      <c r="W270" s="2">
        <f>IF(S270="OVER",$J270,$K270)</f>
        <v>43.975117909199525</v>
      </c>
      <c r="X270" s="2">
        <f>IF(T270="OVER",$J270,$K270)</f>
        <v>43.975117909199525</v>
      </c>
      <c r="Y270" s="9">
        <f t="shared" si="39"/>
        <v>-6871.6227954973238</v>
      </c>
      <c r="Z270" s="9">
        <f t="shared" si="39"/>
        <v>4349.8946151308901</v>
      </c>
      <c r="AA270" s="9">
        <f t="shared" si="39"/>
        <v>10397.588679827915</v>
      </c>
      <c r="AB270" s="9">
        <f t="shared" si="36"/>
        <v>-1365.8165614829622</v>
      </c>
    </row>
    <row r="271" spans="1:28" x14ac:dyDescent="0.3">
      <c r="A271" s="1">
        <v>44804</v>
      </c>
      <c r="B271" s="2">
        <v>140.76</v>
      </c>
      <c r="C271" s="2">
        <v>395.18</v>
      </c>
      <c r="D271" s="9">
        <f>B271-B270</f>
        <v>-1.0200000000000102</v>
      </c>
      <c r="E271" s="9">
        <f>C271-C270</f>
        <v>-3.0299999999999727</v>
      </c>
      <c r="F271" s="3">
        <f>F$1/B271</f>
        <v>710.42909917590225</v>
      </c>
      <c r="G271" s="3">
        <f>F$1/C271</f>
        <v>253.04924338276228</v>
      </c>
      <c r="H271" s="2">
        <f>D271*F270</f>
        <v>-719.42446043166183</v>
      </c>
      <c r="I271" s="2">
        <f>E271*G270</f>
        <v>-760.90505009918706</v>
      </c>
      <c r="J271" s="2">
        <f>I271-H271</f>
        <v>-41.480589667525237</v>
      </c>
      <c r="K271" s="2">
        <f t="shared" si="34"/>
        <v>41.480589667525237</v>
      </c>
      <c r="L271" s="3">
        <f>C271/B271</f>
        <v>2.8074737141233306</v>
      </c>
      <c r="M271" s="3">
        <f t="shared" si="37"/>
        <v>2.8176107817722942</v>
      </c>
      <c r="N271" s="3">
        <f t="shared" si="32"/>
        <v>2.8215676257360807</v>
      </c>
      <c r="O271" s="3">
        <f t="shared" si="33"/>
        <v>2.8210202743585544</v>
      </c>
      <c r="P271" s="3">
        <f t="shared" si="35"/>
        <v>2.8433106889736934</v>
      </c>
      <c r="Q271" s="4" t="str">
        <f t="shared" si="40"/>
        <v>UNDER</v>
      </c>
      <c r="R271" s="4" t="str">
        <f t="shared" si="40"/>
        <v>UNDER</v>
      </c>
      <c r="S271" s="4" t="str">
        <f t="shared" si="38"/>
        <v>UNDER</v>
      </c>
      <c r="T271" s="4" t="str">
        <f t="shared" si="38"/>
        <v>UNDER</v>
      </c>
      <c r="U271" s="2">
        <f>IF(Q271="OVER",$J271,$K271)</f>
        <v>41.480589667525237</v>
      </c>
      <c r="V271" s="2">
        <f>IF(R271="OVER",$J271,$K271)</f>
        <v>41.480589667525237</v>
      </c>
      <c r="W271" s="2">
        <f>IF(S271="OVER",$J271,$K271)</f>
        <v>41.480589667525237</v>
      </c>
      <c r="X271" s="2">
        <f>IF(T271="OVER",$J271,$K271)</f>
        <v>41.480589667525237</v>
      </c>
      <c r="Y271" s="9">
        <f t="shared" si="39"/>
        <v>-6830.1422058297985</v>
      </c>
      <c r="Z271" s="9">
        <f t="shared" si="39"/>
        <v>4391.3752047984153</v>
      </c>
      <c r="AA271" s="9">
        <f t="shared" si="39"/>
        <v>10439.069269495441</v>
      </c>
      <c r="AB271" s="9">
        <f t="shared" si="36"/>
        <v>-1324.335971815437</v>
      </c>
    </row>
    <row r="272" spans="1:28" x14ac:dyDescent="0.3">
      <c r="A272" s="1">
        <v>44805</v>
      </c>
      <c r="B272" s="2">
        <v>140.88</v>
      </c>
      <c r="C272" s="2">
        <v>396.42</v>
      </c>
      <c r="D272" s="9">
        <f>B272-B271</f>
        <v>0.12000000000000455</v>
      </c>
      <c r="E272" s="9">
        <f>C272-C271</f>
        <v>1.2400000000000091</v>
      </c>
      <c r="F272" s="3">
        <f>F$1/B272</f>
        <v>709.82396365701311</v>
      </c>
      <c r="G272" s="3">
        <f>F$1/C272</f>
        <v>252.25770647293274</v>
      </c>
      <c r="H272" s="2">
        <f>D272*F271</f>
        <v>85.251491901111507</v>
      </c>
      <c r="I272" s="2">
        <f>E272*G271</f>
        <v>313.78106179462753</v>
      </c>
      <c r="J272" s="2">
        <f>I272-H272</f>
        <v>228.52956989351603</v>
      </c>
      <c r="K272" s="2">
        <f t="shared" si="34"/>
        <v>-228.52956989351603</v>
      </c>
      <c r="L272" s="3">
        <f>C272/B272</f>
        <v>2.8138841567291313</v>
      </c>
      <c r="M272" s="3">
        <f t="shared" si="37"/>
        <v>2.8164516538635906</v>
      </c>
      <c r="N272" s="3">
        <f t="shared" si="32"/>
        <v>2.8201502497130808</v>
      </c>
      <c r="O272" s="3">
        <f t="shared" si="33"/>
        <v>2.8208373934756441</v>
      </c>
      <c r="P272" s="3">
        <f t="shared" si="35"/>
        <v>2.8429470213858199</v>
      </c>
      <c r="Q272" s="4" t="str">
        <f t="shared" si="40"/>
        <v>UNDER</v>
      </c>
      <c r="R272" s="4" t="str">
        <f t="shared" si="40"/>
        <v>UNDER</v>
      </c>
      <c r="S272" s="4" t="str">
        <f t="shared" si="38"/>
        <v>UNDER</v>
      </c>
      <c r="T272" s="4" t="str">
        <f t="shared" si="38"/>
        <v>UNDER</v>
      </c>
      <c r="U272" s="2">
        <f>IF(Q272="OVER",$J272,$K272)</f>
        <v>-228.52956989351603</v>
      </c>
      <c r="V272" s="2">
        <f>IF(R272="OVER",$J272,$K272)</f>
        <v>-228.52956989351603</v>
      </c>
      <c r="W272" s="2">
        <f>IF(S272="OVER",$J272,$K272)</f>
        <v>-228.52956989351603</v>
      </c>
      <c r="X272" s="2">
        <f>IF(T272="OVER",$J272,$K272)</f>
        <v>-228.52956989351603</v>
      </c>
      <c r="Y272" s="9">
        <f t="shared" si="39"/>
        <v>-7058.6717757233146</v>
      </c>
      <c r="Z272" s="9">
        <f t="shared" si="39"/>
        <v>4162.8456349048993</v>
      </c>
      <c r="AA272" s="9">
        <f t="shared" si="39"/>
        <v>10210.539699601926</v>
      </c>
      <c r="AB272" s="9">
        <f t="shared" si="36"/>
        <v>-1552.8655417089531</v>
      </c>
    </row>
    <row r="273" spans="1:28" x14ac:dyDescent="0.3">
      <c r="A273" s="1">
        <v>44806</v>
      </c>
      <c r="B273" s="2">
        <v>139.86000000000001</v>
      </c>
      <c r="C273" s="2">
        <v>392.24</v>
      </c>
      <c r="D273" s="9">
        <f>B273-B272</f>
        <v>-1.0199999999999818</v>
      </c>
      <c r="E273" s="9">
        <f>C273-C272</f>
        <v>-4.1800000000000068</v>
      </c>
      <c r="F273" s="3">
        <f>F$1/B273</f>
        <v>715.00071500071488</v>
      </c>
      <c r="G273" s="3">
        <f>F$1/C273</f>
        <v>254.94595145829084</v>
      </c>
      <c r="H273" s="2">
        <f>D273*F272</f>
        <v>-724.02044293014046</v>
      </c>
      <c r="I273" s="2">
        <f>E273*G272</f>
        <v>-1054.4372130568606</v>
      </c>
      <c r="J273" s="2">
        <f>I273-H273</f>
        <v>-330.41677012672017</v>
      </c>
      <c r="K273" s="2">
        <f t="shared" si="34"/>
        <v>330.41677012672017</v>
      </c>
      <c r="L273" s="3">
        <f>C273/B273</f>
        <v>2.8045188045188043</v>
      </c>
      <c r="M273" s="3">
        <f t="shared" si="37"/>
        <v>2.8144222709321736</v>
      </c>
      <c r="N273" s="3">
        <f t="shared" si="32"/>
        <v>2.8186603961358951</v>
      </c>
      <c r="O273" s="3">
        <f t="shared" si="33"/>
        <v>2.8203827501224068</v>
      </c>
      <c r="P273" s="3">
        <f t="shared" si="35"/>
        <v>2.8424981709776751</v>
      </c>
      <c r="Q273" s="4" t="str">
        <f t="shared" si="40"/>
        <v>UNDER</v>
      </c>
      <c r="R273" s="4" t="str">
        <f t="shared" si="40"/>
        <v>UNDER</v>
      </c>
      <c r="S273" s="4" t="str">
        <f t="shared" si="38"/>
        <v>UNDER</v>
      </c>
      <c r="T273" s="4" t="str">
        <f t="shared" si="38"/>
        <v>UNDER</v>
      </c>
      <c r="U273" s="2">
        <f>IF(Q273="OVER",$J273,$K273)</f>
        <v>330.41677012672017</v>
      </c>
      <c r="V273" s="2">
        <f>IF(R273="OVER",$J273,$K273)</f>
        <v>330.41677012672017</v>
      </c>
      <c r="W273" s="2">
        <f>IF(S273="OVER",$J273,$K273)</f>
        <v>330.41677012672017</v>
      </c>
      <c r="X273" s="2">
        <f>IF(T273="OVER",$J273,$K273)</f>
        <v>330.41677012672017</v>
      </c>
      <c r="Y273" s="9">
        <f t="shared" si="39"/>
        <v>-6728.2550055965949</v>
      </c>
      <c r="Z273" s="9">
        <f t="shared" si="39"/>
        <v>4493.262405031619</v>
      </c>
      <c r="AA273" s="9">
        <f t="shared" si="39"/>
        <v>10540.956469728646</v>
      </c>
      <c r="AB273" s="9">
        <f t="shared" si="36"/>
        <v>-1222.4487715822329</v>
      </c>
    </row>
    <row r="274" spans="1:28" x14ac:dyDescent="0.3">
      <c r="A274" s="1">
        <v>44810</v>
      </c>
      <c r="B274" s="2">
        <v>139.47</v>
      </c>
      <c r="C274" s="2">
        <v>390.76</v>
      </c>
      <c r="D274" s="9">
        <f>B274-B273</f>
        <v>-0.39000000000001478</v>
      </c>
      <c r="E274" s="9">
        <f>C274-C273</f>
        <v>-1.4800000000000182</v>
      </c>
      <c r="F274" s="3">
        <f>F$1/B274</f>
        <v>717.0000717000072</v>
      </c>
      <c r="G274" s="3">
        <f>F$1/C274</f>
        <v>255.91155696591258</v>
      </c>
      <c r="H274" s="2">
        <f>D274*F273</f>
        <v>-278.85027885028938</v>
      </c>
      <c r="I274" s="2">
        <f>E274*G273</f>
        <v>-377.32000815827507</v>
      </c>
      <c r="J274" s="2">
        <f>I274-H274</f>
        <v>-98.469729307985688</v>
      </c>
      <c r="K274" s="2">
        <f t="shared" si="34"/>
        <v>98.469729307985688</v>
      </c>
      <c r="L274" s="3">
        <f>C274/B274</f>
        <v>2.8017494801749478</v>
      </c>
      <c r="M274" s="3">
        <f t="shared" si="37"/>
        <v>2.812099952683949</v>
      </c>
      <c r="N274" s="3">
        <f t="shared" si="32"/>
        <v>2.8175933141257761</v>
      </c>
      <c r="O274" s="3">
        <f t="shared" si="33"/>
        <v>2.8199130681824855</v>
      </c>
      <c r="P274" s="3">
        <f t="shared" si="35"/>
        <v>2.8419936495293441</v>
      </c>
      <c r="Q274" s="4" t="str">
        <f t="shared" si="40"/>
        <v>UNDER</v>
      </c>
      <c r="R274" s="4" t="str">
        <f t="shared" si="40"/>
        <v>UNDER</v>
      </c>
      <c r="S274" s="4" t="str">
        <f t="shared" si="38"/>
        <v>UNDER</v>
      </c>
      <c r="T274" s="4" t="str">
        <f t="shared" si="38"/>
        <v>UNDER</v>
      </c>
      <c r="U274" s="2">
        <f>IF(Q274="OVER",$J274,$K274)</f>
        <v>98.469729307985688</v>
      </c>
      <c r="V274" s="2">
        <f>IF(R274="OVER",$J274,$K274)</f>
        <v>98.469729307985688</v>
      </c>
      <c r="W274" s="2">
        <f>IF(S274="OVER",$J274,$K274)</f>
        <v>98.469729307985688</v>
      </c>
      <c r="X274" s="2">
        <f>IF(T274="OVER",$J274,$K274)</f>
        <v>98.469729307985688</v>
      </c>
      <c r="Y274" s="9">
        <f t="shared" si="39"/>
        <v>-6629.7852762886096</v>
      </c>
      <c r="Z274" s="9">
        <f t="shared" si="39"/>
        <v>4591.7321343396043</v>
      </c>
      <c r="AA274" s="9">
        <f t="shared" si="39"/>
        <v>10639.426199036632</v>
      </c>
      <c r="AB274" s="9">
        <f t="shared" si="36"/>
        <v>-1123.9790422742471</v>
      </c>
    </row>
    <row r="275" spans="1:28" x14ac:dyDescent="0.3">
      <c r="A275" s="1">
        <v>44811</v>
      </c>
      <c r="B275" s="2">
        <v>142.53</v>
      </c>
      <c r="C275" s="2">
        <v>397.78</v>
      </c>
      <c r="D275" s="9">
        <f>B275-B274</f>
        <v>3.0600000000000023</v>
      </c>
      <c r="E275" s="9">
        <f>C275-C274</f>
        <v>7.0199999999999818</v>
      </c>
      <c r="F275" s="3">
        <f>F$1/B275</f>
        <v>701.6066792955869</v>
      </c>
      <c r="G275" s="3">
        <f>F$1/C275</f>
        <v>251.39524360199107</v>
      </c>
      <c r="H275" s="2">
        <f>D275*F274</f>
        <v>2194.0202194020235</v>
      </c>
      <c r="I275" s="2">
        <f>E275*G274</f>
        <v>1796.4991299007017</v>
      </c>
      <c r="J275" s="2">
        <f>I275-H275</f>
        <v>-397.52108950132174</v>
      </c>
      <c r="K275" s="2">
        <f t="shared" si="34"/>
        <v>397.52108950132174</v>
      </c>
      <c r="L275" s="3">
        <f>C275/B275</f>
        <v>2.7908510489019855</v>
      </c>
      <c r="M275" s="3">
        <f t="shared" si="37"/>
        <v>2.8086374352636096</v>
      </c>
      <c r="N275" s="3">
        <f t="shared" si="32"/>
        <v>2.815720162500468</v>
      </c>
      <c r="O275" s="3">
        <f t="shared" si="33"/>
        <v>2.819412697856178</v>
      </c>
      <c r="P275" s="3">
        <f t="shared" si="35"/>
        <v>2.841331873906968</v>
      </c>
      <c r="Q275" s="4" t="str">
        <f t="shared" si="40"/>
        <v>UNDER</v>
      </c>
      <c r="R275" s="4" t="str">
        <f t="shared" si="40"/>
        <v>UNDER</v>
      </c>
      <c r="S275" s="4" t="str">
        <f t="shared" si="38"/>
        <v>UNDER</v>
      </c>
      <c r="T275" s="4" t="str">
        <f t="shared" si="38"/>
        <v>UNDER</v>
      </c>
      <c r="U275" s="2">
        <f>IF(Q275="OVER",$J275,$K275)</f>
        <v>397.52108950132174</v>
      </c>
      <c r="V275" s="2">
        <f>IF(R275="OVER",$J275,$K275)</f>
        <v>397.52108950132174</v>
      </c>
      <c r="W275" s="2">
        <f>IF(S275="OVER",$J275,$K275)</f>
        <v>397.52108950132174</v>
      </c>
      <c r="X275" s="2">
        <f>IF(T275="OVER",$J275,$K275)</f>
        <v>397.52108950132174</v>
      </c>
      <c r="Y275" s="9">
        <f t="shared" si="39"/>
        <v>-6232.2641867872881</v>
      </c>
      <c r="Z275" s="9">
        <f t="shared" si="39"/>
        <v>4989.2532238409258</v>
      </c>
      <c r="AA275" s="9">
        <f t="shared" si="39"/>
        <v>11036.947288537955</v>
      </c>
      <c r="AB275" s="9">
        <f t="shared" si="36"/>
        <v>-726.45795277292541</v>
      </c>
    </row>
    <row r="276" spans="1:28" x14ac:dyDescent="0.3">
      <c r="A276" s="1">
        <v>44812</v>
      </c>
      <c r="B276" s="2">
        <v>143.76</v>
      </c>
      <c r="C276" s="2">
        <v>400.38</v>
      </c>
      <c r="D276" s="9">
        <f>B276-B275</f>
        <v>1.2299999999999898</v>
      </c>
      <c r="E276" s="9">
        <f>C276-C275</f>
        <v>2.6000000000000227</v>
      </c>
      <c r="F276" s="3">
        <f>F$1/B276</f>
        <v>695.60378408458541</v>
      </c>
      <c r="G276" s="3">
        <f>F$1/C276</f>
        <v>249.76272541085967</v>
      </c>
      <c r="H276" s="2">
        <f>D276*F275</f>
        <v>862.97621553356475</v>
      </c>
      <c r="I276" s="2">
        <f>E276*G275</f>
        <v>653.62763336518253</v>
      </c>
      <c r="J276" s="2">
        <f>I276-H276</f>
        <v>-209.34858216838222</v>
      </c>
      <c r="K276" s="2">
        <f t="shared" si="34"/>
        <v>209.34858216838222</v>
      </c>
      <c r="L276" s="3">
        <f>C276/B276</f>
        <v>2.7850584307178634</v>
      </c>
      <c r="M276" s="3">
        <f t="shared" si="37"/>
        <v>2.805101961092606</v>
      </c>
      <c r="N276" s="3">
        <f t="shared" si="32"/>
        <v>2.813609906655008</v>
      </c>
      <c r="O276" s="3">
        <f t="shared" si="33"/>
        <v>2.8190947347560398</v>
      </c>
      <c r="P276" s="3">
        <f t="shared" si="35"/>
        <v>2.8405722302635015</v>
      </c>
      <c r="Q276" s="4" t="str">
        <f t="shared" si="40"/>
        <v>UNDER</v>
      </c>
      <c r="R276" s="4" t="str">
        <f t="shared" si="40"/>
        <v>UNDER</v>
      </c>
      <c r="S276" s="4" t="str">
        <f t="shared" si="38"/>
        <v>UNDER</v>
      </c>
      <c r="T276" s="4" t="str">
        <f t="shared" si="38"/>
        <v>UNDER</v>
      </c>
      <c r="U276" s="2">
        <f>IF(Q276="OVER",$J276,$K276)</f>
        <v>209.34858216838222</v>
      </c>
      <c r="V276" s="2">
        <f>IF(R276="OVER",$J276,$K276)</f>
        <v>209.34858216838222</v>
      </c>
      <c r="W276" s="2">
        <f>IF(S276="OVER",$J276,$K276)</f>
        <v>209.34858216838222</v>
      </c>
      <c r="X276" s="2">
        <f>IF(T276="OVER",$J276,$K276)</f>
        <v>209.34858216838222</v>
      </c>
      <c r="Y276" s="9">
        <f t="shared" si="39"/>
        <v>-6022.9156046189055</v>
      </c>
      <c r="Z276" s="9">
        <f t="shared" si="39"/>
        <v>5198.6018060093083</v>
      </c>
      <c r="AA276" s="9">
        <f t="shared" si="39"/>
        <v>11246.295870706337</v>
      </c>
      <c r="AB276" s="9">
        <f t="shared" si="36"/>
        <v>-517.10937060454319</v>
      </c>
    </row>
    <row r="277" spans="1:28" x14ac:dyDescent="0.3">
      <c r="A277" s="1">
        <v>44813</v>
      </c>
      <c r="B277" s="2">
        <v>145.74</v>
      </c>
      <c r="C277" s="2">
        <v>406.6</v>
      </c>
      <c r="D277" s="9">
        <f>B277-B276</f>
        <v>1.9800000000000182</v>
      </c>
      <c r="E277" s="9">
        <f>C277-C276</f>
        <v>6.2200000000000273</v>
      </c>
      <c r="F277" s="3">
        <f>F$1/B277</f>
        <v>686.15342390558521</v>
      </c>
      <c r="G277" s="3">
        <f>F$1/C277</f>
        <v>245.94195769798327</v>
      </c>
      <c r="H277" s="2">
        <f>D277*F276</f>
        <v>1377.2954924874919</v>
      </c>
      <c r="I277" s="2">
        <f>E277*G276</f>
        <v>1553.5241520555539</v>
      </c>
      <c r="J277" s="2">
        <f>I277-H277</f>
        <v>176.22865956806208</v>
      </c>
      <c r="K277" s="2">
        <f t="shared" si="34"/>
        <v>-176.22865956806208</v>
      </c>
      <c r="L277" s="3">
        <f>C277/B277</f>
        <v>2.7898998216001099</v>
      </c>
      <c r="M277" s="3">
        <f t="shared" si="37"/>
        <v>2.8024092735420147</v>
      </c>
      <c r="N277" s="3">
        <f t="shared" si="32"/>
        <v>2.8123670115343571</v>
      </c>
      <c r="O277" s="3">
        <f t="shared" si="33"/>
        <v>2.8185752661699031</v>
      </c>
      <c r="P277" s="3">
        <f t="shared" si="35"/>
        <v>2.8399010289337285</v>
      </c>
      <c r="Q277" s="4" t="str">
        <f t="shared" si="40"/>
        <v>UNDER</v>
      </c>
      <c r="R277" s="4" t="str">
        <f t="shared" si="40"/>
        <v>UNDER</v>
      </c>
      <c r="S277" s="4" t="str">
        <f t="shared" si="38"/>
        <v>UNDER</v>
      </c>
      <c r="T277" s="4" t="str">
        <f t="shared" si="38"/>
        <v>UNDER</v>
      </c>
      <c r="U277" s="2">
        <f>IF(Q277="OVER",$J277,$K277)</f>
        <v>-176.22865956806208</v>
      </c>
      <c r="V277" s="2">
        <f>IF(R277="OVER",$J277,$K277)</f>
        <v>-176.22865956806208</v>
      </c>
      <c r="W277" s="2">
        <f>IF(S277="OVER",$J277,$K277)</f>
        <v>-176.22865956806208</v>
      </c>
      <c r="X277" s="2">
        <f>IF(T277="OVER",$J277,$K277)</f>
        <v>-176.22865956806208</v>
      </c>
      <c r="Y277" s="9">
        <f t="shared" si="39"/>
        <v>-6199.1442641869671</v>
      </c>
      <c r="Z277" s="9">
        <f t="shared" si="39"/>
        <v>5022.3731464412467</v>
      </c>
      <c r="AA277" s="9">
        <f t="shared" si="39"/>
        <v>11070.067211138276</v>
      </c>
      <c r="AB277" s="9">
        <f t="shared" si="36"/>
        <v>-693.33803017260527</v>
      </c>
    </row>
    <row r="278" spans="1:28" x14ac:dyDescent="0.3">
      <c r="A278" s="1">
        <v>44816</v>
      </c>
      <c r="B278" s="2">
        <v>147.1</v>
      </c>
      <c r="C278" s="2">
        <v>410.97</v>
      </c>
      <c r="D278" s="9">
        <f>B278-B277</f>
        <v>1.3599999999999852</v>
      </c>
      <c r="E278" s="9">
        <f>C278-C277</f>
        <v>4.3700000000000045</v>
      </c>
      <c r="F278" s="3">
        <f>F$1/B278</f>
        <v>679.80965329707681</v>
      </c>
      <c r="G278" s="3">
        <f>F$1/C278</f>
        <v>243.32676351071854</v>
      </c>
      <c r="H278" s="2">
        <f>D278*F277</f>
        <v>933.16865651158571</v>
      </c>
      <c r="I278" s="2">
        <f>E278*G277</f>
        <v>1074.7663551401879</v>
      </c>
      <c r="J278" s="2">
        <f>I278-H278</f>
        <v>141.59769862860219</v>
      </c>
      <c r="K278" s="2">
        <f t="shared" si="34"/>
        <v>-141.59769862860219</v>
      </c>
      <c r="L278" s="3">
        <f>C278/B278</f>
        <v>2.7938137321549967</v>
      </c>
      <c r="M278" s="3">
        <f t="shared" si="37"/>
        <v>2.8005792403882643</v>
      </c>
      <c r="N278" s="3">
        <f t="shared" si="32"/>
        <v>2.8112121632522507</v>
      </c>
      <c r="O278" s="3">
        <f t="shared" si="33"/>
        <v>2.818242049641134</v>
      </c>
      <c r="P278" s="3">
        <f t="shared" si="35"/>
        <v>2.8392901897718827</v>
      </c>
      <c r="Q278" s="4" t="str">
        <f t="shared" si="40"/>
        <v>UNDER</v>
      </c>
      <c r="R278" s="4" t="str">
        <f t="shared" si="40"/>
        <v>UNDER</v>
      </c>
      <c r="S278" s="4" t="str">
        <f t="shared" si="38"/>
        <v>UNDER</v>
      </c>
      <c r="T278" s="4" t="str">
        <f t="shared" si="38"/>
        <v>UNDER</v>
      </c>
      <c r="U278" s="2">
        <f>IF(Q278="OVER",$J278,$K278)</f>
        <v>-141.59769862860219</v>
      </c>
      <c r="V278" s="2">
        <f>IF(R278="OVER",$J278,$K278)</f>
        <v>-141.59769862860219</v>
      </c>
      <c r="W278" s="2">
        <f>IF(S278="OVER",$J278,$K278)</f>
        <v>-141.59769862860219</v>
      </c>
      <c r="X278" s="2">
        <f>IF(T278="OVER",$J278,$K278)</f>
        <v>-141.59769862860219</v>
      </c>
      <c r="Y278" s="9">
        <f t="shared" si="39"/>
        <v>-6340.7419628155694</v>
      </c>
      <c r="Z278" s="9">
        <f t="shared" si="39"/>
        <v>4880.7754478126444</v>
      </c>
      <c r="AA278" s="9">
        <f t="shared" si="39"/>
        <v>10928.469512509673</v>
      </c>
      <c r="AB278" s="9">
        <f t="shared" si="36"/>
        <v>-834.93572880120746</v>
      </c>
    </row>
    <row r="279" spans="1:28" x14ac:dyDescent="0.3">
      <c r="A279" s="1">
        <v>44817</v>
      </c>
      <c r="B279" s="2">
        <v>141.28</v>
      </c>
      <c r="C279" s="2">
        <v>393.1</v>
      </c>
      <c r="D279" s="9">
        <f>B279-B278</f>
        <v>-5.8199999999999932</v>
      </c>
      <c r="E279" s="9">
        <f>C279-C278</f>
        <v>-17.870000000000005</v>
      </c>
      <c r="F279" s="3">
        <f>F$1/B279</f>
        <v>707.81426953567382</v>
      </c>
      <c r="G279" s="3">
        <f>F$1/C279</f>
        <v>254.3881963876876</v>
      </c>
      <c r="H279" s="2">
        <f>D279*F278</f>
        <v>-3956.4921821889825</v>
      </c>
      <c r="I279" s="2">
        <f>E279*G278</f>
        <v>-4348.249263936541</v>
      </c>
      <c r="J279" s="2">
        <f>I279-H279</f>
        <v>-391.75708174755846</v>
      </c>
      <c r="K279" s="2">
        <f t="shared" si="34"/>
        <v>391.75708174755846</v>
      </c>
      <c r="L279" s="3">
        <f>C279/B279</f>
        <v>2.7824178935447339</v>
      </c>
      <c r="M279" s="3">
        <f t="shared" si="37"/>
        <v>2.7978314282353054</v>
      </c>
      <c r="N279" s="3">
        <f t="shared" ref="N279:N342" si="41">AVERAGE(L260:L279)</f>
        <v>2.8092142688541335</v>
      </c>
      <c r="O279" s="3">
        <f t="shared" si="33"/>
        <v>2.8177720590907431</v>
      </c>
      <c r="P279" s="3">
        <f t="shared" si="35"/>
        <v>2.838590725454746</v>
      </c>
      <c r="Q279" s="4" t="str">
        <f t="shared" si="40"/>
        <v>UNDER</v>
      </c>
      <c r="R279" s="4" t="str">
        <f t="shared" si="40"/>
        <v>UNDER</v>
      </c>
      <c r="S279" s="4" t="str">
        <f t="shared" si="38"/>
        <v>UNDER</v>
      </c>
      <c r="T279" s="4" t="str">
        <f t="shared" si="38"/>
        <v>UNDER</v>
      </c>
      <c r="U279" s="2">
        <f>IF(Q279="OVER",$J279,$K279)</f>
        <v>391.75708174755846</v>
      </c>
      <c r="V279" s="2">
        <f>IF(R279="OVER",$J279,$K279)</f>
        <v>391.75708174755846</v>
      </c>
      <c r="W279" s="2">
        <f>IF(S279="OVER",$J279,$K279)</f>
        <v>391.75708174755846</v>
      </c>
      <c r="X279" s="2">
        <f>IF(T279="OVER",$J279,$K279)</f>
        <v>391.75708174755846</v>
      </c>
      <c r="Y279" s="9">
        <f t="shared" si="39"/>
        <v>-5948.9848810680105</v>
      </c>
      <c r="Z279" s="9">
        <f t="shared" si="39"/>
        <v>5272.5325295602033</v>
      </c>
      <c r="AA279" s="9">
        <f t="shared" si="39"/>
        <v>11320.226594257232</v>
      </c>
      <c r="AB279" s="9">
        <f t="shared" si="36"/>
        <v>-443.178647053649</v>
      </c>
    </row>
    <row r="280" spans="1:28" x14ac:dyDescent="0.3">
      <c r="A280" s="1">
        <v>44818</v>
      </c>
      <c r="B280" s="2">
        <v>141.27000000000001</v>
      </c>
      <c r="C280" s="2">
        <v>394.6</v>
      </c>
      <c r="D280" s="9">
        <f>B280-B279</f>
        <v>-9.9999999999909051E-3</v>
      </c>
      <c r="E280" s="9">
        <f>C280-C279</f>
        <v>1.5</v>
      </c>
      <c r="F280" s="3">
        <f>F$1/B280</f>
        <v>707.86437318609751</v>
      </c>
      <c r="G280" s="3">
        <f>F$1/C280</f>
        <v>253.42118601115052</v>
      </c>
      <c r="H280" s="2">
        <f>D280*F279</f>
        <v>-7.0781426953503006</v>
      </c>
      <c r="I280" s="2">
        <f>E280*G279</f>
        <v>381.58229458153141</v>
      </c>
      <c r="J280" s="2">
        <f>I280-H280</f>
        <v>388.66043727688174</v>
      </c>
      <c r="K280" s="2">
        <f t="shared" si="34"/>
        <v>-388.66043727688174</v>
      </c>
      <c r="L280" s="3">
        <f>C280/B280</f>
        <v>2.793232816592341</v>
      </c>
      <c r="M280" s="3">
        <f t="shared" si="37"/>
        <v>2.7962899899058247</v>
      </c>
      <c r="N280" s="3">
        <f t="shared" si="41"/>
        <v>2.8078889682833963</v>
      </c>
      <c r="O280" s="3">
        <f t="shared" si="33"/>
        <v>2.8172796516084992</v>
      </c>
      <c r="P280" s="3">
        <f t="shared" si="35"/>
        <v>2.837889562425346</v>
      </c>
      <c r="Q280" s="4" t="str">
        <f t="shared" si="40"/>
        <v>UNDER</v>
      </c>
      <c r="R280" s="4" t="str">
        <f t="shared" si="40"/>
        <v>UNDER</v>
      </c>
      <c r="S280" s="4" t="str">
        <f t="shared" si="38"/>
        <v>UNDER</v>
      </c>
      <c r="T280" s="4" t="str">
        <f t="shared" si="38"/>
        <v>UNDER</v>
      </c>
      <c r="U280" s="2">
        <f>IF(Q280="OVER",$J280,$K280)</f>
        <v>-388.66043727688174</v>
      </c>
      <c r="V280" s="2">
        <f>IF(R280="OVER",$J280,$K280)</f>
        <v>-388.66043727688174</v>
      </c>
      <c r="W280" s="2">
        <f>IF(S280="OVER",$J280,$K280)</f>
        <v>-388.66043727688174</v>
      </c>
      <c r="X280" s="2">
        <f>IF(T280="OVER",$J280,$K280)</f>
        <v>-388.66043727688174</v>
      </c>
      <c r="Y280" s="9">
        <f t="shared" si="39"/>
        <v>-6337.6453183448921</v>
      </c>
      <c r="Z280" s="9">
        <f t="shared" si="39"/>
        <v>4883.8720922833218</v>
      </c>
      <c r="AA280" s="9">
        <f t="shared" si="39"/>
        <v>10931.566156980351</v>
      </c>
      <c r="AB280" s="9">
        <f t="shared" si="36"/>
        <v>-831.8390843305308</v>
      </c>
    </row>
    <row r="281" spans="1:28" x14ac:dyDescent="0.3">
      <c r="A281" s="1">
        <v>44819</v>
      </c>
      <c r="B281" s="2">
        <v>140.15</v>
      </c>
      <c r="C281" s="2">
        <v>390.12</v>
      </c>
      <c r="D281" s="9">
        <f>B281-B280</f>
        <v>-1.1200000000000045</v>
      </c>
      <c r="E281" s="9">
        <f>C281-C280</f>
        <v>-4.4800000000000182</v>
      </c>
      <c r="F281" s="3">
        <f>F$1/B281</f>
        <v>713.52122725651088</v>
      </c>
      <c r="G281" s="3">
        <f>F$1/C281</f>
        <v>256.33138521480572</v>
      </c>
      <c r="H281" s="2">
        <f>D281*F280</f>
        <v>-792.80809796843243</v>
      </c>
      <c r="I281" s="2">
        <f>E281*G280</f>
        <v>-1135.3269133299589</v>
      </c>
      <c r="J281" s="2">
        <f>I281-H281</f>
        <v>-342.51881536152644</v>
      </c>
      <c r="K281" s="2">
        <f t="shared" si="34"/>
        <v>342.51881536152644</v>
      </c>
      <c r="L281" s="3">
        <f>C281/B281</f>
        <v>2.7835890117731004</v>
      </c>
      <c r="M281" s="3">
        <f t="shared" si="37"/>
        <v>2.7939015196708015</v>
      </c>
      <c r="N281" s="3">
        <f t="shared" si="41"/>
        <v>2.8057561507215478</v>
      </c>
      <c r="O281" s="3">
        <f t="shared" si="33"/>
        <v>2.8164165446924643</v>
      </c>
      <c r="P281" s="3">
        <f t="shared" si="35"/>
        <v>2.8370835422183176</v>
      </c>
      <c r="Q281" s="4" t="str">
        <f t="shared" si="40"/>
        <v>UNDER</v>
      </c>
      <c r="R281" s="4" t="str">
        <f t="shared" si="40"/>
        <v>UNDER</v>
      </c>
      <c r="S281" s="4" t="str">
        <f t="shared" si="38"/>
        <v>UNDER</v>
      </c>
      <c r="T281" s="4" t="str">
        <f t="shared" si="38"/>
        <v>UNDER</v>
      </c>
      <c r="U281" s="2">
        <f>IF(Q281="OVER",$J281,$K281)</f>
        <v>342.51881536152644</v>
      </c>
      <c r="V281" s="2">
        <f>IF(R281="OVER",$J281,$K281)</f>
        <v>342.51881536152644</v>
      </c>
      <c r="W281" s="2">
        <f>IF(S281="OVER",$J281,$K281)</f>
        <v>342.51881536152644</v>
      </c>
      <c r="X281" s="2">
        <f>IF(T281="OVER",$J281,$K281)</f>
        <v>342.51881536152644</v>
      </c>
      <c r="Y281" s="9">
        <f t="shared" si="39"/>
        <v>-5995.1265029833658</v>
      </c>
      <c r="Z281" s="9">
        <f t="shared" si="39"/>
        <v>5226.3909076448481</v>
      </c>
      <c r="AA281" s="9">
        <f t="shared" si="39"/>
        <v>11274.084972341878</v>
      </c>
      <c r="AB281" s="9">
        <f t="shared" si="36"/>
        <v>-489.32026896900436</v>
      </c>
    </row>
    <row r="282" spans="1:28" x14ac:dyDescent="0.3">
      <c r="A282" s="1">
        <v>44820</v>
      </c>
      <c r="B282" s="2">
        <v>138.75</v>
      </c>
      <c r="C282" s="2">
        <v>385.56</v>
      </c>
      <c r="D282" s="9">
        <f>B282-B281</f>
        <v>-1.4000000000000057</v>
      </c>
      <c r="E282" s="9">
        <f>C282-C281</f>
        <v>-4.5600000000000023</v>
      </c>
      <c r="F282" s="3">
        <f>F$1/B282</f>
        <v>720.72072072072069</v>
      </c>
      <c r="G282" s="3">
        <f>F$1/C282</f>
        <v>259.36300446104366</v>
      </c>
      <c r="H282" s="2">
        <f>D282*F281</f>
        <v>-998.92971815911926</v>
      </c>
      <c r="I282" s="2">
        <f>E282*G281</f>
        <v>-1168.8711165795146</v>
      </c>
      <c r="J282" s="2">
        <f>I282-H282</f>
        <v>-169.94139842039533</v>
      </c>
      <c r="K282" s="2">
        <f t="shared" si="34"/>
        <v>169.94139842039533</v>
      </c>
      <c r="L282" s="3">
        <f>C282/B282</f>
        <v>2.7788108108108109</v>
      </c>
      <c r="M282" s="3">
        <f t="shared" si="37"/>
        <v>2.7903941850789691</v>
      </c>
      <c r="N282" s="3">
        <f t="shared" si="41"/>
        <v>2.8034229194712799</v>
      </c>
      <c r="O282" s="3">
        <f t="shared" si="33"/>
        <v>2.8154329644710221</v>
      </c>
      <c r="P282" s="3">
        <f t="shared" si="35"/>
        <v>2.8361472036686872</v>
      </c>
      <c r="Q282" s="4" t="str">
        <f t="shared" si="40"/>
        <v>UNDER</v>
      </c>
      <c r="R282" s="4" t="str">
        <f t="shared" si="40"/>
        <v>UNDER</v>
      </c>
      <c r="S282" s="4" t="str">
        <f t="shared" si="38"/>
        <v>UNDER</v>
      </c>
      <c r="T282" s="4" t="str">
        <f t="shared" si="38"/>
        <v>UNDER</v>
      </c>
      <c r="U282" s="2">
        <f>IF(Q282="OVER",$J282,$K282)</f>
        <v>169.94139842039533</v>
      </c>
      <c r="V282" s="2">
        <f>IF(R282="OVER",$J282,$K282)</f>
        <v>169.94139842039533</v>
      </c>
      <c r="W282" s="2">
        <f>IF(S282="OVER",$J282,$K282)</f>
        <v>169.94139842039533</v>
      </c>
      <c r="X282" s="2">
        <f>IF(T282="OVER",$J282,$K282)</f>
        <v>169.94139842039533</v>
      </c>
      <c r="Y282" s="9">
        <f t="shared" si="39"/>
        <v>-5825.1851045629701</v>
      </c>
      <c r="Z282" s="9">
        <f t="shared" si="39"/>
        <v>5396.3323060652438</v>
      </c>
      <c r="AA282" s="9">
        <f t="shared" si="39"/>
        <v>11444.026370762273</v>
      </c>
      <c r="AB282" s="9">
        <f t="shared" si="36"/>
        <v>-319.37887054860903</v>
      </c>
    </row>
    <row r="283" spans="1:28" x14ac:dyDescent="0.3">
      <c r="A283" s="1">
        <v>44823</v>
      </c>
      <c r="B283" s="2">
        <v>139.15</v>
      </c>
      <c r="C283" s="2">
        <v>388.55</v>
      </c>
      <c r="D283" s="9">
        <f>B283-B282</f>
        <v>0.40000000000000568</v>
      </c>
      <c r="E283" s="9">
        <f>C283-C282</f>
        <v>2.9900000000000091</v>
      </c>
      <c r="F283" s="3">
        <f>F$1/B283</f>
        <v>718.64893999281344</v>
      </c>
      <c r="G283" s="3">
        <f>F$1/C283</f>
        <v>257.36713421696049</v>
      </c>
      <c r="H283" s="2">
        <f>D283*F282</f>
        <v>288.28828828829239</v>
      </c>
      <c r="I283" s="2">
        <f>E283*G282</f>
        <v>775.49538333852286</v>
      </c>
      <c r="J283" s="2">
        <f>I283-H283</f>
        <v>487.20709505023046</v>
      </c>
      <c r="K283" s="2">
        <f t="shared" si="34"/>
        <v>-487.20709505023046</v>
      </c>
      <c r="L283" s="3">
        <f>C283/B283</f>
        <v>2.7923104563420766</v>
      </c>
      <c r="M283" s="3">
        <f t="shared" si="37"/>
        <v>2.7891733502612963</v>
      </c>
      <c r="N283" s="3">
        <f t="shared" si="41"/>
        <v>2.8017978105967352</v>
      </c>
      <c r="O283" s="3">
        <f t="shared" si="33"/>
        <v>2.8145555892429308</v>
      </c>
      <c r="P283" s="3">
        <f t="shared" si="35"/>
        <v>2.8352584131233929</v>
      </c>
      <c r="Q283" s="4" t="str">
        <f t="shared" si="40"/>
        <v>UNDER</v>
      </c>
      <c r="R283" s="4" t="str">
        <f t="shared" si="40"/>
        <v>UNDER</v>
      </c>
      <c r="S283" s="4" t="str">
        <f t="shared" si="38"/>
        <v>UNDER</v>
      </c>
      <c r="T283" s="4" t="str">
        <f t="shared" si="38"/>
        <v>UNDER</v>
      </c>
      <c r="U283" s="2">
        <f>IF(Q283="OVER",$J283,$K283)</f>
        <v>-487.20709505023046</v>
      </c>
      <c r="V283" s="2">
        <f>IF(R283="OVER",$J283,$K283)</f>
        <v>-487.20709505023046</v>
      </c>
      <c r="W283" s="2">
        <f>IF(S283="OVER",$J283,$K283)</f>
        <v>-487.20709505023046</v>
      </c>
      <c r="X283" s="2">
        <f>IF(T283="OVER",$J283,$K283)</f>
        <v>-487.20709505023046</v>
      </c>
      <c r="Y283" s="9">
        <f t="shared" si="39"/>
        <v>-6312.3921996132003</v>
      </c>
      <c r="Z283" s="9">
        <f t="shared" si="39"/>
        <v>4909.1252110150135</v>
      </c>
      <c r="AA283" s="9">
        <f t="shared" si="39"/>
        <v>10956.819275712041</v>
      </c>
      <c r="AB283" s="9">
        <f t="shared" si="36"/>
        <v>-806.58596559883949</v>
      </c>
    </row>
    <row r="284" spans="1:28" x14ac:dyDescent="0.3">
      <c r="A284" s="1">
        <v>44824</v>
      </c>
      <c r="B284" s="2">
        <v>136.91</v>
      </c>
      <c r="C284" s="2">
        <v>384.09</v>
      </c>
      <c r="D284" s="9">
        <f>B284-B283</f>
        <v>-2.2400000000000091</v>
      </c>
      <c r="E284" s="9">
        <f>C284-C283</f>
        <v>-4.4600000000000364</v>
      </c>
      <c r="F284" s="3">
        <f>F$1/B284</f>
        <v>730.40683660799061</v>
      </c>
      <c r="G284" s="3">
        <f>F$1/C284</f>
        <v>260.35564581217943</v>
      </c>
      <c r="H284" s="2">
        <f>D284*F283</f>
        <v>-1609.7736255839086</v>
      </c>
      <c r="I284" s="2">
        <f>E284*G283</f>
        <v>-1147.8574186076532</v>
      </c>
      <c r="J284" s="2">
        <f>I284-H284</f>
        <v>461.91620697625535</v>
      </c>
      <c r="K284" s="2">
        <f t="shared" si="34"/>
        <v>-461.91620697625535</v>
      </c>
      <c r="L284" s="3">
        <f>C284/B284</f>
        <v>2.805419618727631</v>
      </c>
      <c r="M284" s="3">
        <f t="shared" si="37"/>
        <v>2.7895403641165641</v>
      </c>
      <c r="N284" s="3">
        <f t="shared" si="41"/>
        <v>2.8008201584002572</v>
      </c>
      <c r="O284" s="3">
        <f t="shared" si="33"/>
        <v>2.8140680175579753</v>
      </c>
      <c r="P284" s="3">
        <f t="shared" si="35"/>
        <v>2.8345639148217954</v>
      </c>
      <c r="Q284" s="4" t="str">
        <f t="shared" si="40"/>
        <v>OVER</v>
      </c>
      <c r="R284" s="4" t="str">
        <f t="shared" si="40"/>
        <v>UNDER</v>
      </c>
      <c r="S284" s="4" t="str">
        <f t="shared" si="38"/>
        <v>UNDER</v>
      </c>
      <c r="T284" s="4" t="str">
        <f t="shared" si="38"/>
        <v>UNDER</v>
      </c>
      <c r="U284" s="2">
        <f>IF(Q284="OVER",$J284,$K284)</f>
        <v>461.91620697625535</v>
      </c>
      <c r="V284" s="2">
        <f>IF(R284="OVER",$J284,$K284)</f>
        <v>-461.91620697625535</v>
      </c>
      <c r="W284" s="2">
        <f>IF(S284="OVER",$J284,$K284)</f>
        <v>-461.91620697625535</v>
      </c>
      <c r="X284" s="2">
        <f>IF(T284="OVER",$J284,$K284)</f>
        <v>-461.91620697625535</v>
      </c>
      <c r="Y284" s="9">
        <f t="shared" si="39"/>
        <v>-5850.4759926369452</v>
      </c>
      <c r="Z284" s="9">
        <f t="shared" si="39"/>
        <v>4447.2090040387584</v>
      </c>
      <c r="AA284" s="9">
        <f t="shared" si="39"/>
        <v>10494.903068735786</v>
      </c>
      <c r="AB284" s="9">
        <f t="shared" si="36"/>
        <v>-1268.5021725750948</v>
      </c>
    </row>
    <row r="285" spans="1:28" x14ac:dyDescent="0.3">
      <c r="A285" s="1">
        <v>44825</v>
      </c>
      <c r="B285" s="2">
        <v>134.63999999999999</v>
      </c>
      <c r="C285" s="2">
        <v>377.39</v>
      </c>
      <c r="D285" s="9">
        <f>B285-B284</f>
        <v>-2.2700000000000102</v>
      </c>
      <c r="E285" s="9">
        <f>C285-C284</f>
        <v>-6.6999999999999886</v>
      </c>
      <c r="F285" s="3">
        <f>F$1/B285</f>
        <v>742.72133095662514</v>
      </c>
      <c r="G285" s="3">
        <f>F$1/C285</f>
        <v>264.97787434749199</v>
      </c>
      <c r="H285" s="2">
        <f>D285*F284</f>
        <v>-1658.0235191001461</v>
      </c>
      <c r="I285" s="2">
        <f>E285*G284</f>
        <v>-1744.3828269415992</v>
      </c>
      <c r="J285" s="2">
        <f>I285-H285</f>
        <v>-86.359307841453074</v>
      </c>
      <c r="K285" s="2">
        <f t="shared" si="34"/>
        <v>86.359307841453074</v>
      </c>
      <c r="L285" s="3">
        <f>C285/B285</f>
        <v>2.8029560308972075</v>
      </c>
      <c r="M285" s="3">
        <f t="shared" si="37"/>
        <v>2.7907508623160866</v>
      </c>
      <c r="N285" s="3">
        <f t="shared" si="41"/>
        <v>2.7996941487898486</v>
      </c>
      <c r="O285" s="3">
        <f t="shared" si="33"/>
        <v>2.8137621563066078</v>
      </c>
      <c r="P285" s="3">
        <f t="shared" si="35"/>
        <v>2.8339049085685146</v>
      </c>
      <c r="Q285" s="4" t="str">
        <f t="shared" si="40"/>
        <v>OVER</v>
      </c>
      <c r="R285" s="4" t="str">
        <f t="shared" si="40"/>
        <v>OVER</v>
      </c>
      <c r="S285" s="4" t="str">
        <f t="shared" si="38"/>
        <v>UNDER</v>
      </c>
      <c r="T285" s="4" t="str">
        <f t="shared" si="38"/>
        <v>UNDER</v>
      </c>
      <c r="U285" s="2">
        <f>IF(Q285="OVER",$J285,$K285)</f>
        <v>-86.359307841453074</v>
      </c>
      <c r="V285" s="2">
        <f>IF(R285="OVER",$J285,$K285)</f>
        <v>-86.359307841453074</v>
      </c>
      <c r="W285" s="2">
        <f>IF(S285="OVER",$J285,$K285)</f>
        <v>86.359307841453074</v>
      </c>
      <c r="X285" s="2">
        <f>IF(T285="OVER",$J285,$K285)</f>
        <v>86.359307841453074</v>
      </c>
      <c r="Y285" s="9">
        <f t="shared" si="39"/>
        <v>-5936.8353004783985</v>
      </c>
      <c r="Z285" s="9">
        <f t="shared" si="39"/>
        <v>4360.8496961973051</v>
      </c>
      <c r="AA285" s="9">
        <f t="shared" si="39"/>
        <v>10581.262376577239</v>
      </c>
      <c r="AB285" s="9">
        <f t="shared" si="36"/>
        <v>-1182.1428647336418</v>
      </c>
    </row>
    <row r="286" spans="1:28" x14ac:dyDescent="0.3">
      <c r="A286" s="1">
        <v>44826</v>
      </c>
      <c r="B286" s="2">
        <v>132.71</v>
      </c>
      <c r="C286" s="2">
        <v>374.22</v>
      </c>
      <c r="D286" s="9">
        <f>B286-B285</f>
        <v>-1.9299999999999784</v>
      </c>
      <c r="E286" s="9">
        <f>C286-C285</f>
        <v>-3.1699999999999591</v>
      </c>
      <c r="F286" s="3">
        <f>F$1/B286</f>
        <v>753.52271870996901</v>
      </c>
      <c r="G286" s="3">
        <f>F$1/C286</f>
        <v>267.22248944471164</v>
      </c>
      <c r="H286" s="2">
        <f>D286*F285</f>
        <v>-1433.4521687462704</v>
      </c>
      <c r="I286" s="2">
        <f>E286*G285</f>
        <v>-839.97986168153875</v>
      </c>
      <c r="J286" s="2">
        <f>I286-H286</f>
        <v>593.47230706473169</v>
      </c>
      <c r="K286" s="2">
        <f t="shared" si="34"/>
        <v>-593.47230706473169</v>
      </c>
      <c r="L286" s="3">
        <f>C286/B286</f>
        <v>2.8198327179564466</v>
      </c>
      <c r="M286" s="3">
        <f t="shared" si="37"/>
        <v>2.7942282910399454</v>
      </c>
      <c r="N286" s="3">
        <f t="shared" si="41"/>
        <v>2.7996651260662757</v>
      </c>
      <c r="O286" s="3">
        <f t="shared" si="33"/>
        <v>2.8137769085969766</v>
      </c>
      <c r="P286" s="3">
        <f t="shared" si="35"/>
        <v>2.8333733559136385</v>
      </c>
      <c r="Q286" s="4" t="str">
        <f t="shared" si="40"/>
        <v>OVER</v>
      </c>
      <c r="R286" s="4" t="str">
        <f t="shared" si="40"/>
        <v>OVER</v>
      </c>
      <c r="S286" s="4" t="str">
        <f t="shared" si="38"/>
        <v>OVER</v>
      </c>
      <c r="T286" s="4" t="str">
        <f t="shared" si="38"/>
        <v>UNDER</v>
      </c>
      <c r="U286" s="2">
        <f>IF(Q286="OVER",$J286,$K286)</f>
        <v>593.47230706473169</v>
      </c>
      <c r="V286" s="2">
        <f>IF(R286="OVER",$J286,$K286)</f>
        <v>593.47230706473169</v>
      </c>
      <c r="W286" s="2">
        <f>IF(S286="OVER",$J286,$K286)</f>
        <v>593.47230706473169</v>
      </c>
      <c r="X286" s="2">
        <f>IF(T286="OVER",$J286,$K286)</f>
        <v>-593.47230706473169</v>
      </c>
      <c r="Y286" s="9">
        <f t="shared" si="39"/>
        <v>-5343.362993413667</v>
      </c>
      <c r="Z286" s="9">
        <f t="shared" si="39"/>
        <v>4954.3220032620366</v>
      </c>
      <c r="AA286" s="9">
        <f t="shared" si="39"/>
        <v>11174.734683641971</v>
      </c>
      <c r="AB286" s="9">
        <f t="shared" si="36"/>
        <v>-1775.6151717983735</v>
      </c>
    </row>
    <row r="287" spans="1:28" x14ac:dyDescent="0.3">
      <c r="A287" s="1">
        <v>44827</v>
      </c>
      <c r="B287" s="2">
        <v>130.47999999999999</v>
      </c>
      <c r="C287" s="2">
        <v>367.95</v>
      </c>
      <c r="D287" s="9">
        <f>B287-B286</f>
        <v>-2.2300000000000182</v>
      </c>
      <c r="E287" s="9">
        <f>C287-C286</f>
        <v>-6.2700000000000387</v>
      </c>
      <c r="F287" s="3">
        <f>F$1/B287</f>
        <v>766.40098099325576</v>
      </c>
      <c r="G287" s="3">
        <f>F$1/C287</f>
        <v>271.77605652941975</v>
      </c>
      <c r="H287" s="2">
        <f>D287*F286</f>
        <v>-1680.3556627232447</v>
      </c>
      <c r="I287" s="2">
        <f>E287*G286</f>
        <v>-1675.4850088183523</v>
      </c>
      <c r="J287" s="2">
        <f>I287-H287</f>
        <v>4.8706539048923787</v>
      </c>
      <c r="K287" s="2">
        <f t="shared" si="34"/>
        <v>-4.8706539048923787</v>
      </c>
      <c r="L287" s="3">
        <f>C287/B287</f>
        <v>2.8199724095646843</v>
      </c>
      <c r="M287" s="3">
        <f t="shared" si="37"/>
        <v>2.7972355498364028</v>
      </c>
      <c r="N287" s="3">
        <f t="shared" si="41"/>
        <v>2.7998224116892092</v>
      </c>
      <c r="O287" s="3">
        <f t="shared" si="33"/>
        <v>2.8134841875713481</v>
      </c>
      <c r="P287" s="3">
        <f t="shared" si="35"/>
        <v>2.8327880699433989</v>
      </c>
      <c r="Q287" s="4" t="str">
        <f t="shared" si="40"/>
        <v>OVER</v>
      </c>
      <c r="R287" s="4" t="str">
        <f t="shared" si="40"/>
        <v>OVER</v>
      </c>
      <c r="S287" s="4" t="str">
        <f t="shared" si="38"/>
        <v>OVER</v>
      </c>
      <c r="T287" s="4" t="str">
        <f t="shared" si="38"/>
        <v>UNDER</v>
      </c>
      <c r="U287" s="2">
        <f>IF(Q287="OVER",$J287,$K287)</f>
        <v>4.8706539048923787</v>
      </c>
      <c r="V287" s="2">
        <f>IF(R287="OVER",$J287,$K287)</f>
        <v>4.8706539048923787</v>
      </c>
      <c r="W287" s="2">
        <f>IF(S287="OVER",$J287,$K287)</f>
        <v>4.8706539048923787</v>
      </c>
      <c r="X287" s="2">
        <f>IF(T287="OVER",$J287,$K287)</f>
        <v>-4.8706539048923787</v>
      </c>
      <c r="Y287" s="9">
        <f t="shared" si="39"/>
        <v>-5338.4923395087744</v>
      </c>
      <c r="Z287" s="9">
        <f t="shared" si="39"/>
        <v>4959.1926571669292</v>
      </c>
      <c r="AA287" s="9">
        <f t="shared" si="39"/>
        <v>11179.605337546864</v>
      </c>
      <c r="AB287" s="9">
        <f t="shared" si="36"/>
        <v>-1780.4858257032658</v>
      </c>
    </row>
    <row r="288" spans="1:28" x14ac:dyDescent="0.3">
      <c r="A288" s="1">
        <v>44830</v>
      </c>
      <c r="B288" s="2">
        <v>128.59</v>
      </c>
      <c r="C288" s="2">
        <v>364.31</v>
      </c>
      <c r="D288" s="9">
        <f>B288-B287</f>
        <v>-1.8899999999999864</v>
      </c>
      <c r="E288" s="9">
        <f>C288-C287</f>
        <v>-3.6399999999999864</v>
      </c>
      <c r="F288" s="3">
        <f>F$1/B288</f>
        <v>777.66544832413092</v>
      </c>
      <c r="G288" s="3">
        <f>F$1/C288</f>
        <v>274.49150448793608</v>
      </c>
      <c r="H288" s="2">
        <f>D288*F287</f>
        <v>-1448.4978540772429</v>
      </c>
      <c r="I288" s="2">
        <f>E288*G287</f>
        <v>-989.26484576708413</v>
      </c>
      <c r="J288" s="2">
        <f>I288-H288</f>
        <v>459.23300831015877</v>
      </c>
      <c r="K288" s="2">
        <f t="shared" si="34"/>
        <v>-459.23300831015877</v>
      </c>
      <c r="L288" s="3">
        <f>C288/B288</f>
        <v>2.8331129947896416</v>
      </c>
      <c r="M288" s="3">
        <f t="shared" si="37"/>
        <v>2.8011654760998672</v>
      </c>
      <c r="N288" s="3">
        <f t="shared" si="41"/>
        <v>2.8008723582440664</v>
      </c>
      <c r="O288" s="3">
        <f t="shared" si="33"/>
        <v>2.8134471467678406</v>
      </c>
      <c r="P288" s="3">
        <f t="shared" si="35"/>
        <v>2.8322673665407443</v>
      </c>
      <c r="Q288" s="4" t="str">
        <f t="shared" si="40"/>
        <v>OVER</v>
      </c>
      <c r="R288" s="4" t="str">
        <f t="shared" si="40"/>
        <v>OVER</v>
      </c>
      <c r="S288" s="4" t="str">
        <f t="shared" si="38"/>
        <v>OVER</v>
      </c>
      <c r="T288" s="4" t="str">
        <f t="shared" si="38"/>
        <v>OVER</v>
      </c>
      <c r="U288" s="2">
        <f>IF(Q288="OVER",$J288,$K288)</f>
        <v>459.23300831015877</v>
      </c>
      <c r="V288" s="2">
        <f>IF(R288="OVER",$J288,$K288)</f>
        <v>459.23300831015877</v>
      </c>
      <c r="W288" s="2">
        <f>IF(S288="OVER",$J288,$K288)</f>
        <v>459.23300831015877</v>
      </c>
      <c r="X288" s="2">
        <f>IF(T288="OVER",$J288,$K288)</f>
        <v>459.23300831015877</v>
      </c>
      <c r="Y288" s="9">
        <f t="shared" si="39"/>
        <v>-4879.2593311986157</v>
      </c>
      <c r="Z288" s="9">
        <f t="shared" si="39"/>
        <v>5418.4256654770879</v>
      </c>
      <c r="AA288" s="9">
        <f t="shared" si="39"/>
        <v>11638.838345857022</v>
      </c>
      <c r="AB288" s="9">
        <f t="shared" si="36"/>
        <v>-1321.2528173931071</v>
      </c>
    </row>
    <row r="289" spans="1:28" x14ac:dyDescent="0.3">
      <c r="A289" s="1">
        <v>44831</v>
      </c>
      <c r="B289" s="2">
        <v>128.18</v>
      </c>
      <c r="C289" s="2">
        <v>363.38</v>
      </c>
      <c r="D289" s="9">
        <f>B289-B288</f>
        <v>-0.40999999999999659</v>
      </c>
      <c r="E289" s="9">
        <f>C289-C288</f>
        <v>-0.93000000000000682</v>
      </c>
      <c r="F289" s="3">
        <f>F$1/B289</f>
        <v>780.15290997035413</v>
      </c>
      <c r="G289" s="3">
        <f>F$1/C289</f>
        <v>275.19401177830372</v>
      </c>
      <c r="H289" s="2">
        <f>D289*F288</f>
        <v>-318.842833812891</v>
      </c>
      <c r="I289" s="2">
        <f>E289*G288</f>
        <v>-255.27709917378243</v>
      </c>
      <c r="J289" s="2">
        <f>I289-H289</f>
        <v>63.56573463910857</v>
      </c>
      <c r="K289" s="2">
        <f t="shared" si="34"/>
        <v>-63.56573463910857</v>
      </c>
      <c r="L289" s="3">
        <f>C289/B289</f>
        <v>2.8349196442502729</v>
      </c>
      <c r="M289" s="3">
        <f t="shared" si="37"/>
        <v>2.8064156511704215</v>
      </c>
      <c r="N289" s="3">
        <f t="shared" si="41"/>
        <v>2.8021235397028632</v>
      </c>
      <c r="O289" s="3">
        <f t="shared" si="33"/>
        <v>2.8136691238610383</v>
      </c>
      <c r="P289" s="3">
        <f t="shared" si="35"/>
        <v>2.8317500738918553</v>
      </c>
      <c r="Q289" s="4" t="str">
        <f t="shared" si="40"/>
        <v>OVER</v>
      </c>
      <c r="R289" s="4" t="str">
        <f t="shared" si="40"/>
        <v>OVER</v>
      </c>
      <c r="S289" s="4" t="str">
        <f t="shared" si="38"/>
        <v>OVER</v>
      </c>
      <c r="T289" s="4" t="str">
        <f t="shared" si="38"/>
        <v>OVER</v>
      </c>
      <c r="U289" s="2">
        <f>IF(Q289="OVER",$J289,$K289)</f>
        <v>63.56573463910857</v>
      </c>
      <c r="V289" s="2">
        <f>IF(R289="OVER",$J289,$K289)</f>
        <v>63.56573463910857</v>
      </c>
      <c r="W289" s="2">
        <f>IF(S289="OVER",$J289,$K289)</f>
        <v>63.56573463910857</v>
      </c>
      <c r="X289" s="2">
        <f>IF(T289="OVER",$J289,$K289)</f>
        <v>63.56573463910857</v>
      </c>
      <c r="Y289" s="9">
        <f t="shared" si="39"/>
        <v>-4815.6935965595067</v>
      </c>
      <c r="Z289" s="9">
        <f t="shared" si="39"/>
        <v>5481.9914001161969</v>
      </c>
      <c r="AA289" s="9">
        <f t="shared" si="39"/>
        <v>11702.404080496131</v>
      </c>
      <c r="AB289" s="9">
        <f t="shared" si="36"/>
        <v>-1257.6870827539985</v>
      </c>
    </row>
    <row r="290" spans="1:28" x14ac:dyDescent="0.3">
      <c r="A290" s="1">
        <v>44832</v>
      </c>
      <c r="B290" s="2">
        <v>131.16</v>
      </c>
      <c r="C290" s="2">
        <v>370.53</v>
      </c>
      <c r="D290" s="9">
        <f>B290-B289</f>
        <v>2.9799999999999898</v>
      </c>
      <c r="E290" s="9">
        <f>C290-C289</f>
        <v>7.1499999999999773</v>
      </c>
      <c r="F290" s="3">
        <f>F$1/B290</f>
        <v>762.42756938090884</v>
      </c>
      <c r="G290" s="3">
        <f>F$1/C290</f>
        <v>269.8836801338623</v>
      </c>
      <c r="H290" s="2">
        <f>D290*F289</f>
        <v>2324.8556717116471</v>
      </c>
      <c r="I290" s="2">
        <f>E290*G289</f>
        <v>1967.6371842148653</v>
      </c>
      <c r="J290" s="2">
        <f>I290-H290</f>
        <v>-357.21848749678179</v>
      </c>
      <c r="K290" s="2">
        <f t="shared" si="34"/>
        <v>357.21848749678179</v>
      </c>
      <c r="L290" s="3">
        <f>C290/B290</f>
        <v>2.8250228728270814</v>
      </c>
      <c r="M290" s="3">
        <f t="shared" si="37"/>
        <v>2.8095946567938954</v>
      </c>
      <c r="N290" s="3">
        <f t="shared" si="41"/>
        <v>2.80294232334986</v>
      </c>
      <c r="O290" s="3">
        <f t="shared" si="33"/>
        <v>2.813784645281932</v>
      </c>
      <c r="P290" s="3">
        <f t="shared" si="35"/>
        <v>2.8311406195818951</v>
      </c>
      <c r="Q290" s="4" t="str">
        <f t="shared" si="40"/>
        <v>OVER</v>
      </c>
      <c r="R290" s="4" t="str">
        <f t="shared" si="40"/>
        <v>OVER</v>
      </c>
      <c r="S290" s="4" t="str">
        <f t="shared" si="38"/>
        <v>OVER</v>
      </c>
      <c r="T290" s="4" t="str">
        <f t="shared" si="38"/>
        <v>UNDER</v>
      </c>
      <c r="U290" s="2">
        <f>IF(Q290="OVER",$J290,$K290)</f>
        <v>-357.21848749678179</v>
      </c>
      <c r="V290" s="2">
        <f>IF(R290="OVER",$J290,$K290)</f>
        <v>-357.21848749678179</v>
      </c>
      <c r="W290" s="2">
        <f>IF(S290="OVER",$J290,$K290)</f>
        <v>-357.21848749678179</v>
      </c>
      <c r="X290" s="2">
        <f>IF(T290="OVER",$J290,$K290)</f>
        <v>357.21848749678179</v>
      </c>
      <c r="Y290" s="9">
        <f t="shared" si="39"/>
        <v>-5172.9120840562882</v>
      </c>
      <c r="Z290" s="9">
        <f t="shared" si="39"/>
        <v>5124.7729126194154</v>
      </c>
      <c r="AA290" s="9">
        <f t="shared" si="39"/>
        <v>11345.185592999349</v>
      </c>
      <c r="AB290" s="9">
        <f t="shared" si="36"/>
        <v>-900.46859525721675</v>
      </c>
    </row>
    <row r="291" spans="1:28" x14ac:dyDescent="0.3">
      <c r="A291" s="1">
        <v>44833</v>
      </c>
      <c r="B291" s="2">
        <v>128.68</v>
      </c>
      <c r="C291" s="2">
        <v>362.79</v>
      </c>
      <c r="D291" s="9">
        <f>B291-B290</f>
        <v>-2.4799999999999898</v>
      </c>
      <c r="E291" s="9">
        <f>C291-C290</f>
        <v>-7.7399999999999523</v>
      </c>
      <c r="F291" s="3">
        <f>F$1/B291</f>
        <v>777.12154180913888</v>
      </c>
      <c r="G291" s="3">
        <f>F$1/C291</f>
        <v>275.64155572094046</v>
      </c>
      <c r="H291" s="2">
        <f>D291*F290</f>
        <v>-1890.8203720646461</v>
      </c>
      <c r="I291" s="2">
        <f>E291*G290</f>
        <v>-2088.8996842360812</v>
      </c>
      <c r="J291" s="2">
        <f>I291-H291</f>
        <v>-198.07931217143505</v>
      </c>
      <c r="K291" s="2">
        <f t="shared" si="34"/>
        <v>198.07931217143505</v>
      </c>
      <c r="L291" s="3">
        <f>C291/B291</f>
        <v>2.8193192415293753</v>
      </c>
      <c r="M291" s="3">
        <f t="shared" si="37"/>
        <v>2.8131676797695229</v>
      </c>
      <c r="N291" s="3">
        <f t="shared" si="41"/>
        <v>2.8035345997201624</v>
      </c>
      <c r="O291" s="3">
        <f t="shared" si="33"/>
        <v>2.8138034995920651</v>
      </c>
      <c r="P291" s="3">
        <f t="shared" si="35"/>
        <v>2.8305263443051172</v>
      </c>
      <c r="Q291" s="4" t="str">
        <f t="shared" si="40"/>
        <v>OVER</v>
      </c>
      <c r="R291" s="4" t="str">
        <f t="shared" si="40"/>
        <v>OVER</v>
      </c>
      <c r="S291" s="4" t="str">
        <f t="shared" si="38"/>
        <v>OVER</v>
      </c>
      <c r="T291" s="4" t="str">
        <f t="shared" si="38"/>
        <v>UNDER</v>
      </c>
      <c r="U291" s="2">
        <f>IF(Q291="OVER",$J291,$K291)</f>
        <v>-198.07931217143505</v>
      </c>
      <c r="V291" s="2">
        <f>IF(R291="OVER",$J291,$K291)</f>
        <v>-198.07931217143505</v>
      </c>
      <c r="W291" s="2">
        <f>IF(S291="OVER",$J291,$K291)</f>
        <v>-198.07931217143505</v>
      </c>
      <c r="X291" s="2">
        <f>IF(T291="OVER",$J291,$K291)</f>
        <v>198.07931217143505</v>
      </c>
      <c r="Y291" s="9">
        <f t="shared" si="39"/>
        <v>-5370.9913962277233</v>
      </c>
      <c r="Z291" s="9">
        <f t="shared" si="39"/>
        <v>4926.6936004479803</v>
      </c>
      <c r="AA291" s="9">
        <f t="shared" si="39"/>
        <v>11147.106280827913</v>
      </c>
      <c r="AB291" s="9">
        <f t="shared" si="36"/>
        <v>-702.3892830857817</v>
      </c>
    </row>
    <row r="292" spans="1:28" x14ac:dyDescent="0.3">
      <c r="A292" s="1">
        <v>44834</v>
      </c>
      <c r="B292" s="2">
        <v>127.28</v>
      </c>
      <c r="C292" s="2">
        <v>357.18</v>
      </c>
      <c r="D292" s="9">
        <f>B292-B291</f>
        <v>-1.4000000000000057</v>
      </c>
      <c r="E292" s="9">
        <f>C292-C291</f>
        <v>-5.6100000000000136</v>
      </c>
      <c r="F292" s="3">
        <f>F$1/B292</f>
        <v>785.66939032055313</v>
      </c>
      <c r="G292" s="3">
        <f>F$1/C292</f>
        <v>279.97088302816508</v>
      </c>
      <c r="H292" s="2">
        <f>D292*F291</f>
        <v>-1087.9701585327989</v>
      </c>
      <c r="I292" s="2">
        <f>E292*G291</f>
        <v>-1546.3491275944798</v>
      </c>
      <c r="J292" s="2">
        <f>I292-H292</f>
        <v>-458.37896906168089</v>
      </c>
      <c r="K292" s="2">
        <f t="shared" si="34"/>
        <v>458.37896906168089</v>
      </c>
      <c r="L292" s="3">
        <f>C292/B292</f>
        <v>2.8062539283469516</v>
      </c>
      <c r="M292" s="3">
        <f t="shared" si="37"/>
        <v>2.8159119915231368</v>
      </c>
      <c r="N292" s="3">
        <f t="shared" si="41"/>
        <v>2.8031530883010531</v>
      </c>
      <c r="O292" s="3">
        <f t="shared" si="33"/>
        <v>2.8134267362774517</v>
      </c>
      <c r="P292" s="3">
        <f t="shared" si="35"/>
        <v>2.8298599041200423</v>
      </c>
      <c r="Q292" s="4" t="str">
        <f t="shared" si="40"/>
        <v>OVER</v>
      </c>
      <c r="R292" s="4" t="str">
        <f t="shared" si="40"/>
        <v>OVER</v>
      </c>
      <c r="S292" s="4" t="str">
        <f t="shared" si="38"/>
        <v>UNDER</v>
      </c>
      <c r="T292" s="4" t="str">
        <f t="shared" si="38"/>
        <v>UNDER</v>
      </c>
      <c r="U292" s="2">
        <f>IF(Q292="OVER",$J292,$K292)</f>
        <v>-458.37896906168089</v>
      </c>
      <c r="V292" s="2">
        <f>IF(R292="OVER",$J292,$K292)</f>
        <v>-458.37896906168089</v>
      </c>
      <c r="W292" s="2">
        <f>IF(S292="OVER",$J292,$K292)</f>
        <v>458.37896906168089</v>
      </c>
      <c r="X292" s="2">
        <f>IF(T292="OVER",$J292,$K292)</f>
        <v>458.37896906168089</v>
      </c>
      <c r="Y292" s="9">
        <f t="shared" si="39"/>
        <v>-5829.3703652894037</v>
      </c>
      <c r="Z292" s="9">
        <f t="shared" si="39"/>
        <v>4468.3146313862999</v>
      </c>
      <c r="AA292" s="9">
        <f t="shared" si="39"/>
        <v>11605.485249889594</v>
      </c>
      <c r="AB292" s="9">
        <f t="shared" si="36"/>
        <v>-244.01031402410081</v>
      </c>
    </row>
    <row r="293" spans="1:28" x14ac:dyDescent="0.3">
      <c r="A293" s="1">
        <v>44837</v>
      </c>
      <c r="B293" s="2">
        <v>130.83000000000001</v>
      </c>
      <c r="C293" s="2">
        <v>366.61</v>
      </c>
      <c r="D293" s="9">
        <f>B293-B292</f>
        <v>3.5500000000000114</v>
      </c>
      <c r="E293" s="9">
        <f>C293-C292</f>
        <v>9.4300000000000068</v>
      </c>
      <c r="F293" s="3">
        <f>F$1/B293</f>
        <v>764.35068409386224</v>
      </c>
      <c r="G293" s="3">
        <f>F$1/C293</f>
        <v>272.76942800250947</v>
      </c>
      <c r="H293" s="2">
        <f>D293*F292</f>
        <v>2789.1263356379727</v>
      </c>
      <c r="I293" s="2">
        <f>E293*G292</f>
        <v>2640.1254269555984</v>
      </c>
      <c r="J293" s="2">
        <f>I293-H293</f>
        <v>-149.0009086823743</v>
      </c>
      <c r="K293" s="2">
        <f t="shared" si="34"/>
        <v>149.0009086823743</v>
      </c>
      <c r="L293" s="3">
        <f>C293/B293</f>
        <v>2.8021860429565084</v>
      </c>
      <c r="M293" s="3">
        <f t="shared" si="37"/>
        <v>2.8168995501845799</v>
      </c>
      <c r="N293" s="3">
        <f t="shared" si="41"/>
        <v>2.8030364502229381</v>
      </c>
      <c r="O293" s="3">
        <f t="shared" si="33"/>
        <v>2.8131657685232141</v>
      </c>
      <c r="P293" s="3">
        <f t="shared" si="35"/>
        <v>2.8291045964935946</v>
      </c>
      <c r="Q293" s="4" t="str">
        <f t="shared" si="40"/>
        <v>UNDER</v>
      </c>
      <c r="R293" s="4" t="str">
        <f t="shared" si="40"/>
        <v>OVER</v>
      </c>
      <c r="S293" s="4" t="str">
        <f t="shared" si="38"/>
        <v>UNDER</v>
      </c>
      <c r="T293" s="4" t="str">
        <f t="shared" si="38"/>
        <v>UNDER</v>
      </c>
      <c r="U293" s="2">
        <f>IF(Q293="OVER",$J293,$K293)</f>
        <v>149.0009086823743</v>
      </c>
      <c r="V293" s="2">
        <f>IF(R293="OVER",$J293,$K293)</f>
        <v>-149.0009086823743</v>
      </c>
      <c r="W293" s="2">
        <f>IF(S293="OVER",$J293,$K293)</f>
        <v>149.0009086823743</v>
      </c>
      <c r="X293" s="2">
        <f>IF(T293="OVER",$J293,$K293)</f>
        <v>149.0009086823743</v>
      </c>
      <c r="Y293" s="9">
        <f t="shared" si="39"/>
        <v>-5680.3694566070299</v>
      </c>
      <c r="Z293" s="9">
        <f t="shared" si="39"/>
        <v>4319.313722703926</v>
      </c>
      <c r="AA293" s="9">
        <f t="shared" si="39"/>
        <v>11754.486158571968</v>
      </c>
      <c r="AB293" s="9">
        <f t="shared" si="36"/>
        <v>-95.009405341726506</v>
      </c>
    </row>
    <row r="294" spans="1:28" x14ac:dyDescent="0.3">
      <c r="A294" s="1">
        <v>44838</v>
      </c>
      <c r="B294" s="2">
        <v>135.34</v>
      </c>
      <c r="C294" s="2">
        <v>377.97</v>
      </c>
      <c r="D294" s="9">
        <f>B294-B293</f>
        <v>4.5099999999999909</v>
      </c>
      <c r="E294" s="9">
        <f>C294-C293</f>
        <v>11.360000000000014</v>
      </c>
      <c r="F294" s="3">
        <f>F$1/B294</f>
        <v>738.87985813506725</v>
      </c>
      <c r="G294" s="3">
        <f>F$1/C294</f>
        <v>264.57126226949225</v>
      </c>
      <c r="H294" s="2">
        <f>D294*F293</f>
        <v>3447.2215852633117</v>
      </c>
      <c r="I294" s="2">
        <f>E294*G293</f>
        <v>3098.6607021085115</v>
      </c>
      <c r="J294" s="2">
        <f>I294-H294</f>
        <v>-348.56088315480019</v>
      </c>
      <c r="K294" s="2">
        <f t="shared" si="34"/>
        <v>348.56088315480019</v>
      </c>
      <c r="L294" s="3">
        <f>C294/B294</f>
        <v>2.7927441997931139</v>
      </c>
      <c r="M294" s="3">
        <f t="shared" si="37"/>
        <v>2.8156320082911277</v>
      </c>
      <c r="N294" s="3">
        <f t="shared" si="41"/>
        <v>2.8025861862038464</v>
      </c>
      <c r="O294" s="3">
        <f t="shared" si="33"/>
        <v>2.8127878001486168</v>
      </c>
      <c r="P294" s="3">
        <f t="shared" si="35"/>
        <v>2.8284065333723611</v>
      </c>
      <c r="Q294" s="4" t="str">
        <f t="shared" si="40"/>
        <v>UNDER</v>
      </c>
      <c r="R294" s="4" t="str">
        <f t="shared" si="40"/>
        <v>UNDER</v>
      </c>
      <c r="S294" s="4" t="str">
        <f t="shared" si="38"/>
        <v>UNDER</v>
      </c>
      <c r="T294" s="4" t="str">
        <f t="shared" si="38"/>
        <v>UNDER</v>
      </c>
      <c r="U294" s="2">
        <f>IF(Q294="OVER",$J294,$K294)</f>
        <v>348.56088315480019</v>
      </c>
      <c r="V294" s="2">
        <f>IF(R294="OVER",$J294,$K294)</f>
        <v>348.56088315480019</v>
      </c>
      <c r="W294" s="2">
        <f>IF(S294="OVER",$J294,$K294)</f>
        <v>348.56088315480019</v>
      </c>
      <c r="X294" s="2">
        <f>IF(T294="OVER",$J294,$K294)</f>
        <v>348.56088315480019</v>
      </c>
      <c r="Y294" s="9">
        <f t="shared" si="39"/>
        <v>-5331.8085734522301</v>
      </c>
      <c r="Z294" s="9">
        <f t="shared" si="39"/>
        <v>4667.8746058587258</v>
      </c>
      <c r="AA294" s="9">
        <f t="shared" si="39"/>
        <v>12103.047041726768</v>
      </c>
      <c r="AB294" s="9">
        <f t="shared" si="36"/>
        <v>253.55147781307369</v>
      </c>
    </row>
    <row r="295" spans="1:28" x14ac:dyDescent="0.3">
      <c r="A295" s="1">
        <v>44839</v>
      </c>
      <c r="B295" s="2">
        <v>134.81</v>
      </c>
      <c r="C295" s="2">
        <v>377.09</v>
      </c>
      <c r="D295" s="9">
        <f>B295-B294</f>
        <v>-0.53000000000000114</v>
      </c>
      <c r="E295" s="9">
        <f>C295-C294</f>
        <v>-0.8800000000000523</v>
      </c>
      <c r="F295" s="3">
        <f>F$1/B295</f>
        <v>741.78473407017282</v>
      </c>
      <c r="G295" s="3">
        <f>F$1/C295</f>
        <v>265.18868174706307</v>
      </c>
      <c r="H295" s="2">
        <f>D295*F294</f>
        <v>-391.60632481158649</v>
      </c>
      <c r="I295" s="2">
        <f>E295*G294</f>
        <v>-232.82271079716702</v>
      </c>
      <c r="J295" s="2">
        <f>I295-H295</f>
        <v>158.78361401441947</v>
      </c>
      <c r="K295" s="2">
        <f t="shared" si="34"/>
        <v>-158.78361401441947</v>
      </c>
      <c r="L295" s="3">
        <f>C295/B295</f>
        <v>2.7971960537052145</v>
      </c>
      <c r="M295" s="3">
        <f t="shared" si="37"/>
        <v>2.8150560105719284</v>
      </c>
      <c r="N295" s="3">
        <f t="shared" si="41"/>
        <v>2.8029034364440077</v>
      </c>
      <c r="O295" s="3">
        <f t="shared" si="33"/>
        <v>2.8127262767066386</v>
      </c>
      <c r="P295" s="3">
        <f t="shared" si="35"/>
        <v>2.8277432399405815</v>
      </c>
      <c r="Q295" s="4" t="str">
        <f t="shared" si="40"/>
        <v>UNDER</v>
      </c>
      <c r="R295" s="4" t="str">
        <f t="shared" si="40"/>
        <v>UNDER</v>
      </c>
      <c r="S295" s="4" t="str">
        <f t="shared" si="38"/>
        <v>UNDER</v>
      </c>
      <c r="T295" s="4" t="str">
        <f t="shared" si="38"/>
        <v>UNDER</v>
      </c>
      <c r="U295" s="2">
        <f>IF(Q295="OVER",$J295,$K295)</f>
        <v>-158.78361401441947</v>
      </c>
      <c r="V295" s="2">
        <f>IF(R295="OVER",$J295,$K295)</f>
        <v>-158.78361401441947</v>
      </c>
      <c r="W295" s="2">
        <f>IF(S295="OVER",$J295,$K295)</f>
        <v>-158.78361401441947</v>
      </c>
      <c r="X295" s="2">
        <f>IF(T295="OVER",$J295,$K295)</f>
        <v>-158.78361401441947</v>
      </c>
      <c r="Y295" s="9">
        <f t="shared" si="39"/>
        <v>-5490.5921874666492</v>
      </c>
      <c r="Z295" s="9">
        <f t="shared" si="39"/>
        <v>4509.0909918443067</v>
      </c>
      <c r="AA295" s="9">
        <f t="shared" si="39"/>
        <v>11944.263427712349</v>
      </c>
      <c r="AB295" s="9">
        <f t="shared" si="36"/>
        <v>94.767863798654218</v>
      </c>
    </row>
    <row r="296" spans="1:28" x14ac:dyDescent="0.3">
      <c r="A296" s="1">
        <v>44840</v>
      </c>
      <c r="B296" s="2">
        <v>133.31</v>
      </c>
      <c r="C296" s="2">
        <v>373.2</v>
      </c>
      <c r="D296" s="9">
        <f>B296-B295</f>
        <v>-1.5</v>
      </c>
      <c r="E296" s="9">
        <f>C296-C295</f>
        <v>-3.8899999999999864</v>
      </c>
      <c r="F296" s="3">
        <f>F$1/B296</f>
        <v>750.13127297277026</v>
      </c>
      <c r="G296" s="3">
        <f>F$1/C296</f>
        <v>267.9528403001072</v>
      </c>
      <c r="H296" s="2">
        <f>D296*F295</f>
        <v>-1112.6771011052592</v>
      </c>
      <c r="I296" s="2">
        <f>E296*G295</f>
        <v>-1031.5839719960718</v>
      </c>
      <c r="J296" s="2">
        <f>I296-H296</f>
        <v>81.09312910918743</v>
      </c>
      <c r="K296" s="2">
        <f t="shared" si="34"/>
        <v>-81.09312910918743</v>
      </c>
      <c r="L296" s="3">
        <f>C296/B296</f>
        <v>2.7994899107343785</v>
      </c>
      <c r="M296" s="3">
        <f t="shared" si="37"/>
        <v>2.813021729849722</v>
      </c>
      <c r="N296" s="3">
        <f t="shared" si="41"/>
        <v>2.8036250104448341</v>
      </c>
      <c r="O296" s="3">
        <f t="shared" si="33"/>
        <v>2.8123506497632089</v>
      </c>
      <c r="P296" s="3">
        <f t="shared" si="35"/>
        <v>2.8270544403012257</v>
      </c>
      <c r="Q296" s="4" t="str">
        <f t="shared" si="40"/>
        <v>UNDER</v>
      </c>
      <c r="R296" s="4" t="str">
        <f t="shared" si="40"/>
        <v>UNDER</v>
      </c>
      <c r="S296" s="4" t="str">
        <f t="shared" si="38"/>
        <v>UNDER</v>
      </c>
      <c r="T296" s="4" t="str">
        <f t="shared" si="38"/>
        <v>UNDER</v>
      </c>
      <c r="U296" s="2">
        <f>IF(Q296="OVER",$J296,$K296)</f>
        <v>-81.09312910918743</v>
      </c>
      <c r="V296" s="2">
        <f>IF(R296="OVER",$J296,$K296)</f>
        <v>-81.09312910918743</v>
      </c>
      <c r="W296" s="2">
        <f>IF(S296="OVER",$J296,$K296)</f>
        <v>-81.09312910918743</v>
      </c>
      <c r="X296" s="2">
        <f>IF(T296="OVER",$J296,$K296)</f>
        <v>-81.09312910918743</v>
      </c>
      <c r="Y296" s="9">
        <f t="shared" si="39"/>
        <v>-5571.6853165758366</v>
      </c>
      <c r="Z296" s="9">
        <f t="shared" si="39"/>
        <v>4427.9978627351193</v>
      </c>
      <c r="AA296" s="9">
        <f t="shared" si="39"/>
        <v>11863.170298603161</v>
      </c>
      <c r="AB296" s="9">
        <f t="shared" si="36"/>
        <v>13.674734689466788</v>
      </c>
    </row>
    <row r="297" spans="1:28" x14ac:dyDescent="0.3">
      <c r="A297" s="1">
        <v>44841</v>
      </c>
      <c r="B297" s="2">
        <v>130.15</v>
      </c>
      <c r="C297" s="2">
        <v>362.79</v>
      </c>
      <c r="D297" s="9">
        <f>B297-B296</f>
        <v>-3.1599999999999966</v>
      </c>
      <c r="E297" s="9">
        <f>C297-C296</f>
        <v>-10.409999999999968</v>
      </c>
      <c r="F297" s="3">
        <f>F$1/B297</f>
        <v>768.34421820975797</v>
      </c>
      <c r="G297" s="3">
        <f>F$1/C297</f>
        <v>275.64155572094046</v>
      </c>
      <c r="H297" s="2">
        <f>D297*F296</f>
        <v>-2370.4148225939516</v>
      </c>
      <c r="I297" s="2">
        <f>E297*G296</f>
        <v>-2789.3890675241073</v>
      </c>
      <c r="J297" s="2">
        <f>I297-H297</f>
        <v>-418.97424493015569</v>
      </c>
      <c r="K297" s="2">
        <f t="shared" si="34"/>
        <v>418.97424493015569</v>
      </c>
      <c r="L297" s="3">
        <f>C297/B297</f>
        <v>2.7874759892431809</v>
      </c>
      <c r="M297" s="3">
        <f t="shared" si="37"/>
        <v>2.8097720878175716</v>
      </c>
      <c r="N297" s="3">
        <f t="shared" si="41"/>
        <v>2.8035038188269876</v>
      </c>
      <c r="O297" s="3">
        <f t="shared" si="33"/>
        <v>2.8119161501776118</v>
      </c>
      <c r="P297" s="3">
        <f t="shared" si="35"/>
        <v>2.8263417316622736</v>
      </c>
      <c r="Q297" s="4" t="str">
        <f t="shared" si="40"/>
        <v>UNDER</v>
      </c>
      <c r="R297" s="4" t="str">
        <f t="shared" si="40"/>
        <v>UNDER</v>
      </c>
      <c r="S297" s="4" t="str">
        <f t="shared" si="38"/>
        <v>UNDER</v>
      </c>
      <c r="T297" s="4" t="str">
        <f t="shared" si="38"/>
        <v>UNDER</v>
      </c>
      <c r="U297" s="2">
        <f>IF(Q297="OVER",$J297,$K297)</f>
        <v>418.97424493015569</v>
      </c>
      <c r="V297" s="2">
        <f>IF(R297="OVER",$J297,$K297)</f>
        <v>418.97424493015569</v>
      </c>
      <c r="W297" s="2">
        <f>IF(S297="OVER",$J297,$K297)</f>
        <v>418.97424493015569</v>
      </c>
      <c r="X297" s="2">
        <f>IF(T297="OVER",$J297,$K297)</f>
        <v>418.97424493015569</v>
      </c>
      <c r="Y297" s="9">
        <f t="shared" si="39"/>
        <v>-5152.7110716456809</v>
      </c>
      <c r="Z297" s="9">
        <f t="shared" si="39"/>
        <v>4846.972107665275</v>
      </c>
      <c r="AA297" s="9">
        <f t="shared" si="39"/>
        <v>12282.144543533317</v>
      </c>
      <c r="AB297" s="9">
        <f t="shared" si="36"/>
        <v>432.64897961962248</v>
      </c>
    </row>
    <row r="298" spans="1:28" x14ac:dyDescent="0.3">
      <c r="A298" s="1">
        <v>44844</v>
      </c>
      <c r="B298" s="2">
        <v>129.27000000000001</v>
      </c>
      <c r="C298" s="2">
        <v>360.02</v>
      </c>
      <c r="D298" s="9">
        <f>B298-B297</f>
        <v>-0.87999999999999545</v>
      </c>
      <c r="E298" s="9">
        <f>C298-C297</f>
        <v>-2.7700000000000387</v>
      </c>
      <c r="F298" s="3">
        <f>F$1/B298</f>
        <v>773.57468863618772</v>
      </c>
      <c r="G298" s="3">
        <f>F$1/C298</f>
        <v>277.76234653630354</v>
      </c>
      <c r="H298" s="2">
        <f>D298*F297</f>
        <v>-676.14291202458355</v>
      </c>
      <c r="I298" s="2">
        <f>E298*G297</f>
        <v>-763.52710934701577</v>
      </c>
      <c r="J298" s="2">
        <f>I298-H298</f>
        <v>-87.384197322432215</v>
      </c>
      <c r="K298" s="2">
        <f t="shared" si="34"/>
        <v>87.384197322432215</v>
      </c>
      <c r="L298" s="3">
        <f>C298/B298</f>
        <v>2.785023594028003</v>
      </c>
      <c r="M298" s="3">
        <f t="shared" si="37"/>
        <v>2.8049631477414083</v>
      </c>
      <c r="N298" s="3">
        <f t="shared" si="41"/>
        <v>2.8030643119206382</v>
      </c>
      <c r="O298" s="3">
        <f t="shared" si="33"/>
        <v>2.8111177191508756</v>
      </c>
      <c r="P298" s="3">
        <f t="shared" si="35"/>
        <v>2.8255734785987969</v>
      </c>
      <c r="Q298" s="4" t="str">
        <f t="shared" si="40"/>
        <v>UNDER</v>
      </c>
      <c r="R298" s="4" t="str">
        <f t="shared" si="40"/>
        <v>UNDER</v>
      </c>
      <c r="S298" s="4" t="str">
        <f t="shared" si="38"/>
        <v>UNDER</v>
      </c>
      <c r="T298" s="4" t="str">
        <f t="shared" si="38"/>
        <v>UNDER</v>
      </c>
      <c r="U298" s="2">
        <f>IF(Q298="OVER",$J298,$K298)</f>
        <v>87.384197322432215</v>
      </c>
      <c r="V298" s="2">
        <f>IF(R298="OVER",$J298,$K298)</f>
        <v>87.384197322432215</v>
      </c>
      <c r="W298" s="2">
        <f>IF(S298="OVER",$J298,$K298)</f>
        <v>87.384197322432215</v>
      </c>
      <c r="X298" s="2">
        <f>IF(T298="OVER",$J298,$K298)</f>
        <v>87.384197322432215</v>
      </c>
      <c r="Y298" s="9">
        <f t="shared" si="39"/>
        <v>-5065.3268743232484</v>
      </c>
      <c r="Z298" s="9">
        <f t="shared" si="39"/>
        <v>4934.3563049877075</v>
      </c>
      <c r="AA298" s="9">
        <f t="shared" si="39"/>
        <v>12369.528740855749</v>
      </c>
      <c r="AB298" s="9">
        <f t="shared" si="36"/>
        <v>520.03317694205475</v>
      </c>
    </row>
    <row r="299" spans="1:28" x14ac:dyDescent="0.3">
      <c r="A299" s="1">
        <v>44845</v>
      </c>
      <c r="B299" s="2">
        <v>128.69</v>
      </c>
      <c r="C299" s="2">
        <v>357.74</v>
      </c>
      <c r="D299" s="9">
        <f>B299-B298</f>
        <v>-0.58000000000001251</v>
      </c>
      <c r="E299" s="9">
        <f>C299-C298</f>
        <v>-2.2799999999999727</v>
      </c>
      <c r="F299" s="3">
        <f>F$1/B299</f>
        <v>777.06115471287592</v>
      </c>
      <c r="G299" s="3">
        <f>F$1/C299</f>
        <v>279.53262145692401</v>
      </c>
      <c r="H299" s="2">
        <f>D299*F298</f>
        <v>-448.67331940899857</v>
      </c>
      <c r="I299" s="2">
        <f>E299*G298</f>
        <v>-633.29815010276445</v>
      </c>
      <c r="J299" s="2">
        <f>I299-H299</f>
        <v>-184.62483069376589</v>
      </c>
      <c r="K299" s="2">
        <f t="shared" si="34"/>
        <v>184.62483069376589</v>
      </c>
      <c r="L299" s="3">
        <f>C299/B299</f>
        <v>2.7798585748698423</v>
      </c>
      <c r="M299" s="3">
        <f t="shared" si="37"/>
        <v>2.7994570408033654</v>
      </c>
      <c r="N299" s="3">
        <f t="shared" si="41"/>
        <v>2.8029363459868937</v>
      </c>
      <c r="O299" s="3">
        <f t="shared" si="33"/>
        <v>2.810274934616396</v>
      </c>
      <c r="P299" s="3">
        <f t="shared" si="35"/>
        <v>2.8247876313620566</v>
      </c>
      <c r="Q299" s="4" t="str">
        <f t="shared" si="40"/>
        <v>UNDER</v>
      </c>
      <c r="R299" s="4" t="str">
        <f t="shared" si="40"/>
        <v>UNDER</v>
      </c>
      <c r="S299" s="4" t="str">
        <f t="shared" si="38"/>
        <v>UNDER</v>
      </c>
      <c r="T299" s="4" t="str">
        <f t="shared" si="38"/>
        <v>UNDER</v>
      </c>
      <c r="U299" s="2">
        <f>IF(Q299="OVER",$J299,$K299)</f>
        <v>184.62483069376589</v>
      </c>
      <c r="V299" s="2">
        <f>IF(R299="OVER",$J299,$K299)</f>
        <v>184.62483069376589</v>
      </c>
      <c r="W299" s="2">
        <f>IF(S299="OVER",$J299,$K299)</f>
        <v>184.62483069376589</v>
      </c>
      <c r="X299" s="2">
        <f>IF(T299="OVER",$J299,$K299)</f>
        <v>184.62483069376589</v>
      </c>
      <c r="Y299" s="9">
        <f t="shared" si="39"/>
        <v>-4880.7020436294824</v>
      </c>
      <c r="Z299" s="9">
        <f t="shared" si="39"/>
        <v>5118.9811356814735</v>
      </c>
      <c r="AA299" s="9">
        <f t="shared" si="39"/>
        <v>12554.153571549514</v>
      </c>
      <c r="AB299" s="9">
        <f t="shared" si="36"/>
        <v>704.6580076358207</v>
      </c>
    </row>
    <row r="300" spans="1:28" x14ac:dyDescent="0.3">
      <c r="A300" s="1">
        <v>44846</v>
      </c>
      <c r="B300" s="2">
        <v>128.02000000000001</v>
      </c>
      <c r="C300" s="2">
        <v>356.56</v>
      </c>
      <c r="D300" s="9">
        <f>B300-B299</f>
        <v>-0.66999999999998749</v>
      </c>
      <c r="E300" s="9">
        <f>C300-C299</f>
        <v>-1.1800000000000068</v>
      </c>
      <c r="F300" s="3">
        <f>F$1/B300</f>
        <v>781.12794875800648</v>
      </c>
      <c r="G300" s="3">
        <f>F$1/C300</f>
        <v>280.45770697778772</v>
      </c>
      <c r="H300" s="2">
        <f>D300*F299</f>
        <v>-520.63097365761712</v>
      </c>
      <c r="I300" s="2">
        <f>E300*G299</f>
        <v>-329.84849331917223</v>
      </c>
      <c r="J300" s="2">
        <f>I300-H300</f>
        <v>190.78248033844488</v>
      </c>
      <c r="K300" s="2">
        <f t="shared" si="34"/>
        <v>-190.78248033844488</v>
      </c>
      <c r="L300" s="3">
        <f>C300/B300</f>
        <v>2.7851898140915479</v>
      </c>
      <c r="M300" s="3">
        <f t="shared" si="37"/>
        <v>2.7954737349298115</v>
      </c>
      <c r="N300" s="3">
        <f t="shared" si="41"/>
        <v>2.8025341958618535</v>
      </c>
      <c r="O300" s="3">
        <f t="shared" si="33"/>
        <v>2.8095115614524371</v>
      </c>
      <c r="P300" s="3">
        <f t="shared" si="35"/>
        <v>2.8240087492764872</v>
      </c>
      <c r="Q300" s="4" t="str">
        <f t="shared" si="40"/>
        <v>UNDER</v>
      </c>
      <c r="R300" s="4" t="str">
        <f t="shared" si="40"/>
        <v>UNDER</v>
      </c>
      <c r="S300" s="4" t="str">
        <f t="shared" si="38"/>
        <v>UNDER</v>
      </c>
      <c r="T300" s="4" t="str">
        <f t="shared" si="38"/>
        <v>UNDER</v>
      </c>
      <c r="U300" s="2">
        <f>IF(Q300="OVER",$J300,$K300)</f>
        <v>-190.78248033844488</v>
      </c>
      <c r="V300" s="2">
        <f>IF(R300="OVER",$J300,$K300)</f>
        <v>-190.78248033844488</v>
      </c>
      <c r="W300" s="2">
        <f>IF(S300="OVER",$J300,$K300)</f>
        <v>-190.78248033844488</v>
      </c>
      <c r="X300" s="2">
        <f>IF(T300="OVER",$J300,$K300)</f>
        <v>-190.78248033844488</v>
      </c>
      <c r="Y300" s="9">
        <f t="shared" si="39"/>
        <v>-5071.4845239679271</v>
      </c>
      <c r="Z300" s="9">
        <f t="shared" si="39"/>
        <v>4928.1986553430288</v>
      </c>
      <c r="AA300" s="9">
        <f t="shared" si="39"/>
        <v>12363.371091211069</v>
      </c>
      <c r="AB300" s="9">
        <f t="shared" si="36"/>
        <v>513.87552729737581</v>
      </c>
    </row>
    <row r="301" spans="1:28" x14ac:dyDescent="0.3">
      <c r="A301" s="1">
        <v>44847</v>
      </c>
      <c r="B301" s="2">
        <v>131.1</v>
      </c>
      <c r="C301" s="2">
        <v>365.97</v>
      </c>
      <c r="D301" s="9">
        <f>B301-B300</f>
        <v>3.0799999999999841</v>
      </c>
      <c r="E301" s="9">
        <f>C301-C300</f>
        <v>9.410000000000025</v>
      </c>
      <c r="F301" s="3">
        <f>F$1/B301</f>
        <v>762.77650648360031</v>
      </c>
      <c r="G301" s="3">
        <f>F$1/C301</f>
        <v>273.24644096510639</v>
      </c>
      <c r="H301" s="2">
        <f>D301*F300</f>
        <v>2405.8740821746474</v>
      </c>
      <c r="I301" s="2">
        <f>E301*G300</f>
        <v>2639.1070226609895</v>
      </c>
      <c r="J301" s="2">
        <f>I301-H301</f>
        <v>233.23294048634216</v>
      </c>
      <c r="K301" s="2">
        <f t="shared" si="34"/>
        <v>-233.23294048634216</v>
      </c>
      <c r="L301" s="3">
        <f>C301/B301</f>
        <v>2.7915331807780324</v>
      </c>
      <c r="M301" s="3">
        <f t="shared" si="37"/>
        <v>2.7926951288546773</v>
      </c>
      <c r="N301" s="3">
        <f t="shared" si="41"/>
        <v>2.8029314043121003</v>
      </c>
      <c r="O301" s="3">
        <f t="shared" si="33"/>
        <v>2.8085799159534326</v>
      </c>
      <c r="P301" s="3">
        <f t="shared" si="35"/>
        <v>2.8232962004507893</v>
      </c>
      <c r="Q301" s="4" t="str">
        <f t="shared" si="40"/>
        <v>UNDER</v>
      </c>
      <c r="R301" s="4" t="str">
        <f t="shared" si="40"/>
        <v>UNDER</v>
      </c>
      <c r="S301" s="4" t="str">
        <f t="shared" si="38"/>
        <v>UNDER</v>
      </c>
      <c r="T301" s="4" t="str">
        <f t="shared" si="38"/>
        <v>UNDER</v>
      </c>
      <c r="U301" s="2">
        <f>IF(Q301="OVER",$J301,$K301)</f>
        <v>-233.23294048634216</v>
      </c>
      <c r="V301" s="2">
        <f>IF(R301="OVER",$J301,$K301)</f>
        <v>-233.23294048634216</v>
      </c>
      <c r="W301" s="2">
        <f>IF(S301="OVER",$J301,$K301)</f>
        <v>-233.23294048634216</v>
      </c>
      <c r="X301" s="2">
        <f>IF(T301="OVER",$J301,$K301)</f>
        <v>-233.23294048634216</v>
      </c>
      <c r="Y301" s="9">
        <f t="shared" si="39"/>
        <v>-5304.7174644542692</v>
      </c>
      <c r="Z301" s="9">
        <f t="shared" si="39"/>
        <v>4694.9657148566866</v>
      </c>
      <c r="AA301" s="9">
        <f t="shared" si="39"/>
        <v>12130.138150724728</v>
      </c>
      <c r="AB301" s="9">
        <f t="shared" si="36"/>
        <v>280.64258681103365</v>
      </c>
    </row>
    <row r="302" spans="1:28" x14ac:dyDescent="0.3">
      <c r="A302" s="1">
        <v>44848</v>
      </c>
      <c r="B302" s="2">
        <v>128.19999999999999</v>
      </c>
      <c r="C302" s="2">
        <v>357.63</v>
      </c>
      <c r="D302" s="9">
        <f>B302-B301</f>
        <v>-2.9000000000000057</v>
      </c>
      <c r="E302" s="9">
        <f>C302-C301</f>
        <v>-8.3400000000000318</v>
      </c>
      <c r="F302" s="3">
        <f>F$1/B302</f>
        <v>780.03120124805002</v>
      </c>
      <c r="G302" s="3">
        <f>F$1/C302</f>
        <v>279.61860022928727</v>
      </c>
      <c r="H302" s="2">
        <f>D302*F301</f>
        <v>-2212.0518688024454</v>
      </c>
      <c r="I302" s="2">
        <f>E302*G301</f>
        <v>-2278.8753176489959</v>
      </c>
      <c r="J302" s="2">
        <f>I302-H302</f>
        <v>-66.823448846550491</v>
      </c>
      <c r="K302" s="2">
        <f t="shared" si="34"/>
        <v>66.823448846550491</v>
      </c>
      <c r="L302" s="3">
        <f>C302/B302</f>
        <v>2.7896255850234013</v>
      </c>
      <c r="M302" s="3">
        <f t="shared" si="37"/>
        <v>2.791032294522322</v>
      </c>
      <c r="N302" s="3">
        <f t="shared" si="41"/>
        <v>2.8034721430227298</v>
      </c>
      <c r="O302" s="3">
        <f t="shared" si="33"/>
        <v>2.8075277941101184</v>
      </c>
      <c r="P302" s="3">
        <f t="shared" si="35"/>
        <v>2.8225986011199096</v>
      </c>
      <c r="Q302" s="4" t="str">
        <f t="shared" si="40"/>
        <v>UNDER</v>
      </c>
      <c r="R302" s="4" t="str">
        <f t="shared" si="40"/>
        <v>UNDER</v>
      </c>
      <c r="S302" s="4" t="str">
        <f t="shared" si="38"/>
        <v>UNDER</v>
      </c>
      <c r="T302" s="4" t="str">
        <f t="shared" si="38"/>
        <v>UNDER</v>
      </c>
      <c r="U302" s="2">
        <f>IF(Q302="OVER",$J302,$K302)</f>
        <v>66.823448846550491</v>
      </c>
      <c r="V302" s="2">
        <f>IF(R302="OVER",$J302,$K302)</f>
        <v>66.823448846550491</v>
      </c>
      <c r="W302" s="2">
        <f>IF(S302="OVER",$J302,$K302)</f>
        <v>66.823448846550491</v>
      </c>
      <c r="X302" s="2">
        <f>IF(T302="OVER",$J302,$K302)</f>
        <v>66.823448846550491</v>
      </c>
      <c r="Y302" s="9">
        <f t="shared" si="39"/>
        <v>-5237.8940156077188</v>
      </c>
      <c r="Z302" s="9">
        <f t="shared" si="39"/>
        <v>4761.7891637032371</v>
      </c>
      <c r="AA302" s="9">
        <f t="shared" si="39"/>
        <v>12196.961599571277</v>
      </c>
      <c r="AB302" s="9">
        <f t="shared" si="36"/>
        <v>347.46603565758414</v>
      </c>
    </row>
    <row r="303" spans="1:28" x14ac:dyDescent="0.3">
      <c r="A303" s="1">
        <v>44851</v>
      </c>
      <c r="B303" s="2">
        <v>130.99</v>
      </c>
      <c r="C303" s="2">
        <v>366.82</v>
      </c>
      <c r="D303" s="9">
        <f>B303-B302</f>
        <v>2.7900000000000205</v>
      </c>
      <c r="E303" s="9">
        <f>C303-C302</f>
        <v>9.1899999999999977</v>
      </c>
      <c r="F303" s="3">
        <f>F$1/B303</f>
        <v>763.41705473700279</v>
      </c>
      <c r="G303" s="3">
        <f>F$1/C303</f>
        <v>272.61327081402322</v>
      </c>
      <c r="H303" s="2">
        <f>D303*F302</f>
        <v>2176.2870514820756</v>
      </c>
      <c r="I303" s="2">
        <f>E303*G302</f>
        <v>2569.6949361071493</v>
      </c>
      <c r="J303" s="2">
        <f>I303-H303</f>
        <v>393.40788462507362</v>
      </c>
      <c r="K303" s="2">
        <f t="shared" si="34"/>
        <v>-393.40788462507362</v>
      </c>
      <c r="L303" s="3">
        <f>C303/B303</f>
        <v>2.8003664401862736</v>
      </c>
      <c r="M303" s="3">
        <f t="shared" si="37"/>
        <v>2.7908503342452988</v>
      </c>
      <c r="N303" s="3">
        <f t="shared" si="41"/>
        <v>2.8038749422149394</v>
      </c>
      <c r="O303" s="3">
        <f t="shared" si="33"/>
        <v>2.8068488053925931</v>
      </c>
      <c r="P303" s="3">
        <f t="shared" si="35"/>
        <v>2.8219718618922696</v>
      </c>
      <c r="Q303" s="4" t="str">
        <f t="shared" si="40"/>
        <v>UNDER</v>
      </c>
      <c r="R303" s="4" t="str">
        <f t="shared" si="40"/>
        <v>UNDER</v>
      </c>
      <c r="S303" s="4" t="str">
        <f t="shared" si="38"/>
        <v>UNDER</v>
      </c>
      <c r="T303" s="4" t="str">
        <f t="shared" si="38"/>
        <v>UNDER</v>
      </c>
      <c r="U303" s="2">
        <f>IF(Q303="OVER",$J303,$K303)</f>
        <v>-393.40788462507362</v>
      </c>
      <c r="V303" s="2">
        <f>IF(R303="OVER",$J303,$K303)</f>
        <v>-393.40788462507362</v>
      </c>
      <c r="W303" s="2">
        <f>IF(S303="OVER",$J303,$K303)</f>
        <v>-393.40788462507362</v>
      </c>
      <c r="X303" s="2">
        <f>IF(T303="OVER",$J303,$K303)</f>
        <v>-393.40788462507362</v>
      </c>
      <c r="Y303" s="9">
        <f t="shared" si="39"/>
        <v>-5631.3019002327928</v>
      </c>
      <c r="Z303" s="9">
        <f t="shared" si="39"/>
        <v>4368.3812790781631</v>
      </c>
      <c r="AA303" s="9">
        <f t="shared" si="39"/>
        <v>11803.553714946203</v>
      </c>
      <c r="AB303" s="9">
        <f t="shared" si="36"/>
        <v>-45.941848967489477</v>
      </c>
    </row>
    <row r="304" spans="1:28" x14ac:dyDescent="0.3">
      <c r="A304" s="1">
        <v>44852</v>
      </c>
      <c r="B304" s="2">
        <v>132.93</v>
      </c>
      <c r="C304" s="2">
        <v>371.13</v>
      </c>
      <c r="D304" s="9">
        <f>B304-B303</f>
        <v>1.9399999999999977</v>
      </c>
      <c r="E304" s="9">
        <f>C304-C303</f>
        <v>4.3100000000000023</v>
      </c>
      <c r="F304" s="3">
        <f>F$1/B304</f>
        <v>752.27563379222147</v>
      </c>
      <c r="G304" s="3">
        <f>F$1/C304</f>
        <v>269.44736345754859</v>
      </c>
      <c r="H304" s="2">
        <f>D304*F303</f>
        <v>1481.0290861897836</v>
      </c>
      <c r="I304" s="2">
        <f>E304*G303</f>
        <v>1174.9631972084408</v>
      </c>
      <c r="J304" s="2">
        <f>I304-H304</f>
        <v>-306.06588898134282</v>
      </c>
      <c r="K304" s="2">
        <f t="shared" si="34"/>
        <v>306.06588898134282</v>
      </c>
      <c r="L304" s="3">
        <f>C304/B304</f>
        <v>2.7919205596930712</v>
      </c>
      <c r="M304" s="3">
        <f t="shared" si="37"/>
        <v>2.7907679702352945</v>
      </c>
      <c r="N304" s="3">
        <f t="shared" si="41"/>
        <v>2.8031999892632111</v>
      </c>
      <c r="O304" s="3">
        <f t="shared" si="33"/>
        <v>2.8062253941789082</v>
      </c>
      <c r="P304" s="3">
        <f t="shared" si="35"/>
        <v>2.8213397596216101</v>
      </c>
      <c r="Q304" s="4" t="str">
        <f t="shared" si="40"/>
        <v>OVER</v>
      </c>
      <c r="R304" s="4" t="str">
        <f t="shared" si="40"/>
        <v>UNDER</v>
      </c>
      <c r="S304" s="4" t="str">
        <f t="shared" si="38"/>
        <v>UNDER</v>
      </c>
      <c r="T304" s="4" t="str">
        <f t="shared" si="38"/>
        <v>UNDER</v>
      </c>
      <c r="U304" s="2">
        <f>IF(Q304="OVER",$J304,$K304)</f>
        <v>-306.06588898134282</v>
      </c>
      <c r="V304" s="2">
        <f>IF(R304="OVER",$J304,$K304)</f>
        <v>306.06588898134282</v>
      </c>
      <c r="W304" s="2">
        <f>IF(S304="OVER",$J304,$K304)</f>
        <v>306.06588898134282</v>
      </c>
      <c r="X304" s="2">
        <f>IF(T304="OVER",$J304,$K304)</f>
        <v>306.06588898134282</v>
      </c>
      <c r="Y304" s="9">
        <f t="shared" si="39"/>
        <v>-5937.3677892141359</v>
      </c>
      <c r="Z304" s="9">
        <f t="shared" si="39"/>
        <v>4674.4471680595061</v>
      </c>
      <c r="AA304" s="9">
        <f t="shared" si="39"/>
        <v>12109.619603927546</v>
      </c>
      <c r="AB304" s="9">
        <f t="shared" si="36"/>
        <v>260.12404001385335</v>
      </c>
    </row>
    <row r="305" spans="1:28" x14ac:dyDescent="0.3">
      <c r="A305" s="1">
        <v>44853</v>
      </c>
      <c r="B305" s="2">
        <v>131.36000000000001</v>
      </c>
      <c r="C305" s="2">
        <v>368.5</v>
      </c>
      <c r="D305" s="9">
        <f>B305-B304</f>
        <v>-1.5699999999999932</v>
      </c>
      <c r="E305" s="9">
        <f>C305-C304</f>
        <v>-2.6299999999999955</v>
      </c>
      <c r="F305" s="3">
        <f>F$1/B305</f>
        <v>761.26674786845308</v>
      </c>
      <c r="G305" s="3">
        <f>F$1/C305</f>
        <v>271.37042062415196</v>
      </c>
      <c r="H305" s="2">
        <f>D305*F304</f>
        <v>-1181.0727450537827</v>
      </c>
      <c r="I305" s="2">
        <f>E305*G304</f>
        <v>-708.64656589335152</v>
      </c>
      <c r="J305" s="2">
        <f>I305-H305</f>
        <v>472.42617916043116</v>
      </c>
      <c r="K305" s="2">
        <f t="shared" si="34"/>
        <v>-472.42617916043116</v>
      </c>
      <c r="L305" s="3">
        <f>C305/B305</f>
        <v>2.8052679658952493</v>
      </c>
      <c r="M305" s="3">
        <f t="shared" si="37"/>
        <v>2.7915751614542983</v>
      </c>
      <c r="N305" s="3">
        <f t="shared" si="41"/>
        <v>2.8033155860131131</v>
      </c>
      <c r="O305" s="3">
        <f t="shared" si="33"/>
        <v>2.8057644718686503</v>
      </c>
      <c r="P305" s="3">
        <f t="shared" si="35"/>
        <v>2.8207025228042695</v>
      </c>
      <c r="Q305" s="4" t="str">
        <f t="shared" si="40"/>
        <v>OVER</v>
      </c>
      <c r="R305" s="4" t="str">
        <f t="shared" si="40"/>
        <v>UNDER</v>
      </c>
      <c r="S305" s="4" t="str">
        <f t="shared" si="38"/>
        <v>UNDER</v>
      </c>
      <c r="T305" s="4" t="str">
        <f t="shared" si="38"/>
        <v>UNDER</v>
      </c>
      <c r="U305" s="2">
        <f>IF(Q305="OVER",$J305,$K305)</f>
        <v>472.42617916043116</v>
      </c>
      <c r="V305" s="2">
        <f>IF(R305="OVER",$J305,$K305)</f>
        <v>-472.42617916043116</v>
      </c>
      <c r="W305" s="2">
        <f>IF(S305="OVER",$J305,$K305)</f>
        <v>-472.42617916043116</v>
      </c>
      <c r="X305" s="2">
        <f>IF(T305="OVER",$J305,$K305)</f>
        <v>-472.42617916043116</v>
      </c>
      <c r="Y305" s="9">
        <f t="shared" si="39"/>
        <v>-5464.9416100537046</v>
      </c>
      <c r="Z305" s="9">
        <f t="shared" si="39"/>
        <v>4202.0209888990748</v>
      </c>
      <c r="AA305" s="9">
        <f t="shared" si="39"/>
        <v>11637.193424767114</v>
      </c>
      <c r="AB305" s="9">
        <f t="shared" si="36"/>
        <v>-212.30213914657782</v>
      </c>
    </row>
    <row r="306" spans="1:28" x14ac:dyDescent="0.3">
      <c r="A306" s="1">
        <v>44854</v>
      </c>
      <c r="B306" s="2">
        <v>129.9</v>
      </c>
      <c r="C306" s="2">
        <v>365.41</v>
      </c>
      <c r="D306" s="9">
        <f>B306-B305</f>
        <v>-1.460000000000008</v>
      </c>
      <c r="E306" s="9">
        <f>C306-C305</f>
        <v>-3.089999999999975</v>
      </c>
      <c r="F306" s="3">
        <f>F$1/B306</f>
        <v>769.82294072363356</v>
      </c>
      <c r="G306" s="3">
        <f>F$1/C306</f>
        <v>273.66519799677076</v>
      </c>
      <c r="H306" s="2">
        <f>D306*F305</f>
        <v>-1111.4494518879476</v>
      </c>
      <c r="I306" s="2">
        <f>E306*G305</f>
        <v>-838.53459972862277</v>
      </c>
      <c r="J306" s="2">
        <f>I306-H306</f>
        <v>272.91485215932482</v>
      </c>
      <c r="K306" s="2">
        <f t="shared" si="34"/>
        <v>-272.91485215932482</v>
      </c>
      <c r="L306" s="3">
        <f>C306/B306</f>
        <v>2.8130100076982294</v>
      </c>
      <c r="M306" s="3">
        <f t="shared" si="37"/>
        <v>2.7929271711506831</v>
      </c>
      <c r="N306" s="3">
        <f t="shared" si="41"/>
        <v>2.8029744505002023</v>
      </c>
      <c r="O306" s="3">
        <f t="shared" si="33"/>
        <v>2.8054794010700737</v>
      </c>
      <c r="P306" s="3">
        <f t="shared" si="35"/>
        <v>2.8202258554249777</v>
      </c>
      <c r="Q306" s="4" t="str">
        <f t="shared" si="40"/>
        <v>OVER</v>
      </c>
      <c r="R306" s="4" t="str">
        <f t="shared" si="40"/>
        <v>OVER</v>
      </c>
      <c r="S306" s="4" t="str">
        <f t="shared" si="38"/>
        <v>OVER</v>
      </c>
      <c r="T306" s="4" t="str">
        <f t="shared" si="38"/>
        <v>UNDER</v>
      </c>
      <c r="U306" s="2">
        <f>IF(Q306="OVER",$J306,$K306)</f>
        <v>272.91485215932482</v>
      </c>
      <c r="V306" s="2">
        <f>IF(R306="OVER",$J306,$K306)</f>
        <v>272.91485215932482</v>
      </c>
      <c r="W306" s="2">
        <f>IF(S306="OVER",$J306,$K306)</f>
        <v>272.91485215932482</v>
      </c>
      <c r="X306" s="2">
        <f>IF(T306="OVER",$J306,$K306)</f>
        <v>-272.91485215932482</v>
      </c>
      <c r="Y306" s="9">
        <f t="shared" si="39"/>
        <v>-5192.0267578943794</v>
      </c>
      <c r="Z306" s="9">
        <f t="shared" si="39"/>
        <v>4474.9358410584</v>
      </c>
      <c r="AA306" s="9">
        <f t="shared" si="39"/>
        <v>11910.108276926439</v>
      </c>
      <c r="AB306" s="9">
        <f t="shared" si="36"/>
        <v>-485.21699130590264</v>
      </c>
    </row>
    <row r="307" spans="1:28" x14ac:dyDescent="0.3">
      <c r="A307" s="1">
        <v>44855</v>
      </c>
      <c r="B307" s="2">
        <v>132.87</v>
      </c>
      <c r="C307" s="2">
        <v>374.29</v>
      </c>
      <c r="D307" s="9">
        <f>B307-B306</f>
        <v>2.9699999999999989</v>
      </c>
      <c r="E307" s="9">
        <f>C307-C306</f>
        <v>8.8799999999999955</v>
      </c>
      <c r="F307" s="3">
        <f>F$1/B307</f>
        <v>752.61533830059454</v>
      </c>
      <c r="G307" s="3">
        <f>F$1/C307</f>
        <v>267.1725132918325</v>
      </c>
      <c r="H307" s="2">
        <f>D307*F306</f>
        <v>2286.3741339491908</v>
      </c>
      <c r="I307" s="2">
        <f>E307*G306</f>
        <v>2430.1469582113232</v>
      </c>
      <c r="J307" s="2">
        <f>I307-H307</f>
        <v>143.77282426213242</v>
      </c>
      <c r="K307" s="2">
        <f t="shared" si="34"/>
        <v>-143.77282426213242</v>
      </c>
      <c r="L307" s="3">
        <f>C307/B307</f>
        <v>2.8169639497252956</v>
      </c>
      <c r="M307" s="3">
        <f t="shared" si="37"/>
        <v>2.7958759671988949</v>
      </c>
      <c r="N307" s="3">
        <f t="shared" si="41"/>
        <v>2.8028240275082332</v>
      </c>
      <c r="O307" s="3">
        <f t="shared" si="33"/>
        <v>2.8055235255843174</v>
      </c>
      <c r="P307" s="3">
        <f t="shared" si="35"/>
        <v>2.8198249944659897</v>
      </c>
      <c r="Q307" s="4" t="str">
        <f t="shared" si="40"/>
        <v>OVER</v>
      </c>
      <c r="R307" s="4" t="str">
        <f t="shared" si="40"/>
        <v>OVER</v>
      </c>
      <c r="S307" s="4" t="str">
        <f t="shared" si="38"/>
        <v>OVER</v>
      </c>
      <c r="T307" s="4" t="str">
        <f t="shared" si="38"/>
        <v>UNDER</v>
      </c>
      <c r="U307" s="2">
        <f>IF(Q307="OVER",$J307,$K307)</f>
        <v>143.77282426213242</v>
      </c>
      <c r="V307" s="2">
        <f>IF(R307="OVER",$J307,$K307)</f>
        <v>143.77282426213242</v>
      </c>
      <c r="W307" s="2">
        <f>IF(S307="OVER",$J307,$K307)</f>
        <v>143.77282426213242</v>
      </c>
      <c r="X307" s="2">
        <f>IF(T307="OVER",$J307,$K307)</f>
        <v>-143.77282426213242</v>
      </c>
      <c r="Y307" s="9">
        <f t="shared" si="39"/>
        <v>-5048.253933632247</v>
      </c>
      <c r="Z307" s="9">
        <f t="shared" si="39"/>
        <v>4618.7086653205324</v>
      </c>
      <c r="AA307" s="9">
        <f t="shared" si="39"/>
        <v>12053.881101188572</v>
      </c>
      <c r="AB307" s="9">
        <f t="shared" si="36"/>
        <v>-628.98981556803506</v>
      </c>
    </row>
    <row r="308" spans="1:28" x14ac:dyDescent="0.3">
      <c r="A308" s="1">
        <v>44858</v>
      </c>
      <c r="B308" s="2">
        <v>134.35</v>
      </c>
      <c r="C308" s="2">
        <v>378.87</v>
      </c>
      <c r="D308" s="9">
        <f>B308-B307</f>
        <v>1.4799999999999898</v>
      </c>
      <c r="E308" s="9">
        <f>C308-C307</f>
        <v>4.5799999999999841</v>
      </c>
      <c r="F308" s="3">
        <f>F$1/B308</f>
        <v>744.32452549311506</v>
      </c>
      <c r="G308" s="3">
        <f>F$1/C308</f>
        <v>263.94277720590173</v>
      </c>
      <c r="H308" s="2">
        <f>D308*F307</f>
        <v>1113.8707006848722</v>
      </c>
      <c r="I308" s="2">
        <f>E308*G307</f>
        <v>1223.6501108765885</v>
      </c>
      <c r="J308" s="2">
        <f>I308-H308</f>
        <v>109.77941019171635</v>
      </c>
      <c r="K308" s="2">
        <f t="shared" si="34"/>
        <v>-109.77941019171635</v>
      </c>
      <c r="L308" s="3">
        <f>C308/B308</f>
        <v>2.8200223297357652</v>
      </c>
      <c r="M308" s="3">
        <f t="shared" si="37"/>
        <v>2.7993758407696707</v>
      </c>
      <c r="N308" s="3">
        <f t="shared" si="41"/>
        <v>2.8021694942555393</v>
      </c>
      <c r="O308" s="3">
        <f t="shared" si="33"/>
        <v>2.8055857582230899</v>
      </c>
      <c r="P308" s="3">
        <f t="shared" si="35"/>
        <v>2.8194851875810638</v>
      </c>
      <c r="Q308" s="4" t="str">
        <f t="shared" si="40"/>
        <v>OVER</v>
      </c>
      <c r="R308" s="4" t="str">
        <f t="shared" si="40"/>
        <v>OVER</v>
      </c>
      <c r="S308" s="4" t="str">
        <f t="shared" si="38"/>
        <v>OVER</v>
      </c>
      <c r="T308" s="4" t="str">
        <f t="shared" si="38"/>
        <v>OVER</v>
      </c>
      <c r="U308" s="2">
        <f>IF(Q308="OVER",$J308,$K308)</f>
        <v>109.77941019171635</v>
      </c>
      <c r="V308" s="2">
        <f>IF(R308="OVER",$J308,$K308)</f>
        <v>109.77941019171635</v>
      </c>
      <c r="W308" s="2">
        <f>IF(S308="OVER",$J308,$K308)</f>
        <v>109.77941019171635</v>
      </c>
      <c r="X308" s="2">
        <f>IF(T308="OVER",$J308,$K308)</f>
        <v>109.77941019171635</v>
      </c>
      <c r="Y308" s="9">
        <f t="shared" si="39"/>
        <v>-4938.4745234405309</v>
      </c>
      <c r="Z308" s="9">
        <f t="shared" si="39"/>
        <v>4728.4880755122485</v>
      </c>
      <c r="AA308" s="9">
        <f t="shared" si="39"/>
        <v>12163.660511380289</v>
      </c>
      <c r="AB308" s="9">
        <f t="shared" si="36"/>
        <v>-519.2104053763187</v>
      </c>
    </row>
    <row r="309" spans="1:28" x14ac:dyDescent="0.3">
      <c r="A309" s="1">
        <v>44859</v>
      </c>
      <c r="B309" s="2">
        <v>136.93</v>
      </c>
      <c r="C309" s="2">
        <v>384.92</v>
      </c>
      <c r="D309" s="9">
        <f>B309-B308</f>
        <v>2.5800000000000125</v>
      </c>
      <c r="E309" s="9">
        <f>C309-C308</f>
        <v>6.0500000000000114</v>
      </c>
      <c r="F309" s="3">
        <f>F$1/B309</f>
        <v>730.30015336303222</v>
      </c>
      <c r="G309" s="3">
        <f>F$1/C309</f>
        <v>259.79424295957602</v>
      </c>
      <c r="H309" s="2">
        <f>D309*F308</f>
        <v>1920.3572757722461</v>
      </c>
      <c r="I309" s="2">
        <f>E309*G308</f>
        <v>1596.8538020957085</v>
      </c>
      <c r="J309" s="2">
        <f>I309-H309</f>
        <v>-323.50347367653762</v>
      </c>
      <c r="K309" s="2">
        <f t="shared" si="34"/>
        <v>323.50347367653762</v>
      </c>
      <c r="L309" s="3">
        <f>C309/B309</f>
        <v>2.8110713503249833</v>
      </c>
      <c r="M309" s="3">
        <f t="shared" si="37"/>
        <v>2.802497118315185</v>
      </c>
      <c r="N309" s="3">
        <f t="shared" si="41"/>
        <v>2.8009770795592752</v>
      </c>
      <c r="O309" s="3">
        <f t="shared" ref="O309:O372" si="42">AVERAGE(L260:L309)</f>
        <v>2.8053596695994485</v>
      </c>
      <c r="P309" s="3">
        <f t="shared" si="35"/>
        <v>2.8191345976182181</v>
      </c>
      <c r="Q309" s="4" t="str">
        <f t="shared" si="40"/>
        <v>OVER</v>
      </c>
      <c r="R309" s="4" t="str">
        <f t="shared" si="40"/>
        <v>OVER</v>
      </c>
      <c r="S309" s="4" t="str">
        <f t="shared" si="38"/>
        <v>OVER</v>
      </c>
      <c r="T309" s="4" t="str">
        <f t="shared" si="38"/>
        <v>UNDER</v>
      </c>
      <c r="U309" s="2">
        <f>IF(Q309="OVER",$J309,$K309)</f>
        <v>-323.50347367653762</v>
      </c>
      <c r="V309" s="2">
        <f>IF(R309="OVER",$J309,$K309)</f>
        <v>-323.50347367653762</v>
      </c>
      <c r="W309" s="2">
        <f>IF(S309="OVER",$J309,$K309)</f>
        <v>-323.50347367653762</v>
      </c>
      <c r="X309" s="2">
        <f>IF(T309="OVER",$J309,$K309)</f>
        <v>323.50347367653762</v>
      </c>
      <c r="Y309" s="9">
        <f t="shared" si="39"/>
        <v>-5261.9779971170683</v>
      </c>
      <c r="Z309" s="9">
        <f t="shared" si="39"/>
        <v>4404.9846018357111</v>
      </c>
      <c r="AA309" s="9">
        <f t="shared" si="39"/>
        <v>11840.157037703751</v>
      </c>
      <c r="AB309" s="9">
        <f t="shared" si="36"/>
        <v>-195.70693169978108</v>
      </c>
    </row>
    <row r="310" spans="1:28" x14ac:dyDescent="0.3">
      <c r="A310" s="1">
        <v>44860</v>
      </c>
      <c r="B310" s="2">
        <v>137.19999999999999</v>
      </c>
      <c r="C310" s="2">
        <v>382.02</v>
      </c>
      <c r="D310" s="9">
        <f>B310-B309</f>
        <v>0.26999999999998181</v>
      </c>
      <c r="E310" s="9">
        <f>C310-C309</f>
        <v>-2.9000000000000341</v>
      </c>
      <c r="F310" s="3">
        <f>F$1/B310</f>
        <v>728.86297376093296</v>
      </c>
      <c r="G310" s="3">
        <f>F$1/C310</f>
        <v>261.766399664939</v>
      </c>
      <c r="H310" s="2">
        <f>D310*F309</f>
        <v>197.18104140800543</v>
      </c>
      <c r="I310" s="2">
        <f>E310*G309</f>
        <v>-753.40330458277936</v>
      </c>
      <c r="J310" s="2">
        <f>I310-H310</f>
        <v>-950.58434599078475</v>
      </c>
      <c r="K310" s="2">
        <f t="shared" si="34"/>
        <v>950.58434599078475</v>
      </c>
      <c r="L310" s="3">
        <f>C310/B310</f>
        <v>2.7844023323615161</v>
      </c>
      <c r="M310" s="3">
        <f t="shared" si="37"/>
        <v>2.8024183701421816</v>
      </c>
      <c r="N310" s="3">
        <f t="shared" si="41"/>
        <v>2.7989460525359964</v>
      </c>
      <c r="O310" s="3">
        <f t="shared" si="42"/>
        <v>2.8046529396865365</v>
      </c>
      <c r="P310" s="3">
        <f t="shared" si="35"/>
        <v>2.8185961843297274</v>
      </c>
      <c r="Q310" s="4" t="str">
        <f t="shared" si="40"/>
        <v>OVER</v>
      </c>
      <c r="R310" s="4" t="str">
        <f t="shared" si="40"/>
        <v>OVER</v>
      </c>
      <c r="S310" s="4" t="str">
        <f t="shared" si="38"/>
        <v>UNDER</v>
      </c>
      <c r="T310" s="4" t="str">
        <f t="shared" si="38"/>
        <v>UNDER</v>
      </c>
      <c r="U310" s="2">
        <f>IF(Q310="OVER",$J310,$K310)</f>
        <v>-950.58434599078475</v>
      </c>
      <c r="V310" s="2">
        <f>IF(R310="OVER",$J310,$K310)</f>
        <v>-950.58434599078475</v>
      </c>
      <c r="W310" s="2">
        <f>IF(S310="OVER",$J310,$K310)</f>
        <v>950.58434599078475</v>
      </c>
      <c r="X310" s="2">
        <f>IF(T310="OVER",$J310,$K310)</f>
        <v>950.58434599078475</v>
      </c>
      <c r="Y310" s="9">
        <f t="shared" si="39"/>
        <v>-6212.5623431078529</v>
      </c>
      <c r="Z310" s="9">
        <f t="shared" si="39"/>
        <v>3454.4002558449265</v>
      </c>
      <c r="AA310" s="9">
        <f t="shared" si="39"/>
        <v>12790.741383694536</v>
      </c>
      <c r="AB310" s="9">
        <f t="shared" si="36"/>
        <v>754.87741429100367</v>
      </c>
    </row>
    <row r="311" spans="1:28" x14ac:dyDescent="0.3">
      <c r="A311" s="1">
        <v>44861</v>
      </c>
      <c r="B311" s="2">
        <v>137.33000000000001</v>
      </c>
      <c r="C311" s="2">
        <v>379.98</v>
      </c>
      <c r="D311" s="9">
        <f>B311-B310</f>
        <v>0.13000000000002387</v>
      </c>
      <c r="E311" s="9">
        <f>C311-C310</f>
        <v>-2.0399999999999636</v>
      </c>
      <c r="F311" s="3">
        <f>F$1/B311</f>
        <v>728.17301390810451</v>
      </c>
      <c r="G311" s="3">
        <f>F$1/C311</f>
        <v>263.17174588136214</v>
      </c>
      <c r="H311" s="2">
        <f>D311*F310</f>
        <v>94.752186588938685</v>
      </c>
      <c r="I311" s="2">
        <f>E311*G310</f>
        <v>-534.00345531646599</v>
      </c>
      <c r="J311" s="2">
        <f>I311-H311</f>
        <v>-628.75564190540467</v>
      </c>
      <c r="K311" s="2">
        <f t="shared" si="34"/>
        <v>628.75564190540467</v>
      </c>
      <c r="L311" s="3">
        <f>C311/B311</f>
        <v>2.7669118182480155</v>
      </c>
      <c r="M311" s="3">
        <f t="shared" si="37"/>
        <v>2.7999562338891799</v>
      </c>
      <c r="N311" s="3">
        <f t="shared" si="41"/>
        <v>2.7963256813719282</v>
      </c>
      <c r="O311" s="3">
        <f t="shared" si="42"/>
        <v>2.8034662687912957</v>
      </c>
      <c r="P311" s="3">
        <f t="shared" si="35"/>
        <v>2.8179751181132375</v>
      </c>
      <c r="Q311" s="4" t="str">
        <f t="shared" si="40"/>
        <v>UNDER</v>
      </c>
      <c r="R311" s="4" t="str">
        <f t="shared" si="40"/>
        <v>UNDER</v>
      </c>
      <c r="S311" s="4" t="str">
        <f t="shared" si="38"/>
        <v>UNDER</v>
      </c>
      <c r="T311" s="4" t="str">
        <f t="shared" si="38"/>
        <v>UNDER</v>
      </c>
      <c r="U311" s="2">
        <f>IF(Q311="OVER",$J311,$K311)</f>
        <v>628.75564190540467</v>
      </c>
      <c r="V311" s="2">
        <f>IF(R311="OVER",$J311,$K311)</f>
        <v>628.75564190540467</v>
      </c>
      <c r="W311" s="2">
        <f>IF(S311="OVER",$J311,$K311)</f>
        <v>628.75564190540467</v>
      </c>
      <c r="X311" s="2">
        <f>IF(T311="OVER",$J311,$K311)</f>
        <v>628.75564190540467</v>
      </c>
      <c r="Y311" s="9">
        <f t="shared" si="39"/>
        <v>-5583.8067012024485</v>
      </c>
      <c r="Z311" s="9">
        <f t="shared" si="39"/>
        <v>4083.155897750331</v>
      </c>
      <c r="AA311" s="9">
        <f t="shared" si="39"/>
        <v>13419.497025599941</v>
      </c>
      <c r="AB311" s="9">
        <f t="shared" si="36"/>
        <v>1383.6330561964082</v>
      </c>
    </row>
    <row r="312" spans="1:28" x14ac:dyDescent="0.3">
      <c r="A312" s="1">
        <v>44862</v>
      </c>
      <c r="B312" s="2">
        <v>140.18</v>
      </c>
      <c r="C312" s="2">
        <v>389.02</v>
      </c>
      <c r="D312" s="9">
        <f>B312-B311</f>
        <v>2.8499999999999943</v>
      </c>
      <c r="E312" s="9">
        <f>C312-C311</f>
        <v>9.0399999999999636</v>
      </c>
      <c r="F312" s="3">
        <f>F$1/B312</f>
        <v>713.36852618062483</v>
      </c>
      <c r="G312" s="3">
        <f>F$1/C312</f>
        <v>257.05619248367697</v>
      </c>
      <c r="H312" s="2">
        <f>D312*F311</f>
        <v>2075.2930896380935</v>
      </c>
      <c r="I312" s="2">
        <f>E312*G311</f>
        <v>2379.0725827675042</v>
      </c>
      <c r="J312" s="2">
        <f>I312-H312</f>
        <v>303.77949312941064</v>
      </c>
      <c r="K312" s="2">
        <f t="shared" si="34"/>
        <v>-303.77949312941064</v>
      </c>
      <c r="L312" s="3">
        <f>C312/B312</f>
        <v>2.7751462405478668</v>
      </c>
      <c r="M312" s="3">
        <f t="shared" si="37"/>
        <v>2.7985082994416262</v>
      </c>
      <c r="N312" s="3">
        <f t="shared" si="41"/>
        <v>2.7947702969819743</v>
      </c>
      <c r="O312" s="3">
        <f t="shared" si="42"/>
        <v>2.8024596848859296</v>
      </c>
      <c r="P312" s="3">
        <f t="shared" si="35"/>
        <v>2.817367730196612</v>
      </c>
      <c r="Q312" s="4" t="str">
        <f t="shared" si="40"/>
        <v>UNDER</v>
      </c>
      <c r="R312" s="4" t="str">
        <f t="shared" si="40"/>
        <v>UNDER</v>
      </c>
      <c r="S312" s="4" t="str">
        <f t="shared" si="38"/>
        <v>UNDER</v>
      </c>
      <c r="T312" s="4" t="str">
        <f t="shared" si="38"/>
        <v>UNDER</v>
      </c>
      <c r="U312" s="2">
        <f>IF(Q312="OVER",$J312,$K312)</f>
        <v>-303.77949312941064</v>
      </c>
      <c r="V312" s="2">
        <f>IF(R312="OVER",$J312,$K312)</f>
        <v>-303.77949312941064</v>
      </c>
      <c r="W312" s="2">
        <f>IF(S312="OVER",$J312,$K312)</f>
        <v>-303.77949312941064</v>
      </c>
      <c r="X312" s="2">
        <f>IF(T312="OVER",$J312,$K312)</f>
        <v>-303.77949312941064</v>
      </c>
      <c r="Y312" s="9">
        <f t="shared" si="39"/>
        <v>-5887.5861943318596</v>
      </c>
      <c r="Z312" s="9">
        <f t="shared" si="39"/>
        <v>3779.3764046209203</v>
      </c>
      <c r="AA312" s="9">
        <f t="shared" si="39"/>
        <v>13115.717532470531</v>
      </c>
      <c r="AB312" s="9">
        <f t="shared" si="36"/>
        <v>1079.8535630669976</v>
      </c>
    </row>
    <row r="313" spans="1:28" x14ac:dyDescent="0.3">
      <c r="A313" s="1">
        <v>44865</v>
      </c>
      <c r="B313" s="2">
        <v>139.56</v>
      </c>
      <c r="C313" s="2">
        <v>386.21</v>
      </c>
      <c r="D313" s="9">
        <f>B313-B312</f>
        <v>-0.62000000000000455</v>
      </c>
      <c r="E313" s="9">
        <f>C313-C312</f>
        <v>-2.8100000000000023</v>
      </c>
      <c r="F313" s="3">
        <f>F$1/B313</f>
        <v>716.53768988248783</v>
      </c>
      <c r="G313" s="3">
        <f>F$1/C313</f>
        <v>258.92649076927063</v>
      </c>
      <c r="H313" s="2">
        <f>D313*F312</f>
        <v>-442.28848623199065</v>
      </c>
      <c r="I313" s="2">
        <f>E313*G312</f>
        <v>-722.32790087913281</v>
      </c>
      <c r="J313" s="2">
        <f>I313-H313</f>
        <v>-280.03941464714217</v>
      </c>
      <c r="K313" s="2">
        <f t="shared" si="34"/>
        <v>280.03941464714217</v>
      </c>
      <c r="L313" s="3">
        <f>C313/B313</f>
        <v>2.767340212095156</v>
      </c>
      <c r="M313" s="3">
        <f t="shared" si="37"/>
        <v>2.7952056766325151</v>
      </c>
      <c r="N313" s="3">
        <f t="shared" si="41"/>
        <v>2.7930280054389067</v>
      </c>
      <c r="O313" s="3">
        <f t="shared" si="42"/>
        <v>2.8013102364511724</v>
      </c>
      <c r="P313" s="3">
        <f t="shared" si="35"/>
        <v>2.8168546845624132</v>
      </c>
      <c r="Q313" s="4" t="str">
        <f t="shared" si="40"/>
        <v>UNDER</v>
      </c>
      <c r="R313" s="4" t="str">
        <f t="shared" si="40"/>
        <v>UNDER</v>
      </c>
      <c r="S313" s="4" t="str">
        <f t="shared" si="38"/>
        <v>UNDER</v>
      </c>
      <c r="T313" s="4" t="str">
        <f t="shared" si="38"/>
        <v>UNDER</v>
      </c>
      <c r="U313" s="2">
        <f>IF(Q313="OVER",$J313,$K313)</f>
        <v>280.03941464714217</v>
      </c>
      <c r="V313" s="2">
        <f>IF(R313="OVER",$J313,$K313)</f>
        <v>280.03941464714217</v>
      </c>
      <c r="W313" s="2">
        <f>IF(S313="OVER",$J313,$K313)</f>
        <v>280.03941464714217</v>
      </c>
      <c r="X313" s="2">
        <f>IF(T313="OVER",$J313,$K313)</f>
        <v>280.03941464714217</v>
      </c>
      <c r="Y313" s="9">
        <f t="shared" si="39"/>
        <v>-5607.546779684717</v>
      </c>
      <c r="Z313" s="9">
        <f t="shared" si="39"/>
        <v>4059.4158192680625</v>
      </c>
      <c r="AA313" s="9">
        <f t="shared" si="39"/>
        <v>13395.756947117674</v>
      </c>
      <c r="AB313" s="9">
        <f t="shared" si="36"/>
        <v>1359.8929777141398</v>
      </c>
    </row>
    <row r="314" spans="1:28" x14ac:dyDescent="0.3">
      <c r="A314" s="1">
        <v>44866</v>
      </c>
      <c r="B314" s="2">
        <v>139.9</v>
      </c>
      <c r="C314" s="2">
        <v>384.52</v>
      </c>
      <c r="D314" s="9">
        <f>B314-B313</f>
        <v>0.34000000000000341</v>
      </c>
      <c r="E314" s="9">
        <f>C314-C313</f>
        <v>-1.6899999999999977</v>
      </c>
      <c r="F314" s="3">
        <f>F$1/B314</f>
        <v>714.79628305932806</v>
      </c>
      <c r="G314" s="3">
        <f>F$1/C314</f>
        <v>260.06449599500678</v>
      </c>
      <c r="H314" s="2">
        <f>D314*F313</f>
        <v>243.62281456004831</v>
      </c>
      <c r="I314" s="2">
        <f>E314*G313</f>
        <v>-437.58576940006679</v>
      </c>
      <c r="J314" s="2">
        <f>I314-H314</f>
        <v>-681.20858396011511</v>
      </c>
      <c r="K314" s="2">
        <f t="shared" si="34"/>
        <v>681.20858396011511</v>
      </c>
      <c r="L314" s="3">
        <f>C314/B314</f>
        <v>2.7485346676197282</v>
      </c>
      <c r="M314" s="3">
        <f t="shared" si="37"/>
        <v>2.7908670874251804</v>
      </c>
      <c r="N314" s="3">
        <f t="shared" si="41"/>
        <v>2.7908175288302379</v>
      </c>
      <c r="O314" s="3">
        <f t="shared" si="42"/>
        <v>2.7997814765504234</v>
      </c>
      <c r="P314" s="3">
        <f t="shared" si="35"/>
        <v>2.816216865265285</v>
      </c>
      <c r="Q314" s="4" t="str">
        <f t="shared" si="40"/>
        <v>UNDER</v>
      </c>
      <c r="R314" s="4" t="str">
        <f t="shared" si="40"/>
        <v>UNDER</v>
      </c>
      <c r="S314" s="4" t="str">
        <f t="shared" si="38"/>
        <v>UNDER</v>
      </c>
      <c r="T314" s="4" t="str">
        <f t="shared" si="38"/>
        <v>UNDER</v>
      </c>
      <c r="U314" s="2">
        <f>IF(Q314="OVER",$J314,$K314)</f>
        <v>681.20858396011511</v>
      </c>
      <c r="V314" s="2">
        <f>IF(R314="OVER",$J314,$K314)</f>
        <v>681.20858396011511</v>
      </c>
      <c r="W314" s="2">
        <f>IF(S314="OVER",$J314,$K314)</f>
        <v>681.20858396011511</v>
      </c>
      <c r="X314" s="2">
        <f>IF(T314="OVER",$J314,$K314)</f>
        <v>681.20858396011511</v>
      </c>
      <c r="Y314" s="9">
        <f t="shared" si="39"/>
        <v>-4926.338195724602</v>
      </c>
      <c r="Z314" s="9">
        <f t="shared" si="39"/>
        <v>4740.6244032281775</v>
      </c>
      <c r="AA314" s="9">
        <f t="shared" si="39"/>
        <v>14076.965531077789</v>
      </c>
      <c r="AB314" s="9">
        <f t="shared" si="36"/>
        <v>2041.1015616742548</v>
      </c>
    </row>
    <row r="315" spans="1:28" x14ac:dyDescent="0.3">
      <c r="A315" s="1">
        <v>44867</v>
      </c>
      <c r="B315" s="2">
        <v>136.49</v>
      </c>
      <c r="C315" s="2">
        <v>374.87</v>
      </c>
      <c r="D315" s="9">
        <f>B315-B314</f>
        <v>-3.4099999999999966</v>
      </c>
      <c r="E315" s="9">
        <f>C315-C314</f>
        <v>-9.6499999999999773</v>
      </c>
      <c r="F315" s="3">
        <f>F$1/B315</f>
        <v>732.65440691625759</v>
      </c>
      <c r="G315" s="3">
        <f>F$1/C315</f>
        <v>266.75914316963213</v>
      </c>
      <c r="H315" s="2">
        <f>D315*F314</f>
        <v>-2437.4553252323062</v>
      </c>
      <c r="I315" s="2">
        <f>E315*G314</f>
        <v>-2509.6223863518094</v>
      </c>
      <c r="J315" s="2">
        <f>I315-H315</f>
        <v>-72.16706111950316</v>
      </c>
      <c r="K315" s="2">
        <f t="shared" si="34"/>
        <v>72.16706111950316</v>
      </c>
      <c r="L315" s="3">
        <f>C315/B315</f>
        <v>2.7465015752069748</v>
      </c>
      <c r="M315" s="3">
        <f t="shared" si="37"/>
        <v>2.784990448356353</v>
      </c>
      <c r="N315" s="3">
        <f t="shared" si="41"/>
        <v>2.7882828049053261</v>
      </c>
      <c r="O315" s="3">
        <f t="shared" si="42"/>
        <v>2.7982019835924548</v>
      </c>
      <c r="P315" s="3">
        <f t="shared" si="35"/>
        <v>2.8155952444701673</v>
      </c>
      <c r="Q315" s="4" t="str">
        <f t="shared" si="40"/>
        <v>UNDER</v>
      </c>
      <c r="R315" s="4" t="str">
        <f t="shared" si="40"/>
        <v>UNDER</v>
      </c>
      <c r="S315" s="4" t="str">
        <f t="shared" si="38"/>
        <v>UNDER</v>
      </c>
      <c r="T315" s="4" t="str">
        <f t="shared" si="38"/>
        <v>UNDER</v>
      </c>
      <c r="U315" s="2">
        <f>IF(Q315="OVER",$J315,$K315)</f>
        <v>72.16706111950316</v>
      </c>
      <c r="V315" s="2">
        <f>IF(R315="OVER",$J315,$K315)</f>
        <v>72.16706111950316</v>
      </c>
      <c r="W315" s="2">
        <f>IF(S315="OVER",$J315,$K315)</f>
        <v>72.16706111950316</v>
      </c>
      <c r="X315" s="2">
        <f>IF(T315="OVER",$J315,$K315)</f>
        <v>72.16706111950316</v>
      </c>
      <c r="Y315" s="9">
        <f t="shared" si="39"/>
        <v>-4854.1711346050988</v>
      </c>
      <c r="Z315" s="9">
        <f t="shared" si="39"/>
        <v>4812.7914643476806</v>
      </c>
      <c r="AA315" s="9">
        <f t="shared" si="39"/>
        <v>14149.132592197293</v>
      </c>
      <c r="AB315" s="9">
        <f t="shared" si="36"/>
        <v>2113.2686227937579</v>
      </c>
    </row>
    <row r="316" spans="1:28" x14ac:dyDescent="0.3">
      <c r="A316" s="1">
        <v>44868</v>
      </c>
      <c r="B316" s="2">
        <v>135.80000000000001</v>
      </c>
      <c r="C316" s="2">
        <v>371.01</v>
      </c>
      <c r="D316" s="9">
        <f>B316-B315</f>
        <v>-0.68999999999999773</v>
      </c>
      <c r="E316" s="9">
        <f>C316-C315</f>
        <v>-3.8600000000000136</v>
      </c>
      <c r="F316" s="3">
        <f>F$1/B316</f>
        <v>736.37702503681874</v>
      </c>
      <c r="G316" s="3">
        <f>F$1/C316</f>
        <v>269.53451389450419</v>
      </c>
      <c r="H316" s="2">
        <f>D316*F315</f>
        <v>-505.53154077221609</v>
      </c>
      <c r="I316" s="2">
        <f>E316*G315</f>
        <v>-1029.6902926347836</v>
      </c>
      <c r="J316" s="2">
        <f>I316-H316</f>
        <v>-524.15875186256756</v>
      </c>
      <c r="K316" s="2">
        <f t="shared" si="34"/>
        <v>524.15875186256756</v>
      </c>
      <c r="L316" s="3">
        <f>C316/B316</f>
        <v>2.7320324005891012</v>
      </c>
      <c r="M316" s="3">
        <f t="shared" si="37"/>
        <v>2.7768926876454403</v>
      </c>
      <c r="N316" s="3">
        <f t="shared" si="41"/>
        <v>2.7849099293980619</v>
      </c>
      <c r="O316" s="3">
        <f t="shared" si="42"/>
        <v>2.7964343681556789</v>
      </c>
      <c r="P316" s="3">
        <f t="shared" si="35"/>
        <v>2.8149013774949738</v>
      </c>
      <c r="Q316" s="4" t="str">
        <f t="shared" si="40"/>
        <v>UNDER</v>
      </c>
      <c r="R316" s="4" t="str">
        <f t="shared" si="40"/>
        <v>UNDER</v>
      </c>
      <c r="S316" s="4" t="str">
        <f t="shared" si="38"/>
        <v>UNDER</v>
      </c>
      <c r="T316" s="4" t="str">
        <f t="shared" si="38"/>
        <v>UNDER</v>
      </c>
      <c r="U316" s="2">
        <f>IF(Q316="OVER",$J316,$K316)</f>
        <v>524.15875186256756</v>
      </c>
      <c r="V316" s="2">
        <f>IF(R316="OVER",$J316,$K316)</f>
        <v>524.15875186256756</v>
      </c>
      <c r="W316" s="2">
        <f>IF(S316="OVER",$J316,$K316)</f>
        <v>524.15875186256756</v>
      </c>
      <c r="X316" s="2">
        <f>IF(T316="OVER",$J316,$K316)</f>
        <v>524.15875186256756</v>
      </c>
      <c r="Y316" s="9">
        <f t="shared" si="39"/>
        <v>-4330.0123827425314</v>
      </c>
      <c r="Z316" s="9">
        <f t="shared" si="39"/>
        <v>5336.9502162102481</v>
      </c>
      <c r="AA316" s="9">
        <f t="shared" si="39"/>
        <v>14673.29134405986</v>
      </c>
      <c r="AB316" s="9">
        <f t="shared" si="36"/>
        <v>2637.4273746563254</v>
      </c>
    </row>
    <row r="317" spans="1:28" x14ac:dyDescent="0.3">
      <c r="A317" s="1">
        <v>44869</v>
      </c>
      <c r="B317" s="2">
        <v>137.91</v>
      </c>
      <c r="C317" s="2">
        <v>376.35</v>
      </c>
      <c r="D317" s="9">
        <f>B317-B316</f>
        <v>2.1099999999999852</v>
      </c>
      <c r="E317" s="9">
        <f>C317-C316</f>
        <v>5.3400000000000318</v>
      </c>
      <c r="F317" s="3">
        <f>F$1/B317</f>
        <v>725.11057936335294</v>
      </c>
      <c r="G317" s="3">
        <f>F$1/C317</f>
        <v>265.71011026969575</v>
      </c>
      <c r="H317" s="2">
        <f>D317*F316</f>
        <v>1553.7555228276767</v>
      </c>
      <c r="I317" s="2">
        <f>E317*G316</f>
        <v>1439.3143041966609</v>
      </c>
      <c r="J317" s="2">
        <f>I317-H317</f>
        <v>-114.44121863101577</v>
      </c>
      <c r="K317" s="2">
        <f t="shared" si="34"/>
        <v>114.44121863101577</v>
      </c>
      <c r="L317" s="3">
        <f>C317/B317</f>
        <v>2.7289536654339788</v>
      </c>
      <c r="M317" s="3">
        <f t="shared" si="37"/>
        <v>2.7680916592163087</v>
      </c>
      <c r="N317" s="3">
        <f t="shared" si="41"/>
        <v>2.781983813207602</v>
      </c>
      <c r="O317" s="3">
        <f t="shared" si="42"/>
        <v>2.7946769075222386</v>
      </c>
      <c r="P317" s="3">
        <f t="shared" si="35"/>
        <v>2.8141682493236884</v>
      </c>
      <c r="Q317" s="4" t="str">
        <f t="shared" si="40"/>
        <v>UNDER</v>
      </c>
      <c r="R317" s="4" t="str">
        <f t="shared" si="40"/>
        <v>UNDER</v>
      </c>
      <c r="S317" s="4" t="str">
        <f t="shared" si="38"/>
        <v>UNDER</v>
      </c>
      <c r="T317" s="4" t="str">
        <f t="shared" si="38"/>
        <v>UNDER</v>
      </c>
      <c r="U317" s="2">
        <f>IF(Q317="OVER",$J317,$K317)</f>
        <v>114.44121863101577</v>
      </c>
      <c r="V317" s="2">
        <f>IF(R317="OVER",$J317,$K317)</f>
        <v>114.44121863101577</v>
      </c>
      <c r="W317" s="2">
        <f>IF(S317="OVER",$J317,$K317)</f>
        <v>114.44121863101577</v>
      </c>
      <c r="X317" s="2">
        <f>IF(T317="OVER",$J317,$K317)</f>
        <v>114.44121863101577</v>
      </c>
      <c r="Y317" s="9">
        <f t="shared" si="39"/>
        <v>-4215.5711641115158</v>
      </c>
      <c r="Z317" s="9">
        <f t="shared" si="39"/>
        <v>5451.3914348412636</v>
      </c>
      <c r="AA317" s="9">
        <f t="shared" si="39"/>
        <v>14787.732562690877</v>
      </c>
      <c r="AB317" s="9">
        <f t="shared" si="36"/>
        <v>2751.8685932873414</v>
      </c>
    </row>
    <row r="318" spans="1:28" x14ac:dyDescent="0.3">
      <c r="A318" s="1">
        <v>44872</v>
      </c>
      <c r="B318" s="2">
        <v>139.01</v>
      </c>
      <c r="C318" s="2">
        <v>379.95</v>
      </c>
      <c r="D318" s="9">
        <f>B318-B317</f>
        <v>1.0999999999999943</v>
      </c>
      <c r="E318" s="9">
        <f>C318-C317</f>
        <v>3.5999999999999659</v>
      </c>
      <c r="F318" s="3">
        <f>F$1/B318</f>
        <v>719.37270699949647</v>
      </c>
      <c r="G318" s="3">
        <f>F$1/C318</f>
        <v>263.19252533228058</v>
      </c>
      <c r="H318" s="2">
        <f>D318*F317</f>
        <v>797.62163729968415</v>
      </c>
      <c r="I318" s="2">
        <f>E318*G317</f>
        <v>956.55639697089566</v>
      </c>
      <c r="J318" s="2">
        <f>I318-H318</f>
        <v>158.93475967121151</v>
      </c>
      <c r="K318" s="2">
        <f t="shared" si="34"/>
        <v>-158.93475967121151</v>
      </c>
      <c r="L318" s="3">
        <f>C318/B318</f>
        <v>2.7332566002445868</v>
      </c>
      <c r="M318" s="3">
        <f t="shared" si="37"/>
        <v>2.7594150862671909</v>
      </c>
      <c r="N318" s="3">
        <f t="shared" si="41"/>
        <v>2.7793954635184308</v>
      </c>
      <c r="O318" s="3">
        <f t="shared" si="42"/>
        <v>2.7930997582532795</v>
      </c>
      <c r="P318" s="3">
        <f t="shared" si="35"/>
        <v>2.8135298749338342</v>
      </c>
      <c r="Q318" s="4" t="str">
        <f t="shared" si="40"/>
        <v>UNDER</v>
      </c>
      <c r="R318" s="4" t="str">
        <f t="shared" si="40"/>
        <v>UNDER</v>
      </c>
      <c r="S318" s="4" t="str">
        <f t="shared" si="38"/>
        <v>UNDER</v>
      </c>
      <c r="T318" s="4" t="str">
        <f t="shared" si="38"/>
        <v>UNDER</v>
      </c>
      <c r="U318" s="2">
        <f>IF(Q318="OVER",$J318,$K318)</f>
        <v>-158.93475967121151</v>
      </c>
      <c r="V318" s="2">
        <f>IF(R318="OVER",$J318,$K318)</f>
        <v>-158.93475967121151</v>
      </c>
      <c r="W318" s="2">
        <f>IF(S318="OVER",$J318,$K318)</f>
        <v>-158.93475967121151</v>
      </c>
      <c r="X318" s="2">
        <f>IF(T318="OVER",$J318,$K318)</f>
        <v>-158.93475967121151</v>
      </c>
      <c r="Y318" s="9">
        <f t="shared" si="39"/>
        <v>-4374.5059237827272</v>
      </c>
      <c r="Z318" s="9">
        <f t="shared" si="39"/>
        <v>5292.4566751700522</v>
      </c>
      <c r="AA318" s="9">
        <f t="shared" si="39"/>
        <v>14628.797803019665</v>
      </c>
      <c r="AB318" s="9">
        <f t="shared" si="36"/>
        <v>2592.93383361613</v>
      </c>
    </row>
    <row r="319" spans="1:28" x14ac:dyDescent="0.3">
      <c r="A319" s="1">
        <v>44873</v>
      </c>
      <c r="B319" s="2">
        <v>139.84</v>
      </c>
      <c r="C319" s="2">
        <v>382</v>
      </c>
      <c r="D319" s="9">
        <f>B319-B318</f>
        <v>0.83000000000001251</v>
      </c>
      <c r="E319" s="9">
        <f>C319-C318</f>
        <v>2.0500000000000114</v>
      </c>
      <c r="F319" s="3">
        <f>F$1/B319</f>
        <v>715.1029748283753</v>
      </c>
      <c r="G319" s="3">
        <f>F$1/C319</f>
        <v>261.78010471204186</v>
      </c>
      <c r="H319" s="2">
        <f>D319*F318</f>
        <v>597.07934680959102</v>
      </c>
      <c r="I319" s="2">
        <f>E319*G318</f>
        <v>539.54467693117817</v>
      </c>
      <c r="J319" s="2">
        <f>I319-H319</f>
        <v>-57.534669878412842</v>
      </c>
      <c r="K319" s="2">
        <f t="shared" si="34"/>
        <v>57.534669878412842</v>
      </c>
      <c r="L319" s="3">
        <f>C319/B319</f>
        <v>2.7316933638443937</v>
      </c>
      <c r="M319" s="3">
        <f t="shared" si="37"/>
        <v>2.7514772876191316</v>
      </c>
      <c r="N319" s="3">
        <f t="shared" si="41"/>
        <v>2.7769872029671583</v>
      </c>
      <c r="O319" s="3">
        <f t="shared" si="42"/>
        <v>2.7915357052286809</v>
      </c>
      <c r="P319" s="3">
        <f t="shared" si="35"/>
        <v>2.8129300429978694</v>
      </c>
      <c r="Q319" s="4" t="str">
        <f t="shared" si="40"/>
        <v>UNDER</v>
      </c>
      <c r="R319" s="4" t="str">
        <f t="shared" si="40"/>
        <v>UNDER</v>
      </c>
      <c r="S319" s="4" t="str">
        <f t="shared" si="38"/>
        <v>UNDER</v>
      </c>
      <c r="T319" s="4" t="str">
        <f t="shared" si="38"/>
        <v>UNDER</v>
      </c>
      <c r="U319" s="2">
        <f>IF(Q319="OVER",$J319,$K319)</f>
        <v>57.534669878412842</v>
      </c>
      <c r="V319" s="2">
        <f>IF(R319="OVER",$J319,$K319)</f>
        <v>57.534669878412842</v>
      </c>
      <c r="W319" s="2">
        <f>IF(S319="OVER",$J319,$K319)</f>
        <v>57.534669878412842</v>
      </c>
      <c r="X319" s="2">
        <f>IF(T319="OVER",$J319,$K319)</f>
        <v>57.534669878412842</v>
      </c>
      <c r="Y319" s="9">
        <f t="shared" si="39"/>
        <v>-4316.9712539043139</v>
      </c>
      <c r="Z319" s="9">
        <f t="shared" si="39"/>
        <v>5349.9913450484655</v>
      </c>
      <c r="AA319" s="9">
        <f t="shared" si="39"/>
        <v>14686.332472898077</v>
      </c>
      <c r="AB319" s="9">
        <f t="shared" si="36"/>
        <v>2650.4685034945428</v>
      </c>
    </row>
    <row r="320" spans="1:28" x14ac:dyDescent="0.3">
      <c r="A320" s="1">
        <v>44874</v>
      </c>
      <c r="B320" s="2">
        <v>137.33000000000001</v>
      </c>
      <c r="C320" s="2">
        <v>374.13</v>
      </c>
      <c r="D320" s="9">
        <f>B320-B319</f>
        <v>-2.5099999999999909</v>
      </c>
      <c r="E320" s="9">
        <f>C320-C319</f>
        <v>-7.8700000000000045</v>
      </c>
      <c r="F320" s="3">
        <f>F$1/B320</f>
        <v>728.17301390810451</v>
      </c>
      <c r="G320" s="3">
        <f>F$1/C320</f>
        <v>267.28677197765484</v>
      </c>
      <c r="H320" s="2">
        <f>D320*F319</f>
        <v>-1794.9084668192154</v>
      </c>
      <c r="I320" s="2">
        <f>E320*G319</f>
        <v>-2060.2094240837705</v>
      </c>
      <c r="J320" s="2">
        <f>I320-H320</f>
        <v>-265.30095726455511</v>
      </c>
      <c r="K320" s="2">
        <f t="shared" si="34"/>
        <v>265.30095726455511</v>
      </c>
      <c r="L320" s="3">
        <f>C320/B320</f>
        <v>2.7243136969343915</v>
      </c>
      <c r="M320" s="3">
        <f t="shared" si="37"/>
        <v>2.7454684240764191</v>
      </c>
      <c r="N320" s="3">
        <f t="shared" si="41"/>
        <v>2.7739433971093006</v>
      </c>
      <c r="O320" s="3">
        <f t="shared" si="42"/>
        <v>2.7898490351696261</v>
      </c>
      <c r="P320" s="3">
        <f t="shared" si="35"/>
        <v>2.812332800119798</v>
      </c>
      <c r="Q320" s="4" t="str">
        <f t="shared" si="40"/>
        <v>UNDER</v>
      </c>
      <c r="R320" s="4" t="str">
        <f t="shared" si="40"/>
        <v>UNDER</v>
      </c>
      <c r="S320" s="4" t="str">
        <f t="shared" si="38"/>
        <v>UNDER</v>
      </c>
      <c r="T320" s="4" t="str">
        <f t="shared" si="38"/>
        <v>UNDER</v>
      </c>
      <c r="U320" s="2">
        <f>IF(Q320="OVER",$J320,$K320)</f>
        <v>265.30095726455511</v>
      </c>
      <c r="V320" s="2">
        <f>IF(R320="OVER",$J320,$K320)</f>
        <v>265.30095726455511</v>
      </c>
      <c r="W320" s="2">
        <f>IF(S320="OVER",$J320,$K320)</f>
        <v>265.30095726455511</v>
      </c>
      <c r="X320" s="2">
        <f>IF(T320="OVER",$J320,$K320)</f>
        <v>265.30095726455511</v>
      </c>
      <c r="Y320" s="9">
        <f t="shared" si="39"/>
        <v>-4051.6702966397588</v>
      </c>
      <c r="Z320" s="9">
        <f t="shared" si="39"/>
        <v>5615.2923023130206</v>
      </c>
      <c r="AA320" s="9">
        <f t="shared" si="39"/>
        <v>14951.633430162632</v>
      </c>
      <c r="AB320" s="9">
        <f t="shared" si="36"/>
        <v>2915.7694607590979</v>
      </c>
    </row>
    <row r="321" spans="1:28" x14ac:dyDescent="0.3">
      <c r="A321" s="1">
        <v>44875</v>
      </c>
      <c r="B321" s="2">
        <v>144.69</v>
      </c>
      <c r="C321" s="2">
        <v>394.69</v>
      </c>
      <c r="D321" s="9">
        <f>B321-B320</f>
        <v>7.3599999999999852</v>
      </c>
      <c r="E321" s="9">
        <f>C321-C320</f>
        <v>20.560000000000002</v>
      </c>
      <c r="F321" s="3">
        <f>F$1/B321</f>
        <v>691.13276660446468</v>
      </c>
      <c r="G321" s="3">
        <f>F$1/C321</f>
        <v>253.36339912336265</v>
      </c>
      <c r="H321" s="2">
        <f>D321*F320</f>
        <v>5359.353382363638</v>
      </c>
      <c r="I321" s="2">
        <f>E321*G320</f>
        <v>5495.4160318605836</v>
      </c>
      <c r="J321" s="2">
        <f>I321-H321</f>
        <v>136.0626494969456</v>
      </c>
      <c r="K321" s="2">
        <f t="shared" si="34"/>
        <v>-136.0626494969456</v>
      </c>
      <c r="L321" s="3">
        <f>C321/B321</f>
        <v>2.7278319165111617</v>
      </c>
      <c r="M321" s="3">
        <f t="shared" si="37"/>
        <v>2.741560433902734</v>
      </c>
      <c r="N321" s="3">
        <f t="shared" si="41"/>
        <v>2.7707583338959565</v>
      </c>
      <c r="O321" s="3">
        <f t="shared" si="42"/>
        <v>2.7882561992173827</v>
      </c>
      <c r="P321" s="3">
        <f t="shared" si="35"/>
        <v>2.8116737083001762</v>
      </c>
      <c r="Q321" s="4" t="str">
        <f t="shared" si="40"/>
        <v>UNDER</v>
      </c>
      <c r="R321" s="4" t="str">
        <f t="shared" si="40"/>
        <v>UNDER</v>
      </c>
      <c r="S321" s="4" t="str">
        <f t="shared" si="38"/>
        <v>UNDER</v>
      </c>
      <c r="T321" s="4" t="str">
        <f t="shared" si="38"/>
        <v>UNDER</v>
      </c>
      <c r="U321" s="2">
        <f>IF(Q321="OVER",$J321,$K321)</f>
        <v>-136.0626494969456</v>
      </c>
      <c r="V321" s="2">
        <f>IF(R321="OVER",$J321,$K321)</f>
        <v>-136.0626494969456</v>
      </c>
      <c r="W321" s="2">
        <f>IF(S321="OVER",$J321,$K321)</f>
        <v>-136.0626494969456</v>
      </c>
      <c r="X321" s="2">
        <f>IF(T321="OVER",$J321,$K321)</f>
        <v>-136.0626494969456</v>
      </c>
      <c r="Y321" s="9">
        <f t="shared" si="39"/>
        <v>-4187.7329461367044</v>
      </c>
      <c r="Z321" s="9">
        <f t="shared" si="39"/>
        <v>5479.229652816075</v>
      </c>
      <c r="AA321" s="9">
        <f t="shared" si="39"/>
        <v>14815.570780665686</v>
      </c>
      <c r="AB321" s="9">
        <f t="shared" si="36"/>
        <v>2779.7068112621523</v>
      </c>
    </row>
    <row r="322" spans="1:28" x14ac:dyDescent="0.3">
      <c r="A322" s="1">
        <v>44876</v>
      </c>
      <c r="B322" s="2">
        <v>146.08000000000001</v>
      </c>
      <c r="C322" s="2">
        <v>398.51</v>
      </c>
      <c r="D322" s="9">
        <f>B322-B321</f>
        <v>1.3900000000000148</v>
      </c>
      <c r="E322" s="9">
        <f>C322-C321</f>
        <v>3.8199999999999932</v>
      </c>
      <c r="F322" s="3">
        <f>F$1/B322</f>
        <v>684.5564074479737</v>
      </c>
      <c r="G322" s="3">
        <f>F$1/C322</f>
        <v>250.934731876239</v>
      </c>
      <c r="H322" s="2">
        <f>D322*F321</f>
        <v>960.67454558021609</v>
      </c>
      <c r="I322" s="2">
        <f>E322*G321</f>
        <v>967.84818465124363</v>
      </c>
      <c r="J322" s="2">
        <f>I322-H322</f>
        <v>7.1736390710275373</v>
      </c>
      <c r="K322" s="2">
        <f t="shared" si="34"/>
        <v>-7.1736390710275373</v>
      </c>
      <c r="L322" s="3">
        <f>C322/B322</f>
        <v>2.7280257393209197</v>
      </c>
      <c r="M322" s="3">
        <f t="shared" si="37"/>
        <v>2.736848383780039</v>
      </c>
      <c r="N322" s="3">
        <f t="shared" si="41"/>
        <v>2.7676783416108326</v>
      </c>
      <c r="O322" s="3">
        <f t="shared" si="42"/>
        <v>2.7865390308692177</v>
      </c>
      <c r="P322" s="3">
        <f t="shared" si="35"/>
        <v>2.8110059405137018</v>
      </c>
      <c r="Q322" s="4" t="str">
        <f t="shared" si="40"/>
        <v>UNDER</v>
      </c>
      <c r="R322" s="4" t="str">
        <f t="shared" si="40"/>
        <v>UNDER</v>
      </c>
      <c r="S322" s="4" t="str">
        <f t="shared" si="38"/>
        <v>UNDER</v>
      </c>
      <c r="T322" s="4" t="str">
        <f t="shared" si="38"/>
        <v>UNDER</v>
      </c>
      <c r="U322" s="2">
        <f>IF(Q322="OVER",$J322,$K322)</f>
        <v>-7.1736390710275373</v>
      </c>
      <c r="V322" s="2">
        <f>IF(R322="OVER",$J322,$K322)</f>
        <v>-7.1736390710275373</v>
      </c>
      <c r="W322" s="2">
        <f>IF(S322="OVER",$J322,$K322)</f>
        <v>-7.1736390710275373</v>
      </c>
      <c r="X322" s="2">
        <f>IF(T322="OVER",$J322,$K322)</f>
        <v>-7.1736390710275373</v>
      </c>
      <c r="Y322" s="9">
        <f t="shared" si="39"/>
        <v>-4194.906585207732</v>
      </c>
      <c r="Z322" s="9">
        <f t="shared" si="39"/>
        <v>5472.0560137450475</v>
      </c>
      <c r="AA322" s="9">
        <f t="shared" si="39"/>
        <v>14808.397141594658</v>
      </c>
      <c r="AB322" s="9">
        <f t="shared" si="36"/>
        <v>2772.5331721911248</v>
      </c>
    </row>
    <row r="323" spans="1:28" x14ac:dyDescent="0.3">
      <c r="A323" s="1">
        <v>44879</v>
      </c>
      <c r="B323" s="2">
        <v>144.49</v>
      </c>
      <c r="C323" s="2">
        <v>395.12</v>
      </c>
      <c r="D323" s="9">
        <f>B323-B322</f>
        <v>-1.5900000000000034</v>
      </c>
      <c r="E323" s="9">
        <f>C323-C322</f>
        <v>-3.3899999999999864</v>
      </c>
      <c r="F323" s="3">
        <f>F$1/B323</f>
        <v>692.08941795279941</v>
      </c>
      <c r="G323" s="3">
        <f>F$1/C323</f>
        <v>253.08766956873862</v>
      </c>
      <c r="H323" s="2">
        <f>D323*F322</f>
        <v>-1088.4446878422805</v>
      </c>
      <c r="I323" s="2">
        <f>E323*G322</f>
        <v>-850.66874106044679</v>
      </c>
      <c r="J323" s="2">
        <f>I323-H323</f>
        <v>237.77594678183368</v>
      </c>
      <c r="K323" s="2">
        <f t="shared" si="34"/>
        <v>-237.77594678183368</v>
      </c>
      <c r="L323" s="3">
        <f>C323/B323</f>
        <v>2.7345837082151014</v>
      </c>
      <c r="M323" s="3">
        <f t="shared" si="37"/>
        <v>2.7335727333920339</v>
      </c>
      <c r="N323" s="3">
        <f t="shared" si="41"/>
        <v>2.7643892050122743</v>
      </c>
      <c r="O323" s="3">
        <f t="shared" si="42"/>
        <v>2.7851403289431436</v>
      </c>
      <c r="P323" s="3">
        <f t="shared" si="35"/>
        <v>2.8102624316017506</v>
      </c>
      <c r="Q323" s="4" t="str">
        <f t="shared" si="40"/>
        <v>UNDER</v>
      </c>
      <c r="R323" s="4" t="str">
        <f t="shared" si="40"/>
        <v>UNDER</v>
      </c>
      <c r="S323" s="4" t="str">
        <f t="shared" si="38"/>
        <v>UNDER</v>
      </c>
      <c r="T323" s="4" t="str">
        <f t="shared" si="38"/>
        <v>UNDER</v>
      </c>
      <c r="U323" s="2">
        <f>IF(Q323="OVER",$J323,$K323)</f>
        <v>-237.77594678183368</v>
      </c>
      <c r="V323" s="2">
        <f>IF(R323="OVER",$J323,$K323)</f>
        <v>-237.77594678183368</v>
      </c>
      <c r="W323" s="2">
        <f>IF(S323="OVER",$J323,$K323)</f>
        <v>-237.77594678183368</v>
      </c>
      <c r="X323" s="2">
        <f>IF(T323="OVER",$J323,$K323)</f>
        <v>-237.77594678183368</v>
      </c>
      <c r="Y323" s="9">
        <f t="shared" si="39"/>
        <v>-4432.6825319895652</v>
      </c>
      <c r="Z323" s="9">
        <f t="shared" si="39"/>
        <v>5234.2800669632143</v>
      </c>
      <c r="AA323" s="9">
        <f t="shared" si="39"/>
        <v>14570.621194812824</v>
      </c>
      <c r="AB323" s="9">
        <f t="shared" si="36"/>
        <v>2534.7572254092911</v>
      </c>
    </row>
    <row r="324" spans="1:28" x14ac:dyDescent="0.3">
      <c r="A324" s="1">
        <v>44880</v>
      </c>
      <c r="B324" s="2">
        <v>145.85</v>
      </c>
      <c r="C324" s="2">
        <v>398.49</v>
      </c>
      <c r="D324" s="9">
        <f>B324-B323</f>
        <v>1.3599999999999852</v>
      </c>
      <c r="E324" s="9">
        <f>C324-C323</f>
        <v>3.3700000000000045</v>
      </c>
      <c r="F324" s="3">
        <f>F$1/B324</f>
        <v>685.63592732259178</v>
      </c>
      <c r="G324" s="3">
        <f>F$1/C324</f>
        <v>250.9473261562398</v>
      </c>
      <c r="H324" s="2">
        <f>D324*F323</f>
        <v>941.24160841579692</v>
      </c>
      <c r="I324" s="2">
        <f>E324*G323</f>
        <v>852.90544644665033</v>
      </c>
      <c r="J324" s="2">
        <f>I324-H324</f>
        <v>-88.336161969146588</v>
      </c>
      <c r="K324" s="2">
        <f t="shared" si="34"/>
        <v>88.336161969146588</v>
      </c>
      <c r="L324" s="3">
        <f>C324/B324</f>
        <v>2.7321906067877957</v>
      </c>
      <c r="M324" s="3">
        <f t="shared" si="37"/>
        <v>2.7319383273088405</v>
      </c>
      <c r="N324" s="3">
        <f t="shared" si="41"/>
        <v>2.7614027073670107</v>
      </c>
      <c r="O324" s="3">
        <f t="shared" si="42"/>
        <v>2.7837491514754009</v>
      </c>
      <c r="P324" s="3">
        <f t="shared" si="35"/>
        <v>2.8094698379895831</v>
      </c>
      <c r="Q324" s="4" t="str">
        <f t="shared" si="40"/>
        <v>OVER</v>
      </c>
      <c r="R324" s="4" t="str">
        <f t="shared" si="40"/>
        <v>UNDER</v>
      </c>
      <c r="S324" s="4" t="str">
        <f t="shared" si="38"/>
        <v>UNDER</v>
      </c>
      <c r="T324" s="4" t="str">
        <f t="shared" si="38"/>
        <v>UNDER</v>
      </c>
      <c r="U324" s="2">
        <f>IF(Q324="OVER",$J324,$K324)</f>
        <v>-88.336161969146588</v>
      </c>
      <c r="V324" s="2">
        <f>IF(R324="OVER",$J324,$K324)</f>
        <v>88.336161969146588</v>
      </c>
      <c r="W324" s="2">
        <f>IF(S324="OVER",$J324,$K324)</f>
        <v>88.336161969146588</v>
      </c>
      <c r="X324" s="2">
        <f>IF(T324="OVER",$J324,$K324)</f>
        <v>88.336161969146588</v>
      </c>
      <c r="Y324" s="9">
        <f t="shared" si="39"/>
        <v>-4521.018693958712</v>
      </c>
      <c r="Z324" s="9">
        <f t="shared" si="39"/>
        <v>5322.6162289323611</v>
      </c>
      <c r="AA324" s="9">
        <f t="shared" si="39"/>
        <v>14658.95735678197</v>
      </c>
      <c r="AB324" s="9">
        <f t="shared" si="36"/>
        <v>2623.0933873784379</v>
      </c>
    </row>
    <row r="325" spans="1:28" x14ac:dyDescent="0.3">
      <c r="A325" s="1">
        <v>44881</v>
      </c>
      <c r="B325" s="2">
        <v>144.30000000000001</v>
      </c>
      <c r="C325" s="2">
        <v>395.45</v>
      </c>
      <c r="D325" s="9">
        <f>B325-B324</f>
        <v>-1.5499999999999829</v>
      </c>
      <c r="E325" s="9">
        <f>C325-C324</f>
        <v>-3.0400000000000205</v>
      </c>
      <c r="F325" s="3">
        <f>F$1/B325</f>
        <v>693.00069300069299</v>
      </c>
      <c r="G325" s="3">
        <f>F$1/C325</f>
        <v>252.87646984448097</v>
      </c>
      <c r="H325" s="2">
        <f>D325*F324</f>
        <v>-1062.7356873500055</v>
      </c>
      <c r="I325" s="2">
        <f>E325*G324</f>
        <v>-762.87987151497407</v>
      </c>
      <c r="J325" s="2">
        <f>I325-H325</f>
        <v>299.85581583503142</v>
      </c>
      <c r="K325" s="2">
        <f t="shared" ref="K325:K388" si="43">H325-I325</f>
        <v>-299.85581583503142</v>
      </c>
      <c r="L325" s="3">
        <f>C325/B325</f>
        <v>2.7404712404712401</v>
      </c>
      <c r="M325" s="3">
        <f t="shared" si="37"/>
        <v>2.7313352938352673</v>
      </c>
      <c r="N325" s="3">
        <f t="shared" si="41"/>
        <v>2.7581628710958102</v>
      </c>
      <c r="O325" s="3">
        <f t="shared" si="42"/>
        <v>2.7827415553067865</v>
      </c>
      <c r="P325" s="3">
        <f t="shared" si="35"/>
        <v>2.8087332397768927</v>
      </c>
      <c r="Q325" s="4" t="str">
        <f t="shared" si="40"/>
        <v>OVER</v>
      </c>
      <c r="R325" s="4" t="str">
        <f t="shared" si="40"/>
        <v>UNDER</v>
      </c>
      <c r="S325" s="4" t="str">
        <f t="shared" si="38"/>
        <v>UNDER</v>
      </c>
      <c r="T325" s="4" t="str">
        <f t="shared" si="38"/>
        <v>UNDER</v>
      </c>
      <c r="U325" s="2">
        <f>IF(Q325="OVER",$J325,$K325)</f>
        <v>299.85581583503142</v>
      </c>
      <c r="V325" s="2">
        <f>IF(R325="OVER",$J325,$K325)</f>
        <v>-299.85581583503142</v>
      </c>
      <c r="W325" s="2">
        <f>IF(S325="OVER",$J325,$K325)</f>
        <v>-299.85581583503142</v>
      </c>
      <c r="X325" s="2">
        <f>IF(T325="OVER",$J325,$K325)</f>
        <v>-299.85581583503142</v>
      </c>
      <c r="Y325" s="9">
        <f t="shared" si="39"/>
        <v>-4221.1628781236805</v>
      </c>
      <c r="Z325" s="9">
        <f t="shared" si="39"/>
        <v>5022.7604130973295</v>
      </c>
      <c r="AA325" s="9">
        <f t="shared" si="39"/>
        <v>14359.101540946938</v>
      </c>
      <c r="AB325" s="9">
        <f t="shared" si="36"/>
        <v>2323.2375715434064</v>
      </c>
    </row>
    <row r="326" spans="1:28" x14ac:dyDescent="0.3">
      <c r="A326" s="1">
        <v>44882</v>
      </c>
      <c r="B326" s="2">
        <v>143.46</v>
      </c>
      <c r="C326" s="2">
        <v>394.24</v>
      </c>
      <c r="D326" s="9">
        <f>B326-B325</f>
        <v>-0.84000000000000341</v>
      </c>
      <c r="E326" s="9">
        <f>C326-C325</f>
        <v>-1.2099999999999795</v>
      </c>
      <c r="F326" s="3">
        <f>F$1/B326</f>
        <v>697.0584134950509</v>
      </c>
      <c r="G326" s="3">
        <f>F$1/C326</f>
        <v>253.65259740259739</v>
      </c>
      <c r="H326" s="2">
        <f>D326*F325</f>
        <v>-582.12058212058446</v>
      </c>
      <c r="I326" s="2">
        <f>E326*G325</f>
        <v>-305.98052851181677</v>
      </c>
      <c r="J326" s="2">
        <f>I326-H326</f>
        <v>276.14005360876769</v>
      </c>
      <c r="K326" s="2">
        <f t="shared" si="43"/>
        <v>-276.14005360876769</v>
      </c>
      <c r="L326" s="3">
        <f>C326/B326</f>
        <v>2.7480830893628885</v>
      </c>
      <c r="M326" s="3">
        <f t="shared" si="37"/>
        <v>2.7329403627126463</v>
      </c>
      <c r="N326" s="3">
        <f t="shared" si="41"/>
        <v>2.7549165251790431</v>
      </c>
      <c r="O326" s="3">
        <f t="shared" si="42"/>
        <v>2.7820020484796868</v>
      </c>
      <c r="P326" s="3">
        <f t="shared" si="35"/>
        <v>2.8079886359040143</v>
      </c>
      <c r="Q326" s="4" t="str">
        <f t="shared" si="40"/>
        <v>OVER</v>
      </c>
      <c r="R326" s="4" t="str">
        <f t="shared" si="40"/>
        <v>UNDER</v>
      </c>
      <c r="S326" s="4" t="str">
        <f t="shared" si="38"/>
        <v>UNDER</v>
      </c>
      <c r="T326" s="4" t="str">
        <f t="shared" si="38"/>
        <v>UNDER</v>
      </c>
      <c r="U326" s="2">
        <f>IF(Q326="OVER",$J326,$K326)</f>
        <v>276.14005360876769</v>
      </c>
      <c r="V326" s="2">
        <f>IF(R326="OVER",$J326,$K326)</f>
        <v>-276.14005360876769</v>
      </c>
      <c r="W326" s="2">
        <f>IF(S326="OVER",$J326,$K326)</f>
        <v>-276.14005360876769</v>
      </c>
      <c r="X326" s="2">
        <f>IF(T326="OVER",$J326,$K326)</f>
        <v>-276.14005360876769</v>
      </c>
      <c r="Y326" s="9">
        <f t="shared" si="39"/>
        <v>-3945.0228245149128</v>
      </c>
      <c r="Z326" s="9">
        <f t="shared" si="39"/>
        <v>4746.6203594885619</v>
      </c>
      <c r="AA326" s="9">
        <f t="shared" si="39"/>
        <v>14082.961487338171</v>
      </c>
      <c r="AB326" s="9">
        <f t="shared" si="36"/>
        <v>2047.0975179346387</v>
      </c>
    </row>
    <row r="327" spans="1:28" x14ac:dyDescent="0.3">
      <c r="A327" s="1">
        <v>44883</v>
      </c>
      <c r="B327" s="2">
        <v>144.53</v>
      </c>
      <c r="C327" s="2">
        <v>396.03</v>
      </c>
      <c r="D327" s="9">
        <f>B327-B326</f>
        <v>1.0699999999999932</v>
      </c>
      <c r="E327" s="9">
        <f>C327-C326</f>
        <v>1.7899999999999636</v>
      </c>
      <c r="F327" s="3">
        <f>F$1/B327</f>
        <v>691.89787587352112</v>
      </c>
      <c r="G327" s="3">
        <f>F$1/C327</f>
        <v>252.50612327348941</v>
      </c>
      <c r="H327" s="2">
        <f>D327*F326</f>
        <v>745.85250243969972</v>
      </c>
      <c r="I327" s="2">
        <f>E327*G326</f>
        <v>454.03814935064008</v>
      </c>
      <c r="J327" s="2">
        <f>I327-H327</f>
        <v>-291.81435308905964</v>
      </c>
      <c r="K327" s="2">
        <f t="shared" si="43"/>
        <v>291.81435308905964</v>
      </c>
      <c r="L327" s="3">
        <f>C327/B327</f>
        <v>2.7401231578219054</v>
      </c>
      <c r="M327" s="3">
        <f t="shared" si="37"/>
        <v>2.7340573119514389</v>
      </c>
      <c r="N327" s="3">
        <f t="shared" si="41"/>
        <v>2.7510744855838736</v>
      </c>
      <c r="O327" s="3">
        <f t="shared" si="42"/>
        <v>2.7810065152041226</v>
      </c>
      <c r="P327" s="3">
        <f t="shared" si="35"/>
        <v>2.807363210761578</v>
      </c>
      <c r="Q327" s="4" t="str">
        <f t="shared" si="40"/>
        <v>OVER</v>
      </c>
      <c r="R327" s="4" t="str">
        <f t="shared" si="40"/>
        <v>UNDER</v>
      </c>
      <c r="S327" s="4" t="str">
        <f t="shared" si="38"/>
        <v>UNDER</v>
      </c>
      <c r="T327" s="4" t="str">
        <f t="shared" si="38"/>
        <v>UNDER</v>
      </c>
      <c r="U327" s="2">
        <f>IF(Q327="OVER",$J327,$K327)</f>
        <v>-291.81435308905964</v>
      </c>
      <c r="V327" s="2">
        <f>IF(R327="OVER",$J327,$K327)</f>
        <v>291.81435308905964</v>
      </c>
      <c r="W327" s="2">
        <f>IF(S327="OVER",$J327,$K327)</f>
        <v>291.81435308905964</v>
      </c>
      <c r="X327" s="2">
        <f>IF(T327="OVER",$J327,$K327)</f>
        <v>291.81435308905964</v>
      </c>
      <c r="Y327" s="9">
        <f t="shared" si="39"/>
        <v>-4236.8371776039721</v>
      </c>
      <c r="Z327" s="9">
        <f t="shared" si="39"/>
        <v>5038.4347125776212</v>
      </c>
      <c r="AA327" s="9">
        <f t="shared" si="39"/>
        <v>14374.77584042723</v>
      </c>
      <c r="AB327" s="9">
        <f t="shared" si="36"/>
        <v>2338.9118710236985</v>
      </c>
    </row>
    <row r="328" spans="1:28" x14ac:dyDescent="0.3">
      <c r="A328" s="1">
        <v>44886</v>
      </c>
      <c r="B328" s="2">
        <v>144.47</v>
      </c>
      <c r="C328" s="2">
        <v>394.59</v>
      </c>
      <c r="D328" s="9">
        <f>B328-B327</f>
        <v>-6.0000000000002274E-2</v>
      </c>
      <c r="E328" s="9">
        <f>C328-C327</f>
        <v>-1.4399999999999977</v>
      </c>
      <c r="F328" s="3">
        <f>F$1/B328</f>
        <v>692.18522876721806</v>
      </c>
      <c r="G328" s="3">
        <f>F$1/C328</f>
        <v>253.42760840365952</v>
      </c>
      <c r="H328" s="2">
        <f>D328*F327</f>
        <v>-41.513872552412842</v>
      </c>
      <c r="I328" s="2">
        <f>E328*G327</f>
        <v>-363.60881751382419</v>
      </c>
      <c r="J328" s="2">
        <f>I328-H328</f>
        <v>-322.09494496141133</v>
      </c>
      <c r="K328" s="2">
        <f t="shared" si="43"/>
        <v>322.09494496141133</v>
      </c>
      <c r="L328" s="3">
        <f>C328/B328</f>
        <v>2.7312936941925656</v>
      </c>
      <c r="M328" s="3">
        <f t="shared" si="37"/>
        <v>2.7338610213462364</v>
      </c>
      <c r="N328" s="3">
        <f t="shared" si="41"/>
        <v>2.7466380538067137</v>
      </c>
      <c r="O328" s="3">
        <f t="shared" si="42"/>
        <v>2.7797561144448739</v>
      </c>
      <c r="P328" s="3">
        <f t="shared" si="35"/>
        <v>2.8066133349186639</v>
      </c>
      <c r="Q328" s="4" t="str">
        <f t="shared" si="40"/>
        <v>OVER</v>
      </c>
      <c r="R328" s="4" t="str">
        <f t="shared" si="40"/>
        <v>UNDER</v>
      </c>
      <c r="S328" s="4" t="str">
        <f t="shared" si="38"/>
        <v>UNDER</v>
      </c>
      <c r="T328" s="4" t="str">
        <f t="shared" si="38"/>
        <v>UNDER</v>
      </c>
      <c r="U328" s="2">
        <f>IF(Q328="OVER",$J328,$K328)</f>
        <v>-322.09494496141133</v>
      </c>
      <c r="V328" s="2">
        <f>IF(R328="OVER",$J328,$K328)</f>
        <v>322.09494496141133</v>
      </c>
      <c r="W328" s="2">
        <f>IF(S328="OVER",$J328,$K328)</f>
        <v>322.09494496141133</v>
      </c>
      <c r="X328" s="2">
        <f>IF(T328="OVER",$J328,$K328)</f>
        <v>322.09494496141133</v>
      </c>
      <c r="Y328" s="9">
        <f t="shared" si="39"/>
        <v>-4558.9321225653839</v>
      </c>
      <c r="Z328" s="9">
        <f t="shared" si="39"/>
        <v>5360.529657539033</v>
      </c>
      <c r="AA328" s="9">
        <f t="shared" si="39"/>
        <v>14696.870785388641</v>
      </c>
      <c r="AB328" s="9">
        <f t="shared" si="36"/>
        <v>2661.0068159851098</v>
      </c>
    </row>
    <row r="329" spans="1:28" x14ac:dyDescent="0.3">
      <c r="A329" s="1">
        <v>44887</v>
      </c>
      <c r="B329" s="2">
        <v>146.38999999999999</v>
      </c>
      <c r="C329" s="2">
        <v>399.9</v>
      </c>
      <c r="D329" s="9">
        <f>B329-B328</f>
        <v>1.9199999999999875</v>
      </c>
      <c r="E329" s="9">
        <f>C329-C328</f>
        <v>5.3100000000000023</v>
      </c>
      <c r="F329" s="3">
        <f>F$1/B329</f>
        <v>683.10676958808665</v>
      </c>
      <c r="G329" s="3">
        <f>F$1/C329</f>
        <v>250.06251562890725</v>
      </c>
      <c r="H329" s="2">
        <f>D329*F328</f>
        <v>1328.99563923305</v>
      </c>
      <c r="I329" s="2">
        <f>E329*G328</f>
        <v>1345.7006006234326</v>
      </c>
      <c r="J329" s="2">
        <f>I329-H329</f>
        <v>16.70496139038255</v>
      </c>
      <c r="K329" s="2">
        <f t="shared" si="43"/>
        <v>-16.70496139038255</v>
      </c>
      <c r="L329" s="3">
        <f>C329/B329</f>
        <v>2.7317439715827585</v>
      </c>
      <c r="M329" s="3">
        <f t="shared" si="37"/>
        <v>2.7338660821200729</v>
      </c>
      <c r="N329" s="3">
        <f t="shared" si="41"/>
        <v>2.742671684869602</v>
      </c>
      <c r="O329" s="3">
        <f t="shared" si="42"/>
        <v>2.7787426360056342</v>
      </c>
      <c r="P329" s="3">
        <f t="shared" si="35"/>
        <v>2.8059211595702633</v>
      </c>
      <c r="Q329" s="4" t="str">
        <f t="shared" si="40"/>
        <v>UNDER</v>
      </c>
      <c r="R329" s="4" t="str">
        <f t="shared" si="40"/>
        <v>UNDER</v>
      </c>
      <c r="S329" s="4" t="str">
        <f t="shared" si="38"/>
        <v>UNDER</v>
      </c>
      <c r="T329" s="4" t="str">
        <f t="shared" si="38"/>
        <v>UNDER</v>
      </c>
      <c r="U329" s="2">
        <f>IF(Q329="OVER",$J329,$K329)</f>
        <v>-16.70496139038255</v>
      </c>
      <c r="V329" s="2">
        <f>IF(R329="OVER",$J329,$K329)</f>
        <v>-16.70496139038255</v>
      </c>
      <c r="W329" s="2">
        <f>IF(S329="OVER",$J329,$K329)</f>
        <v>-16.70496139038255</v>
      </c>
      <c r="X329" s="2">
        <f>IF(T329="OVER",$J329,$K329)</f>
        <v>-16.70496139038255</v>
      </c>
      <c r="Y329" s="9">
        <f t="shared" si="39"/>
        <v>-4575.6370839557667</v>
      </c>
      <c r="Z329" s="9">
        <f t="shared" si="39"/>
        <v>5343.8246961486502</v>
      </c>
      <c r="AA329" s="9">
        <f t="shared" si="39"/>
        <v>14680.165823998259</v>
      </c>
      <c r="AB329" s="9">
        <f t="shared" si="36"/>
        <v>2644.301854594727</v>
      </c>
    </row>
    <row r="330" spans="1:28" x14ac:dyDescent="0.3">
      <c r="A330" s="1">
        <v>44888</v>
      </c>
      <c r="B330" s="2">
        <v>147</v>
      </c>
      <c r="C330" s="2">
        <v>402.42</v>
      </c>
      <c r="D330" s="9">
        <f>B330-B329</f>
        <v>0.61000000000001364</v>
      </c>
      <c r="E330" s="9">
        <f>C330-C329</f>
        <v>2.5200000000000387</v>
      </c>
      <c r="F330" s="3">
        <f>F$1/B330</f>
        <v>680.27210884353747</v>
      </c>
      <c r="G330" s="3">
        <f>F$1/C330</f>
        <v>248.4965955966403</v>
      </c>
      <c r="H330" s="2">
        <f>D330*F329</f>
        <v>416.69512944874219</v>
      </c>
      <c r="I330" s="2">
        <f>E330*G329</f>
        <v>630.15753938485591</v>
      </c>
      <c r="J330" s="2">
        <f>I330-H330</f>
        <v>213.46240993611372</v>
      </c>
      <c r="K330" s="2">
        <f t="shared" si="43"/>
        <v>-213.46240993611372</v>
      </c>
      <c r="L330" s="3">
        <f>C330/B330</f>
        <v>2.7375510204081634</v>
      </c>
      <c r="M330" s="3">
        <f t="shared" si="37"/>
        <v>2.73518981446745</v>
      </c>
      <c r="N330" s="3">
        <f t="shared" si="41"/>
        <v>2.7403291192719341</v>
      </c>
      <c r="O330" s="3">
        <f t="shared" si="42"/>
        <v>2.7776290000819519</v>
      </c>
      <c r="P330" s="3">
        <f t="shared" si="35"/>
        <v>2.8052715116454703</v>
      </c>
      <c r="Q330" s="4" t="str">
        <f t="shared" si="40"/>
        <v>UNDER</v>
      </c>
      <c r="R330" s="4" t="str">
        <f t="shared" si="40"/>
        <v>UNDER</v>
      </c>
      <c r="S330" s="4" t="str">
        <f t="shared" si="38"/>
        <v>UNDER</v>
      </c>
      <c r="T330" s="4" t="str">
        <f t="shared" si="38"/>
        <v>UNDER</v>
      </c>
      <c r="U330" s="2">
        <f>IF(Q330="OVER",$J330,$K330)</f>
        <v>-213.46240993611372</v>
      </c>
      <c r="V330" s="2">
        <f>IF(R330="OVER",$J330,$K330)</f>
        <v>-213.46240993611372</v>
      </c>
      <c r="W330" s="2">
        <f>IF(S330="OVER",$J330,$K330)</f>
        <v>-213.46240993611372</v>
      </c>
      <c r="X330" s="2">
        <f>IF(T330="OVER",$J330,$K330)</f>
        <v>-213.46240993611372</v>
      </c>
      <c r="Y330" s="9">
        <f t="shared" si="39"/>
        <v>-4789.0994938918802</v>
      </c>
      <c r="Z330" s="9">
        <f t="shared" si="39"/>
        <v>5130.3622862125367</v>
      </c>
      <c r="AA330" s="9">
        <f t="shared" si="39"/>
        <v>14466.703414062145</v>
      </c>
      <c r="AB330" s="9">
        <f t="shared" si="36"/>
        <v>2430.8394446586135</v>
      </c>
    </row>
    <row r="331" spans="1:28" x14ac:dyDescent="0.3">
      <c r="A331" s="1">
        <v>44890</v>
      </c>
      <c r="B331" s="2">
        <v>147.5</v>
      </c>
      <c r="C331" s="2">
        <v>402.33</v>
      </c>
      <c r="D331" s="9">
        <f>B331-B330</f>
        <v>0.5</v>
      </c>
      <c r="E331" s="9">
        <f>C331-C330</f>
        <v>-9.0000000000031832E-2</v>
      </c>
      <c r="F331" s="3">
        <f>F$1/B331</f>
        <v>677.96610169491521</v>
      </c>
      <c r="G331" s="3">
        <f>F$1/C331</f>
        <v>248.55218353093233</v>
      </c>
      <c r="H331" s="2">
        <f>D331*F330</f>
        <v>340.13605442176873</v>
      </c>
      <c r="I331" s="2">
        <f>E331*G330</f>
        <v>-22.364693603705536</v>
      </c>
      <c r="J331" s="2">
        <f>I331-H331</f>
        <v>-362.50074802547425</v>
      </c>
      <c r="K331" s="2">
        <f t="shared" si="43"/>
        <v>362.50074802547425</v>
      </c>
      <c r="L331" s="3">
        <f>C331/B331</f>
        <v>2.7276610169491526</v>
      </c>
      <c r="M331" s="3">
        <f t="shared" si="37"/>
        <v>2.7351727245112487</v>
      </c>
      <c r="N331" s="3">
        <f t="shared" si="41"/>
        <v>2.7383665792069913</v>
      </c>
      <c r="O331" s="3">
        <f t="shared" si="42"/>
        <v>2.776510440185473</v>
      </c>
      <c r="P331" s="3">
        <f t="shared" ref="P331:P394" si="44">AVERAGE(L132:L331)</f>
        <v>2.8046045390913963</v>
      </c>
      <c r="Q331" s="4" t="str">
        <f t="shared" si="40"/>
        <v>OVER</v>
      </c>
      <c r="R331" s="4" t="str">
        <f t="shared" si="40"/>
        <v>UNDER</v>
      </c>
      <c r="S331" s="4" t="str">
        <f t="shared" si="38"/>
        <v>UNDER</v>
      </c>
      <c r="T331" s="4" t="str">
        <f t="shared" si="38"/>
        <v>UNDER</v>
      </c>
      <c r="U331" s="2">
        <f>IF(Q331="OVER",$J331,$K331)</f>
        <v>-362.50074802547425</v>
      </c>
      <c r="V331" s="2">
        <f>IF(R331="OVER",$J331,$K331)</f>
        <v>362.50074802547425</v>
      </c>
      <c r="W331" s="2">
        <f>IF(S331="OVER",$J331,$K331)</f>
        <v>362.50074802547425</v>
      </c>
      <c r="X331" s="2">
        <f>IF(T331="OVER",$J331,$K331)</f>
        <v>362.50074802547425</v>
      </c>
      <c r="Y331" s="9">
        <f t="shared" si="39"/>
        <v>-5151.6002419173547</v>
      </c>
      <c r="Z331" s="9">
        <f t="shared" si="39"/>
        <v>5492.8630342380111</v>
      </c>
      <c r="AA331" s="9">
        <f t="shared" si="39"/>
        <v>14829.204162087619</v>
      </c>
      <c r="AB331" s="9">
        <f t="shared" si="36"/>
        <v>2793.3401926840879</v>
      </c>
    </row>
    <row r="332" spans="1:28" x14ac:dyDescent="0.3">
      <c r="A332" s="1">
        <v>44893</v>
      </c>
      <c r="B332" s="2">
        <v>144.87</v>
      </c>
      <c r="C332" s="2">
        <v>395.91</v>
      </c>
      <c r="D332" s="9">
        <f>B332-B331</f>
        <v>-2.6299999999999955</v>
      </c>
      <c r="E332" s="9">
        <f>C332-C331</f>
        <v>-6.4199999999999591</v>
      </c>
      <c r="F332" s="3">
        <f>F$1/B332</f>
        <v>690.2740387934009</v>
      </c>
      <c r="G332" s="3">
        <f>F$1/C332</f>
        <v>252.58265767472403</v>
      </c>
      <c r="H332" s="2">
        <f>D332*F331</f>
        <v>-1783.0508474576238</v>
      </c>
      <c r="I332" s="2">
        <f>E332*G331</f>
        <v>-1595.7050182685753</v>
      </c>
      <c r="J332" s="2">
        <f>I332-H332</f>
        <v>187.34582918904857</v>
      </c>
      <c r="K332" s="2">
        <f t="shared" si="43"/>
        <v>-187.34582918904857</v>
      </c>
      <c r="L332" s="3">
        <f>C332/B332</f>
        <v>2.7328639469869538</v>
      </c>
      <c r="M332" s="3">
        <f t="shared" si="37"/>
        <v>2.7356565452778523</v>
      </c>
      <c r="N332" s="3">
        <f t="shared" si="41"/>
        <v>2.7362524645289454</v>
      </c>
      <c r="O332" s="3">
        <f t="shared" si="42"/>
        <v>2.7755915029089953</v>
      </c>
      <c r="P332" s="3">
        <f t="shared" si="44"/>
        <v>2.8039956694997752</v>
      </c>
      <c r="Q332" s="4" t="str">
        <f t="shared" si="40"/>
        <v>UNDER</v>
      </c>
      <c r="R332" s="4" t="str">
        <f t="shared" si="40"/>
        <v>UNDER</v>
      </c>
      <c r="S332" s="4" t="str">
        <f t="shared" si="38"/>
        <v>UNDER</v>
      </c>
      <c r="T332" s="4" t="str">
        <f t="shared" si="38"/>
        <v>UNDER</v>
      </c>
      <c r="U332" s="2">
        <f>IF(Q332="OVER",$J332,$K332)</f>
        <v>-187.34582918904857</v>
      </c>
      <c r="V332" s="2">
        <f>IF(R332="OVER",$J332,$K332)</f>
        <v>-187.34582918904857</v>
      </c>
      <c r="W332" s="2">
        <f>IF(S332="OVER",$J332,$K332)</f>
        <v>-187.34582918904857</v>
      </c>
      <c r="X332" s="2">
        <f>IF(T332="OVER",$J332,$K332)</f>
        <v>-187.34582918904857</v>
      </c>
      <c r="Y332" s="9">
        <f t="shared" si="39"/>
        <v>-5338.946071106403</v>
      </c>
      <c r="Z332" s="9">
        <f t="shared" si="39"/>
        <v>5305.5172050489628</v>
      </c>
      <c r="AA332" s="9">
        <f t="shared" si="39"/>
        <v>14641.85833289857</v>
      </c>
      <c r="AB332" s="9">
        <f t="shared" si="39"/>
        <v>2605.9943634950396</v>
      </c>
    </row>
    <row r="333" spans="1:28" x14ac:dyDescent="0.3">
      <c r="A333" s="1">
        <v>44894</v>
      </c>
      <c r="B333" s="2">
        <v>145.33000000000001</v>
      </c>
      <c r="C333" s="2">
        <v>395.23</v>
      </c>
      <c r="D333" s="9">
        <f>B333-B332</f>
        <v>0.46000000000000796</v>
      </c>
      <c r="E333" s="9">
        <f>C333-C332</f>
        <v>-0.68000000000000682</v>
      </c>
      <c r="F333" s="3">
        <f>F$1/B333</f>
        <v>688.08917635725584</v>
      </c>
      <c r="G333" s="3">
        <f>F$1/C333</f>
        <v>253.01723047339522</v>
      </c>
      <c r="H333" s="2">
        <f>D333*F332</f>
        <v>317.5260578449699</v>
      </c>
      <c r="I333" s="2">
        <f>E333*G332</f>
        <v>-171.75620721881407</v>
      </c>
      <c r="J333" s="2">
        <f>I333-H333</f>
        <v>-489.28226506378394</v>
      </c>
      <c r="K333" s="2">
        <f t="shared" si="43"/>
        <v>489.28226506378394</v>
      </c>
      <c r="L333" s="3">
        <f>C333/B333</f>
        <v>2.7195348517167823</v>
      </c>
      <c r="M333" s="3">
        <f t="shared" ref="M333:M396" si="45">AVERAGE(L324:L333)</f>
        <v>2.7341516596280204</v>
      </c>
      <c r="N333" s="3">
        <f t="shared" si="41"/>
        <v>2.7338621965100272</v>
      </c>
      <c r="O333" s="3">
        <f t="shared" si="42"/>
        <v>2.7741359908164895</v>
      </c>
      <c r="P333" s="3">
        <f t="shared" si="44"/>
        <v>2.8034142296713127</v>
      </c>
      <c r="Q333" s="4" t="str">
        <f t="shared" si="40"/>
        <v>UNDER</v>
      </c>
      <c r="R333" s="4" t="str">
        <f t="shared" si="40"/>
        <v>UNDER</v>
      </c>
      <c r="S333" s="4" t="str">
        <f t="shared" ref="S333:T396" si="46">IF($L333&gt;O333,"OVER","UNDER")</f>
        <v>UNDER</v>
      </c>
      <c r="T333" s="4" t="str">
        <f t="shared" si="46"/>
        <v>UNDER</v>
      </c>
      <c r="U333" s="2">
        <f>IF(Q333="OVER",$J333,$K333)</f>
        <v>489.28226506378394</v>
      </c>
      <c r="V333" s="2">
        <f>IF(R333="OVER",$J333,$K333)</f>
        <v>489.28226506378394</v>
      </c>
      <c r="W333" s="2">
        <f>IF(S333="OVER",$J333,$K333)</f>
        <v>489.28226506378394</v>
      </c>
      <c r="X333" s="2">
        <f>IF(T333="OVER",$J333,$K333)</f>
        <v>489.28226506378394</v>
      </c>
      <c r="Y333" s="9">
        <f t="shared" ref="Y333:AB396" si="47">Y332+U333</f>
        <v>-4849.6638060426194</v>
      </c>
      <c r="Z333" s="9">
        <f t="shared" si="47"/>
        <v>5794.7994701127463</v>
      </c>
      <c r="AA333" s="9">
        <f t="shared" si="47"/>
        <v>15131.140597962354</v>
      </c>
      <c r="AB333" s="9">
        <f t="shared" si="47"/>
        <v>3095.2766285588236</v>
      </c>
    </row>
    <row r="334" spans="1:28" x14ac:dyDescent="0.3">
      <c r="A334" s="1">
        <v>44895</v>
      </c>
      <c r="B334" s="2">
        <v>148.82</v>
      </c>
      <c r="C334" s="2">
        <v>407.68</v>
      </c>
      <c r="D334" s="9">
        <f>B334-B333</f>
        <v>3.4899999999999807</v>
      </c>
      <c r="E334" s="9">
        <f>C334-C333</f>
        <v>12.449999999999989</v>
      </c>
      <c r="F334" s="3">
        <f>F$1/B334</f>
        <v>671.95269453030505</v>
      </c>
      <c r="G334" s="3">
        <f>F$1/C334</f>
        <v>245.29042386185242</v>
      </c>
      <c r="H334" s="2">
        <f>D334*F333</f>
        <v>2401.4312254868096</v>
      </c>
      <c r="I334" s="2">
        <f>E334*G333</f>
        <v>3150.0645193937676</v>
      </c>
      <c r="J334" s="2">
        <f>I334-H334</f>
        <v>748.63329390695799</v>
      </c>
      <c r="K334" s="2">
        <f t="shared" si="43"/>
        <v>-748.63329390695799</v>
      </c>
      <c r="L334" s="3">
        <f>C334/B334</f>
        <v>2.7394167450611477</v>
      </c>
      <c r="M334" s="3">
        <f t="shared" si="45"/>
        <v>2.7348742734553562</v>
      </c>
      <c r="N334" s="3">
        <f t="shared" si="41"/>
        <v>2.7334063003820983</v>
      </c>
      <c r="O334" s="3">
        <f t="shared" si="42"/>
        <v>2.7728159333431597</v>
      </c>
      <c r="P334" s="3">
        <f t="shared" si="44"/>
        <v>2.8028648180695153</v>
      </c>
      <c r="Q334" s="4" t="str">
        <f t="shared" ref="Q334:R397" si="48">IF($L333&gt;M333,"OVER","UNDER")</f>
        <v>UNDER</v>
      </c>
      <c r="R334" s="4" t="str">
        <f t="shared" si="48"/>
        <v>UNDER</v>
      </c>
      <c r="S334" s="4" t="str">
        <f t="shared" si="46"/>
        <v>UNDER</v>
      </c>
      <c r="T334" s="4" t="str">
        <f t="shared" si="46"/>
        <v>UNDER</v>
      </c>
      <c r="U334" s="2">
        <f>IF(Q334="OVER",$J334,$K334)</f>
        <v>-748.63329390695799</v>
      </c>
      <c r="V334" s="2">
        <f>IF(R334="OVER",$J334,$K334)</f>
        <v>-748.63329390695799</v>
      </c>
      <c r="W334" s="2">
        <f>IF(S334="OVER",$J334,$K334)</f>
        <v>-748.63329390695799</v>
      </c>
      <c r="X334" s="2">
        <f>IF(T334="OVER",$J334,$K334)</f>
        <v>-748.63329390695799</v>
      </c>
      <c r="Y334" s="9">
        <f t="shared" si="47"/>
        <v>-5598.2970999495774</v>
      </c>
      <c r="Z334" s="9">
        <f t="shared" si="47"/>
        <v>5046.1661762057884</v>
      </c>
      <c r="AA334" s="9">
        <f t="shared" si="47"/>
        <v>14382.507304055396</v>
      </c>
      <c r="AB334" s="9">
        <f t="shared" si="47"/>
        <v>2346.6433346518656</v>
      </c>
    </row>
    <row r="335" spans="1:28" x14ac:dyDescent="0.3">
      <c r="A335" s="1">
        <v>44896</v>
      </c>
      <c r="B335" s="2">
        <v>149.03</v>
      </c>
      <c r="C335" s="2">
        <v>407.38</v>
      </c>
      <c r="D335" s="9">
        <f>B335-B334</f>
        <v>0.21000000000000796</v>
      </c>
      <c r="E335" s="9">
        <f>C335-C334</f>
        <v>-0.30000000000001137</v>
      </c>
      <c r="F335" s="3">
        <f>F$1/B335</f>
        <v>671.00583775078837</v>
      </c>
      <c r="G335" s="3">
        <f>F$1/C335</f>
        <v>245.47105896214836</v>
      </c>
      <c r="H335" s="2">
        <f>D335*F334</f>
        <v>141.1100658513694</v>
      </c>
      <c r="I335" s="2">
        <f>E335*G334</f>
        <v>-73.587127158558516</v>
      </c>
      <c r="J335" s="2">
        <f>I335-H335</f>
        <v>-214.6971930099279</v>
      </c>
      <c r="K335" s="2">
        <f t="shared" si="43"/>
        <v>214.6971930099279</v>
      </c>
      <c r="L335" s="3">
        <f>C335/B335</f>
        <v>2.7335435818291618</v>
      </c>
      <c r="M335" s="3">
        <f t="shared" si="45"/>
        <v>2.7341815075911482</v>
      </c>
      <c r="N335" s="3">
        <f t="shared" si="41"/>
        <v>2.7327584007132075</v>
      </c>
      <c r="O335" s="3">
        <f t="shared" si="42"/>
        <v>2.7714276843617989</v>
      </c>
      <c r="P335" s="3">
        <f t="shared" si="44"/>
        <v>2.8022737620861857</v>
      </c>
      <c r="Q335" s="4" t="str">
        <f t="shared" si="48"/>
        <v>OVER</v>
      </c>
      <c r="R335" s="4" t="str">
        <f t="shared" si="48"/>
        <v>OVER</v>
      </c>
      <c r="S335" s="4" t="str">
        <f t="shared" si="46"/>
        <v>UNDER</v>
      </c>
      <c r="T335" s="4" t="str">
        <f t="shared" si="46"/>
        <v>UNDER</v>
      </c>
      <c r="U335" s="2">
        <f>IF(Q335="OVER",$J335,$K335)</f>
        <v>-214.6971930099279</v>
      </c>
      <c r="V335" s="2">
        <f>IF(R335="OVER",$J335,$K335)</f>
        <v>-214.6971930099279</v>
      </c>
      <c r="W335" s="2">
        <f>IF(S335="OVER",$J335,$K335)</f>
        <v>214.6971930099279</v>
      </c>
      <c r="X335" s="2">
        <f>IF(T335="OVER",$J335,$K335)</f>
        <v>214.6971930099279</v>
      </c>
      <c r="Y335" s="9">
        <f t="shared" si="47"/>
        <v>-5812.9942929595054</v>
      </c>
      <c r="Z335" s="9">
        <f t="shared" si="47"/>
        <v>4831.4689831958603</v>
      </c>
      <c r="AA335" s="9">
        <f t="shared" si="47"/>
        <v>14597.204497065324</v>
      </c>
      <c r="AB335" s="9">
        <f t="shared" si="47"/>
        <v>2561.3405276617937</v>
      </c>
    </row>
    <row r="336" spans="1:28" x14ac:dyDescent="0.3">
      <c r="A336" s="1">
        <v>44897</v>
      </c>
      <c r="B336" s="2">
        <v>148.94</v>
      </c>
      <c r="C336" s="2">
        <v>406.91</v>
      </c>
      <c r="D336" s="9">
        <f>B336-B335</f>
        <v>-9.0000000000003411E-2</v>
      </c>
      <c r="E336" s="9">
        <f>C336-C335</f>
        <v>-0.46999999999997044</v>
      </c>
      <c r="F336" s="3">
        <f>F$1/B336</f>
        <v>671.41130656640257</v>
      </c>
      <c r="G336" s="3">
        <f>F$1/C336</f>
        <v>245.75458946695829</v>
      </c>
      <c r="H336" s="2">
        <f>D336*F335</f>
        <v>-60.390525397573242</v>
      </c>
      <c r="I336" s="2">
        <f>E336*G335</f>
        <v>-115.37139771220248</v>
      </c>
      <c r="J336" s="2">
        <f>I336-H336</f>
        <v>-54.980872314629238</v>
      </c>
      <c r="K336" s="2">
        <f t="shared" si="43"/>
        <v>54.980872314629238</v>
      </c>
      <c r="L336" s="3">
        <f>C336/B336</f>
        <v>2.732039747549349</v>
      </c>
      <c r="M336" s="3">
        <f t="shared" si="45"/>
        <v>2.732577173409795</v>
      </c>
      <c r="N336" s="3">
        <f t="shared" si="41"/>
        <v>2.7327587680612204</v>
      </c>
      <c r="O336" s="3">
        <f t="shared" si="42"/>
        <v>2.7696718249536572</v>
      </c>
      <c r="P336" s="3">
        <f t="shared" si="44"/>
        <v>2.8017064998490997</v>
      </c>
      <c r="Q336" s="4" t="str">
        <f t="shared" si="48"/>
        <v>UNDER</v>
      </c>
      <c r="R336" s="4" t="str">
        <f t="shared" si="48"/>
        <v>OVER</v>
      </c>
      <c r="S336" s="4" t="str">
        <f t="shared" si="46"/>
        <v>UNDER</v>
      </c>
      <c r="T336" s="4" t="str">
        <f t="shared" si="46"/>
        <v>UNDER</v>
      </c>
      <c r="U336" s="2">
        <f>IF(Q336="OVER",$J336,$K336)</f>
        <v>54.980872314629238</v>
      </c>
      <c r="V336" s="2">
        <f>IF(R336="OVER",$J336,$K336)</f>
        <v>-54.980872314629238</v>
      </c>
      <c r="W336" s="2">
        <f>IF(S336="OVER",$J336,$K336)</f>
        <v>54.980872314629238</v>
      </c>
      <c r="X336" s="2">
        <f>IF(T336="OVER",$J336,$K336)</f>
        <v>54.980872314629238</v>
      </c>
      <c r="Y336" s="9">
        <f t="shared" si="47"/>
        <v>-5758.0134206448765</v>
      </c>
      <c r="Z336" s="9">
        <f t="shared" si="47"/>
        <v>4776.4881108812315</v>
      </c>
      <c r="AA336" s="9">
        <f t="shared" si="47"/>
        <v>14652.185369379953</v>
      </c>
      <c r="AB336" s="9">
        <f t="shared" si="47"/>
        <v>2616.321399976423</v>
      </c>
    </row>
    <row r="337" spans="1:28" x14ac:dyDescent="0.3">
      <c r="A337" s="1">
        <v>44900</v>
      </c>
      <c r="B337" s="2">
        <v>146.06</v>
      </c>
      <c r="C337" s="2">
        <v>399.59</v>
      </c>
      <c r="D337" s="9">
        <f>B337-B336</f>
        <v>-2.8799999999999955</v>
      </c>
      <c r="E337" s="9">
        <f>C337-C336</f>
        <v>-7.32000000000005</v>
      </c>
      <c r="F337" s="3">
        <f>F$1/B337</f>
        <v>684.65014377653017</v>
      </c>
      <c r="G337" s="3">
        <f>F$1/C337</f>
        <v>250.25651292574892</v>
      </c>
      <c r="H337" s="2">
        <f>D337*F336</f>
        <v>-1933.6645629112363</v>
      </c>
      <c r="I337" s="2">
        <f>E337*G336</f>
        <v>-1798.923594898147</v>
      </c>
      <c r="J337" s="2">
        <f>I337-H337</f>
        <v>134.74096801308929</v>
      </c>
      <c r="K337" s="2">
        <f t="shared" si="43"/>
        <v>-134.74096801308929</v>
      </c>
      <c r="L337" s="3">
        <f>C337/B337</f>
        <v>2.7357935095166366</v>
      </c>
      <c r="M337" s="3">
        <f t="shared" si="45"/>
        <v>2.732144208579268</v>
      </c>
      <c r="N337" s="3">
        <f t="shared" si="41"/>
        <v>2.7331007602653528</v>
      </c>
      <c r="O337" s="3">
        <f t="shared" si="42"/>
        <v>2.767988246952696</v>
      </c>
      <c r="P337" s="3">
        <f t="shared" si="44"/>
        <v>2.801207176343675</v>
      </c>
      <c r="Q337" s="4" t="str">
        <f t="shared" si="48"/>
        <v>UNDER</v>
      </c>
      <c r="R337" s="4" t="str">
        <f t="shared" si="48"/>
        <v>UNDER</v>
      </c>
      <c r="S337" s="4" t="str">
        <f t="shared" si="46"/>
        <v>UNDER</v>
      </c>
      <c r="T337" s="4" t="str">
        <f t="shared" si="46"/>
        <v>UNDER</v>
      </c>
      <c r="U337" s="2">
        <f>IF(Q337="OVER",$J337,$K337)</f>
        <v>-134.74096801308929</v>
      </c>
      <c r="V337" s="2">
        <f>IF(R337="OVER",$J337,$K337)</f>
        <v>-134.74096801308929</v>
      </c>
      <c r="W337" s="2">
        <f>IF(S337="OVER",$J337,$K337)</f>
        <v>-134.74096801308929</v>
      </c>
      <c r="X337" s="2">
        <f>IF(T337="OVER",$J337,$K337)</f>
        <v>-134.74096801308929</v>
      </c>
      <c r="Y337" s="9">
        <f t="shared" si="47"/>
        <v>-5892.754388657966</v>
      </c>
      <c r="Z337" s="9">
        <f t="shared" si="47"/>
        <v>4641.747142868142</v>
      </c>
      <c r="AA337" s="9">
        <f t="shared" si="47"/>
        <v>14517.444401366864</v>
      </c>
      <c r="AB337" s="9">
        <f t="shared" si="47"/>
        <v>2481.5804319633335</v>
      </c>
    </row>
    <row r="338" spans="1:28" x14ac:dyDescent="0.3">
      <c r="A338" s="1">
        <v>44901</v>
      </c>
      <c r="B338" s="2">
        <v>144.46</v>
      </c>
      <c r="C338" s="2">
        <v>393.83</v>
      </c>
      <c r="D338" s="9">
        <f>B338-B337</f>
        <v>-1.5999999999999943</v>
      </c>
      <c r="E338" s="9">
        <f>C338-C337</f>
        <v>-5.7599999999999909</v>
      </c>
      <c r="F338" s="3">
        <f>F$1/B338</f>
        <v>692.23314412294053</v>
      </c>
      <c r="G338" s="3">
        <f>F$1/C338</f>
        <v>253.91666455069446</v>
      </c>
      <c r="H338" s="2">
        <f>D338*F337</f>
        <v>-1095.4402300424445</v>
      </c>
      <c r="I338" s="2">
        <f>E338*G337</f>
        <v>-1441.4775144523114</v>
      </c>
      <c r="J338" s="2">
        <f>I338-H338</f>
        <v>-346.03728440986697</v>
      </c>
      <c r="K338" s="2">
        <f t="shared" si="43"/>
        <v>346.03728440986697</v>
      </c>
      <c r="L338" s="3">
        <f>C338/B338</f>
        <v>2.7262217914993769</v>
      </c>
      <c r="M338" s="3">
        <f t="shared" si="45"/>
        <v>2.7316370183099483</v>
      </c>
      <c r="N338" s="3">
        <f t="shared" si="41"/>
        <v>2.7327490198280922</v>
      </c>
      <c r="O338" s="3">
        <f t="shared" si="42"/>
        <v>2.7658504228868908</v>
      </c>
      <c r="P338" s="3">
        <f t="shared" si="44"/>
        <v>2.8006985913903946</v>
      </c>
      <c r="Q338" s="4" t="str">
        <f t="shared" si="48"/>
        <v>OVER</v>
      </c>
      <c r="R338" s="4" t="str">
        <f t="shared" si="48"/>
        <v>OVER</v>
      </c>
      <c r="S338" s="4" t="str">
        <f t="shared" si="46"/>
        <v>UNDER</v>
      </c>
      <c r="T338" s="4" t="str">
        <f t="shared" si="46"/>
        <v>UNDER</v>
      </c>
      <c r="U338" s="2">
        <f>IF(Q338="OVER",$J338,$K338)</f>
        <v>-346.03728440986697</v>
      </c>
      <c r="V338" s="2">
        <f>IF(R338="OVER",$J338,$K338)</f>
        <v>-346.03728440986697</v>
      </c>
      <c r="W338" s="2">
        <f>IF(S338="OVER",$J338,$K338)</f>
        <v>346.03728440986697</v>
      </c>
      <c r="X338" s="2">
        <f>IF(T338="OVER",$J338,$K338)</f>
        <v>346.03728440986697</v>
      </c>
      <c r="Y338" s="9">
        <f t="shared" si="47"/>
        <v>-6238.7916730678335</v>
      </c>
      <c r="Z338" s="9">
        <f t="shared" si="47"/>
        <v>4295.7098584582745</v>
      </c>
      <c r="AA338" s="9">
        <f t="shared" si="47"/>
        <v>14863.481685776731</v>
      </c>
      <c r="AB338" s="9">
        <f t="shared" si="47"/>
        <v>2827.6177163732004</v>
      </c>
    </row>
    <row r="339" spans="1:28" x14ac:dyDescent="0.3">
      <c r="A339" s="1">
        <v>44902</v>
      </c>
      <c r="B339" s="2">
        <v>144.22</v>
      </c>
      <c r="C339" s="2">
        <v>393.16</v>
      </c>
      <c r="D339" s="9">
        <f>B339-B338</f>
        <v>-0.24000000000000909</v>
      </c>
      <c r="E339" s="9">
        <f>C339-C338</f>
        <v>-0.66999999999995907</v>
      </c>
      <c r="F339" s="3">
        <f>F$1/B339</f>
        <v>693.38510608792126</v>
      </c>
      <c r="G339" s="3">
        <f>F$1/C339</f>
        <v>254.34937430053921</v>
      </c>
      <c r="H339" s="2">
        <f>D339*F338</f>
        <v>-166.13595458951201</v>
      </c>
      <c r="I339" s="2">
        <f>E339*G338</f>
        <v>-170.12416524895491</v>
      </c>
      <c r="J339" s="2">
        <f>I339-H339</f>
        <v>-3.988210659442899</v>
      </c>
      <c r="K339" s="2">
        <f t="shared" si="43"/>
        <v>3.988210659442899</v>
      </c>
      <c r="L339" s="3">
        <f>C339/B339</f>
        <v>2.7261128830952712</v>
      </c>
      <c r="M339" s="3">
        <f t="shared" si="45"/>
        <v>2.7310739094611995</v>
      </c>
      <c r="N339" s="3">
        <f t="shared" si="41"/>
        <v>2.7324699957906362</v>
      </c>
      <c r="O339" s="3">
        <f t="shared" si="42"/>
        <v>2.7636742876637914</v>
      </c>
      <c r="P339" s="3">
        <f t="shared" si="44"/>
        <v>2.8002004227444313</v>
      </c>
      <c r="Q339" s="4" t="str">
        <f t="shared" si="48"/>
        <v>UNDER</v>
      </c>
      <c r="R339" s="4" t="str">
        <f t="shared" si="48"/>
        <v>UNDER</v>
      </c>
      <c r="S339" s="4" t="str">
        <f t="shared" si="46"/>
        <v>UNDER</v>
      </c>
      <c r="T339" s="4" t="str">
        <f t="shared" si="46"/>
        <v>UNDER</v>
      </c>
      <c r="U339" s="2">
        <f>IF(Q339="OVER",$J339,$K339)</f>
        <v>3.988210659442899</v>
      </c>
      <c r="V339" s="2">
        <f>IF(R339="OVER",$J339,$K339)</f>
        <v>3.988210659442899</v>
      </c>
      <c r="W339" s="2">
        <f>IF(S339="OVER",$J339,$K339)</f>
        <v>3.988210659442899</v>
      </c>
      <c r="X339" s="2">
        <f>IF(T339="OVER",$J339,$K339)</f>
        <v>3.988210659442899</v>
      </c>
      <c r="Y339" s="9">
        <f t="shared" si="47"/>
        <v>-6234.8034624083903</v>
      </c>
      <c r="Z339" s="9">
        <f t="shared" si="47"/>
        <v>4299.6980691177178</v>
      </c>
      <c r="AA339" s="9">
        <f t="shared" si="47"/>
        <v>14867.469896436174</v>
      </c>
      <c r="AB339" s="9">
        <f t="shared" si="47"/>
        <v>2831.6059270326432</v>
      </c>
    </row>
    <row r="340" spans="1:28" x14ac:dyDescent="0.3">
      <c r="A340" s="1">
        <v>44903</v>
      </c>
      <c r="B340" s="2">
        <v>145.15</v>
      </c>
      <c r="C340" s="2">
        <v>396.24</v>
      </c>
      <c r="D340" s="9">
        <f>B340-B339</f>
        <v>0.93000000000000682</v>
      </c>
      <c r="E340" s="9">
        <f>C340-C339</f>
        <v>3.0799999999999841</v>
      </c>
      <c r="F340" s="3">
        <f>F$1/B340</f>
        <v>688.94247330347912</v>
      </c>
      <c r="G340" s="3">
        <f>F$1/C340</f>
        <v>252.37229961639409</v>
      </c>
      <c r="H340" s="2">
        <f>D340*F339</f>
        <v>644.84814866177146</v>
      </c>
      <c r="I340" s="2">
        <f>E340*G339</f>
        <v>783.3960728456567</v>
      </c>
      <c r="J340" s="2">
        <f>I340-H340</f>
        <v>138.54792418388524</v>
      </c>
      <c r="K340" s="2">
        <f t="shared" si="43"/>
        <v>-138.54792418388524</v>
      </c>
      <c r="L340" s="3">
        <f>C340/B340</f>
        <v>2.7298656562177057</v>
      </c>
      <c r="M340" s="3">
        <f t="shared" si="45"/>
        <v>2.730305373042154</v>
      </c>
      <c r="N340" s="3">
        <f t="shared" si="41"/>
        <v>2.732747593754802</v>
      </c>
      <c r="O340" s="3">
        <f t="shared" si="42"/>
        <v>2.761771143331603</v>
      </c>
      <c r="P340" s="3">
        <f t="shared" si="44"/>
        <v>2.7997537398008259</v>
      </c>
      <c r="Q340" s="4" t="str">
        <f t="shared" si="48"/>
        <v>UNDER</v>
      </c>
      <c r="R340" s="4" t="str">
        <f t="shared" si="48"/>
        <v>UNDER</v>
      </c>
      <c r="S340" s="4" t="str">
        <f t="shared" si="46"/>
        <v>UNDER</v>
      </c>
      <c r="T340" s="4" t="str">
        <f t="shared" si="46"/>
        <v>UNDER</v>
      </c>
      <c r="U340" s="2">
        <f>IF(Q340="OVER",$J340,$K340)</f>
        <v>-138.54792418388524</v>
      </c>
      <c r="V340" s="2">
        <f>IF(R340="OVER",$J340,$K340)</f>
        <v>-138.54792418388524</v>
      </c>
      <c r="W340" s="2">
        <f>IF(S340="OVER",$J340,$K340)</f>
        <v>-138.54792418388524</v>
      </c>
      <c r="X340" s="2">
        <f>IF(T340="OVER",$J340,$K340)</f>
        <v>-138.54792418388524</v>
      </c>
      <c r="Y340" s="9">
        <f t="shared" si="47"/>
        <v>-6373.351386592276</v>
      </c>
      <c r="Z340" s="9">
        <f t="shared" si="47"/>
        <v>4161.1501449338321</v>
      </c>
      <c r="AA340" s="9">
        <f t="shared" si="47"/>
        <v>14728.921972252288</v>
      </c>
      <c r="AB340" s="9">
        <f t="shared" si="47"/>
        <v>2693.058002848758</v>
      </c>
    </row>
    <row r="341" spans="1:28" x14ac:dyDescent="0.3">
      <c r="A341" s="1">
        <v>44904</v>
      </c>
      <c r="B341" s="2">
        <v>144.03</v>
      </c>
      <c r="C341" s="2">
        <v>393.28</v>
      </c>
      <c r="D341" s="9">
        <f>B341-B340</f>
        <v>-1.1200000000000045</v>
      </c>
      <c r="E341" s="9">
        <f>C341-C340</f>
        <v>-2.9600000000000364</v>
      </c>
      <c r="F341" s="3">
        <f>F$1/B341</f>
        <v>694.29979865305836</v>
      </c>
      <c r="G341" s="3">
        <f>F$1/C341</f>
        <v>254.27176566314077</v>
      </c>
      <c r="H341" s="2">
        <f>D341*F340</f>
        <v>-771.61557009989974</v>
      </c>
      <c r="I341" s="2">
        <f>E341*G340</f>
        <v>-747.02200686453568</v>
      </c>
      <c r="J341" s="2">
        <f>I341-H341</f>
        <v>24.593563235364059</v>
      </c>
      <c r="K341" s="2">
        <f t="shared" si="43"/>
        <v>-24.593563235364059</v>
      </c>
      <c r="L341" s="3">
        <f>C341/B341</f>
        <v>2.7305422481427479</v>
      </c>
      <c r="M341" s="3">
        <f t="shared" si="45"/>
        <v>2.7305934961615135</v>
      </c>
      <c r="N341" s="3">
        <f t="shared" si="41"/>
        <v>2.7328831103363811</v>
      </c>
      <c r="O341" s="3">
        <f t="shared" si="42"/>
        <v>2.7599956034638717</v>
      </c>
      <c r="P341" s="3">
        <f t="shared" si="44"/>
        <v>2.7992337177523274</v>
      </c>
      <c r="Q341" s="4" t="str">
        <f t="shared" si="48"/>
        <v>UNDER</v>
      </c>
      <c r="R341" s="4" t="str">
        <f t="shared" si="48"/>
        <v>UNDER</v>
      </c>
      <c r="S341" s="4" t="str">
        <f t="shared" si="46"/>
        <v>UNDER</v>
      </c>
      <c r="T341" s="4" t="str">
        <f t="shared" si="46"/>
        <v>UNDER</v>
      </c>
      <c r="U341" s="2">
        <f>IF(Q341="OVER",$J341,$K341)</f>
        <v>-24.593563235364059</v>
      </c>
      <c r="V341" s="2">
        <f>IF(R341="OVER",$J341,$K341)</f>
        <v>-24.593563235364059</v>
      </c>
      <c r="W341" s="2">
        <f>IF(S341="OVER",$J341,$K341)</f>
        <v>-24.593563235364059</v>
      </c>
      <c r="X341" s="2">
        <f>IF(T341="OVER",$J341,$K341)</f>
        <v>-24.593563235364059</v>
      </c>
      <c r="Y341" s="9">
        <f t="shared" si="47"/>
        <v>-6397.9449498276399</v>
      </c>
      <c r="Z341" s="9">
        <f t="shared" si="47"/>
        <v>4136.5565816984681</v>
      </c>
      <c r="AA341" s="9">
        <f t="shared" si="47"/>
        <v>14704.328409016924</v>
      </c>
      <c r="AB341" s="9">
        <f t="shared" si="47"/>
        <v>2668.464439613394</v>
      </c>
    </row>
    <row r="342" spans="1:28" x14ac:dyDescent="0.3">
      <c r="A342" s="1">
        <v>44907</v>
      </c>
      <c r="B342" s="2">
        <v>146.15</v>
      </c>
      <c r="C342" s="2">
        <v>398.95</v>
      </c>
      <c r="D342" s="9">
        <f>B342-B341</f>
        <v>2.1200000000000045</v>
      </c>
      <c r="E342" s="9">
        <f>C342-C341</f>
        <v>5.6700000000000159</v>
      </c>
      <c r="F342" s="3">
        <f>F$1/B342</f>
        <v>684.2285323297981</v>
      </c>
      <c r="G342" s="3">
        <f>F$1/C342</f>
        <v>250.65797719012409</v>
      </c>
      <c r="H342" s="2">
        <f>D342*F341</f>
        <v>1471.9155731444869</v>
      </c>
      <c r="I342" s="2">
        <f>E342*G341</f>
        <v>1441.7209113100123</v>
      </c>
      <c r="J342" s="2">
        <f>I342-H342</f>
        <v>-30.194661834474573</v>
      </c>
      <c r="K342" s="2">
        <f t="shared" si="43"/>
        <v>30.194661834474573</v>
      </c>
      <c r="L342" s="3">
        <f>C342/B342</f>
        <v>2.7297297297297294</v>
      </c>
      <c r="M342" s="3">
        <f t="shared" si="45"/>
        <v>2.7302800744357909</v>
      </c>
      <c r="N342" s="3">
        <f t="shared" si="41"/>
        <v>2.7329683098568216</v>
      </c>
      <c r="O342" s="3">
        <f t="shared" si="42"/>
        <v>2.7584651194915271</v>
      </c>
      <c r="P342" s="3">
        <f t="shared" si="44"/>
        <v>2.7987759601106945</v>
      </c>
      <c r="Q342" s="4" t="str">
        <f t="shared" si="48"/>
        <v>UNDER</v>
      </c>
      <c r="R342" s="4" t="str">
        <f t="shared" si="48"/>
        <v>UNDER</v>
      </c>
      <c r="S342" s="4" t="str">
        <f t="shared" si="46"/>
        <v>UNDER</v>
      </c>
      <c r="T342" s="4" t="str">
        <f t="shared" si="46"/>
        <v>UNDER</v>
      </c>
      <c r="U342" s="2">
        <f>IF(Q342="OVER",$J342,$K342)</f>
        <v>30.194661834474573</v>
      </c>
      <c r="V342" s="2">
        <f>IF(R342="OVER",$J342,$K342)</f>
        <v>30.194661834474573</v>
      </c>
      <c r="W342" s="2">
        <f>IF(S342="OVER",$J342,$K342)</f>
        <v>30.194661834474573</v>
      </c>
      <c r="X342" s="2">
        <f>IF(T342="OVER",$J342,$K342)</f>
        <v>30.194661834474573</v>
      </c>
      <c r="Y342" s="9">
        <f t="shared" si="47"/>
        <v>-6367.7502879931653</v>
      </c>
      <c r="Z342" s="9">
        <f t="shared" si="47"/>
        <v>4166.7512435329427</v>
      </c>
      <c r="AA342" s="9">
        <f t="shared" si="47"/>
        <v>14734.523070851399</v>
      </c>
      <c r="AB342" s="9">
        <f t="shared" si="47"/>
        <v>2698.6591014478686</v>
      </c>
    </row>
    <row r="343" spans="1:28" x14ac:dyDescent="0.3">
      <c r="A343" s="1">
        <v>44908</v>
      </c>
      <c r="B343" s="2">
        <v>147.16999999999999</v>
      </c>
      <c r="C343" s="2">
        <v>401.97</v>
      </c>
      <c r="D343" s="9">
        <f>B343-B342</f>
        <v>1.0199999999999818</v>
      </c>
      <c r="E343" s="9">
        <f>C343-C342</f>
        <v>3.0200000000000387</v>
      </c>
      <c r="F343" s="3">
        <f>F$1/B343</f>
        <v>679.48630835088682</v>
      </c>
      <c r="G343" s="3">
        <f>F$1/C343</f>
        <v>248.7747841878747</v>
      </c>
      <c r="H343" s="2">
        <f>D343*F342</f>
        <v>697.91310297638165</v>
      </c>
      <c r="I343" s="2">
        <f>E343*G342</f>
        <v>756.98709111418441</v>
      </c>
      <c r="J343" s="2">
        <f>I343-H343</f>
        <v>59.073988137802758</v>
      </c>
      <c r="K343" s="2">
        <f t="shared" si="43"/>
        <v>-59.073988137802758</v>
      </c>
      <c r="L343" s="3">
        <f>C343/B343</f>
        <v>2.7313311136780598</v>
      </c>
      <c r="M343" s="3">
        <f t="shared" si="45"/>
        <v>2.7314597006319183</v>
      </c>
      <c r="N343" s="3">
        <f t="shared" ref="N343:N406" si="49">AVERAGE(L324:L343)</f>
        <v>2.7328056801299696</v>
      </c>
      <c r="O343" s="3">
        <f t="shared" si="42"/>
        <v>2.7570480209059589</v>
      </c>
      <c r="P343" s="3">
        <f t="shared" si="44"/>
        <v>2.7982792931507219</v>
      </c>
      <c r="Q343" s="4" t="str">
        <f t="shared" si="48"/>
        <v>UNDER</v>
      </c>
      <c r="R343" s="4" t="str">
        <f t="shared" si="48"/>
        <v>UNDER</v>
      </c>
      <c r="S343" s="4" t="str">
        <f t="shared" si="46"/>
        <v>UNDER</v>
      </c>
      <c r="T343" s="4" t="str">
        <f t="shared" si="46"/>
        <v>UNDER</v>
      </c>
      <c r="U343" s="2">
        <f>IF(Q343="OVER",$J343,$K343)</f>
        <v>-59.073988137802758</v>
      </c>
      <c r="V343" s="2">
        <f>IF(R343="OVER",$J343,$K343)</f>
        <v>-59.073988137802758</v>
      </c>
      <c r="W343" s="2">
        <f>IF(S343="OVER",$J343,$K343)</f>
        <v>-59.073988137802758</v>
      </c>
      <c r="X343" s="2">
        <f>IF(T343="OVER",$J343,$K343)</f>
        <v>-59.073988137802758</v>
      </c>
      <c r="Y343" s="9">
        <f t="shared" si="47"/>
        <v>-6426.8242761309684</v>
      </c>
      <c r="Z343" s="9">
        <f t="shared" si="47"/>
        <v>4107.6772553951396</v>
      </c>
      <c r="AA343" s="9">
        <f t="shared" si="47"/>
        <v>14675.449082713596</v>
      </c>
      <c r="AB343" s="9">
        <f t="shared" si="47"/>
        <v>2639.5851133100659</v>
      </c>
    </row>
    <row r="344" spans="1:28" x14ac:dyDescent="0.3">
      <c r="A344" s="1">
        <v>44909</v>
      </c>
      <c r="B344" s="2">
        <v>146.30000000000001</v>
      </c>
      <c r="C344" s="2">
        <v>399.4</v>
      </c>
      <c r="D344" s="9">
        <f>B344-B343</f>
        <v>-0.86999999999997613</v>
      </c>
      <c r="E344" s="9">
        <f>C344-C343</f>
        <v>-2.57000000000005</v>
      </c>
      <c r="F344" s="3">
        <f>F$1/B344</f>
        <v>683.52699931647294</v>
      </c>
      <c r="G344" s="3">
        <f>F$1/C344</f>
        <v>250.37556334501755</v>
      </c>
      <c r="H344" s="2">
        <f>D344*F343</f>
        <v>-591.15308826525529</v>
      </c>
      <c r="I344" s="2">
        <f>E344*G343</f>
        <v>-639.35119536285038</v>
      </c>
      <c r="J344" s="2">
        <f>I344-H344</f>
        <v>-48.198107097595084</v>
      </c>
      <c r="K344" s="2">
        <f t="shared" si="43"/>
        <v>48.198107097595084</v>
      </c>
      <c r="L344" s="3">
        <f>C344/B344</f>
        <v>2.7300068352699927</v>
      </c>
      <c r="M344" s="3">
        <f t="shared" si="45"/>
        <v>2.7305187096528032</v>
      </c>
      <c r="N344" s="3">
        <f t="shared" si="49"/>
        <v>2.732696491554079</v>
      </c>
      <c r="O344" s="3">
        <f t="shared" si="42"/>
        <v>2.7557932736154966</v>
      </c>
      <c r="P344" s="3">
        <f t="shared" si="44"/>
        <v>2.797747928910185</v>
      </c>
      <c r="Q344" s="4" t="str">
        <f t="shared" si="48"/>
        <v>UNDER</v>
      </c>
      <c r="R344" s="4" t="str">
        <f t="shared" si="48"/>
        <v>UNDER</v>
      </c>
      <c r="S344" s="4" t="str">
        <f t="shared" si="46"/>
        <v>UNDER</v>
      </c>
      <c r="T344" s="4" t="str">
        <f t="shared" si="46"/>
        <v>UNDER</v>
      </c>
      <c r="U344" s="2">
        <f>IF(Q344="OVER",$J344,$K344)</f>
        <v>48.198107097595084</v>
      </c>
      <c r="V344" s="2">
        <f>IF(R344="OVER",$J344,$K344)</f>
        <v>48.198107097595084</v>
      </c>
      <c r="W344" s="2">
        <f>IF(S344="OVER",$J344,$K344)</f>
        <v>48.198107097595084</v>
      </c>
      <c r="X344" s="2">
        <f>IF(T344="OVER",$J344,$K344)</f>
        <v>48.198107097595084</v>
      </c>
      <c r="Y344" s="9">
        <f t="shared" si="47"/>
        <v>-6378.6261690333731</v>
      </c>
      <c r="Z344" s="9">
        <f t="shared" si="47"/>
        <v>4155.8753624927349</v>
      </c>
      <c r="AA344" s="9">
        <f t="shared" si="47"/>
        <v>14723.64718981119</v>
      </c>
      <c r="AB344" s="9">
        <f t="shared" si="47"/>
        <v>2687.7832204076612</v>
      </c>
    </row>
    <row r="345" spans="1:28" x14ac:dyDescent="0.3">
      <c r="A345" s="1">
        <v>44910</v>
      </c>
      <c r="B345" s="2">
        <v>143.09</v>
      </c>
      <c r="C345" s="2">
        <v>389.63</v>
      </c>
      <c r="D345" s="9">
        <f>B345-B344</f>
        <v>-3.210000000000008</v>
      </c>
      <c r="E345" s="9">
        <f>C345-C344</f>
        <v>-9.7699999999999818</v>
      </c>
      <c r="F345" s="3">
        <f>F$1/B345</f>
        <v>698.86085680341046</v>
      </c>
      <c r="G345" s="3">
        <f>F$1/C345</f>
        <v>256.65374842799582</v>
      </c>
      <c r="H345" s="2">
        <f>D345*F344</f>
        <v>-2194.1216678058836</v>
      </c>
      <c r="I345" s="2">
        <f>E345*G344</f>
        <v>-2446.169253880817</v>
      </c>
      <c r="J345" s="2">
        <f>I345-H345</f>
        <v>-252.04758607493341</v>
      </c>
      <c r="K345" s="2">
        <f t="shared" si="43"/>
        <v>252.04758607493341</v>
      </c>
      <c r="L345" s="3">
        <f>C345/B345</f>
        <v>2.7229715563631278</v>
      </c>
      <c r="M345" s="3">
        <f t="shared" si="45"/>
        <v>2.7294615071061998</v>
      </c>
      <c r="N345" s="3">
        <f t="shared" si="49"/>
        <v>2.7318215073486738</v>
      </c>
      <c r="O345" s="3">
        <f t="shared" si="42"/>
        <v>2.7543087836686539</v>
      </c>
      <c r="P345" s="3">
        <f t="shared" si="44"/>
        <v>2.7972217933444581</v>
      </c>
      <c r="Q345" s="4" t="str">
        <f t="shared" si="48"/>
        <v>UNDER</v>
      </c>
      <c r="R345" s="4" t="str">
        <f t="shared" si="48"/>
        <v>UNDER</v>
      </c>
      <c r="S345" s="4" t="str">
        <f t="shared" si="46"/>
        <v>UNDER</v>
      </c>
      <c r="T345" s="4" t="str">
        <f t="shared" si="46"/>
        <v>UNDER</v>
      </c>
      <c r="U345" s="2">
        <f>IF(Q345="OVER",$J345,$K345)</f>
        <v>252.04758607493341</v>
      </c>
      <c r="V345" s="2">
        <f>IF(R345="OVER",$J345,$K345)</f>
        <v>252.04758607493341</v>
      </c>
      <c r="W345" s="2">
        <f>IF(S345="OVER",$J345,$K345)</f>
        <v>252.04758607493341</v>
      </c>
      <c r="X345" s="2">
        <f>IF(T345="OVER",$J345,$K345)</f>
        <v>252.04758607493341</v>
      </c>
      <c r="Y345" s="9">
        <f t="shared" si="47"/>
        <v>-6126.5785829584402</v>
      </c>
      <c r="Z345" s="9">
        <f t="shared" si="47"/>
        <v>4407.9229485676678</v>
      </c>
      <c r="AA345" s="9">
        <f t="shared" si="47"/>
        <v>14975.694775886124</v>
      </c>
      <c r="AB345" s="9">
        <f t="shared" si="47"/>
        <v>2939.8308064825947</v>
      </c>
    </row>
    <row r="346" spans="1:28" x14ac:dyDescent="0.3">
      <c r="A346" s="1">
        <v>44911</v>
      </c>
      <c r="B346" s="2">
        <v>141.36000000000001</v>
      </c>
      <c r="C346" s="2">
        <v>383.27</v>
      </c>
      <c r="D346" s="9">
        <f>B346-B345</f>
        <v>-1.7299999999999898</v>
      </c>
      <c r="E346" s="9">
        <f>C346-C345</f>
        <v>-6.3600000000000136</v>
      </c>
      <c r="F346" s="3">
        <f>F$1/B346</f>
        <v>707.41369552914534</v>
      </c>
      <c r="G346" s="3">
        <f>F$1/C346</f>
        <v>260.91267252850474</v>
      </c>
      <c r="H346" s="2">
        <f>D346*F345</f>
        <v>-1209.029282269893</v>
      </c>
      <c r="I346" s="2">
        <f>E346*G345</f>
        <v>-1632.317840002057</v>
      </c>
      <c r="J346" s="2">
        <f>I346-H346</f>
        <v>-423.28855773216401</v>
      </c>
      <c r="K346" s="2">
        <f t="shared" si="43"/>
        <v>423.28855773216401</v>
      </c>
      <c r="L346" s="3">
        <f>C346/B346</f>
        <v>2.7113044708545555</v>
      </c>
      <c r="M346" s="3">
        <f t="shared" si="45"/>
        <v>2.7273879794367204</v>
      </c>
      <c r="N346" s="3">
        <f t="shared" si="49"/>
        <v>2.7299825764232573</v>
      </c>
      <c r="O346" s="3">
        <f t="shared" si="42"/>
        <v>2.7525450748710574</v>
      </c>
      <c r="P346" s="3">
        <f t="shared" si="44"/>
        <v>2.7966785810537238</v>
      </c>
      <c r="Q346" s="4" t="str">
        <f t="shared" si="48"/>
        <v>UNDER</v>
      </c>
      <c r="R346" s="4" t="str">
        <f t="shared" si="48"/>
        <v>UNDER</v>
      </c>
      <c r="S346" s="4" t="str">
        <f t="shared" si="46"/>
        <v>UNDER</v>
      </c>
      <c r="T346" s="4" t="str">
        <f t="shared" si="46"/>
        <v>UNDER</v>
      </c>
      <c r="U346" s="2">
        <f>IF(Q346="OVER",$J346,$K346)</f>
        <v>423.28855773216401</v>
      </c>
      <c r="V346" s="2">
        <f>IF(R346="OVER",$J346,$K346)</f>
        <v>423.28855773216401</v>
      </c>
      <c r="W346" s="2">
        <f>IF(S346="OVER",$J346,$K346)</f>
        <v>423.28855773216401</v>
      </c>
      <c r="X346" s="2">
        <f>IF(T346="OVER",$J346,$K346)</f>
        <v>423.28855773216401</v>
      </c>
      <c r="Y346" s="9">
        <f t="shared" si="47"/>
        <v>-5703.2900252262762</v>
      </c>
      <c r="Z346" s="9">
        <f t="shared" si="47"/>
        <v>4831.2115062998319</v>
      </c>
      <c r="AA346" s="9">
        <f t="shared" si="47"/>
        <v>15398.983333618289</v>
      </c>
      <c r="AB346" s="9">
        <f t="shared" si="47"/>
        <v>3363.1193642147587</v>
      </c>
    </row>
    <row r="347" spans="1:28" x14ac:dyDescent="0.3">
      <c r="A347" s="1">
        <v>44914</v>
      </c>
      <c r="B347" s="2">
        <v>139.63</v>
      </c>
      <c r="C347" s="2">
        <v>380.02</v>
      </c>
      <c r="D347" s="9">
        <f>B347-B346</f>
        <v>-1.7300000000000182</v>
      </c>
      <c r="E347" s="9">
        <f>C347-C346</f>
        <v>-3.25</v>
      </c>
      <c r="F347" s="3">
        <f>F$1/B347</f>
        <v>716.17847167514151</v>
      </c>
      <c r="G347" s="3">
        <f>F$1/C347</f>
        <v>263.1440450502605</v>
      </c>
      <c r="H347" s="2">
        <f>D347*F346</f>
        <v>-1223.8256932654342</v>
      </c>
      <c r="I347" s="2">
        <f>E347*G346</f>
        <v>-847.96618571764043</v>
      </c>
      <c r="J347" s="2">
        <f>I347-H347</f>
        <v>375.85950754779378</v>
      </c>
      <c r="K347" s="2">
        <f t="shared" si="43"/>
        <v>-375.85950754779378</v>
      </c>
      <c r="L347" s="3">
        <f>C347/B347</f>
        <v>2.7216214280598723</v>
      </c>
      <c r="M347" s="3">
        <f t="shared" si="45"/>
        <v>2.7259707712910437</v>
      </c>
      <c r="N347" s="3">
        <f t="shared" si="49"/>
        <v>2.7290574899351556</v>
      </c>
      <c r="O347" s="3">
        <f t="shared" si="42"/>
        <v>2.7512279836473912</v>
      </c>
      <c r="P347" s="3">
        <f t="shared" si="44"/>
        <v>2.7962168223260715</v>
      </c>
      <c r="Q347" s="4" t="str">
        <f t="shared" si="48"/>
        <v>UNDER</v>
      </c>
      <c r="R347" s="4" t="str">
        <f t="shared" si="48"/>
        <v>UNDER</v>
      </c>
      <c r="S347" s="4" t="str">
        <f t="shared" si="46"/>
        <v>UNDER</v>
      </c>
      <c r="T347" s="4" t="str">
        <f t="shared" si="46"/>
        <v>UNDER</v>
      </c>
      <c r="U347" s="2">
        <f>IF(Q347="OVER",$J347,$K347)</f>
        <v>-375.85950754779378</v>
      </c>
      <c r="V347" s="2">
        <f>IF(R347="OVER",$J347,$K347)</f>
        <v>-375.85950754779378</v>
      </c>
      <c r="W347" s="2">
        <f>IF(S347="OVER",$J347,$K347)</f>
        <v>-375.85950754779378</v>
      </c>
      <c r="X347" s="2">
        <f>IF(T347="OVER",$J347,$K347)</f>
        <v>-375.85950754779378</v>
      </c>
      <c r="Y347" s="9">
        <f t="shared" si="47"/>
        <v>-6079.1495327740704</v>
      </c>
      <c r="Z347" s="9">
        <f t="shared" si="47"/>
        <v>4455.3519987520376</v>
      </c>
      <c r="AA347" s="9">
        <f t="shared" si="47"/>
        <v>15023.123826070496</v>
      </c>
      <c r="AB347" s="9">
        <f t="shared" si="47"/>
        <v>2987.2598566669649</v>
      </c>
    </row>
    <row r="348" spans="1:28" x14ac:dyDescent="0.3">
      <c r="A348" s="1">
        <v>44915</v>
      </c>
      <c r="B348" s="2">
        <v>139.77000000000001</v>
      </c>
      <c r="C348" s="2">
        <v>380.54</v>
      </c>
      <c r="D348" s="9">
        <f>B348-B347</f>
        <v>0.14000000000001478</v>
      </c>
      <c r="E348" s="9">
        <f>C348-C347</f>
        <v>0.52000000000003865</v>
      </c>
      <c r="F348" s="3">
        <f>F$1/B348</f>
        <v>715.46111468841661</v>
      </c>
      <c r="G348" s="3">
        <f>F$1/C348</f>
        <v>262.78446418247751</v>
      </c>
      <c r="H348" s="2">
        <f>D348*F347</f>
        <v>100.26498603453039</v>
      </c>
      <c r="I348" s="2">
        <f>E348*G347</f>
        <v>136.83490342614564</v>
      </c>
      <c r="J348" s="2">
        <f>I348-H348</f>
        <v>36.569917391615249</v>
      </c>
      <c r="K348" s="2">
        <f t="shared" si="43"/>
        <v>-36.569917391615249</v>
      </c>
      <c r="L348" s="3">
        <f>C348/B348</f>
        <v>2.722615725835301</v>
      </c>
      <c r="M348" s="3">
        <f t="shared" si="45"/>
        <v>2.7256101647246362</v>
      </c>
      <c r="N348" s="3">
        <f t="shared" si="49"/>
        <v>2.7286235915172918</v>
      </c>
      <c r="O348" s="3">
        <f t="shared" si="42"/>
        <v>2.7499798262835373</v>
      </c>
      <c r="P348" s="3">
        <f t="shared" si="44"/>
        <v>2.7957861723005908</v>
      </c>
      <c r="Q348" s="4" t="str">
        <f t="shared" si="48"/>
        <v>UNDER</v>
      </c>
      <c r="R348" s="4" t="str">
        <f t="shared" si="48"/>
        <v>UNDER</v>
      </c>
      <c r="S348" s="4" t="str">
        <f t="shared" si="46"/>
        <v>UNDER</v>
      </c>
      <c r="T348" s="4" t="str">
        <f t="shared" si="46"/>
        <v>UNDER</v>
      </c>
      <c r="U348" s="2">
        <f>IF(Q348="OVER",$J348,$K348)</f>
        <v>-36.569917391615249</v>
      </c>
      <c r="V348" s="2">
        <f>IF(R348="OVER",$J348,$K348)</f>
        <v>-36.569917391615249</v>
      </c>
      <c r="W348" s="2">
        <f>IF(S348="OVER",$J348,$K348)</f>
        <v>-36.569917391615249</v>
      </c>
      <c r="X348" s="2">
        <f>IF(T348="OVER",$J348,$K348)</f>
        <v>-36.569917391615249</v>
      </c>
      <c r="Y348" s="9">
        <f t="shared" si="47"/>
        <v>-6115.7194501656859</v>
      </c>
      <c r="Z348" s="9">
        <f t="shared" si="47"/>
        <v>4418.7820813604221</v>
      </c>
      <c r="AA348" s="9">
        <f t="shared" si="47"/>
        <v>14986.553908678881</v>
      </c>
      <c r="AB348" s="9">
        <f t="shared" si="47"/>
        <v>2950.6899392753498</v>
      </c>
    </row>
    <row r="349" spans="1:28" x14ac:dyDescent="0.3">
      <c r="A349" s="1">
        <v>44916</v>
      </c>
      <c r="B349" s="2">
        <v>141.93</v>
      </c>
      <c r="C349" s="2">
        <v>386.23</v>
      </c>
      <c r="D349" s="9">
        <f>B349-B348</f>
        <v>2.1599999999999966</v>
      </c>
      <c r="E349" s="9">
        <f>C349-C348</f>
        <v>5.6899999999999977</v>
      </c>
      <c r="F349" s="3">
        <f>F$1/B349</f>
        <v>704.57267667159863</v>
      </c>
      <c r="G349" s="3">
        <f>F$1/C349</f>
        <v>258.91308287807783</v>
      </c>
      <c r="H349" s="2">
        <f>D349*F348</f>
        <v>1545.3960077269774</v>
      </c>
      <c r="I349" s="2">
        <f>E349*G348</f>
        <v>1495.2436011982963</v>
      </c>
      <c r="J349" s="2">
        <f>I349-H349</f>
        <v>-50.152406528681013</v>
      </c>
      <c r="K349" s="2">
        <f t="shared" si="43"/>
        <v>50.152406528681013</v>
      </c>
      <c r="L349" s="3">
        <f>C349/B349</f>
        <v>2.7212710491087155</v>
      </c>
      <c r="M349" s="3">
        <f t="shared" si="45"/>
        <v>2.7251259813259807</v>
      </c>
      <c r="N349" s="3">
        <f t="shared" si="49"/>
        <v>2.7280999453935899</v>
      </c>
      <c r="O349" s="3">
        <f t="shared" si="42"/>
        <v>2.7488080757683151</v>
      </c>
      <c r="P349" s="3">
        <f t="shared" si="44"/>
        <v>2.7953546886145286</v>
      </c>
      <c r="Q349" s="4" t="str">
        <f t="shared" si="48"/>
        <v>UNDER</v>
      </c>
      <c r="R349" s="4" t="str">
        <f t="shared" si="48"/>
        <v>UNDER</v>
      </c>
      <c r="S349" s="4" t="str">
        <f t="shared" si="46"/>
        <v>UNDER</v>
      </c>
      <c r="T349" s="4" t="str">
        <f t="shared" si="46"/>
        <v>UNDER</v>
      </c>
      <c r="U349" s="2">
        <f>IF(Q349="OVER",$J349,$K349)</f>
        <v>50.152406528681013</v>
      </c>
      <c r="V349" s="2">
        <f>IF(R349="OVER",$J349,$K349)</f>
        <v>50.152406528681013</v>
      </c>
      <c r="W349" s="2">
        <f>IF(S349="OVER",$J349,$K349)</f>
        <v>50.152406528681013</v>
      </c>
      <c r="X349" s="2">
        <f>IF(T349="OVER",$J349,$K349)</f>
        <v>50.152406528681013</v>
      </c>
      <c r="Y349" s="9">
        <f t="shared" si="47"/>
        <v>-6065.5670436370046</v>
      </c>
      <c r="Z349" s="9">
        <f t="shared" si="47"/>
        <v>4468.9344878891034</v>
      </c>
      <c r="AA349" s="9">
        <f t="shared" si="47"/>
        <v>15036.706315207563</v>
      </c>
      <c r="AB349" s="9">
        <f t="shared" si="47"/>
        <v>3000.8423458040306</v>
      </c>
    </row>
    <row r="350" spans="1:28" x14ac:dyDescent="0.3">
      <c r="A350" s="1">
        <v>44917</v>
      </c>
      <c r="B350" s="2">
        <v>140.38999999999999</v>
      </c>
      <c r="C350" s="2">
        <v>380.72</v>
      </c>
      <c r="D350" s="9">
        <f>B350-B349</f>
        <v>-1.5400000000000205</v>
      </c>
      <c r="E350" s="9">
        <f>C350-C349</f>
        <v>-5.5099999999999909</v>
      </c>
      <c r="F350" s="3">
        <f>F$1/B350</f>
        <v>712.30144597193544</v>
      </c>
      <c r="G350" s="3">
        <f>F$1/C350</f>
        <v>262.66022273586884</v>
      </c>
      <c r="H350" s="2">
        <f>D350*F349</f>
        <v>-1085.0419220742763</v>
      </c>
      <c r="I350" s="2">
        <f>E350*G349</f>
        <v>-1426.6110866582064</v>
      </c>
      <c r="J350" s="2">
        <f>I350-H350</f>
        <v>-341.56916458393016</v>
      </c>
      <c r="K350" s="2">
        <f t="shared" si="43"/>
        <v>341.56916458393016</v>
      </c>
      <c r="L350" s="3">
        <f>C350/B350</f>
        <v>2.7118740651043525</v>
      </c>
      <c r="M350" s="3">
        <f t="shared" si="45"/>
        <v>2.7233268222146458</v>
      </c>
      <c r="N350" s="3">
        <f t="shared" si="49"/>
        <v>2.7268160976283995</v>
      </c>
      <c r="O350" s="3">
        <f t="shared" si="42"/>
        <v>2.7473417607885717</v>
      </c>
      <c r="P350" s="3">
        <f t="shared" si="44"/>
        <v>2.7947988013442768</v>
      </c>
      <c r="Q350" s="4" t="str">
        <f t="shared" si="48"/>
        <v>UNDER</v>
      </c>
      <c r="R350" s="4" t="str">
        <f t="shared" si="48"/>
        <v>UNDER</v>
      </c>
      <c r="S350" s="4" t="str">
        <f t="shared" si="46"/>
        <v>UNDER</v>
      </c>
      <c r="T350" s="4" t="str">
        <f t="shared" si="46"/>
        <v>UNDER</v>
      </c>
      <c r="U350" s="2">
        <f>IF(Q350="OVER",$J350,$K350)</f>
        <v>341.56916458393016</v>
      </c>
      <c r="V350" s="2">
        <f>IF(R350="OVER",$J350,$K350)</f>
        <v>341.56916458393016</v>
      </c>
      <c r="W350" s="2">
        <f>IF(S350="OVER",$J350,$K350)</f>
        <v>341.56916458393016</v>
      </c>
      <c r="X350" s="2">
        <f>IF(T350="OVER",$J350,$K350)</f>
        <v>341.56916458393016</v>
      </c>
      <c r="Y350" s="9">
        <f t="shared" si="47"/>
        <v>-5723.9978790530749</v>
      </c>
      <c r="Z350" s="9">
        <f t="shared" si="47"/>
        <v>4810.5036524730331</v>
      </c>
      <c r="AA350" s="9">
        <f t="shared" si="47"/>
        <v>15378.275479791493</v>
      </c>
      <c r="AB350" s="9">
        <f t="shared" si="47"/>
        <v>3342.4115103879608</v>
      </c>
    </row>
    <row r="351" spans="1:28" x14ac:dyDescent="0.3">
      <c r="A351" s="1">
        <v>44918</v>
      </c>
      <c r="B351" s="2">
        <v>141.29</v>
      </c>
      <c r="C351" s="2">
        <v>382.91</v>
      </c>
      <c r="D351" s="9">
        <f>B351-B350</f>
        <v>0.90000000000000568</v>
      </c>
      <c r="E351" s="9">
        <f>C351-C350</f>
        <v>2.1899999999999977</v>
      </c>
      <c r="F351" s="3">
        <f>F$1/B351</f>
        <v>707.76417297756393</v>
      </c>
      <c r="G351" s="3">
        <f>F$1/C351</f>
        <v>261.15797445875006</v>
      </c>
      <c r="H351" s="2">
        <f>D351*F350</f>
        <v>641.07130137474599</v>
      </c>
      <c r="I351" s="2">
        <f>E351*G350</f>
        <v>575.22588779155217</v>
      </c>
      <c r="J351" s="2">
        <f>I351-H351</f>
        <v>-65.845413583193817</v>
      </c>
      <c r="K351" s="2">
        <f t="shared" si="43"/>
        <v>65.845413583193817</v>
      </c>
      <c r="L351" s="3">
        <f>C351/B351</f>
        <v>2.7100997947483902</v>
      </c>
      <c r="M351" s="3">
        <f t="shared" si="45"/>
        <v>2.7212825768752098</v>
      </c>
      <c r="N351" s="3">
        <f t="shared" si="49"/>
        <v>2.7259380365183614</v>
      </c>
      <c r="O351" s="3">
        <f t="shared" si="42"/>
        <v>2.7457130930679785</v>
      </c>
      <c r="P351" s="3">
        <f t="shared" si="44"/>
        <v>2.7942708144468003</v>
      </c>
      <c r="Q351" s="4" t="str">
        <f t="shared" si="48"/>
        <v>UNDER</v>
      </c>
      <c r="R351" s="4" t="str">
        <f t="shared" si="48"/>
        <v>UNDER</v>
      </c>
      <c r="S351" s="4" t="str">
        <f t="shared" si="46"/>
        <v>UNDER</v>
      </c>
      <c r="T351" s="4" t="str">
        <f t="shared" si="46"/>
        <v>UNDER</v>
      </c>
      <c r="U351" s="2">
        <f>IF(Q351="OVER",$J351,$K351)</f>
        <v>65.845413583193817</v>
      </c>
      <c r="V351" s="2">
        <f>IF(R351="OVER",$J351,$K351)</f>
        <v>65.845413583193817</v>
      </c>
      <c r="W351" s="2">
        <f>IF(S351="OVER",$J351,$K351)</f>
        <v>65.845413583193817</v>
      </c>
      <c r="X351" s="2">
        <f>IF(T351="OVER",$J351,$K351)</f>
        <v>65.845413583193817</v>
      </c>
      <c r="Y351" s="9">
        <f t="shared" si="47"/>
        <v>-5658.1524654698815</v>
      </c>
      <c r="Z351" s="9">
        <f t="shared" si="47"/>
        <v>4876.3490660562265</v>
      </c>
      <c r="AA351" s="9">
        <f t="shared" si="47"/>
        <v>15444.120893374688</v>
      </c>
      <c r="AB351" s="9">
        <f t="shared" si="47"/>
        <v>3408.2569239711547</v>
      </c>
    </row>
    <row r="352" spans="1:28" x14ac:dyDescent="0.3">
      <c r="A352" s="1">
        <v>44922</v>
      </c>
      <c r="B352" s="2">
        <v>141.38</v>
      </c>
      <c r="C352" s="2">
        <v>381.4</v>
      </c>
      <c r="D352" s="9">
        <f>B352-B351</f>
        <v>9.0000000000003411E-2</v>
      </c>
      <c r="E352" s="9">
        <f>C352-C351</f>
        <v>-1.5100000000000477</v>
      </c>
      <c r="F352" s="3">
        <f>F$1/B352</f>
        <v>707.31362286037631</v>
      </c>
      <c r="G352" s="3">
        <f>F$1/C352</f>
        <v>262.19192448872576</v>
      </c>
      <c r="H352" s="2">
        <f>D352*F351</f>
        <v>63.698775567983169</v>
      </c>
      <c r="I352" s="2">
        <f>E352*G351</f>
        <v>-394.34854143272509</v>
      </c>
      <c r="J352" s="2">
        <f>I352-H352</f>
        <v>-458.04731700070823</v>
      </c>
      <c r="K352" s="2">
        <f t="shared" si="43"/>
        <v>458.04731700070823</v>
      </c>
      <c r="L352" s="3">
        <f>C352/B352</f>
        <v>2.6976941575894751</v>
      </c>
      <c r="M352" s="3">
        <f t="shared" si="45"/>
        <v>2.7180790196611846</v>
      </c>
      <c r="N352" s="3">
        <f t="shared" si="49"/>
        <v>2.7241795470484873</v>
      </c>
      <c r="O352" s="3">
        <f t="shared" si="42"/>
        <v>2.7438744645192998</v>
      </c>
      <c r="P352" s="3">
        <f t="shared" si="44"/>
        <v>2.7937120005905518</v>
      </c>
      <c r="Q352" s="4" t="str">
        <f t="shared" si="48"/>
        <v>UNDER</v>
      </c>
      <c r="R352" s="4" t="str">
        <f t="shared" si="48"/>
        <v>UNDER</v>
      </c>
      <c r="S352" s="4" t="str">
        <f t="shared" si="46"/>
        <v>UNDER</v>
      </c>
      <c r="T352" s="4" t="str">
        <f t="shared" si="46"/>
        <v>UNDER</v>
      </c>
      <c r="U352" s="2">
        <f>IF(Q352="OVER",$J352,$K352)</f>
        <v>458.04731700070823</v>
      </c>
      <c r="V352" s="2">
        <f>IF(R352="OVER",$J352,$K352)</f>
        <v>458.04731700070823</v>
      </c>
      <c r="W352" s="2">
        <f>IF(S352="OVER",$J352,$K352)</f>
        <v>458.04731700070823</v>
      </c>
      <c r="X352" s="2">
        <f>IF(T352="OVER",$J352,$K352)</f>
        <v>458.04731700070823</v>
      </c>
      <c r="Y352" s="9">
        <f t="shared" si="47"/>
        <v>-5200.1051484691734</v>
      </c>
      <c r="Z352" s="9">
        <f t="shared" si="47"/>
        <v>5334.3963830569346</v>
      </c>
      <c r="AA352" s="9">
        <f t="shared" si="47"/>
        <v>15902.168210375396</v>
      </c>
      <c r="AB352" s="9">
        <f t="shared" si="47"/>
        <v>3866.3042409718628</v>
      </c>
    </row>
    <row r="353" spans="1:28" x14ac:dyDescent="0.3">
      <c r="A353" s="1">
        <v>44923</v>
      </c>
      <c r="B353" s="2">
        <v>139.35</v>
      </c>
      <c r="C353" s="2">
        <v>376.66</v>
      </c>
      <c r="D353" s="9">
        <f>B353-B352</f>
        <v>-2.0300000000000011</v>
      </c>
      <c r="E353" s="9">
        <f>C353-C352</f>
        <v>-4.7399999999999523</v>
      </c>
      <c r="F353" s="3">
        <f>F$1/B353</f>
        <v>717.61750986724076</v>
      </c>
      <c r="G353" s="3">
        <f>F$1/C353</f>
        <v>265.49142462698455</v>
      </c>
      <c r="H353" s="2">
        <f>D353*F352</f>
        <v>-1435.8466544065648</v>
      </c>
      <c r="I353" s="2">
        <f>E353*G352</f>
        <v>-1242.7897220765476</v>
      </c>
      <c r="J353" s="2">
        <f>I353-H353</f>
        <v>193.05693233001716</v>
      </c>
      <c r="K353" s="2">
        <f t="shared" si="43"/>
        <v>-193.05693233001716</v>
      </c>
      <c r="L353" s="3">
        <f>C353/B353</f>
        <v>2.7029781126659493</v>
      </c>
      <c r="M353" s="3">
        <f t="shared" si="45"/>
        <v>2.7152437195599735</v>
      </c>
      <c r="N353" s="3">
        <f t="shared" si="49"/>
        <v>2.7233517100959461</v>
      </c>
      <c r="O353" s="3">
        <f t="shared" si="42"/>
        <v>2.7419266979688932</v>
      </c>
      <c r="P353" s="3">
        <f t="shared" si="44"/>
        <v>2.793230784555238</v>
      </c>
      <c r="Q353" s="4" t="str">
        <f t="shared" si="48"/>
        <v>UNDER</v>
      </c>
      <c r="R353" s="4" t="str">
        <f t="shared" si="48"/>
        <v>UNDER</v>
      </c>
      <c r="S353" s="4" t="str">
        <f t="shared" si="46"/>
        <v>UNDER</v>
      </c>
      <c r="T353" s="4" t="str">
        <f t="shared" si="46"/>
        <v>UNDER</v>
      </c>
      <c r="U353" s="2">
        <f>IF(Q353="OVER",$J353,$K353)</f>
        <v>-193.05693233001716</v>
      </c>
      <c r="V353" s="2">
        <f>IF(R353="OVER",$J353,$K353)</f>
        <v>-193.05693233001716</v>
      </c>
      <c r="W353" s="2">
        <f>IF(S353="OVER",$J353,$K353)</f>
        <v>-193.05693233001716</v>
      </c>
      <c r="X353" s="2">
        <f>IF(T353="OVER",$J353,$K353)</f>
        <v>-193.05693233001716</v>
      </c>
      <c r="Y353" s="9">
        <f t="shared" si="47"/>
        <v>-5393.1620807991903</v>
      </c>
      <c r="Z353" s="9">
        <f t="shared" si="47"/>
        <v>5141.3394507269177</v>
      </c>
      <c r="AA353" s="9">
        <f t="shared" si="47"/>
        <v>15709.111278045379</v>
      </c>
      <c r="AB353" s="9">
        <f t="shared" si="47"/>
        <v>3673.2473086418458</v>
      </c>
    </row>
    <row r="354" spans="1:28" x14ac:dyDescent="0.3">
      <c r="A354" s="1">
        <v>44924</v>
      </c>
      <c r="B354" s="2">
        <v>141.83000000000001</v>
      </c>
      <c r="C354" s="2">
        <v>383.44</v>
      </c>
      <c r="D354" s="9">
        <f>B354-B353</f>
        <v>2.4800000000000182</v>
      </c>
      <c r="E354" s="9">
        <f>C354-C353</f>
        <v>6.7799999999999727</v>
      </c>
      <c r="F354" s="3">
        <f>F$1/B354</f>
        <v>705.06944934076</v>
      </c>
      <c r="G354" s="3">
        <f>F$1/C354</f>
        <v>260.79699561861048</v>
      </c>
      <c r="H354" s="2">
        <f>D354*F353</f>
        <v>1779.69142447077</v>
      </c>
      <c r="I354" s="2">
        <f>E354*G353</f>
        <v>1800.031858970948</v>
      </c>
      <c r="J354" s="2">
        <f>I354-H354</f>
        <v>20.340434500177935</v>
      </c>
      <c r="K354" s="2">
        <f t="shared" si="43"/>
        <v>-20.340434500177935</v>
      </c>
      <c r="L354" s="3">
        <f>C354/B354</f>
        <v>2.7035182965522102</v>
      </c>
      <c r="M354" s="3">
        <f t="shared" si="45"/>
        <v>2.7125948656881951</v>
      </c>
      <c r="N354" s="3">
        <f t="shared" si="49"/>
        <v>2.7215567876704991</v>
      </c>
      <c r="O354" s="3">
        <f t="shared" si="42"/>
        <v>2.7401586527060759</v>
      </c>
      <c r="P354" s="3">
        <f t="shared" si="44"/>
        <v>2.792671280180167</v>
      </c>
      <c r="Q354" s="4" t="str">
        <f t="shared" si="48"/>
        <v>UNDER</v>
      </c>
      <c r="R354" s="4" t="str">
        <f t="shared" si="48"/>
        <v>UNDER</v>
      </c>
      <c r="S354" s="4" t="str">
        <f t="shared" si="46"/>
        <v>UNDER</v>
      </c>
      <c r="T354" s="4" t="str">
        <f t="shared" si="46"/>
        <v>UNDER</v>
      </c>
      <c r="U354" s="2">
        <f>IF(Q354="OVER",$J354,$K354)</f>
        <v>-20.340434500177935</v>
      </c>
      <c r="V354" s="2">
        <f>IF(R354="OVER",$J354,$K354)</f>
        <v>-20.340434500177935</v>
      </c>
      <c r="W354" s="2">
        <f>IF(S354="OVER",$J354,$K354)</f>
        <v>-20.340434500177935</v>
      </c>
      <c r="X354" s="2">
        <f>IF(T354="OVER",$J354,$K354)</f>
        <v>-20.340434500177935</v>
      </c>
      <c r="Y354" s="9">
        <f t="shared" si="47"/>
        <v>-5413.5025152993685</v>
      </c>
      <c r="Z354" s="9">
        <f t="shared" si="47"/>
        <v>5120.9990162267395</v>
      </c>
      <c r="AA354" s="9">
        <f t="shared" si="47"/>
        <v>15688.7708435452</v>
      </c>
      <c r="AB354" s="9">
        <f t="shared" si="47"/>
        <v>3652.9068741416677</v>
      </c>
    </row>
    <row r="355" spans="1:28" x14ac:dyDescent="0.3">
      <c r="A355" s="1">
        <v>44925</v>
      </c>
      <c r="B355" s="2">
        <v>141.25</v>
      </c>
      <c r="C355" s="2">
        <v>382.43</v>
      </c>
      <c r="D355" s="9">
        <f>B355-B354</f>
        <v>-0.58000000000001251</v>
      </c>
      <c r="E355" s="9">
        <f>C355-C354</f>
        <v>-1.0099999999999909</v>
      </c>
      <c r="F355" s="3">
        <f>F$1/B355</f>
        <v>707.9646017699115</v>
      </c>
      <c r="G355" s="3">
        <f>F$1/C355</f>
        <v>261.48576210025362</v>
      </c>
      <c r="H355" s="2">
        <f>D355*F354</f>
        <v>-408.94028061764959</v>
      </c>
      <c r="I355" s="2">
        <f>E355*G354</f>
        <v>-263.40496557479423</v>
      </c>
      <c r="J355" s="2">
        <f>I355-H355</f>
        <v>145.53531504285536</v>
      </c>
      <c r="K355" s="2">
        <f t="shared" si="43"/>
        <v>-145.53531504285536</v>
      </c>
      <c r="L355" s="3">
        <f>C355/B355</f>
        <v>2.7074690265486727</v>
      </c>
      <c r="M355" s="3">
        <f t="shared" si="45"/>
        <v>2.7110446127067496</v>
      </c>
      <c r="N355" s="3">
        <f t="shared" si="49"/>
        <v>2.7202530599064745</v>
      </c>
      <c r="O355" s="3">
        <f t="shared" si="42"/>
        <v>2.7382026739191438</v>
      </c>
      <c r="P355" s="3">
        <f t="shared" si="44"/>
        <v>2.7920862107372768</v>
      </c>
      <c r="Q355" s="4" t="str">
        <f t="shared" si="48"/>
        <v>UNDER</v>
      </c>
      <c r="R355" s="4" t="str">
        <f t="shared" si="48"/>
        <v>UNDER</v>
      </c>
      <c r="S355" s="4" t="str">
        <f t="shared" si="46"/>
        <v>UNDER</v>
      </c>
      <c r="T355" s="4" t="str">
        <f t="shared" si="46"/>
        <v>UNDER</v>
      </c>
      <c r="U355" s="2">
        <f>IF(Q355="OVER",$J355,$K355)</f>
        <v>-145.53531504285536</v>
      </c>
      <c r="V355" s="2">
        <f>IF(R355="OVER",$J355,$K355)</f>
        <v>-145.53531504285536</v>
      </c>
      <c r="W355" s="2">
        <f>IF(S355="OVER",$J355,$K355)</f>
        <v>-145.53531504285536</v>
      </c>
      <c r="X355" s="2">
        <f>IF(T355="OVER",$J355,$K355)</f>
        <v>-145.53531504285536</v>
      </c>
      <c r="Y355" s="9">
        <f t="shared" si="47"/>
        <v>-5559.037830342224</v>
      </c>
      <c r="Z355" s="9">
        <f t="shared" si="47"/>
        <v>4975.463701183884</v>
      </c>
      <c r="AA355" s="9">
        <f t="shared" si="47"/>
        <v>15543.235528502346</v>
      </c>
      <c r="AB355" s="9">
        <f t="shared" si="47"/>
        <v>3507.3715590988122</v>
      </c>
    </row>
    <row r="356" spans="1:28" x14ac:dyDescent="0.3">
      <c r="A356" s="1">
        <v>44929</v>
      </c>
      <c r="B356" s="2">
        <v>141.12</v>
      </c>
      <c r="C356" s="2">
        <v>380.82</v>
      </c>
      <c r="D356" s="9">
        <f>B356-B355</f>
        <v>-0.12999999999999545</v>
      </c>
      <c r="E356" s="9">
        <f>C356-C355</f>
        <v>-1.6100000000000136</v>
      </c>
      <c r="F356" s="3">
        <f>F$1/B356</f>
        <v>708.61678004535145</v>
      </c>
      <c r="G356" s="3">
        <f>F$1/C356</f>
        <v>262.59125045953471</v>
      </c>
      <c r="H356" s="2">
        <f>D356*F355</f>
        <v>-92.035398230085278</v>
      </c>
      <c r="I356" s="2">
        <f>E356*G355</f>
        <v>-420.99207698141191</v>
      </c>
      <c r="J356" s="2">
        <f>I356-H356</f>
        <v>-328.95667875132665</v>
      </c>
      <c r="K356" s="2">
        <f t="shared" si="43"/>
        <v>328.95667875132665</v>
      </c>
      <c r="L356" s="3">
        <f>C356/B356</f>
        <v>2.6985544217687072</v>
      </c>
      <c r="M356" s="3">
        <f t="shared" si="45"/>
        <v>2.7097696077981643</v>
      </c>
      <c r="N356" s="3">
        <f t="shared" si="49"/>
        <v>2.7185787936174419</v>
      </c>
      <c r="O356" s="3">
        <f t="shared" si="42"/>
        <v>2.7359135622005537</v>
      </c>
      <c r="P356" s="3">
        <f t="shared" si="44"/>
        <v>2.7914575126533823</v>
      </c>
      <c r="Q356" s="4" t="str">
        <f t="shared" si="48"/>
        <v>UNDER</v>
      </c>
      <c r="R356" s="4" t="str">
        <f t="shared" si="48"/>
        <v>UNDER</v>
      </c>
      <c r="S356" s="4" t="str">
        <f t="shared" si="46"/>
        <v>UNDER</v>
      </c>
      <c r="T356" s="4" t="str">
        <f t="shared" si="46"/>
        <v>UNDER</v>
      </c>
      <c r="U356" s="2">
        <f>IF(Q356="OVER",$J356,$K356)</f>
        <v>328.95667875132665</v>
      </c>
      <c r="V356" s="2">
        <f>IF(R356="OVER",$J356,$K356)</f>
        <v>328.95667875132665</v>
      </c>
      <c r="W356" s="2">
        <f>IF(S356="OVER",$J356,$K356)</f>
        <v>328.95667875132665</v>
      </c>
      <c r="X356" s="2">
        <f>IF(T356="OVER",$J356,$K356)</f>
        <v>328.95667875132665</v>
      </c>
      <c r="Y356" s="9">
        <f t="shared" si="47"/>
        <v>-5230.0811515908972</v>
      </c>
      <c r="Z356" s="9">
        <f t="shared" si="47"/>
        <v>5304.4203799352108</v>
      </c>
      <c r="AA356" s="9">
        <f t="shared" si="47"/>
        <v>15872.192207253673</v>
      </c>
      <c r="AB356" s="9">
        <f t="shared" si="47"/>
        <v>3836.328237850139</v>
      </c>
    </row>
    <row r="357" spans="1:28" x14ac:dyDescent="0.3">
      <c r="A357" s="1">
        <v>44930</v>
      </c>
      <c r="B357" s="2">
        <v>143.32</v>
      </c>
      <c r="C357" s="2">
        <v>383.76</v>
      </c>
      <c r="D357" s="9">
        <f>B357-B356</f>
        <v>2.1999999999999886</v>
      </c>
      <c r="E357" s="9">
        <f>C357-C356</f>
        <v>2.9399999999999977</v>
      </c>
      <c r="F357" s="3">
        <f>F$1/B357</f>
        <v>697.73932458833383</v>
      </c>
      <c r="G357" s="3">
        <f>F$1/C357</f>
        <v>260.57952887221182</v>
      </c>
      <c r="H357" s="2">
        <f>D357*F356</f>
        <v>1558.9569160997651</v>
      </c>
      <c r="I357" s="2">
        <f>E357*G356</f>
        <v>772.01827635103143</v>
      </c>
      <c r="J357" s="2">
        <f>I357-H357</f>
        <v>-786.93863974873364</v>
      </c>
      <c r="K357" s="2">
        <f t="shared" si="43"/>
        <v>786.93863974873364</v>
      </c>
      <c r="L357" s="3">
        <f>C357/B357</f>
        <v>2.6776444320401898</v>
      </c>
      <c r="M357" s="3">
        <f t="shared" si="45"/>
        <v>2.7053719081961964</v>
      </c>
      <c r="N357" s="3">
        <f t="shared" si="49"/>
        <v>2.7156713397436194</v>
      </c>
      <c r="O357" s="3">
        <f t="shared" si="42"/>
        <v>2.7331271718468515</v>
      </c>
      <c r="P357" s="3">
        <f t="shared" si="44"/>
        <v>2.7907043592330005</v>
      </c>
      <c r="Q357" s="4" t="str">
        <f t="shared" si="48"/>
        <v>UNDER</v>
      </c>
      <c r="R357" s="4" t="str">
        <f t="shared" si="48"/>
        <v>UNDER</v>
      </c>
      <c r="S357" s="4" t="str">
        <f t="shared" si="46"/>
        <v>UNDER</v>
      </c>
      <c r="T357" s="4" t="str">
        <f t="shared" si="46"/>
        <v>UNDER</v>
      </c>
      <c r="U357" s="2">
        <f>IF(Q357="OVER",$J357,$K357)</f>
        <v>786.93863974873364</v>
      </c>
      <c r="V357" s="2">
        <f>IF(R357="OVER",$J357,$K357)</f>
        <v>786.93863974873364</v>
      </c>
      <c r="W357" s="2">
        <f>IF(S357="OVER",$J357,$K357)</f>
        <v>786.93863974873364</v>
      </c>
      <c r="X357" s="2">
        <f>IF(T357="OVER",$J357,$K357)</f>
        <v>786.93863974873364</v>
      </c>
      <c r="Y357" s="9">
        <f t="shared" si="47"/>
        <v>-4443.1425118421639</v>
      </c>
      <c r="Z357" s="9">
        <f t="shared" si="47"/>
        <v>6091.3590196839441</v>
      </c>
      <c r="AA357" s="9">
        <f t="shared" si="47"/>
        <v>16659.130847002405</v>
      </c>
      <c r="AB357" s="9">
        <f t="shared" si="47"/>
        <v>4623.2668775988723</v>
      </c>
    </row>
    <row r="358" spans="1:28" x14ac:dyDescent="0.3">
      <c r="A358" s="1">
        <v>44931</v>
      </c>
      <c r="B358" s="2">
        <v>141.83000000000001</v>
      </c>
      <c r="C358" s="2">
        <v>379.38</v>
      </c>
      <c r="D358" s="9">
        <f>B358-B357</f>
        <v>-1.4899999999999807</v>
      </c>
      <c r="E358" s="9">
        <f>C358-C357</f>
        <v>-4.3799999999999955</v>
      </c>
      <c r="F358" s="3">
        <f>F$1/B358</f>
        <v>705.06944934076</v>
      </c>
      <c r="G358" s="3">
        <f>F$1/C358</f>
        <v>263.5879593020191</v>
      </c>
      <c r="H358" s="2">
        <f>D358*F357</f>
        <v>-1039.6315936366038</v>
      </c>
      <c r="I358" s="2">
        <f>E358*G357</f>
        <v>-1141.3383364602867</v>
      </c>
      <c r="J358" s="2">
        <f>I358-H358</f>
        <v>-101.70674282368282</v>
      </c>
      <c r="K358" s="2">
        <f t="shared" si="43"/>
        <v>101.70674282368282</v>
      </c>
      <c r="L358" s="3">
        <f>C358/B358</f>
        <v>2.6748924769089752</v>
      </c>
      <c r="M358" s="3">
        <f t="shared" si="45"/>
        <v>2.7005995833035641</v>
      </c>
      <c r="N358" s="3">
        <f t="shared" si="49"/>
        <v>2.7131048740140997</v>
      </c>
      <c r="O358" s="3">
        <f t="shared" si="42"/>
        <v>2.7302245747903156</v>
      </c>
      <c r="P358" s="3">
        <f t="shared" si="44"/>
        <v>2.789842852883563</v>
      </c>
      <c r="Q358" s="4" t="str">
        <f t="shared" si="48"/>
        <v>UNDER</v>
      </c>
      <c r="R358" s="4" t="str">
        <f t="shared" si="48"/>
        <v>UNDER</v>
      </c>
      <c r="S358" s="4" t="str">
        <f t="shared" si="46"/>
        <v>UNDER</v>
      </c>
      <c r="T358" s="4" t="str">
        <f t="shared" si="46"/>
        <v>UNDER</v>
      </c>
      <c r="U358" s="2">
        <f>IF(Q358="OVER",$J358,$K358)</f>
        <v>101.70674282368282</v>
      </c>
      <c r="V358" s="2">
        <f>IF(R358="OVER",$J358,$K358)</f>
        <v>101.70674282368282</v>
      </c>
      <c r="W358" s="2">
        <f>IF(S358="OVER",$J358,$K358)</f>
        <v>101.70674282368282</v>
      </c>
      <c r="X358" s="2">
        <f>IF(T358="OVER",$J358,$K358)</f>
        <v>101.70674282368282</v>
      </c>
      <c r="Y358" s="9">
        <f t="shared" si="47"/>
        <v>-4341.4357690184806</v>
      </c>
      <c r="Z358" s="9">
        <f t="shared" si="47"/>
        <v>6193.0657625076274</v>
      </c>
      <c r="AA358" s="9">
        <f t="shared" si="47"/>
        <v>16760.837589826089</v>
      </c>
      <c r="AB358" s="9">
        <f t="shared" si="47"/>
        <v>4724.9736204225555</v>
      </c>
    </row>
    <row r="359" spans="1:28" x14ac:dyDescent="0.3">
      <c r="A359" s="1">
        <v>44932</v>
      </c>
      <c r="B359" s="2">
        <v>145.22999999999999</v>
      </c>
      <c r="C359" s="2">
        <v>388.08</v>
      </c>
      <c r="D359" s="9">
        <f>B359-B358</f>
        <v>3.3999999999999773</v>
      </c>
      <c r="E359" s="9">
        <f>C359-C358</f>
        <v>8.6999999999999886</v>
      </c>
      <c r="F359" s="3">
        <f>F$1/B359</f>
        <v>688.56296908352272</v>
      </c>
      <c r="G359" s="3">
        <f>F$1/C359</f>
        <v>257.67882910740053</v>
      </c>
      <c r="H359" s="2">
        <f>D359*F358</f>
        <v>2397.2361277585678</v>
      </c>
      <c r="I359" s="2">
        <f>E359*G358</f>
        <v>2293.215245927563</v>
      </c>
      <c r="J359" s="2">
        <f>I359-H359</f>
        <v>-104.02088183100477</v>
      </c>
      <c r="K359" s="2">
        <f t="shared" si="43"/>
        <v>104.02088183100477</v>
      </c>
      <c r="L359" s="3">
        <f>C359/B359</f>
        <v>2.6721751704193348</v>
      </c>
      <c r="M359" s="3">
        <f t="shared" si="45"/>
        <v>2.6956899954346261</v>
      </c>
      <c r="N359" s="3">
        <f t="shared" si="49"/>
        <v>2.7104079883803029</v>
      </c>
      <c r="O359" s="3">
        <f t="shared" si="42"/>
        <v>2.7274466511922024</v>
      </c>
      <c r="P359" s="3">
        <f t="shared" si="44"/>
        <v>2.7889210551223438</v>
      </c>
      <c r="Q359" s="4" t="str">
        <f t="shared" si="48"/>
        <v>UNDER</v>
      </c>
      <c r="R359" s="4" t="str">
        <f t="shared" si="48"/>
        <v>UNDER</v>
      </c>
      <c r="S359" s="4" t="str">
        <f t="shared" si="46"/>
        <v>UNDER</v>
      </c>
      <c r="T359" s="4" t="str">
        <f t="shared" si="46"/>
        <v>UNDER</v>
      </c>
      <c r="U359" s="2">
        <f>IF(Q359="OVER",$J359,$K359)</f>
        <v>104.02088183100477</v>
      </c>
      <c r="V359" s="2">
        <f>IF(R359="OVER",$J359,$K359)</f>
        <v>104.02088183100477</v>
      </c>
      <c r="W359" s="2">
        <f>IF(S359="OVER",$J359,$K359)</f>
        <v>104.02088183100477</v>
      </c>
      <c r="X359" s="2">
        <f>IF(T359="OVER",$J359,$K359)</f>
        <v>104.02088183100477</v>
      </c>
      <c r="Y359" s="9">
        <f t="shared" si="47"/>
        <v>-4237.4148871874759</v>
      </c>
      <c r="Z359" s="9">
        <f t="shared" si="47"/>
        <v>6297.0866443386321</v>
      </c>
      <c r="AA359" s="9">
        <f t="shared" si="47"/>
        <v>16864.858471657095</v>
      </c>
      <c r="AB359" s="9">
        <f t="shared" si="47"/>
        <v>4828.9945022535603</v>
      </c>
    </row>
    <row r="360" spans="1:28" x14ac:dyDescent="0.3">
      <c r="A360" s="1">
        <v>44935</v>
      </c>
      <c r="B360" s="2">
        <v>145.29</v>
      </c>
      <c r="C360" s="2">
        <v>387.86</v>
      </c>
      <c r="D360" s="9">
        <f>B360-B359</f>
        <v>6.0000000000002274E-2</v>
      </c>
      <c r="E360" s="9">
        <f>C360-C359</f>
        <v>-0.21999999999997044</v>
      </c>
      <c r="F360" s="3">
        <f>F$1/B360</f>
        <v>688.27861518342627</v>
      </c>
      <c r="G360" s="3">
        <f>F$1/C360</f>
        <v>257.82498839787553</v>
      </c>
      <c r="H360" s="2">
        <f>D360*F359</f>
        <v>41.313778145012925</v>
      </c>
      <c r="I360" s="2">
        <f>E360*G359</f>
        <v>-56.6893424036205</v>
      </c>
      <c r="J360" s="2">
        <f>I360-H360</f>
        <v>-98.003120548633433</v>
      </c>
      <c r="K360" s="2">
        <f t="shared" si="43"/>
        <v>98.003120548633433</v>
      </c>
      <c r="L360" s="3">
        <f>C360/B360</f>
        <v>2.6695574368504373</v>
      </c>
      <c r="M360" s="3">
        <f t="shared" si="45"/>
        <v>2.6914583326092343</v>
      </c>
      <c r="N360" s="3">
        <f t="shared" si="49"/>
        <v>2.7073925774119401</v>
      </c>
      <c r="O360" s="3">
        <f t="shared" si="42"/>
        <v>2.7251497532819804</v>
      </c>
      <c r="P360" s="3">
        <f t="shared" si="44"/>
        <v>2.7879656323027278</v>
      </c>
      <c r="Q360" s="4" t="str">
        <f t="shared" si="48"/>
        <v>UNDER</v>
      </c>
      <c r="R360" s="4" t="str">
        <f t="shared" si="48"/>
        <v>UNDER</v>
      </c>
      <c r="S360" s="4" t="str">
        <f t="shared" si="46"/>
        <v>UNDER</v>
      </c>
      <c r="T360" s="4" t="str">
        <f t="shared" si="46"/>
        <v>UNDER</v>
      </c>
      <c r="U360" s="2">
        <f>IF(Q360="OVER",$J360,$K360)</f>
        <v>98.003120548633433</v>
      </c>
      <c r="V360" s="2">
        <f>IF(R360="OVER",$J360,$K360)</f>
        <v>98.003120548633433</v>
      </c>
      <c r="W360" s="2">
        <f>IF(S360="OVER",$J360,$K360)</f>
        <v>98.003120548633433</v>
      </c>
      <c r="X360" s="2">
        <f>IF(T360="OVER",$J360,$K360)</f>
        <v>98.003120548633433</v>
      </c>
      <c r="Y360" s="9">
        <f t="shared" si="47"/>
        <v>-4139.4117666388429</v>
      </c>
      <c r="Z360" s="9">
        <f t="shared" si="47"/>
        <v>6395.0897648872651</v>
      </c>
      <c r="AA360" s="9">
        <f t="shared" si="47"/>
        <v>16962.861592205729</v>
      </c>
      <c r="AB360" s="9">
        <f t="shared" si="47"/>
        <v>4926.9976228021933</v>
      </c>
    </row>
    <row r="361" spans="1:28" x14ac:dyDescent="0.3">
      <c r="A361" s="1">
        <v>44936</v>
      </c>
      <c r="B361" s="2">
        <v>146.38</v>
      </c>
      <c r="C361" s="2">
        <v>390.58</v>
      </c>
      <c r="D361" s="9">
        <f>B361-B360</f>
        <v>1.0900000000000034</v>
      </c>
      <c r="E361" s="9">
        <f>C361-C360</f>
        <v>2.7199999999999704</v>
      </c>
      <c r="F361" s="3">
        <f>F$1/B361</f>
        <v>683.15343626178446</v>
      </c>
      <c r="G361" s="3">
        <f>F$1/C361</f>
        <v>256.02949459777767</v>
      </c>
      <c r="H361" s="2">
        <f>D361*F360</f>
        <v>750.22369054993703</v>
      </c>
      <c r="I361" s="2">
        <f>E361*G360</f>
        <v>701.28396844221379</v>
      </c>
      <c r="J361" s="2">
        <f>I361-H361</f>
        <v>-48.939722107723242</v>
      </c>
      <c r="K361" s="2">
        <f t="shared" si="43"/>
        <v>48.939722107723242</v>
      </c>
      <c r="L361" s="3">
        <f>C361/B361</f>
        <v>2.6682606913512776</v>
      </c>
      <c r="M361" s="3">
        <f t="shared" si="45"/>
        <v>2.6872744222695228</v>
      </c>
      <c r="N361" s="3">
        <f t="shared" si="49"/>
        <v>2.7042784995723665</v>
      </c>
      <c r="O361" s="3">
        <f t="shared" si="42"/>
        <v>2.7231767307440458</v>
      </c>
      <c r="P361" s="3">
        <f t="shared" si="44"/>
        <v>2.7869555499678307</v>
      </c>
      <c r="Q361" s="4" t="str">
        <f t="shared" si="48"/>
        <v>UNDER</v>
      </c>
      <c r="R361" s="4" t="str">
        <f t="shared" si="48"/>
        <v>UNDER</v>
      </c>
      <c r="S361" s="4" t="str">
        <f t="shared" si="46"/>
        <v>UNDER</v>
      </c>
      <c r="T361" s="4" t="str">
        <f t="shared" si="46"/>
        <v>UNDER</v>
      </c>
      <c r="U361" s="2">
        <f>IF(Q361="OVER",$J361,$K361)</f>
        <v>48.939722107723242</v>
      </c>
      <c r="V361" s="2">
        <f>IF(R361="OVER",$J361,$K361)</f>
        <v>48.939722107723242</v>
      </c>
      <c r="W361" s="2">
        <f>IF(S361="OVER",$J361,$K361)</f>
        <v>48.939722107723242</v>
      </c>
      <c r="X361" s="2">
        <f>IF(T361="OVER",$J361,$K361)</f>
        <v>48.939722107723242</v>
      </c>
      <c r="Y361" s="9">
        <f t="shared" si="47"/>
        <v>-4090.4720445311195</v>
      </c>
      <c r="Z361" s="9">
        <f t="shared" si="47"/>
        <v>6444.0294869949885</v>
      </c>
      <c r="AA361" s="9">
        <f t="shared" si="47"/>
        <v>17011.801314313452</v>
      </c>
      <c r="AB361" s="9">
        <f t="shared" si="47"/>
        <v>4975.9373449099166</v>
      </c>
    </row>
    <row r="362" spans="1:28" x14ac:dyDescent="0.3">
      <c r="A362" s="1">
        <v>44937</v>
      </c>
      <c r="B362" s="2">
        <v>148.16</v>
      </c>
      <c r="C362" s="2">
        <v>395.52</v>
      </c>
      <c r="D362" s="9">
        <f>B362-B361</f>
        <v>1.7800000000000011</v>
      </c>
      <c r="E362" s="9">
        <f>C362-C361</f>
        <v>4.9399999999999977</v>
      </c>
      <c r="F362" s="3">
        <f>F$1/B362</f>
        <v>674.94600431965443</v>
      </c>
      <c r="G362" s="3">
        <f>F$1/C362</f>
        <v>252.83171521035601</v>
      </c>
      <c r="H362" s="2">
        <f>D362*F361</f>
        <v>1216.013116545977</v>
      </c>
      <c r="I362" s="2">
        <f>E362*G361</f>
        <v>1264.785703313021</v>
      </c>
      <c r="J362" s="2">
        <f>I362-H362</f>
        <v>48.772586767044004</v>
      </c>
      <c r="K362" s="2">
        <f t="shared" si="43"/>
        <v>-48.772586767044004</v>
      </c>
      <c r="L362" s="3">
        <f>C362/B362</f>
        <v>2.6695464362850969</v>
      </c>
      <c r="M362" s="3">
        <f t="shared" si="45"/>
        <v>2.6844596501390852</v>
      </c>
      <c r="N362" s="3">
        <f t="shared" si="49"/>
        <v>2.7012693349001347</v>
      </c>
      <c r="O362" s="3">
        <f t="shared" si="42"/>
        <v>2.72106473465879</v>
      </c>
      <c r="P362" s="3">
        <f t="shared" si="44"/>
        <v>2.7859794623796068</v>
      </c>
      <c r="Q362" s="4" t="str">
        <f t="shared" si="48"/>
        <v>UNDER</v>
      </c>
      <c r="R362" s="4" t="str">
        <f t="shared" si="48"/>
        <v>UNDER</v>
      </c>
      <c r="S362" s="4" t="str">
        <f t="shared" si="46"/>
        <v>UNDER</v>
      </c>
      <c r="T362" s="4" t="str">
        <f t="shared" si="46"/>
        <v>UNDER</v>
      </c>
      <c r="U362" s="2">
        <f>IF(Q362="OVER",$J362,$K362)</f>
        <v>-48.772586767044004</v>
      </c>
      <c r="V362" s="2">
        <f>IF(R362="OVER",$J362,$K362)</f>
        <v>-48.772586767044004</v>
      </c>
      <c r="W362" s="2">
        <f>IF(S362="OVER",$J362,$K362)</f>
        <v>-48.772586767044004</v>
      </c>
      <c r="X362" s="2">
        <f>IF(T362="OVER",$J362,$K362)</f>
        <v>-48.772586767044004</v>
      </c>
      <c r="Y362" s="9">
        <f t="shared" si="47"/>
        <v>-4139.2446312981638</v>
      </c>
      <c r="Z362" s="9">
        <f t="shared" si="47"/>
        <v>6395.2569002279442</v>
      </c>
      <c r="AA362" s="9">
        <f t="shared" si="47"/>
        <v>16963.028727546407</v>
      </c>
      <c r="AB362" s="9">
        <f t="shared" si="47"/>
        <v>4927.1647581428724</v>
      </c>
    </row>
    <row r="363" spans="1:28" x14ac:dyDescent="0.3">
      <c r="A363" s="1">
        <v>44938</v>
      </c>
      <c r="B363" s="2">
        <v>148.72</v>
      </c>
      <c r="C363" s="2">
        <v>396.96</v>
      </c>
      <c r="D363" s="9">
        <f>B363-B362</f>
        <v>0.56000000000000227</v>
      </c>
      <c r="E363" s="9">
        <f>C363-C362</f>
        <v>1.4399999999999977</v>
      </c>
      <c r="F363" s="3">
        <f>F$1/B363</f>
        <v>672.40451855836477</v>
      </c>
      <c r="G363" s="3">
        <f>F$1/C363</f>
        <v>251.91455058444177</v>
      </c>
      <c r="H363" s="2">
        <f>D363*F362</f>
        <v>377.96976241900802</v>
      </c>
      <c r="I363" s="2">
        <f>E363*G362</f>
        <v>364.07766990291208</v>
      </c>
      <c r="J363" s="2">
        <f>I363-H363</f>
        <v>-13.892092516095943</v>
      </c>
      <c r="K363" s="2">
        <f t="shared" si="43"/>
        <v>13.892092516095943</v>
      </c>
      <c r="L363" s="3">
        <f>C363/B363</f>
        <v>2.6691769768692843</v>
      </c>
      <c r="M363" s="3">
        <f t="shared" si="45"/>
        <v>2.6810795365594182</v>
      </c>
      <c r="N363" s="3">
        <f t="shared" si="49"/>
        <v>2.6981616280596961</v>
      </c>
      <c r="O363" s="3">
        <f t="shared" si="42"/>
        <v>2.7191014699542735</v>
      </c>
      <c r="P363" s="3">
        <f t="shared" si="44"/>
        <v>2.7849424208963591</v>
      </c>
      <c r="Q363" s="4" t="str">
        <f t="shared" si="48"/>
        <v>UNDER</v>
      </c>
      <c r="R363" s="4" t="str">
        <f t="shared" si="48"/>
        <v>UNDER</v>
      </c>
      <c r="S363" s="4" t="str">
        <f t="shared" si="46"/>
        <v>UNDER</v>
      </c>
      <c r="T363" s="4" t="str">
        <f t="shared" si="46"/>
        <v>UNDER</v>
      </c>
      <c r="U363" s="2">
        <f>IF(Q363="OVER",$J363,$K363)</f>
        <v>13.892092516095943</v>
      </c>
      <c r="V363" s="2">
        <f>IF(R363="OVER",$J363,$K363)</f>
        <v>13.892092516095943</v>
      </c>
      <c r="W363" s="2">
        <f>IF(S363="OVER",$J363,$K363)</f>
        <v>13.892092516095943</v>
      </c>
      <c r="X363" s="2">
        <f>IF(T363="OVER",$J363,$K363)</f>
        <v>13.892092516095943</v>
      </c>
      <c r="Y363" s="9">
        <f t="shared" si="47"/>
        <v>-4125.3525387820682</v>
      </c>
      <c r="Z363" s="9">
        <f t="shared" si="47"/>
        <v>6409.1489927440398</v>
      </c>
      <c r="AA363" s="9">
        <f t="shared" si="47"/>
        <v>16976.920820062503</v>
      </c>
      <c r="AB363" s="9">
        <f t="shared" si="47"/>
        <v>4941.056850658968</v>
      </c>
    </row>
    <row r="364" spans="1:28" x14ac:dyDescent="0.3">
      <c r="A364" s="1">
        <v>44939</v>
      </c>
      <c r="B364" s="2">
        <v>149.07</v>
      </c>
      <c r="C364" s="2">
        <v>398.5</v>
      </c>
      <c r="D364" s="9">
        <f>B364-B363</f>
        <v>0.34999999999999432</v>
      </c>
      <c r="E364" s="9">
        <f>C364-C363</f>
        <v>1.5400000000000205</v>
      </c>
      <c r="F364" s="3">
        <f>F$1/B364</f>
        <v>670.8257865432347</v>
      </c>
      <c r="G364" s="3">
        <f>F$1/C364</f>
        <v>250.94102885821832</v>
      </c>
      <c r="H364" s="2">
        <f>D364*F363</f>
        <v>235.34158149542384</v>
      </c>
      <c r="I364" s="2">
        <f>E364*G363</f>
        <v>387.94840790004548</v>
      </c>
      <c r="J364" s="2">
        <f>I364-H364</f>
        <v>152.60682640462164</v>
      </c>
      <c r="K364" s="2">
        <f t="shared" si="43"/>
        <v>-152.60682640462164</v>
      </c>
      <c r="L364" s="3">
        <f>C364/B364</f>
        <v>2.6732407593747904</v>
      </c>
      <c r="M364" s="3">
        <f t="shared" si="45"/>
        <v>2.6780517828416768</v>
      </c>
      <c r="N364" s="3">
        <f t="shared" si="49"/>
        <v>2.6953233242649359</v>
      </c>
      <c r="O364" s="3">
        <f t="shared" si="42"/>
        <v>2.7175955917893755</v>
      </c>
      <c r="P364" s="3">
        <f t="shared" si="44"/>
        <v>2.7839854494201437</v>
      </c>
      <c r="Q364" s="4" t="str">
        <f t="shared" si="48"/>
        <v>UNDER</v>
      </c>
      <c r="R364" s="4" t="str">
        <f t="shared" si="48"/>
        <v>UNDER</v>
      </c>
      <c r="S364" s="4" t="str">
        <f t="shared" si="46"/>
        <v>UNDER</v>
      </c>
      <c r="T364" s="4" t="str">
        <f t="shared" si="46"/>
        <v>UNDER</v>
      </c>
      <c r="U364" s="2">
        <f>IF(Q364="OVER",$J364,$K364)</f>
        <v>-152.60682640462164</v>
      </c>
      <c r="V364" s="2">
        <f>IF(R364="OVER",$J364,$K364)</f>
        <v>-152.60682640462164</v>
      </c>
      <c r="W364" s="2">
        <f>IF(S364="OVER",$J364,$K364)</f>
        <v>-152.60682640462164</v>
      </c>
      <c r="X364" s="2">
        <f>IF(T364="OVER",$J364,$K364)</f>
        <v>-152.60682640462164</v>
      </c>
      <c r="Y364" s="9">
        <f t="shared" si="47"/>
        <v>-4277.9593651866899</v>
      </c>
      <c r="Z364" s="9">
        <f t="shared" si="47"/>
        <v>6256.5421663394181</v>
      </c>
      <c r="AA364" s="9">
        <f t="shared" si="47"/>
        <v>16824.313993657881</v>
      </c>
      <c r="AB364" s="9">
        <f t="shared" si="47"/>
        <v>4788.4500242543463</v>
      </c>
    </row>
    <row r="365" spans="1:28" x14ac:dyDescent="0.3">
      <c r="A365" s="1">
        <v>44943</v>
      </c>
      <c r="B365" s="2">
        <v>148.74</v>
      </c>
      <c r="C365" s="2">
        <v>397.77</v>
      </c>
      <c r="D365" s="9">
        <f>B365-B364</f>
        <v>-0.32999999999998408</v>
      </c>
      <c r="E365" s="9">
        <f>C365-C364</f>
        <v>-0.73000000000001819</v>
      </c>
      <c r="F365" s="3">
        <f>F$1/B365</f>
        <v>672.31410514992604</v>
      </c>
      <c r="G365" s="3">
        <f>F$1/C365</f>
        <v>251.40156371772633</v>
      </c>
      <c r="H365" s="2">
        <f>D365*F364</f>
        <v>-221.37250955925677</v>
      </c>
      <c r="I365" s="2">
        <f>E365*G364</f>
        <v>-183.18695106650392</v>
      </c>
      <c r="J365" s="2">
        <f>I365-H365</f>
        <v>38.185558492752847</v>
      </c>
      <c r="K365" s="2">
        <f t="shared" si="43"/>
        <v>-38.185558492752847</v>
      </c>
      <c r="L365" s="3">
        <f>C365/B365</f>
        <v>2.6742638160548604</v>
      </c>
      <c r="M365" s="3">
        <f t="shared" si="45"/>
        <v>2.6747312617922949</v>
      </c>
      <c r="N365" s="3">
        <f t="shared" si="49"/>
        <v>2.6928879372495222</v>
      </c>
      <c r="O365" s="3">
        <f t="shared" si="42"/>
        <v>2.7161508366063329</v>
      </c>
      <c r="P365" s="3">
        <f t="shared" si="44"/>
        <v>2.7830125318377128</v>
      </c>
      <c r="Q365" s="4" t="str">
        <f t="shared" si="48"/>
        <v>UNDER</v>
      </c>
      <c r="R365" s="4" t="str">
        <f t="shared" si="48"/>
        <v>UNDER</v>
      </c>
      <c r="S365" s="4" t="str">
        <f t="shared" si="46"/>
        <v>UNDER</v>
      </c>
      <c r="T365" s="4" t="str">
        <f t="shared" si="46"/>
        <v>UNDER</v>
      </c>
      <c r="U365" s="2">
        <f>IF(Q365="OVER",$J365,$K365)</f>
        <v>-38.185558492752847</v>
      </c>
      <c r="V365" s="2">
        <f>IF(R365="OVER",$J365,$K365)</f>
        <v>-38.185558492752847</v>
      </c>
      <c r="W365" s="2">
        <f>IF(S365="OVER",$J365,$K365)</f>
        <v>-38.185558492752847</v>
      </c>
      <c r="X365" s="2">
        <f>IF(T365="OVER",$J365,$K365)</f>
        <v>-38.185558492752847</v>
      </c>
      <c r="Y365" s="9">
        <f t="shared" si="47"/>
        <v>-4316.1449236794424</v>
      </c>
      <c r="Z365" s="9">
        <f t="shared" si="47"/>
        <v>6218.3566078466656</v>
      </c>
      <c r="AA365" s="9">
        <f t="shared" si="47"/>
        <v>16786.128435165127</v>
      </c>
      <c r="AB365" s="9">
        <f t="shared" si="47"/>
        <v>4750.2644657615938</v>
      </c>
    </row>
    <row r="366" spans="1:28" x14ac:dyDescent="0.3">
      <c r="A366" s="1">
        <v>44944</v>
      </c>
      <c r="B366" s="2">
        <v>146.44999999999999</v>
      </c>
      <c r="C366" s="2">
        <v>391.49</v>
      </c>
      <c r="D366" s="9">
        <f>B366-B365</f>
        <v>-2.2900000000000205</v>
      </c>
      <c r="E366" s="9">
        <f>C366-C365</f>
        <v>-6.2799999999999727</v>
      </c>
      <c r="F366" s="3">
        <f>F$1/B366</f>
        <v>682.82690337999327</v>
      </c>
      <c r="G366" s="3">
        <f>F$1/C366</f>
        <v>255.43436613962041</v>
      </c>
      <c r="H366" s="2">
        <f>D366*F365</f>
        <v>-1539.5993007933444</v>
      </c>
      <c r="I366" s="2">
        <f>E366*G365</f>
        <v>-1578.8018201473144</v>
      </c>
      <c r="J366" s="2">
        <f>I366-H366</f>
        <v>-39.202519353970047</v>
      </c>
      <c r="K366" s="2">
        <f t="shared" si="43"/>
        <v>39.202519353970047</v>
      </c>
      <c r="L366" s="3">
        <f>C366/B366</f>
        <v>2.6731990440423354</v>
      </c>
      <c r="M366" s="3">
        <f t="shared" si="45"/>
        <v>2.6721957240196579</v>
      </c>
      <c r="N366" s="3">
        <f t="shared" si="49"/>
        <v>2.6909826659089111</v>
      </c>
      <c r="O366" s="3">
        <f t="shared" si="42"/>
        <v>2.7149741694753975</v>
      </c>
      <c r="P366" s="3">
        <f t="shared" si="44"/>
        <v>2.782059840861741</v>
      </c>
      <c r="Q366" s="4" t="str">
        <f t="shared" si="48"/>
        <v>UNDER</v>
      </c>
      <c r="R366" s="4" t="str">
        <f t="shared" si="48"/>
        <v>UNDER</v>
      </c>
      <c r="S366" s="4" t="str">
        <f t="shared" si="46"/>
        <v>UNDER</v>
      </c>
      <c r="T366" s="4" t="str">
        <f t="shared" si="46"/>
        <v>UNDER</v>
      </c>
      <c r="U366" s="2">
        <f>IF(Q366="OVER",$J366,$K366)</f>
        <v>39.202519353970047</v>
      </c>
      <c r="V366" s="2">
        <f>IF(R366="OVER",$J366,$K366)</f>
        <v>39.202519353970047</v>
      </c>
      <c r="W366" s="2">
        <f>IF(S366="OVER",$J366,$K366)</f>
        <v>39.202519353970047</v>
      </c>
      <c r="X366" s="2">
        <f>IF(T366="OVER",$J366,$K366)</f>
        <v>39.202519353970047</v>
      </c>
      <c r="Y366" s="9">
        <f t="shared" si="47"/>
        <v>-4276.9424043254721</v>
      </c>
      <c r="Z366" s="9">
        <f t="shared" si="47"/>
        <v>6257.5591272006359</v>
      </c>
      <c r="AA366" s="9">
        <f t="shared" si="47"/>
        <v>16825.330954519097</v>
      </c>
      <c r="AB366" s="9">
        <f t="shared" si="47"/>
        <v>4789.4669851155641</v>
      </c>
    </row>
    <row r="367" spans="1:28" x14ac:dyDescent="0.3">
      <c r="A367" s="1">
        <v>44945</v>
      </c>
      <c r="B367" s="2">
        <v>144.94</v>
      </c>
      <c r="C367" s="2">
        <v>388.64</v>
      </c>
      <c r="D367" s="9">
        <f>B367-B366</f>
        <v>-1.5099999999999909</v>
      </c>
      <c r="E367" s="9">
        <f>C367-C366</f>
        <v>-2.8500000000000227</v>
      </c>
      <c r="F367" s="3">
        <f>F$1/B367</f>
        <v>689.94066510280118</v>
      </c>
      <c r="G367" s="3">
        <f>F$1/C367</f>
        <v>257.30753396459448</v>
      </c>
      <c r="H367" s="2">
        <f>D367*F366</f>
        <v>-1031.0686241037836</v>
      </c>
      <c r="I367" s="2">
        <f>E367*G366</f>
        <v>-727.98794349792399</v>
      </c>
      <c r="J367" s="2">
        <f>I367-H367</f>
        <v>303.08068060585958</v>
      </c>
      <c r="K367" s="2">
        <f t="shared" si="43"/>
        <v>-303.08068060585958</v>
      </c>
      <c r="L367" s="3">
        <f>C367/B367</f>
        <v>2.6813854008555262</v>
      </c>
      <c r="M367" s="3">
        <f t="shared" si="45"/>
        <v>2.6725698209011917</v>
      </c>
      <c r="N367" s="3">
        <f t="shared" si="49"/>
        <v>2.6889708645486943</v>
      </c>
      <c r="O367" s="3">
        <f t="shared" si="42"/>
        <v>2.7140228041838288</v>
      </c>
      <c r="P367" s="3">
        <f t="shared" si="44"/>
        <v>2.7811537859421156</v>
      </c>
      <c r="Q367" s="4" t="str">
        <f t="shared" si="48"/>
        <v>OVER</v>
      </c>
      <c r="R367" s="4" t="str">
        <f t="shared" si="48"/>
        <v>UNDER</v>
      </c>
      <c r="S367" s="4" t="str">
        <f t="shared" si="46"/>
        <v>UNDER</v>
      </c>
      <c r="T367" s="4" t="str">
        <f t="shared" si="46"/>
        <v>UNDER</v>
      </c>
      <c r="U367" s="2">
        <f>IF(Q367="OVER",$J367,$K367)</f>
        <v>303.08068060585958</v>
      </c>
      <c r="V367" s="2">
        <f>IF(R367="OVER",$J367,$K367)</f>
        <v>-303.08068060585958</v>
      </c>
      <c r="W367" s="2">
        <f>IF(S367="OVER",$J367,$K367)</f>
        <v>-303.08068060585958</v>
      </c>
      <c r="X367" s="2">
        <f>IF(T367="OVER",$J367,$K367)</f>
        <v>-303.08068060585958</v>
      </c>
      <c r="Y367" s="9">
        <f t="shared" si="47"/>
        <v>-3973.8617237196127</v>
      </c>
      <c r="Z367" s="9">
        <f t="shared" si="47"/>
        <v>5954.478446594776</v>
      </c>
      <c r="AA367" s="9">
        <f t="shared" si="47"/>
        <v>16522.250273913236</v>
      </c>
      <c r="AB367" s="9">
        <f t="shared" si="47"/>
        <v>4486.3863045097041</v>
      </c>
    </row>
    <row r="368" spans="1:28" x14ac:dyDescent="0.3">
      <c r="A368" s="1">
        <v>44946</v>
      </c>
      <c r="B368" s="2">
        <v>147.46</v>
      </c>
      <c r="C368" s="2">
        <v>395.88</v>
      </c>
      <c r="D368" s="9">
        <f>B368-B367</f>
        <v>2.5200000000000102</v>
      </c>
      <c r="E368" s="9">
        <f>C368-C367</f>
        <v>7.2400000000000091</v>
      </c>
      <c r="F368" s="3">
        <f>F$1/B368</f>
        <v>678.1500067815</v>
      </c>
      <c r="G368" s="3">
        <f>F$1/C368</f>
        <v>252.6017985248055</v>
      </c>
      <c r="H368" s="2">
        <f>D368*F367</f>
        <v>1738.650476059066</v>
      </c>
      <c r="I368" s="2">
        <f>E368*G367</f>
        <v>1862.9065459036665</v>
      </c>
      <c r="J368" s="2">
        <f>I368-H368</f>
        <v>124.25606984460046</v>
      </c>
      <c r="K368" s="2">
        <f t="shared" si="43"/>
        <v>-124.25606984460046</v>
      </c>
      <c r="L368" s="3">
        <f>C368/B368</f>
        <v>2.6846602468466023</v>
      </c>
      <c r="M368" s="3">
        <f t="shared" si="45"/>
        <v>2.6735465978949544</v>
      </c>
      <c r="N368" s="3">
        <f t="shared" si="49"/>
        <v>2.6870730905992599</v>
      </c>
      <c r="O368" s="3">
        <f t="shared" si="42"/>
        <v>2.7130508771158683</v>
      </c>
      <c r="P368" s="3">
        <f t="shared" si="44"/>
        <v>2.7801724454003653</v>
      </c>
      <c r="Q368" s="4" t="str">
        <f t="shared" si="48"/>
        <v>OVER</v>
      </c>
      <c r="R368" s="4" t="str">
        <f t="shared" si="48"/>
        <v>UNDER</v>
      </c>
      <c r="S368" s="4" t="str">
        <f t="shared" si="46"/>
        <v>UNDER</v>
      </c>
      <c r="T368" s="4" t="str">
        <f t="shared" si="46"/>
        <v>UNDER</v>
      </c>
      <c r="U368" s="2">
        <f>IF(Q368="OVER",$J368,$K368)</f>
        <v>124.25606984460046</v>
      </c>
      <c r="V368" s="2">
        <f>IF(R368="OVER",$J368,$K368)</f>
        <v>-124.25606984460046</v>
      </c>
      <c r="W368" s="2">
        <f>IF(S368="OVER",$J368,$K368)</f>
        <v>-124.25606984460046</v>
      </c>
      <c r="X368" s="2">
        <f>IF(T368="OVER",$J368,$K368)</f>
        <v>-124.25606984460046</v>
      </c>
      <c r="Y368" s="9">
        <f t="shared" si="47"/>
        <v>-3849.6056538750122</v>
      </c>
      <c r="Z368" s="9">
        <f t="shared" si="47"/>
        <v>5830.2223767501755</v>
      </c>
      <c r="AA368" s="9">
        <f t="shared" si="47"/>
        <v>16397.994204068636</v>
      </c>
      <c r="AB368" s="9">
        <f t="shared" si="47"/>
        <v>4362.1302346651037</v>
      </c>
    </row>
    <row r="369" spans="1:28" x14ac:dyDescent="0.3">
      <c r="A369" s="1">
        <v>44949</v>
      </c>
      <c r="B369" s="2">
        <v>149.33000000000001</v>
      </c>
      <c r="C369" s="2">
        <v>400.63</v>
      </c>
      <c r="D369" s="9">
        <f>B369-B368</f>
        <v>1.8700000000000045</v>
      </c>
      <c r="E369" s="9">
        <f>C369-C368</f>
        <v>4.75</v>
      </c>
      <c r="F369" s="3">
        <f>F$1/B369</f>
        <v>669.65780486171559</v>
      </c>
      <c r="G369" s="3">
        <f>F$1/C369</f>
        <v>249.60686918103985</v>
      </c>
      <c r="H369" s="2">
        <f>D369*F368</f>
        <v>1268.1405126814082</v>
      </c>
      <c r="I369" s="2">
        <f>E369*G368</f>
        <v>1199.8585429928262</v>
      </c>
      <c r="J369" s="2">
        <f>I369-H369</f>
        <v>-68.281969688581967</v>
      </c>
      <c r="K369" s="2">
        <f t="shared" si="43"/>
        <v>68.281969688581967</v>
      </c>
      <c r="L369" s="3">
        <f>C369/B369</f>
        <v>2.682850063617491</v>
      </c>
      <c r="M369" s="3">
        <f t="shared" si="45"/>
        <v>2.6746140872147697</v>
      </c>
      <c r="N369" s="3">
        <f t="shared" si="49"/>
        <v>2.6851520413246983</v>
      </c>
      <c r="O369" s="3">
        <f t="shared" si="42"/>
        <v>2.71207401111133</v>
      </c>
      <c r="P369" s="3">
        <f t="shared" si="44"/>
        <v>2.7792107793545839</v>
      </c>
      <c r="Q369" s="4" t="str">
        <f t="shared" si="48"/>
        <v>OVER</v>
      </c>
      <c r="R369" s="4" t="str">
        <f t="shared" si="48"/>
        <v>UNDER</v>
      </c>
      <c r="S369" s="4" t="str">
        <f t="shared" si="46"/>
        <v>UNDER</v>
      </c>
      <c r="T369" s="4" t="str">
        <f t="shared" si="46"/>
        <v>UNDER</v>
      </c>
      <c r="U369" s="2">
        <f>IF(Q369="OVER",$J369,$K369)</f>
        <v>-68.281969688581967</v>
      </c>
      <c r="V369" s="2">
        <f>IF(R369="OVER",$J369,$K369)</f>
        <v>68.281969688581967</v>
      </c>
      <c r="W369" s="2">
        <f>IF(S369="OVER",$J369,$K369)</f>
        <v>68.281969688581967</v>
      </c>
      <c r="X369" s="2">
        <f>IF(T369="OVER",$J369,$K369)</f>
        <v>68.281969688581967</v>
      </c>
      <c r="Y369" s="9">
        <f t="shared" si="47"/>
        <v>-3917.8876235635944</v>
      </c>
      <c r="Z369" s="9">
        <f t="shared" si="47"/>
        <v>5898.5043464387572</v>
      </c>
      <c r="AA369" s="9">
        <f t="shared" si="47"/>
        <v>16466.276173757218</v>
      </c>
      <c r="AB369" s="9">
        <f t="shared" si="47"/>
        <v>4430.4122043536854</v>
      </c>
    </row>
    <row r="370" spans="1:28" x14ac:dyDescent="0.3">
      <c r="A370" s="1">
        <v>44950</v>
      </c>
      <c r="B370" s="2">
        <v>148.97999999999999</v>
      </c>
      <c r="C370" s="2">
        <v>400.2</v>
      </c>
      <c r="D370" s="9">
        <f>B370-B369</f>
        <v>-0.35000000000002274</v>
      </c>
      <c r="E370" s="9">
        <f>C370-C369</f>
        <v>-0.43000000000000682</v>
      </c>
      <c r="F370" s="3">
        <f>F$1/B370</f>
        <v>671.23103772318439</v>
      </c>
      <c r="G370" s="3">
        <f>F$1/C370</f>
        <v>249.87506246876563</v>
      </c>
      <c r="H370" s="2">
        <f>D370*F369</f>
        <v>-234.38023170161568</v>
      </c>
      <c r="I370" s="2">
        <f>E370*G369</f>
        <v>-107.33095374784884</v>
      </c>
      <c r="J370" s="2">
        <f>I370-H370</f>
        <v>127.04927795376685</v>
      </c>
      <c r="K370" s="2">
        <f t="shared" si="43"/>
        <v>-127.04927795376685</v>
      </c>
      <c r="L370" s="3">
        <f>C370/B370</f>
        <v>2.6862666129681836</v>
      </c>
      <c r="M370" s="3">
        <f t="shared" si="45"/>
        <v>2.6762850048265445</v>
      </c>
      <c r="N370" s="3">
        <f t="shared" si="49"/>
        <v>2.6838716687178898</v>
      </c>
      <c r="O370" s="3">
        <f t="shared" si="42"/>
        <v>2.7113130694320065</v>
      </c>
      <c r="P370" s="3">
        <f t="shared" si="44"/>
        <v>2.778337909446591</v>
      </c>
      <c r="Q370" s="4" t="str">
        <f t="shared" si="48"/>
        <v>OVER</v>
      </c>
      <c r="R370" s="4" t="str">
        <f t="shared" si="48"/>
        <v>UNDER</v>
      </c>
      <c r="S370" s="4" t="str">
        <f t="shared" si="46"/>
        <v>UNDER</v>
      </c>
      <c r="T370" s="4" t="str">
        <f t="shared" si="46"/>
        <v>UNDER</v>
      </c>
      <c r="U370" s="2">
        <f>IF(Q370="OVER",$J370,$K370)</f>
        <v>127.04927795376685</v>
      </c>
      <c r="V370" s="2">
        <f>IF(R370="OVER",$J370,$K370)</f>
        <v>-127.04927795376685</v>
      </c>
      <c r="W370" s="2">
        <f>IF(S370="OVER",$J370,$K370)</f>
        <v>-127.04927795376685</v>
      </c>
      <c r="X370" s="2">
        <f>IF(T370="OVER",$J370,$K370)</f>
        <v>-127.04927795376685</v>
      </c>
      <c r="Y370" s="9">
        <f t="shared" si="47"/>
        <v>-3790.8383456098277</v>
      </c>
      <c r="Z370" s="9">
        <f t="shared" si="47"/>
        <v>5771.4550684849901</v>
      </c>
      <c r="AA370" s="9">
        <f t="shared" si="47"/>
        <v>16339.226895803451</v>
      </c>
      <c r="AB370" s="9">
        <f t="shared" si="47"/>
        <v>4303.3629263999183</v>
      </c>
    </row>
    <row r="371" spans="1:28" x14ac:dyDescent="0.3">
      <c r="A371" s="1">
        <v>44951</v>
      </c>
      <c r="B371" s="2">
        <v>149.32</v>
      </c>
      <c r="C371" s="2">
        <v>400.35</v>
      </c>
      <c r="D371" s="9">
        <f>B371-B370</f>
        <v>0.34000000000000341</v>
      </c>
      <c r="E371" s="9">
        <f>C371-C370</f>
        <v>0.15000000000003411</v>
      </c>
      <c r="F371" s="3">
        <f>F$1/B371</f>
        <v>669.70265202250209</v>
      </c>
      <c r="G371" s="3">
        <f>F$1/C371</f>
        <v>249.78144123891593</v>
      </c>
      <c r="H371" s="2">
        <f>D371*F370</f>
        <v>228.21855282588498</v>
      </c>
      <c r="I371" s="2">
        <f>E371*G370</f>
        <v>37.481259370323365</v>
      </c>
      <c r="J371" s="2">
        <f>I371-H371</f>
        <v>-190.73729345556163</v>
      </c>
      <c r="K371" s="2">
        <f t="shared" si="43"/>
        <v>190.73729345556163</v>
      </c>
      <c r="L371" s="3">
        <f>C371/B371</f>
        <v>2.6811545673720869</v>
      </c>
      <c r="M371" s="3">
        <f t="shared" si="45"/>
        <v>2.6775743924286255</v>
      </c>
      <c r="N371" s="3">
        <f t="shared" si="49"/>
        <v>2.6824244073490746</v>
      </c>
      <c r="O371" s="3">
        <f t="shared" si="42"/>
        <v>2.7103795224492244</v>
      </c>
      <c r="P371" s="3">
        <f t="shared" si="44"/>
        <v>2.7774114773779837</v>
      </c>
      <c r="Q371" s="4" t="str">
        <f t="shared" si="48"/>
        <v>OVER</v>
      </c>
      <c r="R371" s="4" t="str">
        <f t="shared" si="48"/>
        <v>OVER</v>
      </c>
      <c r="S371" s="4" t="str">
        <f t="shared" si="46"/>
        <v>UNDER</v>
      </c>
      <c r="T371" s="4" t="str">
        <f t="shared" si="46"/>
        <v>UNDER</v>
      </c>
      <c r="U371" s="2">
        <f>IF(Q371="OVER",$J371,$K371)</f>
        <v>-190.73729345556163</v>
      </c>
      <c r="V371" s="2">
        <f>IF(R371="OVER",$J371,$K371)</f>
        <v>-190.73729345556163</v>
      </c>
      <c r="W371" s="2">
        <f>IF(S371="OVER",$J371,$K371)</f>
        <v>190.73729345556163</v>
      </c>
      <c r="X371" s="2">
        <f>IF(T371="OVER",$J371,$K371)</f>
        <v>190.73729345556163</v>
      </c>
      <c r="Y371" s="9">
        <f t="shared" si="47"/>
        <v>-3981.5756390653892</v>
      </c>
      <c r="Z371" s="9">
        <f t="shared" si="47"/>
        <v>5580.7177750294286</v>
      </c>
      <c r="AA371" s="9">
        <f t="shared" si="47"/>
        <v>16529.964189259012</v>
      </c>
      <c r="AB371" s="9">
        <f t="shared" si="47"/>
        <v>4494.1002198554797</v>
      </c>
    </row>
    <row r="372" spans="1:28" x14ac:dyDescent="0.3">
      <c r="A372" s="1">
        <v>44952</v>
      </c>
      <c r="B372" s="2">
        <v>150.52000000000001</v>
      </c>
      <c r="C372" s="2">
        <v>404.75</v>
      </c>
      <c r="D372" s="9">
        <f>B372-B371</f>
        <v>1.2000000000000171</v>
      </c>
      <c r="E372" s="9">
        <f>C372-C371</f>
        <v>4.3999999999999773</v>
      </c>
      <c r="F372" s="3">
        <f>F$1/B372</f>
        <v>664.3635397289396</v>
      </c>
      <c r="G372" s="3">
        <f>F$1/C372</f>
        <v>247.06609017912291</v>
      </c>
      <c r="H372" s="2">
        <f>D372*F371</f>
        <v>803.64318242701393</v>
      </c>
      <c r="I372" s="2">
        <f>E372*G371</f>
        <v>1099.0383414512244</v>
      </c>
      <c r="J372" s="2">
        <f>I372-H372</f>
        <v>295.39515902421044</v>
      </c>
      <c r="K372" s="2">
        <f t="shared" si="43"/>
        <v>-295.39515902421044</v>
      </c>
      <c r="L372" s="3">
        <f>C372/B372</f>
        <v>2.6890114270528831</v>
      </c>
      <c r="M372" s="3">
        <f t="shared" si="45"/>
        <v>2.6795208915054038</v>
      </c>
      <c r="N372" s="3">
        <f t="shared" si="49"/>
        <v>2.6819902708222449</v>
      </c>
      <c r="O372" s="3">
        <f t="shared" si="42"/>
        <v>2.7095992362038639</v>
      </c>
      <c r="P372" s="3">
        <f t="shared" si="44"/>
        <v>2.7765927191011759</v>
      </c>
      <c r="Q372" s="4" t="str">
        <f t="shared" si="48"/>
        <v>OVER</v>
      </c>
      <c r="R372" s="4" t="str">
        <f t="shared" si="48"/>
        <v>UNDER</v>
      </c>
      <c r="S372" s="4" t="str">
        <f t="shared" si="46"/>
        <v>UNDER</v>
      </c>
      <c r="T372" s="4" t="str">
        <f t="shared" si="46"/>
        <v>UNDER</v>
      </c>
      <c r="U372" s="2">
        <f>IF(Q372="OVER",$J372,$K372)</f>
        <v>295.39515902421044</v>
      </c>
      <c r="V372" s="2">
        <f>IF(R372="OVER",$J372,$K372)</f>
        <v>-295.39515902421044</v>
      </c>
      <c r="W372" s="2">
        <f>IF(S372="OVER",$J372,$K372)</f>
        <v>-295.39515902421044</v>
      </c>
      <c r="X372" s="2">
        <f>IF(T372="OVER",$J372,$K372)</f>
        <v>-295.39515902421044</v>
      </c>
      <c r="Y372" s="9">
        <f t="shared" si="47"/>
        <v>-3686.1804800411787</v>
      </c>
      <c r="Z372" s="9">
        <f t="shared" si="47"/>
        <v>5285.3226160052182</v>
      </c>
      <c r="AA372" s="9">
        <f t="shared" si="47"/>
        <v>16234.569030234801</v>
      </c>
      <c r="AB372" s="9">
        <f t="shared" si="47"/>
        <v>4198.7050608312693</v>
      </c>
    </row>
    <row r="373" spans="1:28" x14ac:dyDescent="0.3">
      <c r="A373" s="1">
        <v>44953</v>
      </c>
      <c r="B373" s="2">
        <v>150.80000000000001</v>
      </c>
      <c r="C373" s="2">
        <v>405.68</v>
      </c>
      <c r="D373" s="9">
        <f>B373-B372</f>
        <v>0.28000000000000114</v>
      </c>
      <c r="E373" s="9">
        <f>C373-C372</f>
        <v>0.93000000000000682</v>
      </c>
      <c r="F373" s="3">
        <f>F$1/B373</f>
        <v>663.12997347480098</v>
      </c>
      <c r="G373" s="3">
        <f>F$1/C373</f>
        <v>246.49970420035496</v>
      </c>
      <c r="H373" s="2">
        <f>D373*F372</f>
        <v>186.02179112410386</v>
      </c>
      <c r="I373" s="2">
        <f>E373*G372</f>
        <v>229.771463866586</v>
      </c>
      <c r="J373" s="2">
        <f>I373-H373</f>
        <v>43.749672742482147</v>
      </c>
      <c r="K373" s="2">
        <f t="shared" si="43"/>
        <v>-43.749672742482147</v>
      </c>
      <c r="L373" s="3">
        <f>C373/B373</f>
        <v>2.6901856763925727</v>
      </c>
      <c r="M373" s="3">
        <f t="shared" si="45"/>
        <v>2.6816217614577331</v>
      </c>
      <c r="N373" s="3">
        <f t="shared" si="49"/>
        <v>2.6813506490085759</v>
      </c>
      <c r="O373" s="3">
        <f t="shared" ref="O373:O436" si="50">AVERAGE(L324:L373)</f>
        <v>2.7087112755674134</v>
      </c>
      <c r="P373" s="3">
        <f t="shared" si="44"/>
        <v>2.7758864742836793</v>
      </c>
      <c r="Q373" s="4" t="str">
        <f t="shared" si="48"/>
        <v>OVER</v>
      </c>
      <c r="R373" s="4" t="str">
        <f t="shared" si="48"/>
        <v>OVER</v>
      </c>
      <c r="S373" s="4" t="str">
        <f t="shared" si="46"/>
        <v>UNDER</v>
      </c>
      <c r="T373" s="4" t="str">
        <f t="shared" si="46"/>
        <v>UNDER</v>
      </c>
      <c r="U373" s="2">
        <f>IF(Q373="OVER",$J373,$K373)</f>
        <v>43.749672742482147</v>
      </c>
      <c r="V373" s="2">
        <f>IF(R373="OVER",$J373,$K373)</f>
        <v>43.749672742482147</v>
      </c>
      <c r="W373" s="2">
        <f>IF(S373="OVER",$J373,$K373)</f>
        <v>-43.749672742482147</v>
      </c>
      <c r="X373" s="2">
        <f>IF(T373="OVER",$J373,$K373)</f>
        <v>-43.749672742482147</v>
      </c>
      <c r="Y373" s="9">
        <f t="shared" si="47"/>
        <v>-3642.4308072986964</v>
      </c>
      <c r="Z373" s="9">
        <f t="shared" si="47"/>
        <v>5329.0722887477004</v>
      </c>
      <c r="AA373" s="9">
        <f t="shared" si="47"/>
        <v>16190.819357492319</v>
      </c>
      <c r="AB373" s="9">
        <f t="shared" si="47"/>
        <v>4154.955388088787</v>
      </c>
    </row>
    <row r="374" spans="1:28" x14ac:dyDescent="0.3">
      <c r="A374" s="1">
        <v>44956</v>
      </c>
      <c r="B374" s="2">
        <v>149.19999999999999</v>
      </c>
      <c r="C374" s="2">
        <v>400.59</v>
      </c>
      <c r="D374" s="9">
        <f>B374-B373</f>
        <v>-1.6000000000000227</v>
      </c>
      <c r="E374" s="9">
        <f>C374-C373</f>
        <v>-5.0900000000000318</v>
      </c>
      <c r="F374" s="3">
        <f>F$1/B374</f>
        <v>670.24128686327083</v>
      </c>
      <c r="G374" s="3">
        <f>F$1/C374</f>
        <v>249.63179310516989</v>
      </c>
      <c r="H374" s="2">
        <f>D374*F373</f>
        <v>-1061.0079575596967</v>
      </c>
      <c r="I374" s="2">
        <f>E374*G373</f>
        <v>-1254.6834943798146</v>
      </c>
      <c r="J374" s="2">
        <f>I374-H374</f>
        <v>-193.67553682011794</v>
      </c>
      <c r="K374" s="2">
        <f t="shared" si="43"/>
        <v>193.67553682011794</v>
      </c>
      <c r="L374" s="3">
        <f>C374/B374</f>
        <v>2.6849195710455764</v>
      </c>
      <c r="M374" s="3">
        <f t="shared" si="45"/>
        <v>2.6827896426248117</v>
      </c>
      <c r="N374" s="3">
        <f t="shared" si="49"/>
        <v>2.6804207127332447</v>
      </c>
      <c r="O374" s="3">
        <f t="shared" si="50"/>
        <v>2.7077658548525689</v>
      </c>
      <c r="P374" s="3">
        <f t="shared" si="44"/>
        <v>2.7751589894782684</v>
      </c>
      <c r="Q374" s="4" t="str">
        <f t="shared" si="48"/>
        <v>OVER</v>
      </c>
      <c r="R374" s="4" t="str">
        <f t="shared" si="48"/>
        <v>OVER</v>
      </c>
      <c r="S374" s="4" t="str">
        <f t="shared" si="46"/>
        <v>UNDER</v>
      </c>
      <c r="T374" s="4" t="str">
        <f t="shared" si="46"/>
        <v>UNDER</v>
      </c>
      <c r="U374" s="2">
        <f>IF(Q374="OVER",$J374,$K374)</f>
        <v>-193.67553682011794</v>
      </c>
      <c r="V374" s="2">
        <f>IF(R374="OVER",$J374,$K374)</f>
        <v>-193.67553682011794</v>
      </c>
      <c r="W374" s="2">
        <f>IF(S374="OVER",$J374,$K374)</f>
        <v>193.67553682011794</v>
      </c>
      <c r="X374" s="2">
        <f>IF(T374="OVER",$J374,$K374)</f>
        <v>193.67553682011794</v>
      </c>
      <c r="Y374" s="9">
        <f t="shared" si="47"/>
        <v>-3836.1063441188144</v>
      </c>
      <c r="Z374" s="9">
        <f t="shared" si="47"/>
        <v>5135.396751927583</v>
      </c>
      <c r="AA374" s="9">
        <f t="shared" si="47"/>
        <v>16384.494894312436</v>
      </c>
      <c r="AB374" s="9">
        <f t="shared" si="47"/>
        <v>4348.6309249089045</v>
      </c>
    </row>
    <row r="375" spans="1:28" x14ac:dyDescent="0.3">
      <c r="A375" s="1">
        <v>44957</v>
      </c>
      <c r="B375" s="2">
        <v>151.72999999999999</v>
      </c>
      <c r="C375" s="2">
        <v>406.48</v>
      </c>
      <c r="D375" s="9">
        <f>B375-B374</f>
        <v>2.5300000000000011</v>
      </c>
      <c r="E375" s="9">
        <f>C375-C374</f>
        <v>5.8900000000000432</v>
      </c>
      <c r="F375" s="3">
        <f>F$1/B375</f>
        <v>659.06544519870829</v>
      </c>
      <c r="G375" s="3">
        <f>F$1/C375</f>
        <v>246.01456406219248</v>
      </c>
      <c r="H375" s="2">
        <f>D375*F374</f>
        <v>1695.710455764076</v>
      </c>
      <c r="I375" s="2">
        <f>E375*G374</f>
        <v>1470.3312613894614</v>
      </c>
      <c r="J375" s="2">
        <f>I375-H375</f>
        <v>-225.3791943746146</v>
      </c>
      <c r="K375" s="2">
        <f t="shared" si="43"/>
        <v>225.3791943746146</v>
      </c>
      <c r="L375" s="3">
        <f>C375/B375</f>
        <v>2.6789692216437095</v>
      </c>
      <c r="M375" s="3">
        <f t="shared" si="45"/>
        <v>2.6832601831836964</v>
      </c>
      <c r="N375" s="3">
        <f t="shared" si="49"/>
        <v>2.6789957224879961</v>
      </c>
      <c r="O375" s="3">
        <f t="shared" si="50"/>
        <v>2.7065358144760188</v>
      </c>
      <c r="P375" s="3">
        <f t="shared" si="44"/>
        <v>2.7743996210270994</v>
      </c>
      <c r="Q375" s="4" t="str">
        <f t="shared" si="48"/>
        <v>OVER</v>
      </c>
      <c r="R375" s="4" t="str">
        <f t="shared" si="48"/>
        <v>OVER</v>
      </c>
      <c r="S375" s="4" t="str">
        <f t="shared" si="46"/>
        <v>UNDER</v>
      </c>
      <c r="T375" s="4" t="str">
        <f t="shared" si="46"/>
        <v>UNDER</v>
      </c>
      <c r="U375" s="2">
        <f>IF(Q375="OVER",$J375,$K375)</f>
        <v>-225.3791943746146</v>
      </c>
      <c r="V375" s="2">
        <f>IF(R375="OVER",$J375,$K375)</f>
        <v>-225.3791943746146</v>
      </c>
      <c r="W375" s="2">
        <f>IF(S375="OVER",$J375,$K375)</f>
        <v>225.3791943746146</v>
      </c>
      <c r="X375" s="2">
        <f>IF(T375="OVER",$J375,$K375)</f>
        <v>225.3791943746146</v>
      </c>
      <c r="Y375" s="9">
        <f t="shared" si="47"/>
        <v>-4061.485538493429</v>
      </c>
      <c r="Z375" s="9">
        <f t="shared" si="47"/>
        <v>4910.0175575529684</v>
      </c>
      <c r="AA375" s="9">
        <f t="shared" si="47"/>
        <v>16609.874088687051</v>
      </c>
      <c r="AB375" s="9">
        <f t="shared" si="47"/>
        <v>4574.0101192835191</v>
      </c>
    </row>
    <row r="376" spans="1:28" x14ac:dyDescent="0.3">
      <c r="A376" s="1">
        <v>44958</v>
      </c>
      <c r="B376" s="2">
        <v>153.28</v>
      </c>
      <c r="C376" s="2">
        <v>410.8</v>
      </c>
      <c r="D376" s="9">
        <f>B376-B375</f>
        <v>1.5500000000000114</v>
      </c>
      <c r="E376" s="9">
        <f>C376-C375</f>
        <v>4.3199999999999932</v>
      </c>
      <c r="F376" s="3">
        <f>F$1/B376</f>
        <v>652.40083507306883</v>
      </c>
      <c r="G376" s="3">
        <f>F$1/C376</f>
        <v>243.42745861733204</v>
      </c>
      <c r="H376" s="2">
        <f>D376*F375</f>
        <v>1021.5514400580054</v>
      </c>
      <c r="I376" s="2">
        <f>E376*G375</f>
        <v>1062.7829167486698</v>
      </c>
      <c r="J376" s="2">
        <f>I376-H376</f>
        <v>41.231476690664408</v>
      </c>
      <c r="K376" s="2">
        <f t="shared" si="43"/>
        <v>-41.231476690664408</v>
      </c>
      <c r="L376" s="3">
        <f>C376/B376</f>
        <v>2.6800626304801671</v>
      </c>
      <c r="M376" s="3">
        <f t="shared" si="45"/>
        <v>2.6839465418274799</v>
      </c>
      <c r="N376" s="3">
        <f t="shared" si="49"/>
        <v>2.6780711329235691</v>
      </c>
      <c r="O376" s="3">
        <f t="shared" si="50"/>
        <v>2.7051754052983643</v>
      </c>
      <c r="P376" s="3">
        <f t="shared" si="44"/>
        <v>2.7737258005718353</v>
      </c>
      <c r="Q376" s="4" t="str">
        <f t="shared" si="48"/>
        <v>UNDER</v>
      </c>
      <c r="R376" s="4" t="str">
        <f t="shared" si="48"/>
        <v>UNDER</v>
      </c>
      <c r="S376" s="4" t="str">
        <f t="shared" si="46"/>
        <v>UNDER</v>
      </c>
      <c r="T376" s="4" t="str">
        <f t="shared" si="46"/>
        <v>UNDER</v>
      </c>
      <c r="U376" s="2">
        <f>IF(Q376="OVER",$J376,$K376)</f>
        <v>-41.231476690664408</v>
      </c>
      <c r="V376" s="2">
        <f>IF(R376="OVER",$J376,$K376)</f>
        <v>-41.231476690664408</v>
      </c>
      <c r="W376" s="2">
        <f>IF(S376="OVER",$J376,$K376)</f>
        <v>-41.231476690664408</v>
      </c>
      <c r="X376" s="2">
        <f>IF(T376="OVER",$J376,$K376)</f>
        <v>-41.231476690664408</v>
      </c>
      <c r="Y376" s="9">
        <f t="shared" si="47"/>
        <v>-4102.7170151840937</v>
      </c>
      <c r="Z376" s="9">
        <f t="shared" si="47"/>
        <v>4868.7860808623036</v>
      </c>
      <c r="AA376" s="9">
        <f t="shared" si="47"/>
        <v>16568.642611996387</v>
      </c>
      <c r="AB376" s="9">
        <f t="shared" si="47"/>
        <v>4532.7786425928543</v>
      </c>
    </row>
    <row r="377" spans="1:28" x14ac:dyDescent="0.3">
      <c r="A377" s="1">
        <v>44959</v>
      </c>
      <c r="B377" s="2">
        <v>154.96</v>
      </c>
      <c r="C377" s="2">
        <v>416.78</v>
      </c>
      <c r="D377" s="9">
        <f>B377-B376</f>
        <v>1.6800000000000068</v>
      </c>
      <c r="E377" s="9">
        <f>C377-C376</f>
        <v>5.9799999999999613</v>
      </c>
      <c r="F377" s="3">
        <f>F$1/B377</f>
        <v>645.32782653588015</v>
      </c>
      <c r="G377" s="3">
        <f>F$1/C377</f>
        <v>239.93473775133165</v>
      </c>
      <c r="H377" s="2">
        <f>D377*F376</f>
        <v>1096.0334029227602</v>
      </c>
      <c r="I377" s="2">
        <f>E377*G376</f>
        <v>1455.6962025316361</v>
      </c>
      <c r="J377" s="2">
        <f>I377-H377</f>
        <v>359.66279960887596</v>
      </c>
      <c r="K377" s="2">
        <f t="shared" si="43"/>
        <v>-359.66279960887596</v>
      </c>
      <c r="L377" s="3">
        <f>C377/B377</f>
        <v>2.6895973154362411</v>
      </c>
      <c r="M377" s="3">
        <f t="shared" si="45"/>
        <v>2.6847677332855513</v>
      </c>
      <c r="N377" s="3">
        <f t="shared" si="49"/>
        <v>2.6786687770933715</v>
      </c>
      <c r="O377" s="3">
        <f t="shared" si="50"/>
        <v>2.7041648884506508</v>
      </c>
      <c r="P377" s="3">
        <f t="shared" si="44"/>
        <v>2.7730639289015939</v>
      </c>
      <c r="Q377" s="4" t="str">
        <f t="shared" si="48"/>
        <v>UNDER</v>
      </c>
      <c r="R377" s="4" t="str">
        <f t="shared" si="48"/>
        <v>OVER</v>
      </c>
      <c r="S377" s="4" t="str">
        <f t="shared" si="46"/>
        <v>UNDER</v>
      </c>
      <c r="T377" s="4" t="str">
        <f t="shared" si="46"/>
        <v>UNDER</v>
      </c>
      <c r="U377" s="2">
        <f>IF(Q377="OVER",$J377,$K377)</f>
        <v>-359.66279960887596</v>
      </c>
      <c r="V377" s="2">
        <f>IF(R377="OVER",$J377,$K377)</f>
        <v>359.66279960887596</v>
      </c>
      <c r="W377" s="2">
        <f>IF(S377="OVER",$J377,$K377)</f>
        <v>-359.66279960887596</v>
      </c>
      <c r="X377" s="2">
        <f>IF(T377="OVER",$J377,$K377)</f>
        <v>-359.66279960887596</v>
      </c>
      <c r="Y377" s="9">
        <f t="shared" si="47"/>
        <v>-4462.3798147929701</v>
      </c>
      <c r="Z377" s="9">
        <f t="shared" si="47"/>
        <v>5228.44888047118</v>
      </c>
      <c r="AA377" s="9">
        <f t="shared" si="47"/>
        <v>16208.979812387512</v>
      </c>
      <c r="AB377" s="9">
        <f t="shared" si="47"/>
        <v>4173.1158429839779</v>
      </c>
    </row>
    <row r="378" spans="1:28" x14ac:dyDescent="0.3">
      <c r="A378" s="1">
        <v>44960</v>
      </c>
      <c r="B378" s="2">
        <v>153.06</v>
      </c>
      <c r="C378" s="2">
        <v>412.35</v>
      </c>
      <c r="D378" s="9">
        <f>B378-B377</f>
        <v>-1.9000000000000057</v>
      </c>
      <c r="E378" s="9">
        <f>C378-C377</f>
        <v>-4.42999999999995</v>
      </c>
      <c r="F378" s="3">
        <f>F$1/B378</f>
        <v>653.33856004181371</v>
      </c>
      <c r="G378" s="3">
        <f>F$1/C378</f>
        <v>242.51242876197404</v>
      </c>
      <c r="H378" s="2">
        <f>D378*F377</f>
        <v>-1226.122870418176</v>
      </c>
      <c r="I378" s="2">
        <f>E378*G377</f>
        <v>-1062.9108882383873</v>
      </c>
      <c r="J378" s="2">
        <f>I378-H378</f>
        <v>163.21198217978872</v>
      </c>
      <c r="K378" s="2">
        <f t="shared" si="43"/>
        <v>-163.21198217978872</v>
      </c>
      <c r="L378" s="3">
        <f>C378/B378</f>
        <v>2.6940415523324188</v>
      </c>
      <c r="M378" s="3">
        <f t="shared" si="45"/>
        <v>2.6857058638341327</v>
      </c>
      <c r="N378" s="3">
        <f t="shared" si="49"/>
        <v>2.6796262308645438</v>
      </c>
      <c r="O378" s="3">
        <f t="shared" si="50"/>
        <v>2.7034198456134475</v>
      </c>
      <c r="P378" s="3">
        <f t="shared" si="44"/>
        <v>2.7724461341308091</v>
      </c>
      <c r="Q378" s="4" t="str">
        <f t="shared" si="48"/>
        <v>OVER</v>
      </c>
      <c r="R378" s="4" t="str">
        <f t="shared" si="48"/>
        <v>OVER</v>
      </c>
      <c r="S378" s="4" t="str">
        <f t="shared" si="46"/>
        <v>UNDER</v>
      </c>
      <c r="T378" s="4" t="str">
        <f t="shared" si="46"/>
        <v>UNDER</v>
      </c>
      <c r="U378" s="2">
        <f>IF(Q378="OVER",$J378,$K378)</f>
        <v>163.21198217978872</v>
      </c>
      <c r="V378" s="2">
        <f>IF(R378="OVER",$J378,$K378)</f>
        <v>163.21198217978872</v>
      </c>
      <c r="W378" s="2">
        <f>IF(S378="OVER",$J378,$K378)</f>
        <v>-163.21198217978872</v>
      </c>
      <c r="X378" s="2">
        <f>IF(T378="OVER",$J378,$K378)</f>
        <v>-163.21198217978872</v>
      </c>
      <c r="Y378" s="9">
        <f t="shared" si="47"/>
        <v>-4299.1678326131814</v>
      </c>
      <c r="Z378" s="9">
        <f t="shared" si="47"/>
        <v>5391.6608626509687</v>
      </c>
      <c r="AA378" s="9">
        <f t="shared" si="47"/>
        <v>16045.767830207722</v>
      </c>
      <c r="AB378" s="9">
        <f t="shared" si="47"/>
        <v>4009.9038608041892</v>
      </c>
    </row>
    <row r="379" spans="1:28" x14ac:dyDescent="0.3">
      <c r="A379" s="1">
        <v>44963</v>
      </c>
      <c r="B379" s="2">
        <v>151.97999999999999</v>
      </c>
      <c r="C379" s="2">
        <v>409.83</v>
      </c>
      <c r="D379" s="9">
        <f>B379-B378</f>
        <v>-1.0800000000000125</v>
      </c>
      <c r="E379" s="9">
        <f>C379-C378</f>
        <v>-2.5200000000000387</v>
      </c>
      <c r="F379" s="3">
        <f>F$1/B379</f>
        <v>657.98131333070148</v>
      </c>
      <c r="G379" s="3">
        <f>F$1/C379</f>
        <v>244.00361125344656</v>
      </c>
      <c r="H379" s="2">
        <f>D379*F378</f>
        <v>-705.60564484516692</v>
      </c>
      <c r="I379" s="2">
        <f>E379*G378</f>
        <v>-611.13132048018394</v>
      </c>
      <c r="J379" s="2">
        <f>I379-H379</f>
        <v>94.474324364982976</v>
      </c>
      <c r="K379" s="2">
        <f t="shared" si="43"/>
        <v>-94.474324364982976</v>
      </c>
      <c r="L379" s="3">
        <f>C379/B379</f>
        <v>2.6966048164232137</v>
      </c>
      <c r="M379" s="3">
        <f t="shared" si="45"/>
        <v>2.6870813391147048</v>
      </c>
      <c r="N379" s="3">
        <f t="shared" si="49"/>
        <v>2.6808477131647375</v>
      </c>
      <c r="O379" s="3">
        <f t="shared" si="50"/>
        <v>2.7027170625102572</v>
      </c>
      <c r="P379" s="3">
        <f t="shared" si="44"/>
        <v>2.7719410479965187</v>
      </c>
      <c r="Q379" s="4" t="str">
        <f t="shared" si="48"/>
        <v>OVER</v>
      </c>
      <c r="R379" s="4" t="str">
        <f t="shared" si="48"/>
        <v>OVER</v>
      </c>
      <c r="S379" s="4" t="str">
        <f t="shared" si="46"/>
        <v>UNDER</v>
      </c>
      <c r="T379" s="4" t="str">
        <f t="shared" si="46"/>
        <v>UNDER</v>
      </c>
      <c r="U379" s="2">
        <f>IF(Q379="OVER",$J379,$K379)</f>
        <v>94.474324364982976</v>
      </c>
      <c r="V379" s="2">
        <f>IF(R379="OVER",$J379,$K379)</f>
        <v>94.474324364982976</v>
      </c>
      <c r="W379" s="2">
        <f>IF(S379="OVER",$J379,$K379)</f>
        <v>-94.474324364982976</v>
      </c>
      <c r="X379" s="2">
        <f>IF(T379="OVER",$J379,$K379)</f>
        <v>-94.474324364982976</v>
      </c>
      <c r="Y379" s="9">
        <f t="shared" si="47"/>
        <v>-4204.6935082481987</v>
      </c>
      <c r="Z379" s="9">
        <f t="shared" si="47"/>
        <v>5486.1351870159515</v>
      </c>
      <c r="AA379" s="9">
        <f t="shared" si="47"/>
        <v>15951.293505842739</v>
      </c>
      <c r="AB379" s="9">
        <f t="shared" si="47"/>
        <v>3915.4295364392065</v>
      </c>
    </row>
    <row r="380" spans="1:28" x14ac:dyDescent="0.3">
      <c r="A380" s="1">
        <v>44964</v>
      </c>
      <c r="B380" s="2">
        <v>153.4</v>
      </c>
      <c r="C380" s="2">
        <v>415.19</v>
      </c>
      <c r="D380" s="9">
        <f>B380-B379</f>
        <v>1.4200000000000159</v>
      </c>
      <c r="E380" s="9">
        <f>C380-C379</f>
        <v>5.3600000000000136</v>
      </c>
      <c r="F380" s="3">
        <f>F$1/B380</f>
        <v>651.89048239895692</v>
      </c>
      <c r="G380" s="3">
        <f>F$1/C380</f>
        <v>240.85358510561429</v>
      </c>
      <c r="H380" s="2">
        <f>D380*F379</f>
        <v>934.33346492960652</v>
      </c>
      <c r="I380" s="2">
        <f>E380*G379</f>
        <v>1307.859356318477</v>
      </c>
      <c r="J380" s="2">
        <f>I380-H380</f>
        <v>373.52589138887049</v>
      </c>
      <c r="K380" s="2">
        <f t="shared" si="43"/>
        <v>-373.52589138887049</v>
      </c>
      <c r="L380" s="3">
        <f>C380/B380</f>
        <v>2.7065840938722294</v>
      </c>
      <c r="M380" s="3">
        <f t="shared" si="45"/>
        <v>2.6891130872051101</v>
      </c>
      <c r="N380" s="3">
        <f t="shared" si="49"/>
        <v>2.6826990460158271</v>
      </c>
      <c r="O380" s="3">
        <f t="shared" si="50"/>
        <v>2.7020977239795387</v>
      </c>
      <c r="P380" s="3">
        <f t="shared" si="44"/>
        <v>2.7714927352219121</v>
      </c>
      <c r="Q380" s="4" t="str">
        <f t="shared" si="48"/>
        <v>OVER</v>
      </c>
      <c r="R380" s="4" t="str">
        <f t="shared" si="48"/>
        <v>OVER</v>
      </c>
      <c r="S380" s="4" t="str">
        <f t="shared" si="46"/>
        <v>OVER</v>
      </c>
      <c r="T380" s="4" t="str">
        <f t="shared" si="46"/>
        <v>UNDER</v>
      </c>
      <c r="U380" s="2">
        <f>IF(Q380="OVER",$J380,$K380)</f>
        <v>373.52589138887049</v>
      </c>
      <c r="V380" s="2">
        <f>IF(R380="OVER",$J380,$K380)</f>
        <v>373.52589138887049</v>
      </c>
      <c r="W380" s="2">
        <f>IF(S380="OVER",$J380,$K380)</f>
        <v>373.52589138887049</v>
      </c>
      <c r="X380" s="2">
        <f>IF(T380="OVER",$J380,$K380)</f>
        <v>-373.52589138887049</v>
      </c>
      <c r="Y380" s="9">
        <f t="shared" si="47"/>
        <v>-3831.1676168593281</v>
      </c>
      <c r="Z380" s="9">
        <f t="shared" si="47"/>
        <v>5859.6610784048216</v>
      </c>
      <c r="AA380" s="9">
        <f t="shared" si="47"/>
        <v>16324.819397231609</v>
      </c>
      <c r="AB380" s="9">
        <f t="shared" si="47"/>
        <v>3541.9036450503359</v>
      </c>
    </row>
    <row r="381" spans="1:28" x14ac:dyDescent="0.3">
      <c r="A381" s="1">
        <v>44965</v>
      </c>
      <c r="B381" s="2">
        <v>151.88999999999999</v>
      </c>
      <c r="C381" s="2">
        <v>410.65</v>
      </c>
      <c r="D381" s="9">
        <f>B381-B380</f>
        <v>-1.5100000000000193</v>
      </c>
      <c r="E381" s="9">
        <f>C381-C380</f>
        <v>-4.5400000000000205</v>
      </c>
      <c r="F381" s="3">
        <f>F$1/B381</f>
        <v>658.37118967673985</v>
      </c>
      <c r="G381" s="3">
        <f>F$1/C381</f>
        <v>243.51637647631804</v>
      </c>
      <c r="H381" s="2">
        <f>D381*F380</f>
        <v>-984.3546284224376</v>
      </c>
      <c r="I381" s="2">
        <f>E381*G380</f>
        <v>-1093.4752763794938</v>
      </c>
      <c r="J381" s="2">
        <f>I381-H381</f>
        <v>-109.12064795705624</v>
      </c>
      <c r="K381" s="2">
        <f t="shared" si="43"/>
        <v>109.12064795705624</v>
      </c>
      <c r="L381" s="3">
        <f>C381/B381</f>
        <v>2.7036012904075317</v>
      </c>
      <c r="M381" s="3">
        <f t="shared" si="45"/>
        <v>2.6913577595086542</v>
      </c>
      <c r="N381" s="3">
        <f t="shared" si="49"/>
        <v>2.6844660759686398</v>
      </c>
      <c r="O381" s="3">
        <f t="shared" si="50"/>
        <v>2.7016165294487062</v>
      </c>
      <c r="P381" s="3">
        <f t="shared" si="44"/>
        <v>2.7710321341537711</v>
      </c>
      <c r="Q381" s="4" t="str">
        <f t="shared" si="48"/>
        <v>OVER</v>
      </c>
      <c r="R381" s="4" t="str">
        <f t="shared" si="48"/>
        <v>OVER</v>
      </c>
      <c r="S381" s="4" t="str">
        <f t="shared" si="46"/>
        <v>OVER</v>
      </c>
      <c r="T381" s="4" t="str">
        <f t="shared" si="46"/>
        <v>UNDER</v>
      </c>
      <c r="U381" s="2">
        <f>IF(Q381="OVER",$J381,$K381)</f>
        <v>-109.12064795705624</v>
      </c>
      <c r="V381" s="2">
        <f>IF(R381="OVER",$J381,$K381)</f>
        <v>-109.12064795705624</v>
      </c>
      <c r="W381" s="2">
        <f>IF(S381="OVER",$J381,$K381)</f>
        <v>-109.12064795705624</v>
      </c>
      <c r="X381" s="2">
        <f>IF(T381="OVER",$J381,$K381)</f>
        <v>109.12064795705624</v>
      </c>
      <c r="Y381" s="9">
        <f t="shared" si="47"/>
        <v>-3940.2882648163841</v>
      </c>
      <c r="Z381" s="9">
        <f t="shared" si="47"/>
        <v>5750.5404304477652</v>
      </c>
      <c r="AA381" s="9">
        <f t="shared" si="47"/>
        <v>16215.698749274554</v>
      </c>
      <c r="AB381" s="9">
        <f t="shared" si="47"/>
        <v>3651.0242930073919</v>
      </c>
    </row>
    <row r="382" spans="1:28" x14ac:dyDescent="0.3">
      <c r="A382" s="1">
        <v>44966</v>
      </c>
      <c r="B382" s="2">
        <v>150.5</v>
      </c>
      <c r="C382" s="2">
        <v>407.09</v>
      </c>
      <c r="D382" s="9">
        <f>B382-B381</f>
        <v>-1.3899999999999864</v>
      </c>
      <c r="E382" s="9">
        <f>C382-C381</f>
        <v>-3.5600000000000023</v>
      </c>
      <c r="F382" s="3">
        <f>F$1/B382</f>
        <v>664.45182724252493</v>
      </c>
      <c r="G382" s="3">
        <f>F$1/C382</f>
        <v>245.64592596231793</v>
      </c>
      <c r="H382" s="2">
        <f>D382*F381</f>
        <v>-915.13595365065942</v>
      </c>
      <c r="I382" s="2">
        <f>E382*G381</f>
        <v>-866.91830025569277</v>
      </c>
      <c r="J382" s="2">
        <f>I382-H382</f>
        <v>48.217653394966646</v>
      </c>
      <c r="K382" s="2">
        <f t="shared" si="43"/>
        <v>-48.217653394966646</v>
      </c>
      <c r="L382" s="3">
        <f>C382/B382</f>
        <v>2.7049169435215945</v>
      </c>
      <c r="M382" s="3">
        <f t="shared" si="45"/>
        <v>2.6929483111555257</v>
      </c>
      <c r="N382" s="3">
        <f t="shared" si="49"/>
        <v>2.6862346013304648</v>
      </c>
      <c r="O382" s="3">
        <f t="shared" si="50"/>
        <v>2.7010575893793991</v>
      </c>
      <c r="P382" s="3">
        <f t="shared" si="44"/>
        <v>2.770539381612628</v>
      </c>
      <c r="Q382" s="4" t="str">
        <f t="shared" si="48"/>
        <v>OVER</v>
      </c>
      <c r="R382" s="4" t="str">
        <f t="shared" si="48"/>
        <v>OVER</v>
      </c>
      <c r="S382" s="4" t="str">
        <f t="shared" si="46"/>
        <v>OVER</v>
      </c>
      <c r="T382" s="4" t="str">
        <f t="shared" si="46"/>
        <v>UNDER</v>
      </c>
      <c r="U382" s="2">
        <f>IF(Q382="OVER",$J382,$K382)</f>
        <v>48.217653394966646</v>
      </c>
      <c r="V382" s="2">
        <f>IF(R382="OVER",$J382,$K382)</f>
        <v>48.217653394966646</v>
      </c>
      <c r="W382" s="2">
        <f>IF(S382="OVER",$J382,$K382)</f>
        <v>48.217653394966646</v>
      </c>
      <c r="X382" s="2">
        <f>IF(T382="OVER",$J382,$K382)</f>
        <v>-48.217653394966646</v>
      </c>
      <c r="Y382" s="9">
        <f t="shared" si="47"/>
        <v>-3892.0706114214172</v>
      </c>
      <c r="Z382" s="9">
        <f t="shared" si="47"/>
        <v>5798.758083842732</v>
      </c>
      <c r="AA382" s="9">
        <f t="shared" si="47"/>
        <v>16263.91640266952</v>
      </c>
      <c r="AB382" s="9">
        <f t="shared" si="47"/>
        <v>3602.806639612425</v>
      </c>
    </row>
    <row r="383" spans="1:28" x14ac:dyDescent="0.3">
      <c r="A383" s="1">
        <v>44967</v>
      </c>
      <c r="B383" s="2">
        <v>150.96</v>
      </c>
      <c r="C383" s="2">
        <v>408.04</v>
      </c>
      <c r="D383" s="9">
        <f>B383-B382</f>
        <v>0.46000000000000796</v>
      </c>
      <c r="E383" s="9">
        <f>C383-C382</f>
        <v>0.95000000000004547</v>
      </c>
      <c r="F383" s="3">
        <f>F$1/B383</f>
        <v>662.42713301536833</v>
      </c>
      <c r="G383" s="3">
        <f>F$1/C383</f>
        <v>245.0740123517302</v>
      </c>
      <c r="H383" s="2">
        <f>D383*F382</f>
        <v>305.64784053156677</v>
      </c>
      <c r="I383" s="2">
        <f>E383*G382</f>
        <v>233.36362966421319</v>
      </c>
      <c r="J383" s="2">
        <f>I383-H383</f>
        <v>-72.284210867353579</v>
      </c>
      <c r="K383" s="2">
        <f t="shared" si="43"/>
        <v>72.284210867353579</v>
      </c>
      <c r="L383" s="3">
        <f>C383/B383</f>
        <v>2.7029676735559089</v>
      </c>
      <c r="M383" s="3">
        <f t="shared" si="45"/>
        <v>2.6942265108718595</v>
      </c>
      <c r="N383" s="3">
        <f t="shared" si="49"/>
        <v>2.6879241361647965</v>
      </c>
      <c r="O383" s="3">
        <f t="shared" si="50"/>
        <v>2.700726245816182</v>
      </c>
      <c r="P383" s="3">
        <f t="shared" si="44"/>
        <v>2.770108915335324</v>
      </c>
      <c r="Q383" s="4" t="str">
        <f t="shared" si="48"/>
        <v>OVER</v>
      </c>
      <c r="R383" s="4" t="str">
        <f t="shared" si="48"/>
        <v>OVER</v>
      </c>
      <c r="S383" s="4" t="str">
        <f t="shared" si="46"/>
        <v>OVER</v>
      </c>
      <c r="T383" s="4" t="str">
        <f t="shared" si="46"/>
        <v>UNDER</v>
      </c>
      <c r="U383" s="2">
        <f>IF(Q383="OVER",$J383,$K383)</f>
        <v>-72.284210867353579</v>
      </c>
      <c r="V383" s="2">
        <f>IF(R383="OVER",$J383,$K383)</f>
        <v>-72.284210867353579</v>
      </c>
      <c r="W383" s="2">
        <f>IF(S383="OVER",$J383,$K383)</f>
        <v>-72.284210867353579</v>
      </c>
      <c r="X383" s="2">
        <f>IF(T383="OVER",$J383,$K383)</f>
        <v>72.284210867353579</v>
      </c>
      <c r="Y383" s="9">
        <f t="shared" si="47"/>
        <v>-3964.3548222887707</v>
      </c>
      <c r="Z383" s="9">
        <f t="shared" si="47"/>
        <v>5726.4738729753781</v>
      </c>
      <c r="AA383" s="9">
        <f t="shared" si="47"/>
        <v>16191.632191802166</v>
      </c>
      <c r="AB383" s="9">
        <f t="shared" si="47"/>
        <v>3675.0908504797785</v>
      </c>
    </row>
    <row r="384" spans="1:28" x14ac:dyDescent="0.3">
      <c r="A384" s="1">
        <v>44970</v>
      </c>
      <c r="B384" s="2">
        <v>152.65</v>
      </c>
      <c r="C384" s="2">
        <v>412.83</v>
      </c>
      <c r="D384" s="9">
        <f>B384-B383</f>
        <v>1.6899999999999977</v>
      </c>
      <c r="E384" s="9">
        <f>C384-C383</f>
        <v>4.7899999999999636</v>
      </c>
      <c r="F384" s="3">
        <f>F$1/B384</f>
        <v>655.09335080248934</v>
      </c>
      <c r="G384" s="3">
        <f>F$1/C384</f>
        <v>242.2304580577962</v>
      </c>
      <c r="H384" s="2">
        <f>D384*F383</f>
        <v>1119.501854795971</v>
      </c>
      <c r="I384" s="2">
        <f>E384*G383</f>
        <v>1173.9045191647788</v>
      </c>
      <c r="J384" s="2">
        <f>I384-H384</f>
        <v>54.402664368807791</v>
      </c>
      <c r="K384" s="2">
        <f t="shared" si="43"/>
        <v>-54.402664368807791</v>
      </c>
      <c r="L384" s="3">
        <f>C384/B384</f>
        <v>2.7044218801179167</v>
      </c>
      <c r="M384" s="3">
        <f t="shared" si="45"/>
        <v>2.6961767417790936</v>
      </c>
      <c r="N384" s="3">
        <f t="shared" si="49"/>
        <v>2.6894831922019526</v>
      </c>
      <c r="O384" s="3">
        <f t="shared" si="50"/>
        <v>2.7000263485173166</v>
      </c>
      <c r="P384" s="3">
        <f t="shared" si="44"/>
        <v>2.7696727053407169</v>
      </c>
      <c r="Q384" s="4" t="str">
        <f t="shared" si="48"/>
        <v>OVER</v>
      </c>
      <c r="R384" s="4" t="str">
        <f t="shared" si="48"/>
        <v>OVER</v>
      </c>
      <c r="S384" s="4" t="str">
        <f t="shared" si="46"/>
        <v>OVER</v>
      </c>
      <c r="T384" s="4" t="str">
        <f t="shared" si="46"/>
        <v>UNDER</v>
      </c>
      <c r="U384" s="2">
        <f>IF(Q384="OVER",$J384,$K384)</f>
        <v>54.402664368807791</v>
      </c>
      <c r="V384" s="2">
        <f>IF(R384="OVER",$J384,$K384)</f>
        <v>54.402664368807791</v>
      </c>
      <c r="W384" s="2">
        <f>IF(S384="OVER",$J384,$K384)</f>
        <v>54.402664368807791</v>
      </c>
      <c r="X384" s="2">
        <f>IF(T384="OVER",$J384,$K384)</f>
        <v>-54.402664368807791</v>
      </c>
      <c r="Y384" s="9">
        <f t="shared" si="47"/>
        <v>-3909.9521579199627</v>
      </c>
      <c r="Z384" s="9">
        <f t="shared" si="47"/>
        <v>5780.8765373441856</v>
      </c>
      <c r="AA384" s="9">
        <f t="shared" si="47"/>
        <v>16246.034856170974</v>
      </c>
      <c r="AB384" s="9">
        <f t="shared" si="47"/>
        <v>3620.6881861109705</v>
      </c>
    </row>
    <row r="385" spans="1:28" x14ac:dyDescent="0.3">
      <c r="A385" s="1">
        <v>44971</v>
      </c>
      <c r="B385" s="2">
        <v>152.36000000000001</v>
      </c>
      <c r="C385" s="2">
        <v>412.64</v>
      </c>
      <c r="D385" s="9">
        <f>B385-B384</f>
        <v>-0.28999999999999204</v>
      </c>
      <c r="E385" s="9">
        <f>C385-C384</f>
        <v>-0.18999999999999773</v>
      </c>
      <c r="F385" s="3">
        <f>F$1/B385</f>
        <v>656.34024678393268</v>
      </c>
      <c r="G385" s="3">
        <f>F$1/C385</f>
        <v>242.3419930205506</v>
      </c>
      <c r="H385" s="2">
        <f>D385*F384</f>
        <v>-189.97707173271669</v>
      </c>
      <c r="I385" s="2">
        <f>E385*G384</f>
        <v>-46.023787030980728</v>
      </c>
      <c r="J385" s="2">
        <f>I385-H385</f>
        <v>143.95328470173598</v>
      </c>
      <c r="K385" s="2">
        <f t="shared" si="43"/>
        <v>-143.95328470173598</v>
      </c>
      <c r="L385" s="3">
        <f>C385/B385</f>
        <v>2.7083223943292198</v>
      </c>
      <c r="M385" s="3">
        <f t="shared" si="45"/>
        <v>2.6991120590476441</v>
      </c>
      <c r="N385" s="3">
        <f t="shared" si="49"/>
        <v>2.6911861211156709</v>
      </c>
      <c r="O385" s="3">
        <f t="shared" si="50"/>
        <v>2.6995219247673181</v>
      </c>
      <c r="P385" s="3">
        <f t="shared" si="44"/>
        <v>2.7691480978081877</v>
      </c>
      <c r="Q385" s="4" t="str">
        <f t="shared" si="48"/>
        <v>OVER</v>
      </c>
      <c r="R385" s="4" t="str">
        <f t="shared" si="48"/>
        <v>OVER</v>
      </c>
      <c r="S385" s="4" t="str">
        <f t="shared" si="46"/>
        <v>OVER</v>
      </c>
      <c r="T385" s="4" t="str">
        <f t="shared" si="46"/>
        <v>UNDER</v>
      </c>
      <c r="U385" s="2">
        <f>IF(Q385="OVER",$J385,$K385)</f>
        <v>143.95328470173598</v>
      </c>
      <c r="V385" s="2">
        <f>IF(R385="OVER",$J385,$K385)</f>
        <v>143.95328470173598</v>
      </c>
      <c r="W385" s="2">
        <f>IF(S385="OVER",$J385,$K385)</f>
        <v>143.95328470173598</v>
      </c>
      <c r="X385" s="2">
        <f>IF(T385="OVER",$J385,$K385)</f>
        <v>-143.95328470173598</v>
      </c>
      <c r="Y385" s="9">
        <f t="shared" si="47"/>
        <v>-3765.9988732182269</v>
      </c>
      <c r="Z385" s="9">
        <f t="shared" si="47"/>
        <v>5924.8298220459219</v>
      </c>
      <c r="AA385" s="9">
        <f t="shared" si="47"/>
        <v>16389.988140872709</v>
      </c>
      <c r="AB385" s="9">
        <f t="shared" si="47"/>
        <v>3476.7349014092347</v>
      </c>
    </row>
    <row r="386" spans="1:28" x14ac:dyDescent="0.3">
      <c r="A386" s="1">
        <v>44972</v>
      </c>
      <c r="B386" s="2">
        <v>153.08000000000001</v>
      </c>
      <c r="C386" s="2">
        <v>413.98</v>
      </c>
      <c r="D386" s="9">
        <f>B386-B385</f>
        <v>0.71999999999999886</v>
      </c>
      <c r="E386" s="9">
        <f>C386-C385</f>
        <v>1.3400000000000318</v>
      </c>
      <c r="F386" s="3">
        <f>F$1/B386</f>
        <v>653.25320094068456</v>
      </c>
      <c r="G386" s="3">
        <f>F$1/C386</f>
        <v>241.55756316730276</v>
      </c>
      <c r="H386" s="2">
        <f>D386*F385</f>
        <v>472.5649776844308</v>
      </c>
      <c r="I386" s="2">
        <f>E386*G385</f>
        <v>324.73827064754551</v>
      </c>
      <c r="J386" s="2">
        <f>I386-H386</f>
        <v>-147.8267070368853</v>
      </c>
      <c r="K386" s="2">
        <f t="shared" si="43"/>
        <v>147.8267070368853</v>
      </c>
      <c r="L386" s="3">
        <f>C386/B386</f>
        <v>2.7043376012542462</v>
      </c>
      <c r="M386" s="3">
        <f t="shared" si="45"/>
        <v>2.7015395561250521</v>
      </c>
      <c r="N386" s="3">
        <f t="shared" si="49"/>
        <v>2.6927430489762663</v>
      </c>
      <c r="O386" s="3">
        <f t="shared" si="50"/>
        <v>2.698967881841416</v>
      </c>
      <c r="P386" s="3">
        <f t="shared" si="44"/>
        <v>2.7686989482424007</v>
      </c>
      <c r="Q386" s="4" t="str">
        <f t="shared" si="48"/>
        <v>OVER</v>
      </c>
      <c r="R386" s="4" t="str">
        <f t="shared" si="48"/>
        <v>OVER</v>
      </c>
      <c r="S386" s="4" t="str">
        <f t="shared" si="46"/>
        <v>OVER</v>
      </c>
      <c r="T386" s="4" t="str">
        <f t="shared" si="46"/>
        <v>UNDER</v>
      </c>
      <c r="U386" s="2">
        <f>IF(Q386="OVER",$J386,$K386)</f>
        <v>-147.8267070368853</v>
      </c>
      <c r="V386" s="2">
        <f>IF(R386="OVER",$J386,$K386)</f>
        <v>-147.8267070368853</v>
      </c>
      <c r="W386" s="2">
        <f>IF(S386="OVER",$J386,$K386)</f>
        <v>-147.8267070368853</v>
      </c>
      <c r="X386" s="2">
        <f>IF(T386="OVER",$J386,$K386)</f>
        <v>147.8267070368853</v>
      </c>
      <c r="Y386" s="9">
        <f t="shared" si="47"/>
        <v>-3913.8255802551121</v>
      </c>
      <c r="Z386" s="9">
        <f t="shared" si="47"/>
        <v>5777.0031150090363</v>
      </c>
      <c r="AA386" s="9">
        <f t="shared" si="47"/>
        <v>16242.161433835823</v>
      </c>
      <c r="AB386" s="9">
        <f t="shared" si="47"/>
        <v>3624.5616084461199</v>
      </c>
    </row>
    <row r="387" spans="1:28" x14ac:dyDescent="0.3">
      <c r="A387" s="1">
        <v>44973</v>
      </c>
      <c r="B387" s="2">
        <v>151.35</v>
      </c>
      <c r="C387" s="2">
        <v>408.28</v>
      </c>
      <c r="D387" s="9">
        <f>B387-B386</f>
        <v>-1.7300000000000182</v>
      </c>
      <c r="E387" s="9">
        <f>C387-C386</f>
        <v>-5.7000000000000455</v>
      </c>
      <c r="F387" s="3">
        <f>F$1/B387</f>
        <v>660.72018500165177</v>
      </c>
      <c r="G387" s="3">
        <f>F$1/C387</f>
        <v>244.92995003429021</v>
      </c>
      <c r="H387" s="2">
        <f>D387*F386</f>
        <v>-1130.1280376273962</v>
      </c>
      <c r="I387" s="2">
        <f>E387*G386</f>
        <v>-1376.8781100536366</v>
      </c>
      <c r="J387" s="2">
        <f>I387-H387</f>
        <v>-246.75007242624042</v>
      </c>
      <c r="K387" s="2">
        <f t="shared" si="43"/>
        <v>246.75007242624042</v>
      </c>
      <c r="L387" s="3">
        <f>C387/B387</f>
        <v>2.6975883713247439</v>
      </c>
      <c r="M387" s="3">
        <f t="shared" si="45"/>
        <v>2.702338661713902</v>
      </c>
      <c r="N387" s="3">
        <f t="shared" si="49"/>
        <v>2.6935531974997273</v>
      </c>
      <c r="O387" s="3">
        <f t="shared" si="50"/>
        <v>2.6982037790775779</v>
      </c>
      <c r="P387" s="3">
        <f t="shared" si="44"/>
        <v>2.7681699810696028</v>
      </c>
      <c r="Q387" s="4" t="str">
        <f t="shared" si="48"/>
        <v>OVER</v>
      </c>
      <c r="R387" s="4" t="str">
        <f t="shared" si="48"/>
        <v>OVER</v>
      </c>
      <c r="S387" s="4" t="str">
        <f t="shared" si="46"/>
        <v>UNDER</v>
      </c>
      <c r="T387" s="4" t="str">
        <f t="shared" si="46"/>
        <v>UNDER</v>
      </c>
      <c r="U387" s="2">
        <f>IF(Q387="OVER",$J387,$K387)</f>
        <v>-246.75007242624042</v>
      </c>
      <c r="V387" s="2">
        <f>IF(R387="OVER",$J387,$K387)</f>
        <v>-246.75007242624042</v>
      </c>
      <c r="W387" s="2">
        <f>IF(S387="OVER",$J387,$K387)</f>
        <v>246.75007242624042</v>
      </c>
      <c r="X387" s="2">
        <f>IF(T387="OVER",$J387,$K387)</f>
        <v>246.75007242624042</v>
      </c>
      <c r="Y387" s="9">
        <f t="shared" si="47"/>
        <v>-4160.5756526813529</v>
      </c>
      <c r="Z387" s="9">
        <f t="shared" si="47"/>
        <v>5530.2530425827954</v>
      </c>
      <c r="AA387" s="9">
        <f t="shared" si="47"/>
        <v>16488.911506262062</v>
      </c>
      <c r="AB387" s="9">
        <f t="shared" si="47"/>
        <v>3871.3116808723603</v>
      </c>
    </row>
    <row r="388" spans="1:28" x14ac:dyDescent="0.3">
      <c r="A388" s="1">
        <v>44974</v>
      </c>
      <c r="B388" s="2">
        <v>151.03</v>
      </c>
      <c r="C388" s="2">
        <v>407.26</v>
      </c>
      <c r="D388" s="9">
        <f>B388-B387</f>
        <v>-0.31999999999999318</v>
      </c>
      <c r="E388" s="9">
        <f>C388-C387</f>
        <v>-1.0199999999999818</v>
      </c>
      <c r="F388" s="3">
        <f>F$1/B388</f>
        <v>662.12010858769781</v>
      </c>
      <c r="G388" s="3">
        <f>F$1/C388</f>
        <v>245.54338751657417</v>
      </c>
      <c r="H388" s="2">
        <f>D388*F387</f>
        <v>-211.43045920052407</v>
      </c>
      <c r="I388" s="2">
        <f>E388*G387</f>
        <v>-249.82854903497156</v>
      </c>
      <c r="J388" s="2">
        <f>I388-H388</f>
        <v>-38.398089834447489</v>
      </c>
      <c r="K388" s="2">
        <f t="shared" si="43"/>
        <v>38.398089834447489</v>
      </c>
      <c r="L388" s="3">
        <f>C388/B388</f>
        <v>2.6965503542342582</v>
      </c>
      <c r="M388" s="3">
        <f t="shared" si="45"/>
        <v>2.7025895419040862</v>
      </c>
      <c r="N388" s="3">
        <f t="shared" si="49"/>
        <v>2.6941477028691097</v>
      </c>
      <c r="O388" s="3">
        <f t="shared" si="50"/>
        <v>2.6976103503322753</v>
      </c>
      <c r="P388" s="3">
        <f t="shared" si="44"/>
        <v>2.76768681079073</v>
      </c>
      <c r="Q388" s="4" t="str">
        <f t="shared" si="48"/>
        <v>UNDER</v>
      </c>
      <c r="R388" s="4" t="str">
        <f t="shared" si="48"/>
        <v>OVER</v>
      </c>
      <c r="S388" s="4" t="str">
        <f t="shared" si="46"/>
        <v>UNDER</v>
      </c>
      <c r="T388" s="4" t="str">
        <f t="shared" si="46"/>
        <v>UNDER</v>
      </c>
      <c r="U388" s="2">
        <f>IF(Q388="OVER",$J388,$K388)</f>
        <v>38.398089834447489</v>
      </c>
      <c r="V388" s="2">
        <f>IF(R388="OVER",$J388,$K388)</f>
        <v>-38.398089834447489</v>
      </c>
      <c r="W388" s="2">
        <f>IF(S388="OVER",$J388,$K388)</f>
        <v>38.398089834447489</v>
      </c>
      <c r="X388" s="2">
        <f>IF(T388="OVER",$J388,$K388)</f>
        <v>38.398089834447489</v>
      </c>
      <c r="Y388" s="9">
        <f t="shared" si="47"/>
        <v>-4122.1775628469059</v>
      </c>
      <c r="Z388" s="9">
        <f t="shared" si="47"/>
        <v>5491.8549527483483</v>
      </c>
      <c r="AA388" s="9">
        <f t="shared" si="47"/>
        <v>16527.309596096511</v>
      </c>
      <c r="AB388" s="9">
        <f t="shared" si="47"/>
        <v>3909.7097707068078</v>
      </c>
    </row>
    <row r="389" spans="1:28" x14ac:dyDescent="0.3">
      <c r="A389" s="1">
        <v>44978</v>
      </c>
      <c r="B389" s="2">
        <v>147.75</v>
      </c>
      <c r="C389" s="2">
        <v>399.09</v>
      </c>
      <c r="D389" s="9">
        <f>B389-B388</f>
        <v>-3.2800000000000011</v>
      </c>
      <c r="E389" s="9">
        <f>C389-C388</f>
        <v>-8.1700000000000159</v>
      </c>
      <c r="F389" s="3">
        <f>F$1/B389</f>
        <v>676.8189509306261</v>
      </c>
      <c r="G389" s="3">
        <f>F$1/C389</f>
        <v>250.57004685659876</v>
      </c>
      <c r="H389" s="2">
        <f>D389*F388</f>
        <v>-2171.7539561676494</v>
      </c>
      <c r="I389" s="2">
        <f>E389*G388</f>
        <v>-2006.089476010415</v>
      </c>
      <c r="J389" s="2">
        <f>I389-H389</f>
        <v>165.66448015723449</v>
      </c>
      <c r="K389" s="2">
        <f t="shared" ref="K389:K452" si="51">H389-I389</f>
        <v>-165.66448015723449</v>
      </c>
      <c r="L389" s="3">
        <f>C389/B389</f>
        <v>2.7011167512690353</v>
      </c>
      <c r="M389" s="3">
        <f t="shared" si="45"/>
        <v>2.7030407353886687</v>
      </c>
      <c r="N389" s="3">
        <f t="shared" si="49"/>
        <v>2.6950610372516866</v>
      </c>
      <c r="O389" s="3">
        <f t="shared" si="50"/>
        <v>2.6971104276957512</v>
      </c>
      <c r="P389" s="3">
        <f t="shared" si="44"/>
        <v>2.76719095870319</v>
      </c>
      <c r="Q389" s="4" t="str">
        <f t="shared" si="48"/>
        <v>UNDER</v>
      </c>
      <c r="R389" s="4" t="str">
        <f t="shared" si="48"/>
        <v>OVER</v>
      </c>
      <c r="S389" s="4" t="str">
        <f t="shared" si="46"/>
        <v>OVER</v>
      </c>
      <c r="T389" s="4" t="str">
        <f t="shared" si="46"/>
        <v>UNDER</v>
      </c>
      <c r="U389" s="2">
        <f>IF(Q389="OVER",$J389,$K389)</f>
        <v>-165.66448015723449</v>
      </c>
      <c r="V389" s="2">
        <f>IF(R389="OVER",$J389,$K389)</f>
        <v>165.66448015723449</v>
      </c>
      <c r="W389" s="2">
        <f>IF(S389="OVER",$J389,$K389)</f>
        <v>165.66448015723449</v>
      </c>
      <c r="X389" s="2">
        <f>IF(T389="OVER",$J389,$K389)</f>
        <v>-165.66448015723449</v>
      </c>
      <c r="Y389" s="9">
        <f t="shared" si="47"/>
        <v>-4287.8420430041406</v>
      </c>
      <c r="Z389" s="9">
        <f t="shared" si="47"/>
        <v>5657.519432905583</v>
      </c>
      <c r="AA389" s="9">
        <f t="shared" si="47"/>
        <v>16692.974076253744</v>
      </c>
      <c r="AB389" s="9">
        <f t="shared" si="47"/>
        <v>3744.0452905495731</v>
      </c>
    </row>
    <row r="390" spans="1:28" x14ac:dyDescent="0.3">
      <c r="A390" s="1">
        <v>44979</v>
      </c>
      <c r="B390" s="2">
        <v>147.57</v>
      </c>
      <c r="C390" s="2">
        <v>398.54</v>
      </c>
      <c r="D390" s="9">
        <f>B390-B389</f>
        <v>-0.18000000000000682</v>
      </c>
      <c r="E390" s="9">
        <f>C390-C389</f>
        <v>-0.54999999999995453</v>
      </c>
      <c r="F390" s="3">
        <f>F$1/B390</f>
        <v>677.64450769126518</v>
      </c>
      <c r="G390" s="3">
        <f>F$1/C390</f>
        <v>250.91584282631604</v>
      </c>
      <c r="H390" s="2">
        <f>D390*F389</f>
        <v>-121.82741116751731</v>
      </c>
      <c r="I390" s="2">
        <f>E390*G389</f>
        <v>-137.81352577111792</v>
      </c>
      <c r="J390" s="2">
        <f>I390-H390</f>
        <v>-15.986114603600612</v>
      </c>
      <c r="K390" s="2">
        <f t="shared" si="51"/>
        <v>15.986114603600612</v>
      </c>
      <c r="L390" s="3">
        <f>C390/B390</f>
        <v>2.7006844209527685</v>
      </c>
      <c r="M390" s="3">
        <f t="shared" si="45"/>
        <v>2.7024507680967225</v>
      </c>
      <c r="N390" s="3">
        <f t="shared" si="49"/>
        <v>2.6957819276509167</v>
      </c>
      <c r="O390" s="3">
        <f t="shared" si="50"/>
        <v>2.6965268029904523</v>
      </c>
      <c r="P390" s="3">
        <f t="shared" si="44"/>
        <v>2.7667716972738718</v>
      </c>
      <c r="Q390" s="4" t="str">
        <f t="shared" si="48"/>
        <v>UNDER</v>
      </c>
      <c r="R390" s="4" t="str">
        <f t="shared" si="48"/>
        <v>OVER</v>
      </c>
      <c r="S390" s="4" t="str">
        <f t="shared" si="46"/>
        <v>OVER</v>
      </c>
      <c r="T390" s="4" t="str">
        <f t="shared" si="46"/>
        <v>UNDER</v>
      </c>
      <c r="U390" s="2">
        <f>IF(Q390="OVER",$J390,$K390)</f>
        <v>15.986114603600612</v>
      </c>
      <c r="V390" s="2">
        <f>IF(R390="OVER",$J390,$K390)</f>
        <v>-15.986114603600612</v>
      </c>
      <c r="W390" s="2">
        <f>IF(S390="OVER",$J390,$K390)</f>
        <v>-15.986114603600612</v>
      </c>
      <c r="X390" s="2">
        <f>IF(T390="OVER",$J390,$K390)</f>
        <v>15.986114603600612</v>
      </c>
      <c r="Y390" s="9">
        <f t="shared" si="47"/>
        <v>-4271.8559284005396</v>
      </c>
      <c r="Z390" s="9">
        <f t="shared" si="47"/>
        <v>5641.533318301982</v>
      </c>
      <c r="AA390" s="9">
        <f t="shared" si="47"/>
        <v>16676.987961650142</v>
      </c>
      <c r="AB390" s="9">
        <f t="shared" si="47"/>
        <v>3760.0314051531736</v>
      </c>
    </row>
    <row r="391" spans="1:28" x14ac:dyDescent="0.3">
      <c r="A391" s="1">
        <v>44980</v>
      </c>
      <c r="B391" s="2">
        <v>148.12</v>
      </c>
      <c r="C391" s="2">
        <v>400.66</v>
      </c>
      <c r="D391" s="9">
        <f>B391-B390</f>
        <v>0.55000000000001137</v>
      </c>
      <c r="E391" s="9">
        <f>C391-C390</f>
        <v>2.1200000000000045</v>
      </c>
      <c r="F391" s="3">
        <f>F$1/B391</f>
        <v>675.1282743721307</v>
      </c>
      <c r="G391" s="3">
        <f>F$1/C391</f>
        <v>249.58817950381868</v>
      </c>
      <c r="H391" s="2">
        <f>D391*F390</f>
        <v>372.70447923020356</v>
      </c>
      <c r="I391" s="2">
        <f>E391*G390</f>
        <v>531.94158679179111</v>
      </c>
      <c r="J391" s="2">
        <f>I391-H391</f>
        <v>159.23710756158755</v>
      </c>
      <c r="K391" s="2">
        <f t="shared" si="51"/>
        <v>-159.23710756158755</v>
      </c>
      <c r="L391" s="3">
        <f>C391/B391</f>
        <v>2.7049689440993792</v>
      </c>
      <c r="M391" s="3">
        <f t="shared" si="45"/>
        <v>2.7025875334659069</v>
      </c>
      <c r="N391" s="3">
        <f t="shared" si="49"/>
        <v>2.6969726464872812</v>
      </c>
      <c r="O391" s="3">
        <f t="shared" si="50"/>
        <v>2.6960153369095847</v>
      </c>
      <c r="P391" s="3">
        <f t="shared" si="44"/>
        <v>2.7663291396174587</v>
      </c>
      <c r="Q391" s="4" t="str">
        <f t="shared" si="48"/>
        <v>UNDER</v>
      </c>
      <c r="R391" s="4" t="str">
        <f t="shared" si="48"/>
        <v>OVER</v>
      </c>
      <c r="S391" s="4" t="str">
        <f t="shared" si="46"/>
        <v>OVER</v>
      </c>
      <c r="T391" s="4" t="str">
        <f t="shared" si="46"/>
        <v>UNDER</v>
      </c>
      <c r="U391" s="2">
        <f>IF(Q391="OVER",$J391,$K391)</f>
        <v>-159.23710756158755</v>
      </c>
      <c r="V391" s="2">
        <f>IF(R391="OVER",$J391,$K391)</f>
        <v>159.23710756158755</v>
      </c>
      <c r="W391" s="2">
        <f>IF(S391="OVER",$J391,$K391)</f>
        <v>159.23710756158755</v>
      </c>
      <c r="X391" s="2">
        <f>IF(T391="OVER",$J391,$K391)</f>
        <v>-159.23710756158755</v>
      </c>
      <c r="Y391" s="9">
        <f t="shared" si="47"/>
        <v>-4431.093035962127</v>
      </c>
      <c r="Z391" s="9">
        <f t="shared" si="47"/>
        <v>5800.7704258635695</v>
      </c>
      <c r="AA391" s="9">
        <f t="shared" si="47"/>
        <v>16836.22506921173</v>
      </c>
      <c r="AB391" s="9">
        <f t="shared" si="47"/>
        <v>3600.7942975915862</v>
      </c>
    </row>
    <row r="392" spans="1:28" x14ac:dyDescent="0.3">
      <c r="A392" s="1">
        <v>44981</v>
      </c>
      <c r="B392" s="2">
        <v>146.85</v>
      </c>
      <c r="C392" s="2">
        <v>396.38</v>
      </c>
      <c r="D392" s="9">
        <f>B392-B391</f>
        <v>-1.2700000000000102</v>
      </c>
      <c r="E392" s="9">
        <f>C392-C391</f>
        <v>-4.2800000000000296</v>
      </c>
      <c r="F392" s="3">
        <f>F$1/B392</f>
        <v>680.96697310180457</v>
      </c>
      <c r="G392" s="3">
        <f>F$1/C392</f>
        <v>252.28316262172663</v>
      </c>
      <c r="H392" s="2">
        <f>D392*F391</f>
        <v>-857.4129084526129</v>
      </c>
      <c r="I392" s="2">
        <f>E392*G391</f>
        <v>-1068.2374082763513</v>
      </c>
      <c r="J392" s="2">
        <f>I392-H392</f>
        <v>-210.82449982373839</v>
      </c>
      <c r="K392" s="2">
        <f t="shared" si="51"/>
        <v>210.82449982373839</v>
      </c>
      <c r="L392" s="3">
        <f>C392/B392</f>
        <v>2.6992168879809331</v>
      </c>
      <c r="M392" s="3">
        <f t="shared" si="45"/>
        <v>2.7020175279118406</v>
      </c>
      <c r="N392" s="3">
        <f t="shared" si="49"/>
        <v>2.6974829195336829</v>
      </c>
      <c r="O392" s="3">
        <f t="shared" si="50"/>
        <v>2.6954050800746088</v>
      </c>
      <c r="P392" s="3">
        <f t="shared" si="44"/>
        <v>2.7658915034526599</v>
      </c>
      <c r="Q392" s="4" t="str">
        <f t="shared" si="48"/>
        <v>OVER</v>
      </c>
      <c r="R392" s="4" t="str">
        <f t="shared" si="48"/>
        <v>OVER</v>
      </c>
      <c r="S392" s="4" t="str">
        <f t="shared" si="46"/>
        <v>OVER</v>
      </c>
      <c r="T392" s="4" t="str">
        <f t="shared" si="46"/>
        <v>UNDER</v>
      </c>
      <c r="U392" s="2">
        <f>IF(Q392="OVER",$J392,$K392)</f>
        <v>-210.82449982373839</v>
      </c>
      <c r="V392" s="2">
        <f>IF(R392="OVER",$J392,$K392)</f>
        <v>-210.82449982373839</v>
      </c>
      <c r="W392" s="2">
        <f>IF(S392="OVER",$J392,$K392)</f>
        <v>-210.82449982373839</v>
      </c>
      <c r="X392" s="2">
        <f>IF(T392="OVER",$J392,$K392)</f>
        <v>210.82449982373839</v>
      </c>
      <c r="Y392" s="9">
        <f t="shared" si="47"/>
        <v>-4641.9175357858658</v>
      </c>
      <c r="Z392" s="9">
        <f t="shared" si="47"/>
        <v>5589.9459260398307</v>
      </c>
      <c r="AA392" s="9">
        <f t="shared" si="47"/>
        <v>16625.400569387992</v>
      </c>
      <c r="AB392" s="9">
        <f t="shared" si="47"/>
        <v>3811.6187974153245</v>
      </c>
    </row>
    <row r="393" spans="1:28" x14ac:dyDescent="0.3">
      <c r="A393" s="1">
        <v>44984</v>
      </c>
      <c r="B393" s="2">
        <v>147.03</v>
      </c>
      <c r="C393" s="2">
        <v>397.73</v>
      </c>
      <c r="D393" s="9">
        <f>B393-B392</f>
        <v>0.18000000000000682</v>
      </c>
      <c r="E393" s="9">
        <f>C393-C392</f>
        <v>1.3500000000000227</v>
      </c>
      <c r="F393" s="3">
        <f>F$1/B393</f>
        <v>680.1333061280011</v>
      </c>
      <c r="G393" s="3">
        <f>F$1/C393</f>
        <v>251.42684735876097</v>
      </c>
      <c r="H393" s="2">
        <f>D393*F392</f>
        <v>122.57405515832947</v>
      </c>
      <c r="I393" s="2">
        <f>E393*G392</f>
        <v>340.58226953933666</v>
      </c>
      <c r="J393" s="2">
        <f>I393-H393</f>
        <v>218.00821438100718</v>
      </c>
      <c r="K393" s="2">
        <f t="shared" si="51"/>
        <v>-218.00821438100718</v>
      </c>
      <c r="L393" s="3">
        <f>C393/B393</f>
        <v>2.7050941984628989</v>
      </c>
      <c r="M393" s="3">
        <f t="shared" si="45"/>
        <v>2.7022301804025401</v>
      </c>
      <c r="N393" s="3">
        <f t="shared" si="49"/>
        <v>2.6982283456371996</v>
      </c>
      <c r="O393" s="3">
        <f t="shared" si="50"/>
        <v>2.6948803417703058</v>
      </c>
      <c r="P393" s="3">
        <f t="shared" si="44"/>
        <v>2.7654147991590299</v>
      </c>
      <c r="Q393" s="4" t="str">
        <f t="shared" si="48"/>
        <v>UNDER</v>
      </c>
      <c r="R393" s="4" t="str">
        <f t="shared" si="48"/>
        <v>OVER</v>
      </c>
      <c r="S393" s="4" t="str">
        <f t="shared" si="46"/>
        <v>OVER</v>
      </c>
      <c r="T393" s="4" t="str">
        <f t="shared" si="46"/>
        <v>UNDER</v>
      </c>
      <c r="U393" s="2">
        <f>IF(Q393="OVER",$J393,$K393)</f>
        <v>-218.00821438100718</v>
      </c>
      <c r="V393" s="2">
        <f>IF(R393="OVER",$J393,$K393)</f>
        <v>218.00821438100718</v>
      </c>
      <c r="W393" s="2">
        <f>IF(S393="OVER",$J393,$K393)</f>
        <v>218.00821438100718</v>
      </c>
      <c r="X393" s="2">
        <f>IF(T393="OVER",$J393,$K393)</f>
        <v>-218.00821438100718</v>
      </c>
      <c r="Y393" s="9">
        <f t="shared" si="47"/>
        <v>-4859.9257501668726</v>
      </c>
      <c r="Z393" s="9">
        <f t="shared" si="47"/>
        <v>5807.9541404208376</v>
      </c>
      <c r="AA393" s="9">
        <f t="shared" si="47"/>
        <v>16843.408783768999</v>
      </c>
      <c r="AB393" s="9">
        <f t="shared" si="47"/>
        <v>3593.6105830343172</v>
      </c>
    </row>
    <row r="394" spans="1:28" x14ac:dyDescent="0.3">
      <c r="A394" s="1">
        <v>44985</v>
      </c>
      <c r="B394" s="2">
        <v>146.6</v>
      </c>
      <c r="C394" s="2">
        <v>396.26</v>
      </c>
      <c r="D394" s="9">
        <f>B394-B393</f>
        <v>-0.43000000000000682</v>
      </c>
      <c r="E394" s="9">
        <f>C394-C393</f>
        <v>-1.4700000000000273</v>
      </c>
      <c r="F394" s="3">
        <f>F$1/B394</f>
        <v>682.12824010914051</v>
      </c>
      <c r="G394" s="3">
        <f>F$1/C394</f>
        <v>252.35956190380054</v>
      </c>
      <c r="H394" s="2">
        <f>D394*F393</f>
        <v>-292.4573216350451</v>
      </c>
      <c r="I394" s="2">
        <f>E394*G393</f>
        <v>-369.59746561738547</v>
      </c>
      <c r="J394" s="2">
        <f>I394-H394</f>
        <v>-77.140143982340362</v>
      </c>
      <c r="K394" s="2">
        <f t="shared" si="51"/>
        <v>77.140143982340362</v>
      </c>
      <c r="L394" s="3">
        <f>C394/B394</f>
        <v>2.7030013642564801</v>
      </c>
      <c r="M394" s="3">
        <f t="shared" si="45"/>
        <v>2.702088128816396</v>
      </c>
      <c r="N394" s="3">
        <f t="shared" si="49"/>
        <v>2.6991324352977442</v>
      </c>
      <c r="O394" s="3">
        <f t="shared" si="50"/>
        <v>2.6943402323500352</v>
      </c>
      <c r="P394" s="3">
        <f t="shared" si="44"/>
        <v>2.7649698287285873</v>
      </c>
      <c r="Q394" s="4" t="str">
        <f t="shared" si="48"/>
        <v>OVER</v>
      </c>
      <c r="R394" s="4" t="str">
        <f t="shared" si="48"/>
        <v>OVER</v>
      </c>
      <c r="S394" s="4" t="str">
        <f t="shared" si="46"/>
        <v>OVER</v>
      </c>
      <c r="T394" s="4" t="str">
        <f t="shared" si="46"/>
        <v>UNDER</v>
      </c>
      <c r="U394" s="2">
        <f>IF(Q394="OVER",$J394,$K394)</f>
        <v>-77.140143982340362</v>
      </c>
      <c r="V394" s="2">
        <f>IF(R394="OVER",$J394,$K394)</f>
        <v>-77.140143982340362</v>
      </c>
      <c r="W394" s="2">
        <f>IF(S394="OVER",$J394,$K394)</f>
        <v>-77.140143982340362</v>
      </c>
      <c r="X394" s="2">
        <f>IF(T394="OVER",$J394,$K394)</f>
        <v>77.140143982340362</v>
      </c>
      <c r="Y394" s="9">
        <f t="shared" si="47"/>
        <v>-4937.0658941492129</v>
      </c>
      <c r="Z394" s="9">
        <f t="shared" si="47"/>
        <v>5730.8139964384973</v>
      </c>
      <c r="AA394" s="9">
        <f t="shared" si="47"/>
        <v>16766.268639786656</v>
      </c>
      <c r="AB394" s="9">
        <f t="shared" si="47"/>
        <v>3670.7507270166575</v>
      </c>
    </row>
    <row r="395" spans="1:28" x14ac:dyDescent="0.3">
      <c r="A395" s="1">
        <v>44986</v>
      </c>
      <c r="B395" s="2">
        <v>146.33000000000001</v>
      </c>
      <c r="C395" s="2">
        <v>394.74</v>
      </c>
      <c r="D395" s="9">
        <f>B395-B394</f>
        <v>-0.26999999999998181</v>
      </c>
      <c r="E395" s="9">
        <f>C395-C394</f>
        <v>-1.5199999999999818</v>
      </c>
      <c r="F395" s="3">
        <f>F$1/B395</f>
        <v>683.38686530444875</v>
      </c>
      <c r="G395" s="3">
        <f>F$1/C395</f>
        <v>253.33130668287987</v>
      </c>
      <c r="H395" s="2">
        <f>D395*F394</f>
        <v>-184.17462482945552</v>
      </c>
      <c r="I395" s="2">
        <f>E395*G394</f>
        <v>-383.58653409377223</v>
      </c>
      <c r="J395" s="2">
        <f>I395-H395</f>
        <v>-199.41190926431671</v>
      </c>
      <c r="K395" s="2">
        <f t="shared" si="51"/>
        <v>199.41190926431671</v>
      </c>
      <c r="L395" s="3">
        <f>C395/B395</f>
        <v>2.6976013121027811</v>
      </c>
      <c r="M395" s="3">
        <f t="shared" si="45"/>
        <v>2.7010160205937526</v>
      </c>
      <c r="N395" s="3">
        <f t="shared" si="49"/>
        <v>2.7000640398206981</v>
      </c>
      <c r="O395" s="3">
        <f t="shared" si="50"/>
        <v>2.6938328274648287</v>
      </c>
      <c r="P395" s="3">
        <f t="shared" ref="P395:P458" si="52">AVERAGE(L196:L395)</f>
        <v>2.7645716598803101</v>
      </c>
      <c r="Q395" s="4" t="str">
        <f t="shared" si="48"/>
        <v>OVER</v>
      </c>
      <c r="R395" s="4" t="str">
        <f t="shared" si="48"/>
        <v>OVER</v>
      </c>
      <c r="S395" s="4" t="str">
        <f t="shared" si="46"/>
        <v>OVER</v>
      </c>
      <c r="T395" s="4" t="str">
        <f t="shared" si="46"/>
        <v>UNDER</v>
      </c>
      <c r="U395" s="2">
        <f>IF(Q395="OVER",$J395,$K395)</f>
        <v>-199.41190926431671</v>
      </c>
      <c r="V395" s="2">
        <f>IF(R395="OVER",$J395,$K395)</f>
        <v>-199.41190926431671</v>
      </c>
      <c r="W395" s="2">
        <f>IF(S395="OVER",$J395,$K395)</f>
        <v>-199.41190926431671</v>
      </c>
      <c r="X395" s="2">
        <f>IF(T395="OVER",$J395,$K395)</f>
        <v>199.41190926431671</v>
      </c>
      <c r="Y395" s="9">
        <f t="shared" si="47"/>
        <v>-5136.4778034135297</v>
      </c>
      <c r="Z395" s="9">
        <f t="shared" si="47"/>
        <v>5531.4020871741805</v>
      </c>
      <c r="AA395" s="9">
        <f t="shared" si="47"/>
        <v>16566.856730522341</v>
      </c>
      <c r="AB395" s="9">
        <f t="shared" si="47"/>
        <v>3870.1626362809743</v>
      </c>
    </row>
    <row r="396" spans="1:28" x14ac:dyDescent="0.3">
      <c r="A396" s="1">
        <v>44987</v>
      </c>
      <c r="B396" s="2">
        <v>147.47999999999999</v>
      </c>
      <c r="C396" s="2">
        <v>397.81</v>
      </c>
      <c r="D396" s="9">
        <f>B396-B395</f>
        <v>1.1499999999999773</v>
      </c>
      <c r="E396" s="9">
        <f>C396-C395</f>
        <v>3.0699999999999932</v>
      </c>
      <c r="F396" s="3">
        <f>F$1/B396</f>
        <v>678.05804176837546</v>
      </c>
      <c r="G396" s="3">
        <f>F$1/C396</f>
        <v>251.3762851612579</v>
      </c>
      <c r="H396" s="2">
        <f>D396*F395</f>
        <v>785.89489510010048</v>
      </c>
      <c r="I396" s="2">
        <f>E396*G395</f>
        <v>777.72711151643944</v>
      </c>
      <c r="J396" s="2">
        <f>I396-H396</f>
        <v>-8.1677835836610484</v>
      </c>
      <c r="K396" s="2">
        <f t="shared" si="51"/>
        <v>8.1677835836610484</v>
      </c>
      <c r="L396" s="3">
        <f>C396/B396</f>
        <v>2.6973826959587743</v>
      </c>
      <c r="M396" s="3">
        <f t="shared" si="45"/>
        <v>2.700320530064205</v>
      </c>
      <c r="N396" s="3">
        <f t="shared" si="49"/>
        <v>2.7009300430946288</v>
      </c>
      <c r="O396" s="3">
        <f t="shared" si="50"/>
        <v>2.6935543919669129</v>
      </c>
      <c r="P396" s="3">
        <f t="shared" si="52"/>
        <v>2.7641582273393426</v>
      </c>
      <c r="Q396" s="4" t="str">
        <f t="shared" si="48"/>
        <v>UNDER</v>
      </c>
      <c r="R396" s="4" t="str">
        <f t="shared" si="48"/>
        <v>UNDER</v>
      </c>
      <c r="S396" s="4" t="str">
        <f t="shared" si="46"/>
        <v>OVER</v>
      </c>
      <c r="T396" s="4" t="str">
        <f t="shared" si="46"/>
        <v>UNDER</v>
      </c>
      <c r="U396" s="2">
        <f>IF(Q396="OVER",$J396,$K396)</f>
        <v>8.1677835836610484</v>
      </c>
      <c r="V396" s="2">
        <f>IF(R396="OVER",$J396,$K396)</f>
        <v>8.1677835836610484</v>
      </c>
      <c r="W396" s="2">
        <f>IF(S396="OVER",$J396,$K396)</f>
        <v>-8.1677835836610484</v>
      </c>
      <c r="X396" s="2">
        <f>IF(T396="OVER",$J396,$K396)</f>
        <v>8.1677835836610484</v>
      </c>
      <c r="Y396" s="9">
        <f t="shared" si="47"/>
        <v>-5128.3100198298689</v>
      </c>
      <c r="Z396" s="9">
        <f t="shared" si="47"/>
        <v>5539.5698707578413</v>
      </c>
      <c r="AA396" s="9">
        <f t="shared" si="47"/>
        <v>16558.688946938681</v>
      </c>
      <c r="AB396" s="9">
        <f t="shared" ref="AB396:AB459" si="53">AB395+X396</f>
        <v>3878.3304198646356</v>
      </c>
    </row>
    <row r="397" spans="1:28" x14ac:dyDescent="0.3">
      <c r="A397" s="1">
        <v>44988</v>
      </c>
      <c r="B397" s="2">
        <v>149.55000000000001</v>
      </c>
      <c r="C397" s="2">
        <v>404.19</v>
      </c>
      <c r="D397" s="9">
        <f>B397-B396</f>
        <v>2.0700000000000216</v>
      </c>
      <c r="E397" s="9">
        <f>C397-C396</f>
        <v>6.3799999999999955</v>
      </c>
      <c r="F397" s="3">
        <f>F$1/B397</f>
        <v>668.67268472082912</v>
      </c>
      <c r="G397" s="3">
        <f>F$1/C397</f>
        <v>247.40839704099557</v>
      </c>
      <c r="H397" s="2">
        <f>D397*F396</f>
        <v>1403.5801464605518</v>
      </c>
      <c r="I397" s="2">
        <f>E397*G396</f>
        <v>1603.7806993288243</v>
      </c>
      <c r="J397" s="2">
        <f>I397-H397</f>
        <v>200.20055286827255</v>
      </c>
      <c r="K397" s="2">
        <f t="shared" si="51"/>
        <v>-200.20055286827255</v>
      </c>
      <c r="L397" s="3">
        <f>C397/B397</f>
        <v>2.7027081243731192</v>
      </c>
      <c r="M397" s="3">
        <f t="shared" ref="M397:M460" si="54">AVERAGE(L388:L397)</f>
        <v>2.7008325053690427</v>
      </c>
      <c r="N397" s="3">
        <f t="shared" si="49"/>
        <v>2.7015855835414722</v>
      </c>
      <c r="O397" s="3">
        <f t="shared" si="50"/>
        <v>2.6931761258931779</v>
      </c>
      <c r="P397" s="3">
        <f t="shared" si="52"/>
        <v>2.7637787892821337</v>
      </c>
      <c r="Q397" s="4" t="str">
        <f t="shared" si="48"/>
        <v>UNDER</v>
      </c>
      <c r="R397" s="4" t="str">
        <f t="shared" si="48"/>
        <v>UNDER</v>
      </c>
      <c r="S397" s="4" t="str">
        <f t="shared" ref="S397:T460" si="55">IF($L397&gt;O397,"OVER","UNDER")</f>
        <v>OVER</v>
      </c>
      <c r="T397" s="4" t="str">
        <f t="shared" si="55"/>
        <v>UNDER</v>
      </c>
      <c r="U397" s="2">
        <f>IF(Q397="OVER",$J397,$K397)</f>
        <v>-200.20055286827255</v>
      </c>
      <c r="V397" s="2">
        <f>IF(R397="OVER",$J397,$K397)</f>
        <v>-200.20055286827255</v>
      </c>
      <c r="W397" s="2">
        <f>IF(S397="OVER",$J397,$K397)</f>
        <v>200.20055286827255</v>
      </c>
      <c r="X397" s="2">
        <f>IF(T397="OVER",$J397,$K397)</f>
        <v>-200.20055286827255</v>
      </c>
      <c r="Y397" s="9">
        <f t="shared" ref="Y397:AB460" si="56">Y396+U397</f>
        <v>-5328.5105726981419</v>
      </c>
      <c r="Z397" s="9">
        <f t="shared" si="56"/>
        <v>5339.3693178895683</v>
      </c>
      <c r="AA397" s="9">
        <f t="shared" si="56"/>
        <v>16758.889499806952</v>
      </c>
      <c r="AB397" s="9">
        <f t="shared" si="53"/>
        <v>3678.129866996363</v>
      </c>
    </row>
    <row r="398" spans="1:28" x14ac:dyDescent="0.3">
      <c r="A398" s="1">
        <v>44991</v>
      </c>
      <c r="B398" s="2">
        <v>148.83000000000001</v>
      </c>
      <c r="C398" s="2">
        <v>404.47</v>
      </c>
      <c r="D398" s="9">
        <f>B398-B397</f>
        <v>-0.71999999999999886</v>
      </c>
      <c r="E398" s="9">
        <f>C398-C397</f>
        <v>0.28000000000002956</v>
      </c>
      <c r="F398" s="3">
        <f>F$1/B398</f>
        <v>671.9075455217361</v>
      </c>
      <c r="G398" s="3">
        <f>F$1/C398</f>
        <v>247.237125126709</v>
      </c>
      <c r="H398" s="2">
        <f>D398*F397</f>
        <v>-481.44433299899623</v>
      </c>
      <c r="I398" s="2">
        <f>E398*G397</f>
        <v>69.274351171486074</v>
      </c>
      <c r="J398" s="2">
        <f>I398-H398</f>
        <v>550.71868417048233</v>
      </c>
      <c r="K398" s="2">
        <f t="shared" si="51"/>
        <v>-550.71868417048233</v>
      </c>
      <c r="L398" s="3">
        <f>C398/B398</f>
        <v>2.7176644493717665</v>
      </c>
      <c r="M398" s="3">
        <f t="shared" si="54"/>
        <v>2.7029439148827934</v>
      </c>
      <c r="N398" s="3">
        <f t="shared" si="49"/>
        <v>2.7027667283934398</v>
      </c>
      <c r="O398" s="3">
        <f t="shared" si="50"/>
        <v>2.6930771003639067</v>
      </c>
      <c r="P398" s="3">
        <f t="shared" si="52"/>
        <v>2.7634824542928662</v>
      </c>
      <c r="Q398" s="4" t="str">
        <f t="shared" ref="Q398:R461" si="57">IF($L397&gt;M397,"OVER","UNDER")</f>
        <v>OVER</v>
      </c>
      <c r="R398" s="4" t="str">
        <f t="shared" si="57"/>
        <v>OVER</v>
      </c>
      <c r="S398" s="4" t="str">
        <f t="shared" si="55"/>
        <v>OVER</v>
      </c>
      <c r="T398" s="4" t="str">
        <f t="shared" si="55"/>
        <v>UNDER</v>
      </c>
      <c r="U398" s="2">
        <f>IF(Q398="OVER",$J398,$K398)</f>
        <v>550.71868417048233</v>
      </c>
      <c r="V398" s="2">
        <f>IF(R398="OVER",$J398,$K398)</f>
        <v>550.71868417048233</v>
      </c>
      <c r="W398" s="2">
        <f>IF(S398="OVER",$J398,$K398)</f>
        <v>550.71868417048233</v>
      </c>
      <c r="X398" s="2">
        <f>IF(T398="OVER",$J398,$K398)</f>
        <v>-550.71868417048233</v>
      </c>
      <c r="Y398" s="9">
        <f t="shared" si="56"/>
        <v>-4777.7918885276595</v>
      </c>
      <c r="Z398" s="9">
        <f t="shared" si="56"/>
        <v>5890.0880020600507</v>
      </c>
      <c r="AA398" s="9">
        <f t="shared" si="56"/>
        <v>17309.608183977434</v>
      </c>
      <c r="AB398" s="9">
        <f t="shared" si="53"/>
        <v>3127.4111828258806</v>
      </c>
    </row>
    <row r="399" spans="1:28" x14ac:dyDescent="0.3">
      <c r="A399" s="1">
        <v>44992</v>
      </c>
      <c r="B399" s="2">
        <v>146.43</v>
      </c>
      <c r="C399" s="2">
        <v>398.27</v>
      </c>
      <c r="D399" s="9">
        <f>B399-B398</f>
        <v>-2.4000000000000057</v>
      </c>
      <c r="E399" s="9">
        <f>C399-C398</f>
        <v>-6.2000000000000455</v>
      </c>
      <c r="F399" s="3">
        <f>F$1/B399</f>
        <v>682.92016663252059</v>
      </c>
      <c r="G399" s="3">
        <f>F$1/C399</f>
        <v>251.08594671956212</v>
      </c>
      <c r="H399" s="2">
        <f>D399*F398</f>
        <v>-1612.5781092521704</v>
      </c>
      <c r="I399" s="2">
        <f>E399*G398</f>
        <v>-1532.870175785607</v>
      </c>
      <c r="J399" s="2">
        <f>I399-H399</f>
        <v>79.707933466563418</v>
      </c>
      <c r="K399" s="2">
        <f t="shared" si="51"/>
        <v>-79.707933466563418</v>
      </c>
      <c r="L399" s="3">
        <f>C399/B399</f>
        <v>2.7198661476473398</v>
      </c>
      <c r="M399" s="3">
        <f t="shared" si="54"/>
        <v>2.704818854520624</v>
      </c>
      <c r="N399" s="3">
        <f t="shared" si="49"/>
        <v>2.7039297949546461</v>
      </c>
      <c r="O399" s="3">
        <f t="shared" si="50"/>
        <v>2.6930490023346794</v>
      </c>
      <c r="P399" s="3">
        <f t="shared" si="52"/>
        <v>2.7632361204137617</v>
      </c>
      <c r="Q399" s="4" t="str">
        <f t="shared" si="57"/>
        <v>OVER</v>
      </c>
      <c r="R399" s="4" t="str">
        <f t="shared" si="57"/>
        <v>OVER</v>
      </c>
      <c r="S399" s="4" t="str">
        <f t="shared" si="55"/>
        <v>OVER</v>
      </c>
      <c r="T399" s="4" t="str">
        <f t="shared" si="55"/>
        <v>UNDER</v>
      </c>
      <c r="U399" s="2">
        <f>IF(Q399="OVER",$J399,$K399)</f>
        <v>79.707933466563418</v>
      </c>
      <c r="V399" s="2">
        <f>IF(R399="OVER",$J399,$K399)</f>
        <v>79.707933466563418</v>
      </c>
      <c r="W399" s="2">
        <f>IF(S399="OVER",$J399,$K399)</f>
        <v>79.707933466563418</v>
      </c>
      <c r="X399" s="2">
        <f>IF(T399="OVER",$J399,$K399)</f>
        <v>-79.707933466563418</v>
      </c>
      <c r="Y399" s="9">
        <f t="shared" si="56"/>
        <v>-4698.0839550610963</v>
      </c>
      <c r="Z399" s="9">
        <f t="shared" si="56"/>
        <v>5969.7959355266139</v>
      </c>
      <c r="AA399" s="9">
        <f t="shared" si="56"/>
        <v>17389.316117443999</v>
      </c>
      <c r="AB399" s="9">
        <f t="shared" si="53"/>
        <v>3047.7032493593169</v>
      </c>
    </row>
    <row r="400" spans="1:28" x14ac:dyDescent="0.3">
      <c r="A400" s="1">
        <v>44993</v>
      </c>
      <c r="B400" s="2">
        <v>146.74</v>
      </c>
      <c r="C400" s="2">
        <v>398.92</v>
      </c>
      <c r="D400" s="9">
        <f>B400-B399</f>
        <v>0.31000000000000227</v>
      </c>
      <c r="E400" s="9">
        <f>C400-C399</f>
        <v>0.65000000000003411</v>
      </c>
      <c r="F400" s="3">
        <f>F$1/B400</f>
        <v>681.47744309663346</v>
      </c>
      <c r="G400" s="3">
        <f>F$1/C400</f>
        <v>250.67682743407198</v>
      </c>
      <c r="H400" s="2">
        <f>D400*F399</f>
        <v>211.70525165608294</v>
      </c>
      <c r="I400" s="2">
        <f>E400*G399</f>
        <v>163.20586536772393</v>
      </c>
      <c r="J400" s="2">
        <f>I400-H400</f>
        <v>-48.499386288359005</v>
      </c>
      <c r="K400" s="2">
        <f t="shared" si="51"/>
        <v>48.499386288359005</v>
      </c>
      <c r="L400" s="3">
        <f>C400/B400</f>
        <v>2.7185498160010901</v>
      </c>
      <c r="M400" s="3">
        <f t="shared" si="54"/>
        <v>2.7066053940254564</v>
      </c>
      <c r="N400" s="3">
        <f t="shared" si="49"/>
        <v>2.7045280810610892</v>
      </c>
      <c r="O400" s="3">
        <f t="shared" si="50"/>
        <v>2.6931825173526143</v>
      </c>
      <c r="P400" s="3">
        <f t="shared" si="52"/>
        <v>2.7630368162322037</v>
      </c>
      <c r="Q400" s="4" t="str">
        <f t="shared" si="57"/>
        <v>OVER</v>
      </c>
      <c r="R400" s="4" t="str">
        <f t="shared" si="57"/>
        <v>OVER</v>
      </c>
      <c r="S400" s="4" t="str">
        <f t="shared" si="55"/>
        <v>OVER</v>
      </c>
      <c r="T400" s="4" t="str">
        <f t="shared" si="55"/>
        <v>UNDER</v>
      </c>
      <c r="U400" s="2">
        <f>IF(Q400="OVER",$J400,$K400)</f>
        <v>-48.499386288359005</v>
      </c>
      <c r="V400" s="2">
        <f>IF(R400="OVER",$J400,$K400)</f>
        <v>-48.499386288359005</v>
      </c>
      <c r="W400" s="2">
        <f>IF(S400="OVER",$J400,$K400)</f>
        <v>-48.499386288359005</v>
      </c>
      <c r="X400" s="2">
        <f>IF(T400="OVER",$J400,$K400)</f>
        <v>48.499386288359005</v>
      </c>
      <c r="Y400" s="9">
        <f t="shared" si="56"/>
        <v>-4746.5833413494556</v>
      </c>
      <c r="Z400" s="9">
        <f t="shared" si="56"/>
        <v>5921.2965492382546</v>
      </c>
      <c r="AA400" s="9">
        <f t="shared" si="56"/>
        <v>17340.816731155639</v>
      </c>
      <c r="AB400" s="9">
        <f t="shared" si="53"/>
        <v>3096.2026356476758</v>
      </c>
    </row>
    <row r="401" spans="1:28" x14ac:dyDescent="0.3">
      <c r="A401" s="1">
        <v>44994</v>
      </c>
      <c r="B401" s="2">
        <v>143.5</v>
      </c>
      <c r="C401" s="2">
        <v>391.56</v>
      </c>
      <c r="D401" s="9">
        <f>B401-B400</f>
        <v>-3.2400000000000091</v>
      </c>
      <c r="E401" s="9">
        <f>C401-C400</f>
        <v>-7.3600000000000136</v>
      </c>
      <c r="F401" s="3">
        <f>F$1/B401</f>
        <v>696.86411149825778</v>
      </c>
      <c r="G401" s="3">
        <f>F$1/C401</f>
        <v>255.38870160384104</v>
      </c>
      <c r="H401" s="2">
        <f>D401*F400</f>
        <v>-2207.9869156330988</v>
      </c>
      <c r="I401" s="2">
        <f>E401*G400</f>
        <v>-1844.9814499147733</v>
      </c>
      <c r="J401" s="2">
        <f>I401-H401</f>
        <v>363.00546571832547</v>
      </c>
      <c r="K401" s="2">
        <f t="shared" si="51"/>
        <v>-363.00546571832547</v>
      </c>
      <c r="L401" s="3">
        <f>C401/B401</f>
        <v>2.7286411149825782</v>
      </c>
      <c r="M401" s="3">
        <f t="shared" si="54"/>
        <v>2.7089726111137766</v>
      </c>
      <c r="N401" s="3">
        <f t="shared" si="49"/>
        <v>2.7057800722898415</v>
      </c>
      <c r="O401" s="3">
        <f t="shared" si="50"/>
        <v>2.6935533437572974</v>
      </c>
      <c r="P401" s="3">
        <f t="shared" si="52"/>
        <v>2.7628819482891624</v>
      </c>
      <c r="Q401" s="4" t="str">
        <f t="shared" si="57"/>
        <v>OVER</v>
      </c>
      <c r="R401" s="4" t="str">
        <f t="shared" si="57"/>
        <v>OVER</v>
      </c>
      <c r="S401" s="4" t="str">
        <f t="shared" si="55"/>
        <v>OVER</v>
      </c>
      <c r="T401" s="4" t="str">
        <f t="shared" si="55"/>
        <v>UNDER</v>
      </c>
      <c r="U401" s="2">
        <f>IF(Q401="OVER",$J401,$K401)</f>
        <v>363.00546571832547</v>
      </c>
      <c r="V401" s="2">
        <f>IF(R401="OVER",$J401,$K401)</f>
        <v>363.00546571832547</v>
      </c>
      <c r="W401" s="2">
        <f>IF(S401="OVER",$J401,$K401)</f>
        <v>363.00546571832547</v>
      </c>
      <c r="X401" s="2">
        <f>IF(T401="OVER",$J401,$K401)</f>
        <v>-363.00546571832547</v>
      </c>
      <c r="Y401" s="9">
        <f t="shared" si="56"/>
        <v>-4383.5778756311302</v>
      </c>
      <c r="Z401" s="9">
        <f t="shared" si="56"/>
        <v>6284.30201495658</v>
      </c>
      <c r="AA401" s="9">
        <f t="shared" si="56"/>
        <v>17703.822196873964</v>
      </c>
      <c r="AB401" s="9">
        <f t="shared" si="53"/>
        <v>2733.1971699293504</v>
      </c>
    </row>
    <row r="402" spans="1:28" x14ac:dyDescent="0.3">
      <c r="A402" s="1">
        <v>44995</v>
      </c>
      <c r="B402" s="2">
        <v>140.47</v>
      </c>
      <c r="C402" s="2">
        <v>385.91</v>
      </c>
      <c r="D402" s="9">
        <f>B402-B401</f>
        <v>-3.0300000000000011</v>
      </c>
      <c r="E402" s="9">
        <f>C402-C401</f>
        <v>-5.6499999999999773</v>
      </c>
      <c r="F402" s="3">
        <f>F$1/B402</f>
        <v>711.89577845803376</v>
      </c>
      <c r="G402" s="3">
        <f>F$1/C402</f>
        <v>259.12777590629941</v>
      </c>
      <c r="H402" s="2">
        <f>D402*F401</f>
        <v>-2111.4982578397221</v>
      </c>
      <c r="I402" s="2">
        <f>E402*G401</f>
        <v>-1442.946164061696</v>
      </c>
      <c r="J402" s="2">
        <f>I402-H402</f>
        <v>668.55209377802612</v>
      </c>
      <c r="K402" s="2">
        <f t="shared" si="51"/>
        <v>-668.55209377802612</v>
      </c>
      <c r="L402" s="3">
        <f>C402/B402</f>
        <v>2.7472769986473984</v>
      </c>
      <c r="M402" s="3">
        <f t="shared" si="54"/>
        <v>2.7137786221804228</v>
      </c>
      <c r="N402" s="3">
        <f t="shared" si="49"/>
        <v>2.7078980750461317</v>
      </c>
      <c r="O402" s="3">
        <f t="shared" si="50"/>
        <v>2.6945450005784561</v>
      </c>
      <c r="P402" s="3">
        <f t="shared" si="52"/>
        <v>2.762757458858597</v>
      </c>
      <c r="Q402" s="4" t="str">
        <f t="shared" si="57"/>
        <v>OVER</v>
      </c>
      <c r="R402" s="4" t="str">
        <f t="shared" si="57"/>
        <v>OVER</v>
      </c>
      <c r="S402" s="4" t="str">
        <f t="shared" si="55"/>
        <v>OVER</v>
      </c>
      <c r="T402" s="4" t="str">
        <f t="shared" si="55"/>
        <v>UNDER</v>
      </c>
      <c r="U402" s="2">
        <f>IF(Q402="OVER",$J402,$K402)</f>
        <v>668.55209377802612</v>
      </c>
      <c r="V402" s="2">
        <f>IF(R402="OVER",$J402,$K402)</f>
        <v>668.55209377802612</v>
      </c>
      <c r="W402" s="2">
        <f>IF(S402="OVER",$J402,$K402)</f>
        <v>668.55209377802612</v>
      </c>
      <c r="X402" s="2">
        <f>IF(T402="OVER",$J402,$K402)</f>
        <v>-668.55209377802612</v>
      </c>
      <c r="Y402" s="9">
        <f t="shared" si="56"/>
        <v>-3715.025781853104</v>
      </c>
      <c r="Z402" s="9">
        <f t="shared" si="56"/>
        <v>6952.8541087346057</v>
      </c>
      <c r="AA402" s="9">
        <f t="shared" si="56"/>
        <v>18372.374290651991</v>
      </c>
      <c r="AB402" s="9">
        <f t="shared" si="53"/>
        <v>2064.6450761513242</v>
      </c>
    </row>
    <row r="403" spans="1:28" x14ac:dyDescent="0.3">
      <c r="A403" s="1">
        <v>44998</v>
      </c>
      <c r="B403" s="2">
        <v>138.75</v>
      </c>
      <c r="C403" s="2">
        <v>385.36</v>
      </c>
      <c r="D403" s="9">
        <f>B403-B402</f>
        <v>-1.7199999999999989</v>
      </c>
      <c r="E403" s="9">
        <f>C403-C402</f>
        <v>-0.55000000000001137</v>
      </c>
      <c r="F403" s="3">
        <f>F$1/B403</f>
        <v>720.72072072072069</v>
      </c>
      <c r="G403" s="3">
        <f>F$1/C403</f>
        <v>259.49761262196387</v>
      </c>
      <c r="H403" s="2">
        <f>D403*F402</f>
        <v>-1224.4607389478172</v>
      </c>
      <c r="I403" s="2">
        <f>E403*G402</f>
        <v>-142.52027674846761</v>
      </c>
      <c r="J403" s="2">
        <f>I403-H403</f>
        <v>1081.9404621993494</v>
      </c>
      <c r="K403" s="2">
        <f t="shared" si="51"/>
        <v>-1081.9404621993494</v>
      </c>
      <c r="L403" s="3">
        <f>C403/B403</f>
        <v>2.7773693693693695</v>
      </c>
      <c r="M403" s="3">
        <f t="shared" si="54"/>
        <v>2.7210061392710698</v>
      </c>
      <c r="N403" s="3">
        <f t="shared" si="49"/>
        <v>2.7116181598368048</v>
      </c>
      <c r="O403" s="3">
        <f t="shared" si="50"/>
        <v>2.6960328257125248</v>
      </c>
      <c r="P403" s="3">
        <f t="shared" si="52"/>
        <v>2.762803206541764</v>
      </c>
      <c r="Q403" s="4" t="str">
        <f t="shared" si="57"/>
        <v>OVER</v>
      </c>
      <c r="R403" s="4" t="str">
        <f t="shared" si="57"/>
        <v>OVER</v>
      </c>
      <c r="S403" s="4" t="str">
        <f t="shared" si="55"/>
        <v>OVER</v>
      </c>
      <c r="T403" s="4" t="str">
        <f t="shared" si="55"/>
        <v>OVER</v>
      </c>
      <c r="U403" s="2">
        <f>IF(Q403="OVER",$J403,$K403)</f>
        <v>1081.9404621993494</v>
      </c>
      <c r="V403" s="2">
        <f>IF(R403="OVER",$J403,$K403)</f>
        <v>1081.9404621993494</v>
      </c>
      <c r="W403" s="2">
        <f>IF(S403="OVER",$J403,$K403)</f>
        <v>1081.9404621993494</v>
      </c>
      <c r="X403" s="2">
        <f>IF(T403="OVER",$J403,$K403)</f>
        <v>1081.9404621993494</v>
      </c>
      <c r="Y403" s="9">
        <f t="shared" si="56"/>
        <v>-2633.0853196537546</v>
      </c>
      <c r="Z403" s="9">
        <f t="shared" si="56"/>
        <v>8034.7945709339547</v>
      </c>
      <c r="AA403" s="9">
        <f t="shared" si="56"/>
        <v>19454.31475285134</v>
      </c>
      <c r="AB403" s="9">
        <f t="shared" si="53"/>
        <v>3146.5855383506737</v>
      </c>
    </row>
    <row r="404" spans="1:28" x14ac:dyDescent="0.3">
      <c r="A404" s="1">
        <v>44999</v>
      </c>
      <c r="B404" s="2">
        <v>140.69999999999999</v>
      </c>
      <c r="C404" s="2">
        <v>391.73</v>
      </c>
      <c r="D404" s="9">
        <f>B404-B403</f>
        <v>1.9499999999999886</v>
      </c>
      <c r="E404" s="9">
        <f>C404-C403</f>
        <v>6.3700000000000045</v>
      </c>
      <c r="F404" s="3">
        <f>F$1/B404</f>
        <v>710.73205401563621</v>
      </c>
      <c r="G404" s="3">
        <f>F$1/C404</f>
        <v>255.27786996145304</v>
      </c>
      <c r="H404" s="2">
        <f>D404*F403</f>
        <v>1405.4054054053972</v>
      </c>
      <c r="I404" s="2">
        <f>E404*G403</f>
        <v>1652.999792401911</v>
      </c>
      <c r="J404" s="2">
        <f>I404-H404</f>
        <v>247.59438699651378</v>
      </c>
      <c r="K404" s="2">
        <f t="shared" si="51"/>
        <v>-247.59438699651378</v>
      </c>
      <c r="L404" s="3">
        <f>C404/B404</f>
        <v>2.7841506751954515</v>
      </c>
      <c r="M404" s="3">
        <f t="shared" si="54"/>
        <v>2.7291210703649673</v>
      </c>
      <c r="N404" s="3">
        <f t="shared" si="49"/>
        <v>2.715604599590681</v>
      </c>
      <c r="O404" s="3">
        <f t="shared" si="50"/>
        <v>2.6976454732853896</v>
      </c>
      <c r="P404" s="3">
        <f t="shared" si="52"/>
        <v>2.7629196800594764</v>
      </c>
      <c r="Q404" s="4" t="str">
        <f t="shared" si="57"/>
        <v>OVER</v>
      </c>
      <c r="R404" s="4" t="str">
        <f t="shared" si="57"/>
        <v>OVER</v>
      </c>
      <c r="S404" s="4" t="str">
        <f t="shared" si="55"/>
        <v>OVER</v>
      </c>
      <c r="T404" s="4" t="str">
        <f t="shared" si="55"/>
        <v>OVER</v>
      </c>
      <c r="U404" s="2">
        <f>IF(Q404="OVER",$J404,$K404)</f>
        <v>247.59438699651378</v>
      </c>
      <c r="V404" s="2">
        <f>IF(R404="OVER",$J404,$K404)</f>
        <v>247.59438699651378</v>
      </c>
      <c r="W404" s="2">
        <f>IF(S404="OVER",$J404,$K404)</f>
        <v>247.59438699651378</v>
      </c>
      <c r="X404" s="2">
        <f>IF(T404="OVER",$J404,$K404)</f>
        <v>247.59438699651378</v>
      </c>
      <c r="Y404" s="9">
        <f t="shared" si="56"/>
        <v>-2385.4909326572406</v>
      </c>
      <c r="Z404" s="9">
        <f t="shared" si="56"/>
        <v>8282.3889579304687</v>
      </c>
      <c r="AA404" s="9">
        <f t="shared" si="56"/>
        <v>19701.909139847852</v>
      </c>
      <c r="AB404" s="9">
        <f t="shared" si="53"/>
        <v>3394.1799253471872</v>
      </c>
    </row>
    <row r="405" spans="1:28" x14ac:dyDescent="0.3">
      <c r="A405" s="1">
        <v>45000</v>
      </c>
      <c r="B405" s="2">
        <v>138.72999999999999</v>
      </c>
      <c r="C405" s="2">
        <v>389.28</v>
      </c>
      <c r="D405" s="9">
        <f>B405-B404</f>
        <v>-1.9699999999999989</v>
      </c>
      <c r="E405" s="9">
        <f>C405-C404</f>
        <v>-2.4500000000000455</v>
      </c>
      <c r="F405" s="3">
        <f>F$1/B405</f>
        <v>720.82462336913431</v>
      </c>
      <c r="G405" s="3">
        <f>F$1/C405</f>
        <v>256.88450472667489</v>
      </c>
      <c r="H405" s="2">
        <f>D405*F404</f>
        <v>-1400.1421464108025</v>
      </c>
      <c r="I405" s="2">
        <f>E405*G404</f>
        <v>-625.43078140557157</v>
      </c>
      <c r="J405" s="2">
        <f>I405-H405</f>
        <v>774.71136500523096</v>
      </c>
      <c r="K405" s="2">
        <f t="shared" si="51"/>
        <v>-774.71136500523096</v>
      </c>
      <c r="L405" s="3">
        <f>C405/B405</f>
        <v>2.8060260938513659</v>
      </c>
      <c r="M405" s="3">
        <f t="shared" si="54"/>
        <v>2.7399635485398255</v>
      </c>
      <c r="N405" s="3">
        <f t="shared" si="49"/>
        <v>2.7204897845667886</v>
      </c>
      <c r="O405" s="3">
        <f t="shared" si="50"/>
        <v>2.6996166146314433</v>
      </c>
      <c r="P405" s="3">
        <f t="shared" si="52"/>
        <v>2.7631609420521737</v>
      </c>
      <c r="Q405" s="4" t="str">
        <f t="shared" si="57"/>
        <v>OVER</v>
      </c>
      <c r="R405" s="4" t="str">
        <f t="shared" si="57"/>
        <v>OVER</v>
      </c>
      <c r="S405" s="4" t="str">
        <f t="shared" si="55"/>
        <v>OVER</v>
      </c>
      <c r="T405" s="4" t="str">
        <f t="shared" si="55"/>
        <v>OVER</v>
      </c>
      <c r="U405" s="2">
        <f>IF(Q405="OVER",$J405,$K405)</f>
        <v>774.71136500523096</v>
      </c>
      <c r="V405" s="2">
        <f>IF(R405="OVER",$J405,$K405)</f>
        <v>774.71136500523096</v>
      </c>
      <c r="W405" s="2">
        <f>IF(S405="OVER",$J405,$K405)</f>
        <v>774.71136500523096</v>
      </c>
      <c r="X405" s="2">
        <f>IF(T405="OVER",$J405,$K405)</f>
        <v>774.71136500523096</v>
      </c>
      <c r="Y405" s="9">
        <f t="shared" si="56"/>
        <v>-1610.7795676520095</v>
      </c>
      <c r="Z405" s="9">
        <f t="shared" si="56"/>
        <v>9057.1003229356993</v>
      </c>
      <c r="AA405" s="9">
        <f t="shared" si="56"/>
        <v>20476.620504853083</v>
      </c>
      <c r="AB405" s="9">
        <f t="shared" si="53"/>
        <v>4168.8912903524179</v>
      </c>
    </row>
    <row r="406" spans="1:28" x14ac:dyDescent="0.3">
      <c r="A406" s="1">
        <v>45001</v>
      </c>
      <c r="B406" s="2">
        <v>140.4</v>
      </c>
      <c r="C406" s="2">
        <v>396.11</v>
      </c>
      <c r="D406" s="9">
        <f>B406-B405</f>
        <v>1.6700000000000159</v>
      </c>
      <c r="E406" s="9">
        <f>C406-C405</f>
        <v>6.8300000000000409</v>
      </c>
      <c r="F406" s="3">
        <f>F$1/B406</f>
        <v>712.25071225071224</v>
      </c>
      <c r="G406" s="3">
        <f>F$1/C406</f>
        <v>252.45512610133548</v>
      </c>
      <c r="H406" s="2">
        <f>D406*F405</f>
        <v>1203.7771210264657</v>
      </c>
      <c r="I406" s="2">
        <f>E406*G405</f>
        <v>1754.5211672831999</v>
      </c>
      <c r="J406" s="2">
        <f>I406-H406</f>
        <v>550.74404625673424</v>
      </c>
      <c r="K406" s="2">
        <f t="shared" si="51"/>
        <v>-550.74404625673424</v>
      </c>
      <c r="L406" s="3">
        <f>C406/B406</f>
        <v>2.8212962962962962</v>
      </c>
      <c r="M406" s="3">
        <f t="shared" si="54"/>
        <v>2.7523549085735777</v>
      </c>
      <c r="N406" s="3">
        <f t="shared" si="49"/>
        <v>2.7263377193188907</v>
      </c>
      <c r="O406" s="3">
        <f t="shared" si="50"/>
        <v>2.7020714521219942</v>
      </c>
      <c r="P406" s="3">
        <f t="shared" si="52"/>
        <v>2.7634567277773696</v>
      </c>
      <c r="Q406" s="4" t="str">
        <f t="shared" si="57"/>
        <v>OVER</v>
      </c>
      <c r="R406" s="4" t="str">
        <f t="shared" si="57"/>
        <v>OVER</v>
      </c>
      <c r="S406" s="4" t="str">
        <f t="shared" si="55"/>
        <v>OVER</v>
      </c>
      <c r="T406" s="4" t="str">
        <f t="shared" si="55"/>
        <v>OVER</v>
      </c>
      <c r="U406" s="2">
        <f>IF(Q406="OVER",$J406,$K406)</f>
        <v>550.74404625673424</v>
      </c>
      <c r="V406" s="2">
        <f>IF(R406="OVER",$J406,$K406)</f>
        <v>550.74404625673424</v>
      </c>
      <c r="W406" s="2">
        <f>IF(S406="OVER",$J406,$K406)</f>
        <v>550.74404625673424</v>
      </c>
      <c r="X406" s="2">
        <f>IF(T406="OVER",$J406,$K406)</f>
        <v>550.74404625673424</v>
      </c>
      <c r="Y406" s="9">
        <f t="shared" si="56"/>
        <v>-1060.0355213952753</v>
      </c>
      <c r="Z406" s="9">
        <f t="shared" si="56"/>
        <v>9607.8443691924331</v>
      </c>
      <c r="AA406" s="9">
        <f t="shared" si="56"/>
        <v>21027.364551109818</v>
      </c>
      <c r="AB406" s="9">
        <f t="shared" si="53"/>
        <v>4719.6353366091516</v>
      </c>
    </row>
    <row r="407" spans="1:28" x14ac:dyDescent="0.3">
      <c r="A407" s="1">
        <v>45002</v>
      </c>
      <c r="B407" s="2">
        <v>138.03</v>
      </c>
      <c r="C407" s="2">
        <v>389.99</v>
      </c>
      <c r="D407" s="9">
        <f>B407-B406</f>
        <v>-2.3700000000000045</v>
      </c>
      <c r="E407" s="9">
        <f>C407-C406</f>
        <v>-6.1200000000000045</v>
      </c>
      <c r="F407" s="3">
        <f>F$1/B407</f>
        <v>724.48018546692742</v>
      </c>
      <c r="G407" s="3">
        <f>F$1/C407</f>
        <v>256.4168312008</v>
      </c>
      <c r="H407" s="2">
        <f>D407*F406</f>
        <v>-1688.0341880341912</v>
      </c>
      <c r="I407" s="2">
        <f>E407*G406</f>
        <v>-1545.0253717401743</v>
      </c>
      <c r="J407" s="2">
        <f>I407-H407</f>
        <v>143.00881629401692</v>
      </c>
      <c r="K407" s="2">
        <f t="shared" si="51"/>
        <v>-143.00881629401692</v>
      </c>
      <c r="L407" s="3">
        <f>C407/B407</f>
        <v>2.8254002753024707</v>
      </c>
      <c r="M407" s="3">
        <f t="shared" si="54"/>
        <v>2.7646241236665126</v>
      </c>
      <c r="N407" s="3">
        <f t="shared" ref="N407:N470" si="58">AVERAGE(L388:L407)</f>
        <v>2.7327283145177774</v>
      </c>
      <c r="O407" s="3">
        <f t="shared" si="50"/>
        <v>2.7050265689872401</v>
      </c>
      <c r="P407" s="3">
        <f t="shared" si="52"/>
        <v>2.7637205048203022</v>
      </c>
      <c r="Q407" s="4" t="str">
        <f t="shared" si="57"/>
        <v>OVER</v>
      </c>
      <c r="R407" s="4" t="str">
        <f t="shared" si="57"/>
        <v>OVER</v>
      </c>
      <c r="S407" s="4" t="str">
        <f t="shared" si="55"/>
        <v>OVER</v>
      </c>
      <c r="T407" s="4" t="str">
        <f t="shared" si="55"/>
        <v>OVER</v>
      </c>
      <c r="U407" s="2">
        <f>IF(Q407="OVER",$J407,$K407)</f>
        <v>143.00881629401692</v>
      </c>
      <c r="V407" s="2">
        <f>IF(R407="OVER",$J407,$K407)</f>
        <v>143.00881629401692</v>
      </c>
      <c r="W407" s="2">
        <f>IF(S407="OVER",$J407,$K407)</f>
        <v>143.00881629401692</v>
      </c>
      <c r="X407" s="2">
        <f>IF(T407="OVER",$J407,$K407)</f>
        <v>143.00881629401692</v>
      </c>
      <c r="Y407" s="9">
        <f t="shared" si="56"/>
        <v>-917.02670510125836</v>
      </c>
      <c r="Z407" s="9">
        <f t="shared" si="56"/>
        <v>9750.8531854864505</v>
      </c>
      <c r="AA407" s="9">
        <f t="shared" si="56"/>
        <v>21170.373367403834</v>
      </c>
      <c r="AB407" s="9">
        <f t="shared" si="53"/>
        <v>4862.644152903169</v>
      </c>
    </row>
    <row r="408" spans="1:28" x14ac:dyDescent="0.3">
      <c r="A408" s="1">
        <v>45005</v>
      </c>
      <c r="B408" s="2">
        <v>139.12</v>
      </c>
      <c r="C408" s="2">
        <v>393.74</v>
      </c>
      <c r="D408" s="9">
        <f>B408-B407</f>
        <v>1.0900000000000034</v>
      </c>
      <c r="E408" s="9">
        <f>C408-C407</f>
        <v>3.75</v>
      </c>
      <c r="F408" s="3">
        <f>F$1/B408</f>
        <v>718.803910293272</v>
      </c>
      <c r="G408" s="3">
        <f>F$1/C408</f>
        <v>253.97470411946969</v>
      </c>
      <c r="H408" s="2">
        <f>D408*F407</f>
        <v>789.68340215895341</v>
      </c>
      <c r="I408" s="2">
        <f>E408*G407</f>
        <v>961.563117003</v>
      </c>
      <c r="J408" s="2">
        <f>I408-H408</f>
        <v>171.87971484404659</v>
      </c>
      <c r="K408" s="2">
        <f t="shared" si="51"/>
        <v>-171.87971484404659</v>
      </c>
      <c r="L408" s="3">
        <f>C408/B408</f>
        <v>2.830218516388729</v>
      </c>
      <c r="M408" s="3">
        <f t="shared" si="54"/>
        <v>2.7758795303682087</v>
      </c>
      <c r="N408" s="3">
        <f t="shared" si="58"/>
        <v>2.7394117226255008</v>
      </c>
      <c r="O408" s="3">
        <f t="shared" si="50"/>
        <v>2.7081330897768354</v>
      </c>
      <c r="P408" s="3">
        <f t="shared" si="52"/>
        <v>2.7639730565132066</v>
      </c>
      <c r="Q408" s="4" t="str">
        <f t="shared" si="57"/>
        <v>OVER</v>
      </c>
      <c r="R408" s="4" t="str">
        <f t="shared" si="57"/>
        <v>OVER</v>
      </c>
      <c r="S408" s="4" t="str">
        <f t="shared" si="55"/>
        <v>OVER</v>
      </c>
      <c r="T408" s="4" t="str">
        <f t="shared" si="55"/>
        <v>OVER</v>
      </c>
      <c r="U408" s="2">
        <f>IF(Q408="OVER",$J408,$K408)</f>
        <v>171.87971484404659</v>
      </c>
      <c r="V408" s="2">
        <f>IF(R408="OVER",$J408,$K408)</f>
        <v>171.87971484404659</v>
      </c>
      <c r="W408" s="2">
        <f>IF(S408="OVER",$J408,$K408)</f>
        <v>171.87971484404659</v>
      </c>
      <c r="X408" s="2">
        <f>IF(T408="OVER",$J408,$K408)</f>
        <v>171.87971484404659</v>
      </c>
      <c r="Y408" s="9">
        <f t="shared" si="56"/>
        <v>-745.14699025721177</v>
      </c>
      <c r="Z408" s="9">
        <f t="shared" si="56"/>
        <v>9922.7329003304967</v>
      </c>
      <c r="AA408" s="9">
        <f t="shared" si="56"/>
        <v>21342.25308224788</v>
      </c>
      <c r="AB408" s="9">
        <f t="shared" si="53"/>
        <v>5034.5238677472153</v>
      </c>
    </row>
    <row r="409" spans="1:28" x14ac:dyDescent="0.3">
      <c r="A409" s="1">
        <v>45006</v>
      </c>
      <c r="B409" s="2">
        <v>140.97999999999999</v>
      </c>
      <c r="C409" s="2">
        <v>398.91</v>
      </c>
      <c r="D409" s="9">
        <f>B409-B408</f>
        <v>1.8599999999999852</v>
      </c>
      <c r="E409" s="9">
        <f>C409-C408</f>
        <v>5.1700000000000159</v>
      </c>
      <c r="F409" s="3">
        <f>F$1/B409</f>
        <v>709.32047098879275</v>
      </c>
      <c r="G409" s="3">
        <f>F$1/C409</f>
        <v>250.68311147877967</v>
      </c>
      <c r="H409" s="2">
        <f>D409*F408</f>
        <v>1336.9752731454753</v>
      </c>
      <c r="I409" s="2">
        <f>E409*G408</f>
        <v>1313.0492202976623</v>
      </c>
      <c r="J409" s="2">
        <f>I409-H409</f>
        <v>-23.926052847813025</v>
      </c>
      <c r="K409" s="2">
        <f t="shared" si="51"/>
        <v>23.926052847813025</v>
      </c>
      <c r="L409" s="3">
        <f>C409/B409</f>
        <v>2.8295502908213934</v>
      </c>
      <c r="M409" s="3">
        <f t="shared" si="54"/>
        <v>2.7868479446856145</v>
      </c>
      <c r="N409" s="3">
        <f t="shared" si="58"/>
        <v>2.7458333996031188</v>
      </c>
      <c r="O409" s="3">
        <f t="shared" si="50"/>
        <v>2.711280592184877</v>
      </c>
      <c r="P409" s="3">
        <f t="shared" si="52"/>
        <v>2.7642022405403428</v>
      </c>
      <c r="Q409" s="4" t="str">
        <f t="shared" si="57"/>
        <v>OVER</v>
      </c>
      <c r="R409" s="4" t="str">
        <f t="shared" si="57"/>
        <v>OVER</v>
      </c>
      <c r="S409" s="4" t="str">
        <f t="shared" si="55"/>
        <v>OVER</v>
      </c>
      <c r="T409" s="4" t="str">
        <f t="shared" si="55"/>
        <v>OVER</v>
      </c>
      <c r="U409" s="2">
        <f>IF(Q409="OVER",$J409,$K409)</f>
        <v>-23.926052847813025</v>
      </c>
      <c r="V409" s="2">
        <f>IF(R409="OVER",$J409,$K409)</f>
        <v>-23.926052847813025</v>
      </c>
      <c r="W409" s="2">
        <f>IF(S409="OVER",$J409,$K409)</f>
        <v>-23.926052847813025</v>
      </c>
      <c r="X409" s="2">
        <f>IF(T409="OVER",$J409,$K409)</f>
        <v>-23.926052847813025</v>
      </c>
      <c r="Y409" s="9">
        <f t="shared" si="56"/>
        <v>-769.07304310502479</v>
      </c>
      <c r="Z409" s="9">
        <f t="shared" si="56"/>
        <v>9898.8068474826832</v>
      </c>
      <c r="AA409" s="9">
        <f t="shared" si="56"/>
        <v>21318.327029400069</v>
      </c>
      <c r="AB409" s="9">
        <f t="shared" si="53"/>
        <v>5010.5978148994018</v>
      </c>
    </row>
    <row r="410" spans="1:28" x14ac:dyDescent="0.3">
      <c r="A410" s="1">
        <v>45007</v>
      </c>
      <c r="B410" s="2">
        <v>137.81</v>
      </c>
      <c r="C410" s="2">
        <v>392.11</v>
      </c>
      <c r="D410" s="9">
        <f>B410-B409</f>
        <v>-3.1699999999999875</v>
      </c>
      <c r="E410" s="9">
        <f>C410-C409</f>
        <v>-6.8000000000000114</v>
      </c>
      <c r="F410" s="3">
        <f>F$1/B410</f>
        <v>725.63674624482985</v>
      </c>
      <c r="G410" s="3">
        <f>F$1/C410</f>
        <v>255.03047614189896</v>
      </c>
      <c r="H410" s="2">
        <f>D410*F409</f>
        <v>-2248.5458930344644</v>
      </c>
      <c r="I410" s="2">
        <f>E410*G409</f>
        <v>-1704.6451580557045</v>
      </c>
      <c r="J410" s="2">
        <f>I410-H410</f>
        <v>543.90073497875983</v>
      </c>
      <c r="K410" s="2">
        <f t="shared" si="51"/>
        <v>-543.90073497875983</v>
      </c>
      <c r="L410" s="3">
        <f>C410/B410</f>
        <v>2.8452942457006025</v>
      </c>
      <c r="M410" s="3">
        <f t="shared" si="54"/>
        <v>2.7995223876555659</v>
      </c>
      <c r="N410" s="3">
        <f t="shared" si="58"/>
        <v>2.7530638908405107</v>
      </c>
      <c r="O410" s="3">
        <f t="shared" si="50"/>
        <v>2.71479532836188</v>
      </c>
      <c r="P410" s="3">
        <f t="shared" si="52"/>
        <v>2.7645750301868794</v>
      </c>
      <c r="Q410" s="4" t="str">
        <f t="shared" si="57"/>
        <v>OVER</v>
      </c>
      <c r="R410" s="4" t="str">
        <f t="shared" si="57"/>
        <v>OVER</v>
      </c>
      <c r="S410" s="4" t="str">
        <f t="shared" si="55"/>
        <v>OVER</v>
      </c>
      <c r="T410" s="4" t="str">
        <f t="shared" si="55"/>
        <v>OVER</v>
      </c>
      <c r="U410" s="2">
        <f>IF(Q410="OVER",$J410,$K410)</f>
        <v>543.90073497875983</v>
      </c>
      <c r="V410" s="2">
        <f>IF(R410="OVER",$J410,$K410)</f>
        <v>543.90073497875983</v>
      </c>
      <c r="W410" s="2">
        <f>IF(S410="OVER",$J410,$K410)</f>
        <v>543.90073497875983</v>
      </c>
      <c r="X410" s="2">
        <f>IF(T410="OVER",$J410,$K410)</f>
        <v>543.90073497875983</v>
      </c>
      <c r="Y410" s="9">
        <f t="shared" si="56"/>
        <v>-225.17230812626497</v>
      </c>
      <c r="Z410" s="9">
        <f t="shared" si="56"/>
        <v>10442.707582461444</v>
      </c>
      <c r="AA410" s="9">
        <f t="shared" si="56"/>
        <v>21862.227764378829</v>
      </c>
      <c r="AB410" s="9">
        <f t="shared" si="53"/>
        <v>5554.4985498781616</v>
      </c>
    </row>
    <row r="411" spans="1:28" x14ac:dyDescent="0.3">
      <c r="A411" s="1">
        <v>45008</v>
      </c>
      <c r="B411" s="2">
        <v>137.35</v>
      </c>
      <c r="C411" s="2">
        <v>393.17</v>
      </c>
      <c r="D411" s="9">
        <f>B411-B410</f>
        <v>-0.46000000000000796</v>
      </c>
      <c r="E411" s="9">
        <f>C411-C410</f>
        <v>1.0600000000000023</v>
      </c>
      <c r="F411" s="3">
        <f>F$1/B411</f>
        <v>728.06698216235895</v>
      </c>
      <c r="G411" s="3">
        <f>F$1/C411</f>
        <v>254.34290510466209</v>
      </c>
      <c r="H411" s="2">
        <f>D411*F410</f>
        <v>-333.79290327262748</v>
      </c>
      <c r="I411" s="2">
        <f>E411*G410</f>
        <v>270.3323047104135</v>
      </c>
      <c r="J411" s="2">
        <f>I411-H411</f>
        <v>604.12520798304104</v>
      </c>
      <c r="K411" s="2">
        <f t="shared" si="51"/>
        <v>-604.12520798304104</v>
      </c>
      <c r="L411" s="3">
        <f>C411/B411</f>
        <v>2.8625409537677471</v>
      </c>
      <c r="M411" s="3">
        <f t="shared" si="54"/>
        <v>2.8129123715340829</v>
      </c>
      <c r="N411" s="3">
        <f t="shared" si="58"/>
        <v>2.7609424913239291</v>
      </c>
      <c r="O411" s="3">
        <f t="shared" si="50"/>
        <v>2.7186809336102096</v>
      </c>
      <c r="P411" s="3">
        <f t="shared" si="52"/>
        <v>2.7650423311496524</v>
      </c>
      <c r="Q411" s="4" t="str">
        <f t="shared" si="57"/>
        <v>OVER</v>
      </c>
      <c r="R411" s="4" t="str">
        <f t="shared" si="57"/>
        <v>OVER</v>
      </c>
      <c r="S411" s="4" t="str">
        <f t="shared" si="55"/>
        <v>OVER</v>
      </c>
      <c r="T411" s="4" t="str">
        <f t="shared" si="55"/>
        <v>OVER</v>
      </c>
      <c r="U411" s="2">
        <f>IF(Q411="OVER",$J411,$K411)</f>
        <v>604.12520798304104</v>
      </c>
      <c r="V411" s="2">
        <f>IF(R411="OVER",$J411,$K411)</f>
        <v>604.12520798304104</v>
      </c>
      <c r="W411" s="2">
        <f>IF(S411="OVER",$J411,$K411)</f>
        <v>604.12520798304104</v>
      </c>
      <c r="X411" s="2">
        <f>IF(T411="OVER",$J411,$K411)</f>
        <v>604.12520798304104</v>
      </c>
      <c r="Y411" s="9">
        <f t="shared" si="56"/>
        <v>378.95289985677607</v>
      </c>
      <c r="Z411" s="9">
        <f t="shared" si="56"/>
        <v>11046.832790444485</v>
      </c>
      <c r="AA411" s="9">
        <f t="shared" si="56"/>
        <v>22466.35297236187</v>
      </c>
      <c r="AB411" s="9">
        <f t="shared" si="53"/>
        <v>6158.6237578612026</v>
      </c>
    </row>
    <row r="412" spans="1:28" x14ac:dyDescent="0.3">
      <c r="A412" s="1">
        <v>45009</v>
      </c>
      <c r="B412" s="2">
        <v>138.52000000000001</v>
      </c>
      <c r="C412" s="2">
        <v>395.75</v>
      </c>
      <c r="D412" s="9">
        <f>B412-B411</f>
        <v>1.1700000000000159</v>
      </c>
      <c r="E412" s="9">
        <f>C412-C411</f>
        <v>2.5799999999999841</v>
      </c>
      <c r="F412" s="3">
        <f>F$1/B412</f>
        <v>721.91741264799305</v>
      </c>
      <c r="G412" s="3">
        <f>F$1/C412</f>
        <v>252.68477574226154</v>
      </c>
      <c r="H412" s="2">
        <f>D412*F411</f>
        <v>851.83836912997151</v>
      </c>
      <c r="I412" s="2">
        <f>E412*G411</f>
        <v>656.20469517002414</v>
      </c>
      <c r="J412" s="2">
        <f>I412-H412</f>
        <v>-195.63367395994737</v>
      </c>
      <c r="K412" s="2">
        <f t="shared" si="51"/>
        <v>195.63367395994737</v>
      </c>
      <c r="L412" s="3">
        <f>C412/B412</f>
        <v>2.8569881605544323</v>
      </c>
      <c r="M412" s="3">
        <f t="shared" si="54"/>
        <v>2.8238834877247863</v>
      </c>
      <c r="N412" s="3">
        <f t="shared" si="58"/>
        <v>2.7688310549526038</v>
      </c>
      <c r="O412" s="3">
        <f t="shared" si="50"/>
        <v>2.722429768095596</v>
      </c>
      <c r="P412" s="3">
        <f t="shared" si="52"/>
        <v>2.7654812718192066</v>
      </c>
      <c r="Q412" s="4" t="str">
        <f t="shared" si="57"/>
        <v>OVER</v>
      </c>
      <c r="R412" s="4" t="str">
        <f t="shared" si="57"/>
        <v>OVER</v>
      </c>
      <c r="S412" s="4" t="str">
        <f t="shared" si="55"/>
        <v>OVER</v>
      </c>
      <c r="T412" s="4" t="str">
        <f t="shared" si="55"/>
        <v>OVER</v>
      </c>
      <c r="U412" s="2">
        <f>IF(Q412="OVER",$J412,$K412)</f>
        <v>-195.63367395994737</v>
      </c>
      <c r="V412" s="2">
        <f>IF(R412="OVER",$J412,$K412)</f>
        <v>-195.63367395994737</v>
      </c>
      <c r="W412" s="2">
        <f>IF(S412="OVER",$J412,$K412)</f>
        <v>-195.63367395994737</v>
      </c>
      <c r="X412" s="2">
        <f>IF(T412="OVER",$J412,$K412)</f>
        <v>-195.63367395994737</v>
      </c>
      <c r="Y412" s="9">
        <f t="shared" si="56"/>
        <v>183.3192258968287</v>
      </c>
      <c r="Z412" s="9">
        <f t="shared" si="56"/>
        <v>10851.199116484539</v>
      </c>
      <c r="AA412" s="9">
        <f t="shared" si="56"/>
        <v>22270.719298401924</v>
      </c>
      <c r="AB412" s="9">
        <f t="shared" si="53"/>
        <v>5962.9900839012553</v>
      </c>
    </row>
    <row r="413" spans="1:28" x14ac:dyDescent="0.3">
      <c r="A413" s="1">
        <v>45012</v>
      </c>
      <c r="B413" s="2">
        <v>139.44</v>
      </c>
      <c r="C413" s="2">
        <v>396.49</v>
      </c>
      <c r="D413" s="9">
        <f>B413-B412</f>
        <v>0.91999999999998749</v>
      </c>
      <c r="E413" s="9">
        <f>C413-C412</f>
        <v>0.74000000000000909</v>
      </c>
      <c r="F413" s="3">
        <f>F$1/B413</f>
        <v>717.15433161216299</v>
      </c>
      <c r="G413" s="3">
        <f>F$1/C413</f>
        <v>252.21317057176725</v>
      </c>
      <c r="H413" s="2">
        <f>D413*F412</f>
        <v>664.16401963614453</v>
      </c>
      <c r="I413" s="2">
        <f>E413*G412</f>
        <v>186.98673404927584</v>
      </c>
      <c r="J413" s="2">
        <f>I413-H413</f>
        <v>-477.17728558686872</v>
      </c>
      <c r="K413" s="2">
        <f t="shared" si="51"/>
        <v>477.17728558686872</v>
      </c>
      <c r="L413" s="3">
        <f>C413/B413</f>
        <v>2.8434452094090648</v>
      </c>
      <c r="M413" s="3">
        <f t="shared" si="54"/>
        <v>2.8304910717287557</v>
      </c>
      <c r="N413" s="3">
        <f t="shared" si="58"/>
        <v>2.7757486054999125</v>
      </c>
      <c r="O413" s="3">
        <f t="shared" si="50"/>
        <v>2.7259151327463913</v>
      </c>
      <c r="P413" s="3">
        <f t="shared" si="52"/>
        <v>2.7658049915482574</v>
      </c>
      <c r="Q413" s="4" t="str">
        <f t="shared" si="57"/>
        <v>OVER</v>
      </c>
      <c r="R413" s="4" t="str">
        <f t="shared" si="57"/>
        <v>OVER</v>
      </c>
      <c r="S413" s="4" t="str">
        <f t="shared" si="55"/>
        <v>OVER</v>
      </c>
      <c r="T413" s="4" t="str">
        <f t="shared" si="55"/>
        <v>OVER</v>
      </c>
      <c r="U413" s="2">
        <f>IF(Q413="OVER",$J413,$K413)</f>
        <v>-477.17728558686872</v>
      </c>
      <c r="V413" s="2">
        <f>IF(R413="OVER",$J413,$K413)</f>
        <v>-477.17728558686872</v>
      </c>
      <c r="W413" s="2">
        <f>IF(S413="OVER",$J413,$K413)</f>
        <v>-477.17728558686872</v>
      </c>
      <c r="X413" s="2">
        <f>IF(T413="OVER",$J413,$K413)</f>
        <v>-477.17728558686872</v>
      </c>
      <c r="Y413" s="9">
        <f t="shared" si="56"/>
        <v>-293.85805969004002</v>
      </c>
      <c r="Z413" s="9">
        <f t="shared" si="56"/>
        <v>10374.021830897669</v>
      </c>
      <c r="AA413" s="9">
        <f t="shared" si="56"/>
        <v>21793.542012815054</v>
      </c>
      <c r="AB413" s="9">
        <f t="shared" si="53"/>
        <v>5485.8127983143868</v>
      </c>
    </row>
    <row r="414" spans="1:28" x14ac:dyDescent="0.3">
      <c r="A414" s="1">
        <v>45013</v>
      </c>
      <c r="B414" s="2">
        <v>139.72</v>
      </c>
      <c r="C414" s="2">
        <v>395.6</v>
      </c>
      <c r="D414" s="9">
        <f>B414-B413</f>
        <v>0.28000000000000114</v>
      </c>
      <c r="E414" s="9">
        <f>C414-C413</f>
        <v>-0.88999999999998636</v>
      </c>
      <c r="F414" s="3">
        <f>F$1/B414</f>
        <v>715.7171485828801</v>
      </c>
      <c r="G414" s="3">
        <f>F$1/C414</f>
        <v>252.78058645096056</v>
      </c>
      <c r="H414" s="2">
        <f>D414*F413</f>
        <v>200.80321285140644</v>
      </c>
      <c r="I414" s="2">
        <f>E414*G413</f>
        <v>-224.46972180886942</v>
      </c>
      <c r="J414" s="2">
        <f>I414-H414</f>
        <v>-425.27293466027584</v>
      </c>
      <c r="K414" s="2">
        <f t="shared" si="51"/>
        <v>425.27293466027584</v>
      </c>
      <c r="L414" s="3">
        <f>C414/B414</f>
        <v>2.8313770397938738</v>
      </c>
      <c r="M414" s="3">
        <f t="shared" si="54"/>
        <v>2.835213708188598</v>
      </c>
      <c r="N414" s="3">
        <f t="shared" si="58"/>
        <v>2.7821673892767818</v>
      </c>
      <c r="O414" s="3">
        <f t="shared" si="50"/>
        <v>2.7290778583547728</v>
      </c>
      <c r="P414" s="3">
        <f t="shared" si="52"/>
        <v>2.7660856237226854</v>
      </c>
      <c r="Q414" s="4" t="str">
        <f t="shared" si="57"/>
        <v>OVER</v>
      </c>
      <c r="R414" s="4" t="str">
        <f t="shared" si="57"/>
        <v>OVER</v>
      </c>
      <c r="S414" s="4" t="str">
        <f t="shared" si="55"/>
        <v>OVER</v>
      </c>
      <c r="T414" s="4" t="str">
        <f t="shared" si="55"/>
        <v>OVER</v>
      </c>
      <c r="U414" s="2">
        <f>IF(Q414="OVER",$J414,$K414)</f>
        <v>-425.27293466027584</v>
      </c>
      <c r="V414" s="2">
        <f>IF(R414="OVER",$J414,$K414)</f>
        <v>-425.27293466027584</v>
      </c>
      <c r="W414" s="2">
        <f>IF(S414="OVER",$J414,$K414)</f>
        <v>-425.27293466027584</v>
      </c>
      <c r="X414" s="2">
        <f>IF(T414="OVER",$J414,$K414)</f>
        <v>-425.27293466027584</v>
      </c>
      <c r="Y414" s="9">
        <f t="shared" si="56"/>
        <v>-719.13099435031586</v>
      </c>
      <c r="Z414" s="9">
        <f t="shared" si="56"/>
        <v>9948.7488962373936</v>
      </c>
      <c r="AA414" s="9">
        <f t="shared" si="56"/>
        <v>21368.269078154779</v>
      </c>
      <c r="AB414" s="9">
        <f t="shared" si="53"/>
        <v>5060.5398636541113</v>
      </c>
    </row>
    <row r="415" spans="1:28" x14ac:dyDescent="0.3">
      <c r="A415" s="1">
        <v>45014</v>
      </c>
      <c r="B415" s="2">
        <v>141.82</v>
      </c>
      <c r="C415" s="2">
        <v>401.35</v>
      </c>
      <c r="D415" s="9">
        <f>B415-B414</f>
        <v>2.0999999999999943</v>
      </c>
      <c r="E415" s="9">
        <f>C415-C414</f>
        <v>5.75</v>
      </c>
      <c r="F415" s="3">
        <f>F$1/B415</f>
        <v>705.11916513890856</v>
      </c>
      <c r="G415" s="3">
        <f>F$1/C415</f>
        <v>249.15908807773764</v>
      </c>
      <c r="H415" s="2">
        <f>D415*F414</f>
        <v>1503.0060120240441</v>
      </c>
      <c r="I415" s="2">
        <f>E415*G414</f>
        <v>1453.4883720930231</v>
      </c>
      <c r="J415" s="2">
        <f>I415-H415</f>
        <v>-49.517639931020994</v>
      </c>
      <c r="K415" s="2">
        <f t="shared" si="51"/>
        <v>49.517639931020994</v>
      </c>
      <c r="L415" s="3">
        <f>C415/B415</f>
        <v>2.8299957692850093</v>
      </c>
      <c r="M415" s="3">
        <f t="shared" si="54"/>
        <v>2.8376106757319621</v>
      </c>
      <c r="N415" s="3">
        <f t="shared" si="58"/>
        <v>2.7887871121358927</v>
      </c>
      <c r="O415" s="3">
        <f t="shared" si="50"/>
        <v>2.7321924974193759</v>
      </c>
      <c r="P415" s="3">
        <f t="shared" si="52"/>
        <v>2.7663844192843401</v>
      </c>
      <c r="Q415" s="4" t="str">
        <f t="shared" si="57"/>
        <v>UNDER</v>
      </c>
      <c r="R415" s="4" t="str">
        <f t="shared" si="57"/>
        <v>OVER</v>
      </c>
      <c r="S415" s="4" t="str">
        <f t="shared" si="55"/>
        <v>OVER</v>
      </c>
      <c r="T415" s="4" t="str">
        <f t="shared" si="55"/>
        <v>OVER</v>
      </c>
      <c r="U415" s="2">
        <f>IF(Q415="OVER",$J415,$K415)</f>
        <v>49.517639931020994</v>
      </c>
      <c r="V415" s="2">
        <f>IF(R415="OVER",$J415,$K415)</f>
        <v>-49.517639931020994</v>
      </c>
      <c r="W415" s="2">
        <f>IF(S415="OVER",$J415,$K415)</f>
        <v>-49.517639931020994</v>
      </c>
      <c r="X415" s="2">
        <f>IF(T415="OVER",$J415,$K415)</f>
        <v>-49.517639931020994</v>
      </c>
      <c r="Y415" s="9">
        <f t="shared" si="56"/>
        <v>-669.61335441929486</v>
      </c>
      <c r="Z415" s="9">
        <f t="shared" si="56"/>
        <v>9899.2312563063733</v>
      </c>
      <c r="AA415" s="9">
        <f t="shared" si="56"/>
        <v>21318.751438223757</v>
      </c>
      <c r="AB415" s="9">
        <f t="shared" si="53"/>
        <v>5011.0222237230901</v>
      </c>
    </row>
    <row r="416" spans="1:28" x14ac:dyDescent="0.3">
      <c r="A416" s="1">
        <v>45015</v>
      </c>
      <c r="B416" s="2">
        <v>142.52000000000001</v>
      </c>
      <c r="C416" s="2">
        <v>403.7</v>
      </c>
      <c r="D416" s="9">
        <f>B416-B415</f>
        <v>0.70000000000001705</v>
      </c>
      <c r="E416" s="9">
        <f>C416-C415</f>
        <v>2.3499999999999659</v>
      </c>
      <c r="F416" s="3">
        <f>F$1/B416</f>
        <v>701.65590794274488</v>
      </c>
      <c r="G416" s="3">
        <f>F$1/C416</f>
        <v>247.70869457517961</v>
      </c>
      <c r="H416" s="2">
        <f>D416*F415</f>
        <v>493.58341559724801</v>
      </c>
      <c r="I416" s="2">
        <f>E416*G415</f>
        <v>585.52385698267494</v>
      </c>
      <c r="J416" s="2">
        <f>I416-H416</f>
        <v>91.940441385426936</v>
      </c>
      <c r="K416" s="2">
        <f t="shared" si="51"/>
        <v>-91.940441385426936</v>
      </c>
      <c r="L416" s="3">
        <f>C416/B416</f>
        <v>2.8325849003648607</v>
      </c>
      <c r="M416" s="3">
        <f t="shared" si="54"/>
        <v>2.8387395361388181</v>
      </c>
      <c r="N416" s="3">
        <f t="shared" si="58"/>
        <v>2.7955472223561975</v>
      </c>
      <c r="O416" s="3">
        <f t="shared" si="50"/>
        <v>2.7353802145458257</v>
      </c>
      <c r="P416" s="3">
        <f t="shared" si="52"/>
        <v>2.7666635970257052</v>
      </c>
      <c r="Q416" s="4" t="str">
        <f t="shared" si="57"/>
        <v>UNDER</v>
      </c>
      <c r="R416" s="4" t="str">
        <f t="shared" si="57"/>
        <v>OVER</v>
      </c>
      <c r="S416" s="4" t="str">
        <f t="shared" si="55"/>
        <v>OVER</v>
      </c>
      <c r="T416" s="4" t="str">
        <f t="shared" si="55"/>
        <v>OVER</v>
      </c>
      <c r="U416" s="2">
        <f>IF(Q416="OVER",$J416,$K416)</f>
        <v>-91.940441385426936</v>
      </c>
      <c r="V416" s="2">
        <f>IF(R416="OVER",$J416,$K416)</f>
        <v>91.940441385426936</v>
      </c>
      <c r="W416" s="2">
        <f>IF(S416="OVER",$J416,$K416)</f>
        <v>91.940441385426936</v>
      </c>
      <c r="X416" s="2">
        <f>IF(T416="OVER",$J416,$K416)</f>
        <v>91.940441385426936</v>
      </c>
      <c r="Y416" s="9">
        <f t="shared" si="56"/>
        <v>-761.55379580472186</v>
      </c>
      <c r="Z416" s="9">
        <f t="shared" si="56"/>
        <v>9991.1716976917996</v>
      </c>
      <c r="AA416" s="9">
        <f t="shared" si="56"/>
        <v>21410.691879609185</v>
      </c>
      <c r="AB416" s="9">
        <f t="shared" si="53"/>
        <v>5102.9626651085173</v>
      </c>
    </row>
    <row r="417" spans="1:28" x14ac:dyDescent="0.3">
      <c r="A417" s="1">
        <v>45016</v>
      </c>
      <c r="B417" s="2">
        <v>144.62</v>
      </c>
      <c r="C417" s="2">
        <v>409.39</v>
      </c>
      <c r="D417" s="9">
        <f>B417-B416</f>
        <v>2.0999999999999943</v>
      </c>
      <c r="E417" s="9">
        <f>C417-C416</f>
        <v>5.6899999999999977</v>
      </c>
      <c r="F417" s="3">
        <f>F$1/B417</f>
        <v>691.46729359701283</v>
      </c>
      <c r="G417" s="3">
        <f>F$1/C417</f>
        <v>244.26585896089304</v>
      </c>
      <c r="H417" s="2">
        <f>D417*F416</f>
        <v>1473.4774066797602</v>
      </c>
      <c r="I417" s="2">
        <f>E417*G416</f>
        <v>1409.4624721327714</v>
      </c>
      <c r="J417" s="2">
        <f>I417-H417</f>
        <v>-64.014934546988798</v>
      </c>
      <c r="K417" s="2">
        <f t="shared" si="51"/>
        <v>64.014934546988798</v>
      </c>
      <c r="L417" s="3">
        <f>C417/B417</f>
        <v>2.8307979532568108</v>
      </c>
      <c r="M417" s="3">
        <f t="shared" si="54"/>
        <v>2.8392793039342523</v>
      </c>
      <c r="N417" s="3">
        <f t="shared" si="58"/>
        <v>2.8019517138003822</v>
      </c>
      <c r="O417" s="3">
        <f t="shared" si="50"/>
        <v>2.7383684655938523</v>
      </c>
      <c r="P417" s="3">
        <f t="shared" si="52"/>
        <v>2.7669035562746838</v>
      </c>
      <c r="Q417" s="4" t="str">
        <f t="shared" si="57"/>
        <v>UNDER</v>
      </c>
      <c r="R417" s="4" t="str">
        <f t="shared" si="57"/>
        <v>OVER</v>
      </c>
      <c r="S417" s="4" t="str">
        <f t="shared" si="55"/>
        <v>OVER</v>
      </c>
      <c r="T417" s="4" t="str">
        <f t="shared" si="55"/>
        <v>OVER</v>
      </c>
      <c r="U417" s="2">
        <f>IF(Q417="OVER",$J417,$K417)</f>
        <v>64.014934546988798</v>
      </c>
      <c r="V417" s="2">
        <f>IF(R417="OVER",$J417,$K417)</f>
        <v>-64.014934546988798</v>
      </c>
      <c r="W417" s="2">
        <f>IF(S417="OVER",$J417,$K417)</f>
        <v>-64.014934546988798</v>
      </c>
      <c r="X417" s="2">
        <f>IF(T417="OVER",$J417,$K417)</f>
        <v>-64.014934546988798</v>
      </c>
      <c r="Y417" s="9">
        <f t="shared" si="56"/>
        <v>-697.53886125773306</v>
      </c>
      <c r="Z417" s="9">
        <f t="shared" si="56"/>
        <v>9927.1567631448106</v>
      </c>
      <c r="AA417" s="9">
        <f t="shared" si="56"/>
        <v>21346.676945062198</v>
      </c>
      <c r="AB417" s="9">
        <f t="shared" si="53"/>
        <v>5038.9477305615283</v>
      </c>
    </row>
    <row r="418" spans="1:28" x14ac:dyDescent="0.3">
      <c r="A418" s="1">
        <v>45019</v>
      </c>
      <c r="B418" s="2">
        <v>144.74</v>
      </c>
      <c r="C418" s="2">
        <v>410.95</v>
      </c>
      <c r="D418" s="9">
        <f>B418-B417</f>
        <v>0.12000000000000455</v>
      </c>
      <c r="E418" s="9">
        <f>C418-C417</f>
        <v>1.5600000000000023</v>
      </c>
      <c r="F418" s="3">
        <f>F$1/B418</f>
        <v>690.89401685781399</v>
      </c>
      <c r="G418" s="3">
        <f>F$1/C418</f>
        <v>243.33860566978953</v>
      </c>
      <c r="H418" s="2">
        <f>D418*F417</f>
        <v>82.976075231644685</v>
      </c>
      <c r="I418" s="2">
        <f>E418*G417</f>
        <v>381.05473997899372</v>
      </c>
      <c r="J418" s="2">
        <f>I418-H418</f>
        <v>298.07866474734902</v>
      </c>
      <c r="K418" s="2">
        <f t="shared" si="51"/>
        <v>-298.07866474734902</v>
      </c>
      <c r="L418" s="3">
        <f>C418/B418</f>
        <v>2.8392289622771862</v>
      </c>
      <c r="M418" s="3">
        <f t="shared" si="54"/>
        <v>2.8401803485230981</v>
      </c>
      <c r="N418" s="3">
        <f t="shared" si="58"/>
        <v>2.8080299394456532</v>
      </c>
      <c r="O418" s="3">
        <f t="shared" si="50"/>
        <v>2.7414598399024639</v>
      </c>
      <c r="P418" s="3">
        <f t="shared" si="52"/>
        <v>2.767121523557317</v>
      </c>
      <c r="Q418" s="4" t="str">
        <f t="shared" si="57"/>
        <v>UNDER</v>
      </c>
      <c r="R418" s="4" t="str">
        <f t="shared" si="57"/>
        <v>OVER</v>
      </c>
      <c r="S418" s="4" t="str">
        <f t="shared" si="55"/>
        <v>OVER</v>
      </c>
      <c r="T418" s="4" t="str">
        <f t="shared" si="55"/>
        <v>OVER</v>
      </c>
      <c r="U418" s="2">
        <f>IF(Q418="OVER",$J418,$K418)</f>
        <v>-298.07866474734902</v>
      </c>
      <c r="V418" s="2">
        <f>IF(R418="OVER",$J418,$K418)</f>
        <v>298.07866474734902</v>
      </c>
      <c r="W418" s="2">
        <f>IF(S418="OVER",$J418,$K418)</f>
        <v>298.07866474734902</v>
      </c>
      <c r="X418" s="2">
        <f>IF(T418="OVER",$J418,$K418)</f>
        <v>298.07866474734902</v>
      </c>
      <c r="Y418" s="9">
        <f t="shared" si="56"/>
        <v>-995.61752600508203</v>
      </c>
      <c r="Z418" s="9">
        <f t="shared" si="56"/>
        <v>10225.235427892159</v>
      </c>
      <c r="AA418" s="9">
        <f t="shared" si="56"/>
        <v>21644.755609809548</v>
      </c>
      <c r="AB418" s="9">
        <f t="shared" si="53"/>
        <v>5337.026395308877</v>
      </c>
    </row>
    <row r="419" spans="1:28" x14ac:dyDescent="0.3">
      <c r="A419" s="1">
        <v>45020</v>
      </c>
      <c r="B419" s="2">
        <v>143.29</v>
      </c>
      <c r="C419" s="2">
        <v>408.67</v>
      </c>
      <c r="D419" s="9">
        <f>B419-B418</f>
        <v>-1.4500000000000171</v>
      </c>
      <c r="E419" s="9">
        <f>C419-C418</f>
        <v>-2.2799999999999727</v>
      </c>
      <c r="F419" s="3">
        <f>F$1/B419</f>
        <v>697.88540721613515</v>
      </c>
      <c r="G419" s="3">
        <f>F$1/C419</f>
        <v>244.69620965571244</v>
      </c>
      <c r="H419" s="2">
        <f>D419*F418</f>
        <v>-1001.7963244438421</v>
      </c>
      <c r="I419" s="2">
        <f>E419*G418</f>
        <v>-554.81202092711351</v>
      </c>
      <c r="J419" s="2">
        <f>I419-H419</f>
        <v>446.98430351672857</v>
      </c>
      <c r="K419" s="2">
        <f t="shared" si="51"/>
        <v>-446.98430351672857</v>
      </c>
      <c r="L419" s="3">
        <f>C419/B419</f>
        <v>2.8520482936701796</v>
      </c>
      <c r="M419" s="3">
        <f t="shared" si="54"/>
        <v>2.8424301488079768</v>
      </c>
      <c r="N419" s="3">
        <f t="shared" si="58"/>
        <v>2.8146390467467954</v>
      </c>
      <c r="O419" s="3">
        <f t="shared" si="50"/>
        <v>2.7448438045035175</v>
      </c>
      <c r="P419" s="3">
        <f t="shared" si="52"/>
        <v>2.7673703770709142</v>
      </c>
      <c r="Q419" s="4" t="str">
        <f t="shared" si="57"/>
        <v>UNDER</v>
      </c>
      <c r="R419" s="4" t="str">
        <f t="shared" si="57"/>
        <v>OVER</v>
      </c>
      <c r="S419" s="4" t="str">
        <f t="shared" si="55"/>
        <v>OVER</v>
      </c>
      <c r="T419" s="4" t="str">
        <f t="shared" si="55"/>
        <v>OVER</v>
      </c>
      <c r="U419" s="2">
        <f>IF(Q419="OVER",$J419,$K419)</f>
        <v>-446.98430351672857</v>
      </c>
      <c r="V419" s="2">
        <f>IF(R419="OVER",$J419,$K419)</f>
        <v>446.98430351672857</v>
      </c>
      <c r="W419" s="2">
        <f>IF(S419="OVER",$J419,$K419)</f>
        <v>446.98430351672857</v>
      </c>
      <c r="X419" s="2">
        <f>IF(T419="OVER",$J419,$K419)</f>
        <v>446.98430351672857</v>
      </c>
      <c r="Y419" s="9">
        <f t="shared" si="56"/>
        <v>-1442.6018295218105</v>
      </c>
      <c r="Z419" s="9">
        <f t="shared" si="56"/>
        <v>10672.219731408888</v>
      </c>
      <c r="AA419" s="9">
        <f t="shared" si="56"/>
        <v>22091.739913326277</v>
      </c>
      <c r="AB419" s="9">
        <f t="shared" si="53"/>
        <v>5784.0106988256057</v>
      </c>
    </row>
    <row r="420" spans="1:28" x14ac:dyDescent="0.3">
      <c r="A420" s="1">
        <v>45021</v>
      </c>
      <c r="B420" s="2">
        <v>142.99</v>
      </c>
      <c r="C420" s="2">
        <v>407.6</v>
      </c>
      <c r="D420" s="9">
        <f>B420-B419</f>
        <v>-0.29999999999998295</v>
      </c>
      <c r="E420" s="9">
        <f>C420-C419</f>
        <v>-1.0699999999999932</v>
      </c>
      <c r="F420" s="3">
        <f>F$1/B420</f>
        <v>699.3496048674732</v>
      </c>
      <c r="G420" s="3">
        <f>F$1/C420</f>
        <v>245.33856722276741</v>
      </c>
      <c r="H420" s="2">
        <f>D420*F419</f>
        <v>-209.36562216482864</v>
      </c>
      <c r="I420" s="2">
        <f>E420*G419</f>
        <v>-261.82494433161065</v>
      </c>
      <c r="J420" s="2">
        <f>I420-H420</f>
        <v>-52.459322166782016</v>
      </c>
      <c r="K420" s="2">
        <f t="shared" si="51"/>
        <v>52.459322166782016</v>
      </c>
      <c r="L420" s="3">
        <f>C420/B420</f>
        <v>2.850548989439821</v>
      </c>
      <c r="M420" s="3">
        <f t="shared" si="54"/>
        <v>2.8429556231818989</v>
      </c>
      <c r="N420" s="3">
        <f t="shared" si="58"/>
        <v>2.821239005418732</v>
      </c>
      <c r="O420" s="3">
        <f t="shared" si="50"/>
        <v>2.7481294520329511</v>
      </c>
      <c r="P420" s="3">
        <f t="shared" si="52"/>
        <v>2.767673907438275</v>
      </c>
      <c r="Q420" s="4" t="str">
        <f t="shared" si="57"/>
        <v>OVER</v>
      </c>
      <c r="R420" s="4" t="str">
        <f t="shared" si="57"/>
        <v>OVER</v>
      </c>
      <c r="S420" s="4" t="str">
        <f t="shared" si="55"/>
        <v>OVER</v>
      </c>
      <c r="T420" s="4" t="str">
        <f t="shared" si="55"/>
        <v>OVER</v>
      </c>
      <c r="U420" s="2">
        <f>IF(Q420="OVER",$J420,$K420)</f>
        <v>-52.459322166782016</v>
      </c>
      <c r="V420" s="2">
        <f>IF(R420="OVER",$J420,$K420)</f>
        <v>-52.459322166782016</v>
      </c>
      <c r="W420" s="2">
        <f>IF(S420="OVER",$J420,$K420)</f>
        <v>-52.459322166782016</v>
      </c>
      <c r="X420" s="2">
        <f>IF(T420="OVER",$J420,$K420)</f>
        <v>-52.459322166782016</v>
      </c>
      <c r="Y420" s="9">
        <f t="shared" si="56"/>
        <v>-1495.0611516885924</v>
      </c>
      <c r="Z420" s="9">
        <f t="shared" si="56"/>
        <v>10619.760409242106</v>
      </c>
      <c r="AA420" s="9">
        <f t="shared" si="56"/>
        <v>22039.280591159495</v>
      </c>
      <c r="AB420" s="9">
        <f t="shared" si="53"/>
        <v>5731.5513766588238</v>
      </c>
    </row>
    <row r="421" spans="1:28" x14ac:dyDescent="0.3">
      <c r="A421" s="1">
        <v>45022</v>
      </c>
      <c r="B421" s="2">
        <v>143.09</v>
      </c>
      <c r="C421" s="2">
        <v>409.19</v>
      </c>
      <c r="D421" s="9">
        <f>B421-B420</f>
        <v>9.9999999999994316E-2</v>
      </c>
      <c r="E421" s="9">
        <f>C421-C420</f>
        <v>1.589999999999975</v>
      </c>
      <c r="F421" s="3">
        <f>F$1/B421</f>
        <v>698.86085680341046</v>
      </c>
      <c r="G421" s="3">
        <f>F$1/C421</f>
        <v>244.38524890637601</v>
      </c>
      <c r="H421" s="2">
        <f>D421*F420</f>
        <v>69.93496048674335</v>
      </c>
      <c r="I421" s="2">
        <f>E421*G420</f>
        <v>390.08832188419404</v>
      </c>
      <c r="J421" s="2">
        <f>I421-H421</f>
        <v>320.15336139745068</v>
      </c>
      <c r="K421" s="2">
        <f t="shared" si="51"/>
        <v>-320.15336139745068</v>
      </c>
      <c r="L421" s="3">
        <f>C421/B421</f>
        <v>2.8596687399538752</v>
      </c>
      <c r="M421" s="3">
        <f t="shared" si="54"/>
        <v>2.8426684018005117</v>
      </c>
      <c r="N421" s="3">
        <f t="shared" si="58"/>
        <v>2.8277903866672967</v>
      </c>
      <c r="O421" s="3">
        <f t="shared" si="50"/>
        <v>2.7516997354845865</v>
      </c>
      <c r="P421" s="3">
        <f t="shared" si="52"/>
        <v>2.7678389328774364</v>
      </c>
      <c r="Q421" s="4" t="str">
        <f t="shared" si="57"/>
        <v>OVER</v>
      </c>
      <c r="R421" s="4" t="str">
        <f t="shared" si="57"/>
        <v>OVER</v>
      </c>
      <c r="S421" s="4" t="str">
        <f t="shared" si="55"/>
        <v>OVER</v>
      </c>
      <c r="T421" s="4" t="str">
        <f t="shared" si="55"/>
        <v>OVER</v>
      </c>
      <c r="U421" s="2">
        <f>IF(Q421="OVER",$J421,$K421)</f>
        <v>320.15336139745068</v>
      </c>
      <c r="V421" s="2">
        <f>IF(R421="OVER",$J421,$K421)</f>
        <v>320.15336139745068</v>
      </c>
      <c r="W421" s="2">
        <f>IF(S421="OVER",$J421,$K421)</f>
        <v>320.15336139745068</v>
      </c>
      <c r="X421" s="2">
        <f>IF(T421="OVER",$J421,$K421)</f>
        <v>320.15336139745068</v>
      </c>
      <c r="Y421" s="9">
        <f t="shared" si="56"/>
        <v>-1174.9077902911417</v>
      </c>
      <c r="Z421" s="9">
        <f t="shared" si="56"/>
        <v>10939.913770639556</v>
      </c>
      <c r="AA421" s="9">
        <f t="shared" si="56"/>
        <v>22359.433952556945</v>
      </c>
      <c r="AB421" s="9">
        <f t="shared" si="53"/>
        <v>6051.7047380562744</v>
      </c>
    </row>
    <row r="422" spans="1:28" x14ac:dyDescent="0.3">
      <c r="A422" s="1">
        <v>45026</v>
      </c>
      <c r="B422" s="2">
        <v>143.96</v>
      </c>
      <c r="C422" s="2">
        <v>409.61</v>
      </c>
      <c r="D422" s="9">
        <f>B422-B421</f>
        <v>0.87000000000000455</v>
      </c>
      <c r="E422" s="9">
        <f>C422-C421</f>
        <v>0.42000000000001592</v>
      </c>
      <c r="F422" s="3">
        <f>F$1/B422</f>
        <v>694.63739927757706</v>
      </c>
      <c r="G422" s="3">
        <f>F$1/C422</f>
        <v>244.13466468103806</v>
      </c>
      <c r="H422" s="2">
        <f>D422*F421</f>
        <v>608.00894541897026</v>
      </c>
      <c r="I422" s="2">
        <f>E422*G421</f>
        <v>102.64180454068182</v>
      </c>
      <c r="J422" s="2">
        <f>I422-H422</f>
        <v>-505.36714087828841</v>
      </c>
      <c r="K422" s="2">
        <f t="shared" si="51"/>
        <v>505.36714087828841</v>
      </c>
      <c r="L422" s="3">
        <f>C422/B422</f>
        <v>2.8453042511808837</v>
      </c>
      <c r="M422" s="3">
        <f t="shared" si="54"/>
        <v>2.8415000108631565</v>
      </c>
      <c r="N422" s="3">
        <f t="shared" si="58"/>
        <v>2.8326917492939714</v>
      </c>
      <c r="O422" s="3">
        <f t="shared" si="50"/>
        <v>2.7548255919671463</v>
      </c>
      <c r="P422" s="3">
        <f t="shared" si="52"/>
        <v>2.7679503131289676</v>
      </c>
      <c r="Q422" s="4" t="str">
        <f t="shared" si="57"/>
        <v>OVER</v>
      </c>
      <c r="R422" s="4" t="str">
        <f t="shared" si="57"/>
        <v>OVER</v>
      </c>
      <c r="S422" s="4" t="str">
        <f t="shared" si="55"/>
        <v>OVER</v>
      </c>
      <c r="T422" s="4" t="str">
        <f t="shared" si="55"/>
        <v>OVER</v>
      </c>
      <c r="U422" s="2">
        <f>IF(Q422="OVER",$J422,$K422)</f>
        <v>-505.36714087828841</v>
      </c>
      <c r="V422" s="2">
        <f>IF(R422="OVER",$J422,$K422)</f>
        <v>-505.36714087828841</v>
      </c>
      <c r="W422" s="2">
        <f>IF(S422="OVER",$J422,$K422)</f>
        <v>-505.36714087828841</v>
      </c>
      <c r="X422" s="2">
        <f>IF(T422="OVER",$J422,$K422)</f>
        <v>-505.36714087828841</v>
      </c>
      <c r="Y422" s="9">
        <f t="shared" si="56"/>
        <v>-1680.2749311694301</v>
      </c>
      <c r="Z422" s="9">
        <f t="shared" si="56"/>
        <v>10434.546629761267</v>
      </c>
      <c r="AA422" s="9">
        <f t="shared" si="56"/>
        <v>21854.066811678655</v>
      </c>
      <c r="AB422" s="9">
        <f t="shared" si="53"/>
        <v>5546.337597177986</v>
      </c>
    </row>
    <row r="423" spans="1:28" x14ac:dyDescent="0.3">
      <c r="A423" s="1">
        <v>45027</v>
      </c>
      <c r="B423" s="2">
        <v>144.9</v>
      </c>
      <c r="C423" s="2">
        <v>409.72</v>
      </c>
      <c r="D423" s="9">
        <f>B423-B422</f>
        <v>0.93999999999999773</v>
      </c>
      <c r="E423" s="9">
        <f>C423-C422</f>
        <v>0.11000000000001364</v>
      </c>
      <c r="F423" s="3">
        <f>F$1/B423</f>
        <v>690.13112491373363</v>
      </c>
      <c r="G423" s="3">
        <f>F$1/C423</f>
        <v>244.06912037489016</v>
      </c>
      <c r="H423" s="2">
        <f>D423*F422</f>
        <v>652.9591553209209</v>
      </c>
      <c r="I423" s="2">
        <f>E423*G422</f>
        <v>26.854813114917516</v>
      </c>
      <c r="J423" s="2">
        <f>I423-H423</f>
        <v>-626.10434220600337</v>
      </c>
      <c r="K423" s="2">
        <f t="shared" si="51"/>
        <v>626.10434220600337</v>
      </c>
      <c r="L423" s="3">
        <f>C423/B423</f>
        <v>2.8276052449965494</v>
      </c>
      <c r="M423" s="3">
        <f t="shared" si="54"/>
        <v>2.8399160144219051</v>
      </c>
      <c r="N423" s="3">
        <f t="shared" si="58"/>
        <v>2.8352035430753304</v>
      </c>
      <c r="O423" s="3">
        <f t="shared" si="50"/>
        <v>2.7575739833392263</v>
      </c>
      <c r="P423" s="3">
        <f t="shared" si="52"/>
        <v>2.7679520844930465</v>
      </c>
      <c r="Q423" s="4" t="str">
        <f t="shared" si="57"/>
        <v>OVER</v>
      </c>
      <c r="R423" s="4" t="str">
        <f t="shared" si="57"/>
        <v>OVER</v>
      </c>
      <c r="S423" s="4" t="str">
        <f t="shared" si="55"/>
        <v>OVER</v>
      </c>
      <c r="T423" s="4" t="str">
        <f t="shared" si="55"/>
        <v>OVER</v>
      </c>
      <c r="U423" s="2">
        <f>IF(Q423="OVER",$J423,$K423)</f>
        <v>-626.10434220600337</v>
      </c>
      <c r="V423" s="2">
        <f>IF(R423="OVER",$J423,$K423)</f>
        <v>-626.10434220600337</v>
      </c>
      <c r="W423" s="2">
        <f>IF(S423="OVER",$J423,$K423)</f>
        <v>-626.10434220600337</v>
      </c>
      <c r="X423" s="2">
        <f>IF(T423="OVER",$J423,$K423)</f>
        <v>-626.10434220600337</v>
      </c>
      <c r="Y423" s="9">
        <f t="shared" si="56"/>
        <v>-2306.3792733754335</v>
      </c>
      <c r="Z423" s="9">
        <f t="shared" si="56"/>
        <v>9808.4422875552646</v>
      </c>
      <c r="AA423" s="9">
        <f t="shared" si="56"/>
        <v>21227.962469472652</v>
      </c>
      <c r="AB423" s="9">
        <f t="shared" si="53"/>
        <v>4920.2332549719831</v>
      </c>
    </row>
    <row r="424" spans="1:28" x14ac:dyDescent="0.3">
      <c r="A424" s="1">
        <v>45028</v>
      </c>
      <c r="B424" s="2">
        <v>144.19999999999999</v>
      </c>
      <c r="C424" s="2">
        <v>408.05</v>
      </c>
      <c r="D424" s="9">
        <f>B424-B423</f>
        <v>-0.70000000000001705</v>
      </c>
      <c r="E424" s="9">
        <f>C424-C423</f>
        <v>-1.6700000000000159</v>
      </c>
      <c r="F424" s="3">
        <f>F$1/B424</f>
        <v>693.4812760055479</v>
      </c>
      <c r="G424" s="3">
        <f>F$1/C424</f>
        <v>245.06800637176815</v>
      </c>
      <c r="H424" s="2">
        <f>D424*F423</f>
        <v>-483.09178743962531</v>
      </c>
      <c r="I424" s="2">
        <f>E424*G423</f>
        <v>-407.59543102607046</v>
      </c>
      <c r="J424" s="2">
        <f>I424-H424</f>
        <v>75.496356413554849</v>
      </c>
      <c r="K424" s="2">
        <f t="shared" si="51"/>
        <v>-75.496356413554849</v>
      </c>
      <c r="L424" s="3">
        <f>C424/B424</f>
        <v>2.8297503467406382</v>
      </c>
      <c r="M424" s="3">
        <f t="shared" si="54"/>
        <v>2.8397533451165815</v>
      </c>
      <c r="N424" s="3">
        <f t="shared" si="58"/>
        <v>2.8374835266525897</v>
      </c>
      <c r="O424" s="3">
        <f t="shared" si="50"/>
        <v>2.7604705988531268</v>
      </c>
      <c r="P424" s="3">
        <f t="shared" si="52"/>
        <v>2.7679746683408943</v>
      </c>
      <c r="Q424" s="4" t="str">
        <f t="shared" si="57"/>
        <v>UNDER</v>
      </c>
      <c r="R424" s="4" t="str">
        <f t="shared" si="57"/>
        <v>UNDER</v>
      </c>
      <c r="S424" s="4" t="str">
        <f t="shared" si="55"/>
        <v>OVER</v>
      </c>
      <c r="T424" s="4" t="str">
        <f t="shared" si="55"/>
        <v>OVER</v>
      </c>
      <c r="U424" s="2">
        <f>IF(Q424="OVER",$J424,$K424)</f>
        <v>-75.496356413554849</v>
      </c>
      <c r="V424" s="2">
        <f>IF(R424="OVER",$J424,$K424)</f>
        <v>-75.496356413554849</v>
      </c>
      <c r="W424" s="2">
        <f>IF(S424="OVER",$J424,$K424)</f>
        <v>75.496356413554849</v>
      </c>
      <c r="X424" s="2">
        <f>IF(T424="OVER",$J424,$K424)</f>
        <v>75.496356413554849</v>
      </c>
      <c r="Y424" s="9">
        <f t="shared" si="56"/>
        <v>-2381.8756297889886</v>
      </c>
      <c r="Z424" s="9">
        <f t="shared" si="56"/>
        <v>9732.9459311417104</v>
      </c>
      <c r="AA424" s="9">
        <f t="shared" si="56"/>
        <v>21303.458825886206</v>
      </c>
      <c r="AB424" s="9">
        <f t="shared" si="53"/>
        <v>4995.7296113855382</v>
      </c>
    </row>
    <row r="425" spans="1:28" x14ac:dyDescent="0.3">
      <c r="A425" s="1">
        <v>45029</v>
      </c>
      <c r="B425" s="2">
        <v>145.31</v>
      </c>
      <c r="C425" s="2">
        <v>413.47</v>
      </c>
      <c r="D425" s="9">
        <f>B425-B424</f>
        <v>1.1100000000000136</v>
      </c>
      <c r="E425" s="9">
        <f>C425-C424</f>
        <v>5.4200000000000159</v>
      </c>
      <c r="F425" s="3">
        <f>F$1/B425</f>
        <v>688.18388273346636</v>
      </c>
      <c r="G425" s="3">
        <f>F$1/C425</f>
        <v>241.8555155150313</v>
      </c>
      <c r="H425" s="2">
        <f>D425*F424</f>
        <v>769.7642163661676</v>
      </c>
      <c r="I425" s="2">
        <f>E425*G424</f>
        <v>1328.2685945349872</v>
      </c>
      <c r="J425" s="2">
        <f>I425-H425</f>
        <v>558.50437816881958</v>
      </c>
      <c r="K425" s="2">
        <f t="shared" si="51"/>
        <v>-558.50437816881958</v>
      </c>
      <c r="L425" s="3">
        <f>C425/B425</f>
        <v>2.8454338999380635</v>
      </c>
      <c r="M425" s="3">
        <f t="shared" si="54"/>
        <v>2.8412971581818871</v>
      </c>
      <c r="N425" s="3">
        <f t="shared" si="58"/>
        <v>2.8394539169569244</v>
      </c>
      <c r="O425" s="3">
        <f t="shared" si="50"/>
        <v>2.7637998924190139</v>
      </c>
      <c r="P425" s="3">
        <f t="shared" si="52"/>
        <v>2.7681224900144978</v>
      </c>
      <c r="Q425" s="4" t="str">
        <f t="shared" si="57"/>
        <v>UNDER</v>
      </c>
      <c r="R425" s="4" t="str">
        <f t="shared" si="57"/>
        <v>UNDER</v>
      </c>
      <c r="S425" s="4" t="str">
        <f t="shared" si="55"/>
        <v>OVER</v>
      </c>
      <c r="T425" s="4" t="str">
        <f t="shared" si="55"/>
        <v>OVER</v>
      </c>
      <c r="U425" s="2">
        <f>IF(Q425="OVER",$J425,$K425)</f>
        <v>-558.50437816881958</v>
      </c>
      <c r="V425" s="2">
        <f>IF(R425="OVER",$J425,$K425)</f>
        <v>-558.50437816881958</v>
      </c>
      <c r="W425" s="2">
        <f>IF(S425="OVER",$J425,$K425)</f>
        <v>558.50437816881958</v>
      </c>
      <c r="X425" s="2">
        <f>IF(T425="OVER",$J425,$K425)</f>
        <v>558.50437816881958</v>
      </c>
      <c r="Y425" s="9">
        <f t="shared" si="56"/>
        <v>-2940.3800079578082</v>
      </c>
      <c r="Z425" s="9">
        <f t="shared" si="56"/>
        <v>9174.4415529728903</v>
      </c>
      <c r="AA425" s="9">
        <f t="shared" si="56"/>
        <v>21861.963204055024</v>
      </c>
      <c r="AB425" s="9">
        <f t="shared" si="53"/>
        <v>5554.2339895543573</v>
      </c>
    </row>
    <row r="426" spans="1:28" x14ac:dyDescent="0.3">
      <c r="A426" s="1">
        <v>45030</v>
      </c>
      <c r="B426" s="2">
        <v>144.65</v>
      </c>
      <c r="C426" s="2">
        <v>412.46</v>
      </c>
      <c r="D426" s="9">
        <f>B426-B425</f>
        <v>-0.65999999999999659</v>
      </c>
      <c r="E426" s="9">
        <f>C426-C425</f>
        <v>-1.0100000000000477</v>
      </c>
      <c r="F426" s="3">
        <f>F$1/B426</f>
        <v>691.32388524023497</v>
      </c>
      <c r="G426" s="3">
        <f>F$1/C426</f>
        <v>242.44775250933424</v>
      </c>
      <c r="H426" s="2">
        <f>D426*F425</f>
        <v>-454.20136260408543</v>
      </c>
      <c r="I426" s="2">
        <f>E426*G425</f>
        <v>-244.27407067019317</v>
      </c>
      <c r="J426" s="2">
        <f>I426-H426</f>
        <v>209.92729193389226</v>
      </c>
      <c r="K426" s="2">
        <f t="shared" si="51"/>
        <v>-209.92729193389226</v>
      </c>
      <c r="L426" s="3">
        <f>C426/B426</f>
        <v>2.8514344970618732</v>
      </c>
      <c r="M426" s="3">
        <f t="shared" si="54"/>
        <v>2.8431821178515881</v>
      </c>
      <c r="N426" s="3">
        <f t="shared" si="58"/>
        <v>2.8409608269952034</v>
      </c>
      <c r="O426" s="3">
        <f t="shared" si="50"/>
        <v>2.7672273297506478</v>
      </c>
      <c r="P426" s="3">
        <f t="shared" si="52"/>
        <v>2.7683748795711831</v>
      </c>
      <c r="Q426" s="4" t="str">
        <f t="shared" si="57"/>
        <v>OVER</v>
      </c>
      <c r="R426" s="4" t="str">
        <f t="shared" si="57"/>
        <v>OVER</v>
      </c>
      <c r="S426" s="4" t="str">
        <f t="shared" si="55"/>
        <v>OVER</v>
      </c>
      <c r="T426" s="4" t="str">
        <f t="shared" si="55"/>
        <v>OVER</v>
      </c>
      <c r="U426" s="2">
        <f>IF(Q426="OVER",$J426,$K426)</f>
        <v>209.92729193389226</v>
      </c>
      <c r="V426" s="2">
        <f>IF(R426="OVER",$J426,$K426)</f>
        <v>209.92729193389226</v>
      </c>
      <c r="W426" s="2">
        <f>IF(S426="OVER",$J426,$K426)</f>
        <v>209.92729193389226</v>
      </c>
      <c r="X426" s="2">
        <f>IF(T426="OVER",$J426,$K426)</f>
        <v>209.92729193389226</v>
      </c>
      <c r="Y426" s="9">
        <f t="shared" si="56"/>
        <v>-2730.4527160239159</v>
      </c>
      <c r="Z426" s="9">
        <f t="shared" si="56"/>
        <v>9384.3688449067831</v>
      </c>
      <c r="AA426" s="9">
        <f t="shared" si="56"/>
        <v>22071.890495988915</v>
      </c>
      <c r="AB426" s="9">
        <f t="shared" si="53"/>
        <v>5764.1612814882492</v>
      </c>
    </row>
    <row r="427" spans="1:28" x14ac:dyDescent="0.3">
      <c r="A427" s="1">
        <v>45033</v>
      </c>
      <c r="B427" s="2">
        <v>145.63</v>
      </c>
      <c r="C427" s="2">
        <v>413.94</v>
      </c>
      <c r="D427" s="9">
        <f>B427-B426</f>
        <v>0.97999999999998977</v>
      </c>
      <c r="E427" s="9">
        <f>C427-C426</f>
        <v>1.4800000000000182</v>
      </c>
      <c r="F427" s="3">
        <f>F$1/B427</f>
        <v>686.67170225914992</v>
      </c>
      <c r="G427" s="3">
        <f>F$1/C427</f>
        <v>241.58090544523361</v>
      </c>
      <c r="H427" s="2">
        <f>D427*F426</f>
        <v>677.49740753542324</v>
      </c>
      <c r="I427" s="2">
        <f>E427*G426</f>
        <v>358.82267371381909</v>
      </c>
      <c r="J427" s="2">
        <f>I427-H427</f>
        <v>-318.67473382160415</v>
      </c>
      <c r="K427" s="2">
        <f t="shared" si="51"/>
        <v>318.67473382160415</v>
      </c>
      <c r="L427" s="3">
        <f>C427/B427</f>
        <v>2.842408844331525</v>
      </c>
      <c r="M427" s="3">
        <f t="shared" si="54"/>
        <v>2.8443432069590595</v>
      </c>
      <c r="N427" s="3">
        <f t="shared" si="58"/>
        <v>2.8418112554466561</v>
      </c>
      <c r="O427" s="3">
        <f t="shared" si="50"/>
        <v>2.7702835603285529</v>
      </c>
      <c r="P427" s="3">
        <f t="shared" si="52"/>
        <v>2.7685075575383054</v>
      </c>
      <c r="Q427" s="4" t="str">
        <f t="shared" si="57"/>
        <v>OVER</v>
      </c>
      <c r="R427" s="4" t="str">
        <f t="shared" si="57"/>
        <v>OVER</v>
      </c>
      <c r="S427" s="4" t="str">
        <f t="shared" si="55"/>
        <v>OVER</v>
      </c>
      <c r="T427" s="4" t="str">
        <f t="shared" si="55"/>
        <v>OVER</v>
      </c>
      <c r="U427" s="2">
        <f>IF(Q427="OVER",$J427,$K427)</f>
        <v>-318.67473382160415</v>
      </c>
      <c r="V427" s="2">
        <f>IF(R427="OVER",$J427,$K427)</f>
        <v>-318.67473382160415</v>
      </c>
      <c r="W427" s="2">
        <f>IF(S427="OVER",$J427,$K427)</f>
        <v>-318.67473382160415</v>
      </c>
      <c r="X427" s="2">
        <f>IF(T427="OVER",$J427,$K427)</f>
        <v>-318.67473382160415</v>
      </c>
      <c r="Y427" s="9">
        <f t="shared" si="56"/>
        <v>-3049.12744984552</v>
      </c>
      <c r="Z427" s="9">
        <f t="shared" si="56"/>
        <v>9065.6941110851785</v>
      </c>
      <c r="AA427" s="9">
        <f t="shared" si="56"/>
        <v>21753.21576216731</v>
      </c>
      <c r="AB427" s="9">
        <f t="shared" si="53"/>
        <v>5445.4865476666455</v>
      </c>
    </row>
    <row r="428" spans="1:28" x14ac:dyDescent="0.3">
      <c r="A428" s="1">
        <v>45034</v>
      </c>
      <c r="B428" s="2">
        <v>145.63999999999999</v>
      </c>
      <c r="C428" s="2">
        <v>414.21</v>
      </c>
      <c r="D428" s="9">
        <f>B428-B427</f>
        <v>9.9999999999909051E-3</v>
      </c>
      <c r="E428" s="9">
        <f>C428-C427</f>
        <v>0.26999999999998181</v>
      </c>
      <c r="F428" s="3">
        <f>F$1/B428</f>
        <v>686.62455369404017</v>
      </c>
      <c r="G428" s="3">
        <f>F$1/C428</f>
        <v>241.42343255836414</v>
      </c>
      <c r="H428" s="2">
        <f>D428*F427</f>
        <v>6.8667170225852541</v>
      </c>
      <c r="I428" s="2">
        <f>E428*G427</f>
        <v>65.226844470208675</v>
      </c>
      <c r="J428" s="2">
        <f>I428-H428</f>
        <v>58.36012744762342</v>
      </c>
      <c r="K428" s="2">
        <f t="shared" si="51"/>
        <v>-58.36012744762342</v>
      </c>
      <c r="L428" s="3">
        <f>C428/B428</f>
        <v>2.8440675638560835</v>
      </c>
      <c r="M428" s="3">
        <f t="shared" si="54"/>
        <v>2.8448270671169489</v>
      </c>
      <c r="N428" s="3">
        <f t="shared" si="58"/>
        <v>2.8425037078200237</v>
      </c>
      <c r="O428" s="3">
        <f t="shared" si="50"/>
        <v>2.7732840805590264</v>
      </c>
      <c r="P428" s="3">
        <f t="shared" si="52"/>
        <v>2.7686755225646191</v>
      </c>
      <c r="Q428" s="4" t="str">
        <f t="shared" si="57"/>
        <v>UNDER</v>
      </c>
      <c r="R428" s="4" t="str">
        <f t="shared" si="57"/>
        <v>OVER</v>
      </c>
      <c r="S428" s="4" t="str">
        <f t="shared" si="55"/>
        <v>OVER</v>
      </c>
      <c r="T428" s="4" t="str">
        <f t="shared" si="55"/>
        <v>OVER</v>
      </c>
      <c r="U428" s="2">
        <f>IF(Q428="OVER",$J428,$K428)</f>
        <v>-58.36012744762342</v>
      </c>
      <c r="V428" s="2">
        <f>IF(R428="OVER",$J428,$K428)</f>
        <v>58.36012744762342</v>
      </c>
      <c r="W428" s="2">
        <f>IF(S428="OVER",$J428,$K428)</f>
        <v>58.36012744762342</v>
      </c>
      <c r="X428" s="2">
        <f>IF(T428="OVER",$J428,$K428)</f>
        <v>58.36012744762342</v>
      </c>
      <c r="Y428" s="9">
        <f t="shared" si="56"/>
        <v>-3107.4875772931432</v>
      </c>
      <c r="Z428" s="9">
        <f t="shared" si="56"/>
        <v>9124.0542385328026</v>
      </c>
      <c r="AA428" s="9">
        <f t="shared" si="56"/>
        <v>21811.575889614935</v>
      </c>
      <c r="AB428" s="9">
        <f t="shared" si="53"/>
        <v>5503.8466751142687</v>
      </c>
    </row>
    <row r="429" spans="1:28" x14ac:dyDescent="0.3">
      <c r="A429" s="1">
        <v>45035</v>
      </c>
      <c r="B429" s="2">
        <v>145.68</v>
      </c>
      <c r="C429" s="2">
        <v>414.14</v>
      </c>
      <c r="D429" s="9">
        <f>B429-B428</f>
        <v>4.0000000000020464E-2</v>
      </c>
      <c r="E429" s="9">
        <f>C429-C428</f>
        <v>-6.9999999999993179E-2</v>
      </c>
      <c r="F429" s="3">
        <f>F$1/B429</f>
        <v>686.43602416254805</v>
      </c>
      <c r="G429" s="3">
        <f>F$1/C429</f>
        <v>241.46423914618245</v>
      </c>
      <c r="H429" s="2">
        <f>D429*F428</f>
        <v>27.464982147775657</v>
      </c>
      <c r="I429" s="2">
        <f>E429*G428</f>
        <v>-16.899640279083844</v>
      </c>
      <c r="J429" s="2">
        <f>I429-H429</f>
        <v>-44.364622426859498</v>
      </c>
      <c r="K429" s="2">
        <f t="shared" si="51"/>
        <v>44.364622426859498</v>
      </c>
      <c r="L429" s="3">
        <f>C429/B429</f>
        <v>2.8428061504667763</v>
      </c>
      <c r="M429" s="3">
        <f t="shared" si="54"/>
        <v>2.8439028527966088</v>
      </c>
      <c r="N429" s="3">
        <f t="shared" si="58"/>
        <v>2.8431665008022931</v>
      </c>
      <c r="O429" s="3">
        <f t="shared" si="50"/>
        <v>2.7762081072398979</v>
      </c>
      <c r="P429" s="3">
        <f t="shared" si="52"/>
        <v>2.7688599662116316</v>
      </c>
      <c r="Q429" s="4" t="str">
        <f t="shared" si="57"/>
        <v>UNDER</v>
      </c>
      <c r="R429" s="4" t="str">
        <f t="shared" si="57"/>
        <v>OVER</v>
      </c>
      <c r="S429" s="4" t="str">
        <f t="shared" si="55"/>
        <v>OVER</v>
      </c>
      <c r="T429" s="4" t="str">
        <f t="shared" si="55"/>
        <v>OVER</v>
      </c>
      <c r="U429" s="2">
        <f>IF(Q429="OVER",$J429,$K429)</f>
        <v>44.364622426859498</v>
      </c>
      <c r="V429" s="2">
        <f>IF(R429="OVER",$J429,$K429)</f>
        <v>-44.364622426859498</v>
      </c>
      <c r="W429" s="2">
        <f>IF(S429="OVER",$J429,$K429)</f>
        <v>-44.364622426859498</v>
      </c>
      <c r="X429" s="2">
        <f>IF(T429="OVER",$J429,$K429)</f>
        <v>-44.364622426859498</v>
      </c>
      <c r="Y429" s="9">
        <f t="shared" si="56"/>
        <v>-3063.1229548662836</v>
      </c>
      <c r="Z429" s="9">
        <f t="shared" si="56"/>
        <v>9079.6896161059431</v>
      </c>
      <c r="AA429" s="9">
        <f t="shared" si="56"/>
        <v>21767.211267188075</v>
      </c>
      <c r="AB429" s="9">
        <f t="shared" si="53"/>
        <v>5459.4820526874091</v>
      </c>
    </row>
    <row r="430" spans="1:28" x14ac:dyDescent="0.3">
      <c r="A430" s="1">
        <v>45036</v>
      </c>
      <c r="B430" s="2">
        <v>144.88</v>
      </c>
      <c r="C430" s="2">
        <v>411.88</v>
      </c>
      <c r="D430" s="9">
        <f>B430-B429</f>
        <v>-0.80000000000001137</v>
      </c>
      <c r="E430" s="9">
        <f>C430-C429</f>
        <v>-2.2599999999999909</v>
      </c>
      <c r="F430" s="3">
        <f>F$1/B430</f>
        <v>690.22639425731643</v>
      </c>
      <c r="G430" s="3">
        <f>F$1/C430</f>
        <v>242.78916189181317</v>
      </c>
      <c r="H430" s="2">
        <f>D430*F429</f>
        <v>-549.14881933004619</v>
      </c>
      <c r="I430" s="2">
        <f>E430*G429</f>
        <v>-545.70918047037014</v>
      </c>
      <c r="J430" s="2">
        <f>I430-H430</f>
        <v>3.4396388596760517</v>
      </c>
      <c r="K430" s="2">
        <f t="shared" si="51"/>
        <v>-3.4396388596760517</v>
      </c>
      <c r="L430" s="3">
        <f>C430/B430</f>
        <v>2.8429044726670347</v>
      </c>
      <c r="M430" s="3">
        <f t="shared" si="54"/>
        <v>2.8431384011193299</v>
      </c>
      <c r="N430" s="3">
        <f t="shared" si="58"/>
        <v>2.8430470121506146</v>
      </c>
      <c r="O430" s="3">
        <f t="shared" si="50"/>
        <v>2.778934514815794</v>
      </c>
      <c r="P430" s="3">
        <f t="shared" si="52"/>
        <v>2.7689852226214442</v>
      </c>
      <c r="Q430" s="4" t="str">
        <f t="shared" si="57"/>
        <v>UNDER</v>
      </c>
      <c r="R430" s="4" t="str">
        <f t="shared" si="57"/>
        <v>UNDER</v>
      </c>
      <c r="S430" s="4" t="str">
        <f t="shared" si="55"/>
        <v>OVER</v>
      </c>
      <c r="T430" s="4" t="str">
        <f t="shared" si="55"/>
        <v>OVER</v>
      </c>
      <c r="U430" s="2">
        <f>IF(Q430="OVER",$J430,$K430)</f>
        <v>-3.4396388596760517</v>
      </c>
      <c r="V430" s="2">
        <f>IF(R430="OVER",$J430,$K430)</f>
        <v>-3.4396388596760517</v>
      </c>
      <c r="W430" s="2">
        <f>IF(S430="OVER",$J430,$K430)</f>
        <v>3.4396388596760517</v>
      </c>
      <c r="X430" s="2">
        <f>IF(T430="OVER",$J430,$K430)</f>
        <v>3.4396388596760517</v>
      </c>
      <c r="Y430" s="9">
        <f t="shared" si="56"/>
        <v>-3066.5625937259597</v>
      </c>
      <c r="Z430" s="9">
        <f t="shared" si="56"/>
        <v>9076.249977246267</v>
      </c>
      <c r="AA430" s="9">
        <f t="shared" si="56"/>
        <v>21770.650906047751</v>
      </c>
      <c r="AB430" s="9">
        <f t="shared" si="53"/>
        <v>5462.9216915470852</v>
      </c>
    </row>
    <row r="431" spans="1:28" x14ac:dyDescent="0.3">
      <c r="A431" s="1">
        <v>45037</v>
      </c>
      <c r="B431" s="2">
        <v>144.91999999999999</v>
      </c>
      <c r="C431" s="2">
        <v>412.2</v>
      </c>
      <c r="D431" s="9">
        <f>B431-B430</f>
        <v>3.9999999999992042E-2</v>
      </c>
      <c r="E431" s="9">
        <f>C431-C430</f>
        <v>0.31999999999999318</v>
      </c>
      <c r="F431" s="3">
        <f>F$1/B431</f>
        <v>690.03588186585705</v>
      </c>
      <c r="G431" s="3">
        <f>F$1/C431</f>
        <v>242.60067928190199</v>
      </c>
      <c r="H431" s="2">
        <f>D431*F430</f>
        <v>27.609055770287164</v>
      </c>
      <c r="I431" s="2">
        <f>E431*G430</f>
        <v>77.69253180537855</v>
      </c>
      <c r="J431" s="2">
        <f>I431-H431</f>
        <v>50.083476035091387</v>
      </c>
      <c r="K431" s="2">
        <f t="shared" si="51"/>
        <v>-50.083476035091387</v>
      </c>
      <c r="L431" s="3">
        <f>C431/B431</f>
        <v>2.8443279050510628</v>
      </c>
      <c r="M431" s="3">
        <f t="shared" si="54"/>
        <v>2.8416043176290486</v>
      </c>
      <c r="N431" s="3">
        <f t="shared" si="58"/>
        <v>2.8421363597147806</v>
      </c>
      <c r="O431" s="3">
        <f t="shared" si="50"/>
        <v>2.781749047108665</v>
      </c>
      <c r="P431" s="3">
        <f t="shared" si="52"/>
        <v>2.7690731403588251</v>
      </c>
      <c r="Q431" s="4" t="str">
        <f t="shared" si="57"/>
        <v>UNDER</v>
      </c>
      <c r="R431" s="4" t="str">
        <f t="shared" si="57"/>
        <v>UNDER</v>
      </c>
      <c r="S431" s="4" t="str">
        <f t="shared" si="55"/>
        <v>OVER</v>
      </c>
      <c r="T431" s="4" t="str">
        <f t="shared" si="55"/>
        <v>OVER</v>
      </c>
      <c r="U431" s="2">
        <f>IF(Q431="OVER",$J431,$K431)</f>
        <v>-50.083476035091387</v>
      </c>
      <c r="V431" s="2">
        <f>IF(R431="OVER",$J431,$K431)</f>
        <v>-50.083476035091387</v>
      </c>
      <c r="W431" s="2">
        <f>IF(S431="OVER",$J431,$K431)</f>
        <v>50.083476035091387</v>
      </c>
      <c r="X431" s="2">
        <f>IF(T431="OVER",$J431,$K431)</f>
        <v>50.083476035091387</v>
      </c>
      <c r="Y431" s="9">
        <f t="shared" si="56"/>
        <v>-3116.646069761051</v>
      </c>
      <c r="Z431" s="9">
        <f t="shared" si="56"/>
        <v>9026.1665012111753</v>
      </c>
      <c r="AA431" s="9">
        <f t="shared" si="56"/>
        <v>21820.734382082843</v>
      </c>
      <c r="AB431" s="9">
        <f t="shared" si="53"/>
        <v>5513.0051675821769</v>
      </c>
    </row>
    <row r="432" spans="1:28" x14ac:dyDescent="0.3">
      <c r="A432" s="1">
        <v>45040</v>
      </c>
      <c r="B432" s="2">
        <v>145.19</v>
      </c>
      <c r="C432" s="2">
        <v>412.63</v>
      </c>
      <c r="D432" s="9">
        <f>B432-B431</f>
        <v>0.27000000000001023</v>
      </c>
      <c r="E432" s="9">
        <f>C432-C431</f>
        <v>0.43000000000000682</v>
      </c>
      <c r="F432" s="3">
        <f>F$1/B432</f>
        <v>688.75266891659203</v>
      </c>
      <c r="G432" s="3">
        <f>F$1/C432</f>
        <v>242.34786612703874</v>
      </c>
      <c r="H432" s="2">
        <f>D432*F431</f>
        <v>186.30968810378846</v>
      </c>
      <c r="I432" s="2">
        <f>E432*G431</f>
        <v>104.3182920912195</v>
      </c>
      <c r="J432" s="2">
        <f>I432-H432</f>
        <v>-81.991396012568956</v>
      </c>
      <c r="K432" s="2">
        <f t="shared" si="51"/>
        <v>81.991396012568956</v>
      </c>
      <c r="L432" s="3">
        <f>C432/B432</f>
        <v>2.8420001377505337</v>
      </c>
      <c r="M432" s="3">
        <f t="shared" si="54"/>
        <v>2.8412739062860144</v>
      </c>
      <c r="N432" s="3">
        <f t="shared" si="58"/>
        <v>2.8413869585745855</v>
      </c>
      <c r="O432" s="3">
        <f t="shared" si="50"/>
        <v>2.7844907109932446</v>
      </c>
      <c r="P432" s="3">
        <f t="shared" si="52"/>
        <v>2.7691431919381633</v>
      </c>
      <c r="Q432" s="4" t="str">
        <f t="shared" si="57"/>
        <v>OVER</v>
      </c>
      <c r="R432" s="4" t="str">
        <f t="shared" si="57"/>
        <v>OVER</v>
      </c>
      <c r="S432" s="4" t="str">
        <f t="shared" si="55"/>
        <v>OVER</v>
      </c>
      <c r="T432" s="4" t="str">
        <f t="shared" si="55"/>
        <v>OVER</v>
      </c>
      <c r="U432" s="2">
        <f>IF(Q432="OVER",$J432,$K432)</f>
        <v>-81.991396012568956</v>
      </c>
      <c r="V432" s="2">
        <f>IF(R432="OVER",$J432,$K432)</f>
        <v>-81.991396012568956</v>
      </c>
      <c r="W432" s="2">
        <f>IF(S432="OVER",$J432,$K432)</f>
        <v>-81.991396012568956</v>
      </c>
      <c r="X432" s="2">
        <f>IF(T432="OVER",$J432,$K432)</f>
        <v>-81.991396012568956</v>
      </c>
      <c r="Y432" s="9">
        <f t="shared" si="56"/>
        <v>-3198.6374657736201</v>
      </c>
      <c r="Z432" s="9">
        <f t="shared" si="56"/>
        <v>8944.1751051986066</v>
      </c>
      <c r="AA432" s="9">
        <f t="shared" si="56"/>
        <v>21738.742986070272</v>
      </c>
      <c r="AB432" s="9">
        <f t="shared" si="53"/>
        <v>5431.0137715696083</v>
      </c>
    </row>
    <row r="433" spans="1:28" x14ac:dyDescent="0.3">
      <c r="A433" s="1">
        <v>45041</v>
      </c>
      <c r="B433" s="2">
        <v>142.72</v>
      </c>
      <c r="C433" s="2">
        <v>406.08</v>
      </c>
      <c r="D433" s="9">
        <f>B433-B432</f>
        <v>-2.4699999999999989</v>
      </c>
      <c r="E433" s="9">
        <f>C433-C432</f>
        <v>-6.5500000000000114</v>
      </c>
      <c r="F433" s="3">
        <f>F$1/B433</f>
        <v>700.67264573991031</v>
      </c>
      <c r="G433" s="3">
        <f>F$1/C433</f>
        <v>246.25689519306542</v>
      </c>
      <c r="H433" s="2">
        <f>D433*F432</f>
        <v>-1701.2190922239815</v>
      </c>
      <c r="I433" s="2">
        <f>E433*G432</f>
        <v>-1587.3785231321065</v>
      </c>
      <c r="J433" s="2">
        <f>I433-H433</f>
        <v>113.84056909187507</v>
      </c>
      <c r="K433" s="2">
        <f t="shared" si="51"/>
        <v>-113.84056909187507</v>
      </c>
      <c r="L433" s="3">
        <f>C433/B433</f>
        <v>2.8452914798206277</v>
      </c>
      <c r="M433" s="3">
        <f t="shared" si="54"/>
        <v>2.8430425297684216</v>
      </c>
      <c r="N433" s="3">
        <f t="shared" si="58"/>
        <v>2.8414792720951638</v>
      </c>
      <c r="O433" s="3">
        <f t="shared" si="50"/>
        <v>2.7873371871185384</v>
      </c>
      <c r="P433" s="3">
        <f t="shared" si="52"/>
        <v>2.7691887532485326</v>
      </c>
      <c r="Q433" s="4" t="str">
        <f t="shared" si="57"/>
        <v>OVER</v>
      </c>
      <c r="R433" s="4" t="str">
        <f t="shared" si="57"/>
        <v>OVER</v>
      </c>
      <c r="S433" s="4" t="str">
        <f t="shared" si="55"/>
        <v>OVER</v>
      </c>
      <c r="T433" s="4" t="str">
        <f t="shared" si="55"/>
        <v>OVER</v>
      </c>
      <c r="U433" s="2">
        <f>IF(Q433="OVER",$J433,$K433)</f>
        <v>113.84056909187507</v>
      </c>
      <c r="V433" s="2">
        <f>IF(R433="OVER",$J433,$K433)</f>
        <v>113.84056909187507</v>
      </c>
      <c r="W433" s="2">
        <f>IF(S433="OVER",$J433,$K433)</f>
        <v>113.84056909187507</v>
      </c>
      <c r="X433" s="2">
        <f>IF(T433="OVER",$J433,$K433)</f>
        <v>113.84056909187507</v>
      </c>
      <c r="Y433" s="9">
        <f t="shared" si="56"/>
        <v>-3084.7968966817452</v>
      </c>
      <c r="Z433" s="9">
        <f t="shared" si="56"/>
        <v>9058.0156742904819</v>
      </c>
      <c r="AA433" s="9">
        <f t="shared" si="56"/>
        <v>21852.583555162146</v>
      </c>
      <c r="AB433" s="9">
        <f t="shared" si="53"/>
        <v>5544.8543406614835</v>
      </c>
    </row>
    <row r="434" spans="1:28" x14ac:dyDescent="0.3">
      <c r="A434" s="1">
        <v>45042</v>
      </c>
      <c r="B434" s="2">
        <v>141.22999999999999</v>
      </c>
      <c r="C434" s="2">
        <v>404.36</v>
      </c>
      <c r="D434" s="9">
        <f>B434-B433</f>
        <v>-1.4900000000000091</v>
      </c>
      <c r="E434" s="9">
        <f>C434-C433</f>
        <v>-1.7199999999999704</v>
      </c>
      <c r="F434" s="3">
        <f>F$1/B434</f>
        <v>708.06485874106079</v>
      </c>
      <c r="G434" s="3">
        <f>F$1/C434</f>
        <v>247.30438223365317</v>
      </c>
      <c r="H434" s="2">
        <f>D434*F433</f>
        <v>-1044.0022421524727</v>
      </c>
      <c r="I434" s="2">
        <f>E434*G433</f>
        <v>-423.56185973206522</v>
      </c>
      <c r="J434" s="2">
        <f>I434-H434</f>
        <v>620.44038242040756</v>
      </c>
      <c r="K434" s="2">
        <f t="shared" si="51"/>
        <v>-620.44038242040756</v>
      </c>
      <c r="L434" s="3">
        <f>C434/B434</f>
        <v>2.8631310628053535</v>
      </c>
      <c r="M434" s="3">
        <f t="shared" si="54"/>
        <v>2.8463806013748938</v>
      </c>
      <c r="N434" s="3">
        <f t="shared" si="58"/>
        <v>2.8430669732457376</v>
      </c>
      <c r="O434" s="3">
        <f t="shared" si="50"/>
        <v>2.7905113707722871</v>
      </c>
      <c r="P434" s="3">
        <f t="shared" si="52"/>
        <v>2.7693554175476822</v>
      </c>
      <c r="Q434" s="4" t="str">
        <f t="shared" si="57"/>
        <v>OVER</v>
      </c>
      <c r="R434" s="4" t="str">
        <f t="shared" si="57"/>
        <v>OVER</v>
      </c>
      <c r="S434" s="4" t="str">
        <f t="shared" si="55"/>
        <v>OVER</v>
      </c>
      <c r="T434" s="4" t="str">
        <f t="shared" si="55"/>
        <v>OVER</v>
      </c>
      <c r="U434" s="2">
        <f>IF(Q434="OVER",$J434,$K434)</f>
        <v>620.44038242040756</v>
      </c>
      <c r="V434" s="2">
        <f>IF(R434="OVER",$J434,$K434)</f>
        <v>620.44038242040756</v>
      </c>
      <c r="W434" s="2">
        <f>IF(S434="OVER",$J434,$K434)</f>
        <v>620.44038242040756</v>
      </c>
      <c r="X434" s="2">
        <f>IF(T434="OVER",$J434,$K434)</f>
        <v>620.44038242040756</v>
      </c>
      <c r="Y434" s="9">
        <f t="shared" si="56"/>
        <v>-2464.3565142613379</v>
      </c>
      <c r="Z434" s="9">
        <f t="shared" si="56"/>
        <v>9678.4560567108892</v>
      </c>
      <c r="AA434" s="9">
        <f t="shared" si="56"/>
        <v>22473.023937582555</v>
      </c>
      <c r="AB434" s="9">
        <f t="shared" si="53"/>
        <v>6165.2947230818909</v>
      </c>
    </row>
    <row r="435" spans="1:28" x14ac:dyDescent="0.3">
      <c r="A435" s="1">
        <v>45043</v>
      </c>
      <c r="B435" s="2">
        <v>143.55000000000001</v>
      </c>
      <c r="C435" s="2">
        <v>412.41</v>
      </c>
      <c r="D435" s="9">
        <f>B435-B434</f>
        <v>2.3200000000000216</v>
      </c>
      <c r="E435" s="9">
        <f>C435-C434</f>
        <v>8.0500000000000114</v>
      </c>
      <c r="F435" s="3">
        <f>F$1/B435</f>
        <v>696.62138627655861</v>
      </c>
      <c r="G435" s="3">
        <f>F$1/C435</f>
        <v>242.47714652893964</v>
      </c>
      <c r="H435" s="2">
        <f>D435*F434</f>
        <v>1642.7104722792762</v>
      </c>
      <c r="I435" s="2">
        <f>E435*G434</f>
        <v>1990.8002769809109</v>
      </c>
      <c r="J435" s="2">
        <f>I435-H435</f>
        <v>348.08980470163465</v>
      </c>
      <c r="K435" s="2">
        <f t="shared" si="51"/>
        <v>-348.08980470163465</v>
      </c>
      <c r="L435" s="3">
        <f>C435/B435</f>
        <v>2.8729362591431555</v>
      </c>
      <c r="M435" s="3">
        <f t="shared" si="54"/>
        <v>2.849130837295403</v>
      </c>
      <c r="N435" s="3">
        <f t="shared" si="58"/>
        <v>2.8452139977386448</v>
      </c>
      <c r="O435" s="3">
        <f t="shared" si="50"/>
        <v>2.7938036480685655</v>
      </c>
      <c r="P435" s="3">
        <f t="shared" si="52"/>
        <v>2.7696288533760698</v>
      </c>
      <c r="Q435" s="4" t="str">
        <f t="shared" si="57"/>
        <v>OVER</v>
      </c>
      <c r="R435" s="4" t="str">
        <f t="shared" si="57"/>
        <v>OVER</v>
      </c>
      <c r="S435" s="4" t="str">
        <f t="shared" si="55"/>
        <v>OVER</v>
      </c>
      <c r="T435" s="4" t="str">
        <f t="shared" si="55"/>
        <v>OVER</v>
      </c>
      <c r="U435" s="2">
        <f>IF(Q435="OVER",$J435,$K435)</f>
        <v>348.08980470163465</v>
      </c>
      <c r="V435" s="2">
        <f>IF(R435="OVER",$J435,$K435)</f>
        <v>348.08980470163465</v>
      </c>
      <c r="W435" s="2">
        <f>IF(S435="OVER",$J435,$K435)</f>
        <v>348.08980470163465</v>
      </c>
      <c r="X435" s="2">
        <f>IF(T435="OVER",$J435,$K435)</f>
        <v>348.08980470163465</v>
      </c>
      <c r="Y435" s="9">
        <f t="shared" si="56"/>
        <v>-2116.2667095597035</v>
      </c>
      <c r="Z435" s="9">
        <f t="shared" si="56"/>
        <v>10026.545861412524</v>
      </c>
      <c r="AA435" s="9">
        <f t="shared" si="56"/>
        <v>22821.113742284189</v>
      </c>
      <c r="AB435" s="9">
        <f t="shared" si="53"/>
        <v>6513.3845277835253</v>
      </c>
    </row>
    <row r="436" spans="1:28" x14ac:dyDescent="0.3">
      <c r="A436" s="1">
        <v>45044</v>
      </c>
      <c r="B436" s="2">
        <v>145.13999999999999</v>
      </c>
      <c r="C436" s="2">
        <v>415.93</v>
      </c>
      <c r="D436" s="9">
        <f>B436-B435</f>
        <v>1.589999999999975</v>
      </c>
      <c r="E436" s="9">
        <f>C436-C435</f>
        <v>3.5199999999999818</v>
      </c>
      <c r="F436" s="3">
        <f>F$1/B436</f>
        <v>688.98994074686516</v>
      </c>
      <c r="G436" s="3">
        <f>F$1/C436</f>
        <v>240.42507152645877</v>
      </c>
      <c r="H436" s="2">
        <f>D436*F435</f>
        <v>1107.6280041797108</v>
      </c>
      <c r="I436" s="2">
        <f>E436*G435</f>
        <v>853.51955578186312</v>
      </c>
      <c r="J436" s="2">
        <f>I436-H436</f>
        <v>-254.10844839784772</v>
      </c>
      <c r="K436" s="2">
        <f t="shared" si="51"/>
        <v>254.10844839784772</v>
      </c>
      <c r="L436" s="3">
        <f>C436/B436</f>
        <v>2.8657158605484363</v>
      </c>
      <c r="M436" s="3">
        <f t="shared" si="54"/>
        <v>2.8505589736440595</v>
      </c>
      <c r="N436" s="3">
        <f t="shared" si="58"/>
        <v>2.8468705457478234</v>
      </c>
      <c r="O436" s="3">
        <f t="shared" si="50"/>
        <v>2.7970312132544497</v>
      </c>
      <c r="P436" s="3">
        <f t="shared" si="52"/>
        <v>2.7698619571616216</v>
      </c>
      <c r="Q436" s="4" t="str">
        <f t="shared" si="57"/>
        <v>OVER</v>
      </c>
      <c r="R436" s="4" t="str">
        <f t="shared" si="57"/>
        <v>OVER</v>
      </c>
      <c r="S436" s="4" t="str">
        <f t="shared" si="55"/>
        <v>OVER</v>
      </c>
      <c r="T436" s="4" t="str">
        <f t="shared" si="55"/>
        <v>OVER</v>
      </c>
      <c r="U436" s="2">
        <f>IF(Q436="OVER",$J436,$K436)</f>
        <v>-254.10844839784772</v>
      </c>
      <c r="V436" s="2">
        <f>IF(R436="OVER",$J436,$K436)</f>
        <v>-254.10844839784772</v>
      </c>
      <c r="W436" s="2">
        <f>IF(S436="OVER",$J436,$K436)</f>
        <v>-254.10844839784772</v>
      </c>
      <c r="X436" s="2">
        <f>IF(T436="OVER",$J436,$K436)</f>
        <v>-254.10844839784772</v>
      </c>
      <c r="Y436" s="9">
        <f t="shared" si="56"/>
        <v>-2370.375157957551</v>
      </c>
      <c r="Z436" s="9">
        <f t="shared" si="56"/>
        <v>9772.4374130146753</v>
      </c>
      <c r="AA436" s="9">
        <f t="shared" si="56"/>
        <v>22567.005293886341</v>
      </c>
      <c r="AB436" s="9">
        <f t="shared" si="53"/>
        <v>6259.2760793856778</v>
      </c>
    </row>
    <row r="437" spans="1:28" x14ac:dyDescent="0.3">
      <c r="A437" s="1">
        <v>45047</v>
      </c>
      <c r="B437" s="2">
        <v>145.01</v>
      </c>
      <c r="C437" s="2">
        <v>415.51</v>
      </c>
      <c r="D437" s="9">
        <f>B437-B436</f>
        <v>-0.12999999999999545</v>
      </c>
      <c r="E437" s="9">
        <f>C437-C436</f>
        <v>-0.42000000000001592</v>
      </c>
      <c r="F437" s="3">
        <f>F$1/B437</f>
        <v>689.6076132680505</v>
      </c>
      <c r="G437" s="3">
        <f>F$1/C437</f>
        <v>240.66809463069481</v>
      </c>
      <c r="H437" s="2">
        <f>D437*F436</f>
        <v>-89.568692297089342</v>
      </c>
      <c r="I437" s="2">
        <f>E437*G436</f>
        <v>-100.97853004111651</v>
      </c>
      <c r="J437" s="2">
        <f>I437-H437</f>
        <v>-11.409837744027172</v>
      </c>
      <c r="K437" s="2">
        <f t="shared" si="51"/>
        <v>11.409837744027172</v>
      </c>
      <c r="L437" s="3">
        <f>C437/B437</f>
        <v>2.8653885938900765</v>
      </c>
      <c r="M437" s="3">
        <f t="shared" si="54"/>
        <v>2.8528569485999147</v>
      </c>
      <c r="N437" s="3">
        <f t="shared" si="58"/>
        <v>2.8486000777794862</v>
      </c>
      <c r="O437" s="3">
        <f t="shared" ref="O437:O500" si="59">AVERAGE(L388:L437)</f>
        <v>2.8003872177057563</v>
      </c>
      <c r="P437" s="3">
        <f t="shared" si="52"/>
        <v>2.770015857826841</v>
      </c>
      <c r="Q437" s="4" t="str">
        <f t="shared" si="57"/>
        <v>OVER</v>
      </c>
      <c r="R437" s="4" t="str">
        <f t="shared" si="57"/>
        <v>OVER</v>
      </c>
      <c r="S437" s="4" t="str">
        <f t="shared" si="55"/>
        <v>OVER</v>
      </c>
      <c r="T437" s="4" t="str">
        <f t="shared" si="55"/>
        <v>OVER</v>
      </c>
      <c r="U437" s="2">
        <f>IF(Q437="OVER",$J437,$K437)</f>
        <v>-11.409837744027172</v>
      </c>
      <c r="V437" s="2">
        <f>IF(R437="OVER",$J437,$K437)</f>
        <v>-11.409837744027172</v>
      </c>
      <c r="W437" s="2">
        <f>IF(S437="OVER",$J437,$K437)</f>
        <v>-11.409837744027172</v>
      </c>
      <c r="X437" s="2">
        <f>IF(T437="OVER",$J437,$K437)</f>
        <v>-11.409837744027172</v>
      </c>
      <c r="Y437" s="9">
        <f t="shared" si="56"/>
        <v>-2381.7849957015783</v>
      </c>
      <c r="Z437" s="9">
        <f t="shared" si="56"/>
        <v>9761.0275752706475</v>
      </c>
      <c r="AA437" s="9">
        <f t="shared" si="56"/>
        <v>22555.595456142313</v>
      </c>
      <c r="AB437" s="9">
        <f t="shared" si="53"/>
        <v>6247.866241641651</v>
      </c>
    </row>
    <row r="438" spans="1:28" x14ac:dyDescent="0.3">
      <c r="A438" s="1">
        <v>45048</v>
      </c>
      <c r="B438" s="2">
        <v>142.84</v>
      </c>
      <c r="C438" s="2">
        <v>410.84</v>
      </c>
      <c r="D438" s="9">
        <f>B438-B437</f>
        <v>-2.1699999999999875</v>
      </c>
      <c r="E438" s="9">
        <f>C438-C437</f>
        <v>-4.6700000000000159</v>
      </c>
      <c r="F438" s="3">
        <f>F$1/B438</f>
        <v>700.08401008120973</v>
      </c>
      <c r="G438" s="3">
        <f>F$1/C438</f>
        <v>243.40375815402592</v>
      </c>
      <c r="H438" s="2">
        <f>D438*F437</f>
        <v>-1496.4485207916609</v>
      </c>
      <c r="I438" s="2">
        <f>E438*G437</f>
        <v>-1123.9200019253485</v>
      </c>
      <c r="J438" s="2">
        <f>I438-H438</f>
        <v>372.52851886631242</v>
      </c>
      <c r="K438" s="2">
        <f t="shared" si="51"/>
        <v>-372.52851886631242</v>
      </c>
      <c r="L438" s="3">
        <f>C438/B438</f>
        <v>2.8762251470176419</v>
      </c>
      <c r="M438" s="3">
        <f t="shared" si="54"/>
        <v>2.8560727069160703</v>
      </c>
      <c r="N438" s="3">
        <f t="shared" si="58"/>
        <v>2.8504498870165089</v>
      </c>
      <c r="O438" s="3">
        <f t="shared" si="59"/>
        <v>2.8039807135614239</v>
      </c>
      <c r="P438" s="3">
        <f t="shared" si="52"/>
        <v>2.7702221583871047</v>
      </c>
      <c r="Q438" s="4" t="str">
        <f t="shared" si="57"/>
        <v>OVER</v>
      </c>
      <c r="R438" s="4" t="str">
        <f t="shared" si="57"/>
        <v>OVER</v>
      </c>
      <c r="S438" s="4" t="str">
        <f t="shared" si="55"/>
        <v>OVER</v>
      </c>
      <c r="T438" s="4" t="str">
        <f t="shared" si="55"/>
        <v>OVER</v>
      </c>
      <c r="U438" s="2">
        <f>IF(Q438="OVER",$J438,$K438)</f>
        <v>372.52851886631242</v>
      </c>
      <c r="V438" s="2">
        <f>IF(R438="OVER",$J438,$K438)</f>
        <v>372.52851886631242</v>
      </c>
      <c r="W438" s="2">
        <f>IF(S438="OVER",$J438,$K438)</f>
        <v>372.52851886631242</v>
      </c>
      <c r="X438" s="2">
        <f>IF(T438="OVER",$J438,$K438)</f>
        <v>372.52851886631242</v>
      </c>
      <c r="Y438" s="9">
        <f t="shared" si="56"/>
        <v>-2009.2564768352659</v>
      </c>
      <c r="Z438" s="9">
        <f t="shared" si="56"/>
        <v>10133.55609413696</v>
      </c>
      <c r="AA438" s="9">
        <f t="shared" si="56"/>
        <v>22928.123975008624</v>
      </c>
      <c r="AB438" s="9">
        <f t="shared" si="53"/>
        <v>6620.3947605079629</v>
      </c>
    </row>
    <row r="439" spans="1:28" x14ac:dyDescent="0.3">
      <c r="A439" s="1">
        <v>45049</v>
      </c>
      <c r="B439" s="2">
        <v>142.01</v>
      </c>
      <c r="C439" s="2">
        <v>408.02</v>
      </c>
      <c r="D439" s="9">
        <f>B439-B438</f>
        <v>-0.83000000000001251</v>
      </c>
      <c r="E439" s="9">
        <f>C439-C438</f>
        <v>-2.8199999999999932</v>
      </c>
      <c r="F439" s="3">
        <f>F$1/B439</f>
        <v>704.17576227026268</v>
      </c>
      <c r="G439" s="3">
        <f>F$1/C439</f>
        <v>245.08602519484339</v>
      </c>
      <c r="H439" s="2">
        <f>D439*F438</f>
        <v>-581.06972836741284</v>
      </c>
      <c r="I439" s="2">
        <f>E439*G438</f>
        <v>-686.39859799435146</v>
      </c>
      <c r="J439" s="2">
        <f>I439-H439</f>
        <v>-105.32886962693863</v>
      </c>
      <c r="K439" s="2">
        <f t="shared" si="51"/>
        <v>105.32886962693863</v>
      </c>
      <c r="L439" s="3">
        <f>C439/B439</f>
        <v>2.8731779452151258</v>
      </c>
      <c r="M439" s="3">
        <f t="shared" si="54"/>
        <v>2.8591098863909048</v>
      </c>
      <c r="N439" s="3">
        <f t="shared" si="58"/>
        <v>2.8515063695937561</v>
      </c>
      <c r="O439" s="3">
        <f t="shared" si="59"/>
        <v>2.807421937440346</v>
      </c>
      <c r="P439" s="3">
        <f t="shared" si="52"/>
        <v>2.7704689441652288</v>
      </c>
      <c r="Q439" s="4" t="str">
        <f t="shared" si="57"/>
        <v>OVER</v>
      </c>
      <c r="R439" s="4" t="str">
        <f t="shared" si="57"/>
        <v>OVER</v>
      </c>
      <c r="S439" s="4" t="str">
        <f t="shared" si="55"/>
        <v>OVER</v>
      </c>
      <c r="T439" s="4" t="str">
        <f t="shared" si="55"/>
        <v>OVER</v>
      </c>
      <c r="U439" s="2">
        <f>IF(Q439="OVER",$J439,$K439)</f>
        <v>-105.32886962693863</v>
      </c>
      <c r="V439" s="2">
        <f>IF(R439="OVER",$J439,$K439)</f>
        <v>-105.32886962693863</v>
      </c>
      <c r="W439" s="2">
        <f>IF(S439="OVER",$J439,$K439)</f>
        <v>-105.32886962693863</v>
      </c>
      <c r="X439" s="2">
        <f>IF(T439="OVER",$J439,$K439)</f>
        <v>-105.32886962693863</v>
      </c>
      <c r="Y439" s="9">
        <f t="shared" si="56"/>
        <v>-2114.5853464622046</v>
      </c>
      <c r="Z439" s="9">
        <f t="shared" si="56"/>
        <v>10028.227224510021</v>
      </c>
      <c r="AA439" s="9">
        <f t="shared" si="56"/>
        <v>22822.795105381687</v>
      </c>
      <c r="AB439" s="9">
        <f t="shared" si="53"/>
        <v>6515.0658908810246</v>
      </c>
    </row>
    <row r="440" spans="1:28" x14ac:dyDescent="0.3">
      <c r="A440" s="1">
        <v>45050</v>
      </c>
      <c r="B440" s="2">
        <v>140.66</v>
      </c>
      <c r="C440" s="2">
        <v>405.13</v>
      </c>
      <c r="D440" s="9">
        <f>B440-B439</f>
        <v>-1.3499999999999943</v>
      </c>
      <c r="E440" s="9">
        <f>C440-C439</f>
        <v>-2.8899999999999864</v>
      </c>
      <c r="F440" s="3">
        <f>F$1/B440</f>
        <v>710.93416749608991</v>
      </c>
      <c r="G440" s="3">
        <f>F$1/C440</f>
        <v>246.83434946807199</v>
      </c>
      <c r="H440" s="2">
        <f>D440*F439</f>
        <v>-950.63727906485065</v>
      </c>
      <c r="I440" s="2">
        <f>E440*G439</f>
        <v>-708.298612813094</v>
      </c>
      <c r="J440" s="2">
        <f>I440-H440</f>
        <v>242.33866625175665</v>
      </c>
      <c r="K440" s="2">
        <f t="shared" si="51"/>
        <v>-242.33866625175665</v>
      </c>
      <c r="L440" s="3">
        <f>C440/B440</f>
        <v>2.8802075927769089</v>
      </c>
      <c r="M440" s="3">
        <f t="shared" si="54"/>
        <v>2.8628401984018925</v>
      </c>
      <c r="N440" s="3">
        <f t="shared" si="58"/>
        <v>2.8529892997606106</v>
      </c>
      <c r="O440" s="3">
        <f t="shared" si="59"/>
        <v>2.811012400876828</v>
      </c>
      <c r="P440" s="3">
        <f t="shared" si="52"/>
        <v>2.7707737481202015</v>
      </c>
      <c r="Q440" s="4" t="str">
        <f t="shared" si="57"/>
        <v>OVER</v>
      </c>
      <c r="R440" s="4" t="str">
        <f t="shared" si="57"/>
        <v>OVER</v>
      </c>
      <c r="S440" s="4" t="str">
        <f t="shared" si="55"/>
        <v>OVER</v>
      </c>
      <c r="T440" s="4" t="str">
        <f t="shared" si="55"/>
        <v>OVER</v>
      </c>
      <c r="U440" s="2">
        <f>IF(Q440="OVER",$J440,$K440)</f>
        <v>242.33866625175665</v>
      </c>
      <c r="V440" s="2">
        <f>IF(R440="OVER",$J440,$K440)</f>
        <v>242.33866625175665</v>
      </c>
      <c r="W440" s="2">
        <f>IF(S440="OVER",$J440,$K440)</f>
        <v>242.33866625175665</v>
      </c>
      <c r="X440" s="2">
        <f>IF(T440="OVER",$J440,$K440)</f>
        <v>242.33866625175665</v>
      </c>
      <c r="Y440" s="9">
        <f t="shared" si="56"/>
        <v>-1872.2466802104479</v>
      </c>
      <c r="Z440" s="9">
        <f t="shared" si="56"/>
        <v>10270.565890761778</v>
      </c>
      <c r="AA440" s="9">
        <f t="shared" si="56"/>
        <v>23065.133771633442</v>
      </c>
      <c r="AB440" s="9">
        <f t="shared" si="53"/>
        <v>6757.4045571327815</v>
      </c>
    </row>
    <row r="441" spans="1:28" x14ac:dyDescent="0.3">
      <c r="A441" s="1">
        <v>45051</v>
      </c>
      <c r="B441" s="2">
        <v>143.03</v>
      </c>
      <c r="C441" s="2">
        <v>412.63</v>
      </c>
      <c r="D441" s="9">
        <f>B441-B440</f>
        <v>2.3700000000000045</v>
      </c>
      <c r="E441" s="9">
        <f>C441-C440</f>
        <v>7.5</v>
      </c>
      <c r="F441" s="3">
        <f>F$1/B441</f>
        <v>699.15402363140595</v>
      </c>
      <c r="G441" s="3">
        <f>F$1/C441</f>
        <v>242.34786612703874</v>
      </c>
      <c r="H441" s="2">
        <f>D441*F440</f>
        <v>1684.9139769657363</v>
      </c>
      <c r="I441" s="2">
        <f>E441*G440</f>
        <v>1851.2576210105399</v>
      </c>
      <c r="J441" s="2">
        <f>I441-H441</f>
        <v>166.34364404480357</v>
      </c>
      <c r="K441" s="2">
        <f t="shared" si="51"/>
        <v>-166.34364404480357</v>
      </c>
      <c r="L441" s="3">
        <f>C441/B441</f>
        <v>2.8849192477102705</v>
      </c>
      <c r="M441" s="3">
        <f t="shared" si="54"/>
        <v>2.8668993326678134</v>
      </c>
      <c r="N441" s="3">
        <f t="shared" si="58"/>
        <v>2.8542518251484301</v>
      </c>
      <c r="O441" s="3">
        <f t="shared" si="59"/>
        <v>2.8146114069490453</v>
      </c>
      <c r="P441" s="3">
        <f t="shared" si="52"/>
        <v>2.7711064617286389</v>
      </c>
      <c r="Q441" s="4" t="str">
        <f t="shared" si="57"/>
        <v>OVER</v>
      </c>
      <c r="R441" s="4" t="str">
        <f t="shared" si="57"/>
        <v>OVER</v>
      </c>
      <c r="S441" s="4" t="str">
        <f t="shared" si="55"/>
        <v>OVER</v>
      </c>
      <c r="T441" s="4" t="str">
        <f t="shared" si="55"/>
        <v>OVER</v>
      </c>
      <c r="U441" s="2">
        <f>IF(Q441="OVER",$J441,$K441)</f>
        <v>166.34364404480357</v>
      </c>
      <c r="V441" s="2">
        <f>IF(R441="OVER",$J441,$K441)</f>
        <v>166.34364404480357</v>
      </c>
      <c r="W441" s="2">
        <f>IF(S441="OVER",$J441,$K441)</f>
        <v>166.34364404480357</v>
      </c>
      <c r="X441" s="2">
        <f>IF(T441="OVER",$J441,$K441)</f>
        <v>166.34364404480357</v>
      </c>
      <c r="Y441" s="9">
        <f t="shared" si="56"/>
        <v>-1705.9030361656444</v>
      </c>
      <c r="Z441" s="9">
        <f t="shared" si="56"/>
        <v>10436.909534806582</v>
      </c>
      <c r="AA441" s="9">
        <f t="shared" si="56"/>
        <v>23231.477415678244</v>
      </c>
      <c r="AB441" s="9">
        <f t="shared" si="53"/>
        <v>6923.7482011775846</v>
      </c>
    </row>
    <row r="442" spans="1:28" x14ac:dyDescent="0.3">
      <c r="A442" s="1">
        <v>45054</v>
      </c>
      <c r="B442" s="2">
        <v>142.77000000000001</v>
      </c>
      <c r="C442" s="2">
        <v>412.74</v>
      </c>
      <c r="D442" s="9">
        <f>B442-B441</f>
        <v>-0.25999999999999091</v>
      </c>
      <c r="E442" s="9">
        <f>C442-C441</f>
        <v>0.11000000000001364</v>
      </c>
      <c r="F442" s="3">
        <f>F$1/B442</f>
        <v>700.42726062898362</v>
      </c>
      <c r="G442" s="3">
        <f>F$1/C442</f>
        <v>242.28327760817947</v>
      </c>
      <c r="H442" s="2">
        <f>D442*F441</f>
        <v>-181.7800461441592</v>
      </c>
      <c r="I442" s="2">
        <f>E442*G441</f>
        <v>26.658265273977566</v>
      </c>
      <c r="J442" s="2">
        <f>I442-H442</f>
        <v>208.43831141813678</v>
      </c>
      <c r="K442" s="2">
        <f t="shared" si="51"/>
        <v>-208.43831141813678</v>
      </c>
      <c r="L442" s="3">
        <f>C442/B442</f>
        <v>2.8909434755200669</v>
      </c>
      <c r="M442" s="3">
        <f t="shared" si="54"/>
        <v>2.8717936664447663</v>
      </c>
      <c r="N442" s="3">
        <f t="shared" si="58"/>
        <v>2.8565337863653899</v>
      </c>
      <c r="O442" s="3">
        <f t="shared" si="59"/>
        <v>2.8184459386998282</v>
      </c>
      <c r="P442" s="3">
        <f t="shared" si="52"/>
        <v>2.7714357186358511</v>
      </c>
      <c r="Q442" s="4" t="str">
        <f t="shared" si="57"/>
        <v>OVER</v>
      </c>
      <c r="R442" s="4" t="str">
        <f t="shared" si="57"/>
        <v>OVER</v>
      </c>
      <c r="S442" s="4" t="str">
        <f t="shared" si="55"/>
        <v>OVER</v>
      </c>
      <c r="T442" s="4" t="str">
        <f t="shared" si="55"/>
        <v>OVER</v>
      </c>
      <c r="U442" s="2">
        <f>IF(Q442="OVER",$J442,$K442)</f>
        <v>208.43831141813678</v>
      </c>
      <c r="V442" s="2">
        <f>IF(R442="OVER",$J442,$K442)</f>
        <v>208.43831141813678</v>
      </c>
      <c r="W442" s="2">
        <f>IF(S442="OVER",$J442,$K442)</f>
        <v>208.43831141813678</v>
      </c>
      <c r="X442" s="2">
        <f>IF(T442="OVER",$J442,$K442)</f>
        <v>208.43831141813678</v>
      </c>
      <c r="Y442" s="9">
        <f t="shared" si="56"/>
        <v>-1497.4647247475077</v>
      </c>
      <c r="Z442" s="9">
        <f t="shared" si="56"/>
        <v>10645.347846224719</v>
      </c>
      <c r="AA442" s="9">
        <f t="shared" si="56"/>
        <v>23439.915727096381</v>
      </c>
      <c r="AB442" s="9">
        <f t="shared" si="53"/>
        <v>7132.1865125957211</v>
      </c>
    </row>
    <row r="443" spans="1:28" x14ac:dyDescent="0.3">
      <c r="A443" s="1">
        <v>45055</v>
      </c>
      <c r="B443" s="2">
        <v>142.24</v>
      </c>
      <c r="C443" s="2">
        <v>410.93</v>
      </c>
      <c r="D443" s="9">
        <f>B443-B442</f>
        <v>-0.53000000000000114</v>
      </c>
      <c r="E443" s="9">
        <f>C443-C442</f>
        <v>-1.8100000000000023</v>
      </c>
      <c r="F443" s="3">
        <f>F$1/B443</f>
        <v>703.037120359955</v>
      </c>
      <c r="G443" s="3">
        <f>F$1/C443</f>
        <v>243.35044898157835</v>
      </c>
      <c r="H443" s="2">
        <f>D443*F442</f>
        <v>-371.22644813336211</v>
      </c>
      <c r="I443" s="2">
        <f>E443*G442</f>
        <v>-438.5327324708054</v>
      </c>
      <c r="J443" s="2">
        <f>I443-H443</f>
        <v>-67.306284337443287</v>
      </c>
      <c r="K443" s="2">
        <f t="shared" si="51"/>
        <v>67.306284337443287</v>
      </c>
      <c r="L443" s="3">
        <f>C443/B443</f>
        <v>2.888990438695163</v>
      </c>
      <c r="M443" s="3">
        <f t="shared" si="54"/>
        <v>2.8761635623322199</v>
      </c>
      <c r="N443" s="3">
        <f t="shared" si="58"/>
        <v>2.8596030460503203</v>
      </c>
      <c r="O443" s="3">
        <f t="shared" si="59"/>
        <v>2.8221238635044732</v>
      </c>
      <c r="P443" s="3">
        <f t="shared" si="52"/>
        <v>2.7718044986759844</v>
      </c>
      <c r="Q443" s="4" t="str">
        <f t="shared" si="57"/>
        <v>OVER</v>
      </c>
      <c r="R443" s="4" t="str">
        <f t="shared" si="57"/>
        <v>OVER</v>
      </c>
      <c r="S443" s="4" t="str">
        <f t="shared" si="55"/>
        <v>OVER</v>
      </c>
      <c r="T443" s="4" t="str">
        <f t="shared" si="55"/>
        <v>OVER</v>
      </c>
      <c r="U443" s="2">
        <f>IF(Q443="OVER",$J443,$K443)</f>
        <v>-67.306284337443287</v>
      </c>
      <c r="V443" s="2">
        <f>IF(R443="OVER",$J443,$K443)</f>
        <v>-67.306284337443287</v>
      </c>
      <c r="W443" s="2">
        <f>IF(S443="OVER",$J443,$K443)</f>
        <v>-67.306284337443287</v>
      </c>
      <c r="X443" s="2">
        <f>IF(T443="OVER",$J443,$K443)</f>
        <v>-67.306284337443287</v>
      </c>
      <c r="Y443" s="9">
        <f t="shared" si="56"/>
        <v>-1564.7710090849509</v>
      </c>
      <c r="Z443" s="9">
        <f t="shared" si="56"/>
        <v>10578.041561887276</v>
      </c>
      <c r="AA443" s="9">
        <f t="shared" si="56"/>
        <v>23372.609442758938</v>
      </c>
      <c r="AB443" s="9">
        <f t="shared" si="53"/>
        <v>7064.8802282582774</v>
      </c>
    </row>
    <row r="444" spans="1:28" x14ac:dyDescent="0.3">
      <c r="A444" s="1">
        <v>45056</v>
      </c>
      <c r="B444" s="2">
        <v>142.22</v>
      </c>
      <c r="C444" s="2">
        <v>412.85</v>
      </c>
      <c r="D444" s="9">
        <f>B444-B443</f>
        <v>-2.0000000000010232E-2</v>
      </c>
      <c r="E444" s="9">
        <f>C444-C443</f>
        <v>1.9200000000000159</v>
      </c>
      <c r="F444" s="3">
        <f>F$1/B444</f>
        <v>703.13598649978906</v>
      </c>
      <c r="G444" s="3">
        <f>F$1/C444</f>
        <v>242.2187235073271</v>
      </c>
      <c r="H444" s="2">
        <f>D444*F443</f>
        <v>-14.060742407206293</v>
      </c>
      <c r="I444" s="2">
        <f>E444*G443</f>
        <v>467.23286204463432</v>
      </c>
      <c r="J444" s="2">
        <f>I444-H444</f>
        <v>481.29360445184062</v>
      </c>
      <c r="K444" s="2">
        <f t="shared" si="51"/>
        <v>-481.29360445184062</v>
      </c>
      <c r="L444" s="3">
        <f>C444/B444</f>
        <v>2.9028969202643795</v>
      </c>
      <c r="M444" s="3">
        <f t="shared" si="54"/>
        <v>2.8801401480781226</v>
      </c>
      <c r="N444" s="3">
        <f t="shared" si="58"/>
        <v>2.8632603747265084</v>
      </c>
      <c r="O444" s="3">
        <f t="shared" si="59"/>
        <v>2.8261217746246312</v>
      </c>
      <c r="P444" s="3">
        <f t="shared" si="52"/>
        <v>2.7722607701846922</v>
      </c>
      <c r="Q444" s="4" t="str">
        <f t="shared" si="57"/>
        <v>OVER</v>
      </c>
      <c r="R444" s="4" t="str">
        <f t="shared" si="57"/>
        <v>OVER</v>
      </c>
      <c r="S444" s="4" t="str">
        <f t="shared" si="55"/>
        <v>OVER</v>
      </c>
      <c r="T444" s="4" t="str">
        <f t="shared" si="55"/>
        <v>OVER</v>
      </c>
      <c r="U444" s="2">
        <f>IF(Q444="OVER",$J444,$K444)</f>
        <v>481.29360445184062</v>
      </c>
      <c r="V444" s="2">
        <f>IF(R444="OVER",$J444,$K444)</f>
        <v>481.29360445184062</v>
      </c>
      <c r="W444" s="2">
        <f>IF(S444="OVER",$J444,$K444)</f>
        <v>481.29360445184062</v>
      </c>
      <c r="X444" s="2">
        <f>IF(T444="OVER",$J444,$K444)</f>
        <v>481.29360445184062</v>
      </c>
      <c r="Y444" s="9">
        <f t="shared" si="56"/>
        <v>-1083.4774046331104</v>
      </c>
      <c r="Z444" s="9">
        <f t="shared" si="56"/>
        <v>11059.335166339117</v>
      </c>
      <c r="AA444" s="9">
        <f t="shared" si="56"/>
        <v>23853.903047210777</v>
      </c>
      <c r="AB444" s="9">
        <f t="shared" si="53"/>
        <v>7546.1738327101184</v>
      </c>
    </row>
    <row r="445" spans="1:28" x14ac:dyDescent="0.3">
      <c r="A445" s="1">
        <v>45057</v>
      </c>
      <c r="B445" s="2">
        <v>141.51</v>
      </c>
      <c r="C445" s="2">
        <v>412.13</v>
      </c>
      <c r="D445" s="9">
        <f>B445-B444</f>
        <v>-0.71000000000000796</v>
      </c>
      <c r="E445" s="9">
        <f>C445-C444</f>
        <v>-0.72000000000002728</v>
      </c>
      <c r="F445" s="3">
        <f>F$1/B445</f>
        <v>706.66384001130666</v>
      </c>
      <c r="G445" s="3">
        <f>F$1/C445</f>
        <v>242.64188484216146</v>
      </c>
      <c r="H445" s="2">
        <f>D445*F444</f>
        <v>-499.22655041485581</v>
      </c>
      <c r="I445" s="2">
        <f>E445*G444</f>
        <v>-174.39748092528211</v>
      </c>
      <c r="J445" s="2">
        <f>I445-H445</f>
        <v>324.82906948957373</v>
      </c>
      <c r="K445" s="2">
        <f t="shared" si="51"/>
        <v>-324.82906948957373</v>
      </c>
      <c r="L445" s="3">
        <f>C445/B445</f>
        <v>2.9123736838385983</v>
      </c>
      <c r="M445" s="3">
        <f t="shared" si="54"/>
        <v>2.8840838905476671</v>
      </c>
      <c r="N445" s="3">
        <f t="shared" si="58"/>
        <v>2.8666073639215353</v>
      </c>
      <c r="O445" s="3">
        <f t="shared" si="59"/>
        <v>2.8304172220593475</v>
      </c>
      <c r="P445" s="3">
        <f t="shared" si="52"/>
        <v>2.7728212774748648</v>
      </c>
      <c r="Q445" s="4" t="str">
        <f t="shared" si="57"/>
        <v>OVER</v>
      </c>
      <c r="R445" s="4" t="str">
        <f t="shared" si="57"/>
        <v>OVER</v>
      </c>
      <c r="S445" s="4" t="str">
        <f t="shared" si="55"/>
        <v>OVER</v>
      </c>
      <c r="T445" s="4" t="str">
        <f t="shared" si="55"/>
        <v>OVER</v>
      </c>
      <c r="U445" s="2">
        <f>IF(Q445="OVER",$J445,$K445)</f>
        <v>324.82906948957373</v>
      </c>
      <c r="V445" s="2">
        <f>IF(R445="OVER",$J445,$K445)</f>
        <v>324.82906948957373</v>
      </c>
      <c r="W445" s="2">
        <f>IF(S445="OVER",$J445,$K445)</f>
        <v>324.82906948957373</v>
      </c>
      <c r="X445" s="2">
        <f>IF(T445="OVER",$J445,$K445)</f>
        <v>324.82906948957373</v>
      </c>
      <c r="Y445" s="9">
        <f t="shared" si="56"/>
        <v>-758.64833514353666</v>
      </c>
      <c r="Z445" s="9">
        <f t="shared" si="56"/>
        <v>11384.16423582869</v>
      </c>
      <c r="AA445" s="9">
        <f t="shared" si="56"/>
        <v>24178.73211670035</v>
      </c>
      <c r="AB445" s="9">
        <f t="shared" si="53"/>
        <v>7871.0029021996925</v>
      </c>
    </row>
    <row r="446" spans="1:28" x14ac:dyDescent="0.3">
      <c r="A446" s="1">
        <v>45058</v>
      </c>
      <c r="B446" s="2">
        <v>141.52000000000001</v>
      </c>
      <c r="C446" s="2">
        <v>411.59</v>
      </c>
      <c r="D446" s="9">
        <f>B446-B445</f>
        <v>1.0000000000019327E-2</v>
      </c>
      <c r="E446" s="9">
        <f>C446-C445</f>
        <v>-0.54000000000002046</v>
      </c>
      <c r="F446" s="3">
        <f>F$1/B446</f>
        <v>706.61390616167319</v>
      </c>
      <c r="G446" s="3">
        <f>F$1/C446</f>
        <v>242.96022741077286</v>
      </c>
      <c r="H446" s="2">
        <f>D446*F445</f>
        <v>7.066638400126724</v>
      </c>
      <c r="I446" s="2">
        <f>E446*G445</f>
        <v>-131.02661781477215</v>
      </c>
      <c r="J446" s="2">
        <f>I446-H446</f>
        <v>-138.09325621489887</v>
      </c>
      <c r="K446" s="2">
        <f t="shared" si="51"/>
        <v>138.09325621489887</v>
      </c>
      <c r="L446" s="3">
        <f>C446/B446</f>
        <v>2.9083521763708307</v>
      </c>
      <c r="M446" s="3">
        <f t="shared" si="54"/>
        <v>2.888347522129906</v>
      </c>
      <c r="N446" s="3">
        <f t="shared" si="58"/>
        <v>2.869453247886983</v>
      </c>
      <c r="O446" s="3">
        <f t="shared" si="59"/>
        <v>2.8346366116675896</v>
      </c>
      <c r="P446" s="3">
        <f t="shared" si="52"/>
        <v>2.7732716820671897</v>
      </c>
      <c r="Q446" s="4" t="str">
        <f t="shared" si="57"/>
        <v>OVER</v>
      </c>
      <c r="R446" s="4" t="str">
        <f t="shared" si="57"/>
        <v>OVER</v>
      </c>
      <c r="S446" s="4" t="str">
        <f t="shared" si="55"/>
        <v>OVER</v>
      </c>
      <c r="T446" s="4" t="str">
        <f t="shared" si="55"/>
        <v>OVER</v>
      </c>
      <c r="U446" s="2">
        <f>IF(Q446="OVER",$J446,$K446)</f>
        <v>-138.09325621489887</v>
      </c>
      <c r="V446" s="2">
        <f>IF(R446="OVER",$J446,$K446)</f>
        <v>-138.09325621489887</v>
      </c>
      <c r="W446" s="2">
        <f>IF(S446="OVER",$J446,$K446)</f>
        <v>-138.09325621489887</v>
      </c>
      <c r="X446" s="2">
        <f>IF(T446="OVER",$J446,$K446)</f>
        <v>-138.09325621489887</v>
      </c>
      <c r="Y446" s="9">
        <f t="shared" si="56"/>
        <v>-896.74159135843547</v>
      </c>
      <c r="Z446" s="9">
        <f t="shared" si="56"/>
        <v>11246.070979613791</v>
      </c>
      <c r="AA446" s="9">
        <f t="shared" si="56"/>
        <v>24040.638860485451</v>
      </c>
      <c r="AB446" s="9">
        <f t="shared" si="53"/>
        <v>7732.9096459847933</v>
      </c>
    </row>
    <row r="447" spans="1:28" x14ac:dyDescent="0.3">
      <c r="A447" s="1">
        <v>45061</v>
      </c>
      <c r="B447" s="2">
        <v>142.32</v>
      </c>
      <c r="C447" s="2">
        <v>413.01</v>
      </c>
      <c r="D447" s="9">
        <f>B447-B446</f>
        <v>0.79999999999998295</v>
      </c>
      <c r="E447" s="9">
        <f>C447-C446</f>
        <v>1.4200000000000159</v>
      </c>
      <c r="F447" s="3">
        <f>F$1/B447</f>
        <v>702.64193367060147</v>
      </c>
      <c r="G447" s="3">
        <f>F$1/C447</f>
        <v>242.1248880172393</v>
      </c>
      <c r="H447" s="2">
        <f>D447*F446</f>
        <v>565.29112492932654</v>
      </c>
      <c r="I447" s="2">
        <f>E447*G446</f>
        <v>345.00352292330132</v>
      </c>
      <c r="J447" s="2">
        <f>I447-H447</f>
        <v>-220.28760200602522</v>
      </c>
      <c r="K447" s="2">
        <f t="shared" si="51"/>
        <v>220.28760200602522</v>
      </c>
      <c r="L447" s="3">
        <f>C447/B447</f>
        <v>2.9019814502529511</v>
      </c>
      <c r="M447" s="3">
        <f t="shared" si="54"/>
        <v>2.8920068077661933</v>
      </c>
      <c r="N447" s="3">
        <f t="shared" si="58"/>
        <v>2.8724318781830545</v>
      </c>
      <c r="O447" s="3">
        <f t="shared" si="59"/>
        <v>2.8386220781851859</v>
      </c>
      <c r="P447" s="3">
        <f t="shared" si="52"/>
        <v>2.7737355844758396</v>
      </c>
      <c r="Q447" s="4" t="str">
        <f t="shared" si="57"/>
        <v>OVER</v>
      </c>
      <c r="R447" s="4" t="str">
        <f t="shared" si="57"/>
        <v>OVER</v>
      </c>
      <c r="S447" s="4" t="str">
        <f t="shared" si="55"/>
        <v>OVER</v>
      </c>
      <c r="T447" s="4" t="str">
        <f t="shared" si="55"/>
        <v>OVER</v>
      </c>
      <c r="U447" s="2">
        <f>IF(Q447="OVER",$J447,$K447)</f>
        <v>-220.28760200602522</v>
      </c>
      <c r="V447" s="2">
        <f>IF(R447="OVER",$J447,$K447)</f>
        <v>-220.28760200602522</v>
      </c>
      <c r="W447" s="2">
        <f>IF(S447="OVER",$J447,$K447)</f>
        <v>-220.28760200602522</v>
      </c>
      <c r="X447" s="2">
        <f>IF(T447="OVER",$J447,$K447)</f>
        <v>-220.28760200602522</v>
      </c>
      <c r="Y447" s="9">
        <f t="shared" si="56"/>
        <v>-1117.0291933644608</v>
      </c>
      <c r="Z447" s="9">
        <f t="shared" si="56"/>
        <v>11025.783377607766</v>
      </c>
      <c r="AA447" s="9">
        <f t="shared" si="56"/>
        <v>23820.351258479426</v>
      </c>
      <c r="AB447" s="9">
        <f t="shared" si="53"/>
        <v>7512.6220439787685</v>
      </c>
    </row>
    <row r="448" spans="1:28" x14ac:dyDescent="0.3">
      <c r="A448" s="1">
        <v>45062</v>
      </c>
      <c r="B448" s="2">
        <v>140.31</v>
      </c>
      <c r="C448" s="2">
        <v>410.25</v>
      </c>
      <c r="D448" s="9">
        <f>B448-B447</f>
        <v>-2.0099999999999909</v>
      </c>
      <c r="E448" s="9">
        <f>C448-C447</f>
        <v>-2.7599999999999909</v>
      </c>
      <c r="F448" s="3">
        <f>F$1/B448</f>
        <v>712.70757608153372</v>
      </c>
      <c r="G448" s="3">
        <f>F$1/C448</f>
        <v>243.75380865326019</v>
      </c>
      <c r="H448" s="2">
        <f>D448*F447</f>
        <v>-1412.3102866779025</v>
      </c>
      <c r="I448" s="2">
        <f>E448*G447</f>
        <v>-668.26469092757827</v>
      </c>
      <c r="J448" s="2">
        <f>I448-H448</f>
        <v>744.0455957503242</v>
      </c>
      <c r="K448" s="2">
        <f t="shared" si="51"/>
        <v>-744.0455957503242</v>
      </c>
      <c r="L448" s="3">
        <f>C448/B448</f>
        <v>2.9238828308744922</v>
      </c>
      <c r="M448" s="3">
        <f t="shared" si="54"/>
        <v>2.8967725761518786</v>
      </c>
      <c r="N448" s="3">
        <f t="shared" si="58"/>
        <v>2.8764226415339746</v>
      </c>
      <c r="O448" s="3">
        <f t="shared" si="59"/>
        <v>2.8427464458152407</v>
      </c>
      <c r="P448" s="3">
        <f t="shared" si="52"/>
        <v>2.7742302729033876</v>
      </c>
      <c r="Q448" s="4" t="str">
        <f t="shared" si="57"/>
        <v>OVER</v>
      </c>
      <c r="R448" s="4" t="str">
        <f t="shared" si="57"/>
        <v>OVER</v>
      </c>
      <c r="S448" s="4" t="str">
        <f t="shared" si="55"/>
        <v>OVER</v>
      </c>
      <c r="T448" s="4" t="str">
        <f t="shared" si="55"/>
        <v>OVER</v>
      </c>
      <c r="U448" s="2">
        <f>IF(Q448="OVER",$J448,$K448)</f>
        <v>744.0455957503242</v>
      </c>
      <c r="V448" s="2">
        <f>IF(R448="OVER",$J448,$K448)</f>
        <v>744.0455957503242</v>
      </c>
      <c r="W448" s="2">
        <f>IF(S448="OVER",$J448,$K448)</f>
        <v>744.0455957503242</v>
      </c>
      <c r="X448" s="2">
        <f>IF(T448="OVER",$J448,$K448)</f>
        <v>744.0455957503242</v>
      </c>
      <c r="Y448" s="9">
        <f t="shared" si="56"/>
        <v>-372.98359761413656</v>
      </c>
      <c r="Z448" s="9">
        <f t="shared" si="56"/>
        <v>11769.82897335809</v>
      </c>
      <c r="AA448" s="9">
        <f t="shared" si="56"/>
        <v>24564.396854229752</v>
      </c>
      <c r="AB448" s="9">
        <f t="shared" si="53"/>
        <v>8256.6676397290921</v>
      </c>
    </row>
    <row r="449" spans="1:28" x14ac:dyDescent="0.3">
      <c r="A449" s="1">
        <v>45063</v>
      </c>
      <c r="B449" s="2">
        <v>142.09</v>
      </c>
      <c r="C449" s="2">
        <v>415.23</v>
      </c>
      <c r="D449" s="9">
        <f>B449-B448</f>
        <v>1.7800000000000011</v>
      </c>
      <c r="E449" s="9">
        <f>C449-C448</f>
        <v>4.9800000000000182</v>
      </c>
      <c r="F449" s="3">
        <f>F$1/B449</f>
        <v>703.77929481314663</v>
      </c>
      <c r="G449" s="3">
        <f>F$1/C449</f>
        <v>240.83038316113959</v>
      </c>
      <c r="H449" s="2">
        <f>D449*F448</f>
        <v>1268.6194854251307</v>
      </c>
      <c r="I449" s="2">
        <f>E449*G448</f>
        <v>1213.8939670932402</v>
      </c>
      <c r="J449" s="2">
        <f>I449-H449</f>
        <v>-54.725518331890498</v>
      </c>
      <c r="K449" s="2">
        <f t="shared" si="51"/>
        <v>54.725518331890498</v>
      </c>
      <c r="L449" s="3">
        <f>C449/B449</f>
        <v>2.9223027658526286</v>
      </c>
      <c r="M449" s="3">
        <f t="shared" si="54"/>
        <v>2.9016850582156288</v>
      </c>
      <c r="N449" s="3">
        <f t="shared" si="58"/>
        <v>2.880397472303267</v>
      </c>
      <c r="O449" s="3">
        <f t="shared" si="59"/>
        <v>2.8467951781793466</v>
      </c>
      <c r="P449" s="3">
        <f t="shared" si="52"/>
        <v>2.7747317977246815</v>
      </c>
      <c r="Q449" s="4" t="str">
        <f t="shared" si="57"/>
        <v>OVER</v>
      </c>
      <c r="R449" s="4" t="str">
        <f t="shared" si="57"/>
        <v>OVER</v>
      </c>
      <c r="S449" s="4" t="str">
        <f t="shared" si="55"/>
        <v>OVER</v>
      </c>
      <c r="T449" s="4" t="str">
        <f t="shared" si="55"/>
        <v>OVER</v>
      </c>
      <c r="U449" s="2">
        <f>IF(Q449="OVER",$J449,$K449)</f>
        <v>-54.725518331890498</v>
      </c>
      <c r="V449" s="2">
        <f>IF(R449="OVER",$J449,$K449)</f>
        <v>-54.725518331890498</v>
      </c>
      <c r="W449" s="2">
        <f>IF(S449="OVER",$J449,$K449)</f>
        <v>-54.725518331890498</v>
      </c>
      <c r="X449" s="2">
        <f>IF(T449="OVER",$J449,$K449)</f>
        <v>-54.725518331890498</v>
      </c>
      <c r="Y449" s="9">
        <f t="shared" si="56"/>
        <v>-427.70911594602705</v>
      </c>
      <c r="Z449" s="9">
        <f t="shared" si="56"/>
        <v>11715.103455026199</v>
      </c>
      <c r="AA449" s="9">
        <f t="shared" si="56"/>
        <v>24509.67133589786</v>
      </c>
      <c r="AB449" s="9">
        <f t="shared" si="53"/>
        <v>8201.9421213972018</v>
      </c>
    </row>
    <row r="450" spans="1:28" x14ac:dyDescent="0.3">
      <c r="A450" s="1">
        <v>45064</v>
      </c>
      <c r="B450" s="2">
        <v>143.24</v>
      </c>
      <c r="C450" s="2">
        <v>419.23</v>
      </c>
      <c r="D450" s="9">
        <f>B450-B449</f>
        <v>1.1500000000000057</v>
      </c>
      <c r="E450" s="9">
        <f>C450-C449</f>
        <v>4</v>
      </c>
      <c r="F450" s="3">
        <f>F$1/B450</f>
        <v>698.1290142418319</v>
      </c>
      <c r="G450" s="3">
        <f>F$1/C450</f>
        <v>238.53254776614267</v>
      </c>
      <c r="H450" s="2">
        <f>D450*F449</f>
        <v>809.34618903512262</v>
      </c>
      <c r="I450" s="2">
        <f>E450*G449</f>
        <v>963.32153264455837</v>
      </c>
      <c r="J450" s="2">
        <f>I450-H450</f>
        <v>153.97534360943575</v>
      </c>
      <c r="K450" s="2">
        <f t="shared" si="51"/>
        <v>-153.97534360943575</v>
      </c>
      <c r="L450" s="3">
        <f>C450/B450</f>
        <v>2.9267662664060317</v>
      </c>
      <c r="M450" s="3">
        <f t="shared" si="54"/>
        <v>2.9063409255785411</v>
      </c>
      <c r="N450" s="3">
        <f t="shared" si="58"/>
        <v>2.8845905619902168</v>
      </c>
      <c r="O450" s="3">
        <f t="shared" si="59"/>
        <v>2.8509595071874454</v>
      </c>
      <c r="P450" s="3">
        <f t="shared" si="52"/>
        <v>2.7752488366952646</v>
      </c>
      <c r="Q450" s="4" t="str">
        <f t="shared" si="57"/>
        <v>OVER</v>
      </c>
      <c r="R450" s="4" t="str">
        <f t="shared" si="57"/>
        <v>OVER</v>
      </c>
      <c r="S450" s="4" t="str">
        <f t="shared" si="55"/>
        <v>OVER</v>
      </c>
      <c r="T450" s="4" t="str">
        <f t="shared" si="55"/>
        <v>OVER</v>
      </c>
      <c r="U450" s="2">
        <f>IF(Q450="OVER",$J450,$K450)</f>
        <v>153.97534360943575</v>
      </c>
      <c r="V450" s="2">
        <f>IF(R450="OVER",$J450,$K450)</f>
        <v>153.97534360943575</v>
      </c>
      <c r="W450" s="2">
        <f>IF(S450="OVER",$J450,$K450)</f>
        <v>153.97534360943575</v>
      </c>
      <c r="X450" s="2">
        <f>IF(T450="OVER",$J450,$K450)</f>
        <v>153.97534360943575</v>
      </c>
      <c r="Y450" s="9">
        <f t="shared" si="56"/>
        <v>-273.7337723365913</v>
      </c>
      <c r="Z450" s="9">
        <f t="shared" si="56"/>
        <v>11869.078798635635</v>
      </c>
      <c r="AA450" s="9">
        <f t="shared" si="56"/>
        <v>24663.646679507296</v>
      </c>
      <c r="AB450" s="9">
        <f t="shared" si="53"/>
        <v>8355.9174650066379</v>
      </c>
    </row>
    <row r="451" spans="1:28" x14ac:dyDescent="0.3">
      <c r="A451" s="1">
        <v>45065</v>
      </c>
      <c r="B451" s="2">
        <v>142.86000000000001</v>
      </c>
      <c r="C451" s="2">
        <v>418.62</v>
      </c>
      <c r="D451" s="9">
        <f>B451-B450</f>
        <v>-0.37999999999999545</v>
      </c>
      <c r="E451" s="9">
        <f>C451-C450</f>
        <v>-0.61000000000001364</v>
      </c>
      <c r="F451" s="3">
        <f>F$1/B451</f>
        <v>699.9860002799943</v>
      </c>
      <c r="G451" s="3">
        <f>F$1/C451</f>
        <v>238.88012995079069</v>
      </c>
      <c r="H451" s="2">
        <f>D451*F450</f>
        <v>-265.28902541189296</v>
      </c>
      <c r="I451" s="2">
        <f>E451*G450</f>
        <v>-145.50485413735029</v>
      </c>
      <c r="J451" s="2">
        <f>I451-H451</f>
        <v>119.78417127454267</v>
      </c>
      <c r="K451" s="2">
        <f t="shared" si="51"/>
        <v>-119.78417127454267</v>
      </c>
      <c r="L451" s="3">
        <f>C451/B451</f>
        <v>2.9302813943721122</v>
      </c>
      <c r="M451" s="3">
        <f t="shared" si="54"/>
        <v>2.9108771402447253</v>
      </c>
      <c r="N451" s="3">
        <f t="shared" si="58"/>
        <v>2.8888882364562694</v>
      </c>
      <c r="O451" s="3">
        <f t="shared" si="59"/>
        <v>2.8549923127752361</v>
      </c>
      <c r="P451" s="3">
        <f t="shared" si="52"/>
        <v>2.7757096663884835</v>
      </c>
      <c r="Q451" s="4" t="str">
        <f t="shared" si="57"/>
        <v>OVER</v>
      </c>
      <c r="R451" s="4" t="str">
        <f t="shared" si="57"/>
        <v>OVER</v>
      </c>
      <c r="S451" s="4" t="str">
        <f t="shared" si="55"/>
        <v>OVER</v>
      </c>
      <c r="T451" s="4" t="str">
        <f t="shared" si="55"/>
        <v>OVER</v>
      </c>
      <c r="U451" s="2">
        <f>IF(Q451="OVER",$J451,$K451)</f>
        <v>119.78417127454267</v>
      </c>
      <c r="V451" s="2">
        <f>IF(R451="OVER",$J451,$K451)</f>
        <v>119.78417127454267</v>
      </c>
      <c r="W451" s="2">
        <f>IF(S451="OVER",$J451,$K451)</f>
        <v>119.78417127454267</v>
      </c>
      <c r="X451" s="2">
        <f>IF(T451="OVER",$J451,$K451)</f>
        <v>119.78417127454267</v>
      </c>
      <c r="Y451" s="9">
        <f t="shared" si="56"/>
        <v>-153.94960106204863</v>
      </c>
      <c r="Z451" s="9">
        <f t="shared" si="56"/>
        <v>11988.862969910178</v>
      </c>
      <c r="AA451" s="9">
        <f t="shared" si="56"/>
        <v>24783.430850781839</v>
      </c>
      <c r="AB451" s="9">
        <f t="shared" si="53"/>
        <v>8475.701636281181</v>
      </c>
    </row>
    <row r="452" spans="1:28" x14ac:dyDescent="0.3">
      <c r="A452" s="1">
        <v>45068</v>
      </c>
      <c r="B452" s="2">
        <v>143.08000000000001</v>
      </c>
      <c r="C452" s="2">
        <v>418.79</v>
      </c>
      <c r="D452" s="9">
        <f>B452-B451</f>
        <v>0.21999999999999886</v>
      </c>
      <c r="E452" s="9">
        <f>C452-C451</f>
        <v>0.17000000000001592</v>
      </c>
      <c r="F452" s="3">
        <f>F$1/B452</f>
        <v>698.909700866648</v>
      </c>
      <c r="G452" s="3">
        <f>F$1/C452</f>
        <v>238.78316101148545</v>
      </c>
      <c r="H452" s="2">
        <f>D452*F451</f>
        <v>153.99692006159796</v>
      </c>
      <c r="I452" s="2">
        <f>E452*G451</f>
        <v>40.609622091638222</v>
      </c>
      <c r="J452" s="2">
        <f>I452-H452</f>
        <v>-113.38729796995975</v>
      </c>
      <c r="K452" s="2">
        <f t="shared" si="51"/>
        <v>113.38729796995975</v>
      </c>
      <c r="L452" s="3">
        <f>C452/B452</f>
        <v>2.9269639362594351</v>
      </c>
      <c r="M452" s="3">
        <f t="shared" si="54"/>
        <v>2.9144791863186619</v>
      </c>
      <c r="N452" s="3">
        <f t="shared" si="58"/>
        <v>2.8931364263817141</v>
      </c>
      <c r="O452" s="3">
        <f t="shared" si="59"/>
        <v>2.8585860515274764</v>
      </c>
      <c r="P452" s="3">
        <f t="shared" si="52"/>
        <v>2.7761333276838354</v>
      </c>
      <c r="Q452" s="4" t="str">
        <f t="shared" si="57"/>
        <v>OVER</v>
      </c>
      <c r="R452" s="4" t="str">
        <f t="shared" si="57"/>
        <v>OVER</v>
      </c>
      <c r="S452" s="4" t="str">
        <f t="shared" si="55"/>
        <v>OVER</v>
      </c>
      <c r="T452" s="4" t="str">
        <f t="shared" si="55"/>
        <v>OVER</v>
      </c>
      <c r="U452" s="2">
        <f>IF(Q452="OVER",$J452,$K452)</f>
        <v>-113.38729796995975</v>
      </c>
      <c r="V452" s="2">
        <f>IF(R452="OVER",$J452,$K452)</f>
        <v>-113.38729796995975</v>
      </c>
      <c r="W452" s="2">
        <f>IF(S452="OVER",$J452,$K452)</f>
        <v>-113.38729796995975</v>
      </c>
      <c r="X452" s="2">
        <f>IF(T452="OVER",$J452,$K452)</f>
        <v>-113.38729796995975</v>
      </c>
      <c r="Y452" s="9">
        <f t="shared" si="56"/>
        <v>-267.33689903200838</v>
      </c>
      <c r="Z452" s="9">
        <f t="shared" si="56"/>
        <v>11875.475671940219</v>
      </c>
      <c r="AA452" s="9">
        <f t="shared" si="56"/>
        <v>24670.04355281188</v>
      </c>
      <c r="AB452" s="9">
        <f t="shared" si="53"/>
        <v>8362.3143383112219</v>
      </c>
    </row>
    <row r="453" spans="1:28" x14ac:dyDescent="0.3">
      <c r="A453" s="1">
        <v>45069</v>
      </c>
      <c r="B453" s="2">
        <v>141.55000000000001</v>
      </c>
      <c r="C453" s="2">
        <v>414.09</v>
      </c>
      <c r="D453" s="9">
        <f>B453-B452</f>
        <v>-1.5300000000000011</v>
      </c>
      <c r="E453" s="9">
        <f>C453-C452</f>
        <v>-4.7000000000000455</v>
      </c>
      <c r="F453" s="3">
        <f>F$1/B453</f>
        <v>706.46414694454256</v>
      </c>
      <c r="G453" s="3">
        <f>F$1/C453</f>
        <v>241.4933951556425</v>
      </c>
      <c r="H453" s="2">
        <f>D453*F452</f>
        <v>-1069.3318423259723</v>
      </c>
      <c r="I453" s="2">
        <f>E453*G452</f>
        <v>-1122.2808567539926</v>
      </c>
      <c r="J453" s="2">
        <f>I453-H453</f>
        <v>-52.949014428020291</v>
      </c>
      <c r="K453" s="2">
        <f t="shared" ref="K453:K516" si="60">H453-I453</f>
        <v>52.949014428020291</v>
      </c>
      <c r="L453" s="3">
        <f>C453/B453</f>
        <v>2.9253973860826559</v>
      </c>
      <c r="M453" s="3">
        <f t="shared" si="54"/>
        <v>2.9181198810574118</v>
      </c>
      <c r="N453" s="3">
        <f t="shared" si="58"/>
        <v>2.8971417216948159</v>
      </c>
      <c r="O453" s="3">
        <f t="shared" si="59"/>
        <v>2.8615466118617423</v>
      </c>
      <c r="P453" s="3">
        <f t="shared" si="52"/>
        <v>2.7765887352339353</v>
      </c>
      <c r="Q453" s="4" t="str">
        <f t="shared" si="57"/>
        <v>OVER</v>
      </c>
      <c r="R453" s="4" t="str">
        <f t="shared" si="57"/>
        <v>OVER</v>
      </c>
      <c r="S453" s="4" t="str">
        <f t="shared" si="55"/>
        <v>OVER</v>
      </c>
      <c r="T453" s="4" t="str">
        <f t="shared" si="55"/>
        <v>OVER</v>
      </c>
      <c r="U453" s="2">
        <f>IF(Q453="OVER",$J453,$K453)</f>
        <v>-52.949014428020291</v>
      </c>
      <c r="V453" s="2">
        <f>IF(R453="OVER",$J453,$K453)</f>
        <v>-52.949014428020291</v>
      </c>
      <c r="W453" s="2">
        <f>IF(S453="OVER",$J453,$K453)</f>
        <v>-52.949014428020291</v>
      </c>
      <c r="X453" s="2">
        <f>IF(T453="OVER",$J453,$K453)</f>
        <v>-52.949014428020291</v>
      </c>
      <c r="Y453" s="9">
        <f t="shared" si="56"/>
        <v>-320.28591346002867</v>
      </c>
      <c r="Z453" s="9">
        <f t="shared" si="56"/>
        <v>11822.526657512199</v>
      </c>
      <c r="AA453" s="9">
        <f t="shared" si="56"/>
        <v>24617.094538383859</v>
      </c>
      <c r="AB453" s="9">
        <f t="shared" si="53"/>
        <v>8309.3653238832012</v>
      </c>
    </row>
    <row r="454" spans="1:28" x14ac:dyDescent="0.3">
      <c r="A454" s="1">
        <v>45070</v>
      </c>
      <c r="B454" s="2">
        <v>140.01</v>
      </c>
      <c r="C454" s="2">
        <v>411.09</v>
      </c>
      <c r="D454" s="9">
        <f>B454-B453</f>
        <v>-1.5400000000000205</v>
      </c>
      <c r="E454" s="9">
        <f>C454-C453</f>
        <v>-3</v>
      </c>
      <c r="F454" s="3">
        <f>F$1/B454</f>
        <v>714.23469752160565</v>
      </c>
      <c r="G454" s="3">
        <f>F$1/C454</f>
        <v>243.25573475394683</v>
      </c>
      <c r="H454" s="2">
        <f>D454*F453</f>
        <v>-1087.9547862946099</v>
      </c>
      <c r="I454" s="2">
        <f>E454*G453</f>
        <v>-724.48018546692754</v>
      </c>
      <c r="J454" s="2">
        <f>I454-H454</f>
        <v>363.47460082768237</v>
      </c>
      <c r="K454" s="2">
        <f t="shared" si="60"/>
        <v>-363.47460082768237</v>
      </c>
      <c r="L454" s="3">
        <f>C454/B454</f>
        <v>2.9361474180415685</v>
      </c>
      <c r="M454" s="3">
        <f t="shared" si="54"/>
        <v>2.92144493083513</v>
      </c>
      <c r="N454" s="3">
        <f t="shared" si="58"/>
        <v>2.900792539456627</v>
      </c>
      <c r="O454" s="3">
        <f t="shared" si="59"/>
        <v>2.8645865467186642</v>
      </c>
      <c r="P454" s="3">
        <f t="shared" si="52"/>
        <v>2.7771540167222564</v>
      </c>
      <c r="Q454" s="4" t="str">
        <f t="shared" si="57"/>
        <v>OVER</v>
      </c>
      <c r="R454" s="4" t="str">
        <f t="shared" si="57"/>
        <v>OVER</v>
      </c>
      <c r="S454" s="4" t="str">
        <f t="shared" si="55"/>
        <v>OVER</v>
      </c>
      <c r="T454" s="4" t="str">
        <f t="shared" si="55"/>
        <v>OVER</v>
      </c>
      <c r="U454" s="2">
        <f>IF(Q454="OVER",$J454,$K454)</f>
        <v>363.47460082768237</v>
      </c>
      <c r="V454" s="2">
        <f>IF(R454="OVER",$J454,$K454)</f>
        <v>363.47460082768237</v>
      </c>
      <c r="W454" s="2">
        <f>IF(S454="OVER",$J454,$K454)</f>
        <v>363.47460082768237</v>
      </c>
      <c r="X454" s="2">
        <f>IF(T454="OVER",$J454,$K454)</f>
        <v>363.47460082768237</v>
      </c>
      <c r="Y454" s="9">
        <f t="shared" si="56"/>
        <v>43.188687367653699</v>
      </c>
      <c r="Z454" s="9">
        <f t="shared" si="56"/>
        <v>12186.00125833988</v>
      </c>
      <c r="AA454" s="9">
        <f t="shared" si="56"/>
        <v>24980.56913921154</v>
      </c>
      <c r="AB454" s="9">
        <f t="shared" si="53"/>
        <v>8672.8399247108828</v>
      </c>
    </row>
    <row r="455" spans="1:28" x14ac:dyDescent="0.3">
      <c r="A455" s="1">
        <v>45071</v>
      </c>
      <c r="B455" s="2">
        <v>139.91999999999999</v>
      </c>
      <c r="C455" s="2">
        <v>414.65</v>
      </c>
      <c r="D455" s="9">
        <f>B455-B454</f>
        <v>-9.0000000000003411E-2</v>
      </c>
      <c r="E455" s="9">
        <f>C455-C454</f>
        <v>3.5600000000000023</v>
      </c>
      <c r="F455" s="3">
        <f>F$1/B455</f>
        <v>714.6941109205261</v>
      </c>
      <c r="G455" s="3">
        <f>F$1/C455</f>
        <v>241.1672494875196</v>
      </c>
      <c r="H455" s="2">
        <f>D455*F454</f>
        <v>-64.281122776946944</v>
      </c>
      <c r="I455" s="2">
        <f>E455*G454</f>
        <v>865.99041572405122</v>
      </c>
      <c r="J455" s="2">
        <f>I455-H455</f>
        <v>930.27153850099819</v>
      </c>
      <c r="K455" s="2">
        <f t="shared" si="60"/>
        <v>-930.27153850099819</v>
      </c>
      <c r="L455" s="3">
        <f>C455/B455</f>
        <v>2.9634791309319612</v>
      </c>
      <c r="M455" s="3">
        <f t="shared" si="54"/>
        <v>2.9265554755444669</v>
      </c>
      <c r="N455" s="3">
        <f t="shared" si="58"/>
        <v>2.9053196830460668</v>
      </c>
      <c r="O455" s="3">
        <f t="shared" si="59"/>
        <v>2.8677356074602769</v>
      </c>
      <c r="P455" s="3">
        <f t="shared" si="52"/>
        <v>2.7778298419698761</v>
      </c>
      <c r="Q455" s="4" t="str">
        <f t="shared" si="57"/>
        <v>OVER</v>
      </c>
      <c r="R455" s="4" t="str">
        <f t="shared" si="57"/>
        <v>OVER</v>
      </c>
      <c r="S455" s="4" t="str">
        <f t="shared" si="55"/>
        <v>OVER</v>
      </c>
      <c r="T455" s="4" t="str">
        <f t="shared" si="55"/>
        <v>OVER</v>
      </c>
      <c r="U455" s="2">
        <f>IF(Q455="OVER",$J455,$K455)</f>
        <v>930.27153850099819</v>
      </c>
      <c r="V455" s="2">
        <f>IF(R455="OVER",$J455,$K455)</f>
        <v>930.27153850099819</v>
      </c>
      <c r="W455" s="2">
        <f>IF(S455="OVER",$J455,$K455)</f>
        <v>930.27153850099819</v>
      </c>
      <c r="X455" s="2">
        <f>IF(T455="OVER",$J455,$K455)</f>
        <v>930.27153850099819</v>
      </c>
      <c r="Y455" s="9">
        <f t="shared" si="56"/>
        <v>973.46022586865183</v>
      </c>
      <c r="Z455" s="9">
        <f t="shared" si="56"/>
        <v>13116.272796840878</v>
      </c>
      <c r="AA455" s="9">
        <f t="shared" si="56"/>
        <v>25910.840677712538</v>
      </c>
      <c r="AB455" s="9">
        <f t="shared" si="53"/>
        <v>9603.1114632118806</v>
      </c>
    </row>
    <row r="456" spans="1:28" x14ac:dyDescent="0.3">
      <c r="A456" s="1">
        <v>45072</v>
      </c>
      <c r="B456" s="2">
        <v>141.09</v>
      </c>
      <c r="C456" s="2">
        <v>420.02</v>
      </c>
      <c r="D456" s="9">
        <f>B456-B455</f>
        <v>1.1700000000000159</v>
      </c>
      <c r="E456" s="9">
        <f>C456-C455</f>
        <v>5.3700000000000045</v>
      </c>
      <c r="F456" s="3">
        <f>F$1/B456</f>
        <v>708.76745339853994</v>
      </c>
      <c r="G456" s="3">
        <f>F$1/C456</f>
        <v>238.08390076663017</v>
      </c>
      <c r="H456" s="2">
        <f>D456*F455</f>
        <v>836.19210977702687</v>
      </c>
      <c r="I456" s="2">
        <f>E456*G455</f>
        <v>1295.0681297479814</v>
      </c>
      <c r="J456" s="2">
        <f>I456-H456</f>
        <v>458.87601997095453</v>
      </c>
      <c r="K456" s="2">
        <f t="shared" si="60"/>
        <v>-458.87601997095453</v>
      </c>
      <c r="L456" s="3">
        <f>C456/B456</f>
        <v>2.9769650577645472</v>
      </c>
      <c r="M456" s="3">
        <f t="shared" si="54"/>
        <v>2.9334167636838382</v>
      </c>
      <c r="N456" s="3">
        <f t="shared" si="58"/>
        <v>2.9108821429068721</v>
      </c>
      <c r="O456" s="3">
        <f t="shared" si="59"/>
        <v>2.8708489826896413</v>
      </c>
      <c r="P456" s="3">
        <f t="shared" si="52"/>
        <v>2.7785783495205636</v>
      </c>
      <c r="Q456" s="4" t="str">
        <f t="shared" si="57"/>
        <v>OVER</v>
      </c>
      <c r="R456" s="4" t="str">
        <f t="shared" si="57"/>
        <v>OVER</v>
      </c>
      <c r="S456" s="4" t="str">
        <f t="shared" si="55"/>
        <v>OVER</v>
      </c>
      <c r="T456" s="4" t="str">
        <f t="shared" si="55"/>
        <v>OVER</v>
      </c>
      <c r="U456" s="2">
        <f>IF(Q456="OVER",$J456,$K456)</f>
        <v>458.87601997095453</v>
      </c>
      <c r="V456" s="2">
        <f>IF(R456="OVER",$J456,$K456)</f>
        <v>458.87601997095453</v>
      </c>
      <c r="W456" s="2">
        <f>IF(S456="OVER",$J456,$K456)</f>
        <v>458.87601997095453</v>
      </c>
      <c r="X456" s="2">
        <f>IF(T456="OVER",$J456,$K456)</f>
        <v>458.87601997095453</v>
      </c>
      <c r="Y456" s="9">
        <f t="shared" si="56"/>
        <v>1432.3362458396064</v>
      </c>
      <c r="Z456" s="9">
        <f t="shared" si="56"/>
        <v>13575.148816811832</v>
      </c>
      <c r="AA456" s="9">
        <f t="shared" si="56"/>
        <v>26369.716697683492</v>
      </c>
      <c r="AB456" s="9">
        <f t="shared" si="53"/>
        <v>10061.987483182835</v>
      </c>
    </row>
    <row r="457" spans="1:28" x14ac:dyDescent="0.3">
      <c r="A457" s="1">
        <v>45076</v>
      </c>
      <c r="B457" s="2">
        <v>140.84</v>
      </c>
      <c r="C457" s="2">
        <v>420.18</v>
      </c>
      <c r="D457" s="9">
        <f>B457-B456</f>
        <v>-0.25</v>
      </c>
      <c r="E457" s="9">
        <f>C457-C456</f>
        <v>0.16000000000002501</v>
      </c>
      <c r="F457" s="3">
        <f>F$1/B457</f>
        <v>710.02556092019313</v>
      </c>
      <c r="G457" s="3">
        <f>F$1/C457</f>
        <v>237.99324099195582</v>
      </c>
      <c r="H457" s="2">
        <f>D457*F456</f>
        <v>-177.19186334963499</v>
      </c>
      <c r="I457" s="2">
        <f>E457*G456</f>
        <v>38.093424122666782</v>
      </c>
      <c r="J457" s="2">
        <f>I457-H457</f>
        <v>215.28528747230177</v>
      </c>
      <c r="K457" s="2">
        <f t="shared" si="60"/>
        <v>-215.28528747230177</v>
      </c>
      <c r="L457" s="3">
        <f>C457/B457</f>
        <v>2.9833854018744677</v>
      </c>
      <c r="M457" s="3">
        <f t="shared" si="54"/>
        <v>2.9415571588459906</v>
      </c>
      <c r="N457" s="3">
        <f t="shared" si="58"/>
        <v>2.9167819833060915</v>
      </c>
      <c r="O457" s="3">
        <f t="shared" si="59"/>
        <v>2.8740086852210824</v>
      </c>
      <c r="P457" s="3">
        <f t="shared" si="52"/>
        <v>2.7794214879098704</v>
      </c>
      <c r="Q457" s="4" t="str">
        <f t="shared" si="57"/>
        <v>OVER</v>
      </c>
      <c r="R457" s="4" t="str">
        <f t="shared" si="57"/>
        <v>OVER</v>
      </c>
      <c r="S457" s="4" t="str">
        <f t="shared" si="55"/>
        <v>OVER</v>
      </c>
      <c r="T457" s="4" t="str">
        <f t="shared" si="55"/>
        <v>OVER</v>
      </c>
      <c r="U457" s="2">
        <f>IF(Q457="OVER",$J457,$K457)</f>
        <v>215.28528747230177</v>
      </c>
      <c r="V457" s="2">
        <f>IF(R457="OVER",$J457,$K457)</f>
        <v>215.28528747230177</v>
      </c>
      <c r="W457" s="2">
        <f>IF(S457="OVER",$J457,$K457)</f>
        <v>215.28528747230177</v>
      </c>
      <c r="X457" s="2">
        <f>IF(T457="OVER",$J457,$K457)</f>
        <v>215.28528747230177</v>
      </c>
      <c r="Y457" s="9">
        <f t="shared" si="56"/>
        <v>1647.621533311908</v>
      </c>
      <c r="Z457" s="9">
        <f t="shared" si="56"/>
        <v>13790.434104284133</v>
      </c>
      <c r="AA457" s="9">
        <f t="shared" si="56"/>
        <v>26585.001985155795</v>
      </c>
      <c r="AB457" s="9">
        <f t="shared" si="53"/>
        <v>10277.272770655136</v>
      </c>
    </row>
    <row r="458" spans="1:28" x14ac:dyDescent="0.3">
      <c r="A458" s="1">
        <v>45077</v>
      </c>
      <c r="B458" s="2">
        <v>139.61000000000001</v>
      </c>
      <c r="C458" s="2">
        <v>417.85</v>
      </c>
      <c r="D458" s="9">
        <f>B458-B457</f>
        <v>-1.2299999999999898</v>
      </c>
      <c r="E458" s="9">
        <f>C458-C457</f>
        <v>-2.3299999999999841</v>
      </c>
      <c r="F458" s="3">
        <f>F$1/B458</f>
        <v>716.28106869135445</v>
      </c>
      <c r="G458" s="3">
        <f>F$1/C458</f>
        <v>239.32033026205576</v>
      </c>
      <c r="H458" s="2">
        <f>D458*F457</f>
        <v>-873.33143993183023</v>
      </c>
      <c r="I458" s="2">
        <f>E458*G457</f>
        <v>-554.52425151125328</v>
      </c>
      <c r="J458" s="2">
        <f>I458-H458</f>
        <v>318.80718842057695</v>
      </c>
      <c r="K458" s="2">
        <f t="shared" si="60"/>
        <v>-318.80718842057695</v>
      </c>
      <c r="L458" s="3">
        <f>C458/B458</f>
        <v>2.9929804455268245</v>
      </c>
      <c r="M458" s="3">
        <f t="shared" si="54"/>
        <v>2.9484669203112235</v>
      </c>
      <c r="N458" s="3">
        <f t="shared" si="58"/>
        <v>2.9226197482315506</v>
      </c>
      <c r="O458" s="3">
        <f t="shared" si="59"/>
        <v>2.8772639238038442</v>
      </c>
      <c r="P458" s="3">
        <f t="shared" si="52"/>
        <v>2.7803018366485186</v>
      </c>
      <c r="Q458" s="4" t="str">
        <f t="shared" si="57"/>
        <v>OVER</v>
      </c>
      <c r="R458" s="4" t="str">
        <f t="shared" si="57"/>
        <v>OVER</v>
      </c>
      <c r="S458" s="4" t="str">
        <f t="shared" si="55"/>
        <v>OVER</v>
      </c>
      <c r="T458" s="4" t="str">
        <f t="shared" si="55"/>
        <v>OVER</v>
      </c>
      <c r="U458" s="2">
        <f>IF(Q458="OVER",$J458,$K458)</f>
        <v>318.80718842057695</v>
      </c>
      <c r="V458" s="2">
        <f>IF(R458="OVER",$J458,$K458)</f>
        <v>318.80718842057695</v>
      </c>
      <c r="W458" s="2">
        <f>IF(S458="OVER",$J458,$K458)</f>
        <v>318.80718842057695</v>
      </c>
      <c r="X458" s="2">
        <f>IF(T458="OVER",$J458,$K458)</f>
        <v>318.80718842057695</v>
      </c>
      <c r="Y458" s="9">
        <f t="shared" si="56"/>
        <v>1966.428721732485</v>
      </c>
      <c r="Z458" s="9">
        <f t="shared" si="56"/>
        <v>14109.24129270471</v>
      </c>
      <c r="AA458" s="9">
        <f t="shared" si="56"/>
        <v>26903.809173576374</v>
      </c>
      <c r="AB458" s="9">
        <f t="shared" si="53"/>
        <v>10596.079959075712</v>
      </c>
    </row>
    <row r="459" spans="1:28" x14ac:dyDescent="0.3">
      <c r="A459" s="1">
        <v>45078</v>
      </c>
      <c r="B459" s="2">
        <v>140.66</v>
      </c>
      <c r="C459" s="2">
        <v>421.82</v>
      </c>
      <c r="D459" s="9">
        <f>B459-B458</f>
        <v>1.0499999999999829</v>
      </c>
      <c r="E459" s="9">
        <f>C459-C458</f>
        <v>3.9699999999999704</v>
      </c>
      <c r="F459" s="3">
        <f>F$1/B459</f>
        <v>710.93416749608991</v>
      </c>
      <c r="G459" s="3">
        <f>F$1/C459</f>
        <v>237.06794367265658</v>
      </c>
      <c r="H459" s="2">
        <f>D459*F458</f>
        <v>752.09512212590994</v>
      </c>
      <c r="I459" s="2">
        <f>E459*G458</f>
        <v>950.10171114035427</v>
      </c>
      <c r="J459" s="2">
        <f>I459-H459</f>
        <v>198.00658901444433</v>
      </c>
      <c r="K459" s="2">
        <f t="shared" si="60"/>
        <v>-198.00658901444433</v>
      </c>
      <c r="L459" s="3">
        <f>C459/B459</f>
        <v>2.9988625053320064</v>
      </c>
      <c r="M459" s="3">
        <f t="shared" si="54"/>
        <v>2.9561228942591615</v>
      </c>
      <c r="N459" s="3">
        <f t="shared" si="58"/>
        <v>2.9289039762373945</v>
      </c>
      <c r="O459" s="3">
        <f t="shared" si="59"/>
        <v>2.8806501680940562</v>
      </c>
      <c r="P459" s="3">
        <f t="shared" ref="P459:P522" si="61">AVERAGE(L260:L459)</f>
        <v>2.781184270267643</v>
      </c>
      <c r="Q459" s="4" t="str">
        <f t="shared" si="57"/>
        <v>OVER</v>
      </c>
      <c r="R459" s="4" t="str">
        <f t="shared" si="57"/>
        <v>OVER</v>
      </c>
      <c r="S459" s="4" t="str">
        <f t="shared" si="55"/>
        <v>OVER</v>
      </c>
      <c r="T459" s="4" t="str">
        <f t="shared" si="55"/>
        <v>OVER</v>
      </c>
      <c r="U459" s="2">
        <f>IF(Q459="OVER",$J459,$K459)</f>
        <v>198.00658901444433</v>
      </c>
      <c r="V459" s="2">
        <f>IF(R459="OVER",$J459,$K459)</f>
        <v>198.00658901444433</v>
      </c>
      <c r="W459" s="2">
        <f>IF(S459="OVER",$J459,$K459)</f>
        <v>198.00658901444433</v>
      </c>
      <c r="X459" s="2">
        <f>IF(T459="OVER",$J459,$K459)</f>
        <v>198.00658901444433</v>
      </c>
      <c r="Y459" s="9">
        <f t="shared" si="56"/>
        <v>2164.4353107469292</v>
      </c>
      <c r="Z459" s="9">
        <f t="shared" si="56"/>
        <v>14307.247881719155</v>
      </c>
      <c r="AA459" s="9">
        <f t="shared" si="56"/>
        <v>27101.815762590817</v>
      </c>
      <c r="AB459" s="9">
        <f t="shared" si="53"/>
        <v>10794.086548090158</v>
      </c>
    </row>
    <row r="460" spans="1:28" x14ac:dyDescent="0.3">
      <c r="A460" s="1">
        <v>45079</v>
      </c>
      <c r="B460" s="2">
        <v>143.72999999999999</v>
      </c>
      <c r="C460" s="2">
        <v>427.92</v>
      </c>
      <c r="D460" s="9">
        <f>B460-B459</f>
        <v>3.0699999999999932</v>
      </c>
      <c r="E460" s="9">
        <f>C460-C459</f>
        <v>6.1000000000000227</v>
      </c>
      <c r="F460" s="3">
        <f>F$1/B460</f>
        <v>695.74897377026377</v>
      </c>
      <c r="G460" s="3">
        <f>F$1/C460</f>
        <v>233.6885399140026</v>
      </c>
      <c r="H460" s="2">
        <f>D460*F459</f>
        <v>2182.5678942129912</v>
      </c>
      <c r="I460" s="2">
        <f>E460*G459</f>
        <v>1446.1144564032106</v>
      </c>
      <c r="J460" s="2">
        <f>I460-H460</f>
        <v>-736.45343780978055</v>
      </c>
      <c r="K460" s="2">
        <f t="shared" si="60"/>
        <v>736.45343780978055</v>
      </c>
      <c r="L460" s="3">
        <f>C460/B460</f>
        <v>2.9772490085577128</v>
      </c>
      <c r="M460" s="3">
        <f t="shared" si="54"/>
        <v>2.9611711684743294</v>
      </c>
      <c r="N460" s="3">
        <f t="shared" si="58"/>
        <v>2.933756047026435</v>
      </c>
      <c r="O460" s="3">
        <f t="shared" si="59"/>
        <v>2.8832892633511982</v>
      </c>
      <c r="P460" s="3">
        <f t="shared" si="61"/>
        <v>2.7819718211703957</v>
      </c>
      <c r="Q460" s="4" t="str">
        <f t="shared" si="57"/>
        <v>OVER</v>
      </c>
      <c r="R460" s="4" t="str">
        <f t="shared" si="57"/>
        <v>OVER</v>
      </c>
      <c r="S460" s="4" t="str">
        <f t="shared" si="55"/>
        <v>OVER</v>
      </c>
      <c r="T460" s="4" t="str">
        <f t="shared" si="55"/>
        <v>OVER</v>
      </c>
      <c r="U460" s="2">
        <f>IF(Q460="OVER",$J460,$K460)</f>
        <v>-736.45343780978055</v>
      </c>
      <c r="V460" s="2">
        <f>IF(R460="OVER",$J460,$K460)</f>
        <v>-736.45343780978055</v>
      </c>
      <c r="W460" s="2">
        <f>IF(S460="OVER",$J460,$K460)</f>
        <v>-736.45343780978055</v>
      </c>
      <c r="X460" s="2">
        <f>IF(T460="OVER",$J460,$K460)</f>
        <v>-736.45343780978055</v>
      </c>
      <c r="Y460" s="9">
        <f t="shared" si="56"/>
        <v>1427.9818729371486</v>
      </c>
      <c r="Z460" s="9">
        <f t="shared" si="56"/>
        <v>13570.794443909374</v>
      </c>
      <c r="AA460" s="9">
        <f t="shared" si="56"/>
        <v>26365.362324781036</v>
      </c>
      <c r="AB460" s="9">
        <f t="shared" si="56"/>
        <v>10057.633110280378</v>
      </c>
    </row>
    <row r="461" spans="1:28" x14ac:dyDescent="0.3">
      <c r="A461" s="1">
        <v>45082</v>
      </c>
      <c r="B461" s="2">
        <v>143.24</v>
      </c>
      <c r="C461" s="2">
        <v>427.1</v>
      </c>
      <c r="D461" s="9">
        <f>B461-B460</f>
        <v>-0.48999999999998067</v>
      </c>
      <c r="E461" s="9">
        <f>C461-C460</f>
        <v>-0.81999999999999318</v>
      </c>
      <c r="F461" s="3">
        <f>F$1/B461</f>
        <v>698.1290142418319</v>
      </c>
      <c r="G461" s="3">
        <f>F$1/C461</f>
        <v>234.13720440177943</v>
      </c>
      <c r="H461" s="2">
        <f>D461*F460</f>
        <v>-340.91699714741583</v>
      </c>
      <c r="I461" s="2">
        <f>E461*G460</f>
        <v>-191.62460272948053</v>
      </c>
      <c r="J461" s="2">
        <f>I461-H461</f>
        <v>149.2923944179353</v>
      </c>
      <c r="K461" s="2">
        <f t="shared" si="60"/>
        <v>-149.2923944179353</v>
      </c>
      <c r="L461" s="3">
        <f>C461/B461</f>
        <v>2.9817090198268641</v>
      </c>
      <c r="M461" s="3">
        <f t="shared" ref="M461:M524" si="62">AVERAGE(L452:L461)</f>
        <v>2.9663139310198039</v>
      </c>
      <c r="N461" s="3">
        <f t="shared" si="58"/>
        <v>2.9385955356322646</v>
      </c>
      <c r="O461" s="3">
        <f t="shared" si="59"/>
        <v>2.8856726246723809</v>
      </c>
      <c r="P461" s="3">
        <f t="shared" si="61"/>
        <v>2.7827491394544803</v>
      </c>
      <c r="Q461" s="4" t="str">
        <f t="shared" si="57"/>
        <v>OVER</v>
      </c>
      <c r="R461" s="4" t="str">
        <f t="shared" si="57"/>
        <v>OVER</v>
      </c>
      <c r="S461" s="4" t="str">
        <f t="shared" ref="S461:T524" si="63">IF($L461&gt;O461,"OVER","UNDER")</f>
        <v>OVER</v>
      </c>
      <c r="T461" s="4" t="str">
        <f t="shared" si="63"/>
        <v>OVER</v>
      </c>
      <c r="U461" s="2">
        <f>IF(Q461="OVER",$J461,$K461)</f>
        <v>149.2923944179353</v>
      </c>
      <c r="V461" s="2">
        <f>IF(R461="OVER",$J461,$K461)</f>
        <v>149.2923944179353</v>
      </c>
      <c r="W461" s="2">
        <f>IF(S461="OVER",$J461,$K461)</f>
        <v>149.2923944179353</v>
      </c>
      <c r="X461" s="2">
        <f>IF(T461="OVER",$J461,$K461)</f>
        <v>149.2923944179353</v>
      </c>
      <c r="Y461" s="9">
        <f t="shared" ref="Y461:AB524" si="64">Y460+U461</f>
        <v>1577.274267355084</v>
      </c>
      <c r="Z461" s="9">
        <f t="shared" si="64"/>
        <v>13720.086838327308</v>
      </c>
      <c r="AA461" s="9">
        <f t="shared" si="64"/>
        <v>26514.65471919897</v>
      </c>
      <c r="AB461" s="9">
        <f t="shared" si="64"/>
        <v>10206.925504698313</v>
      </c>
    </row>
    <row r="462" spans="1:28" x14ac:dyDescent="0.3">
      <c r="A462" s="1">
        <v>45083</v>
      </c>
      <c r="B462" s="2">
        <v>144.21</v>
      </c>
      <c r="C462" s="2">
        <v>428.03</v>
      </c>
      <c r="D462" s="9">
        <f>B462-B461</f>
        <v>0.96999999999999886</v>
      </c>
      <c r="E462" s="9">
        <f>C462-C461</f>
        <v>0.92999999999994998</v>
      </c>
      <c r="F462" s="3">
        <f>F$1/B462</f>
        <v>693.43318771236386</v>
      </c>
      <c r="G462" s="3">
        <f>F$1/C462</f>
        <v>233.62848398476743</v>
      </c>
      <c r="H462" s="2">
        <f>D462*F461</f>
        <v>677.18514381457612</v>
      </c>
      <c r="I462" s="2">
        <f>E462*G461</f>
        <v>217.74760009364314</v>
      </c>
      <c r="J462" s="2">
        <f>I462-H462</f>
        <v>-459.43754372093298</v>
      </c>
      <c r="K462" s="2">
        <f t="shared" si="60"/>
        <v>459.43754372093298</v>
      </c>
      <c r="L462" s="3">
        <f>C462/B462</f>
        <v>2.9681020733652308</v>
      </c>
      <c r="M462" s="3">
        <f t="shared" si="62"/>
        <v>2.970427744730384</v>
      </c>
      <c r="N462" s="3">
        <f t="shared" si="58"/>
        <v>2.9424534655245229</v>
      </c>
      <c r="O462" s="3">
        <f t="shared" si="59"/>
        <v>2.8878949029285961</v>
      </c>
      <c r="P462" s="3">
        <f t="shared" si="61"/>
        <v>2.7834622726422258</v>
      </c>
      <c r="Q462" s="4" t="str">
        <f t="shared" ref="Q462:R525" si="65">IF($L461&gt;M461,"OVER","UNDER")</f>
        <v>OVER</v>
      </c>
      <c r="R462" s="4" t="str">
        <f t="shared" si="65"/>
        <v>OVER</v>
      </c>
      <c r="S462" s="4" t="str">
        <f t="shared" si="63"/>
        <v>OVER</v>
      </c>
      <c r="T462" s="4" t="str">
        <f t="shared" si="63"/>
        <v>OVER</v>
      </c>
      <c r="U462" s="2">
        <f>IF(Q462="OVER",$J462,$K462)</f>
        <v>-459.43754372093298</v>
      </c>
      <c r="V462" s="2">
        <f>IF(R462="OVER",$J462,$K462)</f>
        <v>-459.43754372093298</v>
      </c>
      <c r="W462" s="2">
        <f>IF(S462="OVER",$J462,$K462)</f>
        <v>-459.43754372093298</v>
      </c>
      <c r="X462" s="2">
        <f>IF(T462="OVER",$J462,$K462)</f>
        <v>-459.43754372093298</v>
      </c>
      <c r="Y462" s="9">
        <f t="shared" si="64"/>
        <v>1117.836723634151</v>
      </c>
      <c r="Z462" s="9">
        <f t="shared" si="64"/>
        <v>13260.649294606375</v>
      </c>
      <c r="AA462" s="9">
        <f t="shared" si="64"/>
        <v>26055.217175478036</v>
      </c>
      <c r="AB462" s="9">
        <f t="shared" si="64"/>
        <v>9747.4879609773798</v>
      </c>
    </row>
    <row r="463" spans="1:28" x14ac:dyDescent="0.3">
      <c r="A463" s="1">
        <v>45084</v>
      </c>
      <c r="B463" s="2">
        <v>145.27000000000001</v>
      </c>
      <c r="C463" s="2">
        <v>426.55</v>
      </c>
      <c r="D463" s="9">
        <f>B463-B462</f>
        <v>1.0600000000000023</v>
      </c>
      <c r="E463" s="9">
        <f>C463-C462</f>
        <v>-1.4799999999999613</v>
      </c>
      <c r="F463" s="3">
        <f>F$1/B463</f>
        <v>688.37337371790454</v>
      </c>
      <c r="G463" s="3">
        <f>F$1/C463</f>
        <v>234.43910444262102</v>
      </c>
      <c r="H463" s="2">
        <f>D463*F462</f>
        <v>735.03917897510723</v>
      </c>
      <c r="I463" s="2">
        <f>E463*G462</f>
        <v>-345.77015629744676</v>
      </c>
      <c r="J463" s="2">
        <f>I463-H463</f>
        <v>-1080.8093352725541</v>
      </c>
      <c r="K463" s="2">
        <f t="shared" si="60"/>
        <v>1080.8093352725541</v>
      </c>
      <c r="L463" s="3">
        <f>C463/B463</f>
        <v>2.9362566255937219</v>
      </c>
      <c r="M463" s="3">
        <f t="shared" si="62"/>
        <v>2.97151366868149</v>
      </c>
      <c r="N463" s="3">
        <f t="shared" si="58"/>
        <v>2.9448167748694507</v>
      </c>
      <c r="O463" s="3">
        <f t="shared" si="59"/>
        <v>2.8897511312522899</v>
      </c>
      <c r="P463" s="3">
        <f t="shared" si="61"/>
        <v>2.7840194926010287</v>
      </c>
      <c r="Q463" s="4" t="str">
        <f t="shared" si="65"/>
        <v>UNDER</v>
      </c>
      <c r="R463" s="4" t="str">
        <f t="shared" si="65"/>
        <v>OVER</v>
      </c>
      <c r="S463" s="4" t="str">
        <f t="shared" si="63"/>
        <v>OVER</v>
      </c>
      <c r="T463" s="4" t="str">
        <f t="shared" si="63"/>
        <v>OVER</v>
      </c>
      <c r="U463" s="2">
        <f>IF(Q463="OVER",$J463,$K463)</f>
        <v>1080.8093352725541</v>
      </c>
      <c r="V463" s="2">
        <f>IF(R463="OVER",$J463,$K463)</f>
        <v>-1080.8093352725541</v>
      </c>
      <c r="W463" s="2">
        <f>IF(S463="OVER",$J463,$K463)</f>
        <v>-1080.8093352725541</v>
      </c>
      <c r="X463" s="2">
        <f>IF(T463="OVER",$J463,$K463)</f>
        <v>-1080.8093352725541</v>
      </c>
      <c r="Y463" s="9">
        <f t="shared" si="64"/>
        <v>2198.6460589067051</v>
      </c>
      <c r="Z463" s="9">
        <f t="shared" si="64"/>
        <v>12179.839959333822</v>
      </c>
      <c r="AA463" s="9">
        <f t="shared" si="64"/>
        <v>24974.40784020548</v>
      </c>
      <c r="AB463" s="9">
        <f t="shared" si="64"/>
        <v>8666.6786257048261</v>
      </c>
    </row>
    <row r="464" spans="1:28" x14ac:dyDescent="0.3">
      <c r="A464" s="1">
        <v>45085</v>
      </c>
      <c r="B464" s="2">
        <v>145.33000000000001</v>
      </c>
      <c r="C464" s="2">
        <v>429.13</v>
      </c>
      <c r="D464" s="9">
        <f>B464-B463</f>
        <v>6.0000000000002274E-2</v>
      </c>
      <c r="E464" s="9">
        <f>C464-C463</f>
        <v>2.5799999999999841</v>
      </c>
      <c r="F464" s="3">
        <f>F$1/B464</f>
        <v>688.08917635725584</v>
      </c>
      <c r="G464" s="3">
        <f>F$1/C464</f>
        <v>233.029618064456</v>
      </c>
      <c r="H464" s="2">
        <f>D464*F463</f>
        <v>41.30240242307584</v>
      </c>
      <c r="I464" s="2">
        <f>E464*G463</f>
        <v>604.85288946195851</v>
      </c>
      <c r="J464" s="2">
        <f>I464-H464</f>
        <v>563.55048703888269</v>
      </c>
      <c r="K464" s="2">
        <f t="shared" si="60"/>
        <v>-563.55048703888269</v>
      </c>
      <c r="L464" s="3">
        <f>C464/B464</f>
        <v>2.9527970825018919</v>
      </c>
      <c r="M464" s="3">
        <f t="shared" si="62"/>
        <v>2.9731786351275229</v>
      </c>
      <c r="N464" s="3">
        <f t="shared" si="58"/>
        <v>2.947311782981326</v>
      </c>
      <c r="O464" s="3">
        <f t="shared" si="59"/>
        <v>2.8921795321064501</v>
      </c>
      <c r="P464" s="3">
        <f t="shared" si="61"/>
        <v>2.7846586147002523</v>
      </c>
      <c r="Q464" s="4" t="str">
        <f t="shared" si="65"/>
        <v>UNDER</v>
      </c>
      <c r="R464" s="4" t="str">
        <f t="shared" si="65"/>
        <v>UNDER</v>
      </c>
      <c r="S464" s="4" t="str">
        <f t="shared" si="63"/>
        <v>OVER</v>
      </c>
      <c r="T464" s="4" t="str">
        <f t="shared" si="63"/>
        <v>OVER</v>
      </c>
      <c r="U464" s="2">
        <f>IF(Q464="OVER",$J464,$K464)</f>
        <v>-563.55048703888269</v>
      </c>
      <c r="V464" s="2">
        <f>IF(R464="OVER",$J464,$K464)</f>
        <v>-563.55048703888269</v>
      </c>
      <c r="W464" s="2">
        <f>IF(S464="OVER",$J464,$K464)</f>
        <v>563.55048703888269</v>
      </c>
      <c r="X464" s="2">
        <f>IF(T464="OVER",$J464,$K464)</f>
        <v>563.55048703888269</v>
      </c>
      <c r="Y464" s="9">
        <f t="shared" si="64"/>
        <v>1635.0955718678224</v>
      </c>
      <c r="Z464" s="9">
        <f t="shared" si="64"/>
        <v>11616.289472294939</v>
      </c>
      <c r="AA464" s="9">
        <f t="shared" si="64"/>
        <v>25537.958327244363</v>
      </c>
      <c r="AB464" s="9">
        <f t="shared" si="64"/>
        <v>9230.2291127437093</v>
      </c>
    </row>
    <row r="465" spans="1:28" x14ac:dyDescent="0.3">
      <c r="A465" s="1">
        <v>45086</v>
      </c>
      <c r="B465" s="2">
        <v>145.16</v>
      </c>
      <c r="C465" s="2">
        <v>429.9</v>
      </c>
      <c r="D465" s="9">
        <f>B465-B464</f>
        <v>-0.17000000000001592</v>
      </c>
      <c r="E465" s="9">
        <f>C465-C464</f>
        <v>0.76999999999998181</v>
      </c>
      <c r="F465" s="3">
        <f>F$1/B465</f>
        <v>688.8950124001102</v>
      </c>
      <c r="G465" s="3">
        <f>F$1/C465</f>
        <v>232.61223540358225</v>
      </c>
      <c r="H465" s="2">
        <f>D465*F464</f>
        <v>-116.97515998074445</v>
      </c>
      <c r="I465" s="2">
        <f>E465*G464</f>
        <v>179.43280590962689</v>
      </c>
      <c r="J465" s="2">
        <f>I465-H465</f>
        <v>296.40796589037132</v>
      </c>
      <c r="K465" s="2">
        <f t="shared" si="60"/>
        <v>-296.40796589037132</v>
      </c>
      <c r="L465" s="3">
        <f>C465/B465</f>
        <v>2.9615596583080737</v>
      </c>
      <c r="M465" s="3">
        <f t="shared" si="62"/>
        <v>2.9729866878651334</v>
      </c>
      <c r="N465" s="3">
        <f t="shared" si="58"/>
        <v>2.9497710817048004</v>
      </c>
      <c r="O465" s="3">
        <f t="shared" si="59"/>
        <v>2.8948108098869114</v>
      </c>
      <c r="P465" s="3">
        <f t="shared" si="61"/>
        <v>2.7853390318762656</v>
      </c>
      <c r="Q465" s="4" t="str">
        <f t="shared" si="65"/>
        <v>UNDER</v>
      </c>
      <c r="R465" s="4" t="str">
        <f t="shared" si="65"/>
        <v>OVER</v>
      </c>
      <c r="S465" s="4" t="str">
        <f t="shared" si="63"/>
        <v>OVER</v>
      </c>
      <c r="T465" s="4" t="str">
        <f t="shared" si="63"/>
        <v>OVER</v>
      </c>
      <c r="U465" s="2">
        <f>IF(Q465="OVER",$J465,$K465)</f>
        <v>-296.40796589037132</v>
      </c>
      <c r="V465" s="2">
        <f>IF(R465="OVER",$J465,$K465)</f>
        <v>296.40796589037132</v>
      </c>
      <c r="W465" s="2">
        <f>IF(S465="OVER",$J465,$K465)</f>
        <v>296.40796589037132</v>
      </c>
      <c r="X465" s="2">
        <f>IF(T465="OVER",$J465,$K465)</f>
        <v>296.40796589037132</v>
      </c>
      <c r="Y465" s="9">
        <f t="shared" si="64"/>
        <v>1338.6876059774511</v>
      </c>
      <c r="Z465" s="9">
        <f t="shared" si="64"/>
        <v>11912.697438185311</v>
      </c>
      <c r="AA465" s="9">
        <f t="shared" si="64"/>
        <v>25834.366293134735</v>
      </c>
      <c r="AB465" s="9">
        <f t="shared" si="64"/>
        <v>9526.6370786340813</v>
      </c>
    </row>
    <row r="466" spans="1:28" x14ac:dyDescent="0.3">
      <c r="A466" s="1">
        <v>45089</v>
      </c>
      <c r="B466" s="2">
        <v>146.12</v>
      </c>
      <c r="C466" s="2">
        <v>433.8</v>
      </c>
      <c r="D466" s="9">
        <f>B466-B465</f>
        <v>0.96000000000000796</v>
      </c>
      <c r="E466" s="9">
        <f>C466-C465</f>
        <v>3.9000000000000341</v>
      </c>
      <c r="F466" s="3">
        <f>F$1/B466</f>
        <v>684.36901177114703</v>
      </c>
      <c r="G466" s="3">
        <f>F$1/C466</f>
        <v>230.52097740894422</v>
      </c>
      <c r="H466" s="2">
        <f>D466*F465</f>
        <v>661.33921190411127</v>
      </c>
      <c r="I466" s="2">
        <f>E466*G465</f>
        <v>907.18771807397866</v>
      </c>
      <c r="J466" s="2">
        <f>I466-H466</f>
        <v>245.84850616986739</v>
      </c>
      <c r="K466" s="2">
        <f t="shared" si="60"/>
        <v>-245.84850616986739</v>
      </c>
      <c r="L466" s="3">
        <f>C466/B466</f>
        <v>2.9687927730632357</v>
      </c>
      <c r="M466" s="3">
        <f t="shared" si="62"/>
        <v>2.9721694593950025</v>
      </c>
      <c r="N466" s="3">
        <f t="shared" si="58"/>
        <v>2.9527931115394206</v>
      </c>
      <c r="O466" s="3">
        <f t="shared" si="59"/>
        <v>2.8975349673408779</v>
      </c>
      <c r="P466" s="3">
        <f t="shared" si="61"/>
        <v>2.7860809298794424</v>
      </c>
      <c r="Q466" s="4" t="str">
        <f t="shared" si="65"/>
        <v>UNDER</v>
      </c>
      <c r="R466" s="4" t="str">
        <f t="shared" si="65"/>
        <v>OVER</v>
      </c>
      <c r="S466" s="4" t="str">
        <f t="shared" si="63"/>
        <v>OVER</v>
      </c>
      <c r="T466" s="4" t="str">
        <f t="shared" si="63"/>
        <v>OVER</v>
      </c>
      <c r="U466" s="2">
        <f>IF(Q466="OVER",$J466,$K466)</f>
        <v>-245.84850616986739</v>
      </c>
      <c r="V466" s="2">
        <f>IF(R466="OVER",$J466,$K466)</f>
        <v>245.84850616986739</v>
      </c>
      <c r="W466" s="2">
        <f>IF(S466="OVER",$J466,$K466)</f>
        <v>245.84850616986739</v>
      </c>
      <c r="X466" s="2">
        <f>IF(T466="OVER",$J466,$K466)</f>
        <v>245.84850616986739</v>
      </c>
      <c r="Y466" s="9">
        <f t="shared" si="64"/>
        <v>1092.8390998075838</v>
      </c>
      <c r="Z466" s="9">
        <f t="shared" si="64"/>
        <v>12158.545944355177</v>
      </c>
      <c r="AA466" s="9">
        <f t="shared" si="64"/>
        <v>26080.214799304602</v>
      </c>
      <c r="AB466" s="9">
        <f t="shared" si="64"/>
        <v>9772.4855848039479</v>
      </c>
    </row>
    <row r="467" spans="1:28" x14ac:dyDescent="0.3">
      <c r="A467" s="1">
        <v>45090</v>
      </c>
      <c r="B467" s="2">
        <v>147.53</v>
      </c>
      <c r="C467" s="2">
        <v>436.66</v>
      </c>
      <c r="D467" s="9">
        <f>B467-B466</f>
        <v>1.4099999999999966</v>
      </c>
      <c r="E467" s="9">
        <f>C467-C466</f>
        <v>2.8600000000000136</v>
      </c>
      <c r="F467" s="3">
        <f>F$1/B467</f>
        <v>677.82823832440863</v>
      </c>
      <c r="G467" s="3">
        <f>F$1/C467</f>
        <v>229.01112994091511</v>
      </c>
      <c r="H467" s="2">
        <f>D467*F466</f>
        <v>964.96030659731503</v>
      </c>
      <c r="I467" s="2">
        <f>E467*G466</f>
        <v>659.28999538958362</v>
      </c>
      <c r="J467" s="2">
        <f>I467-H467</f>
        <v>-305.6703112077314</v>
      </c>
      <c r="K467" s="2">
        <f t="shared" si="60"/>
        <v>305.6703112077314</v>
      </c>
      <c r="L467" s="3">
        <f>C467/B467</f>
        <v>2.9598047854673628</v>
      </c>
      <c r="M467" s="3">
        <f t="shared" si="62"/>
        <v>2.9698113977542921</v>
      </c>
      <c r="N467" s="3">
        <f t="shared" si="58"/>
        <v>2.9556842783001414</v>
      </c>
      <c r="O467" s="3">
        <f t="shared" si="59"/>
        <v>2.9001151039850894</v>
      </c>
      <c r="P467" s="3">
        <f t="shared" si="61"/>
        <v>2.7867958203212497</v>
      </c>
      <c r="Q467" s="4" t="str">
        <f t="shared" si="65"/>
        <v>UNDER</v>
      </c>
      <c r="R467" s="4" t="str">
        <f t="shared" si="65"/>
        <v>OVER</v>
      </c>
      <c r="S467" s="4" t="str">
        <f t="shared" si="63"/>
        <v>OVER</v>
      </c>
      <c r="T467" s="4" t="str">
        <f t="shared" si="63"/>
        <v>OVER</v>
      </c>
      <c r="U467" s="2">
        <f>IF(Q467="OVER",$J467,$K467)</f>
        <v>305.6703112077314</v>
      </c>
      <c r="V467" s="2">
        <f>IF(R467="OVER",$J467,$K467)</f>
        <v>-305.6703112077314</v>
      </c>
      <c r="W467" s="2">
        <f>IF(S467="OVER",$J467,$K467)</f>
        <v>-305.6703112077314</v>
      </c>
      <c r="X467" s="2">
        <f>IF(T467="OVER",$J467,$K467)</f>
        <v>-305.6703112077314</v>
      </c>
      <c r="Y467" s="9">
        <f t="shared" si="64"/>
        <v>1398.5094110153152</v>
      </c>
      <c r="Z467" s="9">
        <f t="shared" si="64"/>
        <v>11852.875633147445</v>
      </c>
      <c r="AA467" s="9">
        <f t="shared" si="64"/>
        <v>25774.544488096872</v>
      </c>
      <c r="AB467" s="9">
        <f t="shared" si="64"/>
        <v>9466.8152735962158</v>
      </c>
    </row>
    <row r="468" spans="1:28" x14ac:dyDescent="0.3">
      <c r="A468" s="1">
        <v>45091</v>
      </c>
      <c r="B468" s="2">
        <v>147.25</v>
      </c>
      <c r="C468" s="2">
        <v>437.18</v>
      </c>
      <c r="D468" s="9">
        <f>B468-B467</f>
        <v>-0.28000000000000114</v>
      </c>
      <c r="E468" s="9">
        <f>C468-C467</f>
        <v>0.51999999999998181</v>
      </c>
      <c r="F468" s="3">
        <f>F$1/B468</f>
        <v>679.1171477079796</v>
      </c>
      <c r="G468" s="3">
        <f>F$1/C468</f>
        <v>228.73873461732009</v>
      </c>
      <c r="H468" s="2">
        <f>D468*F467</f>
        <v>-189.79190673083519</v>
      </c>
      <c r="I468" s="2">
        <f>E468*G467</f>
        <v>119.08578756927169</v>
      </c>
      <c r="J468" s="2">
        <f>I468-H468</f>
        <v>308.8776943001069</v>
      </c>
      <c r="K468" s="2">
        <f t="shared" si="60"/>
        <v>-308.8776943001069</v>
      </c>
      <c r="L468" s="3">
        <f>C468/B468</f>
        <v>2.9689643463497455</v>
      </c>
      <c r="M468" s="3">
        <f t="shared" si="62"/>
        <v>2.9674097878365844</v>
      </c>
      <c r="N468" s="3">
        <f t="shared" si="58"/>
        <v>2.9579383540739039</v>
      </c>
      <c r="O468" s="3">
        <f t="shared" si="59"/>
        <v>2.90270981166654</v>
      </c>
      <c r="P468" s="3">
        <f t="shared" si="61"/>
        <v>2.7875800717345358</v>
      </c>
      <c r="Q468" s="4" t="str">
        <f t="shared" si="65"/>
        <v>UNDER</v>
      </c>
      <c r="R468" s="4" t="str">
        <f t="shared" si="65"/>
        <v>OVER</v>
      </c>
      <c r="S468" s="4" t="str">
        <f t="shared" si="63"/>
        <v>OVER</v>
      </c>
      <c r="T468" s="4" t="str">
        <f t="shared" si="63"/>
        <v>OVER</v>
      </c>
      <c r="U468" s="2">
        <f>IF(Q468="OVER",$J468,$K468)</f>
        <v>-308.8776943001069</v>
      </c>
      <c r="V468" s="2">
        <f>IF(R468="OVER",$J468,$K468)</f>
        <v>308.8776943001069</v>
      </c>
      <c r="W468" s="2">
        <f>IF(S468="OVER",$J468,$K468)</f>
        <v>308.8776943001069</v>
      </c>
      <c r="X468" s="2">
        <f>IF(T468="OVER",$J468,$K468)</f>
        <v>308.8776943001069</v>
      </c>
      <c r="Y468" s="9">
        <f t="shared" si="64"/>
        <v>1089.6317167152083</v>
      </c>
      <c r="Z468" s="9">
        <f t="shared" si="64"/>
        <v>12161.753327447552</v>
      </c>
      <c r="AA468" s="9">
        <f t="shared" si="64"/>
        <v>26083.422182396978</v>
      </c>
      <c r="AB468" s="9">
        <f t="shared" si="64"/>
        <v>9775.6929678963224</v>
      </c>
    </row>
    <row r="469" spans="1:28" x14ac:dyDescent="0.3">
      <c r="A469" s="1">
        <v>45092</v>
      </c>
      <c r="B469" s="2">
        <v>148.94999999999999</v>
      </c>
      <c r="C469" s="2">
        <v>442.6</v>
      </c>
      <c r="D469" s="9">
        <f>B469-B468</f>
        <v>1.6999999999999886</v>
      </c>
      <c r="E469" s="9">
        <f>C469-C468</f>
        <v>5.4200000000000159</v>
      </c>
      <c r="F469" s="3">
        <f>F$1/B469</f>
        <v>671.36623027861708</v>
      </c>
      <c r="G469" s="3">
        <f>F$1/C469</f>
        <v>225.93764121102575</v>
      </c>
      <c r="H469" s="2">
        <f>D469*F468</f>
        <v>1154.4991511035576</v>
      </c>
      <c r="I469" s="2">
        <f>E469*G468</f>
        <v>1239.7639416258785</v>
      </c>
      <c r="J469" s="2">
        <f>I469-H469</f>
        <v>85.264790522320936</v>
      </c>
      <c r="K469" s="2">
        <f t="shared" si="60"/>
        <v>-85.264790522320936</v>
      </c>
      <c r="L469" s="3">
        <f>C469/B469</f>
        <v>2.9714669352131593</v>
      </c>
      <c r="M469" s="3">
        <f t="shared" si="62"/>
        <v>2.9646702308246997</v>
      </c>
      <c r="N469" s="3">
        <f t="shared" si="58"/>
        <v>2.9603965625419302</v>
      </c>
      <c r="O469" s="3">
        <f t="shared" si="59"/>
        <v>2.9050981844974002</v>
      </c>
      <c r="P469" s="3">
        <f t="shared" si="61"/>
        <v>2.78838792633523</v>
      </c>
      <c r="Q469" s="4" t="str">
        <f t="shared" si="65"/>
        <v>OVER</v>
      </c>
      <c r="R469" s="4" t="str">
        <f t="shared" si="65"/>
        <v>OVER</v>
      </c>
      <c r="S469" s="4" t="str">
        <f t="shared" si="63"/>
        <v>OVER</v>
      </c>
      <c r="T469" s="4" t="str">
        <f t="shared" si="63"/>
        <v>OVER</v>
      </c>
      <c r="U469" s="2">
        <f>IF(Q469="OVER",$J469,$K469)</f>
        <v>85.264790522320936</v>
      </c>
      <c r="V469" s="2">
        <f>IF(R469="OVER",$J469,$K469)</f>
        <v>85.264790522320936</v>
      </c>
      <c r="W469" s="2">
        <f>IF(S469="OVER",$J469,$K469)</f>
        <v>85.264790522320936</v>
      </c>
      <c r="X469" s="2">
        <f>IF(T469="OVER",$J469,$K469)</f>
        <v>85.264790522320936</v>
      </c>
      <c r="Y469" s="9">
        <f t="shared" si="64"/>
        <v>1174.8965072375292</v>
      </c>
      <c r="Z469" s="9">
        <f t="shared" si="64"/>
        <v>12247.018117969872</v>
      </c>
      <c r="AA469" s="9">
        <f t="shared" si="64"/>
        <v>26168.686972919299</v>
      </c>
      <c r="AB469" s="9">
        <f t="shared" si="64"/>
        <v>9860.9577584186427</v>
      </c>
    </row>
    <row r="470" spans="1:28" x14ac:dyDescent="0.3">
      <c r="A470" s="1">
        <v>45093</v>
      </c>
      <c r="B470" s="2">
        <v>148.83000000000001</v>
      </c>
      <c r="C470" s="2">
        <v>439.46</v>
      </c>
      <c r="D470" s="9">
        <f>B470-B469</f>
        <v>-0.11999999999997613</v>
      </c>
      <c r="E470" s="9">
        <f>C470-C469</f>
        <v>-3.1400000000000432</v>
      </c>
      <c r="F470" s="3">
        <f>F$1/B470</f>
        <v>671.9075455217361</v>
      </c>
      <c r="G470" s="3">
        <f>F$1/C470</f>
        <v>227.55199563100169</v>
      </c>
      <c r="H470" s="2">
        <f>D470*F469</f>
        <v>-80.563947633418024</v>
      </c>
      <c r="I470" s="2">
        <f>E470*G469</f>
        <v>-709.44419340263062</v>
      </c>
      <c r="J470" s="2">
        <f>I470-H470</f>
        <v>-628.88024576921259</v>
      </c>
      <c r="K470" s="2">
        <f t="shared" si="60"/>
        <v>628.88024576921259</v>
      </c>
      <c r="L470" s="3">
        <f>C470/B470</f>
        <v>2.9527648995498215</v>
      </c>
      <c r="M470" s="3">
        <f t="shared" si="62"/>
        <v>2.9622218199239105</v>
      </c>
      <c r="N470" s="3">
        <f t="shared" si="58"/>
        <v>2.9616964941991197</v>
      </c>
      <c r="O470" s="3">
        <f t="shared" si="59"/>
        <v>2.9071425026996001</v>
      </c>
      <c r="P470" s="3">
        <f t="shared" si="61"/>
        <v>2.7891085148335431</v>
      </c>
      <c r="Q470" s="4" t="str">
        <f t="shared" si="65"/>
        <v>OVER</v>
      </c>
      <c r="R470" s="4" t="str">
        <f t="shared" si="65"/>
        <v>OVER</v>
      </c>
      <c r="S470" s="4" t="str">
        <f t="shared" si="63"/>
        <v>OVER</v>
      </c>
      <c r="T470" s="4" t="str">
        <f t="shared" si="63"/>
        <v>OVER</v>
      </c>
      <c r="U470" s="2">
        <f>IF(Q470="OVER",$J470,$K470)</f>
        <v>-628.88024576921259</v>
      </c>
      <c r="V470" s="2">
        <f>IF(R470="OVER",$J470,$K470)</f>
        <v>-628.88024576921259</v>
      </c>
      <c r="W470" s="2">
        <f>IF(S470="OVER",$J470,$K470)</f>
        <v>-628.88024576921259</v>
      </c>
      <c r="X470" s="2">
        <f>IF(T470="OVER",$J470,$K470)</f>
        <v>-628.88024576921259</v>
      </c>
      <c r="Y470" s="9">
        <f t="shared" si="64"/>
        <v>546.01626146831666</v>
      </c>
      <c r="Z470" s="9">
        <f t="shared" si="64"/>
        <v>11618.137872200659</v>
      </c>
      <c r="AA470" s="9">
        <f t="shared" si="64"/>
        <v>25539.806727150088</v>
      </c>
      <c r="AB470" s="9">
        <f t="shared" si="64"/>
        <v>9232.07751264943</v>
      </c>
    </row>
    <row r="471" spans="1:28" x14ac:dyDescent="0.3">
      <c r="A471" s="1">
        <v>45097</v>
      </c>
      <c r="B471" s="2">
        <v>146.84</v>
      </c>
      <c r="C471" s="2">
        <v>437.18</v>
      </c>
      <c r="D471" s="9">
        <f>B471-B470</f>
        <v>-1.9900000000000091</v>
      </c>
      <c r="E471" s="9">
        <f>C471-C470</f>
        <v>-2.2799999999999727</v>
      </c>
      <c r="F471" s="3">
        <f>F$1/B471</f>
        <v>681.01334786161806</v>
      </c>
      <c r="G471" s="3">
        <f>F$1/C471</f>
        <v>228.73873461732009</v>
      </c>
      <c r="H471" s="2">
        <f>D471*F470</f>
        <v>-1337.096015588261</v>
      </c>
      <c r="I471" s="2">
        <f>E471*G470</f>
        <v>-518.81855003867759</v>
      </c>
      <c r="J471" s="2">
        <f>I471-H471</f>
        <v>818.27746554958344</v>
      </c>
      <c r="K471" s="2">
        <f t="shared" si="60"/>
        <v>-818.27746554958344</v>
      </c>
      <c r="L471" s="3">
        <f>C471/B471</f>
        <v>2.9772541541814221</v>
      </c>
      <c r="M471" s="3">
        <f t="shared" si="62"/>
        <v>2.9617763333593663</v>
      </c>
      <c r="N471" s="3">
        <f t="shared" ref="N471:N534" si="66">AVERAGE(L452:L471)</f>
        <v>2.9640451321895851</v>
      </c>
      <c r="O471" s="3">
        <f t="shared" si="59"/>
        <v>2.9094942109841511</v>
      </c>
      <c r="P471" s="3">
        <f t="shared" si="61"/>
        <v>2.7899574170338339</v>
      </c>
      <c r="Q471" s="4" t="str">
        <f t="shared" si="65"/>
        <v>UNDER</v>
      </c>
      <c r="R471" s="4" t="str">
        <f t="shared" si="65"/>
        <v>UNDER</v>
      </c>
      <c r="S471" s="4" t="str">
        <f t="shared" si="63"/>
        <v>OVER</v>
      </c>
      <c r="T471" s="4" t="str">
        <f t="shared" si="63"/>
        <v>OVER</v>
      </c>
      <c r="U471" s="2">
        <f>IF(Q471="OVER",$J471,$K471)</f>
        <v>-818.27746554958344</v>
      </c>
      <c r="V471" s="2">
        <f>IF(R471="OVER",$J471,$K471)</f>
        <v>-818.27746554958344</v>
      </c>
      <c r="W471" s="2">
        <f>IF(S471="OVER",$J471,$K471)</f>
        <v>818.27746554958344</v>
      </c>
      <c r="X471" s="2">
        <f>IF(T471="OVER",$J471,$K471)</f>
        <v>818.27746554958344</v>
      </c>
      <c r="Y471" s="9">
        <f t="shared" si="64"/>
        <v>-272.26120408126678</v>
      </c>
      <c r="Z471" s="9">
        <f t="shared" si="64"/>
        <v>10799.860406651076</v>
      </c>
      <c r="AA471" s="9">
        <f t="shared" si="64"/>
        <v>26358.084192699673</v>
      </c>
      <c r="AB471" s="9">
        <f t="shared" si="64"/>
        <v>10050.354978199013</v>
      </c>
    </row>
    <row r="472" spans="1:28" x14ac:dyDescent="0.3">
      <c r="A472" s="1">
        <v>45098</v>
      </c>
      <c r="B472" s="2">
        <v>146.63</v>
      </c>
      <c r="C472" s="2">
        <v>434.94</v>
      </c>
      <c r="D472" s="9">
        <f>B472-B471</f>
        <v>-0.21000000000000796</v>
      </c>
      <c r="E472" s="9">
        <f>C472-C471</f>
        <v>-2.2400000000000091</v>
      </c>
      <c r="F472" s="3">
        <f>F$1/B472</f>
        <v>681.98867898792878</v>
      </c>
      <c r="G472" s="3">
        <f>F$1/C472</f>
        <v>229.91677012921323</v>
      </c>
      <c r="H472" s="2">
        <f>D472*F471</f>
        <v>-143.01280305094522</v>
      </c>
      <c r="I472" s="2">
        <f>E472*G471</f>
        <v>-512.37476554279908</v>
      </c>
      <c r="J472" s="2">
        <f>I472-H472</f>
        <v>-369.36196249185389</v>
      </c>
      <c r="K472" s="2">
        <f t="shared" si="60"/>
        <v>369.36196249185389</v>
      </c>
      <c r="L472" s="3">
        <f>C472/B472</f>
        <v>2.9662415603900976</v>
      </c>
      <c r="M472" s="3">
        <f t="shared" si="62"/>
        <v>2.9615902820618532</v>
      </c>
      <c r="N472" s="3">
        <f t="shared" si="66"/>
        <v>2.9660090133961186</v>
      </c>
      <c r="O472" s="3">
        <f t="shared" si="59"/>
        <v>2.9119129571683362</v>
      </c>
      <c r="P472" s="3">
        <f t="shared" si="61"/>
        <v>2.7907192040521385</v>
      </c>
      <c r="Q472" s="4" t="str">
        <f t="shared" si="65"/>
        <v>OVER</v>
      </c>
      <c r="R472" s="4" t="str">
        <f t="shared" si="65"/>
        <v>OVER</v>
      </c>
      <c r="S472" s="4" t="str">
        <f t="shared" si="63"/>
        <v>OVER</v>
      </c>
      <c r="T472" s="4" t="str">
        <f t="shared" si="63"/>
        <v>OVER</v>
      </c>
      <c r="U472" s="2">
        <f>IF(Q472="OVER",$J472,$K472)</f>
        <v>-369.36196249185389</v>
      </c>
      <c r="V472" s="2">
        <f>IF(R472="OVER",$J472,$K472)</f>
        <v>-369.36196249185389</v>
      </c>
      <c r="W472" s="2">
        <f>IF(S472="OVER",$J472,$K472)</f>
        <v>-369.36196249185389</v>
      </c>
      <c r="X472" s="2">
        <f>IF(T472="OVER",$J472,$K472)</f>
        <v>-369.36196249185389</v>
      </c>
      <c r="Y472" s="9">
        <f t="shared" si="64"/>
        <v>-641.62316657312067</v>
      </c>
      <c r="Z472" s="9">
        <f t="shared" si="64"/>
        <v>10430.498444159222</v>
      </c>
      <c r="AA472" s="9">
        <f t="shared" si="64"/>
        <v>25988.722230207819</v>
      </c>
      <c r="AB472" s="9">
        <f t="shared" si="64"/>
        <v>9680.9930157071594</v>
      </c>
    </row>
    <row r="473" spans="1:28" x14ac:dyDescent="0.3">
      <c r="A473" s="1">
        <v>45099</v>
      </c>
      <c r="B473" s="2">
        <v>146.03</v>
      </c>
      <c r="C473" s="2">
        <v>436.51</v>
      </c>
      <c r="D473" s="9">
        <f>B473-B472</f>
        <v>-0.59999999999999432</v>
      </c>
      <c r="E473" s="9">
        <f>C473-C472</f>
        <v>1.5699999999999932</v>
      </c>
      <c r="F473" s="3">
        <f>F$1/B473</f>
        <v>684.79079641169619</v>
      </c>
      <c r="G473" s="3">
        <f>F$1/C473</f>
        <v>229.08982612082198</v>
      </c>
      <c r="H473" s="2">
        <f>D473*F472</f>
        <v>-409.19320739275338</v>
      </c>
      <c r="I473" s="2">
        <f>E473*G472</f>
        <v>360.96932910286318</v>
      </c>
      <c r="J473" s="2">
        <f>I473-H473</f>
        <v>770.16253649561656</v>
      </c>
      <c r="K473" s="2">
        <f t="shared" si="60"/>
        <v>-770.16253649561656</v>
      </c>
      <c r="L473" s="3">
        <f>C473/B473</f>
        <v>2.9891803054166952</v>
      </c>
      <c r="M473" s="3">
        <f t="shared" si="62"/>
        <v>2.966882650044151</v>
      </c>
      <c r="N473" s="3">
        <f t="shared" si="66"/>
        <v>2.9691981593628198</v>
      </c>
      <c r="O473" s="3">
        <f t="shared" si="59"/>
        <v>2.915144458376739</v>
      </c>
      <c r="P473" s="3">
        <f t="shared" si="61"/>
        <v>2.7916425115566277</v>
      </c>
      <c r="Q473" s="4" t="str">
        <f t="shared" si="65"/>
        <v>OVER</v>
      </c>
      <c r="R473" s="4" t="str">
        <f t="shared" si="65"/>
        <v>OVER</v>
      </c>
      <c r="S473" s="4" t="str">
        <f t="shared" si="63"/>
        <v>OVER</v>
      </c>
      <c r="T473" s="4" t="str">
        <f t="shared" si="63"/>
        <v>OVER</v>
      </c>
      <c r="U473" s="2">
        <f>IF(Q473="OVER",$J473,$K473)</f>
        <v>770.16253649561656</v>
      </c>
      <c r="V473" s="2">
        <f>IF(R473="OVER",$J473,$K473)</f>
        <v>770.16253649561656</v>
      </c>
      <c r="W473" s="2">
        <f>IF(S473="OVER",$J473,$K473)</f>
        <v>770.16253649561656</v>
      </c>
      <c r="X473" s="2">
        <f>IF(T473="OVER",$J473,$K473)</f>
        <v>770.16253649561656</v>
      </c>
      <c r="Y473" s="9">
        <f t="shared" si="64"/>
        <v>128.53936992249589</v>
      </c>
      <c r="Z473" s="9">
        <f t="shared" si="64"/>
        <v>11200.660980654839</v>
      </c>
      <c r="AA473" s="9">
        <f t="shared" si="64"/>
        <v>26758.884766703435</v>
      </c>
      <c r="AB473" s="9">
        <f t="shared" si="64"/>
        <v>10451.155552202776</v>
      </c>
    </row>
    <row r="474" spans="1:28" x14ac:dyDescent="0.3">
      <c r="A474" s="1">
        <v>45100</v>
      </c>
      <c r="B474" s="2">
        <v>144.77000000000001</v>
      </c>
      <c r="C474" s="2">
        <v>433.21</v>
      </c>
      <c r="D474" s="9">
        <f>B474-B473</f>
        <v>-1.2599999999999909</v>
      </c>
      <c r="E474" s="9">
        <f>C474-C473</f>
        <v>-3.3000000000000114</v>
      </c>
      <c r="F474" s="3">
        <f>F$1/B474</f>
        <v>690.75084616978654</v>
      </c>
      <c r="G474" s="3">
        <f>F$1/C474</f>
        <v>230.83492994159877</v>
      </c>
      <c r="H474" s="2">
        <f>D474*F473</f>
        <v>-862.83640347873097</v>
      </c>
      <c r="I474" s="2">
        <f>E474*G473</f>
        <v>-755.9964261987152</v>
      </c>
      <c r="J474" s="2">
        <f>I474-H474</f>
        <v>106.83997728001577</v>
      </c>
      <c r="K474" s="2">
        <f t="shared" si="60"/>
        <v>-106.83997728001577</v>
      </c>
      <c r="L474" s="3">
        <f>C474/B474</f>
        <v>2.9924017406921322</v>
      </c>
      <c r="M474" s="3">
        <f t="shared" si="62"/>
        <v>2.9708431158631745</v>
      </c>
      <c r="N474" s="3">
        <f t="shared" si="66"/>
        <v>2.9720108754953483</v>
      </c>
      <c r="O474" s="3">
        <f t="shared" si="59"/>
        <v>2.9183974862557691</v>
      </c>
      <c r="P474" s="3">
        <f t="shared" si="61"/>
        <v>2.7925957728592139</v>
      </c>
      <c r="Q474" s="4" t="str">
        <f t="shared" si="65"/>
        <v>OVER</v>
      </c>
      <c r="R474" s="4" t="str">
        <f t="shared" si="65"/>
        <v>OVER</v>
      </c>
      <c r="S474" s="4" t="str">
        <f t="shared" si="63"/>
        <v>OVER</v>
      </c>
      <c r="T474" s="4" t="str">
        <f t="shared" si="63"/>
        <v>OVER</v>
      </c>
      <c r="U474" s="2">
        <f>IF(Q474="OVER",$J474,$K474)</f>
        <v>106.83997728001577</v>
      </c>
      <c r="V474" s="2">
        <f>IF(R474="OVER",$J474,$K474)</f>
        <v>106.83997728001577</v>
      </c>
      <c r="W474" s="2">
        <f>IF(S474="OVER",$J474,$K474)</f>
        <v>106.83997728001577</v>
      </c>
      <c r="X474" s="2">
        <f>IF(T474="OVER",$J474,$K474)</f>
        <v>106.83997728001577</v>
      </c>
      <c r="Y474" s="9">
        <f t="shared" si="64"/>
        <v>235.37934720251167</v>
      </c>
      <c r="Z474" s="9">
        <f t="shared" si="64"/>
        <v>11307.500957934855</v>
      </c>
      <c r="AA474" s="9">
        <f t="shared" si="64"/>
        <v>26865.72474398345</v>
      </c>
      <c r="AB474" s="9">
        <f t="shared" si="64"/>
        <v>10557.995529482792</v>
      </c>
    </row>
    <row r="475" spans="1:28" x14ac:dyDescent="0.3">
      <c r="A475" s="1">
        <v>45103</v>
      </c>
      <c r="B475" s="2">
        <v>145.65</v>
      </c>
      <c r="C475" s="2">
        <v>431.44</v>
      </c>
      <c r="D475" s="9">
        <f>B475-B474</f>
        <v>0.87999999999999545</v>
      </c>
      <c r="E475" s="9">
        <f>C475-C474</f>
        <v>-1.7699999999999818</v>
      </c>
      <c r="F475" s="3">
        <f>F$1/B475</f>
        <v>686.57741160315823</v>
      </c>
      <c r="G475" s="3">
        <f>F$1/C475</f>
        <v>231.78193955127017</v>
      </c>
      <c r="H475" s="2">
        <f>D475*F474</f>
        <v>607.86074462940906</v>
      </c>
      <c r="I475" s="2">
        <f>E475*G474</f>
        <v>-408.57782599662562</v>
      </c>
      <c r="J475" s="2">
        <f>I475-H475</f>
        <v>-1016.4385706260347</v>
      </c>
      <c r="K475" s="2">
        <f t="shared" si="60"/>
        <v>1016.4385706260347</v>
      </c>
      <c r="L475" s="3">
        <f>C475/B475</f>
        <v>2.9621695846206659</v>
      </c>
      <c r="M475" s="3">
        <f t="shared" si="62"/>
        <v>2.9709041084944339</v>
      </c>
      <c r="N475" s="3">
        <f t="shared" si="66"/>
        <v>2.9719453981797832</v>
      </c>
      <c r="O475" s="3">
        <f t="shared" si="59"/>
        <v>2.9207321999494225</v>
      </c>
      <c r="P475" s="3">
        <f t="shared" si="61"/>
        <v>2.7934523655378083</v>
      </c>
      <c r="Q475" s="4" t="str">
        <f t="shared" si="65"/>
        <v>OVER</v>
      </c>
      <c r="R475" s="4" t="str">
        <f t="shared" si="65"/>
        <v>OVER</v>
      </c>
      <c r="S475" s="4" t="str">
        <f t="shared" si="63"/>
        <v>OVER</v>
      </c>
      <c r="T475" s="4" t="str">
        <f t="shared" si="63"/>
        <v>OVER</v>
      </c>
      <c r="U475" s="2">
        <f>IF(Q475="OVER",$J475,$K475)</f>
        <v>-1016.4385706260347</v>
      </c>
      <c r="V475" s="2">
        <f>IF(R475="OVER",$J475,$K475)</f>
        <v>-1016.4385706260347</v>
      </c>
      <c r="W475" s="2">
        <f>IF(S475="OVER",$J475,$K475)</f>
        <v>-1016.4385706260347</v>
      </c>
      <c r="X475" s="2">
        <f>IF(T475="OVER",$J475,$K475)</f>
        <v>-1016.4385706260347</v>
      </c>
      <c r="Y475" s="9">
        <f t="shared" si="64"/>
        <v>-781.05922342352301</v>
      </c>
      <c r="Z475" s="9">
        <f t="shared" si="64"/>
        <v>10291.062387308821</v>
      </c>
      <c r="AA475" s="9">
        <f t="shared" si="64"/>
        <v>25849.286173357414</v>
      </c>
      <c r="AB475" s="9">
        <f t="shared" si="64"/>
        <v>9541.5569588567578</v>
      </c>
    </row>
    <row r="476" spans="1:28" x14ac:dyDescent="0.3">
      <c r="A476" s="1">
        <v>45104</v>
      </c>
      <c r="B476" s="2">
        <v>147.43</v>
      </c>
      <c r="C476" s="2">
        <v>436.17</v>
      </c>
      <c r="D476" s="9">
        <f>B476-B475</f>
        <v>1.7800000000000011</v>
      </c>
      <c r="E476" s="9">
        <f>C476-C475</f>
        <v>4.7300000000000182</v>
      </c>
      <c r="F476" s="3">
        <f>F$1/B476</f>
        <v>678.28800108526082</v>
      </c>
      <c r="G476" s="3">
        <f>F$1/C476</f>
        <v>229.26840452117293</v>
      </c>
      <c r="H476" s="2">
        <f>D476*F475</f>
        <v>1222.1077926536225</v>
      </c>
      <c r="I476" s="2">
        <f>E476*G475</f>
        <v>1096.328574077512</v>
      </c>
      <c r="J476" s="2">
        <f>I476-H476</f>
        <v>-125.77921857611045</v>
      </c>
      <c r="K476" s="2">
        <f t="shared" si="60"/>
        <v>125.77921857611045</v>
      </c>
      <c r="L476" s="3">
        <f>C476/B476</f>
        <v>2.9584887743335821</v>
      </c>
      <c r="M476" s="3">
        <f t="shared" si="62"/>
        <v>2.9698737086214684</v>
      </c>
      <c r="N476" s="3">
        <f t="shared" si="66"/>
        <v>2.971021584008235</v>
      </c>
      <c r="O476" s="3">
        <f t="shared" si="59"/>
        <v>2.9228732854948554</v>
      </c>
      <c r="P476" s="3">
        <f t="shared" si="61"/>
        <v>2.7943195172558859</v>
      </c>
      <c r="Q476" s="4" t="str">
        <f t="shared" si="65"/>
        <v>UNDER</v>
      </c>
      <c r="R476" s="4" t="str">
        <f t="shared" si="65"/>
        <v>UNDER</v>
      </c>
      <c r="S476" s="4" t="str">
        <f t="shared" si="63"/>
        <v>OVER</v>
      </c>
      <c r="T476" s="4" t="str">
        <f t="shared" si="63"/>
        <v>OVER</v>
      </c>
      <c r="U476" s="2">
        <f>IF(Q476="OVER",$J476,$K476)</f>
        <v>125.77921857611045</v>
      </c>
      <c r="V476" s="2">
        <f>IF(R476="OVER",$J476,$K476)</f>
        <v>125.77921857611045</v>
      </c>
      <c r="W476" s="2">
        <f>IF(S476="OVER",$J476,$K476)</f>
        <v>-125.77921857611045</v>
      </c>
      <c r="X476" s="2">
        <f>IF(T476="OVER",$J476,$K476)</f>
        <v>-125.77921857611045</v>
      </c>
      <c r="Y476" s="9">
        <f t="shared" si="64"/>
        <v>-655.28000484741256</v>
      </c>
      <c r="Z476" s="9">
        <f t="shared" si="64"/>
        <v>10416.841605884931</v>
      </c>
      <c r="AA476" s="9">
        <f t="shared" si="64"/>
        <v>25723.506954781304</v>
      </c>
      <c r="AB476" s="9">
        <f t="shared" si="64"/>
        <v>9415.7777402806478</v>
      </c>
    </row>
    <row r="477" spans="1:28" x14ac:dyDescent="0.3">
      <c r="A477" s="1">
        <v>45105</v>
      </c>
      <c r="B477" s="2">
        <v>147.18</v>
      </c>
      <c r="C477" s="2">
        <v>436.39</v>
      </c>
      <c r="D477" s="9">
        <f>B477-B476</f>
        <v>-0.25</v>
      </c>
      <c r="E477" s="9">
        <f>C477-C476</f>
        <v>0.21999999999997044</v>
      </c>
      <c r="F477" s="3">
        <f>F$1/B477</f>
        <v>679.44014132354937</v>
      </c>
      <c r="G477" s="3">
        <f>F$1/C477</f>
        <v>229.15282201700316</v>
      </c>
      <c r="H477" s="2">
        <f>D477*F476</f>
        <v>-169.5720002713152</v>
      </c>
      <c r="I477" s="2">
        <f>E477*G476</f>
        <v>50.439048994651266</v>
      </c>
      <c r="J477" s="2">
        <f>I477-H477</f>
        <v>220.01104926596648</v>
      </c>
      <c r="K477" s="2">
        <f t="shared" si="60"/>
        <v>-220.01104926596648</v>
      </c>
      <c r="L477" s="3">
        <f>C477/B477</f>
        <v>2.9650088327218369</v>
      </c>
      <c r="M477" s="3">
        <f t="shared" si="62"/>
        <v>2.9703941133469152</v>
      </c>
      <c r="N477" s="3">
        <f t="shared" si="66"/>
        <v>2.9701027555506037</v>
      </c>
      <c r="O477" s="3">
        <f t="shared" si="59"/>
        <v>2.9253252852626614</v>
      </c>
      <c r="P477" s="3">
        <f t="shared" si="61"/>
        <v>2.7951950623114947</v>
      </c>
      <c r="Q477" s="4" t="str">
        <f t="shared" si="65"/>
        <v>UNDER</v>
      </c>
      <c r="R477" s="4" t="str">
        <f t="shared" si="65"/>
        <v>UNDER</v>
      </c>
      <c r="S477" s="4" t="str">
        <f t="shared" si="63"/>
        <v>OVER</v>
      </c>
      <c r="T477" s="4" t="str">
        <f t="shared" si="63"/>
        <v>OVER</v>
      </c>
      <c r="U477" s="2">
        <f>IF(Q477="OVER",$J477,$K477)</f>
        <v>-220.01104926596648</v>
      </c>
      <c r="V477" s="2">
        <f>IF(R477="OVER",$J477,$K477)</f>
        <v>-220.01104926596648</v>
      </c>
      <c r="W477" s="2">
        <f>IF(S477="OVER",$J477,$K477)</f>
        <v>220.01104926596648</v>
      </c>
      <c r="X477" s="2">
        <f>IF(T477="OVER",$J477,$K477)</f>
        <v>220.01104926596648</v>
      </c>
      <c r="Y477" s="9">
        <f t="shared" si="64"/>
        <v>-875.291054113379</v>
      </c>
      <c r="Z477" s="9">
        <f t="shared" si="64"/>
        <v>10196.830556618965</v>
      </c>
      <c r="AA477" s="9">
        <f t="shared" si="64"/>
        <v>25943.51800404727</v>
      </c>
      <c r="AB477" s="9">
        <f t="shared" si="64"/>
        <v>9635.7887895466138</v>
      </c>
    </row>
    <row r="478" spans="1:28" x14ac:dyDescent="0.3">
      <c r="A478" s="1">
        <v>45106</v>
      </c>
      <c r="B478" s="2">
        <v>148.33000000000001</v>
      </c>
      <c r="C478" s="2">
        <v>438.11</v>
      </c>
      <c r="D478" s="9">
        <f>B478-B477</f>
        <v>1.1500000000000057</v>
      </c>
      <c r="E478" s="9">
        <f>C478-C477</f>
        <v>1.7200000000000273</v>
      </c>
      <c r="F478" s="3">
        <f>F$1/B478</f>
        <v>674.17245331355753</v>
      </c>
      <c r="G478" s="3">
        <f>F$1/C478</f>
        <v>228.25317842550956</v>
      </c>
      <c r="H478" s="2">
        <f>D478*F477</f>
        <v>781.35616252208558</v>
      </c>
      <c r="I478" s="2">
        <f>E478*G477</f>
        <v>394.14285386925167</v>
      </c>
      <c r="J478" s="2">
        <f>I478-H478</f>
        <v>-387.21330865283392</v>
      </c>
      <c r="K478" s="2">
        <f t="shared" si="60"/>
        <v>387.21330865283392</v>
      </c>
      <c r="L478" s="3">
        <f>C478/B478</f>
        <v>2.9536169352120272</v>
      </c>
      <c r="M478" s="3">
        <f t="shared" si="62"/>
        <v>2.9688593722331431</v>
      </c>
      <c r="N478" s="3">
        <f t="shared" si="66"/>
        <v>2.9681345800348642</v>
      </c>
      <c r="O478" s="3">
        <f t="shared" si="59"/>
        <v>2.9275162726897808</v>
      </c>
      <c r="P478" s="3">
        <f t="shared" si="61"/>
        <v>2.7959940783267796</v>
      </c>
      <c r="Q478" s="4" t="str">
        <f t="shared" si="65"/>
        <v>UNDER</v>
      </c>
      <c r="R478" s="4" t="str">
        <f t="shared" si="65"/>
        <v>UNDER</v>
      </c>
      <c r="S478" s="4" t="str">
        <f t="shared" si="63"/>
        <v>OVER</v>
      </c>
      <c r="T478" s="4" t="str">
        <f t="shared" si="63"/>
        <v>OVER</v>
      </c>
      <c r="U478" s="2">
        <f>IF(Q478="OVER",$J478,$K478)</f>
        <v>387.21330865283392</v>
      </c>
      <c r="V478" s="2">
        <f>IF(R478="OVER",$J478,$K478)</f>
        <v>387.21330865283392</v>
      </c>
      <c r="W478" s="2">
        <f>IF(S478="OVER",$J478,$K478)</f>
        <v>-387.21330865283392</v>
      </c>
      <c r="X478" s="2">
        <f>IF(T478="OVER",$J478,$K478)</f>
        <v>-387.21330865283392</v>
      </c>
      <c r="Y478" s="9">
        <f t="shared" si="64"/>
        <v>-488.07774546054509</v>
      </c>
      <c r="Z478" s="9">
        <f t="shared" si="64"/>
        <v>10584.043865271798</v>
      </c>
      <c r="AA478" s="9">
        <f t="shared" si="64"/>
        <v>25556.304695394436</v>
      </c>
      <c r="AB478" s="9">
        <f t="shared" si="64"/>
        <v>9248.57548089378</v>
      </c>
    </row>
    <row r="479" spans="1:28" x14ac:dyDescent="0.3">
      <c r="A479" s="1">
        <v>45107</v>
      </c>
      <c r="B479" s="2">
        <v>149.63999999999999</v>
      </c>
      <c r="C479" s="2">
        <v>443.28</v>
      </c>
      <c r="D479" s="9">
        <f>B479-B478</f>
        <v>1.3099999999999739</v>
      </c>
      <c r="E479" s="9">
        <f>C479-C478</f>
        <v>5.1699999999999591</v>
      </c>
      <c r="F479" s="3">
        <f>F$1/B479</f>
        <v>668.27051590483836</v>
      </c>
      <c r="G479" s="3">
        <f>F$1/C479</f>
        <v>225.59104854719365</v>
      </c>
      <c r="H479" s="2">
        <f>D479*F478</f>
        <v>883.16591384074275</v>
      </c>
      <c r="I479" s="2">
        <f>E479*G478</f>
        <v>1180.068932459875</v>
      </c>
      <c r="J479" s="2">
        <f>I479-H479</f>
        <v>296.90301861913224</v>
      </c>
      <c r="K479" s="2">
        <f t="shared" si="60"/>
        <v>-296.90301861913224</v>
      </c>
      <c r="L479" s="3">
        <f>C479/B479</f>
        <v>2.9623095429029673</v>
      </c>
      <c r="M479" s="3">
        <f t="shared" si="62"/>
        <v>2.9679436330021245</v>
      </c>
      <c r="N479" s="3">
        <f t="shared" si="66"/>
        <v>2.9663069319134121</v>
      </c>
      <c r="O479" s="3">
        <f t="shared" si="59"/>
        <v>2.9299063405385044</v>
      </c>
      <c r="P479" s="3">
        <f t="shared" si="61"/>
        <v>2.7968935365735712</v>
      </c>
      <c r="Q479" s="4" t="str">
        <f t="shared" si="65"/>
        <v>UNDER</v>
      </c>
      <c r="R479" s="4" t="str">
        <f t="shared" si="65"/>
        <v>UNDER</v>
      </c>
      <c r="S479" s="4" t="str">
        <f t="shared" si="63"/>
        <v>OVER</v>
      </c>
      <c r="T479" s="4" t="str">
        <f t="shared" si="63"/>
        <v>OVER</v>
      </c>
      <c r="U479" s="2">
        <f>IF(Q479="OVER",$J479,$K479)</f>
        <v>-296.90301861913224</v>
      </c>
      <c r="V479" s="2">
        <f>IF(R479="OVER",$J479,$K479)</f>
        <v>-296.90301861913224</v>
      </c>
      <c r="W479" s="2">
        <f>IF(S479="OVER",$J479,$K479)</f>
        <v>296.90301861913224</v>
      </c>
      <c r="X479" s="2">
        <f>IF(T479="OVER",$J479,$K479)</f>
        <v>296.90301861913224</v>
      </c>
      <c r="Y479" s="9">
        <f t="shared" si="64"/>
        <v>-784.98076407967733</v>
      </c>
      <c r="Z479" s="9">
        <f t="shared" si="64"/>
        <v>10287.140846652666</v>
      </c>
      <c r="AA479" s="9">
        <f t="shared" si="64"/>
        <v>25853.20771401357</v>
      </c>
      <c r="AB479" s="9">
        <f t="shared" si="64"/>
        <v>9545.4784995129121</v>
      </c>
    </row>
    <row r="480" spans="1:28" x14ac:dyDescent="0.3">
      <c r="A480" s="1">
        <v>45110</v>
      </c>
      <c r="B480" s="2">
        <v>150.01</v>
      </c>
      <c r="C480" s="2">
        <v>443.79</v>
      </c>
      <c r="D480" s="9">
        <f>B480-B479</f>
        <v>0.37000000000000455</v>
      </c>
      <c r="E480" s="9">
        <f>C480-C479</f>
        <v>0.51000000000004775</v>
      </c>
      <c r="F480" s="3">
        <f>F$1/B480</f>
        <v>666.62222518498766</v>
      </c>
      <c r="G480" s="3">
        <f>F$1/C480</f>
        <v>225.331801077086</v>
      </c>
      <c r="H480" s="2">
        <f>D480*F479</f>
        <v>247.26009088479324</v>
      </c>
      <c r="I480" s="2">
        <f>E480*G479</f>
        <v>115.05143475907953</v>
      </c>
      <c r="J480" s="2">
        <f>I480-H480</f>
        <v>-132.20865612571373</v>
      </c>
      <c r="K480" s="2">
        <f t="shared" si="60"/>
        <v>132.20865612571373</v>
      </c>
      <c r="L480" s="3">
        <f>C480/B480</f>
        <v>2.9584027731484572</v>
      </c>
      <c r="M480" s="3">
        <f t="shared" si="62"/>
        <v>2.9685074203619881</v>
      </c>
      <c r="N480" s="3">
        <f t="shared" si="66"/>
        <v>2.9653646201429491</v>
      </c>
      <c r="O480" s="3">
        <f t="shared" si="59"/>
        <v>2.932216306548133</v>
      </c>
      <c r="P480" s="3">
        <f t="shared" si="61"/>
        <v>2.7977193863563521</v>
      </c>
      <c r="Q480" s="4" t="str">
        <f t="shared" si="65"/>
        <v>UNDER</v>
      </c>
      <c r="R480" s="4" t="str">
        <f t="shared" si="65"/>
        <v>UNDER</v>
      </c>
      <c r="S480" s="4" t="str">
        <f t="shared" si="63"/>
        <v>OVER</v>
      </c>
      <c r="T480" s="4" t="str">
        <f t="shared" si="63"/>
        <v>OVER</v>
      </c>
      <c r="U480" s="2">
        <f>IF(Q480="OVER",$J480,$K480)</f>
        <v>132.20865612571373</v>
      </c>
      <c r="V480" s="2">
        <f>IF(R480="OVER",$J480,$K480)</f>
        <v>132.20865612571373</v>
      </c>
      <c r="W480" s="2">
        <f>IF(S480="OVER",$J480,$K480)</f>
        <v>-132.20865612571373</v>
      </c>
      <c r="X480" s="2">
        <f>IF(T480="OVER",$J480,$K480)</f>
        <v>-132.20865612571373</v>
      </c>
      <c r="Y480" s="9">
        <f t="shared" si="64"/>
        <v>-652.77210795396354</v>
      </c>
      <c r="Z480" s="9">
        <f t="shared" si="64"/>
        <v>10419.349502778379</v>
      </c>
      <c r="AA480" s="9">
        <f t="shared" si="64"/>
        <v>25720.999057887857</v>
      </c>
      <c r="AB480" s="9">
        <f t="shared" si="64"/>
        <v>9413.2698433871992</v>
      </c>
    </row>
    <row r="481" spans="1:28" x14ac:dyDescent="0.3">
      <c r="A481" s="1">
        <v>45112</v>
      </c>
      <c r="B481" s="2">
        <v>149.37</v>
      </c>
      <c r="C481" s="2">
        <v>443.13</v>
      </c>
      <c r="D481" s="9">
        <f>B481-B480</f>
        <v>-0.63999999999998636</v>
      </c>
      <c r="E481" s="9">
        <f>C481-C480</f>
        <v>-0.66000000000002501</v>
      </c>
      <c r="F481" s="3">
        <f>F$1/B481</f>
        <v>669.47847626698797</v>
      </c>
      <c r="G481" s="3">
        <f>F$1/C481</f>
        <v>225.66741136912418</v>
      </c>
      <c r="H481" s="2">
        <f>D481*F480</f>
        <v>-426.63822411838299</v>
      </c>
      <c r="I481" s="2">
        <f>E481*G480</f>
        <v>-148.7189887108824</v>
      </c>
      <c r="J481" s="2">
        <f>I481-H481</f>
        <v>277.91923540750059</v>
      </c>
      <c r="K481" s="2">
        <f t="shared" si="60"/>
        <v>-277.91923540750059</v>
      </c>
      <c r="L481" s="3">
        <f>C481/B481</f>
        <v>2.9666599718819038</v>
      </c>
      <c r="M481" s="3">
        <f t="shared" si="62"/>
        <v>2.9674480021320369</v>
      </c>
      <c r="N481" s="3">
        <f t="shared" si="66"/>
        <v>2.9646121677457011</v>
      </c>
      <c r="O481" s="3">
        <f t="shared" si="59"/>
        <v>2.9346629478847501</v>
      </c>
      <c r="P481" s="3">
        <f t="shared" si="61"/>
        <v>2.7986347411568961</v>
      </c>
      <c r="Q481" s="4" t="str">
        <f t="shared" si="65"/>
        <v>UNDER</v>
      </c>
      <c r="R481" s="4" t="str">
        <f t="shared" si="65"/>
        <v>UNDER</v>
      </c>
      <c r="S481" s="4" t="str">
        <f t="shared" si="63"/>
        <v>OVER</v>
      </c>
      <c r="T481" s="4" t="str">
        <f t="shared" si="63"/>
        <v>OVER</v>
      </c>
      <c r="U481" s="2">
        <f>IF(Q481="OVER",$J481,$K481)</f>
        <v>-277.91923540750059</v>
      </c>
      <c r="V481" s="2">
        <f>IF(R481="OVER",$J481,$K481)</f>
        <v>-277.91923540750059</v>
      </c>
      <c r="W481" s="2">
        <f>IF(S481="OVER",$J481,$K481)</f>
        <v>277.91923540750059</v>
      </c>
      <c r="X481" s="2">
        <f>IF(T481="OVER",$J481,$K481)</f>
        <v>277.91923540750059</v>
      </c>
      <c r="Y481" s="9">
        <f t="shared" si="64"/>
        <v>-930.69134336146408</v>
      </c>
      <c r="Z481" s="9">
        <f t="shared" si="64"/>
        <v>10141.430267370879</v>
      </c>
      <c r="AA481" s="9">
        <f t="shared" si="64"/>
        <v>25998.918293295359</v>
      </c>
      <c r="AB481" s="9">
        <f t="shared" si="64"/>
        <v>9691.1890787946995</v>
      </c>
    </row>
    <row r="482" spans="1:28" x14ac:dyDescent="0.3">
      <c r="A482" s="1">
        <v>45113</v>
      </c>
      <c r="B482" s="2">
        <v>148.15</v>
      </c>
      <c r="C482" s="2">
        <v>439.66</v>
      </c>
      <c r="D482" s="9">
        <f>B482-B481</f>
        <v>-1.2199999999999989</v>
      </c>
      <c r="E482" s="9">
        <f>C482-C481</f>
        <v>-3.4699999999999704</v>
      </c>
      <c r="F482" s="3">
        <f>F$1/B482</f>
        <v>674.99156260546738</v>
      </c>
      <c r="G482" s="3">
        <f>F$1/C482</f>
        <v>227.44848291861891</v>
      </c>
      <c r="H482" s="2">
        <f>D482*F481</f>
        <v>-816.7637410457246</v>
      </c>
      <c r="I482" s="2">
        <f>E482*G481</f>
        <v>-783.06591745085427</v>
      </c>
      <c r="J482" s="2">
        <f>I482-H482</f>
        <v>33.697823594870329</v>
      </c>
      <c r="K482" s="2">
        <f t="shared" si="60"/>
        <v>-33.697823594870329</v>
      </c>
      <c r="L482" s="3">
        <f>C482/B482</f>
        <v>2.967667904151198</v>
      </c>
      <c r="M482" s="3">
        <f t="shared" si="62"/>
        <v>2.9675906365081466</v>
      </c>
      <c r="N482" s="3">
        <f t="shared" si="66"/>
        <v>2.9645904592849996</v>
      </c>
      <c r="O482" s="3">
        <f t="shared" si="59"/>
        <v>2.9371763032127638</v>
      </c>
      <c r="P482" s="3">
        <f t="shared" si="61"/>
        <v>2.7995790266235985</v>
      </c>
      <c r="Q482" s="4" t="str">
        <f t="shared" si="65"/>
        <v>UNDER</v>
      </c>
      <c r="R482" s="4" t="str">
        <f t="shared" si="65"/>
        <v>OVER</v>
      </c>
      <c r="S482" s="4" t="str">
        <f t="shared" si="63"/>
        <v>OVER</v>
      </c>
      <c r="T482" s="4" t="str">
        <f t="shared" si="63"/>
        <v>OVER</v>
      </c>
      <c r="U482" s="2">
        <f>IF(Q482="OVER",$J482,$K482)</f>
        <v>-33.697823594870329</v>
      </c>
      <c r="V482" s="2">
        <f>IF(R482="OVER",$J482,$K482)</f>
        <v>33.697823594870329</v>
      </c>
      <c r="W482" s="2">
        <f>IF(S482="OVER",$J482,$K482)</f>
        <v>33.697823594870329</v>
      </c>
      <c r="X482" s="2">
        <f>IF(T482="OVER",$J482,$K482)</f>
        <v>33.697823594870329</v>
      </c>
      <c r="Y482" s="9">
        <f t="shared" si="64"/>
        <v>-964.38916695633441</v>
      </c>
      <c r="Z482" s="9">
        <f t="shared" si="64"/>
        <v>10175.128090965749</v>
      </c>
      <c r="AA482" s="9">
        <f t="shared" si="64"/>
        <v>26032.616116890229</v>
      </c>
      <c r="AB482" s="9">
        <f t="shared" si="64"/>
        <v>9724.8869023895695</v>
      </c>
    </row>
    <row r="483" spans="1:28" x14ac:dyDescent="0.3">
      <c r="A483" s="1">
        <v>45114</v>
      </c>
      <c r="B483" s="2">
        <v>148.52000000000001</v>
      </c>
      <c r="C483" s="2">
        <v>438.55</v>
      </c>
      <c r="D483" s="9">
        <f>B483-B482</f>
        <v>0.37000000000000455</v>
      </c>
      <c r="E483" s="9">
        <f>C483-C482</f>
        <v>-1.1100000000000136</v>
      </c>
      <c r="F483" s="3">
        <f>F$1/B483</f>
        <v>673.30999192028003</v>
      </c>
      <c r="G483" s="3">
        <f>F$1/C483</f>
        <v>228.02417056207958</v>
      </c>
      <c r="H483" s="2">
        <f>D483*F482</f>
        <v>249.74687816402599</v>
      </c>
      <c r="I483" s="2">
        <f>E483*G482</f>
        <v>-252.46781603967008</v>
      </c>
      <c r="J483" s="2">
        <f>I483-H483</f>
        <v>-502.21469420369607</v>
      </c>
      <c r="K483" s="2">
        <f t="shared" si="60"/>
        <v>502.21469420369607</v>
      </c>
      <c r="L483" s="3">
        <f>C483/B483</f>
        <v>2.9528009695663884</v>
      </c>
      <c r="M483" s="3">
        <f t="shared" si="62"/>
        <v>2.9639527029231161</v>
      </c>
      <c r="N483" s="3">
        <f t="shared" si="66"/>
        <v>2.9654176764836331</v>
      </c>
      <c r="O483" s="3">
        <f t="shared" si="59"/>
        <v>2.9393264930076795</v>
      </c>
      <c r="P483" s="3">
        <f t="shared" si="61"/>
        <v>2.8003814791897201</v>
      </c>
      <c r="Q483" s="4" t="str">
        <f t="shared" si="65"/>
        <v>OVER</v>
      </c>
      <c r="R483" s="4" t="str">
        <f t="shared" si="65"/>
        <v>OVER</v>
      </c>
      <c r="S483" s="4" t="str">
        <f t="shared" si="63"/>
        <v>OVER</v>
      </c>
      <c r="T483" s="4" t="str">
        <f t="shared" si="63"/>
        <v>OVER</v>
      </c>
      <c r="U483" s="2">
        <f>IF(Q483="OVER",$J483,$K483)</f>
        <v>-502.21469420369607</v>
      </c>
      <c r="V483" s="2">
        <f>IF(R483="OVER",$J483,$K483)</f>
        <v>-502.21469420369607</v>
      </c>
      <c r="W483" s="2">
        <f>IF(S483="OVER",$J483,$K483)</f>
        <v>-502.21469420369607</v>
      </c>
      <c r="X483" s="2">
        <f>IF(T483="OVER",$J483,$K483)</f>
        <v>-502.21469420369607</v>
      </c>
      <c r="Y483" s="9">
        <f t="shared" si="64"/>
        <v>-1466.6038611600304</v>
      </c>
      <c r="Z483" s="9">
        <f t="shared" si="64"/>
        <v>9672.9133967620528</v>
      </c>
      <c r="AA483" s="9">
        <f t="shared" si="64"/>
        <v>25530.401422686533</v>
      </c>
      <c r="AB483" s="9">
        <f t="shared" si="64"/>
        <v>9222.6722081858734</v>
      </c>
    </row>
    <row r="484" spans="1:28" x14ac:dyDescent="0.3">
      <c r="A484" s="1">
        <v>45117</v>
      </c>
      <c r="B484" s="2">
        <v>149.85</v>
      </c>
      <c r="C484" s="2">
        <v>439.66</v>
      </c>
      <c r="D484" s="9">
        <f>B484-B483</f>
        <v>1.3299999999999841</v>
      </c>
      <c r="E484" s="9">
        <f>C484-C483</f>
        <v>1.1100000000000136</v>
      </c>
      <c r="F484" s="3">
        <f>F$1/B484</f>
        <v>667.33400066733407</v>
      </c>
      <c r="G484" s="3">
        <f>F$1/C484</f>
        <v>227.44848291861891</v>
      </c>
      <c r="H484" s="2">
        <f>D484*F483</f>
        <v>895.50228925396175</v>
      </c>
      <c r="I484" s="2">
        <f>E484*G483</f>
        <v>253.10682932391143</v>
      </c>
      <c r="J484" s="2">
        <f>I484-H484</f>
        <v>-642.39545993005027</v>
      </c>
      <c r="K484" s="2">
        <f t="shared" si="60"/>
        <v>642.39545993005027</v>
      </c>
      <c r="L484" s="3">
        <f>C484/B484</f>
        <v>2.9340006673340011</v>
      </c>
      <c r="M484" s="3">
        <f t="shared" si="62"/>
        <v>2.9581125955873029</v>
      </c>
      <c r="N484" s="3">
        <f t="shared" si="66"/>
        <v>2.9644778557252387</v>
      </c>
      <c r="O484" s="3">
        <f t="shared" si="59"/>
        <v>2.9407438850982515</v>
      </c>
      <c r="P484" s="3">
        <f t="shared" si="61"/>
        <v>2.8010243844327523</v>
      </c>
      <c r="Q484" s="4" t="str">
        <f t="shared" si="65"/>
        <v>UNDER</v>
      </c>
      <c r="R484" s="4" t="str">
        <f t="shared" si="65"/>
        <v>UNDER</v>
      </c>
      <c r="S484" s="4" t="str">
        <f t="shared" si="63"/>
        <v>UNDER</v>
      </c>
      <c r="T484" s="4" t="str">
        <f t="shared" si="63"/>
        <v>OVER</v>
      </c>
      <c r="U484" s="2">
        <f>IF(Q484="OVER",$J484,$K484)</f>
        <v>642.39545993005027</v>
      </c>
      <c r="V484" s="2">
        <f>IF(R484="OVER",$J484,$K484)</f>
        <v>642.39545993005027</v>
      </c>
      <c r="W484" s="2">
        <f>IF(S484="OVER",$J484,$K484)</f>
        <v>642.39545993005027</v>
      </c>
      <c r="X484" s="2">
        <f>IF(T484="OVER",$J484,$K484)</f>
        <v>-642.39545993005027</v>
      </c>
      <c r="Y484" s="9">
        <f t="shared" si="64"/>
        <v>-824.20840122998015</v>
      </c>
      <c r="Z484" s="9">
        <f t="shared" si="64"/>
        <v>10315.308856692103</v>
      </c>
      <c r="AA484" s="9">
        <f t="shared" si="64"/>
        <v>26172.796882616582</v>
      </c>
      <c r="AB484" s="9">
        <f t="shared" si="64"/>
        <v>8580.2767482558229</v>
      </c>
    </row>
    <row r="485" spans="1:28" x14ac:dyDescent="0.3">
      <c r="A485" s="1">
        <v>45118</v>
      </c>
      <c r="B485" s="2">
        <v>151.54</v>
      </c>
      <c r="C485" s="2">
        <v>442.46</v>
      </c>
      <c r="D485" s="9">
        <f>B485-B484</f>
        <v>1.6899999999999977</v>
      </c>
      <c r="E485" s="9">
        <f>C485-C484</f>
        <v>2.7999999999999545</v>
      </c>
      <c r="F485" s="3">
        <f>F$1/B485</f>
        <v>659.89177774844927</v>
      </c>
      <c r="G485" s="3">
        <f>F$1/C485</f>
        <v>226.00913076888307</v>
      </c>
      <c r="H485" s="2">
        <f>D485*F484</f>
        <v>1127.7944611277931</v>
      </c>
      <c r="I485" s="2">
        <f>E485*G484</f>
        <v>636.85575217212261</v>
      </c>
      <c r="J485" s="2">
        <f>I485-H485</f>
        <v>-490.93870895567045</v>
      </c>
      <c r="K485" s="2">
        <f t="shared" si="60"/>
        <v>490.93870895567045</v>
      </c>
      <c r="L485" s="3">
        <f>C485/B485</f>
        <v>2.9197571598257888</v>
      </c>
      <c r="M485" s="3">
        <f t="shared" si="62"/>
        <v>2.9538713531078153</v>
      </c>
      <c r="N485" s="3">
        <f t="shared" si="66"/>
        <v>2.9623877308011246</v>
      </c>
      <c r="O485" s="3">
        <f t="shared" si="59"/>
        <v>2.9416803031119043</v>
      </c>
      <c r="P485" s="3">
        <f t="shared" si="61"/>
        <v>2.8016083900773951</v>
      </c>
      <c r="Q485" s="4" t="str">
        <f t="shared" si="65"/>
        <v>UNDER</v>
      </c>
      <c r="R485" s="4" t="str">
        <f t="shared" si="65"/>
        <v>UNDER</v>
      </c>
      <c r="S485" s="4" t="str">
        <f t="shared" si="63"/>
        <v>UNDER</v>
      </c>
      <c r="T485" s="4" t="str">
        <f t="shared" si="63"/>
        <v>OVER</v>
      </c>
      <c r="U485" s="2">
        <f>IF(Q485="OVER",$J485,$K485)</f>
        <v>490.93870895567045</v>
      </c>
      <c r="V485" s="2">
        <f>IF(R485="OVER",$J485,$K485)</f>
        <v>490.93870895567045</v>
      </c>
      <c r="W485" s="2">
        <f>IF(S485="OVER",$J485,$K485)</f>
        <v>490.93870895567045</v>
      </c>
      <c r="X485" s="2">
        <f>IF(T485="OVER",$J485,$K485)</f>
        <v>-490.93870895567045</v>
      </c>
      <c r="Y485" s="9">
        <f t="shared" si="64"/>
        <v>-333.2696922743097</v>
      </c>
      <c r="Z485" s="9">
        <f t="shared" si="64"/>
        <v>10806.247565647775</v>
      </c>
      <c r="AA485" s="9">
        <f t="shared" si="64"/>
        <v>26663.735591572251</v>
      </c>
      <c r="AB485" s="9">
        <f t="shared" si="64"/>
        <v>8089.3380393001526</v>
      </c>
    </row>
    <row r="486" spans="1:28" x14ac:dyDescent="0.3">
      <c r="A486" s="1">
        <v>45119</v>
      </c>
      <c r="B486" s="2">
        <v>152.24</v>
      </c>
      <c r="C486" s="2">
        <v>446.02</v>
      </c>
      <c r="D486" s="9">
        <f>B486-B485</f>
        <v>0.70000000000001705</v>
      </c>
      <c r="E486" s="9">
        <f>C486-C485</f>
        <v>3.5600000000000023</v>
      </c>
      <c r="F486" s="3">
        <f>F$1/B486</f>
        <v>656.85759327377821</v>
      </c>
      <c r="G486" s="3">
        <f>F$1/C486</f>
        <v>224.20519259226046</v>
      </c>
      <c r="H486" s="2">
        <f>D486*F485</f>
        <v>461.92424442392576</v>
      </c>
      <c r="I486" s="2">
        <f>E486*G485</f>
        <v>804.59250553722427</v>
      </c>
      <c r="J486" s="2">
        <f>I486-H486</f>
        <v>342.66826111329851</v>
      </c>
      <c r="K486" s="2">
        <f t="shared" si="60"/>
        <v>-342.66826111329851</v>
      </c>
      <c r="L486" s="3">
        <f>C486/B486</f>
        <v>2.9297162375197052</v>
      </c>
      <c r="M486" s="3">
        <f t="shared" si="62"/>
        <v>2.9509940994264277</v>
      </c>
      <c r="N486" s="3">
        <f t="shared" si="66"/>
        <v>2.9604339040239478</v>
      </c>
      <c r="O486" s="3">
        <f t="shared" si="59"/>
        <v>2.9429603106513293</v>
      </c>
      <c r="P486" s="3">
        <f t="shared" si="61"/>
        <v>2.8021578076752114</v>
      </c>
      <c r="Q486" s="4" t="str">
        <f t="shared" si="65"/>
        <v>UNDER</v>
      </c>
      <c r="R486" s="4" t="str">
        <f t="shared" si="65"/>
        <v>UNDER</v>
      </c>
      <c r="S486" s="4" t="str">
        <f t="shared" si="63"/>
        <v>UNDER</v>
      </c>
      <c r="T486" s="4" t="str">
        <f t="shared" si="63"/>
        <v>OVER</v>
      </c>
      <c r="U486" s="2">
        <f>IF(Q486="OVER",$J486,$K486)</f>
        <v>-342.66826111329851</v>
      </c>
      <c r="V486" s="2">
        <f>IF(R486="OVER",$J486,$K486)</f>
        <v>-342.66826111329851</v>
      </c>
      <c r="W486" s="2">
        <f>IF(S486="OVER",$J486,$K486)</f>
        <v>-342.66826111329851</v>
      </c>
      <c r="X486" s="2">
        <f>IF(T486="OVER",$J486,$K486)</f>
        <v>342.66826111329851</v>
      </c>
      <c r="Y486" s="9">
        <f t="shared" si="64"/>
        <v>-675.93795338760822</v>
      </c>
      <c r="Z486" s="9">
        <f t="shared" si="64"/>
        <v>10463.579304534476</v>
      </c>
      <c r="AA486" s="9">
        <f t="shared" si="64"/>
        <v>26321.067330458951</v>
      </c>
      <c r="AB486" s="9">
        <f t="shared" si="64"/>
        <v>8432.0063004134518</v>
      </c>
    </row>
    <row r="487" spans="1:28" x14ac:dyDescent="0.3">
      <c r="A487" s="1">
        <v>45120</v>
      </c>
      <c r="B487" s="2">
        <v>152.96</v>
      </c>
      <c r="C487" s="2">
        <v>449.56</v>
      </c>
      <c r="D487" s="9">
        <f>B487-B486</f>
        <v>0.71999999999999886</v>
      </c>
      <c r="E487" s="9">
        <f>C487-C486</f>
        <v>3.5400000000000205</v>
      </c>
      <c r="F487" s="3">
        <f>F$1/B487</f>
        <v>653.76569037656895</v>
      </c>
      <c r="G487" s="3">
        <f>F$1/C487</f>
        <v>222.4397188361954</v>
      </c>
      <c r="H487" s="2">
        <f>D487*F486</f>
        <v>472.93746715711956</v>
      </c>
      <c r="I487" s="2">
        <f>E487*G486</f>
        <v>793.68638177660659</v>
      </c>
      <c r="J487" s="2">
        <f>I487-H487</f>
        <v>320.74891461948704</v>
      </c>
      <c r="K487" s="2">
        <f t="shared" si="60"/>
        <v>-320.74891461948704</v>
      </c>
      <c r="L487" s="3">
        <f>C487/B487</f>
        <v>2.9390690376569037</v>
      </c>
      <c r="M487" s="3">
        <f t="shared" si="62"/>
        <v>2.9484001199199343</v>
      </c>
      <c r="N487" s="3">
        <f t="shared" si="66"/>
        <v>2.9593971166334248</v>
      </c>
      <c r="O487" s="3">
        <f t="shared" si="59"/>
        <v>2.944433919526666</v>
      </c>
      <c r="P487" s="3">
        <f t="shared" si="61"/>
        <v>2.8027532908156729</v>
      </c>
      <c r="Q487" s="4" t="str">
        <f t="shared" si="65"/>
        <v>UNDER</v>
      </c>
      <c r="R487" s="4" t="str">
        <f t="shared" si="65"/>
        <v>UNDER</v>
      </c>
      <c r="S487" s="4" t="str">
        <f t="shared" si="63"/>
        <v>UNDER</v>
      </c>
      <c r="T487" s="4" t="str">
        <f t="shared" si="63"/>
        <v>OVER</v>
      </c>
      <c r="U487" s="2">
        <f>IF(Q487="OVER",$J487,$K487)</f>
        <v>-320.74891461948704</v>
      </c>
      <c r="V487" s="2">
        <f>IF(R487="OVER",$J487,$K487)</f>
        <v>-320.74891461948704</v>
      </c>
      <c r="W487" s="2">
        <f>IF(S487="OVER",$J487,$K487)</f>
        <v>-320.74891461948704</v>
      </c>
      <c r="X487" s="2">
        <f>IF(T487="OVER",$J487,$K487)</f>
        <v>320.74891461948704</v>
      </c>
      <c r="Y487" s="9">
        <f t="shared" si="64"/>
        <v>-996.6868680070952</v>
      </c>
      <c r="Z487" s="9">
        <f t="shared" si="64"/>
        <v>10142.830389914989</v>
      </c>
      <c r="AA487" s="9">
        <f t="shared" si="64"/>
        <v>26000.318415839465</v>
      </c>
      <c r="AB487" s="9">
        <f t="shared" si="64"/>
        <v>8752.7552150329393</v>
      </c>
    </row>
    <row r="488" spans="1:28" x14ac:dyDescent="0.3">
      <c r="A488" s="1">
        <v>45121</v>
      </c>
      <c r="B488" s="2">
        <v>152.06</v>
      </c>
      <c r="C488" s="2">
        <v>449.28</v>
      </c>
      <c r="D488" s="9">
        <f>B488-B487</f>
        <v>-0.90000000000000568</v>
      </c>
      <c r="E488" s="9">
        <f>C488-C487</f>
        <v>-0.28000000000002956</v>
      </c>
      <c r="F488" s="3">
        <f>F$1/B488</f>
        <v>657.63514402209648</v>
      </c>
      <c r="G488" s="3">
        <f>F$1/C488</f>
        <v>222.5783475783476</v>
      </c>
      <c r="H488" s="2">
        <f>D488*F487</f>
        <v>-588.38912133891574</v>
      </c>
      <c r="I488" s="2">
        <f>E488*G487</f>
        <v>-62.283121274141287</v>
      </c>
      <c r="J488" s="2">
        <f>I488-H488</f>
        <v>526.10600006477443</v>
      </c>
      <c r="K488" s="2">
        <f t="shared" si="60"/>
        <v>-526.10600006477443</v>
      </c>
      <c r="L488" s="3">
        <f>C488/B488</f>
        <v>2.954623175062475</v>
      </c>
      <c r="M488" s="3">
        <f t="shared" si="62"/>
        <v>2.9485007439049791</v>
      </c>
      <c r="N488" s="3">
        <f t="shared" si="66"/>
        <v>2.9586800580690613</v>
      </c>
      <c r="O488" s="3">
        <f t="shared" si="59"/>
        <v>2.9460018800875627</v>
      </c>
      <c r="P488" s="3">
        <f t="shared" si="61"/>
        <v>2.803360841717037</v>
      </c>
      <c r="Q488" s="4" t="str">
        <f t="shared" si="65"/>
        <v>UNDER</v>
      </c>
      <c r="R488" s="4" t="str">
        <f t="shared" si="65"/>
        <v>UNDER</v>
      </c>
      <c r="S488" s="4" t="str">
        <f t="shared" si="63"/>
        <v>OVER</v>
      </c>
      <c r="T488" s="4" t="str">
        <f t="shared" si="63"/>
        <v>OVER</v>
      </c>
      <c r="U488" s="2">
        <f>IF(Q488="OVER",$J488,$K488)</f>
        <v>-526.10600006477443</v>
      </c>
      <c r="V488" s="2">
        <f>IF(R488="OVER",$J488,$K488)</f>
        <v>-526.10600006477443</v>
      </c>
      <c r="W488" s="2">
        <f>IF(S488="OVER",$J488,$K488)</f>
        <v>526.10600006477443</v>
      </c>
      <c r="X488" s="2">
        <f>IF(T488="OVER",$J488,$K488)</f>
        <v>526.10600006477443</v>
      </c>
      <c r="Y488" s="9">
        <f t="shared" si="64"/>
        <v>-1522.7928680718696</v>
      </c>
      <c r="Z488" s="9">
        <f t="shared" si="64"/>
        <v>9616.7243898502147</v>
      </c>
      <c r="AA488" s="9">
        <f t="shared" si="64"/>
        <v>26526.424415904239</v>
      </c>
      <c r="AB488" s="9">
        <f t="shared" si="64"/>
        <v>9278.8612150977133</v>
      </c>
    </row>
    <row r="489" spans="1:28" x14ac:dyDescent="0.3">
      <c r="A489" s="1">
        <v>45124</v>
      </c>
      <c r="B489" s="2">
        <v>152.35</v>
      </c>
      <c r="C489" s="2">
        <v>450.84</v>
      </c>
      <c r="D489" s="9">
        <f>B489-B488</f>
        <v>0.28999999999999204</v>
      </c>
      <c r="E489" s="9">
        <f>C489-C488</f>
        <v>1.5600000000000023</v>
      </c>
      <c r="F489" s="3">
        <f>F$1/B489</f>
        <v>656.38332786347235</v>
      </c>
      <c r="G489" s="3">
        <f>F$1/C489</f>
        <v>221.80818028568896</v>
      </c>
      <c r="H489" s="2">
        <f>D489*F488</f>
        <v>190.71419176640273</v>
      </c>
      <c r="I489" s="2">
        <f>E489*G488</f>
        <v>347.22222222222274</v>
      </c>
      <c r="J489" s="2">
        <f>I489-H489</f>
        <v>156.50803045582001</v>
      </c>
      <c r="K489" s="2">
        <f t="shared" si="60"/>
        <v>-156.50803045582001</v>
      </c>
      <c r="L489" s="3">
        <f>C489/B489</f>
        <v>2.9592385953396785</v>
      </c>
      <c r="M489" s="3">
        <f t="shared" si="62"/>
        <v>2.9481936491486502</v>
      </c>
      <c r="N489" s="3">
        <f t="shared" si="66"/>
        <v>2.9580686410753874</v>
      </c>
      <c r="O489" s="3">
        <f t="shared" si="59"/>
        <v>2.9477230930900538</v>
      </c>
      <c r="P489" s="3">
        <f t="shared" si="61"/>
        <v>2.8039824364724844</v>
      </c>
      <c r="Q489" s="4" t="str">
        <f t="shared" si="65"/>
        <v>OVER</v>
      </c>
      <c r="R489" s="4" t="str">
        <f t="shared" si="65"/>
        <v>UNDER</v>
      </c>
      <c r="S489" s="4" t="str">
        <f t="shared" si="63"/>
        <v>OVER</v>
      </c>
      <c r="T489" s="4" t="str">
        <f t="shared" si="63"/>
        <v>OVER</v>
      </c>
      <c r="U489" s="2">
        <f>IF(Q489="OVER",$J489,$K489)</f>
        <v>156.50803045582001</v>
      </c>
      <c r="V489" s="2">
        <f>IF(R489="OVER",$J489,$K489)</f>
        <v>-156.50803045582001</v>
      </c>
      <c r="W489" s="2">
        <f>IF(S489="OVER",$J489,$K489)</f>
        <v>156.50803045582001</v>
      </c>
      <c r="X489" s="2">
        <f>IF(T489="OVER",$J489,$K489)</f>
        <v>156.50803045582001</v>
      </c>
      <c r="Y489" s="9">
        <f t="shared" si="64"/>
        <v>-1366.2848376160496</v>
      </c>
      <c r="Z489" s="9">
        <f t="shared" si="64"/>
        <v>9460.2163593943951</v>
      </c>
      <c r="AA489" s="9">
        <f t="shared" si="64"/>
        <v>26682.932446360061</v>
      </c>
      <c r="AB489" s="9">
        <f t="shared" si="64"/>
        <v>9435.3692455535329</v>
      </c>
    </row>
    <row r="490" spans="1:28" x14ac:dyDescent="0.3">
      <c r="A490" s="1">
        <v>45125</v>
      </c>
      <c r="B490" s="2">
        <v>153.29</v>
      </c>
      <c r="C490" s="2">
        <v>454.19</v>
      </c>
      <c r="D490" s="9">
        <f>B490-B489</f>
        <v>0.93999999999999773</v>
      </c>
      <c r="E490" s="9">
        <f>C490-C489</f>
        <v>3.3500000000000227</v>
      </c>
      <c r="F490" s="3">
        <f>F$1/B490</f>
        <v>652.35827516472045</v>
      </c>
      <c r="G490" s="3">
        <f>F$1/C490</f>
        <v>220.17217464056893</v>
      </c>
      <c r="H490" s="2">
        <f>D490*F489</f>
        <v>617.00032819166256</v>
      </c>
      <c r="I490" s="2">
        <f>E490*G489</f>
        <v>743.05740395706312</v>
      </c>
      <c r="J490" s="2">
        <f>I490-H490</f>
        <v>126.05707576540055</v>
      </c>
      <c r="K490" s="2">
        <f t="shared" si="60"/>
        <v>-126.05707576540055</v>
      </c>
      <c r="L490" s="3">
        <f>C490/B490</f>
        <v>2.9629460499706441</v>
      </c>
      <c r="M490" s="3">
        <f t="shared" si="62"/>
        <v>2.9486479768308684</v>
      </c>
      <c r="N490" s="3">
        <f t="shared" si="66"/>
        <v>2.9585776985964287</v>
      </c>
      <c r="O490" s="3">
        <f t="shared" si="59"/>
        <v>2.9493778622339284</v>
      </c>
      <c r="P490" s="3">
        <f t="shared" si="61"/>
        <v>2.8046720523582023</v>
      </c>
      <c r="Q490" s="4" t="str">
        <f t="shared" si="65"/>
        <v>OVER</v>
      </c>
      <c r="R490" s="4" t="str">
        <f t="shared" si="65"/>
        <v>OVER</v>
      </c>
      <c r="S490" s="4" t="str">
        <f t="shared" si="63"/>
        <v>OVER</v>
      </c>
      <c r="T490" s="4" t="str">
        <f t="shared" si="63"/>
        <v>OVER</v>
      </c>
      <c r="U490" s="2">
        <f>IF(Q490="OVER",$J490,$K490)</f>
        <v>126.05707576540055</v>
      </c>
      <c r="V490" s="2">
        <f>IF(R490="OVER",$J490,$K490)</f>
        <v>126.05707576540055</v>
      </c>
      <c r="W490" s="2">
        <f>IF(S490="OVER",$J490,$K490)</f>
        <v>126.05707576540055</v>
      </c>
      <c r="X490" s="2">
        <f>IF(T490="OVER",$J490,$K490)</f>
        <v>126.05707576540055</v>
      </c>
      <c r="Y490" s="9">
        <f t="shared" si="64"/>
        <v>-1240.2277618506491</v>
      </c>
      <c r="Z490" s="9">
        <f t="shared" si="64"/>
        <v>9586.2734351597956</v>
      </c>
      <c r="AA490" s="9">
        <f t="shared" si="64"/>
        <v>26808.989522125463</v>
      </c>
      <c r="AB490" s="9">
        <f t="shared" si="64"/>
        <v>9561.4263213189333</v>
      </c>
    </row>
    <row r="491" spans="1:28" x14ac:dyDescent="0.3">
      <c r="A491" s="1">
        <v>45126</v>
      </c>
      <c r="B491" s="2">
        <v>154.05000000000001</v>
      </c>
      <c r="C491" s="2">
        <v>455.2</v>
      </c>
      <c r="D491" s="9">
        <f>B491-B490</f>
        <v>0.76000000000001933</v>
      </c>
      <c r="E491" s="9">
        <f>C491-C490</f>
        <v>1.0099999999999909</v>
      </c>
      <c r="F491" s="3">
        <f>F$1/B491</f>
        <v>649.13988964621876</v>
      </c>
      <c r="G491" s="3">
        <f>F$1/C491</f>
        <v>219.68365553602811</v>
      </c>
      <c r="H491" s="2">
        <f>D491*F490</f>
        <v>495.79228912520017</v>
      </c>
      <c r="I491" s="2">
        <f>E491*G490</f>
        <v>222.3738963869726</v>
      </c>
      <c r="J491" s="2">
        <f>I491-H491</f>
        <v>-273.41839273822757</v>
      </c>
      <c r="K491" s="2">
        <f t="shared" si="60"/>
        <v>273.41839273822757</v>
      </c>
      <c r="L491" s="3">
        <f>C491/B491</f>
        <v>2.9548847776695877</v>
      </c>
      <c r="M491" s="3">
        <f t="shared" si="62"/>
        <v>2.9474704574096369</v>
      </c>
      <c r="N491" s="3">
        <f t="shared" si="66"/>
        <v>2.9574592297708371</v>
      </c>
      <c r="O491" s="3">
        <f t="shared" si="59"/>
        <v>2.950777172833114</v>
      </c>
      <c r="P491" s="3">
        <f t="shared" si="61"/>
        <v>2.8053498800389032</v>
      </c>
      <c r="Q491" s="4" t="str">
        <f t="shared" si="65"/>
        <v>OVER</v>
      </c>
      <c r="R491" s="4" t="str">
        <f t="shared" si="65"/>
        <v>OVER</v>
      </c>
      <c r="S491" s="4" t="str">
        <f t="shared" si="63"/>
        <v>OVER</v>
      </c>
      <c r="T491" s="4" t="str">
        <f t="shared" si="63"/>
        <v>OVER</v>
      </c>
      <c r="U491" s="2">
        <f>IF(Q491="OVER",$J491,$K491)</f>
        <v>-273.41839273822757</v>
      </c>
      <c r="V491" s="2">
        <f>IF(R491="OVER",$J491,$K491)</f>
        <v>-273.41839273822757</v>
      </c>
      <c r="W491" s="2">
        <f>IF(S491="OVER",$J491,$K491)</f>
        <v>-273.41839273822757</v>
      </c>
      <c r="X491" s="2">
        <f>IF(T491="OVER",$J491,$K491)</f>
        <v>-273.41839273822757</v>
      </c>
      <c r="Y491" s="9">
        <f t="shared" si="64"/>
        <v>-1513.6461545888767</v>
      </c>
      <c r="Z491" s="9">
        <f t="shared" si="64"/>
        <v>9312.8550424215682</v>
      </c>
      <c r="AA491" s="9">
        <f t="shared" si="64"/>
        <v>26535.571129387234</v>
      </c>
      <c r="AB491" s="9">
        <f t="shared" si="64"/>
        <v>9288.007928580706</v>
      </c>
    </row>
    <row r="492" spans="1:28" x14ac:dyDescent="0.3">
      <c r="A492" s="1">
        <v>45127</v>
      </c>
      <c r="B492" s="2">
        <v>153.88999999999999</v>
      </c>
      <c r="C492" s="2">
        <v>452.18</v>
      </c>
      <c r="D492" s="9">
        <f>B492-B491</f>
        <v>-0.16000000000002501</v>
      </c>
      <c r="E492" s="9">
        <f>C492-C491</f>
        <v>-3.0199999999999818</v>
      </c>
      <c r="F492" s="3">
        <f>F$1/B492</f>
        <v>649.81480278120739</v>
      </c>
      <c r="G492" s="3">
        <f>F$1/C492</f>
        <v>221.15086912291565</v>
      </c>
      <c r="H492" s="2">
        <f>D492*F491</f>
        <v>-103.86238234341124</v>
      </c>
      <c r="I492" s="2">
        <f>E492*G491</f>
        <v>-663.44463971880089</v>
      </c>
      <c r="J492" s="2">
        <f>I492-H492</f>
        <v>-559.58225737538964</v>
      </c>
      <c r="K492" s="2">
        <f t="shared" si="60"/>
        <v>559.58225737538964</v>
      </c>
      <c r="L492" s="3">
        <f>C492/B492</f>
        <v>2.9383325752160636</v>
      </c>
      <c r="M492" s="3">
        <f t="shared" si="62"/>
        <v>2.9445369245161235</v>
      </c>
      <c r="N492" s="3">
        <f t="shared" si="66"/>
        <v>2.9560637805121361</v>
      </c>
      <c r="O492" s="3">
        <f t="shared" si="59"/>
        <v>2.9517249548270343</v>
      </c>
      <c r="P492" s="3">
        <f t="shared" si="61"/>
        <v>2.8060102732732486</v>
      </c>
      <c r="Q492" s="4" t="str">
        <f t="shared" si="65"/>
        <v>OVER</v>
      </c>
      <c r="R492" s="4" t="str">
        <f t="shared" si="65"/>
        <v>UNDER</v>
      </c>
      <c r="S492" s="4" t="str">
        <f t="shared" si="63"/>
        <v>UNDER</v>
      </c>
      <c r="T492" s="4" t="str">
        <f t="shared" si="63"/>
        <v>OVER</v>
      </c>
      <c r="U492" s="2">
        <f>IF(Q492="OVER",$J492,$K492)</f>
        <v>-559.58225737538964</v>
      </c>
      <c r="V492" s="2">
        <f>IF(R492="OVER",$J492,$K492)</f>
        <v>559.58225737538964</v>
      </c>
      <c r="W492" s="2">
        <f>IF(S492="OVER",$J492,$K492)</f>
        <v>559.58225737538964</v>
      </c>
      <c r="X492" s="2">
        <f>IF(T492="OVER",$J492,$K492)</f>
        <v>-559.58225737538964</v>
      </c>
      <c r="Y492" s="9">
        <f t="shared" si="64"/>
        <v>-2073.2284119642663</v>
      </c>
      <c r="Z492" s="9">
        <f t="shared" si="64"/>
        <v>9872.4372997969585</v>
      </c>
      <c r="AA492" s="9">
        <f t="shared" si="64"/>
        <v>27095.153386762624</v>
      </c>
      <c r="AB492" s="9">
        <f t="shared" si="64"/>
        <v>8728.4256712053157</v>
      </c>
    </row>
    <row r="493" spans="1:28" x14ac:dyDescent="0.3">
      <c r="A493" s="1">
        <v>45128</v>
      </c>
      <c r="B493" s="2">
        <v>154.11000000000001</v>
      </c>
      <c r="C493" s="2">
        <v>452.18</v>
      </c>
      <c r="D493" s="9">
        <f>B493-B492</f>
        <v>0.22000000000002728</v>
      </c>
      <c r="E493" s="9">
        <f>C493-C492</f>
        <v>0</v>
      </c>
      <c r="F493" s="3">
        <f>F$1/B493</f>
        <v>648.88715852313283</v>
      </c>
      <c r="G493" s="3">
        <f>F$1/C493</f>
        <v>221.15086912291565</v>
      </c>
      <c r="H493" s="2">
        <f>D493*F492</f>
        <v>142.95925661188335</v>
      </c>
      <c r="I493" s="2">
        <f>E493*G492</f>
        <v>0</v>
      </c>
      <c r="J493" s="2">
        <f>I493-H493</f>
        <v>-142.95925661188335</v>
      </c>
      <c r="K493" s="2">
        <f t="shared" si="60"/>
        <v>142.95925661188335</v>
      </c>
      <c r="L493" s="3">
        <f>C493/B493</f>
        <v>2.9341379534099019</v>
      </c>
      <c r="M493" s="3">
        <f t="shared" si="62"/>
        <v>2.9426706229004749</v>
      </c>
      <c r="N493" s="3">
        <f t="shared" si="66"/>
        <v>2.9533116629117964</v>
      </c>
      <c r="O493" s="3">
        <f t="shared" si="59"/>
        <v>2.9526279051213287</v>
      </c>
      <c r="P493" s="3">
        <f t="shared" si="61"/>
        <v>2.8066700328255161</v>
      </c>
      <c r="Q493" s="4" t="str">
        <f t="shared" si="65"/>
        <v>UNDER</v>
      </c>
      <c r="R493" s="4" t="str">
        <f t="shared" si="65"/>
        <v>UNDER</v>
      </c>
      <c r="S493" s="4" t="str">
        <f t="shared" si="63"/>
        <v>UNDER</v>
      </c>
      <c r="T493" s="4" t="str">
        <f t="shared" si="63"/>
        <v>OVER</v>
      </c>
      <c r="U493" s="2">
        <f>IF(Q493="OVER",$J493,$K493)</f>
        <v>142.95925661188335</v>
      </c>
      <c r="V493" s="2">
        <f>IF(R493="OVER",$J493,$K493)</f>
        <v>142.95925661188335</v>
      </c>
      <c r="W493" s="2">
        <f>IF(S493="OVER",$J493,$K493)</f>
        <v>142.95925661188335</v>
      </c>
      <c r="X493" s="2">
        <f>IF(T493="OVER",$J493,$K493)</f>
        <v>-142.95925661188335</v>
      </c>
      <c r="Y493" s="9">
        <f t="shared" si="64"/>
        <v>-1930.269155352383</v>
      </c>
      <c r="Z493" s="9">
        <f t="shared" si="64"/>
        <v>10015.396556408841</v>
      </c>
      <c r="AA493" s="9">
        <f t="shared" si="64"/>
        <v>27238.112643374508</v>
      </c>
      <c r="AB493" s="9">
        <f t="shared" si="64"/>
        <v>8585.466414593433</v>
      </c>
    </row>
    <row r="494" spans="1:28" x14ac:dyDescent="0.3">
      <c r="A494" s="1">
        <v>45131</v>
      </c>
      <c r="B494" s="2">
        <v>154.54</v>
      </c>
      <c r="C494" s="2">
        <v>454.2</v>
      </c>
      <c r="D494" s="9">
        <f>B494-B493</f>
        <v>0.4299999999999784</v>
      </c>
      <c r="E494" s="9">
        <f>C494-C493</f>
        <v>2.0199999999999818</v>
      </c>
      <c r="F494" s="3">
        <f>F$1/B494</f>
        <v>647.08166170570735</v>
      </c>
      <c r="G494" s="3">
        <f>F$1/C494</f>
        <v>220.16732716864817</v>
      </c>
      <c r="H494" s="2">
        <f>D494*F493</f>
        <v>279.02147816493311</v>
      </c>
      <c r="I494" s="2">
        <f>E494*G493</f>
        <v>446.72475562828561</v>
      </c>
      <c r="J494" s="2">
        <f>I494-H494</f>
        <v>167.70327746335249</v>
      </c>
      <c r="K494" s="2">
        <f t="shared" si="60"/>
        <v>-167.70327746335249</v>
      </c>
      <c r="L494" s="3">
        <f>C494/B494</f>
        <v>2.9390449074673226</v>
      </c>
      <c r="M494" s="3">
        <f t="shared" si="62"/>
        <v>2.9431750469138072</v>
      </c>
      <c r="N494" s="3">
        <f t="shared" si="66"/>
        <v>2.950643821250555</v>
      </c>
      <c r="O494" s="3">
        <f t="shared" si="59"/>
        <v>2.9533508648653877</v>
      </c>
      <c r="P494" s="3">
        <f t="shared" si="61"/>
        <v>2.8074015363638858</v>
      </c>
      <c r="Q494" s="4" t="str">
        <f t="shared" si="65"/>
        <v>UNDER</v>
      </c>
      <c r="R494" s="4" t="str">
        <f t="shared" si="65"/>
        <v>UNDER</v>
      </c>
      <c r="S494" s="4" t="str">
        <f t="shared" si="63"/>
        <v>UNDER</v>
      </c>
      <c r="T494" s="4" t="str">
        <f t="shared" si="63"/>
        <v>OVER</v>
      </c>
      <c r="U494" s="2">
        <f>IF(Q494="OVER",$J494,$K494)</f>
        <v>-167.70327746335249</v>
      </c>
      <c r="V494" s="2">
        <f>IF(R494="OVER",$J494,$K494)</f>
        <v>-167.70327746335249</v>
      </c>
      <c r="W494" s="2">
        <f>IF(S494="OVER",$J494,$K494)</f>
        <v>-167.70327746335249</v>
      </c>
      <c r="X494" s="2">
        <f>IF(T494="OVER",$J494,$K494)</f>
        <v>167.70327746335249</v>
      </c>
      <c r="Y494" s="9">
        <f t="shared" si="64"/>
        <v>-2097.9724328157354</v>
      </c>
      <c r="Z494" s="9">
        <f t="shared" si="64"/>
        <v>9847.6932789454895</v>
      </c>
      <c r="AA494" s="9">
        <f t="shared" si="64"/>
        <v>27070.409365911157</v>
      </c>
      <c r="AB494" s="9">
        <f t="shared" si="64"/>
        <v>8753.1696920567847</v>
      </c>
    </row>
    <row r="495" spans="1:28" x14ac:dyDescent="0.3">
      <c r="A495" s="1">
        <v>45132</v>
      </c>
      <c r="B495" s="2">
        <v>154.65</v>
      </c>
      <c r="C495" s="2">
        <v>455.44</v>
      </c>
      <c r="D495" s="9">
        <f>B495-B494</f>
        <v>0.11000000000001364</v>
      </c>
      <c r="E495" s="9">
        <f>C495-C494</f>
        <v>1.2400000000000091</v>
      </c>
      <c r="F495" s="3">
        <f>F$1/B495</f>
        <v>646.62140316844489</v>
      </c>
      <c r="G495" s="3">
        <f>F$1/C495</f>
        <v>219.56789039170911</v>
      </c>
      <c r="H495" s="2">
        <f>D495*F494</f>
        <v>71.178982787636642</v>
      </c>
      <c r="I495" s="2">
        <f>E495*G494</f>
        <v>273.00748568912576</v>
      </c>
      <c r="J495" s="2">
        <f>I495-H495</f>
        <v>201.82850290148912</v>
      </c>
      <c r="K495" s="2">
        <f t="shared" si="60"/>
        <v>-201.82850290148912</v>
      </c>
      <c r="L495" s="3">
        <f>C495/B495</f>
        <v>2.9449725185903652</v>
      </c>
      <c r="M495" s="3">
        <f t="shared" si="62"/>
        <v>2.9456965827902648</v>
      </c>
      <c r="N495" s="3">
        <f t="shared" si="66"/>
        <v>2.9497839679490405</v>
      </c>
      <c r="O495" s="3">
        <f t="shared" si="59"/>
        <v>2.9540028415604227</v>
      </c>
      <c r="P495" s="3">
        <f t="shared" si="61"/>
        <v>2.8081404186883119</v>
      </c>
      <c r="Q495" s="4" t="str">
        <f t="shared" si="65"/>
        <v>UNDER</v>
      </c>
      <c r="R495" s="4" t="str">
        <f t="shared" si="65"/>
        <v>UNDER</v>
      </c>
      <c r="S495" s="4" t="str">
        <f t="shared" si="63"/>
        <v>UNDER</v>
      </c>
      <c r="T495" s="4" t="str">
        <f t="shared" si="63"/>
        <v>OVER</v>
      </c>
      <c r="U495" s="2">
        <f>IF(Q495="OVER",$J495,$K495)</f>
        <v>-201.82850290148912</v>
      </c>
      <c r="V495" s="2">
        <f>IF(R495="OVER",$J495,$K495)</f>
        <v>-201.82850290148912</v>
      </c>
      <c r="W495" s="2">
        <f>IF(S495="OVER",$J495,$K495)</f>
        <v>-201.82850290148912</v>
      </c>
      <c r="X495" s="2">
        <f>IF(T495="OVER",$J495,$K495)</f>
        <v>201.82850290148912</v>
      </c>
      <c r="Y495" s="9">
        <f t="shared" si="64"/>
        <v>-2299.8009357172245</v>
      </c>
      <c r="Z495" s="9">
        <f t="shared" si="64"/>
        <v>9645.8647760439999</v>
      </c>
      <c r="AA495" s="9">
        <f t="shared" si="64"/>
        <v>26868.580863009669</v>
      </c>
      <c r="AB495" s="9">
        <f t="shared" si="64"/>
        <v>8954.9981949582743</v>
      </c>
    </row>
    <row r="496" spans="1:28" x14ac:dyDescent="0.3">
      <c r="A496" s="1">
        <v>45133</v>
      </c>
      <c r="B496" s="2">
        <v>155</v>
      </c>
      <c r="C496" s="2">
        <v>455.51</v>
      </c>
      <c r="D496" s="9">
        <f>B496-B495</f>
        <v>0.34999999999999432</v>
      </c>
      <c r="E496" s="9">
        <f>C496-C495</f>
        <v>6.9999999999993179E-2</v>
      </c>
      <c r="F496" s="3">
        <f>F$1/B496</f>
        <v>645.16129032258061</v>
      </c>
      <c r="G496" s="3">
        <f>F$1/C496</f>
        <v>219.53414853680491</v>
      </c>
      <c r="H496" s="2">
        <f>D496*F495</f>
        <v>226.31749110895203</v>
      </c>
      <c r="I496" s="2">
        <f>E496*G495</f>
        <v>15.369752327418141</v>
      </c>
      <c r="J496" s="2">
        <f>I496-H496</f>
        <v>-210.94773878153387</v>
      </c>
      <c r="K496" s="2">
        <f t="shared" si="60"/>
        <v>210.94773878153387</v>
      </c>
      <c r="L496" s="3">
        <f>C496/B496</f>
        <v>2.9387741935483871</v>
      </c>
      <c r="M496" s="3">
        <f t="shared" si="62"/>
        <v>2.9466023783931328</v>
      </c>
      <c r="N496" s="3">
        <f t="shared" si="66"/>
        <v>2.9487982389097804</v>
      </c>
      <c r="O496" s="3">
        <f t="shared" si="59"/>
        <v>2.9546112819039747</v>
      </c>
      <c r="P496" s="3">
        <f t="shared" si="61"/>
        <v>2.8088368401023818</v>
      </c>
      <c r="Q496" s="4" t="str">
        <f t="shared" si="65"/>
        <v>UNDER</v>
      </c>
      <c r="R496" s="4" t="str">
        <f t="shared" si="65"/>
        <v>UNDER</v>
      </c>
      <c r="S496" s="4" t="str">
        <f t="shared" si="63"/>
        <v>UNDER</v>
      </c>
      <c r="T496" s="4" t="str">
        <f t="shared" si="63"/>
        <v>OVER</v>
      </c>
      <c r="U496" s="2">
        <f>IF(Q496="OVER",$J496,$K496)</f>
        <v>210.94773878153387</v>
      </c>
      <c r="V496" s="2">
        <f>IF(R496="OVER",$J496,$K496)</f>
        <v>210.94773878153387</v>
      </c>
      <c r="W496" s="2">
        <f>IF(S496="OVER",$J496,$K496)</f>
        <v>210.94773878153387</v>
      </c>
      <c r="X496" s="2">
        <f>IF(T496="OVER",$J496,$K496)</f>
        <v>-210.94773878153387</v>
      </c>
      <c r="Y496" s="9">
        <f t="shared" si="64"/>
        <v>-2088.8531969356909</v>
      </c>
      <c r="Z496" s="9">
        <f t="shared" si="64"/>
        <v>9856.8125148255331</v>
      </c>
      <c r="AA496" s="9">
        <f t="shared" si="64"/>
        <v>27079.528601791204</v>
      </c>
      <c r="AB496" s="9">
        <f t="shared" si="64"/>
        <v>8744.0504561767411</v>
      </c>
    </row>
    <row r="497" spans="1:28" x14ac:dyDescent="0.3">
      <c r="A497" s="1">
        <v>45134</v>
      </c>
      <c r="B497" s="2">
        <v>153.63999999999999</v>
      </c>
      <c r="C497" s="2">
        <v>452.49</v>
      </c>
      <c r="D497" s="9">
        <f>B497-B496</f>
        <v>-1.3600000000000136</v>
      </c>
      <c r="E497" s="9">
        <f>C497-C496</f>
        <v>-3.0199999999999818</v>
      </c>
      <c r="F497" s="3">
        <f>F$1/B497</f>
        <v>650.87216870606619</v>
      </c>
      <c r="G497" s="3">
        <f>F$1/C497</f>
        <v>220.9993591018586</v>
      </c>
      <c r="H497" s="2">
        <f>D497*F496</f>
        <v>-877.41935483871839</v>
      </c>
      <c r="I497" s="2">
        <f>E497*G496</f>
        <v>-662.99312858114683</v>
      </c>
      <c r="J497" s="2">
        <f>I497-H497</f>
        <v>214.42622625757156</v>
      </c>
      <c r="K497" s="2">
        <f t="shared" si="60"/>
        <v>-214.42622625757156</v>
      </c>
      <c r="L497" s="3">
        <f>C497/B497</f>
        <v>2.9451314761780791</v>
      </c>
      <c r="M497" s="3">
        <f t="shared" si="62"/>
        <v>2.9472086222452503</v>
      </c>
      <c r="N497" s="3">
        <f t="shared" si="66"/>
        <v>2.9478043710825927</v>
      </c>
      <c r="O497" s="3">
        <f t="shared" si="59"/>
        <v>2.9554742824224776</v>
      </c>
      <c r="P497" s="3">
        <f t="shared" si="61"/>
        <v>2.8096251175370566</v>
      </c>
      <c r="Q497" s="4" t="str">
        <f t="shared" si="65"/>
        <v>UNDER</v>
      </c>
      <c r="R497" s="4" t="str">
        <f t="shared" si="65"/>
        <v>UNDER</v>
      </c>
      <c r="S497" s="4" t="str">
        <f t="shared" si="63"/>
        <v>UNDER</v>
      </c>
      <c r="T497" s="4" t="str">
        <f t="shared" si="63"/>
        <v>OVER</v>
      </c>
      <c r="U497" s="2">
        <f>IF(Q497="OVER",$J497,$K497)</f>
        <v>-214.42622625757156</v>
      </c>
      <c r="V497" s="2">
        <f>IF(R497="OVER",$J497,$K497)</f>
        <v>-214.42622625757156</v>
      </c>
      <c r="W497" s="2">
        <f>IF(S497="OVER",$J497,$K497)</f>
        <v>-214.42622625757156</v>
      </c>
      <c r="X497" s="2">
        <f>IF(T497="OVER",$J497,$K497)</f>
        <v>214.42622625757156</v>
      </c>
      <c r="Y497" s="9">
        <f t="shared" si="64"/>
        <v>-2303.2794231932626</v>
      </c>
      <c r="Z497" s="9">
        <f t="shared" si="64"/>
        <v>9642.3862885679609</v>
      </c>
      <c r="AA497" s="9">
        <f t="shared" si="64"/>
        <v>26865.102375533632</v>
      </c>
      <c r="AB497" s="9">
        <f t="shared" si="64"/>
        <v>8958.4766824343133</v>
      </c>
    </row>
    <row r="498" spans="1:28" x14ac:dyDescent="0.3">
      <c r="A498" s="1">
        <v>45135</v>
      </c>
      <c r="B498" s="2">
        <v>154.4</v>
      </c>
      <c r="C498" s="2">
        <v>456.92</v>
      </c>
      <c r="D498" s="9">
        <f>B498-B497</f>
        <v>0.76000000000001933</v>
      </c>
      <c r="E498" s="9">
        <f>C498-C497</f>
        <v>4.4300000000000068</v>
      </c>
      <c r="F498" s="3">
        <f>F$1/B498</f>
        <v>647.66839378238342</v>
      </c>
      <c r="G498" s="3">
        <f>F$1/C498</f>
        <v>218.85669263766084</v>
      </c>
      <c r="H498" s="2">
        <f>D498*F497</f>
        <v>494.66284821662288</v>
      </c>
      <c r="I498" s="2">
        <f>E498*G497</f>
        <v>979.02716082123516</v>
      </c>
      <c r="J498" s="2">
        <f>I498-H498</f>
        <v>484.36431260461228</v>
      </c>
      <c r="K498" s="2">
        <f t="shared" si="60"/>
        <v>-484.36431260461228</v>
      </c>
      <c r="L498" s="3">
        <f>C498/B498</f>
        <v>2.9593264248704663</v>
      </c>
      <c r="M498" s="3">
        <f t="shared" si="62"/>
        <v>2.9476789472260494</v>
      </c>
      <c r="N498" s="3">
        <f t="shared" si="66"/>
        <v>2.9480898455655149</v>
      </c>
      <c r="O498" s="3">
        <f t="shared" si="59"/>
        <v>2.9561831543023969</v>
      </c>
      <c r="P498" s="3">
        <f t="shared" si="61"/>
        <v>2.8104966316912692</v>
      </c>
      <c r="Q498" s="4" t="str">
        <f t="shared" si="65"/>
        <v>UNDER</v>
      </c>
      <c r="R498" s="4" t="str">
        <f t="shared" si="65"/>
        <v>UNDER</v>
      </c>
      <c r="S498" s="4" t="str">
        <f t="shared" si="63"/>
        <v>OVER</v>
      </c>
      <c r="T498" s="4" t="str">
        <f t="shared" si="63"/>
        <v>OVER</v>
      </c>
      <c r="U498" s="2">
        <f>IF(Q498="OVER",$J498,$K498)</f>
        <v>-484.36431260461228</v>
      </c>
      <c r="V498" s="2">
        <f>IF(R498="OVER",$J498,$K498)</f>
        <v>-484.36431260461228</v>
      </c>
      <c r="W498" s="2">
        <f>IF(S498="OVER",$J498,$K498)</f>
        <v>484.36431260461228</v>
      </c>
      <c r="X498" s="2">
        <f>IF(T498="OVER",$J498,$K498)</f>
        <v>484.36431260461228</v>
      </c>
      <c r="Y498" s="9">
        <f t="shared" si="64"/>
        <v>-2787.6437357978748</v>
      </c>
      <c r="Z498" s="9">
        <f t="shared" si="64"/>
        <v>9158.0219759633492</v>
      </c>
      <c r="AA498" s="9">
        <f t="shared" si="64"/>
        <v>27349.466688138244</v>
      </c>
      <c r="AB498" s="9">
        <f t="shared" si="64"/>
        <v>9442.840995038925</v>
      </c>
    </row>
    <row r="499" spans="1:28" x14ac:dyDescent="0.3">
      <c r="A499" s="1">
        <v>45138</v>
      </c>
      <c r="B499" s="2">
        <v>154.88</v>
      </c>
      <c r="C499" s="2">
        <v>457.79</v>
      </c>
      <c r="D499" s="9">
        <f>B499-B498</f>
        <v>0.47999999999998977</v>
      </c>
      <c r="E499" s="9">
        <f>C499-C498</f>
        <v>0.87000000000000455</v>
      </c>
      <c r="F499" s="3">
        <f>F$1/B499</f>
        <v>645.6611570247934</v>
      </c>
      <c r="G499" s="3">
        <f>F$1/C499</f>
        <v>218.44076978527272</v>
      </c>
      <c r="H499" s="2">
        <f>D499*F498</f>
        <v>310.88082901553742</v>
      </c>
      <c r="I499" s="2">
        <f>E499*G498</f>
        <v>190.40532259476592</v>
      </c>
      <c r="J499" s="2">
        <f>I499-H499</f>
        <v>-120.4755064207715</v>
      </c>
      <c r="K499" s="2">
        <f t="shared" si="60"/>
        <v>120.4755064207715</v>
      </c>
      <c r="L499" s="3">
        <f>C499/B499</f>
        <v>2.955772210743802</v>
      </c>
      <c r="M499" s="3">
        <f t="shared" si="62"/>
        <v>2.947332308766462</v>
      </c>
      <c r="N499" s="3">
        <f t="shared" si="66"/>
        <v>2.9477629789575563</v>
      </c>
      <c r="O499" s="3">
        <f t="shared" si="59"/>
        <v>2.9568525432002195</v>
      </c>
      <c r="P499" s="3">
        <f t="shared" si="61"/>
        <v>2.8113761998706388</v>
      </c>
      <c r="Q499" s="4" t="str">
        <f t="shared" si="65"/>
        <v>OVER</v>
      </c>
      <c r="R499" s="4" t="str">
        <f t="shared" si="65"/>
        <v>OVER</v>
      </c>
      <c r="S499" s="4" t="str">
        <f t="shared" si="63"/>
        <v>UNDER</v>
      </c>
      <c r="T499" s="4" t="str">
        <f t="shared" si="63"/>
        <v>OVER</v>
      </c>
      <c r="U499" s="2">
        <f>IF(Q499="OVER",$J499,$K499)</f>
        <v>-120.4755064207715</v>
      </c>
      <c r="V499" s="2">
        <f>IF(R499="OVER",$J499,$K499)</f>
        <v>-120.4755064207715</v>
      </c>
      <c r="W499" s="2">
        <f>IF(S499="OVER",$J499,$K499)</f>
        <v>120.4755064207715</v>
      </c>
      <c r="X499" s="2">
        <f>IF(T499="OVER",$J499,$K499)</f>
        <v>-120.4755064207715</v>
      </c>
      <c r="Y499" s="9">
        <f t="shared" si="64"/>
        <v>-2908.1192422186464</v>
      </c>
      <c r="Z499" s="9">
        <f t="shared" si="64"/>
        <v>9037.5464695425781</v>
      </c>
      <c r="AA499" s="9">
        <f t="shared" si="64"/>
        <v>27469.942194559015</v>
      </c>
      <c r="AB499" s="9">
        <f t="shared" si="64"/>
        <v>9322.3654886181539</v>
      </c>
    </row>
    <row r="500" spans="1:28" x14ac:dyDescent="0.3">
      <c r="A500" s="1">
        <v>45139</v>
      </c>
      <c r="B500" s="2">
        <v>154.25</v>
      </c>
      <c r="C500" s="2">
        <v>456.48</v>
      </c>
      <c r="D500" s="9">
        <f>B500-B499</f>
        <v>-0.62999999999999545</v>
      </c>
      <c r="E500" s="9">
        <f>C500-C499</f>
        <v>-1.3100000000000023</v>
      </c>
      <c r="F500" s="3">
        <f>F$1/B500</f>
        <v>648.29821717990274</v>
      </c>
      <c r="G500" s="3">
        <f>F$1/C500</f>
        <v>219.06764808973011</v>
      </c>
      <c r="H500" s="2">
        <f>D500*F499</f>
        <v>-406.76652892561691</v>
      </c>
      <c r="I500" s="2">
        <f>E500*G499</f>
        <v>-286.15740841870775</v>
      </c>
      <c r="J500" s="2">
        <f>I500-H500</f>
        <v>120.60912050690916</v>
      </c>
      <c r="K500" s="2">
        <f t="shared" si="60"/>
        <v>-120.60912050690916</v>
      </c>
      <c r="L500" s="3">
        <f>C500/B500</f>
        <v>2.9593517017828201</v>
      </c>
      <c r="M500" s="3">
        <f t="shared" si="62"/>
        <v>2.9469728739476793</v>
      </c>
      <c r="N500" s="3">
        <f t="shared" si="66"/>
        <v>2.9478104253892741</v>
      </c>
      <c r="O500" s="3">
        <f t="shared" si="59"/>
        <v>2.9575042519077557</v>
      </c>
      <c r="P500" s="3">
        <f t="shared" si="61"/>
        <v>2.812247009309095</v>
      </c>
      <c r="Q500" s="4" t="str">
        <f t="shared" si="65"/>
        <v>OVER</v>
      </c>
      <c r="R500" s="4" t="str">
        <f t="shared" si="65"/>
        <v>OVER</v>
      </c>
      <c r="S500" s="4" t="str">
        <f t="shared" si="63"/>
        <v>OVER</v>
      </c>
      <c r="T500" s="4" t="str">
        <f t="shared" si="63"/>
        <v>OVER</v>
      </c>
      <c r="U500" s="2">
        <f>IF(Q500="OVER",$J500,$K500)</f>
        <v>120.60912050690916</v>
      </c>
      <c r="V500" s="2">
        <f>IF(R500="OVER",$J500,$K500)</f>
        <v>120.60912050690916</v>
      </c>
      <c r="W500" s="2">
        <f>IF(S500="OVER",$J500,$K500)</f>
        <v>120.60912050690916</v>
      </c>
      <c r="X500" s="2">
        <f>IF(T500="OVER",$J500,$K500)</f>
        <v>120.60912050690916</v>
      </c>
      <c r="Y500" s="9">
        <f t="shared" si="64"/>
        <v>-2787.5101217117372</v>
      </c>
      <c r="Z500" s="9">
        <f t="shared" si="64"/>
        <v>9158.1555900494877</v>
      </c>
      <c r="AA500" s="9">
        <f t="shared" si="64"/>
        <v>27590.551315065924</v>
      </c>
      <c r="AB500" s="9">
        <f t="shared" si="64"/>
        <v>9442.9746091250636</v>
      </c>
    </row>
    <row r="501" spans="1:28" x14ac:dyDescent="0.3">
      <c r="A501" s="1">
        <v>45140</v>
      </c>
      <c r="B501" s="2">
        <v>152.78</v>
      </c>
      <c r="C501" s="2">
        <v>450.13</v>
      </c>
      <c r="D501" s="9">
        <f>B501-B500</f>
        <v>-1.4699999999999989</v>
      </c>
      <c r="E501" s="9">
        <f>C501-C500</f>
        <v>-6.3500000000000227</v>
      </c>
      <c r="F501" s="3">
        <f>F$1/B501</f>
        <v>654.53593402277784</v>
      </c>
      <c r="G501" s="3">
        <f>F$1/C501</f>
        <v>222.15804323195522</v>
      </c>
      <c r="H501" s="2">
        <f>D501*F500</f>
        <v>-952.99837925445627</v>
      </c>
      <c r="I501" s="2">
        <f>E501*G500</f>
        <v>-1391.0795653697912</v>
      </c>
      <c r="J501" s="2">
        <f>I501-H501</f>
        <v>-438.08118611533496</v>
      </c>
      <c r="K501" s="2">
        <f t="shared" si="60"/>
        <v>438.08118611533496</v>
      </c>
      <c r="L501" s="3">
        <f>C501/B501</f>
        <v>2.94626259981673</v>
      </c>
      <c r="M501" s="3">
        <f t="shared" si="62"/>
        <v>2.9461106561623938</v>
      </c>
      <c r="N501" s="3">
        <f t="shared" si="66"/>
        <v>2.9467905567860151</v>
      </c>
      <c r="O501" s="3">
        <f t="shared" ref="O501:O564" si="67">AVERAGE(L452:L501)</f>
        <v>2.9578238760166475</v>
      </c>
      <c r="P501" s="3">
        <f t="shared" si="61"/>
        <v>2.813020656404289</v>
      </c>
      <c r="Q501" s="4" t="str">
        <f t="shared" si="65"/>
        <v>OVER</v>
      </c>
      <c r="R501" s="4" t="str">
        <f t="shared" si="65"/>
        <v>OVER</v>
      </c>
      <c r="S501" s="4" t="str">
        <f t="shared" si="63"/>
        <v>UNDER</v>
      </c>
      <c r="T501" s="4" t="str">
        <f t="shared" si="63"/>
        <v>OVER</v>
      </c>
      <c r="U501" s="2">
        <f>IF(Q501="OVER",$J501,$K501)</f>
        <v>-438.08118611533496</v>
      </c>
      <c r="V501" s="2">
        <f>IF(R501="OVER",$J501,$K501)</f>
        <v>-438.08118611533496</v>
      </c>
      <c r="W501" s="2">
        <f>IF(S501="OVER",$J501,$K501)</f>
        <v>438.08118611533496</v>
      </c>
      <c r="X501" s="2">
        <f>IF(T501="OVER",$J501,$K501)</f>
        <v>-438.08118611533496</v>
      </c>
      <c r="Y501" s="9">
        <f t="shared" si="64"/>
        <v>-3225.5913078270723</v>
      </c>
      <c r="Z501" s="9">
        <f t="shared" si="64"/>
        <v>8720.0744039341535</v>
      </c>
      <c r="AA501" s="9">
        <f t="shared" si="64"/>
        <v>28028.632501181259</v>
      </c>
      <c r="AB501" s="9">
        <f t="shared" si="64"/>
        <v>9004.8934230097293</v>
      </c>
    </row>
    <row r="502" spans="1:28" x14ac:dyDescent="0.3">
      <c r="A502" s="1">
        <v>45141</v>
      </c>
      <c r="B502" s="2">
        <v>152.02000000000001</v>
      </c>
      <c r="C502" s="2">
        <v>448.84</v>
      </c>
      <c r="D502" s="9">
        <f>B502-B501</f>
        <v>-0.75999999999999091</v>
      </c>
      <c r="E502" s="9">
        <f>C502-C501</f>
        <v>-1.2900000000000205</v>
      </c>
      <c r="F502" s="3">
        <f>F$1/B502</f>
        <v>657.80818313379814</v>
      </c>
      <c r="G502" s="3">
        <f>F$1/C502</f>
        <v>222.7965421976651</v>
      </c>
      <c r="H502" s="2">
        <f>D502*F501</f>
        <v>-497.44730985730519</v>
      </c>
      <c r="I502" s="2">
        <f>E502*G501</f>
        <v>-286.58387576922678</v>
      </c>
      <c r="J502" s="2">
        <f>I502-H502</f>
        <v>210.86343408807841</v>
      </c>
      <c r="K502" s="2">
        <f t="shared" si="60"/>
        <v>-210.86343408807841</v>
      </c>
      <c r="L502" s="3">
        <f>C502/B502</f>
        <v>2.9525062491777394</v>
      </c>
      <c r="M502" s="3">
        <f t="shared" si="62"/>
        <v>2.9475280235585615</v>
      </c>
      <c r="N502" s="3">
        <f t="shared" si="66"/>
        <v>2.946032474037342</v>
      </c>
      <c r="O502" s="3">
        <f t="shared" si="67"/>
        <v>2.9583347222750138</v>
      </c>
      <c r="P502" s="3">
        <f t="shared" si="61"/>
        <v>2.8138350597250605</v>
      </c>
      <c r="Q502" s="4" t="str">
        <f t="shared" si="65"/>
        <v>OVER</v>
      </c>
      <c r="R502" s="4" t="str">
        <f t="shared" si="65"/>
        <v>UNDER</v>
      </c>
      <c r="S502" s="4" t="str">
        <f t="shared" si="63"/>
        <v>UNDER</v>
      </c>
      <c r="T502" s="4" t="str">
        <f t="shared" si="63"/>
        <v>OVER</v>
      </c>
      <c r="U502" s="2">
        <f>IF(Q502="OVER",$J502,$K502)</f>
        <v>210.86343408807841</v>
      </c>
      <c r="V502" s="2">
        <f>IF(R502="OVER",$J502,$K502)</f>
        <v>-210.86343408807841</v>
      </c>
      <c r="W502" s="2">
        <f>IF(S502="OVER",$J502,$K502)</f>
        <v>-210.86343408807841</v>
      </c>
      <c r="X502" s="2">
        <f>IF(T502="OVER",$J502,$K502)</f>
        <v>210.86343408807841</v>
      </c>
      <c r="Y502" s="9">
        <f t="shared" si="64"/>
        <v>-3014.7278737389938</v>
      </c>
      <c r="Z502" s="9">
        <f t="shared" si="64"/>
        <v>8509.2109698460754</v>
      </c>
      <c r="AA502" s="9">
        <f t="shared" si="64"/>
        <v>27817.769067093181</v>
      </c>
      <c r="AB502" s="9">
        <f t="shared" si="64"/>
        <v>9215.7568570978074</v>
      </c>
    </row>
    <row r="503" spans="1:28" x14ac:dyDescent="0.3">
      <c r="A503" s="1">
        <v>45142</v>
      </c>
      <c r="B503" s="2">
        <v>151.34</v>
      </c>
      <c r="C503" s="2">
        <v>446.81</v>
      </c>
      <c r="D503" s="9">
        <f>B503-B502</f>
        <v>-0.68000000000000682</v>
      </c>
      <c r="E503" s="9">
        <f>C503-C502</f>
        <v>-2.0299999999999727</v>
      </c>
      <c r="F503" s="3">
        <f>F$1/B503</f>
        <v>660.76384300251084</v>
      </c>
      <c r="G503" s="3">
        <f>F$1/C503</f>
        <v>223.80877778026453</v>
      </c>
      <c r="H503" s="2">
        <f>D503*F502</f>
        <v>-447.30956453098725</v>
      </c>
      <c r="I503" s="2">
        <f>E503*G502</f>
        <v>-452.27698066125407</v>
      </c>
      <c r="J503" s="2">
        <f>I503-H503</f>
        <v>-4.9674161302668267</v>
      </c>
      <c r="K503" s="2">
        <f t="shared" si="60"/>
        <v>4.9674161302668267</v>
      </c>
      <c r="L503" s="3">
        <f>C503/B503</f>
        <v>2.9523589269195187</v>
      </c>
      <c r="M503" s="3">
        <f t="shared" si="62"/>
        <v>2.9493501209095232</v>
      </c>
      <c r="N503" s="3">
        <f t="shared" si="66"/>
        <v>2.9460103719049986</v>
      </c>
      <c r="O503" s="3">
        <f t="shared" si="67"/>
        <v>2.9588739530917501</v>
      </c>
      <c r="P503" s="3">
        <f t="shared" si="61"/>
        <v>2.8145950221587266</v>
      </c>
      <c r="Q503" s="4" t="str">
        <f t="shared" si="65"/>
        <v>OVER</v>
      </c>
      <c r="R503" s="4" t="str">
        <f t="shared" si="65"/>
        <v>OVER</v>
      </c>
      <c r="S503" s="4" t="str">
        <f t="shared" si="63"/>
        <v>UNDER</v>
      </c>
      <c r="T503" s="4" t="str">
        <f t="shared" si="63"/>
        <v>OVER</v>
      </c>
      <c r="U503" s="2">
        <f>IF(Q503="OVER",$J503,$K503)</f>
        <v>-4.9674161302668267</v>
      </c>
      <c r="V503" s="2">
        <f>IF(R503="OVER",$J503,$K503)</f>
        <v>-4.9674161302668267</v>
      </c>
      <c r="W503" s="2">
        <f>IF(S503="OVER",$J503,$K503)</f>
        <v>4.9674161302668267</v>
      </c>
      <c r="X503" s="2">
        <f>IF(T503="OVER",$J503,$K503)</f>
        <v>-4.9674161302668267</v>
      </c>
      <c r="Y503" s="9">
        <f t="shared" si="64"/>
        <v>-3019.6952898692607</v>
      </c>
      <c r="Z503" s="9">
        <f t="shared" si="64"/>
        <v>8504.243553715809</v>
      </c>
      <c r="AA503" s="9">
        <f t="shared" si="64"/>
        <v>27822.736483223449</v>
      </c>
      <c r="AB503" s="9">
        <f t="shared" si="64"/>
        <v>9210.7894409675409</v>
      </c>
    </row>
    <row r="504" spans="1:28" x14ac:dyDescent="0.3">
      <c r="A504" s="1">
        <v>45145</v>
      </c>
      <c r="B504" s="2">
        <v>152.62</v>
      </c>
      <c r="C504" s="2">
        <v>450.71</v>
      </c>
      <c r="D504" s="9">
        <f>B504-B503</f>
        <v>1.2800000000000011</v>
      </c>
      <c r="E504" s="9">
        <f>C504-C503</f>
        <v>3.8999999999999773</v>
      </c>
      <c r="F504" s="3">
        <f>F$1/B504</f>
        <v>655.22212029878131</v>
      </c>
      <c r="G504" s="3">
        <f>F$1/C504</f>
        <v>221.87215726298507</v>
      </c>
      <c r="H504" s="2">
        <f>D504*F503</f>
        <v>845.77771904321457</v>
      </c>
      <c r="I504" s="2">
        <f>E504*G503</f>
        <v>872.85423334302664</v>
      </c>
      <c r="J504" s="2">
        <f>I504-H504</f>
        <v>27.076514299812061</v>
      </c>
      <c r="K504" s="2">
        <f t="shared" si="60"/>
        <v>-27.076514299812061</v>
      </c>
      <c r="L504" s="3">
        <f>C504/B504</f>
        <v>2.9531516183986368</v>
      </c>
      <c r="M504" s="3">
        <f t="shared" si="62"/>
        <v>2.9507607920026548</v>
      </c>
      <c r="N504" s="3">
        <f t="shared" si="66"/>
        <v>2.9469679194582303</v>
      </c>
      <c r="O504" s="3">
        <f t="shared" si="67"/>
        <v>2.9592140370988913</v>
      </c>
      <c r="P504" s="3">
        <f t="shared" si="61"/>
        <v>2.8154011774522543</v>
      </c>
      <c r="Q504" s="4" t="str">
        <f t="shared" si="65"/>
        <v>OVER</v>
      </c>
      <c r="R504" s="4" t="str">
        <f t="shared" si="65"/>
        <v>OVER</v>
      </c>
      <c r="S504" s="4" t="str">
        <f t="shared" si="63"/>
        <v>UNDER</v>
      </c>
      <c r="T504" s="4" t="str">
        <f t="shared" si="63"/>
        <v>OVER</v>
      </c>
      <c r="U504" s="2">
        <f>IF(Q504="OVER",$J504,$K504)</f>
        <v>27.076514299812061</v>
      </c>
      <c r="V504" s="2">
        <f>IF(R504="OVER",$J504,$K504)</f>
        <v>27.076514299812061</v>
      </c>
      <c r="W504" s="2">
        <f>IF(S504="OVER",$J504,$K504)</f>
        <v>-27.076514299812061</v>
      </c>
      <c r="X504" s="2">
        <f>IF(T504="OVER",$J504,$K504)</f>
        <v>27.076514299812061</v>
      </c>
      <c r="Y504" s="9">
        <f t="shared" si="64"/>
        <v>-2992.6187755694486</v>
      </c>
      <c r="Z504" s="9">
        <f t="shared" si="64"/>
        <v>8531.3200680156206</v>
      </c>
      <c r="AA504" s="9">
        <f t="shared" si="64"/>
        <v>27795.659968923635</v>
      </c>
      <c r="AB504" s="9">
        <f t="shared" si="64"/>
        <v>9237.8659552673525</v>
      </c>
    </row>
    <row r="505" spans="1:28" x14ac:dyDescent="0.3">
      <c r="A505" s="1">
        <v>45146</v>
      </c>
      <c r="B505" s="2">
        <v>151.86000000000001</v>
      </c>
      <c r="C505" s="2">
        <v>448.75</v>
      </c>
      <c r="D505" s="9">
        <f>B505-B504</f>
        <v>-0.75999999999999091</v>
      </c>
      <c r="E505" s="9">
        <f>C505-C504</f>
        <v>-1.9599999999999795</v>
      </c>
      <c r="F505" s="3">
        <f>F$1/B505</f>
        <v>658.50125115237711</v>
      </c>
      <c r="G505" s="3">
        <f>F$1/C505</f>
        <v>222.84122562674094</v>
      </c>
      <c r="H505" s="2">
        <f>D505*F504</f>
        <v>-497.96881142706781</v>
      </c>
      <c r="I505" s="2">
        <f>E505*G504</f>
        <v>-434.86942823544621</v>
      </c>
      <c r="J505" s="2">
        <f>I505-H505</f>
        <v>63.099383191621598</v>
      </c>
      <c r="K505" s="2">
        <f t="shared" si="60"/>
        <v>-63.099383191621598</v>
      </c>
      <c r="L505" s="3">
        <f>C505/B505</f>
        <v>2.9550243645462926</v>
      </c>
      <c r="M505" s="3">
        <f t="shared" si="62"/>
        <v>2.9517659765982471</v>
      </c>
      <c r="N505" s="3">
        <f t="shared" si="66"/>
        <v>2.9487312796942553</v>
      </c>
      <c r="O505" s="3">
        <f t="shared" si="67"/>
        <v>2.9590449417711784</v>
      </c>
      <c r="P505" s="3">
        <f t="shared" si="61"/>
        <v>2.8161499594455095</v>
      </c>
      <c r="Q505" s="4" t="str">
        <f t="shared" si="65"/>
        <v>OVER</v>
      </c>
      <c r="R505" s="4" t="str">
        <f t="shared" si="65"/>
        <v>OVER</v>
      </c>
      <c r="S505" s="4" t="str">
        <f t="shared" si="63"/>
        <v>UNDER</v>
      </c>
      <c r="T505" s="4" t="str">
        <f t="shared" si="63"/>
        <v>OVER</v>
      </c>
      <c r="U505" s="2">
        <f>IF(Q505="OVER",$J505,$K505)</f>
        <v>63.099383191621598</v>
      </c>
      <c r="V505" s="2">
        <f>IF(R505="OVER",$J505,$K505)</f>
        <v>63.099383191621598</v>
      </c>
      <c r="W505" s="2">
        <f>IF(S505="OVER",$J505,$K505)</f>
        <v>-63.099383191621598</v>
      </c>
      <c r="X505" s="2">
        <f>IF(T505="OVER",$J505,$K505)</f>
        <v>63.099383191621598</v>
      </c>
      <c r="Y505" s="9">
        <f t="shared" si="64"/>
        <v>-2929.519392377827</v>
      </c>
      <c r="Z505" s="9">
        <f t="shared" si="64"/>
        <v>8594.4194512072427</v>
      </c>
      <c r="AA505" s="9">
        <f t="shared" si="64"/>
        <v>27732.560585732015</v>
      </c>
      <c r="AB505" s="9">
        <f t="shared" si="64"/>
        <v>9300.9653384589747</v>
      </c>
    </row>
    <row r="506" spans="1:28" x14ac:dyDescent="0.3">
      <c r="A506" s="1">
        <v>45147</v>
      </c>
      <c r="B506" s="2">
        <v>151.41999999999999</v>
      </c>
      <c r="C506" s="2">
        <v>445.75</v>
      </c>
      <c r="D506" s="9">
        <f>B506-B505</f>
        <v>-0.44000000000002615</v>
      </c>
      <c r="E506" s="9">
        <f>C506-C505</f>
        <v>-3</v>
      </c>
      <c r="F506" s="3">
        <f>F$1/B506</f>
        <v>660.41474045700704</v>
      </c>
      <c r="G506" s="3">
        <f>F$1/C506</f>
        <v>224.34099831744251</v>
      </c>
      <c r="H506" s="2">
        <f>D506*F505</f>
        <v>-289.74055050706312</v>
      </c>
      <c r="I506" s="2">
        <f>E506*G505</f>
        <v>-668.52367688022287</v>
      </c>
      <c r="J506" s="2">
        <f>I506-H506</f>
        <v>-378.78312637315975</v>
      </c>
      <c r="K506" s="2">
        <f t="shared" si="60"/>
        <v>378.78312637315975</v>
      </c>
      <c r="L506" s="3">
        <f>C506/B506</f>
        <v>2.9437987055871089</v>
      </c>
      <c r="M506" s="3">
        <f t="shared" si="62"/>
        <v>2.9522684278021196</v>
      </c>
      <c r="N506" s="3">
        <f t="shared" si="66"/>
        <v>2.9494354030976253</v>
      </c>
      <c r="O506" s="3">
        <f t="shared" si="67"/>
        <v>2.9583816147276298</v>
      </c>
      <c r="P506" s="3">
        <f t="shared" si="61"/>
        <v>2.8168039029349541</v>
      </c>
      <c r="Q506" s="4" t="str">
        <f t="shared" si="65"/>
        <v>OVER</v>
      </c>
      <c r="R506" s="4" t="str">
        <f t="shared" si="65"/>
        <v>OVER</v>
      </c>
      <c r="S506" s="4" t="str">
        <f t="shared" si="63"/>
        <v>UNDER</v>
      </c>
      <c r="T506" s="4" t="str">
        <f t="shared" si="63"/>
        <v>OVER</v>
      </c>
      <c r="U506" s="2">
        <f>IF(Q506="OVER",$J506,$K506)</f>
        <v>-378.78312637315975</v>
      </c>
      <c r="V506" s="2">
        <f>IF(R506="OVER",$J506,$K506)</f>
        <v>-378.78312637315975</v>
      </c>
      <c r="W506" s="2">
        <f>IF(S506="OVER",$J506,$K506)</f>
        <v>378.78312637315975</v>
      </c>
      <c r="X506" s="2">
        <f>IF(T506="OVER",$J506,$K506)</f>
        <v>-378.78312637315975</v>
      </c>
      <c r="Y506" s="9">
        <f t="shared" si="64"/>
        <v>-3308.3025187509866</v>
      </c>
      <c r="Z506" s="9">
        <f t="shared" si="64"/>
        <v>8215.6363248340822</v>
      </c>
      <c r="AA506" s="9">
        <f t="shared" si="64"/>
        <v>28111.343712105176</v>
      </c>
      <c r="AB506" s="9">
        <f t="shared" si="64"/>
        <v>8922.1822120858142</v>
      </c>
    </row>
    <row r="507" spans="1:28" x14ac:dyDescent="0.3">
      <c r="A507" s="1">
        <v>45148</v>
      </c>
      <c r="B507" s="2">
        <v>151.24</v>
      </c>
      <c r="C507" s="2">
        <v>445.91</v>
      </c>
      <c r="D507" s="9">
        <f>B507-B506</f>
        <v>-0.1799999999999784</v>
      </c>
      <c r="E507" s="9">
        <f>C507-C506</f>
        <v>0.16000000000002501</v>
      </c>
      <c r="F507" s="3">
        <f>F$1/B507</f>
        <v>661.20074054482939</v>
      </c>
      <c r="G507" s="3">
        <f>F$1/C507</f>
        <v>224.26050099795921</v>
      </c>
      <c r="H507" s="2">
        <f>D507*F506</f>
        <v>-118.874653282247</v>
      </c>
      <c r="I507" s="2">
        <f>E507*G506</f>
        <v>35.894559730796416</v>
      </c>
      <c r="J507" s="2">
        <f>I507-H507</f>
        <v>154.76921301304341</v>
      </c>
      <c r="K507" s="2">
        <f t="shared" si="60"/>
        <v>-154.76921301304341</v>
      </c>
      <c r="L507" s="3">
        <f>C507/B507</f>
        <v>2.9483602221634486</v>
      </c>
      <c r="M507" s="3">
        <f t="shared" si="62"/>
        <v>2.9525913024006565</v>
      </c>
      <c r="N507" s="3">
        <f t="shared" si="66"/>
        <v>2.9498999623229532</v>
      </c>
      <c r="O507" s="3">
        <f t="shared" si="67"/>
        <v>2.9576811111334096</v>
      </c>
      <c r="P507" s="3">
        <f t="shared" si="61"/>
        <v>2.8174608842971454</v>
      </c>
      <c r="Q507" s="4" t="str">
        <f t="shared" si="65"/>
        <v>UNDER</v>
      </c>
      <c r="R507" s="4" t="str">
        <f t="shared" si="65"/>
        <v>UNDER</v>
      </c>
      <c r="S507" s="4" t="str">
        <f t="shared" si="63"/>
        <v>UNDER</v>
      </c>
      <c r="T507" s="4" t="str">
        <f t="shared" si="63"/>
        <v>OVER</v>
      </c>
      <c r="U507" s="2">
        <f>IF(Q507="OVER",$J507,$K507)</f>
        <v>-154.76921301304341</v>
      </c>
      <c r="V507" s="2">
        <f>IF(R507="OVER",$J507,$K507)</f>
        <v>-154.76921301304341</v>
      </c>
      <c r="W507" s="2">
        <f>IF(S507="OVER",$J507,$K507)</f>
        <v>-154.76921301304341</v>
      </c>
      <c r="X507" s="2">
        <f>IF(T507="OVER",$J507,$K507)</f>
        <v>154.76921301304341</v>
      </c>
      <c r="Y507" s="9">
        <f t="shared" si="64"/>
        <v>-3463.0717317640301</v>
      </c>
      <c r="Z507" s="9">
        <f t="shared" si="64"/>
        <v>8060.8671118210386</v>
      </c>
      <c r="AA507" s="9">
        <f t="shared" si="64"/>
        <v>27956.574499092134</v>
      </c>
      <c r="AB507" s="9">
        <f t="shared" si="64"/>
        <v>9076.9514250988577</v>
      </c>
    </row>
    <row r="508" spans="1:28" x14ac:dyDescent="0.3">
      <c r="A508" s="1">
        <v>45149</v>
      </c>
      <c r="B508" s="2">
        <v>151.27000000000001</v>
      </c>
      <c r="C508" s="2">
        <v>445.65</v>
      </c>
      <c r="D508" s="9">
        <f>B508-B507</f>
        <v>3.0000000000001137E-2</v>
      </c>
      <c r="E508" s="9">
        <f>C508-C507</f>
        <v>-0.26000000000004775</v>
      </c>
      <c r="F508" s="3">
        <f>F$1/B508</f>
        <v>661.06961062999926</v>
      </c>
      <c r="G508" s="3">
        <f>F$1/C508</f>
        <v>224.39133849433412</v>
      </c>
      <c r="H508" s="2">
        <f>D508*F507</f>
        <v>19.836022216345633</v>
      </c>
      <c r="I508" s="2">
        <f>E508*G507</f>
        <v>-58.307730259480103</v>
      </c>
      <c r="J508" s="2">
        <f>I508-H508</f>
        <v>-78.143752475825735</v>
      </c>
      <c r="K508" s="2">
        <f t="shared" si="60"/>
        <v>78.143752475825735</v>
      </c>
      <c r="L508" s="3">
        <f>C508/B508</f>
        <v>2.9460567197725918</v>
      </c>
      <c r="M508" s="3">
        <f t="shared" si="62"/>
        <v>2.9512643318908691</v>
      </c>
      <c r="N508" s="3">
        <f t="shared" si="66"/>
        <v>2.9494716395584586</v>
      </c>
      <c r="O508" s="3">
        <f t="shared" si="67"/>
        <v>2.9567426366183254</v>
      </c>
      <c r="P508" s="3">
        <f t="shared" si="61"/>
        <v>2.8180910562473294</v>
      </c>
      <c r="Q508" s="4" t="str">
        <f t="shared" si="65"/>
        <v>UNDER</v>
      </c>
      <c r="R508" s="4" t="str">
        <f t="shared" si="65"/>
        <v>UNDER</v>
      </c>
      <c r="S508" s="4" t="str">
        <f t="shared" si="63"/>
        <v>UNDER</v>
      </c>
      <c r="T508" s="4" t="str">
        <f t="shared" si="63"/>
        <v>OVER</v>
      </c>
      <c r="U508" s="2">
        <f>IF(Q508="OVER",$J508,$K508)</f>
        <v>78.143752475825735</v>
      </c>
      <c r="V508" s="2">
        <f>IF(R508="OVER",$J508,$K508)</f>
        <v>78.143752475825735</v>
      </c>
      <c r="W508" s="2">
        <f>IF(S508="OVER",$J508,$K508)</f>
        <v>78.143752475825735</v>
      </c>
      <c r="X508" s="2">
        <f>IF(T508="OVER",$J508,$K508)</f>
        <v>-78.143752475825735</v>
      </c>
      <c r="Y508" s="9">
        <f t="shared" si="64"/>
        <v>-3384.9279792882044</v>
      </c>
      <c r="Z508" s="9">
        <f t="shared" si="64"/>
        <v>8139.0108642968644</v>
      </c>
      <c r="AA508" s="9">
        <f t="shared" si="64"/>
        <v>28034.71825156796</v>
      </c>
      <c r="AB508" s="9">
        <f t="shared" si="64"/>
        <v>8998.807672623032</v>
      </c>
    </row>
    <row r="509" spans="1:28" x14ac:dyDescent="0.3">
      <c r="A509" s="1">
        <v>45152</v>
      </c>
      <c r="B509" s="2">
        <v>151.24</v>
      </c>
      <c r="C509" s="2">
        <v>448.11</v>
      </c>
      <c r="D509" s="9">
        <f>B509-B508</f>
        <v>-3.0000000000001137E-2</v>
      </c>
      <c r="E509" s="9">
        <f>C509-C508</f>
        <v>2.4600000000000364</v>
      </c>
      <c r="F509" s="3">
        <f>F$1/B509</f>
        <v>661.20074054482939</v>
      </c>
      <c r="G509" s="3">
        <f>F$1/C509</f>
        <v>223.15949208899599</v>
      </c>
      <c r="H509" s="2">
        <f>D509*F508</f>
        <v>-19.83208831890073</v>
      </c>
      <c r="I509" s="2">
        <f>E509*G508</f>
        <v>552.00269269607008</v>
      </c>
      <c r="J509" s="2">
        <f>I509-H509</f>
        <v>571.83478101497076</v>
      </c>
      <c r="K509" s="2">
        <f t="shared" si="60"/>
        <v>-571.83478101497076</v>
      </c>
      <c r="L509" s="3">
        <f>C509/B509</f>
        <v>2.962906638455435</v>
      </c>
      <c r="M509" s="3">
        <f t="shared" si="62"/>
        <v>2.9519777746620326</v>
      </c>
      <c r="N509" s="3">
        <f t="shared" si="66"/>
        <v>2.9496550417142466</v>
      </c>
      <c r="O509" s="3">
        <f t="shared" si="67"/>
        <v>2.9560235192807935</v>
      </c>
      <c r="P509" s="3">
        <f t="shared" si="61"/>
        <v>2.8188502326879821</v>
      </c>
      <c r="Q509" s="4" t="str">
        <f t="shared" si="65"/>
        <v>UNDER</v>
      </c>
      <c r="R509" s="4" t="str">
        <f t="shared" si="65"/>
        <v>UNDER</v>
      </c>
      <c r="S509" s="4" t="str">
        <f t="shared" si="63"/>
        <v>OVER</v>
      </c>
      <c r="T509" s="4" t="str">
        <f t="shared" si="63"/>
        <v>OVER</v>
      </c>
      <c r="U509" s="2">
        <f>IF(Q509="OVER",$J509,$K509)</f>
        <v>-571.83478101497076</v>
      </c>
      <c r="V509" s="2">
        <f>IF(R509="OVER",$J509,$K509)</f>
        <v>-571.83478101497076</v>
      </c>
      <c r="W509" s="2">
        <f>IF(S509="OVER",$J509,$K509)</f>
        <v>571.83478101497076</v>
      </c>
      <c r="X509" s="2">
        <f>IF(T509="OVER",$J509,$K509)</f>
        <v>571.83478101497076</v>
      </c>
      <c r="Y509" s="9">
        <f t="shared" si="64"/>
        <v>-3956.7627603031751</v>
      </c>
      <c r="Z509" s="9">
        <f t="shared" si="64"/>
        <v>7567.1760832818936</v>
      </c>
      <c r="AA509" s="9">
        <f t="shared" si="64"/>
        <v>28606.553032582931</v>
      </c>
      <c r="AB509" s="9">
        <f t="shared" si="64"/>
        <v>9570.6424536380036</v>
      </c>
    </row>
    <row r="510" spans="1:28" x14ac:dyDescent="0.3">
      <c r="A510" s="1">
        <v>45153</v>
      </c>
      <c r="B510" s="2">
        <v>149.25</v>
      </c>
      <c r="C510" s="2">
        <v>442.89</v>
      </c>
      <c r="D510" s="9">
        <f>B510-B509</f>
        <v>-1.9900000000000091</v>
      </c>
      <c r="E510" s="9">
        <f>C510-C509</f>
        <v>-5.2200000000000273</v>
      </c>
      <c r="F510" s="3">
        <f>F$1/B510</f>
        <v>670.01675041876047</v>
      </c>
      <c r="G510" s="3">
        <f>F$1/C510</f>
        <v>225.78969947391002</v>
      </c>
      <c r="H510" s="2">
        <f>D510*F509</f>
        <v>-1315.7894736842165</v>
      </c>
      <c r="I510" s="2">
        <f>E510*G509</f>
        <v>-1164.8925487045651</v>
      </c>
      <c r="J510" s="2">
        <f>I510-H510</f>
        <v>150.89692497965143</v>
      </c>
      <c r="K510" s="2">
        <f t="shared" si="60"/>
        <v>-150.89692497965143</v>
      </c>
      <c r="L510" s="3">
        <f>C510/B510</f>
        <v>2.967437185929648</v>
      </c>
      <c r="M510" s="3">
        <f t="shared" si="62"/>
        <v>2.9527863230767153</v>
      </c>
      <c r="N510" s="3">
        <f t="shared" si="66"/>
        <v>2.9498795985121964</v>
      </c>
      <c r="O510" s="3">
        <f t="shared" si="67"/>
        <v>2.9558272828282321</v>
      </c>
      <c r="P510" s="3">
        <f t="shared" si="61"/>
        <v>2.8197654069558227</v>
      </c>
      <c r="Q510" s="4" t="str">
        <f t="shared" si="65"/>
        <v>OVER</v>
      </c>
      <c r="R510" s="4" t="str">
        <f t="shared" si="65"/>
        <v>OVER</v>
      </c>
      <c r="S510" s="4" t="str">
        <f t="shared" si="63"/>
        <v>OVER</v>
      </c>
      <c r="T510" s="4" t="str">
        <f t="shared" si="63"/>
        <v>OVER</v>
      </c>
      <c r="U510" s="2">
        <f>IF(Q510="OVER",$J510,$K510)</f>
        <v>150.89692497965143</v>
      </c>
      <c r="V510" s="2">
        <f>IF(R510="OVER",$J510,$K510)</f>
        <v>150.89692497965143</v>
      </c>
      <c r="W510" s="2">
        <f>IF(S510="OVER",$J510,$K510)</f>
        <v>150.89692497965143</v>
      </c>
      <c r="X510" s="2">
        <f>IF(T510="OVER",$J510,$K510)</f>
        <v>150.89692497965143</v>
      </c>
      <c r="Y510" s="9">
        <f t="shared" si="64"/>
        <v>-3805.8658353235237</v>
      </c>
      <c r="Z510" s="9">
        <f t="shared" si="64"/>
        <v>7718.0730082615446</v>
      </c>
      <c r="AA510" s="9">
        <f t="shared" si="64"/>
        <v>28757.449957562581</v>
      </c>
      <c r="AB510" s="9">
        <f t="shared" si="64"/>
        <v>9721.5393786176555</v>
      </c>
    </row>
    <row r="511" spans="1:28" x14ac:dyDescent="0.3">
      <c r="A511" s="1">
        <v>45154</v>
      </c>
      <c r="B511" s="2">
        <v>148.16</v>
      </c>
      <c r="C511" s="2">
        <v>439.64</v>
      </c>
      <c r="D511" s="9">
        <f>B511-B510</f>
        <v>-1.0900000000000034</v>
      </c>
      <c r="E511" s="9">
        <f>C511-C510</f>
        <v>-3.25</v>
      </c>
      <c r="F511" s="3">
        <f>F$1/B511</f>
        <v>674.94600431965443</v>
      </c>
      <c r="G511" s="3">
        <f>F$1/C511</f>
        <v>227.45882995177874</v>
      </c>
      <c r="H511" s="2">
        <f>D511*F510</f>
        <v>-730.31825795645125</v>
      </c>
      <c r="I511" s="2">
        <f>E511*G510</f>
        <v>-733.81652329020756</v>
      </c>
      <c r="J511" s="2">
        <f>I511-H511</f>
        <v>-3.4982653337563079</v>
      </c>
      <c r="K511" s="2">
        <f t="shared" si="60"/>
        <v>3.4982653337563079</v>
      </c>
      <c r="L511" s="3">
        <f>C511/B511</f>
        <v>2.9673326133909286</v>
      </c>
      <c r="M511" s="3">
        <f t="shared" si="62"/>
        <v>2.9548933244341353</v>
      </c>
      <c r="N511" s="3">
        <f t="shared" si="66"/>
        <v>2.9505019902982643</v>
      </c>
      <c r="O511" s="3">
        <f t="shared" si="67"/>
        <v>2.9555397546995135</v>
      </c>
      <c r="P511" s="3">
        <f t="shared" si="61"/>
        <v>2.8207675109315375</v>
      </c>
      <c r="Q511" s="4" t="str">
        <f t="shared" si="65"/>
        <v>OVER</v>
      </c>
      <c r="R511" s="4" t="str">
        <f t="shared" si="65"/>
        <v>OVER</v>
      </c>
      <c r="S511" s="4" t="str">
        <f t="shared" si="63"/>
        <v>OVER</v>
      </c>
      <c r="T511" s="4" t="str">
        <f t="shared" si="63"/>
        <v>OVER</v>
      </c>
      <c r="U511" s="2">
        <f>IF(Q511="OVER",$J511,$K511)</f>
        <v>-3.4982653337563079</v>
      </c>
      <c r="V511" s="2">
        <f>IF(R511="OVER",$J511,$K511)</f>
        <v>-3.4982653337563079</v>
      </c>
      <c r="W511" s="2">
        <f>IF(S511="OVER",$J511,$K511)</f>
        <v>-3.4982653337563079</v>
      </c>
      <c r="X511" s="2">
        <f>IF(T511="OVER",$J511,$K511)</f>
        <v>-3.4982653337563079</v>
      </c>
      <c r="Y511" s="9">
        <f t="shared" si="64"/>
        <v>-3809.3641006572798</v>
      </c>
      <c r="Z511" s="9">
        <f t="shared" si="64"/>
        <v>7714.5747429277881</v>
      </c>
      <c r="AA511" s="9">
        <f t="shared" si="64"/>
        <v>28753.951692228824</v>
      </c>
      <c r="AB511" s="9">
        <f t="shared" si="64"/>
        <v>9718.0411132838999</v>
      </c>
    </row>
    <row r="512" spans="1:28" x14ac:dyDescent="0.3">
      <c r="A512" s="1">
        <v>45155</v>
      </c>
      <c r="B512" s="2">
        <v>147.02000000000001</v>
      </c>
      <c r="C512" s="2">
        <v>436.29</v>
      </c>
      <c r="D512" s="9">
        <f>B512-B511</f>
        <v>-1.1399999999999864</v>
      </c>
      <c r="E512" s="9">
        <f>C512-C511</f>
        <v>-3.3499999999999659</v>
      </c>
      <c r="F512" s="3">
        <f>F$1/B512</f>
        <v>680.17956740579507</v>
      </c>
      <c r="G512" s="3">
        <f>F$1/C512</f>
        <v>229.20534506864698</v>
      </c>
      <c r="H512" s="2">
        <f>D512*F511</f>
        <v>-769.43844492439689</v>
      </c>
      <c r="I512" s="2">
        <f>E512*G511</f>
        <v>-761.98708033845105</v>
      </c>
      <c r="J512" s="2">
        <f>I512-H512</f>
        <v>7.4513645859458393</v>
      </c>
      <c r="K512" s="2">
        <f t="shared" si="60"/>
        <v>-7.4513645859458393</v>
      </c>
      <c r="L512" s="3">
        <f>C512/B512</f>
        <v>2.9675554346347437</v>
      </c>
      <c r="M512" s="3">
        <f t="shared" si="62"/>
        <v>2.9563982429798354</v>
      </c>
      <c r="N512" s="3">
        <f t="shared" si="66"/>
        <v>2.9519631332691985</v>
      </c>
      <c r="O512" s="3">
        <f t="shared" si="67"/>
        <v>2.9555288219249034</v>
      </c>
      <c r="P512" s="3">
        <f t="shared" si="61"/>
        <v>2.8217295569019716</v>
      </c>
      <c r="Q512" s="4" t="str">
        <f t="shared" si="65"/>
        <v>OVER</v>
      </c>
      <c r="R512" s="4" t="str">
        <f t="shared" si="65"/>
        <v>OVER</v>
      </c>
      <c r="S512" s="4" t="str">
        <f t="shared" si="63"/>
        <v>OVER</v>
      </c>
      <c r="T512" s="4" t="str">
        <f t="shared" si="63"/>
        <v>OVER</v>
      </c>
      <c r="U512" s="2">
        <f>IF(Q512="OVER",$J512,$K512)</f>
        <v>7.4513645859458393</v>
      </c>
      <c r="V512" s="2">
        <f>IF(R512="OVER",$J512,$K512)</f>
        <v>7.4513645859458393</v>
      </c>
      <c r="W512" s="2">
        <f>IF(S512="OVER",$J512,$K512)</f>
        <v>7.4513645859458393</v>
      </c>
      <c r="X512" s="2">
        <f>IF(T512="OVER",$J512,$K512)</f>
        <v>7.4513645859458393</v>
      </c>
      <c r="Y512" s="9">
        <f t="shared" si="64"/>
        <v>-3801.9127360713337</v>
      </c>
      <c r="Z512" s="9">
        <f t="shared" si="64"/>
        <v>7722.0261075137341</v>
      </c>
      <c r="AA512" s="9">
        <f t="shared" si="64"/>
        <v>28761.403056814768</v>
      </c>
      <c r="AB512" s="9">
        <f t="shared" si="64"/>
        <v>9725.492477869846</v>
      </c>
    </row>
    <row r="513" spans="1:28" x14ac:dyDescent="0.3">
      <c r="A513" s="1">
        <v>45156</v>
      </c>
      <c r="B513" s="2">
        <v>147.28</v>
      </c>
      <c r="C513" s="2">
        <v>436.5</v>
      </c>
      <c r="D513" s="9">
        <f>B513-B512</f>
        <v>0.25999999999999091</v>
      </c>
      <c r="E513" s="9">
        <f>C513-C512</f>
        <v>0.20999999999997954</v>
      </c>
      <c r="F513" s="3">
        <f>F$1/B513</f>
        <v>678.97881586094513</v>
      </c>
      <c r="G513" s="3">
        <f>F$1/C513</f>
        <v>229.09507445589921</v>
      </c>
      <c r="H513" s="2">
        <f>D513*F512</f>
        <v>176.84668752550053</v>
      </c>
      <c r="I513" s="2">
        <f>E513*G512</f>
        <v>48.133122464411173</v>
      </c>
      <c r="J513" s="2">
        <f>I513-H513</f>
        <v>-128.71356506108935</v>
      </c>
      <c r="K513" s="2">
        <f t="shared" si="60"/>
        <v>128.71356506108935</v>
      </c>
      <c r="L513" s="3">
        <f>C513/B513</f>
        <v>2.9637425312330254</v>
      </c>
      <c r="M513" s="3">
        <f t="shared" si="62"/>
        <v>2.9575366034111861</v>
      </c>
      <c r="N513" s="3">
        <f t="shared" si="66"/>
        <v>2.9534433621603546</v>
      </c>
      <c r="O513" s="3">
        <f t="shared" si="67"/>
        <v>2.9560785400376903</v>
      </c>
      <c r="P513" s="3">
        <f t="shared" si="61"/>
        <v>2.8227115684976609</v>
      </c>
      <c r="Q513" s="4" t="str">
        <f t="shared" si="65"/>
        <v>OVER</v>
      </c>
      <c r="R513" s="4" t="str">
        <f t="shared" si="65"/>
        <v>OVER</v>
      </c>
      <c r="S513" s="4" t="str">
        <f t="shared" si="63"/>
        <v>OVER</v>
      </c>
      <c r="T513" s="4" t="str">
        <f t="shared" si="63"/>
        <v>OVER</v>
      </c>
      <c r="U513" s="2">
        <f>IF(Q513="OVER",$J513,$K513)</f>
        <v>-128.71356506108935</v>
      </c>
      <c r="V513" s="2">
        <f>IF(R513="OVER",$J513,$K513)</f>
        <v>-128.71356506108935</v>
      </c>
      <c r="W513" s="2">
        <f>IF(S513="OVER",$J513,$K513)</f>
        <v>-128.71356506108935</v>
      </c>
      <c r="X513" s="2">
        <f>IF(T513="OVER",$J513,$K513)</f>
        <v>-128.71356506108935</v>
      </c>
      <c r="Y513" s="9">
        <f t="shared" si="64"/>
        <v>-3930.6263011324231</v>
      </c>
      <c r="Z513" s="9">
        <f t="shared" si="64"/>
        <v>7593.3125424526452</v>
      </c>
      <c r="AA513" s="9">
        <f t="shared" si="64"/>
        <v>28632.689491753677</v>
      </c>
      <c r="AB513" s="9">
        <f t="shared" si="64"/>
        <v>9596.778912808757</v>
      </c>
    </row>
    <row r="514" spans="1:28" x14ac:dyDescent="0.3">
      <c r="A514" s="1">
        <v>45159</v>
      </c>
      <c r="B514" s="2">
        <v>147.25</v>
      </c>
      <c r="C514" s="2">
        <v>439.34</v>
      </c>
      <c r="D514" s="9">
        <f>B514-B513</f>
        <v>-3.0000000000001137E-2</v>
      </c>
      <c r="E514" s="9">
        <f>C514-C513</f>
        <v>2.839999999999975</v>
      </c>
      <c r="F514" s="3">
        <f>F$1/B514</f>
        <v>679.1171477079796</v>
      </c>
      <c r="G514" s="3">
        <f>F$1/C514</f>
        <v>227.61414849547049</v>
      </c>
      <c r="H514" s="2">
        <f>D514*F513</f>
        <v>-20.369364475829126</v>
      </c>
      <c r="I514" s="2">
        <f>E514*G513</f>
        <v>650.630011454748</v>
      </c>
      <c r="J514" s="2">
        <f>I514-H514</f>
        <v>670.99937593057712</v>
      </c>
      <c r="K514" s="2">
        <f t="shared" si="60"/>
        <v>-670.99937593057712</v>
      </c>
      <c r="L514" s="3">
        <f>C514/B514</f>
        <v>2.9836332767402376</v>
      </c>
      <c r="M514" s="3">
        <f t="shared" si="62"/>
        <v>2.9605847692453464</v>
      </c>
      <c r="N514" s="3">
        <f t="shared" si="66"/>
        <v>2.9556727806240004</v>
      </c>
      <c r="O514" s="3">
        <f t="shared" si="67"/>
        <v>2.9566952639224571</v>
      </c>
      <c r="P514" s="3">
        <f t="shared" si="61"/>
        <v>2.8238870615432643</v>
      </c>
      <c r="Q514" s="4" t="str">
        <f t="shared" si="65"/>
        <v>OVER</v>
      </c>
      <c r="R514" s="4" t="str">
        <f t="shared" si="65"/>
        <v>OVER</v>
      </c>
      <c r="S514" s="4" t="str">
        <f t="shared" si="63"/>
        <v>OVER</v>
      </c>
      <c r="T514" s="4" t="str">
        <f t="shared" si="63"/>
        <v>OVER</v>
      </c>
      <c r="U514" s="2">
        <f>IF(Q514="OVER",$J514,$K514)</f>
        <v>670.99937593057712</v>
      </c>
      <c r="V514" s="2">
        <f>IF(R514="OVER",$J514,$K514)</f>
        <v>670.99937593057712</v>
      </c>
      <c r="W514" s="2">
        <f>IF(S514="OVER",$J514,$K514)</f>
        <v>670.99937593057712</v>
      </c>
      <c r="X514" s="2">
        <f>IF(T514="OVER",$J514,$K514)</f>
        <v>670.99937593057712</v>
      </c>
      <c r="Y514" s="9">
        <f t="shared" si="64"/>
        <v>-3259.626925201846</v>
      </c>
      <c r="Z514" s="9">
        <f t="shared" si="64"/>
        <v>8264.3119183832223</v>
      </c>
      <c r="AA514" s="9">
        <f t="shared" si="64"/>
        <v>29303.688867684254</v>
      </c>
      <c r="AB514" s="9">
        <f t="shared" si="64"/>
        <v>10267.778288739333</v>
      </c>
    </row>
    <row r="515" spans="1:28" x14ac:dyDescent="0.3">
      <c r="A515" s="1">
        <v>45160</v>
      </c>
      <c r="B515" s="2">
        <v>146.66999999999999</v>
      </c>
      <c r="C515" s="2">
        <v>438.15</v>
      </c>
      <c r="D515" s="9">
        <f>B515-B514</f>
        <v>-0.58000000000001251</v>
      </c>
      <c r="E515" s="9">
        <f>C515-C514</f>
        <v>-1.1899999999999977</v>
      </c>
      <c r="F515" s="3">
        <f>F$1/B515</f>
        <v>681.80268630258411</v>
      </c>
      <c r="G515" s="3">
        <f>F$1/C515</f>
        <v>228.23234052265207</v>
      </c>
      <c r="H515" s="2">
        <f>D515*F514</f>
        <v>-393.88794567063667</v>
      </c>
      <c r="I515" s="2">
        <f>E515*G514</f>
        <v>-270.86083670960937</v>
      </c>
      <c r="J515" s="2">
        <f>I515-H515</f>
        <v>123.0271089610273</v>
      </c>
      <c r="K515" s="2">
        <f t="shared" si="60"/>
        <v>-123.0271089610273</v>
      </c>
      <c r="L515" s="3">
        <f>C515/B515</f>
        <v>2.9873184700347721</v>
      </c>
      <c r="M515" s="3">
        <f t="shared" si="62"/>
        <v>2.9638141797941944</v>
      </c>
      <c r="N515" s="3">
        <f t="shared" si="66"/>
        <v>2.9577900781962208</v>
      </c>
      <c r="O515" s="3">
        <f t="shared" si="67"/>
        <v>2.9572104401569912</v>
      </c>
      <c r="P515" s="3">
        <f t="shared" si="61"/>
        <v>2.8250911460174031</v>
      </c>
      <c r="Q515" s="4" t="str">
        <f t="shared" si="65"/>
        <v>OVER</v>
      </c>
      <c r="R515" s="4" t="str">
        <f t="shared" si="65"/>
        <v>OVER</v>
      </c>
      <c r="S515" s="4" t="str">
        <f t="shared" si="63"/>
        <v>OVER</v>
      </c>
      <c r="T515" s="4" t="str">
        <f t="shared" si="63"/>
        <v>OVER</v>
      </c>
      <c r="U515" s="2">
        <f>IF(Q515="OVER",$J515,$K515)</f>
        <v>123.0271089610273</v>
      </c>
      <c r="V515" s="2">
        <f>IF(R515="OVER",$J515,$K515)</f>
        <v>123.0271089610273</v>
      </c>
      <c r="W515" s="2">
        <f>IF(S515="OVER",$J515,$K515)</f>
        <v>123.0271089610273</v>
      </c>
      <c r="X515" s="2">
        <f>IF(T515="OVER",$J515,$K515)</f>
        <v>123.0271089610273</v>
      </c>
      <c r="Y515" s="9">
        <f t="shared" si="64"/>
        <v>-3136.5998162408187</v>
      </c>
      <c r="Z515" s="9">
        <f t="shared" si="64"/>
        <v>8387.3390273442492</v>
      </c>
      <c r="AA515" s="9">
        <f t="shared" si="64"/>
        <v>29426.715976645282</v>
      </c>
      <c r="AB515" s="9">
        <f t="shared" si="64"/>
        <v>10390.80539770036</v>
      </c>
    </row>
    <row r="516" spans="1:28" x14ac:dyDescent="0.3">
      <c r="A516" s="1">
        <v>45161</v>
      </c>
      <c r="B516" s="2">
        <v>147.88999999999999</v>
      </c>
      <c r="C516" s="2">
        <v>443.03</v>
      </c>
      <c r="D516" s="9">
        <f>B516-B515</f>
        <v>1.2199999999999989</v>
      </c>
      <c r="E516" s="9">
        <f>C516-C515</f>
        <v>4.8799999999999955</v>
      </c>
      <c r="F516" s="3">
        <f>F$1/B516</f>
        <v>676.17824058421809</v>
      </c>
      <c r="G516" s="3">
        <f>F$1/C516</f>
        <v>225.71834864456133</v>
      </c>
      <c r="H516" s="2">
        <f>D516*F515</f>
        <v>831.79927728915186</v>
      </c>
      <c r="I516" s="2">
        <f>E516*G515</f>
        <v>1113.7738217505409</v>
      </c>
      <c r="J516" s="2">
        <f>I516-H516</f>
        <v>281.97454446138909</v>
      </c>
      <c r="K516" s="2">
        <f t="shared" si="60"/>
        <v>-281.97454446138909</v>
      </c>
      <c r="L516" s="3">
        <f>C516/B516</f>
        <v>2.9956724592602613</v>
      </c>
      <c r="M516" s="3">
        <f t="shared" si="62"/>
        <v>2.9690015551615092</v>
      </c>
      <c r="N516" s="3">
        <f t="shared" si="66"/>
        <v>2.9606349914818146</v>
      </c>
      <c r="O516" s="3">
        <f t="shared" si="67"/>
        <v>2.9577480338809319</v>
      </c>
      <c r="P516" s="3">
        <f t="shared" si="61"/>
        <v>2.8264093463107587</v>
      </c>
      <c r="Q516" s="4" t="str">
        <f t="shared" si="65"/>
        <v>OVER</v>
      </c>
      <c r="R516" s="4" t="str">
        <f t="shared" si="65"/>
        <v>OVER</v>
      </c>
      <c r="S516" s="4" t="str">
        <f t="shared" si="63"/>
        <v>OVER</v>
      </c>
      <c r="T516" s="4" t="str">
        <f t="shared" si="63"/>
        <v>OVER</v>
      </c>
      <c r="U516" s="2">
        <f>IF(Q516="OVER",$J516,$K516)</f>
        <v>281.97454446138909</v>
      </c>
      <c r="V516" s="2">
        <f>IF(R516="OVER",$J516,$K516)</f>
        <v>281.97454446138909</v>
      </c>
      <c r="W516" s="2">
        <f>IF(S516="OVER",$J516,$K516)</f>
        <v>281.97454446138909</v>
      </c>
      <c r="X516" s="2">
        <f>IF(T516="OVER",$J516,$K516)</f>
        <v>281.97454446138909</v>
      </c>
      <c r="Y516" s="9">
        <f t="shared" si="64"/>
        <v>-2854.6252717794296</v>
      </c>
      <c r="Z516" s="9">
        <f t="shared" si="64"/>
        <v>8669.3135718056383</v>
      </c>
      <c r="AA516" s="9">
        <f t="shared" si="64"/>
        <v>29708.69052110667</v>
      </c>
      <c r="AB516" s="9">
        <f t="shared" si="64"/>
        <v>10672.779942161749</v>
      </c>
    </row>
    <row r="517" spans="1:28" x14ac:dyDescent="0.3">
      <c r="A517" s="1">
        <v>45162</v>
      </c>
      <c r="B517" s="2">
        <v>146.47</v>
      </c>
      <c r="C517" s="2">
        <v>436.89</v>
      </c>
      <c r="D517" s="9">
        <f>B517-B516</f>
        <v>-1.4199999999999875</v>
      </c>
      <c r="E517" s="9">
        <f>C517-C516</f>
        <v>-6.1399999999999864</v>
      </c>
      <c r="F517" s="3">
        <f>F$1/B517</f>
        <v>682.73366559705062</v>
      </c>
      <c r="G517" s="3">
        <f>F$1/C517</f>
        <v>228.89056741971663</v>
      </c>
      <c r="H517" s="2">
        <f>D517*F516</f>
        <v>-960.1731016295812</v>
      </c>
      <c r="I517" s="2">
        <f>E517*G516</f>
        <v>-1385.9106606776036</v>
      </c>
      <c r="J517" s="2">
        <f>I517-H517</f>
        <v>-425.73755904802238</v>
      </c>
      <c r="K517" s="2">
        <f t="shared" ref="K517:K580" si="68">H517-I517</f>
        <v>425.73755904802238</v>
      </c>
      <c r="L517" s="3">
        <f>C517/B517</f>
        <v>2.9827951116269542</v>
      </c>
      <c r="M517" s="3">
        <f t="shared" si="62"/>
        <v>2.97244504410786</v>
      </c>
      <c r="N517" s="3">
        <f t="shared" si="66"/>
        <v>2.9625181732542583</v>
      </c>
      <c r="O517" s="3">
        <f t="shared" si="67"/>
        <v>2.958207840404123</v>
      </c>
      <c r="P517" s="3">
        <f t="shared" si="61"/>
        <v>2.8276785535417237</v>
      </c>
      <c r="Q517" s="4" t="str">
        <f t="shared" si="65"/>
        <v>OVER</v>
      </c>
      <c r="R517" s="4" t="str">
        <f t="shared" si="65"/>
        <v>OVER</v>
      </c>
      <c r="S517" s="4" t="str">
        <f t="shared" si="63"/>
        <v>OVER</v>
      </c>
      <c r="T517" s="4" t="str">
        <f t="shared" si="63"/>
        <v>OVER</v>
      </c>
      <c r="U517" s="2">
        <f>IF(Q517="OVER",$J517,$K517)</f>
        <v>-425.73755904802238</v>
      </c>
      <c r="V517" s="2">
        <f>IF(R517="OVER",$J517,$K517)</f>
        <v>-425.73755904802238</v>
      </c>
      <c r="W517" s="2">
        <f>IF(S517="OVER",$J517,$K517)</f>
        <v>-425.73755904802238</v>
      </c>
      <c r="X517" s="2">
        <f>IF(T517="OVER",$J517,$K517)</f>
        <v>-425.73755904802238</v>
      </c>
      <c r="Y517" s="9">
        <f t="shared" si="64"/>
        <v>-3280.3628308274519</v>
      </c>
      <c r="Z517" s="9">
        <f t="shared" si="64"/>
        <v>8243.5760127576159</v>
      </c>
      <c r="AA517" s="9">
        <f t="shared" si="64"/>
        <v>29282.952962058647</v>
      </c>
      <c r="AB517" s="9">
        <f t="shared" si="64"/>
        <v>10247.042383113727</v>
      </c>
    </row>
    <row r="518" spans="1:28" x14ac:dyDescent="0.3">
      <c r="A518" s="1">
        <v>45163</v>
      </c>
      <c r="B518" s="2">
        <v>147.21</v>
      </c>
      <c r="C518" s="2">
        <v>439.97</v>
      </c>
      <c r="D518" s="9">
        <f>B518-B517</f>
        <v>0.74000000000000909</v>
      </c>
      <c r="E518" s="9">
        <f>C518-C517</f>
        <v>3.0800000000000409</v>
      </c>
      <c r="F518" s="3">
        <f>F$1/B518</f>
        <v>679.30167787514426</v>
      </c>
      <c r="G518" s="3">
        <f>F$1/C518</f>
        <v>227.28822419710434</v>
      </c>
      <c r="H518" s="2">
        <f>D518*F517</f>
        <v>505.22291254182369</v>
      </c>
      <c r="I518" s="2">
        <f>E518*G517</f>
        <v>704.98294765273658</v>
      </c>
      <c r="J518" s="2">
        <f>I518-H518</f>
        <v>199.7600351109129</v>
      </c>
      <c r="K518" s="2">
        <f t="shared" si="68"/>
        <v>-199.7600351109129</v>
      </c>
      <c r="L518" s="3">
        <f>C518/B518</f>
        <v>2.9887235921472728</v>
      </c>
      <c r="M518" s="3">
        <f t="shared" si="62"/>
        <v>2.9767117313453282</v>
      </c>
      <c r="N518" s="3">
        <f t="shared" si="66"/>
        <v>2.9639880316180984</v>
      </c>
      <c r="O518" s="3">
        <f t="shared" si="67"/>
        <v>2.9586030253200737</v>
      </c>
      <c r="P518" s="3">
        <f t="shared" si="61"/>
        <v>2.8289558885012371</v>
      </c>
      <c r="Q518" s="4" t="str">
        <f t="shared" si="65"/>
        <v>OVER</v>
      </c>
      <c r="R518" s="4" t="str">
        <f t="shared" si="65"/>
        <v>OVER</v>
      </c>
      <c r="S518" s="4" t="str">
        <f t="shared" si="63"/>
        <v>OVER</v>
      </c>
      <c r="T518" s="4" t="str">
        <f t="shared" si="63"/>
        <v>OVER</v>
      </c>
      <c r="U518" s="2">
        <f>IF(Q518="OVER",$J518,$K518)</f>
        <v>199.7600351109129</v>
      </c>
      <c r="V518" s="2">
        <f>IF(R518="OVER",$J518,$K518)</f>
        <v>199.7600351109129</v>
      </c>
      <c r="W518" s="2">
        <f>IF(S518="OVER",$J518,$K518)</f>
        <v>199.7600351109129</v>
      </c>
      <c r="X518" s="2">
        <f>IF(T518="OVER",$J518,$K518)</f>
        <v>199.7600351109129</v>
      </c>
      <c r="Y518" s="9">
        <f t="shared" si="64"/>
        <v>-3080.6027957165388</v>
      </c>
      <c r="Z518" s="9">
        <f t="shared" si="64"/>
        <v>8443.3360478685281</v>
      </c>
      <c r="AA518" s="9">
        <f t="shared" si="64"/>
        <v>29482.712997169561</v>
      </c>
      <c r="AB518" s="9">
        <f t="shared" si="64"/>
        <v>10446.802418224639</v>
      </c>
    </row>
    <row r="519" spans="1:28" x14ac:dyDescent="0.3">
      <c r="A519" s="1">
        <v>45166</v>
      </c>
      <c r="B519" s="2">
        <v>148.31</v>
      </c>
      <c r="C519" s="2">
        <v>442.76</v>
      </c>
      <c r="D519" s="9">
        <f>B519-B518</f>
        <v>1.0999999999999943</v>
      </c>
      <c r="E519" s="9">
        <f>C519-C518</f>
        <v>2.7899999999999636</v>
      </c>
      <c r="F519" s="3">
        <f>F$1/B519</f>
        <v>674.26336727125613</v>
      </c>
      <c r="G519" s="3">
        <f>F$1/C519</f>
        <v>225.85599421808655</v>
      </c>
      <c r="H519" s="2">
        <f>D519*F518</f>
        <v>747.23184566265479</v>
      </c>
      <c r="I519" s="2">
        <f>E519*G518</f>
        <v>634.13414550991286</v>
      </c>
      <c r="J519" s="2">
        <f>I519-H519</f>
        <v>-113.09770015274194</v>
      </c>
      <c r="K519" s="2">
        <f t="shared" si="68"/>
        <v>113.09770015274194</v>
      </c>
      <c r="L519" s="3">
        <f>C519/B519</f>
        <v>2.9853684849302136</v>
      </c>
      <c r="M519" s="3">
        <f t="shared" si="62"/>
        <v>2.9789579159928059</v>
      </c>
      <c r="N519" s="3">
        <f t="shared" si="66"/>
        <v>2.9654678453274195</v>
      </c>
      <c r="O519" s="3">
        <f t="shared" si="67"/>
        <v>2.9588810563144148</v>
      </c>
      <c r="P519" s="3">
        <f t="shared" si="61"/>
        <v>2.8302242641066657</v>
      </c>
      <c r="Q519" s="4" t="str">
        <f t="shared" si="65"/>
        <v>OVER</v>
      </c>
      <c r="R519" s="4" t="str">
        <f t="shared" si="65"/>
        <v>OVER</v>
      </c>
      <c r="S519" s="4" t="str">
        <f t="shared" si="63"/>
        <v>OVER</v>
      </c>
      <c r="T519" s="4" t="str">
        <f t="shared" si="63"/>
        <v>OVER</v>
      </c>
      <c r="U519" s="2">
        <f>IF(Q519="OVER",$J519,$K519)</f>
        <v>-113.09770015274194</v>
      </c>
      <c r="V519" s="2">
        <f>IF(R519="OVER",$J519,$K519)</f>
        <v>-113.09770015274194</v>
      </c>
      <c r="W519" s="2">
        <f>IF(S519="OVER",$J519,$K519)</f>
        <v>-113.09770015274194</v>
      </c>
      <c r="X519" s="2">
        <f>IF(T519="OVER",$J519,$K519)</f>
        <v>-113.09770015274194</v>
      </c>
      <c r="Y519" s="9">
        <f t="shared" si="64"/>
        <v>-3193.7004958692805</v>
      </c>
      <c r="Z519" s="9">
        <f t="shared" si="64"/>
        <v>8330.2383477157855</v>
      </c>
      <c r="AA519" s="9">
        <f t="shared" si="64"/>
        <v>29369.615297016819</v>
      </c>
      <c r="AB519" s="9">
        <f t="shared" si="64"/>
        <v>10333.704718071896</v>
      </c>
    </row>
    <row r="520" spans="1:28" x14ac:dyDescent="0.3">
      <c r="A520" s="1">
        <v>45167</v>
      </c>
      <c r="B520" s="2">
        <v>149.97999999999999</v>
      </c>
      <c r="C520" s="2">
        <v>449.16</v>
      </c>
      <c r="D520" s="9">
        <f>B520-B519</f>
        <v>1.6699999999999875</v>
      </c>
      <c r="E520" s="9">
        <f>C520-C519</f>
        <v>6.4000000000000341</v>
      </c>
      <c r="F520" s="3">
        <f>F$1/B520</f>
        <v>666.75556740898787</v>
      </c>
      <c r="G520" s="3">
        <f>F$1/C520</f>
        <v>222.63781280612699</v>
      </c>
      <c r="H520" s="2">
        <f>D520*F519</f>
        <v>1126.0198233429894</v>
      </c>
      <c r="I520" s="2">
        <f>E520*G519</f>
        <v>1445.4783629957617</v>
      </c>
      <c r="J520" s="2">
        <f>I520-H520</f>
        <v>319.45853965277229</v>
      </c>
      <c r="K520" s="2">
        <f t="shared" si="68"/>
        <v>-319.45853965277229</v>
      </c>
      <c r="L520" s="3">
        <f>C520/B520</f>
        <v>2.9947993065742105</v>
      </c>
      <c r="M520" s="3">
        <f t="shared" si="62"/>
        <v>2.9816941280572618</v>
      </c>
      <c r="N520" s="3">
        <f t="shared" si="66"/>
        <v>2.9672402255669885</v>
      </c>
      <c r="O520" s="3">
        <f t="shared" si="67"/>
        <v>2.9597217444549022</v>
      </c>
      <c r="P520" s="3">
        <f t="shared" si="61"/>
        <v>2.8315766921548651</v>
      </c>
      <c r="Q520" s="4" t="str">
        <f t="shared" si="65"/>
        <v>OVER</v>
      </c>
      <c r="R520" s="4" t="str">
        <f t="shared" si="65"/>
        <v>OVER</v>
      </c>
      <c r="S520" s="4" t="str">
        <f t="shared" si="63"/>
        <v>OVER</v>
      </c>
      <c r="T520" s="4" t="str">
        <f t="shared" si="63"/>
        <v>OVER</v>
      </c>
      <c r="U520" s="2">
        <f>IF(Q520="OVER",$J520,$K520)</f>
        <v>319.45853965277229</v>
      </c>
      <c r="V520" s="2">
        <f>IF(R520="OVER",$J520,$K520)</f>
        <v>319.45853965277229</v>
      </c>
      <c r="W520" s="2">
        <f>IF(S520="OVER",$J520,$K520)</f>
        <v>319.45853965277229</v>
      </c>
      <c r="X520" s="2">
        <f>IF(T520="OVER",$J520,$K520)</f>
        <v>319.45853965277229</v>
      </c>
      <c r="Y520" s="9">
        <f t="shared" si="64"/>
        <v>-2874.2419562165082</v>
      </c>
      <c r="Z520" s="9">
        <f t="shared" si="64"/>
        <v>8649.6968873685582</v>
      </c>
      <c r="AA520" s="9">
        <f t="shared" si="64"/>
        <v>29689.073836669591</v>
      </c>
      <c r="AB520" s="9">
        <f t="shared" si="64"/>
        <v>10653.163257724669</v>
      </c>
    </row>
    <row r="521" spans="1:28" x14ac:dyDescent="0.3">
      <c r="A521" s="1">
        <v>45168</v>
      </c>
      <c r="B521" s="2">
        <v>150.44999999999999</v>
      </c>
      <c r="C521" s="2">
        <v>451.01</v>
      </c>
      <c r="D521" s="9">
        <f>B521-B520</f>
        <v>0.46999999999999886</v>
      </c>
      <c r="E521" s="9">
        <f>C521-C520</f>
        <v>1.8499999999999659</v>
      </c>
      <c r="F521" s="3">
        <f>F$1/B521</f>
        <v>664.67264872050521</v>
      </c>
      <c r="G521" s="3">
        <f>F$1/C521</f>
        <v>221.724573734507</v>
      </c>
      <c r="H521" s="2">
        <f>D521*F520</f>
        <v>313.37511668222356</v>
      </c>
      <c r="I521" s="2">
        <f>E521*G520</f>
        <v>411.87995369132733</v>
      </c>
      <c r="J521" s="2">
        <f>I521-H521</f>
        <v>98.504837009103767</v>
      </c>
      <c r="K521" s="2">
        <f t="shared" si="68"/>
        <v>-98.504837009103767</v>
      </c>
      <c r="L521" s="3">
        <f>C521/B521</f>
        <v>2.9977401129943506</v>
      </c>
      <c r="M521" s="3">
        <f t="shared" si="62"/>
        <v>2.984734878017604</v>
      </c>
      <c r="N521" s="3">
        <f t="shared" si="66"/>
        <v>2.9698141012258694</v>
      </c>
      <c r="O521" s="3">
        <f t="shared" si="67"/>
        <v>2.9601314636311611</v>
      </c>
      <c r="P521" s="3">
        <f t="shared" si="61"/>
        <v>2.8329262331372815</v>
      </c>
      <c r="Q521" s="4" t="str">
        <f t="shared" si="65"/>
        <v>OVER</v>
      </c>
      <c r="R521" s="4" t="str">
        <f t="shared" si="65"/>
        <v>OVER</v>
      </c>
      <c r="S521" s="4" t="str">
        <f t="shared" si="63"/>
        <v>OVER</v>
      </c>
      <c r="T521" s="4" t="str">
        <f t="shared" si="63"/>
        <v>OVER</v>
      </c>
      <c r="U521" s="2">
        <f>IF(Q521="OVER",$J521,$K521)</f>
        <v>98.504837009103767</v>
      </c>
      <c r="V521" s="2">
        <f>IF(R521="OVER",$J521,$K521)</f>
        <v>98.504837009103767</v>
      </c>
      <c r="W521" s="2">
        <f>IF(S521="OVER",$J521,$K521)</f>
        <v>98.504837009103767</v>
      </c>
      <c r="X521" s="2">
        <f>IF(T521="OVER",$J521,$K521)</f>
        <v>98.504837009103767</v>
      </c>
      <c r="Y521" s="9">
        <f t="shared" si="64"/>
        <v>-2775.7371192074042</v>
      </c>
      <c r="Z521" s="9">
        <f t="shared" si="64"/>
        <v>8748.2017243776627</v>
      </c>
      <c r="AA521" s="9">
        <f t="shared" si="64"/>
        <v>29787.578673678694</v>
      </c>
      <c r="AB521" s="9">
        <f t="shared" si="64"/>
        <v>10751.668094733774</v>
      </c>
    </row>
    <row r="522" spans="1:28" x14ac:dyDescent="0.3">
      <c r="A522" s="1">
        <v>45169</v>
      </c>
      <c r="B522" s="2">
        <v>149.91999999999999</v>
      </c>
      <c r="C522" s="2">
        <v>450.35</v>
      </c>
      <c r="D522" s="9">
        <f>B522-B521</f>
        <v>-0.53000000000000114</v>
      </c>
      <c r="E522" s="9">
        <f>C522-C521</f>
        <v>-0.65999999999996817</v>
      </c>
      <c r="F522" s="3">
        <f>F$1/B522</f>
        <v>667.02241195304168</v>
      </c>
      <c r="G522" s="3">
        <f>F$1/C522</f>
        <v>222.04951704230041</v>
      </c>
      <c r="H522" s="2">
        <f>D522*F521</f>
        <v>-352.27650382186852</v>
      </c>
      <c r="I522" s="2">
        <f>E522*G521</f>
        <v>-146.33821866476757</v>
      </c>
      <c r="J522" s="2">
        <f>I522-H522</f>
        <v>205.93828515710095</v>
      </c>
      <c r="K522" s="2">
        <f t="shared" si="68"/>
        <v>-205.93828515710095</v>
      </c>
      <c r="L522" s="3">
        <f>C522/B522</f>
        <v>3.0039354322305232</v>
      </c>
      <c r="M522" s="3">
        <f t="shared" si="62"/>
        <v>2.9883728777771821</v>
      </c>
      <c r="N522" s="3">
        <f t="shared" si="66"/>
        <v>2.9723855603785085</v>
      </c>
      <c r="O522" s="3">
        <f t="shared" si="67"/>
        <v>2.9608853410679696</v>
      </c>
      <c r="P522" s="3">
        <f t="shared" si="61"/>
        <v>2.8343057816018296</v>
      </c>
      <c r="Q522" s="4" t="str">
        <f t="shared" si="65"/>
        <v>OVER</v>
      </c>
      <c r="R522" s="4" t="str">
        <f t="shared" si="65"/>
        <v>OVER</v>
      </c>
      <c r="S522" s="4" t="str">
        <f t="shared" si="63"/>
        <v>OVER</v>
      </c>
      <c r="T522" s="4" t="str">
        <f t="shared" si="63"/>
        <v>OVER</v>
      </c>
      <c r="U522" s="2">
        <f>IF(Q522="OVER",$J522,$K522)</f>
        <v>205.93828515710095</v>
      </c>
      <c r="V522" s="2">
        <f>IF(R522="OVER",$J522,$K522)</f>
        <v>205.93828515710095</v>
      </c>
      <c r="W522" s="2">
        <f>IF(S522="OVER",$J522,$K522)</f>
        <v>205.93828515710095</v>
      </c>
      <c r="X522" s="2">
        <f>IF(T522="OVER",$J522,$K522)</f>
        <v>205.93828515710095</v>
      </c>
      <c r="Y522" s="9">
        <f t="shared" si="64"/>
        <v>-2569.7988340503034</v>
      </c>
      <c r="Z522" s="9">
        <f t="shared" si="64"/>
        <v>8954.1400095347635</v>
      </c>
      <c r="AA522" s="9">
        <f t="shared" si="64"/>
        <v>29993.516958835797</v>
      </c>
      <c r="AB522" s="9">
        <f t="shared" si="64"/>
        <v>10957.606379890874</v>
      </c>
    </row>
    <row r="523" spans="1:28" x14ac:dyDescent="0.3">
      <c r="A523" s="1">
        <v>45170</v>
      </c>
      <c r="B523" s="2">
        <v>150.54</v>
      </c>
      <c r="C523" s="2">
        <v>451.19</v>
      </c>
      <c r="D523" s="9">
        <f>B523-B522</f>
        <v>0.62000000000000455</v>
      </c>
      <c r="E523" s="9">
        <f>C523-C522</f>
        <v>0.83999999999997499</v>
      </c>
      <c r="F523" s="3">
        <f>F$1/B523</f>
        <v>664.27527567423942</v>
      </c>
      <c r="G523" s="3">
        <f>F$1/C523</f>
        <v>221.63611782176022</v>
      </c>
      <c r="H523" s="2">
        <f>D523*F522</f>
        <v>413.55389541088886</v>
      </c>
      <c r="I523" s="2">
        <f>E523*G522</f>
        <v>186.52159431552678</v>
      </c>
      <c r="J523" s="2">
        <f>I523-H523</f>
        <v>-227.03230109536207</v>
      </c>
      <c r="K523" s="2">
        <f t="shared" si="68"/>
        <v>227.03230109536207</v>
      </c>
      <c r="L523" s="3">
        <f>C523/B523</f>
        <v>2.997143616314601</v>
      </c>
      <c r="M523" s="3">
        <f t="shared" si="62"/>
        <v>2.9917129862853398</v>
      </c>
      <c r="N523" s="3">
        <f t="shared" si="66"/>
        <v>2.9746247948482627</v>
      </c>
      <c r="O523" s="3">
        <f t="shared" si="67"/>
        <v>2.9610446072859276</v>
      </c>
      <c r="P523" s="3">
        <f t="shared" ref="P523:P586" si="69">AVERAGE(L324:L523)</f>
        <v>2.8356185811423269</v>
      </c>
      <c r="Q523" s="4" t="str">
        <f t="shared" si="65"/>
        <v>OVER</v>
      </c>
      <c r="R523" s="4" t="str">
        <f t="shared" si="65"/>
        <v>OVER</v>
      </c>
      <c r="S523" s="4" t="str">
        <f t="shared" si="63"/>
        <v>OVER</v>
      </c>
      <c r="T523" s="4" t="str">
        <f t="shared" si="63"/>
        <v>OVER</v>
      </c>
      <c r="U523" s="2">
        <f>IF(Q523="OVER",$J523,$K523)</f>
        <v>-227.03230109536207</v>
      </c>
      <c r="V523" s="2">
        <f>IF(R523="OVER",$J523,$K523)</f>
        <v>-227.03230109536207</v>
      </c>
      <c r="W523" s="2">
        <f>IF(S523="OVER",$J523,$K523)</f>
        <v>-227.03230109536207</v>
      </c>
      <c r="X523" s="2">
        <f>IF(T523="OVER",$J523,$K523)</f>
        <v>-227.03230109536207</v>
      </c>
      <c r="Y523" s="9">
        <f t="shared" si="64"/>
        <v>-2796.8311351456655</v>
      </c>
      <c r="Z523" s="9">
        <f t="shared" si="64"/>
        <v>8727.1077084394019</v>
      </c>
      <c r="AA523" s="9">
        <f t="shared" si="64"/>
        <v>29766.484657740435</v>
      </c>
      <c r="AB523" s="9">
        <f t="shared" si="64"/>
        <v>10730.574078795513</v>
      </c>
    </row>
    <row r="524" spans="1:28" x14ac:dyDescent="0.3">
      <c r="A524" s="1">
        <v>45174</v>
      </c>
      <c r="B524" s="2">
        <v>148.68</v>
      </c>
      <c r="C524" s="2">
        <v>449.24</v>
      </c>
      <c r="D524" s="9">
        <f>B524-B523</f>
        <v>-1.8599999999999852</v>
      </c>
      <c r="E524" s="9">
        <f>C524-C523</f>
        <v>-1.9499999999999886</v>
      </c>
      <c r="F524" s="3">
        <f>F$1/B524</f>
        <v>672.58541834813013</v>
      </c>
      <c r="G524" s="3">
        <f>F$1/C524</f>
        <v>222.59816579111387</v>
      </c>
      <c r="H524" s="2">
        <f>D524*F523</f>
        <v>-1235.5520127540756</v>
      </c>
      <c r="I524" s="2">
        <f>E524*G523</f>
        <v>-432.19042975242991</v>
      </c>
      <c r="J524" s="2">
        <f>I524-H524</f>
        <v>803.36158300164561</v>
      </c>
      <c r="K524" s="2">
        <f t="shared" si="68"/>
        <v>-803.36158300164561</v>
      </c>
      <c r="L524" s="3">
        <f>C524/B524</f>
        <v>3.0215227333871399</v>
      </c>
      <c r="M524" s="3">
        <f t="shared" si="62"/>
        <v>2.99550193195003</v>
      </c>
      <c r="N524" s="3">
        <f t="shared" si="66"/>
        <v>2.9780433505976878</v>
      </c>
      <c r="O524" s="3">
        <f t="shared" si="67"/>
        <v>2.9616270271398282</v>
      </c>
      <c r="P524" s="3">
        <f t="shared" si="69"/>
        <v>2.8370652417753233</v>
      </c>
      <c r="Q524" s="4" t="str">
        <f t="shared" si="65"/>
        <v>OVER</v>
      </c>
      <c r="R524" s="4" t="str">
        <f t="shared" si="65"/>
        <v>OVER</v>
      </c>
      <c r="S524" s="4" t="str">
        <f t="shared" si="63"/>
        <v>OVER</v>
      </c>
      <c r="T524" s="4" t="str">
        <f t="shared" si="63"/>
        <v>OVER</v>
      </c>
      <c r="U524" s="2">
        <f>IF(Q524="OVER",$J524,$K524)</f>
        <v>803.36158300164561</v>
      </c>
      <c r="V524" s="2">
        <f>IF(R524="OVER",$J524,$K524)</f>
        <v>803.36158300164561</v>
      </c>
      <c r="W524" s="2">
        <f>IF(S524="OVER",$J524,$K524)</f>
        <v>803.36158300164561</v>
      </c>
      <c r="X524" s="2">
        <f>IF(T524="OVER",$J524,$K524)</f>
        <v>803.36158300164561</v>
      </c>
      <c r="Y524" s="9">
        <f t="shared" si="64"/>
        <v>-1993.4695521440199</v>
      </c>
      <c r="Z524" s="9">
        <f t="shared" si="64"/>
        <v>9530.469291441048</v>
      </c>
      <c r="AA524" s="9">
        <f t="shared" si="64"/>
        <v>30569.846240742081</v>
      </c>
      <c r="AB524" s="9">
        <f t="shared" ref="AB524:AB587" si="70">AB523+X524</f>
        <v>11533.935661797159</v>
      </c>
    </row>
    <row r="525" spans="1:28" x14ac:dyDescent="0.3">
      <c r="A525" s="1">
        <v>45175</v>
      </c>
      <c r="B525" s="2">
        <v>148.16999999999999</v>
      </c>
      <c r="C525" s="2">
        <v>446.22</v>
      </c>
      <c r="D525" s="9">
        <f>B525-B524</f>
        <v>-0.51000000000001933</v>
      </c>
      <c r="E525" s="9">
        <f>C525-C524</f>
        <v>-3.0199999999999818</v>
      </c>
      <c r="F525" s="3">
        <f>F$1/B525</f>
        <v>674.90045218330306</v>
      </c>
      <c r="G525" s="3">
        <f>F$1/C525</f>
        <v>224.10470171664201</v>
      </c>
      <c r="H525" s="2">
        <f>D525*F524</f>
        <v>-343.01856335755934</v>
      </c>
      <c r="I525" s="2">
        <f>E525*G524</f>
        <v>-672.24646068915979</v>
      </c>
      <c r="J525" s="2">
        <f>I525-H525</f>
        <v>-329.22789733160045</v>
      </c>
      <c r="K525" s="2">
        <f t="shared" si="68"/>
        <v>329.22789733160045</v>
      </c>
      <c r="L525" s="3">
        <f>C525/B525</f>
        <v>3.011540797732335</v>
      </c>
      <c r="M525" s="3">
        <f t="shared" ref="M525:M588" si="71">AVERAGE(L516:L525)</f>
        <v>2.9979241647197865</v>
      </c>
      <c r="N525" s="3">
        <f t="shared" si="66"/>
        <v>2.9808691722569902</v>
      </c>
      <c r="O525" s="3">
        <f t="shared" si="67"/>
        <v>2.9626144514020614</v>
      </c>
      <c r="P525" s="3">
        <f t="shared" si="69"/>
        <v>2.8384205895616286</v>
      </c>
      <c r="Q525" s="4" t="str">
        <f t="shared" si="65"/>
        <v>OVER</v>
      </c>
      <c r="R525" s="4" t="str">
        <f t="shared" si="65"/>
        <v>OVER</v>
      </c>
      <c r="S525" s="4" t="str">
        <f t="shared" ref="S525:T588" si="72">IF($L525&gt;O525,"OVER","UNDER")</f>
        <v>OVER</v>
      </c>
      <c r="T525" s="4" t="str">
        <f t="shared" si="72"/>
        <v>OVER</v>
      </c>
      <c r="U525" s="2">
        <f>IF(Q525="OVER",$J525,$K525)</f>
        <v>-329.22789733160045</v>
      </c>
      <c r="V525" s="2">
        <f>IF(R525="OVER",$J525,$K525)</f>
        <v>-329.22789733160045</v>
      </c>
      <c r="W525" s="2">
        <f>IF(S525="OVER",$J525,$K525)</f>
        <v>-329.22789733160045</v>
      </c>
      <c r="X525" s="2">
        <f>IF(T525="OVER",$J525,$K525)</f>
        <v>-329.22789733160045</v>
      </c>
      <c r="Y525" s="9">
        <f t="shared" ref="Y525:AB588" si="73">Y524+U525</f>
        <v>-2322.6974494756205</v>
      </c>
      <c r="Z525" s="9">
        <f t="shared" si="73"/>
        <v>9201.2413941094474</v>
      </c>
      <c r="AA525" s="9">
        <f t="shared" si="73"/>
        <v>30240.618343410482</v>
      </c>
      <c r="AB525" s="9">
        <f t="shared" si="70"/>
        <v>11204.707764465558</v>
      </c>
    </row>
    <row r="526" spans="1:28" x14ac:dyDescent="0.3">
      <c r="A526" s="1">
        <v>45176</v>
      </c>
      <c r="B526" s="2">
        <v>147.58000000000001</v>
      </c>
      <c r="C526" s="2">
        <v>444.85</v>
      </c>
      <c r="D526" s="9">
        <f>B526-B525</f>
        <v>-0.58999999999997499</v>
      </c>
      <c r="E526" s="9">
        <f>C526-C525</f>
        <v>-1.3700000000000045</v>
      </c>
      <c r="F526" s="3">
        <f>F$1/B526</f>
        <v>677.59859059493147</v>
      </c>
      <c r="G526" s="3">
        <f>F$1/C526</f>
        <v>224.79487467685735</v>
      </c>
      <c r="H526" s="2">
        <f>D526*F525</f>
        <v>-398.19126678813194</v>
      </c>
      <c r="I526" s="2">
        <f>E526*G525</f>
        <v>-307.02344135180056</v>
      </c>
      <c r="J526" s="2">
        <f>I526-H526</f>
        <v>91.167825436331384</v>
      </c>
      <c r="K526" s="2">
        <f t="shared" si="68"/>
        <v>-91.167825436331384</v>
      </c>
      <c r="L526" s="3">
        <f>C526/B526</f>
        <v>3.0142973302615528</v>
      </c>
      <c r="M526" s="3">
        <f t="shared" si="71"/>
        <v>2.9997866518199152</v>
      </c>
      <c r="N526" s="3">
        <f t="shared" si="66"/>
        <v>2.984394103490712</v>
      </c>
      <c r="O526" s="3">
        <f t="shared" si="67"/>
        <v>2.9637306225206204</v>
      </c>
      <c r="P526" s="3">
        <f t="shared" si="69"/>
        <v>2.839751660766122</v>
      </c>
      <c r="Q526" s="4" t="str">
        <f t="shared" ref="Q526:R589" si="74">IF($L525&gt;M525,"OVER","UNDER")</f>
        <v>OVER</v>
      </c>
      <c r="R526" s="4" t="str">
        <f t="shared" si="74"/>
        <v>OVER</v>
      </c>
      <c r="S526" s="4" t="str">
        <f t="shared" si="72"/>
        <v>OVER</v>
      </c>
      <c r="T526" s="4" t="str">
        <f t="shared" si="72"/>
        <v>OVER</v>
      </c>
      <c r="U526" s="2">
        <f>IF(Q526="OVER",$J526,$K526)</f>
        <v>91.167825436331384</v>
      </c>
      <c r="V526" s="2">
        <f>IF(R526="OVER",$J526,$K526)</f>
        <v>91.167825436331384</v>
      </c>
      <c r="W526" s="2">
        <f>IF(S526="OVER",$J526,$K526)</f>
        <v>91.167825436331384</v>
      </c>
      <c r="X526" s="2">
        <f>IF(T526="OVER",$J526,$K526)</f>
        <v>91.167825436331384</v>
      </c>
      <c r="Y526" s="9">
        <f t="shared" si="73"/>
        <v>-2231.529624039289</v>
      </c>
      <c r="Z526" s="9">
        <f t="shared" si="73"/>
        <v>9292.4092195457779</v>
      </c>
      <c r="AA526" s="9">
        <f t="shared" si="73"/>
        <v>30331.786168846815</v>
      </c>
      <c r="AB526" s="9">
        <f t="shared" si="70"/>
        <v>11295.875589901889</v>
      </c>
    </row>
    <row r="527" spans="1:28" x14ac:dyDescent="0.3">
      <c r="A527" s="1">
        <v>45177</v>
      </c>
      <c r="B527" s="2">
        <v>147.65</v>
      </c>
      <c r="C527" s="2">
        <v>445.52</v>
      </c>
      <c r="D527" s="9">
        <f>B527-B526</f>
        <v>6.9999999999993179E-2</v>
      </c>
      <c r="E527" s="9">
        <f>C527-C526</f>
        <v>0.66999999999995907</v>
      </c>
      <c r="F527" s="3">
        <f>F$1/B527</f>
        <v>677.27734507280729</v>
      </c>
      <c r="G527" s="3">
        <f>F$1/C527</f>
        <v>224.4568145088885</v>
      </c>
      <c r="H527" s="2">
        <f>D527*F526</f>
        <v>47.431901341640582</v>
      </c>
      <c r="I527" s="2">
        <f>E527*G526</f>
        <v>150.61256603348522</v>
      </c>
      <c r="J527" s="2">
        <f>I527-H527</f>
        <v>103.18066469184464</v>
      </c>
      <c r="K527" s="2">
        <f t="shared" si="68"/>
        <v>-103.18066469184464</v>
      </c>
      <c r="L527" s="3">
        <f>C527/B527</f>
        <v>3.017406027768371</v>
      </c>
      <c r="M527" s="3">
        <f t="shared" si="71"/>
        <v>3.0032477434340565</v>
      </c>
      <c r="N527" s="3">
        <f t="shared" si="66"/>
        <v>2.9878463937709587</v>
      </c>
      <c r="O527" s="3">
        <f t="shared" si="67"/>
        <v>2.9647785664215514</v>
      </c>
      <c r="P527" s="3">
        <f t="shared" si="69"/>
        <v>2.8411380751158544</v>
      </c>
      <c r="Q527" s="4" t="str">
        <f t="shared" si="74"/>
        <v>OVER</v>
      </c>
      <c r="R527" s="4" t="str">
        <f t="shared" si="74"/>
        <v>OVER</v>
      </c>
      <c r="S527" s="4" t="str">
        <f t="shared" si="72"/>
        <v>OVER</v>
      </c>
      <c r="T527" s="4" t="str">
        <f t="shared" si="72"/>
        <v>OVER</v>
      </c>
      <c r="U527" s="2">
        <f>IF(Q527="OVER",$J527,$K527)</f>
        <v>103.18066469184464</v>
      </c>
      <c r="V527" s="2">
        <f>IF(R527="OVER",$J527,$K527)</f>
        <v>103.18066469184464</v>
      </c>
      <c r="W527" s="2">
        <f>IF(S527="OVER",$J527,$K527)</f>
        <v>103.18066469184464</v>
      </c>
      <c r="X527" s="2">
        <f>IF(T527="OVER",$J527,$K527)</f>
        <v>103.18066469184464</v>
      </c>
      <c r="Y527" s="9">
        <f t="shared" si="73"/>
        <v>-2128.3489593474442</v>
      </c>
      <c r="Z527" s="9">
        <f t="shared" si="73"/>
        <v>9395.5898842376228</v>
      </c>
      <c r="AA527" s="9">
        <f t="shared" si="73"/>
        <v>30434.96683353866</v>
      </c>
      <c r="AB527" s="9">
        <f t="shared" si="70"/>
        <v>11399.056254593734</v>
      </c>
    </row>
    <row r="528" spans="1:28" x14ac:dyDescent="0.3">
      <c r="A528" s="1">
        <v>45180</v>
      </c>
      <c r="B528" s="2">
        <v>147.88999999999999</v>
      </c>
      <c r="C528" s="2">
        <v>448.45</v>
      </c>
      <c r="D528" s="9">
        <f>B528-B527</f>
        <v>0.23999999999998067</v>
      </c>
      <c r="E528" s="9">
        <f>C528-C527</f>
        <v>2.9300000000000068</v>
      </c>
      <c r="F528" s="3">
        <f>F$1/B528</f>
        <v>676.17824058421809</v>
      </c>
      <c r="G528" s="3">
        <f>F$1/C528</f>
        <v>222.99029992195341</v>
      </c>
      <c r="H528" s="2">
        <f>D528*F527</f>
        <v>162.54656281746065</v>
      </c>
      <c r="I528" s="2">
        <f>E528*G527</f>
        <v>657.65846651104482</v>
      </c>
      <c r="J528" s="2">
        <f>I528-H528</f>
        <v>495.11190369358417</v>
      </c>
      <c r="K528" s="2">
        <f t="shared" si="68"/>
        <v>-495.11190369358417</v>
      </c>
      <c r="L528" s="3">
        <f>C528/B528</f>
        <v>3.0323213198999257</v>
      </c>
      <c r="M528" s="3">
        <f t="shared" si="71"/>
        <v>3.0076075162093217</v>
      </c>
      <c r="N528" s="3">
        <f t="shared" si="66"/>
        <v>2.9921596237773254</v>
      </c>
      <c r="O528" s="3">
        <f t="shared" si="67"/>
        <v>2.9663526541153091</v>
      </c>
      <c r="P528" s="3">
        <f t="shared" si="69"/>
        <v>2.8426432132443908</v>
      </c>
      <c r="Q528" s="4" t="str">
        <f t="shared" si="74"/>
        <v>OVER</v>
      </c>
      <c r="R528" s="4" t="str">
        <f t="shared" si="74"/>
        <v>OVER</v>
      </c>
      <c r="S528" s="4" t="str">
        <f t="shared" si="72"/>
        <v>OVER</v>
      </c>
      <c r="T528" s="4" t="str">
        <f t="shared" si="72"/>
        <v>OVER</v>
      </c>
      <c r="U528" s="2">
        <f>IF(Q528="OVER",$J528,$K528)</f>
        <v>495.11190369358417</v>
      </c>
      <c r="V528" s="2">
        <f>IF(R528="OVER",$J528,$K528)</f>
        <v>495.11190369358417</v>
      </c>
      <c r="W528" s="2">
        <f>IF(S528="OVER",$J528,$K528)</f>
        <v>495.11190369358417</v>
      </c>
      <c r="X528" s="2">
        <f>IF(T528="OVER",$J528,$K528)</f>
        <v>495.11190369358417</v>
      </c>
      <c r="Y528" s="9">
        <f t="shared" si="73"/>
        <v>-1633.2370556538599</v>
      </c>
      <c r="Z528" s="9">
        <f t="shared" si="73"/>
        <v>9890.7017879312061</v>
      </c>
      <c r="AA528" s="9">
        <f t="shared" si="73"/>
        <v>30930.078737232245</v>
      </c>
      <c r="AB528" s="9">
        <f t="shared" si="70"/>
        <v>11894.168158287317</v>
      </c>
    </row>
    <row r="529" spans="1:28" x14ac:dyDescent="0.3">
      <c r="A529" s="1">
        <v>45181</v>
      </c>
      <c r="B529" s="2">
        <v>147.69999999999999</v>
      </c>
      <c r="C529" s="2">
        <v>445.99</v>
      </c>
      <c r="D529" s="9">
        <f>B529-B528</f>
        <v>-0.18999999999999773</v>
      </c>
      <c r="E529" s="9">
        <f>C529-C528</f>
        <v>-2.4599999999999795</v>
      </c>
      <c r="F529" s="3">
        <f>F$1/B529</f>
        <v>677.04807041299932</v>
      </c>
      <c r="G529" s="3">
        <f>F$1/C529</f>
        <v>224.22027399717481</v>
      </c>
      <c r="H529" s="2">
        <f>D529*F528</f>
        <v>-128.47386571099989</v>
      </c>
      <c r="I529" s="2">
        <f>E529*G528</f>
        <v>-548.55613780800081</v>
      </c>
      <c r="J529" s="2">
        <f>I529-H529</f>
        <v>-420.0822720970009</v>
      </c>
      <c r="K529" s="2">
        <f t="shared" si="68"/>
        <v>420.0822720970009</v>
      </c>
      <c r="L529" s="3">
        <f>C529/B529</f>
        <v>3.019566689234936</v>
      </c>
      <c r="M529" s="3">
        <f t="shared" si="71"/>
        <v>3.0110273366397942</v>
      </c>
      <c r="N529" s="3">
        <f t="shared" si="66"/>
        <v>2.9949926263163005</v>
      </c>
      <c r="O529" s="3">
        <f t="shared" si="67"/>
        <v>2.9674977970419487</v>
      </c>
      <c r="P529" s="3">
        <f t="shared" si="69"/>
        <v>2.8440823268326523</v>
      </c>
      <c r="Q529" s="4" t="str">
        <f t="shared" si="74"/>
        <v>OVER</v>
      </c>
      <c r="R529" s="4" t="str">
        <f t="shared" si="74"/>
        <v>OVER</v>
      </c>
      <c r="S529" s="4" t="str">
        <f t="shared" si="72"/>
        <v>OVER</v>
      </c>
      <c r="T529" s="4" t="str">
        <f t="shared" si="72"/>
        <v>OVER</v>
      </c>
      <c r="U529" s="2">
        <f>IF(Q529="OVER",$J529,$K529)</f>
        <v>-420.0822720970009</v>
      </c>
      <c r="V529" s="2">
        <f>IF(R529="OVER",$J529,$K529)</f>
        <v>-420.0822720970009</v>
      </c>
      <c r="W529" s="2">
        <f>IF(S529="OVER",$J529,$K529)</f>
        <v>-420.0822720970009</v>
      </c>
      <c r="X529" s="2">
        <f>IF(T529="OVER",$J529,$K529)</f>
        <v>-420.0822720970009</v>
      </c>
      <c r="Y529" s="9">
        <f t="shared" si="73"/>
        <v>-2053.3193277508608</v>
      </c>
      <c r="Z529" s="9">
        <f t="shared" si="73"/>
        <v>9470.6195158342052</v>
      </c>
      <c r="AA529" s="9">
        <f t="shared" si="73"/>
        <v>30509.996465135242</v>
      </c>
      <c r="AB529" s="9">
        <f t="shared" si="70"/>
        <v>11474.085886190316</v>
      </c>
    </row>
    <row r="530" spans="1:28" x14ac:dyDescent="0.3">
      <c r="A530" s="1">
        <v>45182</v>
      </c>
      <c r="B530" s="2">
        <v>147.11000000000001</v>
      </c>
      <c r="C530" s="2">
        <v>446.51</v>
      </c>
      <c r="D530" s="9">
        <f>B530-B529</f>
        <v>-0.58999999999997499</v>
      </c>
      <c r="E530" s="9">
        <f>C530-C529</f>
        <v>0.51999999999998181</v>
      </c>
      <c r="F530" s="3">
        <f>F$1/B530</f>
        <v>679.76344232207191</v>
      </c>
      <c r="G530" s="3">
        <f>F$1/C530</f>
        <v>223.95914985106717</v>
      </c>
      <c r="H530" s="2">
        <f>D530*F529</f>
        <v>-399.45836154365264</v>
      </c>
      <c r="I530" s="2">
        <f>E530*G529</f>
        <v>116.59454247852682</v>
      </c>
      <c r="J530" s="2">
        <f>I530-H530</f>
        <v>516.05290402217952</v>
      </c>
      <c r="K530" s="2">
        <f t="shared" si="68"/>
        <v>-516.05290402217952</v>
      </c>
      <c r="L530" s="3">
        <f>C530/B530</f>
        <v>3.035211746312283</v>
      </c>
      <c r="M530" s="3">
        <f t="shared" si="71"/>
        <v>3.0150685806136015</v>
      </c>
      <c r="N530" s="3">
        <f t="shared" si="66"/>
        <v>2.9983813543354323</v>
      </c>
      <c r="O530" s="3">
        <f t="shared" si="67"/>
        <v>2.9690339765052247</v>
      </c>
      <c r="P530" s="3">
        <f t="shared" si="69"/>
        <v>2.8455706304621726</v>
      </c>
      <c r="Q530" s="4" t="str">
        <f t="shared" si="74"/>
        <v>OVER</v>
      </c>
      <c r="R530" s="4" t="str">
        <f t="shared" si="74"/>
        <v>OVER</v>
      </c>
      <c r="S530" s="4" t="str">
        <f t="shared" si="72"/>
        <v>OVER</v>
      </c>
      <c r="T530" s="4" t="str">
        <f t="shared" si="72"/>
        <v>OVER</v>
      </c>
      <c r="U530" s="2">
        <f>IF(Q530="OVER",$J530,$K530)</f>
        <v>516.05290402217952</v>
      </c>
      <c r="V530" s="2">
        <f>IF(R530="OVER",$J530,$K530)</f>
        <v>516.05290402217952</v>
      </c>
      <c r="W530" s="2">
        <f>IF(S530="OVER",$J530,$K530)</f>
        <v>516.05290402217952</v>
      </c>
      <c r="X530" s="2">
        <f>IF(T530="OVER",$J530,$K530)</f>
        <v>516.05290402217952</v>
      </c>
      <c r="Y530" s="9">
        <f t="shared" si="73"/>
        <v>-1537.2664237286813</v>
      </c>
      <c r="Z530" s="9">
        <f t="shared" si="73"/>
        <v>9986.6724198563843</v>
      </c>
      <c r="AA530" s="9">
        <f t="shared" si="73"/>
        <v>31026.049369157423</v>
      </c>
      <c r="AB530" s="9">
        <f t="shared" si="70"/>
        <v>11990.138790212495</v>
      </c>
    </row>
    <row r="531" spans="1:28" x14ac:dyDescent="0.3">
      <c r="A531" s="1">
        <v>45183</v>
      </c>
      <c r="B531" s="2">
        <v>148.83000000000001</v>
      </c>
      <c r="C531" s="2">
        <v>450.36</v>
      </c>
      <c r="D531" s="9">
        <f>B531-B530</f>
        <v>1.7199999999999989</v>
      </c>
      <c r="E531" s="9">
        <f>C531-C530</f>
        <v>3.8500000000000227</v>
      </c>
      <c r="F531" s="3">
        <f>F$1/B531</f>
        <v>671.9075455217361</v>
      </c>
      <c r="G531" s="3">
        <f>F$1/C531</f>
        <v>222.04458655297984</v>
      </c>
      <c r="H531" s="2">
        <f>D531*F530</f>
        <v>1169.1931207939629</v>
      </c>
      <c r="I531" s="2">
        <f>E531*G530</f>
        <v>862.24272692661373</v>
      </c>
      <c r="J531" s="2">
        <f>I531-H531</f>
        <v>-306.95039386734913</v>
      </c>
      <c r="K531" s="2">
        <f t="shared" si="68"/>
        <v>306.95039386734913</v>
      </c>
      <c r="L531" s="3">
        <f>C531/B531</f>
        <v>3.0260028220116912</v>
      </c>
      <c r="M531" s="3">
        <f t="shared" si="71"/>
        <v>3.0178948515153357</v>
      </c>
      <c r="N531" s="3">
        <f t="shared" si="66"/>
        <v>3.0013148647664702</v>
      </c>
      <c r="O531" s="3">
        <f t="shared" si="67"/>
        <v>2.9702208335078204</v>
      </c>
      <c r="P531" s="3">
        <f t="shared" si="69"/>
        <v>2.8470623394874854</v>
      </c>
      <c r="Q531" s="4" t="str">
        <f t="shared" si="74"/>
        <v>OVER</v>
      </c>
      <c r="R531" s="4" t="str">
        <f t="shared" si="74"/>
        <v>OVER</v>
      </c>
      <c r="S531" s="4" t="str">
        <f t="shared" si="72"/>
        <v>OVER</v>
      </c>
      <c r="T531" s="4" t="str">
        <f t="shared" si="72"/>
        <v>OVER</v>
      </c>
      <c r="U531" s="2">
        <f>IF(Q531="OVER",$J531,$K531)</f>
        <v>-306.95039386734913</v>
      </c>
      <c r="V531" s="2">
        <f>IF(R531="OVER",$J531,$K531)</f>
        <v>-306.95039386734913</v>
      </c>
      <c r="W531" s="2">
        <f>IF(S531="OVER",$J531,$K531)</f>
        <v>-306.95039386734913</v>
      </c>
      <c r="X531" s="2">
        <f>IF(T531="OVER",$J531,$K531)</f>
        <v>-306.95039386734913</v>
      </c>
      <c r="Y531" s="9">
        <f t="shared" si="73"/>
        <v>-1844.2168175960305</v>
      </c>
      <c r="Z531" s="9">
        <f t="shared" si="73"/>
        <v>9679.7220259890346</v>
      </c>
      <c r="AA531" s="9">
        <f t="shared" si="73"/>
        <v>30719.098975290075</v>
      </c>
      <c r="AB531" s="9">
        <f t="shared" si="70"/>
        <v>11683.188396345146</v>
      </c>
    </row>
    <row r="532" spans="1:28" x14ac:dyDescent="0.3">
      <c r="A532" s="1">
        <v>45184</v>
      </c>
      <c r="B532" s="2">
        <v>147.58000000000001</v>
      </c>
      <c r="C532" s="2">
        <v>443.37</v>
      </c>
      <c r="D532" s="9">
        <f>B532-B531</f>
        <v>-1.25</v>
      </c>
      <c r="E532" s="9">
        <f>C532-C531</f>
        <v>-6.9900000000000091</v>
      </c>
      <c r="F532" s="3">
        <f>F$1/B532</f>
        <v>677.59859059493147</v>
      </c>
      <c r="G532" s="3">
        <f>F$1/C532</f>
        <v>225.54525565554729</v>
      </c>
      <c r="H532" s="2">
        <f>D532*F531</f>
        <v>-839.88443190217015</v>
      </c>
      <c r="I532" s="2">
        <f>E532*G531</f>
        <v>-1552.0916600053311</v>
      </c>
      <c r="J532" s="2">
        <f>I532-H532</f>
        <v>-712.2072281031609</v>
      </c>
      <c r="K532" s="2">
        <f t="shared" si="68"/>
        <v>712.2072281031609</v>
      </c>
      <c r="L532" s="3">
        <f>C532/B532</f>
        <v>3.0042688711207477</v>
      </c>
      <c r="M532" s="3">
        <f t="shared" si="71"/>
        <v>3.017928195404358</v>
      </c>
      <c r="N532" s="3">
        <f t="shared" si="66"/>
        <v>3.0031505365907707</v>
      </c>
      <c r="O532" s="3">
        <f t="shared" si="67"/>
        <v>2.9709528528472124</v>
      </c>
      <c r="P532" s="3">
        <f t="shared" si="69"/>
        <v>2.8484193641081546</v>
      </c>
      <c r="Q532" s="4" t="str">
        <f t="shared" si="74"/>
        <v>OVER</v>
      </c>
      <c r="R532" s="4" t="str">
        <f t="shared" si="74"/>
        <v>OVER</v>
      </c>
      <c r="S532" s="4" t="str">
        <f t="shared" si="72"/>
        <v>OVER</v>
      </c>
      <c r="T532" s="4" t="str">
        <f t="shared" si="72"/>
        <v>OVER</v>
      </c>
      <c r="U532" s="2">
        <f>IF(Q532="OVER",$J532,$K532)</f>
        <v>-712.2072281031609</v>
      </c>
      <c r="V532" s="2">
        <f>IF(R532="OVER",$J532,$K532)</f>
        <v>-712.2072281031609</v>
      </c>
      <c r="W532" s="2">
        <f>IF(S532="OVER",$J532,$K532)</f>
        <v>-712.2072281031609</v>
      </c>
      <c r="X532" s="2">
        <f>IF(T532="OVER",$J532,$K532)</f>
        <v>-712.2072281031609</v>
      </c>
      <c r="Y532" s="9">
        <f t="shared" si="73"/>
        <v>-2556.4240456991915</v>
      </c>
      <c r="Z532" s="9">
        <f t="shared" si="73"/>
        <v>8967.5147978858731</v>
      </c>
      <c r="AA532" s="9">
        <f t="shared" si="73"/>
        <v>30006.891747186914</v>
      </c>
      <c r="AB532" s="9">
        <f t="shared" si="70"/>
        <v>10970.981168241984</v>
      </c>
    </row>
    <row r="533" spans="1:28" x14ac:dyDescent="0.3">
      <c r="A533" s="1">
        <v>45187</v>
      </c>
      <c r="B533" s="2">
        <v>146.59</v>
      </c>
      <c r="C533" s="2">
        <v>443.63</v>
      </c>
      <c r="D533" s="9">
        <f>B533-B532</f>
        <v>-0.99000000000000909</v>
      </c>
      <c r="E533" s="9">
        <f>C533-C532</f>
        <v>0.25999999999999091</v>
      </c>
      <c r="F533" s="3">
        <f>F$1/B533</f>
        <v>682.17477317688792</v>
      </c>
      <c r="G533" s="3">
        <f>F$1/C533</f>
        <v>225.41306944976671</v>
      </c>
      <c r="H533" s="2">
        <f>D533*F532</f>
        <v>-670.82260468898835</v>
      </c>
      <c r="I533" s="2">
        <f>E533*G532</f>
        <v>58.641766470440245</v>
      </c>
      <c r="J533" s="2">
        <f>I533-H533</f>
        <v>729.46437115942854</v>
      </c>
      <c r="K533" s="2">
        <f t="shared" si="68"/>
        <v>-729.46437115942854</v>
      </c>
      <c r="L533" s="3">
        <f>C533/B533</f>
        <v>3.0263319462446279</v>
      </c>
      <c r="M533" s="3">
        <f t="shared" si="71"/>
        <v>3.0208470283973607</v>
      </c>
      <c r="N533" s="3">
        <f t="shared" si="66"/>
        <v>3.0062800073413509</v>
      </c>
      <c r="O533" s="3">
        <f t="shared" si="67"/>
        <v>2.9724234723807772</v>
      </c>
      <c r="P533" s="3">
        <f t="shared" si="69"/>
        <v>2.8499533495807934</v>
      </c>
      <c r="Q533" s="4" t="str">
        <f t="shared" si="74"/>
        <v>UNDER</v>
      </c>
      <c r="R533" s="4" t="str">
        <f t="shared" si="74"/>
        <v>OVER</v>
      </c>
      <c r="S533" s="4" t="str">
        <f t="shared" si="72"/>
        <v>OVER</v>
      </c>
      <c r="T533" s="4" t="str">
        <f t="shared" si="72"/>
        <v>OVER</v>
      </c>
      <c r="U533" s="2">
        <f>IF(Q533="OVER",$J533,$K533)</f>
        <v>-729.46437115942854</v>
      </c>
      <c r="V533" s="2">
        <f>IF(R533="OVER",$J533,$K533)</f>
        <v>729.46437115942854</v>
      </c>
      <c r="W533" s="2">
        <f>IF(S533="OVER",$J533,$K533)</f>
        <v>729.46437115942854</v>
      </c>
      <c r="X533" s="2">
        <f>IF(T533="OVER",$J533,$K533)</f>
        <v>729.46437115942854</v>
      </c>
      <c r="Y533" s="9">
        <f t="shared" si="73"/>
        <v>-3285.8884168586201</v>
      </c>
      <c r="Z533" s="9">
        <f t="shared" si="73"/>
        <v>9696.9791690453021</v>
      </c>
      <c r="AA533" s="9">
        <f t="shared" si="73"/>
        <v>30736.356118346343</v>
      </c>
      <c r="AB533" s="9">
        <f t="shared" si="70"/>
        <v>11700.445539401413</v>
      </c>
    </row>
    <row r="534" spans="1:28" x14ac:dyDescent="0.3">
      <c r="A534" s="1">
        <v>45188</v>
      </c>
      <c r="B534" s="2">
        <v>146.35</v>
      </c>
      <c r="C534" s="2">
        <v>442.71</v>
      </c>
      <c r="D534" s="9">
        <f>B534-B533</f>
        <v>-0.24000000000000909</v>
      </c>
      <c r="E534" s="9">
        <f>C534-C533</f>
        <v>-0.92000000000001592</v>
      </c>
      <c r="F534" s="3">
        <f>F$1/B534</f>
        <v>683.29347454731806</v>
      </c>
      <c r="G534" s="3">
        <f>F$1/C534</f>
        <v>225.88150256375508</v>
      </c>
      <c r="H534" s="2">
        <f>D534*F533</f>
        <v>-163.7219455624593</v>
      </c>
      <c r="I534" s="2">
        <f>E534*G533</f>
        <v>-207.38002389378897</v>
      </c>
      <c r="J534" s="2">
        <f>I534-H534</f>
        <v>-43.658078331329676</v>
      </c>
      <c r="K534" s="2">
        <f t="shared" si="68"/>
        <v>43.658078331329676</v>
      </c>
      <c r="L534" s="3">
        <f>C534/B534</f>
        <v>3.025008541168432</v>
      </c>
      <c r="M534" s="3">
        <f t="shared" si="71"/>
        <v>3.0211956091754901</v>
      </c>
      <c r="N534" s="3">
        <f t="shared" si="66"/>
        <v>3.008348770562761</v>
      </c>
      <c r="O534" s="3">
        <f t="shared" si="67"/>
        <v>2.9742436298574662</v>
      </c>
      <c r="P534" s="3">
        <f t="shared" si="69"/>
        <v>2.8513813085613298</v>
      </c>
      <c r="Q534" s="4" t="str">
        <f t="shared" si="74"/>
        <v>OVER</v>
      </c>
      <c r="R534" s="4" t="str">
        <f t="shared" si="74"/>
        <v>OVER</v>
      </c>
      <c r="S534" s="4" t="str">
        <f t="shared" si="72"/>
        <v>OVER</v>
      </c>
      <c r="T534" s="4" t="str">
        <f t="shared" si="72"/>
        <v>OVER</v>
      </c>
      <c r="U534" s="2">
        <f>IF(Q534="OVER",$J534,$K534)</f>
        <v>-43.658078331329676</v>
      </c>
      <c r="V534" s="2">
        <f>IF(R534="OVER",$J534,$K534)</f>
        <v>-43.658078331329676</v>
      </c>
      <c r="W534" s="2">
        <f>IF(S534="OVER",$J534,$K534)</f>
        <v>-43.658078331329676</v>
      </c>
      <c r="X534" s="2">
        <f>IF(T534="OVER",$J534,$K534)</f>
        <v>-43.658078331329676</v>
      </c>
      <c r="Y534" s="9">
        <f t="shared" si="73"/>
        <v>-3329.5464951899498</v>
      </c>
      <c r="Z534" s="9">
        <f t="shared" si="73"/>
        <v>9653.3210907139728</v>
      </c>
      <c r="AA534" s="9">
        <f t="shared" si="73"/>
        <v>30692.698040015013</v>
      </c>
      <c r="AB534" s="9">
        <f t="shared" si="70"/>
        <v>11656.787461070084</v>
      </c>
    </row>
    <row r="535" spans="1:28" x14ac:dyDescent="0.3">
      <c r="A535" s="1">
        <v>45189</v>
      </c>
      <c r="B535" s="2">
        <v>145.68</v>
      </c>
      <c r="C535" s="2">
        <v>438.64</v>
      </c>
      <c r="D535" s="9">
        <f>B535-B534</f>
        <v>-0.66999999999998749</v>
      </c>
      <c r="E535" s="9">
        <f>C535-C534</f>
        <v>-4.0699999999999932</v>
      </c>
      <c r="F535" s="3">
        <f>F$1/B535</f>
        <v>686.43602416254805</v>
      </c>
      <c r="G535" s="3">
        <f>F$1/C535</f>
        <v>227.97738464344337</v>
      </c>
      <c r="H535" s="2">
        <f>D535*F534</f>
        <v>-457.80662794669456</v>
      </c>
      <c r="I535" s="2">
        <f>E535*G534</f>
        <v>-919.33771543448165</v>
      </c>
      <c r="J535" s="2">
        <f>I535-H535</f>
        <v>-461.53108748778709</v>
      </c>
      <c r="K535" s="2">
        <f t="shared" si="68"/>
        <v>461.53108748778709</v>
      </c>
      <c r="L535" s="3">
        <f>C535/B535</f>
        <v>3.0109829763866007</v>
      </c>
      <c r="M535" s="3">
        <f t="shared" si="71"/>
        <v>3.0211398270409169</v>
      </c>
      <c r="N535" s="3">
        <f t="shared" ref="N535:N598" si="75">AVERAGE(L516:L535)</f>
        <v>3.0095319958803519</v>
      </c>
      <c r="O535" s="3">
        <f t="shared" si="67"/>
        <v>2.9760681461886822</v>
      </c>
      <c r="P535" s="3">
        <f t="shared" si="69"/>
        <v>2.852768505534117</v>
      </c>
      <c r="Q535" s="4" t="str">
        <f t="shared" si="74"/>
        <v>OVER</v>
      </c>
      <c r="R535" s="4" t="str">
        <f t="shared" si="74"/>
        <v>OVER</v>
      </c>
      <c r="S535" s="4" t="str">
        <f t="shared" si="72"/>
        <v>OVER</v>
      </c>
      <c r="T535" s="4" t="str">
        <f t="shared" si="72"/>
        <v>OVER</v>
      </c>
      <c r="U535" s="2">
        <f>IF(Q535="OVER",$J535,$K535)</f>
        <v>-461.53108748778709</v>
      </c>
      <c r="V535" s="2">
        <f>IF(R535="OVER",$J535,$K535)</f>
        <v>-461.53108748778709</v>
      </c>
      <c r="W535" s="2">
        <f>IF(S535="OVER",$J535,$K535)</f>
        <v>-461.53108748778709</v>
      </c>
      <c r="X535" s="2">
        <f>IF(T535="OVER",$J535,$K535)</f>
        <v>-461.53108748778709</v>
      </c>
      <c r="Y535" s="9">
        <f t="shared" si="73"/>
        <v>-3791.0775826777372</v>
      </c>
      <c r="Z535" s="9">
        <f t="shared" si="73"/>
        <v>9191.7900032261859</v>
      </c>
      <c r="AA535" s="9">
        <f t="shared" si="73"/>
        <v>30231.166952527226</v>
      </c>
      <c r="AB535" s="9">
        <f t="shared" si="70"/>
        <v>11195.256373582297</v>
      </c>
    </row>
    <row r="536" spans="1:28" x14ac:dyDescent="0.3">
      <c r="A536" s="1">
        <v>45190</v>
      </c>
      <c r="B536" s="2">
        <v>143.26</v>
      </c>
      <c r="C536" s="2">
        <v>431.39</v>
      </c>
      <c r="D536" s="9">
        <f>B536-B535</f>
        <v>-2.4200000000000159</v>
      </c>
      <c r="E536" s="9">
        <f>C536-C535</f>
        <v>-7.25</v>
      </c>
      <c r="F536" s="3">
        <f>F$1/B536</f>
        <v>698.0315510261064</v>
      </c>
      <c r="G536" s="3">
        <f>F$1/C536</f>
        <v>231.80880409837965</v>
      </c>
      <c r="H536" s="2">
        <f>D536*F535</f>
        <v>-1661.1751784733772</v>
      </c>
      <c r="I536" s="2">
        <f>E536*G535</f>
        <v>-1652.8360386649645</v>
      </c>
      <c r="J536" s="2">
        <f>I536-H536</f>
        <v>8.3391398084127104</v>
      </c>
      <c r="K536" s="2">
        <f t="shared" si="68"/>
        <v>-8.3391398084127104</v>
      </c>
      <c r="L536" s="3">
        <f>C536/B536</f>
        <v>3.0112383079715204</v>
      </c>
      <c r="M536" s="3">
        <f t="shared" si="71"/>
        <v>3.0208339248119138</v>
      </c>
      <c r="N536" s="3">
        <f t="shared" si="75"/>
        <v>3.0103102883159147</v>
      </c>
      <c r="O536" s="3">
        <f t="shared" si="67"/>
        <v>2.9776985875977182</v>
      </c>
      <c r="P536" s="3">
        <f t="shared" si="69"/>
        <v>2.8541644983362278</v>
      </c>
      <c r="Q536" s="4" t="str">
        <f t="shared" si="74"/>
        <v>UNDER</v>
      </c>
      <c r="R536" s="4" t="str">
        <f t="shared" si="74"/>
        <v>OVER</v>
      </c>
      <c r="S536" s="4" t="str">
        <f t="shared" si="72"/>
        <v>OVER</v>
      </c>
      <c r="T536" s="4" t="str">
        <f t="shared" si="72"/>
        <v>OVER</v>
      </c>
      <c r="U536" s="2">
        <f>IF(Q536="OVER",$J536,$K536)</f>
        <v>-8.3391398084127104</v>
      </c>
      <c r="V536" s="2">
        <f>IF(R536="OVER",$J536,$K536)</f>
        <v>8.3391398084127104</v>
      </c>
      <c r="W536" s="2">
        <f>IF(S536="OVER",$J536,$K536)</f>
        <v>8.3391398084127104</v>
      </c>
      <c r="X536" s="2">
        <f>IF(T536="OVER",$J536,$K536)</f>
        <v>8.3391398084127104</v>
      </c>
      <c r="Y536" s="9">
        <f t="shared" si="73"/>
        <v>-3799.4167224861499</v>
      </c>
      <c r="Z536" s="9">
        <f t="shared" si="73"/>
        <v>9200.1291430345991</v>
      </c>
      <c r="AA536" s="9">
        <f t="shared" si="73"/>
        <v>30239.50609233564</v>
      </c>
      <c r="AB536" s="9">
        <f t="shared" si="70"/>
        <v>11203.59551339071</v>
      </c>
    </row>
    <row r="537" spans="1:28" x14ac:dyDescent="0.3">
      <c r="A537" s="1">
        <v>45191</v>
      </c>
      <c r="B537" s="2">
        <v>142.69</v>
      </c>
      <c r="C537" s="2">
        <v>430.42</v>
      </c>
      <c r="D537" s="9">
        <f>B537-B536</f>
        <v>-0.56999999999999318</v>
      </c>
      <c r="E537" s="9">
        <f>C537-C536</f>
        <v>-0.96999999999997044</v>
      </c>
      <c r="F537" s="3">
        <f>F$1/B537</f>
        <v>700.81995935244242</v>
      </c>
      <c r="G537" s="3">
        <f>F$1/C537</f>
        <v>232.33121137493609</v>
      </c>
      <c r="H537" s="2">
        <f>D537*F536</f>
        <v>-397.87798408487589</v>
      </c>
      <c r="I537" s="2">
        <f>E537*G536</f>
        <v>-224.8545399754214</v>
      </c>
      <c r="J537" s="2">
        <f>I537-H537</f>
        <v>173.02344410945449</v>
      </c>
      <c r="K537" s="2">
        <f t="shared" si="68"/>
        <v>-173.02344410945449</v>
      </c>
      <c r="L537" s="3">
        <f>C537/B537</f>
        <v>3.0164692690447827</v>
      </c>
      <c r="M537" s="3">
        <f t="shared" si="71"/>
        <v>3.0207402489395547</v>
      </c>
      <c r="N537" s="3">
        <f t="shared" si="75"/>
        <v>3.0119939961868054</v>
      </c>
      <c r="O537" s="3">
        <f t="shared" si="67"/>
        <v>2.9792465922254765</v>
      </c>
      <c r="P537" s="3">
        <f t="shared" si="69"/>
        <v>2.8555678771338688</v>
      </c>
      <c r="Q537" s="4" t="str">
        <f t="shared" si="74"/>
        <v>UNDER</v>
      </c>
      <c r="R537" s="4" t="str">
        <f t="shared" si="74"/>
        <v>OVER</v>
      </c>
      <c r="S537" s="4" t="str">
        <f t="shared" si="72"/>
        <v>OVER</v>
      </c>
      <c r="T537" s="4" t="str">
        <f t="shared" si="72"/>
        <v>OVER</v>
      </c>
      <c r="U537" s="2">
        <f>IF(Q537="OVER",$J537,$K537)</f>
        <v>-173.02344410945449</v>
      </c>
      <c r="V537" s="2">
        <f>IF(R537="OVER",$J537,$K537)</f>
        <v>173.02344410945449</v>
      </c>
      <c r="W537" s="2">
        <f>IF(S537="OVER",$J537,$K537)</f>
        <v>173.02344410945449</v>
      </c>
      <c r="X537" s="2">
        <f>IF(T537="OVER",$J537,$K537)</f>
        <v>173.02344410945449</v>
      </c>
      <c r="Y537" s="9">
        <f t="shared" si="73"/>
        <v>-3972.4401665956043</v>
      </c>
      <c r="Z537" s="9">
        <f t="shared" si="73"/>
        <v>9373.1525871440535</v>
      </c>
      <c r="AA537" s="9">
        <f t="shared" si="73"/>
        <v>30412.529536445094</v>
      </c>
      <c r="AB537" s="9">
        <f t="shared" si="70"/>
        <v>11376.618957500164</v>
      </c>
    </row>
    <row r="538" spans="1:28" x14ac:dyDescent="0.3">
      <c r="A538" s="1">
        <v>45194</v>
      </c>
      <c r="B538" s="2">
        <v>143.05000000000001</v>
      </c>
      <c r="C538" s="2">
        <v>432.23</v>
      </c>
      <c r="D538" s="9">
        <f>B538-B537</f>
        <v>0.36000000000001364</v>
      </c>
      <c r="E538" s="9">
        <f>C538-C537</f>
        <v>1.8100000000000023</v>
      </c>
      <c r="F538" s="3">
        <f>F$1/B538</f>
        <v>699.0562740300594</v>
      </c>
      <c r="G538" s="3">
        <f>F$1/C538</f>
        <v>231.35830460634384</v>
      </c>
      <c r="H538" s="2">
        <f>D538*F537</f>
        <v>252.29518536688883</v>
      </c>
      <c r="I538" s="2">
        <f>E538*G537</f>
        <v>420.51949258863488</v>
      </c>
      <c r="J538" s="2">
        <f>I538-H538</f>
        <v>168.22430722174605</v>
      </c>
      <c r="K538" s="2">
        <f t="shared" si="68"/>
        <v>-168.22430722174605</v>
      </c>
      <c r="L538" s="3">
        <f>C538/B538</f>
        <v>3.0215309332401259</v>
      </c>
      <c r="M538" s="3">
        <f t="shared" si="71"/>
        <v>3.0196612102735747</v>
      </c>
      <c r="N538" s="3">
        <f t="shared" si="75"/>
        <v>3.0136343632414482</v>
      </c>
      <c r="O538" s="3">
        <f t="shared" si="67"/>
        <v>2.9805847473890283</v>
      </c>
      <c r="P538" s="3">
        <f t="shared" si="69"/>
        <v>2.8570444228425727</v>
      </c>
      <c r="Q538" s="4" t="str">
        <f t="shared" si="74"/>
        <v>UNDER</v>
      </c>
      <c r="R538" s="4" t="str">
        <f t="shared" si="74"/>
        <v>OVER</v>
      </c>
      <c r="S538" s="4" t="str">
        <f t="shared" si="72"/>
        <v>OVER</v>
      </c>
      <c r="T538" s="4" t="str">
        <f t="shared" si="72"/>
        <v>OVER</v>
      </c>
      <c r="U538" s="2">
        <f>IF(Q538="OVER",$J538,$K538)</f>
        <v>-168.22430722174605</v>
      </c>
      <c r="V538" s="2">
        <f>IF(R538="OVER",$J538,$K538)</f>
        <v>168.22430722174605</v>
      </c>
      <c r="W538" s="2">
        <f>IF(S538="OVER",$J538,$K538)</f>
        <v>168.22430722174605</v>
      </c>
      <c r="X538" s="2">
        <f>IF(T538="OVER",$J538,$K538)</f>
        <v>168.22430722174605</v>
      </c>
      <c r="Y538" s="9">
        <f t="shared" si="73"/>
        <v>-4140.66447381735</v>
      </c>
      <c r="Z538" s="9">
        <f t="shared" si="73"/>
        <v>9541.3768943657997</v>
      </c>
      <c r="AA538" s="9">
        <f t="shared" si="73"/>
        <v>30580.75384366684</v>
      </c>
      <c r="AB538" s="9">
        <f t="shared" si="70"/>
        <v>11544.843264721911</v>
      </c>
    </row>
    <row r="539" spans="1:28" x14ac:dyDescent="0.3">
      <c r="A539" s="1">
        <v>45195</v>
      </c>
      <c r="B539" s="2">
        <v>141.04</v>
      </c>
      <c r="C539" s="2">
        <v>425.88</v>
      </c>
      <c r="D539" s="9">
        <f>B539-B538</f>
        <v>-2.0100000000000193</v>
      </c>
      <c r="E539" s="9">
        <f>C539-C538</f>
        <v>-6.3500000000000227</v>
      </c>
      <c r="F539" s="3">
        <f>F$1/B539</f>
        <v>709.01871809415775</v>
      </c>
      <c r="G539" s="3">
        <f>F$1/C539</f>
        <v>234.80792711561944</v>
      </c>
      <c r="H539" s="2">
        <f>D539*F538</f>
        <v>-1405.1031108004329</v>
      </c>
      <c r="I539" s="2">
        <f>E539*G538</f>
        <v>-1469.1252342502887</v>
      </c>
      <c r="J539" s="2">
        <f>I539-H539</f>
        <v>-64.022123449855826</v>
      </c>
      <c r="K539" s="2">
        <f t="shared" si="68"/>
        <v>64.022123449855826</v>
      </c>
      <c r="L539" s="3">
        <f>C539/B539</f>
        <v>3.0195689166193991</v>
      </c>
      <c r="M539" s="3">
        <f t="shared" si="71"/>
        <v>3.0196614330120211</v>
      </c>
      <c r="N539" s="3">
        <f t="shared" si="75"/>
        <v>3.0153443848259078</v>
      </c>
      <c r="O539" s="3">
        <f t="shared" si="67"/>
        <v>2.9817913538146228</v>
      </c>
      <c r="P539" s="3">
        <f t="shared" si="69"/>
        <v>2.8585117030101936</v>
      </c>
      <c r="Q539" s="4" t="str">
        <f t="shared" si="74"/>
        <v>OVER</v>
      </c>
      <c r="R539" s="4" t="str">
        <f t="shared" si="74"/>
        <v>OVER</v>
      </c>
      <c r="S539" s="4" t="str">
        <f t="shared" si="72"/>
        <v>OVER</v>
      </c>
      <c r="T539" s="4" t="str">
        <f t="shared" si="72"/>
        <v>OVER</v>
      </c>
      <c r="U539" s="2">
        <f>IF(Q539="OVER",$J539,$K539)</f>
        <v>-64.022123449855826</v>
      </c>
      <c r="V539" s="2">
        <f>IF(R539="OVER",$J539,$K539)</f>
        <v>-64.022123449855826</v>
      </c>
      <c r="W539" s="2">
        <f>IF(S539="OVER",$J539,$K539)</f>
        <v>-64.022123449855826</v>
      </c>
      <c r="X539" s="2">
        <f>IF(T539="OVER",$J539,$K539)</f>
        <v>-64.022123449855826</v>
      </c>
      <c r="Y539" s="9">
        <f t="shared" si="73"/>
        <v>-4204.6865972672058</v>
      </c>
      <c r="Z539" s="9">
        <f t="shared" si="73"/>
        <v>9477.3547709159429</v>
      </c>
      <c r="AA539" s="9">
        <f t="shared" si="73"/>
        <v>30516.731720216983</v>
      </c>
      <c r="AB539" s="9">
        <f t="shared" si="70"/>
        <v>11480.821141272056</v>
      </c>
    </row>
    <row r="540" spans="1:28" x14ac:dyDescent="0.3">
      <c r="A540" s="1">
        <v>45196</v>
      </c>
      <c r="B540" s="2">
        <v>141.09</v>
      </c>
      <c r="C540" s="2">
        <v>426.05</v>
      </c>
      <c r="D540" s="9">
        <f>B540-B539</f>
        <v>5.0000000000011369E-2</v>
      </c>
      <c r="E540" s="9">
        <f>C540-C539</f>
        <v>0.17000000000001592</v>
      </c>
      <c r="F540" s="3">
        <f>F$1/B540</f>
        <v>708.76745339853994</v>
      </c>
      <c r="G540" s="3">
        <f>F$1/C540</f>
        <v>234.71423541837811</v>
      </c>
      <c r="H540" s="2">
        <f>D540*F539</f>
        <v>35.450935904715948</v>
      </c>
      <c r="I540" s="2">
        <f>E540*G539</f>
        <v>39.917347609659039</v>
      </c>
      <c r="J540" s="2">
        <f>I540-H540</f>
        <v>4.4664117049430914</v>
      </c>
      <c r="K540" s="2">
        <f t="shared" si="68"/>
        <v>-4.4664117049430914</v>
      </c>
      <c r="L540" s="3">
        <f>C540/B540</f>
        <v>3.0197037352044793</v>
      </c>
      <c r="M540" s="3">
        <f t="shared" si="71"/>
        <v>3.0181106319012407</v>
      </c>
      <c r="N540" s="3">
        <f t="shared" si="75"/>
        <v>3.0165896062574213</v>
      </c>
      <c r="O540" s="3">
        <f t="shared" si="67"/>
        <v>2.982926507519299</v>
      </c>
      <c r="P540" s="3">
        <f t="shared" si="69"/>
        <v>2.8599608934051277</v>
      </c>
      <c r="Q540" s="4" t="str">
        <f t="shared" si="74"/>
        <v>UNDER</v>
      </c>
      <c r="R540" s="4" t="str">
        <f t="shared" si="74"/>
        <v>OVER</v>
      </c>
      <c r="S540" s="4" t="str">
        <f t="shared" si="72"/>
        <v>OVER</v>
      </c>
      <c r="T540" s="4" t="str">
        <f t="shared" si="72"/>
        <v>OVER</v>
      </c>
      <c r="U540" s="2">
        <f>IF(Q540="OVER",$J540,$K540)</f>
        <v>-4.4664117049430914</v>
      </c>
      <c r="V540" s="2">
        <f>IF(R540="OVER",$J540,$K540)</f>
        <v>4.4664117049430914</v>
      </c>
      <c r="W540" s="2">
        <f>IF(S540="OVER",$J540,$K540)</f>
        <v>4.4664117049430914</v>
      </c>
      <c r="X540" s="2">
        <f>IF(T540="OVER",$J540,$K540)</f>
        <v>4.4664117049430914</v>
      </c>
      <c r="Y540" s="9">
        <f t="shared" si="73"/>
        <v>-4209.1530089721491</v>
      </c>
      <c r="Z540" s="9">
        <f t="shared" si="73"/>
        <v>9481.8211826208862</v>
      </c>
      <c r="AA540" s="9">
        <f t="shared" si="73"/>
        <v>30521.198131921927</v>
      </c>
      <c r="AB540" s="9">
        <f t="shared" si="70"/>
        <v>11485.287552976999</v>
      </c>
    </row>
    <row r="541" spans="1:28" x14ac:dyDescent="0.3">
      <c r="A541" s="1">
        <v>45197</v>
      </c>
      <c r="B541" s="2">
        <v>142.07</v>
      </c>
      <c r="C541" s="2">
        <v>428.52</v>
      </c>
      <c r="D541" s="9">
        <f>B541-B540</f>
        <v>0.97999999999998977</v>
      </c>
      <c r="E541" s="9">
        <f>C541-C540</f>
        <v>2.4699999999999704</v>
      </c>
      <c r="F541" s="3">
        <f>F$1/B541</f>
        <v>703.87836981769556</v>
      </c>
      <c r="G541" s="3">
        <f>F$1/C541</f>
        <v>233.3613366937366</v>
      </c>
      <c r="H541" s="2">
        <f>D541*F540</f>
        <v>694.59210433056194</v>
      </c>
      <c r="I541" s="2">
        <f>E541*G540</f>
        <v>579.74416148338696</v>
      </c>
      <c r="J541" s="2">
        <f>I541-H541</f>
        <v>-114.84794284717498</v>
      </c>
      <c r="K541" s="2">
        <f t="shared" si="68"/>
        <v>114.84794284717498</v>
      </c>
      <c r="L541" s="3">
        <f>C541/B541</f>
        <v>3.0162595903427887</v>
      </c>
      <c r="M541" s="3">
        <f t="shared" si="71"/>
        <v>3.0171363087343503</v>
      </c>
      <c r="N541" s="3">
        <f t="shared" si="75"/>
        <v>3.0175155801248428</v>
      </c>
      <c r="O541" s="3">
        <f t="shared" si="67"/>
        <v>2.9841540037727641</v>
      </c>
      <c r="P541" s="3">
        <f t="shared" si="69"/>
        <v>2.8613894801161281</v>
      </c>
      <c r="Q541" s="4" t="str">
        <f t="shared" si="74"/>
        <v>OVER</v>
      </c>
      <c r="R541" s="4" t="str">
        <f t="shared" si="74"/>
        <v>OVER</v>
      </c>
      <c r="S541" s="4" t="str">
        <f t="shared" si="72"/>
        <v>OVER</v>
      </c>
      <c r="T541" s="4" t="str">
        <f t="shared" si="72"/>
        <v>OVER</v>
      </c>
      <c r="U541" s="2">
        <f>IF(Q541="OVER",$J541,$K541)</f>
        <v>-114.84794284717498</v>
      </c>
      <c r="V541" s="2">
        <f>IF(R541="OVER",$J541,$K541)</f>
        <v>-114.84794284717498</v>
      </c>
      <c r="W541" s="2">
        <f>IF(S541="OVER",$J541,$K541)</f>
        <v>-114.84794284717498</v>
      </c>
      <c r="X541" s="2">
        <f>IF(T541="OVER",$J541,$K541)</f>
        <v>-114.84794284717498</v>
      </c>
      <c r="Y541" s="9">
        <f t="shared" si="73"/>
        <v>-4324.0009518193237</v>
      </c>
      <c r="Z541" s="9">
        <f t="shared" si="73"/>
        <v>9366.9732397737116</v>
      </c>
      <c r="AA541" s="9">
        <f t="shared" si="73"/>
        <v>30406.35018907475</v>
      </c>
      <c r="AB541" s="9">
        <f t="shared" si="70"/>
        <v>11370.439610129824</v>
      </c>
    </row>
    <row r="542" spans="1:28" x14ac:dyDescent="0.3">
      <c r="A542" s="1">
        <v>45198</v>
      </c>
      <c r="B542" s="2">
        <v>141.69</v>
      </c>
      <c r="C542" s="2">
        <v>427.48</v>
      </c>
      <c r="D542" s="9">
        <f>B542-B541</f>
        <v>-0.37999999999999545</v>
      </c>
      <c r="E542" s="9">
        <f>C542-C541</f>
        <v>-1.0399999999999636</v>
      </c>
      <c r="F542" s="3">
        <f>F$1/B542</f>
        <v>705.76610911144053</v>
      </c>
      <c r="G542" s="3">
        <f>F$1/C542</f>
        <v>233.92907270515579</v>
      </c>
      <c r="H542" s="2">
        <f>D542*F541</f>
        <v>-267.47378053072111</v>
      </c>
      <c r="I542" s="2">
        <f>E542*G541</f>
        <v>-242.69579016147759</v>
      </c>
      <c r="J542" s="2">
        <f>I542-H542</f>
        <v>24.777990369243525</v>
      </c>
      <c r="K542" s="2">
        <f t="shared" si="68"/>
        <v>-24.777990369243525</v>
      </c>
      <c r="L542" s="3">
        <f>C542/B542</f>
        <v>3.017008963229586</v>
      </c>
      <c r="M542" s="3">
        <f t="shared" si="71"/>
        <v>3.0184103179452344</v>
      </c>
      <c r="N542" s="3">
        <f t="shared" si="75"/>
        <v>3.0181692566747964</v>
      </c>
      <c r="O542" s="3">
        <f t="shared" si="67"/>
        <v>2.9857275315330343</v>
      </c>
      <c r="P542" s="3">
        <f t="shared" si="69"/>
        <v>2.8628258762836269</v>
      </c>
      <c r="Q542" s="4" t="str">
        <f t="shared" si="74"/>
        <v>UNDER</v>
      </c>
      <c r="R542" s="4" t="str">
        <f t="shared" si="74"/>
        <v>UNDER</v>
      </c>
      <c r="S542" s="4" t="str">
        <f t="shared" si="72"/>
        <v>OVER</v>
      </c>
      <c r="T542" s="4" t="str">
        <f t="shared" si="72"/>
        <v>OVER</v>
      </c>
      <c r="U542" s="2">
        <f>IF(Q542="OVER",$J542,$K542)</f>
        <v>-24.777990369243525</v>
      </c>
      <c r="V542" s="2">
        <f>IF(R542="OVER",$J542,$K542)</f>
        <v>-24.777990369243525</v>
      </c>
      <c r="W542" s="2">
        <f>IF(S542="OVER",$J542,$K542)</f>
        <v>24.777990369243525</v>
      </c>
      <c r="X542" s="2">
        <f>IF(T542="OVER",$J542,$K542)</f>
        <v>24.777990369243525</v>
      </c>
      <c r="Y542" s="9">
        <f t="shared" si="73"/>
        <v>-4348.7789421885673</v>
      </c>
      <c r="Z542" s="9">
        <f t="shared" si="73"/>
        <v>9342.1952494044672</v>
      </c>
      <c r="AA542" s="9">
        <f t="shared" si="73"/>
        <v>30431.128179443993</v>
      </c>
      <c r="AB542" s="9">
        <f t="shared" si="70"/>
        <v>11395.217600499069</v>
      </c>
    </row>
    <row r="543" spans="1:28" x14ac:dyDescent="0.3">
      <c r="A543" s="1">
        <v>45201</v>
      </c>
      <c r="B543" s="2">
        <v>140.09</v>
      </c>
      <c r="C543" s="2">
        <v>427.31</v>
      </c>
      <c r="D543" s="9">
        <f>B543-B542</f>
        <v>-1.5999999999999943</v>
      </c>
      <c r="E543" s="9">
        <f>C543-C542</f>
        <v>-0.17000000000001592</v>
      </c>
      <c r="F543" s="3">
        <f>F$1/B543</f>
        <v>713.82682561210652</v>
      </c>
      <c r="G543" s="3">
        <f>F$1/C543</f>
        <v>234.02213849430157</v>
      </c>
      <c r="H543" s="2">
        <f>D543*F542</f>
        <v>-1129.2257745783008</v>
      </c>
      <c r="I543" s="2">
        <f>E543*G542</f>
        <v>-39.767942359880209</v>
      </c>
      <c r="J543" s="2">
        <f>I543-H543</f>
        <v>1089.4578322184207</v>
      </c>
      <c r="K543" s="2">
        <f t="shared" si="68"/>
        <v>-1089.4578322184207</v>
      </c>
      <c r="L543" s="3">
        <f>C543/B543</f>
        <v>3.0502534085230923</v>
      </c>
      <c r="M543" s="3">
        <f t="shared" si="71"/>
        <v>3.0208024641730811</v>
      </c>
      <c r="N543" s="3">
        <f t="shared" si="75"/>
        <v>3.0208247462852205</v>
      </c>
      <c r="O543" s="3">
        <f t="shared" si="67"/>
        <v>2.9880498406352984</v>
      </c>
      <c r="P543" s="3">
        <f t="shared" si="69"/>
        <v>2.8644204877578527</v>
      </c>
      <c r="Q543" s="4" t="str">
        <f t="shared" si="74"/>
        <v>UNDER</v>
      </c>
      <c r="R543" s="4" t="str">
        <f t="shared" si="74"/>
        <v>UNDER</v>
      </c>
      <c r="S543" s="4" t="str">
        <f t="shared" si="72"/>
        <v>OVER</v>
      </c>
      <c r="T543" s="4" t="str">
        <f t="shared" si="72"/>
        <v>OVER</v>
      </c>
      <c r="U543" s="2">
        <f>IF(Q543="OVER",$J543,$K543)</f>
        <v>-1089.4578322184207</v>
      </c>
      <c r="V543" s="2">
        <f>IF(R543="OVER",$J543,$K543)</f>
        <v>-1089.4578322184207</v>
      </c>
      <c r="W543" s="2">
        <f>IF(S543="OVER",$J543,$K543)</f>
        <v>1089.4578322184207</v>
      </c>
      <c r="X543" s="2">
        <f>IF(T543="OVER",$J543,$K543)</f>
        <v>1089.4578322184207</v>
      </c>
      <c r="Y543" s="9">
        <f t="shared" si="73"/>
        <v>-5438.2367744069879</v>
      </c>
      <c r="Z543" s="9">
        <f t="shared" si="73"/>
        <v>8252.7374171860465</v>
      </c>
      <c r="AA543" s="9">
        <f t="shared" si="73"/>
        <v>31520.586011662414</v>
      </c>
      <c r="AB543" s="9">
        <f t="shared" si="70"/>
        <v>12484.675432717489</v>
      </c>
    </row>
    <row r="544" spans="1:28" x14ac:dyDescent="0.3">
      <c r="A544" s="1">
        <v>45202</v>
      </c>
      <c r="B544" s="2">
        <v>138.41</v>
      </c>
      <c r="C544" s="2">
        <v>421.59</v>
      </c>
      <c r="D544" s="9">
        <f>B544-B543</f>
        <v>-1.6800000000000068</v>
      </c>
      <c r="E544" s="9">
        <f>C544-C543</f>
        <v>-5.7200000000000273</v>
      </c>
      <c r="F544" s="3">
        <f>F$1/B544</f>
        <v>722.49114948341889</v>
      </c>
      <c r="G544" s="3">
        <f>F$1/C544</f>
        <v>237.19727697526034</v>
      </c>
      <c r="H544" s="2">
        <f>D544*F543</f>
        <v>-1199.2290670283437</v>
      </c>
      <c r="I544" s="2">
        <f>E544*G543</f>
        <v>-1338.6066321874114</v>
      </c>
      <c r="J544" s="2">
        <f>I544-H544</f>
        <v>-139.37756515906767</v>
      </c>
      <c r="K544" s="2">
        <f t="shared" si="68"/>
        <v>139.37756515906767</v>
      </c>
      <c r="L544" s="3">
        <f>C544/B544</f>
        <v>3.0459504371071455</v>
      </c>
      <c r="M544" s="3">
        <f t="shared" si="71"/>
        <v>3.0228966537669519</v>
      </c>
      <c r="N544" s="3">
        <f t="shared" si="75"/>
        <v>3.022046131471221</v>
      </c>
      <c r="O544" s="3">
        <f t="shared" si="67"/>
        <v>2.9901879512280942</v>
      </c>
      <c r="P544" s="3">
        <f t="shared" si="69"/>
        <v>2.8660002057670386</v>
      </c>
      <c r="Q544" s="4" t="str">
        <f t="shared" si="74"/>
        <v>OVER</v>
      </c>
      <c r="R544" s="4" t="str">
        <f t="shared" si="74"/>
        <v>OVER</v>
      </c>
      <c r="S544" s="4" t="str">
        <f t="shared" si="72"/>
        <v>OVER</v>
      </c>
      <c r="T544" s="4" t="str">
        <f t="shared" si="72"/>
        <v>OVER</v>
      </c>
      <c r="U544" s="2">
        <f>IF(Q544="OVER",$J544,$K544)</f>
        <v>-139.37756515906767</v>
      </c>
      <c r="V544" s="2">
        <f>IF(R544="OVER",$J544,$K544)</f>
        <v>-139.37756515906767</v>
      </c>
      <c r="W544" s="2">
        <f>IF(S544="OVER",$J544,$K544)</f>
        <v>-139.37756515906767</v>
      </c>
      <c r="X544" s="2">
        <f>IF(T544="OVER",$J544,$K544)</f>
        <v>-139.37756515906767</v>
      </c>
      <c r="Y544" s="9">
        <f t="shared" si="73"/>
        <v>-5577.6143395660556</v>
      </c>
      <c r="Z544" s="9">
        <f t="shared" si="73"/>
        <v>8113.3598520269788</v>
      </c>
      <c r="AA544" s="9">
        <f t="shared" si="73"/>
        <v>31381.208446503348</v>
      </c>
      <c r="AB544" s="9">
        <f t="shared" si="70"/>
        <v>12345.297867558422</v>
      </c>
    </row>
    <row r="545" spans="1:28" x14ac:dyDescent="0.3">
      <c r="A545" s="1">
        <v>45203</v>
      </c>
      <c r="B545" s="2">
        <v>139.19999999999999</v>
      </c>
      <c r="C545" s="2">
        <v>424.66</v>
      </c>
      <c r="D545" s="9">
        <f>B545-B544</f>
        <v>0.78999999999999204</v>
      </c>
      <c r="E545" s="9">
        <f>C545-C544</f>
        <v>3.07000000000005</v>
      </c>
      <c r="F545" s="3">
        <f>F$1/B545</f>
        <v>718.39080459770116</v>
      </c>
      <c r="G545" s="3">
        <f>F$1/C545</f>
        <v>235.48250364997878</v>
      </c>
      <c r="H545" s="2">
        <f>D545*F544</f>
        <v>570.76800809189513</v>
      </c>
      <c r="I545" s="2">
        <f>E545*G544</f>
        <v>728.19564031406105</v>
      </c>
      <c r="J545" s="2">
        <f>I545-H545</f>
        <v>157.42763222216593</v>
      </c>
      <c r="K545" s="2">
        <f t="shared" si="68"/>
        <v>-157.42763222216593</v>
      </c>
      <c r="L545" s="3">
        <f>C545/B545</f>
        <v>3.0507183908045983</v>
      </c>
      <c r="M545" s="3">
        <f t="shared" si="71"/>
        <v>3.0268701952087511</v>
      </c>
      <c r="N545" s="3">
        <f t="shared" si="75"/>
        <v>3.0240050111248342</v>
      </c>
      <c r="O545" s="3">
        <f t="shared" si="67"/>
        <v>2.9923028686723789</v>
      </c>
      <c r="P545" s="3">
        <f t="shared" si="69"/>
        <v>2.8676389399392463</v>
      </c>
      <c r="Q545" s="4" t="str">
        <f t="shared" si="74"/>
        <v>OVER</v>
      </c>
      <c r="R545" s="4" t="str">
        <f t="shared" si="74"/>
        <v>OVER</v>
      </c>
      <c r="S545" s="4" t="str">
        <f t="shared" si="72"/>
        <v>OVER</v>
      </c>
      <c r="T545" s="4" t="str">
        <f t="shared" si="72"/>
        <v>OVER</v>
      </c>
      <c r="U545" s="2">
        <f>IF(Q545="OVER",$J545,$K545)</f>
        <v>157.42763222216593</v>
      </c>
      <c r="V545" s="2">
        <f>IF(R545="OVER",$J545,$K545)</f>
        <v>157.42763222216593</v>
      </c>
      <c r="W545" s="2">
        <f>IF(S545="OVER",$J545,$K545)</f>
        <v>157.42763222216593</v>
      </c>
      <c r="X545" s="2">
        <f>IF(T545="OVER",$J545,$K545)</f>
        <v>157.42763222216593</v>
      </c>
      <c r="Y545" s="9">
        <f t="shared" si="73"/>
        <v>-5420.1867073438898</v>
      </c>
      <c r="Z545" s="9">
        <f t="shared" si="73"/>
        <v>8270.7874842491456</v>
      </c>
      <c r="AA545" s="9">
        <f t="shared" si="73"/>
        <v>31538.636078725514</v>
      </c>
      <c r="AB545" s="9">
        <f t="shared" si="70"/>
        <v>12502.725499780589</v>
      </c>
    </row>
    <row r="546" spans="1:28" x14ac:dyDescent="0.3">
      <c r="A546" s="1">
        <v>45204</v>
      </c>
      <c r="B546" s="2">
        <v>138.80000000000001</v>
      </c>
      <c r="C546" s="2">
        <v>424.5</v>
      </c>
      <c r="D546" s="9">
        <f>B546-B545</f>
        <v>-0.39999999999997726</v>
      </c>
      <c r="E546" s="9">
        <f>C546-C545</f>
        <v>-0.16000000000002501</v>
      </c>
      <c r="F546" s="3">
        <f>F$1/B546</f>
        <v>720.46109510086444</v>
      </c>
      <c r="G546" s="3">
        <f>F$1/C546</f>
        <v>235.57126030624264</v>
      </c>
      <c r="H546" s="2">
        <f>D546*F545</f>
        <v>-287.35632183906415</v>
      </c>
      <c r="I546" s="2">
        <f>E546*G545</f>
        <v>-37.677200584002492</v>
      </c>
      <c r="J546" s="2">
        <f>I546-H546</f>
        <v>249.67912125506166</v>
      </c>
      <c r="K546" s="2">
        <f t="shared" si="68"/>
        <v>-249.67912125506166</v>
      </c>
      <c r="L546" s="3">
        <f>C546/B546</f>
        <v>3.0583573487031699</v>
      </c>
      <c r="M546" s="3">
        <f t="shared" si="71"/>
        <v>3.0315820992819162</v>
      </c>
      <c r="N546" s="3">
        <f t="shared" si="75"/>
        <v>3.0262080120469155</v>
      </c>
      <c r="O546" s="3">
        <f t="shared" si="67"/>
        <v>2.9946945317754752</v>
      </c>
      <c r="P546" s="3">
        <f t="shared" si="69"/>
        <v>2.8693742043284889</v>
      </c>
      <c r="Q546" s="4" t="str">
        <f t="shared" si="74"/>
        <v>OVER</v>
      </c>
      <c r="R546" s="4" t="str">
        <f t="shared" si="74"/>
        <v>OVER</v>
      </c>
      <c r="S546" s="4" t="str">
        <f t="shared" si="72"/>
        <v>OVER</v>
      </c>
      <c r="T546" s="4" t="str">
        <f t="shared" si="72"/>
        <v>OVER</v>
      </c>
      <c r="U546" s="2">
        <f>IF(Q546="OVER",$J546,$K546)</f>
        <v>249.67912125506166</v>
      </c>
      <c r="V546" s="2">
        <f>IF(R546="OVER",$J546,$K546)</f>
        <v>249.67912125506166</v>
      </c>
      <c r="W546" s="2">
        <f>IF(S546="OVER",$J546,$K546)</f>
        <v>249.67912125506166</v>
      </c>
      <c r="X546" s="2">
        <f>IF(T546="OVER",$J546,$K546)</f>
        <v>249.67912125506166</v>
      </c>
      <c r="Y546" s="9">
        <f t="shared" si="73"/>
        <v>-5170.5075860888282</v>
      </c>
      <c r="Z546" s="9">
        <f t="shared" si="73"/>
        <v>8520.4666055042071</v>
      </c>
      <c r="AA546" s="9">
        <f t="shared" si="73"/>
        <v>31788.315199980578</v>
      </c>
      <c r="AB546" s="9">
        <f t="shared" si="70"/>
        <v>12752.40462103565</v>
      </c>
    </row>
    <row r="547" spans="1:28" x14ac:dyDescent="0.3">
      <c r="A547" s="1">
        <v>45205</v>
      </c>
      <c r="B547" s="2">
        <v>140</v>
      </c>
      <c r="C547" s="2">
        <v>429.54</v>
      </c>
      <c r="D547" s="9">
        <f>B547-B546</f>
        <v>1.1999999999999886</v>
      </c>
      <c r="E547" s="9">
        <f>C547-C546</f>
        <v>5.0400000000000205</v>
      </c>
      <c r="F547" s="3">
        <f>F$1/B547</f>
        <v>714.28571428571433</v>
      </c>
      <c r="G547" s="3">
        <f>F$1/C547</f>
        <v>232.80718908599897</v>
      </c>
      <c r="H547" s="2">
        <f>D547*F546</f>
        <v>864.55331412102919</v>
      </c>
      <c r="I547" s="2">
        <f>E547*G546</f>
        <v>1187.2791519434677</v>
      </c>
      <c r="J547" s="2">
        <f>I547-H547</f>
        <v>322.72583782243851</v>
      </c>
      <c r="K547" s="2">
        <f t="shared" si="68"/>
        <v>-322.72583782243851</v>
      </c>
      <c r="L547" s="3">
        <f>C547/B547</f>
        <v>3.0681428571428575</v>
      </c>
      <c r="M547" s="3">
        <f t="shared" si="71"/>
        <v>3.0367494580917236</v>
      </c>
      <c r="N547" s="3">
        <f t="shared" si="75"/>
        <v>3.0287448535156396</v>
      </c>
      <c r="O547" s="3">
        <f t="shared" si="67"/>
        <v>2.9971547593947707</v>
      </c>
      <c r="P547" s="3">
        <f t="shared" si="69"/>
        <v>2.8711068114739042</v>
      </c>
      <c r="Q547" s="4" t="str">
        <f t="shared" si="74"/>
        <v>OVER</v>
      </c>
      <c r="R547" s="4" t="str">
        <f t="shared" si="74"/>
        <v>OVER</v>
      </c>
      <c r="S547" s="4" t="str">
        <f t="shared" si="72"/>
        <v>OVER</v>
      </c>
      <c r="T547" s="4" t="str">
        <f t="shared" si="72"/>
        <v>OVER</v>
      </c>
      <c r="U547" s="2">
        <f>IF(Q547="OVER",$J547,$K547)</f>
        <v>322.72583782243851</v>
      </c>
      <c r="V547" s="2">
        <f>IF(R547="OVER",$J547,$K547)</f>
        <v>322.72583782243851</v>
      </c>
      <c r="W547" s="2">
        <f>IF(S547="OVER",$J547,$K547)</f>
        <v>322.72583782243851</v>
      </c>
      <c r="X547" s="2">
        <f>IF(T547="OVER",$J547,$K547)</f>
        <v>322.72583782243851</v>
      </c>
      <c r="Y547" s="9">
        <f t="shared" si="73"/>
        <v>-4847.7817482663895</v>
      </c>
      <c r="Z547" s="9">
        <f t="shared" si="73"/>
        <v>8843.1924433266449</v>
      </c>
      <c r="AA547" s="9">
        <f t="shared" si="73"/>
        <v>32111.041037803017</v>
      </c>
      <c r="AB547" s="9">
        <f t="shared" si="70"/>
        <v>13075.130458858088</v>
      </c>
    </row>
    <row r="548" spans="1:28" x14ac:dyDescent="0.3">
      <c r="A548" s="1">
        <v>45208</v>
      </c>
      <c r="B548" s="2">
        <v>141</v>
      </c>
      <c r="C548" s="2">
        <v>432.29</v>
      </c>
      <c r="D548" s="9">
        <f>B548-B547</f>
        <v>1</v>
      </c>
      <c r="E548" s="9">
        <f>C548-C547</f>
        <v>2.75</v>
      </c>
      <c r="F548" s="3">
        <f>F$1/B548</f>
        <v>709.21985815602841</v>
      </c>
      <c r="G548" s="3">
        <f>F$1/C548</f>
        <v>231.32619306484071</v>
      </c>
      <c r="H548" s="2">
        <f>D548*F547</f>
        <v>714.28571428571433</v>
      </c>
      <c r="I548" s="2">
        <f>E548*G547</f>
        <v>640.21976998649711</v>
      </c>
      <c r="J548" s="2">
        <f>I548-H548</f>
        <v>-74.065944299217222</v>
      </c>
      <c r="K548" s="2">
        <f t="shared" si="68"/>
        <v>74.065944299217222</v>
      </c>
      <c r="L548" s="3">
        <f>C548/B548</f>
        <v>3.065886524822695</v>
      </c>
      <c r="M548" s="3">
        <f t="shared" si="71"/>
        <v>3.0411850172499806</v>
      </c>
      <c r="N548" s="3">
        <f t="shared" si="75"/>
        <v>3.0304231137617781</v>
      </c>
      <c r="O548" s="3">
        <f t="shared" si="67"/>
        <v>2.9992859613938152</v>
      </c>
      <c r="P548" s="3">
        <f t="shared" si="69"/>
        <v>2.8728231654688408</v>
      </c>
      <c r="Q548" s="4" t="str">
        <f t="shared" si="74"/>
        <v>OVER</v>
      </c>
      <c r="R548" s="4" t="str">
        <f t="shared" si="74"/>
        <v>OVER</v>
      </c>
      <c r="S548" s="4" t="str">
        <f t="shared" si="72"/>
        <v>OVER</v>
      </c>
      <c r="T548" s="4" t="str">
        <f t="shared" si="72"/>
        <v>OVER</v>
      </c>
      <c r="U548" s="2">
        <f>IF(Q548="OVER",$J548,$K548)</f>
        <v>-74.065944299217222</v>
      </c>
      <c r="V548" s="2">
        <f>IF(R548="OVER",$J548,$K548)</f>
        <v>-74.065944299217222</v>
      </c>
      <c r="W548" s="2">
        <f>IF(S548="OVER",$J548,$K548)</f>
        <v>-74.065944299217222</v>
      </c>
      <c r="X548" s="2">
        <f>IF(T548="OVER",$J548,$K548)</f>
        <v>-74.065944299217222</v>
      </c>
      <c r="Y548" s="9">
        <f t="shared" si="73"/>
        <v>-4921.8476925656068</v>
      </c>
      <c r="Z548" s="9">
        <f t="shared" si="73"/>
        <v>8769.1264990274285</v>
      </c>
      <c r="AA548" s="9">
        <f t="shared" si="73"/>
        <v>32036.975093503799</v>
      </c>
      <c r="AB548" s="9">
        <f t="shared" si="70"/>
        <v>13001.064514558871</v>
      </c>
    </row>
    <row r="549" spans="1:28" x14ac:dyDescent="0.3">
      <c r="A549" s="1">
        <v>45209</v>
      </c>
      <c r="B549" s="2">
        <v>142.08000000000001</v>
      </c>
      <c r="C549" s="2">
        <v>434.54</v>
      </c>
      <c r="D549" s="9">
        <f>B549-B548</f>
        <v>1.0800000000000125</v>
      </c>
      <c r="E549" s="9">
        <f>C549-C548</f>
        <v>2.25</v>
      </c>
      <c r="F549" s="3">
        <f>F$1/B549</f>
        <v>703.82882882882882</v>
      </c>
      <c r="G549" s="3">
        <f>F$1/C549</f>
        <v>230.12841165370276</v>
      </c>
      <c r="H549" s="2">
        <f>D549*F548</f>
        <v>765.95744680851953</v>
      </c>
      <c r="I549" s="2">
        <f>E549*G548</f>
        <v>520.48393439589154</v>
      </c>
      <c r="J549" s="2">
        <f>I549-H549</f>
        <v>-245.473512412628</v>
      </c>
      <c r="K549" s="2">
        <f t="shared" si="68"/>
        <v>245.473512412628</v>
      </c>
      <c r="L549" s="3">
        <f>C549/B549</f>
        <v>3.0584177927927927</v>
      </c>
      <c r="M549" s="3">
        <f t="shared" si="71"/>
        <v>3.04506990486732</v>
      </c>
      <c r="N549" s="3">
        <f t="shared" si="75"/>
        <v>3.0323656689396712</v>
      </c>
      <c r="O549" s="3">
        <f t="shared" si="67"/>
        <v>3.0013388730347952</v>
      </c>
      <c r="P549" s="3">
        <f t="shared" si="69"/>
        <v>2.8745088991872616</v>
      </c>
      <c r="Q549" s="4" t="str">
        <f t="shared" si="74"/>
        <v>OVER</v>
      </c>
      <c r="R549" s="4" t="str">
        <f t="shared" si="74"/>
        <v>OVER</v>
      </c>
      <c r="S549" s="4" t="str">
        <f t="shared" si="72"/>
        <v>OVER</v>
      </c>
      <c r="T549" s="4" t="str">
        <f t="shared" si="72"/>
        <v>OVER</v>
      </c>
      <c r="U549" s="2">
        <f>IF(Q549="OVER",$J549,$K549)</f>
        <v>-245.473512412628</v>
      </c>
      <c r="V549" s="2">
        <f>IF(R549="OVER",$J549,$K549)</f>
        <v>-245.473512412628</v>
      </c>
      <c r="W549" s="2">
        <f>IF(S549="OVER",$J549,$K549)</f>
        <v>-245.473512412628</v>
      </c>
      <c r="X549" s="2">
        <f>IF(T549="OVER",$J549,$K549)</f>
        <v>-245.473512412628</v>
      </c>
      <c r="Y549" s="9">
        <f t="shared" si="73"/>
        <v>-5167.3212049782351</v>
      </c>
      <c r="Z549" s="9">
        <f t="shared" si="73"/>
        <v>8523.6529866148012</v>
      </c>
      <c r="AA549" s="9">
        <f t="shared" si="73"/>
        <v>31791.501581091172</v>
      </c>
      <c r="AB549" s="9">
        <f t="shared" si="70"/>
        <v>12755.591002146244</v>
      </c>
    </row>
    <row r="550" spans="1:28" x14ac:dyDescent="0.3">
      <c r="A550" s="1">
        <v>45210</v>
      </c>
      <c r="B550" s="2">
        <v>142.38</v>
      </c>
      <c r="C550" s="2">
        <v>436.32</v>
      </c>
      <c r="D550" s="9">
        <f>B550-B549</f>
        <v>0.29999999999998295</v>
      </c>
      <c r="E550" s="9">
        <f>C550-C549</f>
        <v>1.7799999999999727</v>
      </c>
      <c r="F550" s="3">
        <f>F$1/B550</f>
        <v>702.34583508919798</v>
      </c>
      <c r="G550" s="3">
        <f>F$1/C550</f>
        <v>229.1895856252292</v>
      </c>
      <c r="H550" s="2">
        <f>D550*F549</f>
        <v>211.14864864863665</v>
      </c>
      <c r="I550" s="2">
        <f>E550*G549</f>
        <v>409.62857274358464</v>
      </c>
      <c r="J550" s="2">
        <f>I550-H550</f>
        <v>198.47992409494799</v>
      </c>
      <c r="K550" s="2">
        <f t="shared" si="68"/>
        <v>-198.47992409494799</v>
      </c>
      <c r="L550" s="3">
        <f>C550/B550</f>
        <v>3.0644753476611886</v>
      </c>
      <c r="M550" s="3">
        <f t="shared" si="71"/>
        <v>3.0495470661129906</v>
      </c>
      <c r="N550" s="3">
        <f t="shared" si="75"/>
        <v>3.0338288490071159</v>
      </c>
      <c r="O550" s="3">
        <f t="shared" si="67"/>
        <v>3.0034413459523619</v>
      </c>
      <c r="P550" s="3">
        <f t="shared" si="69"/>
        <v>2.8762719056000456</v>
      </c>
      <c r="Q550" s="4" t="str">
        <f t="shared" si="74"/>
        <v>OVER</v>
      </c>
      <c r="R550" s="4" t="str">
        <f t="shared" si="74"/>
        <v>OVER</v>
      </c>
      <c r="S550" s="4" t="str">
        <f t="shared" si="72"/>
        <v>OVER</v>
      </c>
      <c r="T550" s="4" t="str">
        <f t="shared" si="72"/>
        <v>OVER</v>
      </c>
      <c r="U550" s="2">
        <f>IF(Q550="OVER",$J550,$K550)</f>
        <v>198.47992409494799</v>
      </c>
      <c r="V550" s="2">
        <f>IF(R550="OVER",$J550,$K550)</f>
        <v>198.47992409494799</v>
      </c>
      <c r="W550" s="2">
        <f>IF(S550="OVER",$J550,$K550)</f>
        <v>198.47992409494799</v>
      </c>
      <c r="X550" s="2">
        <f>IF(T550="OVER",$J550,$K550)</f>
        <v>198.47992409494799</v>
      </c>
      <c r="Y550" s="9">
        <f t="shared" si="73"/>
        <v>-4968.8412808832873</v>
      </c>
      <c r="Z550" s="9">
        <f t="shared" si="73"/>
        <v>8722.1329107097499</v>
      </c>
      <c r="AA550" s="9">
        <f t="shared" si="73"/>
        <v>31989.981505186119</v>
      </c>
      <c r="AB550" s="9">
        <f t="shared" si="70"/>
        <v>12954.070926241193</v>
      </c>
    </row>
    <row r="551" spans="1:28" x14ac:dyDescent="0.3">
      <c r="A551" s="1">
        <v>45211</v>
      </c>
      <c r="B551" s="2">
        <v>140.6</v>
      </c>
      <c r="C551" s="2">
        <v>433.66</v>
      </c>
      <c r="D551" s="9">
        <f>B551-B550</f>
        <v>-1.7800000000000011</v>
      </c>
      <c r="E551" s="9">
        <f>C551-C550</f>
        <v>-2.6599999999999682</v>
      </c>
      <c r="F551" s="3">
        <f>F$1/B551</f>
        <v>711.23755334281657</v>
      </c>
      <c r="G551" s="3">
        <f>F$1/C551</f>
        <v>230.59539731586958</v>
      </c>
      <c r="H551" s="2">
        <f>D551*F550</f>
        <v>-1250.1755864587733</v>
      </c>
      <c r="I551" s="2">
        <f>E551*G550</f>
        <v>-609.64429776310237</v>
      </c>
      <c r="J551" s="2">
        <f>I551-H551</f>
        <v>640.53128869567092</v>
      </c>
      <c r="K551" s="2">
        <f t="shared" si="68"/>
        <v>-640.53128869567092</v>
      </c>
      <c r="L551" s="3">
        <f>C551/B551</f>
        <v>3.0843527738264584</v>
      </c>
      <c r="M551" s="3">
        <f t="shared" si="71"/>
        <v>3.0563563844613584</v>
      </c>
      <c r="N551" s="3">
        <f t="shared" si="75"/>
        <v>3.0367463465978544</v>
      </c>
      <c r="O551" s="3">
        <f t="shared" si="67"/>
        <v>3.0062031494325567</v>
      </c>
      <c r="P551" s="3">
        <f t="shared" si="69"/>
        <v>2.8781431704954361</v>
      </c>
      <c r="Q551" s="4" t="str">
        <f t="shared" si="74"/>
        <v>OVER</v>
      </c>
      <c r="R551" s="4" t="str">
        <f t="shared" si="74"/>
        <v>OVER</v>
      </c>
      <c r="S551" s="4" t="str">
        <f t="shared" si="72"/>
        <v>OVER</v>
      </c>
      <c r="T551" s="4" t="str">
        <f t="shared" si="72"/>
        <v>OVER</v>
      </c>
      <c r="U551" s="2">
        <f>IF(Q551="OVER",$J551,$K551)</f>
        <v>640.53128869567092</v>
      </c>
      <c r="V551" s="2">
        <f>IF(R551="OVER",$J551,$K551)</f>
        <v>640.53128869567092</v>
      </c>
      <c r="W551" s="2">
        <f>IF(S551="OVER",$J551,$K551)</f>
        <v>640.53128869567092</v>
      </c>
      <c r="X551" s="2">
        <f>IF(T551="OVER",$J551,$K551)</f>
        <v>640.53128869567092</v>
      </c>
      <c r="Y551" s="9">
        <f t="shared" si="73"/>
        <v>-4328.3099921876164</v>
      </c>
      <c r="Z551" s="9">
        <f t="shared" si="73"/>
        <v>9362.6641994054207</v>
      </c>
      <c r="AA551" s="9">
        <f t="shared" si="73"/>
        <v>32630.51279388179</v>
      </c>
      <c r="AB551" s="9">
        <f t="shared" si="70"/>
        <v>13594.602214936864</v>
      </c>
    </row>
    <row r="552" spans="1:28" x14ac:dyDescent="0.3">
      <c r="A552" s="1">
        <v>45212</v>
      </c>
      <c r="B552" s="2">
        <v>140.29</v>
      </c>
      <c r="C552" s="2">
        <v>431.5</v>
      </c>
      <c r="D552" s="9">
        <f>B552-B551</f>
        <v>-0.31000000000000227</v>
      </c>
      <c r="E552" s="9">
        <f>C552-C551</f>
        <v>-2.160000000000025</v>
      </c>
      <c r="F552" s="3">
        <f>F$1/B552</f>
        <v>712.80918098225106</v>
      </c>
      <c r="G552" s="3">
        <f>F$1/C552</f>
        <v>231.74971031286211</v>
      </c>
      <c r="H552" s="2">
        <f>D552*F551</f>
        <v>-220.48364153627475</v>
      </c>
      <c r="I552" s="2">
        <f>E552*G551</f>
        <v>-498.08605820228405</v>
      </c>
      <c r="J552" s="2">
        <f>I552-H552</f>
        <v>-277.60241666600928</v>
      </c>
      <c r="K552" s="2">
        <f t="shared" si="68"/>
        <v>277.60241666600928</v>
      </c>
      <c r="L552" s="3">
        <f>C552/B552</f>
        <v>3.0757716159384136</v>
      </c>
      <c r="M552" s="3">
        <f t="shared" si="71"/>
        <v>3.0622326497322412</v>
      </c>
      <c r="N552" s="3">
        <f t="shared" si="75"/>
        <v>3.0403214838387376</v>
      </c>
      <c r="O552" s="3">
        <f t="shared" si="67"/>
        <v>3.0086684567677695</v>
      </c>
      <c r="P552" s="3">
        <f t="shared" si="69"/>
        <v>2.8800335577871805</v>
      </c>
      <c r="Q552" s="4" t="str">
        <f t="shared" si="74"/>
        <v>OVER</v>
      </c>
      <c r="R552" s="4" t="str">
        <f t="shared" si="74"/>
        <v>OVER</v>
      </c>
      <c r="S552" s="4" t="str">
        <f t="shared" si="72"/>
        <v>OVER</v>
      </c>
      <c r="T552" s="4" t="str">
        <f t="shared" si="72"/>
        <v>OVER</v>
      </c>
      <c r="U552" s="2">
        <f>IF(Q552="OVER",$J552,$K552)</f>
        <v>-277.60241666600928</v>
      </c>
      <c r="V552" s="2">
        <f>IF(R552="OVER",$J552,$K552)</f>
        <v>-277.60241666600928</v>
      </c>
      <c r="W552" s="2">
        <f>IF(S552="OVER",$J552,$K552)</f>
        <v>-277.60241666600928</v>
      </c>
      <c r="X552" s="2">
        <f>IF(T552="OVER",$J552,$K552)</f>
        <v>-277.60241666600928</v>
      </c>
      <c r="Y552" s="9">
        <f t="shared" si="73"/>
        <v>-4605.9124088536255</v>
      </c>
      <c r="Z552" s="9">
        <f t="shared" si="73"/>
        <v>9085.0617827394108</v>
      </c>
      <c r="AA552" s="9">
        <f t="shared" si="73"/>
        <v>32352.91037721578</v>
      </c>
      <c r="AB552" s="9">
        <f t="shared" si="70"/>
        <v>13316.999798270854</v>
      </c>
    </row>
    <row r="553" spans="1:28" x14ac:dyDescent="0.3">
      <c r="A553" s="1">
        <v>45215</v>
      </c>
      <c r="B553" s="2">
        <v>142.04</v>
      </c>
      <c r="C553" s="2">
        <v>436.04</v>
      </c>
      <c r="D553" s="9">
        <f>B553-B552</f>
        <v>1.75</v>
      </c>
      <c r="E553" s="9">
        <f>C553-C552</f>
        <v>4.5400000000000205</v>
      </c>
      <c r="F553" s="3">
        <f>F$1/B553</f>
        <v>704.02703463813009</v>
      </c>
      <c r="G553" s="3">
        <f>F$1/C553</f>
        <v>229.33675809558756</v>
      </c>
      <c r="H553" s="2">
        <f>D553*F552</f>
        <v>1247.4160667189394</v>
      </c>
      <c r="I553" s="2">
        <f>E553*G552</f>
        <v>1052.1436848203987</v>
      </c>
      <c r="J553" s="2">
        <f>I553-H553</f>
        <v>-195.27238189854074</v>
      </c>
      <c r="K553" s="2">
        <f t="shared" si="68"/>
        <v>195.27238189854074</v>
      </c>
      <c r="L553" s="3">
        <f>C553/B553</f>
        <v>3.069839481836103</v>
      </c>
      <c r="M553" s="3">
        <f t="shared" si="71"/>
        <v>3.0641912570635421</v>
      </c>
      <c r="N553" s="3">
        <f t="shared" si="75"/>
        <v>3.0424968606183116</v>
      </c>
      <c r="O553" s="3">
        <f t="shared" si="67"/>
        <v>3.0110180678661016</v>
      </c>
      <c r="P553" s="3">
        <f t="shared" si="69"/>
        <v>2.8818678646330311</v>
      </c>
      <c r="Q553" s="4" t="str">
        <f t="shared" si="74"/>
        <v>OVER</v>
      </c>
      <c r="R553" s="4" t="str">
        <f t="shared" si="74"/>
        <v>OVER</v>
      </c>
      <c r="S553" s="4" t="str">
        <f t="shared" si="72"/>
        <v>OVER</v>
      </c>
      <c r="T553" s="4" t="str">
        <f t="shared" si="72"/>
        <v>OVER</v>
      </c>
      <c r="U553" s="2">
        <f>IF(Q553="OVER",$J553,$K553)</f>
        <v>-195.27238189854074</v>
      </c>
      <c r="V553" s="2">
        <f>IF(R553="OVER",$J553,$K553)</f>
        <v>-195.27238189854074</v>
      </c>
      <c r="W553" s="2">
        <f>IF(S553="OVER",$J553,$K553)</f>
        <v>-195.27238189854074</v>
      </c>
      <c r="X553" s="2">
        <f>IF(T553="OVER",$J553,$K553)</f>
        <v>-195.27238189854074</v>
      </c>
      <c r="Y553" s="9">
        <f t="shared" si="73"/>
        <v>-4801.184790752166</v>
      </c>
      <c r="Z553" s="9">
        <f t="shared" si="73"/>
        <v>8889.7894008408693</v>
      </c>
      <c r="AA553" s="9">
        <f t="shared" si="73"/>
        <v>32157.63799531724</v>
      </c>
      <c r="AB553" s="9">
        <f t="shared" si="70"/>
        <v>13121.727416372312</v>
      </c>
    </row>
    <row r="554" spans="1:28" x14ac:dyDescent="0.3">
      <c r="A554" s="1">
        <v>45216</v>
      </c>
      <c r="B554" s="2">
        <v>142.74</v>
      </c>
      <c r="C554" s="2">
        <v>436.02</v>
      </c>
      <c r="D554" s="9">
        <f>B554-B553</f>
        <v>0.70000000000001705</v>
      </c>
      <c r="E554" s="9">
        <f>C554-C553</f>
        <v>-2.0000000000038654E-2</v>
      </c>
      <c r="F554" s="3">
        <f>F$1/B554</f>
        <v>700.57447106627433</v>
      </c>
      <c r="G554" s="3">
        <f>F$1/C554</f>
        <v>229.34727764781434</v>
      </c>
      <c r="H554" s="2">
        <f>D554*F553</f>
        <v>492.81892424670309</v>
      </c>
      <c r="I554" s="2">
        <f>E554*G553</f>
        <v>-4.5867351619206156</v>
      </c>
      <c r="J554" s="2">
        <f>I554-H554</f>
        <v>-497.40565940862371</v>
      </c>
      <c r="K554" s="2">
        <f t="shared" si="68"/>
        <v>497.40565940862371</v>
      </c>
      <c r="L554" s="3">
        <f>C554/B554</f>
        <v>3.054644808743169</v>
      </c>
      <c r="M554" s="3">
        <f t="shared" si="71"/>
        <v>3.065060694227145</v>
      </c>
      <c r="N554" s="3">
        <f t="shared" si="75"/>
        <v>3.0439786739970485</v>
      </c>
      <c r="O554" s="3">
        <f t="shared" si="67"/>
        <v>3.0130479316729923</v>
      </c>
      <c r="P554" s="3">
        <f t="shared" si="69"/>
        <v>2.883623497193986</v>
      </c>
      <c r="Q554" s="4" t="str">
        <f t="shared" si="74"/>
        <v>OVER</v>
      </c>
      <c r="R554" s="4" t="str">
        <f t="shared" si="74"/>
        <v>OVER</v>
      </c>
      <c r="S554" s="4" t="str">
        <f t="shared" si="72"/>
        <v>OVER</v>
      </c>
      <c r="T554" s="4" t="str">
        <f t="shared" si="72"/>
        <v>OVER</v>
      </c>
      <c r="U554" s="2">
        <f>IF(Q554="OVER",$J554,$K554)</f>
        <v>-497.40565940862371</v>
      </c>
      <c r="V554" s="2">
        <f>IF(R554="OVER",$J554,$K554)</f>
        <v>-497.40565940862371</v>
      </c>
      <c r="W554" s="2">
        <f>IF(S554="OVER",$J554,$K554)</f>
        <v>-497.40565940862371</v>
      </c>
      <c r="X554" s="2">
        <f>IF(T554="OVER",$J554,$K554)</f>
        <v>-497.40565940862371</v>
      </c>
      <c r="Y554" s="9">
        <f t="shared" si="73"/>
        <v>-5298.5904501607893</v>
      </c>
      <c r="Z554" s="9">
        <f t="shared" si="73"/>
        <v>8392.3837414322461</v>
      </c>
      <c r="AA554" s="9">
        <f t="shared" si="73"/>
        <v>31660.232335908615</v>
      </c>
      <c r="AB554" s="9">
        <f t="shared" si="70"/>
        <v>12624.321756963689</v>
      </c>
    </row>
    <row r="555" spans="1:28" x14ac:dyDescent="0.3">
      <c r="A555" s="1">
        <v>45217</v>
      </c>
      <c r="B555" s="2">
        <v>140.47999999999999</v>
      </c>
      <c r="C555" s="2">
        <v>430.21</v>
      </c>
      <c r="D555" s="9">
        <f>B555-B554</f>
        <v>-2.2600000000000193</v>
      </c>
      <c r="E555" s="9">
        <f>C555-C554</f>
        <v>-5.8100000000000023</v>
      </c>
      <c r="F555" s="3">
        <f>F$1/B555</f>
        <v>711.84510250569485</v>
      </c>
      <c r="G555" s="3">
        <f>F$1/C555</f>
        <v>232.4446200692685</v>
      </c>
      <c r="H555" s="2">
        <f>D555*F554</f>
        <v>-1583.2983046097936</v>
      </c>
      <c r="I555" s="2">
        <f>E555*G554</f>
        <v>-1332.5076831338017</v>
      </c>
      <c r="J555" s="2">
        <f>I555-H555</f>
        <v>250.79062147599188</v>
      </c>
      <c r="K555" s="2">
        <f t="shared" si="68"/>
        <v>-250.79062147599188</v>
      </c>
      <c r="L555" s="3">
        <f>C555/B555</f>
        <v>3.0624288154897497</v>
      </c>
      <c r="M555" s="3">
        <f t="shared" si="71"/>
        <v>3.0662317366956597</v>
      </c>
      <c r="N555" s="3">
        <f t="shared" si="75"/>
        <v>3.0465509659522061</v>
      </c>
      <c r="O555" s="3">
        <f t="shared" si="67"/>
        <v>3.0151960206918615</v>
      </c>
      <c r="P555" s="3">
        <f t="shared" si="69"/>
        <v>2.8853982961386913</v>
      </c>
      <c r="Q555" s="4" t="str">
        <f t="shared" si="74"/>
        <v>UNDER</v>
      </c>
      <c r="R555" s="4" t="str">
        <f t="shared" si="74"/>
        <v>OVER</v>
      </c>
      <c r="S555" s="4" t="str">
        <f t="shared" si="72"/>
        <v>OVER</v>
      </c>
      <c r="T555" s="4" t="str">
        <f t="shared" si="72"/>
        <v>OVER</v>
      </c>
      <c r="U555" s="2">
        <f>IF(Q555="OVER",$J555,$K555)</f>
        <v>-250.79062147599188</v>
      </c>
      <c r="V555" s="2">
        <f>IF(R555="OVER",$J555,$K555)</f>
        <v>250.79062147599188</v>
      </c>
      <c r="W555" s="2">
        <f>IF(S555="OVER",$J555,$K555)</f>
        <v>250.79062147599188</v>
      </c>
      <c r="X555" s="2">
        <f>IF(T555="OVER",$J555,$K555)</f>
        <v>250.79062147599188</v>
      </c>
      <c r="Y555" s="9">
        <f t="shared" si="73"/>
        <v>-5549.3810716367807</v>
      </c>
      <c r="Z555" s="9">
        <f t="shared" si="73"/>
        <v>8643.1743629082375</v>
      </c>
      <c r="AA555" s="9">
        <f t="shared" si="73"/>
        <v>31911.022957384608</v>
      </c>
      <c r="AB555" s="9">
        <f t="shared" si="70"/>
        <v>12875.11237843968</v>
      </c>
    </row>
    <row r="556" spans="1:28" x14ac:dyDescent="0.3">
      <c r="A556" s="1">
        <v>45218</v>
      </c>
      <c r="B556" s="2">
        <v>138.74</v>
      </c>
      <c r="C556" s="2">
        <v>426.43</v>
      </c>
      <c r="D556" s="9">
        <f>B556-B555</f>
        <v>-1.7399999999999807</v>
      </c>
      <c r="E556" s="9">
        <f>C556-C555</f>
        <v>-3.7799999999999727</v>
      </c>
      <c r="F556" s="3">
        <f>F$1/B556</f>
        <v>720.77266830041799</v>
      </c>
      <c r="G556" s="3">
        <f>F$1/C556</f>
        <v>234.5050770349178</v>
      </c>
      <c r="H556" s="2">
        <f>D556*F555</f>
        <v>-1238.6104783598953</v>
      </c>
      <c r="I556" s="2">
        <f>E556*G555</f>
        <v>-878.64066386182856</v>
      </c>
      <c r="J556" s="2">
        <f>I556-H556</f>
        <v>359.96981449806674</v>
      </c>
      <c r="K556" s="2">
        <f t="shared" si="68"/>
        <v>-359.96981449806674</v>
      </c>
      <c r="L556" s="3">
        <f>C556/B556</f>
        <v>3.0735908894334725</v>
      </c>
      <c r="M556" s="3">
        <f t="shared" si="71"/>
        <v>3.0677550907686899</v>
      </c>
      <c r="N556" s="3">
        <f t="shared" si="75"/>
        <v>3.0496685950253037</v>
      </c>
      <c r="O556" s="3">
        <f t="shared" si="67"/>
        <v>3.0177918643687889</v>
      </c>
      <c r="P556" s="3">
        <f t="shared" si="69"/>
        <v>2.8872734784770149</v>
      </c>
      <c r="Q556" s="4" t="str">
        <f t="shared" si="74"/>
        <v>UNDER</v>
      </c>
      <c r="R556" s="4" t="str">
        <f t="shared" si="74"/>
        <v>OVER</v>
      </c>
      <c r="S556" s="4" t="str">
        <f t="shared" si="72"/>
        <v>OVER</v>
      </c>
      <c r="T556" s="4" t="str">
        <f t="shared" si="72"/>
        <v>OVER</v>
      </c>
      <c r="U556" s="2">
        <f>IF(Q556="OVER",$J556,$K556)</f>
        <v>-359.96981449806674</v>
      </c>
      <c r="V556" s="2">
        <f>IF(R556="OVER",$J556,$K556)</f>
        <v>359.96981449806674</v>
      </c>
      <c r="W556" s="2">
        <f>IF(S556="OVER",$J556,$K556)</f>
        <v>359.96981449806674</v>
      </c>
      <c r="X556" s="2">
        <f>IF(T556="OVER",$J556,$K556)</f>
        <v>359.96981449806674</v>
      </c>
      <c r="Y556" s="9">
        <f t="shared" si="73"/>
        <v>-5909.3508861348473</v>
      </c>
      <c r="Z556" s="9">
        <f t="shared" si="73"/>
        <v>9003.1441774063042</v>
      </c>
      <c r="AA556" s="9">
        <f t="shared" si="73"/>
        <v>32270.992771882677</v>
      </c>
      <c r="AB556" s="9">
        <f t="shared" si="70"/>
        <v>13235.082192937747</v>
      </c>
    </row>
    <row r="557" spans="1:28" x14ac:dyDescent="0.3">
      <c r="A557" s="1">
        <v>45219</v>
      </c>
      <c r="B557" s="2">
        <v>137.01</v>
      </c>
      <c r="C557" s="2">
        <v>421.19</v>
      </c>
      <c r="D557" s="9">
        <f>B557-B556</f>
        <v>-1.7300000000000182</v>
      </c>
      <c r="E557" s="9">
        <f>C557-C556</f>
        <v>-5.2400000000000091</v>
      </c>
      <c r="F557" s="3">
        <f>F$1/B557</f>
        <v>729.87373184439093</v>
      </c>
      <c r="G557" s="3">
        <f>F$1/C557</f>
        <v>237.42254089603267</v>
      </c>
      <c r="H557" s="2">
        <f>D557*F556</f>
        <v>-1246.9367161597363</v>
      </c>
      <c r="I557" s="2">
        <f>E557*G556</f>
        <v>-1228.8066036629714</v>
      </c>
      <c r="J557" s="2">
        <f>I557-H557</f>
        <v>18.130112496764923</v>
      </c>
      <c r="K557" s="2">
        <f t="shared" si="68"/>
        <v>-18.130112496764923</v>
      </c>
      <c r="L557" s="3">
        <f>C557/B557</f>
        <v>3.0741551711553905</v>
      </c>
      <c r="M557" s="3">
        <f t="shared" si="71"/>
        <v>3.0683563221699428</v>
      </c>
      <c r="N557" s="3">
        <f t="shared" si="75"/>
        <v>3.0525528901308343</v>
      </c>
      <c r="O557" s="3">
        <f t="shared" si="67"/>
        <v>3.0203077633486277</v>
      </c>
      <c r="P557" s="3">
        <f t="shared" si="69"/>
        <v>2.8892560321725913</v>
      </c>
      <c r="Q557" s="4" t="str">
        <f t="shared" si="74"/>
        <v>OVER</v>
      </c>
      <c r="R557" s="4" t="str">
        <f t="shared" si="74"/>
        <v>OVER</v>
      </c>
      <c r="S557" s="4" t="str">
        <f t="shared" si="72"/>
        <v>OVER</v>
      </c>
      <c r="T557" s="4" t="str">
        <f t="shared" si="72"/>
        <v>OVER</v>
      </c>
      <c r="U557" s="2">
        <f>IF(Q557="OVER",$J557,$K557)</f>
        <v>18.130112496764923</v>
      </c>
      <c r="V557" s="2">
        <f>IF(R557="OVER",$J557,$K557)</f>
        <v>18.130112496764923</v>
      </c>
      <c r="W557" s="2">
        <f>IF(S557="OVER",$J557,$K557)</f>
        <v>18.130112496764923</v>
      </c>
      <c r="X557" s="2">
        <f>IF(T557="OVER",$J557,$K557)</f>
        <v>18.130112496764923</v>
      </c>
      <c r="Y557" s="9">
        <f t="shared" si="73"/>
        <v>-5891.2207736380824</v>
      </c>
      <c r="Z557" s="9">
        <f t="shared" si="73"/>
        <v>9021.2742899030691</v>
      </c>
      <c r="AA557" s="9">
        <f t="shared" si="73"/>
        <v>32289.122884379442</v>
      </c>
      <c r="AB557" s="9">
        <f t="shared" si="70"/>
        <v>13253.212305434512</v>
      </c>
    </row>
    <row r="558" spans="1:28" x14ac:dyDescent="0.3">
      <c r="A558" s="1">
        <v>45222</v>
      </c>
      <c r="B558" s="2">
        <v>136.13999999999999</v>
      </c>
      <c r="C558" s="2">
        <v>420.46</v>
      </c>
      <c r="D558" s="9">
        <f>B558-B557</f>
        <v>-0.87000000000000455</v>
      </c>
      <c r="E558" s="9">
        <f>C558-C557</f>
        <v>-0.73000000000001819</v>
      </c>
      <c r="F558" s="3">
        <f>F$1/B558</f>
        <v>734.53797561333931</v>
      </c>
      <c r="G558" s="3">
        <f>F$1/C558</f>
        <v>237.83475241402274</v>
      </c>
      <c r="H558" s="2">
        <f>D558*F557</f>
        <v>-634.99014670462338</v>
      </c>
      <c r="I558" s="2">
        <f>E558*G557</f>
        <v>-173.31845485410818</v>
      </c>
      <c r="J558" s="2">
        <f>I558-H558</f>
        <v>461.67169185051523</v>
      </c>
      <c r="K558" s="2">
        <f t="shared" si="68"/>
        <v>-461.67169185051523</v>
      </c>
      <c r="L558" s="3">
        <f>C558/B558</f>
        <v>3.088438372263846</v>
      </c>
      <c r="M558" s="3">
        <f t="shared" si="71"/>
        <v>3.0706115069140578</v>
      </c>
      <c r="N558" s="3">
        <f t="shared" si="75"/>
        <v>3.0558982620820201</v>
      </c>
      <c r="O558" s="3">
        <f t="shared" si="67"/>
        <v>3.0231553963984528</v>
      </c>
      <c r="P558" s="3">
        <f t="shared" si="69"/>
        <v>2.8913237616493648</v>
      </c>
      <c r="Q558" s="4" t="str">
        <f t="shared" si="74"/>
        <v>OVER</v>
      </c>
      <c r="R558" s="4" t="str">
        <f t="shared" si="74"/>
        <v>OVER</v>
      </c>
      <c r="S558" s="4" t="str">
        <f t="shared" si="72"/>
        <v>OVER</v>
      </c>
      <c r="T558" s="4" t="str">
        <f t="shared" si="72"/>
        <v>OVER</v>
      </c>
      <c r="U558" s="2">
        <f>IF(Q558="OVER",$J558,$K558)</f>
        <v>461.67169185051523</v>
      </c>
      <c r="V558" s="2">
        <f>IF(R558="OVER",$J558,$K558)</f>
        <v>461.67169185051523</v>
      </c>
      <c r="W558" s="2">
        <f>IF(S558="OVER",$J558,$K558)</f>
        <v>461.67169185051523</v>
      </c>
      <c r="X558" s="2">
        <f>IF(T558="OVER",$J558,$K558)</f>
        <v>461.67169185051523</v>
      </c>
      <c r="Y558" s="9">
        <f t="shared" si="73"/>
        <v>-5429.549081787567</v>
      </c>
      <c r="Z558" s="9">
        <f t="shared" si="73"/>
        <v>9482.9459817535844</v>
      </c>
      <c r="AA558" s="9">
        <f t="shared" si="73"/>
        <v>32750.794576229957</v>
      </c>
      <c r="AB558" s="9">
        <f t="shared" si="70"/>
        <v>13714.883997285027</v>
      </c>
    </row>
    <row r="559" spans="1:28" x14ac:dyDescent="0.3">
      <c r="A559" s="1">
        <v>45223</v>
      </c>
      <c r="B559" s="2">
        <v>137.01</v>
      </c>
      <c r="C559" s="2">
        <v>423.63</v>
      </c>
      <c r="D559" s="9">
        <f>B559-B558</f>
        <v>0.87000000000000455</v>
      </c>
      <c r="E559" s="9">
        <f>C559-C558</f>
        <v>3.1700000000000159</v>
      </c>
      <c r="F559" s="3">
        <f>F$1/B559</f>
        <v>729.87373184439093</v>
      </c>
      <c r="G559" s="3">
        <f>F$1/C559</f>
        <v>236.05504803720228</v>
      </c>
      <c r="H559" s="2">
        <f>D559*F558</f>
        <v>639.04803878360849</v>
      </c>
      <c r="I559" s="2">
        <f>E559*G558</f>
        <v>753.93616515245594</v>
      </c>
      <c r="J559" s="2">
        <f>I559-H559</f>
        <v>114.88812636884745</v>
      </c>
      <c r="K559" s="2">
        <f t="shared" si="68"/>
        <v>-114.88812636884745</v>
      </c>
      <c r="L559" s="3">
        <f>C559/B559</f>
        <v>3.0919640902123935</v>
      </c>
      <c r="M559" s="3">
        <f t="shared" si="71"/>
        <v>3.073966136656018</v>
      </c>
      <c r="N559" s="3">
        <f t="shared" si="75"/>
        <v>3.0595180207616695</v>
      </c>
      <c r="O559" s="3">
        <f t="shared" si="67"/>
        <v>3.0257365454335923</v>
      </c>
      <c r="P559" s="3">
        <f t="shared" si="69"/>
        <v>2.8934227062483306</v>
      </c>
      <c r="Q559" s="4" t="str">
        <f t="shared" si="74"/>
        <v>OVER</v>
      </c>
      <c r="R559" s="4" t="str">
        <f t="shared" si="74"/>
        <v>OVER</v>
      </c>
      <c r="S559" s="4" t="str">
        <f t="shared" si="72"/>
        <v>OVER</v>
      </c>
      <c r="T559" s="4" t="str">
        <f t="shared" si="72"/>
        <v>OVER</v>
      </c>
      <c r="U559" s="2">
        <f>IF(Q559="OVER",$J559,$K559)</f>
        <v>114.88812636884745</v>
      </c>
      <c r="V559" s="2">
        <f>IF(R559="OVER",$J559,$K559)</f>
        <v>114.88812636884745</v>
      </c>
      <c r="W559" s="2">
        <f>IF(S559="OVER",$J559,$K559)</f>
        <v>114.88812636884745</v>
      </c>
      <c r="X559" s="2">
        <f>IF(T559="OVER",$J559,$K559)</f>
        <v>114.88812636884745</v>
      </c>
      <c r="Y559" s="9">
        <f t="shared" si="73"/>
        <v>-5314.6609554187198</v>
      </c>
      <c r="Z559" s="9">
        <f t="shared" si="73"/>
        <v>9597.8341081224316</v>
      </c>
      <c r="AA559" s="9">
        <f t="shared" si="73"/>
        <v>32865.682702598802</v>
      </c>
      <c r="AB559" s="9">
        <f t="shared" si="70"/>
        <v>13829.772123653875</v>
      </c>
    </row>
    <row r="560" spans="1:28" x14ac:dyDescent="0.3">
      <c r="A560" s="1">
        <v>45224</v>
      </c>
      <c r="B560" s="2">
        <v>135.5</v>
      </c>
      <c r="C560" s="2">
        <v>417.55</v>
      </c>
      <c r="D560" s="9">
        <f>B560-B559</f>
        <v>-1.5099999999999909</v>
      </c>
      <c r="E560" s="9">
        <f>C560-C559</f>
        <v>-6.0799999999999841</v>
      </c>
      <c r="F560" s="3">
        <f>F$1/B560</f>
        <v>738.00738007380073</v>
      </c>
      <c r="G560" s="3">
        <f>F$1/C560</f>
        <v>239.49227637408694</v>
      </c>
      <c r="H560" s="2">
        <f>D560*F559</f>
        <v>-1102.1093350850238</v>
      </c>
      <c r="I560" s="2">
        <f>E560*G559</f>
        <v>-1435.2146920661862</v>
      </c>
      <c r="J560" s="2">
        <f>I560-H560</f>
        <v>-333.10535698116246</v>
      </c>
      <c r="K560" s="2">
        <f t="shared" si="68"/>
        <v>333.10535698116246</v>
      </c>
      <c r="L560" s="3">
        <f>C560/B560</f>
        <v>3.0815498154981551</v>
      </c>
      <c r="M560" s="3">
        <f t="shared" si="71"/>
        <v>3.0756735834397149</v>
      </c>
      <c r="N560" s="3">
        <f t="shared" si="75"/>
        <v>3.0626103247763536</v>
      </c>
      <c r="O560" s="3">
        <f t="shared" si="67"/>
        <v>3.028018798024962</v>
      </c>
      <c r="P560" s="3">
        <f t="shared" si="69"/>
        <v>2.8954826681415695</v>
      </c>
      <c r="Q560" s="4" t="str">
        <f t="shared" si="74"/>
        <v>OVER</v>
      </c>
      <c r="R560" s="4" t="str">
        <f t="shared" si="74"/>
        <v>OVER</v>
      </c>
      <c r="S560" s="4" t="str">
        <f t="shared" si="72"/>
        <v>OVER</v>
      </c>
      <c r="T560" s="4" t="str">
        <f t="shared" si="72"/>
        <v>OVER</v>
      </c>
      <c r="U560" s="2">
        <f>IF(Q560="OVER",$J560,$K560)</f>
        <v>-333.10535698116246</v>
      </c>
      <c r="V560" s="2">
        <f>IF(R560="OVER",$J560,$K560)</f>
        <v>-333.10535698116246</v>
      </c>
      <c r="W560" s="2">
        <f>IF(S560="OVER",$J560,$K560)</f>
        <v>-333.10535698116246</v>
      </c>
      <c r="X560" s="2">
        <f>IF(T560="OVER",$J560,$K560)</f>
        <v>-333.10535698116246</v>
      </c>
      <c r="Y560" s="9">
        <f t="shared" si="73"/>
        <v>-5647.7663123998827</v>
      </c>
      <c r="Z560" s="9">
        <f t="shared" si="73"/>
        <v>9264.7287511412687</v>
      </c>
      <c r="AA560" s="9">
        <f t="shared" si="73"/>
        <v>32532.577345617639</v>
      </c>
      <c r="AB560" s="9">
        <f t="shared" si="70"/>
        <v>13496.666766672712</v>
      </c>
    </row>
    <row r="561" spans="1:28" x14ac:dyDescent="0.3">
      <c r="A561" s="1">
        <v>45225</v>
      </c>
      <c r="B561" s="2">
        <v>135.22</v>
      </c>
      <c r="C561" s="2">
        <v>412.55</v>
      </c>
      <c r="D561" s="9">
        <f>B561-B560</f>
        <v>-0.28000000000000114</v>
      </c>
      <c r="E561" s="9">
        <f>C561-C560</f>
        <v>-5</v>
      </c>
      <c r="F561" s="3">
        <f>F$1/B561</f>
        <v>739.53557166099688</v>
      </c>
      <c r="G561" s="3">
        <f>F$1/C561</f>
        <v>242.39486122894195</v>
      </c>
      <c r="H561" s="2">
        <f>D561*F560</f>
        <v>-206.64206642066503</v>
      </c>
      <c r="I561" s="2">
        <f>E561*G560</f>
        <v>-1197.4613818704347</v>
      </c>
      <c r="J561" s="2">
        <f>I561-H561</f>
        <v>-990.81931544976965</v>
      </c>
      <c r="K561" s="2">
        <f t="shared" si="68"/>
        <v>990.81931544976965</v>
      </c>
      <c r="L561" s="3">
        <f>C561/B561</f>
        <v>3.050954000887443</v>
      </c>
      <c r="M561" s="3">
        <f t="shared" si="71"/>
        <v>3.0723337061458134</v>
      </c>
      <c r="N561" s="3">
        <f t="shared" si="75"/>
        <v>3.0643450453035865</v>
      </c>
      <c r="O561" s="3">
        <f t="shared" si="67"/>
        <v>3.0296912257748918</v>
      </c>
      <c r="P561" s="3">
        <f t="shared" si="69"/>
        <v>2.8973961346892505</v>
      </c>
      <c r="Q561" s="4" t="str">
        <f t="shared" si="74"/>
        <v>OVER</v>
      </c>
      <c r="R561" s="4" t="str">
        <f t="shared" si="74"/>
        <v>OVER</v>
      </c>
      <c r="S561" s="4" t="str">
        <f t="shared" si="72"/>
        <v>OVER</v>
      </c>
      <c r="T561" s="4" t="str">
        <f t="shared" si="72"/>
        <v>OVER</v>
      </c>
      <c r="U561" s="2">
        <f>IF(Q561="OVER",$J561,$K561)</f>
        <v>-990.81931544976965</v>
      </c>
      <c r="V561" s="2">
        <f>IF(R561="OVER",$J561,$K561)</f>
        <v>-990.81931544976965</v>
      </c>
      <c r="W561" s="2">
        <f>IF(S561="OVER",$J561,$K561)</f>
        <v>-990.81931544976965</v>
      </c>
      <c r="X561" s="2">
        <f>IF(T561="OVER",$J561,$K561)</f>
        <v>-990.81931544976965</v>
      </c>
      <c r="Y561" s="9">
        <f t="shared" si="73"/>
        <v>-6638.5856278496522</v>
      </c>
      <c r="Z561" s="9">
        <f t="shared" si="73"/>
        <v>8273.9094356914993</v>
      </c>
      <c r="AA561" s="9">
        <f t="shared" si="73"/>
        <v>31541.758030167868</v>
      </c>
      <c r="AB561" s="9">
        <f t="shared" si="70"/>
        <v>12505.847451222942</v>
      </c>
    </row>
    <row r="562" spans="1:28" x14ac:dyDescent="0.3">
      <c r="A562" s="1">
        <v>45226</v>
      </c>
      <c r="B562" s="2">
        <v>133.66</v>
      </c>
      <c r="C562" s="2">
        <v>410.68</v>
      </c>
      <c r="D562" s="9">
        <f>B562-B561</f>
        <v>-1.5600000000000023</v>
      </c>
      <c r="E562" s="9">
        <f>C562-C561</f>
        <v>-1.8700000000000045</v>
      </c>
      <c r="F562" s="3">
        <f>F$1/B562</f>
        <v>748.1669908723627</v>
      </c>
      <c r="G562" s="3">
        <f>F$1/C562</f>
        <v>243.49858770819128</v>
      </c>
      <c r="H562" s="2">
        <f>D562*F561</f>
        <v>-1153.6754917911569</v>
      </c>
      <c r="I562" s="2">
        <f>E562*G561</f>
        <v>-453.27839049812252</v>
      </c>
      <c r="J562" s="2">
        <f>I562-H562</f>
        <v>700.39710129303444</v>
      </c>
      <c r="K562" s="2">
        <f t="shared" si="68"/>
        <v>-700.39710129303444</v>
      </c>
      <c r="L562" s="3">
        <f>C562/B562</f>
        <v>3.0725721981146195</v>
      </c>
      <c r="M562" s="3">
        <f t="shared" si="71"/>
        <v>3.072013764363434</v>
      </c>
      <c r="N562" s="3">
        <f t="shared" si="75"/>
        <v>3.067123207047838</v>
      </c>
      <c r="O562" s="3">
        <f t="shared" si="67"/>
        <v>3.0317915610444897</v>
      </c>
      <c r="P562" s="3">
        <f t="shared" si="69"/>
        <v>2.8994112634983975</v>
      </c>
      <c r="Q562" s="4" t="str">
        <f t="shared" si="74"/>
        <v>UNDER</v>
      </c>
      <c r="R562" s="4" t="str">
        <f t="shared" si="74"/>
        <v>UNDER</v>
      </c>
      <c r="S562" s="4" t="str">
        <f t="shared" si="72"/>
        <v>OVER</v>
      </c>
      <c r="T562" s="4" t="str">
        <f t="shared" si="72"/>
        <v>OVER</v>
      </c>
      <c r="U562" s="2">
        <f>IF(Q562="OVER",$J562,$K562)</f>
        <v>-700.39710129303444</v>
      </c>
      <c r="V562" s="2">
        <f>IF(R562="OVER",$J562,$K562)</f>
        <v>-700.39710129303444</v>
      </c>
      <c r="W562" s="2">
        <f>IF(S562="OVER",$J562,$K562)</f>
        <v>700.39710129303444</v>
      </c>
      <c r="X562" s="2">
        <f>IF(T562="OVER",$J562,$K562)</f>
        <v>700.39710129303444</v>
      </c>
      <c r="Y562" s="9">
        <f t="shared" si="73"/>
        <v>-7338.9827291426864</v>
      </c>
      <c r="Z562" s="9">
        <f t="shared" si="73"/>
        <v>7573.5123343984651</v>
      </c>
      <c r="AA562" s="9">
        <f t="shared" si="73"/>
        <v>32242.155131460902</v>
      </c>
      <c r="AB562" s="9">
        <f t="shared" si="70"/>
        <v>13206.244552515976</v>
      </c>
    </row>
    <row r="563" spans="1:28" x14ac:dyDescent="0.3">
      <c r="A563" s="1">
        <v>45229</v>
      </c>
      <c r="B563" s="2">
        <v>134.71</v>
      </c>
      <c r="C563" s="2">
        <v>415.59</v>
      </c>
      <c r="D563" s="9">
        <f>B563-B562</f>
        <v>1.0500000000000114</v>
      </c>
      <c r="E563" s="9">
        <f>C563-C562</f>
        <v>4.9099999999999682</v>
      </c>
      <c r="F563" s="3">
        <f>F$1/B563</f>
        <v>742.33538712790437</v>
      </c>
      <c r="G563" s="3">
        <f>F$1/C563</f>
        <v>240.62176664501072</v>
      </c>
      <c r="H563" s="2">
        <f>D563*F562</f>
        <v>785.57534041598933</v>
      </c>
      <c r="I563" s="2">
        <f>E563*G562</f>
        <v>1195.5780656472114</v>
      </c>
      <c r="J563" s="2">
        <f>I563-H563</f>
        <v>410.00272523122203</v>
      </c>
      <c r="K563" s="2">
        <f t="shared" si="68"/>
        <v>-410.00272523122203</v>
      </c>
      <c r="L563" s="3">
        <f>C563/B563</f>
        <v>3.0850716353648573</v>
      </c>
      <c r="M563" s="3">
        <f t="shared" si="71"/>
        <v>3.0735369797163097</v>
      </c>
      <c r="N563" s="3">
        <f t="shared" si="75"/>
        <v>3.0688641183899259</v>
      </c>
      <c r="O563" s="3">
        <f t="shared" si="67"/>
        <v>3.0342181431271267</v>
      </c>
      <c r="P563" s="3">
        <f t="shared" si="69"/>
        <v>2.9014907367908758</v>
      </c>
      <c r="Q563" s="4" t="str">
        <f t="shared" si="74"/>
        <v>OVER</v>
      </c>
      <c r="R563" s="4" t="str">
        <f t="shared" si="74"/>
        <v>OVER</v>
      </c>
      <c r="S563" s="4" t="str">
        <f t="shared" si="72"/>
        <v>OVER</v>
      </c>
      <c r="T563" s="4" t="str">
        <f t="shared" si="72"/>
        <v>OVER</v>
      </c>
      <c r="U563" s="2">
        <f>IF(Q563="OVER",$J563,$K563)</f>
        <v>410.00272523122203</v>
      </c>
      <c r="V563" s="2">
        <f>IF(R563="OVER",$J563,$K563)</f>
        <v>410.00272523122203</v>
      </c>
      <c r="W563" s="2">
        <f>IF(S563="OVER",$J563,$K563)</f>
        <v>410.00272523122203</v>
      </c>
      <c r="X563" s="2">
        <f>IF(T563="OVER",$J563,$K563)</f>
        <v>410.00272523122203</v>
      </c>
      <c r="Y563" s="9">
        <f t="shared" si="73"/>
        <v>-6928.9800039114643</v>
      </c>
      <c r="Z563" s="9">
        <f t="shared" si="73"/>
        <v>7983.5150596296871</v>
      </c>
      <c r="AA563" s="9">
        <f t="shared" si="73"/>
        <v>32652.157856692123</v>
      </c>
      <c r="AB563" s="9">
        <f t="shared" si="70"/>
        <v>13616.247277747199</v>
      </c>
    </row>
    <row r="564" spans="1:28" x14ac:dyDescent="0.3">
      <c r="A564" s="1">
        <v>45230</v>
      </c>
      <c r="B564" s="2">
        <v>135.83000000000001</v>
      </c>
      <c r="C564" s="2">
        <v>418.2</v>
      </c>
      <c r="D564" s="9">
        <f>B564-B563</f>
        <v>1.1200000000000045</v>
      </c>
      <c r="E564" s="9">
        <f>C564-C563</f>
        <v>2.6100000000000136</v>
      </c>
      <c r="F564" s="3">
        <f>F$1/B564</f>
        <v>736.21438562909509</v>
      </c>
      <c r="G564" s="3">
        <f>F$1/C564</f>
        <v>239.12003825920613</v>
      </c>
      <c r="H564" s="2">
        <f>D564*F563</f>
        <v>831.41563358325629</v>
      </c>
      <c r="I564" s="2">
        <f>E564*G563</f>
        <v>628.02281094348132</v>
      </c>
      <c r="J564" s="2">
        <f>I564-H564</f>
        <v>-203.39282263977498</v>
      </c>
      <c r="K564" s="2">
        <f t="shared" si="68"/>
        <v>203.39282263977498</v>
      </c>
      <c r="L564" s="3">
        <f>C564/B564</f>
        <v>3.0788485607008758</v>
      </c>
      <c r="M564" s="3">
        <f t="shared" si="71"/>
        <v>3.0759573549120804</v>
      </c>
      <c r="N564" s="3">
        <f t="shared" si="75"/>
        <v>3.0705090245696125</v>
      </c>
      <c r="O564" s="3">
        <f t="shared" si="67"/>
        <v>3.0361224488063399</v>
      </c>
      <c r="P564" s="3">
        <f t="shared" si="69"/>
        <v>2.9035187757975058</v>
      </c>
      <c r="Q564" s="4" t="str">
        <f t="shared" si="74"/>
        <v>OVER</v>
      </c>
      <c r="R564" s="4" t="str">
        <f t="shared" si="74"/>
        <v>OVER</v>
      </c>
      <c r="S564" s="4" t="str">
        <f t="shared" si="72"/>
        <v>OVER</v>
      </c>
      <c r="T564" s="4" t="str">
        <f t="shared" si="72"/>
        <v>OVER</v>
      </c>
      <c r="U564" s="2">
        <f>IF(Q564="OVER",$J564,$K564)</f>
        <v>-203.39282263977498</v>
      </c>
      <c r="V564" s="2">
        <f>IF(R564="OVER",$J564,$K564)</f>
        <v>-203.39282263977498</v>
      </c>
      <c r="W564" s="2">
        <f>IF(S564="OVER",$J564,$K564)</f>
        <v>-203.39282263977498</v>
      </c>
      <c r="X564" s="2">
        <f>IF(T564="OVER",$J564,$K564)</f>
        <v>-203.39282263977498</v>
      </c>
      <c r="Y564" s="9">
        <f t="shared" si="73"/>
        <v>-7132.3728265512391</v>
      </c>
      <c r="Z564" s="9">
        <f t="shared" si="73"/>
        <v>7780.1222369899124</v>
      </c>
      <c r="AA564" s="9">
        <f t="shared" si="73"/>
        <v>32448.765034052347</v>
      </c>
      <c r="AB564" s="9">
        <f t="shared" si="70"/>
        <v>13412.854455107425</v>
      </c>
    </row>
    <row r="565" spans="1:28" x14ac:dyDescent="0.3">
      <c r="A565" s="1">
        <v>45231</v>
      </c>
      <c r="B565" s="2">
        <v>136.29</v>
      </c>
      <c r="C565" s="2">
        <v>422.66</v>
      </c>
      <c r="D565" s="9">
        <f>B565-B564</f>
        <v>0.45999999999997954</v>
      </c>
      <c r="E565" s="9">
        <f>C565-C564</f>
        <v>4.4600000000000364</v>
      </c>
      <c r="F565" s="3">
        <f>F$1/B565</f>
        <v>733.72954728886941</v>
      </c>
      <c r="G565" s="3">
        <f>F$1/C565</f>
        <v>236.59679174750389</v>
      </c>
      <c r="H565" s="2">
        <f>D565*F564</f>
        <v>338.65861738936866</v>
      </c>
      <c r="I565" s="2">
        <f>E565*G564</f>
        <v>1066.475370636068</v>
      </c>
      <c r="J565" s="2">
        <f>I565-H565</f>
        <v>727.81675324669936</v>
      </c>
      <c r="K565" s="2">
        <f t="shared" si="68"/>
        <v>-727.81675324669936</v>
      </c>
      <c r="L565" s="3">
        <f>C565/B565</f>
        <v>3.1011813045711354</v>
      </c>
      <c r="M565" s="3">
        <f t="shared" si="71"/>
        <v>3.0798326038202193</v>
      </c>
      <c r="N565" s="3">
        <f t="shared" si="75"/>
        <v>3.0730321702579393</v>
      </c>
      <c r="O565" s="3">
        <f t="shared" ref="O565:O628" si="76">AVERAGE(L516:L565)</f>
        <v>3.0383997054970666</v>
      </c>
      <c r="P565" s="3">
        <f t="shared" si="69"/>
        <v>2.9056533632400874</v>
      </c>
      <c r="Q565" s="4" t="str">
        <f t="shared" si="74"/>
        <v>OVER</v>
      </c>
      <c r="R565" s="4" t="str">
        <f t="shared" si="74"/>
        <v>OVER</v>
      </c>
      <c r="S565" s="4" t="str">
        <f t="shared" si="72"/>
        <v>OVER</v>
      </c>
      <c r="T565" s="4" t="str">
        <f t="shared" si="72"/>
        <v>OVER</v>
      </c>
      <c r="U565" s="2">
        <f>IF(Q565="OVER",$J565,$K565)</f>
        <v>727.81675324669936</v>
      </c>
      <c r="V565" s="2">
        <f>IF(R565="OVER",$J565,$K565)</f>
        <v>727.81675324669936</v>
      </c>
      <c r="W565" s="2">
        <f>IF(S565="OVER",$J565,$K565)</f>
        <v>727.81675324669936</v>
      </c>
      <c r="X565" s="2">
        <f>IF(T565="OVER",$J565,$K565)</f>
        <v>727.81675324669936</v>
      </c>
      <c r="Y565" s="9">
        <f t="shared" si="73"/>
        <v>-6404.5560733045395</v>
      </c>
      <c r="Z565" s="9">
        <f t="shared" si="73"/>
        <v>8507.9389902366111</v>
      </c>
      <c r="AA565" s="9">
        <f t="shared" si="73"/>
        <v>33176.581787299045</v>
      </c>
      <c r="AB565" s="9">
        <f t="shared" si="70"/>
        <v>14140.671208354124</v>
      </c>
    </row>
    <row r="566" spans="1:28" x14ac:dyDescent="0.3">
      <c r="A566" s="1">
        <v>45232</v>
      </c>
      <c r="B566" s="2">
        <v>139.31</v>
      </c>
      <c r="C566" s="2">
        <v>430.76</v>
      </c>
      <c r="D566" s="9">
        <f>B566-B565</f>
        <v>3.0200000000000102</v>
      </c>
      <c r="E566" s="9">
        <f>C566-C565</f>
        <v>8.0999999999999659</v>
      </c>
      <c r="F566" s="3">
        <f>F$1/B566</f>
        <v>717.82355896920535</v>
      </c>
      <c r="G566" s="3">
        <f>F$1/C566</f>
        <v>232.14783173925156</v>
      </c>
      <c r="H566" s="2">
        <f>D566*F565</f>
        <v>2215.8632328123931</v>
      </c>
      <c r="I566" s="2">
        <f>E566*G565</f>
        <v>1916.4340131547733</v>
      </c>
      <c r="J566" s="2">
        <f>I566-H566</f>
        <v>-299.4292196576198</v>
      </c>
      <c r="K566" s="2">
        <f t="shared" si="68"/>
        <v>299.4292196576198</v>
      </c>
      <c r="L566" s="3">
        <f>C566/B566</f>
        <v>3.092096762615749</v>
      </c>
      <c r="M566" s="3">
        <f t="shared" si="71"/>
        <v>3.0816831911384468</v>
      </c>
      <c r="N566" s="3">
        <f t="shared" si="75"/>
        <v>3.0747191409535679</v>
      </c>
      <c r="O566" s="3">
        <f t="shared" si="76"/>
        <v>3.0403281915641758</v>
      </c>
      <c r="P566" s="3">
        <f t="shared" si="69"/>
        <v>2.9077478518329536</v>
      </c>
      <c r="Q566" s="4" t="str">
        <f t="shared" si="74"/>
        <v>OVER</v>
      </c>
      <c r="R566" s="4" t="str">
        <f t="shared" si="74"/>
        <v>OVER</v>
      </c>
      <c r="S566" s="4" t="str">
        <f t="shared" si="72"/>
        <v>OVER</v>
      </c>
      <c r="T566" s="4" t="str">
        <f t="shared" si="72"/>
        <v>OVER</v>
      </c>
      <c r="U566" s="2">
        <f>IF(Q566="OVER",$J566,$K566)</f>
        <v>-299.4292196576198</v>
      </c>
      <c r="V566" s="2">
        <f>IF(R566="OVER",$J566,$K566)</f>
        <v>-299.4292196576198</v>
      </c>
      <c r="W566" s="2">
        <f>IF(S566="OVER",$J566,$K566)</f>
        <v>-299.4292196576198</v>
      </c>
      <c r="X566" s="2">
        <f>IF(T566="OVER",$J566,$K566)</f>
        <v>-299.4292196576198</v>
      </c>
      <c r="Y566" s="9">
        <f t="shared" si="73"/>
        <v>-6703.9852929621593</v>
      </c>
      <c r="Z566" s="9">
        <f t="shared" si="73"/>
        <v>8208.5097705789922</v>
      </c>
      <c r="AA566" s="9">
        <f t="shared" si="73"/>
        <v>32877.152567641424</v>
      </c>
      <c r="AB566" s="9">
        <f t="shared" si="70"/>
        <v>13841.241988696504</v>
      </c>
    </row>
    <row r="567" spans="1:28" x14ac:dyDescent="0.3">
      <c r="A567" s="1">
        <v>45233</v>
      </c>
      <c r="B567" s="2">
        <v>141.59</v>
      </c>
      <c r="C567" s="2">
        <v>434.69</v>
      </c>
      <c r="D567" s="9">
        <f>B567-B566</f>
        <v>2.2800000000000011</v>
      </c>
      <c r="E567" s="9">
        <f>C567-C566</f>
        <v>3.9300000000000068</v>
      </c>
      <c r="F567" s="3">
        <f>F$1/B567</f>
        <v>706.26456670668836</v>
      </c>
      <c r="G567" s="3">
        <f>F$1/C567</f>
        <v>230.0490004370931</v>
      </c>
      <c r="H567" s="2">
        <f>D567*F566</f>
        <v>1636.637714449789</v>
      </c>
      <c r="I567" s="2">
        <f>E567*G566</f>
        <v>912.34097873526025</v>
      </c>
      <c r="J567" s="2">
        <f>I567-H567</f>
        <v>-724.29673571452872</v>
      </c>
      <c r="K567" s="2">
        <f t="shared" si="68"/>
        <v>724.29673571452872</v>
      </c>
      <c r="L567" s="3">
        <f>C567/B567</f>
        <v>3.0700614450173034</v>
      </c>
      <c r="M567" s="3">
        <f t="shared" si="71"/>
        <v>3.0812738185246378</v>
      </c>
      <c r="N567" s="3">
        <f t="shared" si="75"/>
        <v>3.0748150703472903</v>
      </c>
      <c r="O567" s="3">
        <f t="shared" si="76"/>
        <v>3.0420735182319829</v>
      </c>
      <c r="P567" s="3">
        <f t="shared" si="69"/>
        <v>2.9096912320537633</v>
      </c>
      <c r="Q567" s="4" t="str">
        <f t="shared" si="74"/>
        <v>OVER</v>
      </c>
      <c r="R567" s="4" t="str">
        <f t="shared" si="74"/>
        <v>OVER</v>
      </c>
      <c r="S567" s="4" t="str">
        <f t="shared" si="72"/>
        <v>OVER</v>
      </c>
      <c r="T567" s="4" t="str">
        <f t="shared" si="72"/>
        <v>OVER</v>
      </c>
      <c r="U567" s="2">
        <f>IF(Q567="OVER",$J567,$K567)</f>
        <v>-724.29673571452872</v>
      </c>
      <c r="V567" s="2">
        <f>IF(R567="OVER",$J567,$K567)</f>
        <v>-724.29673571452872</v>
      </c>
      <c r="W567" s="2">
        <f>IF(S567="OVER",$J567,$K567)</f>
        <v>-724.29673571452872</v>
      </c>
      <c r="X567" s="2">
        <f>IF(T567="OVER",$J567,$K567)</f>
        <v>-724.29673571452872</v>
      </c>
      <c r="Y567" s="9">
        <f t="shared" si="73"/>
        <v>-7428.2820286766882</v>
      </c>
      <c r="Z567" s="9">
        <f t="shared" si="73"/>
        <v>7484.2130348644632</v>
      </c>
      <c r="AA567" s="9">
        <f t="shared" si="73"/>
        <v>32152.855831926896</v>
      </c>
      <c r="AB567" s="9">
        <f t="shared" si="70"/>
        <v>13116.945252981976</v>
      </c>
    </row>
    <row r="568" spans="1:28" x14ac:dyDescent="0.3">
      <c r="A568" s="1">
        <v>45236</v>
      </c>
      <c r="B568" s="2">
        <v>140.85</v>
      </c>
      <c r="C568" s="2">
        <v>435.69</v>
      </c>
      <c r="D568" s="9">
        <f>B568-B567</f>
        <v>-0.74000000000000909</v>
      </c>
      <c r="E568" s="9">
        <f>C568-C567</f>
        <v>1</v>
      </c>
      <c r="F568" s="3">
        <f>F$1/B568</f>
        <v>709.97515086971964</v>
      </c>
      <c r="G568" s="3">
        <f>F$1/C568</f>
        <v>229.52098969450756</v>
      </c>
      <c r="H568" s="2">
        <f>D568*F567</f>
        <v>-522.63577936295576</v>
      </c>
      <c r="I568" s="2">
        <f>E568*G567</f>
        <v>230.0490004370931</v>
      </c>
      <c r="J568" s="2">
        <f>I568-H568</f>
        <v>752.68477980004889</v>
      </c>
      <c r="K568" s="2">
        <f t="shared" si="68"/>
        <v>-752.68477980004889</v>
      </c>
      <c r="L568" s="3">
        <f>C568/B568</f>
        <v>3.0932907348242811</v>
      </c>
      <c r="M568" s="3">
        <f t="shared" si="71"/>
        <v>3.0817590547806808</v>
      </c>
      <c r="N568" s="3">
        <f t="shared" si="75"/>
        <v>3.0761852808473695</v>
      </c>
      <c r="O568" s="3">
        <f t="shared" si="76"/>
        <v>3.0441648610855232</v>
      </c>
      <c r="P568" s="3">
        <f t="shared" si="69"/>
        <v>2.9117343844936516</v>
      </c>
      <c r="Q568" s="4" t="str">
        <f t="shared" si="74"/>
        <v>UNDER</v>
      </c>
      <c r="R568" s="4" t="str">
        <f t="shared" si="74"/>
        <v>UNDER</v>
      </c>
      <c r="S568" s="4" t="str">
        <f t="shared" si="72"/>
        <v>OVER</v>
      </c>
      <c r="T568" s="4" t="str">
        <f t="shared" si="72"/>
        <v>OVER</v>
      </c>
      <c r="U568" s="2">
        <f>IF(Q568="OVER",$J568,$K568)</f>
        <v>-752.68477980004889</v>
      </c>
      <c r="V568" s="2">
        <f>IF(R568="OVER",$J568,$K568)</f>
        <v>-752.68477980004889</v>
      </c>
      <c r="W568" s="2">
        <f>IF(S568="OVER",$J568,$K568)</f>
        <v>752.68477980004889</v>
      </c>
      <c r="X568" s="2">
        <f>IF(T568="OVER",$J568,$K568)</f>
        <v>752.68477980004889</v>
      </c>
      <c r="Y568" s="9">
        <f t="shared" si="73"/>
        <v>-8180.9668084767372</v>
      </c>
      <c r="Z568" s="9">
        <f t="shared" si="73"/>
        <v>6731.5282550644142</v>
      </c>
      <c r="AA568" s="9">
        <f t="shared" si="73"/>
        <v>32905.540611726945</v>
      </c>
      <c r="AB568" s="9">
        <f t="shared" si="70"/>
        <v>13869.630032782025</v>
      </c>
    </row>
    <row r="569" spans="1:28" x14ac:dyDescent="0.3">
      <c r="A569" s="1">
        <v>45237</v>
      </c>
      <c r="B569" s="2">
        <v>140.55000000000001</v>
      </c>
      <c r="C569" s="2">
        <v>436.93</v>
      </c>
      <c r="D569" s="9">
        <f>B569-B568</f>
        <v>-0.29999999999998295</v>
      </c>
      <c r="E569" s="9">
        <f>C569-C568</f>
        <v>1.2400000000000091</v>
      </c>
      <c r="F569" s="3">
        <f>F$1/B569</f>
        <v>711.49057274991105</v>
      </c>
      <c r="G569" s="3">
        <f>F$1/C569</f>
        <v>228.86961298148444</v>
      </c>
      <c r="H569" s="2">
        <f>D569*F568</f>
        <v>-212.9925452609038</v>
      </c>
      <c r="I569" s="2">
        <f>E569*G568</f>
        <v>284.60602722119148</v>
      </c>
      <c r="J569" s="2">
        <f>I569-H569</f>
        <v>497.59857248209528</v>
      </c>
      <c r="K569" s="2">
        <f t="shared" si="68"/>
        <v>-497.59857248209528</v>
      </c>
      <c r="L569" s="3">
        <f>C569/B569</f>
        <v>3.1087157595161861</v>
      </c>
      <c r="M569" s="3">
        <f t="shared" si="71"/>
        <v>3.0834342217110602</v>
      </c>
      <c r="N569" s="3">
        <f t="shared" si="75"/>
        <v>3.0787001791835391</v>
      </c>
      <c r="O569" s="3">
        <f t="shared" si="76"/>
        <v>3.0466318065772424</v>
      </c>
      <c r="P569" s="3">
        <f t="shared" si="69"/>
        <v>2.9138637129731451</v>
      </c>
      <c r="Q569" s="4" t="str">
        <f t="shared" si="74"/>
        <v>OVER</v>
      </c>
      <c r="R569" s="4" t="str">
        <f t="shared" si="74"/>
        <v>OVER</v>
      </c>
      <c r="S569" s="4" t="str">
        <f t="shared" si="72"/>
        <v>OVER</v>
      </c>
      <c r="T569" s="4" t="str">
        <f t="shared" si="72"/>
        <v>OVER</v>
      </c>
      <c r="U569" s="2">
        <f>IF(Q569="OVER",$J569,$K569)</f>
        <v>497.59857248209528</v>
      </c>
      <c r="V569" s="2">
        <f>IF(R569="OVER",$J569,$K569)</f>
        <v>497.59857248209528</v>
      </c>
      <c r="W569" s="2">
        <f>IF(S569="OVER",$J569,$K569)</f>
        <v>497.59857248209528</v>
      </c>
      <c r="X569" s="2">
        <f>IF(T569="OVER",$J569,$K569)</f>
        <v>497.59857248209528</v>
      </c>
      <c r="Y569" s="9">
        <f t="shared" si="73"/>
        <v>-7683.3682359946415</v>
      </c>
      <c r="Z569" s="9">
        <f t="shared" si="73"/>
        <v>7229.12682754651</v>
      </c>
      <c r="AA569" s="9">
        <f t="shared" si="73"/>
        <v>33403.139184209038</v>
      </c>
      <c r="AB569" s="9">
        <f t="shared" si="70"/>
        <v>14367.228605264119</v>
      </c>
    </row>
    <row r="570" spans="1:28" x14ac:dyDescent="0.3">
      <c r="A570" s="1">
        <v>45238</v>
      </c>
      <c r="B570" s="2">
        <v>140.32</v>
      </c>
      <c r="C570" s="2">
        <v>437.25</v>
      </c>
      <c r="D570" s="9">
        <f>B570-B569</f>
        <v>-0.23000000000001819</v>
      </c>
      <c r="E570" s="9">
        <f>C570-C569</f>
        <v>0.31999999999999318</v>
      </c>
      <c r="F570" s="3">
        <f>F$1/B570</f>
        <v>712.65678449258837</v>
      </c>
      <c r="G570" s="3">
        <f>F$1/C570</f>
        <v>228.70211549456832</v>
      </c>
      <c r="H570" s="2">
        <f>D570*F569</f>
        <v>-163.64283173249248</v>
      </c>
      <c r="I570" s="2">
        <f>E570*G569</f>
        <v>73.238276154073461</v>
      </c>
      <c r="J570" s="2">
        <f>I570-H570</f>
        <v>236.88110788656593</v>
      </c>
      <c r="K570" s="2">
        <f t="shared" si="68"/>
        <v>-236.88110788656593</v>
      </c>
      <c r="L570" s="3">
        <f>C570/B570</f>
        <v>3.1160917901938427</v>
      </c>
      <c r="M570" s="3">
        <f t="shared" si="71"/>
        <v>3.0868884191806294</v>
      </c>
      <c r="N570" s="3">
        <f t="shared" si="75"/>
        <v>3.0812810013101717</v>
      </c>
      <c r="O570" s="3">
        <f t="shared" si="76"/>
        <v>3.0490576562496354</v>
      </c>
      <c r="P570" s="3">
        <f t="shared" si="69"/>
        <v>2.9160128388592734</v>
      </c>
      <c r="Q570" s="4" t="str">
        <f t="shared" si="74"/>
        <v>OVER</v>
      </c>
      <c r="R570" s="4" t="str">
        <f t="shared" si="74"/>
        <v>OVER</v>
      </c>
      <c r="S570" s="4" t="str">
        <f t="shared" si="72"/>
        <v>OVER</v>
      </c>
      <c r="T570" s="4" t="str">
        <f t="shared" si="72"/>
        <v>OVER</v>
      </c>
      <c r="U570" s="2">
        <f>IF(Q570="OVER",$J570,$K570)</f>
        <v>236.88110788656593</v>
      </c>
      <c r="V570" s="2">
        <f>IF(R570="OVER",$J570,$K570)</f>
        <v>236.88110788656593</v>
      </c>
      <c r="W570" s="2">
        <f>IF(S570="OVER",$J570,$K570)</f>
        <v>236.88110788656593</v>
      </c>
      <c r="X570" s="2">
        <f>IF(T570="OVER",$J570,$K570)</f>
        <v>236.88110788656593</v>
      </c>
      <c r="Y570" s="9">
        <f t="shared" si="73"/>
        <v>-7446.4871281080759</v>
      </c>
      <c r="Z570" s="9">
        <f t="shared" si="73"/>
        <v>7466.0079354330755</v>
      </c>
      <c r="AA570" s="9">
        <f t="shared" si="73"/>
        <v>33640.020292095607</v>
      </c>
      <c r="AB570" s="9">
        <f t="shared" si="70"/>
        <v>14604.109713150685</v>
      </c>
    </row>
    <row r="571" spans="1:28" x14ac:dyDescent="0.3">
      <c r="A571" s="1">
        <v>45239</v>
      </c>
      <c r="B571" s="2">
        <v>139.13</v>
      </c>
      <c r="C571" s="2">
        <v>433.84</v>
      </c>
      <c r="D571" s="9">
        <f>B571-B570</f>
        <v>-1.1899999999999977</v>
      </c>
      <c r="E571" s="9">
        <f>C571-C570</f>
        <v>-3.410000000000025</v>
      </c>
      <c r="F571" s="3">
        <f>F$1/B571</f>
        <v>718.75224610076907</v>
      </c>
      <c r="G571" s="3">
        <f>F$1/C571</f>
        <v>230.49972340033193</v>
      </c>
      <c r="H571" s="2">
        <f>D571*F570</f>
        <v>-848.06157354617858</v>
      </c>
      <c r="I571" s="2">
        <f>E571*G570</f>
        <v>-779.8742138364837</v>
      </c>
      <c r="J571" s="2">
        <f>I571-H571</f>
        <v>68.187359709694874</v>
      </c>
      <c r="K571" s="2">
        <f t="shared" si="68"/>
        <v>-68.187359709694874</v>
      </c>
      <c r="L571" s="3">
        <f>C571/B571</f>
        <v>3.1182347444835763</v>
      </c>
      <c r="M571" s="3">
        <f t="shared" si="71"/>
        <v>3.0936164935402428</v>
      </c>
      <c r="N571" s="3">
        <f t="shared" si="75"/>
        <v>3.0829750998430279</v>
      </c>
      <c r="O571" s="3">
        <f t="shared" si="76"/>
        <v>3.0514675488794194</v>
      </c>
      <c r="P571" s="3">
        <f t="shared" si="69"/>
        <v>2.9181982397448314</v>
      </c>
      <c r="Q571" s="4" t="str">
        <f t="shared" si="74"/>
        <v>OVER</v>
      </c>
      <c r="R571" s="4" t="str">
        <f t="shared" si="74"/>
        <v>OVER</v>
      </c>
      <c r="S571" s="4" t="str">
        <f t="shared" si="72"/>
        <v>OVER</v>
      </c>
      <c r="T571" s="4" t="str">
        <f t="shared" si="72"/>
        <v>OVER</v>
      </c>
      <c r="U571" s="2">
        <f>IF(Q571="OVER",$J571,$K571)</f>
        <v>68.187359709694874</v>
      </c>
      <c r="V571" s="2">
        <f>IF(R571="OVER",$J571,$K571)</f>
        <v>68.187359709694874</v>
      </c>
      <c r="W571" s="2">
        <f>IF(S571="OVER",$J571,$K571)</f>
        <v>68.187359709694874</v>
      </c>
      <c r="X571" s="2">
        <f>IF(T571="OVER",$J571,$K571)</f>
        <v>68.187359709694874</v>
      </c>
      <c r="Y571" s="9">
        <f t="shared" si="73"/>
        <v>-7378.2997683983813</v>
      </c>
      <c r="Z571" s="9">
        <f t="shared" si="73"/>
        <v>7534.1952951427702</v>
      </c>
      <c r="AA571" s="9">
        <f t="shared" si="73"/>
        <v>33708.2076518053</v>
      </c>
      <c r="AB571" s="9">
        <f t="shared" si="70"/>
        <v>14672.29707286038</v>
      </c>
    </row>
    <row r="572" spans="1:28" x14ac:dyDescent="0.3">
      <c r="A572" s="1">
        <v>45240</v>
      </c>
      <c r="B572" s="2">
        <v>140.76</v>
      </c>
      <c r="C572" s="2">
        <v>440.61</v>
      </c>
      <c r="D572" s="9">
        <f>B572-B571</f>
        <v>1.6299999999999955</v>
      </c>
      <c r="E572" s="9">
        <f>C572-C571</f>
        <v>6.7700000000000387</v>
      </c>
      <c r="F572" s="3">
        <f>F$1/B572</f>
        <v>710.42909917590225</v>
      </c>
      <c r="G572" s="3">
        <f>F$1/C572</f>
        <v>226.95808084246838</v>
      </c>
      <c r="H572" s="2">
        <f>D572*F571</f>
        <v>1171.5661611442504</v>
      </c>
      <c r="I572" s="2">
        <f>E572*G571</f>
        <v>1560.4831274202561</v>
      </c>
      <c r="J572" s="2">
        <f>I572-H572</f>
        <v>388.91696627600572</v>
      </c>
      <c r="K572" s="2">
        <f t="shared" si="68"/>
        <v>-388.91696627600572</v>
      </c>
      <c r="L572" s="3">
        <f>C572/B572</f>
        <v>3.1302216538789431</v>
      </c>
      <c r="M572" s="3">
        <f t="shared" si="71"/>
        <v>3.0993814391166752</v>
      </c>
      <c r="N572" s="3">
        <f t="shared" si="75"/>
        <v>3.0856976017400539</v>
      </c>
      <c r="O572" s="3">
        <f t="shared" si="76"/>
        <v>3.0539932733123885</v>
      </c>
      <c r="P572" s="3">
        <f t="shared" si="69"/>
        <v>2.9204042908789614</v>
      </c>
      <c r="Q572" s="4" t="str">
        <f t="shared" si="74"/>
        <v>OVER</v>
      </c>
      <c r="R572" s="4" t="str">
        <f t="shared" si="74"/>
        <v>OVER</v>
      </c>
      <c r="S572" s="4" t="str">
        <f t="shared" si="72"/>
        <v>OVER</v>
      </c>
      <c r="T572" s="4" t="str">
        <f t="shared" si="72"/>
        <v>OVER</v>
      </c>
      <c r="U572" s="2">
        <f>IF(Q572="OVER",$J572,$K572)</f>
        <v>388.91696627600572</v>
      </c>
      <c r="V572" s="2">
        <f>IF(R572="OVER",$J572,$K572)</f>
        <v>388.91696627600572</v>
      </c>
      <c r="W572" s="2">
        <f>IF(S572="OVER",$J572,$K572)</f>
        <v>388.91696627600572</v>
      </c>
      <c r="X572" s="2">
        <f>IF(T572="OVER",$J572,$K572)</f>
        <v>388.91696627600572</v>
      </c>
      <c r="Y572" s="9">
        <f t="shared" si="73"/>
        <v>-6989.3828021223753</v>
      </c>
      <c r="Z572" s="9">
        <f t="shared" si="73"/>
        <v>7923.1122614187761</v>
      </c>
      <c r="AA572" s="9">
        <f t="shared" si="73"/>
        <v>34097.124618081303</v>
      </c>
      <c r="AB572" s="9">
        <f t="shared" si="70"/>
        <v>15061.214039136385</v>
      </c>
    </row>
    <row r="573" spans="1:28" x14ac:dyDescent="0.3">
      <c r="A573" s="1">
        <v>45243</v>
      </c>
      <c r="B573" s="2">
        <v>140.58000000000001</v>
      </c>
      <c r="C573" s="2">
        <v>440.19</v>
      </c>
      <c r="D573" s="9">
        <f>B573-B572</f>
        <v>-0.1799999999999784</v>
      </c>
      <c r="E573" s="9">
        <f>C573-C572</f>
        <v>-0.42000000000001592</v>
      </c>
      <c r="F573" s="3">
        <f>F$1/B573</f>
        <v>711.33873950775353</v>
      </c>
      <c r="G573" s="3">
        <f>F$1/C573</f>
        <v>227.17462913741792</v>
      </c>
      <c r="H573" s="2">
        <f>D573*F572</f>
        <v>-127.87723785164707</v>
      </c>
      <c r="I573" s="2">
        <f>E573*G572</f>
        <v>-95.322393953840333</v>
      </c>
      <c r="J573" s="2">
        <f>I573-H573</f>
        <v>32.554843897806734</v>
      </c>
      <c r="K573" s="2">
        <f t="shared" si="68"/>
        <v>-32.554843897806734</v>
      </c>
      <c r="L573" s="3">
        <f>C573/B573</f>
        <v>3.1312419974391803</v>
      </c>
      <c r="M573" s="3">
        <f t="shared" si="71"/>
        <v>3.1039984753241074</v>
      </c>
      <c r="N573" s="3">
        <f t="shared" si="75"/>
        <v>3.0887677275202079</v>
      </c>
      <c r="O573" s="3">
        <f t="shared" si="76"/>
        <v>3.0566752409348799</v>
      </c>
      <c r="P573" s="3">
        <f t="shared" si="69"/>
        <v>2.9226095724841952</v>
      </c>
      <c r="Q573" s="4" t="str">
        <f t="shared" si="74"/>
        <v>OVER</v>
      </c>
      <c r="R573" s="4" t="str">
        <f t="shared" si="74"/>
        <v>OVER</v>
      </c>
      <c r="S573" s="4" t="str">
        <f t="shared" si="72"/>
        <v>OVER</v>
      </c>
      <c r="T573" s="4" t="str">
        <f t="shared" si="72"/>
        <v>OVER</v>
      </c>
      <c r="U573" s="2">
        <f>IF(Q573="OVER",$J573,$K573)</f>
        <v>32.554843897806734</v>
      </c>
      <c r="V573" s="2">
        <f>IF(R573="OVER",$J573,$K573)</f>
        <v>32.554843897806734</v>
      </c>
      <c r="W573" s="2">
        <f>IF(S573="OVER",$J573,$K573)</f>
        <v>32.554843897806734</v>
      </c>
      <c r="X573" s="2">
        <f>IF(T573="OVER",$J573,$K573)</f>
        <v>32.554843897806734</v>
      </c>
      <c r="Y573" s="9">
        <f t="shared" si="73"/>
        <v>-6956.8279582245686</v>
      </c>
      <c r="Z573" s="9">
        <f t="shared" si="73"/>
        <v>7955.6671053165828</v>
      </c>
      <c r="AA573" s="9">
        <f t="shared" si="73"/>
        <v>34129.679461979111</v>
      </c>
      <c r="AB573" s="9">
        <f t="shared" si="70"/>
        <v>15093.768883034192</v>
      </c>
    </row>
    <row r="574" spans="1:28" x14ac:dyDescent="0.3">
      <c r="A574" s="1">
        <v>45244</v>
      </c>
      <c r="B574" s="2">
        <v>144.59</v>
      </c>
      <c r="C574" s="2">
        <v>448.73</v>
      </c>
      <c r="D574" s="9">
        <f>B574-B573</f>
        <v>4.0099999999999909</v>
      </c>
      <c r="E574" s="9">
        <f>C574-C573</f>
        <v>8.5400000000000205</v>
      </c>
      <c r="F574" s="3">
        <f>F$1/B574</f>
        <v>691.6107614634484</v>
      </c>
      <c r="G574" s="3">
        <f>F$1/C574</f>
        <v>222.8511577117643</v>
      </c>
      <c r="H574" s="2">
        <f>D574*F573</f>
        <v>2852.4683454260853</v>
      </c>
      <c r="I574" s="2">
        <f>E574*G573</f>
        <v>1940.0713328335537</v>
      </c>
      <c r="J574" s="2">
        <f>I574-H574</f>
        <v>-912.39701259253161</v>
      </c>
      <c r="K574" s="2">
        <f t="shared" si="68"/>
        <v>912.39701259253161</v>
      </c>
      <c r="L574" s="3">
        <f>C574/B574</f>
        <v>3.1034649699149321</v>
      </c>
      <c r="M574" s="3">
        <f t="shared" si="71"/>
        <v>3.106460116245513</v>
      </c>
      <c r="N574" s="3">
        <f t="shared" si="75"/>
        <v>3.0912087355787965</v>
      </c>
      <c r="O574" s="3">
        <f t="shared" si="76"/>
        <v>3.0583140856654363</v>
      </c>
      <c r="P574" s="3">
        <f t="shared" si="69"/>
        <v>2.9247022994785414</v>
      </c>
      <c r="Q574" s="4" t="str">
        <f t="shared" si="74"/>
        <v>OVER</v>
      </c>
      <c r="R574" s="4" t="str">
        <f t="shared" si="74"/>
        <v>OVER</v>
      </c>
      <c r="S574" s="4" t="str">
        <f t="shared" si="72"/>
        <v>OVER</v>
      </c>
      <c r="T574" s="4" t="str">
        <f t="shared" si="72"/>
        <v>OVER</v>
      </c>
      <c r="U574" s="2">
        <f>IF(Q574="OVER",$J574,$K574)</f>
        <v>-912.39701259253161</v>
      </c>
      <c r="V574" s="2">
        <f>IF(R574="OVER",$J574,$K574)</f>
        <v>-912.39701259253161</v>
      </c>
      <c r="W574" s="2">
        <f>IF(S574="OVER",$J574,$K574)</f>
        <v>-912.39701259253161</v>
      </c>
      <c r="X574" s="2">
        <f>IF(T574="OVER",$J574,$K574)</f>
        <v>-912.39701259253161</v>
      </c>
      <c r="Y574" s="9">
        <f t="shared" si="73"/>
        <v>-7869.2249708171003</v>
      </c>
      <c r="Z574" s="9">
        <f t="shared" si="73"/>
        <v>7043.2700927240512</v>
      </c>
      <c r="AA574" s="9">
        <f t="shared" si="73"/>
        <v>33217.282449386577</v>
      </c>
      <c r="AB574" s="9">
        <f t="shared" si="70"/>
        <v>14181.371870441661</v>
      </c>
    </row>
    <row r="575" spans="1:28" x14ac:dyDescent="0.3">
      <c r="A575" s="1">
        <v>45245</v>
      </c>
      <c r="B575" s="2">
        <v>145.27000000000001</v>
      </c>
      <c r="C575" s="2">
        <v>449.68</v>
      </c>
      <c r="D575" s="9">
        <f>B575-B574</f>
        <v>0.68000000000000682</v>
      </c>
      <c r="E575" s="9">
        <f>C575-C574</f>
        <v>0.94999999999998863</v>
      </c>
      <c r="F575" s="3">
        <f>F$1/B575</f>
        <v>688.37337371790454</v>
      </c>
      <c r="G575" s="3">
        <f>F$1/C575</f>
        <v>222.38035936666074</v>
      </c>
      <c r="H575" s="2">
        <f>D575*F574</f>
        <v>470.29531779514963</v>
      </c>
      <c r="I575" s="2">
        <f>E575*G574</f>
        <v>211.70859982617355</v>
      </c>
      <c r="J575" s="2">
        <f>I575-H575</f>
        <v>-258.58671796897607</v>
      </c>
      <c r="K575" s="2">
        <f t="shared" si="68"/>
        <v>258.58671796897607</v>
      </c>
      <c r="L575" s="3">
        <f>C575/B575</f>
        <v>3.095477386934673</v>
      </c>
      <c r="M575" s="3">
        <f t="shared" si="71"/>
        <v>3.1058897244818664</v>
      </c>
      <c r="N575" s="3">
        <f t="shared" si="75"/>
        <v>3.0928611641510426</v>
      </c>
      <c r="O575" s="3">
        <f t="shared" si="76"/>
        <v>3.0599928174494835</v>
      </c>
      <c r="P575" s="3">
        <f t="shared" si="69"/>
        <v>2.9267848403049963</v>
      </c>
      <c r="Q575" s="4" t="str">
        <f t="shared" si="74"/>
        <v>UNDER</v>
      </c>
      <c r="R575" s="4" t="str">
        <f t="shared" si="74"/>
        <v>OVER</v>
      </c>
      <c r="S575" s="4" t="str">
        <f t="shared" si="72"/>
        <v>OVER</v>
      </c>
      <c r="T575" s="4" t="str">
        <f t="shared" si="72"/>
        <v>OVER</v>
      </c>
      <c r="U575" s="2">
        <f>IF(Q575="OVER",$J575,$K575)</f>
        <v>258.58671796897607</v>
      </c>
      <c r="V575" s="2">
        <f>IF(R575="OVER",$J575,$K575)</f>
        <v>-258.58671796897607</v>
      </c>
      <c r="W575" s="2">
        <f>IF(S575="OVER",$J575,$K575)</f>
        <v>-258.58671796897607</v>
      </c>
      <c r="X575" s="2">
        <f>IF(T575="OVER",$J575,$K575)</f>
        <v>-258.58671796897607</v>
      </c>
      <c r="Y575" s="9">
        <f t="shared" si="73"/>
        <v>-7610.6382528481245</v>
      </c>
      <c r="Z575" s="9">
        <f t="shared" si="73"/>
        <v>6784.6833747550754</v>
      </c>
      <c r="AA575" s="9">
        <f t="shared" si="73"/>
        <v>32958.695731417603</v>
      </c>
      <c r="AB575" s="9">
        <f t="shared" si="70"/>
        <v>13922.785152472685</v>
      </c>
    </row>
    <row r="576" spans="1:28" x14ac:dyDescent="0.3">
      <c r="A576" s="1">
        <v>45246</v>
      </c>
      <c r="B576" s="2">
        <v>144.79</v>
      </c>
      <c r="C576" s="2">
        <v>450.23</v>
      </c>
      <c r="D576" s="9">
        <f>B576-B575</f>
        <v>-0.48000000000001819</v>
      </c>
      <c r="E576" s="9">
        <f>C576-C575</f>
        <v>0.55000000000001137</v>
      </c>
      <c r="F576" s="3">
        <f>F$1/B576</f>
        <v>690.65543200497279</v>
      </c>
      <c r="G576" s="3">
        <f>F$1/C576</f>
        <v>222.1086999977789</v>
      </c>
      <c r="H576" s="2">
        <f>D576*F575</f>
        <v>-330.41921938460672</v>
      </c>
      <c r="I576" s="2">
        <f>E576*G575</f>
        <v>122.30919765166594</v>
      </c>
      <c r="J576" s="2">
        <f>I576-H576</f>
        <v>452.72841703627267</v>
      </c>
      <c r="K576" s="2">
        <f t="shared" si="68"/>
        <v>-452.72841703627267</v>
      </c>
      <c r="L576" s="3">
        <f>C576/B576</f>
        <v>3.1095379515159891</v>
      </c>
      <c r="M576" s="3">
        <f t="shared" si="71"/>
        <v>3.1076338433718904</v>
      </c>
      <c r="N576" s="3">
        <f t="shared" si="75"/>
        <v>3.0946585172551688</v>
      </c>
      <c r="O576" s="3">
        <f t="shared" si="76"/>
        <v>3.0618976298745717</v>
      </c>
      <c r="P576" s="3">
        <f t="shared" si="69"/>
        <v>2.9289322169101757</v>
      </c>
      <c r="Q576" s="4" t="str">
        <f t="shared" si="74"/>
        <v>UNDER</v>
      </c>
      <c r="R576" s="4" t="str">
        <f t="shared" si="74"/>
        <v>OVER</v>
      </c>
      <c r="S576" s="4" t="str">
        <f t="shared" si="72"/>
        <v>OVER</v>
      </c>
      <c r="T576" s="4" t="str">
        <f t="shared" si="72"/>
        <v>OVER</v>
      </c>
      <c r="U576" s="2">
        <f>IF(Q576="OVER",$J576,$K576)</f>
        <v>-452.72841703627267</v>
      </c>
      <c r="V576" s="2">
        <f>IF(R576="OVER",$J576,$K576)</f>
        <v>452.72841703627267</v>
      </c>
      <c r="W576" s="2">
        <f>IF(S576="OVER",$J576,$K576)</f>
        <v>452.72841703627267</v>
      </c>
      <c r="X576" s="2">
        <f>IF(T576="OVER",$J576,$K576)</f>
        <v>452.72841703627267</v>
      </c>
      <c r="Y576" s="9">
        <f t="shared" si="73"/>
        <v>-8063.3666698843972</v>
      </c>
      <c r="Z576" s="9">
        <f t="shared" si="73"/>
        <v>7237.4117917913482</v>
      </c>
      <c r="AA576" s="9">
        <f t="shared" si="73"/>
        <v>33411.424148453872</v>
      </c>
      <c r="AB576" s="9">
        <f t="shared" si="70"/>
        <v>14375.513569508958</v>
      </c>
    </row>
    <row r="577" spans="1:28" x14ac:dyDescent="0.3">
      <c r="A577" s="1">
        <v>45247</v>
      </c>
      <c r="B577" s="2">
        <v>145.49</v>
      </c>
      <c r="C577" s="2">
        <v>450.79</v>
      </c>
      <c r="D577" s="9">
        <f>B577-B576</f>
        <v>0.70000000000001705</v>
      </c>
      <c r="E577" s="9">
        <f>C577-C576</f>
        <v>0.56000000000000227</v>
      </c>
      <c r="F577" s="3">
        <f>F$1/B577</f>
        <v>687.3324627122139</v>
      </c>
      <c r="G577" s="3">
        <f>F$1/C577</f>
        <v>221.83278244859025</v>
      </c>
      <c r="H577" s="2">
        <f>D577*F576</f>
        <v>483.45880240349271</v>
      </c>
      <c r="I577" s="2">
        <f>E577*G576</f>
        <v>124.38087199875669</v>
      </c>
      <c r="J577" s="2">
        <f>I577-H577</f>
        <v>-359.07793040473604</v>
      </c>
      <c r="K577" s="2">
        <f t="shared" si="68"/>
        <v>359.07793040473604</v>
      </c>
      <c r="L577" s="3">
        <f>C577/B577</f>
        <v>3.0984260086603892</v>
      </c>
      <c r="M577" s="3">
        <f t="shared" si="71"/>
        <v>3.1104702997361988</v>
      </c>
      <c r="N577" s="3">
        <f t="shared" si="75"/>
        <v>3.0958720591304187</v>
      </c>
      <c r="O577" s="3">
        <f t="shared" si="76"/>
        <v>3.0635180294924123</v>
      </c>
      <c r="P577" s="3">
        <f t="shared" si="69"/>
        <v>2.9309763603762962</v>
      </c>
      <c r="Q577" s="4" t="str">
        <f t="shared" si="74"/>
        <v>OVER</v>
      </c>
      <c r="R577" s="4" t="str">
        <f t="shared" si="74"/>
        <v>OVER</v>
      </c>
      <c r="S577" s="4" t="str">
        <f t="shared" si="72"/>
        <v>OVER</v>
      </c>
      <c r="T577" s="4" t="str">
        <f t="shared" si="72"/>
        <v>OVER</v>
      </c>
      <c r="U577" s="2">
        <f>IF(Q577="OVER",$J577,$K577)</f>
        <v>-359.07793040473604</v>
      </c>
      <c r="V577" s="2">
        <f>IF(R577="OVER",$J577,$K577)</f>
        <v>-359.07793040473604</v>
      </c>
      <c r="W577" s="2">
        <f>IF(S577="OVER",$J577,$K577)</f>
        <v>-359.07793040473604</v>
      </c>
      <c r="X577" s="2">
        <f>IF(T577="OVER",$J577,$K577)</f>
        <v>-359.07793040473604</v>
      </c>
      <c r="Y577" s="9">
        <f t="shared" si="73"/>
        <v>-8422.4446002891327</v>
      </c>
      <c r="Z577" s="9">
        <f t="shared" si="73"/>
        <v>6878.3338613866117</v>
      </c>
      <c r="AA577" s="9">
        <f t="shared" si="73"/>
        <v>33052.346218049133</v>
      </c>
      <c r="AB577" s="9">
        <f t="shared" si="70"/>
        <v>14016.435639104222</v>
      </c>
    </row>
    <row r="578" spans="1:28" x14ac:dyDescent="0.3">
      <c r="A578" s="1">
        <v>45250</v>
      </c>
      <c r="B578" s="2">
        <v>146.07</v>
      </c>
      <c r="C578" s="2">
        <v>454.26</v>
      </c>
      <c r="D578" s="9">
        <f>B578-B577</f>
        <v>0.57999999999998408</v>
      </c>
      <c r="E578" s="9">
        <f>C578-C577</f>
        <v>3.4699999999999704</v>
      </c>
      <c r="F578" s="3">
        <f>F$1/B578</f>
        <v>684.60327240364211</v>
      </c>
      <c r="G578" s="3">
        <f>F$1/C578</f>
        <v>220.13824681900235</v>
      </c>
      <c r="H578" s="2">
        <f>D578*F577</f>
        <v>398.65282837307313</v>
      </c>
      <c r="I578" s="2">
        <f>E578*G577</f>
        <v>769.75975509660157</v>
      </c>
      <c r="J578" s="2">
        <f>I578-H578</f>
        <v>371.10692672352843</v>
      </c>
      <c r="K578" s="2">
        <f t="shared" si="68"/>
        <v>-371.10692672352843</v>
      </c>
      <c r="L578" s="3">
        <f>C578/B578</f>
        <v>3.1098788252207847</v>
      </c>
      <c r="M578" s="3">
        <f t="shared" si="71"/>
        <v>3.1121291087758496</v>
      </c>
      <c r="N578" s="3">
        <f t="shared" si="75"/>
        <v>3.0969440817782652</v>
      </c>
      <c r="O578" s="3">
        <f t="shared" si="76"/>
        <v>3.0650691795988299</v>
      </c>
      <c r="P578" s="3">
        <f t="shared" si="69"/>
        <v>2.933055546740738</v>
      </c>
      <c r="Q578" s="4" t="str">
        <f t="shared" si="74"/>
        <v>UNDER</v>
      </c>
      <c r="R578" s="4" t="str">
        <f t="shared" si="74"/>
        <v>OVER</v>
      </c>
      <c r="S578" s="4" t="str">
        <f t="shared" si="72"/>
        <v>OVER</v>
      </c>
      <c r="T578" s="4" t="str">
        <f t="shared" si="72"/>
        <v>OVER</v>
      </c>
      <c r="U578" s="2">
        <f>IF(Q578="OVER",$J578,$K578)</f>
        <v>-371.10692672352843</v>
      </c>
      <c r="V578" s="2">
        <f>IF(R578="OVER",$J578,$K578)</f>
        <v>371.10692672352843</v>
      </c>
      <c r="W578" s="2">
        <f>IF(S578="OVER",$J578,$K578)</f>
        <v>371.10692672352843</v>
      </c>
      <c r="X578" s="2">
        <f>IF(T578="OVER",$J578,$K578)</f>
        <v>371.10692672352843</v>
      </c>
      <c r="Y578" s="9">
        <f t="shared" si="73"/>
        <v>-8793.5515270126616</v>
      </c>
      <c r="Z578" s="9">
        <f t="shared" si="73"/>
        <v>7249.4407881101397</v>
      </c>
      <c r="AA578" s="9">
        <f t="shared" si="73"/>
        <v>33423.453144772662</v>
      </c>
      <c r="AB578" s="9">
        <f t="shared" si="70"/>
        <v>14387.542565827751</v>
      </c>
    </row>
    <row r="579" spans="1:28" x14ac:dyDescent="0.3">
      <c r="A579" s="1">
        <v>45251</v>
      </c>
      <c r="B579" s="2">
        <v>145.80000000000001</v>
      </c>
      <c r="C579" s="2">
        <v>453.27</v>
      </c>
      <c r="D579" s="9">
        <f>B579-B578</f>
        <v>-0.26999999999998181</v>
      </c>
      <c r="E579" s="9">
        <f>C579-C578</f>
        <v>-0.99000000000000909</v>
      </c>
      <c r="F579" s="3">
        <f>F$1/B579</f>
        <v>685.87105624142657</v>
      </c>
      <c r="G579" s="3">
        <f>F$1/C579</f>
        <v>220.61905707415008</v>
      </c>
      <c r="H579" s="2">
        <f>D579*F578</f>
        <v>-184.84288354897092</v>
      </c>
      <c r="I579" s="2">
        <f>E579*G578</f>
        <v>-217.93686435081432</v>
      </c>
      <c r="J579" s="2">
        <f>I579-H579</f>
        <v>-33.093980801843401</v>
      </c>
      <c r="K579" s="2">
        <f t="shared" si="68"/>
        <v>33.093980801843401</v>
      </c>
      <c r="L579" s="3">
        <f>C579/B579</f>
        <v>3.1088477366255138</v>
      </c>
      <c r="M579" s="3">
        <f t="shared" si="71"/>
        <v>3.1121423064867821</v>
      </c>
      <c r="N579" s="3">
        <f t="shared" si="75"/>
        <v>3.0977882640989214</v>
      </c>
      <c r="O579" s="3">
        <f t="shared" si="76"/>
        <v>3.0668548005466416</v>
      </c>
      <c r="P579" s="3">
        <f t="shared" si="69"/>
        <v>2.9351167613417495</v>
      </c>
      <c r="Q579" s="4" t="str">
        <f t="shared" si="74"/>
        <v>UNDER</v>
      </c>
      <c r="R579" s="4" t="str">
        <f t="shared" si="74"/>
        <v>OVER</v>
      </c>
      <c r="S579" s="4" t="str">
        <f t="shared" si="72"/>
        <v>OVER</v>
      </c>
      <c r="T579" s="4" t="str">
        <f t="shared" si="72"/>
        <v>OVER</v>
      </c>
      <c r="U579" s="2">
        <f>IF(Q579="OVER",$J579,$K579)</f>
        <v>33.093980801843401</v>
      </c>
      <c r="V579" s="2">
        <f>IF(R579="OVER",$J579,$K579)</f>
        <v>-33.093980801843401</v>
      </c>
      <c r="W579" s="2">
        <f>IF(S579="OVER",$J579,$K579)</f>
        <v>-33.093980801843401</v>
      </c>
      <c r="X579" s="2">
        <f>IF(T579="OVER",$J579,$K579)</f>
        <v>-33.093980801843401</v>
      </c>
      <c r="Y579" s="9">
        <f t="shared" si="73"/>
        <v>-8760.4575462108187</v>
      </c>
      <c r="Z579" s="9">
        <f t="shared" si="73"/>
        <v>7216.3468073082959</v>
      </c>
      <c r="AA579" s="9">
        <f t="shared" si="73"/>
        <v>33390.359163970817</v>
      </c>
      <c r="AB579" s="9">
        <f t="shared" si="70"/>
        <v>14354.448585025908</v>
      </c>
    </row>
    <row r="580" spans="1:28" x14ac:dyDescent="0.3">
      <c r="A580" s="1">
        <v>45252</v>
      </c>
      <c r="B580" s="2">
        <v>146.47999999999999</v>
      </c>
      <c r="C580" s="2">
        <v>455.02</v>
      </c>
      <c r="D580" s="9">
        <f>B580-B579</f>
        <v>0.6799999999999784</v>
      </c>
      <c r="E580" s="9">
        <f>C580-C579</f>
        <v>1.75</v>
      </c>
      <c r="F580" s="3">
        <f>F$1/B580</f>
        <v>682.68705625341352</v>
      </c>
      <c r="G580" s="3">
        <f>F$1/C580</f>
        <v>219.7705595358446</v>
      </c>
      <c r="H580" s="2">
        <f>D580*F579</f>
        <v>466.39231824415526</v>
      </c>
      <c r="I580" s="2">
        <f>E580*G579</f>
        <v>386.08334987976264</v>
      </c>
      <c r="J580" s="2">
        <f>I580-H580</f>
        <v>-80.308968364392626</v>
      </c>
      <c r="K580" s="2">
        <f t="shared" si="68"/>
        <v>80.308968364392626</v>
      </c>
      <c r="L580" s="3">
        <f>C580/B580</f>
        <v>3.1063626433642817</v>
      </c>
      <c r="M580" s="3">
        <f t="shared" si="71"/>
        <v>3.1111693918038261</v>
      </c>
      <c r="N580" s="3">
        <f t="shared" si="75"/>
        <v>3.099028905492228</v>
      </c>
      <c r="O580" s="3">
        <f t="shared" si="76"/>
        <v>3.0682778184876813</v>
      </c>
      <c r="P580" s="3">
        <f t="shared" si="69"/>
        <v>2.9371156540892094</v>
      </c>
      <c r="Q580" s="4" t="str">
        <f t="shared" si="74"/>
        <v>UNDER</v>
      </c>
      <c r="R580" s="4" t="str">
        <f t="shared" si="74"/>
        <v>OVER</v>
      </c>
      <c r="S580" s="4" t="str">
        <f t="shared" si="72"/>
        <v>OVER</v>
      </c>
      <c r="T580" s="4" t="str">
        <f t="shared" si="72"/>
        <v>OVER</v>
      </c>
      <c r="U580" s="2">
        <f>IF(Q580="OVER",$J580,$K580)</f>
        <v>80.308968364392626</v>
      </c>
      <c r="V580" s="2">
        <f>IF(R580="OVER",$J580,$K580)</f>
        <v>-80.308968364392626</v>
      </c>
      <c r="W580" s="2">
        <f>IF(S580="OVER",$J580,$K580)</f>
        <v>-80.308968364392626</v>
      </c>
      <c r="X580" s="2">
        <f>IF(T580="OVER",$J580,$K580)</f>
        <v>-80.308968364392626</v>
      </c>
      <c r="Y580" s="9">
        <f t="shared" si="73"/>
        <v>-8680.1485778464266</v>
      </c>
      <c r="Z580" s="9">
        <f t="shared" si="73"/>
        <v>7136.0378389439029</v>
      </c>
      <c r="AA580" s="9">
        <f t="shared" si="73"/>
        <v>33310.050195606425</v>
      </c>
      <c r="AB580" s="9">
        <f t="shared" si="70"/>
        <v>14274.139616661516</v>
      </c>
    </row>
    <row r="581" spans="1:28" x14ac:dyDescent="0.3">
      <c r="A581" s="1">
        <v>45254</v>
      </c>
      <c r="B581" s="2">
        <v>146.91</v>
      </c>
      <c r="C581" s="2">
        <v>455.3</v>
      </c>
      <c r="D581" s="9">
        <f>B581-B580</f>
        <v>0.43000000000000682</v>
      </c>
      <c r="E581" s="9">
        <f>C581-C580</f>
        <v>0.28000000000002956</v>
      </c>
      <c r="F581" s="3">
        <f>F$1/B581</f>
        <v>680.68885712340887</v>
      </c>
      <c r="G581" s="3">
        <f>F$1/C581</f>
        <v>219.63540522732265</v>
      </c>
      <c r="H581" s="2">
        <f>D581*F580</f>
        <v>293.55543418897247</v>
      </c>
      <c r="I581" s="2">
        <f>E581*G580</f>
        <v>61.535756670042986</v>
      </c>
      <c r="J581" s="2">
        <f>I581-H581</f>
        <v>-232.01967751892948</v>
      </c>
      <c r="K581" s="2">
        <f t="shared" ref="K581:K644" si="77">H581-I581</f>
        <v>232.01967751892948</v>
      </c>
      <c r="L581" s="3">
        <f>C581/B581</f>
        <v>3.0991763664828809</v>
      </c>
      <c r="M581" s="3">
        <f t="shared" si="71"/>
        <v>3.1092635540037565</v>
      </c>
      <c r="N581" s="3">
        <f t="shared" si="75"/>
        <v>3.1014400237719997</v>
      </c>
      <c r="O581" s="3">
        <f t="shared" si="76"/>
        <v>3.0697412893771054</v>
      </c>
      <c r="P581" s="3">
        <f t="shared" si="69"/>
        <v>2.9390935294695857</v>
      </c>
      <c r="Q581" s="4" t="str">
        <f t="shared" si="74"/>
        <v>UNDER</v>
      </c>
      <c r="R581" s="4" t="str">
        <f t="shared" si="74"/>
        <v>OVER</v>
      </c>
      <c r="S581" s="4" t="str">
        <f t="shared" si="72"/>
        <v>OVER</v>
      </c>
      <c r="T581" s="4" t="str">
        <f t="shared" si="72"/>
        <v>OVER</v>
      </c>
      <c r="U581" s="2">
        <f>IF(Q581="OVER",$J581,$K581)</f>
        <v>232.01967751892948</v>
      </c>
      <c r="V581" s="2">
        <f>IF(R581="OVER",$J581,$K581)</f>
        <v>-232.01967751892948</v>
      </c>
      <c r="W581" s="2">
        <f>IF(S581="OVER",$J581,$K581)</f>
        <v>-232.01967751892948</v>
      </c>
      <c r="X581" s="2">
        <f>IF(T581="OVER",$J581,$K581)</f>
        <v>-232.01967751892948</v>
      </c>
      <c r="Y581" s="9">
        <f t="shared" si="73"/>
        <v>-8448.1289003274978</v>
      </c>
      <c r="Z581" s="9">
        <f t="shared" si="73"/>
        <v>6904.0181614249732</v>
      </c>
      <c r="AA581" s="9">
        <f t="shared" si="73"/>
        <v>33078.030518087493</v>
      </c>
      <c r="AB581" s="9">
        <f t="shared" si="70"/>
        <v>14042.119939142587</v>
      </c>
    </row>
    <row r="582" spans="1:28" x14ac:dyDescent="0.3">
      <c r="A582" s="1">
        <v>45257</v>
      </c>
      <c r="B582" s="2">
        <v>146.61000000000001</v>
      </c>
      <c r="C582" s="2">
        <v>454.48</v>
      </c>
      <c r="D582" s="9">
        <f>B582-B581</f>
        <v>-0.29999999999998295</v>
      </c>
      <c r="E582" s="9">
        <f>C582-C581</f>
        <v>-0.81999999999999318</v>
      </c>
      <c r="F582" s="3">
        <f>F$1/B582</f>
        <v>682.081713389264</v>
      </c>
      <c r="G582" s="3">
        <f>F$1/C582</f>
        <v>220.031684562577</v>
      </c>
      <c r="H582" s="2">
        <f>D582*F581</f>
        <v>-204.20665713701106</v>
      </c>
      <c r="I582" s="2">
        <f>E582*G581</f>
        <v>-180.10103228640307</v>
      </c>
      <c r="J582" s="2">
        <f>I582-H582</f>
        <v>24.105624850607995</v>
      </c>
      <c r="K582" s="2">
        <f t="shared" si="77"/>
        <v>-24.105624850607995</v>
      </c>
      <c r="L582" s="3">
        <f>C582/B582</f>
        <v>3.0999249710115269</v>
      </c>
      <c r="M582" s="3">
        <f t="shared" si="71"/>
        <v>3.1062338857170153</v>
      </c>
      <c r="N582" s="3">
        <f t="shared" si="75"/>
        <v>3.1028076624168452</v>
      </c>
      <c r="O582" s="3">
        <f t="shared" si="76"/>
        <v>3.0716544113749205</v>
      </c>
      <c r="P582" s="3">
        <f t="shared" si="69"/>
        <v>2.9410685696070358</v>
      </c>
      <c r="Q582" s="4" t="str">
        <f t="shared" si="74"/>
        <v>UNDER</v>
      </c>
      <c r="R582" s="4" t="str">
        <f t="shared" si="74"/>
        <v>UNDER</v>
      </c>
      <c r="S582" s="4" t="str">
        <f t="shared" si="72"/>
        <v>OVER</v>
      </c>
      <c r="T582" s="4" t="str">
        <f t="shared" si="72"/>
        <v>OVER</v>
      </c>
      <c r="U582" s="2">
        <f>IF(Q582="OVER",$J582,$K582)</f>
        <v>-24.105624850607995</v>
      </c>
      <c r="V582" s="2">
        <f>IF(R582="OVER",$J582,$K582)</f>
        <v>-24.105624850607995</v>
      </c>
      <c r="W582" s="2">
        <f>IF(S582="OVER",$J582,$K582)</f>
        <v>24.105624850607995</v>
      </c>
      <c r="X582" s="2">
        <f>IF(T582="OVER",$J582,$K582)</f>
        <v>24.105624850607995</v>
      </c>
      <c r="Y582" s="9">
        <f t="shared" si="73"/>
        <v>-8472.2345251781062</v>
      </c>
      <c r="Z582" s="9">
        <f t="shared" si="73"/>
        <v>6879.9125365743648</v>
      </c>
      <c r="AA582" s="9">
        <f t="shared" si="73"/>
        <v>33102.1361429381</v>
      </c>
      <c r="AB582" s="9">
        <f t="shared" si="70"/>
        <v>14066.225563993195</v>
      </c>
    </row>
    <row r="583" spans="1:28" x14ac:dyDescent="0.3">
      <c r="A583" s="1">
        <v>45258</v>
      </c>
      <c r="B583" s="2">
        <v>146.47</v>
      </c>
      <c r="C583" s="2">
        <v>454.93</v>
      </c>
      <c r="D583" s="9">
        <f>B583-B582</f>
        <v>-0.14000000000001478</v>
      </c>
      <c r="E583" s="9">
        <f>C583-C582</f>
        <v>0.44999999999998863</v>
      </c>
      <c r="F583" s="3">
        <f>F$1/B583</f>
        <v>682.73366559705062</v>
      </c>
      <c r="G583" s="3">
        <f>F$1/C583</f>
        <v>219.81403732442354</v>
      </c>
      <c r="H583" s="2">
        <f>D583*F582</f>
        <v>-95.491439874507037</v>
      </c>
      <c r="I583" s="2">
        <f>E583*G582</f>
        <v>99.01425805315715</v>
      </c>
      <c r="J583" s="2">
        <f>I583-H583</f>
        <v>194.50569792766419</v>
      </c>
      <c r="K583" s="2">
        <f t="shared" si="77"/>
        <v>-194.50569792766419</v>
      </c>
      <c r="L583" s="3">
        <f>C583/B583</f>
        <v>3.1059602649006623</v>
      </c>
      <c r="M583" s="3">
        <f t="shared" si="71"/>
        <v>3.1037057124631633</v>
      </c>
      <c r="N583" s="3">
        <f t="shared" si="75"/>
        <v>3.1038520938936354</v>
      </c>
      <c r="O583" s="3">
        <f t="shared" si="76"/>
        <v>3.0732469777480413</v>
      </c>
      <c r="P583" s="3">
        <f t="shared" si="69"/>
        <v>2.9430835325637594</v>
      </c>
      <c r="Q583" s="4" t="str">
        <f t="shared" si="74"/>
        <v>UNDER</v>
      </c>
      <c r="R583" s="4" t="str">
        <f t="shared" si="74"/>
        <v>UNDER</v>
      </c>
      <c r="S583" s="4" t="str">
        <f t="shared" si="72"/>
        <v>OVER</v>
      </c>
      <c r="T583" s="4" t="str">
        <f t="shared" si="72"/>
        <v>OVER</v>
      </c>
      <c r="U583" s="2">
        <f>IF(Q583="OVER",$J583,$K583)</f>
        <v>-194.50569792766419</v>
      </c>
      <c r="V583" s="2">
        <f>IF(R583="OVER",$J583,$K583)</f>
        <v>-194.50569792766419</v>
      </c>
      <c r="W583" s="2">
        <f>IF(S583="OVER",$J583,$K583)</f>
        <v>194.50569792766419</v>
      </c>
      <c r="X583" s="2">
        <f>IF(T583="OVER",$J583,$K583)</f>
        <v>194.50569792766419</v>
      </c>
      <c r="Y583" s="9">
        <f t="shared" si="73"/>
        <v>-8666.7402231057713</v>
      </c>
      <c r="Z583" s="9">
        <f t="shared" si="73"/>
        <v>6685.4068386467006</v>
      </c>
      <c r="AA583" s="9">
        <f t="shared" si="73"/>
        <v>33296.641840865763</v>
      </c>
      <c r="AB583" s="9">
        <f t="shared" si="70"/>
        <v>14260.731261920861</v>
      </c>
    </row>
    <row r="584" spans="1:28" x14ac:dyDescent="0.3">
      <c r="A584" s="1">
        <v>45259</v>
      </c>
      <c r="B584" s="2">
        <v>147.05000000000001</v>
      </c>
      <c r="C584" s="2">
        <v>454.61</v>
      </c>
      <c r="D584" s="9">
        <f>B584-B583</f>
        <v>0.58000000000001251</v>
      </c>
      <c r="E584" s="9">
        <f>C584-C583</f>
        <v>-0.31999999999999318</v>
      </c>
      <c r="F584" s="3">
        <f>F$1/B584</f>
        <v>680.04080244814679</v>
      </c>
      <c r="G584" s="3">
        <f>F$1/C584</f>
        <v>219.96876443545017</v>
      </c>
      <c r="H584" s="2">
        <f>D584*F583</f>
        <v>395.98552604629788</v>
      </c>
      <c r="I584" s="2">
        <f>E584*G583</f>
        <v>-70.34049194381403</v>
      </c>
      <c r="J584" s="2">
        <f>I584-H584</f>
        <v>-466.32601799011189</v>
      </c>
      <c r="K584" s="2">
        <f t="shared" si="77"/>
        <v>466.32601799011189</v>
      </c>
      <c r="L584" s="3">
        <f>C584/B584</f>
        <v>3.0915334920095203</v>
      </c>
      <c r="M584" s="3">
        <f t="shared" si="71"/>
        <v>3.1025125646726224</v>
      </c>
      <c r="N584" s="3">
        <f t="shared" si="75"/>
        <v>3.1044863404590668</v>
      </c>
      <c r="O584" s="3">
        <f t="shared" si="76"/>
        <v>3.0745774767648628</v>
      </c>
      <c r="P584" s="3">
        <f t="shared" si="69"/>
        <v>2.9450190906232172</v>
      </c>
      <c r="Q584" s="4" t="str">
        <f t="shared" si="74"/>
        <v>OVER</v>
      </c>
      <c r="R584" s="4" t="str">
        <f t="shared" si="74"/>
        <v>OVER</v>
      </c>
      <c r="S584" s="4" t="str">
        <f t="shared" si="72"/>
        <v>OVER</v>
      </c>
      <c r="T584" s="4" t="str">
        <f t="shared" si="72"/>
        <v>OVER</v>
      </c>
      <c r="U584" s="2">
        <f>IF(Q584="OVER",$J584,$K584)</f>
        <v>-466.32601799011189</v>
      </c>
      <c r="V584" s="2">
        <f>IF(R584="OVER",$J584,$K584)</f>
        <v>-466.32601799011189</v>
      </c>
      <c r="W584" s="2">
        <f>IF(S584="OVER",$J584,$K584)</f>
        <v>-466.32601799011189</v>
      </c>
      <c r="X584" s="2">
        <f>IF(T584="OVER",$J584,$K584)</f>
        <v>-466.32601799011189</v>
      </c>
      <c r="Y584" s="9">
        <f t="shared" si="73"/>
        <v>-9133.066241095883</v>
      </c>
      <c r="Z584" s="9">
        <f t="shared" si="73"/>
        <v>6219.0808206565889</v>
      </c>
      <c r="AA584" s="9">
        <f t="shared" si="73"/>
        <v>32830.315822875651</v>
      </c>
      <c r="AB584" s="9">
        <f t="shared" si="70"/>
        <v>13794.405243930749</v>
      </c>
    </row>
    <row r="585" spans="1:28" x14ac:dyDescent="0.3">
      <c r="A585" s="1">
        <v>45260</v>
      </c>
      <c r="B585" s="2">
        <v>148.30000000000001</v>
      </c>
      <c r="C585" s="2">
        <v>456.4</v>
      </c>
      <c r="D585" s="9">
        <f>B585-B584</f>
        <v>1.25</v>
      </c>
      <c r="E585" s="9">
        <f>C585-C584</f>
        <v>1.7899999999999636</v>
      </c>
      <c r="F585" s="3">
        <f>F$1/B585</f>
        <v>674.30883344571805</v>
      </c>
      <c r="G585" s="3">
        <f>F$1/C585</f>
        <v>219.10604732690624</v>
      </c>
      <c r="H585" s="2">
        <f>D585*F584</f>
        <v>850.05100306018346</v>
      </c>
      <c r="I585" s="2">
        <f>E585*G584</f>
        <v>393.74408833944779</v>
      </c>
      <c r="J585" s="2">
        <f>I585-H585</f>
        <v>-456.30691472073568</v>
      </c>
      <c r="K585" s="2">
        <f t="shared" si="77"/>
        <v>456.30691472073568</v>
      </c>
      <c r="L585" s="3">
        <f>C585/B585</f>
        <v>3.077545515846257</v>
      </c>
      <c r="M585" s="3">
        <f t="shared" si="71"/>
        <v>3.1007193775637805</v>
      </c>
      <c r="N585" s="3">
        <f t="shared" si="75"/>
        <v>3.1033045510228234</v>
      </c>
      <c r="O585" s="3">
        <f t="shared" si="76"/>
        <v>3.0759087275540562</v>
      </c>
      <c r="P585" s="3">
        <f t="shared" si="69"/>
        <v>2.9468652062308025</v>
      </c>
      <c r="Q585" s="4" t="str">
        <f t="shared" si="74"/>
        <v>UNDER</v>
      </c>
      <c r="R585" s="4" t="str">
        <f t="shared" si="74"/>
        <v>UNDER</v>
      </c>
      <c r="S585" s="4" t="str">
        <f t="shared" si="72"/>
        <v>OVER</v>
      </c>
      <c r="T585" s="4" t="str">
        <f t="shared" si="72"/>
        <v>OVER</v>
      </c>
      <c r="U585" s="2">
        <f>IF(Q585="OVER",$J585,$K585)</f>
        <v>456.30691472073568</v>
      </c>
      <c r="V585" s="2">
        <f>IF(R585="OVER",$J585,$K585)</f>
        <v>456.30691472073568</v>
      </c>
      <c r="W585" s="2">
        <f>IF(S585="OVER",$J585,$K585)</f>
        <v>-456.30691472073568</v>
      </c>
      <c r="X585" s="2">
        <f>IF(T585="OVER",$J585,$K585)</f>
        <v>-456.30691472073568</v>
      </c>
      <c r="Y585" s="9">
        <f t="shared" si="73"/>
        <v>-8676.7593263751478</v>
      </c>
      <c r="Z585" s="9">
        <f t="shared" si="73"/>
        <v>6675.3877353773241</v>
      </c>
      <c r="AA585" s="9">
        <f t="shared" si="73"/>
        <v>32374.008908154916</v>
      </c>
      <c r="AB585" s="9">
        <f t="shared" si="70"/>
        <v>13338.098329210014</v>
      </c>
    </row>
    <row r="586" spans="1:28" x14ac:dyDescent="0.3">
      <c r="A586" s="1">
        <v>45261</v>
      </c>
      <c r="B586" s="2">
        <v>150.53</v>
      </c>
      <c r="C586" s="2">
        <v>459.1</v>
      </c>
      <c r="D586" s="9">
        <f>B586-B585</f>
        <v>2.2299999999999898</v>
      </c>
      <c r="E586" s="9">
        <f>C586-C585</f>
        <v>2.7000000000000455</v>
      </c>
      <c r="F586" s="3">
        <f>F$1/B586</f>
        <v>664.31940476981333</v>
      </c>
      <c r="G586" s="3">
        <f>F$1/C586</f>
        <v>217.81746896101066</v>
      </c>
      <c r="H586" s="2">
        <f>D586*F585</f>
        <v>1503.7086985839444</v>
      </c>
      <c r="I586" s="2">
        <f>E586*G585</f>
        <v>591.58632778265678</v>
      </c>
      <c r="J586" s="2">
        <f>I586-H586</f>
        <v>-912.12237080128762</v>
      </c>
      <c r="K586" s="2">
        <f t="shared" si="77"/>
        <v>912.12237080128762</v>
      </c>
      <c r="L586" s="3">
        <f>C586/B586</f>
        <v>3.049890387298213</v>
      </c>
      <c r="M586" s="3">
        <f t="shared" si="71"/>
        <v>3.0947546211420027</v>
      </c>
      <c r="N586" s="3">
        <f t="shared" si="75"/>
        <v>3.1011942322569466</v>
      </c>
      <c r="O586" s="3">
        <f t="shared" si="76"/>
        <v>3.0766817691405897</v>
      </c>
      <c r="P586" s="3">
        <f t="shared" si="69"/>
        <v>2.9485929701610223</v>
      </c>
      <c r="Q586" s="4" t="str">
        <f t="shared" si="74"/>
        <v>UNDER</v>
      </c>
      <c r="R586" s="4" t="str">
        <f t="shared" si="74"/>
        <v>UNDER</v>
      </c>
      <c r="S586" s="4" t="str">
        <f t="shared" si="72"/>
        <v>UNDER</v>
      </c>
      <c r="T586" s="4" t="str">
        <f t="shared" si="72"/>
        <v>OVER</v>
      </c>
      <c r="U586" s="2">
        <f>IF(Q586="OVER",$J586,$K586)</f>
        <v>912.12237080128762</v>
      </c>
      <c r="V586" s="2">
        <f>IF(R586="OVER",$J586,$K586)</f>
        <v>912.12237080128762</v>
      </c>
      <c r="W586" s="2">
        <f>IF(S586="OVER",$J586,$K586)</f>
        <v>912.12237080128762</v>
      </c>
      <c r="X586" s="2">
        <f>IF(T586="OVER",$J586,$K586)</f>
        <v>-912.12237080128762</v>
      </c>
      <c r="Y586" s="9">
        <f t="shared" si="73"/>
        <v>-7764.6369555738602</v>
      </c>
      <c r="Z586" s="9">
        <f t="shared" si="73"/>
        <v>7587.5101061786117</v>
      </c>
      <c r="AA586" s="9">
        <f t="shared" si="73"/>
        <v>33286.131278956207</v>
      </c>
      <c r="AB586" s="9">
        <f t="shared" si="70"/>
        <v>12425.975958408726</v>
      </c>
    </row>
    <row r="587" spans="1:28" x14ac:dyDescent="0.3">
      <c r="A587" s="1">
        <v>45264</v>
      </c>
      <c r="B587" s="2">
        <v>150.6</v>
      </c>
      <c r="C587" s="2">
        <v>456.69</v>
      </c>
      <c r="D587" s="9">
        <f>B587-B586</f>
        <v>6.9999999999993179E-2</v>
      </c>
      <c r="E587" s="9">
        <f>C587-C586</f>
        <v>-2.410000000000025</v>
      </c>
      <c r="F587" s="3">
        <f>F$1/B587</f>
        <v>664.01062416998673</v>
      </c>
      <c r="G587" s="3">
        <f>F$1/C587</f>
        <v>218.96691409927959</v>
      </c>
      <c r="H587" s="2">
        <f>D587*F586</f>
        <v>46.502358333882398</v>
      </c>
      <c r="I587" s="2">
        <f>E587*G586</f>
        <v>-524.94010019604116</v>
      </c>
      <c r="J587" s="2">
        <f>I587-H587</f>
        <v>-571.44245852992356</v>
      </c>
      <c r="K587" s="2">
        <f t="shared" si="77"/>
        <v>571.44245852992356</v>
      </c>
      <c r="L587" s="3">
        <f>C587/B587</f>
        <v>3.0324701195219124</v>
      </c>
      <c r="M587" s="3">
        <f t="shared" si="71"/>
        <v>3.0881590322281554</v>
      </c>
      <c r="N587" s="3">
        <f t="shared" si="75"/>
        <v>3.0993146659821766</v>
      </c>
      <c r="O587" s="3">
        <f t="shared" si="76"/>
        <v>3.0770017861501322</v>
      </c>
      <c r="P587" s="3">
        <f t="shared" ref="P587:P650" si="78">AVERAGE(L388:L587)</f>
        <v>2.9502673789020082</v>
      </c>
      <c r="Q587" s="4" t="str">
        <f t="shared" si="74"/>
        <v>UNDER</v>
      </c>
      <c r="R587" s="4" t="str">
        <f t="shared" si="74"/>
        <v>UNDER</v>
      </c>
      <c r="S587" s="4" t="str">
        <f t="shared" si="72"/>
        <v>UNDER</v>
      </c>
      <c r="T587" s="4" t="str">
        <f t="shared" si="72"/>
        <v>OVER</v>
      </c>
      <c r="U587" s="2">
        <f>IF(Q587="OVER",$J587,$K587)</f>
        <v>571.44245852992356</v>
      </c>
      <c r="V587" s="2">
        <f>IF(R587="OVER",$J587,$K587)</f>
        <v>571.44245852992356</v>
      </c>
      <c r="W587" s="2">
        <f>IF(S587="OVER",$J587,$K587)</f>
        <v>571.44245852992356</v>
      </c>
      <c r="X587" s="2">
        <f>IF(T587="OVER",$J587,$K587)</f>
        <v>-571.44245852992356</v>
      </c>
      <c r="Y587" s="9">
        <f t="shared" si="73"/>
        <v>-7193.1944970439363</v>
      </c>
      <c r="Z587" s="9">
        <f t="shared" si="73"/>
        <v>8158.9525647085356</v>
      </c>
      <c r="AA587" s="9">
        <f t="shared" si="73"/>
        <v>33857.573737486127</v>
      </c>
      <c r="AB587" s="9">
        <f t="shared" si="70"/>
        <v>11854.533499878802</v>
      </c>
    </row>
    <row r="588" spans="1:28" x14ac:dyDescent="0.3">
      <c r="A588" s="1">
        <v>45265</v>
      </c>
      <c r="B588" s="2">
        <v>149.26</v>
      </c>
      <c r="C588" s="2">
        <v>456.6</v>
      </c>
      <c r="D588" s="9">
        <f>B588-B587</f>
        <v>-1.3400000000000034</v>
      </c>
      <c r="E588" s="9">
        <f>C588-C587</f>
        <v>-8.9999999999974989E-2</v>
      </c>
      <c r="F588" s="3">
        <f>F$1/B588</f>
        <v>669.97186118183038</v>
      </c>
      <c r="G588" s="3">
        <f>F$1/C588</f>
        <v>219.0100744634253</v>
      </c>
      <c r="H588" s="2">
        <f>D588*F587</f>
        <v>-889.77423638778453</v>
      </c>
      <c r="I588" s="2">
        <f>E588*G587</f>
        <v>-19.707022268929688</v>
      </c>
      <c r="J588" s="2">
        <f>I588-H588</f>
        <v>870.06721411885485</v>
      </c>
      <c r="K588" s="2">
        <f t="shared" si="77"/>
        <v>-870.06721411885485</v>
      </c>
      <c r="L588" s="3">
        <f>C588/B588</f>
        <v>3.0590915181562379</v>
      </c>
      <c r="M588" s="3">
        <f t="shared" si="71"/>
        <v>3.0830803015217008</v>
      </c>
      <c r="N588" s="3">
        <f t="shared" si="75"/>
        <v>3.0976047051487745</v>
      </c>
      <c r="O588" s="3">
        <f t="shared" si="76"/>
        <v>3.0777529978484539</v>
      </c>
      <c r="P588" s="3">
        <f t="shared" si="78"/>
        <v>2.9520800847216178</v>
      </c>
      <c r="Q588" s="4" t="str">
        <f t="shared" si="74"/>
        <v>UNDER</v>
      </c>
      <c r="R588" s="4" t="str">
        <f t="shared" si="74"/>
        <v>UNDER</v>
      </c>
      <c r="S588" s="4" t="str">
        <f t="shared" si="72"/>
        <v>UNDER</v>
      </c>
      <c r="T588" s="4" t="str">
        <f t="shared" si="72"/>
        <v>OVER</v>
      </c>
      <c r="U588" s="2">
        <f>IF(Q588="OVER",$J588,$K588)</f>
        <v>-870.06721411885485</v>
      </c>
      <c r="V588" s="2">
        <f>IF(R588="OVER",$J588,$K588)</f>
        <v>-870.06721411885485</v>
      </c>
      <c r="W588" s="2">
        <f>IF(S588="OVER",$J588,$K588)</f>
        <v>-870.06721411885485</v>
      </c>
      <c r="X588" s="2">
        <f>IF(T588="OVER",$J588,$K588)</f>
        <v>870.06721411885485</v>
      </c>
      <c r="Y588" s="9">
        <f t="shared" si="73"/>
        <v>-8063.2617111627915</v>
      </c>
      <c r="Z588" s="9">
        <f t="shared" si="73"/>
        <v>7288.8853505896805</v>
      </c>
      <c r="AA588" s="9">
        <f t="shared" si="73"/>
        <v>32987.506523367272</v>
      </c>
      <c r="AB588" s="9">
        <f t="shared" si="73"/>
        <v>12724.600713997657</v>
      </c>
    </row>
    <row r="589" spans="1:28" x14ac:dyDescent="0.3">
      <c r="A589" s="1">
        <v>45266</v>
      </c>
      <c r="B589" s="2">
        <v>149.31</v>
      </c>
      <c r="C589" s="2">
        <v>454.76</v>
      </c>
      <c r="D589" s="9">
        <f>B589-B588</f>
        <v>5.0000000000011369E-2</v>
      </c>
      <c r="E589" s="9">
        <f>C589-C588</f>
        <v>-1.8400000000000318</v>
      </c>
      <c r="F589" s="3">
        <f>F$1/B589</f>
        <v>669.74750519054317</v>
      </c>
      <c r="G589" s="3">
        <f>F$1/C589</f>
        <v>219.89620898935704</v>
      </c>
      <c r="H589" s="2">
        <f>D589*F588</f>
        <v>33.498593059099136</v>
      </c>
      <c r="I589" s="2">
        <f>E589*G588</f>
        <v>-402.97853701270952</v>
      </c>
      <c r="J589" s="2">
        <f>I589-H589</f>
        <v>-436.47713007180869</v>
      </c>
      <c r="K589" s="2">
        <f t="shared" si="77"/>
        <v>436.47713007180869</v>
      </c>
      <c r="L589" s="3">
        <f>C589/B589</f>
        <v>3.0457437546045139</v>
      </c>
      <c r="M589" s="3">
        <f t="shared" ref="M589:M652" si="79">AVERAGE(L580:L589)</f>
        <v>3.076769903319601</v>
      </c>
      <c r="N589" s="3">
        <f t="shared" si="75"/>
        <v>3.0944561049031911</v>
      </c>
      <c r="O589" s="3">
        <f t="shared" si="76"/>
        <v>3.078276494608156</v>
      </c>
      <c r="P589" s="3">
        <f t="shared" si="78"/>
        <v>2.9538032197382948</v>
      </c>
      <c r="Q589" s="4" t="str">
        <f t="shared" si="74"/>
        <v>UNDER</v>
      </c>
      <c r="R589" s="4" t="str">
        <f t="shared" si="74"/>
        <v>UNDER</v>
      </c>
      <c r="S589" s="4" t="str">
        <f t="shared" ref="S589:T652" si="80">IF($L589&gt;O589,"OVER","UNDER")</f>
        <v>UNDER</v>
      </c>
      <c r="T589" s="4" t="str">
        <f t="shared" si="80"/>
        <v>OVER</v>
      </c>
      <c r="U589" s="2">
        <f>IF(Q589="OVER",$J589,$K589)</f>
        <v>436.47713007180869</v>
      </c>
      <c r="V589" s="2">
        <f>IF(R589="OVER",$J589,$K589)</f>
        <v>436.47713007180869</v>
      </c>
      <c r="W589" s="2">
        <f>IF(S589="OVER",$J589,$K589)</f>
        <v>436.47713007180869</v>
      </c>
      <c r="X589" s="2">
        <f>IF(T589="OVER",$J589,$K589)</f>
        <v>-436.47713007180869</v>
      </c>
      <c r="Y589" s="9">
        <f t="shared" ref="Y589:AB652" si="81">Y588+U589</f>
        <v>-7626.784581090983</v>
      </c>
      <c r="Z589" s="9">
        <f t="shared" si="81"/>
        <v>7725.3624806614889</v>
      </c>
      <c r="AA589" s="9">
        <f t="shared" si="81"/>
        <v>33423.983653439078</v>
      </c>
      <c r="AB589" s="9">
        <f t="shared" si="81"/>
        <v>12288.123583925848</v>
      </c>
    </row>
    <row r="590" spans="1:28" x14ac:dyDescent="0.3">
      <c r="A590" s="1">
        <v>45267</v>
      </c>
      <c r="B590" s="2">
        <v>150.1</v>
      </c>
      <c r="C590" s="2">
        <v>458.23</v>
      </c>
      <c r="D590" s="9">
        <f>B590-B589</f>
        <v>0.78999999999999204</v>
      </c>
      <c r="E590" s="9">
        <f>C590-C589</f>
        <v>3.4700000000000273</v>
      </c>
      <c r="F590" s="3">
        <f>F$1/B590</f>
        <v>666.22251832111931</v>
      </c>
      <c r="G590" s="3">
        <f>F$1/C590</f>
        <v>218.23101935709141</v>
      </c>
      <c r="H590" s="2">
        <f>D590*F589</f>
        <v>529.10052910052377</v>
      </c>
      <c r="I590" s="2">
        <f>E590*G589</f>
        <v>763.03984519307494</v>
      </c>
      <c r="J590" s="2">
        <f>I590-H590</f>
        <v>233.93931609255117</v>
      </c>
      <c r="K590" s="2">
        <f t="shared" si="77"/>
        <v>-233.93931609255117</v>
      </c>
      <c r="L590" s="3">
        <f>C590/B590</f>
        <v>3.0528314457028651</v>
      </c>
      <c r="M590" s="3">
        <f t="shared" si="79"/>
        <v>3.0714167835534587</v>
      </c>
      <c r="N590" s="3">
        <f t="shared" si="75"/>
        <v>3.091293087678642</v>
      </c>
      <c r="O590" s="3">
        <f t="shared" si="76"/>
        <v>3.0789390488181243</v>
      </c>
      <c r="P590" s="3">
        <f t="shared" si="78"/>
        <v>2.9555639548620456</v>
      </c>
      <c r="Q590" s="4" t="str">
        <f t="shared" ref="Q590:R653" si="82">IF($L589&gt;M589,"OVER","UNDER")</f>
        <v>UNDER</v>
      </c>
      <c r="R590" s="4" t="str">
        <f t="shared" si="82"/>
        <v>UNDER</v>
      </c>
      <c r="S590" s="4" t="str">
        <f t="shared" si="80"/>
        <v>UNDER</v>
      </c>
      <c r="T590" s="4" t="str">
        <f t="shared" si="80"/>
        <v>OVER</v>
      </c>
      <c r="U590" s="2">
        <f>IF(Q590="OVER",$J590,$K590)</f>
        <v>-233.93931609255117</v>
      </c>
      <c r="V590" s="2">
        <f>IF(R590="OVER",$J590,$K590)</f>
        <v>-233.93931609255117</v>
      </c>
      <c r="W590" s="2">
        <f>IF(S590="OVER",$J590,$K590)</f>
        <v>-233.93931609255117</v>
      </c>
      <c r="X590" s="2">
        <f>IF(T590="OVER",$J590,$K590)</f>
        <v>233.93931609255117</v>
      </c>
      <c r="Y590" s="9">
        <f t="shared" si="81"/>
        <v>-7860.7238971835341</v>
      </c>
      <c r="Z590" s="9">
        <f t="shared" si="81"/>
        <v>7491.4231645689379</v>
      </c>
      <c r="AA590" s="9">
        <f t="shared" si="81"/>
        <v>33190.044337346524</v>
      </c>
      <c r="AB590" s="9">
        <f t="shared" si="81"/>
        <v>12522.0629000184</v>
      </c>
    </row>
    <row r="591" spans="1:28" x14ac:dyDescent="0.3">
      <c r="A591" s="1">
        <v>45268</v>
      </c>
      <c r="B591" s="2">
        <v>150.57</v>
      </c>
      <c r="C591" s="2">
        <v>460.2</v>
      </c>
      <c r="D591" s="9">
        <f>B591-B590</f>
        <v>0.46999999999999886</v>
      </c>
      <c r="E591" s="9">
        <f>C591-C590</f>
        <v>1.9699999999999704</v>
      </c>
      <c r="F591" s="3">
        <f>F$1/B591</f>
        <v>664.14292355714952</v>
      </c>
      <c r="G591" s="3">
        <f>F$1/C591</f>
        <v>217.296827466319</v>
      </c>
      <c r="H591" s="2">
        <f>D591*F590</f>
        <v>313.1245836109253</v>
      </c>
      <c r="I591" s="2">
        <f>E591*G590</f>
        <v>429.9151081334636</v>
      </c>
      <c r="J591" s="2">
        <f>I591-H591</f>
        <v>116.79052452253831</v>
      </c>
      <c r="K591" s="2">
        <f t="shared" si="77"/>
        <v>-116.79052452253831</v>
      </c>
      <c r="L591" s="3">
        <f>C591/B591</f>
        <v>3.0563857342100023</v>
      </c>
      <c r="M591" s="3">
        <f t="shared" si="79"/>
        <v>3.0671377203261714</v>
      </c>
      <c r="N591" s="3">
        <f t="shared" si="75"/>
        <v>3.0882006371649635</v>
      </c>
      <c r="O591" s="3">
        <f t="shared" si="76"/>
        <v>3.079741571695469</v>
      </c>
      <c r="P591" s="3">
        <f t="shared" si="78"/>
        <v>2.9573210388125988</v>
      </c>
      <c r="Q591" s="4" t="str">
        <f t="shared" si="82"/>
        <v>UNDER</v>
      </c>
      <c r="R591" s="4" t="str">
        <f t="shared" si="82"/>
        <v>UNDER</v>
      </c>
      <c r="S591" s="4" t="str">
        <f t="shared" si="80"/>
        <v>UNDER</v>
      </c>
      <c r="T591" s="4" t="str">
        <f t="shared" si="80"/>
        <v>OVER</v>
      </c>
      <c r="U591" s="2">
        <f>IF(Q591="OVER",$J591,$K591)</f>
        <v>-116.79052452253831</v>
      </c>
      <c r="V591" s="2">
        <f>IF(R591="OVER",$J591,$K591)</f>
        <v>-116.79052452253831</v>
      </c>
      <c r="W591" s="2">
        <f>IF(S591="OVER",$J591,$K591)</f>
        <v>-116.79052452253831</v>
      </c>
      <c r="X591" s="2">
        <f>IF(T591="OVER",$J591,$K591)</f>
        <v>116.79052452253831</v>
      </c>
      <c r="Y591" s="9">
        <f t="shared" si="81"/>
        <v>-7977.5144217060724</v>
      </c>
      <c r="Z591" s="9">
        <f t="shared" si="81"/>
        <v>7374.6326400463995</v>
      </c>
      <c r="AA591" s="9">
        <f t="shared" si="81"/>
        <v>33073.253812823983</v>
      </c>
      <c r="AB591" s="9">
        <f t="shared" si="81"/>
        <v>12638.853424540937</v>
      </c>
    </row>
    <row r="592" spans="1:28" x14ac:dyDescent="0.3">
      <c r="A592" s="1">
        <v>45271</v>
      </c>
      <c r="B592" s="2">
        <v>151.91</v>
      </c>
      <c r="C592" s="2">
        <v>461.99</v>
      </c>
      <c r="D592" s="9">
        <f>B592-B591</f>
        <v>1.3400000000000034</v>
      </c>
      <c r="E592" s="9">
        <f>C592-C591</f>
        <v>1.7900000000000205</v>
      </c>
      <c r="F592" s="3">
        <f>F$1/B592</f>
        <v>658.28451056546646</v>
      </c>
      <c r="G592" s="3">
        <f>F$1/C592</f>
        <v>216.45490162124722</v>
      </c>
      <c r="H592" s="2">
        <f>D592*F591</f>
        <v>889.95151756658265</v>
      </c>
      <c r="I592" s="2">
        <f>E592*G591</f>
        <v>388.96132116471546</v>
      </c>
      <c r="J592" s="2">
        <f>I592-H592</f>
        <v>-500.99019640186719</v>
      </c>
      <c r="K592" s="2">
        <f t="shared" si="77"/>
        <v>500.99019640186719</v>
      </c>
      <c r="L592" s="3">
        <f>C592/B592</f>
        <v>3.0412086103613984</v>
      </c>
      <c r="M592" s="3">
        <f t="shared" si="79"/>
        <v>3.0612660842611579</v>
      </c>
      <c r="N592" s="3">
        <f t="shared" si="75"/>
        <v>3.0837499849890868</v>
      </c>
      <c r="O592" s="3">
        <f t="shared" si="76"/>
        <v>3.0802255646381052</v>
      </c>
      <c r="P592" s="3">
        <f t="shared" si="78"/>
        <v>2.9590309974245015</v>
      </c>
      <c r="Q592" s="4" t="str">
        <f t="shared" si="82"/>
        <v>UNDER</v>
      </c>
      <c r="R592" s="4" t="str">
        <f t="shared" si="82"/>
        <v>UNDER</v>
      </c>
      <c r="S592" s="4" t="str">
        <f t="shared" si="80"/>
        <v>UNDER</v>
      </c>
      <c r="T592" s="4" t="str">
        <f t="shared" si="80"/>
        <v>OVER</v>
      </c>
      <c r="U592" s="2">
        <f>IF(Q592="OVER",$J592,$K592)</f>
        <v>500.99019640186719</v>
      </c>
      <c r="V592" s="2">
        <f>IF(R592="OVER",$J592,$K592)</f>
        <v>500.99019640186719</v>
      </c>
      <c r="W592" s="2">
        <f>IF(S592="OVER",$J592,$K592)</f>
        <v>500.99019640186719</v>
      </c>
      <c r="X592" s="2">
        <f>IF(T592="OVER",$J592,$K592)</f>
        <v>-500.99019640186719</v>
      </c>
      <c r="Y592" s="9">
        <f t="shared" si="81"/>
        <v>-7476.5242253042052</v>
      </c>
      <c r="Z592" s="9">
        <f t="shared" si="81"/>
        <v>7875.6228364482668</v>
      </c>
      <c r="AA592" s="9">
        <f t="shared" si="81"/>
        <v>33574.244009225848</v>
      </c>
      <c r="AB592" s="9">
        <f t="shared" si="81"/>
        <v>12137.863228139071</v>
      </c>
    </row>
    <row r="593" spans="1:28" x14ac:dyDescent="0.3">
      <c r="A593" s="1">
        <v>45272</v>
      </c>
      <c r="B593" s="2">
        <v>152.18</v>
      </c>
      <c r="C593" s="2">
        <v>464.1</v>
      </c>
      <c r="D593" s="9">
        <f>B593-B592</f>
        <v>0.27000000000001023</v>
      </c>
      <c r="E593" s="9">
        <f>C593-C592</f>
        <v>2.1100000000000136</v>
      </c>
      <c r="F593" s="3">
        <f>F$1/B593</f>
        <v>657.11657247995788</v>
      </c>
      <c r="G593" s="3">
        <f>F$1/C593</f>
        <v>215.47080370609783</v>
      </c>
      <c r="H593" s="2">
        <f>D593*F592</f>
        <v>177.73681785268269</v>
      </c>
      <c r="I593" s="2">
        <f>E593*G592</f>
        <v>456.7198424208346</v>
      </c>
      <c r="J593" s="2">
        <f>I593-H593</f>
        <v>278.9830245681519</v>
      </c>
      <c r="K593" s="2">
        <f t="shared" si="77"/>
        <v>-278.9830245681519</v>
      </c>
      <c r="L593" s="3">
        <f>C593/B593</f>
        <v>3.0496780128794847</v>
      </c>
      <c r="M593" s="3">
        <f t="shared" si="79"/>
        <v>3.0556378590590407</v>
      </c>
      <c r="N593" s="3">
        <f t="shared" si="75"/>
        <v>3.0796717857611022</v>
      </c>
      <c r="O593" s="3">
        <f t="shared" si="76"/>
        <v>3.0802140567252332</v>
      </c>
      <c r="P593" s="3">
        <f t="shared" si="78"/>
        <v>2.9607539164965835</v>
      </c>
      <c r="Q593" s="4" t="str">
        <f t="shared" si="82"/>
        <v>UNDER</v>
      </c>
      <c r="R593" s="4" t="str">
        <f t="shared" si="82"/>
        <v>UNDER</v>
      </c>
      <c r="S593" s="4" t="str">
        <f t="shared" si="80"/>
        <v>UNDER</v>
      </c>
      <c r="T593" s="4" t="str">
        <f t="shared" si="80"/>
        <v>OVER</v>
      </c>
      <c r="U593" s="2">
        <f>IF(Q593="OVER",$J593,$K593)</f>
        <v>-278.9830245681519</v>
      </c>
      <c r="V593" s="2">
        <f>IF(R593="OVER",$J593,$K593)</f>
        <v>-278.9830245681519</v>
      </c>
      <c r="W593" s="2">
        <f>IF(S593="OVER",$J593,$K593)</f>
        <v>-278.9830245681519</v>
      </c>
      <c r="X593" s="2">
        <f>IF(T593="OVER",$J593,$K593)</f>
        <v>278.9830245681519</v>
      </c>
      <c r="Y593" s="9">
        <f t="shared" si="81"/>
        <v>-7755.5072498723566</v>
      </c>
      <c r="Z593" s="9">
        <f t="shared" si="81"/>
        <v>7596.6398118801153</v>
      </c>
      <c r="AA593" s="9">
        <f t="shared" si="81"/>
        <v>33295.260984657696</v>
      </c>
      <c r="AB593" s="9">
        <f t="shared" si="81"/>
        <v>12416.846252707222</v>
      </c>
    </row>
    <row r="594" spans="1:28" x14ac:dyDescent="0.3">
      <c r="A594" s="1">
        <v>45273</v>
      </c>
      <c r="B594" s="2">
        <v>155.41</v>
      </c>
      <c r="C594" s="2">
        <v>470.5</v>
      </c>
      <c r="D594" s="9">
        <f>B594-B593</f>
        <v>3.2299999999999898</v>
      </c>
      <c r="E594" s="9">
        <f>C594-C593</f>
        <v>6.3999999999999773</v>
      </c>
      <c r="F594" s="3">
        <f>F$1/B594</f>
        <v>643.4592368573451</v>
      </c>
      <c r="G594" s="3">
        <f>F$1/C594</f>
        <v>212.53985122210415</v>
      </c>
      <c r="H594" s="2">
        <f>D594*F593</f>
        <v>2122.4865291102574</v>
      </c>
      <c r="I594" s="2">
        <f>E594*G593</f>
        <v>1379.0131437190212</v>
      </c>
      <c r="J594" s="2">
        <f>I594-H594</f>
        <v>-743.47338539123621</v>
      </c>
      <c r="K594" s="2">
        <f t="shared" si="77"/>
        <v>743.47338539123621</v>
      </c>
      <c r="L594" s="3">
        <f>C594/B594</f>
        <v>3.0274757094138085</v>
      </c>
      <c r="M594" s="3">
        <f t="shared" si="79"/>
        <v>3.0492320807994693</v>
      </c>
      <c r="N594" s="3">
        <f t="shared" si="75"/>
        <v>3.0758723227360454</v>
      </c>
      <c r="O594" s="3">
        <f t="shared" si="76"/>
        <v>3.0798445621713664</v>
      </c>
      <c r="P594" s="3">
        <f t="shared" si="78"/>
        <v>2.9623762882223703</v>
      </c>
      <c r="Q594" s="4" t="str">
        <f t="shared" si="82"/>
        <v>UNDER</v>
      </c>
      <c r="R594" s="4" t="str">
        <f t="shared" si="82"/>
        <v>UNDER</v>
      </c>
      <c r="S594" s="4" t="str">
        <f t="shared" si="80"/>
        <v>UNDER</v>
      </c>
      <c r="T594" s="4" t="str">
        <f t="shared" si="80"/>
        <v>OVER</v>
      </c>
      <c r="U594" s="2">
        <f>IF(Q594="OVER",$J594,$K594)</f>
        <v>743.47338539123621</v>
      </c>
      <c r="V594" s="2">
        <f>IF(R594="OVER",$J594,$K594)</f>
        <v>743.47338539123621</v>
      </c>
      <c r="W594" s="2">
        <f>IF(S594="OVER",$J594,$K594)</f>
        <v>743.47338539123621</v>
      </c>
      <c r="X594" s="2">
        <f>IF(T594="OVER",$J594,$K594)</f>
        <v>-743.47338539123621</v>
      </c>
      <c r="Y594" s="9">
        <f t="shared" si="81"/>
        <v>-7012.03386448112</v>
      </c>
      <c r="Z594" s="9">
        <f t="shared" si="81"/>
        <v>8340.113197271352</v>
      </c>
      <c r="AA594" s="9">
        <f t="shared" si="81"/>
        <v>34038.734370048929</v>
      </c>
      <c r="AB594" s="9">
        <f t="shared" si="81"/>
        <v>11673.372867315986</v>
      </c>
    </row>
    <row r="595" spans="1:28" x14ac:dyDescent="0.3">
      <c r="A595" s="1">
        <v>45274</v>
      </c>
      <c r="B595" s="2">
        <v>157.53</v>
      </c>
      <c r="C595" s="2">
        <v>472.01</v>
      </c>
      <c r="D595" s="9">
        <f>B595-B594</f>
        <v>2.1200000000000045</v>
      </c>
      <c r="E595" s="9">
        <f>C595-C594</f>
        <v>1.5099999999999909</v>
      </c>
      <c r="F595" s="3">
        <f>F$1/B595</f>
        <v>634.79972068812287</v>
      </c>
      <c r="G595" s="3">
        <f>F$1/C595</f>
        <v>211.85991822207157</v>
      </c>
      <c r="H595" s="2">
        <f>D595*F594</f>
        <v>1364.1335821375746</v>
      </c>
      <c r="I595" s="2">
        <f>E595*G594</f>
        <v>320.93517534537534</v>
      </c>
      <c r="J595" s="2">
        <f>I595-H595</f>
        <v>-1043.1984067921994</v>
      </c>
      <c r="K595" s="2">
        <f t="shared" si="77"/>
        <v>1043.1984067921994</v>
      </c>
      <c r="L595" s="3">
        <f>C595/B595</f>
        <v>2.996318161620009</v>
      </c>
      <c r="M595" s="3">
        <f t="shared" si="79"/>
        <v>3.041109345376845</v>
      </c>
      <c r="N595" s="3">
        <f t="shared" si="75"/>
        <v>3.0709143614703125</v>
      </c>
      <c r="O595" s="3">
        <f t="shared" si="76"/>
        <v>3.0787565575876745</v>
      </c>
      <c r="P595" s="3">
        <f t="shared" si="78"/>
        <v>2.9638698724699566</v>
      </c>
      <c r="Q595" s="4" t="str">
        <f t="shared" si="82"/>
        <v>UNDER</v>
      </c>
      <c r="R595" s="4" t="str">
        <f t="shared" si="82"/>
        <v>UNDER</v>
      </c>
      <c r="S595" s="4" t="str">
        <f t="shared" si="80"/>
        <v>UNDER</v>
      </c>
      <c r="T595" s="4" t="str">
        <f t="shared" si="80"/>
        <v>OVER</v>
      </c>
      <c r="U595" s="2">
        <f>IF(Q595="OVER",$J595,$K595)</f>
        <v>1043.1984067921994</v>
      </c>
      <c r="V595" s="2">
        <f>IF(R595="OVER",$J595,$K595)</f>
        <v>1043.1984067921994</v>
      </c>
      <c r="W595" s="2">
        <f>IF(S595="OVER",$J595,$K595)</f>
        <v>1043.1984067921994</v>
      </c>
      <c r="X595" s="2">
        <f>IF(T595="OVER",$J595,$K595)</f>
        <v>-1043.1984067921994</v>
      </c>
      <c r="Y595" s="9">
        <f t="shared" si="81"/>
        <v>-5968.8354576889205</v>
      </c>
      <c r="Z595" s="9">
        <f t="shared" si="81"/>
        <v>9383.3116040635505</v>
      </c>
      <c r="AA595" s="9">
        <f t="shared" si="81"/>
        <v>35081.932776841131</v>
      </c>
      <c r="AB595" s="9">
        <f t="shared" si="81"/>
        <v>10630.174460523787</v>
      </c>
    </row>
    <row r="596" spans="1:28" x14ac:dyDescent="0.3">
      <c r="A596" s="1">
        <v>45275</v>
      </c>
      <c r="B596" s="2">
        <v>156.41</v>
      </c>
      <c r="C596" s="2">
        <v>469.33</v>
      </c>
      <c r="D596" s="9">
        <f>B596-B595</f>
        <v>-1.1200000000000045</v>
      </c>
      <c r="E596" s="9">
        <f>C596-C595</f>
        <v>-2.6800000000000068</v>
      </c>
      <c r="F596" s="3">
        <f>F$1/B596</f>
        <v>639.34531040214824</v>
      </c>
      <c r="G596" s="3">
        <f>F$1/C596</f>
        <v>213.06969509726633</v>
      </c>
      <c r="H596" s="2">
        <f>D596*F595</f>
        <v>-710.97568717070055</v>
      </c>
      <c r="I596" s="2">
        <f>E596*G595</f>
        <v>-567.78458083515329</v>
      </c>
      <c r="J596" s="2">
        <f>I596-H596</f>
        <v>143.19110633554726</v>
      </c>
      <c r="K596" s="2">
        <f t="shared" si="77"/>
        <v>-143.19110633554726</v>
      </c>
      <c r="L596" s="3">
        <f>C596/B596</f>
        <v>3.0006393453104021</v>
      </c>
      <c r="M596" s="3">
        <f t="shared" si="79"/>
        <v>3.0361842411780642</v>
      </c>
      <c r="N596" s="3">
        <f t="shared" si="75"/>
        <v>3.0654694311600332</v>
      </c>
      <c r="O596" s="3">
        <f t="shared" si="76"/>
        <v>3.0776021975198189</v>
      </c>
      <c r="P596" s="3">
        <f t="shared" si="78"/>
        <v>2.9653861557167152</v>
      </c>
      <c r="Q596" s="4" t="str">
        <f t="shared" si="82"/>
        <v>UNDER</v>
      </c>
      <c r="R596" s="4" t="str">
        <f t="shared" si="82"/>
        <v>UNDER</v>
      </c>
      <c r="S596" s="4" t="str">
        <f t="shared" si="80"/>
        <v>UNDER</v>
      </c>
      <c r="T596" s="4" t="str">
        <f t="shared" si="80"/>
        <v>OVER</v>
      </c>
      <c r="U596" s="2">
        <f>IF(Q596="OVER",$J596,$K596)</f>
        <v>-143.19110633554726</v>
      </c>
      <c r="V596" s="2">
        <f>IF(R596="OVER",$J596,$K596)</f>
        <v>-143.19110633554726</v>
      </c>
      <c r="W596" s="2">
        <f>IF(S596="OVER",$J596,$K596)</f>
        <v>-143.19110633554726</v>
      </c>
      <c r="X596" s="2">
        <f>IF(T596="OVER",$J596,$K596)</f>
        <v>143.19110633554726</v>
      </c>
      <c r="Y596" s="9">
        <f t="shared" si="81"/>
        <v>-6112.0265640244679</v>
      </c>
      <c r="Z596" s="9">
        <f t="shared" si="81"/>
        <v>9240.1204977280031</v>
      </c>
      <c r="AA596" s="9">
        <f t="shared" si="81"/>
        <v>34938.741670505588</v>
      </c>
      <c r="AB596" s="9">
        <f t="shared" si="81"/>
        <v>10773.365566859335</v>
      </c>
    </row>
    <row r="597" spans="1:28" x14ac:dyDescent="0.3">
      <c r="A597" s="1">
        <v>45278</v>
      </c>
      <c r="B597" s="2">
        <v>155.87</v>
      </c>
      <c r="C597" s="2">
        <v>471.97</v>
      </c>
      <c r="D597" s="9">
        <f>B597-B596</f>
        <v>-0.53999999999999204</v>
      </c>
      <c r="E597" s="9">
        <f>C597-C596</f>
        <v>2.6400000000000432</v>
      </c>
      <c r="F597" s="3">
        <f>F$1/B597</f>
        <v>641.56027458779749</v>
      </c>
      <c r="G597" s="3">
        <f>F$1/C597</f>
        <v>211.87787359366061</v>
      </c>
      <c r="H597" s="2">
        <f>D597*F596</f>
        <v>-345.24646761715496</v>
      </c>
      <c r="I597" s="2">
        <f>E597*G596</f>
        <v>562.50399505679229</v>
      </c>
      <c r="J597" s="2">
        <f>I597-H597</f>
        <v>907.75046267394725</v>
      </c>
      <c r="K597" s="2">
        <f t="shared" si="77"/>
        <v>-907.75046267394725</v>
      </c>
      <c r="L597" s="3">
        <f>C597/B597</f>
        <v>3.0279720279720279</v>
      </c>
      <c r="M597" s="3">
        <f t="shared" si="79"/>
        <v>3.0357344320230752</v>
      </c>
      <c r="N597" s="3">
        <f t="shared" si="75"/>
        <v>3.0619467321256151</v>
      </c>
      <c r="O597" s="3">
        <f t="shared" si="76"/>
        <v>3.0767987809364024</v>
      </c>
      <c r="P597" s="3">
        <f t="shared" si="78"/>
        <v>2.9670124752347093</v>
      </c>
      <c r="Q597" s="4" t="str">
        <f t="shared" si="82"/>
        <v>UNDER</v>
      </c>
      <c r="R597" s="4" t="str">
        <f t="shared" si="82"/>
        <v>UNDER</v>
      </c>
      <c r="S597" s="4" t="str">
        <f t="shared" si="80"/>
        <v>UNDER</v>
      </c>
      <c r="T597" s="4" t="str">
        <f t="shared" si="80"/>
        <v>OVER</v>
      </c>
      <c r="U597" s="2">
        <f>IF(Q597="OVER",$J597,$K597)</f>
        <v>-907.75046267394725</v>
      </c>
      <c r="V597" s="2">
        <f>IF(R597="OVER",$J597,$K597)</f>
        <v>-907.75046267394725</v>
      </c>
      <c r="W597" s="2">
        <f>IF(S597="OVER",$J597,$K597)</f>
        <v>-907.75046267394725</v>
      </c>
      <c r="X597" s="2">
        <f>IF(T597="OVER",$J597,$K597)</f>
        <v>907.75046267394725</v>
      </c>
      <c r="Y597" s="9">
        <f t="shared" si="81"/>
        <v>-7019.7770266984153</v>
      </c>
      <c r="Z597" s="9">
        <f t="shared" si="81"/>
        <v>8332.3700350540566</v>
      </c>
      <c r="AA597" s="9">
        <f t="shared" si="81"/>
        <v>34030.991207831641</v>
      </c>
      <c r="AB597" s="9">
        <f t="shared" si="81"/>
        <v>11681.116029533281</v>
      </c>
    </row>
    <row r="598" spans="1:28" x14ac:dyDescent="0.3">
      <c r="A598" s="1">
        <v>45279</v>
      </c>
      <c r="B598" s="2">
        <v>157.18</v>
      </c>
      <c r="C598" s="2">
        <v>474.84</v>
      </c>
      <c r="D598" s="9">
        <f>B598-B597</f>
        <v>1.3100000000000023</v>
      </c>
      <c r="E598" s="9">
        <f>C598-C597</f>
        <v>2.8699999999999477</v>
      </c>
      <c r="F598" s="3">
        <f>F$1/B598</f>
        <v>636.21325868431097</v>
      </c>
      <c r="G598" s="3">
        <f>F$1/C598</f>
        <v>210.5972538118103</v>
      </c>
      <c r="H598" s="2">
        <f>D598*F597</f>
        <v>840.4439597100162</v>
      </c>
      <c r="I598" s="2">
        <f>E598*G597</f>
        <v>608.08949721379486</v>
      </c>
      <c r="J598" s="2">
        <f>I598-H598</f>
        <v>-232.35446249622134</v>
      </c>
      <c r="K598" s="2">
        <f t="shared" si="77"/>
        <v>232.35446249622134</v>
      </c>
      <c r="L598" s="3">
        <f>C598/B598</f>
        <v>3.0209950375365819</v>
      </c>
      <c r="M598" s="3">
        <f t="shared" si="79"/>
        <v>3.0319247839611099</v>
      </c>
      <c r="N598" s="3">
        <f t="shared" si="75"/>
        <v>3.0575025427414051</v>
      </c>
      <c r="O598" s="3">
        <f t="shared" si="76"/>
        <v>3.0759009511906799</v>
      </c>
      <c r="P598" s="3">
        <f t="shared" si="78"/>
        <v>2.9685291281755339</v>
      </c>
      <c r="Q598" s="4" t="str">
        <f t="shared" si="82"/>
        <v>UNDER</v>
      </c>
      <c r="R598" s="4" t="str">
        <f t="shared" si="82"/>
        <v>UNDER</v>
      </c>
      <c r="S598" s="4" t="str">
        <f t="shared" si="80"/>
        <v>UNDER</v>
      </c>
      <c r="T598" s="4" t="str">
        <f t="shared" si="80"/>
        <v>OVER</v>
      </c>
      <c r="U598" s="2">
        <f>IF(Q598="OVER",$J598,$K598)</f>
        <v>232.35446249622134</v>
      </c>
      <c r="V598" s="2">
        <f>IF(R598="OVER",$J598,$K598)</f>
        <v>232.35446249622134</v>
      </c>
      <c r="W598" s="2">
        <f>IF(S598="OVER",$J598,$K598)</f>
        <v>232.35446249622134</v>
      </c>
      <c r="X598" s="2">
        <f>IF(T598="OVER",$J598,$K598)</f>
        <v>-232.35446249622134</v>
      </c>
      <c r="Y598" s="9">
        <f t="shared" si="81"/>
        <v>-6787.4225642021938</v>
      </c>
      <c r="Z598" s="9">
        <f t="shared" si="81"/>
        <v>8564.7244975502781</v>
      </c>
      <c r="AA598" s="9">
        <f t="shared" si="81"/>
        <v>34263.345670327864</v>
      </c>
      <c r="AB598" s="9">
        <f t="shared" si="81"/>
        <v>11448.76156703706</v>
      </c>
    </row>
    <row r="599" spans="1:28" x14ac:dyDescent="0.3">
      <c r="A599" s="1">
        <v>45280</v>
      </c>
      <c r="B599" s="2">
        <v>154.58000000000001</v>
      </c>
      <c r="C599" s="2">
        <v>468.26</v>
      </c>
      <c r="D599" s="9">
        <f>B599-B598</f>
        <v>-2.5999999999999943</v>
      </c>
      <c r="E599" s="9">
        <f>C599-C598</f>
        <v>-6.5799999999999841</v>
      </c>
      <c r="F599" s="3">
        <f>F$1/B599</f>
        <v>646.91421917453738</v>
      </c>
      <c r="G599" s="3">
        <f>F$1/C599</f>
        <v>213.55657113569384</v>
      </c>
      <c r="H599" s="2">
        <f>D599*F598</f>
        <v>-1654.1544725792048</v>
      </c>
      <c r="I599" s="2">
        <f>E599*G598</f>
        <v>-1385.7299300817085</v>
      </c>
      <c r="J599" s="2">
        <f>I599-H599</f>
        <v>268.4245424974963</v>
      </c>
      <c r="K599" s="2">
        <f t="shared" si="77"/>
        <v>-268.4245424974963</v>
      </c>
      <c r="L599" s="3">
        <f>C599/B599</f>
        <v>3.0292405227066888</v>
      </c>
      <c r="M599" s="3">
        <f t="shared" si="79"/>
        <v>3.0302744607713272</v>
      </c>
      <c r="N599" s="3">
        <f t="shared" ref="N599:N662" si="83">AVERAGE(L580:L599)</f>
        <v>3.0535221820454637</v>
      </c>
      <c r="O599" s="3">
        <f t="shared" si="76"/>
        <v>3.0753174057889572</v>
      </c>
      <c r="P599" s="3">
        <f t="shared" si="78"/>
        <v>2.9700760000508306</v>
      </c>
      <c r="Q599" s="4" t="str">
        <f t="shared" si="82"/>
        <v>UNDER</v>
      </c>
      <c r="R599" s="4" t="str">
        <f t="shared" si="82"/>
        <v>UNDER</v>
      </c>
      <c r="S599" s="4" t="str">
        <f t="shared" si="80"/>
        <v>UNDER</v>
      </c>
      <c r="T599" s="4" t="str">
        <f t="shared" si="80"/>
        <v>OVER</v>
      </c>
      <c r="U599" s="2">
        <f>IF(Q599="OVER",$J599,$K599)</f>
        <v>-268.4245424974963</v>
      </c>
      <c r="V599" s="2">
        <f>IF(R599="OVER",$J599,$K599)</f>
        <v>-268.4245424974963</v>
      </c>
      <c r="W599" s="2">
        <f>IF(S599="OVER",$J599,$K599)</f>
        <v>-268.4245424974963</v>
      </c>
      <c r="X599" s="2">
        <f>IF(T599="OVER",$J599,$K599)</f>
        <v>268.4245424974963</v>
      </c>
      <c r="Y599" s="9">
        <f t="shared" si="81"/>
        <v>-7055.8471066996899</v>
      </c>
      <c r="Z599" s="9">
        <f t="shared" si="81"/>
        <v>8296.299955052782</v>
      </c>
      <c r="AA599" s="9">
        <f t="shared" si="81"/>
        <v>33994.92112783037</v>
      </c>
      <c r="AB599" s="9">
        <f t="shared" si="81"/>
        <v>11717.186109534556</v>
      </c>
    </row>
    <row r="600" spans="1:28" x14ac:dyDescent="0.3">
      <c r="A600" s="1">
        <v>45281</v>
      </c>
      <c r="B600" s="2">
        <v>156.47999999999999</v>
      </c>
      <c r="C600" s="2">
        <v>472.7</v>
      </c>
      <c r="D600" s="9">
        <f>B600-B599</f>
        <v>1.8999999999999773</v>
      </c>
      <c r="E600" s="9">
        <f>C600-C599</f>
        <v>4.4399999999999977</v>
      </c>
      <c r="F600" s="3">
        <f>F$1/B600</f>
        <v>639.05930470347653</v>
      </c>
      <c r="G600" s="3">
        <f>F$1/C600</f>
        <v>211.55066638459911</v>
      </c>
      <c r="H600" s="2">
        <f>D600*F599</f>
        <v>1229.1370164316063</v>
      </c>
      <c r="I600" s="2">
        <f>E600*G599</f>
        <v>948.19117584248022</v>
      </c>
      <c r="J600" s="2">
        <f>I600-H600</f>
        <v>-280.94584058912608</v>
      </c>
      <c r="K600" s="2">
        <f t="shared" si="77"/>
        <v>280.94584058912608</v>
      </c>
      <c r="L600" s="3">
        <f>C600/B600</f>
        <v>3.0208333333333335</v>
      </c>
      <c r="M600" s="3">
        <f t="shared" si="79"/>
        <v>3.0270746495343737</v>
      </c>
      <c r="N600" s="3">
        <f t="shared" si="83"/>
        <v>3.0492457165439162</v>
      </c>
      <c r="O600" s="3">
        <f t="shared" si="76"/>
        <v>3.0744445655024002</v>
      </c>
      <c r="P600" s="3">
        <f t="shared" si="78"/>
        <v>2.9715874176374921</v>
      </c>
      <c r="Q600" s="4" t="str">
        <f t="shared" si="82"/>
        <v>UNDER</v>
      </c>
      <c r="R600" s="4" t="str">
        <f t="shared" si="82"/>
        <v>UNDER</v>
      </c>
      <c r="S600" s="4" t="str">
        <f t="shared" si="80"/>
        <v>UNDER</v>
      </c>
      <c r="T600" s="4" t="str">
        <f t="shared" si="80"/>
        <v>OVER</v>
      </c>
      <c r="U600" s="2">
        <f>IF(Q600="OVER",$J600,$K600)</f>
        <v>280.94584058912608</v>
      </c>
      <c r="V600" s="2">
        <f>IF(R600="OVER",$J600,$K600)</f>
        <v>280.94584058912608</v>
      </c>
      <c r="W600" s="2">
        <f>IF(S600="OVER",$J600,$K600)</f>
        <v>280.94584058912608</v>
      </c>
      <c r="X600" s="2">
        <f>IF(T600="OVER",$J600,$K600)</f>
        <v>-280.94584058912608</v>
      </c>
      <c r="Y600" s="9">
        <f t="shared" si="81"/>
        <v>-6774.9012661105635</v>
      </c>
      <c r="Z600" s="9">
        <f t="shared" si="81"/>
        <v>8577.2457956419075</v>
      </c>
      <c r="AA600" s="9">
        <f t="shared" si="81"/>
        <v>34275.866968419497</v>
      </c>
      <c r="AB600" s="9">
        <f t="shared" si="81"/>
        <v>11436.24026894543</v>
      </c>
    </row>
    <row r="601" spans="1:28" x14ac:dyDescent="0.3">
      <c r="A601" s="1">
        <v>45282</v>
      </c>
      <c r="B601" s="2">
        <v>157.01</v>
      </c>
      <c r="C601" s="2">
        <v>473.65</v>
      </c>
      <c r="D601" s="9">
        <f>B601-B600</f>
        <v>0.53000000000000114</v>
      </c>
      <c r="E601" s="9">
        <f>C601-C600</f>
        <v>0.94999999999998863</v>
      </c>
      <c r="F601" s="3">
        <f>F$1/B601</f>
        <v>636.90210814597799</v>
      </c>
      <c r="G601" s="3">
        <f>F$1/C601</f>
        <v>211.12635912593689</v>
      </c>
      <c r="H601" s="2">
        <f>D601*F600</f>
        <v>338.70143149284331</v>
      </c>
      <c r="I601" s="2">
        <f>E601*G600</f>
        <v>200.97313306536674</v>
      </c>
      <c r="J601" s="2">
        <f>I601-H601</f>
        <v>-137.72829842747657</v>
      </c>
      <c r="K601" s="2">
        <f t="shared" si="77"/>
        <v>137.72829842747657</v>
      </c>
      <c r="L601" s="3">
        <f>C601/B601</f>
        <v>3.0166868352334246</v>
      </c>
      <c r="M601" s="3">
        <f t="shared" si="79"/>
        <v>3.0231047596367158</v>
      </c>
      <c r="N601" s="3">
        <f t="shared" si="83"/>
        <v>3.0451212399814436</v>
      </c>
      <c r="O601" s="3">
        <f t="shared" si="76"/>
        <v>3.0730912467305398</v>
      </c>
      <c r="P601" s="3">
        <f t="shared" si="78"/>
        <v>2.9730276462387457</v>
      </c>
      <c r="Q601" s="4" t="str">
        <f t="shared" si="82"/>
        <v>UNDER</v>
      </c>
      <c r="R601" s="4" t="str">
        <f t="shared" si="82"/>
        <v>UNDER</v>
      </c>
      <c r="S601" s="4" t="str">
        <f t="shared" si="80"/>
        <v>UNDER</v>
      </c>
      <c r="T601" s="4" t="str">
        <f t="shared" si="80"/>
        <v>OVER</v>
      </c>
      <c r="U601" s="2">
        <f>IF(Q601="OVER",$J601,$K601)</f>
        <v>137.72829842747657</v>
      </c>
      <c r="V601" s="2">
        <f>IF(R601="OVER",$J601,$K601)</f>
        <v>137.72829842747657</v>
      </c>
      <c r="W601" s="2">
        <f>IF(S601="OVER",$J601,$K601)</f>
        <v>137.72829842747657</v>
      </c>
      <c r="X601" s="2">
        <f>IF(T601="OVER",$J601,$K601)</f>
        <v>-137.72829842747657</v>
      </c>
      <c r="Y601" s="9">
        <f t="shared" si="81"/>
        <v>-6637.1729676830873</v>
      </c>
      <c r="Z601" s="9">
        <f t="shared" si="81"/>
        <v>8714.9740940693846</v>
      </c>
      <c r="AA601" s="9">
        <f t="shared" si="81"/>
        <v>34413.595266846976</v>
      </c>
      <c r="AB601" s="9">
        <f t="shared" si="81"/>
        <v>11298.511970517953</v>
      </c>
    </row>
    <row r="602" spans="1:28" x14ac:dyDescent="0.3">
      <c r="A602" s="1">
        <v>45286</v>
      </c>
      <c r="B602" s="2">
        <v>157.91</v>
      </c>
      <c r="C602" s="2">
        <v>475.65</v>
      </c>
      <c r="D602" s="9">
        <f>B602-B601</f>
        <v>0.90000000000000568</v>
      </c>
      <c r="E602" s="9">
        <f>C602-C601</f>
        <v>2</v>
      </c>
      <c r="F602" s="3">
        <f>F$1/B602</f>
        <v>633.27211702868726</v>
      </c>
      <c r="G602" s="3">
        <f>F$1/C602</f>
        <v>210.23862083464732</v>
      </c>
      <c r="H602" s="2">
        <f>D602*F601</f>
        <v>573.21189733138385</v>
      </c>
      <c r="I602" s="2">
        <f>E602*G601</f>
        <v>422.25271825187377</v>
      </c>
      <c r="J602" s="2">
        <f>I602-H602</f>
        <v>-150.95917907951008</v>
      </c>
      <c r="K602" s="2">
        <f t="shared" si="77"/>
        <v>150.95917907951008</v>
      </c>
      <c r="L602" s="3">
        <f>C602/B602</f>
        <v>3.0121588246469506</v>
      </c>
      <c r="M602" s="3">
        <f t="shared" si="79"/>
        <v>3.020199781065271</v>
      </c>
      <c r="N602" s="3">
        <f t="shared" si="83"/>
        <v>3.0407329326632144</v>
      </c>
      <c r="O602" s="3">
        <f t="shared" si="76"/>
        <v>3.0718189909047102</v>
      </c>
      <c r="P602" s="3">
        <f t="shared" si="78"/>
        <v>2.974352055368743</v>
      </c>
      <c r="Q602" s="4" t="str">
        <f t="shared" si="82"/>
        <v>UNDER</v>
      </c>
      <c r="R602" s="4" t="str">
        <f t="shared" si="82"/>
        <v>UNDER</v>
      </c>
      <c r="S602" s="4" t="str">
        <f t="shared" si="80"/>
        <v>UNDER</v>
      </c>
      <c r="T602" s="4" t="str">
        <f t="shared" si="80"/>
        <v>OVER</v>
      </c>
      <c r="U602" s="2">
        <f>IF(Q602="OVER",$J602,$K602)</f>
        <v>150.95917907951008</v>
      </c>
      <c r="V602" s="2">
        <f>IF(R602="OVER",$J602,$K602)</f>
        <v>150.95917907951008</v>
      </c>
      <c r="W602" s="2">
        <f>IF(S602="OVER",$J602,$K602)</f>
        <v>150.95917907951008</v>
      </c>
      <c r="X602" s="2">
        <f>IF(T602="OVER",$J602,$K602)</f>
        <v>-150.95917907951008</v>
      </c>
      <c r="Y602" s="9">
        <f t="shared" si="81"/>
        <v>-6486.2137886035771</v>
      </c>
      <c r="Z602" s="9">
        <f t="shared" si="81"/>
        <v>8865.9332731488939</v>
      </c>
      <c r="AA602" s="9">
        <f t="shared" si="81"/>
        <v>34564.554445926486</v>
      </c>
      <c r="AB602" s="9">
        <f t="shared" si="81"/>
        <v>11147.552791438444</v>
      </c>
    </row>
    <row r="603" spans="1:28" x14ac:dyDescent="0.3">
      <c r="A603" s="1">
        <v>45287</v>
      </c>
      <c r="B603" s="2">
        <v>158.06</v>
      </c>
      <c r="C603" s="2">
        <v>476.51</v>
      </c>
      <c r="D603" s="9">
        <f>B603-B602</f>
        <v>0.15000000000000568</v>
      </c>
      <c r="E603" s="9">
        <f>C603-C602</f>
        <v>0.86000000000001364</v>
      </c>
      <c r="F603" s="3">
        <f>F$1/B603</f>
        <v>632.67113754270531</v>
      </c>
      <c r="G603" s="3">
        <f>F$1/C603</f>
        <v>209.85918448720909</v>
      </c>
      <c r="H603" s="2">
        <f>D603*F602</f>
        <v>94.990817554306687</v>
      </c>
      <c r="I603" s="2">
        <f>E603*G602</f>
        <v>180.80521391779956</v>
      </c>
      <c r="J603" s="2">
        <f>I603-H603</f>
        <v>85.814396363492875</v>
      </c>
      <c r="K603" s="2">
        <f t="shared" si="77"/>
        <v>-85.814396363492875</v>
      </c>
      <c r="L603" s="3">
        <f>C603/B603</f>
        <v>3.0147412375047451</v>
      </c>
      <c r="M603" s="3">
        <f t="shared" si="79"/>
        <v>3.0167061035277971</v>
      </c>
      <c r="N603" s="3">
        <f t="shared" si="83"/>
        <v>3.0361719812934185</v>
      </c>
      <c r="O603" s="3">
        <f t="shared" si="76"/>
        <v>3.0707170260180834</v>
      </c>
      <c r="P603" s="3">
        <f t="shared" si="78"/>
        <v>2.9755389147094196</v>
      </c>
      <c r="Q603" s="4" t="str">
        <f t="shared" si="82"/>
        <v>UNDER</v>
      </c>
      <c r="R603" s="4" t="str">
        <f t="shared" si="82"/>
        <v>UNDER</v>
      </c>
      <c r="S603" s="4" t="str">
        <f t="shared" si="80"/>
        <v>UNDER</v>
      </c>
      <c r="T603" s="4" t="str">
        <f t="shared" si="80"/>
        <v>OVER</v>
      </c>
      <c r="U603" s="2">
        <f>IF(Q603="OVER",$J603,$K603)</f>
        <v>-85.814396363492875</v>
      </c>
      <c r="V603" s="2">
        <f>IF(R603="OVER",$J603,$K603)</f>
        <v>-85.814396363492875</v>
      </c>
      <c r="W603" s="2">
        <f>IF(S603="OVER",$J603,$K603)</f>
        <v>-85.814396363492875</v>
      </c>
      <c r="X603" s="2">
        <f>IF(T603="OVER",$J603,$K603)</f>
        <v>85.814396363492875</v>
      </c>
      <c r="Y603" s="9">
        <f t="shared" si="81"/>
        <v>-6572.02818496707</v>
      </c>
      <c r="Z603" s="9">
        <f t="shared" si="81"/>
        <v>8780.1188767854019</v>
      </c>
      <c r="AA603" s="9">
        <f t="shared" si="81"/>
        <v>34478.740049562992</v>
      </c>
      <c r="AB603" s="9">
        <f t="shared" si="81"/>
        <v>11233.367187801936</v>
      </c>
    </row>
    <row r="604" spans="1:28" x14ac:dyDescent="0.3">
      <c r="A604" s="1">
        <v>45288</v>
      </c>
      <c r="B604" s="2">
        <v>158.41</v>
      </c>
      <c r="C604" s="2">
        <v>476.69</v>
      </c>
      <c r="D604" s="9">
        <f>B604-B603</f>
        <v>0.34999999999999432</v>
      </c>
      <c r="E604" s="9">
        <f>C604-C603</f>
        <v>0.18000000000000682</v>
      </c>
      <c r="F604" s="3">
        <f>F$1/B604</f>
        <v>631.27327820213372</v>
      </c>
      <c r="G604" s="3">
        <f>F$1/C604</f>
        <v>209.77994084205667</v>
      </c>
      <c r="H604" s="2">
        <f>D604*F603</f>
        <v>221.43489813994327</v>
      </c>
      <c r="I604" s="2">
        <f>E604*G603</f>
        <v>37.774653207699068</v>
      </c>
      <c r="J604" s="2">
        <f>I604-H604</f>
        <v>-183.66024493224421</v>
      </c>
      <c r="K604" s="2">
        <f t="shared" si="77"/>
        <v>183.66024493224421</v>
      </c>
      <c r="L604" s="3">
        <f>C604/B604</f>
        <v>3.0092165898617513</v>
      </c>
      <c r="M604" s="3">
        <f t="shared" si="79"/>
        <v>3.0148801915725914</v>
      </c>
      <c r="N604" s="3">
        <f t="shared" si="83"/>
        <v>3.0320561361860303</v>
      </c>
      <c r="O604" s="3">
        <f t="shared" si="76"/>
        <v>3.0698084616404548</v>
      </c>
      <c r="P604" s="3">
        <f t="shared" si="78"/>
        <v>2.9766642442827513</v>
      </c>
      <c r="Q604" s="4" t="str">
        <f t="shared" si="82"/>
        <v>UNDER</v>
      </c>
      <c r="R604" s="4" t="str">
        <f t="shared" si="82"/>
        <v>UNDER</v>
      </c>
      <c r="S604" s="4" t="str">
        <f t="shared" si="80"/>
        <v>UNDER</v>
      </c>
      <c r="T604" s="4" t="str">
        <f t="shared" si="80"/>
        <v>OVER</v>
      </c>
      <c r="U604" s="2">
        <f>IF(Q604="OVER",$J604,$K604)</f>
        <v>183.66024493224421</v>
      </c>
      <c r="V604" s="2">
        <f>IF(R604="OVER",$J604,$K604)</f>
        <v>183.66024493224421</v>
      </c>
      <c r="W604" s="2">
        <f>IF(S604="OVER",$J604,$K604)</f>
        <v>183.66024493224421</v>
      </c>
      <c r="X604" s="2">
        <f>IF(T604="OVER",$J604,$K604)</f>
        <v>-183.66024493224421</v>
      </c>
      <c r="Y604" s="9">
        <f t="shared" si="81"/>
        <v>-6388.3679400348256</v>
      </c>
      <c r="Z604" s="9">
        <f t="shared" si="81"/>
        <v>8963.7791217176455</v>
      </c>
      <c r="AA604" s="9">
        <f t="shared" si="81"/>
        <v>34662.400294495237</v>
      </c>
      <c r="AB604" s="9">
        <f t="shared" si="81"/>
        <v>11049.706942869692</v>
      </c>
    </row>
    <row r="605" spans="1:28" x14ac:dyDescent="0.3">
      <c r="A605" s="1">
        <v>45289</v>
      </c>
      <c r="B605" s="2">
        <v>157.80000000000001</v>
      </c>
      <c r="C605" s="2">
        <v>475.31</v>
      </c>
      <c r="D605" s="9">
        <f>B605-B604</f>
        <v>-0.60999999999998522</v>
      </c>
      <c r="E605" s="9">
        <f>C605-C604</f>
        <v>-1.3799999999999955</v>
      </c>
      <c r="F605" s="3">
        <f>F$1/B605</f>
        <v>633.71356147021538</v>
      </c>
      <c r="G605" s="3">
        <f>F$1/C605</f>
        <v>210.3890092781553</v>
      </c>
      <c r="H605" s="2">
        <f>D605*F604</f>
        <v>-385.07669970329226</v>
      </c>
      <c r="I605" s="2">
        <f>E605*G604</f>
        <v>-289.49631836203724</v>
      </c>
      <c r="J605" s="2">
        <f>I605-H605</f>
        <v>95.58038134125502</v>
      </c>
      <c r="K605" s="2">
        <f t="shared" si="77"/>
        <v>-95.58038134125502</v>
      </c>
      <c r="L605" s="3">
        <f>C605/B605</f>
        <v>3.012103929024081</v>
      </c>
      <c r="M605" s="3">
        <f t="shared" si="79"/>
        <v>3.0164587683129986</v>
      </c>
      <c r="N605" s="3">
        <f t="shared" si="83"/>
        <v>3.0287840568449216</v>
      </c>
      <c r="O605" s="3">
        <f t="shared" si="76"/>
        <v>3.0688019639111421</v>
      </c>
      <c r="P605" s="3">
        <f t="shared" si="78"/>
        <v>2.977694633458615</v>
      </c>
      <c r="Q605" s="4" t="str">
        <f t="shared" si="82"/>
        <v>UNDER</v>
      </c>
      <c r="R605" s="4" t="str">
        <f t="shared" si="82"/>
        <v>UNDER</v>
      </c>
      <c r="S605" s="4" t="str">
        <f t="shared" si="80"/>
        <v>UNDER</v>
      </c>
      <c r="T605" s="4" t="str">
        <f t="shared" si="80"/>
        <v>OVER</v>
      </c>
      <c r="U605" s="2">
        <f>IF(Q605="OVER",$J605,$K605)</f>
        <v>-95.58038134125502</v>
      </c>
      <c r="V605" s="2">
        <f>IF(R605="OVER",$J605,$K605)</f>
        <v>-95.58038134125502</v>
      </c>
      <c r="W605" s="2">
        <f>IF(S605="OVER",$J605,$K605)</f>
        <v>-95.58038134125502</v>
      </c>
      <c r="X605" s="2">
        <f>IF(T605="OVER",$J605,$K605)</f>
        <v>95.58038134125502</v>
      </c>
      <c r="Y605" s="9">
        <f t="shared" si="81"/>
        <v>-6483.9483213760805</v>
      </c>
      <c r="Z605" s="9">
        <f t="shared" si="81"/>
        <v>8868.1987403763906</v>
      </c>
      <c r="AA605" s="9">
        <f t="shared" si="81"/>
        <v>34566.81991315398</v>
      </c>
      <c r="AB605" s="9">
        <f t="shared" si="81"/>
        <v>11145.287324210947</v>
      </c>
    </row>
    <row r="606" spans="1:28" x14ac:dyDescent="0.3">
      <c r="A606" s="1">
        <v>45293</v>
      </c>
      <c r="B606" s="2">
        <v>157.85</v>
      </c>
      <c r="C606" s="2">
        <v>472.65</v>
      </c>
      <c r="D606" s="9">
        <f>B606-B605</f>
        <v>4.9999999999982947E-2</v>
      </c>
      <c r="E606" s="9">
        <f>C606-C605</f>
        <v>-2.660000000000025</v>
      </c>
      <c r="F606" s="3">
        <f>F$1/B606</f>
        <v>633.51282863477991</v>
      </c>
      <c r="G606" s="3">
        <f>F$1/C606</f>
        <v>211.57304559399134</v>
      </c>
      <c r="H606" s="2">
        <f>D606*F605</f>
        <v>31.685678073499961</v>
      </c>
      <c r="I606" s="2">
        <f>E606*G605</f>
        <v>-559.63476467989835</v>
      </c>
      <c r="J606" s="2">
        <f>I606-H606</f>
        <v>-591.32044275339831</v>
      </c>
      <c r="K606" s="2">
        <f t="shared" si="77"/>
        <v>591.32044275339831</v>
      </c>
      <c r="L606" s="3">
        <f>C606/B606</f>
        <v>2.994298384542287</v>
      </c>
      <c r="M606" s="3">
        <f t="shared" si="79"/>
        <v>3.015824672236187</v>
      </c>
      <c r="N606" s="3">
        <f t="shared" si="83"/>
        <v>3.0260044567071254</v>
      </c>
      <c r="O606" s="3">
        <f t="shared" si="76"/>
        <v>3.0672161138133185</v>
      </c>
      <c r="P606" s="3">
        <f t="shared" si="78"/>
        <v>2.9785596438998447</v>
      </c>
      <c r="Q606" s="4" t="str">
        <f t="shared" si="82"/>
        <v>UNDER</v>
      </c>
      <c r="R606" s="4" t="str">
        <f t="shared" si="82"/>
        <v>UNDER</v>
      </c>
      <c r="S606" s="4" t="str">
        <f t="shared" si="80"/>
        <v>UNDER</v>
      </c>
      <c r="T606" s="4" t="str">
        <f t="shared" si="80"/>
        <v>OVER</v>
      </c>
      <c r="U606" s="2">
        <f>IF(Q606="OVER",$J606,$K606)</f>
        <v>591.32044275339831</v>
      </c>
      <c r="V606" s="2">
        <f>IF(R606="OVER",$J606,$K606)</f>
        <v>591.32044275339831</v>
      </c>
      <c r="W606" s="2">
        <f>IF(S606="OVER",$J606,$K606)</f>
        <v>591.32044275339831</v>
      </c>
      <c r="X606" s="2">
        <f>IF(T606="OVER",$J606,$K606)</f>
        <v>-591.32044275339831</v>
      </c>
      <c r="Y606" s="9">
        <f t="shared" si="81"/>
        <v>-5892.6278786226821</v>
      </c>
      <c r="Z606" s="9">
        <f t="shared" si="81"/>
        <v>9459.5191831297889</v>
      </c>
      <c r="AA606" s="9">
        <f t="shared" si="81"/>
        <v>35158.140355907381</v>
      </c>
      <c r="AB606" s="9">
        <f t="shared" si="81"/>
        <v>10553.966881457549</v>
      </c>
    </row>
    <row r="607" spans="1:28" x14ac:dyDescent="0.3">
      <c r="A607" s="1">
        <v>45294</v>
      </c>
      <c r="B607" s="2">
        <v>155.52000000000001</v>
      </c>
      <c r="C607" s="2">
        <v>468.79</v>
      </c>
      <c r="D607" s="9">
        <f>B607-B606</f>
        <v>-2.3299999999999841</v>
      </c>
      <c r="E607" s="9">
        <f>C607-C606</f>
        <v>-3.8599999999999568</v>
      </c>
      <c r="F607" s="3">
        <f>F$1/B607</f>
        <v>643.00411522633738</v>
      </c>
      <c r="G607" s="3">
        <f>F$1/C607</f>
        <v>213.31513044220225</v>
      </c>
      <c r="H607" s="2">
        <f>D607*F606</f>
        <v>-1476.084890719027</v>
      </c>
      <c r="I607" s="2">
        <f>E607*G606</f>
        <v>-816.67195599279739</v>
      </c>
      <c r="J607" s="2">
        <f>I607-H607</f>
        <v>659.41293472622965</v>
      </c>
      <c r="K607" s="2">
        <f t="shared" si="77"/>
        <v>-659.41293472622965</v>
      </c>
      <c r="L607" s="3">
        <f>C607/B607</f>
        <v>3.0143389917695473</v>
      </c>
      <c r="M607" s="3">
        <f t="shared" si="79"/>
        <v>3.0144613686159394</v>
      </c>
      <c r="N607" s="3">
        <f t="shared" si="83"/>
        <v>3.0250979003195071</v>
      </c>
      <c r="O607" s="3">
        <f t="shared" si="76"/>
        <v>3.0660197902256012</v>
      </c>
      <c r="P607" s="3">
        <f t="shared" si="78"/>
        <v>2.9795043374821812</v>
      </c>
      <c r="Q607" s="4" t="str">
        <f t="shared" si="82"/>
        <v>UNDER</v>
      </c>
      <c r="R607" s="4" t="str">
        <f t="shared" si="82"/>
        <v>UNDER</v>
      </c>
      <c r="S607" s="4" t="str">
        <f t="shared" si="80"/>
        <v>UNDER</v>
      </c>
      <c r="T607" s="4" t="str">
        <f t="shared" si="80"/>
        <v>OVER</v>
      </c>
      <c r="U607" s="2">
        <f>IF(Q607="OVER",$J607,$K607)</f>
        <v>-659.41293472622965</v>
      </c>
      <c r="V607" s="2">
        <f>IF(R607="OVER",$J607,$K607)</f>
        <v>-659.41293472622965</v>
      </c>
      <c r="W607" s="2">
        <f>IF(S607="OVER",$J607,$K607)</f>
        <v>-659.41293472622965</v>
      </c>
      <c r="X607" s="2">
        <f>IF(T607="OVER",$J607,$K607)</f>
        <v>659.41293472622965</v>
      </c>
      <c r="Y607" s="9">
        <f t="shared" si="81"/>
        <v>-6552.0408133489118</v>
      </c>
      <c r="Z607" s="9">
        <f t="shared" si="81"/>
        <v>8800.1062484035592</v>
      </c>
      <c r="AA607" s="9">
        <f t="shared" si="81"/>
        <v>34498.727421181153</v>
      </c>
      <c r="AB607" s="9">
        <f t="shared" si="81"/>
        <v>11213.379816183779</v>
      </c>
    </row>
    <row r="608" spans="1:28" x14ac:dyDescent="0.3">
      <c r="A608" s="1">
        <v>45295</v>
      </c>
      <c r="B608" s="2">
        <v>155.26</v>
      </c>
      <c r="C608" s="2">
        <v>467.28</v>
      </c>
      <c r="D608" s="9">
        <f>B608-B607</f>
        <v>-0.26000000000001933</v>
      </c>
      <c r="E608" s="9">
        <f>C608-C607</f>
        <v>-1.5100000000000477</v>
      </c>
      <c r="F608" s="3">
        <f>F$1/B608</f>
        <v>644.08089656060804</v>
      </c>
      <c r="G608" s="3">
        <f>F$1/C608</f>
        <v>214.00445129258691</v>
      </c>
      <c r="H608" s="2">
        <f>D608*F607</f>
        <v>-167.18106995886015</v>
      </c>
      <c r="I608" s="2">
        <f>E608*G607</f>
        <v>-322.1058469677356</v>
      </c>
      <c r="J608" s="2">
        <f>I608-H608</f>
        <v>-154.92477700887545</v>
      </c>
      <c r="K608" s="2">
        <f t="shared" si="77"/>
        <v>154.92477700887545</v>
      </c>
      <c r="L608" s="3">
        <f>C608/B608</f>
        <v>3.0096612134484091</v>
      </c>
      <c r="M608" s="3">
        <f t="shared" si="79"/>
        <v>3.0133279862071225</v>
      </c>
      <c r="N608" s="3">
        <f t="shared" si="83"/>
        <v>3.022626385084116</v>
      </c>
      <c r="O608" s="3">
        <f t="shared" si="76"/>
        <v>3.0644442470492912</v>
      </c>
      <c r="P608" s="3">
        <f t="shared" si="78"/>
        <v>2.9804015509674797</v>
      </c>
      <c r="Q608" s="4" t="str">
        <f t="shared" si="82"/>
        <v>UNDER</v>
      </c>
      <c r="R608" s="4" t="str">
        <f t="shared" si="82"/>
        <v>UNDER</v>
      </c>
      <c r="S608" s="4" t="str">
        <f t="shared" si="80"/>
        <v>UNDER</v>
      </c>
      <c r="T608" s="4" t="str">
        <f t="shared" si="80"/>
        <v>OVER</v>
      </c>
      <c r="U608" s="2">
        <f>IF(Q608="OVER",$J608,$K608)</f>
        <v>154.92477700887545</v>
      </c>
      <c r="V608" s="2">
        <f>IF(R608="OVER",$J608,$K608)</f>
        <v>154.92477700887545</v>
      </c>
      <c r="W608" s="2">
        <f>IF(S608="OVER",$J608,$K608)</f>
        <v>154.92477700887545</v>
      </c>
      <c r="X608" s="2">
        <f>IF(T608="OVER",$J608,$K608)</f>
        <v>-154.92477700887545</v>
      </c>
      <c r="Y608" s="9">
        <f t="shared" si="81"/>
        <v>-6397.1160363400368</v>
      </c>
      <c r="Z608" s="9">
        <f t="shared" si="81"/>
        <v>8955.0310254124342</v>
      </c>
      <c r="AA608" s="9">
        <f t="shared" si="81"/>
        <v>34653.65219819003</v>
      </c>
      <c r="AB608" s="9">
        <f t="shared" si="81"/>
        <v>11058.455039174904</v>
      </c>
    </row>
    <row r="609" spans="1:28" x14ac:dyDescent="0.3">
      <c r="A609" s="1">
        <v>45296</v>
      </c>
      <c r="B609" s="2">
        <v>155.71</v>
      </c>
      <c r="C609" s="2">
        <v>467.92</v>
      </c>
      <c r="D609" s="9">
        <f>B609-B608</f>
        <v>0.45000000000001705</v>
      </c>
      <c r="E609" s="9">
        <f>C609-C608</f>
        <v>0.6400000000000432</v>
      </c>
      <c r="F609" s="3">
        <f>F$1/B609</f>
        <v>642.21951062873291</v>
      </c>
      <c r="G609" s="3">
        <f>F$1/C609</f>
        <v>213.71174559753803</v>
      </c>
      <c r="H609" s="2">
        <f>D609*F608</f>
        <v>289.83640345228463</v>
      </c>
      <c r="I609" s="2">
        <f>E609*G608</f>
        <v>136.96284882726488</v>
      </c>
      <c r="J609" s="2">
        <f>I609-H609</f>
        <v>-152.87355462501975</v>
      </c>
      <c r="K609" s="2">
        <f t="shared" si="77"/>
        <v>152.87355462501975</v>
      </c>
      <c r="L609" s="3">
        <f>C609/B609</f>
        <v>3.0050735341339667</v>
      </c>
      <c r="M609" s="3">
        <f t="shared" si="79"/>
        <v>3.0109112873498498</v>
      </c>
      <c r="N609" s="3">
        <f t="shared" si="83"/>
        <v>3.0205928740605885</v>
      </c>
      <c r="O609" s="3">
        <f t="shared" si="76"/>
        <v>3.0627064359277227</v>
      </c>
      <c r="P609" s="3">
        <f t="shared" si="78"/>
        <v>2.981279167184042</v>
      </c>
      <c r="Q609" s="4" t="str">
        <f t="shared" si="82"/>
        <v>UNDER</v>
      </c>
      <c r="R609" s="4" t="str">
        <f t="shared" si="82"/>
        <v>UNDER</v>
      </c>
      <c r="S609" s="4" t="str">
        <f t="shared" si="80"/>
        <v>UNDER</v>
      </c>
      <c r="T609" s="4" t="str">
        <f t="shared" si="80"/>
        <v>OVER</v>
      </c>
      <c r="U609" s="2">
        <f>IF(Q609="OVER",$J609,$K609)</f>
        <v>152.87355462501975</v>
      </c>
      <c r="V609" s="2">
        <f>IF(R609="OVER",$J609,$K609)</f>
        <v>152.87355462501975</v>
      </c>
      <c r="W609" s="2">
        <f>IF(S609="OVER",$J609,$K609)</f>
        <v>152.87355462501975</v>
      </c>
      <c r="X609" s="2">
        <f>IF(T609="OVER",$J609,$K609)</f>
        <v>-152.87355462501975</v>
      </c>
      <c r="Y609" s="9">
        <f t="shared" si="81"/>
        <v>-6244.2424817150168</v>
      </c>
      <c r="Z609" s="9">
        <f t="shared" si="81"/>
        <v>9107.9045800374533</v>
      </c>
      <c r="AA609" s="9">
        <f t="shared" si="81"/>
        <v>34806.525752815047</v>
      </c>
      <c r="AB609" s="9">
        <f t="shared" si="81"/>
        <v>10905.581484549884</v>
      </c>
    </row>
    <row r="610" spans="1:28" x14ac:dyDescent="0.3">
      <c r="A610" s="1">
        <v>45299</v>
      </c>
      <c r="B610" s="2">
        <v>157.38</v>
      </c>
      <c r="C610" s="2">
        <v>474.6</v>
      </c>
      <c r="D610" s="9">
        <f>B610-B609</f>
        <v>1.6699999999999875</v>
      </c>
      <c r="E610" s="9">
        <f>C610-C609</f>
        <v>6.6800000000000068</v>
      </c>
      <c r="F610" s="3">
        <f>F$1/B610</f>
        <v>635.40475282755119</v>
      </c>
      <c r="G610" s="3">
        <f>F$1/C610</f>
        <v>210.70375052675936</v>
      </c>
      <c r="H610" s="2">
        <f>D610*F609</f>
        <v>1072.5065827499759</v>
      </c>
      <c r="I610" s="2">
        <f>E610*G609</f>
        <v>1427.5944605915554</v>
      </c>
      <c r="J610" s="2">
        <f>I610-H610</f>
        <v>355.08787784157948</v>
      </c>
      <c r="K610" s="2">
        <f t="shared" si="77"/>
        <v>-355.08787784157948</v>
      </c>
      <c r="L610" s="3">
        <f>C610/B610</f>
        <v>3.0156309569195581</v>
      </c>
      <c r="M610" s="3">
        <f t="shared" si="79"/>
        <v>3.0103910497084723</v>
      </c>
      <c r="N610" s="3">
        <f t="shared" si="83"/>
        <v>3.018732849621423</v>
      </c>
      <c r="O610" s="3">
        <f t="shared" si="76"/>
        <v>3.0613880587561511</v>
      </c>
      <c r="P610" s="3">
        <f t="shared" si="78"/>
        <v>2.9821308507401381</v>
      </c>
      <c r="Q610" s="4" t="str">
        <f t="shared" si="82"/>
        <v>UNDER</v>
      </c>
      <c r="R610" s="4" t="str">
        <f t="shared" si="82"/>
        <v>UNDER</v>
      </c>
      <c r="S610" s="4" t="str">
        <f t="shared" si="80"/>
        <v>UNDER</v>
      </c>
      <c r="T610" s="4" t="str">
        <f t="shared" si="80"/>
        <v>OVER</v>
      </c>
      <c r="U610" s="2">
        <f>IF(Q610="OVER",$J610,$K610)</f>
        <v>-355.08787784157948</v>
      </c>
      <c r="V610" s="2">
        <f>IF(R610="OVER",$J610,$K610)</f>
        <v>-355.08787784157948</v>
      </c>
      <c r="W610" s="2">
        <f>IF(S610="OVER",$J610,$K610)</f>
        <v>-355.08787784157948</v>
      </c>
      <c r="X610" s="2">
        <f>IF(T610="OVER",$J610,$K610)</f>
        <v>355.08787784157948</v>
      </c>
      <c r="Y610" s="9">
        <f t="shared" si="81"/>
        <v>-6599.3303595565958</v>
      </c>
      <c r="Z610" s="9">
        <f t="shared" si="81"/>
        <v>8752.8167021958743</v>
      </c>
      <c r="AA610" s="9">
        <f t="shared" si="81"/>
        <v>34451.437874973468</v>
      </c>
      <c r="AB610" s="9">
        <f t="shared" si="81"/>
        <v>11260.669362391463</v>
      </c>
    </row>
    <row r="611" spans="1:28" x14ac:dyDescent="0.3">
      <c r="A611" s="1">
        <v>45300</v>
      </c>
      <c r="B611" s="2">
        <v>156.58000000000001</v>
      </c>
      <c r="C611" s="2">
        <v>473.88</v>
      </c>
      <c r="D611" s="9">
        <f>B611-B610</f>
        <v>-0.79999999999998295</v>
      </c>
      <c r="E611" s="9">
        <f>C611-C610</f>
        <v>-0.72000000000002728</v>
      </c>
      <c r="F611" s="3">
        <f>F$1/B611</f>
        <v>638.65116873163868</v>
      </c>
      <c r="G611" s="3">
        <f>F$1/C611</f>
        <v>211.02388790411075</v>
      </c>
      <c r="H611" s="2">
        <f>D611*F610</f>
        <v>-508.32380226203014</v>
      </c>
      <c r="I611" s="2">
        <f>E611*G610</f>
        <v>-151.70670037927249</v>
      </c>
      <c r="J611" s="2">
        <f>I611-H611</f>
        <v>356.61710188275765</v>
      </c>
      <c r="K611" s="2">
        <f t="shared" si="77"/>
        <v>-356.61710188275765</v>
      </c>
      <c r="L611" s="3">
        <f>C611/B611</f>
        <v>3.0264401583854896</v>
      </c>
      <c r="M611" s="3">
        <f t="shared" si="79"/>
        <v>3.0113663820236787</v>
      </c>
      <c r="N611" s="3">
        <f t="shared" si="83"/>
        <v>3.0172355708301972</v>
      </c>
      <c r="O611" s="3">
        <f t="shared" si="76"/>
        <v>3.0608977819061121</v>
      </c>
      <c r="P611" s="3">
        <f t="shared" si="78"/>
        <v>2.9829503467632263</v>
      </c>
      <c r="Q611" s="4" t="str">
        <f t="shared" si="82"/>
        <v>OVER</v>
      </c>
      <c r="R611" s="4" t="str">
        <f t="shared" si="82"/>
        <v>UNDER</v>
      </c>
      <c r="S611" s="4" t="str">
        <f t="shared" si="80"/>
        <v>UNDER</v>
      </c>
      <c r="T611" s="4" t="str">
        <f t="shared" si="80"/>
        <v>OVER</v>
      </c>
      <c r="U611" s="2">
        <f>IF(Q611="OVER",$J611,$K611)</f>
        <v>356.61710188275765</v>
      </c>
      <c r="V611" s="2">
        <f>IF(R611="OVER",$J611,$K611)</f>
        <v>-356.61710188275765</v>
      </c>
      <c r="W611" s="2">
        <f>IF(S611="OVER",$J611,$K611)</f>
        <v>-356.61710188275765</v>
      </c>
      <c r="X611" s="2">
        <f>IF(T611="OVER",$J611,$K611)</f>
        <v>356.61710188275765</v>
      </c>
      <c r="Y611" s="9">
        <f t="shared" si="81"/>
        <v>-6242.7132576738386</v>
      </c>
      <c r="Z611" s="9">
        <f t="shared" si="81"/>
        <v>8396.1996003131171</v>
      </c>
      <c r="AA611" s="9">
        <f t="shared" si="81"/>
        <v>34094.820773090709</v>
      </c>
      <c r="AB611" s="9">
        <f t="shared" si="81"/>
        <v>11617.286464274221</v>
      </c>
    </row>
    <row r="612" spans="1:28" x14ac:dyDescent="0.3">
      <c r="A612" s="1">
        <v>45301</v>
      </c>
      <c r="B612" s="2">
        <v>156.85</v>
      </c>
      <c r="C612" s="2">
        <v>476.56</v>
      </c>
      <c r="D612" s="9">
        <f>B612-B611</f>
        <v>0.26999999999998181</v>
      </c>
      <c r="E612" s="9">
        <f>C612-C611</f>
        <v>2.6800000000000068</v>
      </c>
      <c r="F612" s="3">
        <f>F$1/B612</f>
        <v>637.55180108383809</v>
      </c>
      <c r="G612" s="3">
        <f>F$1/C612</f>
        <v>209.83716635890548</v>
      </c>
      <c r="H612" s="2">
        <f>D612*F611</f>
        <v>172.43581555753082</v>
      </c>
      <c r="I612" s="2">
        <f>E612*G611</f>
        <v>565.54401958301821</v>
      </c>
      <c r="J612" s="2">
        <f>I612-H612</f>
        <v>393.1082040254874</v>
      </c>
      <c r="K612" s="2">
        <f t="shared" si="77"/>
        <v>-393.1082040254874</v>
      </c>
      <c r="L612" s="3">
        <f>C612/B612</f>
        <v>3.0383168632451389</v>
      </c>
      <c r="M612" s="3">
        <f t="shared" si="79"/>
        <v>3.0139821858834974</v>
      </c>
      <c r="N612" s="3">
        <f t="shared" si="83"/>
        <v>3.0170909834743842</v>
      </c>
      <c r="O612" s="3">
        <f t="shared" si="76"/>
        <v>3.0602126752087231</v>
      </c>
      <c r="P612" s="3">
        <f t="shared" si="78"/>
        <v>2.9838569902766796</v>
      </c>
      <c r="Q612" s="4" t="str">
        <f t="shared" si="82"/>
        <v>OVER</v>
      </c>
      <c r="R612" s="4" t="str">
        <f t="shared" si="82"/>
        <v>OVER</v>
      </c>
      <c r="S612" s="4" t="str">
        <f t="shared" si="80"/>
        <v>UNDER</v>
      </c>
      <c r="T612" s="4" t="str">
        <f t="shared" si="80"/>
        <v>OVER</v>
      </c>
      <c r="U612" s="2">
        <f>IF(Q612="OVER",$J612,$K612)</f>
        <v>393.1082040254874</v>
      </c>
      <c r="V612" s="2">
        <f>IF(R612="OVER",$J612,$K612)</f>
        <v>393.1082040254874</v>
      </c>
      <c r="W612" s="2">
        <f>IF(S612="OVER",$J612,$K612)</f>
        <v>-393.1082040254874</v>
      </c>
      <c r="X612" s="2">
        <f>IF(T612="OVER",$J612,$K612)</f>
        <v>393.1082040254874</v>
      </c>
      <c r="Y612" s="9">
        <f t="shared" si="81"/>
        <v>-5849.6050536483508</v>
      </c>
      <c r="Z612" s="9">
        <f t="shared" si="81"/>
        <v>8789.3078043386049</v>
      </c>
      <c r="AA612" s="9">
        <f t="shared" si="81"/>
        <v>33701.712569065225</v>
      </c>
      <c r="AB612" s="9">
        <f t="shared" si="81"/>
        <v>12010.394668299708</v>
      </c>
    </row>
    <row r="613" spans="1:28" x14ac:dyDescent="0.3">
      <c r="A613" s="1">
        <v>45302</v>
      </c>
      <c r="B613" s="2">
        <v>156.4</v>
      </c>
      <c r="C613" s="2">
        <v>476.35</v>
      </c>
      <c r="D613" s="9">
        <f>B613-B612</f>
        <v>-0.44999999999998863</v>
      </c>
      <c r="E613" s="9">
        <f>C613-C612</f>
        <v>-0.20999999999997954</v>
      </c>
      <c r="F613" s="3">
        <f>F$1/B613</f>
        <v>639.38618925831202</v>
      </c>
      <c r="G613" s="3">
        <f>F$1/C613</f>
        <v>209.92967355935761</v>
      </c>
      <c r="H613" s="2">
        <f>D613*F612</f>
        <v>-286.89831048771987</v>
      </c>
      <c r="I613" s="2">
        <f>E613*G612</f>
        <v>-44.065804935365854</v>
      </c>
      <c r="J613" s="2">
        <f>I613-H613</f>
        <v>242.83250555235401</v>
      </c>
      <c r="K613" s="2">
        <f t="shared" si="77"/>
        <v>-242.83250555235401</v>
      </c>
      <c r="L613" s="3">
        <f>C613/B613</f>
        <v>3.0457161125319692</v>
      </c>
      <c r="M613" s="3">
        <f t="shared" si="79"/>
        <v>3.01707967338622</v>
      </c>
      <c r="N613" s="3">
        <f t="shared" si="83"/>
        <v>3.0168928884570088</v>
      </c>
      <c r="O613" s="3">
        <f t="shared" si="76"/>
        <v>3.0594255647520652</v>
      </c>
      <c r="P613" s="3">
        <f t="shared" si="78"/>
        <v>2.9848683447922948</v>
      </c>
      <c r="Q613" s="4" t="str">
        <f t="shared" si="82"/>
        <v>OVER</v>
      </c>
      <c r="R613" s="4" t="str">
        <f t="shared" si="82"/>
        <v>OVER</v>
      </c>
      <c r="S613" s="4" t="str">
        <f t="shared" si="80"/>
        <v>UNDER</v>
      </c>
      <c r="T613" s="4" t="str">
        <f t="shared" si="80"/>
        <v>OVER</v>
      </c>
      <c r="U613" s="2">
        <f>IF(Q613="OVER",$J613,$K613)</f>
        <v>242.83250555235401</v>
      </c>
      <c r="V613" s="2">
        <f>IF(R613="OVER",$J613,$K613)</f>
        <v>242.83250555235401</v>
      </c>
      <c r="W613" s="2">
        <f>IF(S613="OVER",$J613,$K613)</f>
        <v>-242.83250555235401</v>
      </c>
      <c r="X613" s="2">
        <f>IF(T613="OVER",$J613,$K613)</f>
        <v>242.83250555235401</v>
      </c>
      <c r="Y613" s="9">
        <f t="shared" si="81"/>
        <v>-5606.7725480959971</v>
      </c>
      <c r="Z613" s="9">
        <f t="shared" si="81"/>
        <v>9032.1403098909595</v>
      </c>
      <c r="AA613" s="9">
        <f t="shared" si="81"/>
        <v>33458.880063512872</v>
      </c>
      <c r="AB613" s="9">
        <f t="shared" si="81"/>
        <v>12253.227173852063</v>
      </c>
    </row>
    <row r="614" spans="1:28" x14ac:dyDescent="0.3">
      <c r="A614" s="1">
        <v>45303</v>
      </c>
      <c r="B614" s="2">
        <v>156.05000000000001</v>
      </c>
      <c r="C614" s="2">
        <v>476.68</v>
      </c>
      <c r="D614" s="9">
        <f>B614-B613</f>
        <v>-0.34999999999999432</v>
      </c>
      <c r="E614" s="9">
        <f>C614-C613</f>
        <v>0.32999999999998408</v>
      </c>
      <c r="F614" s="3">
        <f>F$1/B614</f>
        <v>640.82024991989738</v>
      </c>
      <c r="G614" s="3">
        <f>F$1/C614</f>
        <v>209.78434169673577</v>
      </c>
      <c r="H614" s="2">
        <f>D614*F613</f>
        <v>-223.78516624040557</v>
      </c>
      <c r="I614" s="2">
        <f>E614*G613</f>
        <v>69.276792274584665</v>
      </c>
      <c r="J614" s="2">
        <f>I614-H614</f>
        <v>293.06195851499024</v>
      </c>
      <c r="K614" s="2">
        <f t="shared" si="77"/>
        <v>-293.06195851499024</v>
      </c>
      <c r="L614" s="3">
        <f>C614/B614</f>
        <v>3.0546619673181672</v>
      </c>
      <c r="M614" s="3">
        <f t="shared" si="79"/>
        <v>3.0216242111318619</v>
      </c>
      <c r="N614" s="3">
        <f t="shared" si="83"/>
        <v>3.0182522013522268</v>
      </c>
      <c r="O614" s="3">
        <f t="shared" si="76"/>
        <v>3.0589418328844107</v>
      </c>
      <c r="P614" s="3">
        <f t="shared" si="78"/>
        <v>2.9859847694299155</v>
      </c>
      <c r="Q614" s="4" t="str">
        <f t="shared" si="82"/>
        <v>OVER</v>
      </c>
      <c r="R614" s="4" t="str">
        <f t="shared" si="82"/>
        <v>OVER</v>
      </c>
      <c r="S614" s="4" t="str">
        <f t="shared" si="80"/>
        <v>UNDER</v>
      </c>
      <c r="T614" s="4" t="str">
        <f t="shared" si="80"/>
        <v>OVER</v>
      </c>
      <c r="U614" s="2">
        <f>IF(Q614="OVER",$J614,$K614)</f>
        <v>293.06195851499024</v>
      </c>
      <c r="V614" s="2">
        <f>IF(R614="OVER",$J614,$K614)</f>
        <v>293.06195851499024</v>
      </c>
      <c r="W614" s="2">
        <f>IF(S614="OVER",$J614,$K614)</f>
        <v>-293.06195851499024</v>
      </c>
      <c r="X614" s="2">
        <f>IF(T614="OVER",$J614,$K614)</f>
        <v>293.06195851499024</v>
      </c>
      <c r="Y614" s="9">
        <f t="shared" si="81"/>
        <v>-5313.7105895810073</v>
      </c>
      <c r="Z614" s="9">
        <f t="shared" si="81"/>
        <v>9325.2022684059502</v>
      </c>
      <c r="AA614" s="9">
        <f t="shared" si="81"/>
        <v>33165.818104997881</v>
      </c>
      <c r="AB614" s="9">
        <f t="shared" si="81"/>
        <v>12546.289132367054</v>
      </c>
    </row>
    <row r="615" spans="1:28" x14ac:dyDescent="0.3">
      <c r="A615" s="1">
        <v>45307</v>
      </c>
      <c r="B615" s="2">
        <v>155.06</v>
      </c>
      <c r="C615" s="2">
        <v>474.93</v>
      </c>
      <c r="D615" s="9">
        <f>B615-B614</f>
        <v>-0.99000000000000909</v>
      </c>
      <c r="E615" s="9">
        <f>C615-C614</f>
        <v>-1.75</v>
      </c>
      <c r="F615" s="3">
        <f>F$1/B615</f>
        <v>644.91164710434668</v>
      </c>
      <c r="G615" s="3">
        <f>F$1/C615</f>
        <v>210.55734529299053</v>
      </c>
      <c r="H615" s="2">
        <f>D615*F614</f>
        <v>-634.4120474207042</v>
      </c>
      <c r="I615" s="2">
        <f>E615*G614</f>
        <v>-367.1225979692876</v>
      </c>
      <c r="J615" s="2">
        <f>I615-H615</f>
        <v>267.2894494514166</v>
      </c>
      <c r="K615" s="2">
        <f t="shared" si="77"/>
        <v>-267.2894494514166</v>
      </c>
      <c r="L615" s="3">
        <f>C615/B615</f>
        <v>3.0628788855926738</v>
      </c>
      <c r="M615" s="3">
        <f t="shared" si="79"/>
        <v>3.026701706788721</v>
      </c>
      <c r="N615" s="3">
        <f t="shared" si="83"/>
        <v>3.02158023755086</v>
      </c>
      <c r="O615" s="3">
        <f t="shared" si="76"/>
        <v>3.0581757845048423</v>
      </c>
      <c r="P615" s="3">
        <f t="shared" si="78"/>
        <v>2.9871491850114533</v>
      </c>
      <c r="Q615" s="4" t="str">
        <f t="shared" si="82"/>
        <v>OVER</v>
      </c>
      <c r="R615" s="4" t="str">
        <f t="shared" si="82"/>
        <v>OVER</v>
      </c>
      <c r="S615" s="4" t="str">
        <f t="shared" si="80"/>
        <v>OVER</v>
      </c>
      <c r="T615" s="4" t="str">
        <f t="shared" si="80"/>
        <v>OVER</v>
      </c>
      <c r="U615" s="2">
        <f>IF(Q615="OVER",$J615,$K615)</f>
        <v>267.2894494514166</v>
      </c>
      <c r="V615" s="2">
        <f>IF(R615="OVER",$J615,$K615)</f>
        <v>267.2894494514166</v>
      </c>
      <c r="W615" s="2">
        <f>IF(S615="OVER",$J615,$K615)</f>
        <v>267.2894494514166</v>
      </c>
      <c r="X615" s="2">
        <f>IF(T615="OVER",$J615,$K615)</f>
        <v>267.2894494514166</v>
      </c>
      <c r="Y615" s="9">
        <f t="shared" si="81"/>
        <v>-5046.4211401295906</v>
      </c>
      <c r="Z615" s="9">
        <f t="shared" si="81"/>
        <v>9592.4917178573669</v>
      </c>
      <c r="AA615" s="9">
        <f t="shared" si="81"/>
        <v>33433.1075544493</v>
      </c>
      <c r="AB615" s="9">
        <f t="shared" si="81"/>
        <v>12813.57858181847</v>
      </c>
    </row>
    <row r="616" spans="1:28" x14ac:dyDescent="0.3">
      <c r="A616" s="1">
        <v>45308</v>
      </c>
      <c r="B616" s="2">
        <v>153.84</v>
      </c>
      <c r="C616" s="2">
        <v>472.29</v>
      </c>
      <c r="D616" s="9">
        <f>B616-B615</f>
        <v>-1.2199999999999989</v>
      </c>
      <c r="E616" s="9">
        <f>C616-C615</f>
        <v>-2.6399999999999864</v>
      </c>
      <c r="F616" s="3">
        <f>F$1/B616</f>
        <v>650.02600104004159</v>
      </c>
      <c r="G616" s="3">
        <f>F$1/C616</f>
        <v>211.73431578055855</v>
      </c>
      <c r="H616" s="2">
        <f>D616*F615</f>
        <v>-786.7922094673022</v>
      </c>
      <c r="I616" s="2">
        <f>E616*G615</f>
        <v>-555.87139157349213</v>
      </c>
      <c r="J616" s="2">
        <f>I616-H616</f>
        <v>230.92081789381007</v>
      </c>
      <c r="K616" s="2">
        <f t="shared" si="77"/>
        <v>-230.92081789381007</v>
      </c>
      <c r="L616" s="3">
        <f>C616/B616</f>
        <v>3.0700078003120126</v>
      </c>
      <c r="M616" s="3">
        <f t="shared" si="79"/>
        <v>3.0342726483656937</v>
      </c>
      <c r="N616" s="3">
        <f t="shared" si="83"/>
        <v>3.0250486603009401</v>
      </c>
      <c r="O616" s="3">
        <f t="shared" si="76"/>
        <v>3.0577340052587672</v>
      </c>
      <c r="P616" s="3">
        <f t="shared" si="78"/>
        <v>2.9883362995111895</v>
      </c>
      <c r="Q616" s="4" t="str">
        <f t="shared" si="82"/>
        <v>OVER</v>
      </c>
      <c r="R616" s="4" t="str">
        <f t="shared" si="82"/>
        <v>OVER</v>
      </c>
      <c r="S616" s="4" t="str">
        <f t="shared" si="80"/>
        <v>OVER</v>
      </c>
      <c r="T616" s="4" t="str">
        <f t="shared" si="80"/>
        <v>OVER</v>
      </c>
      <c r="U616" s="2">
        <f>IF(Q616="OVER",$J616,$K616)</f>
        <v>230.92081789381007</v>
      </c>
      <c r="V616" s="2">
        <f>IF(R616="OVER",$J616,$K616)</f>
        <v>230.92081789381007</v>
      </c>
      <c r="W616" s="2">
        <f>IF(S616="OVER",$J616,$K616)</f>
        <v>230.92081789381007</v>
      </c>
      <c r="X616" s="2">
        <f>IF(T616="OVER",$J616,$K616)</f>
        <v>230.92081789381007</v>
      </c>
      <c r="Y616" s="9">
        <f t="shared" si="81"/>
        <v>-4815.5003222357809</v>
      </c>
      <c r="Z616" s="9">
        <f t="shared" si="81"/>
        <v>9823.4125357511766</v>
      </c>
      <c r="AA616" s="9">
        <f t="shared" si="81"/>
        <v>33664.028372343113</v>
      </c>
      <c r="AB616" s="9">
        <f t="shared" si="81"/>
        <v>13044.49939971228</v>
      </c>
    </row>
    <row r="617" spans="1:28" x14ac:dyDescent="0.3">
      <c r="A617" s="1">
        <v>45309</v>
      </c>
      <c r="B617" s="2">
        <v>154.63</v>
      </c>
      <c r="C617" s="2">
        <v>476.49</v>
      </c>
      <c r="D617" s="9">
        <f>B617-B616</f>
        <v>0.78999999999999204</v>
      </c>
      <c r="E617" s="9">
        <f>C617-C616</f>
        <v>4.1999999999999886</v>
      </c>
      <c r="F617" s="3">
        <f>F$1/B617</f>
        <v>646.70503783224478</v>
      </c>
      <c r="G617" s="3">
        <f>F$1/C617</f>
        <v>209.86799303238263</v>
      </c>
      <c r="H617" s="2">
        <f>D617*F616</f>
        <v>513.52054082162772</v>
      </c>
      <c r="I617" s="2">
        <f>E617*G616</f>
        <v>889.28412627834348</v>
      </c>
      <c r="J617" s="2">
        <f>I617-H617</f>
        <v>375.76358545671576</v>
      </c>
      <c r="K617" s="2">
        <f t="shared" si="77"/>
        <v>-375.76358545671576</v>
      </c>
      <c r="L617" s="3">
        <f>C617/B617</f>
        <v>3.0814848347668629</v>
      </c>
      <c r="M617" s="3">
        <f t="shared" si="79"/>
        <v>3.040987232665425</v>
      </c>
      <c r="N617" s="3">
        <f t="shared" si="83"/>
        <v>3.0277243006406822</v>
      </c>
      <c r="O617" s="3">
        <f t="shared" si="76"/>
        <v>3.0579624730537578</v>
      </c>
      <c r="P617" s="3">
        <f t="shared" si="78"/>
        <v>2.9895897339187401</v>
      </c>
      <c r="Q617" s="4" t="str">
        <f t="shared" si="82"/>
        <v>OVER</v>
      </c>
      <c r="R617" s="4" t="str">
        <f t="shared" si="82"/>
        <v>OVER</v>
      </c>
      <c r="S617" s="4" t="str">
        <f t="shared" si="80"/>
        <v>OVER</v>
      </c>
      <c r="T617" s="4" t="str">
        <f t="shared" si="80"/>
        <v>OVER</v>
      </c>
      <c r="U617" s="2">
        <f>IF(Q617="OVER",$J617,$K617)</f>
        <v>375.76358545671576</v>
      </c>
      <c r="V617" s="2">
        <f>IF(R617="OVER",$J617,$K617)</f>
        <v>375.76358545671576</v>
      </c>
      <c r="W617" s="2">
        <f>IF(S617="OVER",$J617,$K617)</f>
        <v>375.76358545671576</v>
      </c>
      <c r="X617" s="2">
        <f>IF(T617="OVER",$J617,$K617)</f>
        <v>375.76358545671576</v>
      </c>
      <c r="Y617" s="9">
        <f t="shared" si="81"/>
        <v>-4439.7367367790648</v>
      </c>
      <c r="Z617" s="9">
        <f t="shared" si="81"/>
        <v>10199.176121207893</v>
      </c>
      <c r="AA617" s="9">
        <f t="shared" si="81"/>
        <v>34039.791957799825</v>
      </c>
      <c r="AB617" s="9">
        <f t="shared" si="81"/>
        <v>13420.262985168996</v>
      </c>
    </row>
    <row r="618" spans="1:28" x14ac:dyDescent="0.3">
      <c r="A618" s="1">
        <v>45310</v>
      </c>
      <c r="B618" s="2">
        <v>155.82</v>
      </c>
      <c r="C618" s="2">
        <v>482.43</v>
      </c>
      <c r="D618" s="9">
        <f>B618-B617</f>
        <v>1.1899999999999977</v>
      </c>
      <c r="E618" s="9">
        <f>C618-C617</f>
        <v>5.9399999999999977</v>
      </c>
      <c r="F618" s="3">
        <f>F$1/B618</f>
        <v>641.76614041843152</v>
      </c>
      <c r="G618" s="3">
        <f>F$1/C618</f>
        <v>207.2839582944676</v>
      </c>
      <c r="H618" s="2">
        <f>D618*F617</f>
        <v>769.5789950203698</v>
      </c>
      <c r="I618" s="2">
        <f>E618*G617</f>
        <v>1246.6158786123524</v>
      </c>
      <c r="J618" s="2">
        <f>I618-H618</f>
        <v>477.03688359198259</v>
      </c>
      <c r="K618" s="2">
        <f t="shared" si="77"/>
        <v>-477.03688359198259</v>
      </c>
      <c r="L618" s="3">
        <f>C618/B618</f>
        <v>3.0960723912206394</v>
      </c>
      <c r="M618" s="3">
        <f t="shared" si="79"/>
        <v>3.049628350442648</v>
      </c>
      <c r="N618" s="3">
        <f t="shared" si="83"/>
        <v>3.031478168324885</v>
      </c>
      <c r="O618" s="3">
        <f t="shared" si="76"/>
        <v>3.0580181061816862</v>
      </c>
      <c r="P618" s="3">
        <f t="shared" si="78"/>
        <v>2.9908739510634579</v>
      </c>
      <c r="Q618" s="4" t="str">
        <f t="shared" si="82"/>
        <v>OVER</v>
      </c>
      <c r="R618" s="4" t="str">
        <f t="shared" si="82"/>
        <v>OVER</v>
      </c>
      <c r="S618" s="4" t="str">
        <f t="shared" si="80"/>
        <v>OVER</v>
      </c>
      <c r="T618" s="4" t="str">
        <f t="shared" si="80"/>
        <v>OVER</v>
      </c>
      <c r="U618" s="2">
        <f>IF(Q618="OVER",$J618,$K618)</f>
        <v>477.03688359198259</v>
      </c>
      <c r="V618" s="2">
        <f>IF(R618="OVER",$J618,$K618)</f>
        <v>477.03688359198259</v>
      </c>
      <c r="W618" s="2">
        <f>IF(S618="OVER",$J618,$K618)</f>
        <v>477.03688359198259</v>
      </c>
      <c r="X618" s="2">
        <f>IF(T618="OVER",$J618,$K618)</f>
        <v>477.03688359198259</v>
      </c>
      <c r="Y618" s="9">
        <f t="shared" si="81"/>
        <v>-3962.6998531870822</v>
      </c>
      <c r="Z618" s="9">
        <f t="shared" si="81"/>
        <v>10676.213004799876</v>
      </c>
      <c r="AA618" s="9">
        <f t="shared" si="81"/>
        <v>34516.828841391805</v>
      </c>
      <c r="AB618" s="9">
        <f t="shared" si="81"/>
        <v>13897.29986876098</v>
      </c>
    </row>
    <row r="619" spans="1:28" x14ac:dyDescent="0.3">
      <c r="A619" s="1">
        <v>45313</v>
      </c>
      <c r="B619" s="2">
        <v>156.63999999999999</v>
      </c>
      <c r="C619" s="2">
        <v>483.45</v>
      </c>
      <c r="D619" s="9">
        <f>B619-B618</f>
        <v>0.81999999999999318</v>
      </c>
      <c r="E619" s="9">
        <f>C619-C618</f>
        <v>1.0199999999999818</v>
      </c>
      <c r="F619" s="3">
        <f>F$1/B619</f>
        <v>638.40653728294183</v>
      </c>
      <c r="G619" s="3">
        <f>F$1/C619</f>
        <v>206.84662322887579</v>
      </c>
      <c r="H619" s="2">
        <f>D619*F618</f>
        <v>526.24823514310947</v>
      </c>
      <c r="I619" s="2">
        <f>E619*G618</f>
        <v>211.42963746035318</v>
      </c>
      <c r="J619" s="2">
        <f>I619-H619</f>
        <v>-314.81859768275626</v>
      </c>
      <c r="K619" s="2">
        <f t="shared" si="77"/>
        <v>314.81859768275626</v>
      </c>
      <c r="L619" s="3">
        <f>C619/B619</f>
        <v>3.086376404494382</v>
      </c>
      <c r="M619" s="3">
        <f t="shared" si="79"/>
        <v>3.0577586374786891</v>
      </c>
      <c r="N619" s="3">
        <f t="shared" si="83"/>
        <v>3.0343349624142695</v>
      </c>
      <c r="O619" s="3">
        <f t="shared" si="76"/>
        <v>3.0575713190812501</v>
      </c>
      <c r="P619" s="3">
        <f t="shared" si="78"/>
        <v>2.9920455916175785</v>
      </c>
      <c r="Q619" s="4" t="str">
        <f t="shared" si="82"/>
        <v>OVER</v>
      </c>
      <c r="R619" s="4" t="str">
        <f t="shared" si="82"/>
        <v>OVER</v>
      </c>
      <c r="S619" s="4" t="str">
        <f t="shared" si="80"/>
        <v>OVER</v>
      </c>
      <c r="T619" s="4" t="str">
        <f t="shared" si="80"/>
        <v>OVER</v>
      </c>
      <c r="U619" s="2">
        <f>IF(Q619="OVER",$J619,$K619)</f>
        <v>-314.81859768275626</v>
      </c>
      <c r="V619" s="2">
        <f>IF(R619="OVER",$J619,$K619)</f>
        <v>-314.81859768275626</v>
      </c>
      <c r="W619" s="2">
        <f>IF(S619="OVER",$J619,$K619)</f>
        <v>-314.81859768275626</v>
      </c>
      <c r="X619" s="2">
        <f>IF(T619="OVER",$J619,$K619)</f>
        <v>-314.81859768275626</v>
      </c>
      <c r="Y619" s="9">
        <f t="shared" si="81"/>
        <v>-4277.5184508698385</v>
      </c>
      <c r="Z619" s="9">
        <f t="shared" si="81"/>
        <v>10361.394407117121</v>
      </c>
      <c r="AA619" s="9">
        <f t="shared" si="81"/>
        <v>34202.010243709046</v>
      </c>
      <c r="AB619" s="9">
        <f t="shared" si="81"/>
        <v>13582.481271078224</v>
      </c>
    </row>
    <row r="620" spans="1:28" x14ac:dyDescent="0.3">
      <c r="A620" s="1">
        <v>45314</v>
      </c>
      <c r="B620" s="2">
        <v>156.72</v>
      </c>
      <c r="C620" s="2">
        <v>484.86</v>
      </c>
      <c r="D620" s="9">
        <f>B620-B619</f>
        <v>8.0000000000012506E-2</v>
      </c>
      <c r="E620" s="9">
        <f>C620-C619</f>
        <v>1.410000000000025</v>
      </c>
      <c r="F620" s="3">
        <f>F$1/B620</f>
        <v>638.08065339458904</v>
      </c>
      <c r="G620" s="3">
        <f>F$1/C620</f>
        <v>206.24510167883511</v>
      </c>
      <c r="H620" s="2">
        <f>D620*F619</f>
        <v>51.072522982643328</v>
      </c>
      <c r="I620" s="2">
        <f>E620*G619</f>
        <v>291.65373875272002</v>
      </c>
      <c r="J620" s="2">
        <f>I620-H620</f>
        <v>240.58121577007668</v>
      </c>
      <c r="K620" s="2">
        <f t="shared" si="77"/>
        <v>-240.58121577007668</v>
      </c>
      <c r="L620" s="3">
        <f>C620/B620</f>
        <v>3.0937978560490049</v>
      </c>
      <c r="M620" s="3">
        <f t="shared" si="79"/>
        <v>3.0655753273916337</v>
      </c>
      <c r="N620" s="3">
        <f t="shared" si="83"/>
        <v>3.037983188550053</v>
      </c>
      <c r="O620" s="3">
        <f t="shared" si="76"/>
        <v>3.057125440398353</v>
      </c>
      <c r="P620" s="3">
        <f t="shared" si="78"/>
        <v>2.9932618359506247</v>
      </c>
      <c r="Q620" s="4" t="str">
        <f t="shared" si="82"/>
        <v>OVER</v>
      </c>
      <c r="R620" s="4" t="str">
        <f t="shared" si="82"/>
        <v>OVER</v>
      </c>
      <c r="S620" s="4" t="str">
        <f t="shared" si="80"/>
        <v>OVER</v>
      </c>
      <c r="T620" s="4" t="str">
        <f t="shared" si="80"/>
        <v>OVER</v>
      </c>
      <c r="U620" s="2">
        <f>IF(Q620="OVER",$J620,$K620)</f>
        <v>240.58121577007668</v>
      </c>
      <c r="V620" s="2">
        <f>IF(R620="OVER",$J620,$K620)</f>
        <v>240.58121577007668</v>
      </c>
      <c r="W620" s="2">
        <f>IF(S620="OVER",$J620,$K620)</f>
        <v>240.58121577007668</v>
      </c>
      <c r="X620" s="2">
        <f>IF(T620="OVER",$J620,$K620)</f>
        <v>240.58121577007668</v>
      </c>
      <c r="Y620" s="9">
        <f t="shared" si="81"/>
        <v>-4036.9372350997619</v>
      </c>
      <c r="Z620" s="9">
        <f t="shared" si="81"/>
        <v>10601.975622887197</v>
      </c>
      <c r="AA620" s="9">
        <f t="shared" si="81"/>
        <v>34442.591459479125</v>
      </c>
      <c r="AB620" s="9">
        <f t="shared" si="81"/>
        <v>13823.062486848301</v>
      </c>
    </row>
    <row r="621" spans="1:28" x14ac:dyDescent="0.3">
      <c r="A621" s="1">
        <v>45315</v>
      </c>
      <c r="B621" s="2">
        <v>155.91</v>
      </c>
      <c r="C621" s="2">
        <v>485.39</v>
      </c>
      <c r="D621" s="9">
        <f>B621-B620</f>
        <v>-0.81000000000000227</v>
      </c>
      <c r="E621" s="9">
        <f>C621-C620</f>
        <v>0.52999999999997272</v>
      </c>
      <c r="F621" s="3">
        <f>F$1/B621</f>
        <v>641.39567699313704</v>
      </c>
      <c r="G621" s="3">
        <f>F$1/C621</f>
        <v>206.01990152248709</v>
      </c>
      <c r="H621" s="2">
        <f>D621*F620</f>
        <v>-516.84532924961854</v>
      </c>
      <c r="I621" s="2">
        <f>E621*G620</f>
        <v>109.30990388977698</v>
      </c>
      <c r="J621" s="2">
        <f>I621-H621</f>
        <v>626.15523313939548</v>
      </c>
      <c r="K621" s="2">
        <f t="shared" si="77"/>
        <v>-626.15523313939548</v>
      </c>
      <c r="L621" s="3">
        <f>C621/B621</f>
        <v>3.1132704765569881</v>
      </c>
      <c r="M621" s="3">
        <f t="shared" si="79"/>
        <v>3.0742583592087831</v>
      </c>
      <c r="N621" s="3">
        <f t="shared" si="83"/>
        <v>3.0428123706162316</v>
      </c>
      <c r="O621" s="3">
        <f t="shared" si="76"/>
        <v>3.057026155039821</v>
      </c>
      <c r="P621" s="3">
        <f t="shared" si="78"/>
        <v>2.9945298446336399</v>
      </c>
      <c r="Q621" s="4" t="str">
        <f t="shared" si="82"/>
        <v>OVER</v>
      </c>
      <c r="R621" s="4" t="str">
        <f t="shared" si="82"/>
        <v>OVER</v>
      </c>
      <c r="S621" s="4" t="str">
        <f t="shared" si="80"/>
        <v>OVER</v>
      </c>
      <c r="T621" s="4" t="str">
        <f t="shared" si="80"/>
        <v>OVER</v>
      </c>
      <c r="U621" s="2">
        <f>IF(Q621="OVER",$J621,$K621)</f>
        <v>626.15523313939548</v>
      </c>
      <c r="V621" s="2">
        <f>IF(R621="OVER",$J621,$K621)</f>
        <v>626.15523313939548</v>
      </c>
      <c r="W621" s="2">
        <f>IF(S621="OVER",$J621,$K621)</f>
        <v>626.15523313939548</v>
      </c>
      <c r="X621" s="2">
        <f>IF(T621="OVER",$J621,$K621)</f>
        <v>626.15523313939548</v>
      </c>
      <c r="Y621" s="9">
        <f t="shared" si="81"/>
        <v>-3410.7820019603664</v>
      </c>
      <c r="Z621" s="9">
        <f t="shared" si="81"/>
        <v>11228.130856026593</v>
      </c>
      <c r="AA621" s="9">
        <f t="shared" si="81"/>
        <v>35068.746692618523</v>
      </c>
      <c r="AB621" s="9">
        <f t="shared" si="81"/>
        <v>14449.217719987697</v>
      </c>
    </row>
    <row r="622" spans="1:28" x14ac:dyDescent="0.3">
      <c r="A622" s="1">
        <v>45316</v>
      </c>
      <c r="B622" s="2">
        <v>157.47999999999999</v>
      </c>
      <c r="C622" s="2">
        <v>488.03</v>
      </c>
      <c r="D622" s="9">
        <f>B622-B621</f>
        <v>1.5699999999999932</v>
      </c>
      <c r="E622" s="9">
        <f>C622-C621</f>
        <v>2.6399999999999864</v>
      </c>
      <c r="F622" s="3">
        <f>F$1/B622</f>
        <v>635.00127000254008</v>
      </c>
      <c r="G622" s="3">
        <f>F$1/C622</f>
        <v>204.90543614122083</v>
      </c>
      <c r="H622" s="2">
        <f>D622*F621</f>
        <v>1006.9912128792208</v>
      </c>
      <c r="I622" s="2">
        <f>E622*G621</f>
        <v>543.89254001936308</v>
      </c>
      <c r="J622" s="2">
        <f>I622-H622</f>
        <v>-463.09867285985774</v>
      </c>
      <c r="K622" s="2">
        <f t="shared" si="77"/>
        <v>463.09867285985774</v>
      </c>
      <c r="L622" s="3">
        <f>C622/B622</f>
        <v>3.0989966979933961</v>
      </c>
      <c r="M622" s="3">
        <f t="shared" si="79"/>
        <v>3.0803263426836094</v>
      </c>
      <c r="N622" s="3">
        <f t="shared" si="83"/>
        <v>3.0471542642835536</v>
      </c>
      <c r="O622" s="3">
        <f t="shared" si="76"/>
        <v>3.0564016559221097</v>
      </c>
      <c r="P622" s="3">
        <f t="shared" si="78"/>
        <v>2.9957983068677034</v>
      </c>
      <c r="Q622" s="4" t="str">
        <f t="shared" si="82"/>
        <v>OVER</v>
      </c>
      <c r="R622" s="4" t="str">
        <f t="shared" si="82"/>
        <v>OVER</v>
      </c>
      <c r="S622" s="4" t="str">
        <f t="shared" si="80"/>
        <v>OVER</v>
      </c>
      <c r="T622" s="4" t="str">
        <f t="shared" si="80"/>
        <v>OVER</v>
      </c>
      <c r="U622" s="2">
        <f>IF(Q622="OVER",$J622,$K622)</f>
        <v>-463.09867285985774</v>
      </c>
      <c r="V622" s="2">
        <f>IF(R622="OVER",$J622,$K622)</f>
        <v>-463.09867285985774</v>
      </c>
      <c r="W622" s="2">
        <f>IF(S622="OVER",$J622,$K622)</f>
        <v>-463.09867285985774</v>
      </c>
      <c r="X622" s="2">
        <f>IF(T622="OVER",$J622,$K622)</f>
        <v>-463.09867285985774</v>
      </c>
      <c r="Y622" s="9">
        <f t="shared" si="81"/>
        <v>-3873.8806748202242</v>
      </c>
      <c r="Z622" s="9">
        <f t="shared" si="81"/>
        <v>10765.032183166735</v>
      </c>
      <c r="AA622" s="9">
        <f t="shared" si="81"/>
        <v>34605.648019758664</v>
      </c>
      <c r="AB622" s="9">
        <f t="shared" si="81"/>
        <v>13986.119047127839</v>
      </c>
    </row>
    <row r="623" spans="1:28" x14ac:dyDescent="0.3">
      <c r="A623" s="1">
        <v>45317</v>
      </c>
      <c r="B623" s="2">
        <v>157.5</v>
      </c>
      <c r="C623" s="2">
        <v>487.41</v>
      </c>
      <c r="D623" s="9">
        <f>B623-B622</f>
        <v>2.0000000000010232E-2</v>
      </c>
      <c r="E623" s="9">
        <f>C623-C622</f>
        <v>-0.6199999999999477</v>
      </c>
      <c r="F623" s="3">
        <f>F$1/B623</f>
        <v>634.92063492063494</v>
      </c>
      <c r="G623" s="3">
        <f>F$1/C623</f>
        <v>205.16608194333313</v>
      </c>
      <c r="H623" s="2">
        <f>D623*F622</f>
        <v>12.700025400057299</v>
      </c>
      <c r="I623" s="2">
        <f>E623*G622</f>
        <v>-127.0413704075462</v>
      </c>
      <c r="J623" s="2">
        <f>I623-H623</f>
        <v>-139.74139580760351</v>
      </c>
      <c r="K623" s="2">
        <f t="shared" si="77"/>
        <v>139.74139580760351</v>
      </c>
      <c r="L623" s="3">
        <f>C623/B623</f>
        <v>3.0946666666666669</v>
      </c>
      <c r="M623" s="3">
        <f t="shared" si="79"/>
        <v>3.0852213980970795</v>
      </c>
      <c r="N623" s="3">
        <f t="shared" si="83"/>
        <v>3.0511505357416495</v>
      </c>
      <c r="O623" s="3">
        <f t="shared" si="76"/>
        <v>3.0556701493066587</v>
      </c>
      <c r="P623" s="3">
        <f t="shared" si="78"/>
        <v>2.9971336139760529</v>
      </c>
      <c r="Q623" s="4" t="str">
        <f t="shared" si="82"/>
        <v>OVER</v>
      </c>
      <c r="R623" s="4" t="str">
        <f t="shared" si="82"/>
        <v>OVER</v>
      </c>
      <c r="S623" s="4" t="str">
        <f t="shared" si="80"/>
        <v>OVER</v>
      </c>
      <c r="T623" s="4" t="str">
        <f t="shared" si="80"/>
        <v>OVER</v>
      </c>
      <c r="U623" s="2">
        <f>IF(Q623="OVER",$J623,$K623)</f>
        <v>-139.74139580760351</v>
      </c>
      <c r="V623" s="2">
        <f>IF(R623="OVER",$J623,$K623)</f>
        <v>-139.74139580760351</v>
      </c>
      <c r="W623" s="2">
        <f>IF(S623="OVER",$J623,$K623)</f>
        <v>-139.74139580760351</v>
      </c>
      <c r="X623" s="2">
        <f>IF(T623="OVER",$J623,$K623)</f>
        <v>-139.74139580760351</v>
      </c>
      <c r="Y623" s="9">
        <f t="shared" si="81"/>
        <v>-4013.6220706278277</v>
      </c>
      <c r="Z623" s="9">
        <f t="shared" si="81"/>
        <v>10625.290787359132</v>
      </c>
      <c r="AA623" s="9">
        <f t="shared" si="81"/>
        <v>34465.906623951058</v>
      </c>
      <c r="AB623" s="9">
        <f t="shared" si="81"/>
        <v>13846.377651320236</v>
      </c>
    </row>
    <row r="624" spans="1:28" x14ac:dyDescent="0.3">
      <c r="A624" s="1">
        <v>45320</v>
      </c>
      <c r="B624" s="2">
        <v>158.46</v>
      </c>
      <c r="C624" s="2">
        <v>491.27</v>
      </c>
      <c r="D624" s="9">
        <f>B624-B623</f>
        <v>0.96000000000000796</v>
      </c>
      <c r="E624" s="9">
        <f>C624-C623</f>
        <v>3.8599999999999568</v>
      </c>
      <c r="F624" s="3">
        <f>F$1/B624</f>
        <v>631.07408809794265</v>
      </c>
      <c r="G624" s="3">
        <f>F$1/C624</f>
        <v>203.55405377898103</v>
      </c>
      <c r="H624" s="2">
        <f>D624*F623</f>
        <v>609.52380952381463</v>
      </c>
      <c r="I624" s="2">
        <f>E624*G623</f>
        <v>791.941076301257</v>
      </c>
      <c r="J624" s="2">
        <f>I624-H624</f>
        <v>182.41726677744236</v>
      </c>
      <c r="K624" s="2">
        <f t="shared" si="77"/>
        <v>-182.41726677744236</v>
      </c>
      <c r="L624" s="3">
        <f>C624/B624</f>
        <v>3.1002776725987626</v>
      </c>
      <c r="M624" s="3">
        <f t="shared" si="79"/>
        <v>3.0897829686251392</v>
      </c>
      <c r="N624" s="3">
        <f t="shared" si="83"/>
        <v>3.0557035898785001</v>
      </c>
      <c r="O624" s="3">
        <f t="shared" si="76"/>
        <v>3.0556064033603358</v>
      </c>
      <c r="P624" s="3">
        <f t="shared" si="78"/>
        <v>2.9984862506053434</v>
      </c>
      <c r="Q624" s="4" t="str">
        <f t="shared" si="82"/>
        <v>OVER</v>
      </c>
      <c r="R624" s="4" t="str">
        <f t="shared" si="82"/>
        <v>OVER</v>
      </c>
      <c r="S624" s="4" t="str">
        <f t="shared" si="80"/>
        <v>OVER</v>
      </c>
      <c r="T624" s="4" t="str">
        <f t="shared" si="80"/>
        <v>OVER</v>
      </c>
      <c r="U624" s="2">
        <f>IF(Q624="OVER",$J624,$K624)</f>
        <v>182.41726677744236</v>
      </c>
      <c r="V624" s="2">
        <f>IF(R624="OVER",$J624,$K624)</f>
        <v>182.41726677744236</v>
      </c>
      <c r="W624" s="2">
        <f>IF(S624="OVER",$J624,$K624)</f>
        <v>182.41726677744236</v>
      </c>
      <c r="X624" s="2">
        <f>IF(T624="OVER",$J624,$K624)</f>
        <v>182.41726677744236</v>
      </c>
      <c r="Y624" s="9">
        <f t="shared" si="81"/>
        <v>-3831.2048038503854</v>
      </c>
      <c r="Z624" s="9">
        <f t="shared" si="81"/>
        <v>10807.708054136574</v>
      </c>
      <c r="AA624" s="9">
        <f t="shared" si="81"/>
        <v>34648.323890728498</v>
      </c>
      <c r="AB624" s="9">
        <f t="shared" si="81"/>
        <v>14028.794918097678</v>
      </c>
    </row>
    <row r="625" spans="1:28" x14ac:dyDescent="0.3">
      <c r="A625" s="1">
        <v>45321</v>
      </c>
      <c r="B625" s="2">
        <v>158.49</v>
      </c>
      <c r="C625" s="2">
        <v>490.89</v>
      </c>
      <c r="D625" s="9">
        <f>B625-B624</f>
        <v>3.0000000000001137E-2</v>
      </c>
      <c r="E625" s="9">
        <f>C625-C624</f>
        <v>-0.37999999999999545</v>
      </c>
      <c r="F625" s="3">
        <f>F$1/B625</f>
        <v>630.95463436178932</v>
      </c>
      <c r="G625" s="3">
        <f>F$1/C625</f>
        <v>203.7116258224857</v>
      </c>
      <c r="H625" s="2">
        <f>D625*F624</f>
        <v>18.932222642938996</v>
      </c>
      <c r="I625" s="2">
        <f>E625*G624</f>
        <v>-77.350540436011869</v>
      </c>
      <c r="J625" s="2">
        <f>I625-H625</f>
        <v>-96.282763078950865</v>
      </c>
      <c r="K625" s="2">
        <f t="shared" si="77"/>
        <v>96.282763078950865</v>
      </c>
      <c r="L625" s="3">
        <f>C625/B625</f>
        <v>3.0972932046185875</v>
      </c>
      <c r="M625" s="3">
        <f t="shared" si="79"/>
        <v>3.0932244005277303</v>
      </c>
      <c r="N625" s="3">
        <f t="shared" si="83"/>
        <v>3.0599630536582256</v>
      </c>
      <c r="O625" s="3">
        <f t="shared" si="76"/>
        <v>3.0556427197140139</v>
      </c>
      <c r="P625" s="3">
        <f t="shared" si="78"/>
        <v>2.9997455471287462</v>
      </c>
      <c r="Q625" s="4" t="str">
        <f t="shared" si="82"/>
        <v>OVER</v>
      </c>
      <c r="R625" s="4" t="str">
        <f t="shared" si="82"/>
        <v>OVER</v>
      </c>
      <c r="S625" s="4" t="str">
        <f t="shared" si="80"/>
        <v>OVER</v>
      </c>
      <c r="T625" s="4" t="str">
        <f t="shared" si="80"/>
        <v>OVER</v>
      </c>
      <c r="U625" s="2">
        <f>IF(Q625="OVER",$J625,$K625)</f>
        <v>-96.282763078950865</v>
      </c>
      <c r="V625" s="2">
        <f>IF(R625="OVER",$J625,$K625)</f>
        <v>-96.282763078950865</v>
      </c>
      <c r="W625" s="2">
        <f>IF(S625="OVER",$J625,$K625)</f>
        <v>-96.282763078950865</v>
      </c>
      <c r="X625" s="2">
        <f>IF(T625="OVER",$J625,$K625)</f>
        <v>-96.282763078950865</v>
      </c>
      <c r="Y625" s="9">
        <f t="shared" si="81"/>
        <v>-3927.487566929336</v>
      </c>
      <c r="Z625" s="9">
        <f t="shared" si="81"/>
        <v>10711.425291057623</v>
      </c>
      <c r="AA625" s="9">
        <f t="shared" si="81"/>
        <v>34552.041127649543</v>
      </c>
      <c r="AB625" s="9">
        <f t="shared" si="81"/>
        <v>13932.512155018727</v>
      </c>
    </row>
    <row r="626" spans="1:28" x14ac:dyDescent="0.3">
      <c r="A626" s="1">
        <v>45322</v>
      </c>
      <c r="B626" s="2">
        <v>156.46</v>
      </c>
      <c r="C626" s="2">
        <v>482.88</v>
      </c>
      <c r="D626" s="9">
        <f>B626-B625</f>
        <v>-2.0300000000000011</v>
      </c>
      <c r="E626" s="9">
        <f>C626-C625</f>
        <v>-8.0099999999999909</v>
      </c>
      <c r="F626" s="3">
        <f>F$1/B626</f>
        <v>639.14099450338745</v>
      </c>
      <c r="G626" s="3">
        <f>F$1/C626</f>
        <v>207.09078860172301</v>
      </c>
      <c r="H626" s="2">
        <f>D626*F625</f>
        <v>-1280.837907754433</v>
      </c>
      <c r="I626" s="2">
        <f>E626*G625</f>
        <v>-1631.7301228381086</v>
      </c>
      <c r="J626" s="2">
        <f>I626-H626</f>
        <v>-350.89221508367564</v>
      </c>
      <c r="K626" s="2">
        <f t="shared" si="77"/>
        <v>350.89221508367564</v>
      </c>
      <c r="L626" s="3">
        <f>C626/B626</f>
        <v>3.0862840342579569</v>
      </c>
      <c r="M626" s="3">
        <f t="shared" si="79"/>
        <v>3.0948520239223249</v>
      </c>
      <c r="N626" s="3">
        <f t="shared" si="83"/>
        <v>3.06456233614401</v>
      </c>
      <c r="O626" s="3">
        <f t="shared" si="76"/>
        <v>3.0551776413688532</v>
      </c>
      <c r="P626" s="3">
        <f t="shared" si="78"/>
        <v>3.0009197948147266</v>
      </c>
      <c r="Q626" s="4" t="str">
        <f t="shared" si="82"/>
        <v>OVER</v>
      </c>
      <c r="R626" s="4" t="str">
        <f t="shared" si="82"/>
        <v>OVER</v>
      </c>
      <c r="S626" s="4" t="str">
        <f t="shared" si="80"/>
        <v>OVER</v>
      </c>
      <c r="T626" s="4" t="str">
        <f t="shared" si="80"/>
        <v>OVER</v>
      </c>
      <c r="U626" s="2">
        <f>IF(Q626="OVER",$J626,$K626)</f>
        <v>-350.89221508367564</v>
      </c>
      <c r="V626" s="2">
        <f>IF(R626="OVER",$J626,$K626)</f>
        <v>-350.89221508367564</v>
      </c>
      <c r="W626" s="2">
        <f>IF(S626="OVER",$J626,$K626)</f>
        <v>-350.89221508367564</v>
      </c>
      <c r="X626" s="2">
        <f>IF(T626="OVER",$J626,$K626)</f>
        <v>-350.89221508367564</v>
      </c>
      <c r="Y626" s="9">
        <f t="shared" si="81"/>
        <v>-4278.3797820130112</v>
      </c>
      <c r="Z626" s="9">
        <f t="shared" si="81"/>
        <v>10360.533075973948</v>
      </c>
      <c r="AA626" s="9">
        <f t="shared" si="81"/>
        <v>34201.14891256587</v>
      </c>
      <c r="AB626" s="9">
        <f t="shared" si="81"/>
        <v>13581.619939935052</v>
      </c>
    </row>
    <row r="627" spans="1:28" x14ac:dyDescent="0.3">
      <c r="A627" s="1">
        <v>45323</v>
      </c>
      <c r="B627" s="2">
        <v>158.28</v>
      </c>
      <c r="C627" s="2">
        <v>489.2</v>
      </c>
      <c r="D627" s="9">
        <f>B627-B626</f>
        <v>1.8199999999999932</v>
      </c>
      <c r="E627" s="9">
        <f>C627-C626</f>
        <v>6.3199999999999932</v>
      </c>
      <c r="F627" s="3">
        <f>F$1/B627</f>
        <v>631.79176143543089</v>
      </c>
      <c r="G627" s="3">
        <f>F$1/C627</f>
        <v>204.4153720359771</v>
      </c>
      <c r="H627" s="2">
        <f>D627*F626</f>
        <v>1163.2366099961607</v>
      </c>
      <c r="I627" s="2">
        <f>E627*G626</f>
        <v>1308.813783962888</v>
      </c>
      <c r="J627" s="2">
        <f>I627-H627</f>
        <v>145.57717396672729</v>
      </c>
      <c r="K627" s="2">
        <f t="shared" si="77"/>
        <v>-145.57717396672729</v>
      </c>
      <c r="L627" s="3">
        <f>C627/B627</f>
        <v>3.0907252969421277</v>
      </c>
      <c r="M627" s="3">
        <f t="shared" si="79"/>
        <v>3.0957760701398516</v>
      </c>
      <c r="N627" s="3">
        <f t="shared" si="83"/>
        <v>3.0683816514026385</v>
      </c>
      <c r="O627" s="3">
        <f t="shared" si="76"/>
        <v>3.0550236271344882</v>
      </c>
      <c r="P627" s="3">
        <f t="shared" si="78"/>
        <v>3.0021613770777793</v>
      </c>
      <c r="Q627" s="4" t="str">
        <f t="shared" si="82"/>
        <v>UNDER</v>
      </c>
      <c r="R627" s="4" t="str">
        <f t="shared" si="82"/>
        <v>OVER</v>
      </c>
      <c r="S627" s="4" t="str">
        <f t="shared" si="80"/>
        <v>OVER</v>
      </c>
      <c r="T627" s="4" t="str">
        <f t="shared" si="80"/>
        <v>OVER</v>
      </c>
      <c r="U627" s="2">
        <f>IF(Q627="OVER",$J627,$K627)</f>
        <v>-145.57717396672729</v>
      </c>
      <c r="V627" s="2">
        <f>IF(R627="OVER",$J627,$K627)</f>
        <v>145.57717396672729</v>
      </c>
      <c r="W627" s="2">
        <f>IF(S627="OVER",$J627,$K627)</f>
        <v>145.57717396672729</v>
      </c>
      <c r="X627" s="2">
        <f>IF(T627="OVER",$J627,$K627)</f>
        <v>145.57717396672729</v>
      </c>
      <c r="Y627" s="9">
        <f t="shared" si="81"/>
        <v>-4423.9569559797383</v>
      </c>
      <c r="Z627" s="9">
        <f t="shared" si="81"/>
        <v>10506.110249940675</v>
      </c>
      <c r="AA627" s="9">
        <f t="shared" si="81"/>
        <v>34346.726086532595</v>
      </c>
      <c r="AB627" s="9">
        <f t="shared" si="81"/>
        <v>13727.197113901779</v>
      </c>
    </row>
    <row r="628" spans="1:28" x14ac:dyDescent="0.3">
      <c r="A628" s="1">
        <v>45324</v>
      </c>
      <c r="B628" s="2">
        <v>158.13999999999999</v>
      </c>
      <c r="C628" s="2">
        <v>494.35</v>
      </c>
      <c r="D628" s="9">
        <f>B628-B627</f>
        <v>-0.14000000000001478</v>
      </c>
      <c r="E628" s="9">
        <f>C628-C627</f>
        <v>5.1500000000000341</v>
      </c>
      <c r="F628" s="3">
        <f>F$1/B628</f>
        <v>632.35108132034907</v>
      </c>
      <c r="G628" s="3">
        <f>F$1/C628</f>
        <v>202.28582987761706</v>
      </c>
      <c r="H628" s="2">
        <f>D628*F627</f>
        <v>-88.450846600969655</v>
      </c>
      <c r="I628" s="2">
        <f>E628*G627</f>
        <v>1052.739165985289</v>
      </c>
      <c r="J628" s="2">
        <f>I628-H628</f>
        <v>1141.1900125862587</v>
      </c>
      <c r="K628" s="2">
        <f t="shared" si="77"/>
        <v>-1141.1900125862587</v>
      </c>
      <c r="L628" s="3">
        <f>C628/B628</f>
        <v>3.1260275705071461</v>
      </c>
      <c r="M628" s="3">
        <f t="shared" si="79"/>
        <v>3.0987715880685016</v>
      </c>
      <c r="N628" s="3">
        <f t="shared" si="83"/>
        <v>3.0741999692555755</v>
      </c>
      <c r="O628" s="3">
        <f t="shared" si="76"/>
        <v>3.0553466020402156</v>
      </c>
      <c r="P628" s="3">
        <f t="shared" si="78"/>
        <v>3.0035711771110347</v>
      </c>
      <c r="Q628" s="4" t="str">
        <f t="shared" si="82"/>
        <v>UNDER</v>
      </c>
      <c r="R628" s="4" t="str">
        <f t="shared" si="82"/>
        <v>OVER</v>
      </c>
      <c r="S628" s="4" t="str">
        <f t="shared" si="80"/>
        <v>OVER</v>
      </c>
      <c r="T628" s="4" t="str">
        <f t="shared" si="80"/>
        <v>OVER</v>
      </c>
      <c r="U628" s="2">
        <f>IF(Q628="OVER",$J628,$K628)</f>
        <v>-1141.1900125862587</v>
      </c>
      <c r="V628" s="2">
        <f>IF(R628="OVER",$J628,$K628)</f>
        <v>1141.1900125862587</v>
      </c>
      <c r="W628" s="2">
        <f>IF(S628="OVER",$J628,$K628)</f>
        <v>1141.1900125862587</v>
      </c>
      <c r="X628" s="2">
        <f>IF(T628="OVER",$J628,$K628)</f>
        <v>1141.1900125862587</v>
      </c>
      <c r="Y628" s="9">
        <f t="shared" si="81"/>
        <v>-5565.1469685659968</v>
      </c>
      <c r="Z628" s="9">
        <f t="shared" si="81"/>
        <v>11647.300262526935</v>
      </c>
      <c r="AA628" s="9">
        <f t="shared" si="81"/>
        <v>35487.916099118855</v>
      </c>
      <c r="AB628" s="9">
        <f t="shared" si="81"/>
        <v>14868.387126488038</v>
      </c>
    </row>
    <row r="629" spans="1:28" x14ac:dyDescent="0.3">
      <c r="A629" s="1">
        <v>45327</v>
      </c>
      <c r="B629" s="2">
        <v>156.78</v>
      </c>
      <c r="C629" s="2">
        <v>492.55</v>
      </c>
      <c r="D629" s="9">
        <f>B629-B628</f>
        <v>-1.3599999999999852</v>
      </c>
      <c r="E629" s="9">
        <f>C629-C628</f>
        <v>-1.8000000000000114</v>
      </c>
      <c r="F629" s="3">
        <f>F$1/B629</f>
        <v>637.83645873198111</v>
      </c>
      <c r="G629" s="3">
        <f>F$1/C629</f>
        <v>203.02507359658918</v>
      </c>
      <c r="H629" s="2">
        <f>D629*F628</f>
        <v>-859.99747059566539</v>
      </c>
      <c r="I629" s="2">
        <f>E629*G628</f>
        <v>-364.11449377971303</v>
      </c>
      <c r="J629" s="2">
        <f>I629-H629</f>
        <v>495.88297681595236</v>
      </c>
      <c r="K629" s="2">
        <f t="shared" si="77"/>
        <v>-495.88297681595236</v>
      </c>
      <c r="L629" s="3">
        <f>C629/B629</f>
        <v>3.1416634774843732</v>
      </c>
      <c r="M629" s="3">
        <f t="shared" si="79"/>
        <v>3.1043002953675005</v>
      </c>
      <c r="N629" s="3">
        <f t="shared" si="83"/>
        <v>3.0810294664230957</v>
      </c>
      <c r="O629" s="3">
        <f t="shared" ref="O629:O692" si="84">AVERAGE(L580:L629)</f>
        <v>3.056002916857393</v>
      </c>
      <c r="P629" s="3">
        <f t="shared" si="78"/>
        <v>3.005065463746122</v>
      </c>
      <c r="Q629" s="4" t="str">
        <f t="shared" si="82"/>
        <v>OVER</v>
      </c>
      <c r="R629" s="4" t="str">
        <f t="shared" si="82"/>
        <v>OVER</v>
      </c>
      <c r="S629" s="4" t="str">
        <f t="shared" si="80"/>
        <v>OVER</v>
      </c>
      <c r="T629" s="4" t="str">
        <f t="shared" si="80"/>
        <v>OVER</v>
      </c>
      <c r="U629" s="2">
        <f>IF(Q629="OVER",$J629,$K629)</f>
        <v>495.88297681595236</v>
      </c>
      <c r="V629" s="2">
        <f>IF(R629="OVER",$J629,$K629)</f>
        <v>495.88297681595236</v>
      </c>
      <c r="W629" s="2">
        <f>IF(S629="OVER",$J629,$K629)</f>
        <v>495.88297681595236</v>
      </c>
      <c r="X629" s="2">
        <f>IF(T629="OVER",$J629,$K629)</f>
        <v>495.88297681595236</v>
      </c>
      <c r="Y629" s="9">
        <f t="shared" si="81"/>
        <v>-5069.2639917500446</v>
      </c>
      <c r="Z629" s="9">
        <f t="shared" si="81"/>
        <v>12143.183239342887</v>
      </c>
      <c r="AA629" s="9">
        <f t="shared" si="81"/>
        <v>35983.79907593481</v>
      </c>
      <c r="AB629" s="9">
        <f t="shared" si="81"/>
        <v>15364.27010330399</v>
      </c>
    </row>
    <row r="630" spans="1:28" x14ac:dyDescent="0.3">
      <c r="A630" s="1">
        <v>45328</v>
      </c>
      <c r="B630" s="2">
        <v>157.77000000000001</v>
      </c>
      <c r="C630" s="2">
        <v>493.98</v>
      </c>
      <c r="D630" s="9">
        <f>B630-B629</f>
        <v>0.99000000000000909</v>
      </c>
      <c r="E630" s="9">
        <f>C630-C629</f>
        <v>1.4300000000000068</v>
      </c>
      <c r="F630" s="3">
        <f>F$1/B630</f>
        <v>633.83406224250484</v>
      </c>
      <c r="G630" s="3">
        <f>F$1/C630</f>
        <v>202.43734564152393</v>
      </c>
      <c r="H630" s="2">
        <f>D630*F629</f>
        <v>631.45809414466714</v>
      </c>
      <c r="I630" s="2">
        <f>E630*G629</f>
        <v>290.3258552431239</v>
      </c>
      <c r="J630" s="2">
        <f>I630-H630</f>
        <v>-341.13223890154325</v>
      </c>
      <c r="K630" s="2">
        <f t="shared" si="77"/>
        <v>341.13223890154325</v>
      </c>
      <c r="L630" s="3">
        <f>C630/B630</f>
        <v>3.1310135006655258</v>
      </c>
      <c r="M630" s="3">
        <f t="shared" si="79"/>
        <v>3.1080218598291531</v>
      </c>
      <c r="N630" s="3">
        <f t="shared" si="83"/>
        <v>3.0867985936103937</v>
      </c>
      <c r="O630" s="3">
        <f t="shared" si="84"/>
        <v>3.0564959340034181</v>
      </c>
      <c r="P630" s="3">
        <f t="shared" si="78"/>
        <v>3.0065060088861144</v>
      </c>
      <c r="Q630" s="4" t="str">
        <f t="shared" si="82"/>
        <v>OVER</v>
      </c>
      <c r="R630" s="4" t="str">
        <f t="shared" si="82"/>
        <v>OVER</v>
      </c>
      <c r="S630" s="4" t="str">
        <f t="shared" si="80"/>
        <v>OVER</v>
      </c>
      <c r="T630" s="4" t="str">
        <f t="shared" si="80"/>
        <v>OVER</v>
      </c>
      <c r="U630" s="2">
        <f>IF(Q630="OVER",$J630,$K630)</f>
        <v>-341.13223890154325</v>
      </c>
      <c r="V630" s="2">
        <f>IF(R630="OVER",$J630,$K630)</f>
        <v>-341.13223890154325</v>
      </c>
      <c r="W630" s="2">
        <f>IF(S630="OVER",$J630,$K630)</f>
        <v>-341.13223890154325</v>
      </c>
      <c r="X630" s="2">
        <f>IF(T630="OVER",$J630,$K630)</f>
        <v>-341.13223890154325</v>
      </c>
      <c r="Y630" s="9">
        <f t="shared" si="81"/>
        <v>-5410.3962306515878</v>
      </c>
      <c r="Z630" s="9">
        <f t="shared" si="81"/>
        <v>11802.051000441343</v>
      </c>
      <c r="AA630" s="9">
        <f t="shared" si="81"/>
        <v>35642.66683703327</v>
      </c>
      <c r="AB630" s="9">
        <f t="shared" si="81"/>
        <v>15023.137864402446</v>
      </c>
    </row>
    <row r="631" spans="1:28" x14ac:dyDescent="0.3">
      <c r="A631" s="1">
        <v>45329</v>
      </c>
      <c r="B631" s="2">
        <v>158.38999999999999</v>
      </c>
      <c r="C631" s="2">
        <v>498.1</v>
      </c>
      <c r="D631" s="9">
        <f>B631-B630</f>
        <v>0.61999999999997613</v>
      </c>
      <c r="E631" s="9">
        <f>C631-C630</f>
        <v>4.1200000000000045</v>
      </c>
      <c r="F631" s="3">
        <f>F$1/B631</f>
        <v>631.35298945640511</v>
      </c>
      <c r="G631" s="3">
        <f>F$1/C631</f>
        <v>200.7628990162618</v>
      </c>
      <c r="H631" s="2">
        <f>D631*F630</f>
        <v>392.97711859033785</v>
      </c>
      <c r="I631" s="2">
        <f>E631*G630</f>
        <v>834.0418640430795</v>
      </c>
      <c r="J631" s="2">
        <f>I631-H631</f>
        <v>441.06474545274165</v>
      </c>
      <c r="K631" s="2">
        <f t="shared" si="77"/>
        <v>-441.06474545274165</v>
      </c>
      <c r="L631" s="3">
        <f>C631/B631</f>
        <v>3.1447692404823542</v>
      </c>
      <c r="M631" s="3">
        <f t="shared" si="79"/>
        <v>3.1111717362216895</v>
      </c>
      <c r="N631" s="3">
        <f t="shared" si="83"/>
        <v>3.0927150477152363</v>
      </c>
      <c r="O631" s="3">
        <f t="shared" si="84"/>
        <v>3.0574077914834077</v>
      </c>
      <c r="P631" s="3">
        <f t="shared" si="78"/>
        <v>3.0080082155632715</v>
      </c>
      <c r="Q631" s="4" t="str">
        <f t="shared" si="82"/>
        <v>OVER</v>
      </c>
      <c r="R631" s="4" t="str">
        <f t="shared" si="82"/>
        <v>OVER</v>
      </c>
      <c r="S631" s="4" t="str">
        <f t="shared" si="80"/>
        <v>OVER</v>
      </c>
      <c r="T631" s="4" t="str">
        <f t="shared" si="80"/>
        <v>OVER</v>
      </c>
      <c r="U631" s="2">
        <f>IF(Q631="OVER",$J631,$K631)</f>
        <v>441.06474545274165</v>
      </c>
      <c r="V631" s="2">
        <f>IF(R631="OVER",$J631,$K631)</f>
        <v>441.06474545274165</v>
      </c>
      <c r="W631" s="2">
        <f>IF(S631="OVER",$J631,$K631)</f>
        <v>441.06474545274165</v>
      </c>
      <c r="X631" s="2">
        <f>IF(T631="OVER",$J631,$K631)</f>
        <v>441.06474545274165</v>
      </c>
      <c r="Y631" s="9">
        <f t="shared" si="81"/>
        <v>-4969.3314851988462</v>
      </c>
      <c r="Z631" s="9">
        <f t="shared" si="81"/>
        <v>12243.115745894085</v>
      </c>
      <c r="AA631" s="9">
        <f t="shared" si="81"/>
        <v>36083.731582486012</v>
      </c>
      <c r="AB631" s="9">
        <f t="shared" si="81"/>
        <v>15464.202609855189</v>
      </c>
    </row>
    <row r="632" spans="1:28" x14ac:dyDescent="0.3">
      <c r="A632" s="1">
        <v>45330</v>
      </c>
      <c r="B632" s="2">
        <v>158.74</v>
      </c>
      <c r="C632" s="2">
        <v>498.32</v>
      </c>
      <c r="D632" s="9">
        <f>B632-B631</f>
        <v>0.35000000000002274</v>
      </c>
      <c r="E632" s="9">
        <f>C632-C631</f>
        <v>0.21999999999997044</v>
      </c>
      <c r="F632" s="3">
        <f>F$1/B632</f>
        <v>629.96094242156983</v>
      </c>
      <c r="G632" s="3">
        <f>F$1/C632</f>
        <v>200.67426553218814</v>
      </c>
      <c r="H632" s="2">
        <f>D632*F631</f>
        <v>220.97354630975613</v>
      </c>
      <c r="I632" s="2">
        <f>E632*G631</f>
        <v>44.167837783571663</v>
      </c>
      <c r="J632" s="2">
        <f>I632-H632</f>
        <v>-176.80570852618447</v>
      </c>
      <c r="K632" s="2">
        <f t="shared" si="77"/>
        <v>176.80570852618447</v>
      </c>
      <c r="L632" s="3">
        <f>C632/B632</f>
        <v>3.1392213682751668</v>
      </c>
      <c r="M632" s="3">
        <f t="shared" si="79"/>
        <v>3.1151942032498665</v>
      </c>
      <c r="N632" s="3">
        <f t="shared" si="83"/>
        <v>3.0977602729667377</v>
      </c>
      <c r="O632" s="3">
        <f t="shared" si="84"/>
        <v>3.0581937194286808</v>
      </c>
      <c r="P632" s="3">
        <f t="shared" si="78"/>
        <v>3.009494321715894</v>
      </c>
      <c r="Q632" s="4" t="str">
        <f t="shared" si="82"/>
        <v>OVER</v>
      </c>
      <c r="R632" s="4" t="str">
        <f t="shared" si="82"/>
        <v>OVER</v>
      </c>
      <c r="S632" s="4" t="str">
        <f t="shared" si="80"/>
        <v>OVER</v>
      </c>
      <c r="T632" s="4" t="str">
        <f t="shared" si="80"/>
        <v>OVER</v>
      </c>
      <c r="U632" s="2">
        <f>IF(Q632="OVER",$J632,$K632)</f>
        <v>-176.80570852618447</v>
      </c>
      <c r="V632" s="2">
        <f>IF(R632="OVER",$J632,$K632)</f>
        <v>-176.80570852618447</v>
      </c>
      <c r="W632" s="2">
        <f>IF(S632="OVER",$J632,$K632)</f>
        <v>-176.80570852618447</v>
      </c>
      <c r="X632" s="2">
        <f>IF(T632="OVER",$J632,$K632)</f>
        <v>-176.80570852618447</v>
      </c>
      <c r="Y632" s="9">
        <f t="shared" si="81"/>
        <v>-5146.1371937250306</v>
      </c>
      <c r="Z632" s="9">
        <f t="shared" si="81"/>
        <v>12066.310037367901</v>
      </c>
      <c r="AA632" s="9">
        <f t="shared" si="81"/>
        <v>35906.92587395983</v>
      </c>
      <c r="AB632" s="9">
        <f t="shared" si="81"/>
        <v>15287.396901329004</v>
      </c>
    </row>
    <row r="633" spans="1:28" x14ac:dyDescent="0.3">
      <c r="A633" s="1">
        <v>45331</v>
      </c>
      <c r="B633" s="2">
        <v>158.93</v>
      </c>
      <c r="C633" s="2">
        <v>501.2</v>
      </c>
      <c r="D633" s="9">
        <f>B633-B632</f>
        <v>0.18999999999999773</v>
      </c>
      <c r="E633" s="9">
        <f>C633-C632</f>
        <v>2.8799999999999955</v>
      </c>
      <c r="F633" s="3">
        <f>F$1/B633</f>
        <v>629.20782734537215</v>
      </c>
      <c r="G633" s="3">
        <f>F$1/C633</f>
        <v>199.52114924181964</v>
      </c>
      <c r="H633" s="2">
        <f>D633*F632</f>
        <v>119.69257906009683</v>
      </c>
      <c r="I633" s="2">
        <f>E633*G632</f>
        <v>577.94188473270094</v>
      </c>
      <c r="J633" s="2">
        <f>I633-H633</f>
        <v>458.24930567260412</v>
      </c>
      <c r="K633" s="2">
        <f t="shared" si="77"/>
        <v>-458.24930567260412</v>
      </c>
      <c r="L633" s="3">
        <f>C633/B633</f>
        <v>3.1535896306550053</v>
      </c>
      <c r="M633" s="3">
        <f t="shared" si="79"/>
        <v>3.1210864996487002</v>
      </c>
      <c r="N633" s="3">
        <f t="shared" si="83"/>
        <v>3.1031539488728899</v>
      </c>
      <c r="O633" s="3">
        <f t="shared" si="84"/>
        <v>3.0591463067437679</v>
      </c>
      <c r="P633" s="3">
        <f t="shared" si="78"/>
        <v>3.011035812470066</v>
      </c>
      <c r="Q633" s="4" t="str">
        <f t="shared" si="82"/>
        <v>OVER</v>
      </c>
      <c r="R633" s="4" t="str">
        <f t="shared" si="82"/>
        <v>OVER</v>
      </c>
      <c r="S633" s="4" t="str">
        <f t="shared" si="80"/>
        <v>OVER</v>
      </c>
      <c r="T633" s="4" t="str">
        <f t="shared" si="80"/>
        <v>OVER</v>
      </c>
      <c r="U633" s="2">
        <f>IF(Q633="OVER",$J633,$K633)</f>
        <v>458.24930567260412</v>
      </c>
      <c r="V633" s="2">
        <f>IF(R633="OVER",$J633,$K633)</f>
        <v>458.24930567260412</v>
      </c>
      <c r="W633" s="2">
        <f>IF(S633="OVER",$J633,$K633)</f>
        <v>458.24930567260412</v>
      </c>
      <c r="X633" s="2">
        <f>IF(T633="OVER",$J633,$K633)</f>
        <v>458.24930567260412</v>
      </c>
      <c r="Y633" s="9">
        <f t="shared" si="81"/>
        <v>-4687.8878880524262</v>
      </c>
      <c r="Z633" s="9">
        <f t="shared" si="81"/>
        <v>12524.559343040504</v>
      </c>
      <c r="AA633" s="9">
        <f t="shared" si="81"/>
        <v>36365.175179632432</v>
      </c>
      <c r="AB633" s="9">
        <f t="shared" si="81"/>
        <v>15745.646207001608</v>
      </c>
    </row>
    <row r="634" spans="1:28" x14ac:dyDescent="0.3">
      <c r="A634" s="1">
        <v>45334</v>
      </c>
      <c r="B634" s="2">
        <v>160.01</v>
      </c>
      <c r="C634" s="2">
        <v>500.98</v>
      </c>
      <c r="D634" s="9">
        <f>B634-B633</f>
        <v>1.0799999999999841</v>
      </c>
      <c r="E634" s="9">
        <f>C634-C633</f>
        <v>-0.21999999999997044</v>
      </c>
      <c r="F634" s="3">
        <f>F$1/B634</f>
        <v>624.96093994125374</v>
      </c>
      <c r="G634" s="3">
        <f>F$1/C634</f>
        <v>199.6087668170386</v>
      </c>
      <c r="H634" s="2">
        <f>D634*F633</f>
        <v>679.54445353299195</v>
      </c>
      <c r="I634" s="2">
        <f>E634*G633</f>
        <v>-43.894652833194421</v>
      </c>
      <c r="J634" s="2">
        <f>I634-H634</f>
        <v>-723.43910636618637</v>
      </c>
      <c r="K634" s="2">
        <f t="shared" si="77"/>
        <v>723.43910636618637</v>
      </c>
      <c r="L634" s="3">
        <f>C634/B634</f>
        <v>3.1309293169176931</v>
      </c>
      <c r="M634" s="3">
        <f t="shared" si="79"/>
        <v>3.1241516640805935</v>
      </c>
      <c r="N634" s="3">
        <f t="shared" si="83"/>
        <v>3.1069673163528662</v>
      </c>
      <c r="O634" s="3">
        <f t="shared" si="84"/>
        <v>3.0599342232419313</v>
      </c>
      <c r="P634" s="3">
        <f t="shared" si="78"/>
        <v>3.0123748037406273</v>
      </c>
      <c r="Q634" s="4" t="str">
        <f t="shared" si="82"/>
        <v>OVER</v>
      </c>
      <c r="R634" s="4" t="str">
        <f t="shared" si="82"/>
        <v>OVER</v>
      </c>
      <c r="S634" s="4" t="str">
        <f t="shared" si="80"/>
        <v>OVER</v>
      </c>
      <c r="T634" s="4" t="str">
        <f t="shared" si="80"/>
        <v>OVER</v>
      </c>
      <c r="U634" s="2">
        <f>IF(Q634="OVER",$J634,$K634)</f>
        <v>-723.43910636618637</v>
      </c>
      <c r="V634" s="2">
        <f>IF(R634="OVER",$J634,$K634)</f>
        <v>-723.43910636618637</v>
      </c>
      <c r="W634" s="2">
        <f>IF(S634="OVER",$J634,$K634)</f>
        <v>-723.43910636618637</v>
      </c>
      <c r="X634" s="2">
        <f>IF(T634="OVER",$J634,$K634)</f>
        <v>-723.43910636618637</v>
      </c>
      <c r="Y634" s="9">
        <f t="shared" si="81"/>
        <v>-5411.3269944186122</v>
      </c>
      <c r="Z634" s="9">
        <f t="shared" si="81"/>
        <v>11801.120236674318</v>
      </c>
      <c r="AA634" s="9">
        <f t="shared" si="81"/>
        <v>35641.736073266242</v>
      </c>
      <c r="AB634" s="9">
        <f t="shared" si="81"/>
        <v>15022.207100635422</v>
      </c>
    </row>
    <row r="635" spans="1:28" x14ac:dyDescent="0.3">
      <c r="A635" s="1">
        <v>45335</v>
      </c>
      <c r="B635" s="2">
        <v>157.35</v>
      </c>
      <c r="C635" s="2">
        <v>494.08</v>
      </c>
      <c r="D635" s="9">
        <f>B635-B634</f>
        <v>-2.6599999999999966</v>
      </c>
      <c r="E635" s="9">
        <f>C635-C634</f>
        <v>-6.9000000000000341</v>
      </c>
      <c r="F635" s="3">
        <f>F$1/B635</f>
        <v>635.52589768033044</v>
      </c>
      <c r="G635" s="3">
        <f>F$1/C635</f>
        <v>202.39637305699483</v>
      </c>
      <c r="H635" s="2">
        <f>D635*F634</f>
        <v>-1662.3961002437329</v>
      </c>
      <c r="I635" s="2">
        <f>E635*G634</f>
        <v>-1377.3004910375732</v>
      </c>
      <c r="J635" s="2">
        <f>I635-H635</f>
        <v>285.09560920615968</v>
      </c>
      <c r="K635" s="2">
        <f t="shared" si="77"/>
        <v>-285.09560920615968</v>
      </c>
      <c r="L635" s="3">
        <f>C635/B635</f>
        <v>3.140006355258977</v>
      </c>
      <c r="M635" s="3">
        <f t="shared" si="79"/>
        <v>3.1284229791446325</v>
      </c>
      <c r="N635" s="3">
        <f t="shared" si="83"/>
        <v>3.1108236898361814</v>
      </c>
      <c r="O635" s="3">
        <f t="shared" si="84"/>
        <v>3.0611834400301858</v>
      </c>
      <c r="P635" s="3">
        <f t="shared" si="78"/>
        <v>3.0137101542212066</v>
      </c>
      <c r="Q635" s="4" t="str">
        <f t="shared" si="82"/>
        <v>OVER</v>
      </c>
      <c r="R635" s="4" t="str">
        <f t="shared" si="82"/>
        <v>OVER</v>
      </c>
      <c r="S635" s="4" t="str">
        <f t="shared" si="80"/>
        <v>OVER</v>
      </c>
      <c r="T635" s="4" t="str">
        <f t="shared" si="80"/>
        <v>OVER</v>
      </c>
      <c r="U635" s="2">
        <f>IF(Q635="OVER",$J635,$K635)</f>
        <v>285.09560920615968</v>
      </c>
      <c r="V635" s="2">
        <f>IF(R635="OVER",$J635,$K635)</f>
        <v>285.09560920615968</v>
      </c>
      <c r="W635" s="2">
        <f>IF(S635="OVER",$J635,$K635)</f>
        <v>285.09560920615968</v>
      </c>
      <c r="X635" s="2">
        <f>IF(T635="OVER",$J635,$K635)</f>
        <v>285.09560920615968</v>
      </c>
      <c r="Y635" s="9">
        <f t="shared" si="81"/>
        <v>-5126.2313852124526</v>
      </c>
      <c r="Z635" s="9">
        <f t="shared" si="81"/>
        <v>12086.215845880477</v>
      </c>
      <c r="AA635" s="9">
        <f t="shared" si="81"/>
        <v>35926.831682472402</v>
      </c>
      <c r="AB635" s="9">
        <f t="shared" si="81"/>
        <v>15307.302709841581</v>
      </c>
    </row>
    <row r="636" spans="1:28" x14ac:dyDescent="0.3">
      <c r="A636" s="1">
        <v>45336</v>
      </c>
      <c r="B636" s="2">
        <v>158.79</v>
      </c>
      <c r="C636" s="2">
        <v>498.57</v>
      </c>
      <c r="D636" s="9">
        <f>B636-B635</f>
        <v>1.4399999999999977</v>
      </c>
      <c r="E636" s="9">
        <f>C636-C635</f>
        <v>4.4900000000000091</v>
      </c>
      <c r="F636" s="3">
        <f>F$1/B636</f>
        <v>629.76257950752574</v>
      </c>
      <c r="G636" s="3">
        <f>F$1/C636</f>
        <v>200.57364061215074</v>
      </c>
      <c r="H636" s="2">
        <f>D636*F635</f>
        <v>915.15729265967434</v>
      </c>
      <c r="I636" s="2">
        <f>E636*G635</f>
        <v>908.75971502590869</v>
      </c>
      <c r="J636" s="2">
        <f>I636-H636</f>
        <v>-6.3975776337656498</v>
      </c>
      <c r="K636" s="2">
        <f t="shared" si="77"/>
        <v>6.3975776337656498</v>
      </c>
      <c r="L636" s="3">
        <f>C636/B636</f>
        <v>3.1398072926506706</v>
      </c>
      <c r="M636" s="3">
        <f t="shared" si="79"/>
        <v>3.1337753049839039</v>
      </c>
      <c r="N636" s="3">
        <f t="shared" si="83"/>
        <v>3.1143136644531144</v>
      </c>
      <c r="O636" s="3">
        <f t="shared" si="84"/>
        <v>3.0629817781372348</v>
      </c>
      <c r="P636" s="3">
        <f t="shared" si="78"/>
        <v>3.015080611381717</v>
      </c>
      <c r="Q636" s="4" t="str">
        <f t="shared" si="82"/>
        <v>OVER</v>
      </c>
      <c r="R636" s="4" t="str">
        <f t="shared" si="82"/>
        <v>OVER</v>
      </c>
      <c r="S636" s="4" t="str">
        <f t="shared" si="80"/>
        <v>OVER</v>
      </c>
      <c r="T636" s="4" t="str">
        <f t="shared" si="80"/>
        <v>OVER</v>
      </c>
      <c r="U636" s="2">
        <f>IF(Q636="OVER",$J636,$K636)</f>
        <v>-6.3975776337656498</v>
      </c>
      <c r="V636" s="2">
        <f>IF(R636="OVER",$J636,$K636)</f>
        <v>-6.3975776337656498</v>
      </c>
      <c r="W636" s="2">
        <f>IF(S636="OVER",$J636,$K636)</f>
        <v>-6.3975776337656498</v>
      </c>
      <c r="X636" s="2">
        <f>IF(T636="OVER",$J636,$K636)</f>
        <v>-6.3975776337656498</v>
      </c>
      <c r="Y636" s="9">
        <f t="shared" si="81"/>
        <v>-5132.6289628462182</v>
      </c>
      <c r="Z636" s="9">
        <f t="shared" si="81"/>
        <v>12079.818268246712</v>
      </c>
      <c r="AA636" s="9">
        <f t="shared" si="81"/>
        <v>35920.434104838634</v>
      </c>
      <c r="AB636" s="9">
        <f t="shared" si="81"/>
        <v>15300.905132207816</v>
      </c>
    </row>
    <row r="637" spans="1:28" x14ac:dyDescent="0.3">
      <c r="A637" s="1">
        <v>45337</v>
      </c>
      <c r="B637" s="2">
        <v>160.76</v>
      </c>
      <c r="C637" s="2">
        <v>502.01</v>
      </c>
      <c r="D637" s="9">
        <f>B637-B636</f>
        <v>1.9699999999999989</v>
      </c>
      <c r="E637" s="9">
        <f>C637-C636</f>
        <v>3.4399999999999977</v>
      </c>
      <c r="F637" s="3">
        <f>F$1/B637</f>
        <v>622.04528489674055</v>
      </c>
      <c r="G637" s="3">
        <f>F$1/C637</f>
        <v>199.19921913906097</v>
      </c>
      <c r="H637" s="2">
        <f>D637*F636</f>
        <v>1240.632281629825</v>
      </c>
      <c r="I637" s="2">
        <f>E637*G636</f>
        <v>689.97332370579807</v>
      </c>
      <c r="J637" s="2">
        <f>I637-H637</f>
        <v>-550.65895792402694</v>
      </c>
      <c r="K637" s="2">
        <f t="shared" si="77"/>
        <v>550.65895792402694</v>
      </c>
      <c r="L637" s="3">
        <f>C637/B637</f>
        <v>3.1227295347101269</v>
      </c>
      <c r="M637" s="3">
        <f t="shared" si="79"/>
        <v>3.1369757287607039</v>
      </c>
      <c r="N637" s="3">
        <f t="shared" si="83"/>
        <v>3.1163758994502775</v>
      </c>
      <c r="O637" s="3">
        <f t="shared" si="84"/>
        <v>3.064786966440999</v>
      </c>
      <c r="P637" s="3">
        <f t="shared" si="78"/>
        <v>3.0163673160858173</v>
      </c>
      <c r="Q637" s="4" t="str">
        <f t="shared" si="82"/>
        <v>OVER</v>
      </c>
      <c r="R637" s="4" t="str">
        <f t="shared" si="82"/>
        <v>OVER</v>
      </c>
      <c r="S637" s="4" t="str">
        <f t="shared" si="80"/>
        <v>OVER</v>
      </c>
      <c r="T637" s="4" t="str">
        <f t="shared" si="80"/>
        <v>OVER</v>
      </c>
      <c r="U637" s="2">
        <f>IF(Q637="OVER",$J637,$K637)</f>
        <v>-550.65895792402694</v>
      </c>
      <c r="V637" s="2">
        <f>IF(R637="OVER",$J637,$K637)</f>
        <v>-550.65895792402694</v>
      </c>
      <c r="W637" s="2">
        <f>IF(S637="OVER",$J637,$K637)</f>
        <v>-550.65895792402694</v>
      </c>
      <c r="X637" s="2">
        <f>IF(T637="OVER",$J637,$K637)</f>
        <v>-550.65895792402694</v>
      </c>
      <c r="Y637" s="9">
        <f t="shared" si="81"/>
        <v>-5683.2879207702454</v>
      </c>
      <c r="Z637" s="9">
        <f t="shared" si="81"/>
        <v>11529.159310322686</v>
      </c>
      <c r="AA637" s="9">
        <f t="shared" si="81"/>
        <v>35369.77514691461</v>
      </c>
      <c r="AB637" s="9">
        <f t="shared" si="81"/>
        <v>14750.24617428379</v>
      </c>
    </row>
    <row r="638" spans="1:28" x14ac:dyDescent="0.3">
      <c r="A638" s="1">
        <v>45338</v>
      </c>
      <c r="B638" s="2">
        <v>160.03</v>
      </c>
      <c r="C638" s="2">
        <v>499.51</v>
      </c>
      <c r="D638" s="9">
        <f>B638-B637</f>
        <v>-0.72999999999998977</v>
      </c>
      <c r="E638" s="9">
        <f>C638-C637</f>
        <v>-2.5</v>
      </c>
      <c r="F638" s="3">
        <f>F$1/B638</f>
        <v>624.88283446853711</v>
      </c>
      <c r="G638" s="3">
        <f>F$1/C638</f>
        <v>200.19619226842306</v>
      </c>
      <c r="H638" s="2">
        <f>D638*F637</f>
        <v>-454.09305797461423</v>
      </c>
      <c r="I638" s="2">
        <f>E638*G637</f>
        <v>-497.9980478476524</v>
      </c>
      <c r="J638" s="2">
        <f>I638-H638</f>
        <v>-43.904989873038176</v>
      </c>
      <c r="K638" s="2">
        <f t="shared" si="77"/>
        <v>43.904989873038176</v>
      </c>
      <c r="L638" s="3">
        <f>C638/B638</f>
        <v>3.1213522464537897</v>
      </c>
      <c r="M638" s="3">
        <f t="shared" si="79"/>
        <v>3.136508196355368</v>
      </c>
      <c r="N638" s="3">
        <f t="shared" si="83"/>
        <v>3.1176398922119346</v>
      </c>
      <c r="O638" s="3">
        <f t="shared" si="84"/>
        <v>3.0660321810069502</v>
      </c>
      <c r="P638" s="3">
        <f t="shared" si="78"/>
        <v>3.0175929515829973</v>
      </c>
      <c r="Q638" s="4" t="str">
        <f t="shared" si="82"/>
        <v>UNDER</v>
      </c>
      <c r="R638" s="4" t="str">
        <f t="shared" si="82"/>
        <v>OVER</v>
      </c>
      <c r="S638" s="4" t="str">
        <f t="shared" si="80"/>
        <v>OVER</v>
      </c>
      <c r="T638" s="4" t="str">
        <f t="shared" si="80"/>
        <v>OVER</v>
      </c>
      <c r="U638" s="2">
        <f>IF(Q638="OVER",$J638,$K638)</f>
        <v>43.904989873038176</v>
      </c>
      <c r="V638" s="2">
        <f>IF(R638="OVER",$J638,$K638)</f>
        <v>-43.904989873038176</v>
      </c>
      <c r="W638" s="2">
        <f>IF(S638="OVER",$J638,$K638)</f>
        <v>-43.904989873038176</v>
      </c>
      <c r="X638" s="2">
        <f>IF(T638="OVER",$J638,$K638)</f>
        <v>-43.904989873038176</v>
      </c>
      <c r="Y638" s="9">
        <f t="shared" si="81"/>
        <v>-5639.3829308972072</v>
      </c>
      <c r="Z638" s="9">
        <f t="shared" si="81"/>
        <v>11485.254320449647</v>
      </c>
      <c r="AA638" s="9">
        <f t="shared" si="81"/>
        <v>35325.870157041572</v>
      </c>
      <c r="AB638" s="9">
        <f t="shared" si="81"/>
        <v>14706.34118441075</v>
      </c>
    </row>
    <row r="639" spans="1:28" x14ac:dyDescent="0.3">
      <c r="A639" s="1">
        <v>45342</v>
      </c>
      <c r="B639" s="2">
        <v>159.66</v>
      </c>
      <c r="C639" s="2">
        <v>496.76</v>
      </c>
      <c r="D639" s="9">
        <f>B639-B638</f>
        <v>-0.37000000000000455</v>
      </c>
      <c r="E639" s="9">
        <f>C639-C638</f>
        <v>-2.75</v>
      </c>
      <c r="F639" s="3">
        <f>F$1/B639</f>
        <v>626.33095327571095</v>
      </c>
      <c r="G639" s="3">
        <f>F$1/C639</f>
        <v>201.30445285449716</v>
      </c>
      <c r="H639" s="2">
        <f>D639*F638</f>
        <v>-231.20664875336158</v>
      </c>
      <c r="I639" s="2">
        <f>E639*G638</f>
        <v>-550.53952873816343</v>
      </c>
      <c r="J639" s="2">
        <f>I639-H639</f>
        <v>-319.33287998480182</v>
      </c>
      <c r="K639" s="2">
        <f t="shared" si="77"/>
        <v>319.33287998480182</v>
      </c>
      <c r="L639" s="3">
        <f>C639/B639</f>
        <v>3.1113616434924216</v>
      </c>
      <c r="M639" s="3">
        <f t="shared" si="79"/>
        <v>3.1334780129561732</v>
      </c>
      <c r="N639" s="3">
        <f t="shared" si="83"/>
        <v>3.1188891541618369</v>
      </c>
      <c r="O639" s="3">
        <f t="shared" si="84"/>
        <v>3.0673445387847083</v>
      </c>
      <c r="P639" s="3">
        <f t="shared" si="78"/>
        <v>3.0187838700743832</v>
      </c>
      <c r="Q639" s="4" t="str">
        <f t="shared" si="82"/>
        <v>UNDER</v>
      </c>
      <c r="R639" s="4" t="str">
        <f t="shared" si="82"/>
        <v>OVER</v>
      </c>
      <c r="S639" s="4" t="str">
        <f t="shared" si="80"/>
        <v>OVER</v>
      </c>
      <c r="T639" s="4" t="str">
        <f t="shared" si="80"/>
        <v>OVER</v>
      </c>
      <c r="U639" s="2">
        <f>IF(Q639="OVER",$J639,$K639)</f>
        <v>319.33287998480182</v>
      </c>
      <c r="V639" s="2">
        <f>IF(R639="OVER",$J639,$K639)</f>
        <v>-319.33287998480182</v>
      </c>
      <c r="W639" s="2">
        <f>IF(S639="OVER",$J639,$K639)</f>
        <v>-319.33287998480182</v>
      </c>
      <c r="X639" s="2">
        <f>IF(T639="OVER",$J639,$K639)</f>
        <v>-319.33287998480182</v>
      </c>
      <c r="Y639" s="9">
        <f t="shared" si="81"/>
        <v>-5320.0500509124049</v>
      </c>
      <c r="Z639" s="9">
        <f t="shared" si="81"/>
        <v>11165.921440464845</v>
      </c>
      <c r="AA639" s="9">
        <f t="shared" si="81"/>
        <v>35006.53727705677</v>
      </c>
      <c r="AB639" s="9">
        <f t="shared" si="81"/>
        <v>14387.008304425948</v>
      </c>
    </row>
    <row r="640" spans="1:28" x14ac:dyDescent="0.3">
      <c r="A640" s="1">
        <v>45343</v>
      </c>
      <c r="B640" s="2">
        <v>159.97999999999999</v>
      </c>
      <c r="C640" s="2">
        <v>497.21</v>
      </c>
      <c r="D640" s="9">
        <f>B640-B639</f>
        <v>0.31999999999999318</v>
      </c>
      <c r="E640" s="9">
        <f>C640-C639</f>
        <v>0.44999999999998863</v>
      </c>
      <c r="F640" s="3">
        <f>F$1/B640</f>
        <v>625.07813476684589</v>
      </c>
      <c r="G640" s="3">
        <f>F$1/C640</f>
        <v>201.1222622232055</v>
      </c>
      <c r="H640" s="2">
        <f>D640*F639</f>
        <v>200.42590504822323</v>
      </c>
      <c r="I640" s="2">
        <f>E640*G639</f>
        <v>90.587003784521428</v>
      </c>
      <c r="J640" s="2">
        <f>I640-H640</f>
        <v>-109.8389012637018</v>
      </c>
      <c r="K640" s="2">
        <f t="shared" si="77"/>
        <v>109.8389012637018</v>
      </c>
      <c r="L640" s="3">
        <f>C640/B640</f>
        <v>3.1079509938742342</v>
      </c>
      <c r="M640" s="3">
        <f t="shared" si="79"/>
        <v>3.1311717622770443</v>
      </c>
      <c r="N640" s="3">
        <f t="shared" si="83"/>
        <v>3.1195968110530985</v>
      </c>
      <c r="O640" s="3">
        <f t="shared" si="84"/>
        <v>3.0684469297481356</v>
      </c>
      <c r="P640" s="3">
        <f t="shared" si="78"/>
        <v>3.0199225870798694</v>
      </c>
      <c r="Q640" s="4" t="str">
        <f t="shared" si="82"/>
        <v>UNDER</v>
      </c>
      <c r="R640" s="4" t="str">
        <f t="shared" si="82"/>
        <v>UNDER</v>
      </c>
      <c r="S640" s="4" t="str">
        <f t="shared" si="80"/>
        <v>OVER</v>
      </c>
      <c r="T640" s="4" t="str">
        <f t="shared" si="80"/>
        <v>OVER</v>
      </c>
      <c r="U640" s="2">
        <f>IF(Q640="OVER",$J640,$K640)</f>
        <v>109.8389012637018</v>
      </c>
      <c r="V640" s="2">
        <f>IF(R640="OVER",$J640,$K640)</f>
        <v>109.8389012637018</v>
      </c>
      <c r="W640" s="2">
        <f>IF(S640="OVER",$J640,$K640)</f>
        <v>-109.8389012637018</v>
      </c>
      <c r="X640" s="2">
        <f>IF(T640="OVER",$J640,$K640)</f>
        <v>-109.8389012637018</v>
      </c>
      <c r="Y640" s="9">
        <f t="shared" si="81"/>
        <v>-5210.2111496487032</v>
      </c>
      <c r="Z640" s="9">
        <f t="shared" si="81"/>
        <v>11275.760341728546</v>
      </c>
      <c r="AA640" s="9">
        <f t="shared" si="81"/>
        <v>34896.698375793065</v>
      </c>
      <c r="AB640" s="9">
        <f t="shared" si="81"/>
        <v>14277.169403162246</v>
      </c>
    </row>
    <row r="641" spans="1:28" x14ac:dyDescent="0.3">
      <c r="A641" s="1">
        <v>45344</v>
      </c>
      <c r="B641" s="2">
        <v>161.57</v>
      </c>
      <c r="C641" s="2">
        <v>507.5</v>
      </c>
      <c r="D641" s="9">
        <f>B641-B640</f>
        <v>1.5900000000000034</v>
      </c>
      <c r="E641" s="9">
        <f>C641-C640</f>
        <v>10.29000000000002</v>
      </c>
      <c r="F641" s="3">
        <f>F$1/B641</f>
        <v>618.92678096181226</v>
      </c>
      <c r="G641" s="3">
        <f>F$1/C641</f>
        <v>197.04433497536945</v>
      </c>
      <c r="H641" s="2">
        <f>D641*F640</f>
        <v>993.87423427928707</v>
      </c>
      <c r="I641" s="2">
        <f>E641*G640</f>
        <v>2069.5480782767886</v>
      </c>
      <c r="J641" s="2">
        <f>I641-H641</f>
        <v>1075.6738439975015</v>
      </c>
      <c r="K641" s="2">
        <f t="shared" si="77"/>
        <v>-1075.6738439975015</v>
      </c>
      <c r="L641" s="3">
        <f>C641/B641</f>
        <v>3.1410534133811971</v>
      </c>
      <c r="M641" s="3">
        <f t="shared" si="79"/>
        <v>3.1308001795669282</v>
      </c>
      <c r="N641" s="3">
        <f t="shared" si="83"/>
        <v>3.1209859578943089</v>
      </c>
      <c r="O641" s="3">
        <f t="shared" si="84"/>
        <v>3.0701402833315594</v>
      </c>
      <c r="P641" s="3">
        <f t="shared" si="78"/>
        <v>3.021203257908224</v>
      </c>
      <c r="Q641" s="4" t="str">
        <f t="shared" si="82"/>
        <v>UNDER</v>
      </c>
      <c r="R641" s="4" t="str">
        <f t="shared" si="82"/>
        <v>UNDER</v>
      </c>
      <c r="S641" s="4" t="str">
        <f t="shared" si="80"/>
        <v>OVER</v>
      </c>
      <c r="T641" s="4" t="str">
        <f t="shared" si="80"/>
        <v>OVER</v>
      </c>
      <c r="U641" s="2">
        <f>IF(Q641="OVER",$J641,$K641)</f>
        <v>-1075.6738439975015</v>
      </c>
      <c r="V641" s="2">
        <f>IF(R641="OVER",$J641,$K641)</f>
        <v>-1075.6738439975015</v>
      </c>
      <c r="W641" s="2">
        <f>IF(S641="OVER",$J641,$K641)</f>
        <v>1075.6738439975015</v>
      </c>
      <c r="X641" s="2">
        <f>IF(T641="OVER",$J641,$K641)</f>
        <v>1075.6738439975015</v>
      </c>
      <c r="Y641" s="9">
        <f t="shared" si="81"/>
        <v>-6285.8849936462047</v>
      </c>
      <c r="Z641" s="9">
        <f t="shared" si="81"/>
        <v>10200.086497731045</v>
      </c>
      <c r="AA641" s="9">
        <f t="shared" si="81"/>
        <v>35972.372219790566</v>
      </c>
      <c r="AB641" s="9">
        <f t="shared" si="81"/>
        <v>15352.843247159748</v>
      </c>
    </row>
    <row r="642" spans="1:28" x14ac:dyDescent="0.3">
      <c r="A642" s="1">
        <v>45345</v>
      </c>
      <c r="B642" s="2">
        <v>162</v>
      </c>
      <c r="C642" s="2">
        <v>507.85</v>
      </c>
      <c r="D642" s="9">
        <f>B642-B641</f>
        <v>0.43000000000000682</v>
      </c>
      <c r="E642" s="9">
        <f>C642-C641</f>
        <v>0.35000000000002274</v>
      </c>
      <c r="F642" s="3">
        <f>F$1/B642</f>
        <v>617.28395061728395</v>
      </c>
      <c r="G642" s="3">
        <f>F$1/C642</f>
        <v>196.90853598503494</v>
      </c>
      <c r="H642" s="2">
        <f>D642*F641</f>
        <v>266.13851581358347</v>
      </c>
      <c r="I642" s="2">
        <f>E642*G641</f>
        <v>68.965517241383793</v>
      </c>
      <c r="J642" s="2">
        <f>I642-H642</f>
        <v>-197.17299857219967</v>
      </c>
      <c r="K642" s="2">
        <f t="shared" si="77"/>
        <v>197.17299857219967</v>
      </c>
      <c r="L642" s="3">
        <f>C642/B642</f>
        <v>3.1348765432098769</v>
      </c>
      <c r="M642" s="3">
        <f t="shared" si="79"/>
        <v>3.130365697060399</v>
      </c>
      <c r="N642" s="3">
        <f t="shared" si="83"/>
        <v>3.1227799501551328</v>
      </c>
      <c r="O642" s="3">
        <f t="shared" si="84"/>
        <v>3.0720136419885291</v>
      </c>
      <c r="P642" s="3">
        <f t="shared" si="78"/>
        <v>3.0224229232466735</v>
      </c>
      <c r="Q642" s="4" t="str">
        <f t="shared" si="82"/>
        <v>OVER</v>
      </c>
      <c r="R642" s="4" t="str">
        <f t="shared" si="82"/>
        <v>OVER</v>
      </c>
      <c r="S642" s="4" t="str">
        <f t="shared" si="80"/>
        <v>OVER</v>
      </c>
      <c r="T642" s="4" t="str">
        <f t="shared" si="80"/>
        <v>OVER</v>
      </c>
      <c r="U642" s="2">
        <f>IF(Q642="OVER",$J642,$K642)</f>
        <v>-197.17299857219967</v>
      </c>
      <c r="V642" s="2">
        <f>IF(R642="OVER",$J642,$K642)</f>
        <v>-197.17299857219967</v>
      </c>
      <c r="W642" s="2">
        <f>IF(S642="OVER",$J642,$K642)</f>
        <v>-197.17299857219967</v>
      </c>
      <c r="X642" s="2">
        <f>IF(T642="OVER",$J642,$K642)</f>
        <v>-197.17299857219967</v>
      </c>
      <c r="Y642" s="9">
        <f t="shared" si="81"/>
        <v>-6483.0579922184043</v>
      </c>
      <c r="Z642" s="9">
        <f t="shared" si="81"/>
        <v>10002.913499158845</v>
      </c>
      <c r="AA642" s="9">
        <f t="shared" si="81"/>
        <v>35775.199221218369</v>
      </c>
      <c r="AB642" s="9">
        <f t="shared" si="81"/>
        <v>15155.670248587548</v>
      </c>
    </row>
    <row r="643" spans="1:28" x14ac:dyDescent="0.3">
      <c r="A643" s="1">
        <v>45348</v>
      </c>
      <c r="B643" s="2">
        <v>161.35</v>
      </c>
      <c r="C643" s="2">
        <v>505.99</v>
      </c>
      <c r="D643" s="9">
        <f>B643-B642</f>
        <v>-0.65000000000000568</v>
      </c>
      <c r="E643" s="9">
        <f>C643-C642</f>
        <v>-1.8600000000000136</v>
      </c>
      <c r="F643" s="3">
        <f>F$1/B643</f>
        <v>619.77068484660674</v>
      </c>
      <c r="G643" s="3">
        <f>F$1/C643</f>
        <v>197.63236427597383</v>
      </c>
      <c r="H643" s="2">
        <f>D643*F642</f>
        <v>-401.23456790123805</v>
      </c>
      <c r="I643" s="2">
        <f>E643*G642</f>
        <v>-366.24987693216769</v>
      </c>
      <c r="J643" s="2">
        <f>I643-H643</f>
        <v>34.984690969070357</v>
      </c>
      <c r="K643" s="2">
        <f t="shared" si="77"/>
        <v>-34.984690969070357</v>
      </c>
      <c r="L643" s="3">
        <f>C643/B643</f>
        <v>3.1359776882553456</v>
      </c>
      <c r="M643" s="3">
        <f t="shared" si="79"/>
        <v>3.128604502820433</v>
      </c>
      <c r="N643" s="3">
        <f t="shared" si="83"/>
        <v>3.1248455012345664</v>
      </c>
      <c r="O643" s="3">
        <f t="shared" si="84"/>
        <v>3.0737396354960462</v>
      </c>
      <c r="P643" s="3">
        <f t="shared" si="78"/>
        <v>3.0236578594944752</v>
      </c>
      <c r="Q643" s="4" t="str">
        <f t="shared" si="82"/>
        <v>OVER</v>
      </c>
      <c r="R643" s="4" t="str">
        <f t="shared" si="82"/>
        <v>OVER</v>
      </c>
      <c r="S643" s="4" t="str">
        <f t="shared" si="80"/>
        <v>OVER</v>
      </c>
      <c r="T643" s="4" t="str">
        <f t="shared" si="80"/>
        <v>OVER</v>
      </c>
      <c r="U643" s="2">
        <f>IF(Q643="OVER",$J643,$K643)</f>
        <v>34.984690969070357</v>
      </c>
      <c r="V643" s="2">
        <f>IF(R643="OVER",$J643,$K643)</f>
        <v>34.984690969070357</v>
      </c>
      <c r="W643" s="2">
        <f>IF(S643="OVER",$J643,$K643)</f>
        <v>34.984690969070357</v>
      </c>
      <c r="X643" s="2">
        <f>IF(T643="OVER",$J643,$K643)</f>
        <v>34.984690969070357</v>
      </c>
      <c r="Y643" s="9">
        <f t="shared" si="81"/>
        <v>-6448.0733012493338</v>
      </c>
      <c r="Z643" s="9">
        <f t="shared" si="81"/>
        <v>10037.898190127915</v>
      </c>
      <c r="AA643" s="9">
        <f t="shared" si="81"/>
        <v>35810.183912187436</v>
      </c>
      <c r="AB643" s="9">
        <f t="shared" si="81"/>
        <v>15190.654939556618</v>
      </c>
    </row>
    <row r="644" spans="1:28" x14ac:dyDescent="0.3">
      <c r="A644" s="1">
        <v>45349</v>
      </c>
      <c r="B644" s="2">
        <v>162.06</v>
      </c>
      <c r="C644" s="2">
        <v>506.93</v>
      </c>
      <c r="D644" s="9">
        <f>B644-B643</f>
        <v>0.71000000000000796</v>
      </c>
      <c r="E644" s="9">
        <f>C644-C643</f>
        <v>0.93999999999999773</v>
      </c>
      <c r="F644" s="3">
        <f>F$1/B644</f>
        <v>617.05541157595951</v>
      </c>
      <c r="G644" s="3">
        <f>F$1/C644</f>
        <v>197.26589469946541</v>
      </c>
      <c r="H644" s="2">
        <f>D644*F643</f>
        <v>440.0371862410957</v>
      </c>
      <c r="I644" s="2">
        <f>E644*G643</f>
        <v>185.77442241941495</v>
      </c>
      <c r="J644" s="2">
        <f>I644-H644</f>
        <v>-254.26276382168075</v>
      </c>
      <c r="K644" s="2">
        <f t="shared" si="77"/>
        <v>254.26276382168075</v>
      </c>
      <c r="L644" s="3">
        <f>C644/B644</f>
        <v>3.1280389979020118</v>
      </c>
      <c r="M644" s="3">
        <f t="shared" si="79"/>
        <v>3.128315470918865</v>
      </c>
      <c r="N644" s="3">
        <f t="shared" si="83"/>
        <v>3.1262335674997295</v>
      </c>
      <c r="O644" s="3">
        <f t="shared" si="84"/>
        <v>3.0757509012658106</v>
      </c>
      <c r="P644" s="3">
        <f t="shared" si="78"/>
        <v>3.0247835698826631</v>
      </c>
      <c r="Q644" s="4" t="str">
        <f t="shared" si="82"/>
        <v>OVER</v>
      </c>
      <c r="R644" s="4" t="str">
        <f t="shared" si="82"/>
        <v>OVER</v>
      </c>
      <c r="S644" s="4" t="str">
        <f t="shared" si="80"/>
        <v>OVER</v>
      </c>
      <c r="T644" s="4" t="str">
        <f t="shared" si="80"/>
        <v>OVER</v>
      </c>
      <c r="U644" s="2">
        <f>IF(Q644="OVER",$J644,$K644)</f>
        <v>-254.26276382168075</v>
      </c>
      <c r="V644" s="2">
        <f>IF(R644="OVER",$J644,$K644)</f>
        <v>-254.26276382168075</v>
      </c>
      <c r="W644" s="2">
        <f>IF(S644="OVER",$J644,$K644)</f>
        <v>-254.26276382168075</v>
      </c>
      <c r="X644" s="2">
        <f>IF(T644="OVER",$J644,$K644)</f>
        <v>-254.26276382168075</v>
      </c>
      <c r="Y644" s="9">
        <f t="shared" si="81"/>
        <v>-6702.3360650710147</v>
      </c>
      <c r="Z644" s="9">
        <f t="shared" si="81"/>
        <v>9783.6354263062349</v>
      </c>
      <c r="AA644" s="9">
        <f t="shared" si="81"/>
        <v>35555.921148365756</v>
      </c>
      <c r="AB644" s="9">
        <f t="shared" si="81"/>
        <v>14936.392175734938</v>
      </c>
    </row>
    <row r="645" spans="1:28" x14ac:dyDescent="0.3">
      <c r="A645" s="1">
        <v>45350</v>
      </c>
      <c r="B645" s="2">
        <v>162.12</v>
      </c>
      <c r="C645" s="2">
        <v>506.26</v>
      </c>
      <c r="D645" s="9">
        <f>B645-B644</f>
        <v>6.0000000000002274E-2</v>
      </c>
      <c r="E645" s="9">
        <f>C645-C644</f>
        <v>-0.67000000000001592</v>
      </c>
      <c r="F645" s="3">
        <f>F$1/B645</f>
        <v>616.82704169750798</v>
      </c>
      <c r="G645" s="3">
        <f>F$1/C645</f>
        <v>197.52696243037175</v>
      </c>
      <c r="H645" s="2">
        <f>D645*F644</f>
        <v>37.023324694558973</v>
      </c>
      <c r="I645" s="2">
        <f>E645*G644</f>
        <v>-132.16814944864495</v>
      </c>
      <c r="J645" s="2">
        <f>I645-H645</f>
        <v>-169.19147414320392</v>
      </c>
      <c r="K645" s="2">
        <f t="shared" ref="K645:K708" si="85">H645-I645</f>
        <v>169.19147414320392</v>
      </c>
      <c r="L645" s="3">
        <f>C645/B645</f>
        <v>3.1227485812978037</v>
      </c>
      <c r="M645" s="3">
        <f t="shared" si="79"/>
        <v>3.1265896935227477</v>
      </c>
      <c r="N645" s="3">
        <f t="shared" si="83"/>
        <v>3.1275063363336901</v>
      </c>
      <c r="O645" s="3">
        <f t="shared" si="84"/>
        <v>3.078279509659366</v>
      </c>
      <c r="P645" s="3">
        <f t="shared" si="78"/>
        <v>3.0258354443699589</v>
      </c>
      <c r="Q645" s="4" t="str">
        <f t="shared" si="82"/>
        <v>UNDER</v>
      </c>
      <c r="R645" s="4" t="str">
        <f t="shared" si="82"/>
        <v>OVER</v>
      </c>
      <c r="S645" s="4" t="str">
        <f t="shared" si="80"/>
        <v>OVER</v>
      </c>
      <c r="T645" s="4" t="str">
        <f t="shared" si="80"/>
        <v>OVER</v>
      </c>
      <c r="U645" s="2">
        <f>IF(Q645="OVER",$J645,$K645)</f>
        <v>169.19147414320392</v>
      </c>
      <c r="V645" s="2">
        <f>IF(R645="OVER",$J645,$K645)</f>
        <v>-169.19147414320392</v>
      </c>
      <c r="W645" s="2">
        <f>IF(S645="OVER",$J645,$K645)</f>
        <v>-169.19147414320392</v>
      </c>
      <c r="X645" s="2">
        <f>IF(T645="OVER",$J645,$K645)</f>
        <v>-169.19147414320392</v>
      </c>
      <c r="Y645" s="9">
        <f t="shared" si="81"/>
        <v>-6533.1445909278109</v>
      </c>
      <c r="Z645" s="9">
        <f t="shared" si="81"/>
        <v>9614.4439521630302</v>
      </c>
      <c r="AA645" s="9">
        <f t="shared" si="81"/>
        <v>35386.729674222552</v>
      </c>
      <c r="AB645" s="9">
        <f t="shared" si="81"/>
        <v>14767.200701591733</v>
      </c>
    </row>
    <row r="646" spans="1:28" x14ac:dyDescent="0.3">
      <c r="A646" s="1">
        <v>45351</v>
      </c>
      <c r="B646" s="2">
        <v>162.79</v>
      </c>
      <c r="C646" s="2">
        <v>508.08</v>
      </c>
      <c r="D646" s="9">
        <f>B646-B645</f>
        <v>0.66999999999998749</v>
      </c>
      <c r="E646" s="9">
        <f>C646-C645</f>
        <v>1.8199999999999932</v>
      </c>
      <c r="F646" s="3">
        <f>F$1/B646</f>
        <v>614.28834695005844</v>
      </c>
      <c r="G646" s="3">
        <f>F$1/C646</f>
        <v>196.81939851991814</v>
      </c>
      <c r="H646" s="2">
        <f>D646*F645</f>
        <v>413.27411793732261</v>
      </c>
      <c r="I646" s="2">
        <f>E646*G645</f>
        <v>359.49907162327526</v>
      </c>
      <c r="J646" s="2">
        <f>I646-H646</f>
        <v>-53.775046314047358</v>
      </c>
      <c r="K646" s="2">
        <f t="shared" si="85"/>
        <v>53.775046314047358</v>
      </c>
      <c r="L646" s="3">
        <f>C646/B646</f>
        <v>3.1210762331838566</v>
      </c>
      <c r="M646" s="3">
        <f t="shared" si="79"/>
        <v>3.1247165875760663</v>
      </c>
      <c r="N646" s="3">
        <f t="shared" si="83"/>
        <v>3.1292459462799851</v>
      </c>
      <c r="O646" s="3">
        <f t="shared" si="84"/>
        <v>3.0806882474168358</v>
      </c>
      <c r="P646" s="3">
        <f t="shared" si="78"/>
        <v>3.0268990646540237</v>
      </c>
      <c r="Q646" s="4" t="str">
        <f t="shared" si="82"/>
        <v>UNDER</v>
      </c>
      <c r="R646" s="4" t="str">
        <f t="shared" si="82"/>
        <v>UNDER</v>
      </c>
      <c r="S646" s="4" t="str">
        <f t="shared" si="80"/>
        <v>OVER</v>
      </c>
      <c r="T646" s="4" t="str">
        <f t="shared" si="80"/>
        <v>OVER</v>
      </c>
      <c r="U646" s="2">
        <f>IF(Q646="OVER",$J646,$K646)</f>
        <v>53.775046314047358</v>
      </c>
      <c r="V646" s="2">
        <f>IF(R646="OVER",$J646,$K646)</f>
        <v>53.775046314047358</v>
      </c>
      <c r="W646" s="2">
        <f>IF(S646="OVER",$J646,$K646)</f>
        <v>-53.775046314047358</v>
      </c>
      <c r="X646" s="2">
        <f>IF(T646="OVER",$J646,$K646)</f>
        <v>-53.775046314047358</v>
      </c>
      <c r="Y646" s="9">
        <f t="shared" si="81"/>
        <v>-6479.3695446137635</v>
      </c>
      <c r="Z646" s="9">
        <f t="shared" si="81"/>
        <v>9668.2189984770775</v>
      </c>
      <c r="AA646" s="9">
        <f t="shared" si="81"/>
        <v>35332.954627908504</v>
      </c>
      <c r="AB646" s="9">
        <f t="shared" si="81"/>
        <v>14713.425655277686</v>
      </c>
    </row>
    <row r="647" spans="1:28" x14ac:dyDescent="0.3">
      <c r="A647" s="1">
        <v>45352</v>
      </c>
      <c r="B647" s="2">
        <v>163.93</v>
      </c>
      <c r="C647" s="2">
        <v>512.85</v>
      </c>
      <c r="D647" s="9">
        <f>B647-B646</f>
        <v>1.1400000000000148</v>
      </c>
      <c r="E647" s="9">
        <f>C647-C646</f>
        <v>4.7700000000000387</v>
      </c>
      <c r="F647" s="3">
        <f>F$1/B647</f>
        <v>610.01647044470201</v>
      </c>
      <c r="G647" s="3">
        <f>F$1/C647</f>
        <v>194.98878814468168</v>
      </c>
      <c r="H647" s="2">
        <f>D647*F646</f>
        <v>700.28871552307567</v>
      </c>
      <c r="I647" s="2">
        <f>E647*G646</f>
        <v>938.82853094001712</v>
      </c>
      <c r="J647" s="2">
        <f>I647-H647</f>
        <v>238.53981541694145</v>
      </c>
      <c r="K647" s="2">
        <f t="shared" si="85"/>
        <v>-238.53981541694145</v>
      </c>
      <c r="L647" s="3">
        <f>C647/B647</f>
        <v>3.1284694686756542</v>
      </c>
      <c r="M647" s="3">
        <f t="shared" si="79"/>
        <v>3.125290580972619</v>
      </c>
      <c r="N647" s="3">
        <f t="shared" si="83"/>
        <v>3.1311331548666614</v>
      </c>
      <c r="O647" s="3">
        <f t="shared" si="84"/>
        <v>3.0826981962309081</v>
      </c>
      <c r="P647" s="3">
        <f t="shared" si="78"/>
        <v>3.0280315047461372</v>
      </c>
      <c r="Q647" s="4" t="str">
        <f t="shared" si="82"/>
        <v>UNDER</v>
      </c>
      <c r="R647" s="4" t="str">
        <f t="shared" si="82"/>
        <v>UNDER</v>
      </c>
      <c r="S647" s="4" t="str">
        <f t="shared" si="80"/>
        <v>OVER</v>
      </c>
      <c r="T647" s="4" t="str">
        <f t="shared" si="80"/>
        <v>OVER</v>
      </c>
      <c r="U647" s="2">
        <f>IF(Q647="OVER",$J647,$K647)</f>
        <v>-238.53981541694145</v>
      </c>
      <c r="V647" s="2">
        <f>IF(R647="OVER",$J647,$K647)</f>
        <v>-238.53981541694145</v>
      </c>
      <c r="W647" s="2">
        <f>IF(S647="OVER",$J647,$K647)</f>
        <v>238.53981541694145</v>
      </c>
      <c r="X647" s="2">
        <f>IF(T647="OVER",$J647,$K647)</f>
        <v>238.53981541694145</v>
      </c>
      <c r="Y647" s="9">
        <f t="shared" si="81"/>
        <v>-6717.9093600307051</v>
      </c>
      <c r="Z647" s="9">
        <f t="shared" si="81"/>
        <v>9429.679183060136</v>
      </c>
      <c r="AA647" s="9">
        <f t="shared" si="81"/>
        <v>35571.494443325442</v>
      </c>
      <c r="AB647" s="9">
        <f t="shared" si="81"/>
        <v>14951.965470694628</v>
      </c>
    </row>
    <row r="648" spans="1:28" x14ac:dyDescent="0.3">
      <c r="A648" s="1">
        <v>45355</v>
      </c>
      <c r="B648" s="2">
        <v>164.23</v>
      </c>
      <c r="C648" s="2">
        <v>512.29999999999995</v>
      </c>
      <c r="D648" s="9">
        <f>B648-B647</f>
        <v>0.29999999999998295</v>
      </c>
      <c r="E648" s="9">
        <f>C648-C647</f>
        <v>-0.55000000000006821</v>
      </c>
      <c r="F648" s="3">
        <f>F$1/B648</f>
        <v>608.90214942458749</v>
      </c>
      <c r="G648" s="3">
        <f>F$1/C648</f>
        <v>195.19812609798947</v>
      </c>
      <c r="H648" s="2">
        <f>D648*F647</f>
        <v>183.00494113340019</v>
      </c>
      <c r="I648" s="2">
        <f>E648*G647</f>
        <v>-107.24383347958822</v>
      </c>
      <c r="J648" s="2">
        <f>I648-H648</f>
        <v>-290.24877461298843</v>
      </c>
      <c r="K648" s="2">
        <f t="shared" si="85"/>
        <v>290.24877461298843</v>
      </c>
      <c r="L648" s="3">
        <f>C648/B648</f>
        <v>3.1194057115021616</v>
      </c>
      <c r="M648" s="3">
        <f t="shared" si="79"/>
        <v>3.1250959274774561</v>
      </c>
      <c r="N648" s="3">
        <f t="shared" si="83"/>
        <v>3.1308020619164121</v>
      </c>
      <c r="O648" s="3">
        <f t="shared" si="84"/>
        <v>3.0846664097102199</v>
      </c>
      <c r="P648" s="3">
        <f t="shared" si="78"/>
        <v>3.0290091191492765</v>
      </c>
      <c r="Q648" s="4" t="str">
        <f t="shared" si="82"/>
        <v>OVER</v>
      </c>
      <c r="R648" s="4" t="str">
        <f t="shared" si="82"/>
        <v>UNDER</v>
      </c>
      <c r="S648" s="4" t="str">
        <f t="shared" si="80"/>
        <v>OVER</v>
      </c>
      <c r="T648" s="4" t="str">
        <f t="shared" si="80"/>
        <v>OVER</v>
      </c>
      <c r="U648" s="2">
        <f>IF(Q648="OVER",$J648,$K648)</f>
        <v>-290.24877461298843</v>
      </c>
      <c r="V648" s="2">
        <f>IF(R648="OVER",$J648,$K648)</f>
        <v>290.24877461298843</v>
      </c>
      <c r="W648" s="2">
        <f>IF(S648="OVER",$J648,$K648)</f>
        <v>-290.24877461298843</v>
      </c>
      <c r="X648" s="2">
        <f>IF(T648="OVER",$J648,$K648)</f>
        <v>-290.24877461298843</v>
      </c>
      <c r="Y648" s="9">
        <f t="shared" si="81"/>
        <v>-7008.1581346436933</v>
      </c>
      <c r="Z648" s="9">
        <f t="shared" si="81"/>
        <v>9719.9279576731242</v>
      </c>
      <c r="AA648" s="9">
        <f t="shared" si="81"/>
        <v>35281.24566871245</v>
      </c>
      <c r="AB648" s="9">
        <f t="shared" si="81"/>
        <v>14661.716696081639</v>
      </c>
    </row>
    <row r="649" spans="1:28" x14ac:dyDescent="0.3">
      <c r="A649" s="1">
        <v>45356</v>
      </c>
      <c r="B649" s="2">
        <v>163.47999999999999</v>
      </c>
      <c r="C649" s="2">
        <v>507.18</v>
      </c>
      <c r="D649" s="9">
        <f>B649-B648</f>
        <v>-0.75</v>
      </c>
      <c r="E649" s="9">
        <f>C649-C648</f>
        <v>-5.1199999999999477</v>
      </c>
      <c r="F649" s="3">
        <f>F$1/B649</f>
        <v>611.69562025935898</v>
      </c>
      <c r="G649" s="3">
        <f>F$1/C649</f>
        <v>197.16865807011317</v>
      </c>
      <c r="H649" s="2">
        <f>D649*F648</f>
        <v>-456.67661206844059</v>
      </c>
      <c r="I649" s="2">
        <f>E649*G648</f>
        <v>-999.41440562169589</v>
      </c>
      <c r="J649" s="2">
        <f>I649-H649</f>
        <v>-542.7377935532553</v>
      </c>
      <c r="K649" s="2">
        <f t="shared" si="85"/>
        <v>542.7377935532553</v>
      </c>
      <c r="L649" s="3">
        <f>C649/B649</f>
        <v>3.1023978468314168</v>
      </c>
      <c r="M649" s="3">
        <f t="shared" si="79"/>
        <v>3.1241995478113553</v>
      </c>
      <c r="N649" s="3">
        <f t="shared" si="83"/>
        <v>3.1288387803837643</v>
      </c>
      <c r="O649" s="3">
        <f t="shared" si="84"/>
        <v>3.0861295561927147</v>
      </c>
      <c r="P649" s="3">
        <f t="shared" si="78"/>
        <v>3.0299095945541699</v>
      </c>
      <c r="Q649" s="4" t="str">
        <f t="shared" si="82"/>
        <v>UNDER</v>
      </c>
      <c r="R649" s="4" t="str">
        <f t="shared" si="82"/>
        <v>UNDER</v>
      </c>
      <c r="S649" s="4" t="str">
        <f t="shared" si="80"/>
        <v>OVER</v>
      </c>
      <c r="T649" s="4" t="str">
        <f t="shared" si="80"/>
        <v>OVER</v>
      </c>
      <c r="U649" s="2">
        <f>IF(Q649="OVER",$J649,$K649)</f>
        <v>542.7377935532553</v>
      </c>
      <c r="V649" s="2">
        <f>IF(R649="OVER",$J649,$K649)</f>
        <v>542.7377935532553</v>
      </c>
      <c r="W649" s="2">
        <f>IF(S649="OVER",$J649,$K649)</f>
        <v>-542.7377935532553</v>
      </c>
      <c r="X649" s="2">
        <f>IF(T649="OVER",$J649,$K649)</f>
        <v>-542.7377935532553</v>
      </c>
      <c r="Y649" s="9">
        <f t="shared" si="81"/>
        <v>-6465.4203410904383</v>
      </c>
      <c r="Z649" s="9">
        <f t="shared" si="81"/>
        <v>10262.665751226379</v>
      </c>
      <c r="AA649" s="9">
        <f t="shared" si="81"/>
        <v>34738.507875159194</v>
      </c>
      <c r="AB649" s="9">
        <f t="shared" si="81"/>
        <v>14118.978902528384</v>
      </c>
    </row>
    <row r="650" spans="1:28" x14ac:dyDescent="0.3">
      <c r="A650" s="1">
        <v>45357</v>
      </c>
      <c r="B650" s="2">
        <v>164.41</v>
      </c>
      <c r="C650" s="2">
        <v>509.75</v>
      </c>
      <c r="D650" s="9">
        <f>B650-B649</f>
        <v>0.93000000000000682</v>
      </c>
      <c r="E650" s="9">
        <f>C650-C649</f>
        <v>2.5699999999999932</v>
      </c>
      <c r="F650" s="3">
        <f>F$1/B650</f>
        <v>608.23550878900312</v>
      </c>
      <c r="G650" s="3">
        <f>F$1/C650</f>
        <v>196.17459538989701</v>
      </c>
      <c r="H650" s="2">
        <f>D650*F649</f>
        <v>568.87692684120805</v>
      </c>
      <c r="I650" s="2">
        <f>E650*G649</f>
        <v>506.72345124018949</v>
      </c>
      <c r="J650" s="2">
        <f>I650-H650</f>
        <v>-62.153475601018556</v>
      </c>
      <c r="K650" s="2">
        <f t="shared" si="85"/>
        <v>62.153475601018556</v>
      </c>
      <c r="L650" s="3">
        <f>C650/B650</f>
        <v>3.1004805060519436</v>
      </c>
      <c r="M650" s="3">
        <f t="shared" si="79"/>
        <v>3.1234524990291268</v>
      </c>
      <c r="N650" s="3">
        <f t="shared" si="83"/>
        <v>3.1273121306530856</v>
      </c>
      <c r="O650" s="3">
        <f t="shared" si="84"/>
        <v>3.0877224996470871</v>
      </c>
      <c r="P650" s="3">
        <f t="shared" si="78"/>
        <v>3.0307781657523991</v>
      </c>
      <c r="Q650" s="4" t="str">
        <f t="shared" si="82"/>
        <v>UNDER</v>
      </c>
      <c r="R650" s="4" t="str">
        <f t="shared" si="82"/>
        <v>UNDER</v>
      </c>
      <c r="S650" s="4" t="str">
        <f t="shared" si="80"/>
        <v>OVER</v>
      </c>
      <c r="T650" s="4" t="str">
        <f t="shared" si="80"/>
        <v>OVER</v>
      </c>
      <c r="U650" s="2">
        <f>IF(Q650="OVER",$J650,$K650)</f>
        <v>62.153475601018556</v>
      </c>
      <c r="V650" s="2">
        <f>IF(R650="OVER",$J650,$K650)</f>
        <v>62.153475601018556</v>
      </c>
      <c r="W650" s="2">
        <f>IF(S650="OVER",$J650,$K650)</f>
        <v>-62.153475601018556</v>
      </c>
      <c r="X650" s="2">
        <f>IF(T650="OVER",$J650,$K650)</f>
        <v>-62.153475601018556</v>
      </c>
      <c r="Y650" s="9">
        <f t="shared" si="81"/>
        <v>-6403.2668654894196</v>
      </c>
      <c r="Z650" s="9">
        <f t="shared" si="81"/>
        <v>10324.819226827398</v>
      </c>
      <c r="AA650" s="9">
        <f t="shared" si="81"/>
        <v>34676.354399558179</v>
      </c>
      <c r="AB650" s="9">
        <f t="shared" si="81"/>
        <v>14056.825426927366</v>
      </c>
    </row>
    <row r="651" spans="1:28" x14ac:dyDescent="0.3">
      <c r="A651" s="1">
        <v>45358</v>
      </c>
      <c r="B651" s="2">
        <v>165.7</v>
      </c>
      <c r="C651" s="2">
        <v>514.80999999999995</v>
      </c>
      <c r="D651" s="9">
        <f>B651-B650</f>
        <v>1.289999999999992</v>
      </c>
      <c r="E651" s="9">
        <f>C651-C650</f>
        <v>5.0599999999999454</v>
      </c>
      <c r="F651" s="3">
        <f>F$1/B651</f>
        <v>603.50030175015092</v>
      </c>
      <c r="G651" s="3">
        <f>F$1/C651</f>
        <v>194.24642100969291</v>
      </c>
      <c r="H651" s="2">
        <f>D651*F650</f>
        <v>784.62380633780913</v>
      </c>
      <c r="I651" s="2">
        <f>E651*G650</f>
        <v>992.64345267286819</v>
      </c>
      <c r="J651" s="2">
        <f>I651-H651</f>
        <v>208.01964633505906</v>
      </c>
      <c r="K651" s="2">
        <f t="shared" si="85"/>
        <v>-208.01964633505906</v>
      </c>
      <c r="L651" s="3">
        <f>C651/B651</f>
        <v>3.1068799034399515</v>
      </c>
      <c r="M651" s="3">
        <f t="shared" si="79"/>
        <v>3.1200351480350021</v>
      </c>
      <c r="N651" s="3">
        <f t="shared" si="83"/>
        <v>3.1254176638009654</v>
      </c>
      <c r="O651" s="3">
        <f t="shared" si="84"/>
        <v>3.0895263610112176</v>
      </c>
      <c r="P651" s="3">
        <f t="shared" ref="P651:P714" si="86">AVERAGE(L452:L651)</f>
        <v>3.0316611582977386</v>
      </c>
      <c r="Q651" s="4" t="str">
        <f t="shared" si="82"/>
        <v>UNDER</v>
      </c>
      <c r="R651" s="4" t="str">
        <f t="shared" si="82"/>
        <v>UNDER</v>
      </c>
      <c r="S651" s="4" t="str">
        <f t="shared" si="80"/>
        <v>OVER</v>
      </c>
      <c r="T651" s="4" t="str">
        <f t="shared" si="80"/>
        <v>OVER</v>
      </c>
      <c r="U651" s="2">
        <f>IF(Q651="OVER",$J651,$K651)</f>
        <v>-208.01964633505906</v>
      </c>
      <c r="V651" s="2">
        <f>IF(R651="OVER",$J651,$K651)</f>
        <v>-208.01964633505906</v>
      </c>
      <c r="W651" s="2">
        <f>IF(S651="OVER",$J651,$K651)</f>
        <v>208.01964633505906</v>
      </c>
      <c r="X651" s="2">
        <f>IF(T651="OVER",$J651,$K651)</f>
        <v>208.01964633505906</v>
      </c>
      <c r="Y651" s="9">
        <f t="shared" si="81"/>
        <v>-6611.286511824479</v>
      </c>
      <c r="Z651" s="9">
        <f t="shared" si="81"/>
        <v>10116.799580492339</v>
      </c>
      <c r="AA651" s="9">
        <f t="shared" si="81"/>
        <v>34884.374045893237</v>
      </c>
      <c r="AB651" s="9">
        <f t="shared" si="81"/>
        <v>14264.845073262424</v>
      </c>
    </row>
    <row r="652" spans="1:28" x14ac:dyDescent="0.3">
      <c r="A652" s="1">
        <v>45359</v>
      </c>
      <c r="B652" s="2">
        <v>165.51</v>
      </c>
      <c r="C652" s="2">
        <v>511.72</v>
      </c>
      <c r="D652" s="9">
        <f>B652-B651</f>
        <v>-0.18999999999999773</v>
      </c>
      <c r="E652" s="9">
        <f>C652-C651</f>
        <v>-3.0899999999999181</v>
      </c>
      <c r="F652" s="3">
        <f>F$1/B652</f>
        <v>604.19310011479672</v>
      </c>
      <c r="G652" s="3">
        <f>F$1/C652</f>
        <v>195.41936996795121</v>
      </c>
      <c r="H652" s="2">
        <f>D652*F651</f>
        <v>-114.6650573325273</v>
      </c>
      <c r="I652" s="2">
        <f>E652*G651</f>
        <v>-600.22144091993516</v>
      </c>
      <c r="J652" s="2">
        <f>I652-H652</f>
        <v>-485.55638358740788</v>
      </c>
      <c r="K652" s="2">
        <f t="shared" si="85"/>
        <v>485.55638358740788</v>
      </c>
      <c r="L652" s="3">
        <f>C652/B652</f>
        <v>3.0917769319074377</v>
      </c>
      <c r="M652" s="3">
        <f t="shared" si="79"/>
        <v>3.1157251869047586</v>
      </c>
      <c r="N652" s="3">
        <f t="shared" si="83"/>
        <v>3.1230454419825788</v>
      </c>
      <c r="O652" s="3">
        <f t="shared" si="84"/>
        <v>3.0911187231564274</v>
      </c>
      <c r="P652" s="3">
        <f t="shared" si="86"/>
        <v>3.0324852232759785</v>
      </c>
      <c r="Q652" s="4" t="str">
        <f t="shared" si="82"/>
        <v>UNDER</v>
      </c>
      <c r="R652" s="4" t="str">
        <f t="shared" si="82"/>
        <v>UNDER</v>
      </c>
      <c r="S652" s="4" t="str">
        <f t="shared" si="80"/>
        <v>OVER</v>
      </c>
      <c r="T652" s="4" t="str">
        <f t="shared" si="80"/>
        <v>OVER</v>
      </c>
      <c r="U652" s="2">
        <f>IF(Q652="OVER",$J652,$K652)</f>
        <v>485.55638358740788</v>
      </c>
      <c r="V652" s="2">
        <f>IF(R652="OVER",$J652,$K652)</f>
        <v>485.55638358740788</v>
      </c>
      <c r="W652" s="2">
        <f>IF(S652="OVER",$J652,$K652)</f>
        <v>-485.55638358740788</v>
      </c>
      <c r="X652" s="2">
        <f>IF(T652="OVER",$J652,$K652)</f>
        <v>-485.55638358740788</v>
      </c>
      <c r="Y652" s="9">
        <f t="shared" si="81"/>
        <v>-6125.7301282370709</v>
      </c>
      <c r="Z652" s="9">
        <f t="shared" si="81"/>
        <v>10602.355964079747</v>
      </c>
      <c r="AA652" s="9">
        <f t="shared" si="81"/>
        <v>34398.817662305832</v>
      </c>
      <c r="AB652" s="9">
        <f t="shared" ref="AB652:AB715" si="87">AB651+X652</f>
        <v>13779.288689675017</v>
      </c>
    </row>
    <row r="653" spans="1:28" x14ac:dyDescent="0.3">
      <c r="A653" s="1">
        <v>45362</v>
      </c>
      <c r="B653" s="2">
        <v>165.72</v>
      </c>
      <c r="C653" s="2">
        <v>511.28</v>
      </c>
      <c r="D653" s="9">
        <f>B653-B652</f>
        <v>0.21000000000000796</v>
      </c>
      <c r="E653" s="9">
        <f>C653-C652</f>
        <v>-0.44000000000005457</v>
      </c>
      <c r="F653" s="3">
        <f>F$1/B653</f>
        <v>603.42746801834414</v>
      </c>
      <c r="G653" s="3">
        <f>F$1/C653</f>
        <v>195.58754498513537</v>
      </c>
      <c r="H653" s="2">
        <f>D653*F652</f>
        <v>126.88055102411212</v>
      </c>
      <c r="I653" s="2">
        <f>E653*G652</f>
        <v>-85.984522785909192</v>
      </c>
      <c r="J653" s="2">
        <f>I653-H653</f>
        <v>-212.86507381002133</v>
      </c>
      <c r="K653" s="2">
        <f t="shared" si="85"/>
        <v>212.86507381002133</v>
      </c>
      <c r="L653" s="3">
        <f>C653/B653</f>
        <v>3.0852039584841902</v>
      </c>
      <c r="M653" s="3">
        <f t="shared" ref="M653:M716" si="88">AVERAGE(L644:L653)</f>
        <v>3.1106478139276428</v>
      </c>
      <c r="N653" s="3">
        <f t="shared" si="83"/>
        <v>3.1196261583740386</v>
      </c>
      <c r="O653" s="3">
        <f t="shared" si="84"/>
        <v>3.0925279775760162</v>
      </c>
      <c r="P653" s="3">
        <f t="shared" si="86"/>
        <v>3.0332842561379865</v>
      </c>
      <c r="Q653" s="4" t="str">
        <f t="shared" si="82"/>
        <v>UNDER</v>
      </c>
      <c r="R653" s="4" t="str">
        <f t="shared" si="82"/>
        <v>UNDER</v>
      </c>
      <c r="S653" s="4" t="str">
        <f t="shared" ref="S653:T716" si="89">IF($L653&gt;O653,"OVER","UNDER")</f>
        <v>UNDER</v>
      </c>
      <c r="T653" s="4" t="str">
        <f t="shared" si="89"/>
        <v>OVER</v>
      </c>
      <c r="U653" s="2">
        <f>IF(Q653="OVER",$J653,$K653)</f>
        <v>212.86507381002133</v>
      </c>
      <c r="V653" s="2">
        <f>IF(R653="OVER",$J653,$K653)</f>
        <v>212.86507381002133</v>
      </c>
      <c r="W653" s="2">
        <f>IF(S653="OVER",$J653,$K653)</f>
        <v>212.86507381002133</v>
      </c>
      <c r="X653" s="2">
        <f>IF(T653="OVER",$J653,$K653)</f>
        <v>-212.86507381002133</v>
      </c>
      <c r="Y653" s="9">
        <f t="shared" ref="Y653:AB716" si="90">Y652+U653</f>
        <v>-5912.8650544270495</v>
      </c>
      <c r="Z653" s="9">
        <f t="shared" si="90"/>
        <v>10815.221037889767</v>
      </c>
      <c r="AA653" s="9">
        <f t="shared" si="90"/>
        <v>34611.68273611585</v>
      </c>
      <c r="AB653" s="9">
        <f t="shared" si="87"/>
        <v>13566.423615864996</v>
      </c>
    </row>
    <row r="654" spans="1:28" x14ac:dyDescent="0.3">
      <c r="A654" s="1">
        <v>45363</v>
      </c>
      <c r="B654" s="2">
        <v>166.15</v>
      </c>
      <c r="C654" s="2">
        <v>516.78</v>
      </c>
      <c r="D654" s="9">
        <f>B654-B653</f>
        <v>0.43000000000000682</v>
      </c>
      <c r="E654" s="9">
        <f>C654-C653</f>
        <v>5.5</v>
      </c>
      <c r="F654" s="3">
        <f>F$1/B654</f>
        <v>601.86578393018351</v>
      </c>
      <c r="G654" s="3">
        <f>F$1/C654</f>
        <v>193.50594063237742</v>
      </c>
      <c r="H654" s="2">
        <f>D654*F653</f>
        <v>259.47381124789212</v>
      </c>
      <c r="I654" s="2">
        <f>E654*G653</f>
        <v>1075.7314974182445</v>
      </c>
      <c r="J654" s="2">
        <f>I654-H654</f>
        <v>816.25768617035237</v>
      </c>
      <c r="K654" s="2">
        <f t="shared" si="85"/>
        <v>-816.25768617035237</v>
      </c>
      <c r="L654" s="3">
        <f>C654/B654</f>
        <v>3.1103219981944026</v>
      </c>
      <c r="M654" s="3">
        <f t="shared" si="88"/>
        <v>3.1088761139568826</v>
      </c>
      <c r="N654" s="3">
        <f t="shared" si="83"/>
        <v>3.1185957924378735</v>
      </c>
      <c r="O654" s="3">
        <f t="shared" si="84"/>
        <v>3.0945500857426693</v>
      </c>
      <c r="P654" s="3">
        <f t="shared" si="86"/>
        <v>3.034155129038751</v>
      </c>
      <c r="Q654" s="4" t="str">
        <f t="shared" ref="Q654:R717" si="91">IF($L653&gt;M653,"OVER","UNDER")</f>
        <v>UNDER</v>
      </c>
      <c r="R654" s="4" t="str">
        <f t="shared" si="91"/>
        <v>UNDER</v>
      </c>
      <c r="S654" s="4" t="str">
        <f t="shared" si="89"/>
        <v>OVER</v>
      </c>
      <c r="T654" s="4" t="str">
        <f t="shared" si="89"/>
        <v>OVER</v>
      </c>
      <c r="U654" s="2">
        <f>IF(Q654="OVER",$J654,$K654)</f>
        <v>-816.25768617035237</v>
      </c>
      <c r="V654" s="2">
        <f>IF(R654="OVER",$J654,$K654)</f>
        <v>-816.25768617035237</v>
      </c>
      <c r="W654" s="2">
        <f>IF(S654="OVER",$J654,$K654)</f>
        <v>816.25768617035237</v>
      </c>
      <c r="X654" s="2">
        <f>IF(T654="OVER",$J654,$K654)</f>
        <v>816.25768617035237</v>
      </c>
      <c r="Y654" s="9">
        <f t="shared" si="90"/>
        <v>-6729.1227405974023</v>
      </c>
      <c r="Z654" s="9">
        <f t="shared" si="90"/>
        <v>9998.9633517194143</v>
      </c>
      <c r="AA654" s="9">
        <f t="shared" si="90"/>
        <v>35427.940422286199</v>
      </c>
      <c r="AB654" s="9">
        <f t="shared" si="87"/>
        <v>14382.681302035349</v>
      </c>
    </row>
    <row r="655" spans="1:28" x14ac:dyDescent="0.3">
      <c r="A655" s="1">
        <v>45364</v>
      </c>
      <c r="B655" s="2">
        <v>166.23</v>
      </c>
      <c r="C655" s="2">
        <v>515.97</v>
      </c>
      <c r="D655" s="9">
        <f>B655-B654</f>
        <v>7.9999999999984084E-2</v>
      </c>
      <c r="E655" s="9">
        <f>C655-C654</f>
        <v>-0.80999999999994543</v>
      </c>
      <c r="F655" s="3">
        <f>F$1/B655</f>
        <v>601.57612945918311</v>
      </c>
      <c r="G655" s="3">
        <f>F$1/C655</f>
        <v>193.80971761924141</v>
      </c>
      <c r="H655" s="2">
        <f>D655*F654</f>
        <v>48.149262714405104</v>
      </c>
      <c r="I655" s="2">
        <f>E655*G654</f>
        <v>-156.73981191221515</v>
      </c>
      <c r="J655" s="2">
        <f>I655-H655</f>
        <v>-204.88907462662024</v>
      </c>
      <c r="K655" s="2">
        <f t="shared" si="85"/>
        <v>204.88907462662024</v>
      </c>
      <c r="L655" s="3">
        <f>C655/B655</f>
        <v>3.1039523551705472</v>
      </c>
      <c r="M655" s="3">
        <f t="shared" si="88"/>
        <v>3.1069964913441566</v>
      </c>
      <c r="N655" s="3">
        <f t="shared" si="83"/>
        <v>3.1167930924334519</v>
      </c>
      <c r="O655" s="3">
        <f t="shared" si="84"/>
        <v>3.0963870542655978</v>
      </c>
      <c r="P655" s="3">
        <f t="shared" si="86"/>
        <v>3.0348574951599439</v>
      </c>
      <c r="Q655" s="4" t="str">
        <f t="shared" si="91"/>
        <v>OVER</v>
      </c>
      <c r="R655" s="4" t="str">
        <f t="shared" si="91"/>
        <v>UNDER</v>
      </c>
      <c r="S655" s="4" t="str">
        <f t="shared" si="89"/>
        <v>OVER</v>
      </c>
      <c r="T655" s="4" t="str">
        <f t="shared" si="89"/>
        <v>OVER</v>
      </c>
      <c r="U655" s="2">
        <f>IF(Q655="OVER",$J655,$K655)</f>
        <v>-204.88907462662024</v>
      </c>
      <c r="V655" s="2">
        <f>IF(R655="OVER",$J655,$K655)</f>
        <v>204.88907462662024</v>
      </c>
      <c r="W655" s="2">
        <f>IF(S655="OVER",$J655,$K655)</f>
        <v>-204.88907462662024</v>
      </c>
      <c r="X655" s="2">
        <f>IF(T655="OVER",$J655,$K655)</f>
        <v>-204.88907462662024</v>
      </c>
      <c r="Y655" s="9">
        <f t="shared" si="90"/>
        <v>-6934.0118152240229</v>
      </c>
      <c r="Z655" s="9">
        <f t="shared" si="90"/>
        <v>10203.852426346035</v>
      </c>
      <c r="AA655" s="9">
        <f t="shared" si="90"/>
        <v>35223.051347659581</v>
      </c>
      <c r="AB655" s="9">
        <f t="shared" si="87"/>
        <v>14177.792227408729</v>
      </c>
    </row>
    <row r="656" spans="1:28" x14ac:dyDescent="0.3">
      <c r="A656" s="1">
        <v>45365</v>
      </c>
      <c r="B656" s="2">
        <v>164.74</v>
      </c>
      <c r="C656" s="2">
        <v>514.95000000000005</v>
      </c>
      <c r="D656" s="9">
        <f>B656-B655</f>
        <v>-1.4899999999999807</v>
      </c>
      <c r="E656" s="9">
        <f>C656-C655</f>
        <v>-1.0199999999999818</v>
      </c>
      <c r="F656" s="3">
        <f>F$1/B656</f>
        <v>607.01711788272428</v>
      </c>
      <c r="G656" s="3">
        <f>F$1/C656</f>
        <v>194.19361103019708</v>
      </c>
      <c r="H656" s="2">
        <f>D656*F655</f>
        <v>-896.3484328941712</v>
      </c>
      <c r="I656" s="2">
        <f>E656*G655</f>
        <v>-197.68591197162272</v>
      </c>
      <c r="J656" s="2">
        <f>I656-H656</f>
        <v>698.66252092254854</v>
      </c>
      <c r="K656" s="2">
        <f t="shared" si="85"/>
        <v>-698.66252092254854</v>
      </c>
      <c r="L656" s="3">
        <f>C656/B656</f>
        <v>3.1258346485370887</v>
      </c>
      <c r="M656" s="3">
        <f t="shared" si="88"/>
        <v>3.10747233287948</v>
      </c>
      <c r="N656" s="3">
        <f t="shared" si="83"/>
        <v>3.1160944602277731</v>
      </c>
      <c r="O656" s="3">
        <f t="shared" si="84"/>
        <v>3.0990177795454947</v>
      </c>
      <c r="P656" s="3">
        <f t="shared" si="86"/>
        <v>3.035601843113807</v>
      </c>
      <c r="Q656" s="4" t="str">
        <f t="shared" si="91"/>
        <v>UNDER</v>
      </c>
      <c r="R656" s="4" t="str">
        <f t="shared" si="91"/>
        <v>UNDER</v>
      </c>
      <c r="S656" s="4" t="str">
        <f t="shared" si="89"/>
        <v>OVER</v>
      </c>
      <c r="T656" s="4" t="str">
        <f t="shared" si="89"/>
        <v>OVER</v>
      </c>
      <c r="U656" s="2">
        <f>IF(Q656="OVER",$J656,$K656)</f>
        <v>-698.66252092254854</v>
      </c>
      <c r="V656" s="2">
        <f>IF(R656="OVER",$J656,$K656)</f>
        <v>-698.66252092254854</v>
      </c>
      <c r="W656" s="2">
        <f>IF(S656="OVER",$J656,$K656)</f>
        <v>698.66252092254854</v>
      </c>
      <c r="X656" s="2">
        <f>IF(T656="OVER",$J656,$K656)</f>
        <v>698.66252092254854</v>
      </c>
      <c r="Y656" s="9">
        <f t="shared" si="90"/>
        <v>-7632.6743361465715</v>
      </c>
      <c r="Z656" s="9">
        <f t="shared" si="90"/>
        <v>9505.1899054234855</v>
      </c>
      <c r="AA656" s="9">
        <f t="shared" si="90"/>
        <v>35921.713868582126</v>
      </c>
      <c r="AB656" s="9">
        <f t="shared" si="87"/>
        <v>14876.454748331278</v>
      </c>
    </row>
    <row r="657" spans="1:28" x14ac:dyDescent="0.3">
      <c r="A657" s="1">
        <v>45366</v>
      </c>
      <c r="B657" s="2">
        <v>164.42</v>
      </c>
      <c r="C657" s="2">
        <v>509.83</v>
      </c>
      <c r="D657" s="9">
        <f>B657-B656</f>
        <v>-0.3200000000000216</v>
      </c>
      <c r="E657" s="9">
        <f>C657-C656</f>
        <v>-5.1200000000000614</v>
      </c>
      <c r="F657" s="3">
        <f>F$1/B657</f>
        <v>608.19851599562105</v>
      </c>
      <c r="G657" s="3">
        <f>F$1/C657</f>
        <v>196.14381264343018</v>
      </c>
      <c r="H657" s="2">
        <f>D657*F656</f>
        <v>-194.24547772248488</v>
      </c>
      <c r="I657" s="2">
        <f>E657*G656</f>
        <v>-994.27128847462097</v>
      </c>
      <c r="J657" s="2">
        <f>I657-H657</f>
        <v>-800.02581075213607</v>
      </c>
      <c r="K657" s="2">
        <f t="shared" si="85"/>
        <v>800.02581075213607</v>
      </c>
      <c r="L657" s="3">
        <f>C657/B657</f>
        <v>3.1007784941004743</v>
      </c>
      <c r="M657" s="3">
        <f t="shared" si="88"/>
        <v>3.1047032354219612</v>
      </c>
      <c r="N657" s="3">
        <f t="shared" si="83"/>
        <v>3.1149969081972904</v>
      </c>
      <c r="O657" s="3">
        <f t="shared" si="84"/>
        <v>3.1007465695921126</v>
      </c>
      <c r="P657" s="3">
        <f t="shared" si="86"/>
        <v>3.0361888085749369</v>
      </c>
      <c r="Q657" s="4" t="str">
        <f t="shared" si="91"/>
        <v>OVER</v>
      </c>
      <c r="R657" s="4" t="str">
        <f t="shared" si="91"/>
        <v>OVER</v>
      </c>
      <c r="S657" s="4" t="str">
        <f t="shared" si="89"/>
        <v>OVER</v>
      </c>
      <c r="T657" s="4" t="str">
        <f t="shared" si="89"/>
        <v>OVER</v>
      </c>
      <c r="U657" s="2">
        <f>IF(Q657="OVER",$J657,$K657)</f>
        <v>-800.02581075213607</v>
      </c>
      <c r="V657" s="2">
        <f>IF(R657="OVER",$J657,$K657)</f>
        <v>-800.02581075213607</v>
      </c>
      <c r="W657" s="2">
        <f>IF(S657="OVER",$J657,$K657)</f>
        <v>-800.02581075213607</v>
      </c>
      <c r="X657" s="2">
        <f>IF(T657="OVER",$J657,$K657)</f>
        <v>-800.02581075213607</v>
      </c>
      <c r="Y657" s="9">
        <f t="shared" si="90"/>
        <v>-8432.7001468987073</v>
      </c>
      <c r="Z657" s="9">
        <f t="shared" si="90"/>
        <v>8705.1640946713487</v>
      </c>
      <c r="AA657" s="9">
        <f t="shared" si="90"/>
        <v>35121.68805782999</v>
      </c>
      <c r="AB657" s="9">
        <f t="shared" si="87"/>
        <v>14076.428937579141</v>
      </c>
    </row>
    <row r="658" spans="1:28" x14ac:dyDescent="0.3">
      <c r="A658" s="1">
        <v>45369</v>
      </c>
      <c r="B658" s="2">
        <v>164.19</v>
      </c>
      <c r="C658" s="2">
        <v>512.86</v>
      </c>
      <c r="D658" s="9">
        <f>B658-B657</f>
        <v>-0.22999999999998977</v>
      </c>
      <c r="E658" s="9">
        <f>C658-C657</f>
        <v>3.0300000000000296</v>
      </c>
      <c r="F658" s="3">
        <f>F$1/B658</f>
        <v>609.05049028564474</v>
      </c>
      <c r="G658" s="3">
        <f>F$1/C658</f>
        <v>194.98498615606599</v>
      </c>
      <c r="H658" s="2">
        <f>D658*F657</f>
        <v>-139.88565867898663</v>
      </c>
      <c r="I658" s="2">
        <f>E658*G657</f>
        <v>594.31575230959925</v>
      </c>
      <c r="J658" s="2">
        <f>I658-H658</f>
        <v>734.20141098858585</v>
      </c>
      <c r="K658" s="2">
        <f t="shared" si="85"/>
        <v>-734.20141098858585</v>
      </c>
      <c r="L658" s="3">
        <f>C658/B658</f>
        <v>3.1235763444789573</v>
      </c>
      <c r="M658" s="3">
        <f t="shared" si="88"/>
        <v>3.1051202987196413</v>
      </c>
      <c r="N658" s="3">
        <f t="shared" si="83"/>
        <v>3.115108113098549</v>
      </c>
      <c r="O658" s="3">
        <f t="shared" si="84"/>
        <v>3.1030248722127238</v>
      </c>
      <c r="P658" s="3">
        <f t="shared" si="86"/>
        <v>3.0368417880696978</v>
      </c>
      <c r="Q658" s="4" t="str">
        <f t="shared" si="91"/>
        <v>UNDER</v>
      </c>
      <c r="R658" s="4" t="str">
        <f t="shared" si="91"/>
        <v>UNDER</v>
      </c>
      <c r="S658" s="4" t="str">
        <f t="shared" si="89"/>
        <v>OVER</v>
      </c>
      <c r="T658" s="4" t="str">
        <f t="shared" si="89"/>
        <v>OVER</v>
      </c>
      <c r="U658" s="2">
        <f>IF(Q658="OVER",$J658,$K658)</f>
        <v>-734.20141098858585</v>
      </c>
      <c r="V658" s="2">
        <f>IF(R658="OVER",$J658,$K658)</f>
        <v>-734.20141098858585</v>
      </c>
      <c r="W658" s="2">
        <f>IF(S658="OVER",$J658,$K658)</f>
        <v>734.20141098858585</v>
      </c>
      <c r="X658" s="2">
        <f>IF(T658="OVER",$J658,$K658)</f>
        <v>734.20141098858585</v>
      </c>
      <c r="Y658" s="9">
        <f t="shared" si="90"/>
        <v>-9166.9015578872932</v>
      </c>
      <c r="Z658" s="9">
        <f t="shared" si="90"/>
        <v>7970.9626836827629</v>
      </c>
      <c r="AA658" s="9">
        <f t="shared" si="90"/>
        <v>35855.889468818576</v>
      </c>
      <c r="AB658" s="9">
        <f t="shared" si="87"/>
        <v>14810.630348567727</v>
      </c>
    </row>
    <row r="659" spans="1:28" x14ac:dyDescent="0.3">
      <c r="A659" s="1">
        <v>45370</v>
      </c>
      <c r="B659" s="2">
        <v>165.17</v>
      </c>
      <c r="C659" s="2">
        <v>515.71</v>
      </c>
      <c r="D659" s="9">
        <f>B659-B658</f>
        <v>0.97999999999998977</v>
      </c>
      <c r="E659" s="9">
        <f>C659-C658</f>
        <v>2.8500000000000227</v>
      </c>
      <c r="F659" s="3">
        <f>F$1/B659</f>
        <v>605.43682266755468</v>
      </c>
      <c r="G659" s="3">
        <f>F$1/C659</f>
        <v>193.9074285935894</v>
      </c>
      <c r="H659" s="2">
        <f>D659*F658</f>
        <v>596.86948047992564</v>
      </c>
      <c r="I659" s="2">
        <f>E659*G658</f>
        <v>555.70721054479247</v>
      </c>
      <c r="J659" s="2">
        <f>I659-H659</f>
        <v>-41.162269935133168</v>
      </c>
      <c r="K659" s="2">
        <f t="shared" si="85"/>
        <v>41.162269935133168</v>
      </c>
      <c r="L659" s="3">
        <f>C659/B659</f>
        <v>3.1222982381788467</v>
      </c>
      <c r="M659" s="3">
        <f t="shared" si="88"/>
        <v>3.1071103378543841</v>
      </c>
      <c r="N659" s="3">
        <f t="shared" si="83"/>
        <v>3.1156549428328697</v>
      </c>
      <c r="O659" s="3">
        <f t="shared" si="84"/>
        <v>3.1053693662936208</v>
      </c>
      <c r="P659" s="3">
        <f t="shared" si="86"/>
        <v>3.0374589667339311</v>
      </c>
      <c r="Q659" s="4" t="str">
        <f t="shared" si="91"/>
        <v>OVER</v>
      </c>
      <c r="R659" s="4" t="str">
        <f t="shared" si="91"/>
        <v>OVER</v>
      </c>
      <c r="S659" s="4" t="str">
        <f t="shared" si="89"/>
        <v>OVER</v>
      </c>
      <c r="T659" s="4" t="str">
        <f t="shared" si="89"/>
        <v>OVER</v>
      </c>
      <c r="U659" s="2">
        <f>IF(Q659="OVER",$J659,$K659)</f>
        <v>-41.162269935133168</v>
      </c>
      <c r="V659" s="2">
        <f>IF(R659="OVER",$J659,$K659)</f>
        <v>-41.162269935133168</v>
      </c>
      <c r="W659" s="2">
        <f>IF(S659="OVER",$J659,$K659)</f>
        <v>-41.162269935133168</v>
      </c>
      <c r="X659" s="2">
        <f>IF(T659="OVER",$J659,$K659)</f>
        <v>-41.162269935133168</v>
      </c>
      <c r="Y659" s="9">
        <f t="shared" si="90"/>
        <v>-9208.0638278224269</v>
      </c>
      <c r="Z659" s="9">
        <f t="shared" si="90"/>
        <v>7929.80041374763</v>
      </c>
      <c r="AA659" s="9">
        <f t="shared" si="90"/>
        <v>35814.72719888344</v>
      </c>
      <c r="AB659" s="9">
        <f t="shared" si="87"/>
        <v>14769.468078632593</v>
      </c>
    </row>
    <row r="660" spans="1:28" x14ac:dyDescent="0.3">
      <c r="A660" s="1">
        <v>45371</v>
      </c>
      <c r="B660" s="2">
        <v>166.58</v>
      </c>
      <c r="C660" s="2">
        <v>520.48</v>
      </c>
      <c r="D660" s="9">
        <f>B660-B659</f>
        <v>1.410000000000025</v>
      </c>
      <c r="E660" s="9">
        <f>C660-C659</f>
        <v>4.7699999999999818</v>
      </c>
      <c r="F660" s="3">
        <f>F$1/B660</f>
        <v>600.31216232440863</v>
      </c>
      <c r="G660" s="3">
        <f>F$1/C660</f>
        <v>192.130341223486</v>
      </c>
      <c r="H660" s="2">
        <f>D660*F659</f>
        <v>853.66591996126726</v>
      </c>
      <c r="I660" s="2">
        <f>E660*G659</f>
        <v>924.9384343914179</v>
      </c>
      <c r="J660" s="2">
        <f>I660-H660</f>
        <v>71.272514430150636</v>
      </c>
      <c r="K660" s="2">
        <f t="shared" si="85"/>
        <v>-71.272514430150636</v>
      </c>
      <c r="L660" s="3">
        <f>C660/B660</f>
        <v>3.1245047424660823</v>
      </c>
      <c r="M660" s="3">
        <f t="shared" si="88"/>
        <v>3.109512761495798</v>
      </c>
      <c r="N660" s="3">
        <f t="shared" si="83"/>
        <v>3.1164826302624622</v>
      </c>
      <c r="O660" s="3">
        <f t="shared" si="84"/>
        <v>3.1075468420045507</v>
      </c>
      <c r="P660" s="3">
        <f t="shared" si="86"/>
        <v>3.0381952454034735</v>
      </c>
      <c r="Q660" s="4" t="str">
        <f t="shared" si="91"/>
        <v>OVER</v>
      </c>
      <c r="R660" s="4" t="str">
        <f t="shared" si="91"/>
        <v>OVER</v>
      </c>
      <c r="S660" s="4" t="str">
        <f t="shared" si="89"/>
        <v>OVER</v>
      </c>
      <c r="T660" s="4" t="str">
        <f t="shared" si="89"/>
        <v>OVER</v>
      </c>
      <c r="U660" s="2">
        <f>IF(Q660="OVER",$J660,$K660)</f>
        <v>71.272514430150636</v>
      </c>
      <c r="V660" s="2">
        <f>IF(R660="OVER",$J660,$K660)</f>
        <v>71.272514430150636</v>
      </c>
      <c r="W660" s="2">
        <f>IF(S660="OVER",$J660,$K660)</f>
        <v>71.272514430150636</v>
      </c>
      <c r="X660" s="2">
        <f>IF(T660="OVER",$J660,$K660)</f>
        <v>71.272514430150636</v>
      </c>
      <c r="Y660" s="9">
        <f t="shared" si="90"/>
        <v>-9136.7913133922757</v>
      </c>
      <c r="Z660" s="9">
        <f t="shared" si="90"/>
        <v>8001.0729281777803</v>
      </c>
      <c r="AA660" s="9">
        <f t="shared" si="90"/>
        <v>35885.999713313591</v>
      </c>
      <c r="AB660" s="9">
        <f t="shared" si="87"/>
        <v>14840.740593062745</v>
      </c>
    </row>
    <row r="661" spans="1:28" x14ac:dyDescent="0.3">
      <c r="A661" s="1">
        <v>45372</v>
      </c>
      <c r="B661" s="2">
        <v>167.72</v>
      </c>
      <c r="C661" s="2">
        <v>522.20000000000005</v>
      </c>
      <c r="D661" s="9">
        <f>B661-B660</f>
        <v>1.1399999999999864</v>
      </c>
      <c r="E661" s="9">
        <f>C661-C660</f>
        <v>1.7200000000000273</v>
      </c>
      <c r="F661" s="3">
        <f>F$1/B661</f>
        <v>596.23181492964466</v>
      </c>
      <c r="G661" s="3">
        <f>F$1/C661</f>
        <v>191.49751053236307</v>
      </c>
      <c r="H661" s="2">
        <f>D661*F660</f>
        <v>684.35586504981768</v>
      </c>
      <c r="I661" s="2">
        <f>E661*G660</f>
        <v>330.46418690440117</v>
      </c>
      <c r="J661" s="2">
        <f>I661-H661</f>
        <v>-353.89167814541651</v>
      </c>
      <c r="K661" s="2">
        <f t="shared" si="85"/>
        <v>353.89167814541651</v>
      </c>
      <c r="L661" s="3">
        <f>C661/B661</f>
        <v>3.1135225375626048</v>
      </c>
      <c r="M661" s="3">
        <f t="shared" si="88"/>
        <v>3.1101770249080634</v>
      </c>
      <c r="N661" s="3">
        <f t="shared" si="83"/>
        <v>3.1151060864715325</v>
      </c>
      <c r="O661" s="3">
        <f t="shared" si="84"/>
        <v>3.109288489588093</v>
      </c>
      <c r="P661" s="3">
        <f t="shared" si="86"/>
        <v>3.0388543129921528</v>
      </c>
      <c r="Q661" s="4" t="str">
        <f t="shared" si="91"/>
        <v>OVER</v>
      </c>
      <c r="R661" s="4" t="str">
        <f t="shared" si="91"/>
        <v>OVER</v>
      </c>
      <c r="S661" s="4" t="str">
        <f t="shared" si="89"/>
        <v>OVER</v>
      </c>
      <c r="T661" s="4" t="str">
        <f t="shared" si="89"/>
        <v>OVER</v>
      </c>
      <c r="U661" s="2">
        <f>IF(Q661="OVER",$J661,$K661)</f>
        <v>-353.89167814541651</v>
      </c>
      <c r="V661" s="2">
        <f>IF(R661="OVER",$J661,$K661)</f>
        <v>-353.89167814541651</v>
      </c>
      <c r="W661" s="2">
        <f>IF(S661="OVER",$J661,$K661)</f>
        <v>-353.89167814541651</v>
      </c>
      <c r="X661" s="2">
        <f>IF(T661="OVER",$J661,$K661)</f>
        <v>-353.89167814541651</v>
      </c>
      <c r="Y661" s="9">
        <f t="shared" si="90"/>
        <v>-9490.6829915376929</v>
      </c>
      <c r="Z661" s="9">
        <f t="shared" si="90"/>
        <v>7647.181250032364</v>
      </c>
      <c r="AA661" s="9">
        <f t="shared" si="90"/>
        <v>35532.108035168174</v>
      </c>
      <c r="AB661" s="9">
        <f t="shared" si="87"/>
        <v>14486.848914917327</v>
      </c>
    </row>
    <row r="662" spans="1:28" x14ac:dyDescent="0.3">
      <c r="A662" s="1">
        <v>45373</v>
      </c>
      <c r="B662" s="2">
        <v>166.64</v>
      </c>
      <c r="C662" s="2">
        <v>521.21</v>
      </c>
      <c r="D662" s="9">
        <f>B662-B661</f>
        <v>-1.0800000000000125</v>
      </c>
      <c r="E662" s="9">
        <f>C662-C661</f>
        <v>-0.99000000000000909</v>
      </c>
      <c r="F662" s="3">
        <f>F$1/B662</f>
        <v>600.09601536245805</v>
      </c>
      <c r="G662" s="3">
        <f>F$1/C662</f>
        <v>191.86124594693118</v>
      </c>
      <c r="H662" s="2">
        <f>D662*F661</f>
        <v>-643.93036012402365</v>
      </c>
      <c r="I662" s="2">
        <f>E662*G661</f>
        <v>-189.58253542704117</v>
      </c>
      <c r="J662" s="2">
        <f>I662-H662</f>
        <v>454.34782469698246</v>
      </c>
      <c r="K662" s="2">
        <f t="shared" si="85"/>
        <v>-454.34782469698246</v>
      </c>
      <c r="L662" s="3">
        <f>C662/B662</f>
        <v>3.1277604416706679</v>
      </c>
      <c r="M662" s="3">
        <f t="shared" si="88"/>
        <v>3.1137753758843862</v>
      </c>
      <c r="N662" s="3">
        <f t="shared" si="83"/>
        <v>3.114750281394572</v>
      </c>
      <c r="O662" s="3">
        <f t="shared" si="84"/>
        <v>3.1110773611566032</v>
      </c>
      <c r="P662" s="3">
        <f t="shared" si="86"/>
        <v>3.0396526048336794</v>
      </c>
      <c r="Q662" s="4" t="str">
        <f t="shared" si="91"/>
        <v>OVER</v>
      </c>
      <c r="R662" s="4" t="str">
        <f t="shared" si="91"/>
        <v>UNDER</v>
      </c>
      <c r="S662" s="4" t="str">
        <f t="shared" si="89"/>
        <v>OVER</v>
      </c>
      <c r="T662" s="4" t="str">
        <f t="shared" si="89"/>
        <v>OVER</v>
      </c>
      <c r="U662" s="2">
        <f>IF(Q662="OVER",$J662,$K662)</f>
        <v>454.34782469698246</v>
      </c>
      <c r="V662" s="2">
        <f>IF(R662="OVER",$J662,$K662)</f>
        <v>-454.34782469698246</v>
      </c>
      <c r="W662" s="2">
        <f>IF(S662="OVER",$J662,$K662)</f>
        <v>454.34782469698246</v>
      </c>
      <c r="X662" s="2">
        <f>IF(T662="OVER",$J662,$K662)</f>
        <v>454.34782469698246</v>
      </c>
      <c r="Y662" s="9">
        <f t="shared" si="90"/>
        <v>-9036.3351668407104</v>
      </c>
      <c r="Z662" s="9">
        <f t="shared" si="90"/>
        <v>7192.8334253353814</v>
      </c>
      <c r="AA662" s="9">
        <f t="shared" si="90"/>
        <v>35986.455859865157</v>
      </c>
      <c r="AB662" s="9">
        <f t="shared" si="87"/>
        <v>14941.19673961431</v>
      </c>
    </row>
    <row r="663" spans="1:28" x14ac:dyDescent="0.3">
      <c r="A663" s="1">
        <v>45376</v>
      </c>
      <c r="B663" s="2">
        <v>166.28</v>
      </c>
      <c r="C663" s="2">
        <v>519.77</v>
      </c>
      <c r="D663" s="9">
        <f>B663-B662</f>
        <v>-0.35999999999998522</v>
      </c>
      <c r="E663" s="9">
        <f>C663-C662</f>
        <v>-1.4400000000000546</v>
      </c>
      <c r="F663" s="3">
        <f>F$1/B663</f>
        <v>601.39523694972331</v>
      </c>
      <c r="G663" s="3">
        <f>F$1/C663</f>
        <v>192.39278911826386</v>
      </c>
      <c r="H663" s="2">
        <f>D663*F662</f>
        <v>-216.03456553047602</v>
      </c>
      <c r="I663" s="2">
        <f>E663*G662</f>
        <v>-276.28019416359137</v>
      </c>
      <c r="J663" s="2">
        <f>I663-H663</f>
        <v>-60.245628633115359</v>
      </c>
      <c r="K663" s="2">
        <f t="shared" si="85"/>
        <v>60.245628633115359</v>
      </c>
      <c r="L663" s="3">
        <f>C663/B663</f>
        <v>3.125872023093577</v>
      </c>
      <c r="M663" s="3">
        <f t="shared" si="88"/>
        <v>3.1178421823453251</v>
      </c>
      <c r="N663" s="3">
        <f t="shared" ref="N663:N726" si="92">AVERAGE(L644:L663)</f>
        <v>3.1142449981364839</v>
      </c>
      <c r="O663" s="3">
        <f t="shared" si="84"/>
        <v>3.1126804793678353</v>
      </c>
      <c r="P663" s="3">
        <f t="shared" si="86"/>
        <v>3.0406006818211795</v>
      </c>
      <c r="Q663" s="4" t="str">
        <f t="shared" si="91"/>
        <v>OVER</v>
      </c>
      <c r="R663" s="4" t="str">
        <f t="shared" si="91"/>
        <v>OVER</v>
      </c>
      <c r="S663" s="4" t="str">
        <f t="shared" si="89"/>
        <v>OVER</v>
      </c>
      <c r="T663" s="4" t="str">
        <f t="shared" si="89"/>
        <v>OVER</v>
      </c>
      <c r="U663" s="2">
        <f>IF(Q663="OVER",$J663,$K663)</f>
        <v>-60.245628633115359</v>
      </c>
      <c r="V663" s="2">
        <f>IF(R663="OVER",$J663,$K663)</f>
        <v>-60.245628633115359</v>
      </c>
      <c r="W663" s="2">
        <f>IF(S663="OVER",$J663,$K663)</f>
        <v>-60.245628633115359</v>
      </c>
      <c r="X663" s="2">
        <f>IF(T663="OVER",$J663,$K663)</f>
        <v>-60.245628633115359</v>
      </c>
      <c r="Y663" s="9">
        <f t="shared" si="90"/>
        <v>-9096.5807954738266</v>
      </c>
      <c r="Z663" s="9">
        <f t="shared" si="90"/>
        <v>7132.5877967022661</v>
      </c>
      <c r="AA663" s="9">
        <f t="shared" si="90"/>
        <v>35926.210231232042</v>
      </c>
      <c r="AB663" s="9">
        <f t="shared" si="87"/>
        <v>14880.951110981194</v>
      </c>
    </row>
    <row r="664" spans="1:28" x14ac:dyDescent="0.3">
      <c r="A664" s="1">
        <v>45377</v>
      </c>
      <c r="B664" s="2">
        <v>166.12</v>
      </c>
      <c r="C664" s="2">
        <v>518.80999999999995</v>
      </c>
      <c r="D664" s="9">
        <f>B664-B663</f>
        <v>-0.15999999999999659</v>
      </c>
      <c r="E664" s="9">
        <f>C664-C663</f>
        <v>-0.96000000000003638</v>
      </c>
      <c r="F664" s="3">
        <f>F$1/B664</f>
        <v>601.97447628220561</v>
      </c>
      <c r="G664" s="3">
        <f>F$1/C664</f>
        <v>192.74879050133961</v>
      </c>
      <c r="H664" s="2">
        <f>D664*F663</f>
        <v>-96.223237911953674</v>
      </c>
      <c r="I664" s="2">
        <f>E664*G663</f>
        <v>-184.69707755354031</v>
      </c>
      <c r="J664" s="2">
        <f>I664-H664</f>
        <v>-88.473839641586636</v>
      </c>
      <c r="K664" s="2">
        <f t="shared" si="85"/>
        <v>88.473839641586636</v>
      </c>
      <c r="L664" s="3">
        <f>C664/B664</f>
        <v>3.1231037803997106</v>
      </c>
      <c r="M664" s="3">
        <f t="shared" si="88"/>
        <v>3.1191203605658555</v>
      </c>
      <c r="N664" s="3">
        <f t="shared" si="92"/>
        <v>3.1139982372613688</v>
      </c>
      <c r="O664" s="3">
        <f t="shared" si="84"/>
        <v>3.1140493156294662</v>
      </c>
      <c r="P664" s="3">
        <f t="shared" si="86"/>
        <v>3.0414522153106689</v>
      </c>
      <c r="Q664" s="4" t="str">
        <f t="shared" si="91"/>
        <v>OVER</v>
      </c>
      <c r="R664" s="4" t="str">
        <f t="shared" si="91"/>
        <v>OVER</v>
      </c>
      <c r="S664" s="4" t="str">
        <f t="shared" si="89"/>
        <v>OVER</v>
      </c>
      <c r="T664" s="4" t="str">
        <f t="shared" si="89"/>
        <v>OVER</v>
      </c>
      <c r="U664" s="2">
        <f>IF(Q664="OVER",$J664,$K664)</f>
        <v>-88.473839641586636</v>
      </c>
      <c r="V664" s="2">
        <f>IF(R664="OVER",$J664,$K664)</f>
        <v>-88.473839641586636</v>
      </c>
      <c r="W664" s="2">
        <f>IF(S664="OVER",$J664,$K664)</f>
        <v>-88.473839641586636</v>
      </c>
      <c r="X664" s="2">
        <f>IF(T664="OVER",$J664,$K664)</f>
        <v>-88.473839641586636</v>
      </c>
      <c r="Y664" s="9">
        <f t="shared" si="90"/>
        <v>-9185.0546351154135</v>
      </c>
      <c r="Z664" s="9">
        <f t="shared" si="90"/>
        <v>7044.1139570606792</v>
      </c>
      <c r="AA664" s="9">
        <f t="shared" si="90"/>
        <v>35837.736391590457</v>
      </c>
      <c r="AB664" s="9">
        <f t="shared" si="87"/>
        <v>14792.477271339607</v>
      </c>
    </row>
    <row r="665" spans="1:28" x14ac:dyDescent="0.3">
      <c r="A665" s="1">
        <v>45378</v>
      </c>
      <c r="B665" s="2">
        <v>168.78</v>
      </c>
      <c r="C665" s="2">
        <v>523.16999999999996</v>
      </c>
      <c r="D665" s="9">
        <f>B665-B664</f>
        <v>2.6599999999999966</v>
      </c>
      <c r="E665" s="9">
        <f>C665-C664</f>
        <v>4.3600000000000136</v>
      </c>
      <c r="F665" s="3">
        <f>F$1/B665</f>
        <v>592.48726152387724</v>
      </c>
      <c r="G665" s="3">
        <f>F$1/C665</f>
        <v>191.14245847430092</v>
      </c>
      <c r="H665" s="2">
        <f>D665*F664</f>
        <v>1601.2521069106649</v>
      </c>
      <c r="I665" s="2">
        <f>E665*G664</f>
        <v>840.3847265858434</v>
      </c>
      <c r="J665" s="2">
        <f>I665-H665</f>
        <v>-760.86738032482151</v>
      </c>
      <c r="K665" s="2">
        <f t="shared" si="85"/>
        <v>760.86738032482151</v>
      </c>
      <c r="L665" s="3">
        <f>C665/B665</f>
        <v>3.0997156061144682</v>
      </c>
      <c r="M665" s="3">
        <f t="shared" si="88"/>
        <v>3.1186966856602476</v>
      </c>
      <c r="N665" s="3">
        <f t="shared" si="92"/>
        <v>3.1128465885022019</v>
      </c>
      <c r="O665" s="3">
        <f t="shared" si="84"/>
        <v>3.1147860500399025</v>
      </c>
      <c r="P665" s="3">
        <f t="shared" si="86"/>
        <v>3.042142995049701</v>
      </c>
      <c r="Q665" s="4" t="str">
        <f t="shared" si="91"/>
        <v>OVER</v>
      </c>
      <c r="R665" s="4" t="str">
        <f t="shared" si="91"/>
        <v>OVER</v>
      </c>
      <c r="S665" s="4" t="str">
        <f t="shared" si="89"/>
        <v>UNDER</v>
      </c>
      <c r="T665" s="4" t="str">
        <f t="shared" si="89"/>
        <v>OVER</v>
      </c>
      <c r="U665" s="2">
        <f>IF(Q665="OVER",$J665,$K665)</f>
        <v>-760.86738032482151</v>
      </c>
      <c r="V665" s="2">
        <f>IF(R665="OVER",$J665,$K665)</f>
        <v>-760.86738032482151</v>
      </c>
      <c r="W665" s="2">
        <f>IF(S665="OVER",$J665,$K665)</f>
        <v>760.86738032482151</v>
      </c>
      <c r="X665" s="2">
        <f>IF(T665="OVER",$J665,$K665)</f>
        <v>-760.86738032482151</v>
      </c>
      <c r="Y665" s="9">
        <f t="shared" si="90"/>
        <v>-9945.9220154402356</v>
      </c>
      <c r="Z665" s="9">
        <f t="shared" si="90"/>
        <v>6283.2465767358581</v>
      </c>
      <c r="AA665" s="9">
        <f t="shared" si="90"/>
        <v>36598.603771915281</v>
      </c>
      <c r="AB665" s="9">
        <f t="shared" si="87"/>
        <v>14031.609891014785</v>
      </c>
    </row>
    <row r="666" spans="1:28" x14ac:dyDescent="0.3">
      <c r="A666" s="1">
        <v>45379</v>
      </c>
      <c r="B666" s="2">
        <v>169.37</v>
      </c>
      <c r="C666" s="2">
        <v>523.07000000000005</v>
      </c>
      <c r="D666" s="9">
        <f>B666-B665</f>
        <v>0.59000000000000341</v>
      </c>
      <c r="E666" s="9">
        <f>C666-C665</f>
        <v>-9.9999999999909051E-2</v>
      </c>
      <c r="F666" s="3">
        <f>F$1/B666</f>
        <v>590.42333353014112</v>
      </c>
      <c r="G666" s="3">
        <f>F$1/C666</f>
        <v>191.17900089854129</v>
      </c>
      <c r="H666" s="2">
        <f>D666*F665</f>
        <v>349.56748429908959</v>
      </c>
      <c r="I666" s="2">
        <f>E666*G665</f>
        <v>-19.114245847412707</v>
      </c>
      <c r="J666" s="2">
        <f>I666-H666</f>
        <v>-368.68173014650228</v>
      </c>
      <c r="K666" s="2">
        <f t="shared" si="85"/>
        <v>368.68173014650228</v>
      </c>
      <c r="L666" s="3">
        <f>C666/B666</f>
        <v>3.0883273306961092</v>
      </c>
      <c r="M666" s="3">
        <f t="shared" si="88"/>
        <v>3.1149459538761497</v>
      </c>
      <c r="N666" s="3">
        <f t="shared" si="92"/>
        <v>3.1112091433778142</v>
      </c>
      <c r="O666" s="3">
        <f t="shared" si="84"/>
        <v>3.1151524406475839</v>
      </c>
      <c r="P666" s="3">
        <f t="shared" si="86"/>
        <v>3.0427406678378652</v>
      </c>
      <c r="Q666" s="4" t="str">
        <f t="shared" si="91"/>
        <v>UNDER</v>
      </c>
      <c r="R666" s="4" t="str">
        <f t="shared" si="91"/>
        <v>UNDER</v>
      </c>
      <c r="S666" s="4" t="str">
        <f t="shared" si="89"/>
        <v>UNDER</v>
      </c>
      <c r="T666" s="4" t="str">
        <f t="shared" si="89"/>
        <v>OVER</v>
      </c>
      <c r="U666" s="2">
        <f>IF(Q666="OVER",$J666,$K666)</f>
        <v>368.68173014650228</v>
      </c>
      <c r="V666" s="2">
        <f>IF(R666="OVER",$J666,$K666)</f>
        <v>368.68173014650228</v>
      </c>
      <c r="W666" s="2">
        <f>IF(S666="OVER",$J666,$K666)</f>
        <v>368.68173014650228</v>
      </c>
      <c r="X666" s="2">
        <f>IF(T666="OVER",$J666,$K666)</f>
        <v>-368.68173014650228</v>
      </c>
      <c r="Y666" s="9">
        <f t="shared" si="90"/>
        <v>-9577.2402852937339</v>
      </c>
      <c r="Z666" s="9">
        <f t="shared" si="90"/>
        <v>6651.9283068823606</v>
      </c>
      <c r="AA666" s="9">
        <f t="shared" si="90"/>
        <v>36967.285502061786</v>
      </c>
      <c r="AB666" s="9">
        <f t="shared" si="87"/>
        <v>13662.928160868283</v>
      </c>
    </row>
    <row r="667" spans="1:28" x14ac:dyDescent="0.3">
      <c r="A667" s="1">
        <v>45383</v>
      </c>
      <c r="B667" s="2">
        <v>168.37</v>
      </c>
      <c r="C667" s="2">
        <v>522.16</v>
      </c>
      <c r="D667" s="9">
        <f>B667-B666</f>
        <v>-1</v>
      </c>
      <c r="E667" s="9">
        <f>C667-C666</f>
        <v>-0.91000000000008185</v>
      </c>
      <c r="F667" s="3">
        <f>F$1/B667</f>
        <v>593.93003504187209</v>
      </c>
      <c r="G667" s="3">
        <f>F$1/C667</f>
        <v>191.51218017465911</v>
      </c>
      <c r="H667" s="2">
        <f>D667*F666</f>
        <v>-590.42333353014112</v>
      </c>
      <c r="I667" s="2">
        <f>E667*G666</f>
        <v>-173.97289081768821</v>
      </c>
      <c r="J667" s="2">
        <f>I667-H667</f>
        <v>416.45044271245291</v>
      </c>
      <c r="K667" s="2">
        <f t="shared" si="85"/>
        <v>-416.45044271245291</v>
      </c>
      <c r="L667" s="3">
        <f>C667/B667</f>
        <v>3.1012650709746388</v>
      </c>
      <c r="M667" s="3">
        <f t="shared" si="88"/>
        <v>3.1149946115635663</v>
      </c>
      <c r="N667" s="3">
        <f t="shared" si="92"/>
        <v>3.1098489234927635</v>
      </c>
      <c r="O667" s="3">
        <f t="shared" si="84"/>
        <v>3.1155480453717406</v>
      </c>
      <c r="P667" s="3">
        <f t="shared" si="86"/>
        <v>3.0434479692654008</v>
      </c>
      <c r="Q667" s="4" t="str">
        <f t="shared" si="91"/>
        <v>UNDER</v>
      </c>
      <c r="R667" s="4" t="str">
        <f t="shared" si="91"/>
        <v>UNDER</v>
      </c>
      <c r="S667" s="4" t="str">
        <f t="shared" si="89"/>
        <v>UNDER</v>
      </c>
      <c r="T667" s="4" t="str">
        <f t="shared" si="89"/>
        <v>OVER</v>
      </c>
      <c r="U667" s="2">
        <f>IF(Q667="OVER",$J667,$K667)</f>
        <v>-416.45044271245291</v>
      </c>
      <c r="V667" s="2">
        <f>IF(R667="OVER",$J667,$K667)</f>
        <v>-416.45044271245291</v>
      </c>
      <c r="W667" s="2">
        <f>IF(S667="OVER",$J667,$K667)</f>
        <v>-416.45044271245291</v>
      </c>
      <c r="X667" s="2">
        <f>IF(T667="OVER",$J667,$K667)</f>
        <v>416.45044271245291</v>
      </c>
      <c r="Y667" s="9">
        <f t="shared" si="90"/>
        <v>-9993.690728006186</v>
      </c>
      <c r="Z667" s="9">
        <f t="shared" si="90"/>
        <v>6235.4778641699077</v>
      </c>
      <c r="AA667" s="9">
        <f t="shared" si="90"/>
        <v>36550.835059349331</v>
      </c>
      <c r="AB667" s="9">
        <f t="shared" si="87"/>
        <v>14079.378603580735</v>
      </c>
    </row>
    <row r="668" spans="1:28" x14ac:dyDescent="0.3">
      <c r="A668" s="1">
        <v>45384</v>
      </c>
      <c r="B668" s="2">
        <v>166.92</v>
      </c>
      <c r="C668" s="2">
        <v>518.84</v>
      </c>
      <c r="D668" s="9">
        <f>B668-B667</f>
        <v>-1.4500000000000171</v>
      </c>
      <c r="E668" s="9">
        <f>C668-C667</f>
        <v>-3.3199999999999363</v>
      </c>
      <c r="F668" s="3">
        <f>F$1/B668</f>
        <v>599.08938413611315</v>
      </c>
      <c r="G668" s="3">
        <f>F$1/C668</f>
        <v>192.73764551692236</v>
      </c>
      <c r="H668" s="2">
        <f>D668*F667</f>
        <v>-861.19855081072467</v>
      </c>
      <c r="I668" s="2">
        <f>E668*G667</f>
        <v>-635.82043817985607</v>
      </c>
      <c r="J668" s="2">
        <f>I668-H668</f>
        <v>225.3781126308686</v>
      </c>
      <c r="K668" s="2">
        <f t="shared" si="85"/>
        <v>-225.3781126308686</v>
      </c>
      <c r="L668" s="3">
        <f>C668/B668</f>
        <v>3.1083153606518095</v>
      </c>
      <c r="M668" s="3">
        <f t="shared" si="88"/>
        <v>3.1134685131808513</v>
      </c>
      <c r="N668" s="3">
        <f t="shared" si="92"/>
        <v>3.1092944059502461</v>
      </c>
      <c r="O668" s="3">
        <f t="shared" si="84"/>
        <v>3.115792904760363</v>
      </c>
      <c r="P668" s="3">
        <f t="shared" si="86"/>
        <v>3.0441447243369111</v>
      </c>
      <c r="Q668" s="4" t="str">
        <f t="shared" si="91"/>
        <v>UNDER</v>
      </c>
      <c r="R668" s="4" t="str">
        <f t="shared" si="91"/>
        <v>UNDER</v>
      </c>
      <c r="S668" s="4" t="str">
        <f t="shared" si="89"/>
        <v>UNDER</v>
      </c>
      <c r="T668" s="4" t="str">
        <f t="shared" si="89"/>
        <v>OVER</v>
      </c>
      <c r="U668" s="2">
        <f>IF(Q668="OVER",$J668,$K668)</f>
        <v>-225.3781126308686</v>
      </c>
      <c r="V668" s="2">
        <f>IF(R668="OVER",$J668,$K668)</f>
        <v>-225.3781126308686</v>
      </c>
      <c r="W668" s="2">
        <f>IF(S668="OVER",$J668,$K668)</f>
        <v>-225.3781126308686</v>
      </c>
      <c r="X668" s="2">
        <f>IF(T668="OVER",$J668,$K668)</f>
        <v>225.3781126308686</v>
      </c>
      <c r="Y668" s="9">
        <f t="shared" si="90"/>
        <v>-10219.068840637054</v>
      </c>
      <c r="Z668" s="9">
        <f t="shared" si="90"/>
        <v>6010.0997515390391</v>
      </c>
      <c r="AA668" s="9">
        <f t="shared" si="90"/>
        <v>36325.456946718463</v>
      </c>
      <c r="AB668" s="9">
        <f t="shared" si="87"/>
        <v>14304.756716211603</v>
      </c>
    </row>
    <row r="669" spans="1:28" x14ac:dyDescent="0.3">
      <c r="A669" s="1">
        <v>45385</v>
      </c>
      <c r="B669" s="2">
        <v>167.1</v>
      </c>
      <c r="C669" s="2">
        <v>519.41</v>
      </c>
      <c r="D669" s="9">
        <f>B669-B668</f>
        <v>0.18000000000000682</v>
      </c>
      <c r="E669" s="9">
        <f>C669-C668</f>
        <v>0.56999999999993634</v>
      </c>
      <c r="F669" s="3">
        <f>F$1/B669</f>
        <v>598.44404548174748</v>
      </c>
      <c r="G669" s="3">
        <f>F$1/C669</f>
        <v>192.52613542288367</v>
      </c>
      <c r="H669" s="2">
        <f>D669*F668</f>
        <v>107.83608914450446</v>
      </c>
      <c r="I669" s="2">
        <f>E669*G668</f>
        <v>109.86045794463347</v>
      </c>
      <c r="J669" s="2">
        <f>I669-H669</f>
        <v>2.024368800129011</v>
      </c>
      <c r="K669" s="2">
        <f t="shared" si="85"/>
        <v>-2.024368800129011</v>
      </c>
      <c r="L669" s="3">
        <f>C669/B669</f>
        <v>3.1083782166367442</v>
      </c>
      <c r="M669" s="3">
        <f t="shared" si="88"/>
        <v>3.1120765110266411</v>
      </c>
      <c r="N669" s="3">
        <f t="shared" si="92"/>
        <v>3.1095934244405123</v>
      </c>
      <c r="O669" s="3">
        <f t="shared" si="84"/>
        <v>3.1162329410032106</v>
      </c>
      <c r="P669" s="3">
        <f t="shared" si="86"/>
        <v>3.0448292807440294</v>
      </c>
      <c r="Q669" s="4" t="str">
        <f t="shared" si="91"/>
        <v>UNDER</v>
      </c>
      <c r="R669" s="4" t="str">
        <f t="shared" si="91"/>
        <v>UNDER</v>
      </c>
      <c r="S669" s="4" t="str">
        <f t="shared" si="89"/>
        <v>UNDER</v>
      </c>
      <c r="T669" s="4" t="str">
        <f t="shared" si="89"/>
        <v>OVER</v>
      </c>
      <c r="U669" s="2">
        <f>IF(Q669="OVER",$J669,$K669)</f>
        <v>-2.024368800129011</v>
      </c>
      <c r="V669" s="2">
        <f>IF(R669="OVER",$J669,$K669)</f>
        <v>-2.024368800129011</v>
      </c>
      <c r="W669" s="2">
        <f>IF(S669="OVER",$J669,$K669)</f>
        <v>-2.024368800129011</v>
      </c>
      <c r="X669" s="2">
        <f>IF(T669="OVER",$J669,$K669)</f>
        <v>2.024368800129011</v>
      </c>
      <c r="Y669" s="9">
        <f t="shared" si="90"/>
        <v>-10221.093209437182</v>
      </c>
      <c r="Z669" s="9">
        <f t="shared" si="90"/>
        <v>6008.0753827389099</v>
      </c>
      <c r="AA669" s="9">
        <f t="shared" si="90"/>
        <v>36323.432577918335</v>
      </c>
      <c r="AB669" s="9">
        <f t="shared" si="87"/>
        <v>14306.781085011731</v>
      </c>
    </row>
    <row r="670" spans="1:28" x14ac:dyDescent="0.3">
      <c r="A670" s="1">
        <v>45386</v>
      </c>
      <c r="B670" s="2">
        <v>165.4</v>
      </c>
      <c r="C670" s="2">
        <v>513.07000000000005</v>
      </c>
      <c r="D670" s="9">
        <f>B670-B669</f>
        <v>-1.6999999999999886</v>
      </c>
      <c r="E670" s="9">
        <f>C670-C669</f>
        <v>-6.3399999999999181</v>
      </c>
      <c r="F670" s="3">
        <f>F$1/B670</f>
        <v>604.59492140266025</v>
      </c>
      <c r="G670" s="3">
        <f>F$1/C670</f>
        <v>194.9051786305962</v>
      </c>
      <c r="H670" s="2">
        <f>D670*F669</f>
        <v>-1017.3548773189639</v>
      </c>
      <c r="I670" s="2">
        <f>E670*G669</f>
        <v>-1220.6156985810667</v>
      </c>
      <c r="J670" s="2">
        <f>I670-H670</f>
        <v>-203.26082126210281</v>
      </c>
      <c r="K670" s="2">
        <f t="shared" si="85"/>
        <v>203.26082126210281</v>
      </c>
      <c r="L670" s="3">
        <f>C670/B670</f>
        <v>3.1019951632406291</v>
      </c>
      <c r="M670" s="3">
        <f t="shared" si="88"/>
        <v>3.1098255531040957</v>
      </c>
      <c r="N670" s="3">
        <f t="shared" si="92"/>
        <v>3.1096691572999466</v>
      </c>
      <c r="O670" s="3">
        <f t="shared" si="84"/>
        <v>3.1163968871470429</v>
      </c>
      <c r="P670" s="3">
        <f t="shared" si="86"/>
        <v>3.0455754320624839</v>
      </c>
      <c r="Q670" s="4" t="str">
        <f t="shared" si="91"/>
        <v>UNDER</v>
      </c>
      <c r="R670" s="4" t="str">
        <f t="shared" si="91"/>
        <v>UNDER</v>
      </c>
      <c r="S670" s="4" t="str">
        <f t="shared" si="89"/>
        <v>UNDER</v>
      </c>
      <c r="T670" s="4" t="str">
        <f t="shared" si="89"/>
        <v>OVER</v>
      </c>
      <c r="U670" s="2">
        <f>IF(Q670="OVER",$J670,$K670)</f>
        <v>203.26082126210281</v>
      </c>
      <c r="V670" s="2">
        <f>IF(R670="OVER",$J670,$K670)</f>
        <v>203.26082126210281</v>
      </c>
      <c r="W670" s="2">
        <f>IF(S670="OVER",$J670,$K670)</f>
        <v>203.26082126210281</v>
      </c>
      <c r="X670" s="2">
        <f>IF(T670="OVER",$J670,$K670)</f>
        <v>-203.26082126210281</v>
      </c>
      <c r="Y670" s="9">
        <f t="shared" si="90"/>
        <v>-10017.832388175078</v>
      </c>
      <c r="Z670" s="9">
        <f t="shared" si="90"/>
        <v>6211.3362040010124</v>
      </c>
      <c r="AA670" s="9">
        <f t="shared" si="90"/>
        <v>36526.69339918044</v>
      </c>
      <c r="AB670" s="9">
        <f t="shared" si="87"/>
        <v>14103.520263749628</v>
      </c>
    </row>
    <row r="671" spans="1:28" x14ac:dyDescent="0.3">
      <c r="A671" s="1">
        <v>45387</v>
      </c>
      <c r="B671" s="2">
        <v>166.39</v>
      </c>
      <c r="C671" s="2">
        <v>518.42999999999995</v>
      </c>
      <c r="D671" s="9">
        <f>B671-B670</f>
        <v>0.98999999999998067</v>
      </c>
      <c r="E671" s="9">
        <f>C671-C670</f>
        <v>5.3599999999999</v>
      </c>
      <c r="F671" s="3">
        <f>F$1/B671</f>
        <v>600.99765610914119</v>
      </c>
      <c r="G671" s="3">
        <f>F$1/C671</f>
        <v>192.89007194799686</v>
      </c>
      <c r="H671" s="2">
        <f>D671*F670</f>
        <v>598.54897218862197</v>
      </c>
      <c r="I671" s="2">
        <f>E671*G670</f>
        <v>1044.6917574599761</v>
      </c>
      <c r="J671" s="2">
        <f>I671-H671</f>
        <v>446.14278527135411</v>
      </c>
      <c r="K671" s="2">
        <f t="shared" si="85"/>
        <v>-446.14278527135411</v>
      </c>
      <c r="L671" s="3">
        <f>C671/B671</f>
        <v>3.1157521485666204</v>
      </c>
      <c r="M671" s="3">
        <f t="shared" si="88"/>
        <v>3.1100485142044976</v>
      </c>
      <c r="N671" s="3">
        <f t="shared" si="92"/>
        <v>3.1101127695562805</v>
      </c>
      <c r="O671" s="3">
        <f t="shared" si="84"/>
        <v>3.1164465205872358</v>
      </c>
      <c r="P671" s="3">
        <f t="shared" si="86"/>
        <v>3.0462679220344095</v>
      </c>
      <c r="Q671" s="4" t="str">
        <f t="shared" si="91"/>
        <v>UNDER</v>
      </c>
      <c r="R671" s="4" t="str">
        <f t="shared" si="91"/>
        <v>UNDER</v>
      </c>
      <c r="S671" s="4" t="str">
        <f t="shared" si="89"/>
        <v>UNDER</v>
      </c>
      <c r="T671" s="4" t="str">
        <f t="shared" si="89"/>
        <v>OVER</v>
      </c>
      <c r="U671" s="2">
        <f>IF(Q671="OVER",$J671,$K671)</f>
        <v>-446.14278527135411</v>
      </c>
      <c r="V671" s="2">
        <f>IF(R671="OVER",$J671,$K671)</f>
        <v>-446.14278527135411</v>
      </c>
      <c r="W671" s="2">
        <f>IF(S671="OVER",$J671,$K671)</f>
        <v>-446.14278527135411</v>
      </c>
      <c r="X671" s="2">
        <f>IF(T671="OVER",$J671,$K671)</f>
        <v>446.14278527135411</v>
      </c>
      <c r="Y671" s="9">
        <f t="shared" si="90"/>
        <v>-10463.975173446433</v>
      </c>
      <c r="Z671" s="9">
        <f t="shared" si="90"/>
        <v>5765.1934187296583</v>
      </c>
      <c r="AA671" s="9">
        <f t="shared" si="90"/>
        <v>36080.550613909087</v>
      </c>
      <c r="AB671" s="9">
        <f t="shared" si="87"/>
        <v>14549.663049020983</v>
      </c>
    </row>
    <row r="672" spans="1:28" x14ac:dyDescent="0.3">
      <c r="A672" s="1">
        <v>45390</v>
      </c>
      <c r="B672" s="2">
        <v>166.9</v>
      </c>
      <c r="C672" s="2">
        <v>518.72</v>
      </c>
      <c r="D672" s="9">
        <f>B672-B671</f>
        <v>0.51000000000001933</v>
      </c>
      <c r="E672" s="9">
        <f>C672-C671</f>
        <v>0.29000000000007731</v>
      </c>
      <c r="F672" s="3">
        <f>F$1/B672</f>
        <v>599.16117435590172</v>
      </c>
      <c r="G672" s="3">
        <f>F$1/C672</f>
        <v>192.78223318938925</v>
      </c>
      <c r="H672" s="2">
        <f>D672*F671</f>
        <v>306.50880461567363</v>
      </c>
      <c r="I672" s="2">
        <f>E672*G671</f>
        <v>55.938120864934</v>
      </c>
      <c r="J672" s="2">
        <f>I672-H672</f>
        <v>-250.57068375073962</v>
      </c>
      <c r="K672" s="2">
        <f t="shared" si="85"/>
        <v>250.57068375073962</v>
      </c>
      <c r="L672" s="3">
        <f>C672/B672</f>
        <v>3.1079688436189334</v>
      </c>
      <c r="M672" s="3">
        <f t="shared" si="88"/>
        <v>3.1080693543993245</v>
      </c>
      <c r="N672" s="3">
        <f t="shared" si="92"/>
        <v>3.1109223651418549</v>
      </c>
      <c r="O672" s="3">
        <f t="shared" si="84"/>
        <v>3.1166259634997466</v>
      </c>
      <c r="P672" s="3">
        <f t="shared" si="86"/>
        <v>3.0469765584505528</v>
      </c>
      <c r="Q672" s="4" t="str">
        <f t="shared" si="91"/>
        <v>OVER</v>
      </c>
      <c r="R672" s="4" t="str">
        <f t="shared" si="91"/>
        <v>OVER</v>
      </c>
      <c r="S672" s="4" t="str">
        <f t="shared" si="89"/>
        <v>UNDER</v>
      </c>
      <c r="T672" s="4" t="str">
        <f t="shared" si="89"/>
        <v>OVER</v>
      </c>
      <c r="U672" s="2">
        <f>IF(Q672="OVER",$J672,$K672)</f>
        <v>-250.57068375073962</v>
      </c>
      <c r="V672" s="2">
        <f>IF(R672="OVER",$J672,$K672)</f>
        <v>-250.57068375073962</v>
      </c>
      <c r="W672" s="2">
        <f>IF(S672="OVER",$J672,$K672)</f>
        <v>250.57068375073962</v>
      </c>
      <c r="X672" s="2">
        <f>IF(T672="OVER",$J672,$K672)</f>
        <v>-250.57068375073962</v>
      </c>
      <c r="Y672" s="9">
        <f t="shared" si="90"/>
        <v>-10714.545857197174</v>
      </c>
      <c r="Z672" s="9">
        <f t="shared" si="90"/>
        <v>5514.6227349789187</v>
      </c>
      <c r="AA672" s="9">
        <f t="shared" si="90"/>
        <v>36331.121297659825</v>
      </c>
      <c r="AB672" s="9">
        <f t="shared" si="87"/>
        <v>14299.092365270242</v>
      </c>
    </row>
    <row r="673" spans="1:28" x14ac:dyDescent="0.3">
      <c r="A673" s="1">
        <v>45391</v>
      </c>
      <c r="B673" s="2">
        <v>167.56</v>
      </c>
      <c r="C673" s="2">
        <v>519.32000000000005</v>
      </c>
      <c r="D673" s="9">
        <f>B673-B672</f>
        <v>0.65999999999999659</v>
      </c>
      <c r="E673" s="9">
        <f>C673-C672</f>
        <v>0.60000000000002274</v>
      </c>
      <c r="F673" s="3">
        <f>F$1/B673</f>
        <v>596.80114585820002</v>
      </c>
      <c r="G673" s="3">
        <f>F$1/C673</f>
        <v>192.55950088577367</v>
      </c>
      <c r="H673" s="2">
        <f>D673*F672</f>
        <v>395.44637507489307</v>
      </c>
      <c r="I673" s="2">
        <f>E673*G672</f>
        <v>115.66933991363793</v>
      </c>
      <c r="J673" s="2">
        <f>I673-H673</f>
        <v>-279.77703516125513</v>
      </c>
      <c r="K673" s="2">
        <f t="shared" si="85"/>
        <v>279.77703516125513</v>
      </c>
      <c r="L673" s="3">
        <f>C673/B673</f>
        <v>3.0993077106708049</v>
      </c>
      <c r="M673" s="3">
        <f t="shared" si="88"/>
        <v>3.1054129231570471</v>
      </c>
      <c r="N673" s="3">
        <f t="shared" si="92"/>
        <v>3.1116275527511861</v>
      </c>
      <c r="O673" s="3">
        <f t="shared" si="84"/>
        <v>3.1167187843798296</v>
      </c>
      <c r="P673" s="3">
        <f t="shared" si="86"/>
        <v>3.0475271954768237</v>
      </c>
      <c r="Q673" s="4" t="str">
        <f t="shared" si="91"/>
        <v>UNDER</v>
      </c>
      <c r="R673" s="4" t="str">
        <f t="shared" si="91"/>
        <v>UNDER</v>
      </c>
      <c r="S673" s="4" t="str">
        <f t="shared" si="89"/>
        <v>UNDER</v>
      </c>
      <c r="T673" s="4" t="str">
        <f t="shared" si="89"/>
        <v>OVER</v>
      </c>
      <c r="U673" s="2">
        <f>IF(Q673="OVER",$J673,$K673)</f>
        <v>279.77703516125513</v>
      </c>
      <c r="V673" s="2">
        <f>IF(R673="OVER",$J673,$K673)</f>
        <v>279.77703516125513</v>
      </c>
      <c r="W673" s="2">
        <f>IF(S673="OVER",$J673,$K673)</f>
        <v>279.77703516125513</v>
      </c>
      <c r="X673" s="2">
        <f>IF(T673="OVER",$J673,$K673)</f>
        <v>-279.77703516125513</v>
      </c>
      <c r="Y673" s="9">
        <f t="shared" si="90"/>
        <v>-10434.76882203592</v>
      </c>
      <c r="Z673" s="9">
        <f t="shared" si="90"/>
        <v>5794.399770140174</v>
      </c>
      <c r="AA673" s="9">
        <f t="shared" si="90"/>
        <v>36610.898332821082</v>
      </c>
      <c r="AB673" s="9">
        <f t="shared" si="87"/>
        <v>14019.315330108988</v>
      </c>
    </row>
    <row r="674" spans="1:28" x14ac:dyDescent="0.3">
      <c r="A674" s="1">
        <v>45392</v>
      </c>
      <c r="B674" s="2">
        <v>164.71</v>
      </c>
      <c r="C674" s="2">
        <v>514.12</v>
      </c>
      <c r="D674" s="9">
        <f>B674-B673</f>
        <v>-2.8499999999999943</v>
      </c>
      <c r="E674" s="9">
        <f>C674-C673</f>
        <v>-5.2000000000000455</v>
      </c>
      <c r="F674" s="3">
        <f>F$1/B674</f>
        <v>607.12767895088336</v>
      </c>
      <c r="G674" s="3">
        <f>F$1/C674</f>
        <v>194.50711896055395</v>
      </c>
      <c r="H674" s="2">
        <f>D674*F673</f>
        <v>-1700.8832656958666</v>
      </c>
      <c r="I674" s="2">
        <f>E674*G673</f>
        <v>-1001.3094046060319</v>
      </c>
      <c r="J674" s="2">
        <f>I674-H674</f>
        <v>699.57386108983474</v>
      </c>
      <c r="K674" s="2">
        <f t="shared" si="85"/>
        <v>-699.57386108983474</v>
      </c>
      <c r="L674" s="3">
        <f>C674/B674</f>
        <v>3.1213648230222812</v>
      </c>
      <c r="M674" s="3">
        <f t="shared" si="88"/>
        <v>3.1052390274193038</v>
      </c>
      <c r="N674" s="3">
        <f t="shared" si="92"/>
        <v>3.1121796939925801</v>
      </c>
      <c r="O674" s="3">
        <f t="shared" si="84"/>
        <v>3.1171405273882997</v>
      </c>
      <c r="P674" s="3">
        <f t="shared" si="86"/>
        <v>3.0481720108884747</v>
      </c>
      <c r="Q674" s="4" t="str">
        <f t="shared" si="91"/>
        <v>UNDER</v>
      </c>
      <c r="R674" s="4" t="str">
        <f t="shared" si="91"/>
        <v>UNDER</v>
      </c>
      <c r="S674" s="4" t="str">
        <f t="shared" si="89"/>
        <v>OVER</v>
      </c>
      <c r="T674" s="4" t="str">
        <f t="shared" si="89"/>
        <v>OVER</v>
      </c>
      <c r="U674" s="2">
        <f>IF(Q674="OVER",$J674,$K674)</f>
        <v>-699.57386108983474</v>
      </c>
      <c r="V674" s="2">
        <f>IF(R674="OVER",$J674,$K674)</f>
        <v>-699.57386108983474</v>
      </c>
      <c r="W674" s="2">
        <f>IF(S674="OVER",$J674,$K674)</f>
        <v>699.57386108983474</v>
      </c>
      <c r="X674" s="2">
        <f>IF(T674="OVER",$J674,$K674)</f>
        <v>699.57386108983474</v>
      </c>
      <c r="Y674" s="9">
        <f t="shared" si="90"/>
        <v>-11134.342683125755</v>
      </c>
      <c r="Z674" s="9">
        <f t="shared" si="90"/>
        <v>5094.8259090503398</v>
      </c>
      <c r="AA674" s="9">
        <f t="shared" si="90"/>
        <v>37310.472193910915</v>
      </c>
      <c r="AB674" s="9">
        <f t="shared" si="87"/>
        <v>14718.889191198823</v>
      </c>
    </row>
    <row r="675" spans="1:28" x14ac:dyDescent="0.3">
      <c r="A675" s="1">
        <v>45393</v>
      </c>
      <c r="B675" s="2">
        <v>164.59</v>
      </c>
      <c r="C675" s="2">
        <v>518</v>
      </c>
      <c r="D675" s="9">
        <f>B675-B674</f>
        <v>-0.12000000000000455</v>
      </c>
      <c r="E675" s="9">
        <f>C675-C674</f>
        <v>3.8799999999999955</v>
      </c>
      <c r="F675" s="3">
        <f>F$1/B675</f>
        <v>607.57032626526518</v>
      </c>
      <c r="G675" s="3">
        <f>F$1/C675</f>
        <v>193.05019305019306</v>
      </c>
      <c r="H675" s="2">
        <f>D675*F674</f>
        <v>-72.855321474108763</v>
      </c>
      <c r="I675" s="2">
        <f>E675*G674</f>
        <v>754.68762156694845</v>
      </c>
      <c r="J675" s="2">
        <f>I675-H675</f>
        <v>827.54294304105724</v>
      </c>
      <c r="K675" s="2">
        <f t="shared" si="85"/>
        <v>-827.54294304105724</v>
      </c>
      <c r="L675" s="3">
        <f>C675/B675</f>
        <v>3.1472142900540736</v>
      </c>
      <c r="M675" s="3">
        <f t="shared" si="88"/>
        <v>3.1099888958132644</v>
      </c>
      <c r="N675" s="3">
        <f t="shared" si="92"/>
        <v>3.1143427907367562</v>
      </c>
      <c r="O675" s="3">
        <f t="shared" si="84"/>
        <v>3.1181389490970099</v>
      </c>
      <c r="P675" s="3">
        <f t="shared" si="86"/>
        <v>3.0490972344156426</v>
      </c>
      <c r="Q675" s="4" t="str">
        <f t="shared" si="91"/>
        <v>OVER</v>
      </c>
      <c r="R675" s="4" t="str">
        <f t="shared" si="91"/>
        <v>OVER</v>
      </c>
      <c r="S675" s="4" t="str">
        <f t="shared" si="89"/>
        <v>OVER</v>
      </c>
      <c r="T675" s="4" t="str">
        <f t="shared" si="89"/>
        <v>OVER</v>
      </c>
      <c r="U675" s="2">
        <f>IF(Q675="OVER",$J675,$K675)</f>
        <v>827.54294304105724</v>
      </c>
      <c r="V675" s="2">
        <f>IF(R675="OVER",$J675,$K675)</f>
        <v>827.54294304105724</v>
      </c>
      <c r="W675" s="2">
        <f>IF(S675="OVER",$J675,$K675)</f>
        <v>827.54294304105724</v>
      </c>
      <c r="X675" s="2">
        <f>IF(T675="OVER",$J675,$K675)</f>
        <v>827.54294304105724</v>
      </c>
      <c r="Y675" s="9">
        <f t="shared" si="90"/>
        <v>-10306.799740084698</v>
      </c>
      <c r="Z675" s="9">
        <f t="shared" si="90"/>
        <v>5922.3688520913965</v>
      </c>
      <c r="AA675" s="9">
        <f t="shared" si="90"/>
        <v>38138.015136951974</v>
      </c>
      <c r="AB675" s="9">
        <f t="shared" si="87"/>
        <v>15546.43213423988</v>
      </c>
    </row>
    <row r="676" spans="1:28" x14ac:dyDescent="0.3">
      <c r="A676" s="1">
        <v>45394</v>
      </c>
      <c r="B676" s="2">
        <v>161.97999999999999</v>
      </c>
      <c r="C676" s="2">
        <v>510.85</v>
      </c>
      <c r="D676" s="9">
        <f>B676-B675</f>
        <v>-2.6100000000000136</v>
      </c>
      <c r="E676" s="9">
        <f>C676-C675</f>
        <v>-7.1499999999999773</v>
      </c>
      <c r="F676" s="3">
        <f>F$1/B676</f>
        <v>617.36016792196574</v>
      </c>
      <c r="G676" s="3">
        <f>F$1/C676</f>
        <v>195.75217774297738</v>
      </c>
      <c r="H676" s="2">
        <f>D676*F675</f>
        <v>-1585.7585515523504</v>
      </c>
      <c r="I676" s="2">
        <f>E676*G675</f>
        <v>-1380.308880308876</v>
      </c>
      <c r="J676" s="2">
        <f>I676-H676</f>
        <v>205.44967124347431</v>
      </c>
      <c r="K676" s="2">
        <f t="shared" si="85"/>
        <v>-205.44967124347431</v>
      </c>
      <c r="L676" s="3">
        <f>C676/B676</f>
        <v>3.1537844178293621</v>
      </c>
      <c r="M676" s="3">
        <f t="shared" si="88"/>
        <v>3.1165346045265898</v>
      </c>
      <c r="N676" s="3">
        <f t="shared" si="92"/>
        <v>3.1157402792013702</v>
      </c>
      <c r="O676" s="3">
        <f t="shared" si="84"/>
        <v>3.1194889567684378</v>
      </c>
      <c r="P676" s="3">
        <f t="shared" si="86"/>
        <v>3.0500737126331212</v>
      </c>
      <c r="Q676" s="4" t="str">
        <f t="shared" si="91"/>
        <v>OVER</v>
      </c>
      <c r="R676" s="4" t="str">
        <f t="shared" si="91"/>
        <v>OVER</v>
      </c>
      <c r="S676" s="4" t="str">
        <f t="shared" si="89"/>
        <v>OVER</v>
      </c>
      <c r="T676" s="4" t="str">
        <f t="shared" si="89"/>
        <v>OVER</v>
      </c>
      <c r="U676" s="2">
        <f>IF(Q676="OVER",$J676,$K676)</f>
        <v>205.44967124347431</v>
      </c>
      <c r="V676" s="2">
        <f>IF(R676="OVER",$J676,$K676)</f>
        <v>205.44967124347431</v>
      </c>
      <c r="W676" s="2">
        <f>IF(S676="OVER",$J676,$K676)</f>
        <v>205.44967124347431</v>
      </c>
      <c r="X676" s="2">
        <f>IF(T676="OVER",$J676,$K676)</f>
        <v>205.44967124347431</v>
      </c>
      <c r="Y676" s="9">
        <f t="shared" si="90"/>
        <v>-10101.350068841224</v>
      </c>
      <c r="Z676" s="9">
        <f t="shared" si="90"/>
        <v>6127.8185233348704</v>
      </c>
      <c r="AA676" s="9">
        <f t="shared" si="90"/>
        <v>38343.464808195451</v>
      </c>
      <c r="AB676" s="9">
        <f t="shared" si="87"/>
        <v>15751.881805483354</v>
      </c>
    </row>
    <row r="677" spans="1:28" x14ac:dyDescent="0.3">
      <c r="A677" s="1">
        <v>45397</v>
      </c>
      <c r="B677" s="2">
        <v>160.58000000000001</v>
      </c>
      <c r="C677" s="2">
        <v>504.45</v>
      </c>
      <c r="D677" s="9">
        <f>B677-B676</f>
        <v>-1.3999999999999773</v>
      </c>
      <c r="E677" s="9">
        <f>C677-C676</f>
        <v>-6.4000000000000341</v>
      </c>
      <c r="F677" s="3">
        <f>F$1/B677</f>
        <v>622.7425582264292</v>
      </c>
      <c r="G677" s="3">
        <f>F$1/C677</f>
        <v>198.23570224997522</v>
      </c>
      <c r="H677" s="2">
        <f>D677*F676</f>
        <v>-864.30423509073796</v>
      </c>
      <c r="I677" s="2">
        <f>E677*G676</f>
        <v>-1252.813937555062</v>
      </c>
      <c r="J677" s="2">
        <f>I677-H677</f>
        <v>-388.50970246432405</v>
      </c>
      <c r="K677" s="2">
        <f t="shared" si="85"/>
        <v>388.50970246432405</v>
      </c>
      <c r="L677" s="3">
        <f>C677/B677</f>
        <v>3.1414248349732219</v>
      </c>
      <c r="M677" s="3">
        <f t="shared" si="88"/>
        <v>3.120550580926448</v>
      </c>
      <c r="N677" s="3">
        <f t="shared" si="92"/>
        <v>3.1177725962450076</v>
      </c>
      <c r="O677" s="3">
        <f t="shared" si="84"/>
        <v>3.1205029475290598</v>
      </c>
      <c r="P677" s="3">
        <f t="shared" si="86"/>
        <v>3.0509557926443778</v>
      </c>
      <c r="Q677" s="4" t="str">
        <f t="shared" si="91"/>
        <v>OVER</v>
      </c>
      <c r="R677" s="4" t="str">
        <f t="shared" si="91"/>
        <v>OVER</v>
      </c>
      <c r="S677" s="4" t="str">
        <f t="shared" si="89"/>
        <v>OVER</v>
      </c>
      <c r="T677" s="4" t="str">
        <f t="shared" si="89"/>
        <v>OVER</v>
      </c>
      <c r="U677" s="2">
        <f>IF(Q677="OVER",$J677,$K677)</f>
        <v>-388.50970246432405</v>
      </c>
      <c r="V677" s="2">
        <f>IF(R677="OVER",$J677,$K677)</f>
        <v>-388.50970246432405</v>
      </c>
      <c r="W677" s="2">
        <f>IF(S677="OVER",$J677,$K677)</f>
        <v>-388.50970246432405</v>
      </c>
      <c r="X677" s="2">
        <f>IF(T677="OVER",$J677,$K677)</f>
        <v>-388.50970246432405</v>
      </c>
      <c r="Y677" s="9">
        <f t="shared" si="90"/>
        <v>-10489.859771305548</v>
      </c>
      <c r="Z677" s="9">
        <f t="shared" si="90"/>
        <v>5739.3088208705467</v>
      </c>
      <c r="AA677" s="9">
        <f t="shared" si="90"/>
        <v>37954.955105731126</v>
      </c>
      <c r="AB677" s="9">
        <f t="shared" si="87"/>
        <v>15363.37210301903</v>
      </c>
    </row>
    <row r="678" spans="1:28" x14ac:dyDescent="0.3">
      <c r="A678" s="1">
        <v>45398</v>
      </c>
      <c r="B678" s="2">
        <v>159.69</v>
      </c>
      <c r="C678" s="2">
        <v>503.53</v>
      </c>
      <c r="D678" s="9">
        <f>B678-B677</f>
        <v>-0.89000000000001478</v>
      </c>
      <c r="E678" s="9">
        <f>C678-C677</f>
        <v>-0.92000000000001592</v>
      </c>
      <c r="F678" s="3">
        <f>F$1/B678</f>
        <v>626.21328824597663</v>
      </c>
      <c r="G678" s="3">
        <f>F$1/C678</f>
        <v>198.59789883423034</v>
      </c>
      <c r="H678" s="2">
        <f>D678*F677</f>
        <v>-554.24087682153117</v>
      </c>
      <c r="I678" s="2">
        <f>E678*G677</f>
        <v>-182.37684606998036</v>
      </c>
      <c r="J678" s="2">
        <f>I678-H678</f>
        <v>371.86403075155079</v>
      </c>
      <c r="K678" s="2">
        <f t="shared" si="85"/>
        <v>-371.86403075155079</v>
      </c>
      <c r="L678" s="3">
        <f>C678/B678</f>
        <v>3.1531717703049655</v>
      </c>
      <c r="M678" s="3">
        <f t="shared" si="88"/>
        <v>3.1250362218917638</v>
      </c>
      <c r="N678" s="3">
        <f t="shared" si="92"/>
        <v>3.119252367536308</v>
      </c>
      <c r="O678" s="3">
        <f t="shared" si="84"/>
        <v>3.1210458315250156</v>
      </c>
      <c r="P678" s="3">
        <f t="shared" si="86"/>
        <v>3.0519535668198428</v>
      </c>
      <c r="Q678" s="4" t="str">
        <f t="shared" si="91"/>
        <v>OVER</v>
      </c>
      <c r="R678" s="4" t="str">
        <f t="shared" si="91"/>
        <v>OVER</v>
      </c>
      <c r="S678" s="4" t="str">
        <f t="shared" si="89"/>
        <v>OVER</v>
      </c>
      <c r="T678" s="4" t="str">
        <f t="shared" si="89"/>
        <v>OVER</v>
      </c>
      <c r="U678" s="2">
        <f>IF(Q678="OVER",$J678,$K678)</f>
        <v>371.86403075155079</v>
      </c>
      <c r="V678" s="2">
        <f>IF(R678="OVER",$J678,$K678)</f>
        <v>371.86403075155079</v>
      </c>
      <c r="W678" s="2">
        <f>IF(S678="OVER",$J678,$K678)</f>
        <v>371.86403075155079</v>
      </c>
      <c r="X678" s="2">
        <f>IF(T678="OVER",$J678,$K678)</f>
        <v>371.86403075155079</v>
      </c>
      <c r="Y678" s="9">
        <f t="shared" si="90"/>
        <v>-10117.995740553997</v>
      </c>
      <c r="Z678" s="9">
        <f t="shared" si="90"/>
        <v>6111.1728516220974</v>
      </c>
      <c r="AA678" s="9">
        <f t="shared" si="90"/>
        <v>38326.819136482678</v>
      </c>
      <c r="AB678" s="9">
        <f t="shared" si="87"/>
        <v>15735.236133770581</v>
      </c>
    </row>
    <row r="679" spans="1:28" x14ac:dyDescent="0.3">
      <c r="A679" s="1">
        <v>45399</v>
      </c>
      <c r="B679" s="2">
        <v>159.36000000000001</v>
      </c>
      <c r="C679" s="2">
        <v>500.55</v>
      </c>
      <c r="D679" s="9">
        <f>B679-B678</f>
        <v>-0.32999999999998408</v>
      </c>
      <c r="E679" s="9">
        <f>C679-C678</f>
        <v>-2.9799999999999613</v>
      </c>
      <c r="F679" s="3">
        <f>F$1/B679</f>
        <v>627.51004016064246</v>
      </c>
      <c r="G679" s="3">
        <f>F$1/C679</f>
        <v>199.7802417340925</v>
      </c>
      <c r="H679" s="2">
        <f>D679*F678</f>
        <v>-206.65038512116232</v>
      </c>
      <c r="I679" s="2">
        <f>E679*G678</f>
        <v>-591.82173852599874</v>
      </c>
      <c r="J679" s="2">
        <f>I679-H679</f>
        <v>-385.1713534048364</v>
      </c>
      <c r="K679" s="2">
        <f t="shared" si="85"/>
        <v>385.1713534048364</v>
      </c>
      <c r="L679" s="3">
        <f>C679/B679</f>
        <v>3.1410015060240961</v>
      </c>
      <c r="M679" s="3">
        <f t="shared" si="88"/>
        <v>3.128298550830499</v>
      </c>
      <c r="N679" s="3">
        <f t="shared" si="92"/>
        <v>3.1201875309285705</v>
      </c>
      <c r="O679" s="3">
        <f t="shared" si="84"/>
        <v>3.1210325920958097</v>
      </c>
      <c r="P679" s="3">
        <f t="shared" si="86"/>
        <v>3.0528470266354475</v>
      </c>
      <c r="Q679" s="4" t="str">
        <f t="shared" si="91"/>
        <v>OVER</v>
      </c>
      <c r="R679" s="4" t="str">
        <f t="shared" si="91"/>
        <v>OVER</v>
      </c>
      <c r="S679" s="4" t="str">
        <f t="shared" si="89"/>
        <v>OVER</v>
      </c>
      <c r="T679" s="4" t="str">
        <f t="shared" si="89"/>
        <v>OVER</v>
      </c>
      <c r="U679" s="2">
        <f>IF(Q679="OVER",$J679,$K679)</f>
        <v>-385.1713534048364</v>
      </c>
      <c r="V679" s="2">
        <f>IF(R679="OVER",$J679,$K679)</f>
        <v>-385.1713534048364</v>
      </c>
      <c r="W679" s="2">
        <f>IF(S679="OVER",$J679,$K679)</f>
        <v>-385.1713534048364</v>
      </c>
      <c r="X679" s="2">
        <f>IF(T679="OVER",$J679,$K679)</f>
        <v>-385.1713534048364</v>
      </c>
      <c r="Y679" s="9">
        <f t="shared" si="90"/>
        <v>-10503.167093958833</v>
      </c>
      <c r="Z679" s="9">
        <f t="shared" si="90"/>
        <v>5726.0014982172606</v>
      </c>
      <c r="AA679" s="9">
        <f t="shared" si="90"/>
        <v>37941.647783077839</v>
      </c>
      <c r="AB679" s="9">
        <f t="shared" si="87"/>
        <v>15350.064780365745</v>
      </c>
    </row>
    <row r="680" spans="1:28" x14ac:dyDescent="0.3">
      <c r="A680" s="1">
        <v>45400</v>
      </c>
      <c r="B680" s="2">
        <v>159.21</v>
      </c>
      <c r="C680" s="2">
        <v>499.52</v>
      </c>
      <c r="D680" s="9">
        <f>B680-B679</f>
        <v>-0.15000000000000568</v>
      </c>
      <c r="E680" s="9">
        <f>C680-C679</f>
        <v>-1.0300000000000296</v>
      </c>
      <c r="F680" s="3">
        <f>F$1/B680</f>
        <v>628.10124992148735</v>
      </c>
      <c r="G680" s="3">
        <f>F$1/C680</f>
        <v>200.19218449711724</v>
      </c>
      <c r="H680" s="2">
        <f>D680*F679</f>
        <v>-94.126506024099939</v>
      </c>
      <c r="I680" s="2">
        <f>E680*G679</f>
        <v>-205.77364898612117</v>
      </c>
      <c r="J680" s="2">
        <f>I680-H680</f>
        <v>-111.64714296202123</v>
      </c>
      <c r="K680" s="2">
        <f t="shared" si="85"/>
        <v>111.64714296202123</v>
      </c>
      <c r="L680" s="3">
        <f>C680/B680</f>
        <v>3.1374913636078134</v>
      </c>
      <c r="M680" s="3">
        <f t="shared" si="88"/>
        <v>3.1318481708672175</v>
      </c>
      <c r="N680" s="3">
        <f t="shared" si="92"/>
        <v>3.1208368619856568</v>
      </c>
      <c r="O680" s="3">
        <f t="shared" si="84"/>
        <v>3.1211621493546557</v>
      </c>
      <c r="P680" s="3">
        <f t="shared" si="86"/>
        <v>3.0537424695877444</v>
      </c>
      <c r="Q680" s="4" t="str">
        <f t="shared" si="91"/>
        <v>OVER</v>
      </c>
      <c r="R680" s="4" t="str">
        <f t="shared" si="91"/>
        <v>OVER</v>
      </c>
      <c r="S680" s="4" t="str">
        <f t="shared" si="89"/>
        <v>OVER</v>
      </c>
      <c r="T680" s="4" t="str">
        <f t="shared" si="89"/>
        <v>OVER</v>
      </c>
      <c r="U680" s="2">
        <f>IF(Q680="OVER",$J680,$K680)</f>
        <v>-111.64714296202123</v>
      </c>
      <c r="V680" s="2">
        <f>IF(R680="OVER",$J680,$K680)</f>
        <v>-111.64714296202123</v>
      </c>
      <c r="W680" s="2">
        <f>IF(S680="OVER",$J680,$K680)</f>
        <v>-111.64714296202123</v>
      </c>
      <c r="X680" s="2">
        <f>IF(T680="OVER",$J680,$K680)</f>
        <v>-111.64714296202123</v>
      </c>
      <c r="Y680" s="9">
        <f t="shared" si="90"/>
        <v>-10614.814236920854</v>
      </c>
      <c r="Z680" s="9">
        <f t="shared" si="90"/>
        <v>5614.3543552552392</v>
      </c>
      <c r="AA680" s="9">
        <f t="shared" si="90"/>
        <v>37830.000640115817</v>
      </c>
      <c r="AB680" s="9">
        <f t="shared" si="87"/>
        <v>15238.417637403723</v>
      </c>
    </row>
    <row r="681" spans="1:28" x14ac:dyDescent="0.3">
      <c r="A681" s="1">
        <v>45401</v>
      </c>
      <c r="B681" s="2">
        <v>159.81</v>
      </c>
      <c r="C681" s="2">
        <v>495.16</v>
      </c>
      <c r="D681" s="9">
        <f>B681-B680</f>
        <v>0.59999999999999432</v>
      </c>
      <c r="E681" s="9">
        <f>C681-C680</f>
        <v>-4.3599999999999568</v>
      </c>
      <c r="F681" s="3">
        <f>F$1/B681</f>
        <v>625.74306989550087</v>
      </c>
      <c r="G681" s="3">
        <f>F$1/C681</f>
        <v>201.95492366103883</v>
      </c>
      <c r="H681" s="2">
        <f>D681*F680</f>
        <v>376.86074995288885</v>
      </c>
      <c r="I681" s="2">
        <f>E681*G680</f>
        <v>-872.83792440742252</v>
      </c>
      <c r="J681" s="2">
        <f>I681-H681</f>
        <v>-1249.6986743603113</v>
      </c>
      <c r="K681" s="2">
        <f t="shared" si="85"/>
        <v>1249.6986743603113</v>
      </c>
      <c r="L681" s="3">
        <f>C681/B681</f>
        <v>3.0984293848945623</v>
      </c>
      <c r="M681" s="3">
        <f t="shared" si="88"/>
        <v>3.1301158945000114</v>
      </c>
      <c r="N681" s="3">
        <f t="shared" si="92"/>
        <v>3.1200822043522551</v>
      </c>
      <c r="O681" s="3">
        <f t="shared" si="84"/>
        <v>3.1202353522429003</v>
      </c>
      <c r="P681" s="3">
        <f t="shared" si="86"/>
        <v>3.0544013166528079</v>
      </c>
      <c r="Q681" s="4" t="str">
        <f t="shared" si="91"/>
        <v>OVER</v>
      </c>
      <c r="R681" s="4" t="str">
        <f t="shared" si="91"/>
        <v>OVER</v>
      </c>
      <c r="S681" s="4" t="str">
        <f t="shared" si="89"/>
        <v>UNDER</v>
      </c>
      <c r="T681" s="4" t="str">
        <f t="shared" si="89"/>
        <v>OVER</v>
      </c>
      <c r="U681" s="2">
        <f>IF(Q681="OVER",$J681,$K681)</f>
        <v>-1249.6986743603113</v>
      </c>
      <c r="V681" s="2">
        <f>IF(R681="OVER",$J681,$K681)</f>
        <v>-1249.6986743603113</v>
      </c>
      <c r="W681" s="2">
        <f>IF(S681="OVER",$J681,$K681)</f>
        <v>1249.6986743603113</v>
      </c>
      <c r="X681" s="2">
        <f>IF(T681="OVER",$J681,$K681)</f>
        <v>-1249.6986743603113</v>
      </c>
      <c r="Y681" s="9">
        <f t="shared" si="90"/>
        <v>-11864.512911281166</v>
      </c>
      <c r="Z681" s="9">
        <f t="shared" si="90"/>
        <v>4364.6556808949281</v>
      </c>
      <c r="AA681" s="9">
        <f t="shared" si="90"/>
        <v>39079.699314476129</v>
      </c>
      <c r="AB681" s="9">
        <f t="shared" si="87"/>
        <v>13988.718963043411</v>
      </c>
    </row>
    <row r="682" spans="1:28" x14ac:dyDescent="0.3">
      <c r="A682" s="1">
        <v>45404</v>
      </c>
      <c r="B682" s="2">
        <v>161.03</v>
      </c>
      <c r="C682" s="2">
        <v>499.72</v>
      </c>
      <c r="D682" s="9">
        <f>B682-B681</f>
        <v>1.2199999999999989</v>
      </c>
      <c r="E682" s="9">
        <f>C682-C681</f>
        <v>4.5600000000000023</v>
      </c>
      <c r="F682" s="3">
        <f>F$1/B682</f>
        <v>621.00229770850149</v>
      </c>
      <c r="G682" s="3">
        <f>F$1/C682</f>
        <v>200.11206275514286</v>
      </c>
      <c r="H682" s="2">
        <f>D682*F681</f>
        <v>763.40654527251036</v>
      </c>
      <c r="I682" s="2">
        <f>E682*G681</f>
        <v>920.9144518943375</v>
      </c>
      <c r="J682" s="2">
        <f>I682-H682</f>
        <v>157.50790662182715</v>
      </c>
      <c r="K682" s="2">
        <f t="shared" si="85"/>
        <v>-157.50790662182715</v>
      </c>
      <c r="L682" s="3">
        <f>C682/B682</f>
        <v>3.103272682108924</v>
      </c>
      <c r="M682" s="3">
        <f t="shared" si="88"/>
        <v>3.1296462783490107</v>
      </c>
      <c r="N682" s="3">
        <f t="shared" si="92"/>
        <v>3.1188578163741676</v>
      </c>
      <c r="O682" s="3">
        <f t="shared" si="84"/>
        <v>3.1195163785195752</v>
      </c>
      <c r="P682" s="3">
        <f t="shared" si="86"/>
        <v>3.0550793405425969</v>
      </c>
      <c r="Q682" s="4" t="str">
        <f t="shared" si="91"/>
        <v>UNDER</v>
      </c>
      <c r="R682" s="4" t="str">
        <f t="shared" si="91"/>
        <v>UNDER</v>
      </c>
      <c r="S682" s="4" t="str">
        <f t="shared" si="89"/>
        <v>UNDER</v>
      </c>
      <c r="T682" s="4" t="str">
        <f t="shared" si="89"/>
        <v>OVER</v>
      </c>
      <c r="U682" s="2">
        <f>IF(Q682="OVER",$J682,$K682)</f>
        <v>-157.50790662182715</v>
      </c>
      <c r="V682" s="2">
        <f>IF(R682="OVER",$J682,$K682)</f>
        <v>-157.50790662182715</v>
      </c>
      <c r="W682" s="2">
        <f>IF(S682="OVER",$J682,$K682)</f>
        <v>-157.50790662182715</v>
      </c>
      <c r="X682" s="2">
        <f>IF(T682="OVER",$J682,$K682)</f>
        <v>157.50790662182715</v>
      </c>
      <c r="Y682" s="9">
        <f t="shared" si="90"/>
        <v>-12022.020817902994</v>
      </c>
      <c r="Z682" s="9">
        <f t="shared" si="90"/>
        <v>4207.1477742731013</v>
      </c>
      <c r="AA682" s="9">
        <f t="shared" si="90"/>
        <v>38922.191407854305</v>
      </c>
      <c r="AB682" s="9">
        <f t="shared" si="87"/>
        <v>14146.226869665239</v>
      </c>
    </row>
    <row r="683" spans="1:28" x14ac:dyDescent="0.3">
      <c r="A683" s="1">
        <v>45405</v>
      </c>
      <c r="B683" s="2">
        <v>162.46</v>
      </c>
      <c r="C683" s="2">
        <v>505.65</v>
      </c>
      <c r="D683" s="9">
        <f>B683-B682</f>
        <v>1.4300000000000068</v>
      </c>
      <c r="E683" s="9">
        <f>C683-C682</f>
        <v>5.92999999999995</v>
      </c>
      <c r="F683" s="3">
        <f>F$1/B683</f>
        <v>615.53613197094671</v>
      </c>
      <c r="G683" s="3">
        <f>F$1/C683</f>
        <v>197.76525264511025</v>
      </c>
      <c r="H683" s="2">
        <f>D683*F682</f>
        <v>888.03328572316138</v>
      </c>
      <c r="I683" s="2">
        <f>E683*G682</f>
        <v>1186.6645321379872</v>
      </c>
      <c r="J683" s="2">
        <f>I683-H683</f>
        <v>298.6312464148258</v>
      </c>
      <c r="K683" s="2">
        <f t="shared" si="85"/>
        <v>-298.6312464148258</v>
      </c>
      <c r="L683" s="3">
        <f>C683/B683</f>
        <v>3.1124584513110918</v>
      </c>
      <c r="M683" s="3">
        <f t="shared" si="88"/>
        <v>3.1309613524130393</v>
      </c>
      <c r="N683" s="3">
        <f t="shared" si="92"/>
        <v>3.1181871377850436</v>
      </c>
      <c r="O683" s="3">
        <f t="shared" si="84"/>
        <v>3.1186937549326967</v>
      </c>
      <c r="P683" s="3">
        <f t="shared" si="86"/>
        <v>3.0558776279513205</v>
      </c>
      <c r="Q683" s="4" t="str">
        <f t="shared" si="91"/>
        <v>UNDER</v>
      </c>
      <c r="R683" s="4" t="str">
        <f t="shared" si="91"/>
        <v>UNDER</v>
      </c>
      <c r="S683" s="4" t="str">
        <f t="shared" si="89"/>
        <v>UNDER</v>
      </c>
      <c r="T683" s="4" t="str">
        <f t="shared" si="89"/>
        <v>OVER</v>
      </c>
      <c r="U683" s="2">
        <f>IF(Q683="OVER",$J683,$K683)</f>
        <v>-298.6312464148258</v>
      </c>
      <c r="V683" s="2">
        <f>IF(R683="OVER",$J683,$K683)</f>
        <v>-298.6312464148258</v>
      </c>
      <c r="W683" s="2">
        <f>IF(S683="OVER",$J683,$K683)</f>
        <v>-298.6312464148258</v>
      </c>
      <c r="X683" s="2">
        <f>IF(T683="OVER",$J683,$K683)</f>
        <v>298.6312464148258</v>
      </c>
      <c r="Y683" s="9">
        <f t="shared" si="90"/>
        <v>-12320.652064317819</v>
      </c>
      <c r="Z683" s="9">
        <f t="shared" si="90"/>
        <v>3908.5165278582754</v>
      </c>
      <c r="AA683" s="9">
        <f t="shared" si="90"/>
        <v>38623.560161439476</v>
      </c>
      <c r="AB683" s="9">
        <f t="shared" si="87"/>
        <v>14444.858116080064</v>
      </c>
    </row>
    <row r="684" spans="1:28" x14ac:dyDescent="0.3">
      <c r="A684" s="1">
        <v>45406</v>
      </c>
      <c r="B684" s="2">
        <v>162.69</v>
      </c>
      <c r="C684" s="2">
        <v>505.41</v>
      </c>
      <c r="D684" s="9">
        <f>B684-B683</f>
        <v>0.22999999999998977</v>
      </c>
      <c r="E684" s="9">
        <f>C684-C683</f>
        <v>-0.23999999999995225</v>
      </c>
      <c r="F684" s="3">
        <f>F$1/B684</f>
        <v>614.66592906755182</v>
      </c>
      <c r="G684" s="3">
        <f>F$1/C684</f>
        <v>197.85916384717356</v>
      </c>
      <c r="H684" s="2">
        <f>D684*F683</f>
        <v>141.57331035331146</v>
      </c>
      <c r="I684" s="2">
        <f>E684*G683</f>
        <v>-47.463660634817018</v>
      </c>
      <c r="J684" s="2">
        <f>I684-H684</f>
        <v>-189.03697098812847</v>
      </c>
      <c r="K684" s="2">
        <f t="shared" si="85"/>
        <v>189.03697098812847</v>
      </c>
      <c r="L684" s="3">
        <f>C684/B684</f>
        <v>3.1065830721003138</v>
      </c>
      <c r="M684" s="3">
        <f t="shared" si="88"/>
        <v>3.129483177320842</v>
      </c>
      <c r="N684" s="3">
        <f t="shared" si="92"/>
        <v>3.1173611023700731</v>
      </c>
      <c r="O684" s="3">
        <f t="shared" si="84"/>
        <v>3.1182068300363492</v>
      </c>
      <c r="P684" s="3">
        <f t="shared" si="86"/>
        <v>3.0567405399751517</v>
      </c>
      <c r="Q684" s="4" t="str">
        <f t="shared" si="91"/>
        <v>UNDER</v>
      </c>
      <c r="R684" s="4" t="str">
        <f t="shared" si="91"/>
        <v>UNDER</v>
      </c>
      <c r="S684" s="4" t="str">
        <f t="shared" si="89"/>
        <v>UNDER</v>
      </c>
      <c r="T684" s="4" t="str">
        <f t="shared" si="89"/>
        <v>OVER</v>
      </c>
      <c r="U684" s="2">
        <f>IF(Q684="OVER",$J684,$K684)</f>
        <v>189.03697098812847</v>
      </c>
      <c r="V684" s="2">
        <f>IF(R684="OVER",$J684,$K684)</f>
        <v>189.03697098812847</v>
      </c>
      <c r="W684" s="2">
        <f>IF(S684="OVER",$J684,$K684)</f>
        <v>189.03697098812847</v>
      </c>
      <c r="X684" s="2">
        <f>IF(T684="OVER",$J684,$K684)</f>
        <v>-189.03697098812847</v>
      </c>
      <c r="Y684" s="9">
        <f t="shared" si="90"/>
        <v>-12131.61509332969</v>
      </c>
      <c r="Z684" s="9">
        <f t="shared" si="90"/>
        <v>4097.5534988464042</v>
      </c>
      <c r="AA684" s="9">
        <f t="shared" si="90"/>
        <v>38812.597132427603</v>
      </c>
      <c r="AB684" s="9">
        <f t="shared" si="87"/>
        <v>14255.821145091935</v>
      </c>
    </row>
    <row r="685" spans="1:28" x14ac:dyDescent="0.3">
      <c r="A685" s="1">
        <v>45407</v>
      </c>
      <c r="B685" s="2">
        <v>162.35</v>
      </c>
      <c r="C685" s="2">
        <v>503.49</v>
      </c>
      <c r="D685" s="9">
        <f>B685-B684</f>
        <v>-0.34000000000000341</v>
      </c>
      <c r="E685" s="9">
        <f>C685-C684</f>
        <v>-1.9200000000000159</v>
      </c>
      <c r="F685" s="3">
        <f>F$1/B685</f>
        <v>615.95318755774565</v>
      </c>
      <c r="G685" s="3">
        <f>F$1/C685</f>
        <v>198.61367653776639</v>
      </c>
      <c r="H685" s="2">
        <f>D685*F684</f>
        <v>-208.98641588296971</v>
      </c>
      <c r="I685" s="2">
        <f>E685*G684</f>
        <v>-379.88959458657638</v>
      </c>
      <c r="J685" s="2">
        <f>I685-H685</f>
        <v>-170.90317870360667</v>
      </c>
      <c r="K685" s="2">
        <f t="shared" si="85"/>
        <v>170.90317870360667</v>
      </c>
      <c r="L685" s="3">
        <f>C685/B685</f>
        <v>3.1012627040344936</v>
      </c>
      <c r="M685" s="3">
        <f t="shared" si="88"/>
        <v>3.1248880187188841</v>
      </c>
      <c r="N685" s="3">
        <f t="shared" si="92"/>
        <v>3.1174384572660747</v>
      </c>
      <c r="O685" s="3">
        <f t="shared" si="84"/>
        <v>3.1174319570118594</v>
      </c>
      <c r="P685" s="3">
        <f t="shared" si="86"/>
        <v>3.0576480676961957</v>
      </c>
      <c r="Q685" s="4" t="str">
        <f t="shared" si="91"/>
        <v>UNDER</v>
      </c>
      <c r="R685" s="4" t="str">
        <f t="shared" si="91"/>
        <v>UNDER</v>
      </c>
      <c r="S685" s="4" t="str">
        <f t="shared" si="89"/>
        <v>UNDER</v>
      </c>
      <c r="T685" s="4" t="str">
        <f t="shared" si="89"/>
        <v>OVER</v>
      </c>
      <c r="U685" s="2">
        <f>IF(Q685="OVER",$J685,$K685)</f>
        <v>170.90317870360667</v>
      </c>
      <c r="V685" s="2">
        <f>IF(R685="OVER",$J685,$K685)</f>
        <v>170.90317870360667</v>
      </c>
      <c r="W685" s="2">
        <f>IF(S685="OVER",$J685,$K685)</f>
        <v>170.90317870360667</v>
      </c>
      <c r="X685" s="2">
        <f>IF(T685="OVER",$J685,$K685)</f>
        <v>-170.90317870360667</v>
      </c>
      <c r="Y685" s="9">
        <f t="shared" si="90"/>
        <v>-11960.711914626083</v>
      </c>
      <c r="Z685" s="9">
        <f t="shared" si="90"/>
        <v>4268.4566775500107</v>
      </c>
      <c r="AA685" s="9">
        <f t="shared" si="90"/>
        <v>38983.500311131211</v>
      </c>
      <c r="AB685" s="9">
        <f t="shared" si="87"/>
        <v>14084.917966388328</v>
      </c>
    </row>
    <row r="686" spans="1:28" x14ac:dyDescent="0.3">
      <c r="A686" s="1">
        <v>45408</v>
      </c>
      <c r="B686" s="2">
        <v>162.43</v>
      </c>
      <c r="C686" s="2">
        <v>508.26</v>
      </c>
      <c r="D686" s="9">
        <f>B686-B685</f>
        <v>8.0000000000012506E-2</v>
      </c>
      <c r="E686" s="9">
        <f>C686-C685</f>
        <v>4.7699999999999818</v>
      </c>
      <c r="F686" s="3">
        <f>F$1/B686</f>
        <v>615.64981838330357</v>
      </c>
      <c r="G686" s="3">
        <f>F$1/C686</f>
        <v>196.74969503797269</v>
      </c>
      <c r="H686" s="2">
        <f>D686*F685</f>
        <v>49.276255004627352</v>
      </c>
      <c r="I686" s="2">
        <f>E686*G685</f>
        <v>947.38723708514215</v>
      </c>
      <c r="J686" s="2">
        <f>I686-H686</f>
        <v>898.11098208051476</v>
      </c>
      <c r="K686" s="2">
        <f t="shared" si="85"/>
        <v>-898.11098208051476</v>
      </c>
      <c r="L686" s="3">
        <f>C686/B686</f>
        <v>3.1291017669149785</v>
      </c>
      <c r="M686" s="3">
        <f t="shared" si="88"/>
        <v>3.1224197536274461</v>
      </c>
      <c r="N686" s="3">
        <f t="shared" si="92"/>
        <v>3.1194771790770184</v>
      </c>
      <c r="O686" s="3">
        <f t="shared" si="84"/>
        <v>3.1172178464971454</v>
      </c>
      <c r="P686" s="3">
        <f t="shared" si="86"/>
        <v>3.058644995343172</v>
      </c>
      <c r="Q686" s="4" t="str">
        <f t="shared" si="91"/>
        <v>UNDER</v>
      </c>
      <c r="R686" s="4" t="str">
        <f t="shared" si="91"/>
        <v>UNDER</v>
      </c>
      <c r="S686" s="4" t="str">
        <f t="shared" si="89"/>
        <v>OVER</v>
      </c>
      <c r="T686" s="4" t="str">
        <f t="shared" si="89"/>
        <v>OVER</v>
      </c>
      <c r="U686" s="2">
        <f>IF(Q686="OVER",$J686,$K686)</f>
        <v>-898.11098208051476</v>
      </c>
      <c r="V686" s="2">
        <f>IF(R686="OVER",$J686,$K686)</f>
        <v>-898.11098208051476</v>
      </c>
      <c r="W686" s="2">
        <f>IF(S686="OVER",$J686,$K686)</f>
        <v>898.11098208051476</v>
      </c>
      <c r="X686" s="2">
        <f>IF(T686="OVER",$J686,$K686)</f>
        <v>898.11098208051476</v>
      </c>
      <c r="Y686" s="9">
        <f t="shared" si="90"/>
        <v>-12858.822896706597</v>
      </c>
      <c r="Z686" s="9">
        <f t="shared" si="90"/>
        <v>3370.3456954694957</v>
      </c>
      <c r="AA686" s="9">
        <f t="shared" si="90"/>
        <v>39881.611293211725</v>
      </c>
      <c r="AB686" s="9">
        <f t="shared" si="87"/>
        <v>14983.028948468842</v>
      </c>
    </row>
    <row r="687" spans="1:28" x14ac:dyDescent="0.3">
      <c r="A687" s="1">
        <v>45411</v>
      </c>
      <c r="B687" s="2">
        <v>163.56</v>
      </c>
      <c r="C687" s="2">
        <v>510.06</v>
      </c>
      <c r="D687" s="9">
        <f>B687-B686</f>
        <v>1.1299999999999955</v>
      </c>
      <c r="E687" s="9">
        <f>C687-C686</f>
        <v>1.8000000000000114</v>
      </c>
      <c r="F687" s="3">
        <f>F$1/B687</f>
        <v>611.39642944485206</v>
      </c>
      <c r="G687" s="3">
        <f>F$1/C687</f>
        <v>196.05536603536839</v>
      </c>
      <c r="H687" s="2">
        <f>D687*F686</f>
        <v>695.6842947731302</v>
      </c>
      <c r="I687" s="2">
        <f>E687*G686</f>
        <v>354.14945106835307</v>
      </c>
      <c r="J687" s="2">
        <f>I687-H687</f>
        <v>-341.53484370477713</v>
      </c>
      <c r="K687" s="2">
        <f t="shared" si="85"/>
        <v>341.53484370477713</v>
      </c>
      <c r="L687" s="3">
        <f>C687/B687</f>
        <v>3.1184886280264124</v>
      </c>
      <c r="M687" s="3">
        <f t="shared" si="88"/>
        <v>3.1201261329327652</v>
      </c>
      <c r="N687" s="3">
        <f t="shared" si="92"/>
        <v>3.120338356929607</v>
      </c>
      <c r="O687" s="3">
        <f t="shared" si="84"/>
        <v>3.1171330283634711</v>
      </c>
      <c r="P687" s="3">
        <f t="shared" si="86"/>
        <v>3.0595420932950197</v>
      </c>
      <c r="Q687" s="4" t="str">
        <f t="shared" si="91"/>
        <v>OVER</v>
      </c>
      <c r="R687" s="4" t="str">
        <f t="shared" si="91"/>
        <v>OVER</v>
      </c>
      <c r="S687" s="4" t="str">
        <f t="shared" si="89"/>
        <v>OVER</v>
      </c>
      <c r="T687" s="4" t="str">
        <f t="shared" si="89"/>
        <v>OVER</v>
      </c>
      <c r="U687" s="2">
        <f>IF(Q687="OVER",$J687,$K687)</f>
        <v>-341.53484370477713</v>
      </c>
      <c r="V687" s="2">
        <f>IF(R687="OVER",$J687,$K687)</f>
        <v>-341.53484370477713</v>
      </c>
      <c r="W687" s="2">
        <f>IF(S687="OVER",$J687,$K687)</f>
        <v>-341.53484370477713</v>
      </c>
      <c r="X687" s="2">
        <f>IF(T687="OVER",$J687,$K687)</f>
        <v>-341.53484370477713</v>
      </c>
      <c r="Y687" s="9">
        <f t="shared" si="90"/>
        <v>-13200.357740411375</v>
      </c>
      <c r="Z687" s="9">
        <f t="shared" si="90"/>
        <v>3028.8108517647188</v>
      </c>
      <c r="AA687" s="9">
        <f t="shared" si="90"/>
        <v>39540.076449506945</v>
      </c>
      <c r="AB687" s="9">
        <f t="shared" si="87"/>
        <v>14641.494104764064</v>
      </c>
    </row>
    <row r="688" spans="1:28" x14ac:dyDescent="0.3">
      <c r="A688" s="1">
        <v>45412</v>
      </c>
      <c r="B688" s="2">
        <v>161.19999999999999</v>
      </c>
      <c r="C688" s="2">
        <v>501.98</v>
      </c>
      <c r="D688" s="9">
        <f>B688-B687</f>
        <v>-2.3600000000000136</v>
      </c>
      <c r="E688" s="9">
        <f>C688-C687</f>
        <v>-8.0799999999999841</v>
      </c>
      <c r="F688" s="3">
        <f>F$1/B688</f>
        <v>620.34739454094301</v>
      </c>
      <c r="G688" s="3">
        <f>F$1/C688</f>
        <v>199.2111239491613</v>
      </c>
      <c r="H688" s="2">
        <f>D688*F687</f>
        <v>-1442.8955734898593</v>
      </c>
      <c r="I688" s="2">
        <f>E688*G687</f>
        <v>-1584.1273575657735</v>
      </c>
      <c r="J688" s="2">
        <f>I688-H688</f>
        <v>-141.23178407591422</v>
      </c>
      <c r="K688" s="2">
        <f t="shared" si="85"/>
        <v>141.23178407591422</v>
      </c>
      <c r="L688" s="3">
        <f>C688/B688</f>
        <v>3.1140198511166255</v>
      </c>
      <c r="M688" s="3">
        <f t="shared" si="88"/>
        <v>3.1162109410139314</v>
      </c>
      <c r="N688" s="3">
        <f t="shared" si="92"/>
        <v>3.1206235814528478</v>
      </c>
      <c r="O688" s="3">
        <f t="shared" si="84"/>
        <v>3.116986380456729</v>
      </c>
      <c r="P688" s="3">
        <f t="shared" si="86"/>
        <v>3.0603390766752896</v>
      </c>
      <c r="Q688" s="4" t="str">
        <f t="shared" si="91"/>
        <v>UNDER</v>
      </c>
      <c r="R688" s="4" t="str">
        <f t="shared" si="91"/>
        <v>UNDER</v>
      </c>
      <c r="S688" s="4" t="str">
        <f t="shared" si="89"/>
        <v>UNDER</v>
      </c>
      <c r="T688" s="4" t="str">
        <f t="shared" si="89"/>
        <v>OVER</v>
      </c>
      <c r="U688" s="2">
        <f>IF(Q688="OVER",$J688,$K688)</f>
        <v>141.23178407591422</v>
      </c>
      <c r="V688" s="2">
        <f>IF(R688="OVER",$J688,$K688)</f>
        <v>141.23178407591422</v>
      </c>
      <c r="W688" s="2">
        <f>IF(S688="OVER",$J688,$K688)</f>
        <v>141.23178407591422</v>
      </c>
      <c r="X688" s="2">
        <f>IF(T688="OVER",$J688,$K688)</f>
        <v>-141.23178407591422</v>
      </c>
      <c r="Y688" s="9">
        <f t="shared" si="90"/>
        <v>-13059.125956335462</v>
      </c>
      <c r="Z688" s="9">
        <f t="shared" si="90"/>
        <v>3170.042635840633</v>
      </c>
      <c r="AA688" s="9">
        <f t="shared" si="90"/>
        <v>39681.308233582859</v>
      </c>
      <c r="AB688" s="9">
        <f t="shared" si="87"/>
        <v>14500.262320688151</v>
      </c>
    </row>
    <row r="689" spans="1:28" x14ac:dyDescent="0.3">
      <c r="A689" s="1">
        <v>45413</v>
      </c>
      <c r="B689" s="2">
        <v>160.65</v>
      </c>
      <c r="C689" s="2">
        <v>500.35</v>
      </c>
      <c r="D689" s="9">
        <f>B689-B688</f>
        <v>-0.54999999999998295</v>
      </c>
      <c r="E689" s="9">
        <f>C689-C688</f>
        <v>-1.6299999999999955</v>
      </c>
      <c r="F689" s="3">
        <f>F$1/B689</f>
        <v>622.47121070650485</v>
      </c>
      <c r="G689" s="3">
        <f>F$1/C689</f>
        <v>199.86009793144797</v>
      </c>
      <c r="H689" s="2">
        <f>D689*F688</f>
        <v>-341.19106699750807</v>
      </c>
      <c r="I689" s="2">
        <f>E689*G688</f>
        <v>-324.714132037132</v>
      </c>
      <c r="J689" s="2">
        <f>I689-H689</f>
        <v>16.47693496037607</v>
      </c>
      <c r="K689" s="2">
        <f t="shared" si="85"/>
        <v>-16.47693496037607</v>
      </c>
      <c r="L689" s="3">
        <f>C689/B689</f>
        <v>3.1145347027699968</v>
      </c>
      <c r="M689" s="3">
        <f t="shared" si="88"/>
        <v>3.1135642606885212</v>
      </c>
      <c r="N689" s="3">
        <f t="shared" si="92"/>
        <v>3.1209314057595101</v>
      </c>
      <c r="O689" s="3">
        <f t="shared" si="84"/>
        <v>3.1170498416422801</v>
      </c>
      <c r="P689" s="3">
        <f t="shared" si="86"/>
        <v>3.061115557212442</v>
      </c>
      <c r="Q689" s="4" t="str">
        <f t="shared" si="91"/>
        <v>UNDER</v>
      </c>
      <c r="R689" s="4" t="str">
        <f t="shared" si="91"/>
        <v>UNDER</v>
      </c>
      <c r="S689" s="4" t="str">
        <f t="shared" si="89"/>
        <v>UNDER</v>
      </c>
      <c r="T689" s="4" t="str">
        <f t="shared" si="89"/>
        <v>OVER</v>
      </c>
      <c r="U689" s="2">
        <f>IF(Q689="OVER",$J689,$K689)</f>
        <v>-16.47693496037607</v>
      </c>
      <c r="V689" s="2">
        <f>IF(R689="OVER",$J689,$K689)</f>
        <v>-16.47693496037607</v>
      </c>
      <c r="W689" s="2">
        <f>IF(S689="OVER",$J689,$K689)</f>
        <v>-16.47693496037607</v>
      </c>
      <c r="X689" s="2">
        <f>IF(T689="OVER",$J689,$K689)</f>
        <v>16.47693496037607</v>
      </c>
      <c r="Y689" s="9">
        <f t="shared" si="90"/>
        <v>-13075.602891295837</v>
      </c>
      <c r="Z689" s="9">
        <f t="shared" si="90"/>
        <v>3153.5657008802568</v>
      </c>
      <c r="AA689" s="9">
        <f t="shared" si="90"/>
        <v>39664.831298622485</v>
      </c>
      <c r="AB689" s="9">
        <f t="shared" si="87"/>
        <v>14516.739255648527</v>
      </c>
    </row>
    <row r="690" spans="1:28" x14ac:dyDescent="0.3">
      <c r="A690" s="1">
        <v>45414</v>
      </c>
      <c r="B690" s="2">
        <v>161.63999999999999</v>
      </c>
      <c r="C690" s="2">
        <v>505.03</v>
      </c>
      <c r="D690" s="9">
        <f>B690-B689</f>
        <v>0.98999999999998067</v>
      </c>
      <c r="E690" s="9">
        <f>C690-C689</f>
        <v>4.67999999999995</v>
      </c>
      <c r="F690" s="3">
        <f>F$1/B690</f>
        <v>618.6587478346944</v>
      </c>
      <c r="G690" s="3">
        <f>F$1/C690</f>
        <v>198.00803912638855</v>
      </c>
      <c r="H690" s="2">
        <f>D690*F689</f>
        <v>616.24649859942781</v>
      </c>
      <c r="I690" s="2">
        <f>E690*G689</f>
        <v>935.34525831916653</v>
      </c>
      <c r="J690" s="2">
        <f>I690-H690</f>
        <v>319.09875971973872</v>
      </c>
      <c r="K690" s="2">
        <f t="shared" si="85"/>
        <v>-319.09875971973872</v>
      </c>
      <c r="L690" s="3">
        <f>C690/B690</f>
        <v>3.1244122741895572</v>
      </c>
      <c r="M690" s="3">
        <f t="shared" si="88"/>
        <v>3.1122563517466957</v>
      </c>
      <c r="N690" s="3">
        <f t="shared" si="92"/>
        <v>3.1220522613069566</v>
      </c>
      <c r="O690" s="3">
        <f t="shared" si="84"/>
        <v>3.1173790672485864</v>
      </c>
      <c r="P690" s="3">
        <f t="shared" si="86"/>
        <v>3.0619228883335365</v>
      </c>
      <c r="Q690" s="4" t="str">
        <f t="shared" si="91"/>
        <v>OVER</v>
      </c>
      <c r="R690" s="4" t="str">
        <f t="shared" si="91"/>
        <v>UNDER</v>
      </c>
      <c r="S690" s="4" t="str">
        <f t="shared" si="89"/>
        <v>OVER</v>
      </c>
      <c r="T690" s="4" t="str">
        <f t="shared" si="89"/>
        <v>OVER</v>
      </c>
      <c r="U690" s="2">
        <f>IF(Q690="OVER",$J690,$K690)</f>
        <v>319.09875971973872</v>
      </c>
      <c r="V690" s="2">
        <f>IF(R690="OVER",$J690,$K690)</f>
        <v>-319.09875971973872</v>
      </c>
      <c r="W690" s="2">
        <f>IF(S690="OVER",$J690,$K690)</f>
        <v>319.09875971973872</v>
      </c>
      <c r="X690" s="2">
        <f>IF(T690="OVER",$J690,$K690)</f>
        <v>319.09875971973872</v>
      </c>
      <c r="Y690" s="9">
        <f t="shared" si="90"/>
        <v>-12756.504131576099</v>
      </c>
      <c r="Z690" s="9">
        <f t="shared" si="90"/>
        <v>2834.4669411605182</v>
      </c>
      <c r="AA690" s="9">
        <f t="shared" si="90"/>
        <v>39983.930058342223</v>
      </c>
      <c r="AB690" s="9">
        <f t="shared" si="87"/>
        <v>14835.838015368265</v>
      </c>
    </row>
    <row r="691" spans="1:28" x14ac:dyDescent="0.3">
      <c r="A691" s="1">
        <v>45415</v>
      </c>
      <c r="B691" s="2">
        <v>162.79</v>
      </c>
      <c r="C691" s="2">
        <v>511.29</v>
      </c>
      <c r="D691" s="9">
        <f>B691-B690</f>
        <v>1.1500000000000057</v>
      </c>
      <c r="E691" s="9">
        <f>C691-C690</f>
        <v>6.2600000000000477</v>
      </c>
      <c r="F691" s="3">
        <f>F$1/B691</f>
        <v>614.28834695005844</v>
      </c>
      <c r="G691" s="3">
        <f>F$1/C691</f>
        <v>195.58371961117956</v>
      </c>
      <c r="H691" s="2">
        <f>D691*F690</f>
        <v>711.45756000990207</v>
      </c>
      <c r="I691" s="2">
        <f>E691*G690</f>
        <v>1239.5303249312019</v>
      </c>
      <c r="J691" s="2">
        <f>I691-H691</f>
        <v>528.07276492129984</v>
      </c>
      <c r="K691" s="2">
        <f t="shared" si="85"/>
        <v>-528.07276492129984</v>
      </c>
      <c r="L691" s="3">
        <f>C691/B691</f>
        <v>3.1407948891209538</v>
      </c>
      <c r="M691" s="3">
        <f t="shared" si="88"/>
        <v>3.1164929021693348</v>
      </c>
      <c r="N691" s="3">
        <f t="shared" si="92"/>
        <v>3.1233043983346733</v>
      </c>
      <c r="O691" s="3">
        <f t="shared" si="84"/>
        <v>3.1173738967633811</v>
      </c>
      <c r="P691" s="3">
        <f t="shared" si="86"/>
        <v>3.0628524388907943</v>
      </c>
      <c r="Q691" s="4" t="str">
        <f t="shared" si="91"/>
        <v>OVER</v>
      </c>
      <c r="R691" s="4" t="str">
        <f t="shared" si="91"/>
        <v>OVER</v>
      </c>
      <c r="S691" s="4" t="str">
        <f t="shared" si="89"/>
        <v>OVER</v>
      </c>
      <c r="T691" s="4" t="str">
        <f t="shared" si="89"/>
        <v>OVER</v>
      </c>
      <c r="U691" s="2">
        <f>IF(Q691="OVER",$J691,$K691)</f>
        <v>528.07276492129984</v>
      </c>
      <c r="V691" s="2">
        <f>IF(R691="OVER",$J691,$K691)</f>
        <v>528.07276492129984</v>
      </c>
      <c r="W691" s="2">
        <f>IF(S691="OVER",$J691,$K691)</f>
        <v>528.07276492129984</v>
      </c>
      <c r="X691" s="2">
        <f>IF(T691="OVER",$J691,$K691)</f>
        <v>528.07276492129984</v>
      </c>
      <c r="Y691" s="9">
        <f t="shared" si="90"/>
        <v>-12228.431366654799</v>
      </c>
      <c r="Z691" s="9">
        <f t="shared" si="90"/>
        <v>3362.5397060818182</v>
      </c>
      <c r="AA691" s="9">
        <f t="shared" si="90"/>
        <v>40512.002823263523</v>
      </c>
      <c r="AB691" s="9">
        <f t="shared" si="87"/>
        <v>15363.910780289565</v>
      </c>
    </row>
    <row r="692" spans="1:28" x14ac:dyDescent="0.3">
      <c r="A692" s="1">
        <v>45418</v>
      </c>
      <c r="B692" s="2">
        <v>164.04</v>
      </c>
      <c r="C692" s="2">
        <v>516.57000000000005</v>
      </c>
      <c r="D692" s="9">
        <f>B692-B691</f>
        <v>1.25</v>
      </c>
      <c r="E692" s="9">
        <f>C692-C691</f>
        <v>5.2800000000000296</v>
      </c>
      <c r="F692" s="3">
        <f>F$1/B692</f>
        <v>609.60741282614003</v>
      </c>
      <c r="G692" s="3">
        <f>F$1/C692</f>
        <v>193.58460615211877</v>
      </c>
      <c r="H692" s="2">
        <f>D692*F691</f>
        <v>767.86043368757305</v>
      </c>
      <c r="I692" s="2">
        <f>E692*G691</f>
        <v>1032.6820395470338</v>
      </c>
      <c r="J692" s="2">
        <f>I692-H692</f>
        <v>264.82160585946076</v>
      </c>
      <c r="K692" s="2">
        <f t="shared" si="85"/>
        <v>-264.82160585946076</v>
      </c>
      <c r="L692" s="3">
        <f>C692/B692</f>
        <v>3.1490490124359916</v>
      </c>
      <c r="M692" s="3">
        <f t="shared" si="88"/>
        <v>3.1210705352020414</v>
      </c>
      <c r="N692" s="3">
        <f t="shared" si="92"/>
        <v>3.1253584067755265</v>
      </c>
      <c r="O692" s="3">
        <f t="shared" si="84"/>
        <v>3.1176573461479036</v>
      </c>
      <c r="P692" s="3">
        <f t="shared" si="86"/>
        <v>3.0639060210768934</v>
      </c>
      <c r="Q692" s="4" t="str">
        <f t="shared" si="91"/>
        <v>OVER</v>
      </c>
      <c r="R692" s="4" t="str">
        <f t="shared" si="91"/>
        <v>OVER</v>
      </c>
      <c r="S692" s="4" t="str">
        <f t="shared" si="89"/>
        <v>OVER</v>
      </c>
      <c r="T692" s="4" t="str">
        <f t="shared" si="89"/>
        <v>OVER</v>
      </c>
      <c r="U692" s="2">
        <f>IF(Q692="OVER",$J692,$K692)</f>
        <v>264.82160585946076</v>
      </c>
      <c r="V692" s="2">
        <f>IF(R692="OVER",$J692,$K692)</f>
        <v>264.82160585946076</v>
      </c>
      <c r="W692" s="2">
        <f>IF(S692="OVER",$J692,$K692)</f>
        <v>264.82160585946076</v>
      </c>
      <c r="X692" s="2">
        <f>IF(T692="OVER",$J692,$K692)</f>
        <v>264.82160585946076</v>
      </c>
      <c r="Y692" s="9">
        <f t="shared" si="90"/>
        <v>-11963.609760795338</v>
      </c>
      <c r="Z692" s="9">
        <f t="shared" si="90"/>
        <v>3627.3613119412789</v>
      </c>
      <c r="AA692" s="9">
        <f t="shared" si="90"/>
        <v>40776.824429122986</v>
      </c>
      <c r="AB692" s="9">
        <f t="shared" si="87"/>
        <v>15628.732386149026</v>
      </c>
    </row>
    <row r="693" spans="1:28" x14ac:dyDescent="0.3">
      <c r="A693" s="1">
        <v>45419</v>
      </c>
      <c r="B693" s="2">
        <v>164.5</v>
      </c>
      <c r="C693" s="2">
        <v>517.14</v>
      </c>
      <c r="D693" s="9">
        <f>B693-B692</f>
        <v>0.46000000000000796</v>
      </c>
      <c r="E693" s="9">
        <f>C693-C692</f>
        <v>0.56999999999993634</v>
      </c>
      <c r="F693" s="3">
        <f>F$1/B693</f>
        <v>607.90273556231</v>
      </c>
      <c r="G693" s="3">
        <f>F$1/C693</f>
        <v>193.37123409521601</v>
      </c>
      <c r="H693" s="2">
        <f>D693*F692</f>
        <v>280.41940990002928</v>
      </c>
      <c r="I693" s="2">
        <f>E693*G692</f>
        <v>110.34322550669538</v>
      </c>
      <c r="J693" s="2">
        <f>I693-H693</f>
        <v>-170.0761843933339</v>
      </c>
      <c r="K693" s="2">
        <f t="shared" si="85"/>
        <v>170.0761843933339</v>
      </c>
      <c r="L693" s="3">
        <f>C693/B693</f>
        <v>3.14370820668693</v>
      </c>
      <c r="M693" s="3">
        <f t="shared" si="88"/>
        <v>3.1241955107396251</v>
      </c>
      <c r="N693" s="3">
        <f t="shared" si="92"/>
        <v>3.1275784315763322</v>
      </c>
      <c r="O693" s="3">
        <f t="shared" ref="O693:O756" si="93">AVERAGE(L644:L693)</f>
        <v>3.117811956516535</v>
      </c>
      <c r="P693" s="3">
        <f t="shared" si="86"/>
        <v>3.0649538723432785</v>
      </c>
      <c r="Q693" s="4" t="str">
        <f t="shared" si="91"/>
        <v>OVER</v>
      </c>
      <c r="R693" s="4" t="str">
        <f t="shared" si="91"/>
        <v>OVER</v>
      </c>
      <c r="S693" s="4" t="str">
        <f t="shared" si="89"/>
        <v>OVER</v>
      </c>
      <c r="T693" s="4" t="str">
        <f t="shared" si="89"/>
        <v>OVER</v>
      </c>
      <c r="U693" s="2">
        <f>IF(Q693="OVER",$J693,$K693)</f>
        <v>-170.0761843933339</v>
      </c>
      <c r="V693" s="2">
        <f>IF(R693="OVER",$J693,$K693)</f>
        <v>-170.0761843933339</v>
      </c>
      <c r="W693" s="2">
        <f>IF(S693="OVER",$J693,$K693)</f>
        <v>-170.0761843933339</v>
      </c>
      <c r="X693" s="2">
        <f>IF(T693="OVER",$J693,$K693)</f>
        <v>-170.0761843933339</v>
      </c>
      <c r="Y693" s="9">
        <f t="shared" si="90"/>
        <v>-12133.685945188672</v>
      </c>
      <c r="Z693" s="9">
        <f t="shared" si="90"/>
        <v>3457.2851275479452</v>
      </c>
      <c r="AA693" s="9">
        <f t="shared" si="90"/>
        <v>40606.74824472965</v>
      </c>
      <c r="AB693" s="9">
        <f t="shared" si="87"/>
        <v>15458.656201755692</v>
      </c>
    </row>
    <row r="694" spans="1:28" x14ac:dyDescent="0.3">
      <c r="A694" s="1">
        <v>45420</v>
      </c>
      <c r="B694" s="2">
        <v>164.46</v>
      </c>
      <c r="C694" s="2">
        <v>517.19000000000005</v>
      </c>
      <c r="D694" s="9">
        <f>B694-B693</f>
        <v>-3.9999999999992042E-2</v>
      </c>
      <c r="E694" s="9">
        <f>C694-C693</f>
        <v>5.0000000000068212E-2</v>
      </c>
      <c r="F694" s="3">
        <f>F$1/B694</f>
        <v>608.05058980907211</v>
      </c>
      <c r="G694" s="3">
        <f>F$1/C694</f>
        <v>193.35253968560875</v>
      </c>
      <c r="H694" s="2">
        <f>D694*F693</f>
        <v>-24.31610942248756</v>
      </c>
      <c r="I694" s="2">
        <f>E694*G693</f>
        <v>9.6685617047739907</v>
      </c>
      <c r="J694" s="2">
        <f>I694-H694</f>
        <v>33.984671127261549</v>
      </c>
      <c r="K694" s="2">
        <f t="shared" si="85"/>
        <v>-33.984671127261549</v>
      </c>
      <c r="L694" s="3">
        <f>C694/B694</f>
        <v>3.1447768454335403</v>
      </c>
      <c r="M694" s="3">
        <f t="shared" si="88"/>
        <v>3.1280148880729479</v>
      </c>
      <c r="N694" s="3">
        <f t="shared" si="92"/>
        <v>3.1287490326968954</v>
      </c>
      <c r="O694" s="3">
        <f t="shared" si="93"/>
        <v>3.1181467134671652</v>
      </c>
      <c r="P694" s="3">
        <f t="shared" si="86"/>
        <v>3.0659825320331091</v>
      </c>
      <c r="Q694" s="4" t="str">
        <f t="shared" si="91"/>
        <v>OVER</v>
      </c>
      <c r="R694" s="4" t="str">
        <f t="shared" si="91"/>
        <v>OVER</v>
      </c>
      <c r="S694" s="4" t="str">
        <f t="shared" si="89"/>
        <v>OVER</v>
      </c>
      <c r="T694" s="4" t="str">
        <f t="shared" si="89"/>
        <v>OVER</v>
      </c>
      <c r="U694" s="2">
        <f>IF(Q694="OVER",$J694,$K694)</f>
        <v>33.984671127261549</v>
      </c>
      <c r="V694" s="2">
        <f>IF(R694="OVER",$J694,$K694)</f>
        <v>33.984671127261549</v>
      </c>
      <c r="W694" s="2">
        <f>IF(S694="OVER",$J694,$K694)</f>
        <v>33.984671127261549</v>
      </c>
      <c r="X694" s="2">
        <f>IF(T694="OVER",$J694,$K694)</f>
        <v>33.984671127261549</v>
      </c>
      <c r="Y694" s="9">
        <f t="shared" si="90"/>
        <v>-12099.70127406141</v>
      </c>
      <c r="Z694" s="9">
        <f t="shared" si="90"/>
        <v>3491.2697986752069</v>
      </c>
      <c r="AA694" s="9">
        <f t="shared" si="90"/>
        <v>40640.732915856912</v>
      </c>
      <c r="AB694" s="9">
        <f t="shared" si="87"/>
        <v>15492.640872882954</v>
      </c>
    </row>
    <row r="695" spans="1:28" x14ac:dyDescent="0.3">
      <c r="A695" s="1">
        <v>45421</v>
      </c>
      <c r="B695" s="2">
        <v>165.84</v>
      </c>
      <c r="C695" s="2">
        <v>520.16999999999996</v>
      </c>
      <c r="D695" s="9">
        <f>B695-B694</f>
        <v>1.3799999999999955</v>
      </c>
      <c r="E695" s="9">
        <f>C695-C694</f>
        <v>2.9799999999999045</v>
      </c>
      <c r="F695" s="3">
        <f>F$1/B695</f>
        <v>602.99083453931496</v>
      </c>
      <c r="G695" s="3">
        <f>F$1/C695</f>
        <v>192.24484303208567</v>
      </c>
      <c r="H695" s="2">
        <f>D695*F694</f>
        <v>839.10981393651673</v>
      </c>
      <c r="I695" s="2">
        <f>E695*G694</f>
        <v>576.19056826309566</v>
      </c>
      <c r="J695" s="2">
        <f>I695-H695</f>
        <v>-262.91924567342107</v>
      </c>
      <c r="K695" s="2">
        <f t="shared" si="85"/>
        <v>262.91924567342107</v>
      </c>
      <c r="L695" s="3">
        <f>C695/B695</f>
        <v>3.1365774240231543</v>
      </c>
      <c r="M695" s="3">
        <f t="shared" si="88"/>
        <v>3.1315463600718139</v>
      </c>
      <c r="N695" s="3">
        <f t="shared" si="92"/>
        <v>3.128217189395349</v>
      </c>
      <c r="O695" s="3">
        <f t="shared" si="93"/>
        <v>3.1184232903216729</v>
      </c>
      <c r="P695" s="3">
        <f t="shared" si="86"/>
        <v>3.0669405565602728</v>
      </c>
      <c r="Q695" s="4" t="str">
        <f t="shared" si="91"/>
        <v>OVER</v>
      </c>
      <c r="R695" s="4" t="str">
        <f t="shared" si="91"/>
        <v>OVER</v>
      </c>
      <c r="S695" s="4" t="str">
        <f t="shared" si="89"/>
        <v>OVER</v>
      </c>
      <c r="T695" s="4" t="str">
        <f t="shared" si="89"/>
        <v>OVER</v>
      </c>
      <c r="U695" s="2">
        <f>IF(Q695="OVER",$J695,$K695)</f>
        <v>-262.91924567342107</v>
      </c>
      <c r="V695" s="2">
        <f>IF(R695="OVER",$J695,$K695)</f>
        <v>-262.91924567342107</v>
      </c>
      <c r="W695" s="2">
        <f>IF(S695="OVER",$J695,$K695)</f>
        <v>-262.91924567342107</v>
      </c>
      <c r="X695" s="2">
        <f>IF(T695="OVER",$J695,$K695)</f>
        <v>-262.91924567342107</v>
      </c>
      <c r="Y695" s="9">
        <f t="shared" si="90"/>
        <v>-12362.620519734832</v>
      </c>
      <c r="Z695" s="9">
        <f t="shared" si="90"/>
        <v>3228.3505530017856</v>
      </c>
      <c r="AA695" s="9">
        <f t="shared" si="90"/>
        <v>40377.813670183488</v>
      </c>
      <c r="AB695" s="9">
        <f t="shared" si="87"/>
        <v>15229.721627209532</v>
      </c>
    </row>
    <row r="696" spans="1:28" x14ac:dyDescent="0.3">
      <c r="A696" s="1">
        <v>45422</v>
      </c>
      <c r="B696" s="2">
        <v>166.11</v>
      </c>
      <c r="C696" s="2">
        <v>520.84</v>
      </c>
      <c r="D696" s="9">
        <f>B696-B695</f>
        <v>0.27000000000001023</v>
      </c>
      <c r="E696" s="9">
        <f>C696-C695</f>
        <v>0.67000000000007276</v>
      </c>
      <c r="F696" s="3">
        <f>F$1/B696</f>
        <v>602.01071579074107</v>
      </c>
      <c r="G696" s="3">
        <f>F$1/C696</f>
        <v>191.99754243145688</v>
      </c>
      <c r="H696" s="2">
        <f>D696*F695</f>
        <v>162.80752532562121</v>
      </c>
      <c r="I696" s="2">
        <f>E696*G695</f>
        <v>128.80404483151139</v>
      </c>
      <c r="J696" s="2">
        <f>I696-H696</f>
        <v>-34.003480494109823</v>
      </c>
      <c r="K696" s="2">
        <f t="shared" si="85"/>
        <v>34.003480494109823</v>
      </c>
      <c r="L696" s="3">
        <f>C696/B696</f>
        <v>3.1355126121244958</v>
      </c>
      <c r="M696" s="3">
        <f t="shared" si="88"/>
        <v>3.1321874445927662</v>
      </c>
      <c r="N696" s="3">
        <f t="shared" si="92"/>
        <v>3.1273035991101059</v>
      </c>
      <c r="O696" s="3">
        <f t="shared" si="93"/>
        <v>3.1187120179004859</v>
      </c>
      <c r="P696" s="3">
        <f t="shared" si="86"/>
        <v>3.0679242486531537</v>
      </c>
      <c r="Q696" s="4" t="str">
        <f t="shared" si="91"/>
        <v>OVER</v>
      </c>
      <c r="R696" s="4" t="str">
        <f t="shared" si="91"/>
        <v>OVER</v>
      </c>
      <c r="S696" s="4" t="str">
        <f t="shared" si="89"/>
        <v>OVER</v>
      </c>
      <c r="T696" s="4" t="str">
        <f t="shared" si="89"/>
        <v>OVER</v>
      </c>
      <c r="U696" s="2">
        <f>IF(Q696="OVER",$J696,$K696)</f>
        <v>-34.003480494109823</v>
      </c>
      <c r="V696" s="2">
        <f>IF(R696="OVER",$J696,$K696)</f>
        <v>-34.003480494109823</v>
      </c>
      <c r="W696" s="2">
        <f>IF(S696="OVER",$J696,$K696)</f>
        <v>-34.003480494109823</v>
      </c>
      <c r="X696" s="2">
        <f>IF(T696="OVER",$J696,$K696)</f>
        <v>-34.003480494109823</v>
      </c>
      <c r="Y696" s="9">
        <f t="shared" si="90"/>
        <v>-12396.624000228941</v>
      </c>
      <c r="Z696" s="9">
        <f t="shared" si="90"/>
        <v>3194.3470725076759</v>
      </c>
      <c r="AA696" s="9">
        <f t="shared" si="90"/>
        <v>40343.810189689379</v>
      </c>
      <c r="AB696" s="9">
        <f t="shared" si="87"/>
        <v>15195.718146715422</v>
      </c>
    </row>
    <row r="697" spans="1:28" x14ac:dyDescent="0.3">
      <c r="A697" s="1">
        <v>45425</v>
      </c>
      <c r="B697" s="2">
        <v>166.07</v>
      </c>
      <c r="C697" s="2">
        <v>520.91</v>
      </c>
      <c r="D697" s="9">
        <f>B697-B696</f>
        <v>-4.0000000000020464E-2</v>
      </c>
      <c r="E697" s="9">
        <f>C697-C696</f>
        <v>6.9999999999936335E-2</v>
      </c>
      <c r="F697" s="3">
        <f>F$1/B697</f>
        <v>602.15571746853743</v>
      </c>
      <c r="G697" s="3">
        <f>F$1/C697</f>
        <v>191.971741759613</v>
      </c>
      <c r="H697" s="2">
        <f>D697*F696</f>
        <v>-24.080428631641961</v>
      </c>
      <c r="I697" s="2">
        <f>E697*G696</f>
        <v>13.439827970189757</v>
      </c>
      <c r="J697" s="2">
        <f>I697-H697</f>
        <v>37.520256601831719</v>
      </c>
      <c r="K697" s="2">
        <f t="shared" si="85"/>
        <v>-37.520256601831719</v>
      </c>
      <c r="L697" s="3">
        <f>C697/B697</f>
        <v>3.1366893478653579</v>
      </c>
      <c r="M697" s="3">
        <f t="shared" si="88"/>
        <v>3.1340075165766605</v>
      </c>
      <c r="N697" s="3">
        <f t="shared" si="92"/>
        <v>3.1270668247547126</v>
      </c>
      <c r="O697" s="3">
        <f t="shared" si="93"/>
        <v>3.1188764154842801</v>
      </c>
      <c r="P697" s="3">
        <f t="shared" si="86"/>
        <v>3.0688820380115902</v>
      </c>
      <c r="Q697" s="4" t="str">
        <f t="shared" si="91"/>
        <v>OVER</v>
      </c>
      <c r="R697" s="4" t="str">
        <f t="shared" si="91"/>
        <v>OVER</v>
      </c>
      <c r="S697" s="4" t="str">
        <f t="shared" si="89"/>
        <v>OVER</v>
      </c>
      <c r="T697" s="4" t="str">
        <f t="shared" si="89"/>
        <v>OVER</v>
      </c>
      <c r="U697" s="2">
        <f>IF(Q697="OVER",$J697,$K697)</f>
        <v>37.520256601831719</v>
      </c>
      <c r="V697" s="2">
        <f>IF(R697="OVER",$J697,$K697)</f>
        <v>37.520256601831719</v>
      </c>
      <c r="W697" s="2">
        <f>IF(S697="OVER",$J697,$K697)</f>
        <v>37.520256601831719</v>
      </c>
      <c r="X697" s="2">
        <f>IF(T697="OVER",$J697,$K697)</f>
        <v>37.520256601831719</v>
      </c>
      <c r="Y697" s="9">
        <f t="shared" si="90"/>
        <v>-12359.103743627109</v>
      </c>
      <c r="Z697" s="9">
        <f t="shared" si="90"/>
        <v>3231.8673291095074</v>
      </c>
      <c r="AA697" s="9">
        <f t="shared" si="90"/>
        <v>40381.330446291213</v>
      </c>
      <c r="AB697" s="9">
        <f t="shared" si="87"/>
        <v>15233.238403317255</v>
      </c>
    </row>
    <row r="698" spans="1:28" x14ac:dyDescent="0.3">
      <c r="A698" s="1">
        <v>45426</v>
      </c>
      <c r="B698" s="2">
        <v>166.73</v>
      </c>
      <c r="C698" s="2">
        <v>523.29999999999995</v>
      </c>
      <c r="D698" s="9">
        <f>B698-B697</f>
        <v>0.65999999999999659</v>
      </c>
      <c r="E698" s="9">
        <f>C698-C697</f>
        <v>2.3899999999999864</v>
      </c>
      <c r="F698" s="3">
        <f>F$1/B698</f>
        <v>599.77208660708936</v>
      </c>
      <c r="G698" s="3">
        <f>F$1/C698</f>
        <v>191.09497420217849</v>
      </c>
      <c r="H698" s="2">
        <f>D698*F697</f>
        <v>397.42277352923264</v>
      </c>
      <c r="I698" s="2">
        <f>E698*G697</f>
        <v>458.81246280547242</v>
      </c>
      <c r="J698" s="2">
        <f>I698-H698</f>
        <v>61.389689276239778</v>
      </c>
      <c r="K698" s="2">
        <f t="shared" si="85"/>
        <v>-61.389689276239778</v>
      </c>
      <c r="L698" s="3">
        <f>C698/B698</f>
        <v>3.1386073292148984</v>
      </c>
      <c r="M698" s="3">
        <f t="shared" si="88"/>
        <v>3.1364662643864878</v>
      </c>
      <c r="N698" s="3">
        <f t="shared" si="92"/>
        <v>3.1263386027002094</v>
      </c>
      <c r="O698" s="3">
        <f t="shared" si="93"/>
        <v>3.1192604478385344</v>
      </c>
      <c r="P698" s="3">
        <f t="shared" si="86"/>
        <v>3.0697784425333121</v>
      </c>
      <c r="Q698" s="4" t="str">
        <f t="shared" si="91"/>
        <v>OVER</v>
      </c>
      <c r="R698" s="4" t="str">
        <f t="shared" si="91"/>
        <v>OVER</v>
      </c>
      <c r="S698" s="4" t="str">
        <f t="shared" si="89"/>
        <v>OVER</v>
      </c>
      <c r="T698" s="4" t="str">
        <f t="shared" si="89"/>
        <v>OVER</v>
      </c>
      <c r="U698" s="2">
        <f>IF(Q698="OVER",$J698,$K698)</f>
        <v>61.389689276239778</v>
      </c>
      <c r="V698" s="2">
        <f>IF(R698="OVER",$J698,$K698)</f>
        <v>61.389689276239778</v>
      </c>
      <c r="W698" s="2">
        <f>IF(S698="OVER",$J698,$K698)</f>
        <v>61.389689276239778</v>
      </c>
      <c r="X698" s="2">
        <f>IF(T698="OVER",$J698,$K698)</f>
        <v>61.389689276239778</v>
      </c>
      <c r="Y698" s="9">
        <f t="shared" si="90"/>
        <v>-12297.714054350869</v>
      </c>
      <c r="Z698" s="9">
        <f t="shared" si="90"/>
        <v>3293.257018385747</v>
      </c>
      <c r="AA698" s="9">
        <f t="shared" si="90"/>
        <v>40442.720135567455</v>
      </c>
      <c r="AB698" s="9">
        <f t="shared" si="87"/>
        <v>15294.628092593495</v>
      </c>
    </row>
    <row r="699" spans="1:28" x14ac:dyDescent="0.3">
      <c r="A699" s="1">
        <v>45427</v>
      </c>
      <c r="B699" s="2">
        <v>168.06</v>
      </c>
      <c r="C699" s="2">
        <v>529.78</v>
      </c>
      <c r="D699" s="9">
        <f>B699-B698</f>
        <v>1.3300000000000125</v>
      </c>
      <c r="E699" s="9">
        <f>C699-C698</f>
        <v>6.4800000000000182</v>
      </c>
      <c r="F699" s="3">
        <f>F$1/B699</f>
        <v>595.0255861002023</v>
      </c>
      <c r="G699" s="3">
        <f>F$1/C699</f>
        <v>188.7575974932991</v>
      </c>
      <c r="H699" s="2">
        <f>D699*F698</f>
        <v>797.69687518743638</v>
      </c>
      <c r="I699" s="2">
        <f>E699*G698</f>
        <v>1238.29543283012</v>
      </c>
      <c r="J699" s="2">
        <f>I699-H699</f>
        <v>440.59855764268366</v>
      </c>
      <c r="K699" s="2">
        <f t="shared" si="85"/>
        <v>-440.59855764268366</v>
      </c>
      <c r="L699" s="3">
        <f>C699/B699</f>
        <v>3.1523265500416517</v>
      </c>
      <c r="M699" s="3">
        <f t="shared" si="88"/>
        <v>3.1402454491136531</v>
      </c>
      <c r="N699" s="3">
        <f t="shared" si="92"/>
        <v>3.1269048549010869</v>
      </c>
      <c r="O699" s="3">
        <f t="shared" si="93"/>
        <v>3.1202590219027395</v>
      </c>
      <c r="P699" s="3">
        <f t="shared" si="86"/>
        <v>3.0707612142298011</v>
      </c>
      <c r="Q699" s="4" t="str">
        <f t="shared" si="91"/>
        <v>OVER</v>
      </c>
      <c r="R699" s="4" t="str">
        <f t="shared" si="91"/>
        <v>OVER</v>
      </c>
      <c r="S699" s="4" t="str">
        <f t="shared" si="89"/>
        <v>OVER</v>
      </c>
      <c r="T699" s="4" t="str">
        <f t="shared" si="89"/>
        <v>OVER</v>
      </c>
      <c r="U699" s="2">
        <f>IF(Q699="OVER",$J699,$K699)</f>
        <v>440.59855764268366</v>
      </c>
      <c r="V699" s="2">
        <f>IF(R699="OVER",$J699,$K699)</f>
        <v>440.59855764268366</v>
      </c>
      <c r="W699" s="2">
        <f>IF(S699="OVER",$J699,$K699)</f>
        <v>440.59855764268366</v>
      </c>
      <c r="X699" s="2">
        <f>IF(T699="OVER",$J699,$K699)</f>
        <v>440.59855764268366</v>
      </c>
      <c r="Y699" s="9">
        <f t="shared" si="90"/>
        <v>-11857.115496708186</v>
      </c>
      <c r="Z699" s="9">
        <f t="shared" si="90"/>
        <v>3733.8555760284307</v>
      </c>
      <c r="AA699" s="9">
        <f t="shared" si="90"/>
        <v>40883.318693210138</v>
      </c>
      <c r="AB699" s="9">
        <f t="shared" si="87"/>
        <v>15735.226650236178</v>
      </c>
    </row>
    <row r="700" spans="1:28" x14ac:dyDescent="0.3">
      <c r="A700" s="1">
        <v>45428</v>
      </c>
      <c r="B700" s="2">
        <v>167.79</v>
      </c>
      <c r="C700" s="2">
        <v>528.69000000000005</v>
      </c>
      <c r="D700" s="9">
        <f>B700-B699</f>
        <v>-0.27000000000001023</v>
      </c>
      <c r="E700" s="9">
        <f>C700-C699</f>
        <v>-1.0899999999999181</v>
      </c>
      <c r="F700" s="3">
        <f>F$1/B700</f>
        <v>595.98307408069616</v>
      </c>
      <c r="G700" s="3">
        <f>F$1/C700</f>
        <v>189.14675897028502</v>
      </c>
      <c r="H700" s="2">
        <f>D700*F699</f>
        <v>-160.6569082470607</v>
      </c>
      <c r="I700" s="2">
        <f>E700*G699</f>
        <v>-205.74578126768057</v>
      </c>
      <c r="J700" s="2">
        <f>I700-H700</f>
        <v>-45.088873020619872</v>
      </c>
      <c r="K700" s="2">
        <f t="shared" si="85"/>
        <v>45.088873020619872</v>
      </c>
      <c r="L700" s="3">
        <f>C700/B700</f>
        <v>3.1509029143572329</v>
      </c>
      <c r="M700" s="3">
        <f t="shared" si="88"/>
        <v>3.1428945131304209</v>
      </c>
      <c r="N700" s="3">
        <f t="shared" si="92"/>
        <v>3.1275754324385581</v>
      </c>
      <c r="O700" s="3">
        <f t="shared" si="93"/>
        <v>3.1212674700688456</v>
      </c>
      <c r="P700" s="3">
        <f t="shared" si="86"/>
        <v>3.0717189702926735</v>
      </c>
      <c r="Q700" s="4" t="str">
        <f t="shared" si="91"/>
        <v>OVER</v>
      </c>
      <c r="R700" s="4" t="str">
        <f t="shared" si="91"/>
        <v>OVER</v>
      </c>
      <c r="S700" s="4" t="str">
        <f t="shared" si="89"/>
        <v>OVER</v>
      </c>
      <c r="T700" s="4" t="str">
        <f t="shared" si="89"/>
        <v>OVER</v>
      </c>
      <c r="U700" s="2">
        <f>IF(Q700="OVER",$J700,$K700)</f>
        <v>-45.088873020619872</v>
      </c>
      <c r="V700" s="2">
        <f>IF(R700="OVER",$J700,$K700)</f>
        <v>-45.088873020619872</v>
      </c>
      <c r="W700" s="2">
        <f>IF(S700="OVER",$J700,$K700)</f>
        <v>-45.088873020619872</v>
      </c>
      <c r="X700" s="2">
        <f>IF(T700="OVER",$J700,$K700)</f>
        <v>-45.088873020619872</v>
      </c>
      <c r="Y700" s="9">
        <f t="shared" si="90"/>
        <v>-11902.204369728806</v>
      </c>
      <c r="Z700" s="9">
        <f t="shared" si="90"/>
        <v>3688.766703007811</v>
      </c>
      <c r="AA700" s="9">
        <f t="shared" si="90"/>
        <v>40838.229820189517</v>
      </c>
      <c r="AB700" s="9">
        <f t="shared" si="87"/>
        <v>15690.137777215557</v>
      </c>
    </row>
    <row r="701" spans="1:28" x14ac:dyDescent="0.3">
      <c r="A701" s="1">
        <v>45429</v>
      </c>
      <c r="B701" s="2">
        <v>168.04</v>
      </c>
      <c r="C701" s="2">
        <v>529.45000000000005</v>
      </c>
      <c r="D701" s="9">
        <f>B701-B700</f>
        <v>0.25</v>
      </c>
      <c r="E701" s="9">
        <f>C701-C700</f>
        <v>0.75999999999999091</v>
      </c>
      <c r="F701" s="3">
        <f>F$1/B701</f>
        <v>595.09640561771005</v>
      </c>
      <c r="G701" s="3">
        <f>F$1/C701</f>
        <v>188.87524789876286</v>
      </c>
      <c r="H701" s="2">
        <f>D701*F700</f>
        <v>148.99576852017404</v>
      </c>
      <c r="I701" s="2">
        <f>E701*G700</f>
        <v>143.75153681741489</v>
      </c>
      <c r="J701" s="2">
        <f>I701-H701</f>
        <v>-5.2442317027591514</v>
      </c>
      <c r="K701" s="2">
        <f t="shared" si="85"/>
        <v>5.2442317027591514</v>
      </c>
      <c r="L701" s="3">
        <f>C701/B701</f>
        <v>3.1507379195429666</v>
      </c>
      <c r="M701" s="3">
        <f t="shared" si="88"/>
        <v>3.1438888161726224</v>
      </c>
      <c r="N701" s="3">
        <f t="shared" si="92"/>
        <v>3.1301908591709782</v>
      </c>
      <c r="O701" s="3">
        <f t="shared" si="93"/>
        <v>3.1221446303909057</v>
      </c>
      <c r="P701" s="3">
        <f t="shared" si="86"/>
        <v>3.0727413468913052</v>
      </c>
      <c r="Q701" s="4" t="str">
        <f t="shared" si="91"/>
        <v>OVER</v>
      </c>
      <c r="R701" s="4" t="str">
        <f t="shared" si="91"/>
        <v>OVER</v>
      </c>
      <c r="S701" s="4" t="str">
        <f t="shared" si="89"/>
        <v>OVER</v>
      </c>
      <c r="T701" s="4" t="str">
        <f t="shared" si="89"/>
        <v>OVER</v>
      </c>
      <c r="U701" s="2">
        <f>IF(Q701="OVER",$J701,$K701)</f>
        <v>-5.2442317027591514</v>
      </c>
      <c r="V701" s="2">
        <f>IF(R701="OVER",$J701,$K701)</f>
        <v>-5.2442317027591514</v>
      </c>
      <c r="W701" s="2">
        <f>IF(S701="OVER",$J701,$K701)</f>
        <v>-5.2442317027591514</v>
      </c>
      <c r="X701" s="2">
        <f>IF(T701="OVER",$J701,$K701)</f>
        <v>-5.2442317027591514</v>
      </c>
      <c r="Y701" s="9">
        <f t="shared" si="90"/>
        <v>-11907.448601431566</v>
      </c>
      <c r="Z701" s="9">
        <f t="shared" si="90"/>
        <v>3683.522471305052</v>
      </c>
      <c r="AA701" s="9">
        <f t="shared" si="90"/>
        <v>40832.985588486757</v>
      </c>
      <c r="AB701" s="9">
        <f t="shared" si="87"/>
        <v>15684.893545512798</v>
      </c>
    </row>
    <row r="702" spans="1:28" x14ac:dyDescent="0.3">
      <c r="A702" s="1">
        <v>45432</v>
      </c>
      <c r="B702" s="2">
        <v>167.9</v>
      </c>
      <c r="C702" s="2">
        <v>530.05999999999995</v>
      </c>
      <c r="D702" s="9">
        <f>B702-B701</f>
        <v>-0.13999999999998636</v>
      </c>
      <c r="E702" s="9">
        <f>C702-C701</f>
        <v>0.60999999999989996</v>
      </c>
      <c r="F702" s="3">
        <f>F$1/B702</f>
        <v>595.59261465157829</v>
      </c>
      <c r="G702" s="3">
        <f>F$1/C702</f>
        <v>188.65788778628837</v>
      </c>
      <c r="H702" s="2">
        <f>D702*F701</f>
        <v>-83.313496786471291</v>
      </c>
      <c r="I702" s="2">
        <f>E702*G701</f>
        <v>115.21390121822645</v>
      </c>
      <c r="J702" s="2">
        <f>I702-H702</f>
        <v>198.52739800469774</v>
      </c>
      <c r="K702" s="2">
        <f t="shared" si="85"/>
        <v>-198.52739800469774</v>
      </c>
      <c r="L702" s="3">
        <f>C702/B702</f>
        <v>3.1569982132221557</v>
      </c>
      <c r="M702" s="3">
        <f t="shared" si="88"/>
        <v>3.1446837362512383</v>
      </c>
      <c r="N702" s="3">
        <f t="shared" si="92"/>
        <v>3.1328771357266394</v>
      </c>
      <c r="O702" s="3">
        <f t="shared" si="93"/>
        <v>3.1234490560172001</v>
      </c>
      <c r="P702" s="3">
        <f t="shared" si="86"/>
        <v>3.0737638067115269</v>
      </c>
      <c r="Q702" s="4" t="str">
        <f t="shared" si="91"/>
        <v>OVER</v>
      </c>
      <c r="R702" s="4" t="str">
        <f t="shared" si="91"/>
        <v>OVER</v>
      </c>
      <c r="S702" s="4" t="str">
        <f t="shared" si="89"/>
        <v>OVER</v>
      </c>
      <c r="T702" s="4" t="str">
        <f t="shared" si="89"/>
        <v>OVER</v>
      </c>
      <c r="U702" s="2">
        <f>IF(Q702="OVER",$J702,$K702)</f>
        <v>198.52739800469774</v>
      </c>
      <c r="V702" s="2">
        <f>IF(R702="OVER",$J702,$K702)</f>
        <v>198.52739800469774</v>
      </c>
      <c r="W702" s="2">
        <f>IF(S702="OVER",$J702,$K702)</f>
        <v>198.52739800469774</v>
      </c>
      <c r="X702" s="2">
        <f>IF(T702="OVER",$J702,$K702)</f>
        <v>198.52739800469774</v>
      </c>
      <c r="Y702" s="9">
        <f t="shared" si="90"/>
        <v>-11708.921203426868</v>
      </c>
      <c r="Z702" s="9">
        <f t="shared" si="90"/>
        <v>3882.0498693097497</v>
      </c>
      <c r="AA702" s="9">
        <f t="shared" si="90"/>
        <v>41031.512986491456</v>
      </c>
      <c r="AB702" s="9">
        <f t="shared" si="87"/>
        <v>15883.420943517496</v>
      </c>
    </row>
    <row r="703" spans="1:28" x14ac:dyDescent="0.3">
      <c r="A703" s="1">
        <v>45433</v>
      </c>
      <c r="B703" s="2">
        <v>167.83</v>
      </c>
      <c r="C703" s="2">
        <v>531.36</v>
      </c>
      <c r="D703" s="9">
        <f>B703-B702</f>
        <v>-6.9999999999993179E-2</v>
      </c>
      <c r="E703" s="9">
        <f>C703-C702</f>
        <v>1.3000000000000682</v>
      </c>
      <c r="F703" s="3">
        <f>F$1/B703</f>
        <v>595.84102961329916</v>
      </c>
      <c r="G703" s="3">
        <f>F$1/C703</f>
        <v>188.19632640770851</v>
      </c>
      <c r="H703" s="2">
        <f>D703*F702</f>
        <v>-41.691483025606416</v>
      </c>
      <c r="I703" s="2">
        <f>E703*G702</f>
        <v>245.25525412218775</v>
      </c>
      <c r="J703" s="2">
        <f>I703-H703</f>
        <v>286.94673714779418</v>
      </c>
      <c r="K703" s="2">
        <f t="shared" si="85"/>
        <v>-286.94673714779418</v>
      </c>
      <c r="L703" s="3">
        <f>C703/B703</f>
        <v>3.1660608949532265</v>
      </c>
      <c r="M703" s="3">
        <f t="shared" si="88"/>
        <v>3.1469190050778679</v>
      </c>
      <c r="N703" s="3">
        <f t="shared" si="92"/>
        <v>3.1355572579087463</v>
      </c>
      <c r="O703" s="3">
        <f t="shared" si="93"/>
        <v>3.1250661947465814</v>
      </c>
      <c r="P703" s="3">
        <f t="shared" si="86"/>
        <v>3.0748323165516958</v>
      </c>
      <c r="Q703" s="4" t="str">
        <f t="shared" si="91"/>
        <v>OVER</v>
      </c>
      <c r="R703" s="4" t="str">
        <f t="shared" si="91"/>
        <v>OVER</v>
      </c>
      <c r="S703" s="4" t="str">
        <f t="shared" si="89"/>
        <v>OVER</v>
      </c>
      <c r="T703" s="4" t="str">
        <f t="shared" si="89"/>
        <v>OVER</v>
      </c>
      <c r="U703" s="2">
        <f>IF(Q703="OVER",$J703,$K703)</f>
        <v>286.94673714779418</v>
      </c>
      <c r="V703" s="2">
        <f>IF(R703="OVER",$J703,$K703)</f>
        <v>286.94673714779418</v>
      </c>
      <c r="W703" s="2">
        <f>IF(S703="OVER",$J703,$K703)</f>
        <v>286.94673714779418</v>
      </c>
      <c r="X703" s="2">
        <f>IF(T703="OVER",$J703,$K703)</f>
        <v>286.94673714779418</v>
      </c>
      <c r="Y703" s="9">
        <f t="shared" si="90"/>
        <v>-11421.974466279073</v>
      </c>
      <c r="Z703" s="9">
        <f t="shared" si="90"/>
        <v>4168.9966064575437</v>
      </c>
      <c r="AA703" s="9">
        <f t="shared" si="90"/>
        <v>41318.459723639251</v>
      </c>
      <c r="AB703" s="9">
        <f t="shared" si="87"/>
        <v>16170.367680665291</v>
      </c>
    </row>
    <row r="704" spans="1:28" x14ac:dyDescent="0.3">
      <c r="A704" s="1">
        <v>45434</v>
      </c>
      <c r="B704" s="2">
        <v>167.19</v>
      </c>
      <c r="C704" s="2">
        <v>529.83000000000004</v>
      </c>
      <c r="D704" s="9">
        <f>B704-B703</f>
        <v>-0.64000000000001478</v>
      </c>
      <c r="E704" s="9">
        <f>C704-C703</f>
        <v>-1.5299999999999727</v>
      </c>
      <c r="F704" s="3">
        <f>F$1/B704</f>
        <v>598.12189724265806</v>
      </c>
      <c r="G704" s="3">
        <f>F$1/C704</f>
        <v>188.73978445916615</v>
      </c>
      <c r="H704" s="2">
        <f>D704*F703</f>
        <v>-381.33825895252028</v>
      </c>
      <c r="I704" s="2">
        <f>E704*G703</f>
        <v>-287.94037940378888</v>
      </c>
      <c r="J704" s="2">
        <f>I704-H704</f>
        <v>93.397879548731396</v>
      </c>
      <c r="K704" s="2">
        <f t="shared" si="85"/>
        <v>-93.397879548731396</v>
      </c>
      <c r="L704" s="3">
        <f>C704/B704</f>
        <v>3.1690292481607756</v>
      </c>
      <c r="M704" s="3">
        <f t="shared" si="88"/>
        <v>3.1493442453505915</v>
      </c>
      <c r="N704" s="3">
        <f t="shared" si="92"/>
        <v>3.1386795667117693</v>
      </c>
      <c r="O704" s="3">
        <f t="shared" si="93"/>
        <v>3.1262403397459089</v>
      </c>
      <c r="P704" s="3">
        <f t="shared" si="86"/>
        <v>3.0759117047005065</v>
      </c>
      <c r="Q704" s="4" t="str">
        <f t="shared" si="91"/>
        <v>OVER</v>
      </c>
      <c r="R704" s="4" t="str">
        <f t="shared" si="91"/>
        <v>OVER</v>
      </c>
      <c r="S704" s="4" t="str">
        <f t="shared" si="89"/>
        <v>OVER</v>
      </c>
      <c r="T704" s="4" t="str">
        <f t="shared" si="89"/>
        <v>OVER</v>
      </c>
      <c r="U704" s="2">
        <f>IF(Q704="OVER",$J704,$K704)</f>
        <v>93.397879548731396</v>
      </c>
      <c r="V704" s="2">
        <f>IF(R704="OVER",$J704,$K704)</f>
        <v>93.397879548731396</v>
      </c>
      <c r="W704" s="2">
        <f>IF(S704="OVER",$J704,$K704)</f>
        <v>93.397879548731396</v>
      </c>
      <c r="X704" s="2">
        <f>IF(T704="OVER",$J704,$K704)</f>
        <v>93.397879548731396</v>
      </c>
      <c r="Y704" s="9">
        <f t="shared" si="90"/>
        <v>-11328.576586730342</v>
      </c>
      <c r="Z704" s="9">
        <f t="shared" si="90"/>
        <v>4262.3944860062747</v>
      </c>
      <c r="AA704" s="9">
        <f t="shared" si="90"/>
        <v>41411.857603187986</v>
      </c>
      <c r="AB704" s="9">
        <f t="shared" si="87"/>
        <v>16263.765560214022</v>
      </c>
    </row>
    <row r="705" spans="1:28" x14ac:dyDescent="0.3">
      <c r="A705" s="1">
        <v>45435</v>
      </c>
      <c r="B705" s="2">
        <v>164.85</v>
      </c>
      <c r="C705" s="2">
        <v>525.96</v>
      </c>
      <c r="D705" s="9">
        <f>B705-B704</f>
        <v>-2.3400000000000034</v>
      </c>
      <c r="E705" s="9">
        <f>C705-C704</f>
        <v>-3.8700000000000045</v>
      </c>
      <c r="F705" s="3">
        <f>F$1/B705</f>
        <v>606.61207158022444</v>
      </c>
      <c r="G705" s="3">
        <f>F$1/C705</f>
        <v>190.12852688417368</v>
      </c>
      <c r="H705" s="2">
        <f>D705*F704</f>
        <v>-1399.6052395478218</v>
      </c>
      <c r="I705" s="2">
        <f>E705*G704</f>
        <v>-730.42296585697386</v>
      </c>
      <c r="J705" s="2">
        <f>I705-H705</f>
        <v>669.18227369084798</v>
      </c>
      <c r="K705" s="2">
        <f t="shared" si="85"/>
        <v>-669.18227369084798</v>
      </c>
      <c r="L705" s="3">
        <f>C705/B705</f>
        <v>3.190536851683349</v>
      </c>
      <c r="M705" s="3">
        <f t="shared" si="88"/>
        <v>3.1547401881166111</v>
      </c>
      <c r="N705" s="3">
        <f t="shared" si="92"/>
        <v>3.143143274094212</v>
      </c>
      <c r="O705" s="3">
        <f t="shared" si="93"/>
        <v>3.1279720296761648</v>
      </c>
      <c r="P705" s="3">
        <f t="shared" si="86"/>
        <v>3.0770892671361918</v>
      </c>
      <c r="Q705" s="4" t="str">
        <f t="shared" si="91"/>
        <v>OVER</v>
      </c>
      <c r="R705" s="4" t="str">
        <f t="shared" si="91"/>
        <v>OVER</v>
      </c>
      <c r="S705" s="4" t="str">
        <f t="shared" si="89"/>
        <v>OVER</v>
      </c>
      <c r="T705" s="4" t="str">
        <f t="shared" si="89"/>
        <v>OVER</v>
      </c>
      <c r="U705" s="2">
        <f>IF(Q705="OVER",$J705,$K705)</f>
        <v>669.18227369084798</v>
      </c>
      <c r="V705" s="2">
        <f>IF(R705="OVER",$J705,$K705)</f>
        <v>669.18227369084798</v>
      </c>
      <c r="W705" s="2">
        <f>IF(S705="OVER",$J705,$K705)</f>
        <v>669.18227369084798</v>
      </c>
      <c r="X705" s="2">
        <f>IF(T705="OVER",$J705,$K705)</f>
        <v>669.18227369084798</v>
      </c>
      <c r="Y705" s="9">
        <f t="shared" si="90"/>
        <v>-10659.394313039495</v>
      </c>
      <c r="Z705" s="9">
        <f t="shared" si="90"/>
        <v>4931.5767596971227</v>
      </c>
      <c r="AA705" s="9">
        <f t="shared" si="90"/>
        <v>42081.039876878836</v>
      </c>
      <c r="AB705" s="9">
        <f t="shared" si="87"/>
        <v>16932.947833904869</v>
      </c>
    </row>
    <row r="706" spans="1:28" x14ac:dyDescent="0.3">
      <c r="A706" s="1">
        <v>45436</v>
      </c>
      <c r="B706" s="2">
        <v>165.94</v>
      </c>
      <c r="C706" s="2">
        <v>529.44000000000005</v>
      </c>
      <c r="D706" s="9">
        <f>B706-B705</f>
        <v>1.0900000000000034</v>
      </c>
      <c r="E706" s="9">
        <f>C706-C705</f>
        <v>3.4800000000000182</v>
      </c>
      <c r="F706" s="3">
        <f>F$1/B706</f>
        <v>602.62745570688196</v>
      </c>
      <c r="G706" s="3">
        <f>F$1/C706</f>
        <v>188.87881535207009</v>
      </c>
      <c r="H706" s="2">
        <f>D706*F705</f>
        <v>661.20715802244672</v>
      </c>
      <c r="I706" s="2">
        <f>E706*G705</f>
        <v>661.64727355692787</v>
      </c>
      <c r="J706" s="2">
        <f>I706-H706</f>
        <v>0.44011553448115137</v>
      </c>
      <c r="K706" s="2">
        <f t="shared" si="85"/>
        <v>-0.44011553448115137</v>
      </c>
      <c r="L706" s="3">
        <f>C706/B706</f>
        <v>3.1905508014945165</v>
      </c>
      <c r="M706" s="3">
        <f t="shared" si="88"/>
        <v>3.1602440070536129</v>
      </c>
      <c r="N706" s="3">
        <f t="shared" si="92"/>
        <v>3.1462157258231893</v>
      </c>
      <c r="O706" s="3">
        <f t="shared" si="93"/>
        <v>3.1292663527353137</v>
      </c>
      <c r="P706" s="3">
        <f t="shared" si="86"/>
        <v>3.0783230276157294</v>
      </c>
      <c r="Q706" s="4" t="str">
        <f t="shared" si="91"/>
        <v>OVER</v>
      </c>
      <c r="R706" s="4" t="str">
        <f t="shared" si="91"/>
        <v>OVER</v>
      </c>
      <c r="S706" s="4" t="str">
        <f t="shared" si="89"/>
        <v>OVER</v>
      </c>
      <c r="T706" s="4" t="str">
        <f t="shared" si="89"/>
        <v>OVER</v>
      </c>
      <c r="U706" s="2">
        <f>IF(Q706="OVER",$J706,$K706)</f>
        <v>0.44011553448115137</v>
      </c>
      <c r="V706" s="2">
        <f>IF(R706="OVER",$J706,$K706)</f>
        <v>0.44011553448115137</v>
      </c>
      <c r="W706" s="2">
        <f>IF(S706="OVER",$J706,$K706)</f>
        <v>0.44011553448115137</v>
      </c>
      <c r="X706" s="2">
        <f>IF(T706="OVER",$J706,$K706)</f>
        <v>0.44011553448115137</v>
      </c>
      <c r="Y706" s="9">
        <f t="shared" si="90"/>
        <v>-10658.954197505014</v>
      </c>
      <c r="Z706" s="9">
        <f t="shared" si="90"/>
        <v>4932.016875231604</v>
      </c>
      <c r="AA706" s="9">
        <f t="shared" si="90"/>
        <v>42081.479992413319</v>
      </c>
      <c r="AB706" s="9">
        <f t="shared" si="87"/>
        <v>16933.387949439351</v>
      </c>
    </row>
    <row r="707" spans="1:28" x14ac:dyDescent="0.3">
      <c r="A707" s="1">
        <v>45440</v>
      </c>
      <c r="B707" s="2">
        <v>164.79</v>
      </c>
      <c r="C707" s="2">
        <v>529.80999999999995</v>
      </c>
      <c r="D707" s="9">
        <f>B707-B706</f>
        <v>-1.1500000000000057</v>
      </c>
      <c r="E707" s="9">
        <f>C707-C706</f>
        <v>0.36999999999989086</v>
      </c>
      <c r="F707" s="3">
        <f>F$1/B707</f>
        <v>606.83293889192305</v>
      </c>
      <c r="G707" s="3">
        <f>F$1/C707</f>
        <v>188.74690926936074</v>
      </c>
      <c r="H707" s="2">
        <f>D707*F706</f>
        <v>-693.02157406291769</v>
      </c>
      <c r="I707" s="2">
        <f>E707*G706</f>
        <v>69.885161680245318</v>
      </c>
      <c r="J707" s="2">
        <f>I707-H707</f>
        <v>762.90673574316304</v>
      </c>
      <c r="K707" s="2">
        <f t="shared" si="85"/>
        <v>-762.90673574316304</v>
      </c>
      <c r="L707" s="3">
        <f>C707/B707</f>
        <v>3.2150615935432976</v>
      </c>
      <c r="M707" s="3">
        <f t="shared" si="88"/>
        <v>3.1680812316214069</v>
      </c>
      <c r="N707" s="3">
        <f t="shared" si="92"/>
        <v>3.1510443740990337</v>
      </c>
      <c r="O707" s="3">
        <f t="shared" si="93"/>
        <v>3.13155201472417</v>
      </c>
      <c r="P707" s="3">
        <f t="shared" si="86"/>
        <v>3.0796565344726279</v>
      </c>
      <c r="Q707" s="4" t="str">
        <f t="shared" si="91"/>
        <v>OVER</v>
      </c>
      <c r="R707" s="4" t="str">
        <f t="shared" si="91"/>
        <v>OVER</v>
      </c>
      <c r="S707" s="4" t="str">
        <f t="shared" si="89"/>
        <v>OVER</v>
      </c>
      <c r="T707" s="4" t="str">
        <f t="shared" si="89"/>
        <v>OVER</v>
      </c>
      <c r="U707" s="2">
        <f>IF(Q707="OVER",$J707,$K707)</f>
        <v>762.90673574316304</v>
      </c>
      <c r="V707" s="2">
        <f>IF(R707="OVER",$J707,$K707)</f>
        <v>762.90673574316304</v>
      </c>
      <c r="W707" s="2">
        <f>IF(S707="OVER",$J707,$K707)</f>
        <v>762.90673574316304</v>
      </c>
      <c r="X707" s="2">
        <f>IF(T707="OVER",$J707,$K707)</f>
        <v>762.90673574316304</v>
      </c>
      <c r="Y707" s="9">
        <f t="shared" si="90"/>
        <v>-9896.0474617618511</v>
      </c>
      <c r="Z707" s="9">
        <f t="shared" si="90"/>
        <v>5694.9236109747671</v>
      </c>
      <c r="AA707" s="9">
        <f t="shared" si="90"/>
        <v>42844.386728156482</v>
      </c>
      <c r="AB707" s="9">
        <f t="shared" si="87"/>
        <v>17696.294685182515</v>
      </c>
    </row>
    <row r="708" spans="1:28" x14ac:dyDescent="0.3">
      <c r="A708" s="1">
        <v>45441</v>
      </c>
      <c r="B708" s="2">
        <v>162.86000000000001</v>
      </c>
      <c r="C708" s="2">
        <v>526.1</v>
      </c>
      <c r="D708" s="9">
        <f>B708-B707</f>
        <v>-1.9299999999999784</v>
      </c>
      <c r="E708" s="9">
        <f>C708-C707</f>
        <v>-3.7099999999999227</v>
      </c>
      <c r="F708" s="3">
        <f>F$1/B708</f>
        <v>614.02431536288827</v>
      </c>
      <c r="G708" s="3">
        <f>F$1/C708</f>
        <v>190.07793195210036</v>
      </c>
      <c r="H708" s="2">
        <f>D708*F707</f>
        <v>-1171.1875720613984</v>
      </c>
      <c r="I708" s="2">
        <f>E708*G707</f>
        <v>-700.25103338931376</v>
      </c>
      <c r="J708" s="2">
        <f>I708-H708</f>
        <v>470.93653867208468</v>
      </c>
      <c r="K708" s="2">
        <f t="shared" si="85"/>
        <v>-470.93653867208468</v>
      </c>
      <c r="L708" s="3">
        <f>C708/B708</f>
        <v>3.2303819231241557</v>
      </c>
      <c r="M708" s="3">
        <f t="shared" si="88"/>
        <v>3.1772586910123328</v>
      </c>
      <c r="N708" s="3">
        <f t="shared" si="92"/>
        <v>3.1568624776994101</v>
      </c>
      <c r="O708" s="3">
        <f t="shared" si="93"/>
        <v>3.1336881262970735</v>
      </c>
      <c r="P708" s="3">
        <f t="shared" si="86"/>
        <v>3.081078160489386</v>
      </c>
      <c r="Q708" s="4" t="str">
        <f t="shared" si="91"/>
        <v>OVER</v>
      </c>
      <c r="R708" s="4" t="str">
        <f t="shared" si="91"/>
        <v>OVER</v>
      </c>
      <c r="S708" s="4" t="str">
        <f t="shared" si="89"/>
        <v>OVER</v>
      </c>
      <c r="T708" s="4" t="str">
        <f t="shared" si="89"/>
        <v>OVER</v>
      </c>
      <c r="U708" s="2">
        <f>IF(Q708="OVER",$J708,$K708)</f>
        <v>470.93653867208468</v>
      </c>
      <c r="V708" s="2">
        <f>IF(R708="OVER",$J708,$K708)</f>
        <v>470.93653867208468</v>
      </c>
      <c r="W708" s="2">
        <f>IF(S708="OVER",$J708,$K708)</f>
        <v>470.93653867208468</v>
      </c>
      <c r="X708" s="2">
        <f>IF(T708="OVER",$J708,$K708)</f>
        <v>470.93653867208468</v>
      </c>
      <c r="Y708" s="9">
        <f t="shared" si="90"/>
        <v>-9425.1109230897673</v>
      </c>
      <c r="Z708" s="9">
        <f t="shared" si="90"/>
        <v>6165.8601496468518</v>
      </c>
      <c r="AA708" s="9">
        <f t="shared" si="90"/>
        <v>43315.323266828564</v>
      </c>
      <c r="AB708" s="9">
        <f t="shared" si="87"/>
        <v>18167.2312238546</v>
      </c>
    </row>
    <row r="709" spans="1:28" x14ac:dyDescent="0.3">
      <c r="A709" s="1">
        <v>45442</v>
      </c>
      <c r="B709" s="2">
        <v>163.61000000000001</v>
      </c>
      <c r="C709" s="2">
        <v>522.61</v>
      </c>
      <c r="D709" s="9">
        <f>B709-B708</f>
        <v>0.75</v>
      </c>
      <c r="E709" s="9">
        <f>C709-C708</f>
        <v>-3.4900000000000091</v>
      </c>
      <c r="F709" s="3">
        <f>F$1/B709</f>
        <v>611.20958376627345</v>
      </c>
      <c r="G709" s="3">
        <f>F$1/C709</f>
        <v>191.3472761715237</v>
      </c>
      <c r="H709" s="2">
        <f>D709*F708</f>
        <v>460.51823652216621</v>
      </c>
      <c r="I709" s="2">
        <f>E709*G708</f>
        <v>-663.37198251283201</v>
      </c>
      <c r="J709" s="2">
        <f>I709-H709</f>
        <v>-1123.8902190349982</v>
      </c>
      <c r="K709" s="2">
        <f t="shared" ref="K709:K772" si="94">H709-I709</f>
        <v>1123.8902190349982</v>
      </c>
      <c r="L709" s="3">
        <f>C709/B709</f>
        <v>3.1942424057209213</v>
      </c>
      <c r="M709" s="3">
        <f t="shared" si="88"/>
        <v>3.1814502765802599</v>
      </c>
      <c r="N709" s="3">
        <f t="shared" si="92"/>
        <v>3.1608478628469561</v>
      </c>
      <c r="O709" s="3">
        <f t="shared" si="93"/>
        <v>3.1351270096479151</v>
      </c>
      <c r="P709" s="3">
        <f t="shared" si="86"/>
        <v>3.0822348393257135</v>
      </c>
      <c r="Q709" s="4" t="str">
        <f t="shared" si="91"/>
        <v>OVER</v>
      </c>
      <c r="R709" s="4" t="str">
        <f t="shared" si="91"/>
        <v>OVER</v>
      </c>
      <c r="S709" s="4" t="str">
        <f t="shared" si="89"/>
        <v>OVER</v>
      </c>
      <c r="T709" s="4" t="str">
        <f t="shared" si="89"/>
        <v>OVER</v>
      </c>
      <c r="U709" s="2">
        <f>IF(Q709="OVER",$J709,$K709)</f>
        <v>-1123.8902190349982</v>
      </c>
      <c r="V709" s="2">
        <f>IF(R709="OVER",$J709,$K709)</f>
        <v>-1123.8902190349982</v>
      </c>
      <c r="W709" s="2">
        <f>IF(S709="OVER",$J709,$K709)</f>
        <v>-1123.8902190349982</v>
      </c>
      <c r="X709" s="2">
        <f>IF(T709="OVER",$J709,$K709)</f>
        <v>-1123.8902190349982</v>
      </c>
      <c r="Y709" s="9">
        <f t="shared" si="90"/>
        <v>-10549.001142124765</v>
      </c>
      <c r="Z709" s="9">
        <f t="shared" si="90"/>
        <v>5041.9699306118537</v>
      </c>
      <c r="AA709" s="9">
        <f t="shared" si="90"/>
        <v>42191.433047793565</v>
      </c>
      <c r="AB709" s="9">
        <f t="shared" si="87"/>
        <v>17043.341004819602</v>
      </c>
    </row>
    <row r="710" spans="1:28" x14ac:dyDescent="0.3">
      <c r="A710" s="1">
        <v>45443</v>
      </c>
      <c r="B710" s="2">
        <v>165.78</v>
      </c>
      <c r="C710" s="2">
        <v>527.37</v>
      </c>
      <c r="D710" s="9">
        <f>B710-B709</f>
        <v>2.1699999999999875</v>
      </c>
      <c r="E710" s="9">
        <f>C710-C709</f>
        <v>4.7599999999999909</v>
      </c>
      <c r="F710" s="3">
        <f>F$1/B710</f>
        <v>603.20907226444683</v>
      </c>
      <c r="G710" s="3">
        <f>F$1/C710</f>
        <v>189.6201907579119</v>
      </c>
      <c r="H710" s="2">
        <f>D710*F709</f>
        <v>1326.3247967728057</v>
      </c>
      <c r="I710" s="2">
        <f>E710*G709</f>
        <v>910.81303457645106</v>
      </c>
      <c r="J710" s="2">
        <f>I710-H710</f>
        <v>-415.51176219635465</v>
      </c>
      <c r="K710" s="2">
        <f t="shared" si="94"/>
        <v>415.51176219635465</v>
      </c>
      <c r="L710" s="3">
        <f>C710/B710</f>
        <v>3.1811436844010132</v>
      </c>
      <c r="M710" s="3">
        <f t="shared" si="88"/>
        <v>3.1844743535846378</v>
      </c>
      <c r="N710" s="3">
        <f t="shared" si="92"/>
        <v>3.1636844333575294</v>
      </c>
      <c r="O710" s="3">
        <f t="shared" si="93"/>
        <v>3.1362597884866137</v>
      </c>
      <c r="P710" s="3">
        <f t="shared" si="86"/>
        <v>3.0833033718180705</v>
      </c>
      <c r="Q710" s="4" t="str">
        <f t="shared" si="91"/>
        <v>OVER</v>
      </c>
      <c r="R710" s="4" t="str">
        <f t="shared" si="91"/>
        <v>OVER</v>
      </c>
      <c r="S710" s="4" t="str">
        <f t="shared" si="89"/>
        <v>OVER</v>
      </c>
      <c r="T710" s="4" t="str">
        <f t="shared" si="89"/>
        <v>OVER</v>
      </c>
      <c r="U710" s="2">
        <f>IF(Q710="OVER",$J710,$K710)</f>
        <v>-415.51176219635465</v>
      </c>
      <c r="V710" s="2">
        <f>IF(R710="OVER",$J710,$K710)</f>
        <v>-415.51176219635465</v>
      </c>
      <c r="W710" s="2">
        <f>IF(S710="OVER",$J710,$K710)</f>
        <v>-415.51176219635465</v>
      </c>
      <c r="X710" s="2">
        <f>IF(T710="OVER",$J710,$K710)</f>
        <v>-415.51176219635465</v>
      </c>
      <c r="Y710" s="9">
        <f t="shared" si="90"/>
        <v>-10964.51290432112</v>
      </c>
      <c r="Z710" s="9">
        <f t="shared" si="90"/>
        <v>4626.4581684154991</v>
      </c>
      <c r="AA710" s="9">
        <f t="shared" si="90"/>
        <v>41775.921285597207</v>
      </c>
      <c r="AB710" s="9">
        <f t="shared" si="87"/>
        <v>16627.829242623247</v>
      </c>
    </row>
    <row r="711" spans="1:28" x14ac:dyDescent="0.3">
      <c r="A711" s="1">
        <v>45446</v>
      </c>
      <c r="B711" s="2">
        <v>164.9</v>
      </c>
      <c r="C711" s="2">
        <v>527.79999999999995</v>
      </c>
      <c r="D711" s="9">
        <f>B711-B710</f>
        <v>-0.87999999999999545</v>
      </c>
      <c r="E711" s="9">
        <f>C711-C710</f>
        <v>0.42999999999994998</v>
      </c>
      <c r="F711" s="3">
        <f>F$1/B711</f>
        <v>606.42813826561553</v>
      </c>
      <c r="G711" s="3">
        <f>F$1/C711</f>
        <v>189.46570670708604</v>
      </c>
      <c r="H711" s="2">
        <f>D711*F710</f>
        <v>-530.82398359271042</v>
      </c>
      <c r="I711" s="2">
        <f>E711*G710</f>
        <v>81.536682025892631</v>
      </c>
      <c r="J711" s="2">
        <f>I711-H711</f>
        <v>612.36066561860309</v>
      </c>
      <c r="K711" s="2">
        <f t="shared" si="94"/>
        <v>-612.36066561860309</v>
      </c>
      <c r="L711" s="3">
        <f>C711/B711</f>
        <v>3.2007277137659185</v>
      </c>
      <c r="M711" s="3">
        <f t="shared" si="88"/>
        <v>3.1894733330069331</v>
      </c>
      <c r="N711" s="3">
        <f t="shared" si="92"/>
        <v>3.1666810745897775</v>
      </c>
      <c r="O711" s="3">
        <f t="shared" si="93"/>
        <v>3.1380038920106803</v>
      </c>
      <c r="P711" s="3">
        <f t="shared" si="86"/>
        <v>3.0844703473199448</v>
      </c>
      <c r="Q711" s="4" t="str">
        <f t="shared" si="91"/>
        <v>UNDER</v>
      </c>
      <c r="R711" s="4" t="str">
        <f t="shared" si="91"/>
        <v>OVER</v>
      </c>
      <c r="S711" s="4" t="str">
        <f t="shared" si="89"/>
        <v>OVER</v>
      </c>
      <c r="T711" s="4" t="str">
        <f t="shared" si="89"/>
        <v>OVER</v>
      </c>
      <c r="U711" s="2">
        <f>IF(Q711="OVER",$J711,$K711)</f>
        <v>-612.36066561860309</v>
      </c>
      <c r="V711" s="2">
        <f>IF(R711="OVER",$J711,$K711)</f>
        <v>612.36066561860309</v>
      </c>
      <c r="W711" s="2">
        <f>IF(S711="OVER",$J711,$K711)</f>
        <v>612.36066561860309</v>
      </c>
      <c r="X711" s="2">
        <f>IF(T711="OVER",$J711,$K711)</f>
        <v>612.36066561860309</v>
      </c>
      <c r="Y711" s="9">
        <f t="shared" si="90"/>
        <v>-11576.873569939724</v>
      </c>
      <c r="Z711" s="9">
        <f t="shared" si="90"/>
        <v>5238.8188340341021</v>
      </c>
      <c r="AA711" s="9">
        <f t="shared" si="90"/>
        <v>42388.281951215809</v>
      </c>
      <c r="AB711" s="9">
        <f t="shared" si="87"/>
        <v>17240.189908241849</v>
      </c>
    </row>
    <row r="712" spans="1:28" x14ac:dyDescent="0.3">
      <c r="A712" s="1">
        <v>45447</v>
      </c>
      <c r="B712" s="2">
        <v>164.4</v>
      </c>
      <c r="C712" s="2">
        <v>528.39</v>
      </c>
      <c r="D712" s="9">
        <f>B712-B711</f>
        <v>-0.5</v>
      </c>
      <c r="E712" s="9">
        <f>C712-C711</f>
        <v>0.59000000000003183</v>
      </c>
      <c r="F712" s="3">
        <f>F$1/B712</f>
        <v>608.27250608272504</v>
      </c>
      <c r="G712" s="3">
        <f>F$1/C712</f>
        <v>189.25414939722555</v>
      </c>
      <c r="H712" s="2">
        <f>D712*F711</f>
        <v>-303.21406913280777</v>
      </c>
      <c r="I712" s="2">
        <f>E712*G711</f>
        <v>111.78476695718679</v>
      </c>
      <c r="J712" s="2">
        <f>I712-H712</f>
        <v>414.99883608999454</v>
      </c>
      <c r="K712" s="2">
        <f t="shared" si="94"/>
        <v>-414.99883608999454</v>
      </c>
      <c r="L712" s="3">
        <f>C712/B712</f>
        <v>3.2140510948905106</v>
      </c>
      <c r="M712" s="3">
        <f t="shared" si="88"/>
        <v>3.1951786211737687</v>
      </c>
      <c r="N712" s="3">
        <f t="shared" si="92"/>
        <v>3.1699311787125035</v>
      </c>
      <c r="O712" s="3">
        <f t="shared" si="93"/>
        <v>3.1397297050750774</v>
      </c>
      <c r="P712" s="3">
        <f t="shared" si="86"/>
        <v>3.0857028256212238</v>
      </c>
      <c r="Q712" s="4" t="str">
        <f t="shared" si="91"/>
        <v>OVER</v>
      </c>
      <c r="R712" s="4" t="str">
        <f t="shared" si="91"/>
        <v>OVER</v>
      </c>
      <c r="S712" s="4" t="str">
        <f t="shared" si="89"/>
        <v>OVER</v>
      </c>
      <c r="T712" s="4" t="str">
        <f t="shared" si="89"/>
        <v>OVER</v>
      </c>
      <c r="U712" s="2">
        <f>IF(Q712="OVER",$J712,$K712)</f>
        <v>414.99883608999454</v>
      </c>
      <c r="V712" s="2">
        <f>IF(R712="OVER",$J712,$K712)</f>
        <v>414.99883608999454</v>
      </c>
      <c r="W712" s="2">
        <f>IF(S712="OVER",$J712,$K712)</f>
        <v>414.99883608999454</v>
      </c>
      <c r="X712" s="2">
        <f>IF(T712="OVER",$J712,$K712)</f>
        <v>414.99883608999454</v>
      </c>
      <c r="Y712" s="9">
        <f t="shared" si="90"/>
        <v>-11161.874733849729</v>
      </c>
      <c r="Z712" s="9">
        <f t="shared" si="90"/>
        <v>5653.8176701240964</v>
      </c>
      <c r="AA712" s="9">
        <f t="shared" si="90"/>
        <v>42803.280787305805</v>
      </c>
      <c r="AB712" s="9">
        <f t="shared" si="87"/>
        <v>17655.188744331845</v>
      </c>
    </row>
    <row r="713" spans="1:28" x14ac:dyDescent="0.3">
      <c r="A713" s="1">
        <v>45448</v>
      </c>
      <c r="B713" s="2">
        <v>165.4</v>
      </c>
      <c r="C713" s="2">
        <v>534.66999999999996</v>
      </c>
      <c r="D713" s="9">
        <f>B713-B712</f>
        <v>1</v>
      </c>
      <c r="E713" s="9">
        <f>C713-C712</f>
        <v>6.2799999999999727</v>
      </c>
      <c r="F713" s="3">
        <f>F$1/B713</f>
        <v>604.59492140266025</v>
      </c>
      <c r="G713" s="3">
        <f>F$1/C713</f>
        <v>187.03125292236334</v>
      </c>
      <c r="H713" s="2">
        <f>D713*F712</f>
        <v>608.27250608272504</v>
      </c>
      <c r="I713" s="2">
        <f>E713*G712</f>
        <v>1188.5160582145713</v>
      </c>
      <c r="J713" s="2">
        <f>I713-H713</f>
        <v>580.24355213184629</v>
      </c>
      <c r="K713" s="2">
        <f t="shared" si="94"/>
        <v>-580.24355213184629</v>
      </c>
      <c r="L713" s="3">
        <f>C713/B713</f>
        <v>3.2325876662636031</v>
      </c>
      <c r="M713" s="3">
        <f t="shared" si="88"/>
        <v>3.2018312983048061</v>
      </c>
      <c r="N713" s="3">
        <f t="shared" si="92"/>
        <v>3.1743751516913372</v>
      </c>
      <c r="O713" s="3">
        <f t="shared" si="93"/>
        <v>3.1418640179384782</v>
      </c>
      <c r="P713" s="3">
        <f t="shared" si="86"/>
        <v>3.0870470512963766</v>
      </c>
      <c r="Q713" s="4" t="str">
        <f t="shared" si="91"/>
        <v>OVER</v>
      </c>
      <c r="R713" s="4" t="str">
        <f t="shared" si="91"/>
        <v>OVER</v>
      </c>
      <c r="S713" s="4" t="str">
        <f t="shared" si="89"/>
        <v>OVER</v>
      </c>
      <c r="T713" s="4" t="str">
        <f t="shared" si="89"/>
        <v>OVER</v>
      </c>
      <c r="U713" s="2">
        <f>IF(Q713="OVER",$J713,$K713)</f>
        <v>580.24355213184629</v>
      </c>
      <c r="V713" s="2">
        <f>IF(R713="OVER",$J713,$K713)</f>
        <v>580.24355213184629</v>
      </c>
      <c r="W713" s="2">
        <f>IF(S713="OVER",$J713,$K713)</f>
        <v>580.24355213184629</v>
      </c>
      <c r="X713" s="2">
        <f>IF(T713="OVER",$J713,$K713)</f>
        <v>580.24355213184629</v>
      </c>
      <c r="Y713" s="9">
        <f t="shared" si="90"/>
        <v>-10581.631181717883</v>
      </c>
      <c r="Z713" s="9">
        <f t="shared" si="90"/>
        <v>6234.061222255943</v>
      </c>
      <c r="AA713" s="9">
        <f t="shared" si="90"/>
        <v>43383.524339437652</v>
      </c>
      <c r="AB713" s="9">
        <f t="shared" si="87"/>
        <v>18235.432296463692</v>
      </c>
    </row>
    <row r="714" spans="1:28" x14ac:dyDescent="0.3">
      <c r="A714" s="1">
        <v>45449</v>
      </c>
      <c r="B714" s="2">
        <v>165.08</v>
      </c>
      <c r="C714" s="2">
        <v>534.66</v>
      </c>
      <c r="D714" s="9">
        <f>B714-B713</f>
        <v>-0.31999999999999318</v>
      </c>
      <c r="E714" s="9">
        <f>C714-C713</f>
        <v>-9.9999999999909051E-3</v>
      </c>
      <c r="F714" s="3">
        <f>F$1/B714</f>
        <v>605.76690089653493</v>
      </c>
      <c r="G714" s="3">
        <f>F$1/C714</f>
        <v>187.03475105674636</v>
      </c>
      <c r="H714" s="2">
        <f>D714*F713</f>
        <v>-193.47037484884714</v>
      </c>
      <c r="I714" s="2">
        <f>E714*G713</f>
        <v>-1.8703125292219323</v>
      </c>
      <c r="J714" s="2">
        <f>I714-H714</f>
        <v>191.60006231962521</v>
      </c>
      <c r="K714" s="2">
        <f t="shared" si="94"/>
        <v>-191.60006231962521</v>
      </c>
      <c r="L714" s="3">
        <f>C714/B714</f>
        <v>3.2387933123334136</v>
      </c>
      <c r="M714" s="3">
        <f t="shared" si="88"/>
        <v>3.2088077047220702</v>
      </c>
      <c r="N714" s="3">
        <f t="shared" si="92"/>
        <v>3.1790759750363309</v>
      </c>
      <c r="O714" s="3">
        <f t="shared" si="93"/>
        <v>3.1441778085771523</v>
      </c>
      <c r="P714" s="3">
        <f t="shared" si="86"/>
        <v>3.0883228514743428</v>
      </c>
      <c r="Q714" s="4" t="str">
        <f t="shared" si="91"/>
        <v>OVER</v>
      </c>
      <c r="R714" s="4" t="str">
        <f t="shared" si="91"/>
        <v>OVER</v>
      </c>
      <c r="S714" s="4" t="str">
        <f t="shared" si="89"/>
        <v>OVER</v>
      </c>
      <c r="T714" s="4" t="str">
        <f t="shared" si="89"/>
        <v>OVER</v>
      </c>
      <c r="U714" s="2">
        <f>IF(Q714="OVER",$J714,$K714)</f>
        <v>191.60006231962521</v>
      </c>
      <c r="V714" s="2">
        <f>IF(R714="OVER",$J714,$K714)</f>
        <v>191.60006231962521</v>
      </c>
      <c r="W714" s="2">
        <f>IF(S714="OVER",$J714,$K714)</f>
        <v>191.60006231962521</v>
      </c>
      <c r="X714" s="2">
        <f>IF(T714="OVER",$J714,$K714)</f>
        <v>191.60006231962521</v>
      </c>
      <c r="Y714" s="9">
        <f t="shared" si="90"/>
        <v>-10390.031119398258</v>
      </c>
      <c r="Z714" s="9">
        <f t="shared" si="90"/>
        <v>6425.6612845755681</v>
      </c>
      <c r="AA714" s="9">
        <f t="shared" si="90"/>
        <v>43575.124401757275</v>
      </c>
      <c r="AB714" s="9">
        <f t="shared" si="87"/>
        <v>18427.032358783319</v>
      </c>
    </row>
    <row r="715" spans="1:28" x14ac:dyDescent="0.3">
      <c r="A715" s="1">
        <v>45450</v>
      </c>
      <c r="B715" s="2">
        <v>164.56</v>
      </c>
      <c r="C715" s="2">
        <v>534.01</v>
      </c>
      <c r="D715" s="9">
        <f>B715-B714</f>
        <v>-0.52000000000001023</v>
      </c>
      <c r="E715" s="9">
        <f>C715-C714</f>
        <v>-0.64999999999997726</v>
      </c>
      <c r="F715" s="3">
        <f>F$1/B715</f>
        <v>607.68108896451145</v>
      </c>
      <c r="G715" s="3">
        <f>F$1/C715</f>
        <v>187.26241081627686</v>
      </c>
      <c r="H715" s="2">
        <f>D715*F714</f>
        <v>-314.99878846620436</v>
      </c>
      <c r="I715" s="2">
        <f>E715*G714</f>
        <v>-121.57258818688088</v>
      </c>
      <c r="J715" s="2">
        <f>I715-H715</f>
        <v>193.4262002793235</v>
      </c>
      <c r="K715" s="2">
        <f t="shared" si="94"/>
        <v>-193.4262002793235</v>
      </c>
      <c r="L715" s="3">
        <f>C715/B715</f>
        <v>3.2450777831793873</v>
      </c>
      <c r="M715" s="3">
        <f t="shared" si="88"/>
        <v>3.2142617978716741</v>
      </c>
      <c r="N715" s="3">
        <f t="shared" si="92"/>
        <v>3.1845009929941428</v>
      </c>
      <c r="O715" s="3">
        <f t="shared" si="93"/>
        <v>3.1470850521184515</v>
      </c>
      <c r="P715" s="3">
        <f t="shared" ref="P715:P778" si="95">AVERAGE(L516:L715)</f>
        <v>3.0896116480400662</v>
      </c>
      <c r="Q715" s="4" t="str">
        <f t="shared" si="91"/>
        <v>OVER</v>
      </c>
      <c r="R715" s="4" t="str">
        <f t="shared" si="91"/>
        <v>OVER</v>
      </c>
      <c r="S715" s="4" t="str">
        <f t="shared" si="89"/>
        <v>OVER</v>
      </c>
      <c r="T715" s="4" t="str">
        <f t="shared" si="89"/>
        <v>OVER</v>
      </c>
      <c r="U715" s="2">
        <f>IF(Q715="OVER",$J715,$K715)</f>
        <v>193.4262002793235</v>
      </c>
      <c r="V715" s="2">
        <f>IF(R715="OVER",$J715,$K715)</f>
        <v>193.4262002793235</v>
      </c>
      <c r="W715" s="2">
        <f>IF(S715="OVER",$J715,$K715)</f>
        <v>193.4262002793235</v>
      </c>
      <c r="X715" s="2">
        <f>IF(T715="OVER",$J715,$K715)</f>
        <v>193.4262002793235</v>
      </c>
      <c r="Y715" s="9">
        <f t="shared" si="90"/>
        <v>-10196.604919118934</v>
      </c>
      <c r="Z715" s="9">
        <f t="shared" si="90"/>
        <v>6619.087484854892</v>
      </c>
      <c r="AA715" s="9">
        <f t="shared" si="90"/>
        <v>43768.550602036601</v>
      </c>
      <c r="AB715" s="9">
        <f t="shared" si="87"/>
        <v>18620.458559062641</v>
      </c>
    </row>
    <row r="716" spans="1:28" x14ac:dyDescent="0.3">
      <c r="A716" s="1">
        <v>45453</v>
      </c>
      <c r="B716" s="2">
        <v>165</v>
      </c>
      <c r="C716" s="2">
        <v>535.66</v>
      </c>
      <c r="D716" s="9">
        <f>B716-B715</f>
        <v>0.43999999999999773</v>
      </c>
      <c r="E716" s="9">
        <f>C716-C715</f>
        <v>1.6499999999999773</v>
      </c>
      <c r="F716" s="3">
        <f>F$1/B716</f>
        <v>606.06060606060601</v>
      </c>
      <c r="G716" s="3">
        <f>F$1/C716</f>
        <v>186.68558413919277</v>
      </c>
      <c r="H716" s="2">
        <f>D716*F715</f>
        <v>267.37967914438366</v>
      </c>
      <c r="I716" s="2">
        <f>E716*G715</f>
        <v>308.98297784685258</v>
      </c>
      <c r="J716" s="2">
        <f>I716-H716</f>
        <v>41.603298702468919</v>
      </c>
      <c r="K716" s="2">
        <f t="shared" si="94"/>
        <v>-41.603298702468919</v>
      </c>
      <c r="L716" s="3">
        <f>C716/B716</f>
        <v>3.2464242424242422</v>
      </c>
      <c r="M716" s="3">
        <f t="shared" si="88"/>
        <v>3.2198491419646467</v>
      </c>
      <c r="N716" s="3">
        <f t="shared" si="92"/>
        <v>3.1900465745091298</v>
      </c>
      <c r="O716" s="3">
        <f t="shared" si="93"/>
        <v>3.1502469903530126</v>
      </c>
      <c r="P716" s="3">
        <f t="shared" si="95"/>
        <v>3.0908654069558854</v>
      </c>
      <c r="Q716" s="4" t="str">
        <f t="shared" si="91"/>
        <v>OVER</v>
      </c>
      <c r="R716" s="4" t="str">
        <f t="shared" si="91"/>
        <v>OVER</v>
      </c>
      <c r="S716" s="4" t="str">
        <f t="shared" si="89"/>
        <v>OVER</v>
      </c>
      <c r="T716" s="4" t="str">
        <f t="shared" si="89"/>
        <v>OVER</v>
      </c>
      <c r="U716" s="2">
        <f>IF(Q716="OVER",$J716,$K716)</f>
        <v>41.603298702468919</v>
      </c>
      <c r="V716" s="2">
        <f>IF(R716="OVER",$J716,$K716)</f>
        <v>41.603298702468919</v>
      </c>
      <c r="W716" s="2">
        <f>IF(S716="OVER",$J716,$K716)</f>
        <v>41.603298702468919</v>
      </c>
      <c r="X716" s="2">
        <f>IF(T716="OVER",$J716,$K716)</f>
        <v>41.603298702468919</v>
      </c>
      <c r="Y716" s="9">
        <f t="shared" si="90"/>
        <v>-10155.001620416466</v>
      </c>
      <c r="Z716" s="9">
        <f t="shared" si="90"/>
        <v>6660.6907835573611</v>
      </c>
      <c r="AA716" s="9">
        <f t="shared" si="90"/>
        <v>43810.153900739067</v>
      </c>
      <c r="AB716" s="9">
        <f t="shared" si="90"/>
        <v>18662.061857765111</v>
      </c>
    </row>
    <row r="717" spans="1:28" x14ac:dyDescent="0.3">
      <c r="A717" s="1">
        <v>45454</v>
      </c>
      <c r="B717" s="2">
        <v>164.32</v>
      </c>
      <c r="C717" s="2">
        <v>536.95000000000005</v>
      </c>
      <c r="D717" s="9">
        <f>B717-B716</f>
        <v>-0.68000000000000682</v>
      </c>
      <c r="E717" s="9">
        <f>C717-C716</f>
        <v>1.2900000000000773</v>
      </c>
      <c r="F717" s="3">
        <f>F$1/B717</f>
        <v>608.56864654333015</v>
      </c>
      <c r="G717" s="3">
        <f>F$1/C717</f>
        <v>186.23707980258868</v>
      </c>
      <c r="H717" s="2">
        <f>D717*F716</f>
        <v>-412.12121212121622</v>
      </c>
      <c r="I717" s="2">
        <f>E717*G716</f>
        <v>240.8244035395731</v>
      </c>
      <c r="J717" s="2">
        <f>I717-H717</f>
        <v>652.94561566078937</v>
      </c>
      <c r="K717" s="2">
        <f t="shared" si="94"/>
        <v>-652.94561566078937</v>
      </c>
      <c r="L717" s="3">
        <f>C717/B717</f>
        <v>3.2677093476144115</v>
      </c>
      <c r="M717" s="3">
        <f t="shared" ref="M717:M780" si="96">AVERAGE(L708:L717)</f>
        <v>3.2251139173717576</v>
      </c>
      <c r="N717" s="3">
        <f t="shared" si="92"/>
        <v>3.1965975744965824</v>
      </c>
      <c r="O717" s="3">
        <f t="shared" si="93"/>
        <v>3.1535758758858088</v>
      </c>
      <c r="P717" s="3">
        <f t="shared" si="95"/>
        <v>3.0922899781358235</v>
      </c>
      <c r="Q717" s="4" t="str">
        <f t="shared" si="91"/>
        <v>OVER</v>
      </c>
      <c r="R717" s="4" t="str">
        <f t="shared" si="91"/>
        <v>OVER</v>
      </c>
      <c r="S717" s="4" t="str">
        <f t="shared" ref="S717:T780" si="97">IF($L717&gt;O717,"OVER","UNDER")</f>
        <v>OVER</v>
      </c>
      <c r="T717" s="4" t="str">
        <f t="shared" si="97"/>
        <v>OVER</v>
      </c>
      <c r="U717" s="2">
        <f>IF(Q717="OVER",$J717,$K717)</f>
        <v>652.94561566078937</v>
      </c>
      <c r="V717" s="2">
        <f>IF(R717="OVER",$J717,$K717)</f>
        <v>652.94561566078937</v>
      </c>
      <c r="W717" s="2">
        <f>IF(S717="OVER",$J717,$K717)</f>
        <v>652.94561566078937</v>
      </c>
      <c r="X717" s="2">
        <f>IF(T717="OVER",$J717,$K717)</f>
        <v>652.94561566078937</v>
      </c>
      <c r="Y717" s="9">
        <f t="shared" ref="Y717:AB780" si="98">Y716+U717</f>
        <v>-9502.0560047556755</v>
      </c>
      <c r="Z717" s="9">
        <f t="shared" si="98"/>
        <v>7313.6363992181505</v>
      </c>
      <c r="AA717" s="9">
        <f t="shared" si="98"/>
        <v>44463.09951639986</v>
      </c>
      <c r="AB717" s="9">
        <f t="shared" si="98"/>
        <v>19315.0074734259</v>
      </c>
    </row>
    <row r="718" spans="1:28" x14ac:dyDescent="0.3">
      <c r="A718" s="1">
        <v>45455</v>
      </c>
      <c r="B718" s="2">
        <v>165.2</v>
      </c>
      <c r="C718" s="2">
        <v>541.36</v>
      </c>
      <c r="D718" s="9">
        <f>B718-B717</f>
        <v>0.87999999999999545</v>
      </c>
      <c r="E718" s="9">
        <f>C718-C717</f>
        <v>4.4099999999999682</v>
      </c>
      <c r="F718" s="3">
        <f>F$1/B718</f>
        <v>605.32687651331719</v>
      </c>
      <c r="G718" s="3">
        <f>F$1/C718</f>
        <v>184.71996453376681</v>
      </c>
      <c r="H718" s="2">
        <f>D718*F717</f>
        <v>535.54040895812773</v>
      </c>
      <c r="I718" s="2">
        <f>E718*G717</f>
        <v>821.30552192941013</v>
      </c>
      <c r="J718" s="2">
        <f>I718-H718</f>
        <v>285.76511297128241</v>
      </c>
      <c r="K718" s="2">
        <f t="shared" si="94"/>
        <v>-285.76511297128241</v>
      </c>
      <c r="L718" s="3">
        <f>C718/B718</f>
        <v>3.2769975786924941</v>
      </c>
      <c r="M718" s="3">
        <f t="shared" si="96"/>
        <v>3.2297754829285914</v>
      </c>
      <c r="N718" s="3">
        <f t="shared" si="92"/>
        <v>3.2035170869704621</v>
      </c>
      <c r="O718" s="3">
        <f t="shared" si="93"/>
        <v>3.1569495202466218</v>
      </c>
      <c r="P718" s="3">
        <f t="shared" si="95"/>
        <v>3.0937313480685491</v>
      </c>
      <c r="Q718" s="4" t="str">
        <f t="shared" ref="Q718:R781" si="99">IF($L717&gt;M717,"OVER","UNDER")</f>
        <v>OVER</v>
      </c>
      <c r="R718" s="4" t="str">
        <f t="shared" si="99"/>
        <v>OVER</v>
      </c>
      <c r="S718" s="4" t="str">
        <f t="shared" si="97"/>
        <v>OVER</v>
      </c>
      <c r="T718" s="4" t="str">
        <f t="shared" si="97"/>
        <v>OVER</v>
      </c>
      <c r="U718" s="2">
        <f>IF(Q718="OVER",$J718,$K718)</f>
        <v>285.76511297128241</v>
      </c>
      <c r="V718" s="2">
        <f>IF(R718="OVER",$J718,$K718)</f>
        <v>285.76511297128241</v>
      </c>
      <c r="W718" s="2">
        <f>IF(S718="OVER",$J718,$K718)</f>
        <v>285.76511297128241</v>
      </c>
      <c r="X718" s="2">
        <f>IF(T718="OVER",$J718,$K718)</f>
        <v>285.76511297128241</v>
      </c>
      <c r="Y718" s="9">
        <f t="shared" si="98"/>
        <v>-9216.2908917843924</v>
      </c>
      <c r="Z718" s="9">
        <f t="shared" si="98"/>
        <v>7599.4015121894327</v>
      </c>
      <c r="AA718" s="9">
        <f t="shared" si="98"/>
        <v>44748.864629371143</v>
      </c>
      <c r="AB718" s="9">
        <f t="shared" si="98"/>
        <v>19600.772586397183</v>
      </c>
    </row>
    <row r="719" spans="1:28" x14ac:dyDescent="0.3">
      <c r="A719" s="1">
        <v>45456</v>
      </c>
      <c r="B719" s="2">
        <v>164.73</v>
      </c>
      <c r="C719" s="2">
        <v>542.45000000000005</v>
      </c>
      <c r="D719" s="9">
        <f>B719-B718</f>
        <v>-0.46999999999999886</v>
      </c>
      <c r="E719" s="9">
        <f>C719-C718</f>
        <v>1.0900000000000318</v>
      </c>
      <c r="F719" s="3">
        <f>F$1/B719</f>
        <v>607.05396709767501</v>
      </c>
      <c r="G719" s="3">
        <f>F$1/C719</f>
        <v>184.34878790671951</v>
      </c>
      <c r="H719" s="2">
        <f>D719*F718</f>
        <v>-284.50363196125841</v>
      </c>
      <c r="I719" s="2">
        <f>E719*G718</f>
        <v>201.3447613418117</v>
      </c>
      <c r="J719" s="2">
        <f>I719-H719</f>
        <v>485.84839330307011</v>
      </c>
      <c r="K719" s="2">
        <f t="shared" si="94"/>
        <v>-485.84839330307011</v>
      </c>
      <c r="L719" s="3">
        <f>C719/B719</f>
        <v>3.2929642445213383</v>
      </c>
      <c r="M719" s="3">
        <f t="shared" si="96"/>
        <v>3.2396476668086329</v>
      </c>
      <c r="N719" s="3">
        <f t="shared" si="92"/>
        <v>3.2105489716944469</v>
      </c>
      <c r="O719" s="3">
        <f t="shared" si="93"/>
        <v>3.1606412408043134</v>
      </c>
      <c r="P719" s="3">
        <f t="shared" si="95"/>
        <v>3.0952693268665055</v>
      </c>
      <c r="Q719" s="4" t="str">
        <f t="shared" si="99"/>
        <v>OVER</v>
      </c>
      <c r="R719" s="4" t="str">
        <f t="shared" si="99"/>
        <v>OVER</v>
      </c>
      <c r="S719" s="4" t="str">
        <f t="shared" si="97"/>
        <v>OVER</v>
      </c>
      <c r="T719" s="4" t="str">
        <f t="shared" si="97"/>
        <v>OVER</v>
      </c>
      <c r="U719" s="2">
        <f>IF(Q719="OVER",$J719,$K719)</f>
        <v>485.84839330307011</v>
      </c>
      <c r="V719" s="2">
        <f>IF(R719="OVER",$J719,$K719)</f>
        <v>485.84839330307011</v>
      </c>
      <c r="W719" s="2">
        <f>IF(S719="OVER",$J719,$K719)</f>
        <v>485.84839330307011</v>
      </c>
      <c r="X719" s="2">
        <f>IF(T719="OVER",$J719,$K719)</f>
        <v>485.84839330307011</v>
      </c>
      <c r="Y719" s="9">
        <f t="shared" si="98"/>
        <v>-8730.4424984813231</v>
      </c>
      <c r="Z719" s="9">
        <f t="shared" si="98"/>
        <v>8085.2499054925029</v>
      </c>
      <c r="AA719" s="9">
        <f t="shared" si="98"/>
        <v>45234.713022674216</v>
      </c>
      <c r="AB719" s="9">
        <f t="shared" si="98"/>
        <v>20086.620979700252</v>
      </c>
    </row>
    <row r="720" spans="1:28" x14ac:dyDescent="0.3">
      <c r="A720" s="1">
        <v>45457</v>
      </c>
      <c r="B720" s="2">
        <v>163.68</v>
      </c>
      <c r="C720" s="2">
        <v>542.78</v>
      </c>
      <c r="D720" s="9">
        <f>B720-B719</f>
        <v>-1.0499999999999829</v>
      </c>
      <c r="E720" s="9">
        <f>C720-C719</f>
        <v>0.32999999999992724</v>
      </c>
      <c r="F720" s="3">
        <f>F$1/B720</f>
        <v>610.94819159335282</v>
      </c>
      <c r="G720" s="3">
        <f>F$1/C720</f>
        <v>184.23670732156677</v>
      </c>
      <c r="H720" s="2">
        <f>D720*F719</f>
        <v>-637.4066654525484</v>
      </c>
      <c r="I720" s="2">
        <f>E720*G719</f>
        <v>60.835100009204027</v>
      </c>
      <c r="J720" s="2">
        <f>I720-H720</f>
        <v>698.24176546175238</v>
      </c>
      <c r="K720" s="2">
        <f t="shared" si="94"/>
        <v>-698.24176546175238</v>
      </c>
      <c r="L720" s="3">
        <f>C720/B720</f>
        <v>3.3161045943304006</v>
      </c>
      <c r="M720" s="3">
        <f t="shared" si="96"/>
        <v>3.2531437578015718</v>
      </c>
      <c r="N720" s="3">
        <f t="shared" si="92"/>
        <v>3.218809055693105</v>
      </c>
      <c r="O720" s="3">
        <f t="shared" si="93"/>
        <v>3.1649234294261084</v>
      </c>
      <c r="P720" s="3">
        <f t="shared" si="95"/>
        <v>3.0968758533052863</v>
      </c>
      <c r="Q720" s="4" t="str">
        <f t="shared" si="99"/>
        <v>OVER</v>
      </c>
      <c r="R720" s="4" t="str">
        <f t="shared" si="99"/>
        <v>OVER</v>
      </c>
      <c r="S720" s="4" t="str">
        <f t="shared" si="97"/>
        <v>OVER</v>
      </c>
      <c r="T720" s="4" t="str">
        <f t="shared" si="97"/>
        <v>OVER</v>
      </c>
      <c r="U720" s="2">
        <f>IF(Q720="OVER",$J720,$K720)</f>
        <v>698.24176546175238</v>
      </c>
      <c r="V720" s="2">
        <f>IF(R720="OVER",$J720,$K720)</f>
        <v>698.24176546175238</v>
      </c>
      <c r="W720" s="2">
        <f>IF(S720="OVER",$J720,$K720)</f>
        <v>698.24176546175238</v>
      </c>
      <c r="X720" s="2">
        <f>IF(T720="OVER",$J720,$K720)</f>
        <v>698.24176546175238</v>
      </c>
      <c r="Y720" s="9">
        <f t="shared" si="98"/>
        <v>-8032.2007330195711</v>
      </c>
      <c r="Z720" s="9">
        <f t="shared" si="98"/>
        <v>8783.4916709542558</v>
      </c>
      <c r="AA720" s="9">
        <f t="shared" si="98"/>
        <v>45932.954788135969</v>
      </c>
      <c r="AB720" s="9">
        <f t="shared" si="98"/>
        <v>20784.862745162005</v>
      </c>
    </row>
    <row r="721" spans="1:28" x14ac:dyDescent="0.3">
      <c r="A721" s="1">
        <v>45460</v>
      </c>
      <c r="B721" s="2">
        <v>164.87</v>
      </c>
      <c r="C721" s="2">
        <v>547.1</v>
      </c>
      <c r="D721" s="9">
        <f>B721-B720</f>
        <v>1.1899999999999977</v>
      </c>
      <c r="E721" s="9">
        <f>C721-C720</f>
        <v>4.32000000000005</v>
      </c>
      <c r="F721" s="3">
        <f>F$1/B721</f>
        <v>606.53848486686479</v>
      </c>
      <c r="G721" s="3">
        <f>F$1/C721</f>
        <v>182.78194114421495</v>
      </c>
      <c r="H721" s="2">
        <f>D721*F720</f>
        <v>727.02834799608843</v>
      </c>
      <c r="I721" s="2">
        <f>E721*G720</f>
        <v>795.9025756291777</v>
      </c>
      <c r="J721" s="2">
        <f>I721-H721</f>
        <v>68.874227633089276</v>
      </c>
      <c r="K721" s="2">
        <f t="shared" si="94"/>
        <v>-68.874227633089276</v>
      </c>
      <c r="L721" s="3">
        <f>C721/B721</f>
        <v>3.3183720507066172</v>
      </c>
      <c r="M721" s="3">
        <f t="shared" si="96"/>
        <v>3.2649081914956417</v>
      </c>
      <c r="N721" s="3">
        <f t="shared" si="92"/>
        <v>3.2271907622512876</v>
      </c>
      <c r="O721" s="3">
        <f t="shared" si="93"/>
        <v>3.1689758274689082</v>
      </c>
      <c r="P721" s="3">
        <f t="shared" si="95"/>
        <v>3.0984790129938475</v>
      </c>
      <c r="Q721" s="4" t="str">
        <f t="shared" si="99"/>
        <v>OVER</v>
      </c>
      <c r="R721" s="4" t="str">
        <f t="shared" si="99"/>
        <v>OVER</v>
      </c>
      <c r="S721" s="4" t="str">
        <f t="shared" si="97"/>
        <v>OVER</v>
      </c>
      <c r="T721" s="4" t="str">
        <f t="shared" si="97"/>
        <v>OVER</v>
      </c>
      <c r="U721" s="2">
        <f>IF(Q721="OVER",$J721,$K721)</f>
        <v>68.874227633089276</v>
      </c>
      <c r="V721" s="2">
        <f>IF(R721="OVER",$J721,$K721)</f>
        <v>68.874227633089276</v>
      </c>
      <c r="W721" s="2">
        <f>IF(S721="OVER",$J721,$K721)</f>
        <v>68.874227633089276</v>
      </c>
      <c r="X721" s="2">
        <f>IF(T721="OVER",$J721,$K721)</f>
        <v>68.874227633089276</v>
      </c>
      <c r="Y721" s="9">
        <f t="shared" si="98"/>
        <v>-7963.3265053864816</v>
      </c>
      <c r="Z721" s="9">
        <f t="shared" si="98"/>
        <v>8852.3658985873444</v>
      </c>
      <c r="AA721" s="9">
        <f t="shared" si="98"/>
        <v>46001.829015769057</v>
      </c>
      <c r="AB721" s="9">
        <f t="shared" si="98"/>
        <v>20853.736972795094</v>
      </c>
    </row>
    <row r="722" spans="1:28" x14ac:dyDescent="0.3">
      <c r="A722" s="1">
        <v>45461</v>
      </c>
      <c r="B722" s="2">
        <v>165.28</v>
      </c>
      <c r="C722" s="2">
        <v>548.49</v>
      </c>
      <c r="D722" s="9">
        <f>B722-B721</f>
        <v>0.40999999999999659</v>
      </c>
      <c r="E722" s="9">
        <f>C722-C721</f>
        <v>1.3899999999999864</v>
      </c>
      <c r="F722" s="3">
        <f>F$1/B722</f>
        <v>605.03388189738621</v>
      </c>
      <c r="G722" s="3">
        <f>F$1/C722</f>
        <v>182.31872960309212</v>
      </c>
      <c r="H722" s="2">
        <f>D722*F721</f>
        <v>248.68077879541249</v>
      </c>
      <c r="I722" s="2">
        <f>E722*G721</f>
        <v>254.0668981904563</v>
      </c>
      <c r="J722" s="2">
        <f>I722-H722</f>
        <v>5.3861193950438064</v>
      </c>
      <c r="K722" s="2">
        <f t="shared" si="94"/>
        <v>-5.3861193950438064</v>
      </c>
      <c r="L722" s="3">
        <f>C722/B722</f>
        <v>3.3185503388189739</v>
      </c>
      <c r="M722" s="3">
        <f t="shared" si="96"/>
        <v>3.2753581158884884</v>
      </c>
      <c r="N722" s="3">
        <f t="shared" si="92"/>
        <v>3.2352683685311283</v>
      </c>
      <c r="O722" s="3">
        <f t="shared" si="93"/>
        <v>3.1731874573729084</v>
      </c>
      <c r="P722" s="3">
        <f t="shared" si="95"/>
        <v>3.1000520875267896</v>
      </c>
      <c r="Q722" s="4" t="str">
        <f t="shared" si="99"/>
        <v>OVER</v>
      </c>
      <c r="R722" s="4" t="str">
        <f t="shared" si="99"/>
        <v>OVER</v>
      </c>
      <c r="S722" s="4" t="str">
        <f t="shared" si="97"/>
        <v>OVER</v>
      </c>
      <c r="T722" s="4" t="str">
        <f t="shared" si="97"/>
        <v>OVER</v>
      </c>
      <c r="U722" s="2">
        <f>IF(Q722="OVER",$J722,$K722)</f>
        <v>5.3861193950438064</v>
      </c>
      <c r="V722" s="2">
        <f>IF(R722="OVER",$J722,$K722)</f>
        <v>5.3861193950438064</v>
      </c>
      <c r="W722" s="2">
        <f>IF(S722="OVER",$J722,$K722)</f>
        <v>5.3861193950438064</v>
      </c>
      <c r="X722" s="2">
        <f>IF(T722="OVER",$J722,$K722)</f>
        <v>5.3861193950438064</v>
      </c>
      <c r="Y722" s="9">
        <f t="shared" si="98"/>
        <v>-7957.9403859914382</v>
      </c>
      <c r="Z722" s="9">
        <f t="shared" si="98"/>
        <v>8857.7520179823878</v>
      </c>
      <c r="AA722" s="9">
        <f t="shared" si="98"/>
        <v>46007.215135164101</v>
      </c>
      <c r="AB722" s="9">
        <f t="shared" si="98"/>
        <v>20859.123092190137</v>
      </c>
    </row>
    <row r="723" spans="1:28" x14ac:dyDescent="0.3">
      <c r="A723" s="1">
        <v>45463</v>
      </c>
      <c r="B723" s="2">
        <v>165.38</v>
      </c>
      <c r="C723" s="2">
        <v>547</v>
      </c>
      <c r="D723" s="9">
        <f>B723-B722</f>
        <v>9.9999999999994316E-2</v>
      </c>
      <c r="E723" s="9">
        <f>C723-C722</f>
        <v>-1.4900000000000091</v>
      </c>
      <c r="F723" s="3">
        <f>F$1/B723</f>
        <v>604.66803724755107</v>
      </c>
      <c r="G723" s="3">
        <f>F$1/C723</f>
        <v>182.81535648994515</v>
      </c>
      <c r="H723" s="2">
        <f>D723*F722</f>
        <v>60.503388189735183</v>
      </c>
      <c r="I723" s="2">
        <f>E723*G722</f>
        <v>-271.65490710860894</v>
      </c>
      <c r="J723" s="2">
        <f>I723-H723</f>
        <v>-332.15829529834411</v>
      </c>
      <c r="K723" s="2">
        <f t="shared" si="94"/>
        <v>332.15829529834411</v>
      </c>
      <c r="L723" s="3">
        <f>C723/B723</f>
        <v>3.3075341637441045</v>
      </c>
      <c r="M723" s="3">
        <f t="shared" si="96"/>
        <v>3.2828527656365383</v>
      </c>
      <c r="N723" s="3">
        <f t="shared" si="92"/>
        <v>3.2423420319706722</v>
      </c>
      <c r="O723" s="3">
        <f t="shared" si="93"/>
        <v>3.177351986434374</v>
      </c>
      <c r="P723" s="3">
        <f t="shared" si="95"/>
        <v>3.1016040402639375</v>
      </c>
      <c r="Q723" s="4" t="str">
        <f t="shared" si="99"/>
        <v>OVER</v>
      </c>
      <c r="R723" s="4" t="str">
        <f t="shared" si="99"/>
        <v>OVER</v>
      </c>
      <c r="S723" s="4" t="str">
        <f t="shared" si="97"/>
        <v>OVER</v>
      </c>
      <c r="T723" s="4" t="str">
        <f t="shared" si="97"/>
        <v>OVER</v>
      </c>
      <c r="U723" s="2">
        <f>IF(Q723="OVER",$J723,$K723)</f>
        <v>-332.15829529834411</v>
      </c>
      <c r="V723" s="2">
        <f>IF(R723="OVER",$J723,$K723)</f>
        <v>-332.15829529834411</v>
      </c>
      <c r="W723" s="2">
        <f>IF(S723="OVER",$J723,$K723)</f>
        <v>-332.15829529834411</v>
      </c>
      <c r="X723" s="2">
        <f>IF(T723="OVER",$J723,$K723)</f>
        <v>-332.15829529834411</v>
      </c>
      <c r="Y723" s="9">
        <f t="shared" si="98"/>
        <v>-8290.0986812897827</v>
      </c>
      <c r="Z723" s="9">
        <f t="shared" si="98"/>
        <v>8525.5937226840433</v>
      </c>
      <c r="AA723" s="9">
        <f t="shared" si="98"/>
        <v>45675.056839865756</v>
      </c>
      <c r="AB723" s="9">
        <f t="shared" si="98"/>
        <v>20526.964796891793</v>
      </c>
    </row>
    <row r="724" spans="1:28" x14ac:dyDescent="0.3">
      <c r="A724" s="1">
        <v>45464</v>
      </c>
      <c r="B724" s="2">
        <v>165.59</v>
      </c>
      <c r="C724" s="2">
        <v>544.51</v>
      </c>
      <c r="D724" s="9">
        <f>B724-B723</f>
        <v>0.21000000000000796</v>
      </c>
      <c r="E724" s="9">
        <f>C724-C723</f>
        <v>-2.4900000000000091</v>
      </c>
      <c r="F724" s="3">
        <f>F$1/B724</f>
        <v>603.90120176339144</v>
      </c>
      <c r="G724" s="3">
        <f>F$1/C724</f>
        <v>183.65135626526603</v>
      </c>
      <c r="H724" s="2">
        <f>D724*F723</f>
        <v>126.98028782199053</v>
      </c>
      <c r="I724" s="2">
        <f>E724*G723</f>
        <v>-455.21023765996506</v>
      </c>
      <c r="J724" s="2">
        <f>I724-H724</f>
        <v>-582.19052548195555</v>
      </c>
      <c r="K724" s="2">
        <f t="shared" si="94"/>
        <v>582.19052548195555</v>
      </c>
      <c r="L724" s="3">
        <f>C724/B724</f>
        <v>3.2883024337218432</v>
      </c>
      <c r="M724" s="3">
        <f t="shared" si="96"/>
        <v>3.2878036777753814</v>
      </c>
      <c r="N724" s="3">
        <f t="shared" si="92"/>
        <v>3.2483056912487251</v>
      </c>
      <c r="O724" s="3">
        <f t="shared" si="93"/>
        <v>3.1806907386483654</v>
      </c>
      <c r="P724" s="3">
        <f t="shared" si="95"/>
        <v>3.1029379387656117</v>
      </c>
      <c r="Q724" s="4" t="str">
        <f t="shared" si="99"/>
        <v>OVER</v>
      </c>
      <c r="R724" s="4" t="str">
        <f t="shared" si="99"/>
        <v>OVER</v>
      </c>
      <c r="S724" s="4" t="str">
        <f t="shared" si="97"/>
        <v>OVER</v>
      </c>
      <c r="T724" s="4" t="str">
        <f t="shared" si="97"/>
        <v>OVER</v>
      </c>
      <c r="U724" s="2">
        <f>IF(Q724="OVER",$J724,$K724)</f>
        <v>-582.19052548195555</v>
      </c>
      <c r="V724" s="2">
        <f>IF(R724="OVER",$J724,$K724)</f>
        <v>-582.19052548195555</v>
      </c>
      <c r="W724" s="2">
        <f>IF(S724="OVER",$J724,$K724)</f>
        <v>-582.19052548195555</v>
      </c>
      <c r="X724" s="2">
        <f>IF(T724="OVER",$J724,$K724)</f>
        <v>-582.19052548195555</v>
      </c>
      <c r="Y724" s="9">
        <f t="shared" si="98"/>
        <v>-8872.2892067717385</v>
      </c>
      <c r="Z724" s="9">
        <f t="shared" si="98"/>
        <v>7943.4031972020875</v>
      </c>
      <c r="AA724" s="9">
        <f t="shared" si="98"/>
        <v>45092.866314383798</v>
      </c>
      <c r="AB724" s="9">
        <f t="shared" si="98"/>
        <v>19944.774271409839</v>
      </c>
    </row>
    <row r="725" spans="1:28" x14ac:dyDescent="0.3">
      <c r="A725" s="1">
        <v>45467</v>
      </c>
      <c r="B725" s="2">
        <v>165.72</v>
      </c>
      <c r="C725" s="2">
        <v>542.74</v>
      </c>
      <c r="D725" s="9">
        <f>B725-B724</f>
        <v>0.12999999999999545</v>
      </c>
      <c r="E725" s="9">
        <f>C725-C724</f>
        <v>-1.7699999999999818</v>
      </c>
      <c r="F725" s="3">
        <f>F$1/B725</f>
        <v>603.42746801834414</v>
      </c>
      <c r="G725" s="3">
        <f>F$1/C725</f>
        <v>184.25028558794267</v>
      </c>
      <c r="H725" s="2">
        <f>D725*F724</f>
        <v>78.507156229238134</v>
      </c>
      <c r="I725" s="2">
        <f>E725*G724</f>
        <v>-325.06290058951754</v>
      </c>
      <c r="J725" s="2">
        <f>I725-H725</f>
        <v>-403.57005681875569</v>
      </c>
      <c r="K725" s="2">
        <f t="shared" si="94"/>
        <v>403.57005681875569</v>
      </c>
      <c r="L725" s="3">
        <f>C725/B725</f>
        <v>3.2750422399227612</v>
      </c>
      <c r="M725" s="3">
        <f t="shared" si="96"/>
        <v>3.2908001234497184</v>
      </c>
      <c r="N725" s="3">
        <f t="shared" si="92"/>
        <v>3.252530960660696</v>
      </c>
      <c r="O725" s="3">
        <f t="shared" si="93"/>
        <v>3.1832472976457389</v>
      </c>
      <c r="P725" s="3">
        <f t="shared" si="95"/>
        <v>3.1042554459765639</v>
      </c>
      <c r="Q725" s="4" t="str">
        <f t="shared" si="99"/>
        <v>OVER</v>
      </c>
      <c r="R725" s="4" t="str">
        <f t="shared" si="99"/>
        <v>OVER</v>
      </c>
      <c r="S725" s="4" t="str">
        <f t="shared" si="97"/>
        <v>OVER</v>
      </c>
      <c r="T725" s="4" t="str">
        <f t="shared" si="97"/>
        <v>OVER</v>
      </c>
      <c r="U725" s="2">
        <f>IF(Q725="OVER",$J725,$K725)</f>
        <v>-403.57005681875569</v>
      </c>
      <c r="V725" s="2">
        <f>IF(R725="OVER",$J725,$K725)</f>
        <v>-403.57005681875569</v>
      </c>
      <c r="W725" s="2">
        <f>IF(S725="OVER",$J725,$K725)</f>
        <v>-403.57005681875569</v>
      </c>
      <c r="X725" s="2">
        <f>IF(T725="OVER",$J725,$K725)</f>
        <v>-403.57005681875569</v>
      </c>
      <c r="Y725" s="9">
        <f t="shared" si="98"/>
        <v>-9275.8592635904934</v>
      </c>
      <c r="Z725" s="9">
        <f t="shared" si="98"/>
        <v>7539.8331403833317</v>
      </c>
      <c r="AA725" s="9">
        <f t="shared" si="98"/>
        <v>44689.296257565045</v>
      </c>
      <c r="AB725" s="9">
        <f t="shared" si="98"/>
        <v>19541.204214591082</v>
      </c>
    </row>
    <row r="726" spans="1:28" x14ac:dyDescent="0.3">
      <c r="A726" s="1">
        <v>45468</v>
      </c>
      <c r="B726" s="2">
        <v>164.58</v>
      </c>
      <c r="C726" s="2">
        <v>544.83000000000004</v>
      </c>
      <c r="D726" s="9">
        <f>B726-B725</f>
        <v>-1.1399999999999864</v>
      </c>
      <c r="E726" s="9">
        <f>C726-C725</f>
        <v>2.0900000000000318</v>
      </c>
      <c r="F726" s="3">
        <f>F$1/B726</f>
        <v>607.60724267833268</v>
      </c>
      <c r="G726" s="3">
        <f>F$1/C726</f>
        <v>183.5434906301048</v>
      </c>
      <c r="H726" s="2">
        <f>D726*F725</f>
        <v>-687.90731354090406</v>
      </c>
      <c r="I726" s="2">
        <f>E726*G725</f>
        <v>385.08309687880603</v>
      </c>
      <c r="J726" s="2">
        <f>I726-H726</f>
        <v>1072.9904104197101</v>
      </c>
      <c r="K726" s="2">
        <f t="shared" si="94"/>
        <v>-1072.9904104197101</v>
      </c>
      <c r="L726" s="3">
        <f>C726/B726</f>
        <v>3.31042654028436</v>
      </c>
      <c r="M726" s="3">
        <f t="shared" si="96"/>
        <v>3.2972003532357306</v>
      </c>
      <c r="N726" s="3">
        <f t="shared" si="92"/>
        <v>3.2585247476001884</v>
      </c>
      <c r="O726" s="3">
        <f t="shared" si="93"/>
        <v>3.1863801400948386</v>
      </c>
      <c r="P726" s="3">
        <f t="shared" si="95"/>
        <v>3.1057360920266772</v>
      </c>
      <c r="Q726" s="4" t="str">
        <f t="shared" si="99"/>
        <v>UNDER</v>
      </c>
      <c r="R726" s="4" t="str">
        <f t="shared" si="99"/>
        <v>OVER</v>
      </c>
      <c r="S726" s="4" t="str">
        <f t="shared" si="97"/>
        <v>OVER</v>
      </c>
      <c r="T726" s="4" t="str">
        <f t="shared" si="97"/>
        <v>OVER</v>
      </c>
      <c r="U726" s="2">
        <f>IF(Q726="OVER",$J726,$K726)</f>
        <v>-1072.9904104197101</v>
      </c>
      <c r="V726" s="2">
        <f>IF(R726="OVER",$J726,$K726)</f>
        <v>1072.9904104197101</v>
      </c>
      <c r="W726" s="2">
        <f>IF(S726="OVER",$J726,$K726)</f>
        <v>1072.9904104197101</v>
      </c>
      <c r="X726" s="2">
        <f>IF(T726="OVER",$J726,$K726)</f>
        <v>1072.9904104197101</v>
      </c>
      <c r="Y726" s="9">
        <f t="shared" si="98"/>
        <v>-10348.849674010204</v>
      </c>
      <c r="Z726" s="9">
        <f t="shared" si="98"/>
        <v>8612.8235508030411</v>
      </c>
      <c r="AA726" s="9">
        <f t="shared" si="98"/>
        <v>45762.286667984758</v>
      </c>
      <c r="AB726" s="9">
        <f t="shared" si="98"/>
        <v>20614.19462501079</v>
      </c>
    </row>
    <row r="727" spans="1:28" x14ac:dyDescent="0.3">
      <c r="A727" s="1">
        <v>45469</v>
      </c>
      <c r="B727" s="2">
        <v>163.96</v>
      </c>
      <c r="C727" s="2">
        <v>545.51</v>
      </c>
      <c r="D727" s="9">
        <f>B727-B726</f>
        <v>-0.62000000000000455</v>
      </c>
      <c r="E727" s="9">
        <f>C727-C726</f>
        <v>0.67999999999994998</v>
      </c>
      <c r="F727" s="3">
        <f>F$1/B727</f>
        <v>609.90485484264457</v>
      </c>
      <c r="G727" s="3">
        <f>F$1/C727</f>
        <v>183.31469633920551</v>
      </c>
      <c r="H727" s="2">
        <f>D727*F726</f>
        <v>-376.71649046056905</v>
      </c>
      <c r="I727" s="2">
        <f>E727*G726</f>
        <v>124.80957362846208</v>
      </c>
      <c r="J727" s="2">
        <f>I727-H727</f>
        <v>501.52606408903114</v>
      </c>
      <c r="K727" s="2">
        <f t="shared" si="94"/>
        <v>-501.52606408903114</v>
      </c>
      <c r="L727" s="3">
        <f>C727/B727</f>
        <v>3.3270919736521098</v>
      </c>
      <c r="M727" s="3">
        <f t="shared" si="96"/>
        <v>3.3031386158395009</v>
      </c>
      <c r="N727" s="3">
        <f t="shared" ref="N727:N790" si="100">AVERAGE(L708:L727)</f>
        <v>3.2641262666056283</v>
      </c>
      <c r="O727" s="3">
        <f t="shared" si="93"/>
        <v>3.1900934828684164</v>
      </c>
      <c r="P727" s="3">
        <f t="shared" si="95"/>
        <v>3.107284521756096</v>
      </c>
      <c r="Q727" s="4" t="str">
        <f t="shared" si="99"/>
        <v>OVER</v>
      </c>
      <c r="R727" s="4" t="str">
        <f t="shared" si="99"/>
        <v>OVER</v>
      </c>
      <c r="S727" s="4" t="str">
        <f t="shared" si="97"/>
        <v>OVER</v>
      </c>
      <c r="T727" s="4" t="str">
        <f t="shared" si="97"/>
        <v>OVER</v>
      </c>
      <c r="U727" s="2">
        <f>IF(Q727="OVER",$J727,$K727)</f>
        <v>501.52606408903114</v>
      </c>
      <c r="V727" s="2">
        <f>IF(R727="OVER",$J727,$K727)</f>
        <v>501.52606408903114</v>
      </c>
      <c r="W727" s="2">
        <f>IF(S727="OVER",$J727,$K727)</f>
        <v>501.52606408903114</v>
      </c>
      <c r="X727" s="2">
        <f>IF(T727="OVER",$J727,$K727)</f>
        <v>501.52606408903114</v>
      </c>
      <c r="Y727" s="9">
        <f t="shared" si="98"/>
        <v>-9847.3236099211717</v>
      </c>
      <c r="Z727" s="9">
        <f t="shared" si="98"/>
        <v>9114.3496148920731</v>
      </c>
      <c r="AA727" s="9">
        <f t="shared" si="98"/>
        <v>46263.812732073791</v>
      </c>
      <c r="AB727" s="9">
        <f t="shared" si="98"/>
        <v>21115.72068909982</v>
      </c>
    </row>
    <row r="728" spans="1:28" x14ac:dyDescent="0.3">
      <c r="A728" s="1">
        <v>45470</v>
      </c>
      <c r="B728" s="2">
        <v>164.16</v>
      </c>
      <c r="C728" s="2">
        <v>546.37</v>
      </c>
      <c r="D728" s="9">
        <f>B728-B727</f>
        <v>0.19999999999998863</v>
      </c>
      <c r="E728" s="9">
        <f>C728-C727</f>
        <v>0.86000000000001364</v>
      </c>
      <c r="F728" s="3">
        <f>F$1/B728</f>
        <v>609.16179337231972</v>
      </c>
      <c r="G728" s="3">
        <f>F$1/C728</f>
        <v>183.0261544374691</v>
      </c>
      <c r="H728" s="2">
        <f>D728*F727</f>
        <v>121.98097096852197</v>
      </c>
      <c r="I728" s="2">
        <f>E728*G727</f>
        <v>157.65063885171924</v>
      </c>
      <c r="J728" s="2">
        <f>I728-H728</f>
        <v>35.669667883197263</v>
      </c>
      <c r="K728" s="2">
        <f t="shared" si="94"/>
        <v>-35.669667883197263</v>
      </c>
      <c r="L728" s="3">
        <f>C728/B728</f>
        <v>3.3282772904483431</v>
      </c>
      <c r="M728" s="3">
        <f t="shared" si="96"/>
        <v>3.3082665870150856</v>
      </c>
      <c r="N728" s="3">
        <f t="shared" si="100"/>
        <v>3.2690210349718378</v>
      </c>
      <c r="O728" s="3">
        <f t="shared" si="93"/>
        <v>3.1935955932712843</v>
      </c>
      <c r="P728" s="3">
        <f t="shared" si="95"/>
        <v>3.1087643016088382</v>
      </c>
      <c r="Q728" s="4" t="str">
        <f t="shared" si="99"/>
        <v>OVER</v>
      </c>
      <c r="R728" s="4" t="str">
        <f t="shared" si="99"/>
        <v>OVER</v>
      </c>
      <c r="S728" s="4" t="str">
        <f t="shared" si="97"/>
        <v>OVER</v>
      </c>
      <c r="T728" s="4" t="str">
        <f t="shared" si="97"/>
        <v>OVER</v>
      </c>
      <c r="U728" s="2">
        <f>IF(Q728="OVER",$J728,$K728)</f>
        <v>35.669667883197263</v>
      </c>
      <c r="V728" s="2">
        <f>IF(R728="OVER",$J728,$K728)</f>
        <v>35.669667883197263</v>
      </c>
      <c r="W728" s="2">
        <f>IF(S728="OVER",$J728,$K728)</f>
        <v>35.669667883197263</v>
      </c>
      <c r="X728" s="2">
        <f>IF(T728="OVER",$J728,$K728)</f>
        <v>35.669667883197263</v>
      </c>
      <c r="Y728" s="9">
        <f t="shared" si="98"/>
        <v>-9811.653942037974</v>
      </c>
      <c r="Z728" s="9">
        <f t="shared" si="98"/>
        <v>9150.0192827752708</v>
      </c>
      <c r="AA728" s="9">
        <f t="shared" si="98"/>
        <v>46299.482399956985</v>
      </c>
      <c r="AB728" s="9">
        <f t="shared" si="98"/>
        <v>21151.390356983018</v>
      </c>
    </row>
    <row r="729" spans="1:28" x14ac:dyDescent="0.3">
      <c r="A729" s="1">
        <v>45471</v>
      </c>
      <c r="B729" s="2">
        <v>164.28</v>
      </c>
      <c r="C729" s="2">
        <v>544.22</v>
      </c>
      <c r="D729" s="9">
        <f>B729-B728</f>
        <v>0.12000000000000455</v>
      </c>
      <c r="E729" s="9">
        <f>C729-C728</f>
        <v>-2.1499999999999773</v>
      </c>
      <c r="F729" s="3">
        <f>F$1/B729</f>
        <v>608.71682493304115</v>
      </c>
      <c r="G729" s="3">
        <f>F$1/C729</f>
        <v>183.74921906581895</v>
      </c>
      <c r="H729" s="2">
        <f>D729*F728</f>
        <v>73.099415204681137</v>
      </c>
      <c r="I729" s="2">
        <f>E729*G728</f>
        <v>-393.50623204055444</v>
      </c>
      <c r="J729" s="2">
        <f>I729-H729</f>
        <v>-466.60564724523556</v>
      </c>
      <c r="K729" s="2">
        <f t="shared" si="94"/>
        <v>466.60564724523556</v>
      </c>
      <c r="L729" s="3">
        <f>C729/B729</f>
        <v>3.3127587046505966</v>
      </c>
      <c r="M729" s="3">
        <f t="shared" si="96"/>
        <v>3.3102460330280108</v>
      </c>
      <c r="N729" s="3">
        <f t="shared" si="100"/>
        <v>3.2749468499183214</v>
      </c>
      <c r="O729" s="3">
        <f t="shared" si="93"/>
        <v>3.1970307372438147</v>
      </c>
      <c r="P729" s="3">
        <f t="shared" si="95"/>
        <v>3.110230261685917</v>
      </c>
      <c r="Q729" s="4" t="str">
        <f t="shared" si="99"/>
        <v>OVER</v>
      </c>
      <c r="R729" s="4" t="str">
        <f t="shared" si="99"/>
        <v>OVER</v>
      </c>
      <c r="S729" s="4" t="str">
        <f t="shared" si="97"/>
        <v>OVER</v>
      </c>
      <c r="T729" s="4" t="str">
        <f t="shared" si="97"/>
        <v>OVER</v>
      </c>
      <c r="U729" s="2">
        <f>IF(Q729="OVER",$J729,$K729)</f>
        <v>-466.60564724523556</v>
      </c>
      <c r="V729" s="2">
        <f>IF(R729="OVER",$J729,$K729)</f>
        <v>-466.60564724523556</v>
      </c>
      <c r="W729" s="2">
        <f>IF(S729="OVER",$J729,$K729)</f>
        <v>-466.60564724523556</v>
      </c>
      <c r="X729" s="2">
        <f>IF(T729="OVER",$J729,$K729)</f>
        <v>-466.60564724523556</v>
      </c>
      <c r="Y729" s="9">
        <f t="shared" si="98"/>
        <v>-10278.259589283211</v>
      </c>
      <c r="Z729" s="9">
        <f t="shared" si="98"/>
        <v>8683.4136355300361</v>
      </c>
      <c r="AA729" s="9">
        <f t="shared" si="98"/>
        <v>45832.876752711752</v>
      </c>
      <c r="AB729" s="9">
        <f t="shared" si="98"/>
        <v>20684.784709737782</v>
      </c>
    </row>
    <row r="730" spans="1:28" x14ac:dyDescent="0.3">
      <c r="A730" s="1">
        <v>45474</v>
      </c>
      <c r="B730" s="2">
        <v>162.94999999999999</v>
      </c>
      <c r="C730" s="2">
        <v>545.34</v>
      </c>
      <c r="D730" s="9">
        <f>B730-B729</f>
        <v>-1.3300000000000125</v>
      </c>
      <c r="E730" s="9">
        <f>C730-C729</f>
        <v>1.1200000000000045</v>
      </c>
      <c r="F730" s="3">
        <f>F$1/B730</f>
        <v>613.68517950291505</v>
      </c>
      <c r="G730" s="3">
        <f>F$1/C730</f>
        <v>183.37184142003153</v>
      </c>
      <c r="H730" s="2">
        <f>D730*F729</f>
        <v>-809.5933771609524</v>
      </c>
      <c r="I730" s="2">
        <f>E730*G729</f>
        <v>205.79912535371807</v>
      </c>
      <c r="J730" s="2">
        <f>I730-H730</f>
        <v>1015.3925025146705</v>
      </c>
      <c r="K730" s="2">
        <f t="shared" si="94"/>
        <v>-1015.3925025146705</v>
      </c>
      <c r="L730" s="3">
        <f>C730/B730</f>
        <v>3.3466707579011969</v>
      </c>
      <c r="M730" s="3">
        <f t="shared" si="96"/>
        <v>3.3133026493850908</v>
      </c>
      <c r="N730" s="3">
        <f t="shared" si="100"/>
        <v>3.2832232035933311</v>
      </c>
      <c r="O730" s="3">
        <f t="shared" si="93"/>
        <v>3.2012143251296821</v>
      </c>
      <c r="P730" s="3">
        <f t="shared" si="95"/>
        <v>3.1117875567438613</v>
      </c>
      <c r="Q730" s="4" t="str">
        <f t="shared" si="99"/>
        <v>OVER</v>
      </c>
      <c r="R730" s="4" t="str">
        <f t="shared" si="99"/>
        <v>OVER</v>
      </c>
      <c r="S730" s="4" t="str">
        <f t="shared" si="97"/>
        <v>OVER</v>
      </c>
      <c r="T730" s="4" t="str">
        <f t="shared" si="97"/>
        <v>OVER</v>
      </c>
      <c r="U730" s="2">
        <f>IF(Q730="OVER",$J730,$K730)</f>
        <v>1015.3925025146705</v>
      </c>
      <c r="V730" s="2">
        <f>IF(R730="OVER",$J730,$K730)</f>
        <v>1015.3925025146705</v>
      </c>
      <c r="W730" s="2">
        <f>IF(S730="OVER",$J730,$K730)</f>
        <v>1015.3925025146705</v>
      </c>
      <c r="X730" s="2">
        <f>IF(T730="OVER",$J730,$K730)</f>
        <v>1015.3925025146705</v>
      </c>
      <c r="Y730" s="9">
        <f t="shared" si="98"/>
        <v>-9262.8670867685396</v>
      </c>
      <c r="Z730" s="9">
        <f t="shared" si="98"/>
        <v>9698.806138044707</v>
      </c>
      <c r="AA730" s="9">
        <f t="shared" si="98"/>
        <v>46848.26925522642</v>
      </c>
      <c r="AB730" s="9">
        <f t="shared" si="98"/>
        <v>21700.177212252453</v>
      </c>
    </row>
    <row r="731" spans="1:28" x14ac:dyDescent="0.3">
      <c r="A731" s="1">
        <v>45475</v>
      </c>
      <c r="B731" s="2">
        <v>163.68</v>
      </c>
      <c r="C731" s="2">
        <v>549.01</v>
      </c>
      <c r="D731" s="9">
        <f>B731-B730</f>
        <v>0.73000000000001819</v>
      </c>
      <c r="E731" s="9">
        <f>C731-C730</f>
        <v>3.6699999999999591</v>
      </c>
      <c r="F731" s="3">
        <f>F$1/B731</f>
        <v>610.94819159335282</v>
      </c>
      <c r="G731" s="3">
        <f>F$1/C731</f>
        <v>182.14604469863937</v>
      </c>
      <c r="H731" s="2">
        <f>D731*F730</f>
        <v>447.99018103713917</v>
      </c>
      <c r="I731" s="2">
        <f>E731*G730</f>
        <v>672.97465801150815</v>
      </c>
      <c r="J731" s="2">
        <f>I731-H731</f>
        <v>224.98447697436899</v>
      </c>
      <c r="K731" s="2">
        <f t="shared" si="94"/>
        <v>-224.98447697436899</v>
      </c>
      <c r="L731" s="3">
        <f>C731/B731</f>
        <v>3.3541666666666665</v>
      </c>
      <c r="M731" s="3">
        <f t="shared" si="96"/>
        <v>3.3168821109810955</v>
      </c>
      <c r="N731" s="3">
        <f t="shared" si="100"/>
        <v>3.2908951512383688</v>
      </c>
      <c r="O731" s="3">
        <f t="shared" si="93"/>
        <v>3.2063290707651242</v>
      </c>
      <c r="P731" s="3">
        <f t="shared" si="95"/>
        <v>3.113428375967136</v>
      </c>
      <c r="Q731" s="4" t="str">
        <f t="shared" si="99"/>
        <v>OVER</v>
      </c>
      <c r="R731" s="4" t="str">
        <f t="shared" si="99"/>
        <v>OVER</v>
      </c>
      <c r="S731" s="4" t="str">
        <f t="shared" si="97"/>
        <v>OVER</v>
      </c>
      <c r="T731" s="4" t="str">
        <f t="shared" si="97"/>
        <v>OVER</v>
      </c>
      <c r="U731" s="2">
        <f>IF(Q731="OVER",$J731,$K731)</f>
        <v>224.98447697436899</v>
      </c>
      <c r="V731" s="2">
        <f>IF(R731="OVER",$J731,$K731)</f>
        <v>224.98447697436899</v>
      </c>
      <c r="W731" s="2">
        <f>IF(S731="OVER",$J731,$K731)</f>
        <v>224.98447697436899</v>
      </c>
      <c r="X731" s="2">
        <f>IF(T731="OVER",$J731,$K731)</f>
        <v>224.98447697436899</v>
      </c>
      <c r="Y731" s="9">
        <f t="shared" si="98"/>
        <v>-9037.882609794171</v>
      </c>
      <c r="Z731" s="9">
        <f t="shared" si="98"/>
        <v>9923.7906150190756</v>
      </c>
      <c r="AA731" s="9">
        <f t="shared" si="98"/>
        <v>47073.253732200792</v>
      </c>
      <c r="AB731" s="9">
        <f t="shared" si="98"/>
        <v>21925.161689226821</v>
      </c>
    </row>
    <row r="732" spans="1:28" x14ac:dyDescent="0.3">
      <c r="A732" s="1">
        <v>45476</v>
      </c>
      <c r="B732" s="2">
        <v>163.75</v>
      </c>
      <c r="C732" s="2">
        <v>551.46</v>
      </c>
      <c r="D732" s="9">
        <f>B732-B731</f>
        <v>6.9999999999993179E-2</v>
      </c>
      <c r="E732" s="9">
        <f>C732-C731</f>
        <v>2.4500000000000455</v>
      </c>
      <c r="F732" s="3">
        <f>F$1/B732</f>
        <v>610.6870229007634</v>
      </c>
      <c r="G732" s="3">
        <f>F$1/C732</f>
        <v>181.33681500018133</v>
      </c>
      <c r="H732" s="2">
        <f>D732*F731</f>
        <v>42.76637341153053</v>
      </c>
      <c r="I732" s="2">
        <f>E732*G731</f>
        <v>446.25780951167474</v>
      </c>
      <c r="J732" s="2">
        <f>I732-H732</f>
        <v>403.4914361001442</v>
      </c>
      <c r="K732" s="2">
        <f t="shared" si="94"/>
        <v>-403.4914361001442</v>
      </c>
      <c r="L732" s="3">
        <f>C732/B732</f>
        <v>3.3676946564885499</v>
      </c>
      <c r="M732" s="3">
        <f t="shared" si="96"/>
        <v>3.3217965427480536</v>
      </c>
      <c r="N732" s="3">
        <f t="shared" si="100"/>
        <v>3.2985773293182703</v>
      </c>
      <c r="O732" s="3">
        <f t="shared" si="93"/>
        <v>3.2116175102527165</v>
      </c>
      <c r="P732" s="3">
        <f t="shared" si="95"/>
        <v>3.1152455048939749</v>
      </c>
      <c r="Q732" s="4" t="str">
        <f t="shared" si="99"/>
        <v>OVER</v>
      </c>
      <c r="R732" s="4" t="str">
        <f t="shared" si="99"/>
        <v>OVER</v>
      </c>
      <c r="S732" s="4" t="str">
        <f t="shared" si="97"/>
        <v>OVER</v>
      </c>
      <c r="T732" s="4" t="str">
        <f t="shared" si="97"/>
        <v>OVER</v>
      </c>
      <c r="U732" s="2">
        <f>IF(Q732="OVER",$J732,$K732)</f>
        <v>403.4914361001442</v>
      </c>
      <c r="V732" s="2">
        <f>IF(R732="OVER",$J732,$K732)</f>
        <v>403.4914361001442</v>
      </c>
      <c r="W732" s="2">
        <f>IF(S732="OVER",$J732,$K732)</f>
        <v>403.4914361001442</v>
      </c>
      <c r="X732" s="2">
        <f>IF(T732="OVER",$J732,$K732)</f>
        <v>403.4914361001442</v>
      </c>
      <c r="Y732" s="9">
        <f t="shared" si="98"/>
        <v>-8634.3911736940263</v>
      </c>
      <c r="Z732" s="9">
        <f t="shared" si="98"/>
        <v>10327.28205111922</v>
      </c>
      <c r="AA732" s="9">
        <f t="shared" si="98"/>
        <v>47476.745168300935</v>
      </c>
      <c r="AB732" s="9">
        <f t="shared" si="98"/>
        <v>22328.653125326964</v>
      </c>
    </row>
    <row r="733" spans="1:28" x14ac:dyDescent="0.3">
      <c r="A733" s="1">
        <v>45478</v>
      </c>
      <c r="B733" s="2">
        <v>163.68</v>
      </c>
      <c r="C733" s="2">
        <v>554.64</v>
      </c>
      <c r="D733" s="9">
        <f>B733-B732</f>
        <v>-6.9999999999993179E-2</v>
      </c>
      <c r="E733" s="9">
        <f>C733-C732</f>
        <v>3.17999999999995</v>
      </c>
      <c r="F733" s="3">
        <f>F$1/B733</f>
        <v>610.94819159335282</v>
      </c>
      <c r="G733" s="3">
        <f>F$1/C733</f>
        <v>180.29712966969566</v>
      </c>
      <c r="H733" s="2">
        <f>D733*F732</f>
        <v>-42.748091603049275</v>
      </c>
      <c r="I733" s="2">
        <f>E733*G732</f>
        <v>576.65107170056751</v>
      </c>
      <c r="J733" s="2">
        <f>I733-H733</f>
        <v>619.39916330361677</v>
      </c>
      <c r="K733" s="2">
        <f t="shared" si="94"/>
        <v>-619.39916330361677</v>
      </c>
      <c r="L733" s="3">
        <f>C733/B733</f>
        <v>3.3885630498533721</v>
      </c>
      <c r="M733" s="3">
        <f t="shared" si="96"/>
        <v>3.3298994313589803</v>
      </c>
      <c r="N733" s="3">
        <f t="shared" si="100"/>
        <v>3.306376098497759</v>
      </c>
      <c r="O733" s="3">
        <f t="shared" si="93"/>
        <v>3.2171396022235621</v>
      </c>
      <c r="P733" s="3">
        <f t="shared" si="95"/>
        <v>3.1170566604120187</v>
      </c>
      <c r="Q733" s="4" t="str">
        <f t="shared" si="99"/>
        <v>OVER</v>
      </c>
      <c r="R733" s="4" t="str">
        <f t="shared" si="99"/>
        <v>OVER</v>
      </c>
      <c r="S733" s="4" t="str">
        <f t="shared" si="97"/>
        <v>OVER</v>
      </c>
      <c r="T733" s="4" t="str">
        <f t="shared" si="97"/>
        <v>OVER</v>
      </c>
      <c r="U733" s="2">
        <f>IF(Q733="OVER",$J733,$K733)</f>
        <v>619.39916330361677</v>
      </c>
      <c r="V733" s="2">
        <f>IF(R733="OVER",$J733,$K733)</f>
        <v>619.39916330361677</v>
      </c>
      <c r="W733" s="2">
        <f>IF(S733="OVER",$J733,$K733)</f>
        <v>619.39916330361677</v>
      </c>
      <c r="X733" s="2">
        <f>IF(T733="OVER",$J733,$K733)</f>
        <v>619.39916330361677</v>
      </c>
      <c r="Y733" s="9">
        <f t="shared" si="98"/>
        <v>-8014.9920103904096</v>
      </c>
      <c r="Z733" s="9">
        <f t="shared" si="98"/>
        <v>10946.681214422837</v>
      </c>
      <c r="AA733" s="9">
        <f t="shared" si="98"/>
        <v>48096.144331604555</v>
      </c>
      <c r="AB733" s="9">
        <f t="shared" si="98"/>
        <v>22948.052288630581</v>
      </c>
    </row>
    <row r="734" spans="1:28" x14ac:dyDescent="0.3">
      <c r="A734" s="1">
        <v>45481</v>
      </c>
      <c r="B734" s="2">
        <v>164</v>
      </c>
      <c r="C734" s="2">
        <v>555.28</v>
      </c>
      <c r="D734" s="9">
        <f>B734-B733</f>
        <v>0.31999999999999318</v>
      </c>
      <c r="E734" s="9">
        <f>C734-C733</f>
        <v>0.63999999999998636</v>
      </c>
      <c r="F734" s="3">
        <f>F$1/B734</f>
        <v>609.7560975609756</v>
      </c>
      <c r="G734" s="3">
        <f>F$1/C734</f>
        <v>180.08932430485521</v>
      </c>
      <c r="H734" s="2">
        <f>D734*F733</f>
        <v>195.50342130986874</v>
      </c>
      <c r="I734" s="2">
        <f>E734*G733</f>
        <v>115.39016298860277</v>
      </c>
      <c r="J734" s="2">
        <f>I734-H734</f>
        <v>-80.113258321265974</v>
      </c>
      <c r="K734" s="2">
        <f t="shared" si="94"/>
        <v>80.113258321265974</v>
      </c>
      <c r="L734" s="3">
        <f>C734/B734</f>
        <v>3.3858536585365853</v>
      </c>
      <c r="M734" s="3">
        <f t="shared" si="96"/>
        <v>3.3396545538404538</v>
      </c>
      <c r="N734" s="3">
        <f t="shared" si="100"/>
        <v>3.3137291158079178</v>
      </c>
      <c r="O734" s="3">
        <f t="shared" si="93"/>
        <v>3.2227250139522874</v>
      </c>
      <c r="P734" s="3">
        <f t="shared" si="95"/>
        <v>3.1188608859988598</v>
      </c>
      <c r="Q734" s="4" t="str">
        <f t="shared" si="99"/>
        <v>OVER</v>
      </c>
      <c r="R734" s="4" t="str">
        <f t="shared" si="99"/>
        <v>OVER</v>
      </c>
      <c r="S734" s="4" t="str">
        <f t="shared" si="97"/>
        <v>OVER</v>
      </c>
      <c r="T734" s="4" t="str">
        <f t="shared" si="97"/>
        <v>OVER</v>
      </c>
      <c r="U734" s="2">
        <f>IF(Q734="OVER",$J734,$K734)</f>
        <v>-80.113258321265974</v>
      </c>
      <c r="V734" s="2">
        <f>IF(R734="OVER",$J734,$K734)</f>
        <v>-80.113258321265974</v>
      </c>
      <c r="W734" s="2">
        <f>IF(S734="OVER",$J734,$K734)</f>
        <v>-80.113258321265974</v>
      </c>
      <c r="X734" s="2">
        <f>IF(T734="OVER",$J734,$K734)</f>
        <v>-80.113258321265974</v>
      </c>
      <c r="Y734" s="9">
        <f t="shared" si="98"/>
        <v>-8095.1052687116753</v>
      </c>
      <c r="Z734" s="9">
        <f t="shared" si="98"/>
        <v>10866.567956101571</v>
      </c>
      <c r="AA734" s="9">
        <f t="shared" si="98"/>
        <v>48016.031073283288</v>
      </c>
      <c r="AB734" s="9">
        <f t="shared" si="98"/>
        <v>22867.939030309313</v>
      </c>
    </row>
    <row r="735" spans="1:28" x14ac:dyDescent="0.3">
      <c r="A735" s="1">
        <v>45482</v>
      </c>
      <c r="B735" s="2">
        <v>163.72</v>
      </c>
      <c r="C735" s="2">
        <v>555.82000000000005</v>
      </c>
      <c r="D735" s="9">
        <f>B735-B734</f>
        <v>-0.28000000000000114</v>
      </c>
      <c r="E735" s="9">
        <f>C735-C734</f>
        <v>0.54000000000007731</v>
      </c>
      <c r="F735" s="3">
        <f>F$1/B735</f>
        <v>610.798924993892</v>
      </c>
      <c r="G735" s="3">
        <f>F$1/C735</f>
        <v>179.91436076427618</v>
      </c>
      <c r="H735" s="2">
        <f>D735*F734</f>
        <v>-170.73170731707387</v>
      </c>
      <c r="I735" s="2">
        <f>E735*G734</f>
        <v>97.248235124635741</v>
      </c>
      <c r="J735" s="2">
        <f>I735-H735</f>
        <v>267.97994244170962</v>
      </c>
      <c r="K735" s="2">
        <f t="shared" si="94"/>
        <v>-267.97994244170962</v>
      </c>
      <c r="L735" s="3">
        <f>C735/B735</f>
        <v>3.3949425849010511</v>
      </c>
      <c r="M735" s="3">
        <f t="shared" si="96"/>
        <v>3.3516445883382828</v>
      </c>
      <c r="N735" s="3">
        <f t="shared" si="100"/>
        <v>3.3212223558940002</v>
      </c>
      <c r="O735" s="3">
        <f t="shared" si="93"/>
        <v>3.2285986115696188</v>
      </c>
      <c r="P735" s="3">
        <f t="shared" si="95"/>
        <v>3.1207806840414314</v>
      </c>
      <c r="Q735" s="4" t="str">
        <f t="shared" si="99"/>
        <v>OVER</v>
      </c>
      <c r="R735" s="4" t="str">
        <f t="shared" si="99"/>
        <v>OVER</v>
      </c>
      <c r="S735" s="4" t="str">
        <f t="shared" si="97"/>
        <v>OVER</v>
      </c>
      <c r="T735" s="4" t="str">
        <f t="shared" si="97"/>
        <v>OVER</v>
      </c>
      <c r="U735" s="2">
        <f>IF(Q735="OVER",$J735,$K735)</f>
        <v>267.97994244170962</v>
      </c>
      <c r="V735" s="2">
        <f>IF(R735="OVER",$J735,$K735)</f>
        <v>267.97994244170962</v>
      </c>
      <c r="W735" s="2">
        <f>IF(S735="OVER",$J735,$K735)</f>
        <v>267.97994244170962</v>
      </c>
      <c r="X735" s="2">
        <f>IF(T735="OVER",$J735,$K735)</f>
        <v>267.97994244170962</v>
      </c>
      <c r="Y735" s="9">
        <f t="shared" si="98"/>
        <v>-7827.1253262699656</v>
      </c>
      <c r="Z735" s="9">
        <f t="shared" si="98"/>
        <v>11134.54789854328</v>
      </c>
      <c r="AA735" s="9">
        <f t="shared" si="98"/>
        <v>48284.011015724995</v>
      </c>
      <c r="AB735" s="9">
        <f t="shared" si="98"/>
        <v>23135.918972751024</v>
      </c>
    </row>
    <row r="736" spans="1:28" x14ac:dyDescent="0.3">
      <c r="A736" s="1">
        <v>45483</v>
      </c>
      <c r="B736" s="2">
        <v>165.07</v>
      </c>
      <c r="C736" s="2">
        <v>561.32000000000005</v>
      </c>
      <c r="D736" s="9">
        <f>B736-B735</f>
        <v>1.3499999999999943</v>
      </c>
      <c r="E736" s="9">
        <f>C736-C735</f>
        <v>5.5</v>
      </c>
      <c r="F736" s="3">
        <f>F$1/B736</f>
        <v>605.8035984733749</v>
      </c>
      <c r="G736" s="3">
        <f>F$1/C736</f>
        <v>178.15150003563028</v>
      </c>
      <c r="H736" s="2">
        <f>D736*F735</f>
        <v>824.57854874175075</v>
      </c>
      <c r="I736" s="2">
        <f>E736*G735</f>
        <v>989.52898420351903</v>
      </c>
      <c r="J736" s="2">
        <f>I736-H736</f>
        <v>164.95043546176828</v>
      </c>
      <c r="K736" s="2">
        <f t="shared" si="94"/>
        <v>-164.95043546176828</v>
      </c>
      <c r="L736" s="3">
        <f>C736/B736</f>
        <v>3.4004967589507484</v>
      </c>
      <c r="M736" s="3">
        <f t="shared" si="96"/>
        <v>3.360651610204922</v>
      </c>
      <c r="N736" s="3">
        <f t="shared" si="100"/>
        <v>3.3289259817203258</v>
      </c>
      <c r="O736" s="3">
        <f t="shared" si="93"/>
        <v>3.2340265114103341</v>
      </c>
      <c r="P736" s="3">
        <f t="shared" si="95"/>
        <v>3.1227269762963283</v>
      </c>
      <c r="Q736" s="4" t="str">
        <f t="shared" si="99"/>
        <v>OVER</v>
      </c>
      <c r="R736" s="4" t="str">
        <f t="shared" si="99"/>
        <v>OVER</v>
      </c>
      <c r="S736" s="4" t="str">
        <f t="shared" si="97"/>
        <v>OVER</v>
      </c>
      <c r="T736" s="4" t="str">
        <f t="shared" si="97"/>
        <v>OVER</v>
      </c>
      <c r="U736" s="2">
        <f>IF(Q736="OVER",$J736,$K736)</f>
        <v>164.95043546176828</v>
      </c>
      <c r="V736" s="2">
        <f>IF(R736="OVER",$J736,$K736)</f>
        <v>164.95043546176828</v>
      </c>
      <c r="W736" s="2">
        <f>IF(S736="OVER",$J736,$K736)</f>
        <v>164.95043546176828</v>
      </c>
      <c r="X736" s="2">
        <f>IF(T736="OVER",$J736,$K736)</f>
        <v>164.95043546176828</v>
      </c>
      <c r="Y736" s="9">
        <f t="shared" si="98"/>
        <v>-7662.1748908081972</v>
      </c>
      <c r="Z736" s="9">
        <f t="shared" si="98"/>
        <v>11299.498334005048</v>
      </c>
      <c r="AA736" s="9">
        <f t="shared" si="98"/>
        <v>48448.961451186762</v>
      </c>
      <c r="AB736" s="9">
        <f t="shared" si="98"/>
        <v>23300.869408212791</v>
      </c>
    </row>
    <row r="737" spans="1:28" x14ac:dyDescent="0.3">
      <c r="A737" s="1">
        <v>45484</v>
      </c>
      <c r="B737" s="2">
        <v>167.06</v>
      </c>
      <c r="C737" s="2">
        <v>556.48</v>
      </c>
      <c r="D737" s="9">
        <f>B737-B736</f>
        <v>1.9900000000000091</v>
      </c>
      <c r="E737" s="9">
        <f>C737-C736</f>
        <v>-4.8400000000000318</v>
      </c>
      <c r="F737" s="3">
        <f>F$1/B737</f>
        <v>598.58733389201484</v>
      </c>
      <c r="G737" s="3">
        <f>F$1/C737</f>
        <v>179.700977573318</v>
      </c>
      <c r="H737" s="2">
        <f>D737*F736</f>
        <v>1205.5491609620215</v>
      </c>
      <c r="I737" s="2">
        <f>E737*G736</f>
        <v>-862.25326017245618</v>
      </c>
      <c r="J737" s="2">
        <f>I737-H737</f>
        <v>-2067.8024211344778</v>
      </c>
      <c r="K737" s="2">
        <f t="shared" si="94"/>
        <v>2067.8024211344778</v>
      </c>
      <c r="L737" s="3">
        <f>C737/B737</f>
        <v>3.3310187956422843</v>
      </c>
      <c r="M737" s="3">
        <f t="shared" si="96"/>
        <v>3.3610442924039399</v>
      </c>
      <c r="N737" s="3">
        <f t="shared" si="100"/>
        <v>3.3320914541217199</v>
      </c>
      <c r="O737" s="3">
        <f t="shared" si="93"/>
        <v>3.238277114762651</v>
      </c>
      <c r="P737" s="3">
        <f t="shared" si="95"/>
        <v>3.1242997239293153</v>
      </c>
      <c r="Q737" s="4" t="str">
        <f t="shared" si="99"/>
        <v>OVER</v>
      </c>
      <c r="R737" s="4" t="str">
        <f t="shared" si="99"/>
        <v>OVER</v>
      </c>
      <c r="S737" s="4" t="str">
        <f t="shared" si="97"/>
        <v>OVER</v>
      </c>
      <c r="T737" s="4" t="str">
        <f t="shared" si="97"/>
        <v>OVER</v>
      </c>
      <c r="U737" s="2">
        <f>IF(Q737="OVER",$J737,$K737)</f>
        <v>-2067.8024211344778</v>
      </c>
      <c r="V737" s="2">
        <f>IF(R737="OVER",$J737,$K737)</f>
        <v>-2067.8024211344778</v>
      </c>
      <c r="W737" s="2">
        <f>IF(S737="OVER",$J737,$K737)</f>
        <v>-2067.8024211344778</v>
      </c>
      <c r="X737" s="2">
        <f>IF(T737="OVER",$J737,$K737)</f>
        <v>-2067.8024211344778</v>
      </c>
      <c r="Y737" s="9">
        <f t="shared" si="98"/>
        <v>-9729.9773119426754</v>
      </c>
      <c r="Z737" s="9">
        <f t="shared" si="98"/>
        <v>9231.6959128705694</v>
      </c>
      <c r="AA737" s="9">
        <f t="shared" si="98"/>
        <v>46381.159030052288</v>
      </c>
      <c r="AB737" s="9">
        <f t="shared" si="98"/>
        <v>21233.066987078313</v>
      </c>
    </row>
    <row r="738" spans="1:28" x14ac:dyDescent="0.3">
      <c r="A738" s="1">
        <v>45485</v>
      </c>
      <c r="B738" s="2">
        <v>168.53</v>
      </c>
      <c r="C738" s="2">
        <v>559.99</v>
      </c>
      <c r="D738" s="9">
        <f>B738-B737</f>
        <v>1.4699999999999989</v>
      </c>
      <c r="E738" s="9">
        <f>C738-C737</f>
        <v>3.5099999999999909</v>
      </c>
      <c r="F738" s="3">
        <f>F$1/B738</f>
        <v>593.36616626119974</v>
      </c>
      <c r="G738" s="3">
        <f>F$1/C738</f>
        <v>178.5746174038822</v>
      </c>
      <c r="H738" s="2">
        <f>D738*F737</f>
        <v>879.92338082126116</v>
      </c>
      <c r="I738" s="2">
        <f>E738*G737</f>
        <v>630.75043128234449</v>
      </c>
      <c r="J738" s="2">
        <f>I738-H738</f>
        <v>-249.17294953891667</v>
      </c>
      <c r="K738" s="2">
        <f t="shared" si="94"/>
        <v>249.17294953891667</v>
      </c>
      <c r="L738" s="3">
        <f>C738/B738</f>
        <v>3.3227911944460926</v>
      </c>
      <c r="M738" s="3">
        <f t="shared" si="96"/>
        <v>3.3604956828037138</v>
      </c>
      <c r="N738" s="3">
        <f t="shared" si="100"/>
        <v>3.3343811349094006</v>
      </c>
      <c r="O738" s="3">
        <f t="shared" si="93"/>
        <v>3.2424525416292407</v>
      </c>
      <c r="P738" s="3">
        <f t="shared" si="95"/>
        <v>3.1258060252353448</v>
      </c>
      <c r="Q738" s="4" t="str">
        <f t="shared" si="99"/>
        <v>UNDER</v>
      </c>
      <c r="R738" s="4" t="str">
        <f t="shared" si="99"/>
        <v>UNDER</v>
      </c>
      <c r="S738" s="4" t="str">
        <f t="shared" si="97"/>
        <v>OVER</v>
      </c>
      <c r="T738" s="4" t="str">
        <f t="shared" si="97"/>
        <v>OVER</v>
      </c>
      <c r="U738" s="2">
        <f>IF(Q738="OVER",$J738,$K738)</f>
        <v>249.17294953891667</v>
      </c>
      <c r="V738" s="2">
        <f>IF(R738="OVER",$J738,$K738)</f>
        <v>249.17294953891667</v>
      </c>
      <c r="W738" s="2">
        <f>IF(S738="OVER",$J738,$K738)</f>
        <v>-249.17294953891667</v>
      </c>
      <c r="X738" s="2">
        <f>IF(T738="OVER",$J738,$K738)</f>
        <v>-249.17294953891667</v>
      </c>
      <c r="Y738" s="9">
        <f t="shared" si="98"/>
        <v>-9480.8043624037582</v>
      </c>
      <c r="Z738" s="9">
        <f t="shared" si="98"/>
        <v>9480.8688624094866</v>
      </c>
      <c r="AA738" s="9">
        <f t="shared" si="98"/>
        <v>46131.986080513372</v>
      </c>
      <c r="AB738" s="9">
        <f t="shared" si="98"/>
        <v>20983.894037539398</v>
      </c>
    </row>
    <row r="739" spans="1:28" x14ac:dyDescent="0.3">
      <c r="A739" s="1">
        <v>45488</v>
      </c>
      <c r="B739" s="2">
        <v>168.72</v>
      </c>
      <c r="C739" s="2">
        <v>561.53</v>
      </c>
      <c r="D739" s="9">
        <f>B739-B738</f>
        <v>0.18999999999999773</v>
      </c>
      <c r="E739" s="9">
        <f>C739-C738</f>
        <v>1.5399999999999636</v>
      </c>
      <c r="F739" s="3">
        <f>F$1/B739</f>
        <v>592.69796111901371</v>
      </c>
      <c r="G739" s="3">
        <f>F$1/C739</f>
        <v>178.0848752515449</v>
      </c>
      <c r="H739" s="2">
        <f>D739*F738</f>
        <v>112.73957158962661</v>
      </c>
      <c r="I739" s="2">
        <f>E739*G738</f>
        <v>275.00491080197207</v>
      </c>
      <c r="J739" s="2">
        <f>I739-H739</f>
        <v>162.26533921234545</v>
      </c>
      <c r="K739" s="2">
        <f t="shared" si="94"/>
        <v>-162.26533921234545</v>
      </c>
      <c r="L739" s="3">
        <f>C739/B739</f>
        <v>3.3281768610715976</v>
      </c>
      <c r="M739" s="3">
        <f t="shared" si="96"/>
        <v>3.3620374984458143</v>
      </c>
      <c r="N739" s="3">
        <f t="shared" si="100"/>
        <v>3.336141765736913</v>
      </c>
      <c r="O739" s="3">
        <f t="shared" si="93"/>
        <v>3.2467253847952726</v>
      </c>
      <c r="P739" s="3">
        <f t="shared" si="95"/>
        <v>3.1273490649576057</v>
      </c>
      <c r="Q739" s="4" t="str">
        <f t="shared" si="99"/>
        <v>UNDER</v>
      </c>
      <c r="R739" s="4" t="str">
        <f t="shared" si="99"/>
        <v>UNDER</v>
      </c>
      <c r="S739" s="4" t="str">
        <f t="shared" si="97"/>
        <v>OVER</v>
      </c>
      <c r="T739" s="4" t="str">
        <f t="shared" si="97"/>
        <v>OVER</v>
      </c>
      <c r="U739" s="2">
        <f>IF(Q739="OVER",$J739,$K739)</f>
        <v>-162.26533921234545</v>
      </c>
      <c r="V739" s="2">
        <f>IF(R739="OVER",$J739,$K739)</f>
        <v>-162.26533921234545</v>
      </c>
      <c r="W739" s="2">
        <f>IF(S739="OVER",$J739,$K739)</f>
        <v>162.26533921234545</v>
      </c>
      <c r="X739" s="2">
        <f>IF(T739="OVER",$J739,$K739)</f>
        <v>162.26533921234545</v>
      </c>
      <c r="Y739" s="9">
        <f t="shared" si="98"/>
        <v>-9643.069701616103</v>
      </c>
      <c r="Z739" s="9">
        <f t="shared" si="98"/>
        <v>9318.6035231971418</v>
      </c>
      <c r="AA739" s="9">
        <f t="shared" si="98"/>
        <v>46294.251419725719</v>
      </c>
      <c r="AB739" s="9">
        <f t="shared" si="98"/>
        <v>21146.159376751744</v>
      </c>
    </row>
    <row r="740" spans="1:28" x14ac:dyDescent="0.3">
      <c r="A740" s="1">
        <v>45489</v>
      </c>
      <c r="B740" s="2">
        <v>171.71</v>
      </c>
      <c r="C740" s="2">
        <v>564.86</v>
      </c>
      <c r="D740" s="9">
        <f>B740-B739</f>
        <v>2.9900000000000091</v>
      </c>
      <c r="E740" s="9">
        <f>C740-C739</f>
        <v>3.3300000000000409</v>
      </c>
      <c r="F740" s="3">
        <f>F$1/B740</f>
        <v>582.37726399161375</v>
      </c>
      <c r="G740" s="3">
        <f>F$1/C740</f>
        <v>177.03501752646673</v>
      </c>
      <c r="H740" s="2">
        <f>D740*F739</f>
        <v>1772.1669037458564</v>
      </c>
      <c r="I740" s="2">
        <f>E740*G739</f>
        <v>593.02263458765185</v>
      </c>
      <c r="J740" s="2">
        <f>I740-H740</f>
        <v>-1179.1442691582047</v>
      </c>
      <c r="K740" s="2">
        <f t="shared" si="94"/>
        <v>1179.1442691582047</v>
      </c>
      <c r="L740" s="3">
        <f>C740/B740</f>
        <v>3.2896162133830296</v>
      </c>
      <c r="M740" s="3">
        <f t="shared" si="96"/>
        <v>3.3563320439939979</v>
      </c>
      <c r="N740" s="3">
        <f t="shared" si="100"/>
        <v>3.3348173466895448</v>
      </c>
      <c r="O740" s="3">
        <f t="shared" si="93"/>
        <v>3.2500294635791427</v>
      </c>
      <c r="P740" s="3">
        <f t="shared" si="95"/>
        <v>3.1286986273484989</v>
      </c>
      <c r="Q740" s="4" t="str">
        <f t="shared" si="99"/>
        <v>UNDER</v>
      </c>
      <c r="R740" s="4" t="str">
        <f t="shared" si="99"/>
        <v>UNDER</v>
      </c>
      <c r="S740" s="4" t="str">
        <f t="shared" si="97"/>
        <v>OVER</v>
      </c>
      <c r="T740" s="4" t="str">
        <f t="shared" si="97"/>
        <v>OVER</v>
      </c>
      <c r="U740" s="2">
        <f>IF(Q740="OVER",$J740,$K740)</f>
        <v>1179.1442691582047</v>
      </c>
      <c r="V740" s="2">
        <f>IF(R740="OVER",$J740,$K740)</f>
        <v>1179.1442691582047</v>
      </c>
      <c r="W740" s="2">
        <f>IF(S740="OVER",$J740,$K740)</f>
        <v>-1179.1442691582047</v>
      </c>
      <c r="X740" s="2">
        <f>IF(T740="OVER",$J740,$K740)</f>
        <v>-1179.1442691582047</v>
      </c>
      <c r="Y740" s="9">
        <f t="shared" si="98"/>
        <v>-8463.9254324578978</v>
      </c>
      <c r="Z740" s="9">
        <f t="shared" si="98"/>
        <v>10497.747792355347</v>
      </c>
      <c r="AA740" s="9">
        <f t="shared" si="98"/>
        <v>45115.107150567514</v>
      </c>
      <c r="AB740" s="9">
        <f t="shared" si="98"/>
        <v>19967.015107593539</v>
      </c>
    </row>
    <row r="741" spans="1:28" x14ac:dyDescent="0.3">
      <c r="A741" s="1">
        <v>45490</v>
      </c>
      <c r="B741" s="2">
        <v>171.01</v>
      </c>
      <c r="C741" s="2">
        <v>556.94000000000005</v>
      </c>
      <c r="D741" s="9">
        <f>B741-B740</f>
        <v>-0.70000000000001705</v>
      </c>
      <c r="E741" s="9">
        <f>C741-C740</f>
        <v>-7.9199999999999591</v>
      </c>
      <c r="F741" s="3">
        <f>F$1/B741</f>
        <v>584.76112508040467</v>
      </c>
      <c r="G741" s="3">
        <f>F$1/C741</f>
        <v>179.55255503285809</v>
      </c>
      <c r="H741" s="2">
        <f>D741*F740</f>
        <v>-407.66408479413957</v>
      </c>
      <c r="I741" s="2">
        <f>E741*G740</f>
        <v>-1402.1173388096092</v>
      </c>
      <c r="J741" s="2">
        <f>I741-H741</f>
        <v>-994.45325401546961</v>
      </c>
      <c r="K741" s="2">
        <f t="shared" si="94"/>
        <v>994.45325401546961</v>
      </c>
      <c r="L741" s="3">
        <f>C741/B741</f>
        <v>3.2567686100228062</v>
      </c>
      <c r="M741" s="3">
        <f t="shared" si="96"/>
        <v>3.3465922383296118</v>
      </c>
      <c r="N741" s="3">
        <f t="shared" si="100"/>
        <v>3.3317371746553541</v>
      </c>
      <c r="O741" s="3">
        <f t="shared" si="93"/>
        <v>3.2523489379971795</v>
      </c>
      <c r="P741" s="3">
        <f t="shared" si="95"/>
        <v>3.1299011724468992</v>
      </c>
      <c r="Q741" s="4" t="str">
        <f t="shared" si="99"/>
        <v>UNDER</v>
      </c>
      <c r="R741" s="4" t="str">
        <f t="shared" si="99"/>
        <v>UNDER</v>
      </c>
      <c r="S741" s="4" t="str">
        <f t="shared" si="97"/>
        <v>OVER</v>
      </c>
      <c r="T741" s="4" t="str">
        <f t="shared" si="97"/>
        <v>OVER</v>
      </c>
      <c r="U741" s="2">
        <f>IF(Q741="OVER",$J741,$K741)</f>
        <v>994.45325401546961</v>
      </c>
      <c r="V741" s="2">
        <f>IF(R741="OVER",$J741,$K741)</f>
        <v>994.45325401546961</v>
      </c>
      <c r="W741" s="2">
        <f>IF(S741="OVER",$J741,$K741)</f>
        <v>-994.45325401546961</v>
      </c>
      <c r="X741" s="2">
        <f>IF(T741="OVER",$J741,$K741)</f>
        <v>-994.45325401546961</v>
      </c>
      <c r="Y741" s="9">
        <f t="shared" si="98"/>
        <v>-7469.4721784424282</v>
      </c>
      <c r="Z741" s="9">
        <f t="shared" si="98"/>
        <v>11492.201046370817</v>
      </c>
      <c r="AA741" s="9">
        <f t="shared" si="98"/>
        <v>44120.653896552045</v>
      </c>
      <c r="AB741" s="9">
        <f t="shared" si="98"/>
        <v>18972.56185357807</v>
      </c>
    </row>
    <row r="742" spans="1:28" x14ac:dyDescent="0.3">
      <c r="A742" s="1">
        <v>45491</v>
      </c>
      <c r="B742" s="2">
        <v>169.54</v>
      </c>
      <c r="C742" s="2">
        <v>552.66</v>
      </c>
      <c r="D742" s="9">
        <f>B742-B741</f>
        <v>-1.4699999999999989</v>
      </c>
      <c r="E742" s="9">
        <f>C742-C741</f>
        <v>-4.2800000000000864</v>
      </c>
      <c r="F742" s="3">
        <f>F$1/B742</f>
        <v>589.83130824584168</v>
      </c>
      <c r="G742" s="3">
        <f>F$1/C742</f>
        <v>180.94307530850796</v>
      </c>
      <c r="H742" s="2">
        <f>D742*F741</f>
        <v>-859.59885386819417</v>
      </c>
      <c r="I742" s="2">
        <f>E742*G741</f>
        <v>-768.48493554064817</v>
      </c>
      <c r="J742" s="2">
        <f>I742-H742</f>
        <v>91.113918327546003</v>
      </c>
      <c r="K742" s="2">
        <f t="shared" si="94"/>
        <v>-91.113918327546003</v>
      </c>
      <c r="L742" s="3">
        <f>C742/B742</f>
        <v>3.2597617081514687</v>
      </c>
      <c r="M742" s="3">
        <f t="shared" si="96"/>
        <v>3.3357989434959037</v>
      </c>
      <c r="N742" s="3">
        <f t="shared" si="100"/>
        <v>3.3287977431219788</v>
      </c>
      <c r="O742" s="3">
        <f t="shared" si="93"/>
        <v>3.2545631919114895</v>
      </c>
      <c r="P742" s="3">
        <f t="shared" si="95"/>
        <v>3.1311149361715085</v>
      </c>
      <c r="Q742" s="4" t="str">
        <f t="shared" si="99"/>
        <v>UNDER</v>
      </c>
      <c r="R742" s="4" t="str">
        <f t="shared" si="99"/>
        <v>UNDER</v>
      </c>
      <c r="S742" s="4" t="str">
        <f t="shared" si="97"/>
        <v>OVER</v>
      </c>
      <c r="T742" s="4" t="str">
        <f t="shared" si="97"/>
        <v>OVER</v>
      </c>
      <c r="U742" s="2">
        <f>IF(Q742="OVER",$J742,$K742)</f>
        <v>-91.113918327546003</v>
      </c>
      <c r="V742" s="2">
        <f>IF(R742="OVER",$J742,$K742)</f>
        <v>-91.113918327546003</v>
      </c>
      <c r="W742" s="2">
        <f>IF(S742="OVER",$J742,$K742)</f>
        <v>91.113918327546003</v>
      </c>
      <c r="X742" s="2">
        <f>IF(T742="OVER",$J742,$K742)</f>
        <v>91.113918327546003</v>
      </c>
      <c r="Y742" s="9">
        <f t="shared" si="98"/>
        <v>-7560.5860967699746</v>
      </c>
      <c r="Z742" s="9">
        <f t="shared" si="98"/>
        <v>11401.087128043271</v>
      </c>
      <c r="AA742" s="9">
        <f t="shared" si="98"/>
        <v>44211.767814879589</v>
      </c>
      <c r="AB742" s="9">
        <f t="shared" si="98"/>
        <v>19063.675771905615</v>
      </c>
    </row>
    <row r="743" spans="1:28" x14ac:dyDescent="0.3">
      <c r="A743" s="1">
        <v>45492</v>
      </c>
      <c r="B743" s="2">
        <v>168.4</v>
      </c>
      <c r="C743" s="2">
        <v>548.99</v>
      </c>
      <c r="D743" s="9">
        <f>B743-B742</f>
        <v>-1.1399999999999864</v>
      </c>
      <c r="E743" s="9">
        <f>C743-C742</f>
        <v>-3.6699999999999591</v>
      </c>
      <c r="F743" s="3">
        <f>F$1/B743</f>
        <v>593.82422802850351</v>
      </c>
      <c r="G743" s="3">
        <f>F$1/C743</f>
        <v>182.15268037669173</v>
      </c>
      <c r="H743" s="2">
        <f>D743*F742</f>
        <v>-672.40769140025145</v>
      </c>
      <c r="I743" s="2">
        <f>E743*G742</f>
        <v>-664.06108638221679</v>
      </c>
      <c r="J743" s="2">
        <f>I743-H743</f>
        <v>8.3466050180346656</v>
      </c>
      <c r="K743" s="2">
        <f t="shared" si="94"/>
        <v>-8.3466050180346656</v>
      </c>
      <c r="L743" s="3">
        <f>C743/B743</f>
        <v>3.2600356294536819</v>
      </c>
      <c r="M743" s="3">
        <f t="shared" si="96"/>
        <v>3.3229462014559346</v>
      </c>
      <c r="N743" s="3">
        <f t="shared" si="100"/>
        <v>3.3264228164074567</v>
      </c>
      <c r="O743" s="3">
        <f t="shared" si="93"/>
        <v>3.2568897403668249</v>
      </c>
      <c r="P743" s="3">
        <f t="shared" si="95"/>
        <v>3.132163847276161</v>
      </c>
      <c r="Q743" s="4" t="str">
        <f t="shared" si="99"/>
        <v>UNDER</v>
      </c>
      <c r="R743" s="4" t="str">
        <f t="shared" si="99"/>
        <v>UNDER</v>
      </c>
      <c r="S743" s="4" t="str">
        <f t="shared" si="97"/>
        <v>OVER</v>
      </c>
      <c r="T743" s="4" t="str">
        <f t="shared" si="97"/>
        <v>OVER</v>
      </c>
      <c r="U743" s="2">
        <f>IF(Q743="OVER",$J743,$K743)</f>
        <v>-8.3466050180346656</v>
      </c>
      <c r="V743" s="2">
        <f>IF(R743="OVER",$J743,$K743)</f>
        <v>-8.3466050180346656</v>
      </c>
      <c r="W743" s="2">
        <f>IF(S743="OVER",$J743,$K743)</f>
        <v>8.3466050180346656</v>
      </c>
      <c r="X743" s="2">
        <f>IF(T743="OVER",$J743,$K743)</f>
        <v>8.3466050180346656</v>
      </c>
      <c r="Y743" s="9">
        <f t="shared" si="98"/>
        <v>-7568.9327017880096</v>
      </c>
      <c r="Z743" s="9">
        <f t="shared" si="98"/>
        <v>11392.740523025237</v>
      </c>
      <c r="AA743" s="9">
        <f t="shared" si="98"/>
        <v>44220.114419897625</v>
      </c>
      <c r="AB743" s="9">
        <f t="shared" si="98"/>
        <v>19072.022376923651</v>
      </c>
    </row>
    <row r="744" spans="1:28" x14ac:dyDescent="0.3">
      <c r="A744" s="1">
        <v>45495</v>
      </c>
      <c r="B744" s="2">
        <v>169.73</v>
      </c>
      <c r="C744" s="2">
        <v>554.65</v>
      </c>
      <c r="D744" s="9">
        <f>B744-B743</f>
        <v>1.3299999999999841</v>
      </c>
      <c r="E744" s="9">
        <f>C744-C743</f>
        <v>5.6599999999999682</v>
      </c>
      <c r="F744" s="3">
        <f>F$1/B744</f>
        <v>589.17103635185299</v>
      </c>
      <c r="G744" s="3">
        <f>F$1/C744</f>
        <v>180.29387902280718</v>
      </c>
      <c r="H744" s="2">
        <f>D744*F743</f>
        <v>789.78622327790026</v>
      </c>
      <c r="I744" s="2">
        <f>E744*G743</f>
        <v>1030.9841709320694</v>
      </c>
      <c r="J744" s="2">
        <f>I744-H744</f>
        <v>241.19794765416918</v>
      </c>
      <c r="K744" s="2">
        <f t="shared" si="94"/>
        <v>-241.19794765416918</v>
      </c>
      <c r="L744" s="3">
        <f>C744/B744</f>
        <v>3.2678371531255523</v>
      </c>
      <c r="M744" s="3">
        <f t="shared" si="96"/>
        <v>3.3111445509148316</v>
      </c>
      <c r="N744" s="3">
        <f t="shared" si="100"/>
        <v>3.3253995523776423</v>
      </c>
      <c r="O744" s="3">
        <f t="shared" si="93"/>
        <v>3.2593509465206658</v>
      </c>
      <c r="P744" s="3">
        <f t="shared" si="95"/>
        <v>3.1332732808562538</v>
      </c>
      <c r="Q744" s="4" t="str">
        <f t="shared" si="99"/>
        <v>UNDER</v>
      </c>
      <c r="R744" s="4" t="str">
        <f t="shared" si="99"/>
        <v>UNDER</v>
      </c>
      <c r="S744" s="4" t="str">
        <f t="shared" si="97"/>
        <v>OVER</v>
      </c>
      <c r="T744" s="4" t="str">
        <f t="shared" si="97"/>
        <v>OVER</v>
      </c>
      <c r="U744" s="2">
        <f>IF(Q744="OVER",$J744,$K744)</f>
        <v>-241.19794765416918</v>
      </c>
      <c r="V744" s="2">
        <f>IF(R744="OVER",$J744,$K744)</f>
        <v>-241.19794765416918</v>
      </c>
      <c r="W744" s="2">
        <f>IF(S744="OVER",$J744,$K744)</f>
        <v>241.19794765416918</v>
      </c>
      <c r="X744" s="2">
        <f>IF(T744="OVER",$J744,$K744)</f>
        <v>241.19794765416918</v>
      </c>
      <c r="Y744" s="9">
        <f t="shared" si="98"/>
        <v>-7810.1306494421788</v>
      </c>
      <c r="Z744" s="9">
        <f t="shared" si="98"/>
        <v>11151.542575371068</v>
      </c>
      <c r="AA744" s="9">
        <f t="shared" si="98"/>
        <v>44461.312367551793</v>
      </c>
      <c r="AB744" s="9">
        <f t="shared" si="98"/>
        <v>19313.220324577822</v>
      </c>
    </row>
    <row r="745" spans="1:28" x14ac:dyDescent="0.3">
      <c r="A745" s="1">
        <v>45496</v>
      </c>
      <c r="B745" s="2">
        <v>169.13</v>
      </c>
      <c r="C745" s="2">
        <v>553.78</v>
      </c>
      <c r="D745" s="9">
        <f>B745-B744</f>
        <v>-0.59999999999999432</v>
      </c>
      <c r="E745" s="9">
        <f>C745-C744</f>
        <v>-0.87000000000000455</v>
      </c>
      <c r="F745" s="3">
        <f>F$1/B745</f>
        <v>591.26116005439599</v>
      </c>
      <c r="G745" s="3">
        <f>F$1/C745</f>
        <v>180.57712448986962</v>
      </c>
      <c r="H745" s="2">
        <f>D745*F744</f>
        <v>-353.50262181110844</v>
      </c>
      <c r="I745" s="2">
        <f>E745*G744</f>
        <v>-156.85567474984308</v>
      </c>
      <c r="J745" s="2">
        <f>I745-H745</f>
        <v>196.64694706126537</v>
      </c>
      <c r="K745" s="2">
        <f t="shared" si="94"/>
        <v>-196.64694706126537</v>
      </c>
      <c r="L745" s="3">
        <f>C745/B745</f>
        <v>3.2742860521492343</v>
      </c>
      <c r="M745" s="3">
        <f t="shared" si="96"/>
        <v>3.2990788976396495</v>
      </c>
      <c r="N745" s="3">
        <f t="shared" si="100"/>
        <v>3.3253617429889659</v>
      </c>
      <c r="O745" s="3">
        <f t="shared" si="93"/>
        <v>3.2621051190831873</v>
      </c>
      <c r="P745" s="3">
        <f t="shared" si="95"/>
        <v>3.1343911191629767</v>
      </c>
      <c r="Q745" s="4" t="str">
        <f t="shared" si="99"/>
        <v>UNDER</v>
      </c>
      <c r="R745" s="4" t="str">
        <f t="shared" si="99"/>
        <v>UNDER</v>
      </c>
      <c r="S745" s="4" t="str">
        <f t="shared" si="97"/>
        <v>OVER</v>
      </c>
      <c r="T745" s="4" t="str">
        <f t="shared" si="97"/>
        <v>OVER</v>
      </c>
      <c r="U745" s="2">
        <f>IF(Q745="OVER",$J745,$K745)</f>
        <v>-196.64694706126537</v>
      </c>
      <c r="V745" s="2">
        <f>IF(R745="OVER",$J745,$K745)</f>
        <v>-196.64694706126537</v>
      </c>
      <c r="W745" s="2">
        <f>IF(S745="OVER",$J745,$K745)</f>
        <v>196.64694706126537</v>
      </c>
      <c r="X745" s="2">
        <f>IF(T745="OVER",$J745,$K745)</f>
        <v>196.64694706126537</v>
      </c>
      <c r="Y745" s="9">
        <f t="shared" si="98"/>
        <v>-8006.7775965034443</v>
      </c>
      <c r="Z745" s="9">
        <f t="shared" si="98"/>
        <v>10954.895628309803</v>
      </c>
      <c r="AA745" s="9">
        <f t="shared" si="98"/>
        <v>44657.959314613057</v>
      </c>
      <c r="AB745" s="9">
        <f t="shared" si="98"/>
        <v>19509.867271639087</v>
      </c>
    </row>
    <row r="746" spans="1:28" x14ac:dyDescent="0.3">
      <c r="A746" s="1">
        <v>45497</v>
      </c>
      <c r="B746" s="2">
        <v>167.15</v>
      </c>
      <c r="C746" s="2">
        <v>541.23</v>
      </c>
      <c r="D746" s="9">
        <f>B746-B745</f>
        <v>-1.9799999999999898</v>
      </c>
      <c r="E746" s="9">
        <f>C746-C745</f>
        <v>-12.549999999999955</v>
      </c>
      <c r="F746" s="3">
        <f>F$1/B746</f>
        <v>598.26503140891418</v>
      </c>
      <c r="G746" s="3">
        <f>F$1/C746</f>
        <v>184.7643330931397</v>
      </c>
      <c r="H746" s="2">
        <f>D746*F745</f>
        <v>-1170.6970969076981</v>
      </c>
      <c r="I746" s="2">
        <f>E746*G745</f>
        <v>-2266.2429123478555</v>
      </c>
      <c r="J746" s="2">
        <f>I746-H746</f>
        <v>-1095.5458154401574</v>
      </c>
      <c r="K746" s="2">
        <f t="shared" si="94"/>
        <v>1095.5458154401574</v>
      </c>
      <c r="L746" s="3">
        <f>C746/B746</f>
        <v>3.2379898294944662</v>
      </c>
      <c r="M746" s="3">
        <f t="shared" si="96"/>
        <v>3.2828282046940211</v>
      </c>
      <c r="N746" s="3">
        <f t="shared" si="100"/>
        <v>3.3217399074494716</v>
      </c>
      <c r="O746" s="3">
        <f t="shared" si="93"/>
        <v>3.2641546634305865</v>
      </c>
      <c r="P746" s="3">
        <f t="shared" si="95"/>
        <v>3.1352892815669331</v>
      </c>
      <c r="Q746" s="4" t="str">
        <f t="shared" si="99"/>
        <v>UNDER</v>
      </c>
      <c r="R746" s="4" t="str">
        <f t="shared" si="99"/>
        <v>UNDER</v>
      </c>
      <c r="S746" s="4" t="str">
        <f t="shared" si="97"/>
        <v>UNDER</v>
      </c>
      <c r="T746" s="4" t="str">
        <f t="shared" si="97"/>
        <v>OVER</v>
      </c>
      <c r="U746" s="2">
        <f>IF(Q746="OVER",$J746,$K746)</f>
        <v>1095.5458154401574</v>
      </c>
      <c r="V746" s="2">
        <f>IF(R746="OVER",$J746,$K746)</f>
        <v>1095.5458154401574</v>
      </c>
      <c r="W746" s="2">
        <f>IF(S746="OVER",$J746,$K746)</f>
        <v>1095.5458154401574</v>
      </c>
      <c r="X746" s="2">
        <f>IF(T746="OVER",$J746,$K746)</f>
        <v>-1095.5458154401574</v>
      </c>
      <c r="Y746" s="9">
        <f t="shared" si="98"/>
        <v>-6911.2317810632867</v>
      </c>
      <c r="Z746" s="9">
        <f t="shared" si="98"/>
        <v>12050.44144374996</v>
      </c>
      <c r="AA746" s="9">
        <f t="shared" si="98"/>
        <v>45753.505130053214</v>
      </c>
      <c r="AB746" s="9">
        <f t="shared" si="98"/>
        <v>18414.32145619893</v>
      </c>
    </row>
    <row r="747" spans="1:28" x14ac:dyDescent="0.3">
      <c r="A747" s="1">
        <v>45498</v>
      </c>
      <c r="B747" s="2">
        <v>167.35</v>
      </c>
      <c r="C747" s="2">
        <v>538.41</v>
      </c>
      <c r="D747" s="9">
        <f>B747-B746</f>
        <v>0.19999999999998863</v>
      </c>
      <c r="E747" s="9">
        <f>C747-C746</f>
        <v>-2.82000000000005</v>
      </c>
      <c r="F747" s="3">
        <f>F$1/B747</f>
        <v>597.55004481625338</v>
      </c>
      <c r="G747" s="3">
        <f>F$1/C747</f>
        <v>185.73206292602293</v>
      </c>
      <c r="H747" s="2">
        <f>D747*F746</f>
        <v>119.65300628177603</v>
      </c>
      <c r="I747" s="2">
        <f>E747*G746</f>
        <v>-521.03541932266319</v>
      </c>
      <c r="J747" s="2">
        <f>I747-H747</f>
        <v>-640.6884256044392</v>
      </c>
      <c r="K747" s="2">
        <f t="shared" si="94"/>
        <v>640.6884256044392</v>
      </c>
      <c r="L747" s="3">
        <f>C747/B747</f>
        <v>3.2172691962951898</v>
      </c>
      <c r="M747" s="3">
        <f t="shared" si="96"/>
        <v>3.2714532447593121</v>
      </c>
      <c r="N747" s="3">
        <f t="shared" si="100"/>
        <v>3.3162487685816253</v>
      </c>
      <c r="O747" s="3">
        <f t="shared" si="93"/>
        <v>3.2657662603991833</v>
      </c>
      <c r="P747" s="3">
        <f t="shared" si="95"/>
        <v>3.1360349132626952</v>
      </c>
      <c r="Q747" s="4" t="str">
        <f t="shared" si="99"/>
        <v>UNDER</v>
      </c>
      <c r="R747" s="4" t="str">
        <f t="shared" si="99"/>
        <v>UNDER</v>
      </c>
      <c r="S747" s="4" t="str">
        <f t="shared" si="97"/>
        <v>UNDER</v>
      </c>
      <c r="T747" s="4" t="str">
        <f t="shared" si="97"/>
        <v>OVER</v>
      </c>
      <c r="U747" s="2">
        <f>IF(Q747="OVER",$J747,$K747)</f>
        <v>640.6884256044392</v>
      </c>
      <c r="V747" s="2">
        <f>IF(R747="OVER",$J747,$K747)</f>
        <v>640.6884256044392</v>
      </c>
      <c r="W747" s="2">
        <f>IF(S747="OVER",$J747,$K747)</f>
        <v>640.6884256044392</v>
      </c>
      <c r="X747" s="2">
        <f>IF(T747="OVER",$J747,$K747)</f>
        <v>-640.6884256044392</v>
      </c>
      <c r="Y747" s="9">
        <f t="shared" si="98"/>
        <v>-6270.5433554588471</v>
      </c>
      <c r="Z747" s="9">
        <f t="shared" si="98"/>
        <v>12691.129869354399</v>
      </c>
      <c r="AA747" s="9">
        <f t="shared" si="98"/>
        <v>46394.19355565765</v>
      </c>
      <c r="AB747" s="9">
        <f t="shared" si="98"/>
        <v>17773.63303059449</v>
      </c>
    </row>
    <row r="748" spans="1:28" x14ac:dyDescent="0.3">
      <c r="A748" s="1">
        <v>45499</v>
      </c>
      <c r="B748" s="2">
        <v>169.74</v>
      </c>
      <c r="C748" s="2">
        <v>544.44000000000005</v>
      </c>
      <c r="D748" s="9">
        <f>B748-B747</f>
        <v>2.3900000000000148</v>
      </c>
      <c r="E748" s="9">
        <f>C748-C747</f>
        <v>6.0300000000000864</v>
      </c>
      <c r="F748" s="3">
        <f>F$1/B748</f>
        <v>589.13632614587016</v>
      </c>
      <c r="G748" s="3">
        <f>F$1/C748</f>
        <v>183.67496877525528</v>
      </c>
      <c r="H748" s="2">
        <f>D748*F747</f>
        <v>1428.1446071108544</v>
      </c>
      <c r="I748" s="2">
        <f>E748*G747</f>
        <v>1119.9643394439343</v>
      </c>
      <c r="J748" s="2">
        <f>I748-H748</f>
        <v>-308.18026766692014</v>
      </c>
      <c r="K748" s="2">
        <f t="shared" si="94"/>
        <v>308.18026766692014</v>
      </c>
      <c r="L748" s="3">
        <f>C748/B748</f>
        <v>3.2074938140685756</v>
      </c>
      <c r="M748" s="3">
        <f t="shared" si="96"/>
        <v>3.2599235067215604</v>
      </c>
      <c r="N748" s="3">
        <f t="shared" si="100"/>
        <v>3.3102095947626369</v>
      </c>
      <c r="O748" s="3">
        <f t="shared" si="93"/>
        <v>3.2671439900962564</v>
      </c>
      <c r="P748" s="3">
        <f t="shared" si="95"/>
        <v>3.1367429497089243</v>
      </c>
      <c r="Q748" s="4" t="str">
        <f t="shared" si="99"/>
        <v>UNDER</v>
      </c>
      <c r="R748" s="4" t="str">
        <f t="shared" si="99"/>
        <v>UNDER</v>
      </c>
      <c r="S748" s="4" t="str">
        <f t="shared" si="97"/>
        <v>UNDER</v>
      </c>
      <c r="T748" s="4" t="str">
        <f t="shared" si="97"/>
        <v>OVER</v>
      </c>
      <c r="U748" s="2">
        <f>IF(Q748="OVER",$J748,$K748)</f>
        <v>308.18026766692014</v>
      </c>
      <c r="V748" s="2">
        <f>IF(R748="OVER",$J748,$K748)</f>
        <v>308.18026766692014</v>
      </c>
      <c r="W748" s="2">
        <f>IF(S748="OVER",$J748,$K748)</f>
        <v>308.18026766692014</v>
      </c>
      <c r="X748" s="2">
        <f>IF(T748="OVER",$J748,$K748)</f>
        <v>-308.18026766692014</v>
      </c>
      <c r="Y748" s="9">
        <f t="shared" si="98"/>
        <v>-5962.3630877919268</v>
      </c>
      <c r="Z748" s="9">
        <f t="shared" si="98"/>
        <v>12999.310137021319</v>
      </c>
      <c r="AA748" s="9">
        <f t="shared" si="98"/>
        <v>46702.373823324568</v>
      </c>
      <c r="AB748" s="9">
        <f t="shared" si="98"/>
        <v>17465.452762927569</v>
      </c>
    </row>
    <row r="749" spans="1:28" x14ac:dyDescent="0.3">
      <c r="A749" s="1">
        <v>45502</v>
      </c>
      <c r="B749" s="2">
        <v>169.97</v>
      </c>
      <c r="C749" s="2">
        <v>544.76</v>
      </c>
      <c r="D749" s="9">
        <f>B749-B748</f>
        <v>0.22999999999998977</v>
      </c>
      <c r="E749" s="9">
        <f>C749-C748</f>
        <v>0.31999999999993634</v>
      </c>
      <c r="F749" s="3">
        <f>F$1/B749</f>
        <v>588.3391186680002</v>
      </c>
      <c r="G749" s="3">
        <f>F$1/C749</f>
        <v>183.56707540935457</v>
      </c>
      <c r="H749" s="2">
        <f>D749*F748</f>
        <v>135.5013550135441</v>
      </c>
      <c r="I749" s="2">
        <f>E749*G748</f>
        <v>58.775990008069996</v>
      </c>
      <c r="J749" s="2">
        <f>I749-H749</f>
        <v>-76.725365005474103</v>
      </c>
      <c r="K749" s="2">
        <f t="shared" si="94"/>
        <v>76.725365005474103</v>
      </c>
      <c r="L749" s="3">
        <f>C749/B749</f>
        <v>3.2050361828557978</v>
      </c>
      <c r="M749" s="3">
        <f t="shared" si="96"/>
        <v>3.247609438899981</v>
      </c>
      <c r="N749" s="3">
        <f t="shared" si="100"/>
        <v>3.3048234686728977</v>
      </c>
      <c r="O749" s="3">
        <f t="shared" si="93"/>
        <v>3.2681981827525397</v>
      </c>
      <c r="P749" s="3">
        <f t="shared" si="95"/>
        <v>3.1374760416592395</v>
      </c>
      <c r="Q749" s="4" t="str">
        <f t="shared" si="99"/>
        <v>UNDER</v>
      </c>
      <c r="R749" s="4" t="str">
        <f t="shared" si="99"/>
        <v>UNDER</v>
      </c>
      <c r="S749" s="4" t="str">
        <f t="shared" si="97"/>
        <v>UNDER</v>
      </c>
      <c r="T749" s="4" t="str">
        <f t="shared" si="97"/>
        <v>OVER</v>
      </c>
      <c r="U749" s="2">
        <f>IF(Q749="OVER",$J749,$K749)</f>
        <v>76.725365005474103</v>
      </c>
      <c r="V749" s="2">
        <f>IF(R749="OVER",$J749,$K749)</f>
        <v>76.725365005474103</v>
      </c>
      <c r="W749" s="2">
        <f>IF(S749="OVER",$J749,$K749)</f>
        <v>76.725365005474103</v>
      </c>
      <c r="X749" s="2">
        <f>IF(T749="OVER",$J749,$K749)</f>
        <v>-76.725365005474103</v>
      </c>
      <c r="Y749" s="9">
        <f t="shared" si="98"/>
        <v>-5885.6377227864523</v>
      </c>
      <c r="Z749" s="9">
        <f t="shared" si="98"/>
        <v>13076.035502026793</v>
      </c>
      <c r="AA749" s="9">
        <f t="shared" si="98"/>
        <v>46779.099188330045</v>
      </c>
      <c r="AB749" s="9">
        <f t="shared" si="98"/>
        <v>17388.727397922095</v>
      </c>
    </row>
    <row r="750" spans="1:28" x14ac:dyDescent="0.3">
      <c r="A750" s="1">
        <v>45503</v>
      </c>
      <c r="B750" s="2">
        <v>170.79</v>
      </c>
      <c r="C750" s="2">
        <v>542</v>
      </c>
      <c r="D750" s="9">
        <f>B750-B749</f>
        <v>0.81999999999999318</v>
      </c>
      <c r="E750" s="9">
        <f>C750-C749</f>
        <v>-2.7599999999999909</v>
      </c>
      <c r="F750" s="3">
        <f>F$1/B750</f>
        <v>585.51437437789104</v>
      </c>
      <c r="G750" s="3">
        <f>F$1/C750</f>
        <v>184.50184501845018</v>
      </c>
      <c r="H750" s="2">
        <f>D750*F749</f>
        <v>482.43807730775615</v>
      </c>
      <c r="I750" s="2">
        <f>E750*G749</f>
        <v>-506.64512812981695</v>
      </c>
      <c r="J750" s="2">
        <f>I750-H750</f>
        <v>-989.08320543757304</v>
      </c>
      <c r="K750" s="2">
        <f t="shared" si="94"/>
        <v>989.08320543757304</v>
      </c>
      <c r="L750" s="3">
        <f>C750/B750</f>
        <v>3.1734879091281694</v>
      </c>
      <c r="M750" s="3">
        <f t="shared" si="96"/>
        <v>3.2359966084744949</v>
      </c>
      <c r="N750" s="3">
        <f t="shared" si="100"/>
        <v>3.2961643262342464</v>
      </c>
      <c r="O750" s="3">
        <f t="shared" si="93"/>
        <v>3.2686498826479582</v>
      </c>
      <c r="P750" s="3">
        <f t="shared" si="95"/>
        <v>3.1380211044665756</v>
      </c>
      <c r="Q750" s="4" t="str">
        <f t="shared" si="99"/>
        <v>UNDER</v>
      </c>
      <c r="R750" s="4" t="str">
        <f t="shared" si="99"/>
        <v>UNDER</v>
      </c>
      <c r="S750" s="4" t="str">
        <f t="shared" si="97"/>
        <v>UNDER</v>
      </c>
      <c r="T750" s="4" t="str">
        <f t="shared" si="97"/>
        <v>OVER</v>
      </c>
      <c r="U750" s="2">
        <f>IF(Q750="OVER",$J750,$K750)</f>
        <v>989.08320543757304</v>
      </c>
      <c r="V750" s="2">
        <f>IF(R750="OVER",$J750,$K750)</f>
        <v>989.08320543757304</v>
      </c>
      <c r="W750" s="2">
        <f>IF(S750="OVER",$J750,$K750)</f>
        <v>989.08320543757304</v>
      </c>
      <c r="X750" s="2">
        <f>IF(T750="OVER",$J750,$K750)</f>
        <v>-989.08320543757304</v>
      </c>
      <c r="Y750" s="9">
        <f t="shared" si="98"/>
        <v>-4896.554517348879</v>
      </c>
      <c r="Z750" s="9">
        <f t="shared" si="98"/>
        <v>14065.118707464366</v>
      </c>
      <c r="AA750" s="9">
        <f t="shared" si="98"/>
        <v>47768.182393767616</v>
      </c>
      <c r="AB750" s="9">
        <f t="shared" si="98"/>
        <v>16399.644192484524</v>
      </c>
    </row>
    <row r="751" spans="1:28" x14ac:dyDescent="0.3">
      <c r="A751" s="1">
        <v>45504</v>
      </c>
      <c r="B751" s="2">
        <v>171.6</v>
      </c>
      <c r="C751" s="2">
        <v>550.80999999999995</v>
      </c>
      <c r="D751" s="9">
        <f>B751-B750</f>
        <v>0.81000000000000227</v>
      </c>
      <c r="E751" s="9">
        <f>C751-C750</f>
        <v>8.8099999999999454</v>
      </c>
      <c r="F751" s="3">
        <f>F$1/B751</f>
        <v>582.75058275058279</v>
      </c>
      <c r="G751" s="3">
        <f>F$1/C751</f>
        <v>181.55080699333709</v>
      </c>
      <c r="H751" s="2">
        <f>D751*F750</f>
        <v>474.26664324609305</v>
      </c>
      <c r="I751" s="2">
        <f>E751*G750</f>
        <v>1625.4612546125361</v>
      </c>
      <c r="J751" s="2">
        <f>I751-H751</f>
        <v>1151.194611366443</v>
      </c>
      <c r="K751" s="2">
        <f t="shared" si="94"/>
        <v>-1151.194611366443</v>
      </c>
      <c r="L751" s="3">
        <f>C751/B751</f>
        <v>3.2098484848484845</v>
      </c>
      <c r="M751" s="3">
        <f t="shared" si="96"/>
        <v>3.2313045959570621</v>
      </c>
      <c r="N751" s="3">
        <f t="shared" si="100"/>
        <v>3.2889484171433372</v>
      </c>
      <c r="O751" s="3">
        <f t="shared" si="93"/>
        <v>3.269832093954069</v>
      </c>
      <c r="P751" s="3">
        <f t="shared" si="95"/>
        <v>3.1386485830216855</v>
      </c>
      <c r="Q751" s="4" t="str">
        <f t="shared" si="99"/>
        <v>UNDER</v>
      </c>
      <c r="R751" s="4" t="str">
        <f t="shared" si="99"/>
        <v>UNDER</v>
      </c>
      <c r="S751" s="4" t="str">
        <f t="shared" si="97"/>
        <v>UNDER</v>
      </c>
      <c r="T751" s="4" t="str">
        <f t="shared" si="97"/>
        <v>OVER</v>
      </c>
      <c r="U751" s="2">
        <f>IF(Q751="OVER",$J751,$K751)</f>
        <v>-1151.194611366443</v>
      </c>
      <c r="V751" s="2">
        <f>IF(R751="OVER",$J751,$K751)</f>
        <v>-1151.194611366443</v>
      </c>
      <c r="W751" s="2">
        <f>IF(S751="OVER",$J751,$K751)</f>
        <v>-1151.194611366443</v>
      </c>
      <c r="X751" s="2">
        <f>IF(T751="OVER",$J751,$K751)</f>
        <v>1151.194611366443</v>
      </c>
      <c r="Y751" s="9">
        <f t="shared" si="98"/>
        <v>-6047.7491287153225</v>
      </c>
      <c r="Z751" s="9">
        <f t="shared" si="98"/>
        <v>12913.924096097922</v>
      </c>
      <c r="AA751" s="9">
        <f t="shared" si="98"/>
        <v>46616.987782401171</v>
      </c>
      <c r="AB751" s="9">
        <f t="shared" si="98"/>
        <v>17550.838803850966</v>
      </c>
    </row>
    <row r="752" spans="1:28" x14ac:dyDescent="0.3">
      <c r="A752" s="1">
        <v>45505</v>
      </c>
      <c r="B752" s="2">
        <v>169.69</v>
      </c>
      <c r="C752" s="2">
        <v>543.01</v>
      </c>
      <c r="D752" s="9">
        <f>B752-B751</f>
        <v>-1.9099999999999966</v>
      </c>
      <c r="E752" s="9">
        <f>C752-C751</f>
        <v>-7.7999999999999545</v>
      </c>
      <c r="F752" s="3">
        <f>F$1/B752</f>
        <v>589.30991808592137</v>
      </c>
      <c r="G752" s="3">
        <f>F$1/C752</f>
        <v>184.15867111102926</v>
      </c>
      <c r="H752" s="2">
        <f>D752*F751</f>
        <v>-1113.0536130536111</v>
      </c>
      <c r="I752" s="2">
        <f>E752*G751</f>
        <v>-1416.096294548021</v>
      </c>
      <c r="J752" s="2">
        <f>I752-H752</f>
        <v>-303.04268149440986</v>
      </c>
      <c r="K752" s="2">
        <f t="shared" si="94"/>
        <v>303.04268149440986</v>
      </c>
      <c r="L752" s="3">
        <f>C752/B752</f>
        <v>3.2000117861983619</v>
      </c>
      <c r="M752" s="3">
        <f t="shared" si="96"/>
        <v>3.2253296037617516</v>
      </c>
      <c r="N752" s="3">
        <f t="shared" si="100"/>
        <v>3.2805642736288285</v>
      </c>
      <c r="O752" s="3">
        <f t="shared" si="93"/>
        <v>3.2706923654135927</v>
      </c>
      <c r="P752" s="3">
        <f t="shared" si="95"/>
        <v>3.1392697838729848</v>
      </c>
      <c r="Q752" s="4" t="str">
        <f t="shared" si="99"/>
        <v>UNDER</v>
      </c>
      <c r="R752" s="4" t="str">
        <f t="shared" si="99"/>
        <v>UNDER</v>
      </c>
      <c r="S752" s="4" t="str">
        <f t="shared" si="97"/>
        <v>UNDER</v>
      </c>
      <c r="T752" s="4" t="str">
        <f t="shared" si="97"/>
        <v>OVER</v>
      </c>
      <c r="U752" s="2">
        <f>IF(Q752="OVER",$J752,$K752)</f>
        <v>303.04268149440986</v>
      </c>
      <c r="V752" s="2">
        <f>IF(R752="OVER",$J752,$K752)</f>
        <v>303.04268149440986</v>
      </c>
      <c r="W752" s="2">
        <f>IF(S752="OVER",$J752,$K752)</f>
        <v>303.04268149440986</v>
      </c>
      <c r="X752" s="2">
        <f>IF(T752="OVER",$J752,$K752)</f>
        <v>-303.04268149440986</v>
      </c>
      <c r="Y752" s="9">
        <f t="shared" si="98"/>
        <v>-5744.7064472209131</v>
      </c>
      <c r="Z752" s="9">
        <f t="shared" si="98"/>
        <v>13216.966777592332</v>
      </c>
      <c r="AA752" s="9">
        <f t="shared" si="98"/>
        <v>46920.030463895579</v>
      </c>
      <c r="AB752" s="9">
        <f t="shared" si="98"/>
        <v>17247.796122356554</v>
      </c>
    </row>
    <row r="753" spans="1:28" x14ac:dyDescent="0.3">
      <c r="A753" s="1">
        <v>45506</v>
      </c>
      <c r="B753" s="2">
        <v>166.77</v>
      </c>
      <c r="C753" s="2">
        <v>532.9</v>
      </c>
      <c r="D753" s="9">
        <f>B753-B752</f>
        <v>-2.9199999999999875</v>
      </c>
      <c r="E753" s="9">
        <f>C753-C752</f>
        <v>-10.110000000000014</v>
      </c>
      <c r="F753" s="3">
        <f>F$1/B753</f>
        <v>599.62823049709175</v>
      </c>
      <c r="G753" s="3">
        <f>F$1/C753</f>
        <v>187.65246762994934</v>
      </c>
      <c r="H753" s="2">
        <f>D753*F752</f>
        <v>-1720.7849608108829</v>
      </c>
      <c r="I753" s="2">
        <f>E753*G752</f>
        <v>-1861.8441649325084</v>
      </c>
      <c r="J753" s="2">
        <f>I753-H753</f>
        <v>-141.0592041216255</v>
      </c>
      <c r="K753" s="2">
        <f t="shared" si="94"/>
        <v>141.0592041216255</v>
      </c>
      <c r="L753" s="3">
        <f>C753/B753</f>
        <v>3.195418840319002</v>
      </c>
      <c r="M753" s="3">
        <f t="shared" si="96"/>
        <v>3.2188679248482841</v>
      </c>
      <c r="N753" s="3">
        <f t="shared" si="100"/>
        <v>3.2709070631521096</v>
      </c>
      <c r="O753" s="3">
        <f t="shared" si="93"/>
        <v>3.2712795243209083</v>
      </c>
      <c r="P753" s="3">
        <f t="shared" si="95"/>
        <v>3.1398976806653995</v>
      </c>
      <c r="Q753" s="4" t="str">
        <f t="shared" si="99"/>
        <v>UNDER</v>
      </c>
      <c r="R753" s="4" t="str">
        <f t="shared" si="99"/>
        <v>UNDER</v>
      </c>
      <c r="S753" s="4" t="str">
        <f t="shared" si="97"/>
        <v>UNDER</v>
      </c>
      <c r="T753" s="4" t="str">
        <f t="shared" si="97"/>
        <v>OVER</v>
      </c>
      <c r="U753" s="2">
        <f>IF(Q753="OVER",$J753,$K753)</f>
        <v>141.0592041216255</v>
      </c>
      <c r="V753" s="2">
        <f>IF(R753="OVER",$J753,$K753)</f>
        <v>141.0592041216255</v>
      </c>
      <c r="W753" s="2">
        <f>IF(S753="OVER",$J753,$K753)</f>
        <v>141.0592041216255</v>
      </c>
      <c r="X753" s="2">
        <f>IF(T753="OVER",$J753,$K753)</f>
        <v>-141.0592041216255</v>
      </c>
      <c r="Y753" s="9">
        <f t="shared" si="98"/>
        <v>-5603.6472430992872</v>
      </c>
      <c r="Z753" s="9">
        <f t="shared" si="98"/>
        <v>13358.025981713958</v>
      </c>
      <c r="AA753" s="9">
        <f t="shared" si="98"/>
        <v>47061.089668017201</v>
      </c>
      <c r="AB753" s="9">
        <f t="shared" si="98"/>
        <v>17106.736918234928</v>
      </c>
    </row>
    <row r="754" spans="1:28" x14ac:dyDescent="0.3">
      <c r="A754" s="1">
        <v>45509</v>
      </c>
      <c r="B754" s="2">
        <v>162.83000000000001</v>
      </c>
      <c r="C754" s="2">
        <v>517.38</v>
      </c>
      <c r="D754" s="9">
        <f>B754-B753</f>
        <v>-3.9399999999999977</v>
      </c>
      <c r="E754" s="9">
        <f>C754-C753</f>
        <v>-15.519999999999982</v>
      </c>
      <c r="F754" s="3">
        <f>F$1/B754</f>
        <v>614.1374439599582</v>
      </c>
      <c r="G754" s="3">
        <f>F$1/C754</f>
        <v>193.28153388225289</v>
      </c>
      <c r="H754" s="2">
        <f>D754*F753</f>
        <v>-2362.5352281585401</v>
      </c>
      <c r="I754" s="2">
        <f>E754*G753</f>
        <v>-2912.3662976168102</v>
      </c>
      <c r="J754" s="2">
        <f>I754-H754</f>
        <v>-549.83106945827012</v>
      </c>
      <c r="K754" s="2">
        <f t="shared" si="94"/>
        <v>549.83106945827012</v>
      </c>
      <c r="L754" s="3">
        <f>C754/B754</f>
        <v>3.1774243075600315</v>
      </c>
      <c r="M754" s="3">
        <f t="shared" si="96"/>
        <v>3.2098266402917317</v>
      </c>
      <c r="N754" s="3">
        <f t="shared" si="100"/>
        <v>3.2604855956032823</v>
      </c>
      <c r="O754" s="3">
        <f t="shared" si="93"/>
        <v>3.2714474255088932</v>
      </c>
      <c r="P754" s="3">
        <f t="shared" si="95"/>
        <v>3.1405115781594835</v>
      </c>
      <c r="Q754" s="4" t="str">
        <f t="shared" si="99"/>
        <v>UNDER</v>
      </c>
      <c r="R754" s="4" t="str">
        <f t="shared" si="99"/>
        <v>UNDER</v>
      </c>
      <c r="S754" s="4" t="str">
        <f t="shared" si="97"/>
        <v>UNDER</v>
      </c>
      <c r="T754" s="4" t="str">
        <f t="shared" si="97"/>
        <v>OVER</v>
      </c>
      <c r="U754" s="2">
        <f>IF(Q754="OVER",$J754,$K754)</f>
        <v>549.83106945827012</v>
      </c>
      <c r="V754" s="2">
        <f>IF(R754="OVER",$J754,$K754)</f>
        <v>549.83106945827012</v>
      </c>
      <c r="W754" s="2">
        <f>IF(S754="OVER",$J754,$K754)</f>
        <v>549.83106945827012</v>
      </c>
      <c r="X754" s="2">
        <f>IF(T754="OVER",$J754,$K754)</f>
        <v>-549.83106945827012</v>
      </c>
      <c r="Y754" s="9">
        <f t="shared" si="98"/>
        <v>-5053.8161736410166</v>
      </c>
      <c r="Z754" s="9">
        <f t="shared" si="98"/>
        <v>13907.857051172228</v>
      </c>
      <c r="AA754" s="9">
        <f t="shared" si="98"/>
        <v>47610.92073747547</v>
      </c>
      <c r="AB754" s="9">
        <f t="shared" si="98"/>
        <v>16556.90584877666</v>
      </c>
    </row>
    <row r="755" spans="1:28" x14ac:dyDescent="0.3">
      <c r="A755" s="1">
        <v>45510</v>
      </c>
      <c r="B755" s="2">
        <v>164.5</v>
      </c>
      <c r="C755" s="2">
        <v>522.15</v>
      </c>
      <c r="D755" s="9">
        <f>B755-B754</f>
        <v>1.6699999999999875</v>
      </c>
      <c r="E755" s="9">
        <f>C755-C754</f>
        <v>4.7699999999999818</v>
      </c>
      <c r="F755" s="3">
        <f>F$1/B755</f>
        <v>607.90273556231</v>
      </c>
      <c r="G755" s="3">
        <f>F$1/C755</f>
        <v>191.51584793641675</v>
      </c>
      <c r="H755" s="2">
        <f>D755*F754</f>
        <v>1025.6095314131226</v>
      </c>
      <c r="I755" s="2">
        <f>E755*G754</f>
        <v>921.95291661834278</v>
      </c>
      <c r="J755" s="2">
        <f>I755-H755</f>
        <v>-103.65661479477978</v>
      </c>
      <c r="K755" s="2">
        <f t="shared" si="94"/>
        <v>103.65661479477978</v>
      </c>
      <c r="L755" s="3">
        <f>C755/B755</f>
        <v>3.1741641337386017</v>
      </c>
      <c r="M755" s="3">
        <f t="shared" si="96"/>
        <v>3.1998144484506681</v>
      </c>
      <c r="N755" s="3">
        <f t="shared" si="100"/>
        <v>3.249446673045159</v>
      </c>
      <c r="O755" s="3">
        <f t="shared" si="93"/>
        <v>3.2711199711499983</v>
      </c>
      <c r="P755" s="3">
        <f t="shared" si="95"/>
        <v>3.1410702547507281</v>
      </c>
      <c r="Q755" s="4" t="str">
        <f t="shared" si="99"/>
        <v>UNDER</v>
      </c>
      <c r="R755" s="4" t="str">
        <f t="shared" si="99"/>
        <v>UNDER</v>
      </c>
      <c r="S755" s="4" t="str">
        <f t="shared" si="97"/>
        <v>UNDER</v>
      </c>
      <c r="T755" s="4" t="str">
        <f t="shared" si="97"/>
        <v>OVER</v>
      </c>
      <c r="U755" s="2">
        <f>IF(Q755="OVER",$J755,$K755)</f>
        <v>103.65661479477978</v>
      </c>
      <c r="V755" s="2">
        <f>IF(R755="OVER",$J755,$K755)</f>
        <v>103.65661479477978</v>
      </c>
      <c r="W755" s="2">
        <f>IF(S755="OVER",$J755,$K755)</f>
        <v>103.65661479477978</v>
      </c>
      <c r="X755" s="2">
        <f>IF(T755="OVER",$J755,$K755)</f>
        <v>-103.65661479477978</v>
      </c>
      <c r="Y755" s="9">
        <f t="shared" si="98"/>
        <v>-4950.1595588462369</v>
      </c>
      <c r="Z755" s="9">
        <f t="shared" si="98"/>
        <v>14011.513665967008</v>
      </c>
      <c r="AA755" s="9">
        <f t="shared" si="98"/>
        <v>47714.577352270251</v>
      </c>
      <c r="AB755" s="9">
        <f t="shared" si="98"/>
        <v>16453.249233981878</v>
      </c>
    </row>
    <row r="756" spans="1:28" x14ac:dyDescent="0.3">
      <c r="A756" s="1">
        <v>45511</v>
      </c>
      <c r="B756" s="2">
        <v>163.34</v>
      </c>
      <c r="C756" s="2">
        <v>518.66</v>
      </c>
      <c r="D756" s="9">
        <f>B756-B755</f>
        <v>-1.1599999999999966</v>
      </c>
      <c r="E756" s="9">
        <f>C756-C755</f>
        <v>-3.4900000000000091</v>
      </c>
      <c r="F756" s="3">
        <f>F$1/B756</f>
        <v>612.21990939145337</v>
      </c>
      <c r="G756" s="3">
        <f>F$1/C756</f>
        <v>192.80453476265762</v>
      </c>
      <c r="H756" s="2">
        <f>D756*F755</f>
        <v>-705.16717325227751</v>
      </c>
      <c r="I756" s="2">
        <f>E756*G755</f>
        <v>-668.39030929809621</v>
      </c>
      <c r="J756" s="2">
        <f>I756-H756</f>
        <v>36.776863954181295</v>
      </c>
      <c r="K756" s="2">
        <f t="shared" si="94"/>
        <v>-36.776863954181295</v>
      </c>
      <c r="L756" s="3">
        <f>C756/B756</f>
        <v>3.1753397820497118</v>
      </c>
      <c r="M756" s="3">
        <f t="shared" si="96"/>
        <v>3.1935494437061926</v>
      </c>
      <c r="N756" s="3">
        <f t="shared" si="100"/>
        <v>3.2381888242001069</v>
      </c>
      <c r="O756" s="3">
        <f t="shared" si="93"/>
        <v>3.2708157507611033</v>
      </c>
      <c r="P756" s="3">
        <f t="shared" si="95"/>
        <v>3.1415789992138086</v>
      </c>
      <c r="Q756" s="4" t="str">
        <f t="shared" si="99"/>
        <v>UNDER</v>
      </c>
      <c r="R756" s="4" t="str">
        <f t="shared" si="99"/>
        <v>UNDER</v>
      </c>
      <c r="S756" s="4" t="str">
        <f t="shared" si="97"/>
        <v>UNDER</v>
      </c>
      <c r="T756" s="4" t="str">
        <f t="shared" si="97"/>
        <v>OVER</v>
      </c>
      <c r="U756" s="2">
        <f>IF(Q756="OVER",$J756,$K756)</f>
        <v>-36.776863954181295</v>
      </c>
      <c r="V756" s="2">
        <f>IF(R756="OVER",$J756,$K756)</f>
        <v>-36.776863954181295</v>
      </c>
      <c r="W756" s="2">
        <f>IF(S756="OVER",$J756,$K756)</f>
        <v>-36.776863954181295</v>
      </c>
      <c r="X756" s="2">
        <f>IF(T756="OVER",$J756,$K756)</f>
        <v>36.776863954181295</v>
      </c>
      <c r="Y756" s="9">
        <f t="shared" si="98"/>
        <v>-4986.9364228004179</v>
      </c>
      <c r="Z756" s="9">
        <f t="shared" si="98"/>
        <v>13974.736802012827</v>
      </c>
      <c r="AA756" s="9">
        <f t="shared" si="98"/>
        <v>47677.800488316068</v>
      </c>
      <c r="AB756" s="9">
        <f t="shared" si="98"/>
        <v>16490.026097936061</v>
      </c>
    </row>
    <row r="757" spans="1:28" x14ac:dyDescent="0.3">
      <c r="A757" s="1">
        <v>45512</v>
      </c>
      <c r="B757" s="2">
        <v>166.3</v>
      </c>
      <c r="C757" s="2">
        <v>530.65</v>
      </c>
      <c r="D757" s="9">
        <f>B757-B756</f>
        <v>2.960000000000008</v>
      </c>
      <c r="E757" s="9">
        <f>C757-C756</f>
        <v>11.990000000000009</v>
      </c>
      <c r="F757" s="3">
        <f>F$1/B757</f>
        <v>601.32291040288635</v>
      </c>
      <c r="G757" s="3">
        <f>F$1/C757</f>
        <v>188.44812965231321</v>
      </c>
      <c r="H757" s="2">
        <f>D757*F756</f>
        <v>1812.1709317987068</v>
      </c>
      <c r="I757" s="2">
        <f>E757*G756</f>
        <v>2311.7263718042668</v>
      </c>
      <c r="J757" s="2">
        <f>I757-H757</f>
        <v>499.55544000556006</v>
      </c>
      <c r="K757" s="2">
        <f t="shared" si="94"/>
        <v>-499.55544000556006</v>
      </c>
      <c r="L757" s="3">
        <f>C757/B757</f>
        <v>3.1909200240529159</v>
      </c>
      <c r="M757" s="3">
        <f t="shared" si="96"/>
        <v>3.1909145264819649</v>
      </c>
      <c r="N757" s="3">
        <f t="shared" si="100"/>
        <v>3.2311838856206387</v>
      </c>
      <c r="O757" s="3">
        <f t="shared" ref="O757:O820" si="101">AVERAGE(L708:L757)</f>
        <v>3.2703329193712953</v>
      </c>
      <c r="P757" s="3">
        <f t="shared" si="95"/>
        <v>3.1421628234782961</v>
      </c>
      <c r="Q757" s="4" t="str">
        <f t="shared" si="99"/>
        <v>UNDER</v>
      </c>
      <c r="R757" s="4" t="str">
        <f t="shared" si="99"/>
        <v>UNDER</v>
      </c>
      <c r="S757" s="4" t="str">
        <f t="shared" si="97"/>
        <v>UNDER</v>
      </c>
      <c r="T757" s="4" t="str">
        <f t="shared" si="97"/>
        <v>OVER</v>
      </c>
      <c r="U757" s="2">
        <f>IF(Q757="OVER",$J757,$K757)</f>
        <v>-499.55544000556006</v>
      </c>
      <c r="V757" s="2">
        <f>IF(R757="OVER",$J757,$K757)</f>
        <v>-499.55544000556006</v>
      </c>
      <c r="W757" s="2">
        <f>IF(S757="OVER",$J757,$K757)</f>
        <v>-499.55544000556006</v>
      </c>
      <c r="X757" s="2">
        <f>IF(T757="OVER",$J757,$K757)</f>
        <v>499.55544000556006</v>
      </c>
      <c r="Y757" s="9">
        <f t="shared" si="98"/>
        <v>-5486.4918628059777</v>
      </c>
      <c r="Z757" s="9">
        <f t="shared" si="98"/>
        <v>13475.181362007266</v>
      </c>
      <c r="AA757" s="9">
        <f t="shared" si="98"/>
        <v>47178.245048310506</v>
      </c>
      <c r="AB757" s="9">
        <f t="shared" si="98"/>
        <v>16989.58153794162</v>
      </c>
    </row>
    <row r="758" spans="1:28" x14ac:dyDescent="0.3">
      <c r="A758" s="1">
        <v>45513</v>
      </c>
      <c r="B758" s="2">
        <v>166.65</v>
      </c>
      <c r="C758" s="2">
        <v>532.99</v>
      </c>
      <c r="D758" s="9">
        <f>B758-B757</f>
        <v>0.34999999999999432</v>
      </c>
      <c r="E758" s="9">
        <f>C758-C757</f>
        <v>2.3400000000000318</v>
      </c>
      <c r="F758" s="3">
        <f>F$1/B758</f>
        <v>600.06000600060008</v>
      </c>
      <c r="G758" s="3">
        <f>F$1/C758</f>
        <v>187.62078087769001</v>
      </c>
      <c r="H758" s="2">
        <f>D758*F757</f>
        <v>210.46301864100681</v>
      </c>
      <c r="I758" s="2">
        <f>E758*G757</f>
        <v>440.96862338641893</v>
      </c>
      <c r="J758" s="2">
        <f>I758-H758</f>
        <v>230.50560474541211</v>
      </c>
      <c r="K758" s="2">
        <f t="shared" si="94"/>
        <v>-230.50560474541211</v>
      </c>
      <c r="L758" s="3">
        <f>C758/B758</f>
        <v>3.1982598259825981</v>
      </c>
      <c r="M758" s="3">
        <f t="shared" si="96"/>
        <v>3.189991127673367</v>
      </c>
      <c r="N758" s="3">
        <f t="shared" si="100"/>
        <v>3.2249573171974637</v>
      </c>
      <c r="O758" s="3">
        <f t="shared" si="101"/>
        <v>3.2696904774284645</v>
      </c>
      <c r="P758" s="3">
        <f t="shared" si="95"/>
        <v>3.14271193074689</v>
      </c>
      <c r="Q758" s="4" t="str">
        <f t="shared" si="99"/>
        <v>OVER</v>
      </c>
      <c r="R758" s="4" t="str">
        <f t="shared" si="99"/>
        <v>UNDER</v>
      </c>
      <c r="S758" s="4" t="str">
        <f t="shared" si="97"/>
        <v>UNDER</v>
      </c>
      <c r="T758" s="4" t="str">
        <f t="shared" si="97"/>
        <v>OVER</v>
      </c>
      <c r="U758" s="2">
        <f>IF(Q758="OVER",$J758,$K758)</f>
        <v>230.50560474541211</v>
      </c>
      <c r="V758" s="2">
        <f>IF(R758="OVER",$J758,$K758)</f>
        <v>-230.50560474541211</v>
      </c>
      <c r="W758" s="2">
        <f>IF(S758="OVER",$J758,$K758)</f>
        <v>-230.50560474541211</v>
      </c>
      <c r="X758" s="2">
        <f>IF(T758="OVER",$J758,$K758)</f>
        <v>230.50560474541211</v>
      </c>
      <c r="Y758" s="9">
        <f t="shared" si="98"/>
        <v>-5255.9862580605659</v>
      </c>
      <c r="Z758" s="9">
        <f t="shared" si="98"/>
        <v>13244.675757261854</v>
      </c>
      <c r="AA758" s="9">
        <f t="shared" si="98"/>
        <v>46947.739443565093</v>
      </c>
      <c r="AB758" s="9">
        <f t="shared" si="98"/>
        <v>17220.087142687033</v>
      </c>
    </row>
    <row r="759" spans="1:28" x14ac:dyDescent="0.3">
      <c r="A759" s="1">
        <v>45516</v>
      </c>
      <c r="B759" s="2">
        <v>165.85</v>
      </c>
      <c r="C759" s="2">
        <v>533.27</v>
      </c>
      <c r="D759" s="9">
        <f>B759-B758</f>
        <v>-0.80000000000001137</v>
      </c>
      <c r="E759" s="9">
        <f>C759-C758</f>
        <v>0.27999999999997272</v>
      </c>
      <c r="F759" s="3">
        <f>F$1/B759</f>
        <v>602.95447693699123</v>
      </c>
      <c r="G759" s="3">
        <f>F$1/C759</f>
        <v>187.522268269357</v>
      </c>
      <c r="H759" s="2">
        <f>D759*F758</f>
        <v>-480.04800480048686</v>
      </c>
      <c r="I759" s="2">
        <f>E759*G758</f>
        <v>52.533818645748084</v>
      </c>
      <c r="J759" s="2">
        <f>I759-H759</f>
        <v>532.58182344623492</v>
      </c>
      <c r="K759" s="2">
        <f t="shared" si="94"/>
        <v>-532.58182344623492</v>
      </c>
      <c r="L759" s="3">
        <f>C759/B759</f>
        <v>3.2153753391618931</v>
      </c>
      <c r="M759" s="3">
        <f t="shared" si="96"/>
        <v>3.1910250433039771</v>
      </c>
      <c r="N759" s="3">
        <f t="shared" si="100"/>
        <v>3.2193172411019786</v>
      </c>
      <c r="O759" s="3">
        <f t="shared" si="101"/>
        <v>3.2701131360972839</v>
      </c>
      <c r="P759" s="3">
        <f t="shared" si="95"/>
        <v>3.1433289869916377</v>
      </c>
      <c r="Q759" s="4" t="str">
        <f t="shared" si="99"/>
        <v>OVER</v>
      </c>
      <c r="R759" s="4" t="str">
        <f t="shared" si="99"/>
        <v>UNDER</v>
      </c>
      <c r="S759" s="4" t="str">
        <f t="shared" si="97"/>
        <v>UNDER</v>
      </c>
      <c r="T759" s="4" t="str">
        <f t="shared" si="97"/>
        <v>OVER</v>
      </c>
      <c r="U759" s="2">
        <f>IF(Q759="OVER",$J759,$K759)</f>
        <v>532.58182344623492</v>
      </c>
      <c r="V759" s="2">
        <f>IF(R759="OVER",$J759,$K759)</f>
        <v>-532.58182344623492</v>
      </c>
      <c r="W759" s="2">
        <f>IF(S759="OVER",$J759,$K759)</f>
        <v>-532.58182344623492</v>
      </c>
      <c r="X759" s="2">
        <f>IF(T759="OVER",$J759,$K759)</f>
        <v>532.58182344623492</v>
      </c>
      <c r="Y759" s="9">
        <f t="shared" si="98"/>
        <v>-4723.404434614331</v>
      </c>
      <c r="Z759" s="9">
        <f t="shared" si="98"/>
        <v>12712.093933815619</v>
      </c>
      <c r="AA759" s="9">
        <f t="shared" si="98"/>
        <v>46415.157620118858</v>
      </c>
      <c r="AB759" s="9">
        <f t="shared" si="98"/>
        <v>17752.668966133268</v>
      </c>
    </row>
    <row r="760" spans="1:28" x14ac:dyDescent="0.3">
      <c r="A760" s="1">
        <v>45517</v>
      </c>
      <c r="B760" s="2">
        <v>167.74</v>
      </c>
      <c r="C760" s="2">
        <v>542.04</v>
      </c>
      <c r="D760" s="9">
        <f>B760-B759</f>
        <v>1.8900000000000148</v>
      </c>
      <c r="E760" s="9">
        <f>C760-C759</f>
        <v>8.7699999999999818</v>
      </c>
      <c r="F760" s="3">
        <f>F$1/B760</f>
        <v>596.16072493144145</v>
      </c>
      <c r="G760" s="3">
        <f>F$1/C760</f>
        <v>184.48822965094828</v>
      </c>
      <c r="H760" s="2">
        <f>D760*F759</f>
        <v>1139.5839614109223</v>
      </c>
      <c r="I760" s="2">
        <f>E760*G759</f>
        <v>1644.5702927222574</v>
      </c>
      <c r="J760" s="2">
        <f>I760-H760</f>
        <v>504.98633131133511</v>
      </c>
      <c r="K760" s="2">
        <f t="shared" si="94"/>
        <v>-504.98633131133511</v>
      </c>
      <c r="L760" s="3">
        <f>C760/B760</f>
        <v>3.2314295934183854</v>
      </c>
      <c r="M760" s="3">
        <f t="shared" si="96"/>
        <v>3.1968192117329988</v>
      </c>
      <c r="N760" s="3">
        <f t="shared" si="100"/>
        <v>3.2164079101037464</v>
      </c>
      <c r="O760" s="3">
        <f t="shared" si="101"/>
        <v>3.2711188542776317</v>
      </c>
      <c r="P760" s="3">
        <f t="shared" si="95"/>
        <v>3.1440783858812384</v>
      </c>
      <c r="Q760" s="4" t="str">
        <f t="shared" si="99"/>
        <v>OVER</v>
      </c>
      <c r="R760" s="4" t="str">
        <f t="shared" si="99"/>
        <v>UNDER</v>
      </c>
      <c r="S760" s="4" t="str">
        <f t="shared" si="97"/>
        <v>UNDER</v>
      </c>
      <c r="T760" s="4" t="str">
        <f t="shared" si="97"/>
        <v>OVER</v>
      </c>
      <c r="U760" s="2">
        <f>IF(Q760="OVER",$J760,$K760)</f>
        <v>504.98633131133511</v>
      </c>
      <c r="V760" s="2">
        <f>IF(R760="OVER",$J760,$K760)</f>
        <v>-504.98633131133511</v>
      </c>
      <c r="W760" s="2">
        <f>IF(S760="OVER",$J760,$K760)</f>
        <v>-504.98633131133511</v>
      </c>
      <c r="X760" s="2">
        <f>IF(T760="OVER",$J760,$K760)</f>
        <v>504.98633131133511</v>
      </c>
      <c r="Y760" s="9">
        <f t="shared" si="98"/>
        <v>-4218.4181033029963</v>
      </c>
      <c r="Z760" s="9">
        <f t="shared" si="98"/>
        <v>12207.107602504284</v>
      </c>
      <c r="AA760" s="9">
        <f t="shared" si="98"/>
        <v>45910.17128880752</v>
      </c>
      <c r="AB760" s="9">
        <f t="shared" si="98"/>
        <v>18257.655297444602</v>
      </c>
    </row>
    <row r="761" spans="1:28" x14ac:dyDescent="0.3">
      <c r="A761" s="1">
        <v>45518</v>
      </c>
      <c r="B761" s="2">
        <v>168.09</v>
      </c>
      <c r="C761" s="2">
        <v>543.75</v>
      </c>
      <c r="D761" s="9">
        <f>B761-B760</f>
        <v>0.34999999999999432</v>
      </c>
      <c r="E761" s="9">
        <f>C761-C760</f>
        <v>1.7100000000000364</v>
      </c>
      <c r="F761" s="3">
        <f>F$1/B761</f>
        <v>594.91938842286868</v>
      </c>
      <c r="G761" s="3">
        <f>F$1/C761</f>
        <v>183.90804597701148</v>
      </c>
      <c r="H761" s="2">
        <f>D761*F760</f>
        <v>208.65625372600113</v>
      </c>
      <c r="I761" s="2">
        <f>E761*G760</f>
        <v>315.47487270312826</v>
      </c>
      <c r="J761" s="2">
        <f>I761-H761</f>
        <v>106.81861897712713</v>
      </c>
      <c r="K761" s="2">
        <f t="shared" si="94"/>
        <v>-106.81861897712713</v>
      </c>
      <c r="L761" s="3">
        <f>C761/B761</f>
        <v>3.2348741745493483</v>
      </c>
      <c r="M761" s="3">
        <f t="shared" si="96"/>
        <v>3.1993217807030847</v>
      </c>
      <c r="N761" s="3">
        <f t="shared" si="100"/>
        <v>3.215313188330073</v>
      </c>
      <c r="O761" s="3">
        <f t="shared" si="101"/>
        <v>3.2718017834933004</v>
      </c>
      <c r="P761" s="3">
        <f t="shared" si="95"/>
        <v>3.1449979867495483</v>
      </c>
      <c r="Q761" s="4" t="str">
        <f t="shared" si="99"/>
        <v>OVER</v>
      </c>
      <c r="R761" s="4" t="str">
        <f t="shared" si="99"/>
        <v>OVER</v>
      </c>
      <c r="S761" s="4" t="str">
        <f t="shared" si="97"/>
        <v>UNDER</v>
      </c>
      <c r="T761" s="4" t="str">
        <f t="shared" si="97"/>
        <v>OVER</v>
      </c>
      <c r="U761" s="2">
        <f>IF(Q761="OVER",$J761,$K761)</f>
        <v>106.81861897712713</v>
      </c>
      <c r="V761" s="2">
        <f>IF(R761="OVER",$J761,$K761)</f>
        <v>106.81861897712713</v>
      </c>
      <c r="W761" s="2">
        <f>IF(S761="OVER",$J761,$K761)</f>
        <v>-106.81861897712713</v>
      </c>
      <c r="X761" s="2">
        <f>IF(T761="OVER",$J761,$K761)</f>
        <v>106.81861897712713</v>
      </c>
      <c r="Y761" s="9">
        <f t="shared" si="98"/>
        <v>-4111.5994843258695</v>
      </c>
      <c r="Z761" s="9">
        <f t="shared" si="98"/>
        <v>12313.926221481412</v>
      </c>
      <c r="AA761" s="9">
        <f t="shared" si="98"/>
        <v>45803.35266983039</v>
      </c>
      <c r="AB761" s="9">
        <f t="shared" si="98"/>
        <v>18364.473916421728</v>
      </c>
    </row>
    <row r="762" spans="1:28" x14ac:dyDescent="0.3">
      <c r="A762" s="1">
        <v>45519</v>
      </c>
      <c r="B762" s="2">
        <v>170.37</v>
      </c>
      <c r="C762" s="2">
        <v>553.07000000000005</v>
      </c>
      <c r="D762" s="9">
        <f>B762-B761</f>
        <v>2.2800000000000011</v>
      </c>
      <c r="E762" s="9">
        <f>C762-C761</f>
        <v>9.32000000000005</v>
      </c>
      <c r="F762" s="3">
        <f>F$1/B762</f>
        <v>586.95779773434288</v>
      </c>
      <c r="G762" s="3">
        <f>F$1/C762</f>
        <v>180.80893919395373</v>
      </c>
      <c r="H762" s="2">
        <f>D762*F761</f>
        <v>1356.4162056041412</v>
      </c>
      <c r="I762" s="2">
        <f>E762*G761</f>
        <v>1714.0229885057563</v>
      </c>
      <c r="J762" s="2">
        <f>I762-H762</f>
        <v>357.60678290161513</v>
      </c>
      <c r="K762" s="2">
        <f t="shared" si="94"/>
        <v>-357.60678290161513</v>
      </c>
      <c r="L762" s="3">
        <f>C762/B762</f>
        <v>3.2462874919293303</v>
      </c>
      <c r="M762" s="3">
        <f t="shared" si="96"/>
        <v>3.2039493512761821</v>
      </c>
      <c r="N762" s="3">
        <f t="shared" si="100"/>
        <v>3.2146394775189662</v>
      </c>
      <c r="O762" s="3">
        <f t="shared" si="101"/>
        <v>3.2724465114340768</v>
      </c>
      <c r="P762" s="3">
        <f t="shared" si="95"/>
        <v>3.1458665632186222</v>
      </c>
      <c r="Q762" s="4" t="str">
        <f t="shared" si="99"/>
        <v>OVER</v>
      </c>
      <c r="R762" s="4" t="str">
        <f t="shared" si="99"/>
        <v>OVER</v>
      </c>
      <c r="S762" s="4" t="str">
        <f t="shared" si="97"/>
        <v>UNDER</v>
      </c>
      <c r="T762" s="4" t="str">
        <f t="shared" si="97"/>
        <v>OVER</v>
      </c>
      <c r="U762" s="2">
        <f>IF(Q762="OVER",$J762,$K762)</f>
        <v>357.60678290161513</v>
      </c>
      <c r="V762" s="2">
        <f>IF(R762="OVER",$J762,$K762)</f>
        <v>357.60678290161513</v>
      </c>
      <c r="W762" s="2">
        <f>IF(S762="OVER",$J762,$K762)</f>
        <v>-357.60678290161513</v>
      </c>
      <c r="X762" s="2">
        <f>IF(T762="OVER",$J762,$K762)</f>
        <v>357.60678290161513</v>
      </c>
      <c r="Y762" s="9">
        <f t="shared" si="98"/>
        <v>-3753.9927014242544</v>
      </c>
      <c r="Z762" s="9">
        <f t="shared" si="98"/>
        <v>12671.533004383027</v>
      </c>
      <c r="AA762" s="9">
        <f t="shared" si="98"/>
        <v>45445.745886928773</v>
      </c>
      <c r="AB762" s="9">
        <f t="shared" si="98"/>
        <v>18722.080699323342</v>
      </c>
    </row>
    <row r="763" spans="1:28" x14ac:dyDescent="0.3">
      <c r="A763" s="1">
        <v>45520</v>
      </c>
      <c r="B763" s="2">
        <v>170.78</v>
      </c>
      <c r="C763" s="2">
        <v>554.30999999999995</v>
      </c>
      <c r="D763" s="9">
        <f>B763-B762</f>
        <v>0.40999999999999659</v>
      </c>
      <c r="E763" s="9">
        <f>C763-C762</f>
        <v>1.2399999999998954</v>
      </c>
      <c r="F763" s="3">
        <f>F$1/B763</f>
        <v>585.54865909357068</v>
      </c>
      <c r="G763" s="3">
        <f>F$1/C763</f>
        <v>180.40446681459835</v>
      </c>
      <c r="H763" s="2">
        <f>D763*F762</f>
        <v>240.65269707107856</v>
      </c>
      <c r="I763" s="2">
        <f>E763*G762</f>
        <v>224.20308460048372</v>
      </c>
      <c r="J763" s="2">
        <f>I763-H763</f>
        <v>-16.449612470594843</v>
      </c>
      <c r="K763" s="2">
        <f t="shared" si="94"/>
        <v>16.449612470594843</v>
      </c>
      <c r="L763" s="3">
        <f>C763/B763</f>
        <v>3.2457547722215714</v>
      </c>
      <c r="M763" s="3">
        <f t="shared" si="96"/>
        <v>3.2089829444664391</v>
      </c>
      <c r="N763" s="3">
        <f t="shared" si="100"/>
        <v>3.2139254346573609</v>
      </c>
      <c r="O763" s="3">
        <f t="shared" si="101"/>
        <v>3.272709853553236</v>
      </c>
      <c r="P763" s="3">
        <f t="shared" si="95"/>
        <v>3.1466699789029051</v>
      </c>
      <c r="Q763" s="4" t="str">
        <f t="shared" si="99"/>
        <v>OVER</v>
      </c>
      <c r="R763" s="4" t="str">
        <f t="shared" si="99"/>
        <v>OVER</v>
      </c>
      <c r="S763" s="4" t="str">
        <f t="shared" si="97"/>
        <v>UNDER</v>
      </c>
      <c r="T763" s="4" t="str">
        <f t="shared" si="97"/>
        <v>OVER</v>
      </c>
      <c r="U763" s="2">
        <f>IF(Q763="OVER",$J763,$K763)</f>
        <v>-16.449612470594843</v>
      </c>
      <c r="V763" s="2">
        <f>IF(R763="OVER",$J763,$K763)</f>
        <v>-16.449612470594843</v>
      </c>
      <c r="W763" s="2">
        <f>IF(S763="OVER",$J763,$K763)</f>
        <v>16.449612470594843</v>
      </c>
      <c r="X763" s="2">
        <f>IF(T763="OVER",$J763,$K763)</f>
        <v>-16.449612470594843</v>
      </c>
      <c r="Y763" s="9">
        <f t="shared" si="98"/>
        <v>-3770.4423138948491</v>
      </c>
      <c r="Z763" s="9">
        <f t="shared" si="98"/>
        <v>12655.083391912432</v>
      </c>
      <c r="AA763" s="9">
        <f t="shared" si="98"/>
        <v>45462.195499399371</v>
      </c>
      <c r="AB763" s="9">
        <f t="shared" si="98"/>
        <v>18705.631086852747</v>
      </c>
    </row>
    <row r="764" spans="1:28" x14ac:dyDescent="0.3">
      <c r="A764" s="1">
        <v>45523</v>
      </c>
      <c r="B764" s="2">
        <v>172.08</v>
      </c>
      <c r="C764" s="2">
        <v>559.61</v>
      </c>
      <c r="D764" s="9">
        <f>B764-B763</f>
        <v>1.3000000000000114</v>
      </c>
      <c r="E764" s="9">
        <f>C764-C763</f>
        <v>5.3000000000000682</v>
      </c>
      <c r="F764" s="3">
        <f>F$1/B764</f>
        <v>581.12505811250571</v>
      </c>
      <c r="G764" s="3">
        <f>F$1/C764</f>
        <v>178.69587748610638</v>
      </c>
      <c r="H764" s="2">
        <f>D764*F763</f>
        <v>761.21325682164854</v>
      </c>
      <c r="I764" s="2">
        <f>E764*G763</f>
        <v>956.14367411738351</v>
      </c>
      <c r="J764" s="2">
        <f>I764-H764</f>
        <v>194.93041729573497</v>
      </c>
      <c r="K764" s="2">
        <f t="shared" si="94"/>
        <v>-194.93041729573497</v>
      </c>
      <c r="L764" s="3">
        <f>C764/B764</f>
        <v>3.2520339377033936</v>
      </c>
      <c r="M764" s="3">
        <f t="shared" si="96"/>
        <v>3.2164439074807745</v>
      </c>
      <c r="N764" s="3">
        <f t="shared" si="100"/>
        <v>3.2131352738862531</v>
      </c>
      <c r="O764" s="3">
        <f t="shared" si="101"/>
        <v>3.2729746660606356</v>
      </c>
      <c r="P764" s="3">
        <f t="shared" si="95"/>
        <v>3.1475359057879175</v>
      </c>
      <c r="Q764" s="4" t="str">
        <f t="shared" si="99"/>
        <v>OVER</v>
      </c>
      <c r="R764" s="4" t="str">
        <f t="shared" si="99"/>
        <v>OVER</v>
      </c>
      <c r="S764" s="4" t="str">
        <f t="shared" si="97"/>
        <v>UNDER</v>
      </c>
      <c r="T764" s="4" t="str">
        <f t="shared" si="97"/>
        <v>OVER</v>
      </c>
      <c r="U764" s="2">
        <f>IF(Q764="OVER",$J764,$K764)</f>
        <v>194.93041729573497</v>
      </c>
      <c r="V764" s="2">
        <f>IF(R764="OVER",$J764,$K764)</f>
        <v>194.93041729573497</v>
      </c>
      <c r="W764" s="2">
        <f>IF(S764="OVER",$J764,$K764)</f>
        <v>-194.93041729573497</v>
      </c>
      <c r="X764" s="2">
        <f>IF(T764="OVER",$J764,$K764)</f>
        <v>194.93041729573497</v>
      </c>
      <c r="Y764" s="9">
        <f t="shared" si="98"/>
        <v>-3575.5118965991142</v>
      </c>
      <c r="Z764" s="9">
        <f t="shared" si="98"/>
        <v>12850.013809208167</v>
      </c>
      <c r="AA764" s="9">
        <f t="shared" si="98"/>
        <v>45267.265082103637</v>
      </c>
      <c r="AB764" s="9">
        <f t="shared" si="98"/>
        <v>18900.561504148482</v>
      </c>
    </row>
    <row r="765" spans="1:28" x14ac:dyDescent="0.3">
      <c r="A765" s="1">
        <v>45524</v>
      </c>
      <c r="B765" s="2">
        <v>171.4</v>
      </c>
      <c r="C765" s="2">
        <v>558.70000000000005</v>
      </c>
      <c r="D765" s="9">
        <f>B765-B764</f>
        <v>-0.68000000000000682</v>
      </c>
      <c r="E765" s="9">
        <f>C765-C764</f>
        <v>-0.90999999999996817</v>
      </c>
      <c r="F765" s="3">
        <f>F$1/B765</f>
        <v>583.43057176196032</v>
      </c>
      <c r="G765" s="3">
        <f>F$1/C765</f>
        <v>178.98693395382136</v>
      </c>
      <c r="H765" s="2">
        <f>D765*F764</f>
        <v>-395.16503951650787</v>
      </c>
      <c r="I765" s="2">
        <f>E765*G764</f>
        <v>-162.61324851235113</v>
      </c>
      <c r="J765" s="2">
        <f>I765-H765</f>
        <v>232.55179100415674</v>
      </c>
      <c r="K765" s="2">
        <f t="shared" si="94"/>
        <v>-232.55179100415674</v>
      </c>
      <c r="L765" s="3">
        <f>C765/B765</f>
        <v>3.2596266044340725</v>
      </c>
      <c r="M765" s="3">
        <f t="shared" si="96"/>
        <v>3.2249901545503219</v>
      </c>
      <c r="N765" s="3">
        <f t="shared" si="100"/>
        <v>3.2124023015004952</v>
      </c>
      <c r="O765" s="3">
        <f t="shared" si="101"/>
        <v>3.2732656424857289</v>
      </c>
      <c r="P765" s="3">
        <f t="shared" si="95"/>
        <v>3.1483281322872325</v>
      </c>
      <c r="Q765" s="4" t="str">
        <f t="shared" si="99"/>
        <v>OVER</v>
      </c>
      <c r="R765" s="4" t="str">
        <f t="shared" si="99"/>
        <v>OVER</v>
      </c>
      <c r="S765" s="4" t="str">
        <f t="shared" si="97"/>
        <v>UNDER</v>
      </c>
      <c r="T765" s="4" t="str">
        <f t="shared" si="97"/>
        <v>OVER</v>
      </c>
      <c r="U765" s="2">
        <f>IF(Q765="OVER",$J765,$K765)</f>
        <v>232.55179100415674</v>
      </c>
      <c r="V765" s="2">
        <f>IF(R765="OVER",$J765,$K765)</f>
        <v>232.55179100415674</v>
      </c>
      <c r="W765" s="2">
        <f>IF(S765="OVER",$J765,$K765)</f>
        <v>-232.55179100415674</v>
      </c>
      <c r="X765" s="2">
        <f>IF(T765="OVER",$J765,$K765)</f>
        <v>232.55179100415674</v>
      </c>
      <c r="Y765" s="9">
        <f t="shared" si="98"/>
        <v>-3342.9601055949574</v>
      </c>
      <c r="Z765" s="9">
        <f t="shared" si="98"/>
        <v>13082.565600212323</v>
      </c>
      <c r="AA765" s="9">
        <f t="shared" si="98"/>
        <v>45034.713291099477</v>
      </c>
      <c r="AB765" s="9">
        <f t="shared" si="98"/>
        <v>19133.113295152638</v>
      </c>
    </row>
    <row r="766" spans="1:28" x14ac:dyDescent="0.3">
      <c r="A766" s="1">
        <v>45525</v>
      </c>
      <c r="B766" s="2">
        <v>172.6</v>
      </c>
      <c r="C766" s="2">
        <v>560.62</v>
      </c>
      <c r="D766" s="9">
        <f>B766-B765</f>
        <v>1.1999999999999886</v>
      </c>
      <c r="E766" s="9">
        <f>C766-C765</f>
        <v>1.9199999999999591</v>
      </c>
      <c r="F766" s="3">
        <f>F$1/B766</f>
        <v>579.37427578215534</v>
      </c>
      <c r="G766" s="3">
        <f>F$1/C766</f>
        <v>178.37394313438693</v>
      </c>
      <c r="H766" s="2">
        <f>D766*F765</f>
        <v>700.11668611434573</v>
      </c>
      <c r="I766" s="2">
        <f>E766*G765</f>
        <v>343.65491319132968</v>
      </c>
      <c r="J766" s="2">
        <f>I766-H766</f>
        <v>-356.46177292301604</v>
      </c>
      <c r="K766" s="2">
        <f t="shared" si="94"/>
        <v>356.46177292301604</v>
      </c>
      <c r="L766" s="3">
        <f>C766/B766</f>
        <v>3.2480880648899189</v>
      </c>
      <c r="M766" s="3">
        <f t="shared" si="96"/>
        <v>3.2322649828343422</v>
      </c>
      <c r="N766" s="3">
        <f t="shared" si="100"/>
        <v>3.2129072132702676</v>
      </c>
      <c r="O766" s="3">
        <f t="shared" si="101"/>
        <v>3.2732989189350423</v>
      </c>
      <c r="P766" s="3">
        <f t="shared" si="95"/>
        <v>3.1491080887986032</v>
      </c>
      <c r="Q766" s="4" t="str">
        <f t="shared" si="99"/>
        <v>OVER</v>
      </c>
      <c r="R766" s="4" t="str">
        <f t="shared" si="99"/>
        <v>OVER</v>
      </c>
      <c r="S766" s="4" t="str">
        <f t="shared" si="97"/>
        <v>UNDER</v>
      </c>
      <c r="T766" s="4" t="str">
        <f t="shared" si="97"/>
        <v>OVER</v>
      </c>
      <c r="U766" s="2">
        <f>IF(Q766="OVER",$J766,$K766)</f>
        <v>-356.46177292301604</v>
      </c>
      <c r="V766" s="2">
        <f>IF(R766="OVER",$J766,$K766)</f>
        <v>-356.46177292301604</v>
      </c>
      <c r="W766" s="2">
        <f>IF(S766="OVER",$J766,$K766)</f>
        <v>356.46177292301604</v>
      </c>
      <c r="X766" s="2">
        <f>IF(T766="OVER",$J766,$K766)</f>
        <v>-356.46177292301604</v>
      </c>
      <c r="Y766" s="9">
        <f t="shared" si="98"/>
        <v>-3699.4218785179737</v>
      </c>
      <c r="Z766" s="9">
        <f t="shared" si="98"/>
        <v>12726.103827289307</v>
      </c>
      <c r="AA766" s="9">
        <f t="shared" si="98"/>
        <v>45391.175064022493</v>
      </c>
      <c r="AB766" s="9">
        <f t="shared" si="98"/>
        <v>18776.651522229622</v>
      </c>
    </row>
    <row r="767" spans="1:28" x14ac:dyDescent="0.3">
      <c r="A767" s="1">
        <v>45526</v>
      </c>
      <c r="B767" s="2">
        <v>172.11</v>
      </c>
      <c r="C767" s="2">
        <v>556.22</v>
      </c>
      <c r="D767" s="9">
        <f>B767-B766</f>
        <v>-0.48999999999998067</v>
      </c>
      <c r="E767" s="9">
        <f>C767-C766</f>
        <v>-4.3999999999999773</v>
      </c>
      <c r="F767" s="3">
        <f>F$1/B767</f>
        <v>581.02376387194226</v>
      </c>
      <c r="G767" s="3">
        <f>F$1/C767</f>
        <v>179.78497716730789</v>
      </c>
      <c r="H767" s="2">
        <f>D767*F766</f>
        <v>-283.89339513324489</v>
      </c>
      <c r="I767" s="2">
        <f>E767*G766</f>
        <v>-784.84534979129842</v>
      </c>
      <c r="J767" s="2">
        <f>I767-H767</f>
        <v>-500.95195465805352</v>
      </c>
      <c r="K767" s="2">
        <f t="shared" si="94"/>
        <v>500.95195465805352</v>
      </c>
      <c r="L767" s="3">
        <f>C767/B767</f>
        <v>3.2317703794085175</v>
      </c>
      <c r="M767" s="3">
        <f t="shared" si="96"/>
        <v>3.2363500183699032</v>
      </c>
      <c r="N767" s="3">
        <f t="shared" si="100"/>
        <v>3.2136322724259343</v>
      </c>
      <c r="O767" s="3">
        <f t="shared" si="101"/>
        <v>3.2725801395709242</v>
      </c>
      <c r="P767" s="3">
        <f t="shared" si="95"/>
        <v>3.1499166334705597</v>
      </c>
      <c r="Q767" s="4" t="str">
        <f t="shared" si="99"/>
        <v>OVER</v>
      </c>
      <c r="R767" s="4" t="str">
        <f t="shared" si="99"/>
        <v>OVER</v>
      </c>
      <c r="S767" s="4" t="str">
        <f t="shared" si="97"/>
        <v>UNDER</v>
      </c>
      <c r="T767" s="4" t="str">
        <f t="shared" si="97"/>
        <v>OVER</v>
      </c>
      <c r="U767" s="2">
        <f>IF(Q767="OVER",$J767,$K767)</f>
        <v>-500.95195465805352</v>
      </c>
      <c r="V767" s="2">
        <f>IF(R767="OVER",$J767,$K767)</f>
        <v>-500.95195465805352</v>
      </c>
      <c r="W767" s="2">
        <f>IF(S767="OVER",$J767,$K767)</f>
        <v>500.95195465805352</v>
      </c>
      <c r="X767" s="2">
        <f>IF(T767="OVER",$J767,$K767)</f>
        <v>-500.95195465805352</v>
      </c>
      <c r="Y767" s="9">
        <f t="shared" si="98"/>
        <v>-4200.3738331760269</v>
      </c>
      <c r="Z767" s="9">
        <f t="shared" si="98"/>
        <v>12225.151872631253</v>
      </c>
      <c r="AA767" s="9">
        <f t="shared" si="98"/>
        <v>45892.127018680549</v>
      </c>
      <c r="AB767" s="9">
        <f t="shared" si="98"/>
        <v>18275.69956757157</v>
      </c>
    </row>
    <row r="768" spans="1:28" x14ac:dyDescent="0.3">
      <c r="A768" s="1">
        <v>45527</v>
      </c>
      <c r="B768" s="2">
        <v>174.3</v>
      </c>
      <c r="C768" s="2">
        <v>562.13</v>
      </c>
      <c r="D768" s="9">
        <f>B768-B767</f>
        <v>2.1899999999999977</v>
      </c>
      <c r="E768" s="9">
        <f>C768-C767</f>
        <v>5.9099999999999682</v>
      </c>
      <c r="F768" s="3">
        <f>F$1/B768</f>
        <v>573.72346528973026</v>
      </c>
      <c r="G768" s="3">
        <f>F$1/C768</f>
        <v>177.89479301940833</v>
      </c>
      <c r="H768" s="2">
        <f>D768*F767</f>
        <v>1272.4420428795522</v>
      </c>
      <c r="I768" s="2">
        <f>E768*G767</f>
        <v>1062.5292150587838</v>
      </c>
      <c r="J768" s="2">
        <f>I768-H768</f>
        <v>-209.91282782076837</v>
      </c>
      <c r="K768" s="2">
        <f t="shared" si="94"/>
        <v>209.91282782076837</v>
      </c>
      <c r="L768" s="3">
        <f>C768/B768</f>
        <v>3.225071715433161</v>
      </c>
      <c r="M768" s="3">
        <f t="shared" si="96"/>
        <v>3.2390312073149596</v>
      </c>
      <c r="N768" s="3">
        <f t="shared" si="100"/>
        <v>3.2145111674941633</v>
      </c>
      <c r="O768" s="3">
        <f t="shared" si="101"/>
        <v>3.2715416223057376</v>
      </c>
      <c r="P768" s="3">
        <f t="shared" si="95"/>
        <v>3.1505755383736043</v>
      </c>
      <c r="Q768" s="4" t="str">
        <f t="shared" si="99"/>
        <v>UNDER</v>
      </c>
      <c r="R768" s="4" t="str">
        <f t="shared" si="99"/>
        <v>OVER</v>
      </c>
      <c r="S768" s="4" t="str">
        <f t="shared" si="97"/>
        <v>UNDER</v>
      </c>
      <c r="T768" s="4" t="str">
        <f t="shared" si="97"/>
        <v>OVER</v>
      </c>
      <c r="U768" s="2">
        <f>IF(Q768="OVER",$J768,$K768)</f>
        <v>209.91282782076837</v>
      </c>
      <c r="V768" s="2">
        <f>IF(R768="OVER",$J768,$K768)</f>
        <v>-209.91282782076837</v>
      </c>
      <c r="W768" s="2">
        <f>IF(S768="OVER",$J768,$K768)</f>
        <v>209.91282782076837</v>
      </c>
      <c r="X768" s="2">
        <f>IF(T768="OVER",$J768,$K768)</f>
        <v>-209.91282782076837</v>
      </c>
      <c r="Y768" s="9">
        <f t="shared" si="98"/>
        <v>-3990.4610053552587</v>
      </c>
      <c r="Z768" s="9">
        <f t="shared" si="98"/>
        <v>12015.239044810485</v>
      </c>
      <c r="AA768" s="9">
        <f t="shared" si="98"/>
        <v>46102.03984650132</v>
      </c>
      <c r="AB768" s="9">
        <f t="shared" si="98"/>
        <v>18065.786739750802</v>
      </c>
    </row>
    <row r="769" spans="1:28" x14ac:dyDescent="0.3">
      <c r="A769" s="1">
        <v>45530</v>
      </c>
      <c r="B769" s="2">
        <v>174.27</v>
      </c>
      <c r="C769" s="2">
        <v>560.79</v>
      </c>
      <c r="D769" s="9">
        <f>B769-B768</f>
        <v>-3.0000000000001137E-2</v>
      </c>
      <c r="E769" s="9">
        <f>C769-C768</f>
        <v>-1.3400000000000318</v>
      </c>
      <c r="F769" s="3">
        <f>F$1/B769</f>
        <v>573.82222987318528</v>
      </c>
      <c r="G769" s="3">
        <f>F$1/C769</f>
        <v>178.31987018313453</v>
      </c>
      <c r="H769" s="2">
        <f>D769*F768</f>
        <v>-17.21170395869256</v>
      </c>
      <c r="I769" s="2">
        <f>E769*G768</f>
        <v>-238.37902264601283</v>
      </c>
      <c r="J769" s="2">
        <f>I769-H769</f>
        <v>-221.16731868732026</v>
      </c>
      <c r="K769" s="2">
        <f t="shared" si="94"/>
        <v>221.16731868732026</v>
      </c>
      <c r="L769" s="3">
        <f>C769/B769</f>
        <v>3.2179376829058355</v>
      </c>
      <c r="M769" s="3">
        <f t="shared" si="96"/>
        <v>3.2392874416893536</v>
      </c>
      <c r="N769" s="3">
        <f t="shared" si="100"/>
        <v>3.2151562424966658</v>
      </c>
      <c r="O769" s="3">
        <f t="shared" si="101"/>
        <v>3.2700410910734279</v>
      </c>
      <c r="P769" s="3">
        <f t="shared" si="95"/>
        <v>3.1511216479905526</v>
      </c>
      <c r="Q769" s="4" t="str">
        <f t="shared" si="99"/>
        <v>UNDER</v>
      </c>
      <c r="R769" s="4" t="str">
        <f t="shared" si="99"/>
        <v>OVER</v>
      </c>
      <c r="S769" s="4" t="str">
        <f t="shared" si="97"/>
        <v>UNDER</v>
      </c>
      <c r="T769" s="4" t="str">
        <f t="shared" si="97"/>
        <v>OVER</v>
      </c>
      <c r="U769" s="2">
        <f>IF(Q769="OVER",$J769,$K769)</f>
        <v>221.16731868732026</v>
      </c>
      <c r="V769" s="2">
        <f>IF(R769="OVER",$J769,$K769)</f>
        <v>-221.16731868732026</v>
      </c>
      <c r="W769" s="2">
        <f>IF(S769="OVER",$J769,$K769)</f>
        <v>221.16731868732026</v>
      </c>
      <c r="X769" s="2">
        <f>IF(T769="OVER",$J769,$K769)</f>
        <v>-221.16731868732026</v>
      </c>
      <c r="Y769" s="9">
        <f t="shared" si="98"/>
        <v>-3769.2936866679383</v>
      </c>
      <c r="Z769" s="9">
        <f t="shared" si="98"/>
        <v>11794.071726123166</v>
      </c>
      <c r="AA769" s="9">
        <f t="shared" si="98"/>
        <v>46323.207165188644</v>
      </c>
      <c r="AB769" s="9">
        <f t="shared" si="98"/>
        <v>17844.619421063482</v>
      </c>
    </row>
    <row r="770" spans="1:28" x14ac:dyDescent="0.3">
      <c r="A770" s="1">
        <v>45531</v>
      </c>
      <c r="B770" s="2">
        <v>174.35</v>
      </c>
      <c r="C770" s="2">
        <v>561.55999999999995</v>
      </c>
      <c r="D770" s="9">
        <f>B770-B769</f>
        <v>7.9999999999984084E-2</v>
      </c>
      <c r="E770" s="9">
        <f>C770-C769</f>
        <v>0.76999999999998181</v>
      </c>
      <c r="F770" s="3">
        <f>F$1/B770</f>
        <v>573.55893318038432</v>
      </c>
      <c r="G770" s="3">
        <f>F$1/C770</f>
        <v>178.07536149298386</v>
      </c>
      <c r="H770" s="2">
        <f>D770*F769</f>
        <v>45.905778389845686</v>
      </c>
      <c r="I770" s="2">
        <f>E770*G769</f>
        <v>137.30630004101033</v>
      </c>
      <c r="J770" s="2">
        <f>I770-H770</f>
        <v>91.400521651164638</v>
      </c>
      <c r="K770" s="2">
        <f t="shared" si="94"/>
        <v>-91.400521651164638</v>
      </c>
      <c r="L770" s="3">
        <f>C770/B770</f>
        <v>3.2208775451677658</v>
      </c>
      <c r="M770" s="3">
        <f t="shared" si="96"/>
        <v>3.2382322368642908</v>
      </c>
      <c r="N770" s="3">
        <f t="shared" si="100"/>
        <v>3.2175257242986453</v>
      </c>
      <c r="O770" s="3">
        <f t="shared" si="101"/>
        <v>3.2681365500901749</v>
      </c>
      <c r="P770" s="3">
        <f t="shared" si="95"/>
        <v>3.1516455767654223</v>
      </c>
      <c r="Q770" s="4" t="str">
        <f t="shared" si="99"/>
        <v>UNDER</v>
      </c>
      <c r="R770" s="4" t="str">
        <f t="shared" si="99"/>
        <v>OVER</v>
      </c>
      <c r="S770" s="4" t="str">
        <f t="shared" si="97"/>
        <v>UNDER</v>
      </c>
      <c r="T770" s="4" t="str">
        <f t="shared" si="97"/>
        <v>OVER</v>
      </c>
      <c r="U770" s="2">
        <f>IF(Q770="OVER",$J770,$K770)</f>
        <v>-91.400521651164638</v>
      </c>
      <c r="V770" s="2">
        <f>IF(R770="OVER",$J770,$K770)</f>
        <v>91.400521651164638</v>
      </c>
      <c r="W770" s="2">
        <f>IF(S770="OVER",$J770,$K770)</f>
        <v>-91.400521651164638</v>
      </c>
      <c r="X770" s="2">
        <f>IF(T770="OVER",$J770,$K770)</f>
        <v>91.400521651164638</v>
      </c>
      <c r="Y770" s="9">
        <f t="shared" si="98"/>
        <v>-3860.6942083191029</v>
      </c>
      <c r="Z770" s="9">
        <f t="shared" si="98"/>
        <v>11885.472247774331</v>
      </c>
      <c r="AA770" s="9">
        <f t="shared" si="98"/>
        <v>46231.806643537479</v>
      </c>
      <c r="AB770" s="9">
        <f t="shared" si="98"/>
        <v>17936.019942714647</v>
      </c>
    </row>
    <row r="771" spans="1:28" x14ac:dyDescent="0.3">
      <c r="A771" s="1">
        <v>45532</v>
      </c>
      <c r="B771" s="2">
        <v>173.87</v>
      </c>
      <c r="C771" s="2">
        <v>558.29999999999995</v>
      </c>
      <c r="D771" s="9">
        <f>B771-B770</f>
        <v>-0.47999999999998977</v>
      </c>
      <c r="E771" s="9">
        <f>C771-C770</f>
        <v>-3.2599999999999909</v>
      </c>
      <c r="F771" s="3">
        <f>F$1/B771</f>
        <v>575.14234773106341</v>
      </c>
      <c r="G771" s="3">
        <f>F$1/C771</f>
        <v>179.11517105498837</v>
      </c>
      <c r="H771" s="2">
        <f>D771*F770</f>
        <v>-275.3082879265786</v>
      </c>
      <c r="I771" s="2">
        <f>E771*G770</f>
        <v>-580.52567846712577</v>
      </c>
      <c r="J771" s="2">
        <f>I771-H771</f>
        <v>-305.21739054054717</v>
      </c>
      <c r="K771" s="2">
        <f t="shared" si="94"/>
        <v>305.21739054054717</v>
      </c>
      <c r="L771" s="3">
        <f>C771/B771</f>
        <v>3.2110197273825269</v>
      </c>
      <c r="M771" s="3">
        <f t="shared" si="96"/>
        <v>3.2358467921476093</v>
      </c>
      <c r="N771" s="3">
        <f t="shared" si="100"/>
        <v>3.2175842864253474</v>
      </c>
      <c r="O771" s="3">
        <f t="shared" si="101"/>
        <v>3.2659895036236928</v>
      </c>
      <c r="P771" s="3">
        <f t="shared" si="95"/>
        <v>3.152109501679917</v>
      </c>
      <c r="Q771" s="4" t="str">
        <f t="shared" si="99"/>
        <v>UNDER</v>
      </c>
      <c r="R771" s="4" t="str">
        <f t="shared" si="99"/>
        <v>OVER</v>
      </c>
      <c r="S771" s="4" t="str">
        <f t="shared" si="97"/>
        <v>UNDER</v>
      </c>
      <c r="T771" s="4" t="str">
        <f t="shared" si="97"/>
        <v>OVER</v>
      </c>
      <c r="U771" s="2">
        <f>IF(Q771="OVER",$J771,$K771)</f>
        <v>305.21739054054717</v>
      </c>
      <c r="V771" s="2">
        <f>IF(R771="OVER",$J771,$K771)</f>
        <v>-305.21739054054717</v>
      </c>
      <c r="W771" s="2">
        <f>IF(S771="OVER",$J771,$K771)</f>
        <v>305.21739054054717</v>
      </c>
      <c r="X771" s="2">
        <f>IF(T771="OVER",$J771,$K771)</f>
        <v>-305.21739054054717</v>
      </c>
      <c r="Y771" s="9">
        <f t="shared" si="98"/>
        <v>-3555.4768177785559</v>
      </c>
      <c r="Z771" s="9">
        <f t="shared" si="98"/>
        <v>11580.254857233784</v>
      </c>
      <c r="AA771" s="9">
        <f t="shared" si="98"/>
        <v>46537.024034078029</v>
      </c>
      <c r="AB771" s="9">
        <f t="shared" si="98"/>
        <v>17630.8025521741</v>
      </c>
    </row>
    <row r="772" spans="1:28" x14ac:dyDescent="0.3">
      <c r="A772" s="1">
        <v>45533</v>
      </c>
      <c r="B772" s="2">
        <v>174.52</v>
      </c>
      <c r="C772" s="2">
        <v>558.35</v>
      </c>
      <c r="D772" s="9">
        <f>B772-B771</f>
        <v>0.65000000000000568</v>
      </c>
      <c r="E772" s="9">
        <f>C772-C771</f>
        <v>5.0000000000068212E-2</v>
      </c>
      <c r="F772" s="3">
        <f>F$1/B772</f>
        <v>573.00022920009167</v>
      </c>
      <c r="G772" s="3">
        <f>F$1/C772</f>
        <v>179.09913136921284</v>
      </c>
      <c r="H772" s="2">
        <f>D772*F771</f>
        <v>373.8425260251945</v>
      </c>
      <c r="I772" s="2">
        <f>E772*G771</f>
        <v>8.9557585527616368</v>
      </c>
      <c r="J772" s="2">
        <f>I772-H772</f>
        <v>-364.88676747243289</v>
      </c>
      <c r="K772" s="2">
        <f t="shared" si="94"/>
        <v>364.88676747243289</v>
      </c>
      <c r="L772" s="3">
        <f>C772/B772</f>
        <v>3.1993467797387116</v>
      </c>
      <c r="M772" s="3">
        <f t="shared" si="96"/>
        <v>3.2311527209285473</v>
      </c>
      <c r="N772" s="3">
        <f t="shared" si="100"/>
        <v>3.2175510361023654</v>
      </c>
      <c r="O772" s="3">
        <f t="shared" si="101"/>
        <v>3.2636054324420871</v>
      </c>
      <c r="P772" s="3">
        <f t="shared" si="95"/>
        <v>3.1524551273092158</v>
      </c>
      <c r="Q772" s="4" t="str">
        <f t="shared" si="99"/>
        <v>UNDER</v>
      </c>
      <c r="R772" s="4" t="str">
        <f t="shared" si="99"/>
        <v>UNDER</v>
      </c>
      <c r="S772" s="4" t="str">
        <f t="shared" si="97"/>
        <v>UNDER</v>
      </c>
      <c r="T772" s="4" t="str">
        <f t="shared" si="97"/>
        <v>OVER</v>
      </c>
      <c r="U772" s="2">
        <f>IF(Q772="OVER",$J772,$K772)</f>
        <v>364.88676747243289</v>
      </c>
      <c r="V772" s="2">
        <f>IF(R772="OVER",$J772,$K772)</f>
        <v>364.88676747243289</v>
      </c>
      <c r="W772" s="2">
        <f>IF(S772="OVER",$J772,$K772)</f>
        <v>364.88676747243289</v>
      </c>
      <c r="X772" s="2">
        <f>IF(T772="OVER",$J772,$K772)</f>
        <v>-364.88676747243289</v>
      </c>
      <c r="Y772" s="9">
        <f t="shared" si="98"/>
        <v>-3190.590050306123</v>
      </c>
      <c r="Z772" s="9">
        <f t="shared" si="98"/>
        <v>11945.141624706217</v>
      </c>
      <c r="AA772" s="9">
        <f t="shared" si="98"/>
        <v>46901.910801550461</v>
      </c>
      <c r="AB772" s="9">
        <f t="shared" si="98"/>
        <v>17265.915784701669</v>
      </c>
    </row>
    <row r="773" spans="1:28" x14ac:dyDescent="0.3">
      <c r="A773" s="1">
        <v>45534</v>
      </c>
      <c r="B773" s="2">
        <v>175.87</v>
      </c>
      <c r="C773" s="2">
        <v>563.67999999999995</v>
      </c>
      <c r="D773" s="9">
        <f>B773-B772</f>
        <v>1.3499999999999943</v>
      </c>
      <c r="E773" s="9">
        <f>C773-C772</f>
        <v>5.3299999999999272</v>
      </c>
      <c r="F773" s="3">
        <f>F$1/B773</f>
        <v>568.60180815374986</v>
      </c>
      <c r="G773" s="3">
        <f>F$1/C773</f>
        <v>177.40562021004828</v>
      </c>
      <c r="H773" s="2">
        <f>D773*F772</f>
        <v>773.55030942012047</v>
      </c>
      <c r="I773" s="2">
        <f>E773*G772</f>
        <v>954.59837019789143</v>
      </c>
      <c r="J773" s="2">
        <f>I773-H773</f>
        <v>181.04806077777096</v>
      </c>
      <c r="K773" s="2">
        <f t="shared" ref="K773:K836" si="102">H773-I773</f>
        <v>-181.04806077777096</v>
      </c>
      <c r="L773" s="3">
        <f>C773/B773</f>
        <v>3.2050946722010574</v>
      </c>
      <c r="M773" s="3">
        <f t="shared" si="96"/>
        <v>3.2270867109264962</v>
      </c>
      <c r="N773" s="3">
        <f t="shared" si="100"/>
        <v>3.2180348276964681</v>
      </c>
      <c r="O773" s="3">
        <f t="shared" si="101"/>
        <v>3.2615566426112257</v>
      </c>
      <c r="P773" s="3">
        <f t="shared" si="95"/>
        <v>3.1528243906830249</v>
      </c>
      <c r="Q773" s="4" t="str">
        <f t="shared" si="99"/>
        <v>UNDER</v>
      </c>
      <c r="R773" s="4" t="str">
        <f t="shared" si="99"/>
        <v>UNDER</v>
      </c>
      <c r="S773" s="4" t="str">
        <f t="shared" si="97"/>
        <v>UNDER</v>
      </c>
      <c r="T773" s="4" t="str">
        <f t="shared" si="97"/>
        <v>OVER</v>
      </c>
      <c r="U773" s="2">
        <f>IF(Q773="OVER",$J773,$K773)</f>
        <v>-181.04806077777096</v>
      </c>
      <c r="V773" s="2">
        <f>IF(R773="OVER",$J773,$K773)</f>
        <v>-181.04806077777096</v>
      </c>
      <c r="W773" s="2">
        <f>IF(S773="OVER",$J773,$K773)</f>
        <v>-181.04806077777096</v>
      </c>
      <c r="X773" s="2">
        <f>IF(T773="OVER",$J773,$K773)</f>
        <v>181.04806077777096</v>
      </c>
      <c r="Y773" s="9">
        <f t="shared" si="98"/>
        <v>-3371.6381110838938</v>
      </c>
      <c r="Z773" s="9">
        <f t="shared" si="98"/>
        <v>11764.093563928445</v>
      </c>
      <c r="AA773" s="9">
        <f t="shared" si="98"/>
        <v>46720.862740772689</v>
      </c>
      <c r="AB773" s="9">
        <f t="shared" si="98"/>
        <v>17446.96384547944</v>
      </c>
    </row>
    <row r="774" spans="1:28" x14ac:dyDescent="0.3">
      <c r="A774" s="1">
        <v>45538</v>
      </c>
      <c r="B774" s="2">
        <v>173.61</v>
      </c>
      <c r="C774" s="2">
        <v>552.08000000000004</v>
      </c>
      <c r="D774" s="9">
        <f>B774-B773</f>
        <v>-2.2599999999999909</v>
      </c>
      <c r="E774" s="9">
        <f>C774-C773</f>
        <v>-11.599999999999909</v>
      </c>
      <c r="F774" s="3">
        <f>F$1/B774</f>
        <v>576.00368642359308</v>
      </c>
      <c r="G774" s="3">
        <f>F$1/C774</f>
        <v>181.13316910592667</v>
      </c>
      <c r="H774" s="2">
        <f>D774*F773</f>
        <v>-1285.0400864274695</v>
      </c>
      <c r="I774" s="2">
        <f>E774*G773</f>
        <v>-2057.9051944365438</v>
      </c>
      <c r="J774" s="2">
        <f>I774-H774</f>
        <v>-772.86510800907422</v>
      </c>
      <c r="K774" s="2">
        <f t="shared" si="102"/>
        <v>772.86510800907422</v>
      </c>
      <c r="L774" s="3">
        <f>C774/B774</f>
        <v>3.1800011520073728</v>
      </c>
      <c r="M774" s="3">
        <f t="shared" si="96"/>
        <v>3.2198834323568937</v>
      </c>
      <c r="N774" s="3">
        <f t="shared" si="100"/>
        <v>3.2181636699188347</v>
      </c>
      <c r="O774" s="3">
        <f t="shared" si="101"/>
        <v>3.2593906169769364</v>
      </c>
      <c r="P774" s="3">
        <f t="shared" si="95"/>
        <v>3.1532070715934872</v>
      </c>
      <c r="Q774" s="4" t="str">
        <f t="shared" si="99"/>
        <v>UNDER</v>
      </c>
      <c r="R774" s="4" t="str">
        <f t="shared" si="99"/>
        <v>UNDER</v>
      </c>
      <c r="S774" s="4" t="str">
        <f t="shared" si="97"/>
        <v>UNDER</v>
      </c>
      <c r="T774" s="4" t="str">
        <f t="shared" si="97"/>
        <v>OVER</v>
      </c>
      <c r="U774" s="2">
        <f>IF(Q774="OVER",$J774,$K774)</f>
        <v>772.86510800907422</v>
      </c>
      <c r="V774" s="2">
        <f>IF(R774="OVER",$J774,$K774)</f>
        <v>772.86510800907422</v>
      </c>
      <c r="W774" s="2">
        <f>IF(S774="OVER",$J774,$K774)</f>
        <v>772.86510800907422</v>
      </c>
      <c r="X774" s="2">
        <f>IF(T774="OVER",$J774,$K774)</f>
        <v>-772.86510800907422</v>
      </c>
      <c r="Y774" s="9">
        <f t="shared" si="98"/>
        <v>-2598.7730030748198</v>
      </c>
      <c r="Z774" s="9">
        <f t="shared" si="98"/>
        <v>12536.95867193752</v>
      </c>
      <c r="AA774" s="9">
        <f t="shared" si="98"/>
        <v>47493.72784878176</v>
      </c>
      <c r="AB774" s="9">
        <f t="shared" si="98"/>
        <v>16674.098737470365</v>
      </c>
    </row>
    <row r="775" spans="1:28" x14ac:dyDescent="0.3">
      <c r="A775" s="1">
        <v>45539</v>
      </c>
      <c r="B775" s="2">
        <v>173.36</v>
      </c>
      <c r="C775" s="2">
        <v>550.95000000000005</v>
      </c>
      <c r="D775" s="9">
        <f>B775-B774</f>
        <v>-0.25</v>
      </c>
      <c r="E775" s="9">
        <f>C775-C774</f>
        <v>-1.1299999999999955</v>
      </c>
      <c r="F775" s="3">
        <f>F$1/B775</f>
        <v>576.83433317951085</v>
      </c>
      <c r="G775" s="3">
        <f>F$1/C775</f>
        <v>181.50467374534892</v>
      </c>
      <c r="H775" s="2">
        <f>D775*F774</f>
        <v>-144.00092160589827</v>
      </c>
      <c r="I775" s="2">
        <f>E775*G774</f>
        <v>-204.68048108969631</v>
      </c>
      <c r="J775" s="2">
        <f>I775-H775</f>
        <v>-60.679559483798045</v>
      </c>
      <c r="K775" s="2">
        <f t="shared" si="102"/>
        <v>60.679559483798045</v>
      </c>
      <c r="L775" s="3">
        <f>C775/B775</f>
        <v>3.1780687586525151</v>
      </c>
      <c r="M775" s="3">
        <f t="shared" si="96"/>
        <v>3.2117276477787384</v>
      </c>
      <c r="N775" s="3">
        <f t="shared" si="100"/>
        <v>3.2183589011645304</v>
      </c>
      <c r="O775" s="3">
        <f t="shared" si="101"/>
        <v>3.257451147351532</v>
      </c>
      <c r="P775" s="3">
        <f t="shared" si="95"/>
        <v>3.1536200284520763</v>
      </c>
      <c r="Q775" s="4" t="str">
        <f t="shared" si="99"/>
        <v>UNDER</v>
      </c>
      <c r="R775" s="4" t="str">
        <f t="shared" si="99"/>
        <v>UNDER</v>
      </c>
      <c r="S775" s="4" t="str">
        <f t="shared" si="97"/>
        <v>UNDER</v>
      </c>
      <c r="T775" s="4" t="str">
        <f t="shared" si="97"/>
        <v>OVER</v>
      </c>
      <c r="U775" s="2">
        <f>IF(Q775="OVER",$J775,$K775)</f>
        <v>60.679559483798045</v>
      </c>
      <c r="V775" s="2">
        <f>IF(R775="OVER",$J775,$K775)</f>
        <v>60.679559483798045</v>
      </c>
      <c r="W775" s="2">
        <f>IF(S775="OVER",$J775,$K775)</f>
        <v>60.679559483798045</v>
      </c>
      <c r="X775" s="2">
        <f>IF(T775="OVER",$J775,$K775)</f>
        <v>-60.679559483798045</v>
      </c>
      <c r="Y775" s="9">
        <f t="shared" si="98"/>
        <v>-2538.0934435910217</v>
      </c>
      <c r="Z775" s="9">
        <f t="shared" si="98"/>
        <v>12597.638231421319</v>
      </c>
      <c r="AA775" s="9">
        <f t="shared" si="98"/>
        <v>47554.407408265557</v>
      </c>
      <c r="AB775" s="9">
        <f t="shared" si="98"/>
        <v>16613.419177986569</v>
      </c>
    </row>
    <row r="776" spans="1:28" x14ac:dyDescent="0.3">
      <c r="A776" s="1">
        <v>45540</v>
      </c>
      <c r="B776" s="2">
        <v>172.3</v>
      </c>
      <c r="C776" s="2">
        <v>549.61</v>
      </c>
      <c r="D776" s="9">
        <f>B776-B775</f>
        <v>-1.0600000000000023</v>
      </c>
      <c r="E776" s="9">
        <f>C776-C775</f>
        <v>-1.3400000000000318</v>
      </c>
      <c r="F776" s="3">
        <f>F$1/B776</f>
        <v>580.38305281485782</v>
      </c>
      <c r="G776" s="3">
        <f>F$1/C776</f>
        <v>181.94719892287259</v>
      </c>
      <c r="H776" s="2">
        <f>D776*F775</f>
        <v>-611.44439317028286</v>
      </c>
      <c r="I776" s="2">
        <f>E776*G775</f>
        <v>-243.21626281877334</v>
      </c>
      <c r="J776" s="2">
        <f>I776-H776</f>
        <v>368.22813035150955</v>
      </c>
      <c r="K776" s="2">
        <f t="shared" si="102"/>
        <v>-368.22813035150955</v>
      </c>
      <c r="L776" s="3">
        <f>C776/B776</f>
        <v>3.1898432965757397</v>
      </c>
      <c r="M776" s="3">
        <f t="shared" si="96"/>
        <v>3.2059031709473205</v>
      </c>
      <c r="N776" s="3">
        <f t="shared" si="100"/>
        <v>3.2190840768908311</v>
      </c>
      <c r="O776" s="3">
        <f t="shared" si="101"/>
        <v>3.2550394824773599</v>
      </c>
      <c r="P776" s="3">
        <f t="shared" si="95"/>
        <v>3.1540215551773754</v>
      </c>
      <c r="Q776" s="4" t="str">
        <f t="shared" si="99"/>
        <v>UNDER</v>
      </c>
      <c r="R776" s="4" t="str">
        <f t="shared" si="99"/>
        <v>UNDER</v>
      </c>
      <c r="S776" s="4" t="str">
        <f t="shared" si="97"/>
        <v>UNDER</v>
      </c>
      <c r="T776" s="4" t="str">
        <f t="shared" si="97"/>
        <v>OVER</v>
      </c>
      <c r="U776" s="2">
        <f>IF(Q776="OVER",$J776,$K776)</f>
        <v>-368.22813035150955</v>
      </c>
      <c r="V776" s="2">
        <f>IF(R776="OVER",$J776,$K776)</f>
        <v>-368.22813035150955</v>
      </c>
      <c r="W776" s="2">
        <f>IF(S776="OVER",$J776,$K776)</f>
        <v>-368.22813035150955</v>
      </c>
      <c r="X776" s="2">
        <f>IF(T776="OVER",$J776,$K776)</f>
        <v>368.22813035150955</v>
      </c>
      <c r="Y776" s="9">
        <f t="shared" si="98"/>
        <v>-2906.3215739425314</v>
      </c>
      <c r="Z776" s="9">
        <f t="shared" si="98"/>
        <v>12229.410101069809</v>
      </c>
      <c r="AA776" s="9">
        <f t="shared" si="98"/>
        <v>47186.179277914045</v>
      </c>
      <c r="AB776" s="9">
        <f t="shared" si="98"/>
        <v>16981.647308338077</v>
      </c>
    </row>
    <row r="777" spans="1:28" x14ac:dyDescent="0.3">
      <c r="A777" s="1">
        <v>45541</v>
      </c>
      <c r="B777" s="2">
        <v>170.45</v>
      </c>
      <c r="C777" s="2">
        <v>540.36</v>
      </c>
      <c r="D777" s="9">
        <f>B777-B776</f>
        <v>-1.8500000000000227</v>
      </c>
      <c r="E777" s="9">
        <f>C777-C776</f>
        <v>-9.25</v>
      </c>
      <c r="F777" s="3">
        <f>F$1/B777</f>
        <v>586.68231152830742</v>
      </c>
      <c r="G777" s="3">
        <f>F$1/C777</f>
        <v>185.06181064475535</v>
      </c>
      <c r="H777" s="2">
        <f>D777*F776</f>
        <v>-1073.7086477075002</v>
      </c>
      <c r="I777" s="2">
        <f>E777*G776</f>
        <v>-1683.0115900365715</v>
      </c>
      <c r="J777" s="2">
        <f>I777-H777</f>
        <v>-609.30294232907136</v>
      </c>
      <c r="K777" s="2">
        <f t="shared" si="102"/>
        <v>609.30294232907136</v>
      </c>
      <c r="L777" s="3">
        <f>C777/B777</f>
        <v>3.1701965385743622</v>
      </c>
      <c r="M777" s="3">
        <f t="shared" si="96"/>
        <v>3.1997457868639043</v>
      </c>
      <c r="N777" s="3">
        <f t="shared" si="100"/>
        <v>3.2180479026169038</v>
      </c>
      <c r="O777" s="3">
        <f t="shared" si="101"/>
        <v>3.2519015737758048</v>
      </c>
      <c r="P777" s="3">
        <f t="shared" si="95"/>
        <v>3.1543804078269453</v>
      </c>
      <c r="Q777" s="4" t="str">
        <f t="shared" si="99"/>
        <v>UNDER</v>
      </c>
      <c r="R777" s="4" t="str">
        <f t="shared" si="99"/>
        <v>UNDER</v>
      </c>
      <c r="S777" s="4" t="str">
        <f t="shared" si="97"/>
        <v>UNDER</v>
      </c>
      <c r="T777" s="4" t="str">
        <f t="shared" si="97"/>
        <v>OVER</v>
      </c>
      <c r="U777" s="2">
        <f>IF(Q777="OVER",$J777,$K777)</f>
        <v>609.30294232907136</v>
      </c>
      <c r="V777" s="2">
        <f>IF(R777="OVER",$J777,$K777)</f>
        <v>609.30294232907136</v>
      </c>
      <c r="W777" s="2">
        <f>IF(S777="OVER",$J777,$K777)</f>
        <v>609.30294232907136</v>
      </c>
      <c r="X777" s="2">
        <f>IF(T777="OVER",$J777,$K777)</f>
        <v>-609.30294232907136</v>
      </c>
      <c r="Y777" s="9">
        <f t="shared" si="98"/>
        <v>-2297.01863161346</v>
      </c>
      <c r="Z777" s="9">
        <f t="shared" si="98"/>
        <v>12838.71304339888</v>
      </c>
      <c r="AA777" s="9">
        <f t="shared" si="98"/>
        <v>47795.482220243117</v>
      </c>
      <c r="AB777" s="9">
        <f t="shared" si="98"/>
        <v>16372.344366009005</v>
      </c>
    </row>
    <row r="778" spans="1:28" x14ac:dyDescent="0.3">
      <c r="A778" s="1">
        <v>45544</v>
      </c>
      <c r="B778" s="2">
        <v>172.1</v>
      </c>
      <c r="C778" s="2">
        <v>546.41</v>
      </c>
      <c r="D778" s="9">
        <f>B778-B777</f>
        <v>1.6500000000000057</v>
      </c>
      <c r="E778" s="9">
        <f>C778-C777</f>
        <v>6.0499999999999545</v>
      </c>
      <c r="F778" s="3">
        <f>F$1/B778</f>
        <v>581.05752469494485</v>
      </c>
      <c r="G778" s="3">
        <f>F$1/C778</f>
        <v>183.01275598909245</v>
      </c>
      <c r="H778" s="2">
        <f>D778*F777</f>
        <v>968.02581402171063</v>
      </c>
      <c r="I778" s="2">
        <f>E778*G777</f>
        <v>1119.6239544007615</v>
      </c>
      <c r="J778" s="2">
        <f>I778-H778</f>
        <v>151.59814037905085</v>
      </c>
      <c r="K778" s="2">
        <f t="shared" si="102"/>
        <v>-151.59814037905085</v>
      </c>
      <c r="L778" s="3">
        <f>C778/B778</f>
        <v>3.174956420685648</v>
      </c>
      <c r="M778" s="3">
        <f t="shared" si="96"/>
        <v>3.1947342573891531</v>
      </c>
      <c r="N778" s="3">
        <f t="shared" si="100"/>
        <v>3.2168827323520559</v>
      </c>
      <c r="O778" s="3">
        <f t="shared" si="101"/>
        <v>3.2488351563805509</v>
      </c>
      <c r="P778" s="3">
        <f t="shared" si="95"/>
        <v>3.1547057958042695</v>
      </c>
      <c r="Q778" s="4" t="str">
        <f t="shared" si="99"/>
        <v>UNDER</v>
      </c>
      <c r="R778" s="4" t="str">
        <f t="shared" si="99"/>
        <v>UNDER</v>
      </c>
      <c r="S778" s="4" t="str">
        <f t="shared" si="97"/>
        <v>UNDER</v>
      </c>
      <c r="T778" s="4" t="str">
        <f t="shared" si="97"/>
        <v>OVER</v>
      </c>
      <c r="U778" s="2">
        <f>IF(Q778="OVER",$J778,$K778)</f>
        <v>-151.59814037905085</v>
      </c>
      <c r="V778" s="2">
        <f>IF(R778="OVER",$J778,$K778)</f>
        <v>-151.59814037905085</v>
      </c>
      <c r="W778" s="2">
        <f>IF(S778="OVER",$J778,$K778)</f>
        <v>-151.59814037905085</v>
      </c>
      <c r="X778" s="2">
        <f>IF(T778="OVER",$J778,$K778)</f>
        <v>151.59814037905085</v>
      </c>
      <c r="Y778" s="9">
        <f t="shared" si="98"/>
        <v>-2448.6167719925106</v>
      </c>
      <c r="Z778" s="9">
        <f t="shared" si="98"/>
        <v>12687.11490301983</v>
      </c>
      <c r="AA778" s="9">
        <f t="shared" si="98"/>
        <v>47643.884079864067</v>
      </c>
      <c r="AB778" s="9">
        <f t="shared" si="98"/>
        <v>16523.942506388055</v>
      </c>
    </row>
    <row r="779" spans="1:28" x14ac:dyDescent="0.3">
      <c r="A779" s="1">
        <v>45545</v>
      </c>
      <c r="B779" s="2">
        <v>172.2</v>
      </c>
      <c r="C779" s="2">
        <v>548.79</v>
      </c>
      <c r="D779" s="9">
        <f>B779-B778</f>
        <v>9.9999999999994316E-2</v>
      </c>
      <c r="E779" s="9">
        <f>C779-C778</f>
        <v>2.3799999999999955</v>
      </c>
      <c r="F779" s="3">
        <f>F$1/B779</f>
        <v>580.72009291521488</v>
      </c>
      <c r="G779" s="3">
        <f>F$1/C779</f>
        <v>182.21906375845043</v>
      </c>
      <c r="H779" s="2">
        <f>D779*F778</f>
        <v>58.105752469491179</v>
      </c>
      <c r="I779" s="2">
        <f>E779*G778</f>
        <v>435.5703592540392</v>
      </c>
      <c r="J779" s="2">
        <f>I779-H779</f>
        <v>377.46460678454804</v>
      </c>
      <c r="K779" s="2">
        <f t="shared" si="102"/>
        <v>-377.46460678454804</v>
      </c>
      <c r="L779" s="3">
        <f>C779/B779</f>
        <v>3.1869337979094077</v>
      </c>
      <c r="M779" s="3">
        <f t="shared" si="96"/>
        <v>3.1916338688895105</v>
      </c>
      <c r="N779" s="3">
        <f t="shared" si="100"/>
        <v>3.2154606552894314</v>
      </c>
      <c r="O779" s="3">
        <f t="shared" si="101"/>
        <v>3.2463186582457273</v>
      </c>
      <c r="P779" s="3">
        <f t="shared" ref="P779:P842" si="103">AVERAGE(L580:L779)</f>
        <v>3.1550962261106887</v>
      </c>
      <c r="Q779" s="4" t="str">
        <f t="shared" si="99"/>
        <v>UNDER</v>
      </c>
      <c r="R779" s="4" t="str">
        <f t="shared" si="99"/>
        <v>UNDER</v>
      </c>
      <c r="S779" s="4" t="str">
        <f t="shared" si="97"/>
        <v>UNDER</v>
      </c>
      <c r="T779" s="4" t="str">
        <f t="shared" si="97"/>
        <v>OVER</v>
      </c>
      <c r="U779" s="2">
        <f>IF(Q779="OVER",$J779,$K779)</f>
        <v>-377.46460678454804</v>
      </c>
      <c r="V779" s="2">
        <f>IF(R779="OVER",$J779,$K779)</f>
        <v>-377.46460678454804</v>
      </c>
      <c r="W779" s="2">
        <f>IF(S779="OVER",$J779,$K779)</f>
        <v>-377.46460678454804</v>
      </c>
      <c r="X779" s="2">
        <f>IF(T779="OVER",$J779,$K779)</f>
        <v>377.46460678454804</v>
      </c>
      <c r="Y779" s="9">
        <f t="shared" si="98"/>
        <v>-2826.0813787770585</v>
      </c>
      <c r="Z779" s="9">
        <f t="shared" si="98"/>
        <v>12309.650296235282</v>
      </c>
      <c r="AA779" s="9">
        <f t="shared" si="98"/>
        <v>47266.419473079521</v>
      </c>
      <c r="AB779" s="9">
        <f t="shared" si="98"/>
        <v>16901.407113172605</v>
      </c>
    </row>
    <row r="780" spans="1:28" x14ac:dyDescent="0.3">
      <c r="A780" s="1">
        <v>45546</v>
      </c>
      <c r="B780" s="2">
        <v>172.28</v>
      </c>
      <c r="C780" s="2">
        <v>554.41999999999996</v>
      </c>
      <c r="D780" s="9">
        <f>B780-B779</f>
        <v>8.0000000000012506E-2</v>
      </c>
      <c r="E780" s="9">
        <f>C780-C779</f>
        <v>5.6299999999999955</v>
      </c>
      <c r="F780" s="3">
        <f>F$1/B780</f>
        <v>580.4504295333179</v>
      </c>
      <c r="G780" s="3">
        <f>F$1/C780</f>
        <v>180.3686735687746</v>
      </c>
      <c r="H780" s="2">
        <f>D780*F779</f>
        <v>46.457607433224453</v>
      </c>
      <c r="I780" s="2">
        <f>E780*G779</f>
        <v>1025.893328960075</v>
      </c>
      <c r="J780" s="2">
        <f>I780-H780</f>
        <v>979.43572152685056</v>
      </c>
      <c r="K780" s="2">
        <f t="shared" si="102"/>
        <v>-979.43572152685056</v>
      </c>
      <c r="L780" s="3">
        <f>C780/B780</f>
        <v>3.2181332714186204</v>
      </c>
      <c r="M780" s="3">
        <f t="shared" si="96"/>
        <v>3.1913594415145958</v>
      </c>
      <c r="N780" s="3">
        <f t="shared" si="100"/>
        <v>3.2147958391894433</v>
      </c>
      <c r="O780" s="3">
        <f t="shared" si="101"/>
        <v>3.2437479085160761</v>
      </c>
      <c r="P780" s="3">
        <f t="shared" si="103"/>
        <v>3.1556550792509608</v>
      </c>
      <c r="Q780" s="4" t="str">
        <f t="shared" si="99"/>
        <v>UNDER</v>
      </c>
      <c r="R780" s="4" t="str">
        <f t="shared" si="99"/>
        <v>UNDER</v>
      </c>
      <c r="S780" s="4" t="str">
        <f t="shared" si="97"/>
        <v>UNDER</v>
      </c>
      <c r="T780" s="4" t="str">
        <f t="shared" si="97"/>
        <v>OVER</v>
      </c>
      <c r="U780" s="2">
        <f>IF(Q780="OVER",$J780,$K780)</f>
        <v>-979.43572152685056</v>
      </c>
      <c r="V780" s="2">
        <f>IF(R780="OVER",$J780,$K780)</f>
        <v>-979.43572152685056</v>
      </c>
      <c r="W780" s="2">
        <f>IF(S780="OVER",$J780,$K780)</f>
        <v>-979.43572152685056</v>
      </c>
      <c r="X780" s="2">
        <f>IF(T780="OVER",$J780,$K780)</f>
        <v>979.43572152685056</v>
      </c>
      <c r="Y780" s="9">
        <f t="shared" si="98"/>
        <v>-3805.517100303909</v>
      </c>
      <c r="Z780" s="9">
        <f t="shared" si="98"/>
        <v>11330.214574708432</v>
      </c>
      <c r="AA780" s="9">
        <f t="shared" si="98"/>
        <v>46286.983751552667</v>
      </c>
      <c r="AB780" s="9">
        <f t="shared" ref="AB780:AB843" si="104">AB779+X780</f>
        <v>17880.842834699455</v>
      </c>
    </row>
    <row r="781" spans="1:28" x14ac:dyDescent="0.3">
      <c r="A781" s="1">
        <v>45547</v>
      </c>
      <c r="B781" s="2">
        <v>173.35</v>
      </c>
      <c r="C781" s="2">
        <v>559.09</v>
      </c>
      <c r="D781" s="9">
        <f>B781-B780</f>
        <v>1.0699999999999932</v>
      </c>
      <c r="E781" s="9">
        <f>C781-C780</f>
        <v>4.6700000000000728</v>
      </c>
      <c r="F781" s="3">
        <f>F$1/B781</f>
        <v>576.86760888376125</v>
      </c>
      <c r="G781" s="3">
        <f>F$1/C781</f>
        <v>178.86207945053567</v>
      </c>
      <c r="H781" s="2">
        <f>D781*F780</f>
        <v>621.0819596006462</v>
      </c>
      <c r="I781" s="2">
        <f>E781*G780</f>
        <v>842.32170556619053</v>
      </c>
      <c r="J781" s="2">
        <f>I781-H781</f>
        <v>221.23974596554433</v>
      </c>
      <c r="K781" s="2">
        <f t="shared" si="102"/>
        <v>-221.23974596554433</v>
      </c>
      <c r="L781" s="3">
        <f>C781/B781</f>
        <v>3.2252091145082207</v>
      </c>
      <c r="M781" s="3">
        <f t="shared" ref="M781:M844" si="105">AVERAGE(L772:L781)</f>
        <v>3.192778380227165</v>
      </c>
      <c r="N781" s="3">
        <f t="shared" si="100"/>
        <v>3.2143125861873871</v>
      </c>
      <c r="O781" s="3">
        <f t="shared" si="101"/>
        <v>3.2411687574729076</v>
      </c>
      <c r="P781" s="3">
        <f t="shared" si="103"/>
        <v>3.1562852429910873</v>
      </c>
      <c r="Q781" s="4" t="str">
        <f t="shared" si="99"/>
        <v>OVER</v>
      </c>
      <c r="R781" s="4" t="str">
        <f t="shared" si="99"/>
        <v>OVER</v>
      </c>
      <c r="S781" s="4" t="str">
        <f t="shared" ref="S781:T844" si="106">IF($L781&gt;O781,"OVER","UNDER")</f>
        <v>UNDER</v>
      </c>
      <c r="T781" s="4" t="str">
        <f t="shared" si="106"/>
        <v>OVER</v>
      </c>
      <c r="U781" s="2">
        <f>IF(Q781="OVER",$J781,$K781)</f>
        <v>221.23974596554433</v>
      </c>
      <c r="V781" s="2">
        <f>IF(R781="OVER",$J781,$K781)</f>
        <v>221.23974596554433</v>
      </c>
      <c r="W781" s="2">
        <f>IF(S781="OVER",$J781,$K781)</f>
        <v>-221.23974596554433</v>
      </c>
      <c r="X781" s="2">
        <f>IF(T781="OVER",$J781,$K781)</f>
        <v>221.23974596554433</v>
      </c>
      <c r="Y781" s="9">
        <f t="shared" ref="Y781:AB844" si="107">Y780+U781</f>
        <v>-3584.2773543383646</v>
      </c>
      <c r="Z781" s="9">
        <f t="shared" si="107"/>
        <v>11551.454320673976</v>
      </c>
      <c r="AA781" s="9">
        <f t="shared" si="107"/>
        <v>46065.744005587119</v>
      </c>
      <c r="AB781" s="9">
        <f t="shared" si="104"/>
        <v>18102.082580664999</v>
      </c>
    </row>
    <row r="782" spans="1:28" x14ac:dyDescent="0.3">
      <c r="A782" s="1">
        <v>45548</v>
      </c>
      <c r="B782" s="2">
        <v>175.01</v>
      </c>
      <c r="C782" s="2">
        <v>562.01</v>
      </c>
      <c r="D782" s="9">
        <f>B782-B781</f>
        <v>1.6599999999999966</v>
      </c>
      <c r="E782" s="9">
        <f>C782-C781</f>
        <v>2.9199999999999591</v>
      </c>
      <c r="F782" s="3">
        <f>F$1/B782</f>
        <v>571.39592023312957</v>
      </c>
      <c r="G782" s="3">
        <f>F$1/C782</f>
        <v>177.93277699685061</v>
      </c>
      <c r="H782" s="2">
        <f>D782*F781</f>
        <v>957.60023074704168</v>
      </c>
      <c r="I782" s="2">
        <f>E782*G781</f>
        <v>522.27727199555682</v>
      </c>
      <c r="J782" s="2">
        <f>I782-H782</f>
        <v>-435.32295875148486</v>
      </c>
      <c r="K782" s="2">
        <f t="shared" si="102"/>
        <v>435.32295875148486</v>
      </c>
      <c r="L782" s="3">
        <f>C782/B782</f>
        <v>3.2113022113022116</v>
      </c>
      <c r="M782" s="3">
        <f t="shared" si="105"/>
        <v>3.1939739233835156</v>
      </c>
      <c r="N782" s="3">
        <f t="shared" si="100"/>
        <v>3.2125633221560306</v>
      </c>
      <c r="O782" s="3">
        <f t="shared" si="101"/>
        <v>3.238040908569181</v>
      </c>
      <c r="P782" s="3">
        <f t="shared" si="103"/>
        <v>3.1568421291925408</v>
      </c>
      <c r="Q782" s="4" t="str">
        <f t="shared" ref="Q782:R845" si="108">IF($L781&gt;M781,"OVER","UNDER")</f>
        <v>OVER</v>
      </c>
      <c r="R782" s="4" t="str">
        <f t="shared" si="108"/>
        <v>OVER</v>
      </c>
      <c r="S782" s="4" t="str">
        <f t="shared" si="106"/>
        <v>UNDER</v>
      </c>
      <c r="T782" s="4" t="str">
        <f t="shared" si="106"/>
        <v>OVER</v>
      </c>
      <c r="U782" s="2">
        <f>IF(Q782="OVER",$J782,$K782)</f>
        <v>-435.32295875148486</v>
      </c>
      <c r="V782" s="2">
        <f>IF(R782="OVER",$J782,$K782)</f>
        <v>-435.32295875148486</v>
      </c>
      <c r="W782" s="2">
        <f>IF(S782="OVER",$J782,$K782)</f>
        <v>435.32295875148486</v>
      </c>
      <c r="X782" s="2">
        <f>IF(T782="OVER",$J782,$K782)</f>
        <v>-435.32295875148486</v>
      </c>
      <c r="Y782" s="9">
        <f t="shared" si="107"/>
        <v>-4019.6003130898494</v>
      </c>
      <c r="Z782" s="9">
        <f t="shared" si="107"/>
        <v>11116.131361922491</v>
      </c>
      <c r="AA782" s="9">
        <f t="shared" si="107"/>
        <v>46501.066964338606</v>
      </c>
      <c r="AB782" s="9">
        <f t="shared" si="104"/>
        <v>17666.759621913516</v>
      </c>
    </row>
    <row r="783" spans="1:28" x14ac:dyDescent="0.3">
      <c r="A783" s="1">
        <v>45551</v>
      </c>
      <c r="B783" s="2">
        <v>176.28</v>
      </c>
      <c r="C783" s="2">
        <v>562.84</v>
      </c>
      <c r="D783" s="9">
        <f>B783-B782</f>
        <v>1.2700000000000102</v>
      </c>
      <c r="E783" s="9">
        <f>C783-C782</f>
        <v>0.83000000000004093</v>
      </c>
      <c r="F783" s="3">
        <f>F$1/B783</f>
        <v>567.27932834127523</v>
      </c>
      <c r="G783" s="3">
        <f>F$1/C783</f>
        <v>177.67038590007817</v>
      </c>
      <c r="H783" s="2">
        <f>D783*F782</f>
        <v>725.67281869608041</v>
      </c>
      <c r="I783" s="2">
        <f>E783*G782</f>
        <v>147.68420490739328</v>
      </c>
      <c r="J783" s="2">
        <f>I783-H783</f>
        <v>-577.98861378868719</v>
      </c>
      <c r="K783" s="2">
        <f t="shared" si="102"/>
        <v>577.98861378868719</v>
      </c>
      <c r="L783" s="3">
        <f>C783/B783</f>
        <v>3.1928749716360336</v>
      </c>
      <c r="M783" s="3">
        <f t="shared" si="105"/>
        <v>3.1927519533270132</v>
      </c>
      <c r="N783" s="3">
        <f t="shared" si="100"/>
        <v>3.2099193321267543</v>
      </c>
      <c r="O783" s="3">
        <f t="shared" si="101"/>
        <v>3.2341271470048345</v>
      </c>
      <c r="P783" s="3">
        <f t="shared" si="103"/>
        <v>3.1572767027262176</v>
      </c>
      <c r="Q783" s="4" t="str">
        <f t="shared" si="108"/>
        <v>OVER</v>
      </c>
      <c r="R783" s="4" t="str">
        <f t="shared" si="108"/>
        <v>UNDER</v>
      </c>
      <c r="S783" s="4" t="str">
        <f t="shared" si="106"/>
        <v>UNDER</v>
      </c>
      <c r="T783" s="4" t="str">
        <f t="shared" si="106"/>
        <v>OVER</v>
      </c>
      <c r="U783" s="2">
        <f>IF(Q783="OVER",$J783,$K783)</f>
        <v>-577.98861378868719</v>
      </c>
      <c r="V783" s="2">
        <f>IF(R783="OVER",$J783,$K783)</f>
        <v>577.98861378868719</v>
      </c>
      <c r="W783" s="2">
        <f>IF(S783="OVER",$J783,$K783)</f>
        <v>577.98861378868719</v>
      </c>
      <c r="X783" s="2">
        <f>IF(T783="OVER",$J783,$K783)</f>
        <v>-577.98861378868719</v>
      </c>
      <c r="Y783" s="9">
        <f t="shared" si="107"/>
        <v>-4597.5889268785368</v>
      </c>
      <c r="Z783" s="9">
        <f t="shared" si="107"/>
        <v>11694.119975711179</v>
      </c>
      <c r="AA783" s="9">
        <f t="shared" si="107"/>
        <v>47079.055578127292</v>
      </c>
      <c r="AB783" s="9">
        <f t="shared" si="104"/>
        <v>17088.77100812483</v>
      </c>
    </row>
    <row r="784" spans="1:28" x14ac:dyDescent="0.3">
      <c r="A784" s="1">
        <v>45552</v>
      </c>
      <c r="B784" s="2">
        <v>176.54</v>
      </c>
      <c r="C784" s="2">
        <v>563.07000000000005</v>
      </c>
      <c r="D784" s="9">
        <f>B784-B783</f>
        <v>0.25999999999999091</v>
      </c>
      <c r="E784" s="9">
        <f>C784-C783</f>
        <v>0.23000000000001819</v>
      </c>
      <c r="F784" s="3">
        <f>F$1/B784</f>
        <v>566.44386541293761</v>
      </c>
      <c r="G784" s="3">
        <f>F$1/C784</f>
        <v>177.5978119949562</v>
      </c>
      <c r="H784" s="2">
        <f>D784*F783</f>
        <v>147.49262536872641</v>
      </c>
      <c r="I784" s="2">
        <f>E784*G783</f>
        <v>40.864188757021211</v>
      </c>
      <c r="J784" s="2">
        <f>I784-H784</f>
        <v>-106.6284366117052</v>
      </c>
      <c r="K784" s="2">
        <f t="shared" si="102"/>
        <v>106.6284366117052</v>
      </c>
      <c r="L784" s="3">
        <f>C784/B784</f>
        <v>3.1894754729806278</v>
      </c>
      <c r="M784" s="3">
        <f t="shared" si="105"/>
        <v>3.1936993854243387</v>
      </c>
      <c r="N784" s="3">
        <f t="shared" si="100"/>
        <v>3.2067914088906155</v>
      </c>
      <c r="O784" s="3">
        <f t="shared" si="101"/>
        <v>3.2301995832937149</v>
      </c>
      <c r="P784" s="3">
        <f t="shared" si="103"/>
        <v>3.1577664126310725</v>
      </c>
      <c r="Q784" s="4" t="str">
        <f t="shared" si="108"/>
        <v>OVER</v>
      </c>
      <c r="R784" s="4" t="str">
        <f t="shared" si="108"/>
        <v>UNDER</v>
      </c>
      <c r="S784" s="4" t="str">
        <f t="shared" si="106"/>
        <v>UNDER</v>
      </c>
      <c r="T784" s="4" t="str">
        <f t="shared" si="106"/>
        <v>OVER</v>
      </c>
      <c r="U784" s="2">
        <f>IF(Q784="OVER",$J784,$K784)</f>
        <v>-106.6284366117052</v>
      </c>
      <c r="V784" s="2">
        <f>IF(R784="OVER",$J784,$K784)</f>
        <v>106.6284366117052</v>
      </c>
      <c r="W784" s="2">
        <f>IF(S784="OVER",$J784,$K784)</f>
        <v>106.6284366117052</v>
      </c>
      <c r="X784" s="2">
        <f>IF(T784="OVER",$J784,$K784)</f>
        <v>-106.6284366117052</v>
      </c>
      <c r="Y784" s="9">
        <f t="shared" si="107"/>
        <v>-4704.217363490242</v>
      </c>
      <c r="Z784" s="9">
        <f t="shared" si="107"/>
        <v>11800.748412322884</v>
      </c>
      <c r="AA784" s="9">
        <f t="shared" si="107"/>
        <v>47185.684014738996</v>
      </c>
      <c r="AB784" s="9">
        <f t="shared" si="104"/>
        <v>16982.142571513123</v>
      </c>
    </row>
    <row r="785" spans="1:28" x14ac:dyDescent="0.3">
      <c r="A785" s="1">
        <v>45553</v>
      </c>
      <c r="B785" s="2">
        <v>176.21</v>
      </c>
      <c r="C785" s="2">
        <v>561.4</v>
      </c>
      <c r="D785" s="9">
        <f>B785-B784</f>
        <v>-0.32999999999998408</v>
      </c>
      <c r="E785" s="9">
        <f>C785-C784</f>
        <v>-1.6700000000000728</v>
      </c>
      <c r="F785" s="3">
        <f>F$1/B785</f>
        <v>567.50468191362575</v>
      </c>
      <c r="G785" s="3">
        <f>F$1/C785</f>
        <v>178.12611328820805</v>
      </c>
      <c r="H785" s="2">
        <f>D785*F784</f>
        <v>-186.92647558626041</v>
      </c>
      <c r="I785" s="2">
        <f>E785*G784</f>
        <v>-296.58834603158977</v>
      </c>
      <c r="J785" s="2">
        <f>I785-H785</f>
        <v>-109.66187044532936</v>
      </c>
      <c r="K785" s="2">
        <f t="shared" si="102"/>
        <v>109.66187044532936</v>
      </c>
      <c r="L785" s="3">
        <f>C785/B785</f>
        <v>3.1859712842630947</v>
      </c>
      <c r="M785" s="3">
        <f t="shared" si="105"/>
        <v>3.1944896379853964</v>
      </c>
      <c r="N785" s="3">
        <f t="shared" si="100"/>
        <v>3.203108642882067</v>
      </c>
      <c r="O785" s="3">
        <f t="shared" si="101"/>
        <v>3.2260201572809559</v>
      </c>
      <c r="P785" s="3">
        <f t="shared" si="103"/>
        <v>3.1583085414731569</v>
      </c>
      <c r="Q785" s="4" t="str">
        <f t="shared" si="108"/>
        <v>UNDER</v>
      </c>
      <c r="R785" s="4" t="str">
        <f t="shared" si="108"/>
        <v>UNDER</v>
      </c>
      <c r="S785" s="4" t="str">
        <f t="shared" si="106"/>
        <v>UNDER</v>
      </c>
      <c r="T785" s="4" t="str">
        <f t="shared" si="106"/>
        <v>OVER</v>
      </c>
      <c r="U785" s="2">
        <f>IF(Q785="OVER",$J785,$K785)</f>
        <v>109.66187044532936</v>
      </c>
      <c r="V785" s="2">
        <f>IF(R785="OVER",$J785,$K785)</f>
        <v>109.66187044532936</v>
      </c>
      <c r="W785" s="2">
        <f>IF(S785="OVER",$J785,$K785)</f>
        <v>109.66187044532936</v>
      </c>
      <c r="X785" s="2">
        <f>IF(T785="OVER",$J785,$K785)</f>
        <v>-109.66187044532936</v>
      </c>
      <c r="Y785" s="9">
        <f t="shared" si="107"/>
        <v>-4594.5554930449125</v>
      </c>
      <c r="Z785" s="9">
        <f t="shared" si="107"/>
        <v>11910.410282768213</v>
      </c>
      <c r="AA785" s="9">
        <f t="shared" si="107"/>
        <v>47295.345885184324</v>
      </c>
      <c r="AB785" s="9">
        <f t="shared" si="104"/>
        <v>16872.480701067794</v>
      </c>
    </row>
    <row r="786" spans="1:28" x14ac:dyDescent="0.3">
      <c r="A786" s="1">
        <v>45554</v>
      </c>
      <c r="B786" s="2">
        <v>178.09</v>
      </c>
      <c r="C786" s="2">
        <v>570.98</v>
      </c>
      <c r="D786" s="9">
        <f>B786-B785</f>
        <v>1.8799999999999955</v>
      </c>
      <c r="E786" s="9">
        <f>C786-C785</f>
        <v>9.5800000000000409</v>
      </c>
      <c r="F786" s="3">
        <f>F$1/B786</f>
        <v>561.5138413161884</v>
      </c>
      <c r="G786" s="3">
        <f>F$1/C786</f>
        <v>175.13748292409542</v>
      </c>
      <c r="H786" s="2">
        <f>D786*F785</f>
        <v>1066.9088019976139</v>
      </c>
      <c r="I786" s="2">
        <f>E786*G785</f>
        <v>1706.4481653010403</v>
      </c>
      <c r="J786" s="2">
        <f>I786-H786</f>
        <v>639.5393633034264</v>
      </c>
      <c r="K786" s="2">
        <f t="shared" si="102"/>
        <v>-639.5393633034264</v>
      </c>
      <c r="L786" s="3">
        <f>C786/B786</f>
        <v>3.2061317311471726</v>
      </c>
      <c r="M786" s="3">
        <f t="shared" si="105"/>
        <v>3.1961184814425403</v>
      </c>
      <c r="N786" s="3">
        <f t="shared" si="100"/>
        <v>3.201010826194929</v>
      </c>
      <c r="O786" s="3">
        <f t="shared" si="101"/>
        <v>3.2221328567248837</v>
      </c>
      <c r="P786" s="3">
        <f t="shared" si="103"/>
        <v>3.1590897481924016</v>
      </c>
      <c r="Q786" s="4" t="str">
        <f t="shared" si="108"/>
        <v>UNDER</v>
      </c>
      <c r="R786" s="4" t="str">
        <f t="shared" si="108"/>
        <v>UNDER</v>
      </c>
      <c r="S786" s="4" t="str">
        <f t="shared" si="106"/>
        <v>UNDER</v>
      </c>
      <c r="T786" s="4" t="str">
        <f t="shared" si="106"/>
        <v>OVER</v>
      </c>
      <c r="U786" s="2">
        <f>IF(Q786="OVER",$J786,$K786)</f>
        <v>-639.5393633034264</v>
      </c>
      <c r="V786" s="2">
        <f>IF(R786="OVER",$J786,$K786)</f>
        <v>-639.5393633034264</v>
      </c>
      <c r="W786" s="2">
        <f>IF(S786="OVER",$J786,$K786)</f>
        <v>-639.5393633034264</v>
      </c>
      <c r="X786" s="2">
        <f>IF(T786="OVER",$J786,$K786)</f>
        <v>639.5393633034264</v>
      </c>
      <c r="Y786" s="9">
        <f t="shared" si="107"/>
        <v>-5234.0948563483389</v>
      </c>
      <c r="Z786" s="9">
        <f t="shared" si="107"/>
        <v>11270.870919464785</v>
      </c>
      <c r="AA786" s="9">
        <f t="shared" si="107"/>
        <v>46655.806521880899</v>
      </c>
      <c r="AB786" s="9">
        <f t="shared" si="104"/>
        <v>17512.02006437122</v>
      </c>
    </row>
    <row r="787" spans="1:28" x14ac:dyDescent="0.3">
      <c r="A787" s="1">
        <v>45555</v>
      </c>
      <c r="B787" s="2">
        <v>177.44</v>
      </c>
      <c r="C787" s="2">
        <v>568.25</v>
      </c>
      <c r="D787" s="9">
        <f>B787-B786</f>
        <v>-0.65000000000000568</v>
      </c>
      <c r="E787" s="9">
        <f>C787-C786</f>
        <v>-2.7300000000000182</v>
      </c>
      <c r="F787" s="3">
        <f>F$1/B787</f>
        <v>563.57078449053199</v>
      </c>
      <c r="G787" s="3">
        <f>F$1/C787</f>
        <v>175.9788825340959</v>
      </c>
      <c r="H787" s="2">
        <f>D787*F786</f>
        <v>-364.98399685552567</v>
      </c>
      <c r="I787" s="2">
        <f>E787*G786</f>
        <v>-478.12532838278366</v>
      </c>
      <c r="J787" s="2">
        <f>I787-H787</f>
        <v>-113.14133152725799</v>
      </c>
      <c r="K787" s="2">
        <f t="shared" si="102"/>
        <v>113.14133152725799</v>
      </c>
      <c r="L787" s="3">
        <f>C787/B787</f>
        <v>3.2024909828674484</v>
      </c>
      <c r="M787" s="3">
        <f t="shared" si="105"/>
        <v>3.1993479258718489</v>
      </c>
      <c r="N787" s="3">
        <f t="shared" si="100"/>
        <v>3.1995468563678759</v>
      </c>
      <c r="O787" s="3">
        <f t="shared" si="101"/>
        <v>3.2195623004693874</v>
      </c>
      <c r="P787" s="3">
        <f t="shared" si="103"/>
        <v>3.1599398525091282</v>
      </c>
      <c r="Q787" s="4" t="str">
        <f t="shared" si="108"/>
        <v>OVER</v>
      </c>
      <c r="R787" s="4" t="str">
        <f t="shared" si="108"/>
        <v>OVER</v>
      </c>
      <c r="S787" s="4" t="str">
        <f t="shared" si="106"/>
        <v>UNDER</v>
      </c>
      <c r="T787" s="4" t="str">
        <f t="shared" si="106"/>
        <v>OVER</v>
      </c>
      <c r="U787" s="2">
        <f>IF(Q787="OVER",$J787,$K787)</f>
        <v>-113.14133152725799</v>
      </c>
      <c r="V787" s="2">
        <f>IF(R787="OVER",$J787,$K787)</f>
        <v>-113.14133152725799</v>
      </c>
      <c r="W787" s="2">
        <f>IF(S787="OVER",$J787,$K787)</f>
        <v>113.14133152725799</v>
      </c>
      <c r="X787" s="2">
        <f>IF(T787="OVER",$J787,$K787)</f>
        <v>-113.14133152725799</v>
      </c>
      <c r="Y787" s="9">
        <f t="shared" si="107"/>
        <v>-5347.2361878755964</v>
      </c>
      <c r="Z787" s="9">
        <f t="shared" si="107"/>
        <v>11157.729587937527</v>
      </c>
      <c r="AA787" s="9">
        <f t="shared" si="107"/>
        <v>46768.947853408157</v>
      </c>
      <c r="AB787" s="9">
        <f t="shared" si="104"/>
        <v>17398.878732843961</v>
      </c>
    </row>
    <row r="788" spans="1:28" x14ac:dyDescent="0.3">
      <c r="A788" s="1">
        <v>45558</v>
      </c>
      <c r="B788" s="2">
        <v>177.65</v>
      </c>
      <c r="C788" s="2">
        <v>569.66999999999996</v>
      </c>
      <c r="D788" s="9">
        <f>B788-B787</f>
        <v>0.21000000000000796</v>
      </c>
      <c r="E788" s="9">
        <f>C788-C787</f>
        <v>1.4199999999999591</v>
      </c>
      <c r="F788" s="3">
        <f>F$1/B788</f>
        <v>562.90458767238954</v>
      </c>
      <c r="G788" s="3">
        <f>F$1/C788</f>
        <v>175.54022504256852</v>
      </c>
      <c r="H788" s="2">
        <f>D788*F787</f>
        <v>118.3498647430162</v>
      </c>
      <c r="I788" s="2">
        <f>E788*G787</f>
        <v>249.89001319840898</v>
      </c>
      <c r="J788" s="2">
        <f>I788-H788</f>
        <v>131.5401484553928</v>
      </c>
      <c r="K788" s="2">
        <f t="shared" si="102"/>
        <v>-131.5401484553928</v>
      </c>
      <c r="L788" s="3">
        <f>C788/B788</f>
        <v>3.2066985645933013</v>
      </c>
      <c r="M788" s="3">
        <f t="shared" si="105"/>
        <v>3.2025221402626136</v>
      </c>
      <c r="N788" s="3">
        <f t="shared" si="100"/>
        <v>3.1986281988258831</v>
      </c>
      <c r="O788" s="3">
        <f t="shared" si="101"/>
        <v>3.2172404478723315</v>
      </c>
      <c r="P788" s="3">
        <f t="shared" si="103"/>
        <v>3.1606778877413135</v>
      </c>
      <c r="Q788" s="4" t="str">
        <f t="shared" si="108"/>
        <v>OVER</v>
      </c>
      <c r="R788" s="4" t="str">
        <f t="shared" si="108"/>
        <v>OVER</v>
      </c>
      <c r="S788" s="4" t="str">
        <f t="shared" si="106"/>
        <v>UNDER</v>
      </c>
      <c r="T788" s="4" t="str">
        <f t="shared" si="106"/>
        <v>OVER</v>
      </c>
      <c r="U788" s="2">
        <f>IF(Q788="OVER",$J788,$K788)</f>
        <v>131.5401484553928</v>
      </c>
      <c r="V788" s="2">
        <f>IF(R788="OVER",$J788,$K788)</f>
        <v>131.5401484553928</v>
      </c>
      <c r="W788" s="2">
        <f>IF(S788="OVER",$J788,$K788)</f>
        <v>-131.5401484553928</v>
      </c>
      <c r="X788" s="2">
        <f>IF(T788="OVER",$J788,$K788)</f>
        <v>131.5401484553928</v>
      </c>
      <c r="Y788" s="9">
        <f t="shared" si="107"/>
        <v>-5215.6960394202033</v>
      </c>
      <c r="Z788" s="9">
        <f t="shared" si="107"/>
        <v>11289.26973639292</v>
      </c>
      <c r="AA788" s="9">
        <f t="shared" si="107"/>
        <v>46637.407704952762</v>
      </c>
      <c r="AB788" s="9">
        <f t="shared" si="104"/>
        <v>17530.418881299353</v>
      </c>
    </row>
    <row r="789" spans="1:28" x14ac:dyDescent="0.3">
      <c r="A789" s="1">
        <v>45559</v>
      </c>
      <c r="B789" s="2">
        <v>177.91</v>
      </c>
      <c r="C789" s="2">
        <v>571.29999999999995</v>
      </c>
      <c r="D789" s="9">
        <f>B789-B788</f>
        <v>0.25999999999999091</v>
      </c>
      <c r="E789" s="9">
        <f>C789-C788</f>
        <v>1.6299999999999955</v>
      </c>
      <c r="F789" s="3">
        <f>F$1/B789</f>
        <v>562.08195154853581</v>
      </c>
      <c r="G789" s="3">
        <f>F$1/C789</f>
        <v>175.03938386136883</v>
      </c>
      <c r="H789" s="2">
        <f>D789*F788</f>
        <v>146.35519279481616</v>
      </c>
      <c r="I789" s="2">
        <f>E789*G788</f>
        <v>286.13056681938588</v>
      </c>
      <c r="J789" s="2">
        <f>I789-H789</f>
        <v>139.77537402456971</v>
      </c>
      <c r="K789" s="2">
        <f t="shared" si="102"/>
        <v>-139.77537402456971</v>
      </c>
      <c r="L789" s="3">
        <f>C789/B789</f>
        <v>3.2111741891967847</v>
      </c>
      <c r="M789" s="3">
        <f t="shared" si="105"/>
        <v>3.2049461793913516</v>
      </c>
      <c r="N789" s="3">
        <f t="shared" si="100"/>
        <v>3.1982900241404311</v>
      </c>
      <c r="O789" s="3">
        <f t="shared" si="101"/>
        <v>3.2149003944348351</v>
      </c>
      <c r="P789" s="3">
        <f t="shared" si="103"/>
        <v>3.1615050399142746</v>
      </c>
      <c r="Q789" s="4" t="str">
        <f t="shared" si="108"/>
        <v>OVER</v>
      </c>
      <c r="R789" s="4" t="str">
        <f t="shared" si="108"/>
        <v>OVER</v>
      </c>
      <c r="S789" s="4" t="str">
        <f t="shared" si="106"/>
        <v>UNDER</v>
      </c>
      <c r="T789" s="4" t="str">
        <f t="shared" si="106"/>
        <v>OVER</v>
      </c>
      <c r="U789" s="2">
        <f>IF(Q789="OVER",$J789,$K789)</f>
        <v>139.77537402456971</v>
      </c>
      <c r="V789" s="2">
        <f>IF(R789="OVER",$J789,$K789)</f>
        <v>139.77537402456971</v>
      </c>
      <c r="W789" s="2">
        <f>IF(S789="OVER",$J789,$K789)</f>
        <v>-139.77537402456971</v>
      </c>
      <c r="X789" s="2">
        <f>IF(T789="OVER",$J789,$K789)</f>
        <v>139.77537402456971</v>
      </c>
      <c r="Y789" s="9">
        <f t="shared" si="107"/>
        <v>-5075.9206653956335</v>
      </c>
      <c r="Z789" s="9">
        <f t="shared" si="107"/>
        <v>11429.04511041749</v>
      </c>
      <c r="AA789" s="9">
        <f t="shared" si="107"/>
        <v>46497.632330928194</v>
      </c>
      <c r="AB789" s="9">
        <f t="shared" si="104"/>
        <v>17670.194255323921</v>
      </c>
    </row>
    <row r="790" spans="1:28" x14ac:dyDescent="0.3">
      <c r="A790" s="1">
        <v>45560</v>
      </c>
      <c r="B790" s="2">
        <v>176.81</v>
      </c>
      <c r="C790" s="2">
        <v>570.04</v>
      </c>
      <c r="D790" s="9">
        <f>B790-B789</f>
        <v>-1.0999999999999943</v>
      </c>
      <c r="E790" s="9">
        <f>C790-C789</f>
        <v>-1.2599999999999909</v>
      </c>
      <c r="F790" s="3">
        <f>F$1/B790</f>
        <v>565.5788699734178</v>
      </c>
      <c r="G790" s="3">
        <f>F$1/C790</f>
        <v>175.42628587467547</v>
      </c>
      <c r="H790" s="2">
        <f>D790*F789</f>
        <v>-618.2901467033862</v>
      </c>
      <c r="I790" s="2">
        <f>E790*G789</f>
        <v>-220.54962366532314</v>
      </c>
      <c r="J790" s="2">
        <f>I790-H790</f>
        <v>397.74052303806309</v>
      </c>
      <c r="K790" s="2">
        <f t="shared" si="102"/>
        <v>-397.74052303806309</v>
      </c>
      <c r="L790" s="3">
        <f>C790/B790</f>
        <v>3.2240257903964706</v>
      </c>
      <c r="M790" s="3">
        <f t="shared" si="105"/>
        <v>3.2055354312891366</v>
      </c>
      <c r="N790" s="3">
        <f t="shared" si="100"/>
        <v>3.198447436401866</v>
      </c>
      <c r="O790" s="3">
        <f t="shared" si="101"/>
        <v>3.2135885859751041</v>
      </c>
      <c r="P790" s="3">
        <f t="shared" si="103"/>
        <v>3.1623610116377425</v>
      </c>
      <c r="Q790" s="4" t="str">
        <f t="shared" si="108"/>
        <v>OVER</v>
      </c>
      <c r="R790" s="4" t="str">
        <f t="shared" si="108"/>
        <v>OVER</v>
      </c>
      <c r="S790" s="4" t="str">
        <f t="shared" si="106"/>
        <v>OVER</v>
      </c>
      <c r="T790" s="4" t="str">
        <f t="shared" si="106"/>
        <v>OVER</v>
      </c>
      <c r="U790" s="2">
        <f>IF(Q790="OVER",$J790,$K790)</f>
        <v>397.74052303806309</v>
      </c>
      <c r="V790" s="2">
        <f>IF(R790="OVER",$J790,$K790)</f>
        <v>397.74052303806309</v>
      </c>
      <c r="W790" s="2">
        <f>IF(S790="OVER",$J790,$K790)</f>
        <v>397.74052303806309</v>
      </c>
      <c r="X790" s="2">
        <f>IF(T790="OVER",$J790,$K790)</f>
        <v>397.74052303806309</v>
      </c>
      <c r="Y790" s="9">
        <f t="shared" si="107"/>
        <v>-4678.1801423575707</v>
      </c>
      <c r="Z790" s="9">
        <f t="shared" si="107"/>
        <v>11826.785633455553</v>
      </c>
      <c r="AA790" s="9">
        <f t="shared" si="107"/>
        <v>46895.372853966255</v>
      </c>
      <c r="AB790" s="9">
        <f t="shared" si="104"/>
        <v>18067.934778361985</v>
      </c>
    </row>
    <row r="791" spans="1:28" x14ac:dyDescent="0.3">
      <c r="A791" s="1">
        <v>45561</v>
      </c>
      <c r="B791" s="2">
        <v>178.29</v>
      </c>
      <c r="C791" s="2">
        <v>572.29999999999995</v>
      </c>
      <c r="D791" s="9">
        <f>B791-B790</f>
        <v>1.4799999999999898</v>
      </c>
      <c r="E791" s="9">
        <f>C791-C790</f>
        <v>2.2599999999999909</v>
      </c>
      <c r="F791" s="3">
        <f>F$1/B791</f>
        <v>560.88395311010152</v>
      </c>
      <c r="G791" s="3">
        <f>F$1/C791</f>
        <v>174.73353136466889</v>
      </c>
      <c r="H791" s="2">
        <f>D791*F790</f>
        <v>837.05672756065258</v>
      </c>
      <c r="I791" s="2">
        <f>E791*G790</f>
        <v>396.46340607676495</v>
      </c>
      <c r="J791" s="2">
        <f>I791-H791</f>
        <v>-440.59332148388762</v>
      </c>
      <c r="K791" s="2">
        <f t="shared" si="102"/>
        <v>440.59332148388762</v>
      </c>
      <c r="L791" s="3">
        <f>C791/B791</f>
        <v>3.2099388636491111</v>
      </c>
      <c r="M791" s="3">
        <f t="shared" si="105"/>
        <v>3.2040084062032266</v>
      </c>
      <c r="N791" s="3">
        <f t="shared" ref="N791:N854" si="109">AVERAGE(L772:L791)</f>
        <v>3.1983933932151958</v>
      </c>
      <c r="O791" s="3">
        <f t="shared" si="101"/>
        <v>3.2126519910476299</v>
      </c>
      <c r="P791" s="3">
        <f t="shared" si="103"/>
        <v>3.1631287772849377</v>
      </c>
      <c r="Q791" s="4" t="str">
        <f t="shared" si="108"/>
        <v>OVER</v>
      </c>
      <c r="R791" s="4" t="str">
        <f t="shared" si="108"/>
        <v>OVER</v>
      </c>
      <c r="S791" s="4" t="str">
        <f t="shared" si="106"/>
        <v>UNDER</v>
      </c>
      <c r="T791" s="4" t="str">
        <f t="shared" si="106"/>
        <v>OVER</v>
      </c>
      <c r="U791" s="2">
        <f>IF(Q791="OVER",$J791,$K791)</f>
        <v>-440.59332148388762</v>
      </c>
      <c r="V791" s="2">
        <f>IF(R791="OVER",$J791,$K791)</f>
        <v>-440.59332148388762</v>
      </c>
      <c r="W791" s="2">
        <f>IF(S791="OVER",$J791,$K791)</f>
        <v>440.59332148388762</v>
      </c>
      <c r="X791" s="2">
        <f>IF(T791="OVER",$J791,$K791)</f>
        <v>-440.59332148388762</v>
      </c>
      <c r="Y791" s="9">
        <f t="shared" si="107"/>
        <v>-5118.7734638414586</v>
      </c>
      <c r="Z791" s="9">
        <f t="shared" si="107"/>
        <v>11386.192311971665</v>
      </c>
      <c r="AA791" s="9">
        <f t="shared" si="107"/>
        <v>47335.966175450143</v>
      </c>
      <c r="AB791" s="9">
        <f t="shared" si="104"/>
        <v>17627.341456878097</v>
      </c>
    </row>
    <row r="792" spans="1:28" x14ac:dyDescent="0.3">
      <c r="A792" s="1">
        <v>45562</v>
      </c>
      <c r="B792" s="2">
        <v>178.93</v>
      </c>
      <c r="C792" s="2">
        <v>571.47</v>
      </c>
      <c r="D792" s="9">
        <f>B792-B791</f>
        <v>0.64000000000001478</v>
      </c>
      <c r="E792" s="9">
        <f>C792-C791</f>
        <v>-0.82999999999992724</v>
      </c>
      <c r="F792" s="3">
        <f>F$1/B792</f>
        <v>558.87777343095058</v>
      </c>
      <c r="G792" s="3">
        <f>F$1/C792</f>
        <v>174.98731341977705</v>
      </c>
      <c r="H792" s="2">
        <f>D792*F791</f>
        <v>358.96572999047328</v>
      </c>
      <c r="I792" s="2">
        <f>E792*G791</f>
        <v>-145.02883103266245</v>
      </c>
      <c r="J792" s="2">
        <f>I792-H792</f>
        <v>-503.9945610231357</v>
      </c>
      <c r="K792" s="2">
        <f t="shared" si="102"/>
        <v>503.9945610231357</v>
      </c>
      <c r="L792" s="3">
        <f>C792/B792</f>
        <v>3.1938188118258539</v>
      </c>
      <c r="M792" s="3">
        <f t="shared" si="105"/>
        <v>3.2022600662555902</v>
      </c>
      <c r="N792" s="3">
        <f t="shared" si="109"/>
        <v>3.1981169948195527</v>
      </c>
      <c r="O792" s="3">
        <f t="shared" si="101"/>
        <v>3.2113331331211175</v>
      </c>
      <c r="P792" s="3">
        <f t="shared" si="103"/>
        <v>3.1638918282922606</v>
      </c>
      <c r="Q792" s="4" t="str">
        <f t="shared" si="108"/>
        <v>OVER</v>
      </c>
      <c r="R792" s="4" t="str">
        <f t="shared" si="108"/>
        <v>OVER</v>
      </c>
      <c r="S792" s="4" t="str">
        <f t="shared" si="106"/>
        <v>UNDER</v>
      </c>
      <c r="T792" s="4" t="str">
        <f t="shared" si="106"/>
        <v>OVER</v>
      </c>
      <c r="U792" s="2">
        <f>IF(Q792="OVER",$J792,$K792)</f>
        <v>-503.9945610231357</v>
      </c>
      <c r="V792" s="2">
        <f>IF(R792="OVER",$J792,$K792)</f>
        <v>-503.9945610231357</v>
      </c>
      <c r="W792" s="2">
        <f>IF(S792="OVER",$J792,$K792)</f>
        <v>503.9945610231357</v>
      </c>
      <c r="X792" s="2">
        <f>IF(T792="OVER",$J792,$K792)</f>
        <v>-503.9945610231357</v>
      </c>
      <c r="Y792" s="9">
        <f t="shared" si="107"/>
        <v>-5622.7680248645938</v>
      </c>
      <c r="Z792" s="9">
        <f t="shared" si="107"/>
        <v>10882.19775094853</v>
      </c>
      <c r="AA792" s="9">
        <f t="shared" si="107"/>
        <v>47839.96073647328</v>
      </c>
      <c r="AB792" s="9">
        <f t="shared" si="104"/>
        <v>17123.34689585496</v>
      </c>
    </row>
    <row r="793" spans="1:28" x14ac:dyDescent="0.3">
      <c r="A793" s="1">
        <v>45565</v>
      </c>
      <c r="B793" s="2">
        <v>179.16</v>
      </c>
      <c r="C793" s="2">
        <v>573.76</v>
      </c>
      <c r="D793" s="9">
        <f>B793-B792</f>
        <v>0.22999999999998977</v>
      </c>
      <c r="E793" s="9">
        <f>C793-C792</f>
        <v>2.2899999999999636</v>
      </c>
      <c r="F793" s="3">
        <f>F$1/B793</f>
        <v>558.16030363920515</v>
      </c>
      <c r="G793" s="3">
        <f>F$1/C793</f>
        <v>174.28890128276632</v>
      </c>
      <c r="H793" s="2">
        <f>D793*F792</f>
        <v>128.54188788911293</v>
      </c>
      <c r="I793" s="2">
        <f>E793*G792</f>
        <v>400.7209477312831</v>
      </c>
      <c r="J793" s="2">
        <f>I793-H793</f>
        <v>272.1790598421702</v>
      </c>
      <c r="K793" s="2">
        <f t="shared" si="102"/>
        <v>-272.1790598421702</v>
      </c>
      <c r="L793" s="3">
        <f>C793/B793</f>
        <v>3.2025005581603034</v>
      </c>
      <c r="M793" s="3">
        <f t="shared" si="105"/>
        <v>3.2032226249080167</v>
      </c>
      <c r="N793" s="3">
        <f t="shared" si="109"/>
        <v>3.1979872891175152</v>
      </c>
      <c r="O793" s="3">
        <f t="shared" si="101"/>
        <v>3.2101824316952499</v>
      </c>
      <c r="P793" s="3">
        <f t="shared" si="103"/>
        <v>3.1646559410186641</v>
      </c>
      <c r="Q793" s="4" t="str">
        <f t="shared" si="108"/>
        <v>UNDER</v>
      </c>
      <c r="R793" s="4" t="str">
        <f t="shared" si="108"/>
        <v>UNDER</v>
      </c>
      <c r="S793" s="4" t="str">
        <f t="shared" si="106"/>
        <v>UNDER</v>
      </c>
      <c r="T793" s="4" t="str">
        <f t="shared" si="106"/>
        <v>OVER</v>
      </c>
      <c r="U793" s="2">
        <f>IF(Q793="OVER",$J793,$K793)</f>
        <v>-272.1790598421702</v>
      </c>
      <c r="V793" s="2">
        <f>IF(R793="OVER",$J793,$K793)</f>
        <v>-272.1790598421702</v>
      </c>
      <c r="W793" s="2">
        <f>IF(S793="OVER",$J793,$K793)</f>
        <v>-272.1790598421702</v>
      </c>
      <c r="X793" s="2">
        <f>IF(T793="OVER",$J793,$K793)</f>
        <v>272.1790598421702</v>
      </c>
      <c r="Y793" s="9">
        <f t="shared" si="107"/>
        <v>-5894.9470847067641</v>
      </c>
      <c r="Z793" s="9">
        <f t="shared" si="107"/>
        <v>10610.018691106359</v>
      </c>
      <c r="AA793" s="9">
        <f t="shared" si="107"/>
        <v>47567.781676631108</v>
      </c>
      <c r="AB793" s="9">
        <f t="shared" si="104"/>
        <v>17395.525955697129</v>
      </c>
    </row>
    <row r="794" spans="1:28" x14ac:dyDescent="0.3">
      <c r="A794" s="1">
        <v>45566</v>
      </c>
      <c r="B794" s="2">
        <v>178.21</v>
      </c>
      <c r="C794" s="2">
        <v>568.62</v>
      </c>
      <c r="D794" s="9">
        <f>B794-B793</f>
        <v>-0.94999999999998863</v>
      </c>
      <c r="E794" s="9">
        <f>C794-C793</f>
        <v>-5.1399999999999864</v>
      </c>
      <c r="F794" s="3">
        <f>F$1/B794</f>
        <v>561.13573873519999</v>
      </c>
      <c r="G794" s="3">
        <f>F$1/C794</f>
        <v>175.86437339523758</v>
      </c>
      <c r="H794" s="2">
        <f>D794*F793</f>
        <v>-530.25228845723859</v>
      </c>
      <c r="I794" s="2">
        <f>E794*G793</f>
        <v>-895.84495259341645</v>
      </c>
      <c r="J794" s="2">
        <f>I794-H794</f>
        <v>-365.59266413617786</v>
      </c>
      <c r="K794" s="2">
        <f t="shared" si="102"/>
        <v>365.59266413617786</v>
      </c>
      <c r="L794" s="3">
        <f>C794/B794</f>
        <v>3.1907300375960945</v>
      </c>
      <c r="M794" s="3">
        <f t="shared" si="105"/>
        <v>3.2033480813695632</v>
      </c>
      <c r="N794" s="3">
        <f t="shared" si="109"/>
        <v>3.198523733396951</v>
      </c>
      <c r="O794" s="3">
        <f t="shared" si="101"/>
        <v>3.2086402893846606</v>
      </c>
      <c r="P794" s="3">
        <f t="shared" si="103"/>
        <v>3.1654722126595756</v>
      </c>
      <c r="Q794" s="4" t="str">
        <f t="shared" si="108"/>
        <v>UNDER</v>
      </c>
      <c r="R794" s="4" t="str">
        <f t="shared" si="108"/>
        <v>OVER</v>
      </c>
      <c r="S794" s="4" t="str">
        <f t="shared" si="106"/>
        <v>UNDER</v>
      </c>
      <c r="T794" s="4" t="str">
        <f t="shared" si="106"/>
        <v>OVER</v>
      </c>
      <c r="U794" s="2">
        <f>IF(Q794="OVER",$J794,$K794)</f>
        <v>365.59266413617786</v>
      </c>
      <c r="V794" s="2">
        <f>IF(R794="OVER",$J794,$K794)</f>
        <v>-365.59266413617786</v>
      </c>
      <c r="W794" s="2">
        <f>IF(S794="OVER",$J794,$K794)</f>
        <v>365.59266413617786</v>
      </c>
      <c r="X794" s="2">
        <f>IF(T794="OVER",$J794,$K794)</f>
        <v>-365.59266413617786</v>
      </c>
      <c r="Y794" s="9">
        <f t="shared" si="107"/>
        <v>-5529.3544205705866</v>
      </c>
      <c r="Z794" s="9">
        <f t="shared" si="107"/>
        <v>10244.426026970181</v>
      </c>
      <c r="AA794" s="9">
        <f t="shared" si="107"/>
        <v>47933.374340767288</v>
      </c>
      <c r="AB794" s="9">
        <f t="shared" si="104"/>
        <v>17029.933291560952</v>
      </c>
    </row>
    <row r="795" spans="1:28" x14ac:dyDescent="0.3">
      <c r="A795" s="1">
        <v>45567</v>
      </c>
      <c r="B795" s="2">
        <v>178.02</v>
      </c>
      <c r="C795" s="2">
        <v>568.86</v>
      </c>
      <c r="D795" s="9">
        <f>B795-B794</f>
        <v>-0.18999999999999773</v>
      </c>
      <c r="E795" s="9">
        <f>C795-C794</f>
        <v>0.24000000000000909</v>
      </c>
      <c r="F795" s="3">
        <f>F$1/B795</f>
        <v>561.73463655769012</v>
      </c>
      <c r="G795" s="3">
        <f>F$1/C795</f>
        <v>175.79017684491791</v>
      </c>
      <c r="H795" s="2">
        <f>D795*F794</f>
        <v>-106.61579035968673</v>
      </c>
      <c r="I795" s="2">
        <f>E795*G794</f>
        <v>42.207449614858618</v>
      </c>
      <c r="J795" s="2">
        <f>I795-H795</f>
        <v>148.82323997454534</v>
      </c>
      <c r="K795" s="2">
        <f t="shared" si="102"/>
        <v>-148.82323997454534</v>
      </c>
      <c r="L795" s="3">
        <f>C795/B795</f>
        <v>3.1954836535220759</v>
      </c>
      <c r="M795" s="3">
        <f t="shared" si="105"/>
        <v>3.2042993182954609</v>
      </c>
      <c r="N795" s="3">
        <f t="shared" si="109"/>
        <v>3.1993944781404293</v>
      </c>
      <c r="O795" s="3">
        <f t="shared" si="101"/>
        <v>3.2070642414121169</v>
      </c>
      <c r="P795" s="3">
        <f t="shared" si="103"/>
        <v>3.1664680401190854</v>
      </c>
      <c r="Q795" s="4" t="str">
        <f t="shared" si="108"/>
        <v>UNDER</v>
      </c>
      <c r="R795" s="4" t="str">
        <f t="shared" si="108"/>
        <v>UNDER</v>
      </c>
      <c r="S795" s="4" t="str">
        <f t="shared" si="106"/>
        <v>UNDER</v>
      </c>
      <c r="T795" s="4" t="str">
        <f t="shared" si="106"/>
        <v>OVER</v>
      </c>
      <c r="U795" s="2">
        <f>IF(Q795="OVER",$J795,$K795)</f>
        <v>-148.82323997454534</v>
      </c>
      <c r="V795" s="2">
        <f>IF(R795="OVER",$J795,$K795)</f>
        <v>-148.82323997454534</v>
      </c>
      <c r="W795" s="2">
        <f>IF(S795="OVER",$J795,$K795)</f>
        <v>-148.82323997454534</v>
      </c>
      <c r="X795" s="2">
        <f>IF(T795="OVER",$J795,$K795)</f>
        <v>148.82323997454534</v>
      </c>
      <c r="Y795" s="9">
        <f t="shared" si="107"/>
        <v>-5678.1776605451323</v>
      </c>
      <c r="Z795" s="9">
        <f t="shared" si="107"/>
        <v>10095.602786995636</v>
      </c>
      <c r="AA795" s="9">
        <f t="shared" si="107"/>
        <v>47784.551100792742</v>
      </c>
      <c r="AB795" s="9">
        <f t="shared" si="104"/>
        <v>17178.756531535499</v>
      </c>
    </row>
    <row r="796" spans="1:28" x14ac:dyDescent="0.3">
      <c r="A796" s="1">
        <v>45568</v>
      </c>
      <c r="B796" s="2">
        <v>177.18</v>
      </c>
      <c r="C796" s="2">
        <v>567.82000000000005</v>
      </c>
      <c r="D796" s="9">
        <f>B796-B795</f>
        <v>-0.84000000000000341</v>
      </c>
      <c r="E796" s="9">
        <f>C796-C795</f>
        <v>-1.0399999999999636</v>
      </c>
      <c r="F796" s="3">
        <f>F$1/B796</f>
        <v>564.39778756067278</v>
      </c>
      <c r="G796" s="3">
        <f>F$1/C796</f>
        <v>176.11214821598392</v>
      </c>
      <c r="H796" s="2">
        <f>D796*F795</f>
        <v>-471.8570947084616</v>
      </c>
      <c r="I796" s="2">
        <f>E796*G795</f>
        <v>-182.82178391870823</v>
      </c>
      <c r="J796" s="2">
        <f>I796-H796</f>
        <v>289.03531078975334</v>
      </c>
      <c r="K796" s="2">
        <f t="shared" si="102"/>
        <v>-289.03531078975334</v>
      </c>
      <c r="L796" s="3">
        <f>C796/B796</f>
        <v>3.2047635173270121</v>
      </c>
      <c r="M796" s="3">
        <f t="shared" si="105"/>
        <v>3.2041624969134452</v>
      </c>
      <c r="N796" s="3">
        <f t="shared" si="109"/>
        <v>3.2001404891779925</v>
      </c>
      <c r="O796" s="3">
        <f t="shared" si="101"/>
        <v>3.206399715168768</v>
      </c>
      <c r="P796" s="3">
        <f t="shared" si="103"/>
        <v>3.1674886609791679</v>
      </c>
      <c r="Q796" s="4" t="str">
        <f t="shared" si="108"/>
        <v>UNDER</v>
      </c>
      <c r="R796" s="4" t="str">
        <f t="shared" si="108"/>
        <v>UNDER</v>
      </c>
      <c r="S796" s="4" t="str">
        <f t="shared" si="106"/>
        <v>UNDER</v>
      </c>
      <c r="T796" s="4" t="str">
        <f t="shared" si="106"/>
        <v>OVER</v>
      </c>
      <c r="U796" s="2">
        <f>IF(Q796="OVER",$J796,$K796)</f>
        <v>-289.03531078975334</v>
      </c>
      <c r="V796" s="2">
        <f>IF(R796="OVER",$J796,$K796)</f>
        <v>-289.03531078975334</v>
      </c>
      <c r="W796" s="2">
        <f>IF(S796="OVER",$J796,$K796)</f>
        <v>-289.03531078975334</v>
      </c>
      <c r="X796" s="2">
        <f>IF(T796="OVER",$J796,$K796)</f>
        <v>289.03531078975334</v>
      </c>
      <c r="Y796" s="9">
        <f t="shared" si="107"/>
        <v>-5967.2129713348859</v>
      </c>
      <c r="Z796" s="9">
        <f t="shared" si="107"/>
        <v>9806.5674762058825</v>
      </c>
      <c r="AA796" s="9">
        <f t="shared" si="107"/>
        <v>47495.515790002988</v>
      </c>
      <c r="AB796" s="9">
        <f t="shared" si="104"/>
        <v>17467.791842325252</v>
      </c>
    </row>
    <row r="797" spans="1:28" x14ac:dyDescent="0.3">
      <c r="A797" s="1">
        <v>45569</v>
      </c>
      <c r="B797" s="2">
        <v>178.57</v>
      </c>
      <c r="C797" s="2">
        <v>572.98</v>
      </c>
      <c r="D797" s="9">
        <f>B797-B796</f>
        <v>1.3899999999999864</v>
      </c>
      <c r="E797" s="9">
        <f>C797-C796</f>
        <v>5.1599999999999682</v>
      </c>
      <c r="F797" s="3">
        <f>F$1/B797</f>
        <v>560.00448003584029</v>
      </c>
      <c r="G797" s="3">
        <f>F$1/C797</f>
        <v>174.52616147160458</v>
      </c>
      <c r="H797" s="2">
        <f>D797*F796</f>
        <v>784.51292470932742</v>
      </c>
      <c r="I797" s="2">
        <f>E797*G796</f>
        <v>908.7386847944714</v>
      </c>
      <c r="J797" s="2">
        <f>I797-H797</f>
        <v>124.22576008514397</v>
      </c>
      <c r="K797" s="2">
        <f t="shared" si="102"/>
        <v>-124.22576008514397</v>
      </c>
      <c r="L797" s="3">
        <f>C797/B797</f>
        <v>3.2087136697093581</v>
      </c>
      <c r="M797" s="3">
        <f t="shared" si="105"/>
        <v>3.204784765597636</v>
      </c>
      <c r="N797" s="3">
        <f t="shared" si="109"/>
        <v>3.2020663457347425</v>
      </c>
      <c r="O797" s="3">
        <f t="shared" si="101"/>
        <v>3.2062286046370518</v>
      </c>
      <c r="P797" s="3">
        <f t="shared" si="103"/>
        <v>3.1683923691878544</v>
      </c>
      <c r="Q797" s="4" t="str">
        <f t="shared" si="108"/>
        <v>OVER</v>
      </c>
      <c r="R797" s="4" t="str">
        <f t="shared" si="108"/>
        <v>OVER</v>
      </c>
      <c r="S797" s="4" t="str">
        <f t="shared" si="106"/>
        <v>OVER</v>
      </c>
      <c r="T797" s="4" t="str">
        <f t="shared" si="106"/>
        <v>OVER</v>
      </c>
      <c r="U797" s="2">
        <f>IF(Q797="OVER",$J797,$K797)</f>
        <v>124.22576008514397</v>
      </c>
      <c r="V797" s="2">
        <f>IF(R797="OVER",$J797,$K797)</f>
        <v>124.22576008514397</v>
      </c>
      <c r="W797" s="2">
        <f>IF(S797="OVER",$J797,$K797)</f>
        <v>124.22576008514397</v>
      </c>
      <c r="X797" s="2">
        <f>IF(T797="OVER",$J797,$K797)</f>
        <v>124.22576008514397</v>
      </c>
      <c r="Y797" s="9">
        <f t="shared" si="107"/>
        <v>-5842.9872112497414</v>
      </c>
      <c r="Z797" s="9">
        <f t="shared" si="107"/>
        <v>9930.7932362910269</v>
      </c>
      <c r="AA797" s="9">
        <f t="shared" si="107"/>
        <v>47619.741550088132</v>
      </c>
      <c r="AB797" s="9">
        <f t="shared" si="104"/>
        <v>17592.017602410397</v>
      </c>
    </row>
    <row r="798" spans="1:28" x14ac:dyDescent="0.3">
      <c r="A798" s="1">
        <v>45572</v>
      </c>
      <c r="B798" s="2">
        <v>177.18</v>
      </c>
      <c r="C798" s="2">
        <v>567.79999999999995</v>
      </c>
      <c r="D798" s="9">
        <f>B798-B797</f>
        <v>-1.3899999999999864</v>
      </c>
      <c r="E798" s="9">
        <f>C798-C797</f>
        <v>-5.1800000000000637</v>
      </c>
      <c r="F798" s="3">
        <f>F$1/B798</f>
        <v>564.39778756067278</v>
      </c>
      <c r="G798" s="3">
        <f>F$1/C798</f>
        <v>176.11835153222967</v>
      </c>
      <c r="H798" s="2">
        <f>D798*F797</f>
        <v>-778.4062272498104</v>
      </c>
      <c r="I798" s="2">
        <f>E798*G797</f>
        <v>-904.04551642292279</v>
      </c>
      <c r="J798" s="2">
        <f>I798-H798</f>
        <v>-125.63928917311239</v>
      </c>
      <c r="K798" s="2">
        <f t="shared" si="102"/>
        <v>125.63928917311239</v>
      </c>
      <c r="L798" s="3">
        <f>C798/B798</f>
        <v>3.2046506377694994</v>
      </c>
      <c r="M798" s="3">
        <f t="shared" si="105"/>
        <v>3.2045799729152562</v>
      </c>
      <c r="N798" s="3">
        <f t="shared" si="109"/>
        <v>3.2035510565889354</v>
      </c>
      <c r="O798" s="3">
        <f t="shared" si="101"/>
        <v>3.2061717411110702</v>
      </c>
      <c r="P798" s="3">
        <f t="shared" si="103"/>
        <v>3.1693106471890196</v>
      </c>
      <c r="Q798" s="4" t="str">
        <f t="shared" si="108"/>
        <v>OVER</v>
      </c>
      <c r="R798" s="4" t="str">
        <f t="shared" si="108"/>
        <v>OVER</v>
      </c>
      <c r="S798" s="4" t="str">
        <f t="shared" si="106"/>
        <v>UNDER</v>
      </c>
      <c r="T798" s="4" t="str">
        <f t="shared" si="106"/>
        <v>OVER</v>
      </c>
      <c r="U798" s="2">
        <f>IF(Q798="OVER",$J798,$K798)</f>
        <v>-125.63928917311239</v>
      </c>
      <c r="V798" s="2">
        <f>IF(R798="OVER",$J798,$K798)</f>
        <v>-125.63928917311239</v>
      </c>
      <c r="W798" s="2">
        <f>IF(S798="OVER",$J798,$K798)</f>
        <v>125.63928917311239</v>
      </c>
      <c r="X798" s="2">
        <f>IF(T798="OVER",$J798,$K798)</f>
        <v>-125.63928917311239</v>
      </c>
      <c r="Y798" s="9">
        <f t="shared" si="107"/>
        <v>-5968.6265004228535</v>
      </c>
      <c r="Z798" s="9">
        <f t="shared" si="107"/>
        <v>9805.1539471179149</v>
      </c>
      <c r="AA798" s="9">
        <f t="shared" si="107"/>
        <v>47745.380839261248</v>
      </c>
      <c r="AB798" s="9">
        <f t="shared" si="104"/>
        <v>17466.378313237285</v>
      </c>
    </row>
    <row r="799" spans="1:28" x14ac:dyDescent="0.3">
      <c r="A799" s="1">
        <v>45573</v>
      </c>
      <c r="B799" s="2">
        <v>177.6</v>
      </c>
      <c r="C799" s="2">
        <v>573.16999999999996</v>
      </c>
      <c r="D799" s="9">
        <f>B799-B798</f>
        <v>0.41999999999998749</v>
      </c>
      <c r="E799" s="9">
        <f>C799-C798</f>
        <v>5.3700000000000045</v>
      </c>
      <c r="F799" s="3">
        <f>F$1/B799</f>
        <v>563.06306306306305</v>
      </c>
      <c r="G799" s="3">
        <f>F$1/C799</f>
        <v>174.46830783188236</v>
      </c>
      <c r="H799" s="2">
        <f>D799*F798</f>
        <v>237.0470707754755</v>
      </c>
      <c r="I799" s="2">
        <f>E799*G798</f>
        <v>945.75554772807413</v>
      </c>
      <c r="J799" s="2">
        <f>I799-H799</f>
        <v>708.70847695259863</v>
      </c>
      <c r="K799" s="2">
        <f t="shared" si="102"/>
        <v>-708.70847695259863</v>
      </c>
      <c r="L799" s="3">
        <f>C799/B799</f>
        <v>3.2273085585585584</v>
      </c>
      <c r="M799" s="3">
        <f t="shared" si="105"/>
        <v>3.2061934098514335</v>
      </c>
      <c r="N799" s="3">
        <f t="shared" si="109"/>
        <v>3.2055697946213924</v>
      </c>
      <c r="O799" s="3">
        <f t="shared" si="101"/>
        <v>3.2066171886251253</v>
      </c>
      <c r="P799" s="3">
        <f t="shared" si="103"/>
        <v>3.1703009873682788</v>
      </c>
      <c r="Q799" s="4" t="str">
        <f t="shared" si="108"/>
        <v>OVER</v>
      </c>
      <c r="R799" s="4" t="str">
        <f t="shared" si="108"/>
        <v>OVER</v>
      </c>
      <c r="S799" s="4" t="str">
        <f t="shared" si="106"/>
        <v>OVER</v>
      </c>
      <c r="T799" s="4" t="str">
        <f t="shared" si="106"/>
        <v>OVER</v>
      </c>
      <c r="U799" s="2">
        <f>IF(Q799="OVER",$J799,$K799)</f>
        <v>708.70847695259863</v>
      </c>
      <c r="V799" s="2">
        <f>IF(R799="OVER",$J799,$K799)</f>
        <v>708.70847695259863</v>
      </c>
      <c r="W799" s="2">
        <f>IF(S799="OVER",$J799,$K799)</f>
        <v>708.70847695259863</v>
      </c>
      <c r="X799" s="2">
        <f>IF(T799="OVER",$J799,$K799)</f>
        <v>708.70847695259863</v>
      </c>
      <c r="Y799" s="9">
        <f t="shared" si="107"/>
        <v>-5259.9180234702544</v>
      </c>
      <c r="Z799" s="9">
        <f t="shared" si="107"/>
        <v>10513.862424070514</v>
      </c>
      <c r="AA799" s="9">
        <f t="shared" si="107"/>
        <v>48454.089316213845</v>
      </c>
      <c r="AB799" s="9">
        <f t="shared" si="104"/>
        <v>18175.086790189882</v>
      </c>
    </row>
    <row r="800" spans="1:28" x14ac:dyDescent="0.3">
      <c r="A800" s="1">
        <v>45574</v>
      </c>
      <c r="B800" s="2">
        <v>178.82</v>
      </c>
      <c r="C800" s="2">
        <v>577.14</v>
      </c>
      <c r="D800" s="9">
        <f>B800-B799</f>
        <v>1.2199999999999989</v>
      </c>
      <c r="E800" s="9">
        <f>C800-C799</f>
        <v>3.9700000000000273</v>
      </c>
      <c r="F800" s="3">
        <f>F$1/B800</f>
        <v>559.22156358349184</v>
      </c>
      <c r="G800" s="3">
        <f>F$1/C800</f>
        <v>173.26818449596286</v>
      </c>
      <c r="H800" s="2">
        <f>D800*F799</f>
        <v>686.93693693693626</v>
      </c>
      <c r="I800" s="2">
        <f>E800*G799</f>
        <v>692.6391820925777</v>
      </c>
      <c r="J800" s="2">
        <f>I800-H800</f>
        <v>5.7022451556414353</v>
      </c>
      <c r="K800" s="2">
        <f t="shared" si="102"/>
        <v>-5.7022451556414353</v>
      </c>
      <c r="L800" s="3">
        <f>C800/B800</f>
        <v>3.2274913320657643</v>
      </c>
      <c r="M800" s="3">
        <f t="shared" si="105"/>
        <v>3.2065399640183636</v>
      </c>
      <c r="N800" s="3">
        <f t="shared" si="109"/>
        <v>3.2060376976537506</v>
      </c>
      <c r="O800" s="3">
        <f t="shared" si="101"/>
        <v>3.2076972570838773</v>
      </c>
      <c r="P800" s="3">
        <f t="shared" si="103"/>
        <v>3.17133427736194</v>
      </c>
      <c r="Q800" s="4" t="str">
        <f t="shared" si="108"/>
        <v>OVER</v>
      </c>
      <c r="R800" s="4" t="str">
        <f t="shared" si="108"/>
        <v>OVER</v>
      </c>
      <c r="S800" s="4" t="str">
        <f t="shared" si="106"/>
        <v>OVER</v>
      </c>
      <c r="T800" s="4" t="str">
        <f t="shared" si="106"/>
        <v>OVER</v>
      </c>
      <c r="U800" s="2">
        <f>IF(Q800="OVER",$J800,$K800)</f>
        <v>5.7022451556414353</v>
      </c>
      <c r="V800" s="2">
        <f>IF(R800="OVER",$J800,$K800)</f>
        <v>5.7022451556414353</v>
      </c>
      <c r="W800" s="2">
        <f>IF(S800="OVER",$J800,$K800)</f>
        <v>5.7022451556414353</v>
      </c>
      <c r="X800" s="2">
        <f>IF(T800="OVER",$J800,$K800)</f>
        <v>5.7022451556414353</v>
      </c>
      <c r="Y800" s="9">
        <f t="shared" si="107"/>
        <v>-5254.2157783146131</v>
      </c>
      <c r="Z800" s="9">
        <f t="shared" si="107"/>
        <v>10519.564669226156</v>
      </c>
      <c r="AA800" s="9">
        <f t="shared" si="107"/>
        <v>48459.791561369486</v>
      </c>
      <c r="AB800" s="9">
        <f t="shared" si="104"/>
        <v>18180.789035345522</v>
      </c>
    </row>
    <row r="801" spans="1:28" x14ac:dyDescent="0.3">
      <c r="A801" s="1">
        <v>45575</v>
      </c>
      <c r="B801" s="2">
        <v>178.15</v>
      </c>
      <c r="C801" s="2">
        <v>576.13</v>
      </c>
      <c r="D801" s="9">
        <f>B801-B800</f>
        <v>-0.66999999999998749</v>
      </c>
      <c r="E801" s="9">
        <f>C801-C800</f>
        <v>-1.0099999999999909</v>
      </c>
      <c r="F801" s="3">
        <f>F$1/B801</f>
        <v>561.32472635419583</v>
      </c>
      <c r="G801" s="3">
        <f>F$1/C801</f>
        <v>173.57193688924374</v>
      </c>
      <c r="H801" s="2">
        <f>D801*F800</f>
        <v>-374.67844760093254</v>
      </c>
      <c r="I801" s="2">
        <f>E801*G800</f>
        <v>-175.00086634092091</v>
      </c>
      <c r="J801" s="2">
        <f>I801-H801</f>
        <v>199.67758126001164</v>
      </c>
      <c r="K801" s="2">
        <f t="shared" si="102"/>
        <v>-199.67758126001164</v>
      </c>
      <c r="L801" s="3">
        <f>C801/B801</f>
        <v>3.2339601459444287</v>
      </c>
      <c r="M801" s="3">
        <f t="shared" si="105"/>
        <v>3.2089420922478951</v>
      </c>
      <c r="N801" s="3">
        <f t="shared" si="109"/>
        <v>3.2064752492255608</v>
      </c>
      <c r="O801" s="3">
        <f t="shared" si="101"/>
        <v>3.2081794903057959</v>
      </c>
      <c r="P801" s="3">
        <f t="shared" si="103"/>
        <v>3.1724206439154954</v>
      </c>
      <c r="Q801" s="4" t="str">
        <f t="shared" si="108"/>
        <v>OVER</v>
      </c>
      <c r="R801" s="4" t="str">
        <f t="shared" si="108"/>
        <v>OVER</v>
      </c>
      <c r="S801" s="4" t="str">
        <f t="shared" si="106"/>
        <v>OVER</v>
      </c>
      <c r="T801" s="4" t="str">
        <f t="shared" si="106"/>
        <v>OVER</v>
      </c>
      <c r="U801" s="2">
        <f>IF(Q801="OVER",$J801,$K801)</f>
        <v>199.67758126001164</v>
      </c>
      <c r="V801" s="2">
        <f>IF(R801="OVER",$J801,$K801)</f>
        <v>199.67758126001164</v>
      </c>
      <c r="W801" s="2">
        <f>IF(S801="OVER",$J801,$K801)</f>
        <v>199.67758126001164</v>
      </c>
      <c r="X801" s="2">
        <f>IF(T801="OVER",$J801,$K801)</f>
        <v>199.67758126001164</v>
      </c>
      <c r="Y801" s="9">
        <f t="shared" si="107"/>
        <v>-5054.5381970546014</v>
      </c>
      <c r="Z801" s="9">
        <f t="shared" si="107"/>
        <v>10719.242250486168</v>
      </c>
      <c r="AA801" s="9">
        <f t="shared" si="107"/>
        <v>48659.469142629496</v>
      </c>
      <c r="AB801" s="9">
        <f t="shared" si="104"/>
        <v>18380.466616605532</v>
      </c>
    </row>
    <row r="802" spans="1:28" x14ac:dyDescent="0.3">
      <c r="A802" s="1">
        <v>45576</v>
      </c>
      <c r="B802" s="2">
        <v>179.9</v>
      </c>
      <c r="C802" s="2">
        <v>579.58000000000004</v>
      </c>
      <c r="D802" s="9">
        <f>B802-B801</f>
        <v>1.75</v>
      </c>
      <c r="E802" s="9">
        <f>C802-C801</f>
        <v>3.4500000000000455</v>
      </c>
      <c r="F802" s="3">
        <f>F$1/B802</f>
        <v>555.86436909394104</v>
      </c>
      <c r="G802" s="3">
        <f>F$1/C802</f>
        <v>172.53873494599537</v>
      </c>
      <c r="H802" s="2">
        <f>D802*F801</f>
        <v>982.31827111984273</v>
      </c>
      <c r="I802" s="2">
        <f>E802*G801</f>
        <v>598.8231822678988</v>
      </c>
      <c r="J802" s="2">
        <f>I802-H802</f>
        <v>-383.49508885194393</v>
      </c>
      <c r="K802" s="2">
        <f t="shared" si="102"/>
        <v>383.49508885194393</v>
      </c>
      <c r="L802" s="3">
        <f>C802/B802</f>
        <v>3.2216787103946638</v>
      </c>
      <c r="M802" s="3">
        <f t="shared" si="105"/>
        <v>3.2117280821047762</v>
      </c>
      <c r="N802" s="3">
        <f t="shared" si="109"/>
        <v>3.2069940741801828</v>
      </c>
      <c r="O802" s="3">
        <f t="shared" si="101"/>
        <v>3.2086128287897218</v>
      </c>
      <c r="P802" s="3">
        <f t="shared" si="103"/>
        <v>3.1734682433442352</v>
      </c>
      <c r="Q802" s="4" t="str">
        <f t="shared" si="108"/>
        <v>OVER</v>
      </c>
      <c r="R802" s="4" t="str">
        <f t="shared" si="108"/>
        <v>OVER</v>
      </c>
      <c r="S802" s="4" t="str">
        <f t="shared" si="106"/>
        <v>OVER</v>
      </c>
      <c r="T802" s="4" t="str">
        <f t="shared" si="106"/>
        <v>OVER</v>
      </c>
      <c r="U802" s="2">
        <f>IF(Q802="OVER",$J802,$K802)</f>
        <v>-383.49508885194393</v>
      </c>
      <c r="V802" s="2">
        <f>IF(R802="OVER",$J802,$K802)</f>
        <v>-383.49508885194393</v>
      </c>
      <c r="W802" s="2">
        <f>IF(S802="OVER",$J802,$K802)</f>
        <v>-383.49508885194393</v>
      </c>
      <c r="X802" s="2">
        <f>IF(T802="OVER",$J802,$K802)</f>
        <v>-383.49508885194393</v>
      </c>
      <c r="Y802" s="9">
        <f t="shared" si="107"/>
        <v>-5438.0332859065456</v>
      </c>
      <c r="Z802" s="9">
        <f t="shared" si="107"/>
        <v>10335.747161634225</v>
      </c>
      <c r="AA802" s="9">
        <f t="shared" si="107"/>
        <v>48275.974053777551</v>
      </c>
      <c r="AB802" s="9">
        <f t="shared" si="104"/>
        <v>17996.971527753587</v>
      </c>
    </row>
    <row r="803" spans="1:28" x14ac:dyDescent="0.3">
      <c r="A803" s="1">
        <v>45579</v>
      </c>
      <c r="B803" s="2">
        <v>181.22</v>
      </c>
      <c r="C803" s="2">
        <v>584.32000000000005</v>
      </c>
      <c r="D803" s="9">
        <f>B803-B802</f>
        <v>1.3199999999999932</v>
      </c>
      <c r="E803" s="9">
        <f>C803-C802</f>
        <v>4.7400000000000091</v>
      </c>
      <c r="F803" s="3">
        <f>F$1/B803</f>
        <v>551.81547290586025</v>
      </c>
      <c r="G803" s="3">
        <f>F$1/C803</f>
        <v>171.13910186199342</v>
      </c>
      <c r="H803" s="2">
        <f>D803*F802</f>
        <v>733.74096720399837</v>
      </c>
      <c r="I803" s="2">
        <f>E803*G802</f>
        <v>817.8336036440196</v>
      </c>
      <c r="J803" s="2">
        <f>I803-H803</f>
        <v>84.092636440021238</v>
      </c>
      <c r="K803" s="2">
        <f t="shared" si="102"/>
        <v>-84.092636440021238</v>
      </c>
      <c r="L803" s="3">
        <f>C803/B803</f>
        <v>3.224368171283523</v>
      </c>
      <c r="M803" s="3">
        <f t="shared" si="105"/>
        <v>3.2139148434170979</v>
      </c>
      <c r="N803" s="3">
        <f t="shared" si="109"/>
        <v>3.2085687341625579</v>
      </c>
      <c r="O803" s="3">
        <f t="shared" si="101"/>
        <v>3.209191815409012</v>
      </c>
      <c r="P803" s="3">
        <f t="shared" si="103"/>
        <v>3.1745163780131294</v>
      </c>
      <c r="Q803" s="4" t="str">
        <f t="shared" si="108"/>
        <v>OVER</v>
      </c>
      <c r="R803" s="4" t="str">
        <f t="shared" si="108"/>
        <v>OVER</v>
      </c>
      <c r="S803" s="4" t="str">
        <f t="shared" si="106"/>
        <v>OVER</v>
      </c>
      <c r="T803" s="4" t="str">
        <f t="shared" si="106"/>
        <v>OVER</v>
      </c>
      <c r="U803" s="2">
        <f>IF(Q803="OVER",$J803,$K803)</f>
        <v>84.092636440021238</v>
      </c>
      <c r="V803" s="2">
        <f>IF(R803="OVER",$J803,$K803)</f>
        <v>84.092636440021238</v>
      </c>
      <c r="W803" s="2">
        <f>IF(S803="OVER",$J803,$K803)</f>
        <v>84.092636440021238</v>
      </c>
      <c r="X803" s="2">
        <f>IF(T803="OVER",$J803,$K803)</f>
        <v>84.092636440021238</v>
      </c>
      <c r="Y803" s="9">
        <f t="shared" si="107"/>
        <v>-5353.9406494665245</v>
      </c>
      <c r="Z803" s="9">
        <f t="shared" si="107"/>
        <v>10419.839798074247</v>
      </c>
      <c r="AA803" s="9">
        <f t="shared" si="107"/>
        <v>48360.066690217573</v>
      </c>
      <c r="AB803" s="9">
        <f t="shared" si="104"/>
        <v>18081.064164193609</v>
      </c>
    </row>
    <row r="804" spans="1:28" x14ac:dyDescent="0.3">
      <c r="A804" s="1">
        <v>45580</v>
      </c>
      <c r="B804" s="2">
        <v>180.4</v>
      </c>
      <c r="C804" s="2">
        <v>579.78</v>
      </c>
      <c r="D804" s="9">
        <f>B804-B803</f>
        <v>-0.81999999999999318</v>
      </c>
      <c r="E804" s="9">
        <f>C804-C803</f>
        <v>-4.5400000000000773</v>
      </c>
      <c r="F804" s="3">
        <f>F$1/B804</f>
        <v>554.32372505543231</v>
      </c>
      <c r="G804" s="3">
        <f>F$1/C804</f>
        <v>172.47921625444135</v>
      </c>
      <c r="H804" s="2">
        <f>D804*F803</f>
        <v>-452.48868778280166</v>
      </c>
      <c r="I804" s="2">
        <f>E804*G803</f>
        <v>-776.97152245346342</v>
      </c>
      <c r="J804" s="2">
        <f>I804-H804</f>
        <v>-324.48283467066176</v>
      </c>
      <c r="K804" s="2">
        <f t="shared" si="102"/>
        <v>324.48283467066176</v>
      </c>
      <c r="L804" s="3">
        <f>C804/B804</f>
        <v>3.2138580931263854</v>
      </c>
      <c r="M804" s="3">
        <f t="shared" si="105"/>
        <v>3.2162276489701269</v>
      </c>
      <c r="N804" s="3">
        <f t="shared" si="109"/>
        <v>3.209787865169845</v>
      </c>
      <c r="O804" s="3">
        <f t="shared" si="101"/>
        <v>3.2099204911203389</v>
      </c>
      <c r="P804" s="3">
        <f t="shared" si="103"/>
        <v>3.1755395855294521</v>
      </c>
      <c r="Q804" s="4" t="str">
        <f t="shared" si="108"/>
        <v>OVER</v>
      </c>
      <c r="R804" s="4" t="str">
        <f t="shared" si="108"/>
        <v>OVER</v>
      </c>
      <c r="S804" s="4" t="str">
        <f t="shared" si="106"/>
        <v>OVER</v>
      </c>
      <c r="T804" s="4" t="str">
        <f t="shared" si="106"/>
        <v>OVER</v>
      </c>
      <c r="U804" s="2">
        <f>IF(Q804="OVER",$J804,$K804)</f>
        <v>-324.48283467066176</v>
      </c>
      <c r="V804" s="2">
        <f>IF(R804="OVER",$J804,$K804)</f>
        <v>-324.48283467066176</v>
      </c>
      <c r="W804" s="2">
        <f>IF(S804="OVER",$J804,$K804)</f>
        <v>-324.48283467066176</v>
      </c>
      <c r="X804" s="2">
        <f>IF(T804="OVER",$J804,$K804)</f>
        <v>-324.48283467066176</v>
      </c>
      <c r="Y804" s="9">
        <f t="shared" si="107"/>
        <v>-5678.4234841371863</v>
      </c>
      <c r="Z804" s="9">
        <f t="shared" si="107"/>
        <v>10095.356963403585</v>
      </c>
      <c r="AA804" s="9">
        <f t="shared" si="107"/>
        <v>48035.583855546909</v>
      </c>
      <c r="AB804" s="9">
        <f t="shared" si="104"/>
        <v>17756.581329522945</v>
      </c>
    </row>
    <row r="805" spans="1:28" x14ac:dyDescent="0.3">
      <c r="A805" s="1">
        <v>45581</v>
      </c>
      <c r="B805" s="2">
        <v>181.62</v>
      </c>
      <c r="C805" s="2">
        <v>582.29999999999995</v>
      </c>
      <c r="D805" s="9">
        <f>B805-B804</f>
        <v>1.2199999999999989</v>
      </c>
      <c r="E805" s="9">
        <f>C805-C804</f>
        <v>2.5199999999999818</v>
      </c>
      <c r="F805" s="3">
        <f>F$1/B805</f>
        <v>550.6001541680431</v>
      </c>
      <c r="G805" s="3">
        <f>F$1/C805</f>
        <v>171.73278378842522</v>
      </c>
      <c r="H805" s="2">
        <f>D805*F804</f>
        <v>676.27494456762679</v>
      </c>
      <c r="I805" s="2">
        <f>E805*G804</f>
        <v>434.64762496118908</v>
      </c>
      <c r="J805" s="2">
        <f>I805-H805</f>
        <v>-241.62731960643771</v>
      </c>
      <c r="K805" s="2">
        <f t="shared" si="102"/>
        <v>241.62731960643771</v>
      </c>
      <c r="L805" s="3">
        <f>C805/B805</f>
        <v>3.2061446977205152</v>
      </c>
      <c r="M805" s="3">
        <f t="shared" si="105"/>
        <v>3.2172937533899715</v>
      </c>
      <c r="N805" s="3">
        <f t="shared" si="109"/>
        <v>3.2107965358427157</v>
      </c>
      <c r="O805" s="3">
        <f t="shared" si="101"/>
        <v>3.2105601023999775</v>
      </c>
      <c r="P805" s="3">
        <f t="shared" si="103"/>
        <v>3.1765097893729348</v>
      </c>
      <c r="Q805" s="4" t="str">
        <f t="shared" si="108"/>
        <v>UNDER</v>
      </c>
      <c r="R805" s="4" t="str">
        <f t="shared" si="108"/>
        <v>OVER</v>
      </c>
      <c r="S805" s="4" t="str">
        <f t="shared" si="106"/>
        <v>UNDER</v>
      </c>
      <c r="T805" s="4" t="str">
        <f t="shared" si="106"/>
        <v>OVER</v>
      </c>
      <c r="U805" s="2">
        <f>IF(Q805="OVER",$J805,$K805)</f>
        <v>241.62731960643771</v>
      </c>
      <c r="V805" s="2">
        <f>IF(R805="OVER",$J805,$K805)</f>
        <v>-241.62731960643771</v>
      </c>
      <c r="W805" s="2">
        <f>IF(S805="OVER",$J805,$K805)</f>
        <v>241.62731960643771</v>
      </c>
      <c r="X805" s="2">
        <f>IF(T805="OVER",$J805,$K805)</f>
        <v>-241.62731960643771</v>
      </c>
      <c r="Y805" s="9">
        <f t="shared" si="107"/>
        <v>-5436.7961645307487</v>
      </c>
      <c r="Z805" s="9">
        <f t="shared" si="107"/>
        <v>9853.7296437971472</v>
      </c>
      <c r="AA805" s="9">
        <f t="shared" si="107"/>
        <v>48277.211175153345</v>
      </c>
      <c r="AB805" s="9">
        <f t="shared" si="104"/>
        <v>17514.954009916506</v>
      </c>
    </row>
    <row r="806" spans="1:28" x14ac:dyDescent="0.3">
      <c r="A806" s="1">
        <v>45582</v>
      </c>
      <c r="B806" s="2">
        <v>181.33</v>
      </c>
      <c r="C806" s="2">
        <v>582.35</v>
      </c>
      <c r="D806" s="9">
        <f>B806-B805</f>
        <v>-0.28999999999999204</v>
      </c>
      <c r="E806" s="9">
        <f>C806-C805</f>
        <v>5.0000000000068212E-2</v>
      </c>
      <c r="F806" s="3">
        <f>F$1/B806</f>
        <v>551.480725748635</v>
      </c>
      <c r="G806" s="3">
        <f>F$1/C806</f>
        <v>171.71803897999484</v>
      </c>
      <c r="H806" s="2">
        <f>D806*F805</f>
        <v>-159.67404470872813</v>
      </c>
      <c r="I806" s="2">
        <f>E806*G805</f>
        <v>8.5866391894329759</v>
      </c>
      <c r="J806" s="2">
        <f>I806-H806</f>
        <v>168.26068389816112</v>
      </c>
      <c r="K806" s="2">
        <f t="shared" si="102"/>
        <v>-168.26068389816112</v>
      </c>
      <c r="L806" s="3">
        <f>C806/B806</f>
        <v>3.2115480063971762</v>
      </c>
      <c r="M806" s="3">
        <f t="shared" si="105"/>
        <v>3.2179722022969868</v>
      </c>
      <c r="N806" s="3">
        <f t="shared" si="109"/>
        <v>3.2110673496052167</v>
      </c>
      <c r="O806" s="3">
        <f t="shared" si="101"/>
        <v>3.2112842668869264</v>
      </c>
      <c r="P806" s="3">
        <f t="shared" si="103"/>
        <v>3.1775960374822096</v>
      </c>
      <c r="Q806" s="4" t="str">
        <f t="shared" si="108"/>
        <v>UNDER</v>
      </c>
      <c r="R806" s="4" t="str">
        <f t="shared" si="108"/>
        <v>UNDER</v>
      </c>
      <c r="S806" s="4" t="str">
        <f t="shared" si="106"/>
        <v>OVER</v>
      </c>
      <c r="T806" s="4" t="str">
        <f t="shared" si="106"/>
        <v>OVER</v>
      </c>
      <c r="U806" s="2">
        <f>IF(Q806="OVER",$J806,$K806)</f>
        <v>-168.26068389816112</v>
      </c>
      <c r="V806" s="2">
        <f>IF(R806="OVER",$J806,$K806)</f>
        <v>-168.26068389816112</v>
      </c>
      <c r="W806" s="2">
        <f>IF(S806="OVER",$J806,$K806)</f>
        <v>168.26068389816112</v>
      </c>
      <c r="X806" s="2">
        <f>IF(T806="OVER",$J806,$K806)</f>
        <v>168.26068389816112</v>
      </c>
      <c r="Y806" s="9">
        <f t="shared" si="107"/>
        <v>-5605.0568484289097</v>
      </c>
      <c r="Z806" s="9">
        <f t="shared" si="107"/>
        <v>9685.4689598989862</v>
      </c>
      <c r="AA806" s="9">
        <f t="shared" si="107"/>
        <v>48445.471859051504</v>
      </c>
      <c r="AB806" s="9">
        <f t="shared" si="104"/>
        <v>17683.214693814669</v>
      </c>
    </row>
    <row r="807" spans="1:28" x14ac:dyDescent="0.3">
      <c r="A807" s="1">
        <v>45583</v>
      </c>
      <c r="B807" s="2">
        <v>181.87</v>
      </c>
      <c r="C807" s="2">
        <v>584.59</v>
      </c>
      <c r="D807" s="9">
        <f>B807-B806</f>
        <v>0.53999999999999204</v>
      </c>
      <c r="E807" s="9">
        <f>C807-C806</f>
        <v>2.2400000000000091</v>
      </c>
      <c r="F807" s="3">
        <f>F$1/B807</f>
        <v>549.84329466102156</v>
      </c>
      <c r="G807" s="3">
        <f>F$1/C807</f>
        <v>171.06005918678048</v>
      </c>
      <c r="H807" s="2">
        <f>D807*F806</f>
        <v>297.79959190425853</v>
      </c>
      <c r="I807" s="2">
        <f>E807*G806</f>
        <v>384.64840731519001</v>
      </c>
      <c r="J807" s="2">
        <f>I807-H807</f>
        <v>86.848815410931479</v>
      </c>
      <c r="K807" s="2">
        <f t="shared" si="102"/>
        <v>-86.848815410931479</v>
      </c>
      <c r="L807" s="3">
        <f>C807/B807</f>
        <v>3.2143289162588662</v>
      </c>
      <c r="M807" s="3">
        <f t="shared" si="105"/>
        <v>3.2185337269519381</v>
      </c>
      <c r="N807" s="3">
        <f t="shared" si="109"/>
        <v>3.2116592462747873</v>
      </c>
      <c r="O807" s="3">
        <f t="shared" si="101"/>
        <v>3.211752444731045</v>
      </c>
      <c r="P807" s="3">
        <f t="shared" si="103"/>
        <v>3.1785959871046567</v>
      </c>
      <c r="Q807" s="4" t="str">
        <f t="shared" si="108"/>
        <v>UNDER</v>
      </c>
      <c r="R807" s="4" t="str">
        <f t="shared" si="108"/>
        <v>OVER</v>
      </c>
      <c r="S807" s="4" t="str">
        <f t="shared" si="106"/>
        <v>OVER</v>
      </c>
      <c r="T807" s="4" t="str">
        <f t="shared" si="106"/>
        <v>OVER</v>
      </c>
      <c r="U807" s="2">
        <f>IF(Q807="OVER",$J807,$K807)</f>
        <v>-86.848815410931479</v>
      </c>
      <c r="V807" s="2">
        <f>IF(R807="OVER",$J807,$K807)</f>
        <v>86.848815410931479</v>
      </c>
      <c r="W807" s="2">
        <f>IF(S807="OVER",$J807,$K807)</f>
        <v>86.848815410931479</v>
      </c>
      <c r="X807" s="2">
        <f>IF(T807="OVER",$J807,$K807)</f>
        <v>86.848815410931479</v>
      </c>
      <c r="Y807" s="9">
        <f t="shared" si="107"/>
        <v>-5691.9056638398415</v>
      </c>
      <c r="Z807" s="9">
        <f t="shared" si="107"/>
        <v>9772.3177753099171</v>
      </c>
      <c r="AA807" s="9">
        <f t="shared" si="107"/>
        <v>48532.320674462433</v>
      </c>
      <c r="AB807" s="9">
        <f t="shared" si="104"/>
        <v>17770.063509225602</v>
      </c>
    </row>
    <row r="808" spans="1:28" x14ac:dyDescent="0.3">
      <c r="A808" s="1">
        <v>45586</v>
      </c>
      <c r="B808" s="2">
        <v>180.32</v>
      </c>
      <c r="C808" s="2">
        <v>583.63</v>
      </c>
      <c r="D808" s="9">
        <f>B808-B807</f>
        <v>-1.5500000000000114</v>
      </c>
      <c r="E808" s="9">
        <f>C808-C807</f>
        <v>-0.96000000000003638</v>
      </c>
      <c r="F808" s="3">
        <f>F$1/B808</f>
        <v>554.56965394853592</v>
      </c>
      <c r="G808" s="3">
        <f>F$1/C808</f>
        <v>171.34143207168927</v>
      </c>
      <c r="H808" s="2">
        <f>D808*F807</f>
        <v>-852.25710672458968</v>
      </c>
      <c r="I808" s="2">
        <f>E808*G807</f>
        <v>-164.21765681931549</v>
      </c>
      <c r="J808" s="2">
        <f>I808-H808</f>
        <v>688.03944990527418</v>
      </c>
      <c r="K808" s="2">
        <f t="shared" si="102"/>
        <v>-688.03944990527418</v>
      </c>
      <c r="L808" s="3">
        <f>C808/B808</f>
        <v>3.2366348713398403</v>
      </c>
      <c r="M808" s="3">
        <f t="shared" si="105"/>
        <v>3.2217321503089722</v>
      </c>
      <c r="N808" s="3">
        <f t="shared" si="109"/>
        <v>3.2131560616121142</v>
      </c>
      <c r="O808" s="3">
        <f t="shared" si="101"/>
        <v>3.2125199456381899</v>
      </c>
      <c r="P808" s="3">
        <f t="shared" si="103"/>
        <v>3.1797308553941126</v>
      </c>
      <c r="Q808" s="4" t="str">
        <f t="shared" si="108"/>
        <v>UNDER</v>
      </c>
      <c r="R808" s="4" t="str">
        <f t="shared" si="108"/>
        <v>OVER</v>
      </c>
      <c r="S808" s="4" t="str">
        <f t="shared" si="106"/>
        <v>OVER</v>
      </c>
      <c r="T808" s="4" t="str">
        <f t="shared" si="106"/>
        <v>OVER</v>
      </c>
      <c r="U808" s="2">
        <f>IF(Q808="OVER",$J808,$K808)</f>
        <v>-688.03944990527418</v>
      </c>
      <c r="V808" s="2">
        <f>IF(R808="OVER",$J808,$K808)</f>
        <v>688.03944990527418</v>
      </c>
      <c r="W808" s="2">
        <f>IF(S808="OVER",$J808,$K808)</f>
        <v>688.03944990527418</v>
      </c>
      <c r="X808" s="2">
        <f>IF(T808="OVER",$J808,$K808)</f>
        <v>688.03944990527418</v>
      </c>
      <c r="Y808" s="9">
        <f t="shared" si="107"/>
        <v>-6379.945113745116</v>
      </c>
      <c r="Z808" s="9">
        <f t="shared" si="107"/>
        <v>10460.357225215192</v>
      </c>
      <c r="AA808" s="9">
        <f t="shared" si="107"/>
        <v>49220.360124367704</v>
      </c>
      <c r="AB808" s="9">
        <f t="shared" si="104"/>
        <v>18458.102959130876</v>
      </c>
    </row>
    <row r="809" spans="1:28" x14ac:dyDescent="0.3">
      <c r="A809" s="1">
        <v>45587</v>
      </c>
      <c r="B809" s="2">
        <v>179.51</v>
      </c>
      <c r="C809" s="2">
        <v>583.32000000000005</v>
      </c>
      <c r="D809" s="9">
        <f>B809-B808</f>
        <v>-0.81000000000000227</v>
      </c>
      <c r="E809" s="9">
        <f>C809-C808</f>
        <v>-0.30999999999994543</v>
      </c>
      <c r="F809" s="3">
        <f>F$1/B809</f>
        <v>557.07202941340313</v>
      </c>
      <c r="G809" s="3">
        <f>F$1/C809</f>
        <v>171.43248988548308</v>
      </c>
      <c r="H809" s="2">
        <f>D809*F808</f>
        <v>-449.20141969831536</v>
      </c>
      <c r="I809" s="2">
        <f>E809*G808</f>
        <v>-53.115843942214326</v>
      </c>
      <c r="J809" s="2">
        <f>I809-H809</f>
        <v>396.08557575610104</v>
      </c>
      <c r="K809" s="2">
        <f t="shared" si="102"/>
        <v>-396.08557575610104</v>
      </c>
      <c r="L809" s="3">
        <f>C809/B809</f>
        <v>3.2495125619742637</v>
      </c>
      <c r="M809" s="3">
        <f t="shared" si="105"/>
        <v>3.2239525506505431</v>
      </c>
      <c r="N809" s="3">
        <f t="shared" si="109"/>
        <v>3.2150729802509881</v>
      </c>
      <c r="O809" s="3">
        <f t="shared" si="101"/>
        <v>3.2132026900944375</v>
      </c>
      <c r="P809" s="3">
        <f t="shared" si="103"/>
        <v>3.1809530505333141</v>
      </c>
      <c r="Q809" s="4" t="str">
        <f t="shared" si="108"/>
        <v>OVER</v>
      </c>
      <c r="R809" s="4" t="str">
        <f t="shared" si="108"/>
        <v>OVER</v>
      </c>
      <c r="S809" s="4" t="str">
        <f t="shared" si="106"/>
        <v>OVER</v>
      </c>
      <c r="T809" s="4" t="str">
        <f t="shared" si="106"/>
        <v>OVER</v>
      </c>
      <c r="U809" s="2">
        <f>IF(Q809="OVER",$J809,$K809)</f>
        <v>396.08557575610104</v>
      </c>
      <c r="V809" s="2">
        <f>IF(R809="OVER",$J809,$K809)</f>
        <v>396.08557575610104</v>
      </c>
      <c r="W809" s="2">
        <f>IF(S809="OVER",$J809,$K809)</f>
        <v>396.08557575610104</v>
      </c>
      <c r="X809" s="2">
        <f>IF(T809="OVER",$J809,$K809)</f>
        <v>396.08557575610104</v>
      </c>
      <c r="Y809" s="9">
        <f t="shared" si="107"/>
        <v>-5983.8595379890148</v>
      </c>
      <c r="Z809" s="9">
        <f t="shared" si="107"/>
        <v>10856.442800971292</v>
      </c>
      <c r="AA809" s="9">
        <f t="shared" si="107"/>
        <v>49616.445700123804</v>
      </c>
      <c r="AB809" s="9">
        <f t="shared" si="104"/>
        <v>18854.188534886976</v>
      </c>
    </row>
    <row r="810" spans="1:28" x14ac:dyDescent="0.3">
      <c r="A810" s="1">
        <v>45588</v>
      </c>
      <c r="B810" s="2">
        <v>178.92</v>
      </c>
      <c r="C810" s="2">
        <v>577.99</v>
      </c>
      <c r="D810" s="9">
        <f>B810-B809</f>
        <v>-0.59000000000000341</v>
      </c>
      <c r="E810" s="9">
        <f>C810-C809</f>
        <v>-5.3300000000000409</v>
      </c>
      <c r="F810" s="3">
        <f>F$1/B810</f>
        <v>558.90900961323496</v>
      </c>
      <c r="G810" s="3">
        <f>F$1/C810</f>
        <v>173.01337393380507</v>
      </c>
      <c r="H810" s="2">
        <f>D810*F809</f>
        <v>-328.67249735390976</v>
      </c>
      <c r="I810" s="2">
        <f>E810*G809</f>
        <v>-913.73517108963188</v>
      </c>
      <c r="J810" s="2">
        <f>I810-H810</f>
        <v>-585.06267373572211</v>
      </c>
      <c r="K810" s="2">
        <f t="shared" si="102"/>
        <v>585.06267373572211</v>
      </c>
      <c r="L810" s="3">
        <f>C810/B810</f>
        <v>3.2304381846635373</v>
      </c>
      <c r="M810" s="3">
        <f t="shared" si="105"/>
        <v>3.2242472359103203</v>
      </c>
      <c r="N810" s="3">
        <f t="shared" si="109"/>
        <v>3.2153935999643415</v>
      </c>
      <c r="O810" s="3">
        <f t="shared" si="101"/>
        <v>3.2131828619193401</v>
      </c>
      <c r="P810" s="3">
        <f t="shared" si="103"/>
        <v>3.1820270866720337</v>
      </c>
      <c r="Q810" s="4" t="str">
        <f t="shared" si="108"/>
        <v>OVER</v>
      </c>
      <c r="R810" s="4" t="str">
        <f t="shared" si="108"/>
        <v>OVER</v>
      </c>
      <c r="S810" s="4" t="str">
        <f t="shared" si="106"/>
        <v>OVER</v>
      </c>
      <c r="T810" s="4" t="str">
        <f t="shared" si="106"/>
        <v>OVER</v>
      </c>
      <c r="U810" s="2">
        <f>IF(Q810="OVER",$J810,$K810)</f>
        <v>-585.06267373572211</v>
      </c>
      <c r="V810" s="2">
        <f>IF(R810="OVER",$J810,$K810)</f>
        <v>-585.06267373572211</v>
      </c>
      <c r="W810" s="2">
        <f>IF(S810="OVER",$J810,$K810)</f>
        <v>-585.06267373572211</v>
      </c>
      <c r="X810" s="2">
        <f>IF(T810="OVER",$J810,$K810)</f>
        <v>-585.06267373572211</v>
      </c>
      <c r="Y810" s="9">
        <f t="shared" si="107"/>
        <v>-6568.9222117247373</v>
      </c>
      <c r="Z810" s="9">
        <f t="shared" si="107"/>
        <v>10271.38012723557</v>
      </c>
      <c r="AA810" s="9">
        <f t="shared" si="107"/>
        <v>49031.383026388081</v>
      </c>
      <c r="AB810" s="9">
        <f t="shared" si="104"/>
        <v>18269.125861151253</v>
      </c>
    </row>
    <row r="811" spans="1:28" x14ac:dyDescent="0.3">
      <c r="A811" s="1">
        <v>45589</v>
      </c>
      <c r="B811" s="2">
        <v>178.96</v>
      </c>
      <c r="C811" s="2">
        <v>579.24</v>
      </c>
      <c r="D811" s="9">
        <f>B811-B810</f>
        <v>4.0000000000020464E-2</v>
      </c>
      <c r="E811" s="9">
        <f>C811-C810</f>
        <v>1.25</v>
      </c>
      <c r="F811" s="3">
        <f>F$1/B811</f>
        <v>558.78408582923555</v>
      </c>
      <c r="G811" s="3">
        <f>F$1/C811</f>
        <v>172.6400110489607</v>
      </c>
      <c r="H811" s="2">
        <f>D811*F810</f>
        <v>22.356360384540835</v>
      </c>
      <c r="I811" s="2">
        <f>E811*G810</f>
        <v>216.26671741725633</v>
      </c>
      <c r="J811" s="2">
        <f>I811-H811</f>
        <v>193.9103570327155</v>
      </c>
      <c r="K811" s="2">
        <f t="shared" si="102"/>
        <v>-193.9103570327155</v>
      </c>
      <c r="L811" s="3">
        <f>C811/B811</f>
        <v>3.2367009387572643</v>
      </c>
      <c r="M811" s="3">
        <f t="shared" si="105"/>
        <v>3.2245213151916041</v>
      </c>
      <c r="N811" s="3">
        <f t="shared" si="109"/>
        <v>3.2167317037197494</v>
      </c>
      <c r="O811" s="3">
        <f t="shared" si="101"/>
        <v>3.2132193972034986</v>
      </c>
      <c r="P811" s="3">
        <f t="shared" si="103"/>
        <v>3.1830783905738924</v>
      </c>
      <c r="Q811" s="4" t="str">
        <f t="shared" si="108"/>
        <v>OVER</v>
      </c>
      <c r="R811" s="4" t="str">
        <f t="shared" si="108"/>
        <v>OVER</v>
      </c>
      <c r="S811" s="4" t="str">
        <f t="shared" si="106"/>
        <v>OVER</v>
      </c>
      <c r="T811" s="4" t="str">
        <f t="shared" si="106"/>
        <v>OVER</v>
      </c>
      <c r="U811" s="2">
        <f>IF(Q811="OVER",$J811,$K811)</f>
        <v>193.9103570327155</v>
      </c>
      <c r="V811" s="2">
        <f>IF(R811="OVER",$J811,$K811)</f>
        <v>193.9103570327155</v>
      </c>
      <c r="W811" s="2">
        <f>IF(S811="OVER",$J811,$K811)</f>
        <v>193.9103570327155</v>
      </c>
      <c r="X811" s="2">
        <f>IF(T811="OVER",$J811,$K811)</f>
        <v>193.9103570327155</v>
      </c>
      <c r="Y811" s="9">
        <f t="shared" si="107"/>
        <v>-6375.0118546920221</v>
      </c>
      <c r="Z811" s="9">
        <f t="shared" si="107"/>
        <v>10465.290484268286</v>
      </c>
      <c r="AA811" s="9">
        <f t="shared" si="107"/>
        <v>49225.293383420794</v>
      </c>
      <c r="AB811" s="9">
        <f t="shared" si="104"/>
        <v>18463.03621818397</v>
      </c>
    </row>
    <row r="812" spans="1:28" x14ac:dyDescent="0.3">
      <c r="A812" s="1">
        <v>45590</v>
      </c>
      <c r="B812" s="2">
        <v>178.11</v>
      </c>
      <c r="C812" s="2">
        <v>579.04</v>
      </c>
      <c r="D812" s="9">
        <f>B812-B811</f>
        <v>-0.84999999999999432</v>
      </c>
      <c r="E812" s="9">
        <f>C812-C811</f>
        <v>-0.20000000000004547</v>
      </c>
      <c r="F812" s="3">
        <f>F$1/B812</f>
        <v>561.45078883835822</v>
      </c>
      <c r="G812" s="3">
        <f>F$1/C812</f>
        <v>172.69964078474717</v>
      </c>
      <c r="H812" s="2">
        <f>D812*F811</f>
        <v>-474.96647295484706</v>
      </c>
      <c r="I812" s="2">
        <f>E812*G811</f>
        <v>-34.528002209799993</v>
      </c>
      <c r="J812" s="2">
        <f>I812-H812</f>
        <v>440.43847074504708</v>
      </c>
      <c r="K812" s="2">
        <f t="shared" si="102"/>
        <v>-440.43847074504708</v>
      </c>
      <c r="L812" s="3">
        <f>C812/B812</f>
        <v>3.2510246476896296</v>
      </c>
      <c r="M812" s="3">
        <f t="shared" si="105"/>
        <v>3.2274559089211001</v>
      </c>
      <c r="N812" s="3">
        <f t="shared" si="109"/>
        <v>3.2195919955129382</v>
      </c>
      <c r="O812" s="3">
        <f t="shared" si="101"/>
        <v>3.2133141403187047</v>
      </c>
      <c r="P812" s="3">
        <f t="shared" si="103"/>
        <v>3.1841419294961151</v>
      </c>
      <c r="Q812" s="4" t="str">
        <f t="shared" si="108"/>
        <v>OVER</v>
      </c>
      <c r="R812" s="4" t="str">
        <f t="shared" si="108"/>
        <v>OVER</v>
      </c>
      <c r="S812" s="4" t="str">
        <f t="shared" si="106"/>
        <v>OVER</v>
      </c>
      <c r="T812" s="4" t="str">
        <f t="shared" si="106"/>
        <v>OVER</v>
      </c>
      <c r="U812" s="2">
        <f>IF(Q812="OVER",$J812,$K812)</f>
        <v>440.43847074504708</v>
      </c>
      <c r="V812" s="2">
        <f>IF(R812="OVER",$J812,$K812)</f>
        <v>440.43847074504708</v>
      </c>
      <c r="W812" s="2">
        <f>IF(S812="OVER",$J812,$K812)</f>
        <v>440.43847074504708</v>
      </c>
      <c r="X812" s="2">
        <f>IF(T812="OVER",$J812,$K812)</f>
        <v>440.43847074504708</v>
      </c>
      <c r="Y812" s="9">
        <f t="shared" si="107"/>
        <v>-5934.5733839469749</v>
      </c>
      <c r="Z812" s="9">
        <f t="shared" si="107"/>
        <v>10905.728955013332</v>
      </c>
      <c r="AA812" s="9">
        <f t="shared" si="107"/>
        <v>49665.731854165839</v>
      </c>
      <c r="AB812" s="9">
        <f t="shared" si="104"/>
        <v>18903.474688929018</v>
      </c>
    </row>
    <row r="813" spans="1:28" x14ac:dyDescent="0.3">
      <c r="A813" s="1">
        <v>45593</v>
      </c>
      <c r="B813" s="2">
        <v>179.12</v>
      </c>
      <c r="C813" s="2">
        <v>580.83000000000004</v>
      </c>
      <c r="D813" s="9">
        <f>B813-B812</f>
        <v>1.0099999999999909</v>
      </c>
      <c r="E813" s="9">
        <f>C813-C812</f>
        <v>1.7900000000000773</v>
      </c>
      <c r="F813" s="3">
        <f>F$1/B813</f>
        <v>558.28494863778474</v>
      </c>
      <c r="G813" s="3">
        <f>F$1/C813</f>
        <v>172.16741559492451</v>
      </c>
      <c r="H813" s="2">
        <f>D813*F812</f>
        <v>567.06529672673673</v>
      </c>
      <c r="I813" s="2">
        <f>E813*G812</f>
        <v>309.1323570047108</v>
      </c>
      <c r="J813" s="2">
        <f>I813-H813</f>
        <v>-257.93293972202594</v>
      </c>
      <c r="K813" s="2">
        <f t="shared" si="102"/>
        <v>257.93293972202594</v>
      </c>
      <c r="L813" s="3">
        <f>C813/B813</f>
        <v>3.2426864671728453</v>
      </c>
      <c r="M813" s="3">
        <f t="shared" si="105"/>
        <v>3.2292877385100325</v>
      </c>
      <c r="N813" s="3">
        <f t="shared" si="109"/>
        <v>3.221601290963565</v>
      </c>
      <c r="O813" s="3">
        <f t="shared" si="101"/>
        <v>3.2132527742177306</v>
      </c>
      <c r="P813" s="3">
        <f t="shared" si="103"/>
        <v>3.1851267812693194</v>
      </c>
      <c r="Q813" s="4" t="str">
        <f t="shared" si="108"/>
        <v>OVER</v>
      </c>
      <c r="R813" s="4" t="str">
        <f t="shared" si="108"/>
        <v>OVER</v>
      </c>
      <c r="S813" s="4" t="str">
        <f t="shared" si="106"/>
        <v>OVER</v>
      </c>
      <c r="T813" s="4" t="str">
        <f t="shared" si="106"/>
        <v>OVER</v>
      </c>
      <c r="U813" s="2">
        <f>IF(Q813="OVER",$J813,$K813)</f>
        <v>-257.93293972202594</v>
      </c>
      <c r="V813" s="2">
        <f>IF(R813="OVER",$J813,$K813)</f>
        <v>-257.93293972202594</v>
      </c>
      <c r="W813" s="2">
        <f>IF(S813="OVER",$J813,$K813)</f>
        <v>-257.93293972202594</v>
      </c>
      <c r="X813" s="2">
        <f>IF(T813="OVER",$J813,$K813)</f>
        <v>-257.93293972202594</v>
      </c>
      <c r="Y813" s="9">
        <f t="shared" si="107"/>
        <v>-6192.5063236690012</v>
      </c>
      <c r="Z813" s="9">
        <f t="shared" si="107"/>
        <v>10647.796015291306</v>
      </c>
      <c r="AA813" s="9">
        <f t="shared" si="107"/>
        <v>49407.798914443811</v>
      </c>
      <c r="AB813" s="9">
        <f t="shared" si="104"/>
        <v>18645.541749206994</v>
      </c>
    </row>
    <row r="814" spans="1:28" x14ac:dyDescent="0.3">
      <c r="A814" s="1">
        <v>45594</v>
      </c>
      <c r="B814" s="2">
        <v>178.58</v>
      </c>
      <c r="C814" s="2">
        <v>581.77</v>
      </c>
      <c r="D814" s="9">
        <f>B814-B813</f>
        <v>-0.53999999999999204</v>
      </c>
      <c r="E814" s="9">
        <f>C814-C813</f>
        <v>0.93999999999994088</v>
      </c>
      <c r="F814" s="3">
        <f>F$1/B814</f>
        <v>559.97312129017803</v>
      </c>
      <c r="G814" s="3">
        <f>F$1/C814</f>
        <v>171.88923457723843</v>
      </c>
      <c r="H814" s="2">
        <f>D814*F813</f>
        <v>-301.47387226439929</v>
      </c>
      <c r="I814" s="2">
        <f>E814*G813</f>
        <v>161.83737065921886</v>
      </c>
      <c r="J814" s="2">
        <f>I814-H814</f>
        <v>463.31124292361812</v>
      </c>
      <c r="K814" s="2">
        <f t="shared" si="102"/>
        <v>-463.31124292361812</v>
      </c>
      <c r="L814" s="3">
        <f>C814/B814</f>
        <v>3.2577556277298685</v>
      </c>
      <c r="M814" s="3">
        <f t="shared" si="105"/>
        <v>3.2336774919703806</v>
      </c>
      <c r="N814" s="3">
        <f t="shared" si="109"/>
        <v>3.2249525704702533</v>
      </c>
      <c r="O814" s="3">
        <f t="shared" si="101"/>
        <v>3.2133672080182603</v>
      </c>
      <c r="P814" s="3">
        <f t="shared" si="103"/>
        <v>3.186142249571378</v>
      </c>
      <c r="Q814" s="4" t="str">
        <f t="shared" si="108"/>
        <v>OVER</v>
      </c>
      <c r="R814" s="4" t="str">
        <f t="shared" si="108"/>
        <v>OVER</v>
      </c>
      <c r="S814" s="4" t="str">
        <f t="shared" si="106"/>
        <v>OVER</v>
      </c>
      <c r="T814" s="4" t="str">
        <f t="shared" si="106"/>
        <v>OVER</v>
      </c>
      <c r="U814" s="2">
        <f>IF(Q814="OVER",$J814,$K814)</f>
        <v>463.31124292361812</v>
      </c>
      <c r="V814" s="2">
        <f>IF(R814="OVER",$J814,$K814)</f>
        <v>463.31124292361812</v>
      </c>
      <c r="W814" s="2">
        <f>IF(S814="OVER",$J814,$K814)</f>
        <v>463.31124292361812</v>
      </c>
      <c r="X814" s="2">
        <f>IF(T814="OVER",$J814,$K814)</f>
        <v>463.31124292361812</v>
      </c>
      <c r="Y814" s="9">
        <f t="shared" si="107"/>
        <v>-5729.1950807453832</v>
      </c>
      <c r="Z814" s="9">
        <f t="shared" si="107"/>
        <v>11111.107258214925</v>
      </c>
      <c r="AA814" s="9">
        <f t="shared" si="107"/>
        <v>49871.110157367431</v>
      </c>
      <c r="AB814" s="9">
        <f t="shared" si="104"/>
        <v>19108.852992130611</v>
      </c>
    </row>
    <row r="815" spans="1:28" x14ac:dyDescent="0.3">
      <c r="A815" s="1">
        <v>45595</v>
      </c>
      <c r="B815" s="2">
        <v>178.19</v>
      </c>
      <c r="C815" s="2">
        <v>580.01</v>
      </c>
      <c r="D815" s="9">
        <f>B815-B814</f>
        <v>-0.39000000000001478</v>
      </c>
      <c r="E815" s="9">
        <f>C815-C814</f>
        <v>-1.7599999999999909</v>
      </c>
      <c r="F815" s="3">
        <f>F$1/B815</f>
        <v>561.19872046691739</v>
      </c>
      <c r="G815" s="3">
        <f>F$1/C815</f>
        <v>172.41082050309478</v>
      </c>
      <c r="H815" s="2">
        <f>D815*F814</f>
        <v>-218.38951730317771</v>
      </c>
      <c r="I815" s="2">
        <f>E815*G814</f>
        <v>-302.52505285593804</v>
      </c>
      <c r="J815" s="2">
        <f>I815-H815</f>
        <v>-84.135535552760331</v>
      </c>
      <c r="K815" s="2">
        <f t="shared" si="102"/>
        <v>84.135535552760331</v>
      </c>
      <c r="L815" s="3">
        <f>C815/B815</f>
        <v>3.2550086985801672</v>
      </c>
      <c r="M815" s="3">
        <f t="shared" si="105"/>
        <v>3.2385638920563458</v>
      </c>
      <c r="N815" s="3">
        <f t="shared" si="109"/>
        <v>3.2279288227231584</v>
      </c>
      <c r="O815" s="3">
        <f t="shared" si="101"/>
        <v>3.2132748499011821</v>
      </c>
      <c r="P815" s="3">
        <f t="shared" si="103"/>
        <v>3.1871028986363155</v>
      </c>
      <c r="Q815" s="4" t="str">
        <f t="shared" si="108"/>
        <v>OVER</v>
      </c>
      <c r="R815" s="4" t="str">
        <f t="shared" si="108"/>
        <v>OVER</v>
      </c>
      <c r="S815" s="4" t="str">
        <f t="shared" si="106"/>
        <v>OVER</v>
      </c>
      <c r="T815" s="4" t="str">
        <f t="shared" si="106"/>
        <v>OVER</v>
      </c>
      <c r="U815" s="2">
        <f>IF(Q815="OVER",$J815,$K815)</f>
        <v>-84.135535552760331</v>
      </c>
      <c r="V815" s="2">
        <f>IF(R815="OVER",$J815,$K815)</f>
        <v>-84.135535552760331</v>
      </c>
      <c r="W815" s="2">
        <f>IF(S815="OVER",$J815,$K815)</f>
        <v>-84.135535552760331</v>
      </c>
      <c r="X815" s="2">
        <f>IF(T815="OVER",$J815,$K815)</f>
        <v>-84.135535552760331</v>
      </c>
      <c r="Y815" s="9">
        <f t="shared" si="107"/>
        <v>-5813.3306162981435</v>
      </c>
      <c r="Z815" s="9">
        <f t="shared" si="107"/>
        <v>11026.971722662163</v>
      </c>
      <c r="AA815" s="9">
        <f t="shared" si="107"/>
        <v>49786.974621814668</v>
      </c>
      <c r="AB815" s="9">
        <f t="shared" si="104"/>
        <v>19024.717456577851</v>
      </c>
    </row>
    <row r="816" spans="1:28" x14ac:dyDescent="0.3">
      <c r="A816" s="1">
        <v>45596</v>
      </c>
      <c r="B816" s="2">
        <v>176.29</v>
      </c>
      <c r="C816" s="2">
        <v>568.64</v>
      </c>
      <c r="D816" s="9">
        <f>B816-B815</f>
        <v>-1.9000000000000057</v>
      </c>
      <c r="E816" s="9">
        <f>C816-C815</f>
        <v>-11.370000000000005</v>
      </c>
      <c r="F816" s="3">
        <f>F$1/B816</f>
        <v>567.24714958307334</v>
      </c>
      <c r="G816" s="3">
        <f>F$1/C816</f>
        <v>175.85818795723128</v>
      </c>
      <c r="H816" s="2">
        <f>D816*F815</f>
        <v>-1066.2775688871463</v>
      </c>
      <c r="I816" s="2">
        <f>E816*G815</f>
        <v>-1960.3110291201886</v>
      </c>
      <c r="J816" s="2">
        <f>I816-H816</f>
        <v>-894.03346023304221</v>
      </c>
      <c r="K816" s="2">
        <f t="shared" si="102"/>
        <v>894.03346023304221</v>
      </c>
      <c r="L816" s="3">
        <f>C816/B816</f>
        <v>3.2255941913891881</v>
      </c>
      <c r="M816" s="3">
        <f t="shared" si="105"/>
        <v>3.2399685105555465</v>
      </c>
      <c r="N816" s="3">
        <f t="shared" si="109"/>
        <v>3.2289703564262675</v>
      </c>
      <c r="O816" s="3">
        <f t="shared" si="101"/>
        <v>3.2128249724311666</v>
      </c>
      <c r="P816" s="3">
        <f t="shared" si="103"/>
        <v>3.187880830591701</v>
      </c>
      <c r="Q816" s="4" t="str">
        <f t="shared" si="108"/>
        <v>OVER</v>
      </c>
      <c r="R816" s="4" t="str">
        <f t="shared" si="108"/>
        <v>OVER</v>
      </c>
      <c r="S816" s="4" t="str">
        <f t="shared" si="106"/>
        <v>OVER</v>
      </c>
      <c r="T816" s="4" t="str">
        <f t="shared" si="106"/>
        <v>OVER</v>
      </c>
      <c r="U816" s="2">
        <f>IF(Q816="OVER",$J816,$K816)</f>
        <v>-894.03346023304221</v>
      </c>
      <c r="V816" s="2">
        <f>IF(R816="OVER",$J816,$K816)</f>
        <v>-894.03346023304221</v>
      </c>
      <c r="W816" s="2">
        <f>IF(S816="OVER",$J816,$K816)</f>
        <v>-894.03346023304221</v>
      </c>
      <c r="X816" s="2">
        <f>IF(T816="OVER",$J816,$K816)</f>
        <v>-894.03346023304221</v>
      </c>
      <c r="Y816" s="9">
        <f t="shared" si="107"/>
        <v>-6707.3640765311857</v>
      </c>
      <c r="Z816" s="9">
        <f t="shared" si="107"/>
        <v>10132.938262429121</v>
      </c>
      <c r="AA816" s="9">
        <f t="shared" si="107"/>
        <v>48892.941161581628</v>
      </c>
      <c r="AB816" s="9">
        <f t="shared" si="104"/>
        <v>18130.683996344807</v>
      </c>
    </row>
    <row r="817" spans="1:28" x14ac:dyDescent="0.3">
      <c r="A817" s="1">
        <v>45597</v>
      </c>
      <c r="B817" s="2">
        <v>176.4</v>
      </c>
      <c r="C817" s="2">
        <v>571.04</v>
      </c>
      <c r="D817" s="9">
        <f>B817-B816</f>
        <v>0.11000000000001364</v>
      </c>
      <c r="E817" s="9">
        <f>C817-C816</f>
        <v>2.3999999999999773</v>
      </c>
      <c r="F817" s="3">
        <f>F$1/B817</f>
        <v>566.8934240362812</v>
      </c>
      <c r="G817" s="3">
        <f>F$1/C817</f>
        <v>175.11908097506304</v>
      </c>
      <c r="H817" s="2">
        <f>D817*F816</f>
        <v>62.397186454145803</v>
      </c>
      <c r="I817" s="2">
        <f>E817*G816</f>
        <v>422.05965109735109</v>
      </c>
      <c r="J817" s="2">
        <f>I817-H817</f>
        <v>359.66246464320528</v>
      </c>
      <c r="K817" s="2">
        <f t="shared" si="102"/>
        <v>-359.66246464320528</v>
      </c>
      <c r="L817" s="3">
        <f>C817/B817</f>
        <v>3.2371882086167796</v>
      </c>
      <c r="M817" s="3">
        <f t="shared" si="105"/>
        <v>3.2422544397913384</v>
      </c>
      <c r="N817" s="3">
        <f t="shared" si="109"/>
        <v>3.2303940833716389</v>
      </c>
      <c r="O817" s="3">
        <f t="shared" si="101"/>
        <v>3.2129333290153324</v>
      </c>
      <c r="P817" s="3">
        <f t="shared" si="103"/>
        <v>3.188659347460951</v>
      </c>
      <c r="Q817" s="4" t="str">
        <f t="shared" si="108"/>
        <v>UNDER</v>
      </c>
      <c r="R817" s="4" t="str">
        <f t="shared" si="108"/>
        <v>UNDER</v>
      </c>
      <c r="S817" s="4" t="str">
        <f t="shared" si="106"/>
        <v>OVER</v>
      </c>
      <c r="T817" s="4" t="str">
        <f t="shared" si="106"/>
        <v>OVER</v>
      </c>
      <c r="U817" s="2">
        <f>IF(Q817="OVER",$J817,$K817)</f>
        <v>-359.66246464320528</v>
      </c>
      <c r="V817" s="2">
        <f>IF(R817="OVER",$J817,$K817)</f>
        <v>-359.66246464320528</v>
      </c>
      <c r="W817" s="2">
        <f>IF(S817="OVER",$J817,$K817)</f>
        <v>359.66246464320528</v>
      </c>
      <c r="X817" s="2">
        <f>IF(T817="OVER",$J817,$K817)</f>
        <v>359.66246464320528</v>
      </c>
      <c r="Y817" s="9">
        <f t="shared" si="107"/>
        <v>-7067.0265411743912</v>
      </c>
      <c r="Z817" s="9">
        <f t="shared" si="107"/>
        <v>9773.2757977859164</v>
      </c>
      <c r="AA817" s="9">
        <f t="shared" si="107"/>
        <v>49252.603626224831</v>
      </c>
      <c r="AB817" s="9">
        <f t="shared" si="104"/>
        <v>18490.346460988014</v>
      </c>
    </row>
    <row r="818" spans="1:28" x14ac:dyDescent="0.3">
      <c r="A818" s="1">
        <v>45600</v>
      </c>
      <c r="B818" s="2">
        <v>176.61</v>
      </c>
      <c r="C818" s="2">
        <v>569.80999999999995</v>
      </c>
      <c r="D818" s="9">
        <f>B818-B817</f>
        <v>0.21000000000000796</v>
      </c>
      <c r="E818" s="9">
        <f>C818-C817</f>
        <v>-1.2300000000000182</v>
      </c>
      <c r="F818" s="3">
        <f>F$1/B818</f>
        <v>566.21935337749835</v>
      </c>
      <c r="G818" s="3">
        <f>F$1/C818</f>
        <v>175.49709552306911</v>
      </c>
      <c r="H818" s="2">
        <f>D818*F817</f>
        <v>119.04761904762357</v>
      </c>
      <c r="I818" s="2">
        <f>E818*G817</f>
        <v>-215.39646959933071</v>
      </c>
      <c r="J818" s="2">
        <f>I818-H818</f>
        <v>-334.4440886469543</v>
      </c>
      <c r="K818" s="2">
        <f t="shared" si="102"/>
        <v>334.4440886469543</v>
      </c>
      <c r="L818" s="3">
        <f>C818/B818</f>
        <v>3.2263744974803235</v>
      </c>
      <c r="M818" s="3">
        <f t="shared" si="105"/>
        <v>3.2412284024053868</v>
      </c>
      <c r="N818" s="3">
        <f t="shared" si="109"/>
        <v>3.2314802763571797</v>
      </c>
      <c r="O818" s="3">
        <f t="shared" si="101"/>
        <v>3.2129593846562754</v>
      </c>
      <c r="P818" s="3">
        <f t="shared" si="103"/>
        <v>3.1893108579922496</v>
      </c>
      <c r="Q818" s="4" t="str">
        <f t="shared" si="108"/>
        <v>UNDER</v>
      </c>
      <c r="R818" s="4" t="str">
        <f t="shared" si="108"/>
        <v>OVER</v>
      </c>
      <c r="S818" s="4" t="str">
        <f t="shared" si="106"/>
        <v>OVER</v>
      </c>
      <c r="T818" s="4" t="str">
        <f t="shared" si="106"/>
        <v>OVER</v>
      </c>
      <c r="U818" s="2">
        <f>IF(Q818="OVER",$J818,$K818)</f>
        <v>334.4440886469543</v>
      </c>
      <c r="V818" s="2">
        <f>IF(R818="OVER",$J818,$K818)</f>
        <v>-334.4440886469543</v>
      </c>
      <c r="W818" s="2">
        <f>IF(S818="OVER",$J818,$K818)</f>
        <v>-334.4440886469543</v>
      </c>
      <c r="X818" s="2">
        <f>IF(T818="OVER",$J818,$K818)</f>
        <v>-334.4440886469543</v>
      </c>
      <c r="Y818" s="9">
        <f t="shared" si="107"/>
        <v>-6732.5824525274365</v>
      </c>
      <c r="Z818" s="9">
        <f t="shared" si="107"/>
        <v>9438.8317091389617</v>
      </c>
      <c r="AA818" s="9">
        <f t="shared" si="107"/>
        <v>48918.159537577878</v>
      </c>
      <c r="AB818" s="9">
        <f t="shared" si="104"/>
        <v>18155.902372341061</v>
      </c>
    </row>
    <row r="819" spans="1:28" x14ac:dyDescent="0.3">
      <c r="A819" s="1">
        <v>45601</v>
      </c>
      <c r="B819" s="2">
        <v>178.67</v>
      </c>
      <c r="C819" s="2">
        <v>576.70000000000005</v>
      </c>
      <c r="D819" s="9">
        <f>B819-B818</f>
        <v>2.0599999999999739</v>
      </c>
      <c r="E819" s="9">
        <f>C819-C818</f>
        <v>6.8900000000001</v>
      </c>
      <c r="F819" s="3">
        <f>F$1/B819</f>
        <v>559.69105054010186</v>
      </c>
      <c r="G819" s="3">
        <f>F$1/C819</f>
        <v>173.40038148083926</v>
      </c>
      <c r="H819" s="2">
        <f>D819*F818</f>
        <v>1166.4118679576318</v>
      </c>
      <c r="I819" s="2">
        <f>E819*G818</f>
        <v>1209.1749881539638</v>
      </c>
      <c r="J819" s="2">
        <f>I819-H819</f>
        <v>42.763120196332011</v>
      </c>
      <c r="K819" s="2">
        <f t="shared" si="102"/>
        <v>-42.763120196332011</v>
      </c>
      <c r="L819" s="3">
        <f>C819/B819</f>
        <v>3.2277382884647681</v>
      </c>
      <c r="M819" s="3">
        <f t="shared" si="105"/>
        <v>3.2390509750544374</v>
      </c>
      <c r="N819" s="3">
        <f t="shared" si="109"/>
        <v>3.2315017628524907</v>
      </c>
      <c r="O819" s="3">
        <f t="shared" si="101"/>
        <v>3.2131553967674544</v>
      </c>
      <c r="P819" s="3">
        <f t="shared" si="103"/>
        <v>3.1900176674121012</v>
      </c>
      <c r="Q819" s="4" t="str">
        <f t="shared" si="108"/>
        <v>UNDER</v>
      </c>
      <c r="R819" s="4" t="str">
        <f t="shared" si="108"/>
        <v>UNDER</v>
      </c>
      <c r="S819" s="4" t="str">
        <f t="shared" si="106"/>
        <v>OVER</v>
      </c>
      <c r="T819" s="4" t="str">
        <f t="shared" si="106"/>
        <v>OVER</v>
      </c>
      <c r="U819" s="2">
        <f>IF(Q819="OVER",$J819,$K819)</f>
        <v>-42.763120196332011</v>
      </c>
      <c r="V819" s="2">
        <f>IF(R819="OVER",$J819,$K819)</f>
        <v>-42.763120196332011</v>
      </c>
      <c r="W819" s="2">
        <f>IF(S819="OVER",$J819,$K819)</f>
        <v>42.763120196332011</v>
      </c>
      <c r="X819" s="2">
        <f>IF(T819="OVER",$J819,$K819)</f>
        <v>42.763120196332011</v>
      </c>
      <c r="Y819" s="9">
        <f t="shared" si="107"/>
        <v>-6775.3455727237688</v>
      </c>
      <c r="Z819" s="9">
        <f t="shared" si="107"/>
        <v>9396.0685889426295</v>
      </c>
      <c r="AA819" s="9">
        <f t="shared" si="107"/>
        <v>48960.922657774208</v>
      </c>
      <c r="AB819" s="9">
        <f t="shared" si="104"/>
        <v>18198.665492537391</v>
      </c>
    </row>
    <row r="820" spans="1:28" x14ac:dyDescent="0.3">
      <c r="A820" s="1">
        <v>45602</v>
      </c>
      <c r="B820" s="2">
        <v>182.9</v>
      </c>
      <c r="C820" s="2">
        <v>591.04</v>
      </c>
      <c r="D820" s="9">
        <f>B820-B819</f>
        <v>4.2300000000000182</v>
      </c>
      <c r="E820" s="9">
        <f>C820-C819</f>
        <v>14.339999999999918</v>
      </c>
      <c r="F820" s="3">
        <f>F$1/B820</f>
        <v>546.74685620557682</v>
      </c>
      <c r="G820" s="3">
        <f>F$1/C820</f>
        <v>169.19328641039525</v>
      </c>
      <c r="H820" s="2">
        <f>D820*F819</f>
        <v>2367.4931437846412</v>
      </c>
      <c r="I820" s="2">
        <f>E820*G819</f>
        <v>2486.5614704352206</v>
      </c>
      <c r="J820" s="2">
        <f>I820-H820</f>
        <v>119.06832665057937</v>
      </c>
      <c r="K820" s="2">
        <f t="shared" si="102"/>
        <v>-119.06832665057937</v>
      </c>
      <c r="L820" s="3">
        <f>C820/B820</f>
        <v>3.2314926189174411</v>
      </c>
      <c r="M820" s="3">
        <f t="shared" si="105"/>
        <v>3.2391564184798272</v>
      </c>
      <c r="N820" s="3">
        <f t="shared" si="109"/>
        <v>3.2317018271950744</v>
      </c>
      <c r="O820" s="3">
        <f t="shared" si="101"/>
        <v>3.2133676982424482</v>
      </c>
      <c r="P820" s="3">
        <f t="shared" si="103"/>
        <v>3.1907061412264439</v>
      </c>
      <c r="Q820" s="4" t="str">
        <f t="shared" si="108"/>
        <v>UNDER</v>
      </c>
      <c r="R820" s="4" t="str">
        <f t="shared" si="108"/>
        <v>UNDER</v>
      </c>
      <c r="S820" s="4" t="str">
        <f t="shared" si="106"/>
        <v>OVER</v>
      </c>
      <c r="T820" s="4" t="str">
        <f t="shared" si="106"/>
        <v>OVER</v>
      </c>
      <c r="U820" s="2">
        <f>IF(Q820="OVER",$J820,$K820)</f>
        <v>-119.06832665057937</v>
      </c>
      <c r="V820" s="2">
        <f>IF(R820="OVER",$J820,$K820)</f>
        <v>-119.06832665057937</v>
      </c>
      <c r="W820" s="2">
        <f>IF(S820="OVER",$J820,$K820)</f>
        <v>119.06832665057937</v>
      </c>
      <c r="X820" s="2">
        <f>IF(T820="OVER",$J820,$K820)</f>
        <v>119.06832665057937</v>
      </c>
      <c r="Y820" s="9">
        <f t="shared" si="107"/>
        <v>-6894.4138993743481</v>
      </c>
      <c r="Z820" s="9">
        <f t="shared" si="107"/>
        <v>9277.000262292051</v>
      </c>
      <c r="AA820" s="9">
        <f t="shared" si="107"/>
        <v>49079.990984424789</v>
      </c>
      <c r="AB820" s="9">
        <f t="shared" si="104"/>
        <v>18317.733819187972</v>
      </c>
    </row>
    <row r="821" spans="1:28" x14ac:dyDescent="0.3">
      <c r="A821" s="1">
        <v>45603</v>
      </c>
      <c r="B821" s="2">
        <v>183.08</v>
      </c>
      <c r="C821" s="2">
        <v>595.61</v>
      </c>
      <c r="D821" s="9">
        <f>B821-B820</f>
        <v>0.18000000000000682</v>
      </c>
      <c r="E821" s="9">
        <f>C821-C820</f>
        <v>4.57000000000005</v>
      </c>
      <c r="F821" s="3">
        <f>F$1/B821</f>
        <v>546.20930740659821</v>
      </c>
      <c r="G821" s="3">
        <f>F$1/C821</f>
        <v>167.89509914205604</v>
      </c>
      <c r="H821" s="2">
        <f>D821*F820</f>
        <v>98.414434117007559</v>
      </c>
      <c r="I821" s="2">
        <f>E821*G820</f>
        <v>773.2133188955147</v>
      </c>
      <c r="J821" s="2">
        <f>I821-H821</f>
        <v>674.79888477850716</v>
      </c>
      <c r="K821" s="2">
        <f t="shared" si="102"/>
        <v>-674.79888477850716</v>
      </c>
      <c r="L821" s="3">
        <f>C821/B821</f>
        <v>3.2532772558444396</v>
      </c>
      <c r="M821" s="3">
        <f t="shared" si="105"/>
        <v>3.2408140501885443</v>
      </c>
      <c r="N821" s="3">
        <f t="shared" si="109"/>
        <v>3.2326676826900753</v>
      </c>
      <c r="O821" s="3">
        <f t="shared" ref="O821:O884" si="110">AVERAGE(L772:L821)</f>
        <v>3.2142128488116866</v>
      </c>
      <c r="P821" s="3">
        <f t="shared" si="103"/>
        <v>3.1914061751228808</v>
      </c>
      <c r="Q821" s="4" t="str">
        <f t="shared" si="108"/>
        <v>UNDER</v>
      </c>
      <c r="R821" s="4" t="str">
        <f t="shared" si="108"/>
        <v>UNDER</v>
      </c>
      <c r="S821" s="4" t="str">
        <f t="shared" si="106"/>
        <v>OVER</v>
      </c>
      <c r="T821" s="4" t="str">
        <f t="shared" si="106"/>
        <v>OVER</v>
      </c>
      <c r="U821" s="2">
        <f>IF(Q821="OVER",$J821,$K821)</f>
        <v>-674.79888477850716</v>
      </c>
      <c r="V821" s="2">
        <f>IF(R821="OVER",$J821,$K821)</f>
        <v>-674.79888477850716</v>
      </c>
      <c r="W821" s="2">
        <f>IF(S821="OVER",$J821,$K821)</f>
        <v>674.79888477850716</v>
      </c>
      <c r="X821" s="2">
        <f>IF(T821="OVER",$J821,$K821)</f>
        <v>674.79888477850716</v>
      </c>
      <c r="Y821" s="9">
        <f t="shared" si="107"/>
        <v>-7569.2127841528554</v>
      </c>
      <c r="Z821" s="9">
        <f t="shared" si="107"/>
        <v>8602.2013775135438</v>
      </c>
      <c r="AA821" s="9">
        <f t="shared" si="107"/>
        <v>49754.789869203298</v>
      </c>
      <c r="AB821" s="9">
        <f t="shared" si="104"/>
        <v>18992.532703966477</v>
      </c>
    </row>
    <row r="822" spans="1:28" x14ac:dyDescent="0.3">
      <c r="A822" s="1">
        <v>45604</v>
      </c>
      <c r="B822" s="2">
        <v>184.1</v>
      </c>
      <c r="C822" s="2">
        <v>598.19000000000005</v>
      </c>
      <c r="D822" s="9">
        <f>B822-B821</f>
        <v>1.0199999999999818</v>
      </c>
      <c r="E822" s="9">
        <f>C822-C821</f>
        <v>2.5800000000000409</v>
      </c>
      <c r="F822" s="3">
        <f>F$1/B822</f>
        <v>543.18305268875611</v>
      </c>
      <c r="G822" s="3">
        <f>F$1/C822</f>
        <v>167.17096574666911</v>
      </c>
      <c r="H822" s="2">
        <f>D822*F821</f>
        <v>557.13349355472019</v>
      </c>
      <c r="I822" s="2">
        <f>E822*G821</f>
        <v>433.16935578651146</v>
      </c>
      <c r="J822" s="2">
        <f>I822-H822</f>
        <v>-123.96413776820873</v>
      </c>
      <c r="K822" s="2">
        <f t="shared" si="102"/>
        <v>123.96413776820873</v>
      </c>
      <c r="L822" s="3">
        <f>C822/B822</f>
        <v>3.2492667028788706</v>
      </c>
      <c r="M822" s="3">
        <f t="shared" si="105"/>
        <v>3.2406382557074687</v>
      </c>
      <c r="N822" s="3">
        <f t="shared" si="109"/>
        <v>3.2340470823142851</v>
      </c>
      <c r="O822" s="3">
        <f t="shared" si="110"/>
        <v>3.2152112472744898</v>
      </c>
      <c r="P822" s="3">
        <f t="shared" si="103"/>
        <v>3.1921575251473087</v>
      </c>
      <c r="Q822" s="4" t="str">
        <f t="shared" si="108"/>
        <v>OVER</v>
      </c>
      <c r="R822" s="4" t="str">
        <f t="shared" si="108"/>
        <v>OVER</v>
      </c>
      <c r="S822" s="4" t="str">
        <f t="shared" si="106"/>
        <v>OVER</v>
      </c>
      <c r="T822" s="4" t="str">
        <f t="shared" si="106"/>
        <v>OVER</v>
      </c>
      <c r="U822" s="2">
        <f>IF(Q822="OVER",$J822,$K822)</f>
        <v>-123.96413776820873</v>
      </c>
      <c r="V822" s="2">
        <f>IF(R822="OVER",$J822,$K822)</f>
        <v>-123.96413776820873</v>
      </c>
      <c r="W822" s="2">
        <f>IF(S822="OVER",$J822,$K822)</f>
        <v>-123.96413776820873</v>
      </c>
      <c r="X822" s="2">
        <f>IF(T822="OVER",$J822,$K822)</f>
        <v>-123.96413776820873</v>
      </c>
      <c r="Y822" s="9">
        <f t="shared" si="107"/>
        <v>-7693.1769219210637</v>
      </c>
      <c r="Z822" s="9">
        <f t="shared" si="107"/>
        <v>8478.2372397453346</v>
      </c>
      <c r="AA822" s="9">
        <f t="shared" si="107"/>
        <v>49630.825731435092</v>
      </c>
      <c r="AB822" s="9">
        <f t="shared" si="104"/>
        <v>18868.568566198268</v>
      </c>
    </row>
    <row r="823" spans="1:28" x14ac:dyDescent="0.3">
      <c r="A823" s="1">
        <v>45607</v>
      </c>
      <c r="B823" s="2">
        <v>185.02</v>
      </c>
      <c r="C823" s="2">
        <v>598.76</v>
      </c>
      <c r="D823" s="9">
        <f>B823-B822</f>
        <v>0.92000000000001592</v>
      </c>
      <c r="E823" s="9">
        <f>C823-C822</f>
        <v>0.56999999999993634</v>
      </c>
      <c r="F823" s="3">
        <f>F$1/B823</f>
        <v>540.48211004215761</v>
      </c>
      <c r="G823" s="3">
        <f>F$1/C823</f>
        <v>167.01182443717016</v>
      </c>
      <c r="H823" s="2">
        <f>D823*F822</f>
        <v>499.72840847366427</v>
      </c>
      <c r="I823" s="2">
        <f>E823*G822</f>
        <v>95.287450475590745</v>
      </c>
      <c r="J823" s="2">
        <f>I823-H823</f>
        <v>-404.44095799807354</v>
      </c>
      <c r="K823" s="2">
        <f t="shared" si="102"/>
        <v>404.44095799807354</v>
      </c>
      <c r="L823" s="3">
        <f>C823/B823</f>
        <v>3.2361906820884228</v>
      </c>
      <c r="M823" s="3">
        <f t="shared" si="105"/>
        <v>3.2399886771990261</v>
      </c>
      <c r="N823" s="3">
        <f t="shared" si="109"/>
        <v>3.2346382078545295</v>
      </c>
      <c r="O823" s="3">
        <f t="shared" si="110"/>
        <v>3.2158331674722369</v>
      </c>
      <c r="P823" s="3">
        <f t="shared" si="103"/>
        <v>3.1928651452244181</v>
      </c>
      <c r="Q823" s="4" t="str">
        <f t="shared" si="108"/>
        <v>OVER</v>
      </c>
      <c r="R823" s="4" t="str">
        <f t="shared" si="108"/>
        <v>OVER</v>
      </c>
      <c r="S823" s="4" t="str">
        <f t="shared" si="106"/>
        <v>OVER</v>
      </c>
      <c r="T823" s="4" t="str">
        <f t="shared" si="106"/>
        <v>OVER</v>
      </c>
      <c r="U823" s="2">
        <f>IF(Q823="OVER",$J823,$K823)</f>
        <v>-404.44095799807354</v>
      </c>
      <c r="V823" s="2">
        <f>IF(R823="OVER",$J823,$K823)</f>
        <v>-404.44095799807354</v>
      </c>
      <c r="W823" s="2">
        <f>IF(S823="OVER",$J823,$K823)</f>
        <v>-404.44095799807354</v>
      </c>
      <c r="X823" s="2">
        <f>IF(T823="OVER",$J823,$K823)</f>
        <v>-404.44095799807354</v>
      </c>
      <c r="Y823" s="9">
        <f t="shared" si="107"/>
        <v>-8097.6178799191375</v>
      </c>
      <c r="Z823" s="9">
        <f t="shared" si="107"/>
        <v>8073.7962817472608</v>
      </c>
      <c r="AA823" s="9">
        <f t="shared" si="107"/>
        <v>49226.384773437021</v>
      </c>
      <c r="AB823" s="9">
        <f t="shared" si="104"/>
        <v>18464.127608200193</v>
      </c>
    </row>
    <row r="824" spans="1:28" x14ac:dyDescent="0.3">
      <c r="A824" s="1">
        <v>45608</v>
      </c>
      <c r="B824" s="2">
        <v>183.61</v>
      </c>
      <c r="C824" s="2">
        <v>596.9</v>
      </c>
      <c r="D824" s="9">
        <f>B824-B823</f>
        <v>-1.4099999999999966</v>
      </c>
      <c r="E824" s="9">
        <f>C824-C823</f>
        <v>-1.8600000000000136</v>
      </c>
      <c r="F824" s="3">
        <f>F$1/B824</f>
        <v>544.63264528075808</v>
      </c>
      <c r="G824" s="3">
        <f>F$1/C824</f>
        <v>167.53224995811695</v>
      </c>
      <c r="H824" s="2">
        <f>D824*F823</f>
        <v>-762.07977515944037</v>
      </c>
      <c r="I824" s="2">
        <f>E824*G823</f>
        <v>-310.64199345313875</v>
      </c>
      <c r="J824" s="2">
        <f>I824-H824</f>
        <v>451.43778170630162</v>
      </c>
      <c r="K824" s="2">
        <f t="shared" si="102"/>
        <v>-451.43778170630162</v>
      </c>
      <c r="L824" s="3">
        <f>C824/B824</f>
        <v>3.2509122596808449</v>
      </c>
      <c r="M824" s="3">
        <f t="shared" si="105"/>
        <v>3.2393043403941242</v>
      </c>
      <c r="N824" s="3">
        <f t="shared" si="109"/>
        <v>3.2364909161822526</v>
      </c>
      <c r="O824" s="3">
        <f t="shared" si="110"/>
        <v>3.2172513896257069</v>
      </c>
      <c r="P824" s="3">
        <f t="shared" si="103"/>
        <v>3.1936183181598286</v>
      </c>
      <c r="Q824" s="4" t="str">
        <f t="shared" si="108"/>
        <v>UNDER</v>
      </c>
      <c r="R824" s="4" t="str">
        <f t="shared" si="108"/>
        <v>OVER</v>
      </c>
      <c r="S824" s="4" t="str">
        <f t="shared" si="106"/>
        <v>OVER</v>
      </c>
      <c r="T824" s="4" t="str">
        <f t="shared" si="106"/>
        <v>OVER</v>
      </c>
      <c r="U824" s="2">
        <f>IF(Q824="OVER",$J824,$K824)</f>
        <v>-451.43778170630162</v>
      </c>
      <c r="V824" s="2">
        <f>IF(R824="OVER",$J824,$K824)</f>
        <v>451.43778170630162</v>
      </c>
      <c r="W824" s="2">
        <f>IF(S824="OVER",$J824,$K824)</f>
        <v>451.43778170630162</v>
      </c>
      <c r="X824" s="2">
        <f>IF(T824="OVER",$J824,$K824)</f>
        <v>451.43778170630162</v>
      </c>
      <c r="Y824" s="9">
        <f t="shared" si="107"/>
        <v>-8549.0556616254398</v>
      </c>
      <c r="Z824" s="9">
        <f t="shared" si="107"/>
        <v>8525.2340634535631</v>
      </c>
      <c r="AA824" s="9">
        <f t="shared" si="107"/>
        <v>49677.822555143321</v>
      </c>
      <c r="AB824" s="9">
        <f t="shared" si="104"/>
        <v>18915.565389906496</v>
      </c>
    </row>
    <row r="825" spans="1:28" x14ac:dyDescent="0.3">
      <c r="A825" s="1">
        <v>45609</v>
      </c>
      <c r="B825" s="2">
        <v>183.71</v>
      </c>
      <c r="C825" s="2">
        <v>597.19000000000005</v>
      </c>
      <c r="D825" s="9">
        <f>B825-B824</f>
        <v>9.9999999999994316E-2</v>
      </c>
      <c r="E825" s="9">
        <f>C825-C824</f>
        <v>0.29000000000007731</v>
      </c>
      <c r="F825" s="3">
        <f>F$1/B825</f>
        <v>544.33618202601929</v>
      </c>
      <c r="G825" s="3">
        <f>F$1/C825</f>
        <v>167.4508950250339</v>
      </c>
      <c r="H825" s="2">
        <f>D825*F824</f>
        <v>54.463264528072713</v>
      </c>
      <c r="I825" s="2">
        <f>E825*G824</f>
        <v>48.584352487866866</v>
      </c>
      <c r="J825" s="2">
        <f>I825-H825</f>
        <v>-5.8789120402058472</v>
      </c>
      <c r="K825" s="2">
        <f t="shared" si="102"/>
        <v>5.8789120402058472</v>
      </c>
      <c r="L825" s="3">
        <f>C825/B825</f>
        <v>3.2507212454411847</v>
      </c>
      <c r="M825" s="3">
        <f t="shared" si="105"/>
        <v>3.2388755950802262</v>
      </c>
      <c r="N825" s="3">
        <f t="shared" si="109"/>
        <v>3.2387197435682857</v>
      </c>
      <c r="O825" s="3">
        <f t="shared" si="110"/>
        <v>3.2187044393614799</v>
      </c>
      <c r="P825" s="3">
        <f t="shared" si="103"/>
        <v>3.1943854583639415</v>
      </c>
      <c r="Q825" s="4" t="str">
        <f t="shared" si="108"/>
        <v>OVER</v>
      </c>
      <c r="R825" s="4" t="str">
        <f t="shared" si="108"/>
        <v>OVER</v>
      </c>
      <c r="S825" s="4" t="str">
        <f t="shared" si="106"/>
        <v>OVER</v>
      </c>
      <c r="T825" s="4" t="str">
        <f t="shared" si="106"/>
        <v>OVER</v>
      </c>
      <c r="U825" s="2">
        <f>IF(Q825="OVER",$J825,$K825)</f>
        <v>-5.8789120402058472</v>
      </c>
      <c r="V825" s="2">
        <f>IF(R825="OVER",$J825,$K825)</f>
        <v>-5.8789120402058472</v>
      </c>
      <c r="W825" s="2">
        <f>IF(S825="OVER",$J825,$K825)</f>
        <v>-5.8789120402058472</v>
      </c>
      <c r="X825" s="2">
        <f>IF(T825="OVER",$J825,$K825)</f>
        <v>-5.8789120402058472</v>
      </c>
      <c r="Y825" s="9">
        <f t="shared" si="107"/>
        <v>-8554.9345736656451</v>
      </c>
      <c r="Z825" s="9">
        <f t="shared" si="107"/>
        <v>8519.3551514133578</v>
      </c>
      <c r="AA825" s="9">
        <f t="shared" si="107"/>
        <v>49671.943643103114</v>
      </c>
      <c r="AB825" s="9">
        <f t="shared" si="104"/>
        <v>18909.686477866289</v>
      </c>
    </row>
    <row r="826" spans="1:28" x14ac:dyDescent="0.3">
      <c r="A826" s="1">
        <v>45610</v>
      </c>
      <c r="B826" s="2">
        <v>182.24</v>
      </c>
      <c r="C826" s="2">
        <v>593.35</v>
      </c>
      <c r="D826" s="9">
        <f>B826-B825</f>
        <v>-1.4699999999999989</v>
      </c>
      <c r="E826" s="9">
        <f>C826-C825</f>
        <v>-3.8400000000000318</v>
      </c>
      <c r="F826" s="3">
        <f>F$1/B826</f>
        <v>548.72695346795433</v>
      </c>
      <c r="G826" s="3">
        <f>F$1/C826</f>
        <v>168.53459172495155</v>
      </c>
      <c r="H826" s="2">
        <f>D826*F825</f>
        <v>-800.17418757824771</v>
      </c>
      <c r="I826" s="2">
        <f>E826*G825</f>
        <v>-643.01143689613548</v>
      </c>
      <c r="J826" s="2">
        <f>I826-H826</f>
        <v>157.16275068211223</v>
      </c>
      <c r="K826" s="2">
        <f t="shared" si="102"/>
        <v>-157.16275068211223</v>
      </c>
      <c r="L826" s="3">
        <f>C826/B826</f>
        <v>3.2558713784021069</v>
      </c>
      <c r="M826" s="3">
        <f t="shared" si="105"/>
        <v>3.2419033137815183</v>
      </c>
      <c r="N826" s="3">
        <f t="shared" si="109"/>
        <v>3.2409359121685322</v>
      </c>
      <c r="O826" s="3">
        <f t="shared" si="110"/>
        <v>3.220025000998008</v>
      </c>
      <c r="P826" s="3">
        <f t="shared" si="103"/>
        <v>3.1952333950846628</v>
      </c>
      <c r="Q826" s="4" t="str">
        <f t="shared" si="108"/>
        <v>OVER</v>
      </c>
      <c r="R826" s="4" t="str">
        <f t="shared" si="108"/>
        <v>OVER</v>
      </c>
      <c r="S826" s="4" t="str">
        <f t="shared" si="106"/>
        <v>OVER</v>
      </c>
      <c r="T826" s="4" t="str">
        <f t="shared" si="106"/>
        <v>OVER</v>
      </c>
      <c r="U826" s="2">
        <f>IF(Q826="OVER",$J826,$K826)</f>
        <v>157.16275068211223</v>
      </c>
      <c r="V826" s="2">
        <f>IF(R826="OVER",$J826,$K826)</f>
        <v>157.16275068211223</v>
      </c>
      <c r="W826" s="2">
        <f>IF(S826="OVER",$J826,$K826)</f>
        <v>157.16275068211223</v>
      </c>
      <c r="X826" s="2">
        <f>IF(T826="OVER",$J826,$K826)</f>
        <v>157.16275068211223</v>
      </c>
      <c r="Y826" s="9">
        <f t="shared" si="107"/>
        <v>-8397.7718229835336</v>
      </c>
      <c r="Z826" s="9">
        <f t="shared" si="107"/>
        <v>8676.5179020954693</v>
      </c>
      <c r="AA826" s="9">
        <f t="shared" si="107"/>
        <v>49829.106393785223</v>
      </c>
      <c r="AB826" s="9">
        <f t="shared" si="104"/>
        <v>19066.849228548403</v>
      </c>
    </row>
    <row r="827" spans="1:28" x14ac:dyDescent="0.3">
      <c r="A827" s="1">
        <v>45611</v>
      </c>
      <c r="B827" s="2">
        <v>180.94</v>
      </c>
      <c r="C827" s="2">
        <v>585.75</v>
      </c>
      <c r="D827" s="9">
        <f>B827-B826</f>
        <v>-1.3000000000000114</v>
      </c>
      <c r="E827" s="9">
        <f>C827-C826</f>
        <v>-7.6000000000000227</v>
      </c>
      <c r="F827" s="3">
        <f>F$1/B827</f>
        <v>552.6693931690063</v>
      </c>
      <c r="G827" s="3">
        <f>F$1/C827</f>
        <v>170.72129748186086</v>
      </c>
      <c r="H827" s="2">
        <f>D827*F826</f>
        <v>-713.34503950834687</v>
      </c>
      <c r="I827" s="2">
        <f>E827*G826</f>
        <v>-1280.8628971096357</v>
      </c>
      <c r="J827" s="2">
        <f>I827-H827</f>
        <v>-567.51785760128882</v>
      </c>
      <c r="K827" s="2">
        <f t="shared" si="102"/>
        <v>567.51785760128882</v>
      </c>
      <c r="L827" s="3">
        <f>C827/B827</f>
        <v>3.2372609704874544</v>
      </c>
      <c r="M827" s="3">
        <f t="shared" si="105"/>
        <v>3.2419105899685858</v>
      </c>
      <c r="N827" s="3">
        <f t="shared" si="109"/>
        <v>3.2420825148799617</v>
      </c>
      <c r="O827" s="3">
        <f t="shared" si="110"/>
        <v>3.2213662896362694</v>
      </c>
      <c r="P827" s="3">
        <f t="shared" si="103"/>
        <v>3.1959660734523898</v>
      </c>
      <c r="Q827" s="4" t="str">
        <f t="shared" si="108"/>
        <v>OVER</v>
      </c>
      <c r="R827" s="4" t="str">
        <f t="shared" si="108"/>
        <v>OVER</v>
      </c>
      <c r="S827" s="4" t="str">
        <f t="shared" si="106"/>
        <v>OVER</v>
      </c>
      <c r="T827" s="4" t="str">
        <f t="shared" si="106"/>
        <v>OVER</v>
      </c>
      <c r="U827" s="2">
        <f>IF(Q827="OVER",$J827,$K827)</f>
        <v>-567.51785760128882</v>
      </c>
      <c r="V827" s="2">
        <f>IF(R827="OVER",$J827,$K827)</f>
        <v>-567.51785760128882</v>
      </c>
      <c r="W827" s="2">
        <f>IF(S827="OVER",$J827,$K827)</f>
        <v>-567.51785760128882</v>
      </c>
      <c r="X827" s="2">
        <f>IF(T827="OVER",$J827,$K827)</f>
        <v>-567.51785760128882</v>
      </c>
      <c r="Y827" s="9">
        <f t="shared" si="107"/>
        <v>-8965.2896805848231</v>
      </c>
      <c r="Z827" s="9">
        <f t="shared" si="107"/>
        <v>8109.0000444941807</v>
      </c>
      <c r="AA827" s="9">
        <f t="shared" si="107"/>
        <v>49261.588536183932</v>
      </c>
      <c r="AB827" s="9">
        <f t="shared" si="104"/>
        <v>18499.331370947115</v>
      </c>
    </row>
    <row r="828" spans="1:28" x14ac:dyDescent="0.3">
      <c r="A828" s="1">
        <v>45614</v>
      </c>
      <c r="B828" s="2">
        <v>181.67</v>
      </c>
      <c r="C828" s="2">
        <v>588.15</v>
      </c>
      <c r="D828" s="9">
        <f>B828-B827</f>
        <v>0.72999999999998977</v>
      </c>
      <c r="E828" s="9">
        <f>C828-C827</f>
        <v>2.3999999999999773</v>
      </c>
      <c r="F828" s="3">
        <f>F$1/B828</f>
        <v>550.44861562173173</v>
      </c>
      <c r="G828" s="3">
        <f>F$1/C828</f>
        <v>170.02465357476834</v>
      </c>
      <c r="H828" s="2">
        <f>D828*F827</f>
        <v>403.44865701336892</v>
      </c>
      <c r="I828" s="2">
        <f>E828*G827</f>
        <v>409.7311139564622</v>
      </c>
      <c r="J828" s="2">
        <f>I828-H828</f>
        <v>6.2824569430932797</v>
      </c>
      <c r="K828" s="2">
        <f t="shared" si="102"/>
        <v>-6.2824569430932797</v>
      </c>
      <c r="L828" s="3">
        <f>C828/B828</f>
        <v>3.2374635327792149</v>
      </c>
      <c r="M828" s="3">
        <f t="shared" si="105"/>
        <v>3.2430194934984748</v>
      </c>
      <c r="N828" s="3">
        <f t="shared" si="109"/>
        <v>3.2421239479519306</v>
      </c>
      <c r="O828" s="3">
        <f t="shared" si="110"/>
        <v>3.2226164318781412</v>
      </c>
      <c r="P828" s="3">
        <f t="shared" si="103"/>
        <v>3.19652325326375</v>
      </c>
      <c r="Q828" s="4" t="str">
        <f t="shared" si="108"/>
        <v>UNDER</v>
      </c>
      <c r="R828" s="4" t="str">
        <f t="shared" si="108"/>
        <v>UNDER</v>
      </c>
      <c r="S828" s="4" t="str">
        <f t="shared" si="106"/>
        <v>OVER</v>
      </c>
      <c r="T828" s="4" t="str">
        <f t="shared" si="106"/>
        <v>OVER</v>
      </c>
      <c r="U828" s="2">
        <f>IF(Q828="OVER",$J828,$K828)</f>
        <v>-6.2824569430932797</v>
      </c>
      <c r="V828" s="2">
        <f>IF(R828="OVER",$J828,$K828)</f>
        <v>-6.2824569430932797</v>
      </c>
      <c r="W828" s="2">
        <f>IF(S828="OVER",$J828,$K828)</f>
        <v>6.2824569430932797</v>
      </c>
      <c r="X828" s="2">
        <f>IF(T828="OVER",$J828,$K828)</f>
        <v>6.2824569430932797</v>
      </c>
      <c r="Y828" s="9">
        <f t="shared" si="107"/>
        <v>-8971.5721375279172</v>
      </c>
      <c r="Z828" s="9">
        <f t="shared" si="107"/>
        <v>8102.7175875510875</v>
      </c>
      <c r="AA828" s="9">
        <f t="shared" si="107"/>
        <v>49267.870993127028</v>
      </c>
      <c r="AB828" s="9">
        <f t="shared" si="104"/>
        <v>18505.613827890207</v>
      </c>
    </row>
    <row r="829" spans="1:28" x14ac:dyDescent="0.3">
      <c r="A829" s="1">
        <v>45615</v>
      </c>
      <c r="B829" s="2">
        <v>181.18</v>
      </c>
      <c r="C829" s="2">
        <v>590.29999999999995</v>
      </c>
      <c r="D829" s="9">
        <f>B829-B828</f>
        <v>-0.48999999999998067</v>
      </c>
      <c r="E829" s="9">
        <f>C829-C828</f>
        <v>2.1499999999999773</v>
      </c>
      <c r="F829" s="3">
        <f>F$1/B829</f>
        <v>551.93729992272881</v>
      </c>
      <c r="G829" s="3">
        <f>F$1/C829</f>
        <v>169.40538709130951</v>
      </c>
      <c r="H829" s="2">
        <f>D829*F828</f>
        <v>-269.71982165463788</v>
      </c>
      <c r="I829" s="2">
        <f>E829*G828</f>
        <v>365.55300518574808</v>
      </c>
      <c r="J829" s="2">
        <f>I829-H829</f>
        <v>635.27282684038596</v>
      </c>
      <c r="K829" s="2">
        <f t="shared" si="102"/>
        <v>-635.27282684038596</v>
      </c>
      <c r="L829" s="3">
        <f>C829/B829</f>
        <v>3.2580858814438676</v>
      </c>
      <c r="M829" s="3">
        <f t="shared" si="105"/>
        <v>3.2460542527963852</v>
      </c>
      <c r="N829" s="3">
        <f t="shared" si="109"/>
        <v>3.2425526139254108</v>
      </c>
      <c r="O829" s="3">
        <f t="shared" si="110"/>
        <v>3.2240394735488302</v>
      </c>
      <c r="P829" s="3">
        <f t="shared" si="103"/>
        <v>3.1971053652835479</v>
      </c>
      <c r="Q829" s="4" t="str">
        <f t="shared" si="108"/>
        <v>UNDER</v>
      </c>
      <c r="R829" s="4" t="str">
        <f t="shared" si="108"/>
        <v>UNDER</v>
      </c>
      <c r="S829" s="4" t="str">
        <f t="shared" si="106"/>
        <v>OVER</v>
      </c>
      <c r="T829" s="4" t="str">
        <f t="shared" si="106"/>
        <v>OVER</v>
      </c>
      <c r="U829" s="2">
        <f>IF(Q829="OVER",$J829,$K829)</f>
        <v>-635.27282684038596</v>
      </c>
      <c r="V829" s="2">
        <f>IF(R829="OVER",$J829,$K829)</f>
        <v>-635.27282684038596</v>
      </c>
      <c r="W829" s="2">
        <f>IF(S829="OVER",$J829,$K829)</f>
        <v>635.27282684038596</v>
      </c>
      <c r="X829" s="2">
        <f>IF(T829="OVER",$J829,$K829)</f>
        <v>635.27282684038596</v>
      </c>
      <c r="Y829" s="9">
        <f t="shared" si="107"/>
        <v>-9606.8449643683034</v>
      </c>
      <c r="Z829" s="9">
        <f t="shared" si="107"/>
        <v>7467.4447607107013</v>
      </c>
      <c r="AA829" s="9">
        <f t="shared" si="107"/>
        <v>49903.143819967416</v>
      </c>
      <c r="AB829" s="9">
        <f t="shared" si="104"/>
        <v>19140.886654730592</v>
      </c>
    </row>
    <row r="830" spans="1:28" x14ac:dyDescent="0.3">
      <c r="A830" s="1">
        <v>45616</v>
      </c>
      <c r="B830" s="2">
        <v>181.79</v>
      </c>
      <c r="C830" s="2">
        <v>590.5</v>
      </c>
      <c r="D830" s="9">
        <f>B830-B829</f>
        <v>0.60999999999998522</v>
      </c>
      <c r="E830" s="9">
        <f>C830-C829</f>
        <v>0.20000000000004547</v>
      </c>
      <c r="F830" s="3">
        <f>F$1/B830</f>
        <v>550.08526321579848</v>
      </c>
      <c r="G830" s="3">
        <f>F$1/C830</f>
        <v>169.34801016088062</v>
      </c>
      <c r="H830" s="2">
        <f>D830*F829</f>
        <v>336.68175295285641</v>
      </c>
      <c r="I830" s="2">
        <f>E830*G829</f>
        <v>33.881077418269605</v>
      </c>
      <c r="J830" s="2">
        <f>I830-H830</f>
        <v>-302.80067553458679</v>
      </c>
      <c r="K830" s="2">
        <f t="shared" si="102"/>
        <v>302.80067553458679</v>
      </c>
      <c r="L830" s="3">
        <f>C830/B830</f>
        <v>3.2482534792892901</v>
      </c>
      <c r="M830" s="3">
        <f t="shared" si="105"/>
        <v>3.2477303388335699</v>
      </c>
      <c r="N830" s="3">
        <f t="shared" si="109"/>
        <v>3.2434433786566985</v>
      </c>
      <c r="O830" s="3">
        <f t="shared" si="110"/>
        <v>3.2246418777062438</v>
      </c>
      <c r="P830" s="3">
        <f t="shared" si="103"/>
        <v>3.1976915651766666</v>
      </c>
      <c r="Q830" s="4" t="str">
        <f t="shared" si="108"/>
        <v>OVER</v>
      </c>
      <c r="R830" s="4" t="str">
        <f t="shared" si="108"/>
        <v>OVER</v>
      </c>
      <c r="S830" s="4" t="str">
        <f t="shared" si="106"/>
        <v>OVER</v>
      </c>
      <c r="T830" s="4" t="str">
        <f t="shared" si="106"/>
        <v>OVER</v>
      </c>
      <c r="U830" s="2">
        <f>IF(Q830="OVER",$J830,$K830)</f>
        <v>-302.80067553458679</v>
      </c>
      <c r="V830" s="2">
        <f>IF(R830="OVER",$J830,$K830)</f>
        <v>-302.80067553458679</v>
      </c>
      <c r="W830" s="2">
        <f>IF(S830="OVER",$J830,$K830)</f>
        <v>-302.80067553458679</v>
      </c>
      <c r="X830" s="2">
        <f>IF(T830="OVER",$J830,$K830)</f>
        <v>-302.80067553458679</v>
      </c>
      <c r="Y830" s="9">
        <f t="shared" si="107"/>
        <v>-9909.6456399028903</v>
      </c>
      <c r="Z830" s="9">
        <f t="shared" si="107"/>
        <v>7164.6440851761145</v>
      </c>
      <c r="AA830" s="9">
        <f t="shared" si="107"/>
        <v>49600.343144432831</v>
      </c>
      <c r="AB830" s="9">
        <f t="shared" si="104"/>
        <v>18838.085979196007</v>
      </c>
    </row>
    <row r="831" spans="1:28" x14ac:dyDescent="0.3">
      <c r="A831" s="1">
        <v>45617</v>
      </c>
      <c r="B831" s="2">
        <v>184.08</v>
      </c>
      <c r="C831" s="2">
        <v>593.66999999999996</v>
      </c>
      <c r="D831" s="9">
        <f>B831-B830</f>
        <v>2.2900000000000205</v>
      </c>
      <c r="E831" s="9">
        <f>C831-C830</f>
        <v>3.1699999999999591</v>
      </c>
      <c r="F831" s="3">
        <f>F$1/B831</f>
        <v>543.24206866579743</v>
      </c>
      <c r="G831" s="3">
        <f>F$1/C831</f>
        <v>168.44374821028518</v>
      </c>
      <c r="H831" s="2">
        <f>D831*F830</f>
        <v>1259.6952527641897</v>
      </c>
      <c r="I831" s="2">
        <f>E831*G830</f>
        <v>536.83319220998465</v>
      </c>
      <c r="J831" s="2">
        <f>I831-H831</f>
        <v>-722.86206055420507</v>
      </c>
      <c r="K831" s="2">
        <f t="shared" si="102"/>
        <v>722.86206055420507</v>
      </c>
      <c r="L831" s="3">
        <f>C831/B831</f>
        <v>3.2250651890482396</v>
      </c>
      <c r="M831" s="3">
        <f t="shared" si="105"/>
        <v>3.2449091321539498</v>
      </c>
      <c r="N831" s="3">
        <f t="shared" si="109"/>
        <v>3.2428615911712471</v>
      </c>
      <c r="O831" s="3">
        <f t="shared" si="110"/>
        <v>3.2246389991970448</v>
      </c>
      <c r="P831" s="3">
        <f t="shared" si="103"/>
        <v>3.1980930449194962</v>
      </c>
      <c r="Q831" s="4" t="str">
        <f t="shared" si="108"/>
        <v>OVER</v>
      </c>
      <c r="R831" s="4" t="str">
        <f t="shared" si="108"/>
        <v>OVER</v>
      </c>
      <c r="S831" s="4" t="str">
        <f t="shared" si="106"/>
        <v>OVER</v>
      </c>
      <c r="T831" s="4" t="str">
        <f t="shared" si="106"/>
        <v>OVER</v>
      </c>
      <c r="U831" s="2">
        <f>IF(Q831="OVER",$J831,$K831)</f>
        <v>-722.86206055420507</v>
      </c>
      <c r="V831" s="2">
        <f>IF(R831="OVER",$J831,$K831)</f>
        <v>-722.86206055420507</v>
      </c>
      <c r="W831" s="2">
        <f>IF(S831="OVER",$J831,$K831)</f>
        <v>-722.86206055420507</v>
      </c>
      <c r="X831" s="2">
        <f>IF(T831="OVER",$J831,$K831)</f>
        <v>-722.86206055420507</v>
      </c>
      <c r="Y831" s="9">
        <f t="shared" si="107"/>
        <v>-10632.507700457096</v>
      </c>
      <c r="Z831" s="9">
        <f t="shared" si="107"/>
        <v>6441.7820246219089</v>
      </c>
      <c r="AA831" s="9">
        <f t="shared" si="107"/>
        <v>48877.481083878629</v>
      </c>
      <c r="AB831" s="9">
        <f t="shared" si="104"/>
        <v>18115.223918641801</v>
      </c>
    </row>
    <row r="832" spans="1:28" x14ac:dyDescent="0.3">
      <c r="A832" s="1">
        <v>45618</v>
      </c>
      <c r="B832" s="2">
        <v>185.53</v>
      </c>
      <c r="C832" s="2">
        <v>595.51</v>
      </c>
      <c r="D832" s="9">
        <f>B832-B831</f>
        <v>1.4499999999999886</v>
      </c>
      <c r="E832" s="9">
        <f>C832-C831</f>
        <v>1.8400000000000318</v>
      </c>
      <c r="F832" s="3">
        <f>F$1/B832</f>
        <v>538.99638872419553</v>
      </c>
      <c r="G832" s="3">
        <f>F$1/C832</f>
        <v>167.9232926399221</v>
      </c>
      <c r="H832" s="2">
        <f>D832*F831</f>
        <v>787.70099956540014</v>
      </c>
      <c r="I832" s="2">
        <f>E832*G831</f>
        <v>309.93649670693009</v>
      </c>
      <c r="J832" s="2">
        <f>I832-H832</f>
        <v>-477.76450285847005</v>
      </c>
      <c r="K832" s="2">
        <f t="shared" si="102"/>
        <v>477.76450285847005</v>
      </c>
      <c r="L832" s="3">
        <f>C832/B832</f>
        <v>3.2097773944914567</v>
      </c>
      <c r="M832" s="3">
        <f t="shared" si="105"/>
        <v>3.2409602013152083</v>
      </c>
      <c r="N832" s="3">
        <f t="shared" si="109"/>
        <v>3.2407992285113378</v>
      </c>
      <c r="O832" s="3">
        <f t="shared" si="110"/>
        <v>3.2246085028608293</v>
      </c>
      <c r="P832" s="3">
        <f t="shared" si="103"/>
        <v>3.1984458250505772</v>
      </c>
      <c r="Q832" s="4" t="str">
        <f t="shared" si="108"/>
        <v>UNDER</v>
      </c>
      <c r="R832" s="4" t="str">
        <f t="shared" si="108"/>
        <v>UNDER</v>
      </c>
      <c r="S832" s="4" t="str">
        <f t="shared" si="106"/>
        <v>UNDER</v>
      </c>
      <c r="T832" s="4" t="str">
        <f t="shared" si="106"/>
        <v>OVER</v>
      </c>
      <c r="U832" s="2">
        <f>IF(Q832="OVER",$J832,$K832)</f>
        <v>477.76450285847005</v>
      </c>
      <c r="V832" s="2">
        <f>IF(R832="OVER",$J832,$K832)</f>
        <v>477.76450285847005</v>
      </c>
      <c r="W832" s="2">
        <f>IF(S832="OVER",$J832,$K832)</f>
        <v>477.76450285847005</v>
      </c>
      <c r="X832" s="2">
        <f>IF(T832="OVER",$J832,$K832)</f>
        <v>-477.76450285847005</v>
      </c>
      <c r="Y832" s="9">
        <f t="shared" si="107"/>
        <v>-10154.743197598626</v>
      </c>
      <c r="Z832" s="9">
        <f t="shared" si="107"/>
        <v>6919.5465274803792</v>
      </c>
      <c r="AA832" s="9">
        <f t="shared" si="107"/>
        <v>49355.245586737095</v>
      </c>
      <c r="AB832" s="9">
        <f t="shared" si="104"/>
        <v>17637.459415783331</v>
      </c>
    </row>
    <row r="833" spans="1:28" x14ac:dyDescent="0.3">
      <c r="A833" s="1">
        <v>45621</v>
      </c>
      <c r="B833" s="2">
        <v>187.21</v>
      </c>
      <c r="C833" s="2">
        <v>597.53</v>
      </c>
      <c r="D833" s="9">
        <f>B833-B832</f>
        <v>1.6800000000000068</v>
      </c>
      <c r="E833" s="9">
        <f>C833-C832</f>
        <v>2.0199999999999818</v>
      </c>
      <c r="F833" s="3">
        <f>F$1/B833</f>
        <v>534.15950002670797</v>
      </c>
      <c r="G833" s="3">
        <f>F$1/C833</f>
        <v>167.35561394406977</v>
      </c>
      <c r="H833" s="2">
        <f>D833*F832</f>
        <v>905.51393305665215</v>
      </c>
      <c r="I833" s="2">
        <f>E833*G832</f>
        <v>339.2050511326396</v>
      </c>
      <c r="J833" s="2">
        <f>I833-H833</f>
        <v>-566.30888192401255</v>
      </c>
      <c r="K833" s="2">
        <f t="shared" si="102"/>
        <v>566.30888192401255</v>
      </c>
      <c r="L833" s="3">
        <f>C833/B833</f>
        <v>3.191763260509588</v>
      </c>
      <c r="M833" s="3">
        <f t="shared" si="105"/>
        <v>3.2365174591573251</v>
      </c>
      <c r="N833" s="3">
        <f t="shared" si="109"/>
        <v>3.2382530681781754</v>
      </c>
      <c r="O833" s="3">
        <f t="shared" si="110"/>
        <v>3.2245862686383004</v>
      </c>
      <c r="P833" s="3">
        <f t="shared" si="103"/>
        <v>3.19863669319985</v>
      </c>
      <c r="Q833" s="4" t="str">
        <f t="shared" si="108"/>
        <v>UNDER</v>
      </c>
      <c r="R833" s="4" t="str">
        <f t="shared" si="108"/>
        <v>UNDER</v>
      </c>
      <c r="S833" s="4" t="str">
        <f t="shared" si="106"/>
        <v>UNDER</v>
      </c>
      <c r="T833" s="4" t="str">
        <f t="shared" si="106"/>
        <v>UNDER</v>
      </c>
      <c r="U833" s="2">
        <f>IF(Q833="OVER",$J833,$K833)</f>
        <v>566.30888192401255</v>
      </c>
      <c r="V833" s="2">
        <f>IF(R833="OVER",$J833,$K833)</f>
        <v>566.30888192401255</v>
      </c>
      <c r="W833" s="2">
        <f>IF(S833="OVER",$J833,$K833)</f>
        <v>566.30888192401255</v>
      </c>
      <c r="X833" s="2">
        <f>IF(T833="OVER",$J833,$K833)</f>
        <v>566.30888192401255</v>
      </c>
      <c r="Y833" s="9">
        <f t="shared" si="107"/>
        <v>-9588.4343156746127</v>
      </c>
      <c r="Z833" s="9">
        <f t="shared" si="107"/>
        <v>7485.855409404392</v>
      </c>
      <c r="AA833" s="9">
        <f t="shared" si="107"/>
        <v>49921.55446866111</v>
      </c>
      <c r="AB833" s="9">
        <f t="shared" si="104"/>
        <v>18203.768297707342</v>
      </c>
    </row>
    <row r="834" spans="1:28" x14ac:dyDescent="0.3">
      <c r="A834" s="1">
        <v>45622</v>
      </c>
      <c r="B834" s="2">
        <v>187.23</v>
      </c>
      <c r="C834" s="2">
        <v>600.65</v>
      </c>
      <c r="D834" s="9">
        <f>B834-B833</f>
        <v>1.999999999998181E-2</v>
      </c>
      <c r="E834" s="9">
        <f>C834-C833</f>
        <v>3.1200000000000045</v>
      </c>
      <c r="F834" s="3">
        <f>F$1/B834</f>
        <v>534.10244084815474</v>
      </c>
      <c r="G834" s="3">
        <f>F$1/C834</f>
        <v>166.48630650129027</v>
      </c>
      <c r="H834" s="2">
        <f>D834*F833</f>
        <v>10.683190000524442</v>
      </c>
      <c r="I834" s="2">
        <f>E834*G833</f>
        <v>522.14951550549847</v>
      </c>
      <c r="J834" s="2">
        <f>I834-H834</f>
        <v>511.46632550497401</v>
      </c>
      <c r="K834" s="2">
        <f t="shared" si="102"/>
        <v>-511.46632550497401</v>
      </c>
      <c r="L834" s="3">
        <f>C834/B834</f>
        <v>3.2080863109544411</v>
      </c>
      <c r="M834" s="3">
        <f t="shared" si="105"/>
        <v>3.2322348642846848</v>
      </c>
      <c r="N834" s="3">
        <f t="shared" si="109"/>
        <v>3.235769602339404</v>
      </c>
      <c r="O834" s="3">
        <f t="shared" si="110"/>
        <v>3.2249584853977762</v>
      </c>
      <c r="P834" s="3">
        <f t="shared" si="103"/>
        <v>3.199022478170034</v>
      </c>
      <c r="Q834" s="4" t="str">
        <f t="shared" si="108"/>
        <v>UNDER</v>
      </c>
      <c r="R834" s="4" t="str">
        <f t="shared" si="108"/>
        <v>UNDER</v>
      </c>
      <c r="S834" s="4" t="str">
        <f t="shared" si="106"/>
        <v>UNDER</v>
      </c>
      <c r="T834" s="4" t="str">
        <f t="shared" si="106"/>
        <v>OVER</v>
      </c>
      <c r="U834" s="2">
        <f>IF(Q834="OVER",$J834,$K834)</f>
        <v>-511.46632550497401</v>
      </c>
      <c r="V834" s="2">
        <f>IF(R834="OVER",$J834,$K834)</f>
        <v>-511.46632550497401</v>
      </c>
      <c r="W834" s="2">
        <f>IF(S834="OVER",$J834,$K834)</f>
        <v>-511.46632550497401</v>
      </c>
      <c r="X834" s="2">
        <f>IF(T834="OVER",$J834,$K834)</f>
        <v>511.46632550497401</v>
      </c>
      <c r="Y834" s="9">
        <f t="shared" si="107"/>
        <v>-10099.900641179587</v>
      </c>
      <c r="Z834" s="9">
        <f t="shared" si="107"/>
        <v>6974.3890838994184</v>
      </c>
      <c r="AA834" s="9">
        <f t="shared" si="107"/>
        <v>49410.088143156136</v>
      </c>
      <c r="AB834" s="9">
        <f t="shared" si="104"/>
        <v>18715.234623212316</v>
      </c>
    </row>
    <row r="835" spans="1:28" x14ac:dyDescent="0.3">
      <c r="A835" s="1">
        <v>45623</v>
      </c>
      <c r="B835" s="2">
        <v>187.05</v>
      </c>
      <c r="C835" s="2">
        <v>598.83000000000004</v>
      </c>
      <c r="D835" s="9">
        <f>B835-B834</f>
        <v>-0.1799999999999784</v>
      </c>
      <c r="E835" s="9">
        <f>C835-C834</f>
        <v>-1.8199999999999363</v>
      </c>
      <c r="F835" s="3">
        <f>F$1/B835</f>
        <v>534.61641272387055</v>
      </c>
      <c r="G835" s="3">
        <f>F$1/C835</f>
        <v>166.99230165489371</v>
      </c>
      <c r="H835" s="2">
        <f>D835*F834</f>
        <v>-96.13843935265632</v>
      </c>
      <c r="I835" s="2">
        <f>E835*G834</f>
        <v>-303.00507783233769</v>
      </c>
      <c r="J835" s="2">
        <f>I835-H835</f>
        <v>-206.86663847968137</v>
      </c>
      <c r="K835" s="2">
        <f t="shared" si="102"/>
        <v>206.86663847968137</v>
      </c>
      <c r="L835" s="3">
        <f>C835/B835</f>
        <v>3.2014434643143543</v>
      </c>
      <c r="M835" s="3">
        <f t="shared" si="105"/>
        <v>3.2273070861720017</v>
      </c>
      <c r="N835" s="3">
        <f t="shared" si="109"/>
        <v>3.2330913406261139</v>
      </c>
      <c r="O835" s="3">
        <f t="shared" si="110"/>
        <v>3.2252679289988015</v>
      </c>
      <c r="P835" s="3">
        <f t="shared" si="103"/>
        <v>3.1993296637153104</v>
      </c>
      <c r="Q835" s="4" t="str">
        <f t="shared" si="108"/>
        <v>UNDER</v>
      </c>
      <c r="R835" s="4" t="str">
        <f t="shared" si="108"/>
        <v>UNDER</v>
      </c>
      <c r="S835" s="4" t="str">
        <f t="shared" si="106"/>
        <v>UNDER</v>
      </c>
      <c r="T835" s="4" t="str">
        <f t="shared" si="106"/>
        <v>OVER</v>
      </c>
      <c r="U835" s="2">
        <f>IF(Q835="OVER",$J835,$K835)</f>
        <v>206.86663847968137</v>
      </c>
      <c r="V835" s="2">
        <f>IF(R835="OVER",$J835,$K835)</f>
        <v>206.86663847968137</v>
      </c>
      <c r="W835" s="2">
        <f>IF(S835="OVER",$J835,$K835)</f>
        <v>206.86663847968137</v>
      </c>
      <c r="X835" s="2">
        <f>IF(T835="OVER",$J835,$K835)</f>
        <v>-206.86663847968137</v>
      </c>
      <c r="Y835" s="9">
        <f t="shared" si="107"/>
        <v>-9893.0340026999056</v>
      </c>
      <c r="Z835" s="9">
        <f t="shared" si="107"/>
        <v>7181.2557223791</v>
      </c>
      <c r="AA835" s="9">
        <f t="shared" si="107"/>
        <v>49616.954781635817</v>
      </c>
      <c r="AB835" s="9">
        <f t="shared" si="104"/>
        <v>18508.367984732635</v>
      </c>
    </row>
    <row r="836" spans="1:28" x14ac:dyDescent="0.3">
      <c r="A836" s="1">
        <v>45625</v>
      </c>
      <c r="B836" s="2">
        <v>187.62</v>
      </c>
      <c r="C836" s="2">
        <v>602.54999999999995</v>
      </c>
      <c r="D836" s="9">
        <f>B836-B835</f>
        <v>0.56999999999999318</v>
      </c>
      <c r="E836" s="9">
        <f>C836-C835</f>
        <v>3.7199999999999136</v>
      </c>
      <c r="F836" s="3">
        <f>F$1/B836</f>
        <v>532.99221831361263</v>
      </c>
      <c r="G836" s="3">
        <f>F$1/C836</f>
        <v>165.9613310098747</v>
      </c>
      <c r="H836" s="2">
        <f>D836*F835</f>
        <v>304.73135525260255</v>
      </c>
      <c r="I836" s="2">
        <f>E836*G835</f>
        <v>621.21136215619015</v>
      </c>
      <c r="J836" s="2">
        <f>I836-H836</f>
        <v>316.48000690358759</v>
      </c>
      <c r="K836" s="2">
        <f t="shared" si="102"/>
        <v>-316.48000690358759</v>
      </c>
      <c r="L836" s="3">
        <f>C836/B836</f>
        <v>3.2115446114486725</v>
      </c>
      <c r="M836" s="3">
        <f t="shared" si="105"/>
        <v>3.2228744094766584</v>
      </c>
      <c r="N836" s="3">
        <f t="shared" si="109"/>
        <v>3.2323888616290879</v>
      </c>
      <c r="O836" s="3">
        <f t="shared" si="110"/>
        <v>3.2253761866048314</v>
      </c>
      <c r="P836" s="3">
        <f t="shared" si="103"/>
        <v>3.1996883503093003</v>
      </c>
      <c r="Q836" s="4" t="str">
        <f t="shared" si="108"/>
        <v>UNDER</v>
      </c>
      <c r="R836" s="4" t="str">
        <f t="shared" si="108"/>
        <v>UNDER</v>
      </c>
      <c r="S836" s="4" t="str">
        <f t="shared" si="106"/>
        <v>UNDER</v>
      </c>
      <c r="T836" s="4" t="str">
        <f t="shared" si="106"/>
        <v>OVER</v>
      </c>
      <c r="U836" s="2">
        <f>IF(Q836="OVER",$J836,$K836)</f>
        <v>-316.48000690358759</v>
      </c>
      <c r="V836" s="2">
        <f>IF(R836="OVER",$J836,$K836)</f>
        <v>-316.48000690358759</v>
      </c>
      <c r="W836" s="2">
        <f>IF(S836="OVER",$J836,$K836)</f>
        <v>-316.48000690358759</v>
      </c>
      <c r="X836" s="2">
        <f>IF(T836="OVER",$J836,$K836)</f>
        <v>316.48000690358759</v>
      </c>
      <c r="Y836" s="9">
        <f t="shared" si="107"/>
        <v>-10209.514009603494</v>
      </c>
      <c r="Z836" s="9">
        <f t="shared" si="107"/>
        <v>6864.7757154755127</v>
      </c>
      <c r="AA836" s="9">
        <f t="shared" si="107"/>
        <v>49300.474774732233</v>
      </c>
      <c r="AB836" s="9">
        <f t="shared" si="104"/>
        <v>18824.847991636223</v>
      </c>
    </row>
    <row r="837" spans="1:28" x14ac:dyDescent="0.3">
      <c r="A837" s="1">
        <v>45628</v>
      </c>
      <c r="B837" s="2">
        <v>187.15</v>
      </c>
      <c r="C837" s="2">
        <v>603.63</v>
      </c>
      <c r="D837" s="9">
        <f>B837-B836</f>
        <v>-0.46999999999999886</v>
      </c>
      <c r="E837" s="9">
        <f>C837-C836</f>
        <v>1.0800000000000409</v>
      </c>
      <c r="F837" s="3">
        <f>F$1/B837</f>
        <v>534.33075073470479</v>
      </c>
      <c r="G837" s="3">
        <f>F$1/C837</f>
        <v>165.66439706442688</v>
      </c>
      <c r="H837" s="2">
        <f>D837*F836</f>
        <v>-250.50634260739733</v>
      </c>
      <c r="I837" s="2">
        <f>E837*G836</f>
        <v>179.23823749067148</v>
      </c>
      <c r="J837" s="2">
        <f>I837-H837</f>
        <v>429.74458009806881</v>
      </c>
      <c r="K837" s="2">
        <f t="shared" ref="K837:K900" si="111">H837-I837</f>
        <v>-429.74458009806881</v>
      </c>
      <c r="L837" s="3">
        <f>C837/B837</f>
        <v>3.2253807106598984</v>
      </c>
      <c r="M837" s="3">
        <f t="shared" si="105"/>
        <v>3.2216863834939025</v>
      </c>
      <c r="N837" s="3">
        <f t="shared" si="109"/>
        <v>3.2317984867312441</v>
      </c>
      <c r="O837" s="3">
        <f t="shared" si="110"/>
        <v>3.22583398116068</v>
      </c>
      <c r="P837" s="3">
        <f t="shared" si="103"/>
        <v>3.200201606189049</v>
      </c>
      <c r="Q837" s="4" t="str">
        <f t="shared" si="108"/>
        <v>UNDER</v>
      </c>
      <c r="R837" s="4" t="str">
        <f t="shared" si="108"/>
        <v>UNDER</v>
      </c>
      <c r="S837" s="4" t="str">
        <f t="shared" si="106"/>
        <v>UNDER</v>
      </c>
      <c r="T837" s="4" t="str">
        <f t="shared" si="106"/>
        <v>OVER</v>
      </c>
      <c r="U837" s="2">
        <f>IF(Q837="OVER",$J837,$K837)</f>
        <v>-429.74458009806881</v>
      </c>
      <c r="V837" s="2">
        <f>IF(R837="OVER",$J837,$K837)</f>
        <v>-429.74458009806881</v>
      </c>
      <c r="W837" s="2">
        <f>IF(S837="OVER",$J837,$K837)</f>
        <v>-429.74458009806881</v>
      </c>
      <c r="X837" s="2">
        <f>IF(T837="OVER",$J837,$K837)</f>
        <v>429.74458009806881</v>
      </c>
      <c r="Y837" s="9">
        <f t="shared" si="107"/>
        <v>-10639.258589701563</v>
      </c>
      <c r="Z837" s="9">
        <f t="shared" si="107"/>
        <v>6435.0311353774441</v>
      </c>
      <c r="AA837" s="9">
        <f t="shared" si="107"/>
        <v>48870.730194634161</v>
      </c>
      <c r="AB837" s="9">
        <f t="shared" si="104"/>
        <v>19254.592571734291</v>
      </c>
    </row>
    <row r="838" spans="1:28" x14ac:dyDescent="0.3">
      <c r="A838" s="1">
        <v>45629</v>
      </c>
      <c r="B838" s="2">
        <v>186.32</v>
      </c>
      <c r="C838" s="2">
        <v>603.91</v>
      </c>
      <c r="D838" s="9">
        <f>B838-B837</f>
        <v>-0.83000000000001251</v>
      </c>
      <c r="E838" s="9">
        <f>C838-C837</f>
        <v>0.27999999999997272</v>
      </c>
      <c r="F838" s="3">
        <f>F$1/B838</f>
        <v>536.71103477887505</v>
      </c>
      <c r="G838" s="3">
        <f>F$1/C838</f>
        <v>165.58758755443694</v>
      </c>
      <c r="H838" s="2">
        <f>D838*F837</f>
        <v>-443.49452310981167</v>
      </c>
      <c r="I838" s="2">
        <f>E838*G837</f>
        <v>46.386031178035005</v>
      </c>
      <c r="J838" s="2">
        <f>I838-H838</f>
        <v>489.88055428784668</v>
      </c>
      <c r="K838" s="2">
        <f t="shared" si="111"/>
        <v>-489.88055428784668</v>
      </c>
      <c r="L838" s="3">
        <f>C838/B838</f>
        <v>3.2412516101331041</v>
      </c>
      <c r="M838" s="3">
        <f t="shared" si="105"/>
        <v>3.2220651912292917</v>
      </c>
      <c r="N838" s="3">
        <f t="shared" si="109"/>
        <v>3.2325423423638826</v>
      </c>
      <c r="O838" s="3">
        <f t="shared" si="110"/>
        <v>3.2265250420714762</v>
      </c>
      <c r="P838" s="3">
        <f t="shared" si="103"/>
        <v>3.2008011030074459</v>
      </c>
      <c r="Q838" s="4" t="str">
        <f t="shared" si="108"/>
        <v>OVER</v>
      </c>
      <c r="R838" s="4" t="str">
        <f t="shared" si="108"/>
        <v>UNDER</v>
      </c>
      <c r="S838" s="4" t="str">
        <f t="shared" si="106"/>
        <v>OVER</v>
      </c>
      <c r="T838" s="4" t="str">
        <f t="shared" si="106"/>
        <v>OVER</v>
      </c>
      <c r="U838" s="2">
        <f>IF(Q838="OVER",$J838,$K838)</f>
        <v>489.88055428784668</v>
      </c>
      <c r="V838" s="2">
        <f>IF(R838="OVER",$J838,$K838)</f>
        <v>-489.88055428784668</v>
      </c>
      <c r="W838" s="2">
        <f>IF(S838="OVER",$J838,$K838)</f>
        <v>489.88055428784668</v>
      </c>
      <c r="X838" s="2">
        <f>IF(T838="OVER",$J838,$K838)</f>
        <v>489.88055428784668</v>
      </c>
      <c r="Y838" s="9">
        <f t="shared" si="107"/>
        <v>-10149.378035413716</v>
      </c>
      <c r="Z838" s="9">
        <f t="shared" si="107"/>
        <v>5945.1505810895978</v>
      </c>
      <c r="AA838" s="9">
        <f t="shared" si="107"/>
        <v>49360.610748922008</v>
      </c>
      <c r="AB838" s="9">
        <f t="shared" si="104"/>
        <v>19744.473126022138</v>
      </c>
    </row>
    <row r="839" spans="1:28" x14ac:dyDescent="0.3">
      <c r="A839" s="1">
        <v>45630</v>
      </c>
      <c r="B839" s="2">
        <v>186.33</v>
      </c>
      <c r="C839" s="2">
        <v>607.66</v>
      </c>
      <c r="D839" s="9">
        <f>B839-B838</f>
        <v>1.0000000000019327E-2</v>
      </c>
      <c r="E839" s="9">
        <f>C839-C838</f>
        <v>3.75</v>
      </c>
      <c r="F839" s="3">
        <f>F$1/B839</f>
        <v>536.68223045134971</v>
      </c>
      <c r="G839" s="3">
        <f>F$1/C839</f>
        <v>164.56571108843761</v>
      </c>
      <c r="H839" s="2">
        <f>D839*F838</f>
        <v>5.3671103477991231</v>
      </c>
      <c r="I839" s="2">
        <f>E839*G838</f>
        <v>620.95345332913848</v>
      </c>
      <c r="J839" s="2">
        <f>I839-H839</f>
        <v>615.58634298133939</v>
      </c>
      <c r="K839" s="2">
        <f t="shared" si="111"/>
        <v>-615.58634298133939</v>
      </c>
      <c r="L839" s="3">
        <f>C839/B839</f>
        <v>3.2612032415606715</v>
      </c>
      <c r="M839" s="3">
        <f t="shared" si="105"/>
        <v>3.2223769272409717</v>
      </c>
      <c r="N839" s="3">
        <f t="shared" si="109"/>
        <v>3.2342155900186782</v>
      </c>
      <c r="O839" s="3">
        <f t="shared" si="110"/>
        <v>3.2275256231187539</v>
      </c>
      <c r="P839" s="3">
        <f t="shared" si="103"/>
        <v>3.2015503109977872</v>
      </c>
      <c r="Q839" s="4" t="str">
        <f t="shared" si="108"/>
        <v>OVER</v>
      </c>
      <c r="R839" s="4" t="str">
        <f t="shared" si="108"/>
        <v>OVER</v>
      </c>
      <c r="S839" s="4" t="str">
        <f t="shared" si="106"/>
        <v>OVER</v>
      </c>
      <c r="T839" s="4" t="str">
        <f t="shared" si="106"/>
        <v>OVER</v>
      </c>
      <c r="U839" s="2">
        <f>IF(Q839="OVER",$J839,$K839)</f>
        <v>615.58634298133939</v>
      </c>
      <c r="V839" s="2">
        <f>IF(R839="OVER",$J839,$K839)</f>
        <v>615.58634298133939</v>
      </c>
      <c r="W839" s="2">
        <f>IF(S839="OVER",$J839,$K839)</f>
        <v>615.58634298133939</v>
      </c>
      <c r="X839" s="2">
        <f>IF(T839="OVER",$J839,$K839)</f>
        <v>615.58634298133939</v>
      </c>
      <c r="Y839" s="9">
        <f t="shared" si="107"/>
        <v>-9533.7916924323763</v>
      </c>
      <c r="Z839" s="9">
        <f t="shared" si="107"/>
        <v>6560.7369240709377</v>
      </c>
      <c r="AA839" s="9">
        <f t="shared" si="107"/>
        <v>49976.197091903348</v>
      </c>
      <c r="AB839" s="9">
        <f t="shared" si="104"/>
        <v>20360.059469003478</v>
      </c>
    </row>
    <row r="840" spans="1:28" x14ac:dyDescent="0.3">
      <c r="A840" s="1">
        <v>45631</v>
      </c>
      <c r="B840" s="2">
        <v>185.4</v>
      </c>
      <c r="C840" s="2">
        <v>606.66</v>
      </c>
      <c r="D840" s="9">
        <f>B840-B839</f>
        <v>-0.93000000000000682</v>
      </c>
      <c r="E840" s="9">
        <f>C840-C839</f>
        <v>-1</v>
      </c>
      <c r="F840" s="3">
        <f>F$1/B840</f>
        <v>539.3743257820928</v>
      </c>
      <c r="G840" s="3">
        <f>F$1/C840</f>
        <v>164.83697623050804</v>
      </c>
      <c r="H840" s="2">
        <f>D840*F839</f>
        <v>-499.11447431975887</v>
      </c>
      <c r="I840" s="2">
        <f>E840*G839</f>
        <v>-164.56571108843761</v>
      </c>
      <c r="J840" s="2">
        <f>I840-H840</f>
        <v>334.54876323132123</v>
      </c>
      <c r="K840" s="2">
        <f t="shared" si="111"/>
        <v>-334.54876323132123</v>
      </c>
      <c r="L840" s="3">
        <f>C840/B840</f>
        <v>3.2721682847896436</v>
      </c>
      <c r="M840" s="3">
        <f t="shared" si="105"/>
        <v>3.2247684077910073</v>
      </c>
      <c r="N840" s="3">
        <f t="shared" si="109"/>
        <v>3.2362493733122881</v>
      </c>
      <c r="O840" s="3">
        <f t="shared" si="110"/>
        <v>3.2284884730066175</v>
      </c>
      <c r="P840" s="3">
        <f t="shared" si="103"/>
        <v>3.2023713974523647</v>
      </c>
      <c r="Q840" s="4" t="str">
        <f t="shared" si="108"/>
        <v>OVER</v>
      </c>
      <c r="R840" s="4" t="str">
        <f t="shared" si="108"/>
        <v>OVER</v>
      </c>
      <c r="S840" s="4" t="str">
        <f t="shared" si="106"/>
        <v>OVER</v>
      </c>
      <c r="T840" s="4" t="str">
        <f t="shared" si="106"/>
        <v>OVER</v>
      </c>
      <c r="U840" s="2">
        <f>IF(Q840="OVER",$J840,$K840)</f>
        <v>334.54876323132123</v>
      </c>
      <c r="V840" s="2">
        <f>IF(R840="OVER",$J840,$K840)</f>
        <v>334.54876323132123</v>
      </c>
      <c r="W840" s="2">
        <f>IF(S840="OVER",$J840,$K840)</f>
        <v>334.54876323132123</v>
      </c>
      <c r="X840" s="2">
        <f>IF(T840="OVER",$J840,$K840)</f>
        <v>334.54876323132123</v>
      </c>
      <c r="Y840" s="9">
        <f t="shared" si="107"/>
        <v>-9199.2429292010547</v>
      </c>
      <c r="Z840" s="9">
        <f t="shared" si="107"/>
        <v>6895.2856873022592</v>
      </c>
      <c r="AA840" s="9">
        <f t="shared" si="107"/>
        <v>50310.745855134672</v>
      </c>
      <c r="AB840" s="9">
        <f t="shared" si="104"/>
        <v>20694.608232234797</v>
      </c>
    </row>
    <row r="841" spans="1:28" x14ac:dyDescent="0.3">
      <c r="A841" s="1">
        <v>45632</v>
      </c>
      <c r="B841" s="2">
        <v>185.19</v>
      </c>
      <c r="C841" s="2">
        <v>607.80999999999995</v>
      </c>
      <c r="D841" s="9">
        <f>B841-B840</f>
        <v>-0.21000000000000796</v>
      </c>
      <c r="E841" s="9">
        <f>C841-C840</f>
        <v>1.1499999999999773</v>
      </c>
      <c r="F841" s="3">
        <f>F$1/B841</f>
        <v>539.98596036503056</v>
      </c>
      <c r="G841" s="3">
        <f>F$1/C841</f>
        <v>164.52509830374626</v>
      </c>
      <c r="H841" s="2">
        <f>D841*F840</f>
        <v>-113.26860841424379</v>
      </c>
      <c r="I841" s="2">
        <f>E841*G840</f>
        <v>189.56252266508051</v>
      </c>
      <c r="J841" s="2">
        <f>I841-H841</f>
        <v>302.83113107932428</v>
      </c>
      <c r="K841" s="2">
        <f t="shared" si="111"/>
        <v>-302.83113107932428</v>
      </c>
      <c r="L841" s="3">
        <f>C841/B841</f>
        <v>3.2820886656946917</v>
      </c>
      <c r="M841" s="3">
        <f t="shared" si="105"/>
        <v>3.2304707554556522</v>
      </c>
      <c r="N841" s="3">
        <f t="shared" si="109"/>
        <v>3.2376899438048006</v>
      </c>
      <c r="O841" s="3">
        <f t="shared" si="110"/>
        <v>3.2299314690475285</v>
      </c>
      <c r="P841" s="3">
        <f t="shared" si="103"/>
        <v>3.2030765737139317</v>
      </c>
      <c r="Q841" s="4" t="str">
        <f t="shared" si="108"/>
        <v>OVER</v>
      </c>
      <c r="R841" s="4" t="str">
        <f t="shared" si="108"/>
        <v>OVER</v>
      </c>
      <c r="S841" s="4" t="str">
        <f t="shared" si="106"/>
        <v>OVER</v>
      </c>
      <c r="T841" s="4" t="str">
        <f t="shared" si="106"/>
        <v>OVER</v>
      </c>
      <c r="U841" s="2">
        <f>IF(Q841="OVER",$J841,$K841)</f>
        <v>302.83113107932428</v>
      </c>
      <c r="V841" s="2">
        <f>IF(R841="OVER",$J841,$K841)</f>
        <v>302.83113107932428</v>
      </c>
      <c r="W841" s="2">
        <f>IF(S841="OVER",$J841,$K841)</f>
        <v>302.83113107932428</v>
      </c>
      <c r="X841" s="2">
        <f>IF(T841="OVER",$J841,$K841)</f>
        <v>302.83113107932428</v>
      </c>
      <c r="Y841" s="9">
        <f t="shared" si="107"/>
        <v>-8896.4117981217296</v>
      </c>
      <c r="Z841" s="9">
        <f t="shared" si="107"/>
        <v>7198.1168183815835</v>
      </c>
      <c r="AA841" s="9">
        <f t="shared" si="107"/>
        <v>50613.576986213993</v>
      </c>
      <c r="AB841" s="9">
        <f t="shared" si="104"/>
        <v>20997.439363314123</v>
      </c>
    </row>
    <row r="842" spans="1:28" x14ac:dyDescent="0.3">
      <c r="A842" s="1">
        <v>45635</v>
      </c>
      <c r="B842" s="2">
        <v>184.43</v>
      </c>
      <c r="C842" s="2">
        <v>604.67999999999995</v>
      </c>
      <c r="D842" s="9">
        <f>B842-B841</f>
        <v>-0.75999999999999091</v>
      </c>
      <c r="E842" s="9">
        <f>C842-C841</f>
        <v>-3.1299999999999955</v>
      </c>
      <c r="F842" s="3">
        <f>F$1/B842</f>
        <v>542.21113701675426</v>
      </c>
      <c r="G842" s="3">
        <f>F$1/C842</f>
        <v>165.37672818680957</v>
      </c>
      <c r="H842" s="2">
        <f>D842*F841</f>
        <v>-410.38932987741833</v>
      </c>
      <c r="I842" s="2">
        <f>E842*G841</f>
        <v>-514.963557690725</v>
      </c>
      <c r="J842" s="2">
        <f>I842-H842</f>
        <v>-104.57422781330666</v>
      </c>
      <c r="K842" s="2">
        <f t="shared" si="111"/>
        <v>104.57422781330666</v>
      </c>
      <c r="L842" s="3">
        <f>C842/B842</f>
        <v>3.2786423033129095</v>
      </c>
      <c r="M842" s="3">
        <f t="shared" si="105"/>
        <v>3.2373572463377975</v>
      </c>
      <c r="N842" s="3">
        <f t="shared" si="109"/>
        <v>3.2391587238265034</v>
      </c>
      <c r="O842" s="3">
        <f t="shared" si="110"/>
        <v>3.2316279388772697</v>
      </c>
      <c r="P842" s="3">
        <f t="shared" si="103"/>
        <v>3.2037954025144466</v>
      </c>
      <c r="Q842" s="4" t="str">
        <f t="shared" si="108"/>
        <v>OVER</v>
      </c>
      <c r="R842" s="4" t="str">
        <f t="shared" si="108"/>
        <v>OVER</v>
      </c>
      <c r="S842" s="4" t="str">
        <f t="shared" si="106"/>
        <v>OVER</v>
      </c>
      <c r="T842" s="4" t="str">
        <f t="shared" si="106"/>
        <v>OVER</v>
      </c>
      <c r="U842" s="2">
        <f>IF(Q842="OVER",$J842,$K842)</f>
        <v>-104.57422781330666</v>
      </c>
      <c r="V842" s="2">
        <f>IF(R842="OVER",$J842,$K842)</f>
        <v>-104.57422781330666</v>
      </c>
      <c r="W842" s="2">
        <f>IF(S842="OVER",$J842,$K842)</f>
        <v>-104.57422781330666</v>
      </c>
      <c r="X842" s="2">
        <f>IF(T842="OVER",$J842,$K842)</f>
        <v>-104.57422781330666</v>
      </c>
      <c r="Y842" s="9">
        <f t="shared" si="107"/>
        <v>-9000.9860259350371</v>
      </c>
      <c r="Z842" s="9">
        <f t="shared" si="107"/>
        <v>7093.5425905682769</v>
      </c>
      <c r="AA842" s="9">
        <f t="shared" si="107"/>
        <v>50509.002758400689</v>
      </c>
      <c r="AB842" s="9">
        <f t="shared" si="104"/>
        <v>20892.865135500815</v>
      </c>
    </row>
    <row r="843" spans="1:28" x14ac:dyDescent="0.3">
      <c r="A843" s="1">
        <v>45636</v>
      </c>
      <c r="B843" s="2">
        <v>183.3</v>
      </c>
      <c r="C843" s="2">
        <v>602.79999999999995</v>
      </c>
      <c r="D843" s="9">
        <f>B843-B842</f>
        <v>-1.1299999999999955</v>
      </c>
      <c r="E843" s="9">
        <f>C843-C842</f>
        <v>-1.8799999999999955</v>
      </c>
      <c r="F843" s="3">
        <f>F$1/B843</f>
        <v>545.55373704309875</v>
      </c>
      <c r="G843" s="3">
        <f>F$1/C843</f>
        <v>165.89250165892503</v>
      </c>
      <c r="H843" s="2">
        <f>D843*F842</f>
        <v>-612.69858482892982</v>
      </c>
      <c r="I843" s="2">
        <f>E843*G842</f>
        <v>-310.90824899120122</v>
      </c>
      <c r="J843" s="2">
        <f>I843-H843</f>
        <v>301.79033583772861</v>
      </c>
      <c r="K843" s="2">
        <f t="shared" si="111"/>
        <v>-301.79033583772861</v>
      </c>
      <c r="L843" s="3">
        <f>C843/B843</f>
        <v>3.288597926895799</v>
      </c>
      <c r="M843" s="3">
        <f t="shared" si="105"/>
        <v>3.2470407129764185</v>
      </c>
      <c r="N843" s="3">
        <f t="shared" si="109"/>
        <v>3.2417790860668716</v>
      </c>
      <c r="O843" s="3">
        <f t="shared" si="110"/>
        <v>3.2333498862519794</v>
      </c>
      <c r="P843" s="3">
        <f t="shared" ref="P843:P906" si="112">AVERAGE(L644:L843)</f>
        <v>3.2045585037076485</v>
      </c>
      <c r="Q843" s="4" t="str">
        <f t="shared" si="108"/>
        <v>OVER</v>
      </c>
      <c r="R843" s="4" t="str">
        <f t="shared" si="108"/>
        <v>OVER</v>
      </c>
      <c r="S843" s="4" t="str">
        <f t="shared" si="106"/>
        <v>OVER</v>
      </c>
      <c r="T843" s="4" t="str">
        <f t="shared" si="106"/>
        <v>OVER</v>
      </c>
      <c r="U843" s="2">
        <f>IF(Q843="OVER",$J843,$K843)</f>
        <v>301.79033583772861</v>
      </c>
      <c r="V843" s="2">
        <f>IF(R843="OVER",$J843,$K843)</f>
        <v>301.79033583772861</v>
      </c>
      <c r="W843" s="2">
        <f>IF(S843="OVER",$J843,$K843)</f>
        <v>301.79033583772861</v>
      </c>
      <c r="X843" s="2">
        <f>IF(T843="OVER",$J843,$K843)</f>
        <v>301.79033583772861</v>
      </c>
      <c r="Y843" s="9">
        <f t="shared" si="107"/>
        <v>-8699.1956900973091</v>
      </c>
      <c r="Z843" s="9">
        <f t="shared" si="107"/>
        <v>7395.3329264060058</v>
      </c>
      <c r="AA843" s="9">
        <f t="shared" si="107"/>
        <v>50810.793094238419</v>
      </c>
      <c r="AB843" s="9">
        <f t="shared" si="104"/>
        <v>21194.655471338545</v>
      </c>
    </row>
    <row r="844" spans="1:28" x14ac:dyDescent="0.3">
      <c r="A844" s="1">
        <v>45637</v>
      </c>
      <c r="B844" s="2">
        <v>183.47</v>
      </c>
      <c r="C844" s="2">
        <v>607.46</v>
      </c>
      <c r="D844" s="9">
        <f>B844-B843</f>
        <v>0.16999999999998749</v>
      </c>
      <c r="E844" s="9">
        <f>C844-C843</f>
        <v>4.6600000000000819</v>
      </c>
      <c r="F844" s="3">
        <f>F$1/B844</f>
        <v>545.0482367689541</v>
      </c>
      <c r="G844" s="3">
        <f>F$1/C844</f>
        <v>164.61989266782996</v>
      </c>
      <c r="H844" s="2">
        <f>D844*F843</f>
        <v>92.744135297319971</v>
      </c>
      <c r="I844" s="2">
        <f>E844*G843</f>
        <v>773.0590577306042</v>
      </c>
      <c r="J844" s="2">
        <f>I844-H844</f>
        <v>680.31492243328421</v>
      </c>
      <c r="K844" s="2">
        <f t="shared" si="111"/>
        <v>-680.31492243328421</v>
      </c>
      <c r="L844" s="3">
        <f>C844/B844</f>
        <v>3.3109500190766883</v>
      </c>
      <c r="M844" s="3">
        <f t="shared" si="105"/>
        <v>3.2573270837886432</v>
      </c>
      <c r="N844" s="3">
        <f t="shared" si="109"/>
        <v>3.2447809740366638</v>
      </c>
      <c r="O844" s="3">
        <f t="shared" si="110"/>
        <v>3.2357542858815918</v>
      </c>
      <c r="P844" s="3">
        <f t="shared" si="112"/>
        <v>3.2054730588135216</v>
      </c>
      <c r="Q844" s="4" t="str">
        <f t="shared" si="108"/>
        <v>OVER</v>
      </c>
      <c r="R844" s="4" t="str">
        <f t="shared" si="108"/>
        <v>OVER</v>
      </c>
      <c r="S844" s="4" t="str">
        <f t="shared" si="106"/>
        <v>OVER</v>
      </c>
      <c r="T844" s="4" t="str">
        <f t="shared" si="106"/>
        <v>OVER</v>
      </c>
      <c r="U844" s="2">
        <f>IF(Q844="OVER",$J844,$K844)</f>
        <v>680.31492243328421</v>
      </c>
      <c r="V844" s="2">
        <f>IF(R844="OVER",$J844,$K844)</f>
        <v>680.31492243328421</v>
      </c>
      <c r="W844" s="2">
        <f>IF(S844="OVER",$J844,$K844)</f>
        <v>680.31492243328421</v>
      </c>
      <c r="X844" s="2">
        <f>IF(T844="OVER",$J844,$K844)</f>
        <v>680.31492243328421</v>
      </c>
      <c r="Y844" s="9">
        <f t="shared" si="107"/>
        <v>-8018.8807676640245</v>
      </c>
      <c r="Z844" s="9">
        <f t="shared" si="107"/>
        <v>8075.6478488392895</v>
      </c>
      <c r="AA844" s="9">
        <f t="shared" si="107"/>
        <v>51491.1080166717</v>
      </c>
      <c r="AB844" s="9">
        <f t="shared" si="107"/>
        <v>21874.97039377183</v>
      </c>
    </row>
    <row r="845" spans="1:28" x14ac:dyDescent="0.3">
      <c r="A845" s="1">
        <v>45638</v>
      </c>
      <c r="B845" s="2">
        <v>182.8</v>
      </c>
      <c r="C845" s="2">
        <v>604.33000000000004</v>
      </c>
      <c r="D845" s="9">
        <f>B845-B844</f>
        <v>-0.66999999999998749</v>
      </c>
      <c r="E845" s="9">
        <f>C845-C844</f>
        <v>-3.1299999999999955</v>
      </c>
      <c r="F845" s="3">
        <f>F$1/B845</f>
        <v>547.04595185995618</v>
      </c>
      <c r="G845" s="3">
        <f>F$1/C845</f>
        <v>165.47250674300463</v>
      </c>
      <c r="H845" s="2">
        <f>D845*F844</f>
        <v>-365.18231863519242</v>
      </c>
      <c r="I845" s="2">
        <f>E845*G844</f>
        <v>-515.260264050307</v>
      </c>
      <c r="J845" s="2">
        <f>I845-H845</f>
        <v>-150.07794541511458</v>
      </c>
      <c r="K845" s="2">
        <f t="shared" si="111"/>
        <v>150.07794541511458</v>
      </c>
      <c r="L845" s="3">
        <f>C845/B845</f>
        <v>3.3059628008752737</v>
      </c>
      <c r="M845" s="3">
        <f t="shared" ref="M845:M908" si="113">AVERAGE(L836:L845)</f>
        <v>3.2677790174447354</v>
      </c>
      <c r="N845" s="3">
        <f t="shared" si="109"/>
        <v>3.2475430518083686</v>
      </c>
      <c r="O845" s="3">
        <f t="shared" si="110"/>
        <v>3.2379638688286558</v>
      </c>
      <c r="P845" s="3">
        <f t="shared" si="112"/>
        <v>3.2063891299114089</v>
      </c>
      <c r="Q845" s="4" t="str">
        <f t="shared" si="108"/>
        <v>OVER</v>
      </c>
      <c r="R845" s="4" t="str">
        <f t="shared" si="108"/>
        <v>OVER</v>
      </c>
      <c r="S845" s="4" t="str">
        <f t="shared" ref="S845:T908" si="114">IF($L845&gt;O845,"OVER","UNDER")</f>
        <v>OVER</v>
      </c>
      <c r="T845" s="4" t="str">
        <f t="shared" si="114"/>
        <v>OVER</v>
      </c>
      <c r="U845" s="2">
        <f>IF(Q845="OVER",$J845,$K845)</f>
        <v>-150.07794541511458</v>
      </c>
      <c r="V845" s="2">
        <f>IF(R845="OVER",$J845,$K845)</f>
        <v>-150.07794541511458</v>
      </c>
      <c r="W845" s="2">
        <f>IF(S845="OVER",$J845,$K845)</f>
        <v>-150.07794541511458</v>
      </c>
      <c r="X845" s="2">
        <f>IF(T845="OVER",$J845,$K845)</f>
        <v>-150.07794541511458</v>
      </c>
      <c r="Y845" s="9">
        <f t="shared" ref="Y845:AB908" si="115">Y844+U845</f>
        <v>-8168.9587130791388</v>
      </c>
      <c r="Z845" s="9">
        <f t="shared" si="115"/>
        <v>7925.5699034241752</v>
      </c>
      <c r="AA845" s="9">
        <f t="shared" si="115"/>
        <v>51341.030071256588</v>
      </c>
      <c r="AB845" s="9">
        <f t="shared" si="115"/>
        <v>21724.892448356713</v>
      </c>
    </row>
    <row r="846" spans="1:28" x14ac:dyDescent="0.3">
      <c r="A846" s="1">
        <v>45639</v>
      </c>
      <c r="B846" s="2">
        <v>182.16</v>
      </c>
      <c r="C846" s="2">
        <v>604.21</v>
      </c>
      <c r="D846" s="9">
        <f>B846-B845</f>
        <v>-0.64000000000001478</v>
      </c>
      <c r="E846" s="9">
        <f>C846-C845</f>
        <v>-0.12000000000000455</v>
      </c>
      <c r="F846" s="3">
        <f>F$1/B846</f>
        <v>548.96794027228816</v>
      </c>
      <c r="G846" s="3">
        <f>F$1/C846</f>
        <v>165.50537064927755</v>
      </c>
      <c r="H846" s="2">
        <f>D846*F845</f>
        <v>-350.10940919038006</v>
      </c>
      <c r="I846" s="2">
        <f>E846*G845</f>
        <v>-19.856700809161307</v>
      </c>
      <c r="J846" s="2">
        <f>I846-H846</f>
        <v>330.25270838121878</v>
      </c>
      <c r="K846" s="2">
        <f t="shared" si="111"/>
        <v>-330.25270838121878</v>
      </c>
      <c r="L846" s="3">
        <f>C846/B846</f>
        <v>3.316919191919192</v>
      </c>
      <c r="M846" s="3">
        <f t="shared" si="113"/>
        <v>3.2783164754917875</v>
      </c>
      <c r="N846" s="3">
        <f t="shared" si="109"/>
        <v>3.2505954424842223</v>
      </c>
      <c r="O846" s="3">
        <f t="shared" si="110"/>
        <v>3.2402069823204993</v>
      </c>
      <c r="P846" s="3">
        <f t="shared" si="112"/>
        <v>3.2073683447050856</v>
      </c>
      <c r="Q846" s="4" t="str">
        <f t="shared" ref="Q846:R909" si="116">IF($L845&gt;M845,"OVER","UNDER")</f>
        <v>OVER</v>
      </c>
      <c r="R846" s="4" t="str">
        <f t="shared" si="116"/>
        <v>OVER</v>
      </c>
      <c r="S846" s="4" t="str">
        <f t="shared" si="114"/>
        <v>OVER</v>
      </c>
      <c r="T846" s="4" t="str">
        <f t="shared" si="114"/>
        <v>OVER</v>
      </c>
      <c r="U846" s="2">
        <f>IF(Q846="OVER",$J846,$K846)</f>
        <v>330.25270838121878</v>
      </c>
      <c r="V846" s="2">
        <f>IF(R846="OVER",$J846,$K846)</f>
        <v>330.25270838121878</v>
      </c>
      <c r="W846" s="2">
        <f>IF(S846="OVER",$J846,$K846)</f>
        <v>330.25270838121878</v>
      </c>
      <c r="X846" s="2">
        <f>IF(T846="OVER",$J846,$K846)</f>
        <v>330.25270838121878</v>
      </c>
      <c r="Y846" s="9">
        <f t="shared" si="115"/>
        <v>-7838.7060046979204</v>
      </c>
      <c r="Z846" s="9">
        <f t="shared" si="115"/>
        <v>8255.8226118053935</v>
      </c>
      <c r="AA846" s="9">
        <f t="shared" si="115"/>
        <v>51671.282779637804</v>
      </c>
      <c r="AB846" s="9">
        <f t="shared" si="115"/>
        <v>22055.145156737934</v>
      </c>
    </row>
    <row r="847" spans="1:28" x14ac:dyDescent="0.3">
      <c r="A847" s="1">
        <v>45642</v>
      </c>
      <c r="B847" s="2">
        <v>181.56</v>
      </c>
      <c r="C847" s="2">
        <v>606.79</v>
      </c>
      <c r="D847" s="9">
        <f>B847-B846</f>
        <v>-0.59999999999999432</v>
      </c>
      <c r="E847" s="9">
        <f>C847-C846</f>
        <v>2.5799999999999272</v>
      </c>
      <c r="F847" s="3">
        <f>F$1/B847</f>
        <v>550.78211059704779</v>
      </c>
      <c r="G847" s="3">
        <f>F$1/C847</f>
        <v>164.80166120074492</v>
      </c>
      <c r="H847" s="2">
        <f>D847*F846</f>
        <v>-329.3807641633698</v>
      </c>
      <c r="I847" s="2">
        <f>E847*G846</f>
        <v>427.00385627512406</v>
      </c>
      <c r="J847" s="2">
        <f>I847-H847</f>
        <v>756.38462043849381</v>
      </c>
      <c r="K847" s="2">
        <f t="shared" si="111"/>
        <v>-756.38462043849381</v>
      </c>
      <c r="L847" s="3">
        <f>C847/B847</f>
        <v>3.342090768891826</v>
      </c>
      <c r="M847" s="3">
        <f t="shared" si="113"/>
        <v>3.2899874813149808</v>
      </c>
      <c r="N847" s="3">
        <f t="shared" si="109"/>
        <v>3.2558369324044407</v>
      </c>
      <c r="O847" s="3">
        <f t="shared" si="110"/>
        <v>3.2428745243041495</v>
      </c>
      <c r="P847" s="3">
        <f t="shared" si="112"/>
        <v>3.2084364512061661</v>
      </c>
      <c r="Q847" s="4" t="str">
        <f t="shared" si="116"/>
        <v>OVER</v>
      </c>
      <c r="R847" s="4" t="str">
        <f t="shared" si="116"/>
        <v>OVER</v>
      </c>
      <c r="S847" s="4" t="str">
        <f t="shared" si="114"/>
        <v>OVER</v>
      </c>
      <c r="T847" s="4" t="str">
        <f t="shared" si="114"/>
        <v>OVER</v>
      </c>
      <c r="U847" s="2">
        <f>IF(Q847="OVER",$J847,$K847)</f>
        <v>756.38462043849381</v>
      </c>
      <c r="V847" s="2">
        <f>IF(R847="OVER",$J847,$K847)</f>
        <v>756.38462043849381</v>
      </c>
      <c r="W847" s="2">
        <f>IF(S847="OVER",$J847,$K847)</f>
        <v>756.38462043849381</v>
      </c>
      <c r="X847" s="2">
        <f>IF(T847="OVER",$J847,$K847)</f>
        <v>756.38462043849381</v>
      </c>
      <c r="Y847" s="9">
        <f t="shared" si="115"/>
        <v>-7082.3213842594268</v>
      </c>
      <c r="Z847" s="9">
        <f t="shared" si="115"/>
        <v>9012.2072322438871</v>
      </c>
      <c r="AA847" s="9">
        <f t="shared" si="115"/>
        <v>52427.667400076301</v>
      </c>
      <c r="AB847" s="9">
        <f t="shared" si="115"/>
        <v>22811.529777176427</v>
      </c>
    </row>
    <row r="848" spans="1:28" x14ac:dyDescent="0.3">
      <c r="A848" s="1">
        <v>45643</v>
      </c>
      <c r="B848" s="2">
        <v>180.13</v>
      </c>
      <c r="C848" s="2">
        <v>604.29</v>
      </c>
      <c r="D848" s="9">
        <f>B848-B847</f>
        <v>-1.4300000000000068</v>
      </c>
      <c r="E848" s="9">
        <f>C848-C847</f>
        <v>-2.5</v>
      </c>
      <c r="F848" s="3">
        <f>F$1/B848</f>
        <v>555.15461055904075</v>
      </c>
      <c r="G848" s="3">
        <f>F$1/C848</f>
        <v>165.4834599281802</v>
      </c>
      <c r="H848" s="2">
        <f>D848*F847</f>
        <v>-787.61841815378205</v>
      </c>
      <c r="I848" s="2">
        <f>E848*G847</f>
        <v>-412.00415300186228</v>
      </c>
      <c r="J848" s="2">
        <f>I848-H848</f>
        <v>375.61426515191977</v>
      </c>
      <c r="K848" s="2">
        <f t="shared" si="111"/>
        <v>-375.61426515191977</v>
      </c>
      <c r="L848" s="3">
        <f>C848/B848</f>
        <v>3.3547437961472268</v>
      </c>
      <c r="M848" s="3">
        <f t="shared" si="113"/>
        <v>3.3013366999163929</v>
      </c>
      <c r="N848" s="3">
        <f t="shared" si="109"/>
        <v>3.2617009455728416</v>
      </c>
      <c r="O848" s="3">
        <f t="shared" si="110"/>
        <v>3.245876387471704</v>
      </c>
      <c r="P848" s="3">
        <f t="shared" si="112"/>
        <v>3.2096131416293918</v>
      </c>
      <c r="Q848" s="4" t="str">
        <f t="shared" si="116"/>
        <v>OVER</v>
      </c>
      <c r="R848" s="4" t="str">
        <f t="shared" si="116"/>
        <v>OVER</v>
      </c>
      <c r="S848" s="4" t="str">
        <f t="shared" si="114"/>
        <v>OVER</v>
      </c>
      <c r="T848" s="4" t="str">
        <f t="shared" si="114"/>
        <v>OVER</v>
      </c>
      <c r="U848" s="2">
        <f>IF(Q848="OVER",$J848,$K848)</f>
        <v>375.61426515191977</v>
      </c>
      <c r="V848" s="2">
        <f>IF(R848="OVER",$J848,$K848)</f>
        <v>375.61426515191977</v>
      </c>
      <c r="W848" s="2">
        <f>IF(S848="OVER",$J848,$K848)</f>
        <v>375.61426515191977</v>
      </c>
      <c r="X848" s="2">
        <f>IF(T848="OVER",$J848,$K848)</f>
        <v>375.61426515191977</v>
      </c>
      <c r="Y848" s="9">
        <f t="shared" si="115"/>
        <v>-6706.7071191075074</v>
      </c>
      <c r="Z848" s="9">
        <f t="shared" si="115"/>
        <v>9387.8214973958075</v>
      </c>
      <c r="AA848" s="9">
        <f t="shared" si="115"/>
        <v>52803.28166522822</v>
      </c>
      <c r="AB848" s="9">
        <f t="shared" si="115"/>
        <v>23187.144042328346</v>
      </c>
    </row>
    <row r="849" spans="1:28" x14ac:dyDescent="0.3">
      <c r="A849" s="1">
        <v>45644</v>
      </c>
      <c r="B849" s="2">
        <v>174.8</v>
      </c>
      <c r="C849" s="2">
        <v>586.28</v>
      </c>
      <c r="D849" s="9">
        <f>B849-B848</f>
        <v>-5.3299999999999841</v>
      </c>
      <c r="E849" s="9">
        <f>C849-C848</f>
        <v>-18.009999999999991</v>
      </c>
      <c r="F849" s="3">
        <f>F$1/B849</f>
        <v>572.08237986270024</v>
      </c>
      <c r="G849" s="3">
        <f>F$1/C849</f>
        <v>170.56696459029817</v>
      </c>
      <c r="H849" s="2">
        <f>D849*F848</f>
        <v>-2958.9740742796785</v>
      </c>
      <c r="I849" s="2">
        <f>E849*G848</f>
        <v>-2980.3571133065238</v>
      </c>
      <c r="J849" s="2">
        <f>I849-H849</f>
        <v>-21.383039026845381</v>
      </c>
      <c r="K849" s="2">
        <f t="shared" si="111"/>
        <v>21.383039026845381</v>
      </c>
      <c r="L849" s="3">
        <f>C849/B849</f>
        <v>3.3540045766590385</v>
      </c>
      <c r="M849" s="3">
        <f t="shared" si="113"/>
        <v>3.3106168334262285</v>
      </c>
      <c r="N849" s="3">
        <f t="shared" si="109"/>
        <v>3.2664968803336003</v>
      </c>
      <c r="O849" s="3">
        <f t="shared" si="110"/>
        <v>3.2484103078337139</v>
      </c>
      <c r="P849" s="3">
        <f t="shared" si="112"/>
        <v>3.2108711752785295</v>
      </c>
      <c r="Q849" s="4" t="str">
        <f t="shared" si="116"/>
        <v>OVER</v>
      </c>
      <c r="R849" s="4" t="str">
        <f t="shared" si="116"/>
        <v>OVER</v>
      </c>
      <c r="S849" s="4" t="str">
        <f t="shared" si="114"/>
        <v>OVER</v>
      </c>
      <c r="T849" s="4" t="str">
        <f t="shared" si="114"/>
        <v>OVER</v>
      </c>
      <c r="U849" s="2">
        <f>IF(Q849="OVER",$J849,$K849)</f>
        <v>-21.383039026845381</v>
      </c>
      <c r="V849" s="2">
        <f>IF(R849="OVER",$J849,$K849)</f>
        <v>-21.383039026845381</v>
      </c>
      <c r="W849" s="2">
        <f>IF(S849="OVER",$J849,$K849)</f>
        <v>-21.383039026845381</v>
      </c>
      <c r="X849" s="2">
        <f>IF(T849="OVER",$J849,$K849)</f>
        <v>-21.383039026845381</v>
      </c>
      <c r="Y849" s="9">
        <f t="shared" si="115"/>
        <v>-6728.0901581343533</v>
      </c>
      <c r="Z849" s="9">
        <f t="shared" si="115"/>
        <v>9366.4384583689625</v>
      </c>
      <c r="AA849" s="9">
        <f t="shared" si="115"/>
        <v>52781.898626201371</v>
      </c>
      <c r="AB849" s="9">
        <f t="shared" si="115"/>
        <v>23165.761003301501</v>
      </c>
    </row>
    <row r="850" spans="1:28" x14ac:dyDescent="0.3">
      <c r="A850" s="1">
        <v>45645</v>
      </c>
      <c r="B850" s="2">
        <v>174.22</v>
      </c>
      <c r="C850" s="2">
        <v>586.1</v>
      </c>
      <c r="D850" s="9">
        <f>B850-B849</f>
        <v>-0.58000000000001251</v>
      </c>
      <c r="E850" s="9">
        <f>C850-C849</f>
        <v>-0.17999999999994998</v>
      </c>
      <c r="F850" s="3">
        <f>F$1/B850</f>
        <v>573.98691309838136</v>
      </c>
      <c r="G850" s="3">
        <f>F$1/C850</f>
        <v>170.61934823408973</v>
      </c>
      <c r="H850" s="2">
        <f>D850*F849</f>
        <v>-331.8077803203733</v>
      </c>
      <c r="I850" s="2">
        <f>E850*G849</f>
        <v>-30.702053626245139</v>
      </c>
      <c r="J850" s="2">
        <f>I850-H850</f>
        <v>301.10572669412818</v>
      </c>
      <c r="K850" s="2">
        <f t="shared" si="111"/>
        <v>-301.10572669412818</v>
      </c>
      <c r="L850" s="3">
        <f>C850/B850</f>
        <v>3.3641372976696133</v>
      </c>
      <c r="M850" s="3">
        <f t="shared" si="113"/>
        <v>3.3198137347142258</v>
      </c>
      <c r="N850" s="3">
        <f t="shared" si="109"/>
        <v>3.2722910712526159</v>
      </c>
      <c r="O850" s="3">
        <f t="shared" si="110"/>
        <v>3.2511432271457905</v>
      </c>
      <c r="P850" s="3">
        <f t="shared" si="112"/>
        <v>3.2121894592366176</v>
      </c>
      <c r="Q850" s="4" t="str">
        <f t="shared" si="116"/>
        <v>OVER</v>
      </c>
      <c r="R850" s="4" t="str">
        <f t="shared" si="116"/>
        <v>OVER</v>
      </c>
      <c r="S850" s="4" t="str">
        <f t="shared" si="114"/>
        <v>OVER</v>
      </c>
      <c r="T850" s="4" t="str">
        <f t="shared" si="114"/>
        <v>OVER</v>
      </c>
      <c r="U850" s="2">
        <f>IF(Q850="OVER",$J850,$K850)</f>
        <v>301.10572669412818</v>
      </c>
      <c r="V850" s="2">
        <f>IF(R850="OVER",$J850,$K850)</f>
        <v>301.10572669412818</v>
      </c>
      <c r="W850" s="2">
        <f>IF(S850="OVER",$J850,$K850)</f>
        <v>301.10572669412818</v>
      </c>
      <c r="X850" s="2">
        <f>IF(T850="OVER",$J850,$K850)</f>
        <v>301.10572669412818</v>
      </c>
      <c r="Y850" s="9">
        <f t="shared" si="115"/>
        <v>-6426.9844314402253</v>
      </c>
      <c r="Z850" s="9">
        <f t="shared" si="115"/>
        <v>9667.5441850630905</v>
      </c>
      <c r="AA850" s="9">
        <f t="shared" si="115"/>
        <v>53083.004352895499</v>
      </c>
      <c r="AB850" s="9">
        <f t="shared" si="115"/>
        <v>23466.866729995629</v>
      </c>
    </row>
    <row r="851" spans="1:28" x14ac:dyDescent="0.3">
      <c r="A851" s="1">
        <v>45646</v>
      </c>
      <c r="B851" s="2">
        <v>176.66</v>
      </c>
      <c r="C851" s="2">
        <v>591.15</v>
      </c>
      <c r="D851" s="9">
        <f>B851-B850</f>
        <v>2.4399999999999977</v>
      </c>
      <c r="E851" s="9">
        <f>C851-C850</f>
        <v>5.0499999999999545</v>
      </c>
      <c r="F851" s="3">
        <f>F$1/B851</f>
        <v>566.05909656968186</v>
      </c>
      <c r="G851" s="3">
        <f>F$1/C851</f>
        <v>169.16180326482282</v>
      </c>
      <c r="H851" s="2">
        <f>D851*F850</f>
        <v>1400.5280679600492</v>
      </c>
      <c r="I851" s="2">
        <f>E851*G850</f>
        <v>861.62770858214537</v>
      </c>
      <c r="J851" s="2">
        <f>I851-H851</f>
        <v>-538.90035937790378</v>
      </c>
      <c r="K851" s="2">
        <f t="shared" si="111"/>
        <v>538.90035937790378</v>
      </c>
      <c r="L851" s="3">
        <f>C851/B851</f>
        <v>3.3462583493716744</v>
      </c>
      <c r="M851" s="3">
        <f t="shared" si="113"/>
        <v>3.3262307030819245</v>
      </c>
      <c r="N851" s="3">
        <f t="shared" si="109"/>
        <v>3.2783507292687881</v>
      </c>
      <c r="O851" s="3">
        <f t="shared" si="110"/>
        <v>3.2533891912143353</v>
      </c>
      <c r="P851" s="3">
        <f t="shared" si="112"/>
        <v>3.2133863514662755</v>
      </c>
      <c r="Q851" s="4" t="str">
        <f t="shared" si="116"/>
        <v>OVER</v>
      </c>
      <c r="R851" s="4" t="str">
        <f t="shared" si="116"/>
        <v>OVER</v>
      </c>
      <c r="S851" s="4" t="str">
        <f t="shared" si="114"/>
        <v>OVER</v>
      </c>
      <c r="T851" s="4" t="str">
        <f t="shared" si="114"/>
        <v>OVER</v>
      </c>
      <c r="U851" s="2">
        <f>IF(Q851="OVER",$J851,$K851)</f>
        <v>-538.90035937790378</v>
      </c>
      <c r="V851" s="2">
        <f>IF(R851="OVER",$J851,$K851)</f>
        <v>-538.90035937790378</v>
      </c>
      <c r="W851" s="2">
        <f>IF(S851="OVER",$J851,$K851)</f>
        <v>-538.90035937790378</v>
      </c>
      <c r="X851" s="2">
        <f>IF(T851="OVER",$J851,$K851)</f>
        <v>-538.90035937790378</v>
      </c>
      <c r="Y851" s="9">
        <f t="shared" si="115"/>
        <v>-6965.8847908181287</v>
      </c>
      <c r="Z851" s="9">
        <f t="shared" si="115"/>
        <v>9128.643825685187</v>
      </c>
      <c r="AA851" s="9">
        <f t="shared" si="115"/>
        <v>52544.103993517594</v>
      </c>
      <c r="AB851" s="9">
        <f t="shared" si="115"/>
        <v>22927.966370617723</v>
      </c>
    </row>
    <row r="852" spans="1:28" x14ac:dyDescent="0.3">
      <c r="A852" s="1">
        <v>45649</v>
      </c>
      <c r="B852" s="2">
        <v>176.28</v>
      </c>
      <c r="C852" s="2">
        <v>594.69000000000005</v>
      </c>
      <c r="D852" s="9">
        <f>B852-B851</f>
        <v>-0.37999999999999545</v>
      </c>
      <c r="E852" s="9">
        <f>C852-C851</f>
        <v>3.5400000000000773</v>
      </c>
      <c r="F852" s="3">
        <f>F$1/B852</f>
        <v>567.27932834127523</v>
      </c>
      <c r="G852" s="3">
        <f>F$1/C852</f>
        <v>168.15483697388555</v>
      </c>
      <c r="H852" s="2">
        <f>D852*F851</f>
        <v>-215.10245669647654</v>
      </c>
      <c r="I852" s="2">
        <f>E852*G851</f>
        <v>598.83278355748587</v>
      </c>
      <c r="J852" s="2">
        <f>I852-H852</f>
        <v>813.93524025396243</v>
      </c>
      <c r="K852" s="2">
        <f t="shared" si="111"/>
        <v>-813.93524025396243</v>
      </c>
      <c r="L852" s="3">
        <f>C852/B852</f>
        <v>3.3735534377127299</v>
      </c>
      <c r="M852" s="3">
        <f t="shared" si="113"/>
        <v>3.335721816521906</v>
      </c>
      <c r="N852" s="3">
        <f t="shared" si="109"/>
        <v>3.2865395314298516</v>
      </c>
      <c r="O852" s="3">
        <f t="shared" si="110"/>
        <v>3.2564266857606965</v>
      </c>
      <c r="P852" s="3">
        <f t="shared" si="112"/>
        <v>3.2147952339953023</v>
      </c>
      <c r="Q852" s="4" t="str">
        <f t="shared" si="116"/>
        <v>OVER</v>
      </c>
      <c r="R852" s="4" t="str">
        <f t="shared" si="116"/>
        <v>OVER</v>
      </c>
      <c r="S852" s="4" t="str">
        <f t="shared" si="114"/>
        <v>OVER</v>
      </c>
      <c r="T852" s="4" t="str">
        <f t="shared" si="114"/>
        <v>OVER</v>
      </c>
      <c r="U852" s="2">
        <f>IF(Q852="OVER",$J852,$K852)</f>
        <v>813.93524025396243</v>
      </c>
      <c r="V852" s="2">
        <f>IF(R852="OVER",$J852,$K852)</f>
        <v>813.93524025396243</v>
      </c>
      <c r="W852" s="2">
        <f>IF(S852="OVER",$J852,$K852)</f>
        <v>813.93524025396243</v>
      </c>
      <c r="X852" s="2">
        <f>IF(T852="OVER",$J852,$K852)</f>
        <v>813.93524025396243</v>
      </c>
      <c r="Y852" s="9">
        <f t="shared" si="115"/>
        <v>-6151.9495505641662</v>
      </c>
      <c r="Z852" s="9">
        <f t="shared" si="115"/>
        <v>9942.5790659391496</v>
      </c>
      <c r="AA852" s="9">
        <f t="shared" si="115"/>
        <v>53358.039233771553</v>
      </c>
      <c r="AB852" s="9">
        <f t="shared" si="115"/>
        <v>23741.901610871686</v>
      </c>
    </row>
    <row r="853" spans="1:28" x14ac:dyDescent="0.3">
      <c r="A853" s="1">
        <v>45650</v>
      </c>
      <c r="B853" s="2">
        <v>177.61</v>
      </c>
      <c r="C853" s="2">
        <v>601.29999999999995</v>
      </c>
      <c r="D853" s="9">
        <f>B853-B852</f>
        <v>1.3300000000000125</v>
      </c>
      <c r="E853" s="9">
        <f>C853-C852</f>
        <v>6.6099999999999</v>
      </c>
      <c r="F853" s="3">
        <f>F$1/B853</f>
        <v>563.03136084679909</v>
      </c>
      <c r="G853" s="3">
        <f>F$1/C853</f>
        <v>166.30633627141196</v>
      </c>
      <c r="H853" s="2">
        <f>D853*F852</f>
        <v>754.48150669390316</v>
      </c>
      <c r="I853" s="2">
        <f>E853*G852</f>
        <v>1111.5034723973667</v>
      </c>
      <c r="J853" s="2">
        <f>I853-H853</f>
        <v>357.02196570346359</v>
      </c>
      <c r="K853" s="2">
        <f t="shared" si="111"/>
        <v>-357.02196570346359</v>
      </c>
      <c r="L853" s="3">
        <f>C853/B853</f>
        <v>3.3855075727718029</v>
      </c>
      <c r="M853" s="3">
        <f t="shared" si="113"/>
        <v>3.3454127811095065</v>
      </c>
      <c r="N853" s="3">
        <f t="shared" si="109"/>
        <v>3.2962267470429625</v>
      </c>
      <c r="O853" s="3">
        <f t="shared" si="110"/>
        <v>3.259649473790462</v>
      </c>
      <c r="P853" s="3">
        <f t="shared" si="112"/>
        <v>3.2162967520667407</v>
      </c>
      <c r="Q853" s="4" t="str">
        <f t="shared" si="116"/>
        <v>OVER</v>
      </c>
      <c r="R853" s="4" t="str">
        <f t="shared" si="116"/>
        <v>OVER</v>
      </c>
      <c r="S853" s="4" t="str">
        <f t="shared" si="114"/>
        <v>OVER</v>
      </c>
      <c r="T853" s="4" t="str">
        <f t="shared" si="114"/>
        <v>OVER</v>
      </c>
      <c r="U853" s="2">
        <f>IF(Q853="OVER",$J853,$K853)</f>
        <v>357.02196570346359</v>
      </c>
      <c r="V853" s="2">
        <f>IF(R853="OVER",$J853,$K853)</f>
        <v>357.02196570346359</v>
      </c>
      <c r="W853" s="2">
        <f>IF(S853="OVER",$J853,$K853)</f>
        <v>357.02196570346359</v>
      </c>
      <c r="X853" s="2">
        <f>IF(T853="OVER",$J853,$K853)</f>
        <v>357.02196570346359</v>
      </c>
      <c r="Y853" s="9">
        <f t="shared" si="115"/>
        <v>-5794.9275848607031</v>
      </c>
      <c r="Z853" s="9">
        <f t="shared" si="115"/>
        <v>10299.601031642613</v>
      </c>
      <c r="AA853" s="9">
        <f t="shared" si="115"/>
        <v>53715.061199475014</v>
      </c>
      <c r="AB853" s="9">
        <f t="shared" si="115"/>
        <v>24098.923576575151</v>
      </c>
    </row>
    <row r="854" spans="1:28" x14ac:dyDescent="0.3">
      <c r="A854" s="1">
        <v>45652</v>
      </c>
      <c r="B854" s="2">
        <v>177.9</v>
      </c>
      <c r="C854" s="2">
        <v>601.34</v>
      </c>
      <c r="D854" s="9">
        <f>B854-B853</f>
        <v>0.28999999999999204</v>
      </c>
      <c r="E854" s="9">
        <f>C854-C853</f>
        <v>4.0000000000077307E-2</v>
      </c>
      <c r="F854" s="3">
        <f>F$1/B854</f>
        <v>562.11354693648116</v>
      </c>
      <c r="G854" s="3">
        <f>F$1/C854</f>
        <v>166.29527388831607</v>
      </c>
      <c r="H854" s="2">
        <f>D854*F853</f>
        <v>163.27909464556726</v>
      </c>
      <c r="I854" s="2">
        <f>E854*G853</f>
        <v>6.6522534508693356</v>
      </c>
      <c r="J854" s="2">
        <f>I854-H854</f>
        <v>-156.62684119469793</v>
      </c>
      <c r="K854" s="2">
        <f t="shared" si="111"/>
        <v>156.62684119469793</v>
      </c>
      <c r="L854" s="3">
        <f>C854/B854</f>
        <v>3.380213603147836</v>
      </c>
      <c r="M854" s="3">
        <f t="shared" si="113"/>
        <v>3.3523391395166215</v>
      </c>
      <c r="N854" s="3">
        <f t="shared" si="109"/>
        <v>3.3048331116526319</v>
      </c>
      <c r="O854" s="3">
        <f t="shared" si="110"/>
        <v>3.2629765839908909</v>
      </c>
      <c r="P854" s="3">
        <f t="shared" si="112"/>
        <v>3.2176462100915075</v>
      </c>
      <c r="Q854" s="4" t="str">
        <f t="shared" si="116"/>
        <v>OVER</v>
      </c>
      <c r="R854" s="4" t="str">
        <f t="shared" si="116"/>
        <v>OVER</v>
      </c>
      <c r="S854" s="4" t="str">
        <f t="shared" si="114"/>
        <v>OVER</v>
      </c>
      <c r="T854" s="4" t="str">
        <f t="shared" si="114"/>
        <v>OVER</v>
      </c>
      <c r="U854" s="2">
        <f>IF(Q854="OVER",$J854,$K854)</f>
        <v>-156.62684119469793</v>
      </c>
      <c r="V854" s="2">
        <f>IF(R854="OVER",$J854,$K854)</f>
        <v>-156.62684119469793</v>
      </c>
      <c r="W854" s="2">
        <f>IF(S854="OVER",$J854,$K854)</f>
        <v>-156.62684119469793</v>
      </c>
      <c r="X854" s="2">
        <f>IF(T854="OVER",$J854,$K854)</f>
        <v>-156.62684119469793</v>
      </c>
      <c r="Y854" s="9">
        <f t="shared" si="115"/>
        <v>-5951.5544260554007</v>
      </c>
      <c r="Z854" s="9">
        <f t="shared" si="115"/>
        <v>10142.974190447914</v>
      </c>
      <c r="AA854" s="9">
        <f t="shared" si="115"/>
        <v>53558.434358280319</v>
      </c>
      <c r="AB854" s="9">
        <f t="shared" si="115"/>
        <v>23942.296735380452</v>
      </c>
    </row>
    <row r="855" spans="1:28" x14ac:dyDescent="0.3">
      <c r="A855" s="1">
        <v>45653</v>
      </c>
      <c r="B855" s="2">
        <v>176.69</v>
      </c>
      <c r="C855" s="2">
        <v>595.01</v>
      </c>
      <c r="D855" s="9">
        <f>B855-B854</f>
        <v>-1.210000000000008</v>
      </c>
      <c r="E855" s="9">
        <f>C855-C854</f>
        <v>-6.3300000000000409</v>
      </c>
      <c r="F855" s="3">
        <f>F$1/B855</f>
        <v>565.9629860207142</v>
      </c>
      <c r="G855" s="3">
        <f>F$1/C855</f>
        <v>168.06440227895331</v>
      </c>
      <c r="H855" s="2">
        <f>D855*F854</f>
        <v>-680.15739179314664</v>
      </c>
      <c r="I855" s="2">
        <f>E855*G854</f>
        <v>-1052.6490837130475</v>
      </c>
      <c r="J855" s="2">
        <f>I855-H855</f>
        <v>-372.49169191990086</v>
      </c>
      <c r="K855" s="2">
        <f t="shared" si="111"/>
        <v>372.49169191990086</v>
      </c>
      <c r="L855" s="3">
        <f>C855/B855</f>
        <v>3.367536363121852</v>
      </c>
      <c r="M855" s="3">
        <f t="shared" si="113"/>
        <v>3.3584964957412793</v>
      </c>
      <c r="N855" s="3">
        <f t="shared" ref="N855:N918" si="117">AVERAGE(L836:L855)</f>
        <v>3.3131377565930071</v>
      </c>
      <c r="O855" s="3">
        <f t="shared" si="110"/>
        <v>3.2662044172989173</v>
      </c>
      <c r="P855" s="3">
        <f t="shared" si="112"/>
        <v>3.2189641301312637</v>
      </c>
      <c r="Q855" s="4" t="str">
        <f t="shared" si="116"/>
        <v>OVER</v>
      </c>
      <c r="R855" s="4" t="str">
        <f t="shared" si="116"/>
        <v>OVER</v>
      </c>
      <c r="S855" s="4" t="str">
        <f t="shared" si="114"/>
        <v>OVER</v>
      </c>
      <c r="T855" s="4" t="str">
        <f t="shared" si="114"/>
        <v>OVER</v>
      </c>
      <c r="U855" s="2">
        <f>IF(Q855="OVER",$J855,$K855)</f>
        <v>-372.49169191990086</v>
      </c>
      <c r="V855" s="2">
        <f>IF(R855="OVER",$J855,$K855)</f>
        <v>-372.49169191990086</v>
      </c>
      <c r="W855" s="2">
        <f>IF(S855="OVER",$J855,$K855)</f>
        <v>-372.49169191990086</v>
      </c>
      <c r="X855" s="2">
        <f>IF(T855="OVER",$J855,$K855)</f>
        <v>-372.49169191990086</v>
      </c>
      <c r="Y855" s="9">
        <f t="shared" si="115"/>
        <v>-6324.046117975302</v>
      </c>
      <c r="Z855" s="9">
        <f t="shared" si="115"/>
        <v>9770.4824985280138</v>
      </c>
      <c r="AA855" s="9">
        <f t="shared" si="115"/>
        <v>53185.942666360417</v>
      </c>
      <c r="AB855" s="9">
        <f t="shared" si="115"/>
        <v>23569.80504346055</v>
      </c>
    </row>
    <row r="856" spans="1:28" x14ac:dyDescent="0.3">
      <c r="A856" s="1">
        <v>45656</v>
      </c>
      <c r="B856" s="2">
        <v>174.91</v>
      </c>
      <c r="C856" s="2">
        <v>588.22</v>
      </c>
      <c r="D856" s="9">
        <f>B856-B855</f>
        <v>-1.7800000000000011</v>
      </c>
      <c r="E856" s="9">
        <f>C856-C855</f>
        <v>-6.7899999999999636</v>
      </c>
      <c r="F856" s="3">
        <f>F$1/B856</f>
        <v>571.72260019438568</v>
      </c>
      <c r="G856" s="3">
        <f>F$1/C856</f>
        <v>170.00442011492299</v>
      </c>
      <c r="H856" s="2">
        <f>D856*F855</f>
        <v>-1007.4141151168719</v>
      </c>
      <c r="I856" s="2">
        <f>E856*G855</f>
        <v>-1141.1572914740868</v>
      </c>
      <c r="J856" s="2">
        <f>I856-H856</f>
        <v>-133.74317635721491</v>
      </c>
      <c r="K856" s="2">
        <f t="shared" si="111"/>
        <v>133.74317635721491</v>
      </c>
      <c r="L856" s="3">
        <f>C856/B856</f>
        <v>3.3629866788634155</v>
      </c>
      <c r="M856" s="3">
        <f t="shared" si="113"/>
        <v>3.3631032444357016</v>
      </c>
      <c r="N856" s="3">
        <f t="shared" si="117"/>
        <v>3.3207098599637446</v>
      </c>
      <c r="O856" s="3">
        <f t="shared" si="110"/>
        <v>3.2692331907482424</v>
      </c>
      <c r="P856" s="3">
        <f t="shared" si="112"/>
        <v>3.220149890282896</v>
      </c>
      <c r="Q856" s="4" t="str">
        <f t="shared" si="116"/>
        <v>OVER</v>
      </c>
      <c r="R856" s="4" t="str">
        <f t="shared" si="116"/>
        <v>OVER</v>
      </c>
      <c r="S856" s="4" t="str">
        <f t="shared" si="114"/>
        <v>OVER</v>
      </c>
      <c r="T856" s="4" t="str">
        <f t="shared" si="114"/>
        <v>OVER</v>
      </c>
      <c r="U856" s="2">
        <f>IF(Q856="OVER",$J856,$K856)</f>
        <v>-133.74317635721491</v>
      </c>
      <c r="V856" s="2">
        <f>IF(R856="OVER",$J856,$K856)</f>
        <v>-133.74317635721491</v>
      </c>
      <c r="W856" s="2">
        <f>IF(S856="OVER",$J856,$K856)</f>
        <v>-133.74317635721491</v>
      </c>
      <c r="X856" s="2">
        <f>IF(T856="OVER",$J856,$K856)</f>
        <v>-133.74317635721491</v>
      </c>
      <c r="Y856" s="9">
        <f t="shared" si="115"/>
        <v>-6457.7892943325169</v>
      </c>
      <c r="Z856" s="9">
        <f t="shared" si="115"/>
        <v>9636.7393221707989</v>
      </c>
      <c r="AA856" s="9">
        <f t="shared" si="115"/>
        <v>53052.1994900032</v>
      </c>
      <c r="AB856" s="9">
        <f t="shared" si="115"/>
        <v>23436.061867103337</v>
      </c>
    </row>
    <row r="857" spans="1:28" x14ac:dyDescent="0.3">
      <c r="A857" s="1">
        <v>45657</v>
      </c>
      <c r="B857" s="2">
        <v>175.23</v>
      </c>
      <c r="C857" s="2">
        <v>586.08000000000004</v>
      </c>
      <c r="D857" s="9">
        <f>B857-B856</f>
        <v>0.31999999999999318</v>
      </c>
      <c r="E857" s="9">
        <f>C857-C856</f>
        <v>-2.1399999999999864</v>
      </c>
      <c r="F857" s="3">
        <f>F$1/B857</f>
        <v>570.67853678023175</v>
      </c>
      <c r="G857" s="3">
        <f>F$1/C857</f>
        <v>170.62517062517063</v>
      </c>
      <c r="H857" s="2">
        <f>D857*F856</f>
        <v>182.95123206219952</v>
      </c>
      <c r="I857" s="2">
        <f>E857*G856</f>
        <v>-363.8094590459329</v>
      </c>
      <c r="J857" s="2">
        <f>I857-H857</f>
        <v>-546.76069110813239</v>
      </c>
      <c r="K857" s="2">
        <f t="shared" si="111"/>
        <v>546.76069110813239</v>
      </c>
      <c r="L857" s="3">
        <f>C857/B857</f>
        <v>3.3446327683615822</v>
      </c>
      <c r="M857" s="3">
        <f t="shared" si="113"/>
        <v>3.3633574443826775</v>
      </c>
      <c r="N857" s="3">
        <f t="shared" si="117"/>
        <v>3.3266724628488284</v>
      </c>
      <c r="O857" s="3">
        <f t="shared" si="110"/>
        <v>3.2718392677902965</v>
      </c>
      <c r="P857" s="3">
        <f t="shared" si="112"/>
        <v>3.2213691616542013</v>
      </c>
      <c r="Q857" s="4" t="str">
        <f t="shared" si="116"/>
        <v>UNDER</v>
      </c>
      <c r="R857" s="4" t="str">
        <f t="shared" si="116"/>
        <v>OVER</v>
      </c>
      <c r="S857" s="4" t="str">
        <f t="shared" si="114"/>
        <v>OVER</v>
      </c>
      <c r="T857" s="4" t="str">
        <f t="shared" si="114"/>
        <v>OVER</v>
      </c>
      <c r="U857" s="2">
        <f>IF(Q857="OVER",$J857,$K857)</f>
        <v>546.76069110813239</v>
      </c>
      <c r="V857" s="2">
        <f>IF(R857="OVER",$J857,$K857)</f>
        <v>-546.76069110813239</v>
      </c>
      <c r="W857" s="2">
        <f>IF(S857="OVER",$J857,$K857)</f>
        <v>-546.76069110813239</v>
      </c>
      <c r="X857" s="2">
        <f>IF(T857="OVER",$J857,$K857)</f>
        <v>-546.76069110813239</v>
      </c>
      <c r="Y857" s="9">
        <f t="shared" si="115"/>
        <v>-5911.0286032243848</v>
      </c>
      <c r="Z857" s="9">
        <f t="shared" si="115"/>
        <v>9089.978631062666</v>
      </c>
      <c r="AA857" s="9">
        <f t="shared" si="115"/>
        <v>52505.438798895069</v>
      </c>
      <c r="AB857" s="9">
        <f t="shared" si="115"/>
        <v>22889.301175995206</v>
      </c>
    </row>
    <row r="858" spans="1:28" x14ac:dyDescent="0.3">
      <c r="A858" s="1">
        <v>45659</v>
      </c>
      <c r="B858" s="2">
        <v>174.72</v>
      </c>
      <c r="C858" s="2">
        <v>584.64</v>
      </c>
      <c r="D858" s="9">
        <f>B858-B857</f>
        <v>-0.50999999999999091</v>
      </c>
      <c r="E858" s="9">
        <f>C858-C857</f>
        <v>-1.4400000000000546</v>
      </c>
      <c r="F858" s="3">
        <f>F$1/B858</f>
        <v>572.34432234432234</v>
      </c>
      <c r="G858" s="3">
        <f>F$1/C858</f>
        <v>171.04542966611933</v>
      </c>
      <c r="H858" s="2">
        <f>D858*F857</f>
        <v>-291.046053757913</v>
      </c>
      <c r="I858" s="2">
        <f>E858*G857</f>
        <v>-245.70024570025501</v>
      </c>
      <c r="J858" s="2">
        <f>I858-H858</f>
        <v>45.34580805765799</v>
      </c>
      <c r="K858" s="2">
        <f t="shared" si="111"/>
        <v>-45.34580805765799</v>
      </c>
      <c r="L858" s="3">
        <f>C858/B858</f>
        <v>3.3461538461538463</v>
      </c>
      <c r="M858" s="3">
        <f t="shared" si="113"/>
        <v>3.362498449383339</v>
      </c>
      <c r="N858" s="3">
        <f t="shared" si="117"/>
        <v>3.3319175746498657</v>
      </c>
      <c r="O858" s="3">
        <f t="shared" si="110"/>
        <v>3.274029647286576</v>
      </c>
      <c r="P858" s="3">
        <f t="shared" si="112"/>
        <v>3.2224820491625756</v>
      </c>
      <c r="Q858" s="4" t="str">
        <f t="shared" si="116"/>
        <v>UNDER</v>
      </c>
      <c r="R858" s="4" t="str">
        <f t="shared" si="116"/>
        <v>OVER</v>
      </c>
      <c r="S858" s="4" t="str">
        <f t="shared" si="114"/>
        <v>OVER</v>
      </c>
      <c r="T858" s="4" t="str">
        <f t="shared" si="114"/>
        <v>OVER</v>
      </c>
      <c r="U858" s="2">
        <f>IF(Q858="OVER",$J858,$K858)</f>
        <v>-45.34580805765799</v>
      </c>
      <c r="V858" s="2">
        <f>IF(R858="OVER",$J858,$K858)</f>
        <v>45.34580805765799</v>
      </c>
      <c r="W858" s="2">
        <f>IF(S858="OVER",$J858,$K858)</f>
        <v>45.34580805765799</v>
      </c>
      <c r="X858" s="2">
        <f>IF(T858="OVER",$J858,$K858)</f>
        <v>45.34580805765799</v>
      </c>
      <c r="Y858" s="9">
        <f t="shared" si="115"/>
        <v>-5956.3744112820432</v>
      </c>
      <c r="Z858" s="9">
        <f t="shared" si="115"/>
        <v>9135.3244391203243</v>
      </c>
      <c r="AA858" s="9">
        <f t="shared" si="115"/>
        <v>52550.78460695273</v>
      </c>
      <c r="AB858" s="9">
        <f t="shared" si="115"/>
        <v>22934.646984052863</v>
      </c>
    </row>
    <row r="859" spans="1:28" x14ac:dyDescent="0.3">
      <c r="A859" s="1">
        <v>45660</v>
      </c>
      <c r="B859" s="2">
        <v>176.32</v>
      </c>
      <c r="C859" s="2">
        <v>591.95000000000005</v>
      </c>
      <c r="D859" s="9">
        <f>B859-B858</f>
        <v>1.5999999999999943</v>
      </c>
      <c r="E859" s="9">
        <f>C859-C858</f>
        <v>7.3100000000000591</v>
      </c>
      <c r="F859" s="3">
        <f>F$1/B859</f>
        <v>567.15063520871149</v>
      </c>
      <c r="G859" s="3">
        <f>F$1/C859</f>
        <v>168.93318692457132</v>
      </c>
      <c r="H859" s="2">
        <f>D859*F858</f>
        <v>915.75091575091244</v>
      </c>
      <c r="I859" s="2">
        <f>E859*G858</f>
        <v>1250.3420908593425</v>
      </c>
      <c r="J859" s="2">
        <f>I859-H859</f>
        <v>334.59117510843009</v>
      </c>
      <c r="K859" s="2">
        <f t="shared" si="111"/>
        <v>-334.59117510843009</v>
      </c>
      <c r="L859" s="3">
        <f>C859/B859</f>
        <v>3.3572481851179679</v>
      </c>
      <c r="M859" s="3">
        <f t="shared" si="113"/>
        <v>3.3628228102292326</v>
      </c>
      <c r="N859" s="3">
        <f t="shared" si="117"/>
        <v>3.3367198218277303</v>
      </c>
      <c r="O859" s="3">
        <f t="shared" si="110"/>
        <v>3.2761843597494509</v>
      </c>
      <c r="P859" s="3">
        <f t="shared" si="112"/>
        <v>3.2236567988972711</v>
      </c>
      <c r="Q859" s="4" t="str">
        <f t="shared" si="116"/>
        <v>UNDER</v>
      </c>
      <c r="R859" s="4" t="str">
        <f t="shared" si="116"/>
        <v>OVER</v>
      </c>
      <c r="S859" s="4" t="str">
        <f t="shared" si="114"/>
        <v>OVER</v>
      </c>
      <c r="T859" s="4" t="str">
        <f t="shared" si="114"/>
        <v>OVER</v>
      </c>
      <c r="U859" s="2">
        <f>IF(Q859="OVER",$J859,$K859)</f>
        <v>-334.59117510843009</v>
      </c>
      <c r="V859" s="2">
        <f>IF(R859="OVER",$J859,$K859)</f>
        <v>334.59117510843009</v>
      </c>
      <c r="W859" s="2">
        <f>IF(S859="OVER",$J859,$K859)</f>
        <v>334.59117510843009</v>
      </c>
      <c r="X859" s="2">
        <f>IF(T859="OVER",$J859,$K859)</f>
        <v>334.59117510843009</v>
      </c>
      <c r="Y859" s="9">
        <f t="shared" si="115"/>
        <v>-6290.9655863904736</v>
      </c>
      <c r="Z859" s="9">
        <f t="shared" si="115"/>
        <v>9469.9156142287538</v>
      </c>
      <c r="AA859" s="9">
        <f t="shared" si="115"/>
        <v>52885.375782061157</v>
      </c>
      <c r="AB859" s="9">
        <f t="shared" si="115"/>
        <v>23269.238159161294</v>
      </c>
    </row>
    <row r="860" spans="1:28" x14ac:dyDescent="0.3">
      <c r="A860" s="1">
        <v>45663</v>
      </c>
      <c r="B860" s="2">
        <v>176.2</v>
      </c>
      <c r="C860" s="2">
        <v>595.36</v>
      </c>
      <c r="D860" s="9">
        <f>B860-B859</f>
        <v>-0.12000000000000455</v>
      </c>
      <c r="E860" s="9">
        <f>C860-C859</f>
        <v>3.4099999999999682</v>
      </c>
      <c r="F860" s="3">
        <f>F$1/B860</f>
        <v>567.53688989784337</v>
      </c>
      <c r="G860" s="3">
        <f>F$1/C860</f>
        <v>167.96560064498792</v>
      </c>
      <c r="H860" s="2">
        <f>D860*F859</f>
        <v>-68.058076225047955</v>
      </c>
      <c r="I860" s="2">
        <f>E860*G859</f>
        <v>576.06216741278286</v>
      </c>
      <c r="J860" s="2">
        <f>I860-H860</f>
        <v>644.12024363783075</v>
      </c>
      <c r="K860" s="2">
        <f t="shared" si="111"/>
        <v>-644.12024363783075</v>
      </c>
      <c r="L860" s="3">
        <f>C860/B860</f>
        <v>3.3788876276958004</v>
      </c>
      <c r="M860" s="3">
        <f t="shared" si="113"/>
        <v>3.3642978432318507</v>
      </c>
      <c r="N860" s="3">
        <f t="shared" si="117"/>
        <v>3.3420557889730382</v>
      </c>
      <c r="O860" s="3">
        <f t="shared" si="110"/>
        <v>3.2791533486100963</v>
      </c>
      <c r="P860" s="3">
        <f t="shared" si="112"/>
        <v>3.2249287133234197</v>
      </c>
      <c r="Q860" s="4" t="str">
        <f t="shared" si="116"/>
        <v>UNDER</v>
      </c>
      <c r="R860" s="4" t="str">
        <f t="shared" si="116"/>
        <v>OVER</v>
      </c>
      <c r="S860" s="4" t="str">
        <f t="shared" si="114"/>
        <v>OVER</v>
      </c>
      <c r="T860" s="4" t="str">
        <f t="shared" si="114"/>
        <v>OVER</v>
      </c>
      <c r="U860" s="2">
        <f>IF(Q860="OVER",$J860,$K860)</f>
        <v>-644.12024363783075</v>
      </c>
      <c r="V860" s="2">
        <f>IF(R860="OVER",$J860,$K860)</f>
        <v>644.12024363783075</v>
      </c>
      <c r="W860" s="2">
        <f>IF(S860="OVER",$J860,$K860)</f>
        <v>644.12024363783075</v>
      </c>
      <c r="X860" s="2">
        <f>IF(T860="OVER",$J860,$K860)</f>
        <v>644.12024363783075</v>
      </c>
      <c r="Y860" s="9">
        <f t="shared" si="115"/>
        <v>-6935.0858300283044</v>
      </c>
      <c r="Z860" s="9">
        <f t="shared" si="115"/>
        <v>10114.035857866584</v>
      </c>
      <c r="AA860" s="9">
        <f t="shared" si="115"/>
        <v>53529.496025698987</v>
      </c>
      <c r="AB860" s="9">
        <f t="shared" si="115"/>
        <v>23913.358402799124</v>
      </c>
    </row>
    <row r="861" spans="1:28" x14ac:dyDescent="0.3">
      <c r="A861" s="1">
        <v>45664</v>
      </c>
      <c r="B861" s="2">
        <v>175.61</v>
      </c>
      <c r="C861" s="2">
        <v>588.63</v>
      </c>
      <c r="D861" s="9">
        <f>B861-B860</f>
        <v>-0.58999999999997499</v>
      </c>
      <c r="E861" s="9">
        <f>C861-C860</f>
        <v>-6.7300000000000182</v>
      </c>
      <c r="F861" s="3">
        <f>F$1/B861</f>
        <v>569.44365355048114</v>
      </c>
      <c r="G861" s="3">
        <f>F$1/C861</f>
        <v>169.88600648964544</v>
      </c>
      <c r="H861" s="2">
        <f>D861*F860</f>
        <v>-334.84676503971338</v>
      </c>
      <c r="I861" s="2">
        <f>E861*G860</f>
        <v>-1130.4084923407718</v>
      </c>
      <c r="J861" s="2">
        <f>I861-H861</f>
        <v>-795.56172730105845</v>
      </c>
      <c r="K861" s="2">
        <f t="shared" si="111"/>
        <v>795.56172730105845</v>
      </c>
      <c r="L861" s="3">
        <f>C861/B861</f>
        <v>3.3519161778941973</v>
      </c>
      <c r="M861" s="3">
        <f t="shared" si="113"/>
        <v>3.3648636260841029</v>
      </c>
      <c r="N861" s="3">
        <f t="shared" si="117"/>
        <v>3.3455471645830137</v>
      </c>
      <c r="O861" s="3">
        <f t="shared" si="110"/>
        <v>3.281457653392835</v>
      </c>
      <c r="P861" s="3">
        <f t="shared" si="112"/>
        <v>3.226120681525078</v>
      </c>
      <c r="Q861" s="4" t="str">
        <f t="shared" si="116"/>
        <v>OVER</v>
      </c>
      <c r="R861" s="4" t="str">
        <f t="shared" si="116"/>
        <v>OVER</v>
      </c>
      <c r="S861" s="4" t="str">
        <f t="shared" si="114"/>
        <v>OVER</v>
      </c>
      <c r="T861" s="4" t="str">
        <f t="shared" si="114"/>
        <v>OVER</v>
      </c>
      <c r="U861" s="2">
        <f>IF(Q861="OVER",$J861,$K861)</f>
        <v>-795.56172730105845</v>
      </c>
      <c r="V861" s="2">
        <f>IF(R861="OVER",$J861,$K861)</f>
        <v>-795.56172730105845</v>
      </c>
      <c r="W861" s="2">
        <f>IF(S861="OVER",$J861,$K861)</f>
        <v>-795.56172730105845</v>
      </c>
      <c r="X861" s="2">
        <f>IF(T861="OVER",$J861,$K861)</f>
        <v>-795.56172730105845</v>
      </c>
      <c r="Y861" s="9">
        <f t="shared" si="115"/>
        <v>-7730.6475573293628</v>
      </c>
      <c r="Z861" s="9">
        <f t="shared" si="115"/>
        <v>9318.4741305655261</v>
      </c>
      <c r="AA861" s="9">
        <f t="shared" si="115"/>
        <v>52733.93429839793</v>
      </c>
      <c r="AB861" s="9">
        <f t="shared" si="115"/>
        <v>23117.796675498066</v>
      </c>
    </row>
    <row r="862" spans="1:28" x14ac:dyDescent="0.3">
      <c r="A862" s="1">
        <v>45665</v>
      </c>
      <c r="B862" s="2">
        <v>175.82</v>
      </c>
      <c r="C862" s="2">
        <v>589.49</v>
      </c>
      <c r="D862" s="9">
        <f>B862-B861</f>
        <v>0.20999999999997954</v>
      </c>
      <c r="E862" s="9">
        <f>C862-C861</f>
        <v>0.86000000000001364</v>
      </c>
      <c r="F862" s="3">
        <f>F$1/B862</f>
        <v>568.76350813331817</v>
      </c>
      <c r="G862" s="3">
        <f>F$1/C862</f>
        <v>169.63816180087872</v>
      </c>
      <c r="H862" s="2">
        <f>D862*F861</f>
        <v>119.58316724558939</v>
      </c>
      <c r="I862" s="2">
        <f>E862*G861</f>
        <v>146.1019655810974</v>
      </c>
      <c r="J862" s="2">
        <f>I862-H862</f>
        <v>26.518798335508009</v>
      </c>
      <c r="K862" s="2">
        <f t="shared" si="111"/>
        <v>-26.518798335508009</v>
      </c>
      <c r="L862" s="3">
        <f>C862/B862</f>
        <v>3.3528040040950975</v>
      </c>
      <c r="M862" s="3">
        <f t="shared" si="113"/>
        <v>3.3627886827223392</v>
      </c>
      <c r="N862" s="3">
        <f t="shared" si="117"/>
        <v>3.3492552496221228</v>
      </c>
      <c r="O862" s="3">
        <f t="shared" si="110"/>
        <v>3.2834932405209445</v>
      </c>
      <c r="P862" s="3">
        <f t="shared" si="112"/>
        <v>3.2272458993371997</v>
      </c>
      <c r="Q862" s="4" t="str">
        <f t="shared" si="116"/>
        <v>UNDER</v>
      </c>
      <c r="R862" s="4" t="str">
        <f t="shared" si="116"/>
        <v>OVER</v>
      </c>
      <c r="S862" s="4" t="str">
        <f t="shared" si="114"/>
        <v>OVER</v>
      </c>
      <c r="T862" s="4" t="str">
        <f t="shared" si="114"/>
        <v>OVER</v>
      </c>
      <c r="U862" s="2">
        <f>IF(Q862="OVER",$J862,$K862)</f>
        <v>-26.518798335508009</v>
      </c>
      <c r="V862" s="2">
        <f>IF(R862="OVER",$J862,$K862)</f>
        <v>26.518798335508009</v>
      </c>
      <c r="W862" s="2">
        <f>IF(S862="OVER",$J862,$K862)</f>
        <v>26.518798335508009</v>
      </c>
      <c r="X862" s="2">
        <f>IF(T862="OVER",$J862,$K862)</f>
        <v>26.518798335508009</v>
      </c>
      <c r="Y862" s="9">
        <f t="shared" si="115"/>
        <v>-7757.1663556648709</v>
      </c>
      <c r="Z862" s="9">
        <f t="shared" si="115"/>
        <v>9344.9929289010342</v>
      </c>
      <c r="AA862" s="9">
        <f t="shared" si="115"/>
        <v>52760.453096733436</v>
      </c>
      <c r="AB862" s="9">
        <f t="shared" si="115"/>
        <v>23144.315473833572</v>
      </c>
    </row>
    <row r="863" spans="1:28" x14ac:dyDescent="0.3">
      <c r="A863" s="1">
        <v>45667</v>
      </c>
      <c r="B863" s="2">
        <v>173.25</v>
      </c>
      <c r="C863" s="2">
        <v>580.49</v>
      </c>
      <c r="D863" s="9">
        <f>B863-B862</f>
        <v>-2.5699999999999932</v>
      </c>
      <c r="E863" s="9">
        <f>C863-C862</f>
        <v>-9</v>
      </c>
      <c r="F863" s="3">
        <f>F$1/B863</f>
        <v>577.20057720057719</v>
      </c>
      <c r="G863" s="3">
        <f>F$1/C863</f>
        <v>172.2682561284432</v>
      </c>
      <c r="H863" s="2">
        <f>D863*F862</f>
        <v>-1461.7222159026237</v>
      </c>
      <c r="I863" s="2">
        <f>E863*G862</f>
        <v>-1526.7434562079084</v>
      </c>
      <c r="J863" s="2">
        <f>I863-H863</f>
        <v>-65.021240305284664</v>
      </c>
      <c r="K863" s="2">
        <f t="shared" si="111"/>
        <v>65.021240305284664</v>
      </c>
      <c r="L863" s="3">
        <f>C863/B863</f>
        <v>3.3505916305916306</v>
      </c>
      <c r="M863" s="3">
        <f t="shared" si="113"/>
        <v>3.3592970885043227</v>
      </c>
      <c r="N863" s="3">
        <f t="shared" si="117"/>
        <v>3.3523549348069146</v>
      </c>
      <c r="O863" s="3">
        <f t="shared" si="110"/>
        <v>3.2856513437893198</v>
      </c>
      <c r="P863" s="3">
        <f t="shared" si="112"/>
        <v>3.2283694973746901</v>
      </c>
      <c r="Q863" s="4" t="str">
        <f t="shared" si="116"/>
        <v>UNDER</v>
      </c>
      <c r="R863" s="4" t="str">
        <f t="shared" si="116"/>
        <v>OVER</v>
      </c>
      <c r="S863" s="4" t="str">
        <f t="shared" si="114"/>
        <v>OVER</v>
      </c>
      <c r="T863" s="4" t="str">
        <f t="shared" si="114"/>
        <v>OVER</v>
      </c>
      <c r="U863" s="2">
        <f>IF(Q863="OVER",$J863,$K863)</f>
        <v>65.021240305284664</v>
      </c>
      <c r="V863" s="2">
        <f>IF(R863="OVER",$J863,$K863)</f>
        <v>-65.021240305284664</v>
      </c>
      <c r="W863" s="2">
        <f>IF(S863="OVER",$J863,$K863)</f>
        <v>-65.021240305284664</v>
      </c>
      <c r="X863" s="2">
        <f>IF(T863="OVER",$J863,$K863)</f>
        <v>-65.021240305284664</v>
      </c>
      <c r="Y863" s="9">
        <f t="shared" si="115"/>
        <v>-7692.1451153595863</v>
      </c>
      <c r="Z863" s="9">
        <f t="shared" si="115"/>
        <v>9279.9716885957496</v>
      </c>
      <c r="AA863" s="9">
        <f t="shared" si="115"/>
        <v>52695.431856428149</v>
      </c>
      <c r="AB863" s="9">
        <f t="shared" si="115"/>
        <v>23079.294233528286</v>
      </c>
    </row>
    <row r="864" spans="1:28" x14ac:dyDescent="0.3">
      <c r="A864" s="1">
        <v>45670</v>
      </c>
      <c r="B864" s="2">
        <v>174.67</v>
      </c>
      <c r="C864" s="2">
        <v>581.39</v>
      </c>
      <c r="D864" s="9">
        <f>B864-B863</f>
        <v>1.4199999999999875</v>
      </c>
      <c r="E864" s="9">
        <f>C864-C863</f>
        <v>0.89999999999997726</v>
      </c>
      <c r="F864" s="3">
        <f>F$1/B864</f>
        <v>572.50815824125493</v>
      </c>
      <c r="G864" s="3">
        <f>F$1/C864</f>
        <v>172.00158241455821</v>
      </c>
      <c r="H864" s="2">
        <f>D864*F863</f>
        <v>819.6248196248124</v>
      </c>
      <c r="I864" s="2">
        <f>E864*G863</f>
        <v>155.04143051559495</v>
      </c>
      <c r="J864" s="2">
        <f>I864-H864</f>
        <v>-664.58338910921748</v>
      </c>
      <c r="K864" s="2">
        <f t="shared" si="111"/>
        <v>664.58338910921748</v>
      </c>
      <c r="L864" s="3">
        <f>C864/B864</f>
        <v>3.3285051811988322</v>
      </c>
      <c r="M864" s="3">
        <f t="shared" si="113"/>
        <v>3.3541262463094221</v>
      </c>
      <c r="N864" s="3">
        <f t="shared" si="117"/>
        <v>3.3532326929130223</v>
      </c>
      <c r="O864" s="3">
        <f t="shared" si="110"/>
        <v>3.2870663348586988</v>
      </c>
      <c r="P864" s="3">
        <f t="shared" si="112"/>
        <v>3.2293965043786859</v>
      </c>
      <c r="Q864" s="4" t="str">
        <f t="shared" si="116"/>
        <v>UNDER</v>
      </c>
      <c r="R864" s="4" t="str">
        <f t="shared" si="116"/>
        <v>UNDER</v>
      </c>
      <c r="S864" s="4" t="str">
        <f t="shared" si="114"/>
        <v>OVER</v>
      </c>
      <c r="T864" s="4" t="str">
        <f t="shared" si="114"/>
        <v>OVER</v>
      </c>
      <c r="U864" s="2">
        <f>IF(Q864="OVER",$J864,$K864)</f>
        <v>664.58338910921748</v>
      </c>
      <c r="V864" s="2">
        <f>IF(R864="OVER",$J864,$K864)</f>
        <v>664.58338910921748</v>
      </c>
      <c r="W864" s="2">
        <f>IF(S864="OVER",$J864,$K864)</f>
        <v>-664.58338910921748</v>
      </c>
      <c r="X864" s="2">
        <f>IF(T864="OVER",$J864,$K864)</f>
        <v>-664.58338910921748</v>
      </c>
      <c r="Y864" s="9">
        <f t="shared" si="115"/>
        <v>-7027.5617262503692</v>
      </c>
      <c r="Z864" s="9">
        <f t="shared" si="115"/>
        <v>9944.5550777049666</v>
      </c>
      <c r="AA864" s="9">
        <f t="shared" si="115"/>
        <v>52030.84846731893</v>
      </c>
      <c r="AB864" s="9">
        <f t="shared" si="115"/>
        <v>22414.710844419067</v>
      </c>
    </row>
    <row r="865" spans="1:28" x14ac:dyDescent="0.3">
      <c r="A865" s="1">
        <v>45671</v>
      </c>
      <c r="B865" s="2">
        <v>176.08</v>
      </c>
      <c r="C865" s="2">
        <v>582.19000000000005</v>
      </c>
      <c r="D865" s="9">
        <f>B865-B864</f>
        <v>1.410000000000025</v>
      </c>
      <c r="E865" s="9">
        <f>C865-C864</f>
        <v>0.80000000000006821</v>
      </c>
      <c r="F865" s="3">
        <f>F$1/B865</f>
        <v>567.92367105860967</v>
      </c>
      <c r="G865" s="3">
        <f>F$1/C865</f>
        <v>171.7652312818839</v>
      </c>
      <c r="H865" s="2">
        <f>D865*F864</f>
        <v>807.23650312018378</v>
      </c>
      <c r="I865" s="2">
        <f>E865*G864</f>
        <v>137.6012659316583</v>
      </c>
      <c r="J865" s="2">
        <f>I865-H865</f>
        <v>-669.63523718852548</v>
      </c>
      <c r="K865" s="2">
        <f t="shared" si="111"/>
        <v>669.63523718852548</v>
      </c>
      <c r="L865" s="3">
        <f>C865/B865</f>
        <v>3.30639482053612</v>
      </c>
      <c r="M865" s="3">
        <f t="shared" si="113"/>
        <v>3.3480120920508489</v>
      </c>
      <c r="N865" s="3">
        <f t="shared" si="117"/>
        <v>3.3532542938960646</v>
      </c>
      <c r="O865" s="3">
        <f t="shared" si="110"/>
        <v>3.2880940572978186</v>
      </c>
      <c r="P865" s="3">
        <f t="shared" si="112"/>
        <v>3.2304299004507935</v>
      </c>
      <c r="Q865" s="4" t="str">
        <f t="shared" si="116"/>
        <v>UNDER</v>
      </c>
      <c r="R865" s="4" t="str">
        <f t="shared" si="116"/>
        <v>UNDER</v>
      </c>
      <c r="S865" s="4" t="str">
        <f t="shared" si="114"/>
        <v>OVER</v>
      </c>
      <c r="T865" s="4" t="str">
        <f t="shared" si="114"/>
        <v>OVER</v>
      </c>
      <c r="U865" s="2">
        <f>IF(Q865="OVER",$J865,$K865)</f>
        <v>669.63523718852548</v>
      </c>
      <c r="V865" s="2">
        <f>IF(R865="OVER",$J865,$K865)</f>
        <v>669.63523718852548</v>
      </c>
      <c r="W865" s="2">
        <f>IF(S865="OVER",$J865,$K865)</f>
        <v>-669.63523718852548</v>
      </c>
      <c r="X865" s="2">
        <f>IF(T865="OVER",$J865,$K865)</f>
        <v>-669.63523718852548</v>
      </c>
      <c r="Y865" s="9">
        <f t="shared" si="115"/>
        <v>-6357.9264890618433</v>
      </c>
      <c r="Z865" s="9">
        <f t="shared" si="115"/>
        <v>10614.190314893493</v>
      </c>
      <c r="AA865" s="9">
        <f t="shared" si="115"/>
        <v>51361.213230130408</v>
      </c>
      <c r="AB865" s="9">
        <f t="shared" si="115"/>
        <v>21745.075607230541</v>
      </c>
    </row>
    <row r="866" spans="1:28" x14ac:dyDescent="0.3">
      <c r="A866" s="1">
        <v>45672</v>
      </c>
      <c r="B866" s="2">
        <v>177.77</v>
      </c>
      <c r="C866" s="2">
        <v>592.78</v>
      </c>
      <c r="D866" s="9">
        <f>B866-B865</f>
        <v>1.6899999999999977</v>
      </c>
      <c r="E866" s="9">
        <f>C866-C865</f>
        <v>10.589999999999918</v>
      </c>
      <c r="F866" s="3">
        <f>F$1/B866</f>
        <v>562.52461045170719</v>
      </c>
      <c r="G866" s="3">
        <f>F$1/C866</f>
        <v>168.69664968453728</v>
      </c>
      <c r="H866" s="2">
        <f>D866*F865</f>
        <v>959.79100408904901</v>
      </c>
      <c r="I866" s="2">
        <f>E866*G865</f>
        <v>1818.9937992751363</v>
      </c>
      <c r="J866" s="2">
        <f>I866-H866</f>
        <v>859.20279518608731</v>
      </c>
      <c r="K866" s="2">
        <f t="shared" si="111"/>
        <v>-859.20279518608731</v>
      </c>
      <c r="L866" s="3">
        <f>C866/B866</f>
        <v>3.3345333858356301</v>
      </c>
      <c r="M866" s="3">
        <f t="shared" si="113"/>
        <v>3.3451667627480703</v>
      </c>
      <c r="N866" s="3">
        <f t="shared" si="117"/>
        <v>3.3541350035918867</v>
      </c>
      <c r="O866" s="3">
        <f t="shared" si="110"/>
        <v>3.2902728411867481</v>
      </c>
      <c r="P866" s="3">
        <f t="shared" si="112"/>
        <v>3.2316609307264907</v>
      </c>
      <c r="Q866" s="4" t="str">
        <f t="shared" si="116"/>
        <v>UNDER</v>
      </c>
      <c r="R866" s="4" t="str">
        <f t="shared" si="116"/>
        <v>UNDER</v>
      </c>
      <c r="S866" s="4" t="str">
        <f t="shared" si="114"/>
        <v>OVER</v>
      </c>
      <c r="T866" s="4" t="str">
        <f t="shared" si="114"/>
        <v>OVER</v>
      </c>
      <c r="U866" s="2">
        <f>IF(Q866="OVER",$J866,$K866)</f>
        <v>-859.20279518608731</v>
      </c>
      <c r="V866" s="2">
        <f>IF(R866="OVER",$J866,$K866)</f>
        <v>-859.20279518608731</v>
      </c>
      <c r="W866" s="2">
        <f>IF(S866="OVER",$J866,$K866)</f>
        <v>859.20279518608731</v>
      </c>
      <c r="X866" s="2">
        <f>IF(T866="OVER",$J866,$K866)</f>
        <v>859.20279518608731</v>
      </c>
      <c r="Y866" s="9">
        <f t="shared" si="115"/>
        <v>-7217.1292842479306</v>
      </c>
      <c r="Z866" s="9">
        <f t="shared" si="115"/>
        <v>9754.9875197074052</v>
      </c>
      <c r="AA866" s="9">
        <f t="shared" si="115"/>
        <v>52220.416025316496</v>
      </c>
      <c r="AB866" s="9">
        <f t="shared" si="115"/>
        <v>22604.278402416629</v>
      </c>
    </row>
    <row r="867" spans="1:28" x14ac:dyDescent="0.3">
      <c r="A867" s="1">
        <v>45673</v>
      </c>
      <c r="B867" s="2">
        <v>179.17</v>
      </c>
      <c r="C867" s="2">
        <v>591.64</v>
      </c>
      <c r="D867" s="9">
        <f>B867-B866</f>
        <v>1.3999999999999773</v>
      </c>
      <c r="E867" s="9">
        <f>C867-C866</f>
        <v>-1.1399999999999864</v>
      </c>
      <c r="F867" s="3">
        <f>F$1/B867</f>
        <v>558.12915108556126</v>
      </c>
      <c r="G867" s="3">
        <f>F$1/C867</f>
        <v>169.02170238658644</v>
      </c>
      <c r="H867" s="2">
        <f>D867*F866</f>
        <v>787.53445463237722</v>
      </c>
      <c r="I867" s="2">
        <f>E867*G866</f>
        <v>-192.31418064037018</v>
      </c>
      <c r="J867" s="2">
        <f>I867-H867</f>
        <v>-979.8486352727474</v>
      </c>
      <c r="K867" s="2">
        <f t="shared" si="111"/>
        <v>979.8486352727474</v>
      </c>
      <c r="L867" s="3">
        <f>C867/B867</f>
        <v>3.3021153094826143</v>
      </c>
      <c r="M867" s="3">
        <f t="shared" si="113"/>
        <v>3.3409150168601736</v>
      </c>
      <c r="N867" s="3">
        <f t="shared" si="117"/>
        <v>3.3521362306214257</v>
      </c>
      <c r="O867" s="3">
        <f t="shared" si="110"/>
        <v>3.2915713832040647</v>
      </c>
      <c r="P867" s="3">
        <f t="shared" si="112"/>
        <v>3.23266518191903</v>
      </c>
      <c r="Q867" s="4" t="str">
        <f t="shared" si="116"/>
        <v>UNDER</v>
      </c>
      <c r="R867" s="4" t="str">
        <f t="shared" si="116"/>
        <v>UNDER</v>
      </c>
      <c r="S867" s="4" t="str">
        <f t="shared" si="114"/>
        <v>OVER</v>
      </c>
      <c r="T867" s="4" t="str">
        <f t="shared" si="114"/>
        <v>OVER</v>
      </c>
      <c r="U867" s="2">
        <f>IF(Q867="OVER",$J867,$K867)</f>
        <v>979.8486352727474</v>
      </c>
      <c r="V867" s="2">
        <f>IF(R867="OVER",$J867,$K867)</f>
        <v>979.8486352727474</v>
      </c>
      <c r="W867" s="2">
        <f>IF(S867="OVER",$J867,$K867)</f>
        <v>-979.8486352727474</v>
      </c>
      <c r="X867" s="2">
        <f>IF(T867="OVER",$J867,$K867)</f>
        <v>-979.8486352727474</v>
      </c>
      <c r="Y867" s="9">
        <f t="shared" si="115"/>
        <v>-6237.2806489751829</v>
      </c>
      <c r="Z867" s="9">
        <f t="shared" si="115"/>
        <v>10734.836154980152</v>
      </c>
      <c r="AA867" s="9">
        <f t="shared" si="115"/>
        <v>51240.567390043747</v>
      </c>
      <c r="AB867" s="9">
        <f t="shared" si="115"/>
        <v>21624.42976714388</v>
      </c>
    </row>
    <row r="868" spans="1:28" x14ac:dyDescent="0.3">
      <c r="A868" s="1">
        <v>45674</v>
      </c>
      <c r="B868" s="2">
        <v>180.04</v>
      </c>
      <c r="C868" s="2">
        <v>597.58000000000004</v>
      </c>
      <c r="D868" s="9">
        <f>B868-B867</f>
        <v>0.87000000000000455</v>
      </c>
      <c r="E868" s="9">
        <f>C868-C867</f>
        <v>5.9400000000000546</v>
      </c>
      <c r="F868" s="3">
        <f>F$1/B868</f>
        <v>555.43212619417909</v>
      </c>
      <c r="G868" s="3">
        <f>F$1/C868</f>
        <v>167.34161116503228</v>
      </c>
      <c r="H868" s="2">
        <f>D868*F867</f>
        <v>485.57236144444084</v>
      </c>
      <c r="I868" s="2">
        <f>E868*G867</f>
        <v>1003.9889121763326</v>
      </c>
      <c r="J868" s="2">
        <f>I868-H868</f>
        <v>518.41655073189179</v>
      </c>
      <c r="K868" s="2">
        <f t="shared" si="111"/>
        <v>-518.41655073189179</v>
      </c>
      <c r="L868" s="3">
        <f>C868/B868</f>
        <v>3.3191512997111756</v>
      </c>
      <c r="M868" s="3">
        <f t="shared" si="113"/>
        <v>3.3382147622159062</v>
      </c>
      <c r="N868" s="3">
        <f t="shared" si="117"/>
        <v>3.350356605799623</v>
      </c>
      <c r="O868" s="3">
        <f t="shared" si="110"/>
        <v>3.2934269192486814</v>
      </c>
      <c r="P868" s="3">
        <f t="shared" si="112"/>
        <v>3.2337193616143272</v>
      </c>
      <c r="Q868" s="4" t="str">
        <f t="shared" si="116"/>
        <v>UNDER</v>
      </c>
      <c r="R868" s="4" t="str">
        <f t="shared" si="116"/>
        <v>UNDER</v>
      </c>
      <c r="S868" s="4" t="str">
        <f t="shared" si="114"/>
        <v>OVER</v>
      </c>
      <c r="T868" s="4" t="str">
        <f t="shared" si="114"/>
        <v>OVER</v>
      </c>
      <c r="U868" s="2">
        <f>IF(Q868="OVER",$J868,$K868)</f>
        <v>-518.41655073189179</v>
      </c>
      <c r="V868" s="2">
        <f>IF(R868="OVER",$J868,$K868)</f>
        <v>-518.41655073189179</v>
      </c>
      <c r="W868" s="2">
        <f>IF(S868="OVER",$J868,$K868)</f>
        <v>518.41655073189179</v>
      </c>
      <c r="X868" s="2">
        <f>IF(T868="OVER",$J868,$K868)</f>
        <v>518.41655073189179</v>
      </c>
      <c r="Y868" s="9">
        <f t="shared" si="115"/>
        <v>-6755.697199707075</v>
      </c>
      <c r="Z868" s="9">
        <f t="shared" si="115"/>
        <v>10216.41960424826</v>
      </c>
      <c r="AA868" s="9">
        <f t="shared" si="115"/>
        <v>51758.983940775637</v>
      </c>
      <c r="AB868" s="9">
        <f t="shared" si="115"/>
        <v>22142.84631787577</v>
      </c>
    </row>
    <row r="869" spans="1:28" x14ac:dyDescent="0.3">
      <c r="A869" s="1">
        <v>45678</v>
      </c>
      <c r="B869" s="2">
        <v>182.13</v>
      </c>
      <c r="C869" s="2">
        <v>603.04999999999995</v>
      </c>
      <c r="D869" s="9">
        <f>B869-B868</f>
        <v>2.0900000000000034</v>
      </c>
      <c r="E869" s="9">
        <f>C869-C868</f>
        <v>5.4699999999999136</v>
      </c>
      <c r="F869" s="3">
        <f>F$1/B869</f>
        <v>549.05836490418938</v>
      </c>
      <c r="G869" s="3">
        <f>F$1/C869</f>
        <v>165.82372937567368</v>
      </c>
      <c r="H869" s="2">
        <f>D869*F868</f>
        <v>1160.8531437458362</v>
      </c>
      <c r="I869" s="2">
        <f>E869*G868</f>
        <v>915.35861307271205</v>
      </c>
      <c r="J869" s="2">
        <f>I869-H869</f>
        <v>-245.49453067312413</v>
      </c>
      <c r="K869" s="2">
        <f t="shared" si="111"/>
        <v>245.49453067312413</v>
      </c>
      <c r="L869" s="3">
        <f>C869/B869</f>
        <v>3.3110964695547134</v>
      </c>
      <c r="M869" s="3">
        <f t="shared" si="113"/>
        <v>3.3335995906595812</v>
      </c>
      <c r="N869" s="3">
        <f t="shared" si="117"/>
        <v>3.3482112004444069</v>
      </c>
      <c r="O869" s="3">
        <f t="shared" si="110"/>
        <v>3.2950940828704809</v>
      </c>
      <c r="P869" s="3">
        <f t="shared" si="112"/>
        <v>3.2347329528789168</v>
      </c>
      <c r="Q869" s="4" t="str">
        <f t="shared" si="116"/>
        <v>UNDER</v>
      </c>
      <c r="R869" s="4" t="str">
        <f t="shared" si="116"/>
        <v>UNDER</v>
      </c>
      <c r="S869" s="4" t="str">
        <f t="shared" si="114"/>
        <v>OVER</v>
      </c>
      <c r="T869" s="4" t="str">
        <f t="shared" si="114"/>
        <v>OVER</v>
      </c>
      <c r="U869" s="2">
        <f>IF(Q869="OVER",$J869,$K869)</f>
        <v>245.49453067312413</v>
      </c>
      <c r="V869" s="2">
        <f>IF(R869="OVER",$J869,$K869)</f>
        <v>245.49453067312413</v>
      </c>
      <c r="W869" s="2">
        <f>IF(S869="OVER",$J869,$K869)</f>
        <v>-245.49453067312413</v>
      </c>
      <c r="X869" s="2">
        <f>IF(T869="OVER",$J869,$K869)</f>
        <v>-245.49453067312413</v>
      </c>
      <c r="Y869" s="9">
        <f t="shared" si="115"/>
        <v>-6510.2026690339508</v>
      </c>
      <c r="Z869" s="9">
        <f t="shared" si="115"/>
        <v>10461.914134921384</v>
      </c>
      <c r="AA869" s="9">
        <f t="shared" si="115"/>
        <v>51513.489410102513</v>
      </c>
      <c r="AB869" s="9">
        <f t="shared" si="115"/>
        <v>21897.351787202646</v>
      </c>
    </row>
    <row r="870" spans="1:28" x14ac:dyDescent="0.3">
      <c r="A870" s="1">
        <v>45679</v>
      </c>
      <c r="B870" s="2">
        <v>181.49</v>
      </c>
      <c r="C870" s="2">
        <v>606.44000000000005</v>
      </c>
      <c r="D870" s="9">
        <f>B870-B869</f>
        <v>-0.63999999999998636</v>
      </c>
      <c r="E870" s="9">
        <f>C870-C869</f>
        <v>3.3900000000001</v>
      </c>
      <c r="F870" s="3">
        <f>F$1/B870</f>
        <v>550.99454515400294</v>
      </c>
      <c r="G870" s="3">
        <f>F$1/C870</f>
        <v>164.89677461908843</v>
      </c>
      <c r="H870" s="2">
        <f>D870*F869</f>
        <v>-351.39735353867371</v>
      </c>
      <c r="I870" s="2">
        <f>E870*G869</f>
        <v>562.14244258355041</v>
      </c>
      <c r="J870" s="2">
        <f>I870-H870</f>
        <v>913.53979612222406</v>
      </c>
      <c r="K870" s="2">
        <f t="shared" si="111"/>
        <v>-913.53979612222406</v>
      </c>
      <c r="L870" s="3">
        <f>C870/B870</f>
        <v>3.3414513196319358</v>
      </c>
      <c r="M870" s="3">
        <f t="shared" si="113"/>
        <v>3.3298559598531945</v>
      </c>
      <c r="N870" s="3">
        <f t="shared" si="117"/>
        <v>3.3470769015425228</v>
      </c>
      <c r="O870" s="3">
        <f t="shared" si="110"/>
        <v>3.2972932568847706</v>
      </c>
      <c r="P870" s="3">
        <f t="shared" si="112"/>
        <v>3.2359302336608731</v>
      </c>
      <c r="Q870" s="4" t="str">
        <f t="shared" si="116"/>
        <v>UNDER</v>
      </c>
      <c r="R870" s="4" t="str">
        <f t="shared" si="116"/>
        <v>UNDER</v>
      </c>
      <c r="S870" s="4" t="str">
        <f t="shared" si="114"/>
        <v>OVER</v>
      </c>
      <c r="T870" s="4" t="str">
        <f t="shared" si="114"/>
        <v>OVER</v>
      </c>
      <c r="U870" s="2">
        <f>IF(Q870="OVER",$J870,$K870)</f>
        <v>-913.53979612222406</v>
      </c>
      <c r="V870" s="2">
        <f>IF(R870="OVER",$J870,$K870)</f>
        <v>-913.53979612222406</v>
      </c>
      <c r="W870" s="2">
        <f>IF(S870="OVER",$J870,$K870)</f>
        <v>913.53979612222406</v>
      </c>
      <c r="X870" s="2">
        <f>IF(T870="OVER",$J870,$K870)</f>
        <v>913.53979612222406</v>
      </c>
      <c r="Y870" s="9">
        <f t="shared" si="115"/>
        <v>-7423.7424651561751</v>
      </c>
      <c r="Z870" s="9">
        <f t="shared" si="115"/>
        <v>9548.3743387991599</v>
      </c>
      <c r="AA870" s="9">
        <f t="shared" si="115"/>
        <v>52427.029206224739</v>
      </c>
      <c r="AB870" s="9">
        <f t="shared" si="115"/>
        <v>22810.891583324868</v>
      </c>
    </row>
    <row r="871" spans="1:28" x14ac:dyDescent="0.3">
      <c r="A871" s="1">
        <v>45680</v>
      </c>
      <c r="B871" s="2">
        <v>182.35</v>
      </c>
      <c r="C871" s="2">
        <v>609.75</v>
      </c>
      <c r="D871" s="9">
        <f>B871-B870</f>
        <v>0.85999999999998522</v>
      </c>
      <c r="E871" s="9">
        <f>C871-C870</f>
        <v>3.3099999999999454</v>
      </c>
      <c r="F871" s="3">
        <f>F$1/B871</f>
        <v>548.39594187003013</v>
      </c>
      <c r="G871" s="3">
        <f>F$1/C871</f>
        <v>164.00164001640016</v>
      </c>
      <c r="H871" s="2">
        <f>D871*F870</f>
        <v>473.85530883243439</v>
      </c>
      <c r="I871" s="2">
        <f>E871*G870</f>
        <v>545.80832398917369</v>
      </c>
      <c r="J871" s="2">
        <f>I871-H871</f>
        <v>71.953015156739298</v>
      </c>
      <c r="K871" s="2">
        <f t="shared" si="111"/>
        <v>-71.953015156739298</v>
      </c>
      <c r="L871" s="3">
        <f>C871/B871</f>
        <v>3.3438442555525092</v>
      </c>
      <c r="M871" s="3">
        <f t="shared" si="113"/>
        <v>3.3290487676190259</v>
      </c>
      <c r="N871" s="3">
        <f t="shared" si="117"/>
        <v>3.346956196851564</v>
      </c>
      <c r="O871" s="3">
        <f t="shared" si="110"/>
        <v>3.2991045968789314</v>
      </c>
      <c r="P871" s="3">
        <f t="shared" si="112"/>
        <v>3.2370706941958032</v>
      </c>
      <c r="Q871" s="4" t="str">
        <f t="shared" si="116"/>
        <v>OVER</v>
      </c>
      <c r="R871" s="4" t="str">
        <f t="shared" si="116"/>
        <v>UNDER</v>
      </c>
      <c r="S871" s="4" t="str">
        <f t="shared" si="114"/>
        <v>OVER</v>
      </c>
      <c r="T871" s="4" t="str">
        <f t="shared" si="114"/>
        <v>OVER</v>
      </c>
      <c r="U871" s="2">
        <f>IF(Q871="OVER",$J871,$K871)</f>
        <v>71.953015156739298</v>
      </c>
      <c r="V871" s="2">
        <f>IF(R871="OVER",$J871,$K871)</f>
        <v>-71.953015156739298</v>
      </c>
      <c r="W871" s="2">
        <f>IF(S871="OVER",$J871,$K871)</f>
        <v>71.953015156739298</v>
      </c>
      <c r="X871" s="2">
        <f>IF(T871="OVER",$J871,$K871)</f>
        <v>71.953015156739298</v>
      </c>
      <c r="Y871" s="9">
        <f t="shared" si="115"/>
        <v>-7351.7894499994354</v>
      </c>
      <c r="Z871" s="9">
        <f t="shared" si="115"/>
        <v>9476.4213236424202</v>
      </c>
      <c r="AA871" s="9">
        <f t="shared" si="115"/>
        <v>52498.982221381477</v>
      </c>
      <c r="AB871" s="9">
        <f t="shared" si="115"/>
        <v>22882.844598481606</v>
      </c>
    </row>
    <row r="872" spans="1:28" x14ac:dyDescent="0.3">
      <c r="A872" s="1">
        <v>45681</v>
      </c>
      <c r="B872" s="2">
        <v>182.19</v>
      </c>
      <c r="C872" s="2">
        <v>607.97</v>
      </c>
      <c r="D872" s="9">
        <f>B872-B871</f>
        <v>-0.15999999999999659</v>
      </c>
      <c r="E872" s="9">
        <f>C872-C871</f>
        <v>-1.7799999999999727</v>
      </c>
      <c r="F872" s="3">
        <f>F$1/B872</f>
        <v>548.87754541961692</v>
      </c>
      <c r="G872" s="3">
        <f>F$1/C872</f>
        <v>164.48180008882017</v>
      </c>
      <c r="H872" s="2">
        <f>D872*F871</f>
        <v>-87.743350699202949</v>
      </c>
      <c r="I872" s="2">
        <f>E872*G871</f>
        <v>-291.92291922918781</v>
      </c>
      <c r="J872" s="2">
        <f>I872-H872</f>
        <v>-204.17956852998486</v>
      </c>
      <c r="K872" s="2">
        <f t="shared" si="111"/>
        <v>204.17956852998486</v>
      </c>
      <c r="L872" s="3">
        <f>C872/B872</f>
        <v>3.337010812887645</v>
      </c>
      <c r="M872" s="3">
        <f t="shared" si="113"/>
        <v>3.327469448498281</v>
      </c>
      <c r="N872" s="3">
        <f t="shared" si="117"/>
        <v>3.3451290656103096</v>
      </c>
      <c r="O872" s="3">
        <f t="shared" si="110"/>
        <v>3.3008594790791079</v>
      </c>
      <c r="P872" s="3">
        <f t="shared" si="112"/>
        <v>3.2382159040421472</v>
      </c>
      <c r="Q872" s="4" t="str">
        <f t="shared" si="116"/>
        <v>OVER</v>
      </c>
      <c r="R872" s="4" t="str">
        <f t="shared" si="116"/>
        <v>UNDER</v>
      </c>
      <c r="S872" s="4" t="str">
        <f t="shared" si="114"/>
        <v>OVER</v>
      </c>
      <c r="T872" s="4" t="str">
        <f t="shared" si="114"/>
        <v>OVER</v>
      </c>
      <c r="U872" s="2">
        <f>IF(Q872="OVER",$J872,$K872)</f>
        <v>-204.17956852998486</v>
      </c>
      <c r="V872" s="2">
        <f>IF(R872="OVER",$J872,$K872)</f>
        <v>204.17956852998486</v>
      </c>
      <c r="W872" s="2">
        <f>IF(S872="OVER",$J872,$K872)</f>
        <v>-204.17956852998486</v>
      </c>
      <c r="X872" s="2">
        <f>IF(T872="OVER",$J872,$K872)</f>
        <v>-204.17956852998486</v>
      </c>
      <c r="Y872" s="9">
        <f t="shared" si="115"/>
        <v>-7555.9690185294203</v>
      </c>
      <c r="Z872" s="9">
        <f t="shared" si="115"/>
        <v>9680.600892172406</v>
      </c>
      <c r="AA872" s="9">
        <f t="shared" si="115"/>
        <v>52294.802652851489</v>
      </c>
      <c r="AB872" s="9">
        <f t="shared" si="115"/>
        <v>22678.665029951622</v>
      </c>
    </row>
    <row r="873" spans="1:28" x14ac:dyDescent="0.3">
      <c r="A873" s="1">
        <v>45684</v>
      </c>
      <c r="B873" s="2">
        <v>182.31</v>
      </c>
      <c r="C873" s="2">
        <v>599.37</v>
      </c>
      <c r="D873" s="9">
        <f>B873-B872</f>
        <v>0.12000000000000455</v>
      </c>
      <c r="E873" s="9">
        <f>C873-C872</f>
        <v>-8.6000000000000227</v>
      </c>
      <c r="F873" s="3">
        <f>F$1/B873</f>
        <v>548.51626350721301</v>
      </c>
      <c r="G873" s="3">
        <f>F$1/C873</f>
        <v>166.84185060980695</v>
      </c>
      <c r="H873" s="2">
        <f>D873*F872</f>
        <v>65.86530545035653</v>
      </c>
      <c r="I873" s="2">
        <f>E873*G872</f>
        <v>-1414.5434807638571</v>
      </c>
      <c r="J873" s="2">
        <f>I873-H873</f>
        <v>-1480.4087862142137</v>
      </c>
      <c r="K873" s="2">
        <f t="shared" si="111"/>
        <v>1480.4087862142137</v>
      </c>
      <c r="L873" s="3">
        <f>C873/B873</f>
        <v>3.2876419285831826</v>
      </c>
      <c r="M873" s="3">
        <f t="shared" si="113"/>
        <v>3.3211744782974355</v>
      </c>
      <c r="N873" s="3">
        <f t="shared" si="117"/>
        <v>3.3402357834008796</v>
      </c>
      <c r="O873" s="3">
        <f t="shared" si="110"/>
        <v>3.3018885040090025</v>
      </c>
      <c r="P873" s="3">
        <f t="shared" si="112"/>
        <v>3.239157575131709</v>
      </c>
      <c r="Q873" s="4" t="str">
        <f t="shared" si="116"/>
        <v>OVER</v>
      </c>
      <c r="R873" s="4" t="str">
        <f t="shared" si="116"/>
        <v>UNDER</v>
      </c>
      <c r="S873" s="4" t="str">
        <f t="shared" si="114"/>
        <v>UNDER</v>
      </c>
      <c r="T873" s="4" t="str">
        <f t="shared" si="114"/>
        <v>OVER</v>
      </c>
      <c r="U873" s="2">
        <f>IF(Q873="OVER",$J873,$K873)</f>
        <v>-1480.4087862142137</v>
      </c>
      <c r="V873" s="2">
        <f>IF(R873="OVER",$J873,$K873)</f>
        <v>1480.4087862142137</v>
      </c>
      <c r="W873" s="2">
        <f>IF(S873="OVER",$J873,$K873)</f>
        <v>1480.4087862142137</v>
      </c>
      <c r="X873" s="2">
        <f>IF(T873="OVER",$J873,$K873)</f>
        <v>-1480.4087862142137</v>
      </c>
      <c r="Y873" s="9">
        <f t="shared" si="115"/>
        <v>-9036.3778047436335</v>
      </c>
      <c r="Z873" s="9">
        <f t="shared" si="115"/>
        <v>11161.009678386619</v>
      </c>
      <c r="AA873" s="9">
        <f t="shared" si="115"/>
        <v>53775.211439065701</v>
      </c>
      <c r="AB873" s="9">
        <f t="shared" si="115"/>
        <v>21198.256243737407</v>
      </c>
    </row>
    <row r="874" spans="1:28" x14ac:dyDescent="0.3">
      <c r="A874" s="1">
        <v>45685</v>
      </c>
      <c r="B874" s="2">
        <v>181.41</v>
      </c>
      <c r="C874" s="2">
        <v>604.52</v>
      </c>
      <c r="D874" s="9">
        <f>B874-B873</f>
        <v>-0.90000000000000568</v>
      </c>
      <c r="E874" s="9">
        <f>C874-C873</f>
        <v>5.1499999999999773</v>
      </c>
      <c r="F874" s="3">
        <f>F$1/B874</f>
        <v>551.23752825092333</v>
      </c>
      <c r="G874" s="3">
        <f>F$1/C874</f>
        <v>165.42049890822472</v>
      </c>
      <c r="H874" s="2">
        <f>D874*F873</f>
        <v>-493.66463715649485</v>
      </c>
      <c r="I874" s="2">
        <f>E874*G873</f>
        <v>859.23553064050202</v>
      </c>
      <c r="J874" s="2">
        <f>I874-H874</f>
        <v>1352.9001677969968</v>
      </c>
      <c r="K874" s="2">
        <f t="shared" si="111"/>
        <v>-1352.9001677969968</v>
      </c>
      <c r="L874" s="3">
        <f>C874/B874</f>
        <v>3.3323411057824814</v>
      </c>
      <c r="M874" s="3">
        <f t="shared" si="113"/>
        <v>3.3215580707558003</v>
      </c>
      <c r="N874" s="3">
        <f t="shared" si="117"/>
        <v>3.3378421585326117</v>
      </c>
      <c r="O874" s="3">
        <f t="shared" si="110"/>
        <v>3.3035170809310355</v>
      </c>
      <c r="P874" s="3">
        <f t="shared" si="112"/>
        <v>3.2402124565455095</v>
      </c>
      <c r="Q874" s="4" t="str">
        <f t="shared" si="116"/>
        <v>UNDER</v>
      </c>
      <c r="R874" s="4" t="str">
        <f t="shared" si="116"/>
        <v>UNDER</v>
      </c>
      <c r="S874" s="4" t="str">
        <f t="shared" si="114"/>
        <v>OVER</v>
      </c>
      <c r="T874" s="4" t="str">
        <f t="shared" si="114"/>
        <v>OVER</v>
      </c>
      <c r="U874" s="2">
        <f>IF(Q874="OVER",$J874,$K874)</f>
        <v>-1352.9001677969968</v>
      </c>
      <c r="V874" s="2">
        <f>IF(R874="OVER",$J874,$K874)</f>
        <v>-1352.9001677969968</v>
      </c>
      <c r="W874" s="2">
        <f>IF(S874="OVER",$J874,$K874)</f>
        <v>1352.9001677969968</v>
      </c>
      <c r="X874" s="2">
        <f>IF(T874="OVER",$J874,$K874)</f>
        <v>1352.9001677969968</v>
      </c>
      <c r="Y874" s="9">
        <f t="shared" si="115"/>
        <v>-10389.277972540631</v>
      </c>
      <c r="Z874" s="9">
        <f t="shared" si="115"/>
        <v>9808.109510589622</v>
      </c>
      <c r="AA874" s="9">
        <f t="shared" si="115"/>
        <v>55128.111606862694</v>
      </c>
      <c r="AB874" s="9">
        <f t="shared" si="115"/>
        <v>22551.156411534404</v>
      </c>
    </row>
    <row r="875" spans="1:28" x14ac:dyDescent="0.3">
      <c r="A875" s="1">
        <v>45686</v>
      </c>
      <c r="B875" s="2">
        <v>180.81</v>
      </c>
      <c r="C875" s="2">
        <v>601.80999999999995</v>
      </c>
      <c r="D875" s="9">
        <f>B875-B874</f>
        <v>-0.59999999999999432</v>
      </c>
      <c r="E875" s="9">
        <f>C875-C874</f>
        <v>-2.7100000000000364</v>
      </c>
      <c r="F875" s="3">
        <f>F$1/B875</f>
        <v>553.06675515734753</v>
      </c>
      <c r="G875" s="3">
        <f>F$1/C875</f>
        <v>166.16540104019543</v>
      </c>
      <c r="H875" s="2">
        <f>D875*F874</f>
        <v>-330.74251695055085</v>
      </c>
      <c r="I875" s="2">
        <f>E875*G874</f>
        <v>-448.289552041295</v>
      </c>
      <c r="J875" s="2">
        <f>I875-H875</f>
        <v>-117.54703509074415</v>
      </c>
      <c r="K875" s="2">
        <f t="shared" si="111"/>
        <v>117.54703509074415</v>
      </c>
      <c r="L875" s="3">
        <f>C875/B875</f>
        <v>3.3284110392124324</v>
      </c>
      <c r="M875" s="3">
        <f t="shared" si="113"/>
        <v>3.3237596926234318</v>
      </c>
      <c r="N875" s="3">
        <f t="shared" si="117"/>
        <v>3.3358858923371408</v>
      </c>
      <c r="O875" s="3">
        <f t="shared" si="110"/>
        <v>3.3050708768064601</v>
      </c>
      <c r="P875" s="3">
        <f t="shared" si="112"/>
        <v>3.2411184402913022</v>
      </c>
      <c r="Q875" s="4" t="str">
        <f t="shared" si="116"/>
        <v>OVER</v>
      </c>
      <c r="R875" s="4" t="str">
        <f t="shared" si="116"/>
        <v>UNDER</v>
      </c>
      <c r="S875" s="4" t="str">
        <f t="shared" si="114"/>
        <v>OVER</v>
      </c>
      <c r="T875" s="4" t="str">
        <f t="shared" si="114"/>
        <v>OVER</v>
      </c>
      <c r="U875" s="2">
        <f>IF(Q875="OVER",$J875,$K875)</f>
        <v>-117.54703509074415</v>
      </c>
      <c r="V875" s="2">
        <f>IF(R875="OVER",$J875,$K875)</f>
        <v>117.54703509074415</v>
      </c>
      <c r="W875" s="2">
        <f>IF(S875="OVER",$J875,$K875)</f>
        <v>-117.54703509074415</v>
      </c>
      <c r="X875" s="2">
        <f>IF(T875="OVER",$J875,$K875)</f>
        <v>-117.54703509074415</v>
      </c>
      <c r="Y875" s="9">
        <f t="shared" si="115"/>
        <v>-10506.825007631374</v>
      </c>
      <c r="Z875" s="9">
        <f t="shared" si="115"/>
        <v>9925.6565456803655</v>
      </c>
      <c r="AA875" s="9">
        <f t="shared" si="115"/>
        <v>55010.564571771953</v>
      </c>
      <c r="AB875" s="9">
        <f t="shared" si="115"/>
        <v>22433.609376443659</v>
      </c>
    </row>
    <row r="876" spans="1:28" x14ac:dyDescent="0.3">
      <c r="A876" s="1">
        <v>45687</v>
      </c>
      <c r="B876" s="2">
        <v>182.74</v>
      </c>
      <c r="C876" s="2">
        <v>605.04</v>
      </c>
      <c r="D876" s="9">
        <f>B876-B875</f>
        <v>1.9300000000000068</v>
      </c>
      <c r="E876" s="9">
        <f>C876-C875</f>
        <v>3.2300000000000182</v>
      </c>
      <c r="F876" s="3">
        <f>F$1/B876</f>
        <v>547.22556637846117</v>
      </c>
      <c r="G876" s="3">
        <f>F$1/C876</f>
        <v>165.27832870554013</v>
      </c>
      <c r="H876" s="2">
        <f>D876*F875</f>
        <v>1067.4188374536845</v>
      </c>
      <c r="I876" s="2">
        <f>E876*G875</f>
        <v>536.71424535983431</v>
      </c>
      <c r="J876" s="2">
        <f>I876-H876</f>
        <v>-530.70459209385024</v>
      </c>
      <c r="K876" s="2">
        <f t="shared" si="111"/>
        <v>530.70459209385024</v>
      </c>
      <c r="L876" s="3">
        <f>C876/B876</f>
        <v>3.3109335668162414</v>
      </c>
      <c r="M876" s="3">
        <f t="shared" si="113"/>
        <v>3.3213997107214928</v>
      </c>
      <c r="N876" s="3">
        <f t="shared" si="117"/>
        <v>3.3332832367347818</v>
      </c>
      <c r="O876" s="3">
        <f t="shared" si="110"/>
        <v>3.3061721205747427</v>
      </c>
      <c r="P876" s="3">
        <f t="shared" si="112"/>
        <v>3.2419041860362365</v>
      </c>
      <c r="Q876" s="4" t="str">
        <f t="shared" si="116"/>
        <v>OVER</v>
      </c>
      <c r="R876" s="4" t="str">
        <f t="shared" si="116"/>
        <v>UNDER</v>
      </c>
      <c r="S876" s="4" t="str">
        <f t="shared" si="114"/>
        <v>OVER</v>
      </c>
      <c r="T876" s="4" t="str">
        <f t="shared" si="114"/>
        <v>OVER</v>
      </c>
      <c r="U876" s="2">
        <f>IF(Q876="OVER",$J876,$K876)</f>
        <v>-530.70459209385024</v>
      </c>
      <c r="V876" s="2">
        <f>IF(R876="OVER",$J876,$K876)</f>
        <v>530.70459209385024</v>
      </c>
      <c r="W876" s="2">
        <f>IF(S876="OVER",$J876,$K876)</f>
        <v>-530.70459209385024</v>
      </c>
      <c r="X876" s="2">
        <f>IF(T876="OVER",$J876,$K876)</f>
        <v>-530.70459209385024</v>
      </c>
      <c r="Y876" s="9">
        <f t="shared" si="115"/>
        <v>-11037.529599725225</v>
      </c>
      <c r="Z876" s="9">
        <f t="shared" si="115"/>
        <v>10456.361137774216</v>
      </c>
      <c r="AA876" s="9">
        <f t="shared" si="115"/>
        <v>54479.859979678105</v>
      </c>
      <c r="AB876" s="9">
        <f t="shared" si="115"/>
        <v>21902.904784349808</v>
      </c>
    </row>
    <row r="877" spans="1:28" x14ac:dyDescent="0.3">
      <c r="A877" s="1">
        <v>45688</v>
      </c>
      <c r="B877" s="2">
        <v>181.24</v>
      </c>
      <c r="C877" s="2">
        <v>601.82000000000005</v>
      </c>
      <c r="D877" s="9">
        <f>B877-B876</f>
        <v>-1.5</v>
      </c>
      <c r="E877" s="9">
        <f>C877-C876</f>
        <v>-3.2199999999999136</v>
      </c>
      <c r="F877" s="3">
        <f>F$1/B877</f>
        <v>551.75457956301034</v>
      </c>
      <c r="G877" s="3">
        <f>F$1/C877</f>
        <v>166.16263999202417</v>
      </c>
      <c r="H877" s="2">
        <f>D877*F876</f>
        <v>-820.83834956769169</v>
      </c>
      <c r="I877" s="2">
        <f>E877*G876</f>
        <v>-532.19621843182495</v>
      </c>
      <c r="J877" s="2">
        <f>I877-H877</f>
        <v>288.64213113586675</v>
      </c>
      <c r="K877" s="2">
        <f t="shared" si="111"/>
        <v>-288.64213113586675</v>
      </c>
      <c r="L877" s="3">
        <f>C877/B877</f>
        <v>3.320569410726109</v>
      </c>
      <c r="M877" s="3">
        <f t="shared" si="113"/>
        <v>3.3232451208458436</v>
      </c>
      <c r="N877" s="3">
        <f t="shared" si="117"/>
        <v>3.3320800688530086</v>
      </c>
      <c r="O877" s="3">
        <f t="shared" si="110"/>
        <v>3.3078382893795157</v>
      </c>
      <c r="P877" s="3">
        <f t="shared" si="112"/>
        <v>3.2427999089150013</v>
      </c>
      <c r="Q877" s="4" t="str">
        <f t="shared" si="116"/>
        <v>UNDER</v>
      </c>
      <c r="R877" s="4" t="str">
        <f t="shared" si="116"/>
        <v>UNDER</v>
      </c>
      <c r="S877" s="4" t="str">
        <f t="shared" si="114"/>
        <v>OVER</v>
      </c>
      <c r="T877" s="4" t="str">
        <f t="shared" si="114"/>
        <v>OVER</v>
      </c>
      <c r="U877" s="2">
        <f>IF(Q877="OVER",$J877,$K877)</f>
        <v>-288.64213113586675</v>
      </c>
      <c r="V877" s="2">
        <f>IF(R877="OVER",$J877,$K877)</f>
        <v>-288.64213113586675</v>
      </c>
      <c r="W877" s="2">
        <f>IF(S877="OVER",$J877,$K877)</f>
        <v>288.64213113586675</v>
      </c>
      <c r="X877" s="2">
        <f>IF(T877="OVER",$J877,$K877)</f>
        <v>288.64213113586675</v>
      </c>
      <c r="Y877" s="9">
        <f t="shared" si="115"/>
        <v>-11326.171730861091</v>
      </c>
      <c r="Z877" s="9">
        <f t="shared" si="115"/>
        <v>10167.71900663835</v>
      </c>
      <c r="AA877" s="9">
        <f t="shared" si="115"/>
        <v>54768.50211081397</v>
      </c>
      <c r="AB877" s="9">
        <f t="shared" si="115"/>
        <v>22191.546915485676</v>
      </c>
    </row>
    <row r="878" spans="1:28" x14ac:dyDescent="0.3">
      <c r="A878" s="1">
        <v>45691</v>
      </c>
      <c r="B878" s="2">
        <v>180.25</v>
      </c>
      <c r="C878" s="2">
        <v>597.77</v>
      </c>
      <c r="D878" s="9">
        <f>B878-B877</f>
        <v>-0.99000000000000909</v>
      </c>
      <c r="E878" s="9">
        <f>C878-C877</f>
        <v>-4.0500000000000682</v>
      </c>
      <c r="F878" s="3">
        <f>F$1/B878</f>
        <v>554.78502080443832</v>
      </c>
      <c r="G878" s="3">
        <f>F$1/C878</f>
        <v>167.28842196831559</v>
      </c>
      <c r="H878" s="2">
        <f>D878*F877</f>
        <v>-546.23703376738524</v>
      </c>
      <c r="I878" s="2">
        <f>E878*G877</f>
        <v>-672.95869196770923</v>
      </c>
      <c r="J878" s="2">
        <f>I878-H878</f>
        <v>-126.72165820032399</v>
      </c>
      <c r="K878" s="2">
        <f t="shared" si="111"/>
        <v>126.72165820032399</v>
      </c>
      <c r="L878" s="3">
        <f>C878/B878</f>
        <v>3.3163384188626908</v>
      </c>
      <c r="M878" s="3">
        <f t="shared" si="113"/>
        <v>3.3229638327609941</v>
      </c>
      <c r="N878" s="3">
        <f t="shared" si="117"/>
        <v>3.3305892974884501</v>
      </c>
      <c r="O878" s="3">
        <f t="shared" si="110"/>
        <v>3.3094157871011847</v>
      </c>
      <c r="P878" s="3">
        <f t="shared" si="112"/>
        <v>3.24361574215779</v>
      </c>
      <c r="Q878" s="4" t="str">
        <f t="shared" si="116"/>
        <v>UNDER</v>
      </c>
      <c r="R878" s="4" t="str">
        <f t="shared" si="116"/>
        <v>UNDER</v>
      </c>
      <c r="S878" s="4" t="str">
        <f t="shared" si="114"/>
        <v>OVER</v>
      </c>
      <c r="T878" s="4" t="str">
        <f t="shared" si="114"/>
        <v>OVER</v>
      </c>
      <c r="U878" s="2">
        <f>IF(Q878="OVER",$J878,$K878)</f>
        <v>126.72165820032399</v>
      </c>
      <c r="V878" s="2">
        <f>IF(R878="OVER",$J878,$K878)</f>
        <v>126.72165820032399</v>
      </c>
      <c r="W878" s="2">
        <f>IF(S878="OVER",$J878,$K878)</f>
        <v>-126.72165820032399</v>
      </c>
      <c r="X878" s="2">
        <f>IF(T878="OVER",$J878,$K878)</f>
        <v>-126.72165820032399</v>
      </c>
      <c r="Y878" s="9">
        <f t="shared" si="115"/>
        <v>-11199.450072660768</v>
      </c>
      <c r="Z878" s="9">
        <f t="shared" si="115"/>
        <v>10294.440664838674</v>
      </c>
      <c r="AA878" s="9">
        <f t="shared" si="115"/>
        <v>54641.780452613646</v>
      </c>
      <c r="AB878" s="9">
        <f t="shared" si="115"/>
        <v>22064.825257285353</v>
      </c>
    </row>
    <row r="879" spans="1:28" x14ac:dyDescent="0.3">
      <c r="A879" s="1">
        <v>45692</v>
      </c>
      <c r="B879" s="2">
        <v>180.47</v>
      </c>
      <c r="C879" s="2">
        <v>601.78</v>
      </c>
      <c r="D879" s="9">
        <f>B879-B878</f>
        <v>0.21999999999999886</v>
      </c>
      <c r="E879" s="9">
        <f>C879-C878</f>
        <v>4.0099999999999909</v>
      </c>
      <c r="F879" s="3">
        <f>F$1/B879</f>
        <v>554.10871613010477</v>
      </c>
      <c r="G879" s="3">
        <f>F$1/C879</f>
        <v>166.17368473528532</v>
      </c>
      <c r="H879" s="2">
        <f>D879*F878</f>
        <v>122.0527045769758</v>
      </c>
      <c r="I879" s="2">
        <f>E879*G878</f>
        <v>670.82657209294393</v>
      </c>
      <c r="J879" s="2">
        <f>I879-H879</f>
        <v>548.77386751596816</v>
      </c>
      <c r="K879" s="2">
        <f t="shared" si="111"/>
        <v>-548.77386751596816</v>
      </c>
      <c r="L879" s="3">
        <f>C879/B879</f>
        <v>3.3345154319277439</v>
      </c>
      <c r="M879" s="3">
        <f t="shared" si="113"/>
        <v>3.3253057289982975</v>
      </c>
      <c r="N879" s="3">
        <f t="shared" si="117"/>
        <v>3.3294526598289393</v>
      </c>
      <c r="O879" s="3">
        <f t="shared" si="110"/>
        <v>3.3109443781108627</v>
      </c>
      <c r="P879" s="3">
        <f t="shared" si="112"/>
        <v>3.2445833117873089</v>
      </c>
      <c r="Q879" s="4" t="str">
        <f t="shared" si="116"/>
        <v>UNDER</v>
      </c>
      <c r="R879" s="4" t="str">
        <f t="shared" si="116"/>
        <v>UNDER</v>
      </c>
      <c r="S879" s="4" t="str">
        <f t="shared" si="114"/>
        <v>OVER</v>
      </c>
      <c r="T879" s="4" t="str">
        <f t="shared" si="114"/>
        <v>OVER</v>
      </c>
      <c r="U879" s="2">
        <f>IF(Q879="OVER",$J879,$K879)</f>
        <v>-548.77386751596816</v>
      </c>
      <c r="V879" s="2">
        <f>IF(R879="OVER",$J879,$K879)</f>
        <v>-548.77386751596816</v>
      </c>
      <c r="W879" s="2">
        <f>IF(S879="OVER",$J879,$K879)</f>
        <v>548.77386751596816</v>
      </c>
      <c r="X879" s="2">
        <f>IF(T879="OVER",$J879,$K879)</f>
        <v>548.77386751596816</v>
      </c>
      <c r="Y879" s="9">
        <f t="shared" si="115"/>
        <v>-11748.223940176737</v>
      </c>
      <c r="Z879" s="9">
        <f t="shared" si="115"/>
        <v>9745.666797322705</v>
      </c>
      <c r="AA879" s="9">
        <f t="shared" si="115"/>
        <v>55190.554320129617</v>
      </c>
      <c r="AB879" s="9">
        <f t="shared" si="115"/>
        <v>22613.59912480132</v>
      </c>
    </row>
    <row r="880" spans="1:28" x14ac:dyDescent="0.3">
      <c r="A880" s="1">
        <v>45693</v>
      </c>
      <c r="B880" s="2">
        <v>181.35</v>
      </c>
      <c r="C880" s="2">
        <v>604.22</v>
      </c>
      <c r="D880" s="9">
        <f>B880-B879</f>
        <v>0.87999999999999545</v>
      </c>
      <c r="E880" s="9">
        <f>C880-C879</f>
        <v>2.4400000000000546</v>
      </c>
      <c r="F880" s="3">
        <f>F$1/B880</f>
        <v>551.41990625861592</v>
      </c>
      <c r="G880" s="3">
        <f>F$1/C880</f>
        <v>165.5026314918407</v>
      </c>
      <c r="H880" s="2">
        <f>D880*F879</f>
        <v>487.61567019448967</v>
      </c>
      <c r="I880" s="2">
        <f>E880*G879</f>
        <v>405.46379075410528</v>
      </c>
      <c r="J880" s="2">
        <f>I880-H880</f>
        <v>-82.151879440384391</v>
      </c>
      <c r="K880" s="2">
        <f t="shared" si="111"/>
        <v>82.151879440384391</v>
      </c>
      <c r="L880" s="3">
        <f>C880/B880</f>
        <v>3.3317893575958095</v>
      </c>
      <c r="M880" s="3">
        <f t="shared" si="113"/>
        <v>3.3243395327946841</v>
      </c>
      <c r="N880" s="3">
        <f t="shared" si="117"/>
        <v>3.3270977463239397</v>
      </c>
      <c r="O880" s="3">
        <f t="shared" si="110"/>
        <v>3.3126150956769926</v>
      </c>
      <c r="P880" s="3">
        <f t="shared" si="112"/>
        <v>3.2455548017572484</v>
      </c>
      <c r="Q880" s="4" t="str">
        <f t="shared" si="116"/>
        <v>OVER</v>
      </c>
      <c r="R880" s="4" t="str">
        <f t="shared" si="116"/>
        <v>OVER</v>
      </c>
      <c r="S880" s="4" t="str">
        <f t="shared" si="114"/>
        <v>OVER</v>
      </c>
      <c r="T880" s="4" t="str">
        <f t="shared" si="114"/>
        <v>OVER</v>
      </c>
      <c r="U880" s="2">
        <f>IF(Q880="OVER",$J880,$K880)</f>
        <v>-82.151879440384391</v>
      </c>
      <c r="V880" s="2">
        <f>IF(R880="OVER",$J880,$K880)</f>
        <v>-82.151879440384391</v>
      </c>
      <c r="W880" s="2">
        <f>IF(S880="OVER",$J880,$K880)</f>
        <v>-82.151879440384391</v>
      </c>
      <c r="X880" s="2">
        <f>IF(T880="OVER",$J880,$K880)</f>
        <v>-82.151879440384391</v>
      </c>
      <c r="Y880" s="9">
        <f t="shared" si="115"/>
        <v>-11830.37581961712</v>
      </c>
      <c r="Z880" s="9">
        <f t="shared" si="115"/>
        <v>9663.5149178823212</v>
      </c>
      <c r="AA880" s="9">
        <f t="shared" si="115"/>
        <v>55108.402440689235</v>
      </c>
      <c r="AB880" s="9">
        <f t="shared" si="115"/>
        <v>22531.447245360934</v>
      </c>
    </row>
    <row r="881" spans="1:28" x14ac:dyDescent="0.3">
      <c r="A881" s="1">
        <v>45694</v>
      </c>
      <c r="B881" s="2">
        <v>181.11</v>
      </c>
      <c r="C881" s="2">
        <v>606.32000000000005</v>
      </c>
      <c r="D881" s="9">
        <f>B881-B880</f>
        <v>-0.23999999999998067</v>
      </c>
      <c r="E881" s="9">
        <f>C881-C880</f>
        <v>2.1000000000000227</v>
      </c>
      <c r="F881" s="3">
        <f>F$1/B881</f>
        <v>552.1506266909613</v>
      </c>
      <c r="G881" s="3">
        <f>F$1/C881</f>
        <v>164.92941021242908</v>
      </c>
      <c r="H881" s="2">
        <f>D881*F880</f>
        <v>-132.34077750205716</v>
      </c>
      <c r="I881" s="2">
        <f>E881*G880</f>
        <v>347.55552613286926</v>
      </c>
      <c r="J881" s="2">
        <f>I881-H881</f>
        <v>479.89630363492643</v>
      </c>
      <c r="K881" s="2">
        <f t="shared" si="111"/>
        <v>-479.89630363492643</v>
      </c>
      <c r="L881" s="3">
        <f>C881/B881</f>
        <v>3.3477996797526366</v>
      </c>
      <c r="M881" s="3">
        <f t="shared" si="113"/>
        <v>3.3247350752146971</v>
      </c>
      <c r="N881" s="3">
        <f t="shared" si="117"/>
        <v>3.3268919214168617</v>
      </c>
      <c r="O881" s="3">
        <f t="shared" si="110"/>
        <v>3.3150697854910804</v>
      </c>
      <c r="P881" s="3">
        <f t="shared" si="112"/>
        <v>3.2468016532315387</v>
      </c>
      <c r="Q881" s="4" t="str">
        <f t="shared" si="116"/>
        <v>OVER</v>
      </c>
      <c r="R881" s="4" t="str">
        <f t="shared" si="116"/>
        <v>OVER</v>
      </c>
      <c r="S881" s="4" t="str">
        <f t="shared" si="114"/>
        <v>OVER</v>
      </c>
      <c r="T881" s="4" t="str">
        <f t="shared" si="114"/>
        <v>OVER</v>
      </c>
      <c r="U881" s="2">
        <f>IF(Q881="OVER",$J881,$K881)</f>
        <v>479.89630363492643</v>
      </c>
      <c r="V881" s="2">
        <f>IF(R881="OVER",$J881,$K881)</f>
        <v>479.89630363492643</v>
      </c>
      <c r="W881" s="2">
        <f>IF(S881="OVER",$J881,$K881)</f>
        <v>479.89630363492643</v>
      </c>
      <c r="X881" s="2">
        <f>IF(T881="OVER",$J881,$K881)</f>
        <v>479.89630363492643</v>
      </c>
      <c r="Y881" s="9">
        <f t="shared" si="115"/>
        <v>-11350.479515982193</v>
      </c>
      <c r="Z881" s="9">
        <f t="shared" si="115"/>
        <v>10143.411221517248</v>
      </c>
      <c r="AA881" s="9">
        <f t="shared" si="115"/>
        <v>55588.298744324158</v>
      </c>
      <c r="AB881" s="9">
        <f t="shared" si="115"/>
        <v>23011.343548995861</v>
      </c>
    </row>
    <row r="882" spans="1:28" x14ac:dyDescent="0.3">
      <c r="A882" s="1">
        <v>45695</v>
      </c>
      <c r="B882" s="2">
        <v>180.22</v>
      </c>
      <c r="C882" s="2">
        <v>600.77</v>
      </c>
      <c r="D882" s="9">
        <f>B882-B881</f>
        <v>-0.89000000000001478</v>
      </c>
      <c r="E882" s="9">
        <f>C882-C881</f>
        <v>-5.5500000000000682</v>
      </c>
      <c r="F882" s="3">
        <f>F$1/B882</f>
        <v>554.87737210076568</v>
      </c>
      <c r="G882" s="3">
        <f>F$1/C882</f>
        <v>166.4530519167069</v>
      </c>
      <c r="H882" s="2">
        <f>D882*F881</f>
        <v>-491.41405775496372</v>
      </c>
      <c r="I882" s="2">
        <f>E882*G881</f>
        <v>-915.35822667899265</v>
      </c>
      <c r="J882" s="2">
        <f>I882-H882</f>
        <v>-423.94416892402893</v>
      </c>
      <c r="K882" s="2">
        <f t="shared" si="111"/>
        <v>423.94416892402893</v>
      </c>
      <c r="L882" s="3">
        <f>C882/B882</f>
        <v>3.3335367883697704</v>
      </c>
      <c r="M882" s="3">
        <f t="shared" si="113"/>
        <v>3.32438767276291</v>
      </c>
      <c r="N882" s="3">
        <f t="shared" si="117"/>
        <v>3.3259285606305951</v>
      </c>
      <c r="O882" s="3">
        <f t="shared" si="110"/>
        <v>3.3175449733686464</v>
      </c>
      <c r="P882" s="3">
        <f t="shared" si="112"/>
        <v>3.247952973762843</v>
      </c>
      <c r="Q882" s="4" t="str">
        <f t="shared" si="116"/>
        <v>OVER</v>
      </c>
      <c r="R882" s="4" t="str">
        <f t="shared" si="116"/>
        <v>OVER</v>
      </c>
      <c r="S882" s="4" t="str">
        <f t="shared" si="114"/>
        <v>OVER</v>
      </c>
      <c r="T882" s="4" t="str">
        <f t="shared" si="114"/>
        <v>OVER</v>
      </c>
      <c r="U882" s="2">
        <f>IF(Q882="OVER",$J882,$K882)</f>
        <v>-423.94416892402893</v>
      </c>
      <c r="V882" s="2">
        <f>IF(R882="OVER",$J882,$K882)</f>
        <v>-423.94416892402893</v>
      </c>
      <c r="W882" s="2">
        <f>IF(S882="OVER",$J882,$K882)</f>
        <v>-423.94416892402893</v>
      </c>
      <c r="X882" s="2">
        <f>IF(T882="OVER",$J882,$K882)</f>
        <v>-423.94416892402893</v>
      </c>
      <c r="Y882" s="9">
        <f t="shared" si="115"/>
        <v>-11774.423684906222</v>
      </c>
      <c r="Z882" s="9">
        <f t="shared" si="115"/>
        <v>9719.4670525932197</v>
      </c>
      <c r="AA882" s="9">
        <f t="shared" si="115"/>
        <v>55164.354575400132</v>
      </c>
      <c r="AB882" s="9">
        <f t="shared" si="115"/>
        <v>22587.399380071831</v>
      </c>
    </row>
    <row r="883" spans="1:28" x14ac:dyDescent="0.3">
      <c r="A883" s="1">
        <v>45698</v>
      </c>
      <c r="B883" s="2">
        <v>180.73</v>
      </c>
      <c r="C883" s="2">
        <v>604.85</v>
      </c>
      <c r="D883" s="9">
        <f>B883-B882</f>
        <v>0.50999999999999091</v>
      </c>
      <c r="E883" s="9">
        <f>C883-C882</f>
        <v>4.0800000000000409</v>
      </c>
      <c r="F883" s="3">
        <f>F$1/B883</f>
        <v>553.31156974492342</v>
      </c>
      <c r="G883" s="3">
        <f>F$1/C883</f>
        <v>165.33024716871952</v>
      </c>
      <c r="H883" s="2">
        <f>D883*F882</f>
        <v>282.98745977138543</v>
      </c>
      <c r="I883" s="2">
        <f>E883*G882</f>
        <v>679.12845182017099</v>
      </c>
      <c r="J883" s="2">
        <f>I883-H883</f>
        <v>396.14099204878556</v>
      </c>
      <c r="K883" s="2">
        <f t="shared" si="111"/>
        <v>-396.14099204878556</v>
      </c>
      <c r="L883" s="3">
        <f>C883/B883</f>
        <v>3.3467050296021692</v>
      </c>
      <c r="M883" s="3">
        <f t="shared" si="113"/>
        <v>3.3302939828648084</v>
      </c>
      <c r="N883" s="3">
        <f t="shared" si="117"/>
        <v>3.3257342305811215</v>
      </c>
      <c r="O883" s="3">
        <f t="shared" si="110"/>
        <v>3.3206438087504981</v>
      </c>
      <c r="P883" s="3">
        <f t="shared" si="112"/>
        <v>3.2491242066542982</v>
      </c>
      <c r="Q883" s="4" t="str">
        <f t="shared" si="116"/>
        <v>OVER</v>
      </c>
      <c r="R883" s="4" t="str">
        <f t="shared" si="116"/>
        <v>OVER</v>
      </c>
      <c r="S883" s="4" t="str">
        <f t="shared" si="114"/>
        <v>OVER</v>
      </c>
      <c r="T883" s="4" t="str">
        <f t="shared" si="114"/>
        <v>OVER</v>
      </c>
      <c r="U883" s="2">
        <f>IF(Q883="OVER",$J883,$K883)</f>
        <v>396.14099204878556</v>
      </c>
      <c r="V883" s="2">
        <f>IF(R883="OVER",$J883,$K883)</f>
        <v>396.14099204878556</v>
      </c>
      <c r="W883" s="2">
        <f>IF(S883="OVER",$J883,$K883)</f>
        <v>396.14099204878556</v>
      </c>
      <c r="X883" s="2">
        <f>IF(T883="OVER",$J883,$K883)</f>
        <v>396.14099204878556</v>
      </c>
      <c r="Y883" s="9">
        <f t="shared" si="115"/>
        <v>-11378.282692857436</v>
      </c>
      <c r="Z883" s="9">
        <f t="shared" si="115"/>
        <v>10115.608044642006</v>
      </c>
      <c r="AA883" s="9">
        <f t="shared" si="115"/>
        <v>55560.495567448917</v>
      </c>
      <c r="AB883" s="9">
        <f t="shared" si="115"/>
        <v>22983.540372120617</v>
      </c>
    </row>
    <row r="884" spans="1:28" x14ac:dyDescent="0.3">
      <c r="A884" s="1">
        <v>45699</v>
      </c>
      <c r="B884" s="2">
        <v>180.75</v>
      </c>
      <c r="C884" s="2">
        <v>605.30999999999995</v>
      </c>
      <c r="D884" s="9">
        <f>B884-B883</f>
        <v>2.0000000000010232E-2</v>
      </c>
      <c r="E884" s="9">
        <f>C884-C883</f>
        <v>0.45999999999992269</v>
      </c>
      <c r="F884" s="3">
        <f>F$1/B884</f>
        <v>553.25034578146608</v>
      </c>
      <c r="G884" s="3">
        <f>F$1/C884</f>
        <v>165.20460590441263</v>
      </c>
      <c r="H884" s="2">
        <f>D884*F883</f>
        <v>11.066231394904129</v>
      </c>
      <c r="I884" s="2">
        <f>E884*G883</f>
        <v>76.051913697598195</v>
      </c>
      <c r="J884" s="2">
        <f>I884-H884</f>
        <v>64.985682302694073</v>
      </c>
      <c r="K884" s="2">
        <f t="shared" si="111"/>
        <v>-64.985682302694073</v>
      </c>
      <c r="L884" s="3">
        <f>C884/B884</f>
        <v>3.3488796680497921</v>
      </c>
      <c r="M884" s="3">
        <f t="shared" si="113"/>
        <v>3.3319478390915394</v>
      </c>
      <c r="N884" s="3">
        <f t="shared" si="117"/>
        <v>3.3267529549236698</v>
      </c>
      <c r="O884" s="3">
        <f t="shared" si="110"/>
        <v>3.3234596758924049</v>
      </c>
      <c r="P884" s="3">
        <f t="shared" si="112"/>
        <v>3.2503356896340447</v>
      </c>
      <c r="Q884" s="4" t="str">
        <f t="shared" si="116"/>
        <v>OVER</v>
      </c>
      <c r="R884" s="4" t="str">
        <f t="shared" si="116"/>
        <v>OVER</v>
      </c>
      <c r="S884" s="4" t="str">
        <f t="shared" si="114"/>
        <v>OVER</v>
      </c>
      <c r="T884" s="4" t="str">
        <f t="shared" si="114"/>
        <v>OVER</v>
      </c>
      <c r="U884" s="2">
        <f>IF(Q884="OVER",$J884,$K884)</f>
        <v>64.985682302694073</v>
      </c>
      <c r="V884" s="2">
        <f>IF(R884="OVER",$J884,$K884)</f>
        <v>64.985682302694073</v>
      </c>
      <c r="W884" s="2">
        <f>IF(S884="OVER",$J884,$K884)</f>
        <v>64.985682302694073</v>
      </c>
      <c r="X884" s="2">
        <f>IF(T884="OVER",$J884,$K884)</f>
        <v>64.985682302694073</v>
      </c>
      <c r="Y884" s="9">
        <f t="shared" si="115"/>
        <v>-11313.297010554741</v>
      </c>
      <c r="Z884" s="9">
        <f t="shared" si="115"/>
        <v>10180.5937269447</v>
      </c>
      <c r="AA884" s="9">
        <f t="shared" si="115"/>
        <v>55625.48124975161</v>
      </c>
      <c r="AB884" s="9">
        <f t="shared" si="115"/>
        <v>23048.52605442331</v>
      </c>
    </row>
    <row r="885" spans="1:28" x14ac:dyDescent="0.3">
      <c r="A885" s="1">
        <v>45700</v>
      </c>
      <c r="B885" s="2">
        <v>179.7</v>
      </c>
      <c r="C885" s="2">
        <v>603.36</v>
      </c>
      <c r="D885" s="9">
        <f>B885-B884</f>
        <v>-1.0500000000000114</v>
      </c>
      <c r="E885" s="9">
        <f>C885-C884</f>
        <v>-1.9499999999999318</v>
      </c>
      <c r="F885" s="3">
        <f>F$1/B885</f>
        <v>556.48302726766838</v>
      </c>
      <c r="G885" s="3">
        <f>F$1/C885</f>
        <v>165.73853089366216</v>
      </c>
      <c r="H885" s="2">
        <f>D885*F884</f>
        <v>-580.91286307054565</v>
      </c>
      <c r="I885" s="2">
        <f>E885*G884</f>
        <v>-322.14898151359336</v>
      </c>
      <c r="J885" s="2">
        <f>I885-H885</f>
        <v>258.7638815569523</v>
      </c>
      <c r="K885" s="2">
        <f t="shared" si="111"/>
        <v>-258.7638815569523</v>
      </c>
      <c r="L885" s="3">
        <f>C885/B885</f>
        <v>3.3575959933222039</v>
      </c>
      <c r="M885" s="3">
        <f t="shared" si="113"/>
        <v>3.3348663345025167</v>
      </c>
      <c r="N885" s="3">
        <f t="shared" si="117"/>
        <v>3.3293130135629738</v>
      </c>
      <c r="O885" s="3">
        <f t="shared" ref="O885:O948" si="118">AVERAGE(L836:L885)</f>
        <v>3.3265827264725618</v>
      </c>
      <c r="P885" s="3">
        <f t="shared" si="112"/>
        <v>3.2516173560804837</v>
      </c>
      <c r="Q885" s="4" t="str">
        <f t="shared" si="116"/>
        <v>OVER</v>
      </c>
      <c r="R885" s="4" t="str">
        <f t="shared" si="116"/>
        <v>OVER</v>
      </c>
      <c r="S885" s="4" t="str">
        <f t="shared" si="114"/>
        <v>OVER</v>
      </c>
      <c r="T885" s="4" t="str">
        <f t="shared" si="114"/>
        <v>OVER</v>
      </c>
      <c r="U885" s="2">
        <f>IF(Q885="OVER",$J885,$K885)</f>
        <v>258.7638815569523</v>
      </c>
      <c r="V885" s="2">
        <f>IF(R885="OVER",$J885,$K885)</f>
        <v>258.7638815569523</v>
      </c>
      <c r="W885" s="2">
        <f>IF(S885="OVER",$J885,$K885)</f>
        <v>258.7638815569523</v>
      </c>
      <c r="X885" s="2">
        <f>IF(T885="OVER",$J885,$K885)</f>
        <v>258.7638815569523</v>
      </c>
      <c r="Y885" s="9">
        <f t="shared" si="115"/>
        <v>-11054.533128997789</v>
      </c>
      <c r="Z885" s="9">
        <f t="shared" si="115"/>
        <v>10439.357608501652</v>
      </c>
      <c r="AA885" s="9">
        <f t="shared" si="115"/>
        <v>55884.245131308562</v>
      </c>
      <c r="AB885" s="9">
        <f t="shared" si="115"/>
        <v>23307.289935980261</v>
      </c>
    </row>
    <row r="886" spans="1:28" x14ac:dyDescent="0.3">
      <c r="A886" s="1">
        <v>45701</v>
      </c>
      <c r="B886" s="2">
        <v>181.26</v>
      </c>
      <c r="C886" s="2">
        <v>609.73</v>
      </c>
      <c r="D886" s="9">
        <f>B886-B885</f>
        <v>1.5600000000000023</v>
      </c>
      <c r="E886" s="9">
        <f>C886-C885</f>
        <v>6.3700000000000045</v>
      </c>
      <c r="F886" s="3">
        <f>F$1/B886</f>
        <v>551.69369965794988</v>
      </c>
      <c r="G886" s="3">
        <f>F$1/C886</f>
        <v>164.00701950043461</v>
      </c>
      <c r="H886" s="2">
        <f>D886*F885</f>
        <v>868.11352253756388</v>
      </c>
      <c r="I886" s="2">
        <f>E886*G885</f>
        <v>1055.7544417926288</v>
      </c>
      <c r="J886" s="2">
        <f>I886-H886</f>
        <v>187.64091925506489</v>
      </c>
      <c r="K886" s="2">
        <f t="shared" si="111"/>
        <v>-187.64091925506489</v>
      </c>
      <c r="L886" s="3">
        <f>C886/B886</f>
        <v>3.3638419949244183</v>
      </c>
      <c r="M886" s="3">
        <f t="shared" si="113"/>
        <v>3.3401571773133347</v>
      </c>
      <c r="N886" s="3">
        <f t="shared" si="117"/>
        <v>3.330778444017414</v>
      </c>
      <c r="O886" s="3">
        <f t="shared" si="118"/>
        <v>3.3296286741420769</v>
      </c>
      <c r="P886" s="3">
        <f t="shared" si="112"/>
        <v>3.2527910572205307</v>
      </c>
      <c r="Q886" s="4" t="str">
        <f t="shared" si="116"/>
        <v>OVER</v>
      </c>
      <c r="R886" s="4" t="str">
        <f t="shared" si="116"/>
        <v>OVER</v>
      </c>
      <c r="S886" s="4" t="str">
        <f t="shared" si="114"/>
        <v>OVER</v>
      </c>
      <c r="T886" s="4" t="str">
        <f t="shared" si="114"/>
        <v>OVER</v>
      </c>
      <c r="U886" s="2">
        <f>IF(Q886="OVER",$J886,$K886)</f>
        <v>187.64091925506489</v>
      </c>
      <c r="V886" s="2">
        <f>IF(R886="OVER",$J886,$K886)</f>
        <v>187.64091925506489</v>
      </c>
      <c r="W886" s="2">
        <f>IF(S886="OVER",$J886,$K886)</f>
        <v>187.64091925506489</v>
      </c>
      <c r="X886" s="2">
        <f>IF(T886="OVER",$J886,$K886)</f>
        <v>187.64091925506489</v>
      </c>
      <c r="Y886" s="9">
        <f t="shared" si="115"/>
        <v>-10866.892209742724</v>
      </c>
      <c r="Z886" s="9">
        <f t="shared" si="115"/>
        <v>10626.998527756718</v>
      </c>
      <c r="AA886" s="9">
        <f t="shared" si="115"/>
        <v>56071.886050563626</v>
      </c>
      <c r="AB886" s="9">
        <f t="shared" si="115"/>
        <v>23494.930855235325</v>
      </c>
    </row>
    <row r="887" spans="1:28" x14ac:dyDescent="0.3">
      <c r="A887" s="1">
        <v>45702</v>
      </c>
      <c r="B887" s="2">
        <v>181.08</v>
      </c>
      <c r="C887" s="2">
        <v>609.70000000000005</v>
      </c>
      <c r="D887" s="9">
        <f>B887-B886</f>
        <v>-0.1799999999999784</v>
      </c>
      <c r="E887" s="9">
        <f>C887-C886</f>
        <v>-2.9999999999972715E-2</v>
      </c>
      <c r="F887" s="3">
        <f>F$1/B887</f>
        <v>552.24210293792794</v>
      </c>
      <c r="G887" s="3">
        <f>F$1/C887</f>
        <v>164.01508938822371</v>
      </c>
      <c r="H887" s="2">
        <f>D887*F886</f>
        <v>-99.304865938419056</v>
      </c>
      <c r="I887" s="2">
        <f>E887*G886</f>
        <v>-4.9202105850085633</v>
      </c>
      <c r="J887" s="2">
        <f>I887-H887</f>
        <v>94.384655353410494</v>
      </c>
      <c r="K887" s="2">
        <f t="shared" si="111"/>
        <v>-94.384655353410494</v>
      </c>
      <c r="L887" s="3">
        <f>C887/B887</f>
        <v>3.3670201016125469</v>
      </c>
      <c r="M887" s="3">
        <f t="shared" si="113"/>
        <v>3.3448022464019784</v>
      </c>
      <c r="N887" s="3">
        <f t="shared" si="117"/>
        <v>3.3340236836239114</v>
      </c>
      <c r="O887" s="3">
        <f t="shared" si="118"/>
        <v>3.3324614619611306</v>
      </c>
      <c r="P887" s="3">
        <f t="shared" si="112"/>
        <v>3.2540337145884615</v>
      </c>
      <c r="Q887" s="4" t="str">
        <f t="shared" si="116"/>
        <v>OVER</v>
      </c>
      <c r="R887" s="4" t="str">
        <f t="shared" si="116"/>
        <v>OVER</v>
      </c>
      <c r="S887" s="4" t="str">
        <f t="shared" si="114"/>
        <v>OVER</v>
      </c>
      <c r="T887" s="4" t="str">
        <f t="shared" si="114"/>
        <v>OVER</v>
      </c>
      <c r="U887" s="2">
        <f>IF(Q887="OVER",$J887,$K887)</f>
        <v>94.384655353410494</v>
      </c>
      <c r="V887" s="2">
        <f>IF(R887="OVER",$J887,$K887)</f>
        <v>94.384655353410494</v>
      </c>
      <c r="W887" s="2">
        <f>IF(S887="OVER",$J887,$K887)</f>
        <v>94.384655353410494</v>
      </c>
      <c r="X887" s="2">
        <f>IF(T887="OVER",$J887,$K887)</f>
        <v>94.384655353410494</v>
      </c>
      <c r="Y887" s="9">
        <f t="shared" si="115"/>
        <v>-10772.507554389313</v>
      </c>
      <c r="Z887" s="9">
        <f t="shared" si="115"/>
        <v>10721.383183110129</v>
      </c>
      <c r="AA887" s="9">
        <f t="shared" si="115"/>
        <v>56166.270705917035</v>
      </c>
      <c r="AB887" s="9">
        <f t="shared" si="115"/>
        <v>23589.315510588734</v>
      </c>
    </row>
    <row r="888" spans="1:28" x14ac:dyDescent="0.3">
      <c r="A888" s="1">
        <v>45706</v>
      </c>
      <c r="B888" s="2">
        <v>182.47</v>
      </c>
      <c r="C888" s="2">
        <v>611.49</v>
      </c>
      <c r="D888" s="9">
        <f>B888-B887</f>
        <v>1.3899999999999864</v>
      </c>
      <c r="E888" s="9">
        <f>C888-C887</f>
        <v>1.7899999999999636</v>
      </c>
      <c r="F888" s="3">
        <f>F$1/B888</f>
        <v>548.03529347289964</v>
      </c>
      <c r="G888" s="3">
        <f>F$1/C888</f>
        <v>163.53497195375232</v>
      </c>
      <c r="H888" s="2">
        <f>D888*F887</f>
        <v>767.61652308371231</v>
      </c>
      <c r="I888" s="2">
        <f>E888*G887</f>
        <v>293.58701000491448</v>
      </c>
      <c r="J888" s="2">
        <f>I888-H888</f>
        <v>-474.02951307879783</v>
      </c>
      <c r="K888" s="2">
        <f t="shared" si="111"/>
        <v>474.02951307879783</v>
      </c>
      <c r="L888" s="3">
        <f>C888/B888</f>
        <v>3.351181016057434</v>
      </c>
      <c r="M888" s="3">
        <f t="shared" si="113"/>
        <v>3.3482865061214526</v>
      </c>
      <c r="N888" s="3">
        <f t="shared" si="117"/>
        <v>3.3356251694412231</v>
      </c>
      <c r="O888" s="3">
        <f t="shared" si="118"/>
        <v>3.3346600500796164</v>
      </c>
      <c r="P888" s="3">
        <f t="shared" si="112"/>
        <v>3.2552195204131658</v>
      </c>
      <c r="Q888" s="4" t="str">
        <f t="shared" si="116"/>
        <v>OVER</v>
      </c>
      <c r="R888" s="4" t="str">
        <f t="shared" si="116"/>
        <v>OVER</v>
      </c>
      <c r="S888" s="4" t="str">
        <f t="shared" si="114"/>
        <v>OVER</v>
      </c>
      <c r="T888" s="4" t="str">
        <f t="shared" si="114"/>
        <v>OVER</v>
      </c>
      <c r="U888" s="2">
        <f>IF(Q888="OVER",$J888,$K888)</f>
        <v>-474.02951307879783</v>
      </c>
      <c r="V888" s="2">
        <f>IF(R888="OVER",$J888,$K888)</f>
        <v>-474.02951307879783</v>
      </c>
      <c r="W888" s="2">
        <f>IF(S888="OVER",$J888,$K888)</f>
        <v>-474.02951307879783</v>
      </c>
      <c r="X888" s="2">
        <f>IF(T888="OVER",$J888,$K888)</f>
        <v>-474.02951307879783</v>
      </c>
      <c r="Y888" s="9">
        <f t="shared" si="115"/>
        <v>-11246.537067468111</v>
      </c>
      <c r="Z888" s="9">
        <f t="shared" si="115"/>
        <v>10247.353670031331</v>
      </c>
      <c r="AA888" s="9">
        <f t="shared" si="115"/>
        <v>55692.241192838235</v>
      </c>
      <c r="AB888" s="9">
        <f t="shared" si="115"/>
        <v>23115.285997509938</v>
      </c>
    </row>
    <row r="889" spans="1:28" x14ac:dyDescent="0.3">
      <c r="A889" s="1">
        <v>45707</v>
      </c>
      <c r="B889" s="2">
        <v>182.84</v>
      </c>
      <c r="C889" s="2">
        <v>612.92999999999995</v>
      </c>
      <c r="D889" s="9">
        <f>B889-B888</f>
        <v>0.37000000000000455</v>
      </c>
      <c r="E889" s="9">
        <f>C889-C888</f>
        <v>1.4399999999999409</v>
      </c>
      <c r="F889" s="3">
        <f>F$1/B889</f>
        <v>546.92627433821917</v>
      </c>
      <c r="G889" s="3">
        <f>F$1/C889</f>
        <v>163.15076762436169</v>
      </c>
      <c r="H889" s="2">
        <f>D889*F888</f>
        <v>202.77305858497536</v>
      </c>
      <c r="I889" s="2">
        <f>E889*G888</f>
        <v>235.49035961339368</v>
      </c>
      <c r="J889" s="2">
        <f>I889-H889</f>
        <v>32.717301028418319</v>
      </c>
      <c r="K889" s="2">
        <f t="shared" si="111"/>
        <v>-32.717301028418319</v>
      </c>
      <c r="L889" s="3">
        <f>C889/B889</f>
        <v>3.3522752133012466</v>
      </c>
      <c r="M889" s="3">
        <f t="shared" si="113"/>
        <v>3.3500624842588023</v>
      </c>
      <c r="N889" s="3">
        <f t="shared" si="117"/>
        <v>3.3376841066285499</v>
      </c>
      <c r="O889" s="3">
        <f t="shared" si="118"/>
        <v>3.3364814895144281</v>
      </c>
      <c r="P889" s="3">
        <f t="shared" si="112"/>
        <v>3.2564082229658222</v>
      </c>
      <c r="Q889" s="4" t="str">
        <f t="shared" si="116"/>
        <v>OVER</v>
      </c>
      <c r="R889" s="4" t="str">
        <f t="shared" si="116"/>
        <v>OVER</v>
      </c>
      <c r="S889" s="4" t="str">
        <f t="shared" si="114"/>
        <v>OVER</v>
      </c>
      <c r="T889" s="4" t="str">
        <f t="shared" si="114"/>
        <v>OVER</v>
      </c>
      <c r="U889" s="2">
        <f>IF(Q889="OVER",$J889,$K889)</f>
        <v>32.717301028418319</v>
      </c>
      <c r="V889" s="2">
        <f>IF(R889="OVER",$J889,$K889)</f>
        <v>32.717301028418319</v>
      </c>
      <c r="W889" s="2">
        <f>IF(S889="OVER",$J889,$K889)</f>
        <v>32.717301028418319</v>
      </c>
      <c r="X889" s="2">
        <f>IF(T889="OVER",$J889,$K889)</f>
        <v>32.717301028418319</v>
      </c>
      <c r="Y889" s="9">
        <f t="shared" si="115"/>
        <v>-11213.819766439692</v>
      </c>
      <c r="Z889" s="9">
        <f t="shared" si="115"/>
        <v>10280.070971059749</v>
      </c>
      <c r="AA889" s="9">
        <f t="shared" si="115"/>
        <v>55724.958493866652</v>
      </c>
      <c r="AB889" s="9">
        <f t="shared" si="115"/>
        <v>23148.003298538355</v>
      </c>
    </row>
    <row r="890" spans="1:28" x14ac:dyDescent="0.3">
      <c r="A890" s="1">
        <v>45708</v>
      </c>
      <c r="B890" s="2">
        <v>182.38</v>
      </c>
      <c r="C890" s="2">
        <v>610.38</v>
      </c>
      <c r="D890" s="9">
        <f>B890-B889</f>
        <v>-0.46000000000000796</v>
      </c>
      <c r="E890" s="9">
        <f>C890-C889</f>
        <v>-2.5499999999999545</v>
      </c>
      <c r="F890" s="3">
        <f>F$1/B890</f>
        <v>548.30573527799106</v>
      </c>
      <c r="G890" s="3">
        <f>F$1/C890</f>
        <v>163.83236672236967</v>
      </c>
      <c r="H890" s="2">
        <f>D890*F889</f>
        <v>-251.58608619558518</v>
      </c>
      <c r="I890" s="2">
        <f>E890*G889</f>
        <v>-416.0344574421149</v>
      </c>
      <c r="J890" s="2">
        <f>I890-H890</f>
        <v>-164.44837124652972</v>
      </c>
      <c r="K890" s="2">
        <f t="shared" si="111"/>
        <v>164.44837124652972</v>
      </c>
      <c r="L890" s="3">
        <f>C890/B890</f>
        <v>3.3467485469898017</v>
      </c>
      <c r="M890" s="3">
        <f t="shared" si="113"/>
        <v>3.3515584031982022</v>
      </c>
      <c r="N890" s="3">
        <f t="shared" si="117"/>
        <v>3.3379489679964438</v>
      </c>
      <c r="O890" s="3">
        <f t="shared" si="118"/>
        <v>3.3379730947584312</v>
      </c>
      <c r="P890" s="3">
        <f t="shared" si="112"/>
        <v>3.2575199043298237</v>
      </c>
      <c r="Q890" s="4" t="str">
        <f t="shared" si="116"/>
        <v>OVER</v>
      </c>
      <c r="R890" s="4" t="str">
        <f t="shared" si="116"/>
        <v>OVER</v>
      </c>
      <c r="S890" s="4" t="str">
        <f t="shared" si="114"/>
        <v>OVER</v>
      </c>
      <c r="T890" s="4" t="str">
        <f t="shared" si="114"/>
        <v>OVER</v>
      </c>
      <c r="U890" s="2">
        <f>IF(Q890="OVER",$J890,$K890)</f>
        <v>-164.44837124652972</v>
      </c>
      <c r="V890" s="2">
        <f>IF(R890="OVER",$J890,$K890)</f>
        <v>-164.44837124652972</v>
      </c>
      <c r="W890" s="2">
        <f>IF(S890="OVER",$J890,$K890)</f>
        <v>-164.44837124652972</v>
      </c>
      <c r="X890" s="2">
        <f>IF(T890="OVER",$J890,$K890)</f>
        <v>-164.44837124652972</v>
      </c>
      <c r="Y890" s="9">
        <f t="shared" si="115"/>
        <v>-11378.268137686222</v>
      </c>
      <c r="Z890" s="9">
        <f t="shared" si="115"/>
        <v>10115.622599813219</v>
      </c>
      <c r="AA890" s="9">
        <f t="shared" si="115"/>
        <v>55560.510122620122</v>
      </c>
      <c r="AB890" s="9">
        <f t="shared" si="115"/>
        <v>22983.554927291825</v>
      </c>
    </row>
    <row r="891" spans="1:28" x14ac:dyDescent="0.3">
      <c r="A891" s="1">
        <v>45709</v>
      </c>
      <c r="B891" s="2">
        <v>179.82</v>
      </c>
      <c r="C891" s="2">
        <v>599.94000000000005</v>
      </c>
      <c r="D891" s="9">
        <f>B891-B890</f>
        <v>-2.5600000000000023</v>
      </c>
      <c r="E891" s="9">
        <f>C891-C890</f>
        <v>-10.439999999999941</v>
      </c>
      <c r="F891" s="3">
        <f>F$1/B891</f>
        <v>556.11166722277835</v>
      </c>
      <c r="G891" s="3">
        <f>F$1/C891</f>
        <v>166.68333500016666</v>
      </c>
      <c r="H891" s="2">
        <f>D891*F890</f>
        <v>-1403.6626823116583</v>
      </c>
      <c r="I891" s="2">
        <f>E891*G890</f>
        <v>-1710.4099085815296</v>
      </c>
      <c r="J891" s="2">
        <f>I891-H891</f>
        <v>-306.74722626987136</v>
      </c>
      <c r="K891" s="2">
        <f t="shared" si="111"/>
        <v>306.74722626987136</v>
      </c>
      <c r="L891" s="3">
        <f>C891/B891</f>
        <v>3.3363363363363367</v>
      </c>
      <c r="M891" s="3">
        <f t="shared" si="113"/>
        <v>3.3504120688565719</v>
      </c>
      <c r="N891" s="3">
        <f t="shared" si="117"/>
        <v>3.3375735720356348</v>
      </c>
      <c r="O891" s="3">
        <f t="shared" si="118"/>
        <v>3.3390580481712639</v>
      </c>
      <c r="P891" s="3">
        <f t="shared" si="112"/>
        <v>3.2584976115659008</v>
      </c>
      <c r="Q891" s="4" t="str">
        <f t="shared" si="116"/>
        <v>UNDER</v>
      </c>
      <c r="R891" s="4" t="str">
        <f t="shared" si="116"/>
        <v>OVER</v>
      </c>
      <c r="S891" s="4" t="str">
        <f t="shared" si="114"/>
        <v>UNDER</v>
      </c>
      <c r="T891" s="4" t="str">
        <f t="shared" si="114"/>
        <v>OVER</v>
      </c>
      <c r="U891" s="2">
        <f>IF(Q891="OVER",$J891,$K891)</f>
        <v>306.74722626987136</v>
      </c>
      <c r="V891" s="2">
        <f>IF(R891="OVER",$J891,$K891)</f>
        <v>-306.74722626987136</v>
      </c>
      <c r="W891" s="2">
        <f>IF(S891="OVER",$J891,$K891)</f>
        <v>306.74722626987136</v>
      </c>
      <c r="X891" s="2">
        <f>IF(T891="OVER",$J891,$K891)</f>
        <v>-306.74722626987136</v>
      </c>
      <c r="Y891" s="9">
        <f t="shared" si="115"/>
        <v>-11071.52091141635</v>
      </c>
      <c r="Z891" s="9">
        <f t="shared" si="115"/>
        <v>9808.8753735433475</v>
      </c>
      <c r="AA891" s="9">
        <f t="shared" si="115"/>
        <v>55867.257348889994</v>
      </c>
      <c r="AB891" s="9">
        <f t="shared" si="115"/>
        <v>22676.807701021953</v>
      </c>
    </row>
    <row r="892" spans="1:28" x14ac:dyDescent="0.3">
      <c r="A892" s="1">
        <v>45712</v>
      </c>
      <c r="B892" s="2">
        <v>179.97</v>
      </c>
      <c r="C892" s="2">
        <v>597.21</v>
      </c>
      <c r="D892" s="9">
        <f>B892-B891</f>
        <v>0.15000000000000568</v>
      </c>
      <c r="E892" s="9">
        <f>C892-C891</f>
        <v>-2.7300000000000182</v>
      </c>
      <c r="F892" s="3">
        <f>F$1/B892</f>
        <v>555.64816358281939</v>
      </c>
      <c r="G892" s="3">
        <f>F$1/C892</f>
        <v>167.44528725239027</v>
      </c>
      <c r="H892" s="2">
        <f>D892*F891</f>
        <v>83.416750083419913</v>
      </c>
      <c r="I892" s="2">
        <f>E892*G891</f>
        <v>-455.04550455045802</v>
      </c>
      <c r="J892" s="2">
        <f>I892-H892</f>
        <v>-538.46225463387793</v>
      </c>
      <c r="K892" s="2">
        <f t="shared" si="111"/>
        <v>538.46225463387793</v>
      </c>
      <c r="L892" s="3">
        <f>C892/B892</f>
        <v>3.3183863977329557</v>
      </c>
      <c r="M892" s="3">
        <f t="shared" si="113"/>
        <v>3.3488970297928908</v>
      </c>
      <c r="N892" s="3">
        <f t="shared" si="117"/>
        <v>3.3366423512779</v>
      </c>
      <c r="O892" s="3">
        <f t="shared" si="118"/>
        <v>3.3398529300596653</v>
      </c>
      <c r="P892" s="3">
        <f t="shared" si="112"/>
        <v>3.2593442984923859</v>
      </c>
      <c r="Q892" s="4" t="str">
        <f t="shared" si="116"/>
        <v>UNDER</v>
      </c>
      <c r="R892" s="4" t="str">
        <f t="shared" si="116"/>
        <v>UNDER</v>
      </c>
      <c r="S892" s="4" t="str">
        <f t="shared" si="114"/>
        <v>UNDER</v>
      </c>
      <c r="T892" s="4" t="str">
        <f t="shared" si="114"/>
        <v>OVER</v>
      </c>
      <c r="U892" s="2">
        <f>IF(Q892="OVER",$J892,$K892)</f>
        <v>538.46225463387793</v>
      </c>
      <c r="V892" s="2">
        <f>IF(R892="OVER",$J892,$K892)</f>
        <v>538.46225463387793</v>
      </c>
      <c r="W892" s="2">
        <f>IF(S892="OVER",$J892,$K892)</f>
        <v>538.46225463387793</v>
      </c>
      <c r="X892" s="2">
        <f>IF(T892="OVER",$J892,$K892)</f>
        <v>-538.46225463387793</v>
      </c>
      <c r="Y892" s="9">
        <f t="shared" si="115"/>
        <v>-10533.058656782472</v>
      </c>
      <c r="Z892" s="9">
        <f t="shared" si="115"/>
        <v>10347.337628177225</v>
      </c>
      <c r="AA892" s="9">
        <f t="shared" si="115"/>
        <v>56405.719603523874</v>
      </c>
      <c r="AB892" s="9">
        <f t="shared" si="115"/>
        <v>22138.345446388073</v>
      </c>
    </row>
    <row r="893" spans="1:28" x14ac:dyDescent="0.3">
      <c r="A893" s="1">
        <v>45713</v>
      </c>
      <c r="B893" s="2">
        <v>180.15</v>
      </c>
      <c r="C893" s="2">
        <v>594.24</v>
      </c>
      <c r="D893" s="9">
        <f>B893-B892</f>
        <v>0.18000000000000682</v>
      </c>
      <c r="E893" s="9">
        <f>C893-C892</f>
        <v>-2.9700000000000273</v>
      </c>
      <c r="F893" s="3">
        <f>F$1/B893</f>
        <v>555.09297807382734</v>
      </c>
      <c r="G893" s="3">
        <f>F$1/C893</f>
        <v>168.28217555196554</v>
      </c>
      <c r="H893" s="2">
        <f>D893*F892</f>
        <v>100.01666944491129</v>
      </c>
      <c r="I893" s="2">
        <f>E893*G892</f>
        <v>-497.31250313960368</v>
      </c>
      <c r="J893" s="2">
        <f>I893-H893</f>
        <v>-597.32917258451494</v>
      </c>
      <c r="K893" s="2">
        <f t="shared" si="111"/>
        <v>597.32917258451494</v>
      </c>
      <c r="L893" s="3">
        <f>C893/B893</f>
        <v>3.2985845129059115</v>
      </c>
      <c r="M893" s="3">
        <f t="shared" si="113"/>
        <v>3.3440849781232642</v>
      </c>
      <c r="N893" s="3">
        <f t="shared" si="117"/>
        <v>3.337189480494037</v>
      </c>
      <c r="O893" s="3">
        <f t="shared" si="118"/>
        <v>3.3400526617798674</v>
      </c>
      <c r="P893" s="3">
        <f t="shared" si="112"/>
        <v>3.2601186800234809</v>
      </c>
      <c r="Q893" s="4" t="str">
        <f t="shared" si="116"/>
        <v>UNDER</v>
      </c>
      <c r="R893" s="4" t="str">
        <f t="shared" si="116"/>
        <v>UNDER</v>
      </c>
      <c r="S893" s="4" t="str">
        <f t="shared" si="114"/>
        <v>UNDER</v>
      </c>
      <c r="T893" s="4" t="str">
        <f t="shared" si="114"/>
        <v>OVER</v>
      </c>
      <c r="U893" s="2">
        <f>IF(Q893="OVER",$J893,$K893)</f>
        <v>597.32917258451494</v>
      </c>
      <c r="V893" s="2">
        <f>IF(R893="OVER",$J893,$K893)</f>
        <v>597.32917258451494</v>
      </c>
      <c r="W893" s="2">
        <f>IF(S893="OVER",$J893,$K893)</f>
        <v>597.32917258451494</v>
      </c>
      <c r="X893" s="2">
        <f>IF(T893="OVER",$J893,$K893)</f>
        <v>-597.32917258451494</v>
      </c>
      <c r="Y893" s="9">
        <f t="shared" si="115"/>
        <v>-9935.7294841979565</v>
      </c>
      <c r="Z893" s="9">
        <f t="shared" si="115"/>
        <v>10944.666800761741</v>
      </c>
      <c r="AA893" s="9">
        <f t="shared" si="115"/>
        <v>57003.048776108386</v>
      </c>
      <c r="AB893" s="9">
        <f t="shared" si="115"/>
        <v>21541.016273803558</v>
      </c>
    </row>
    <row r="894" spans="1:28" x14ac:dyDescent="0.3">
      <c r="A894" s="1">
        <v>45714</v>
      </c>
      <c r="B894" s="2">
        <v>179.77</v>
      </c>
      <c r="C894" s="2">
        <v>594.54</v>
      </c>
      <c r="D894" s="9">
        <f>B894-B893</f>
        <v>-0.37999999999999545</v>
      </c>
      <c r="E894" s="9">
        <f>C894-C893</f>
        <v>0.29999999999995453</v>
      </c>
      <c r="F894" s="3">
        <f>F$1/B894</f>
        <v>556.26634032374693</v>
      </c>
      <c r="G894" s="3">
        <f>F$1/C894</f>
        <v>168.19726174857874</v>
      </c>
      <c r="H894" s="2">
        <f>D894*F893</f>
        <v>-210.93533166805187</v>
      </c>
      <c r="I894" s="2">
        <f>E894*G893</f>
        <v>50.484652665582011</v>
      </c>
      <c r="J894" s="2">
        <f>I894-H894</f>
        <v>261.41998433363386</v>
      </c>
      <c r="K894" s="2">
        <f t="shared" si="111"/>
        <v>-261.41998433363386</v>
      </c>
      <c r="L894" s="3">
        <f>C894/B894</f>
        <v>3.3072258997608053</v>
      </c>
      <c r="M894" s="3">
        <f t="shared" si="113"/>
        <v>3.3399196012943664</v>
      </c>
      <c r="N894" s="3">
        <f t="shared" si="117"/>
        <v>3.3359337201929526</v>
      </c>
      <c r="O894" s="3">
        <f t="shared" si="118"/>
        <v>3.3399781793935501</v>
      </c>
      <c r="P894" s="3">
        <f t="shared" si="112"/>
        <v>3.260930925295118</v>
      </c>
      <c r="Q894" s="4" t="str">
        <f t="shared" si="116"/>
        <v>UNDER</v>
      </c>
      <c r="R894" s="4" t="str">
        <f t="shared" si="116"/>
        <v>UNDER</v>
      </c>
      <c r="S894" s="4" t="str">
        <f t="shared" si="114"/>
        <v>UNDER</v>
      </c>
      <c r="T894" s="4" t="str">
        <f t="shared" si="114"/>
        <v>OVER</v>
      </c>
      <c r="U894" s="2">
        <f>IF(Q894="OVER",$J894,$K894)</f>
        <v>-261.41998433363386</v>
      </c>
      <c r="V894" s="2">
        <f>IF(R894="OVER",$J894,$K894)</f>
        <v>-261.41998433363386</v>
      </c>
      <c r="W894" s="2">
        <f>IF(S894="OVER",$J894,$K894)</f>
        <v>-261.41998433363386</v>
      </c>
      <c r="X894" s="2">
        <f>IF(T894="OVER",$J894,$K894)</f>
        <v>261.41998433363386</v>
      </c>
      <c r="Y894" s="9">
        <f t="shared" si="115"/>
        <v>-10197.14946853159</v>
      </c>
      <c r="Z894" s="9">
        <f t="shared" si="115"/>
        <v>10683.246816428107</v>
      </c>
      <c r="AA894" s="9">
        <f t="shared" si="115"/>
        <v>56741.628791774754</v>
      </c>
      <c r="AB894" s="9">
        <f t="shared" si="115"/>
        <v>21802.436258137193</v>
      </c>
    </row>
    <row r="895" spans="1:28" x14ac:dyDescent="0.3">
      <c r="A895" s="1">
        <v>45715</v>
      </c>
      <c r="B895" s="2">
        <v>178.2</v>
      </c>
      <c r="C895" s="2">
        <v>585.04999999999995</v>
      </c>
      <c r="D895" s="9">
        <f>B895-B894</f>
        <v>-1.5700000000000216</v>
      </c>
      <c r="E895" s="9">
        <f>C895-C894</f>
        <v>-9.4900000000000091</v>
      </c>
      <c r="F895" s="3">
        <f>F$1/B895</f>
        <v>561.16722783389457</v>
      </c>
      <c r="G895" s="3">
        <f>F$1/C895</f>
        <v>170.92556191778482</v>
      </c>
      <c r="H895" s="2">
        <f>D895*F894</f>
        <v>-873.33815430829475</v>
      </c>
      <c r="I895" s="2">
        <f>E895*G894</f>
        <v>-1596.1920139940137</v>
      </c>
      <c r="J895" s="2">
        <f>I895-H895</f>
        <v>-722.85385968571893</v>
      </c>
      <c r="K895" s="2">
        <f t="shared" si="111"/>
        <v>722.85385968571893</v>
      </c>
      <c r="L895" s="3">
        <f>C895/B895</f>
        <v>3.2831088664421997</v>
      </c>
      <c r="M895" s="3">
        <f t="shared" si="113"/>
        <v>3.3324708886063652</v>
      </c>
      <c r="N895" s="3">
        <f t="shared" si="117"/>
        <v>3.3336686115544416</v>
      </c>
      <c r="O895" s="3">
        <f t="shared" si="118"/>
        <v>3.3395211007048884</v>
      </c>
      <c r="P895" s="3">
        <f t="shared" si="112"/>
        <v>3.2616635825072127</v>
      </c>
      <c r="Q895" s="4" t="str">
        <f t="shared" si="116"/>
        <v>UNDER</v>
      </c>
      <c r="R895" s="4" t="str">
        <f t="shared" si="116"/>
        <v>UNDER</v>
      </c>
      <c r="S895" s="4" t="str">
        <f t="shared" si="114"/>
        <v>UNDER</v>
      </c>
      <c r="T895" s="4" t="str">
        <f t="shared" si="114"/>
        <v>OVER</v>
      </c>
      <c r="U895" s="2">
        <f>IF(Q895="OVER",$J895,$K895)</f>
        <v>722.85385968571893</v>
      </c>
      <c r="V895" s="2">
        <f>IF(R895="OVER",$J895,$K895)</f>
        <v>722.85385968571893</v>
      </c>
      <c r="W895" s="2">
        <f>IF(S895="OVER",$J895,$K895)</f>
        <v>722.85385968571893</v>
      </c>
      <c r="X895" s="2">
        <f>IF(T895="OVER",$J895,$K895)</f>
        <v>-722.85385968571893</v>
      </c>
      <c r="Y895" s="9">
        <f t="shared" si="115"/>
        <v>-9474.2956088458704</v>
      </c>
      <c r="Z895" s="9">
        <f t="shared" si="115"/>
        <v>11406.100676113827</v>
      </c>
      <c r="AA895" s="9">
        <f t="shared" si="115"/>
        <v>57464.482651460472</v>
      </c>
      <c r="AB895" s="9">
        <f t="shared" si="115"/>
        <v>21079.582398451475</v>
      </c>
    </row>
    <row r="896" spans="1:28" x14ac:dyDescent="0.3">
      <c r="A896" s="1">
        <v>45716</v>
      </c>
      <c r="B896" s="2">
        <v>180.18</v>
      </c>
      <c r="C896" s="2">
        <v>594.17999999999995</v>
      </c>
      <c r="D896" s="9">
        <f>B896-B895</f>
        <v>1.9800000000000182</v>
      </c>
      <c r="E896" s="9">
        <f>C896-C895</f>
        <v>9.1299999999999955</v>
      </c>
      <c r="F896" s="3">
        <f>F$1/B896</f>
        <v>555.00055500055498</v>
      </c>
      <c r="G896" s="3">
        <f>F$1/C896</f>
        <v>168.29916860210713</v>
      </c>
      <c r="H896" s="2">
        <f>D896*F895</f>
        <v>1111.1111111111215</v>
      </c>
      <c r="I896" s="2">
        <f>E896*G895</f>
        <v>1560.5503803093745</v>
      </c>
      <c r="J896" s="2">
        <f>I896-H896</f>
        <v>449.43926919825299</v>
      </c>
      <c r="K896" s="2">
        <f t="shared" si="111"/>
        <v>-449.43926919825299</v>
      </c>
      <c r="L896" s="3">
        <f>C896/B896</f>
        <v>3.2977022977022972</v>
      </c>
      <c r="M896" s="3">
        <f t="shared" si="113"/>
        <v>3.3258569188841536</v>
      </c>
      <c r="N896" s="3">
        <f t="shared" si="117"/>
        <v>3.3330070480987439</v>
      </c>
      <c r="O896" s="3">
        <f t="shared" si="118"/>
        <v>3.3391367628205506</v>
      </c>
      <c r="P896" s="3">
        <f t="shared" si="112"/>
        <v>3.2624745309351018</v>
      </c>
      <c r="Q896" s="4" t="str">
        <f t="shared" si="116"/>
        <v>UNDER</v>
      </c>
      <c r="R896" s="4" t="str">
        <f t="shared" si="116"/>
        <v>UNDER</v>
      </c>
      <c r="S896" s="4" t="str">
        <f t="shared" si="114"/>
        <v>UNDER</v>
      </c>
      <c r="T896" s="4" t="str">
        <f t="shared" si="114"/>
        <v>OVER</v>
      </c>
      <c r="U896" s="2">
        <f>IF(Q896="OVER",$J896,$K896)</f>
        <v>-449.43926919825299</v>
      </c>
      <c r="V896" s="2">
        <f>IF(R896="OVER",$J896,$K896)</f>
        <v>-449.43926919825299</v>
      </c>
      <c r="W896" s="2">
        <f>IF(S896="OVER",$J896,$K896)</f>
        <v>-449.43926919825299</v>
      </c>
      <c r="X896" s="2">
        <f>IF(T896="OVER",$J896,$K896)</f>
        <v>449.43926919825299</v>
      </c>
      <c r="Y896" s="9">
        <f t="shared" si="115"/>
        <v>-9923.7348780441243</v>
      </c>
      <c r="Z896" s="9">
        <f t="shared" si="115"/>
        <v>10956.661406915573</v>
      </c>
      <c r="AA896" s="9">
        <f t="shared" si="115"/>
        <v>57015.043382262222</v>
      </c>
      <c r="AB896" s="9">
        <f t="shared" si="115"/>
        <v>21529.021667649729</v>
      </c>
    </row>
    <row r="897" spans="1:28" x14ac:dyDescent="0.3">
      <c r="A897" s="1">
        <v>45719</v>
      </c>
      <c r="B897" s="2">
        <v>178.26</v>
      </c>
      <c r="C897" s="2">
        <v>583.77</v>
      </c>
      <c r="D897" s="9">
        <f>B897-B896</f>
        <v>-1.9200000000000159</v>
      </c>
      <c r="E897" s="9">
        <f>C897-C896</f>
        <v>-10.409999999999968</v>
      </c>
      <c r="F897" s="3">
        <f>F$1/B897</f>
        <v>560.97834623583537</v>
      </c>
      <c r="G897" s="3">
        <f>F$1/C897</f>
        <v>171.30034088767837</v>
      </c>
      <c r="H897" s="2">
        <f>D897*F896</f>
        <v>-1065.6010656010744</v>
      </c>
      <c r="I897" s="2">
        <f>E897*G896</f>
        <v>-1751.9943451479298</v>
      </c>
      <c r="J897" s="2">
        <f>I897-H897</f>
        <v>-686.39327954685541</v>
      </c>
      <c r="K897" s="2">
        <f t="shared" si="111"/>
        <v>686.39327954685541</v>
      </c>
      <c r="L897" s="3">
        <f>C897/B897</f>
        <v>3.2748232918209359</v>
      </c>
      <c r="M897" s="3">
        <f t="shared" si="113"/>
        <v>3.3166372379049927</v>
      </c>
      <c r="N897" s="3">
        <f t="shared" si="117"/>
        <v>3.3307197421534851</v>
      </c>
      <c r="O897" s="3">
        <f t="shared" si="118"/>
        <v>3.3377914132791324</v>
      </c>
      <c r="P897" s="3">
        <f t="shared" si="112"/>
        <v>3.2631652006548792</v>
      </c>
      <c r="Q897" s="4" t="str">
        <f t="shared" si="116"/>
        <v>UNDER</v>
      </c>
      <c r="R897" s="4" t="str">
        <f t="shared" si="116"/>
        <v>UNDER</v>
      </c>
      <c r="S897" s="4" t="str">
        <f t="shared" si="114"/>
        <v>UNDER</v>
      </c>
      <c r="T897" s="4" t="str">
        <f t="shared" si="114"/>
        <v>OVER</v>
      </c>
      <c r="U897" s="2">
        <f>IF(Q897="OVER",$J897,$K897)</f>
        <v>686.39327954685541</v>
      </c>
      <c r="V897" s="2">
        <f>IF(R897="OVER",$J897,$K897)</f>
        <v>686.39327954685541</v>
      </c>
      <c r="W897" s="2">
        <f>IF(S897="OVER",$J897,$K897)</f>
        <v>686.39327954685541</v>
      </c>
      <c r="X897" s="2">
        <f>IF(T897="OVER",$J897,$K897)</f>
        <v>-686.39327954685541</v>
      </c>
      <c r="Y897" s="9">
        <f t="shared" si="115"/>
        <v>-9237.3415984972689</v>
      </c>
      <c r="Z897" s="9">
        <f t="shared" si="115"/>
        <v>11643.054686462428</v>
      </c>
      <c r="AA897" s="9">
        <f t="shared" si="115"/>
        <v>57701.436661809079</v>
      </c>
      <c r="AB897" s="9">
        <f t="shared" si="115"/>
        <v>20842.628388102872</v>
      </c>
    </row>
    <row r="898" spans="1:28" x14ac:dyDescent="0.3">
      <c r="A898" s="1">
        <v>45720</v>
      </c>
      <c r="B898" s="2">
        <v>175.38</v>
      </c>
      <c r="C898" s="2">
        <v>576.86</v>
      </c>
      <c r="D898" s="9">
        <f>B898-B897</f>
        <v>-2.8799999999999955</v>
      </c>
      <c r="E898" s="9">
        <f>C898-C897</f>
        <v>-6.9099999999999682</v>
      </c>
      <c r="F898" s="3">
        <f>F$1/B898</f>
        <v>570.1904436081652</v>
      </c>
      <c r="G898" s="3">
        <f>F$1/C898</f>
        <v>173.35228651665915</v>
      </c>
      <c r="H898" s="2">
        <f>D898*F897</f>
        <v>-1615.6176371592032</v>
      </c>
      <c r="I898" s="2">
        <f>E898*G897</f>
        <v>-1183.6853555338521</v>
      </c>
      <c r="J898" s="2">
        <f>I898-H898</f>
        <v>431.93228162535115</v>
      </c>
      <c r="K898" s="2">
        <f t="shared" si="111"/>
        <v>-431.93228162535115</v>
      </c>
      <c r="L898" s="3">
        <f>C898/B898</f>
        <v>3.2892005929980614</v>
      </c>
      <c r="M898" s="3">
        <f t="shared" si="113"/>
        <v>3.3104391955990558</v>
      </c>
      <c r="N898" s="3">
        <f t="shared" si="117"/>
        <v>3.329362850860254</v>
      </c>
      <c r="O898" s="3">
        <f t="shared" si="118"/>
        <v>3.3364805492161485</v>
      </c>
      <c r="P898" s="3">
        <f t="shared" si="112"/>
        <v>3.2639181669737951</v>
      </c>
      <c r="Q898" s="4" t="str">
        <f t="shared" si="116"/>
        <v>UNDER</v>
      </c>
      <c r="R898" s="4" t="str">
        <f t="shared" si="116"/>
        <v>UNDER</v>
      </c>
      <c r="S898" s="4" t="str">
        <f t="shared" si="114"/>
        <v>UNDER</v>
      </c>
      <c r="T898" s="4" t="str">
        <f t="shared" si="114"/>
        <v>OVER</v>
      </c>
      <c r="U898" s="2">
        <f>IF(Q898="OVER",$J898,$K898)</f>
        <v>-431.93228162535115</v>
      </c>
      <c r="V898" s="2">
        <f>IF(R898="OVER",$J898,$K898)</f>
        <v>-431.93228162535115</v>
      </c>
      <c r="W898" s="2">
        <f>IF(S898="OVER",$J898,$K898)</f>
        <v>-431.93228162535115</v>
      </c>
      <c r="X898" s="2">
        <f>IF(T898="OVER",$J898,$K898)</f>
        <v>431.93228162535115</v>
      </c>
      <c r="Y898" s="9">
        <f t="shared" si="115"/>
        <v>-9669.2738801226205</v>
      </c>
      <c r="Z898" s="9">
        <f t="shared" si="115"/>
        <v>11211.122404837077</v>
      </c>
      <c r="AA898" s="9">
        <f t="shared" si="115"/>
        <v>57269.504380183731</v>
      </c>
      <c r="AB898" s="9">
        <f t="shared" si="115"/>
        <v>21274.560669728224</v>
      </c>
    </row>
    <row r="899" spans="1:28" x14ac:dyDescent="0.3">
      <c r="A899" s="1">
        <v>45721</v>
      </c>
      <c r="B899" s="2">
        <v>177.01</v>
      </c>
      <c r="C899" s="2">
        <v>583.05999999999995</v>
      </c>
      <c r="D899" s="9">
        <f>B899-B898</f>
        <v>1.6299999999999955</v>
      </c>
      <c r="E899" s="9">
        <f>C899-C898</f>
        <v>6.1999999999999318</v>
      </c>
      <c r="F899" s="3">
        <f>F$1/B899</f>
        <v>564.93983390768881</v>
      </c>
      <c r="G899" s="3">
        <f>F$1/C899</f>
        <v>171.5089356155456</v>
      </c>
      <c r="H899" s="2">
        <f>D899*F898</f>
        <v>929.4104230813067</v>
      </c>
      <c r="I899" s="2">
        <f>E899*G898</f>
        <v>1074.7841764032748</v>
      </c>
      <c r="J899" s="2">
        <f>I899-H899</f>
        <v>145.37375332196814</v>
      </c>
      <c r="K899" s="2">
        <f t="shared" si="111"/>
        <v>-145.37375332196814</v>
      </c>
      <c r="L899" s="3">
        <f>C899/B899</f>
        <v>3.2939381955821703</v>
      </c>
      <c r="M899" s="3">
        <f t="shared" si="113"/>
        <v>3.3046054938271476</v>
      </c>
      <c r="N899" s="3">
        <f t="shared" si="117"/>
        <v>3.3273339890429745</v>
      </c>
      <c r="O899" s="3">
        <f t="shared" si="118"/>
        <v>3.3352792215946114</v>
      </c>
      <c r="P899" s="3">
        <f t="shared" si="112"/>
        <v>3.2646262252014981</v>
      </c>
      <c r="Q899" s="4" t="str">
        <f t="shared" si="116"/>
        <v>UNDER</v>
      </c>
      <c r="R899" s="4" t="str">
        <f t="shared" si="116"/>
        <v>UNDER</v>
      </c>
      <c r="S899" s="4" t="str">
        <f t="shared" si="114"/>
        <v>UNDER</v>
      </c>
      <c r="T899" s="4" t="str">
        <f t="shared" si="114"/>
        <v>OVER</v>
      </c>
      <c r="U899" s="2">
        <f>IF(Q899="OVER",$J899,$K899)</f>
        <v>-145.37375332196814</v>
      </c>
      <c r="V899" s="2">
        <f>IF(R899="OVER",$J899,$K899)</f>
        <v>-145.37375332196814</v>
      </c>
      <c r="W899" s="2">
        <f>IF(S899="OVER",$J899,$K899)</f>
        <v>-145.37375332196814</v>
      </c>
      <c r="X899" s="2">
        <f>IF(T899="OVER",$J899,$K899)</f>
        <v>145.37375332196814</v>
      </c>
      <c r="Y899" s="9">
        <f t="shared" si="115"/>
        <v>-9814.6476334445888</v>
      </c>
      <c r="Z899" s="9">
        <f t="shared" si="115"/>
        <v>11065.748651515109</v>
      </c>
      <c r="AA899" s="9">
        <f t="shared" si="115"/>
        <v>57124.130626861763</v>
      </c>
      <c r="AB899" s="9">
        <f t="shared" si="115"/>
        <v>21419.934423050192</v>
      </c>
    </row>
    <row r="900" spans="1:28" x14ac:dyDescent="0.3">
      <c r="A900" s="1">
        <v>45722</v>
      </c>
      <c r="B900" s="2">
        <v>175.05</v>
      </c>
      <c r="C900" s="2">
        <v>572.71</v>
      </c>
      <c r="D900" s="9">
        <f>B900-B899</f>
        <v>-1.9599999999999795</v>
      </c>
      <c r="E900" s="9">
        <f>C900-C899</f>
        <v>-10.349999999999909</v>
      </c>
      <c r="F900" s="3">
        <f>F$1/B900</f>
        <v>571.26535275635524</v>
      </c>
      <c r="G900" s="3">
        <f>F$1/C900</f>
        <v>174.60844057201723</v>
      </c>
      <c r="H900" s="2">
        <f>D900*F899</f>
        <v>-1107.2820744590585</v>
      </c>
      <c r="I900" s="2">
        <f>E900*G899</f>
        <v>-1775.1174836208813</v>
      </c>
      <c r="J900" s="2">
        <f>I900-H900</f>
        <v>-667.83540916182278</v>
      </c>
      <c r="K900" s="2">
        <f t="shared" si="111"/>
        <v>667.83540916182278</v>
      </c>
      <c r="L900" s="3">
        <f>C900/B900</f>
        <v>3.2716938017709225</v>
      </c>
      <c r="M900" s="3">
        <f t="shared" si="113"/>
        <v>3.2971000193052595</v>
      </c>
      <c r="N900" s="3">
        <f t="shared" si="117"/>
        <v>3.3243292112517309</v>
      </c>
      <c r="O900" s="3">
        <f t="shared" si="118"/>
        <v>3.3334303516766375</v>
      </c>
      <c r="P900" s="3">
        <f t="shared" si="112"/>
        <v>3.2652301796385661</v>
      </c>
      <c r="Q900" s="4" t="str">
        <f t="shared" si="116"/>
        <v>UNDER</v>
      </c>
      <c r="R900" s="4" t="str">
        <f t="shared" si="116"/>
        <v>UNDER</v>
      </c>
      <c r="S900" s="4" t="str">
        <f t="shared" si="114"/>
        <v>UNDER</v>
      </c>
      <c r="T900" s="4" t="str">
        <f t="shared" si="114"/>
        <v>OVER</v>
      </c>
      <c r="U900" s="2">
        <f>IF(Q900="OVER",$J900,$K900)</f>
        <v>667.83540916182278</v>
      </c>
      <c r="V900" s="2">
        <f>IF(R900="OVER",$J900,$K900)</f>
        <v>667.83540916182278</v>
      </c>
      <c r="W900" s="2">
        <f>IF(S900="OVER",$J900,$K900)</f>
        <v>667.83540916182278</v>
      </c>
      <c r="X900" s="2">
        <f>IF(T900="OVER",$J900,$K900)</f>
        <v>-667.83540916182278</v>
      </c>
      <c r="Y900" s="9">
        <f t="shared" si="115"/>
        <v>-9146.8122242827667</v>
      </c>
      <c r="Z900" s="9">
        <f t="shared" si="115"/>
        <v>11733.584060676931</v>
      </c>
      <c r="AA900" s="9">
        <f t="shared" si="115"/>
        <v>57791.966036023587</v>
      </c>
      <c r="AB900" s="9">
        <f t="shared" si="115"/>
        <v>20752.099013888368</v>
      </c>
    </row>
    <row r="901" spans="1:28" x14ac:dyDescent="0.3">
      <c r="A901" s="1">
        <v>45723</v>
      </c>
      <c r="B901" s="2">
        <v>176.69</v>
      </c>
      <c r="C901" s="2">
        <v>575.91999999999996</v>
      </c>
      <c r="D901" s="9">
        <f>B901-B900</f>
        <v>1.6399999999999864</v>
      </c>
      <c r="E901" s="9">
        <f>C901-C900</f>
        <v>3.2099999999999227</v>
      </c>
      <c r="F901" s="3">
        <f>F$1/B901</f>
        <v>565.9629860207142</v>
      </c>
      <c r="G901" s="3">
        <f>F$1/C901</f>
        <v>173.63522711487707</v>
      </c>
      <c r="H901" s="2">
        <f>D901*F900</f>
        <v>936.87517852041481</v>
      </c>
      <c r="I901" s="2">
        <f>E901*G900</f>
        <v>560.49309423616182</v>
      </c>
      <c r="J901" s="2">
        <f>I901-H901</f>
        <v>-376.38208428425298</v>
      </c>
      <c r="K901" s="2">
        <f t="shared" ref="K901:K964" si="119">H901-I901</f>
        <v>376.38208428425298</v>
      </c>
      <c r="L901" s="3">
        <f>C901/B901</f>
        <v>3.2594940290904972</v>
      </c>
      <c r="M901" s="3">
        <f t="shared" si="113"/>
        <v>3.2894157885806763</v>
      </c>
      <c r="N901" s="3">
        <f t="shared" si="117"/>
        <v>3.3199139287186243</v>
      </c>
      <c r="O901" s="3">
        <f t="shared" si="118"/>
        <v>3.3316950652710138</v>
      </c>
      <c r="P901" s="3">
        <f t="shared" si="112"/>
        <v>3.2657739601863041</v>
      </c>
      <c r="Q901" s="4" t="str">
        <f t="shared" si="116"/>
        <v>UNDER</v>
      </c>
      <c r="R901" s="4" t="str">
        <f t="shared" si="116"/>
        <v>UNDER</v>
      </c>
      <c r="S901" s="4" t="str">
        <f t="shared" si="114"/>
        <v>UNDER</v>
      </c>
      <c r="T901" s="4" t="str">
        <f t="shared" si="114"/>
        <v>UNDER</v>
      </c>
      <c r="U901" s="2">
        <f>IF(Q901="OVER",$J901,$K901)</f>
        <v>376.38208428425298</v>
      </c>
      <c r="V901" s="2">
        <f>IF(R901="OVER",$J901,$K901)</f>
        <v>376.38208428425298</v>
      </c>
      <c r="W901" s="2">
        <f>IF(S901="OVER",$J901,$K901)</f>
        <v>376.38208428425298</v>
      </c>
      <c r="X901" s="2">
        <f>IF(T901="OVER",$J901,$K901)</f>
        <v>376.38208428425298</v>
      </c>
      <c r="Y901" s="9">
        <f t="shared" si="115"/>
        <v>-8770.4301399985143</v>
      </c>
      <c r="Z901" s="9">
        <f t="shared" si="115"/>
        <v>12109.966144961183</v>
      </c>
      <c r="AA901" s="9">
        <f t="shared" si="115"/>
        <v>58168.348120307841</v>
      </c>
      <c r="AB901" s="9">
        <f t="shared" si="115"/>
        <v>21128.481098172622</v>
      </c>
    </row>
    <row r="902" spans="1:28" x14ac:dyDescent="0.3">
      <c r="A902" s="1">
        <v>45726</v>
      </c>
      <c r="B902" s="2">
        <v>174.2</v>
      </c>
      <c r="C902" s="2">
        <v>560.58000000000004</v>
      </c>
      <c r="D902" s="9">
        <f>B902-B901</f>
        <v>-2.4900000000000091</v>
      </c>
      <c r="E902" s="9">
        <f>C902-C901</f>
        <v>-15.339999999999918</v>
      </c>
      <c r="F902" s="3">
        <f>F$1/B902</f>
        <v>574.052812858783</v>
      </c>
      <c r="G902" s="3">
        <f>F$1/C902</f>
        <v>178.38667094794675</v>
      </c>
      <c r="H902" s="2">
        <f>D902*F901</f>
        <v>-1409.2478351915836</v>
      </c>
      <c r="I902" s="2">
        <f>E902*G901</f>
        <v>-2663.5643839422</v>
      </c>
      <c r="J902" s="2">
        <f>I902-H902</f>
        <v>-1254.3165487506164</v>
      </c>
      <c r="K902" s="2">
        <f t="shared" si="119"/>
        <v>1254.3165487506164</v>
      </c>
      <c r="L902" s="3">
        <f>C902/B902</f>
        <v>3.2180252583237663</v>
      </c>
      <c r="M902" s="3">
        <f t="shared" si="113"/>
        <v>3.279379674639757</v>
      </c>
      <c r="N902" s="3">
        <f t="shared" si="117"/>
        <v>3.3141383522163239</v>
      </c>
      <c r="O902" s="3">
        <f t="shared" si="118"/>
        <v>3.3285845016832347</v>
      </c>
      <c r="P902" s="3">
        <f t="shared" si="112"/>
        <v>3.2660790954118117</v>
      </c>
      <c r="Q902" s="4" t="str">
        <f t="shared" si="116"/>
        <v>UNDER</v>
      </c>
      <c r="R902" s="4" t="str">
        <f t="shared" si="116"/>
        <v>UNDER</v>
      </c>
      <c r="S902" s="4" t="str">
        <f t="shared" si="114"/>
        <v>UNDER</v>
      </c>
      <c r="T902" s="4" t="str">
        <f t="shared" si="114"/>
        <v>UNDER</v>
      </c>
      <c r="U902" s="2">
        <f>IF(Q902="OVER",$J902,$K902)</f>
        <v>1254.3165487506164</v>
      </c>
      <c r="V902" s="2">
        <f>IF(R902="OVER",$J902,$K902)</f>
        <v>1254.3165487506164</v>
      </c>
      <c r="W902" s="2">
        <f>IF(S902="OVER",$J902,$K902)</f>
        <v>1254.3165487506164</v>
      </c>
      <c r="X902" s="2">
        <f>IF(T902="OVER",$J902,$K902)</f>
        <v>1254.3165487506164</v>
      </c>
      <c r="Y902" s="9">
        <f t="shared" si="115"/>
        <v>-7516.1135912478976</v>
      </c>
      <c r="Z902" s="9">
        <f t="shared" si="115"/>
        <v>13364.282693711799</v>
      </c>
      <c r="AA902" s="9">
        <f t="shared" si="115"/>
        <v>59422.66466905846</v>
      </c>
      <c r="AB902" s="9">
        <f t="shared" si="115"/>
        <v>22382.797646923238</v>
      </c>
    </row>
    <row r="903" spans="1:28" x14ac:dyDescent="0.3">
      <c r="A903" s="1">
        <v>45727</v>
      </c>
      <c r="B903" s="2">
        <v>171.88</v>
      </c>
      <c r="C903" s="2">
        <v>555.91999999999996</v>
      </c>
      <c r="D903" s="9">
        <f>B903-B902</f>
        <v>-2.3199999999999932</v>
      </c>
      <c r="E903" s="9">
        <f>C903-C902</f>
        <v>-4.6600000000000819</v>
      </c>
      <c r="F903" s="3">
        <f>F$1/B903</f>
        <v>581.80125669071447</v>
      </c>
      <c r="G903" s="3">
        <f>F$1/C903</f>
        <v>179.88199740969924</v>
      </c>
      <c r="H903" s="2">
        <f>D903*F902</f>
        <v>-1331.8025258323726</v>
      </c>
      <c r="I903" s="2">
        <f>E903*G902</f>
        <v>-831.2818866174465</v>
      </c>
      <c r="J903" s="2">
        <f>I903-H903</f>
        <v>500.52063921492606</v>
      </c>
      <c r="K903" s="2">
        <f t="shared" si="119"/>
        <v>-500.52063921492606</v>
      </c>
      <c r="L903" s="3">
        <f>C903/B903</f>
        <v>3.2343495461950198</v>
      </c>
      <c r="M903" s="3">
        <f t="shared" si="113"/>
        <v>3.2729561779686676</v>
      </c>
      <c r="N903" s="3">
        <f t="shared" si="117"/>
        <v>3.3085205780459659</v>
      </c>
      <c r="O903" s="3">
        <f t="shared" si="118"/>
        <v>3.3255613411516993</v>
      </c>
      <c r="P903" s="3">
        <f t="shared" si="112"/>
        <v>3.2664205386680214</v>
      </c>
      <c r="Q903" s="4" t="str">
        <f t="shared" si="116"/>
        <v>UNDER</v>
      </c>
      <c r="R903" s="4" t="str">
        <f t="shared" si="116"/>
        <v>UNDER</v>
      </c>
      <c r="S903" s="4" t="str">
        <f t="shared" si="114"/>
        <v>UNDER</v>
      </c>
      <c r="T903" s="4" t="str">
        <f t="shared" si="114"/>
        <v>UNDER</v>
      </c>
      <c r="U903" s="2">
        <f>IF(Q903="OVER",$J903,$K903)</f>
        <v>-500.52063921492606</v>
      </c>
      <c r="V903" s="2">
        <f>IF(R903="OVER",$J903,$K903)</f>
        <v>-500.52063921492606</v>
      </c>
      <c r="W903" s="2">
        <f>IF(S903="OVER",$J903,$K903)</f>
        <v>-500.52063921492606</v>
      </c>
      <c r="X903" s="2">
        <f>IF(T903="OVER",$J903,$K903)</f>
        <v>-500.52063921492606</v>
      </c>
      <c r="Y903" s="9">
        <f t="shared" si="115"/>
        <v>-8016.6342304628233</v>
      </c>
      <c r="Z903" s="9">
        <f t="shared" si="115"/>
        <v>12863.762054496872</v>
      </c>
      <c r="AA903" s="9">
        <f t="shared" si="115"/>
        <v>58922.144029843534</v>
      </c>
      <c r="AB903" s="9">
        <f t="shared" si="115"/>
        <v>21882.277007708311</v>
      </c>
    </row>
    <row r="904" spans="1:28" x14ac:dyDescent="0.3">
      <c r="A904" s="1">
        <v>45728</v>
      </c>
      <c r="B904" s="2">
        <v>171.07</v>
      </c>
      <c r="C904" s="2">
        <v>558.87</v>
      </c>
      <c r="D904" s="9">
        <f>B904-B903</f>
        <v>-0.81000000000000227</v>
      </c>
      <c r="E904" s="9">
        <f>C904-C903</f>
        <v>2.9500000000000455</v>
      </c>
      <c r="F904" s="3">
        <f>F$1/B904</f>
        <v>584.55602969544634</v>
      </c>
      <c r="G904" s="3">
        <f>F$1/C904</f>
        <v>178.93248877198633</v>
      </c>
      <c r="H904" s="2">
        <f>D904*F903</f>
        <v>-471.25901791948002</v>
      </c>
      <c r="I904" s="2">
        <f>E904*G903</f>
        <v>530.6518923586209</v>
      </c>
      <c r="J904" s="2">
        <f>I904-H904</f>
        <v>1001.9109102781009</v>
      </c>
      <c r="K904" s="2">
        <f t="shared" si="119"/>
        <v>-1001.9109102781009</v>
      </c>
      <c r="L904" s="3">
        <f>C904/B904</f>
        <v>3.2669082831589411</v>
      </c>
      <c r="M904" s="3">
        <f t="shared" si="113"/>
        <v>3.2689244163084816</v>
      </c>
      <c r="N904" s="3">
        <f t="shared" si="117"/>
        <v>3.3044220088014233</v>
      </c>
      <c r="O904" s="3">
        <f t="shared" si="118"/>
        <v>3.3232952347519222</v>
      </c>
      <c r="P904" s="3">
        <f t="shared" si="112"/>
        <v>3.2669099338430119</v>
      </c>
      <c r="Q904" s="4" t="str">
        <f t="shared" si="116"/>
        <v>UNDER</v>
      </c>
      <c r="R904" s="4" t="str">
        <f t="shared" si="116"/>
        <v>UNDER</v>
      </c>
      <c r="S904" s="4" t="str">
        <f t="shared" si="114"/>
        <v>UNDER</v>
      </c>
      <c r="T904" s="4" t="str">
        <f t="shared" si="114"/>
        <v>UNDER</v>
      </c>
      <c r="U904" s="2">
        <f>IF(Q904="OVER",$J904,$K904)</f>
        <v>-1001.9109102781009</v>
      </c>
      <c r="V904" s="2">
        <f>IF(R904="OVER",$J904,$K904)</f>
        <v>-1001.9109102781009</v>
      </c>
      <c r="W904" s="2">
        <f>IF(S904="OVER",$J904,$K904)</f>
        <v>-1001.9109102781009</v>
      </c>
      <c r="X904" s="2">
        <f>IF(T904="OVER",$J904,$K904)</f>
        <v>-1001.9109102781009</v>
      </c>
      <c r="Y904" s="9">
        <f t="shared" si="115"/>
        <v>-9018.5451407409237</v>
      </c>
      <c r="Z904" s="9">
        <f t="shared" si="115"/>
        <v>11861.851144218772</v>
      </c>
      <c r="AA904" s="9">
        <f t="shared" si="115"/>
        <v>57920.233119565433</v>
      </c>
      <c r="AB904" s="9">
        <f t="shared" si="115"/>
        <v>20880.366097430211</v>
      </c>
    </row>
    <row r="905" spans="1:28" x14ac:dyDescent="0.3">
      <c r="A905" s="1">
        <v>45729</v>
      </c>
      <c r="B905" s="2">
        <v>169.43</v>
      </c>
      <c r="C905" s="2">
        <v>551.41999999999996</v>
      </c>
      <c r="D905" s="9">
        <f>B905-B904</f>
        <v>-1.6399999999999864</v>
      </c>
      <c r="E905" s="9">
        <f>C905-C904</f>
        <v>-7.4500000000000455</v>
      </c>
      <c r="F905" s="3">
        <f>F$1/B905</f>
        <v>590.21424777194125</v>
      </c>
      <c r="G905" s="3">
        <f>F$1/C905</f>
        <v>181.34996917050526</v>
      </c>
      <c r="H905" s="2">
        <f>D905*F904</f>
        <v>-958.67188870052405</v>
      </c>
      <c r="I905" s="2">
        <f>E905*G904</f>
        <v>-1333.0470413513062</v>
      </c>
      <c r="J905" s="2">
        <f>I905-H905</f>
        <v>-374.37515265078218</v>
      </c>
      <c r="K905" s="2">
        <f t="shared" si="119"/>
        <v>374.37515265078218</v>
      </c>
      <c r="L905" s="3">
        <f>C905/B905</f>
        <v>3.2545594050640378</v>
      </c>
      <c r="M905" s="3">
        <f t="shared" si="113"/>
        <v>3.2660694701706654</v>
      </c>
      <c r="N905" s="3">
        <f t="shared" si="117"/>
        <v>3.2992701793885155</v>
      </c>
      <c r="O905" s="3">
        <f t="shared" si="118"/>
        <v>3.3210356955907656</v>
      </c>
      <c r="P905" s="3">
        <f t="shared" si="112"/>
        <v>3.2672300466099156</v>
      </c>
      <c r="Q905" s="4" t="str">
        <f t="shared" si="116"/>
        <v>UNDER</v>
      </c>
      <c r="R905" s="4" t="str">
        <f t="shared" si="116"/>
        <v>UNDER</v>
      </c>
      <c r="S905" s="4" t="str">
        <f t="shared" si="114"/>
        <v>UNDER</v>
      </c>
      <c r="T905" s="4" t="str">
        <f t="shared" si="114"/>
        <v>UNDER</v>
      </c>
      <c r="U905" s="2">
        <f>IF(Q905="OVER",$J905,$K905)</f>
        <v>374.37515265078218</v>
      </c>
      <c r="V905" s="2">
        <f>IF(R905="OVER",$J905,$K905)</f>
        <v>374.37515265078218</v>
      </c>
      <c r="W905" s="2">
        <f>IF(S905="OVER",$J905,$K905)</f>
        <v>374.37515265078218</v>
      </c>
      <c r="X905" s="2">
        <f>IF(T905="OVER",$J905,$K905)</f>
        <v>374.37515265078218</v>
      </c>
      <c r="Y905" s="9">
        <f t="shared" si="115"/>
        <v>-8644.1699880901415</v>
      </c>
      <c r="Z905" s="9">
        <f t="shared" si="115"/>
        <v>12236.226296869554</v>
      </c>
      <c r="AA905" s="9">
        <f t="shared" si="115"/>
        <v>58294.608272216217</v>
      </c>
      <c r="AB905" s="9">
        <f t="shared" si="115"/>
        <v>21254.741250080995</v>
      </c>
    </row>
    <row r="906" spans="1:28" x14ac:dyDescent="0.3">
      <c r="A906" s="1">
        <v>45730</v>
      </c>
      <c r="B906" s="2">
        <v>172.66</v>
      </c>
      <c r="C906" s="2">
        <v>562.80999999999995</v>
      </c>
      <c r="D906" s="9">
        <f>B906-B905</f>
        <v>3.2299999999999898</v>
      </c>
      <c r="E906" s="9">
        <f>C906-C905</f>
        <v>11.389999999999986</v>
      </c>
      <c r="F906" s="3">
        <f>F$1/B906</f>
        <v>579.17294104019459</v>
      </c>
      <c r="G906" s="3">
        <f>F$1/C906</f>
        <v>177.67985643467603</v>
      </c>
      <c r="H906" s="2">
        <f>D906*F905</f>
        <v>1906.3920203033642</v>
      </c>
      <c r="I906" s="2">
        <f>E906*G905</f>
        <v>2065.5761488520525</v>
      </c>
      <c r="J906" s="2">
        <f>I906-H906</f>
        <v>159.18412854868825</v>
      </c>
      <c r="K906" s="2">
        <f t="shared" si="119"/>
        <v>-159.18412854868825</v>
      </c>
      <c r="L906" s="3">
        <f>C906/B906</f>
        <v>3.2596432294683191</v>
      </c>
      <c r="M906" s="3">
        <f t="shared" si="113"/>
        <v>3.262263563347267</v>
      </c>
      <c r="N906" s="3">
        <f t="shared" si="117"/>
        <v>3.2940602411157101</v>
      </c>
      <c r="O906" s="3">
        <f t="shared" si="118"/>
        <v>3.3189688266028634</v>
      </c>
      <c r="P906" s="3">
        <f t="shared" si="112"/>
        <v>3.2675755087497844</v>
      </c>
      <c r="Q906" s="4" t="str">
        <f t="shared" si="116"/>
        <v>UNDER</v>
      </c>
      <c r="R906" s="4" t="str">
        <f t="shared" si="116"/>
        <v>UNDER</v>
      </c>
      <c r="S906" s="4" t="str">
        <f t="shared" si="114"/>
        <v>UNDER</v>
      </c>
      <c r="T906" s="4" t="str">
        <f t="shared" si="114"/>
        <v>UNDER</v>
      </c>
      <c r="U906" s="2">
        <f>IF(Q906="OVER",$J906,$K906)</f>
        <v>-159.18412854868825</v>
      </c>
      <c r="V906" s="2">
        <f>IF(R906="OVER",$J906,$K906)</f>
        <v>-159.18412854868825</v>
      </c>
      <c r="W906" s="2">
        <f>IF(S906="OVER",$J906,$K906)</f>
        <v>-159.18412854868825</v>
      </c>
      <c r="X906" s="2">
        <f>IF(T906="OVER",$J906,$K906)</f>
        <v>-159.18412854868825</v>
      </c>
      <c r="Y906" s="9">
        <f t="shared" si="115"/>
        <v>-8803.3541166388295</v>
      </c>
      <c r="Z906" s="9">
        <f t="shared" si="115"/>
        <v>12077.042168320866</v>
      </c>
      <c r="AA906" s="9">
        <f t="shared" si="115"/>
        <v>58135.424143667529</v>
      </c>
      <c r="AB906" s="9">
        <f t="shared" si="115"/>
        <v>21095.557121532307</v>
      </c>
    </row>
    <row r="907" spans="1:28" x14ac:dyDescent="0.3">
      <c r="A907" s="1">
        <v>45733</v>
      </c>
      <c r="B907" s="2">
        <v>174.99</v>
      </c>
      <c r="C907" s="2">
        <v>567.15</v>
      </c>
      <c r="D907" s="9">
        <f>B907-B906</f>
        <v>2.3300000000000125</v>
      </c>
      <c r="E907" s="9">
        <f>C907-C906</f>
        <v>4.3400000000000318</v>
      </c>
      <c r="F907" s="3">
        <f>F$1/B907</f>
        <v>571.46122635579172</v>
      </c>
      <c r="G907" s="3">
        <f>F$1/C907</f>
        <v>176.3201974786212</v>
      </c>
      <c r="H907" s="2">
        <f>D907*F906</f>
        <v>1349.4729526236606</v>
      </c>
      <c r="I907" s="2">
        <f>E907*G906</f>
        <v>771.13057692649966</v>
      </c>
      <c r="J907" s="2">
        <f>I907-H907</f>
        <v>-578.34237569716095</v>
      </c>
      <c r="K907" s="2">
        <f t="shared" si="119"/>
        <v>578.34237569716095</v>
      </c>
      <c r="L907" s="3">
        <f>C907/B907</f>
        <v>3.2410423452768726</v>
      </c>
      <c r="M907" s="3">
        <f t="shared" si="113"/>
        <v>3.2588854686928608</v>
      </c>
      <c r="N907" s="3">
        <f t="shared" si="117"/>
        <v>3.2877613532989267</v>
      </c>
      <c r="O907" s="3">
        <f t="shared" si="118"/>
        <v>3.316897018141169</v>
      </c>
      <c r="P907" s="3">
        <f t="shared" ref="P907:P970" si="120">AVERAGE(L708:L907)</f>
        <v>3.2677054125084526</v>
      </c>
      <c r="Q907" s="4" t="str">
        <f t="shared" si="116"/>
        <v>UNDER</v>
      </c>
      <c r="R907" s="4" t="str">
        <f t="shared" si="116"/>
        <v>UNDER</v>
      </c>
      <c r="S907" s="4" t="str">
        <f t="shared" si="114"/>
        <v>UNDER</v>
      </c>
      <c r="T907" s="4" t="str">
        <f t="shared" si="114"/>
        <v>UNDER</v>
      </c>
      <c r="U907" s="2">
        <f>IF(Q907="OVER",$J907,$K907)</f>
        <v>578.34237569716095</v>
      </c>
      <c r="V907" s="2">
        <f>IF(R907="OVER",$J907,$K907)</f>
        <v>578.34237569716095</v>
      </c>
      <c r="W907" s="2">
        <f>IF(S907="OVER",$J907,$K907)</f>
        <v>578.34237569716095</v>
      </c>
      <c r="X907" s="2">
        <f>IF(T907="OVER",$J907,$K907)</f>
        <v>578.34237569716095</v>
      </c>
      <c r="Y907" s="9">
        <f t="shared" si="115"/>
        <v>-8225.0117409416689</v>
      </c>
      <c r="Z907" s="9">
        <f t="shared" si="115"/>
        <v>12655.384544018027</v>
      </c>
      <c r="AA907" s="9">
        <f t="shared" si="115"/>
        <v>58713.76651936469</v>
      </c>
      <c r="AB907" s="9">
        <f t="shared" si="115"/>
        <v>21673.899497229468</v>
      </c>
    </row>
    <row r="908" spans="1:28" x14ac:dyDescent="0.3">
      <c r="A908" s="1">
        <v>45734</v>
      </c>
      <c r="B908" s="2">
        <v>174.08</v>
      </c>
      <c r="C908" s="2">
        <v>561.02</v>
      </c>
      <c r="D908" s="9">
        <f>B908-B907</f>
        <v>-0.90999999999999659</v>
      </c>
      <c r="E908" s="9">
        <f>C908-C907</f>
        <v>-6.1299999999999955</v>
      </c>
      <c r="F908" s="3">
        <f>F$1/B908</f>
        <v>574.44852941176464</v>
      </c>
      <c r="G908" s="3">
        <f>F$1/C908</f>
        <v>178.24676482121851</v>
      </c>
      <c r="H908" s="2">
        <f>D908*F907</f>
        <v>-520.02971598376848</v>
      </c>
      <c r="I908" s="2">
        <f>E908*G907</f>
        <v>-1080.8428105439471</v>
      </c>
      <c r="J908" s="2">
        <f>I908-H908</f>
        <v>-560.81309456017857</v>
      </c>
      <c r="K908" s="2">
        <f t="shared" si="119"/>
        <v>560.81309456017857</v>
      </c>
      <c r="L908" s="3">
        <f>C908/B908</f>
        <v>3.2227711397058818</v>
      </c>
      <c r="M908" s="3">
        <f t="shared" si="113"/>
        <v>3.2522425233636425</v>
      </c>
      <c r="N908" s="3">
        <f t="shared" si="117"/>
        <v>3.2813408594813489</v>
      </c>
      <c r="O908" s="3">
        <f t="shared" si="118"/>
        <v>3.3144293640122107</v>
      </c>
      <c r="P908" s="3">
        <f t="shared" si="120"/>
        <v>3.2676673585913614</v>
      </c>
      <c r="Q908" s="4" t="str">
        <f t="shared" si="116"/>
        <v>UNDER</v>
      </c>
      <c r="R908" s="4" t="str">
        <f t="shared" si="116"/>
        <v>UNDER</v>
      </c>
      <c r="S908" s="4" t="str">
        <f t="shared" si="114"/>
        <v>UNDER</v>
      </c>
      <c r="T908" s="4" t="str">
        <f t="shared" si="114"/>
        <v>UNDER</v>
      </c>
      <c r="U908" s="2">
        <f>IF(Q908="OVER",$J908,$K908)</f>
        <v>560.81309456017857</v>
      </c>
      <c r="V908" s="2">
        <f>IF(R908="OVER",$J908,$K908)</f>
        <v>560.81309456017857</v>
      </c>
      <c r="W908" s="2">
        <f>IF(S908="OVER",$J908,$K908)</f>
        <v>560.81309456017857</v>
      </c>
      <c r="X908" s="2">
        <f>IF(T908="OVER",$J908,$K908)</f>
        <v>560.81309456017857</v>
      </c>
      <c r="Y908" s="9">
        <f t="shared" si="115"/>
        <v>-7664.1986463814901</v>
      </c>
      <c r="Z908" s="9">
        <f t="shared" si="115"/>
        <v>13216.197638578205</v>
      </c>
      <c r="AA908" s="9">
        <f t="shared" si="115"/>
        <v>59274.579613924871</v>
      </c>
      <c r="AB908" s="9">
        <f t="shared" ref="AB908:AB971" si="121">AB907+X908</f>
        <v>22234.712591789645</v>
      </c>
    </row>
    <row r="909" spans="1:28" x14ac:dyDescent="0.3">
      <c r="A909" s="1">
        <v>45735</v>
      </c>
      <c r="B909" s="2">
        <v>175.37</v>
      </c>
      <c r="C909" s="2">
        <v>567.13</v>
      </c>
      <c r="D909" s="9">
        <f>B909-B908</f>
        <v>1.289999999999992</v>
      </c>
      <c r="E909" s="9">
        <f>C909-C908</f>
        <v>6.1100000000000136</v>
      </c>
      <c r="F909" s="3">
        <f>F$1/B909</f>
        <v>570.22295717625593</v>
      </c>
      <c r="G909" s="3">
        <f>F$1/C909</f>
        <v>176.3264154603001</v>
      </c>
      <c r="H909" s="2">
        <f>D909*F908</f>
        <v>741.0386029411718</v>
      </c>
      <c r="I909" s="2">
        <f>E909*G908</f>
        <v>1089.0877330576475</v>
      </c>
      <c r="J909" s="2">
        <f>I909-H909</f>
        <v>348.04913011647568</v>
      </c>
      <c r="K909" s="2">
        <f t="shared" si="119"/>
        <v>-348.04913011647568</v>
      </c>
      <c r="L909" s="3">
        <f>C909/B909</f>
        <v>3.2339054570337002</v>
      </c>
      <c r="M909" s="3">
        <f t="shared" ref="M909:M972" si="122">AVERAGE(L900:L909)</f>
        <v>3.2462392495087959</v>
      </c>
      <c r="N909" s="3">
        <f t="shared" si="117"/>
        <v>3.2754223716679718</v>
      </c>
      <c r="O909" s="3">
        <f t="shared" si="118"/>
        <v>3.3119625094505256</v>
      </c>
      <c r="P909" s="3">
        <f t="shared" si="120"/>
        <v>3.2678656738479259</v>
      </c>
      <c r="Q909" s="4" t="str">
        <f t="shared" si="116"/>
        <v>UNDER</v>
      </c>
      <c r="R909" s="4" t="str">
        <f t="shared" si="116"/>
        <v>UNDER</v>
      </c>
      <c r="S909" s="4" t="str">
        <f t="shared" ref="S909:T972" si="123">IF($L909&gt;O909,"OVER","UNDER")</f>
        <v>UNDER</v>
      </c>
      <c r="T909" s="4" t="str">
        <f t="shared" si="123"/>
        <v>UNDER</v>
      </c>
      <c r="U909" s="2">
        <f>IF(Q909="OVER",$J909,$K909)</f>
        <v>-348.04913011647568</v>
      </c>
      <c r="V909" s="2">
        <f>IF(R909="OVER",$J909,$K909)</f>
        <v>-348.04913011647568</v>
      </c>
      <c r="W909" s="2">
        <f>IF(S909="OVER",$J909,$K909)</f>
        <v>-348.04913011647568</v>
      </c>
      <c r="X909" s="2">
        <f>IF(T909="OVER",$J909,$K909)</f>
        <v>-348.04913011647568</v>
      </c>
      <c r="Y909" s="9">
        <f t="shared" ref="Y909:AB972" si="124">Y908+U909</f>
        <v>-8012.2477764979658</v>
      </c>
      <c r="Z909" s="9">
        <f t="shared" si="124"/>
        <v>12868.148508461731</v>
      </c>
      <c r="AA909" s="9">
        <f t="shared" si="124"/>
        <v>58926.530483808398</v>
      </c>
      <c r="AB909" s="9">
        <f t="shared" si="121"/>
        <v>21886.663461673168</v>
      </c>
    </row>
    <row r="910" spans="1:28" x14ac:dyDescent="0.3">
      <c r="A910" s="1">
        <v>45736</v>
      </c>
      <c r="B910" s="2">
        <v>174.64</v>
      </c>
      <c r="C910" s="2">
        <v>565.49</v>
      </c>
      <c r="D910" s="9">
        <f>B910-B909</f>
        <v>-0.73000000000001819</v>
      </c>
      <c r="E910" s="9">
        <f>C910-C909</f>
        <v>-1.6399999999999864</v>
      </c>
      <c r="F910" s="3">
        <f>F$1/B910</f>
        <v>572.60650480989466</v>
      </c>
      <c r="G910" s="3">
        <f>F$1/C910</f>
        <v>176.83778669826168</v>
      </c>
      <c r="H910" s="2">
        <f>D910*F909</f>
        <v>-416.26275873867718</v>
      </c>
      <c r="I910" s="2">
        <f>E910*G909</f>
        <v>-289.17532135488977</v>
      </c>
      <c r="J910" s="2">
        <f>I910-H910</f>
        <v>127.0874373837874</v>
      </c>
      <c r="K910" s="2">
        <f t="shared" si="119"/>
        <v>-127.0874373837874</v>
      </c>
      <c r="L910" s="3">
        <f>C910/B910</f>
        <v>3.2380325240494736</v>
      </c>
      <c r="M910" s="3">
        <f t="shared" si="122"/>
        <v>3.2428731217366513</v>
      </c>
      <c r="N910" s="3">
        <f t="shared" si="117"/>
        <v>3.2699865705209552</v>
      </c>
      <c r="O910" s="3">
        <f t="shared" si="118"/>
        <v>3.3091454073775979</v>
      </c>
      <c r="P910" s="3">
        <f t="shared" si="120"/>
        <v>3.2681501180461678</v>
      </c>
      <c r="Q910" s="4" t="str">
        <f t="shared" ref="Q910:R973" si="125">IF($L909&gt;M909,"OVER","UNDER")</f>
        <v>UNDER</v>
      </c>
      <c r="R910" s="4" t="str">
        <f t="shared" si="125"/>
        <v>UNDER</v>
      </c>
      <c r="S910" s="4" t="str">
        <f t="shared" si="123"/>
        <v>UNDER</v>
      </c>
      <c r="T910" s="4" t="str">
        <f t="shared" si="123"/>
        <v>UNDER</v>
      </c>
      <c r="U910" s="2">
        <f>IF(Q910="OVER",$J910,$K910)</f>
        <v>-127.0874373837874</v>
      </c>
      <c r="V910" s="2">
        <f>IF(R910="OVER",$J910,$K910)</f>
        <v>-127.0874373837874</v>
      </c>
      <c r="W910" s="2">
        <f>IF(S910="OVER",$J910,$K910)</f>
        <v>-127.0874373837874</v>
      </c>
      <c r="X910" s="2">
        <f>IF(T910="OVER",$J910,$K910)</f>
        <v>-127.0874373837874</v>
      </c>
      <c r="Y910" s="9">
        <f t="shared" si="124"/>
        <v>-8139.3352138817536</v>
      </c>
      <c r="Z910" s="9">
        <f t="shared" si="124"/>
        <v>12741.061071077944</v>
      </c>
      <c r="AA910" s="9">
        <f t="shared" si="124"/>
        <v>58799.443046424611</v>
      </c>
      <c r="AB910" s="9">
        <f t="shared" si="121"/>
        <v>21759.576024289381</v>
      </c>
    </row>
    <row r="911" spans="1:28" x14ac:dyDescent="0.3">
      <c r="A911" s="1">
        <v>45737</v>
      </c>
      <c r="B911" s="2">
        <v>173.84</v>
      </c>
      <c r="C911" s="2">
        <v>563.98</v>
      </c>
      <c r="D911" s="9">
        <f>B911-B910</f>
        <v>-0.79999999999998295</v>
      </c>
      <c r="E911" s="9">
        <f>C911-C910</f>
        <v>-1.5099999999999909</v>
      </c>
      <c r="F911" s="3">
        <f>F$1/B911</f>
        <v>575.24160147261853</v>
      </c>
      <c r="G911" s="3">
        <f>F$1/C911</f>
        <v>177.31125217206284</v>
      </c>
      <c r="H911" s="2">
        <f>D911*F910</f>
        <v>-458.08520384790597</v>
      </c>
      <c r="I911" s="2">
        <f>E911*G910</f>
        <v>-267.02505791437352</v>
      </c>
      <c r="J911" s="2">
        <f>I911-H911</f>
        <v>191.06014593353245</v>
      </c>
      <c r="K911" s="2">
        <f t="shared" si="119"/>
        <v>-191.06014593353245</v>
      </c>
      <c r="L911" s="3">
        <f>C911/B911</f>
        <v>3.244247583985274</v>
      </c>
      <c r="M911" s="3">
        <f t="shared" si="122"/>
        <v>3.2413484772261283</v>
      </c>
      <c r="N911" s="3">
        <f t="shared" si="117"/>
        <v>3.2653821329034023</v>
      </c>
      <c r="O911" s="3">
        <f t="shared" si="118"/>
        <v>3.30699203549942</v>
      </c>
      <c r="P911" s="3">
        <f t="shared" si="120"/>
        <v>3.2683677173972647</v>
      </c>
      <c r="Q911" s="4" t="str">
        <f t="shared" si="125"/>
        <v>UNDER</v>
      </c>
      <c r="R911" s="4" t="str">
        <f t="shared" si="125"/>
        <v>UNDER</v>
      </c>
      <c r="S911" s="4" t="str">
        <f t="shared" si="123"/>
        <v>UNDER</v>
      </c>
      <c r="T911" s="4" t="str">
        <f t="shared" si="123"/>
        <v>UNDER</v>
      </c>
      <c r="U911" s="2">
        <f>IF(Q911="OVER",$J911,$K911)</f>
        <v>-191.06014593353245</v>
      </c>
      <c r="V911" s="2">
        <f>IF(R911="OVER",$J911,$K911)</f>
        <v>-191.06014593353245</v>
      </c>
      <c r="W911" s="2">
        <f>IF(S911="OVER",$J911,$K911)</f>
        <v>-191.06014593353245</v>
      </c>
      <c r="X911" s="2">
        <f>IF(T911="OVER",$J911,$K911)</f>
        <v>-191.06014593353245</v>
      </c>
      <c r="Y911" s="9">
        <f t="shared" si="124"/>
        <v>-8330.3953598152857</v>
      </c>
      <c r="Z911" s="9">
        <f t="shared" si="124"/>
        <v>12550.000925144412</v>
      </c>
      <c r="AA911" s="9">
        <f t="shared" si="124"/>
        <v>58608.38290049108</v>
      </c>
      <c r="AB911" s="9">
        <f t="shared" si="121"/>
        <v>21568.515878355847</v>
      </c>
    </row>
    <row r="912" spans="1:28" x14ac:dyDescent="0.3">
      <c r="A912" s="1">
        <v>45740</v>
      </c>
      <c r="B912" s="2">
        <v>175.69</v>
      </c>
      <c r="C912" s="2">
        <v>574.08000000000004</v>
      </c>
      <c r="D912" s="9">
        <f>B912-B911</f>
        <v>1.8499999999999943</v>
      </c>
      <c r="E912" s="9">
        <f>C912-C911</f>
        <v>10.100000000000023</v>
      </c>
      <c r="F912" s="3">
        <f>F$1/B912</f>
        <v>569.18435881381981</v>
      </c>
      <c r="G912" s="3">
        <f>F$1/C912</f>
        <v>174.19175027870679</v>
      </c>
      <c r="H912" s="2">
        <f>D912*F911</f>
        <v>1064.1969627243409</v>
      </c>
      <c r="I912" s="2">
        <f>E912*G911</f>
        <v>1790.8436469378387</v>
      </c>
      <c r="J912" s="2">
        <f>I912-H912</f>
        <v>726.64668421349779</v>
      </c>
      <c r="K912" s="2">
        <f t="shared" si="119"/>
        <v>-726.64668421349779</v>
      </c>
      <c r="L912" s="3">
        <f>C912/B912</f>
        <v>3.2675735670783768</v>
      </c>
      <c r="M912" s="3">
        <f t="shared" si="122"/>
        <v>3.2463033081015893</v>
      </c>
      <c r="N912" s="3">
        <f t="shared" si="117"/>
        <v>3.2628414913706729</v>
      </c>
      <c r="O912" s="3">
        <f t="shared" si="118"/>
        <v>3.3052874267590857</v>
      </c>
      <c r="P912" s="3">
        <f t="shared" si="120"/>
        <v>3.268635329758204</v>
      </c>
      <c r="Q912" s="4" t="str">
        <f t="shared" si="125"/>
        <v>OVER</v>
      </c>
      <c r="R912" s="4" t="str">
        <f t="shared" si="125"/>
        <v>UNDER</v>
      </c>
      <c r="S912" s="4" t="str">
        <f t="shared" si="123"/>
        <v>UNDER</v>
      </c>
      <c r="T912" s="4" t="str">
        <f t="shared" si="123"/>
        <v>UNDER</v>
      </c>
      <c r="U912" s="2">
        <f>IF(Q912="OVER",$J912,$K912)</f>
        <v>726.64668421349779</v>
      </c>
      <c r="V912" s="2">
        <f>IF(R912="OVER",$J912,$K912)</f>
        <v>-726.64668421349779</v>
      </c>
      <c r="W912" s="2">
        <f>IF(S912="OVER",$J912,$K912)</f>
        <v>-726.64668421349779</v>
      </c>
      <c r="X912" s="2">
        <f>IF(T912="OVER",$J912,$K912)</f>
        <v>-726.64668421349779</v>
      </c>
      <c r="Y912" s="9">
        <f t="shared" si="124"/>
        <v>-7603.7486756017879</v>
      </c>
      <c r="Z912" s="9">
        <f t="shared" si="124"/>
        <v>11823.354240930914</v>
      </c>
      <c r="AA912" s="9">
        <f t="shared" si="124"/>
        <v>57881.736216277583</v>
      </c>
      <c r="AB912" s="9">
        <f t="shared" si="121"/>
        <v>20841.869194142349</v>
      </c>
    </row>
    <row r="913" spans="1:28" x14ac:dyDescent="0.3">
      <c r="A913" s="1">
        <v>45741</v>
      </c>
      <c r="B913" s="2">
        <v>175.27</v>
      </c>
      <c r="C913" s="2">
        <v>575.46</v>
      </c>
      <c r="D913" s="9">
        <f>B913-B912</f>
        <v>-0.41999999999998749</v>
      </c>
      <c r="E913" s="9">
        <f>C913-C912</f>
        <v>1.3799999999999955</v>
      </c>
      <c r="F913" s="3">
        <f>F$1/B913</f>
        <v>570.54829691333373</v>
      </c>
      <c r="G913" s="3">
        <f>F$1/C913</f>
        <v>173.77402425885379</v>
      </c>
      <c r="H913" s="2">
        <f>D913*F912</f>
        <v>-239.05743070179722</v>
      </c>
      <c r="I913" s="2">
        <f>E913*G912</f>
        <v>240.38461538461459</v>
      </c>
      <c r="J913" s="2">
        <f>I913-H913</f>
        <v>479.44204608641178</v>
      </c>
      <c r="K913" s="2">
        <f t="shared" si="119"/>
        <v>-479.44204608641178</v>
      </c>
      <c r="L913" s="3">
        <f>C913/B913</f>
        <v>3.2832772294174704</v>
      </c>
      <c r="M913" s="3">
        <f t="shared" si="122"/>
        <v>3.2511960764238346</v>
      </c>
      <c r="N913" s="3">
        <f t="shared" si="117"/>
        <v>3.2620761271962513</v>
      </c>
      <c r="O913" s="3">
        <f t="shared" si="118"/>
        <v>3.303941138735603</v>
      </c>
      <c r="P913" s="3">
        <f t="shared" si="120"/>
        <v>3.2688887775739728</v>
      </c>
      <c r="Q913" s="4" t="str">
        <f t="shared" si="125"/>
        <v>OVER</v>
      </c>
      <c r="R913" s="4" t="str">
        <f t="shared" si="125"/>
        <v>OVER</v>
      </c>
      <c r="S913" s="4" t="str">
        <f t="shared" si="123"/>
        <v>UNDER</v>
      </c>
      <c r="T913" s="4" t="str">
        <f t="shared" si="123"/>
        <v>OVER</v>
      </c>
      <c r="U913" s="2">
        <f>IF(Q913="OVER",$J913,$K913)</f>
        <v>479.44204608641178</v>
      </c>
      <c r="V913" s="2">
        <f>IF(R913="OVER",$J913,$K913)</f>
        <v>479.44204608641178</v>
      </c>
      <c r="W913" s="2">
        <f>IF(S913="OVER",$J913,$K913)</f>
        <v>-479.44204608641178</v>
      </c>
      <c r="X913" s="2">
        <f>IF(T913="OVER",$J913,$K913)</f>
        <v>479.44204608641178</v>
      </c>
      <c r="Y913" s="9">
        <f t="shared" si="124"/>
        <v>-7124.3066295153758</v>
      </c>
      <c r="Z913" s="9">
        <f t="shared" si="124"/>
        <v>12302.796287017325</v>
      </c>
      <c r="AA913" s="9">
        <f t="shared" si="124"/>
        <v>57402.29417019117</v>
      </c>
      <c r="AB913" s="9">
        <f t="shared" si="121"/>
        <v>21321.311240228762</v>
      </c>
    </row>
    <row r="914" spans="1:28" x14ac:dyDescent="0.3">
      <c r="A914" s="1">
        <v>45742</v>
      </c>
      <c r="B914" s="2">
        <v>174.94</v>
      </c>
      <c r="C914" s="2">
        <v>568.59</v>
      </c>
      <c r="D914" s="9">
        <f>B914-B913</f>
        <v>-0.33000000000001251</v>
      </c>
      <c r="E914" s="9">
        <f>C914-C913</f>
        <v>-6.8700000000000045</v>
      </c>
      <c r="F914" s="3">
        <f>F$1/B914</f>
        <v>571.62455699096836</v>
      </c>
      <c r="G914" s="3">
        <f>F$1/C914</f>
        <v>175.87365236813872</v>
      </c>
      <c r="H914" s="2">
        <f>D914*F913</f>
        <v>-188.28093798140728</v>
      </c>
      <c r="I914" s="2">
        <f>E914*G913</f>
        <v>-1193.8275466583264</v>
      </c>
      <c r="J914" s="2">
        <f>I914-H914</f>
        <v>-1005.546608676919</v>
      </c>
      <c r="K914" s="2">
        <f t="shared" si="119"/>
        <v>1005.546608676919</v>
      </c>
      <c r="L914" s="3">
        <f>C914/B914</f>
        <v>3.250200068594947</v>
      </c>
      <c r="M914" s="3">
        <f t="shared" si="122"/>
        <v>3.2495252549674354</v>
      </c>
      <c r="N914" s="3">
        <f t="shared" si="117"/>
        <v>3.2592248356379585</v>
      </c>
      <c r="O914" s="3">
        <f t="shared" si="118"/>
        <v>3.3023750364835247</v>
      </c>
      <c r="P914" s="3">
        <f t="shared" si="120"/>
        <v>3.2689458113552803</v>
      </c>
      <c r="Q914" s="4" t="str">
        <f t="shared" si="125"/>
        <v>OVER</v>
      </c>
      <c r="R914" s="4" t="str">
        <f t="shared" si="125"/>
        <v>OVER</v>
      </c>
      <c r="S914" s="4" t="str">
        <f t="shared" si="123"/>
        <v>UNDER</v>
      </c>
      <c r="T914" s="4" t="str">
        <f t="shared" si="123"/>
        <v>UNDER</v>
      </c>
      <c r="U914" s="2">
        <f>IF(Q914="OVER",$J914,$K914)</f>
        <v>-1005.546608676919</v>
      </c>
      <c r="V914" s="2">
        <f>IF(R914="OVER",$J914,$K914)</f>
        <v>-1005.546608676919</v>
      </c>
      <c r="W914" s="2">
        <f>IF(S914="OVER",$J914,$K914)</f>
        <v>1005.546608676919</v>
      </c>
      <c r="X914" s="2">
        <f>IF(T914="OVER",$J914,$K914)</f>
        <v>1005.546608676919</v>
      </c>
      <c r="Y914" s="9">
        <f t="shared" si="124"/>
        <v>-8129.8532381922951</v>
      </c>
      <c r="Z914" s="9">
        <f t="shared" si="124"/>
        <v>11297.249678340406</v>
      </c>
      <c r="AA914" s="9">
        <f t="shared" si="124"/>
        <v>58407.840778868085</v>
      </c>
      <c r="AB914" s="9">
        <f t="shared" si="121"/>
        <v>22326.857848905682</v>
      </c>
    </row>
    <row r="915" spans="1:28" x14ac:dyDescent="0.3">
      <c r="A915" s="1">
        <v>45743</v>
      </c>
      <c r="B915" s="2">
        <v>174.49</v>
      </c>
      <c r="C915" s="2">
        <v>567.08000000000004</v>
      </c>
      <c r="D915" s="9">
        <f>B915-B914</f>
        <v>-0.44999999999998863</v>
      </c>
      <c r="E915" s="9">
        <f>C915-C914</f>
        <v>-1.5099999999999909</v>
      </c>
      <c r="F915" s="3">
        <f>F$1/B915</f>
        <v>573.09874491374865</v>
      </c>
      <c r="G915" s="3">
        <f>F$1/C915</f>
        <v>176.34196233335683</v>
      </c>
      <c r="H915" s="2">
        <f>D915*F914</f>
        <v>-257.23105064592926</v>
      </c>
      <c r="I915" s="2">
        <f>E915*G914</f>
        <v>-265.56921507588788</v>
      </c>
      <c r="J915" s="2">
        <f>I915-H915</f>
        <v>-8.3381644299586242</v>
      </c>
      <c r="K915" s="2">
        <f t="shared" si="119"/>
        <v>8.3381644299586242</v>
      </c>
      <c r="L915" s="3">
        <f>C915/B915</f>
        <v>3.249928362656886</v>
      </c>
      <c r="M915" s="3">
        <f t="shared" si="122"/>
        <v>3.2490621507267199</v>
      </c>
      <c r="N915" s="3">
        <f t="shared" si="117"/>
        <v>3.2575658104486935</v>
      </c>
      <c r="O915" s="3">
        <f t="shared" si="118"/>
        <v>3.3012457073259394</v>
      </c>
      <c r="P915" s="3">
        <f t="shared" si="120"/>
        <v>3.2689700642526676</v>
      </c>
      <c r="Q915" s="4" t="str">
        <f t="shared" si="125"/>
        <v>OVER</v>
      </c>
      <c r="R915" s="4" t="str">
        <f t="shared" si="125"/>
        <v>UNDER</v>
      </c>
      <c r="S915" s="4" t="str">
        <f t="shared" si="123"/>
        <v>UNDER</v>
      </c>
      <c r="T915" s="4" t="str">
        <f t="shared" si="123"/>
        <v>UNDER</v>
      </c>
      <c r="U915" s="2">
        <f>IF(Q915="OVER",$J915,$K915)</f>
        <v>-8.3381644299586242</v>
      </c>
      <c r="V915" s="2">
        <f>IF(R915="OVER",$J915,$K915)</f>
        <v>8.3381644299586242</v>
      </c>
      <c r="W915" s="2">
        <f>IF(S915="OVER",$J915,$K915)</f>
        <v>8.3381644299586242</v>
      </c>
      <c r="X915" s="2">
        <f>IF(T915="OVER",$J915,$K915)</f>
        <v>8.3381644299586242</v>
      </c>
      <c r="Y915" s="9">
        <f t="shared" si="124"/>
        <v>-8138.1914026222539</v>
      </c>
      <c r="Z915" s="9">
        <f t="shared" si="124"/>
        <v>11305.587842770365</v>
      </c>
      <c r="AA915" s="9">
        <f t="shared" si="124"/>
        <v>58416.178943298044</v>
      </c>
      <c r="AB915" s="9">
        <f t="shared" si="121"/>
        <v>22335.196013335641</v>
      </c>
    </row>
    <row r="916" spans="1:28" x14ac:dyDescent="0.3">
      <c r="A916" s="1">
        <v>45744</v>
      </c>
      <c r="B916" s="2">
        <v>171.8</v>
      </c>
      <c r="C916" s="2">
        <v>555.66</v>
      </c>
      <c r="D916" s="9">
        <f>B916-B915</f>
        <v>-2.6899999999999977</v>
      </c>
      <c r="E916" s="9">
        <f>C916-C915</f>
        <v>-11.420000000000073</v>
      </c>
      <c r="F916" s="3">
        <f>F$1/B916</f>
        <v>582.07217694994176</v>
      </c>
      <c r="G916" s="3">
        <f>F$1/C916</f>
        <v>179.9661663607242</v>
      </c>
      <c r="H916" s="2">
        <f>D916*F915</f>
        <v>-1541.6356238179826</v>
      </c>
      <c r="I916" s="2">
        <f>E916*G915</f>
        <v>-2013.8252098469479</v>
      </c>
      <c r="J916" s="2">
        <f>I916-H916</f>
        <v>-472.18958602896532</v>
      </c>
      <c r="K916" s="2">
        <f t="shared" si="119"/>
        <v>472.18958602896532</v>
      </c>
      <c r="L916" s="3">
        <f>C916/B916</f>
        <v>3.2343422584400461</v>
      </c>
      <c r="M916" s="3">
        <f t="shared" si="122"/>
        <v>3.2465320536238926</v>
      </c>
      <c r="N916" s="3">
        <f t="shared" si="117"/>
        <v>3.2543978084855807</v>
      </c>
      <c r="O916" s="3">
        <f t="shared" si="118"/>
        <v>3.2992418847780285</v>
      </c>
      <c r="P916" s="3">
        <f t="shared" si="120"/>
        <v>3.2689096543327465</v>
      </c>
      <c r="Q916" s="4" t="str">
        <f t="shared" si="125"/>
        <v>OVER</v>
      </c>
      <c r="R916" s="4" t="str">
        <f t="shared" si="125"/>
        <v>UNDER</v>
      </c>
      <c r="S916" s="4" t="str">
        <f t="shared" si="123"/>
        <v>UNDER</v>
      </c>
      <c r="T916" s="4" t="str">
        <f t="shared" si="123"/>
        <v>UNDER</v>
      </c>
      <c r="U916" s="2">
        <f>IF(Q916="OVER",$J916,$K916)</f>
        <v>-472.18958602896532</v>
      </c>
      <c r="V916" s="2">
        <f>IF(R916="OVER",$J916,$K916)</f>
        <v>472.18958602896532</v>
      </c>
      <c r="W916" s="2">
        <f>IF(S916="OVER",$J916,$K916)</f>
        <v>472.18958602896532</v>
      </c>
      <c r="X916" s="2">
        <f>IF(T916="OVER",$J916,$K916)</f>
        <v>472.18958602896532</v>
      </c>
      <c r="Y916" s="9">
        <f t="shared" si="124"/>
        <v>-8610.380988651219</v>
      </c>
      <c r="Z916" s="9">
        <f t="shared" si="124"/>
        <v>11777.777428799331</v>
      </c>
      <c r="AA916" s="9">
        <f t="shared" si="124"/>
        <v>58888.36852932701</v>
      </c>
      <c r="AB916" s="9">
        <f t="shared" si="121"/>
        <v>22807.385599364607</v>
      </c>
    </row>
    <row r="917" spans="1:28" x14ac:dyDescent="0.3">
      <c r="A917" s="1">
        <v>45747</v>
      </c>
      <c r="B917" s="2">
        <v>173.23</v>
      </c>
      <c r="C917" s="2">
        <v>559.39</v>
      </c>
      <c r="D917" s="9">
        <f>B917-B916</f>
        <v>1.4299999999999784</v>
      </c>
      <c r="E917" s="9">
        <f>C917-C916</f>
        <v>3.7300000000000182</v>
      </c>
      <c r="F917" s="3">
        <f>F$1/B917</f>
        <v>577.26721699474695</v>
      </c>
      <c r="G917" s="3">
        <f>F$1/C917</f>
        <v>178.76615599134772</v>
      </c>
      <c r="H917" s="2">
        <f>D917*F916</f>
        <v>832.36321303840418</v>
      </c>
      <c r="I917" s="2">
        <f>E917*G916</f>
        <v>671.2738005255045</v>
      </c>
      <c r="J917" s="2">
        <f>I917-H917</f>
        <v>-161.08941251289968</v>
      </c>
      <c r="K917" s="2">
        <f t="shared" si="119"/>
        <v>161.08941251289968</v>
      </c>
      <c r="L917" s="3">
        <f>C917/B917</f>
        <v>3.2291750851469145</v>
      </c>
      <c r="M917" s="3">
        <f t="shared" si="122"/>
        <v>3.2453453276108966</v>
      </c>
      <c r="N917" s="3">
        <f t="shared" si="117"/>
        <v>3.2521153981518793</v>
      </c>
      <c r="O917" s="3">
        <f t="shared" si="118"/>
        <v>3.2977830802913148</v>
      </c>
      <c r="P917" s="3">
        <f t="shared" si="120"/>
        <v>3.268716983020409</v>
      </c>
      <c r="Q917" s="4" t="str">
        <f t="shared" si="125"/>
        <v>UNDER</v>
      </c>
      <c r="R917" s="4" t="str">
        <f t="shared" si="125"/>
        <v>UNDER</v>
      </c>
      <c r="S917" s="4" t="str">
        <f t="shared" si="123"/>
        <v>UNDER</v>
      </c>
      <c r="T917" s="4" t="str">
        <f t="shared" si="123"/>
        <v>UNDER</v>
      </c>
      <c r="U917" s="2">
        <f>IF(Q917="OVER",$J917,$K917)</f>
        <v>161.08941251289968</v>
      </c>
      <c r="V917" s="2">
        <f>IF(R917="OVER",$J917,$K917)</f>
        <v>161.08941251289968</v>
      </c>
      <c r="W917" s="2">
        <f>IF(S917="OVER",$J917,$K917)</f>
        <v>161.08941251289968</v>
      </c>
      <c r="X917" s="2">
        <f>IF(T917="OVER",$J917,$K917)</f>
        <v>161.08941251289968</v>
      </c>
      <c r="Y917" s="9">
        <f t="shared" si="124"/>
        <v>-8449.2915761383192</v>
      </c>
      <c r="Z917" s="9">
        <f t="shared" si="124"/>
        <v>11938.86684131223</v>
      </c>
      <c r="AA917" s="9">
        <f t="shared" si="124"/>
        <v>59049.457941839908</v>
      </c>
      <c r="AB917" s="9">
        <f t="shared" si="121"/>
        <v>22968.475011877505</v>
      </c>
    </row>
    <row r="918" spans="1:28" x14ac:dyDescent="0.3">
      <c r="A918" s="1">
        <v>45748</v>
      </c>
      <c r="B918" s="2">
        <v>173.41</v>
      </c>
      <c r="C918" s="2">
        <v>560.97</v>
      </c>
      <c r="D918" s="9">
        <f>B918-B917</f>
        <v>0.18000000000000682</v>
      </c>
      <c r="E918" s="9">
        <f>C918-C917</f>
        <v>1.5800000000000409</v>
      </c>
      <c r="F918" s="3">
        <f>F$1/B918</f>
        <v>576.66801222536185</v>
      </c>
      <c r="G918" s="3">
        <f>F$1/C918</f>
        <v>178.26265219173931</v>
      </c>
      <c r="H918" s="2">
        <f>D918*F917</f>
        <v>103.90809905905839</v>
      </c>
      <c r="I918" s="2">
        <f>E918*G917</f>
        <v>282.45052646633673</v>
      </c>
      <c r="J918" s="2">
        <f>I918-H918</f>
        <v>178.54242740727835</v>
      </c>
      <c r="K918" s="2">
        <f t="shared" si="119"/>
        <v>-178.54242740727835</v>
      </c>
      <c r="L918" s="3">
        <f>C918/B918</f>
        <v>3.2349345481806124</v>
      </c>
      <c r="M918" s="3">
        <f t="shared" si="122"/>
        <v>3.2465616684583702</v>
      </c>
      <c r="N918" s="3">
        <f t="shared" si="117"/>
        <v>3.2494020959110066</v>
      </c>
      <c r="O918" s="3">
        <f t="shared" si="118"/>
        <v>3.2960987452607031</v>
      </c>
      <c r="P918" s="3">
        <f t="shared" si="120"/>
        <v>3.2685066678678494</v>
      </c>
      <c r="Q918" s="4" t="str">
        <f t="shared" si="125"/>
        <v>UNDER</v>
      </c>
      <c r="R918" s="4" t="str">
        <f t="shared" si="125"/>
        <v>UNDER</v>
      </c>
      <c r="S918" s="4" t="str">
        <f t="shared" si="123"/>
        <v>UNDER</v>
      </c>
      <c r="T918" s="4" t="str">
        <f t="shared" si="123"/>
        <v>UNDER</v>
      </c>
      <c r="U918" s="2">
        <f>IF(Q918="OVER",$J918,$K918)</f>
        <v>-178.54242740727835</v>
      </c>
      <c r="V918" s="2">
        <f>IF(R918="OVER",$J918,$K918)</f>
        <v>-178.54242740727835</v>
      </c>
      <c r="W918" s="2">
        <f>IF(S918="OVER",$J918,$K918)</f>
        <v>-178.54242740727835</v>
      </c>
      <c r="X918" s="2">
        <f>IF(T918="OVER",$J918,$K918)</f>
        <v>-178.54242740727835</v>
      </c>
      <c r="Y918" s="9">
        <f t="shared" si="124"/>
        <v>-8627.8340035455967</v>
      </c>
      <c r="Z918" s="9">
        <f t="shared" si="124"/>
        <v>11760.324413904953</v>
      </c>
      <c r="AA918" s="9">
        <f t="shared" si="124"/>
        <v>58870.915514432629</v>
      </c>
      <c r="AB918" s="9">
        <f t="shared" si="121"/>
        <v>22789.932584470225</v>
      </c>
    </row>
    <row r="919" spans="1:28" x14ac:dyDescent="0.3">
      <c r="A919" s="1">
        <v>45749</v>
      </c>
      <c r="B919" s="2">
        <v>174.86</v>
      </c>
      <c r="C919" s="2">
        <v>564.52</v>
      </c>
      <c r="D919" s="9">
        <f>B919-B918</f>
        <v>1.4500000000000171</v>
      </c>
      <c r="E919" s="9">
        <f>C919-C918</f>
        <v>3.5499999999999545</v>
      </c>
      <c r="F919" s="3">
        <f>F$1/B919</f>
        <v>571.88608029280567</v>
      </c>
      <c r="G919" s="3">
        <f>F$1/C919</f>
        <v>177.14164245730888</v>
      </c>
      <c r="H919" s="2">
        <f>D919*F918</f>
        <v>836.16861772678453</v>
      </c>
      <c r="I919" s="2">
        <f>E919*G918</f>
        <v>632.8324152806664</v>
      </c>
      <c r="J919" s="2">
        <f>I919-H919</f>
        <v>-203.33620244611814</v>
      </c>
      <c r="K919" s="2">
        <f t="shared" si="119"/>
        <v>203.33620244611814</v>
      </c>
      <c r="L919" s="3">
        <f>C919/B919</f>
        <v>3.2284113004689461</v>
      </c>
      <c r="M919" s="3">
        <f t="shared" si="122"/>
        <v>3.2460122528018944</v>
      </c>
      <c r="N919" s="3">
        <f t="shared" ref="N919:N982" si="126">AVERAGE(L900:L919)</f>
        <v>3.2461257511553456</v>
      </c>
      <c r="O919" s="3">
        <f t="shared" si="118"/>
        <v>3.2944450418789875</v>
      </c>
      <c r="P919" s="3">
        <f t="shared" si="120"/>
        <v>3.268183903147587</v>
      </c>
      <c r="Q919" s="4" t="str">
        <f t="shared" si="125"/>
        <v>UNDER</v>
      </c>
      <c r="R919" s="4" t="str">
        <f t="shared" si="125"/>
        <v>UNDER</v>
      </c>
      <c r="S919" s="4" t="str">
        <f t="shared" si="123"/>
        <v>UNDER</v>
      </c>
      <c r="T919" s="4" t="str">
        <f t="shared" si="123"/>
        <v>UNDER</v>
      </c>
      <c r="U919" s="2">
        <f>IF(Q919="OVER",$J919,$K919)</f>
        <v>203.33620244611814</v>
      </c>
      <c r="V919" s="2">
        <f>IF(R919="OVER",$J919,$K919)</f>
        <v>203.33620244611814</v>
      </c>
      <c r="W919" s="2">
        <f>IF(S919="OVER",$J919,$K919)</f>
        <v>203.33620244611814</v>
      </c>
      <c r="X919" s="2">
        <f>IF(T919="OVER",$J919,$K919)</f>
        <v>203.33620244611814</v>
      </c>
      <c r="Y919" s="9">
        <f t="shared" si="124"/>
        <v>-8424.4978010994782</v>
      </c>
      <c r="Z919" s="9">
        <f t="shared" si="124"/>
        <v>11963.660616351071</v>
      </c>
      <c r="AA919" s="9">
        <f t="shared" si="124"/>
        <v>59074.251716878745</v>
      </c>
      <c r="AB919" s="9">
        <f t="shared" si="121"/>
        <v>22993.268786916342</v>
      </c>
    </row>
    <row r="920" spans="1:28" x14ac:dyDescent="0.3">
      <c r="A920" s="1">
        <v>45750</v>
      </c>
      <c r="B920" s="2">
        <v>166.53</v>
      </c>
      <c r="C920" s="2">
        <v>536.70000000000005</v>
      </c>
      <c r="D920" s="9">
        <f>B920-B919</f>
        <v>-8.3300000000000125</v>
      </c>
      <c r="E920" s="9">
        <f>C920-C919</f>
        <v>-27.819999999999936</v>
      </c>
      <c r="F920" s="3">
        <f>F$1/B920</f>
        <v>600.49240377109231</v>
      </c>
      <c r="G920" s="3">
        <f>F$1/C920</f>
        <v>186.32383081796161</v>
      </c>
      <c r="H920" s="2">
        <f>D920*F919</f>
        <v>-4763.8110488390785</v>
      </c>
      <c r="I920" s="2">
        <f>E920*G919</f>
        <v>-4928.0804931623215</v>
      </c>
      <c r="J920" s="2">
        <f>I920-H920</f>
        <v>-164.26944432324308</v>
      </c>
      <c r="K920" s="2">
        <f t="shared" si="119"/>
        <v>164.26944432324308</v>
      </c>
      <c r="L920" s="3">
        <f>C920/B920</f>
        <v>3.2228427310394525</v>
      </c>
      <c r="M920" s="3">
        <f t="shared" si="122"/>
        <v>3.244493273500892</v>
      </c>
      <c r="N920" s="3">
        <f t="shared" si="126"/>
        <v>3.2436831976187728</v>
      </c>
      <c r="O920" s="3">
        <f t="shared" si="118"/>
        <v>3.2920728701071384</v>
      </c>
      <c r="P920" s="3">
        <f t="shared" si="120"/>
        <v>3.2677175938311325</v>
      </c>
      <c r="Q920" s="4" t="str">
        <f t="shared" si="125"/>
        <v>UNDER</v>
      </c>
      <c r="R920" s="4" t="str">
        <f t="shared" si="125"/>
        <v>UNDER</v>
      </c>
      <c r="S920" s="4" t="str">
        <f t="shared" si="123"/>
        <v>UNDER</v>
      </c>
      <c r="T920" s="4" t="str">
        <f t="shared" si="123"/>
        <v>UNDER</v>
      </c>
      <c r="U920" s="2">
        <f>IF(Q920="OVER",$J920,$K920)</f>
        <v>164.26944432324308</v>
      </c>
      <c r="V920" s="2">
        <f>IF(R920="OVER",$J920,$K920)</f>
        <v>164.26944432324308</v>
      </c>
      <c r="W920" s="2">
        <f>IF(S920="OVER",$J920,$K920)</f>
        <v>164.26944432324308</v>
      </c>
      <c r="X920" s="2">
        <f>IF(T920="OVER",$J920,$K920)</f>
        <v>164.26944432324308</v>
      </c>
      <c r="Y920" s="9">
        <f t="shared" si="124"/>
        <v>-8260.2283567762352</v>
      </c>
      <c r="Z920" s="9">
        <f t="shared" si="124"/>
        <v>12127.930060674315</v>
      </c>
      <c r="AA920" s="9">
        <f t="shared" si="124"/>
        <v>59238.521161201992</v>
      </c>
      <c r="AB920" s="9">
        <f t="shared" si="121"/>
        <v>23157.538231239585</v>
      </c>
    </row>
    <row r="921" spans="1:28" x14ac:dyDescent="0.3">
      <c r="A921" s="1">
        <v>45751</v>
      </c>
      <c r="B921" s="2">
        <v>157.18</v>
      </c>
      <c r="C921" s="2">
        <v>505.28</v>
      </c>
      <c r="D921" s="9">
        <f>B921-B920</f>
        <v>-9.3499999999999943</v>
      </c>
      <c r="E921" s="9">
        <f>C921-C920</f>
        <v>-31.420000000000073</v>
      </c>
      <c r="F921" s="3">
        <f>F$1/B921</f>
        <v>636.21325868431097</v>
      </c>
      <c r="G921" s="3">
        <f>F$1/C921</f>
        <v>197.91006966434452</v>
      </c>
      <c r="H921" s="2">
        <f>D921*F920</f>
        <v>-5614.6039752597098</v>
      </c>
      <c r="I921" s="2">
        <f>E921*G920</f>
        <v>-5854.2947643003672</v>
      </c>
      <c r="J921" s="2">
        <f>I921-H921</f>
        <v>-239.69078904065736</v>
      </c>
      <c r="K921" s="2">
        <f t="shared" si="119"/>
        <v>239.69078904065736</v>
      </c>
      <c r="L921" s="3">
        <f>C921/B921</f>
        <v>3.2146583534800861</v>
      </c>
      <c r="M921" s="3">
        <f t="shared" si="122"/>
        <v>3.2415343504503737</v>
      </c>
      <c r="N921" s="3">
        <f t="shared" si="126"/>
        <v>3.2414414138382512</v>
      </c>
      <c r="O921" s="3">
        <f t="shared" si="118"/>
        <v>3.2894891520656895</v>
      </c>
      <c r="P921" s="3">
        <f t="shared" si="120"/>
        <v>3.2671990253450001</v>
      </c>
      <c r="Q921" s="4" t="str">
        <f t="shared" si="125"/>
        <v>UNDER</v>
      </c>
      <c r="R921" s="4" t="str">
        <f t="shared" si="125"/>
        <v>UNDER</v>
      </c>
      <c r="S921" s="4" t="str">
        <f t="shared" si="123"/>
        <v>UNDER</v>
      </c>
      <c r="T921" s="4" t="str">
        <f t="shared" si="123"/>
        <v>UNDER</v>
      </c>
      <c r="U921" s="2">
        <f>IF(Q921="OVER",$J921,$K921)</f>
        <v>239.69078904065736</v>
      </c>
      <c r="V921" s="2">
        <f>IF(R921="OVER",$J921,$K921)</f>
        <v>239.69078904065736</v>
      </c>
      <c r="W921" s="2">
        <f>IF(S921="OVER",$J921,$K921)</f>
        <v>239.69078904065736</v>
      </c>
      <c r="X921" s="2">
        <f>IF(T921="OVER",$J921,$K921)</f>
        <v>239.69078904065736</v>
      </c>
      <c r="Y921" s="9">
        <f t="shared" si="124"/>
        <v>-8020.5375677355778</v>
      </c>
      <c r="Z921" s="9">
        <f t="shared" si="124"/>
        <v>12367.620849714971</v>
      </c>
      <c r="AA921" s="9">
        <f t="shared" si="124"/>
        <v>59478.21195024265</v>
      </c>
      <c r="AB921" s="9">
        <f t="shared" si="121"/>
        <v>23397.229020280243</v>
      </c>
    </row>
    <row r="922" spans="1:28" x14ac:dyDescent="0.3">
      <c r="A922" s="1">
        <v>45754</v>
      </c>
      <c r="B922" s="2">
        <v>155.87</v>
      </c>
      <c r="C922" s="2">
        <v>504.38</v>
      </c>
      <c r="D922" s="9">
        <f>B922-B921</f>
        <v>-1.3100000000000023</v>
      </c>
      <c r="E922" s="9">
        <f>C922-C921</f>
        <v>-0.89999999999997726</v>
      </c>
      <c r="F922" s="3">
        <f>F$1/B922</f>
        <v>641.56027458779749</v>
      </c>
      <c r="G922" s="3">
        <f>F$1/C922</f>
        <v>198.2632142432293</v>
      </c>
      <c r="H922" s="2">
        <f>D922*F921</f>
        <v>-833.43936887644884</v>
      </c>
      <c r="I922" s="2">
        <f>E922*G921</f>
        <v>-178.11906269790558</v>
      </c>
      <c r="J922" s="2">
        <f>I922-H922</f>
        <v>655.32030617854321</v>
      </c>
      <c r="K922" s="2">
        <f t="shared" si="119"/>
        <v>-655.32030617854321</v>
      </c>
      <c r="L922" s="3">
        <f>C922/B922</f>
        <v>3.2359017129659331</v>
      </c>
      <c r="M922" s="3">
        <f t="shared" si="122"/>
        <v>3.2383671650391292</v>
      </c>
      <c r="N922" s="3">
        <f t="shared" si="126"/>
        <v>3.2423352365703595</v>
      </c>
      <c r="O922" s="3">
        <f t="shared" si="118"/>
        <v>3.2874669700672552</v>
      </c>
      <c r="P922" s="3">
        <f t="shared" si="120"/>
        <v>3.2667857822157349</v>
      </c>
      <c r="Q922" s="4" t="str">
        <f t="shared" si="125"/>
        <v>UNDER</v>
      </c>
      <c r="R922" s="4" t="str">
        <f t="shared" si="125"/>
        <v>UNDER</v>
      </c>
      <c r="S922" s="4" t="str">
        <f t="shared" si="123"/>
        <v>UNDER</v>
      </c>
      <c r="T922" s="4" t="str">
        <f t="shared" si="123"/>
        <v>UNDER</v>
      </c>
      <c r="U922" s="2">
        <f>IF(Q922="OVER",$J922,$K922)</f>
        <v>-655.32030617854321</v>
      </c>
      <c r="V922" s="2">
        <f>IF(R922="OVER",$J922,$K922)</f>
        <v>-655.32030617854321</v>
      </c>
      <c r="W922" s="2">
        <f>IF(S922="OVER",$J922,$K922)</f>
        <v>-655.32030617854321</v>
      </c>
      <c r="X922" s="2">
        <f>IF(T922="OVER",$J922,$K922)</f>
        <v>-655.32030617854321</v>
      </c>
      <c r="Y922" s="9">
        <f t="shared" si="124"/>
        <v>-8675.8578739141212</v>
      </c>
      <c r="Z922" s="9">
        <f t="shared" si="124"/>
        <v>11712.300543536428</v>
      </c>
      <c r="AA922" s="9">
        <f t="shared" si="124"/>
        <v>58822.891644064104</v>
      </c>
      <c r="AB922" s="9">
        <f t="shared" si="121"/>
        <v>22741.908714101701</v>
      </c>
    </row>
    <row r="923" spans="1:28" x14ac:dyDescent="0.3">
      <c r="A923" s="1">
        <v>45755</v>
      </c>
      <c r="B923" s="2">
        <v>152.93</v>
      </c>
      <c r="C923" s="2">
        <v>496.48</v>
      </c>
      <c r="D923" s="9">
        <f>B923-B922</f>
        <v>-2.9399999999999977</v>
      </c>
      <c r="E923" s="9">
        <f>C923-C922</f>
        <v>-7.8999999999999773</v>
      </c>
      <c r="F923" s="3">
        <f>F$1/B923</f>
        <v>653.89393840319099</v>
      </c>
      <c r="G923" s="3">
        <f>F$1/C923</f>
        <v>201.41798259748629</v>
      </c>
      <c r="H923" s="2">
        <f>D923*F922</f>
        <v>-1886.1872072881231</v>
      </c>
      <c r="I923" s="2">
        <f>E923*G922</f>
        <v>-1566.2793925215069</v>
      </c>
      <c r="J923" s="2">
        <f>I923-H923</f>
        <v>319.90781476661618</v>
      </c>
      <c r="K923" s="2">
        <f t="shared" si="119"/>
        <v>-319.90781476661618</v>
      </c>
      <c r="L923" s="3">
        <f>C923/B923</f>
        <v>3.2464526253841628</v>
      </c>
      <c r="M923" s="3">
        <f t="shared" si="122"/>
        <v>3.2346847046357987</v>
      </c>
      <c r="N923" s="3">
        <f t="shared" si="126"/>
        <v>3.2429403905298164</v>
      </c>
      <c r="O923" s="3">
        <f t="shared" si="118"/>
        <v>3.286643184003275</v>
      </c>
      <c r="P923" s="3">
        <f t="shared" si="120"/>
        <v>3.266480374523935</v>
      </c>
      <c r="Q923" s="4" t="str">
        <f t="shared" si="125"/>
        <v>UNDER</v>
      </c>
      <c r="R923" s="4" t="str">
        <f t="shared" si="125"/>
        <v>UNDER</v>
      </c>
      <c r="S923" s="4" t="str">
        <f t="shared" si="123"/>
        <v>UNDER</v>
      </c>
      <c r="T923" s="4" t="str">
        <f t="shared" si="123"/>
        <v>UNDER</v>
      </c>
      <c r="U923" s="2">
        <f>IF(Q923="OVER",$J923,$K923)</f>
        <v>-319.90781476661618</v>
      </c>
      <c r="V923" s="2">
        <f>IF(R923="OVER",$J923,$K923)</f>
        <v>-319.90781476661618</v>
      </c>
      <c r="W923" s="2">
        <f>IF(S923="OVER",$J923,$K923)</f>
        <v>-319.90781476661618</v>
      </c>
      <c r="X923" s="2">
        <f>IF(T923="OVER",$J923,$K923)</f>
        <v>-319.90781476661618</v>
      </c>
      <c r="Y923" s="9">
        <f t="shared" si="124"/>
        <v>-8995.7656886807381</v>
      </c>
      <c r="Z923" s="9">
        <f t="shared" si="124"/>
        <v>11392.392728769812</v>
      </c>
      <c r="AA923" s="9">
        <f t="shared" si="124"/>
        <v>58502.983829297489</v>
      </c>
      <c r="AB923" s="9">
        <f t="shared" si="121"/>
        <v>22422.000899335086</v>
      </c>
    </row>
    <row r="924" spans="1:28" x14ac:dyDescent="0.3">
      <c r="A924" s="1">
        <v>45756</v>
      </c>
      <c r="B924" s="2">
        <v>165.16</v>
      </c>
      <c r="C924" s="2">
        <v>548.62</v>
      </c>
      <c r="D924" s="9">
        <f>B924-B923</f>
        <v>12.22999999999999</v>
      </c>
      <c r="E924" s="9">
        <f>C924-C923</f>
        <v>52.139999999999986</v>
      </c>
      <c r="F924" s="3">
        <f>F$1/B924</f>
        <v>605.47348026156453</v>
      </c>
      <c r="G924" s="3">
        <f>F$1/C924</f>
        <v>182.27552768765264</v>
      </c>
      <c r="H924" s="2">
        <f>D924*F923</f>
        <v>7997.1228666710194</v>
      </c>
      <c r="I924" s="2">
        <f>E924*G923</f>
        <v>10501.933612632933</v>
      </c>
      <c r="J924" s="2">
        <f>I924-H924</f>
        <v>2504.8107459619132</v>
      </c>
      <c r="K924" s="2">
        <f t="shared" si="119"/>
        <v>-2504.8107459619132</v>
      </c>
      <c r="L924" s="3">
        <f>C924/B924</f>
        <v>3.3217486074109956</v>
      </c>
      <c r="M924" s="3">
        <f t="shared" si="122"/>
        <v>3.241839558517404</v>
      </c>
      <c r="N924" s="3">
        <f t="shared" si="126"/>
        <v>3.2456824067424193</v>
      </c>
      <c r="O924" s="3">
        <f t="shared" si="118"/>
        <v>3.2864313340358446</v>
      </c>
      <c r="P924" s="3">
        <f t="shared" si="120"/>
        <v>3.266647605392381</v>
      </c>
      <c r="Q924" s="4" t="str">
        <f t="shared" si="125"/>
        <v>OVER</v>
      </c>
      <c r="R924" s="4" t="str">
        <f t="shared" si="125"/>
        <v>OVER</v>
      </c>
      <c r="S924" s="4" t="str">
        <f t="shared" si="123"/>
        <v>OVER</v>
      </c>
      <c r="T924" s="4" t="str">
        <f t="shared" si="123"/>
        <v>OVER</v>
      </c>
      <c r="U924" s="2">
        <f>IF(Q924="OVER",$J924,$K924)</f>
        <v>2504.8107459619132</v>
      </c>
      <c r="V924" s="2">
        <f>IF(R924="OVER",$J924,$K924)</f>
        <v>2504.8107459619132</v>
      </c>
      <c r="W924" s="2">
        <f>IF(S924="OVER",$J924,$K924)</f>
        <v>2504.8107459619132</v>
      </c>
      <c r="X924" s="2">
        <f>IF(T924="OVER",$J924,$K924)</f>
        <v>2504.8107459619132</v>
      </c>
      <c r="Y924" s="9">
        <f t="shared" si="124"/>
        <v>-6490.9549427188249</v>
      </c>
      <c r="Z924" s="9">
        <f t="shared" si="124"/>
        <v>13897.203474731725</v>
      </c>
      <c r="AA924" s="9">
        <f t="shared" si="124"/>
        <v>61007.794575259402</v>
      </c>
      <c r="AB924" s="9">
        <f t="shared" si="121"/>
        <v>24926.811645296999</v>
      </c>
    </row>
    <row r="925" spans="1:28" x14ac:dyDescent="0.3">
      <c r="A925" s="1">
        <v>45757</v>
      </c>
      <c r="B925" s="2">
        <v>159.6</v>
      </c>
      <c r="C925" s="2">
        <v>524.58000000000004</v>
      </c>
      <c r="D925" s="9">
        <f>B925-B924</f>
        <v>-5.5600000000000023</v>
      </c>
      <c r="E925" s="9">
        <f>C925-C924</f>
        <v>-24.039999999999964</v>
      </c>
      <c r="F925" s="3">
        <f>F$1/B925</f>
        <v>626.56641604010031</v>
      </c>
      <c r="G925" s="3">
        <f>F$1/C925</f>
        <v>190.62869343093521</v>
      </c>
      <c r="H925" s="2">
        <f>D925*F924</f>
        <v>-3366.4325502543002</v>
      </c>
      <c r="I925" s="2">
        <f>E925*G924</f>
        <v>-4381.9036856111625</v>
      </c>
      <c r="J925" s="2">
        <f>I925-H925</f>
        <v>-1015.4711353568623</v>
      </c>
      <c r="K925" s="2">
        <f t="shared" si="119"/>
        <v>1015.4711353568623</v>
      </c>
      <c r="L925" s="3">
        <f>C925/B925</f>
        <v>3.2868421052631582</v>
      </c>
      <c r="M925" s="3">
        <f t="shared" si="122"/>
        <v>3.2455309327780313</v>
      </c>
      <c r="N925" s="3">
        <f t="shared" si="126"/>
        <v>3.2472965417523754</v>
      </c>
      <c r="O925" s="3">
        <f t="shared" si="118"/>
        <v>3.2855999553568593</v>
      </c>
      <c r="P925" s="3">
        <f t="shared" si="120"/>
        <v>3.2667066047190838</v>
      </c>
      <c r="Q925" s="4" t="str">
        <f t="shared" si="125"/>
        <v>OVER</v>
      </c>
      <c r="R925" s="4" t="str">
        <f t="shared" si="125"/>
        <v>OVER</v>
      </c>
      <c r="S925" s="4" t="str">
        <f t="shared" si="123"/>
        <v>OVER</v>
      </c>
      <c r="T925" s="4" t="str">
        <f t="shared" si="123"/>
        <v>OVER</v>
      </c>
      <c r="U925" s="2">
        <f>IF(Q925="OVER",$J925,$K925)</f>
        <v>-1015.4711353568623</v>
      </c>
      <c r="V925" s="2">
        <f>IF(R925="OVER",$J925,$K925)</f>
        <v>-1015.4711353568623</v>
      </c>
      <c r="W925" s="2">
        <f>IF(S925="OVER",$J925,$K925)</f>
        <v>-1015.4711353568623</v>
      </c>
      <c r="X925" s="2">
        <f>IF(T925="OVER",$J925,$K925)</f>
        <v>-1015.4711353568623</v>
      </c>
      <c r="Y925" s="9">
        <f t="shared" si="124"/>
        <v>-7506.4260780756867</v>
      </c>
      <c r="Z925" s="9">
        <f t="shared" si="124"/>
        <v>12881.732339374863</v>
      </c>
      <c r="AA925" s="9">
        <f t="shared" si="124"/>
        <v>59992.323439902539</v>
      </c>
      <c r="AB925" s="9">
        <f t="shared" si="121"/>
        <v>23911.340509940135</v>
      </c>
    </row>
    <row r="926" spans="1:28" x14ac:dyDescent="0.3">
      <c r="A926" s="1">
        <v>45758</v>
      </c>
      <c r="B926" s="2">
        <v>162.02000000000001</v>
      </c>
      <c r="C926" s="2">
        <v>533.94000000000005</v>
      </c>
      <c r="D926" s="9">
        <f>B926-B925</f>
        <v>2.4200000000000159</v>
      </c>
      <c r="E926" s="9">
        <f>C926-C925</f>
        <v>9.3600000000000136</v>
      </c>
      <c r="F926" s="3">
        <f>F$1/B926</f>
        <v>617.20775212936667</v>
      </c>
      <c r="G926" s="3">
        <f>F$1/C926</f>
        <v>187.28696108176948</v>
      </c>
      <c r="H926" s="2">
        <f>D926*F925</f>
        <v>1516.2907268170527</v>
      </c>
      <c r="I926" s="2">
        <f>E926*G925</f>
        <v>1784.2845705135562</v>
      </c>
      <c r="J926" s="2">
        <f>I926-H926</f>
        <v>267.99384369650352</v>
      </c>
      <c r="K926" s="2">
        <f t="shared" si="119"/>
        <v>-267.99384369650352</v>
      </c>
      <c r="L926" s="3">
        <f>C926/B926</f>
        <v>3.2955190717195411</v>
      </c>
      <c r="M926" s="3">
        <f t="shared" si="122"/>
        <v>3.2516486141059802</v>
      </c>
      <c r="N926" s="3">
        <f t="shared" si="126"/>
        <v>3.249090333864936</v>
      </c>
      <c r="O926" s="3">
        <f t="shared" si="118"/>
        <v>3.2852916654549249</v>
      </c>
      <c r="P926" s="3">
        <f t="shared" si="120"/>
        <v>3.2666320673762601</v>
      </c>
      <c r="Q926" s="4" t="str">
        <f t="shared" si="125"/>
        <v>OVER</v>
      </c>
      <c r="R926" s="4" t="str">
        <f t="shared" si="125"/>
        <v>OVER</v>
      </c>
      <c r="S926" s="4" t="str">
        <f t="shared" si="123"/>
        <v>OVER</v>
      </c>
      <c r="T926" s="4" t="str">
        <f t="shared" si="123"/>
        <v>OVER</v>
      </c>
      <c r="U926" s="2">
        <f>IF(Q926="OVER",$J926,$K926)</f>
        <v>267.99384369650352</v>
      </c>
      <c r="V926" s="2">
        <f>IF(R926="OVER",$J926,$K926)</f>
        <v>267.99384369650352</v>
      </c>
      <c r="W926" s="2">
        <f>IF(S926="OVER",$J926,$K926)</f>
        <v>267.99384369650352</v>
      </c>
      <c r="X926" s="2">
        <f>IF(T926="OVER",$J926,$K926)</f>
        <v>267.99384369650352</v>
      </c>
      <c r="Y926" s="9">
        <f t="shared" si="124"/>
        <v>-7238.4322343791828</v>
      </c>
      <c r="Z926" s="9">
        <f t="shared" si="124"/>
        <v>13149.726183071367</v>
      </c>
      <c r="AA926" s="9">
        <f t="shared" si="124"/>
        <v>60260.317283599041</v>
      </c>
      <c r="AB926" s="9">
        <f t="shared" si="121"/>
        <v>24179.334353636637</v>
      </c>
    </row>
    <row r="927" spans="1:28" x14ac:dyDescent="0.3">
      <c r="A927" s="1">
        <v>45761</v>
      </c>
      <c r="B927" s="2">
        <v>164.09</v>
      </c>
      <c r="C927" s="2">
        <v>539.12</v>
      </c>
      <c r="D927" s="9">
        <f>B927-B926</f>
        <v>2.0699999999999932</v>
      </c>
      <c r="E927" s="9">
        <f>C927-C926</f>
        <v>5.17999999999995</v>
      </c>
      <c r="F927" s="3">
        <f>F$1/B927</f>
        <v>609.42165884575536</v>
      </c>
      <c r="G927" s="3">
        <f>F$1/C927</f>
        <v>185.48746104763319</v>
      </c>
      <c r="H927" s="2">
        <f>D927*F926</f>
        <v>1277.6200469077849</v>
      </c>
      <c r="I927" s="2">
        <f>E927*G926</f>
        <v>970.14645840355649</v>
      </c>
      <c r="J927" s="2">
        <f>I927-H927</f>
        <v>-307.47358850422836</v>
      </c>
      <c r="K927" s="2">
        <f t="shared" si="119"/>
        <v>307.47358850422836</v>
      </c>
      <c r="L927" s="3">
        <f>C927/B927</f>
        <v>3.2855140471692366</v>
      </c>
      <c r="M927" s="3">
        <f t="shared" si="122"/>
        <v>3.2572825103082126</v>
      </c>
      <c r="N927" s="3">
        <f t="shared" si="126"/>
        <v>3.2513139189595548</v>
      </c>
      <c r="O927" s="3">
        <f t="shared" si="118"/>
        <v>3.2845905581837878</v>
      </c>
      <c r="P927" s="3">
        <f t="shared" si="120"/>
        <v>3.2664241777438456</v>
      </c>
      <c r="Q927" s="4" t="str">
        <f t="shared" si="125"/>
        <v>OVER</v>
      </c>
      <c r="R927" s="4" t="str">
        <f t="shared" si="125"/>
        <v>OVER</v>
      </c>
      <c r="S927" s="4" t="str">
        <f t="shared" si="123"/>
        <v>OVER</v>
      </c>
      <c r="T927" s="4" t="str">
        <f t="shared" si="123"/>
        <v>OVER</v>
      </c>
      <c r="U927" s="2">
        <f>IF(Q927="OVER",$J927,$K927)</f>
        <v>-307.47358850422836</v>
      </c>
      <c r="V927" s="2">
        <f>IF(R927="OVER",$J927,$K927)</f>
        <v>-307.47358850422836</v>
      </c>
      <c r="W927" s="2">
        <f>IF(S927="OVER",$J927,$K927)</f>
        <v>-307.47358850422836</v>
      </c>
      <c r="X927" s="2">
        <f>IF(T927="OVER",$J927,$K927)</f>
        <v>-307.47358850422836</v>
      </c>
      <c r="Y927" s="9">
        <f t="shared" si="124"/>
        <v>-7545.905822883411</v>
      </c>
      <c r="Z927" s="9">
        <f t="shared" si="124"/>
        <v>12842.252594567139</v>
      </c>
      <c r="AA927" s="9">
        <f t="shared" si="124"/>
        <v>59952.843695094809</v>
      </c>
      <c r="AB927" s="9">
        <f t="shared" si="121"/>
        <v>23871.860765132409</v>
      </c>
    </row>
    <row r="928" spans="1:28" x14ac:dyDescent="0.3">
      <c r="A928" s="1">
        <v>45762</v>
      </c>
      <c r="B928" s="2">
        <v>163.56</v>
      </c>
      <c r="C928" s="2">
        <v>537.61</v>
      </c>
      <c r="D928" s="9">
        <f>B928-B927</f>
        <v>-0.53000000000000114</v>
      </c>
      <c r="E928" s="9">
        <f>C928-C927</f>
        <v>-1.5099999999999909</v>
      </c>
      <c r="F928" s="3">
        <f>F$1/B928</f>
        <v>611.39642944485206</v>
      </c>
      <c r="G928" s="3">
        <f>F$1/C928</f>
        <v>186.00844478339317</v>
      </c>
      <c r="H928" s="2">
        <f>D928*F927</f>
        <v>-322.99347918825106</v>
      </c>
      <c r="I928" s="2">
        <f>E928*G927</f>
        <v>-280.08606618192442</v>
      </c>
      <c r="J928" s="2">
        <f>I928-H928</f>
        <v>42.907413006326635</v>
      </c>
      <c r="K928" s="2">
        <f t="shared" si="119"/>
        <v>-42.907413006326635</v>
      </c>
      <c r="L928" s="3">
        <f>C928/B928</f>
        <v>3.2869283443384689</v>
      </c>
      <c r="M928" s="3">
        <f t="shared" si="122"/>
        <v>3.2624818899239982</v>
      </c>
      <c r="N928" s="3">
        <f t="shared" si="126"/>
        <v>3.254521779191184</v>
      </c>
      <c r="O928" s="3">
        <f t="shared" si="118"/>
        <v>3.2840023566933034</v>
      </c>
      <c r="P928" s="3">
        <f t="shared" si="120"/>
        <v>3.2662174330132956</v>
      </c>
      <c r="Q928" s="4" t="str">
        <f t="shared" si="125"/>
        <v>OVER</v>
      </c>
      <c r="R928" s="4" t="str">
        <f t="shared" si="125"/>
        <v>OVER</v>
      </c>
      <c r="S928" s="4" t="str">
        <f t="shared" si="123"/>
        <v>OVER</v>
      </c>
      <c r="T928" s="4" t="str">
        <f t="shared" si="123"/>
        <v>OVER</v>
      </c>
      <c r="U928" s="2">
        <f>IF(Q928="OVER",$J928,$K928)</f>
        <v>42.907413006326635</v>
      </c>
      <c r="V928" s="2">
        <f>IF(R928="OVER",$J928,$K928)</f>
        <v>42.907413006326635</v>
      </c>
      <c r="W928" s="2">
        <f>IF(S928="OVER",$J928,$K928)</f>
        <v>42.907413006326635</v>
      </c>
      <c r="X928" s="2">
        <f>IF(T928="OVER",$J928,$K928)</f>
        <v>42.907413006326635</v>
      </c>
      <c r="Y928" s="9">
        <f t="shared" si="124"/>
        <v>-7502.9984098770847</v>
      </c>
      <c r="Z928" s="9">
        <f t="shared" si="124"/>
        <v>12885.160007573466</v>
      </c>
      <c r="AA928" s="9">
        <f t="shared" si="124"/>
        <v>59995.751108101133</v>
      </c>
      <c r="AB928" s="9">
        <f t="shared" si="121"/>
        <v>23914.768178138736</v>
      </c>
    </row>
    <row r="929" spans="1:28" x14ac:dyDescent="0.3">
      <c r="A929" s="1">
        <v>45763</v>
      </c>
      <c r="B929" s="2">
        <v>161.46</v>
      </c>
      <c r="C929" s="2">
        <v>525.66</v>
      </c>
      <c r="D929" s="9">
        <f>B929-B928</f>
        <v>-2.0999999999999943</v>
      </c>
      <c r="E929" s="9">
        <f>C929-C928</f>
        <v>-11.950000000000045</v>
      </c>
      <c r="F929" s="3">
        <f>F$1/B929</f>
        <v>619.34844543540191</v>
      </c>
      <c r="G929" s="3">
        <f>F$1/C929</f>
        <v>190.23703534604118</v>
      </c>
      <c r="H929" s="2">
        <f>D929*F928</f>
        <v>-1283.9325018341858</v>
      </c>
      <c r="I929" s="2">
        <f>E929*G928</f>
        <v>-2222.800915161557</v>
      </c>
      <c r="J929" s="2">
        <f>I929-H929</f>
        <v>-938.86841332737117</v>
      </c>
      <c r="K929" s="2">
        <f t="shared" si="119"/>
        <v>938.86841332737117</v>
      </c>
      <c r="L929" s="3">
        <f>C929/B929</f>
        <v>3.2556670382757336</v>
      </c>
      <c r="M929" s="3">
        <f t="shared" si="122"/>
        <v>3.2652074637046766</v>
      </c>
      <c r="N929" s="3">
        <f t="shared" si="126"/>
        <v>3.2556098582532855</v>
      </c>
      <c r="O929" s="3">
        <f t="shared" si="118"/>
        <v>3.2824253888202635</v>
      </c>
      <c r="P929" s="3">
        <f t="shared" si="120"/>
        <v>3.2659319746814219</v>
      </c>
      <c r="Q929" s="4" t="str">
        <f t="shared" si="125"/>
        <v>OVER</v>
      </c>
      <c r="R929" s="4" t="str">
        <f t="shared" si="125"/>
        <v>OVER</v>
      </c>
      <c r="S929" s="4" t="str">
        <f t="shared" si="123"/>
        <v>UNDER</v>
      </c>
      <c r="T929" s="4" t="str">
        <f t="shared" si="123"/>
        <v>UNDER</v>
      </c>
      <c r="U929" s="2">
        <f>IF(Q929="OVER",$J929,$K929)</f>
        <v>-938.86841332737117</v>
      </c>
      <c r="V929" s="2">
        <f>IF(R929="OVER",$J929,$K929)</f>
        <v>-938.86841332737117</v>
      </c>
      <c r="W929" s="2">
        <f>IF(S929="OVER",$J929,$K929)</f>
        <v>938.86841332737117</v>
      </c>
      <c r="X929" s="2">
        <f>IF(T929="OVER",$J929,$K929)</f>
        <v>938.86841332737117</v>
      </c>
      <c r="Y929" s="9">
        <f t="shared" si="124"/>
        <v>-8441.8668232044565</v>
      </c>
      <c r="Z929" s="9">
        <f t="shared" si="124"/>
        <v>11946.291594246095</v>
      </c>
      <c r="AA929" s="9">
        <f t="shared" si="124"/>
        <v>60934.619521428504</v>
      </c>
      <c r="AB929" s="9">
        <f t="shared" si="121"/>
        <v>24853.636591466107</v>
      </c>
    </row>
    <row r="930" spans="1:28" x14ac:dyDescent="0.3">
      <c r="A930" s="1">
        <v>45764</v>
      </c>
      <c r="B930" s="2">
        <v>162.66</v>
      </c>
      <c r="C930" s="2">
        <v>526.41</v>
      </c>
      <c r="D930" s="9">
        <f>B930-B929</f>
        <v>1.1999999999999886</v>
      </c>
      <c r="E930" s="9">
        <f>C930-C929</f>
        <v>0.75</v>
      </c>
      <c r="F930" s="3">
        <f>F$1/B930</f>
        <v>614.77929423337025</v>
      </c>
      <c r="G930" s="3">
        <f>F$1/C930</f>
        <v>189.9659960867005</v>
      </c>
      <c r="H930" s="2">
        <f>D930*F929</f>
        <v>743.21813452247522</v>
      </c>
      <c r="I930" s="2">
        <f>E930*G929</f>
        <v>142.67777650953087</v>
      </c>
      <c r="J930" s="2">
        <f>I930-H930</f>
        <v>-600.54035801294435</v>
      </c>
      <c r="K930" s="2">
        <f t="shared" si="119"/>
        <v>600.54035801294435</v>
      </c>
      <c r="L930" s="3">
        <f>C930/B930</f>
        <v>3.2362596827738841</v>
      </c>
      <c r="M930" s="3">
        <f t="shared" si="122"/>
        <v>3.2665491588781199</v>
      </c>
      <c r="N930" s="3">
        <f t="shared" si="126"/>
        <v>3.2555212161895057</v>
      </c>
      <c r="O930" s="3">
        <f t="shared" si="118"/>
        <v>3.2805147953238252</v>
      </c>
      <c r="P930" s="3">
        <f t="shared" si="120"/>
        <v>3.2653799193057851</v>
      </c>
      <c r="Q930" s="4" t="str">
        <f t="shared" si="125"/>
        <v>UNDER</v>
      </c>
      <c r="R930" s="4" t="str">
        <f t="shared" si="125"/>
        <v>OVER</v>
      </c>
      <c r="S930" s="4" t="str">
        <f t="shared" si="123"/>
        <v>UNDER</v>
      </c>
      <c r="T930" s="4" t="str">
        <f t="shared" si="123"/>
        <v>UNDER</v>
      </c>
      <c r="U930" s="2">
        <f>IF(Q930="OVER",$J930,$K930)</f>
        <v>600.54035801294435</v>
      </c>
      <c r="V930" s="2">
        <f>IF(R930="OVER",$J930,$K930)</f>
        <v>-600.54035801294435</v>
      </c>
      <c r="W930" s="2">
        <f>IF(S930="OVER",$J930,$K930)</f>
        <v>600.54035801294435</v>
      </c>
      <c r="X930" s="2">
        <f>IF(T930="OVER",$J930,$K930)</f>
        <v>600.54035801294435</v>
      </c>
      <c r="Y930" s="9">
        <f t="shared" si="124"/>
        <v>-7841.3264651915124</v>
      </c>
      <c r="Z930" s="9">
        <f t="shared" si="124"/>
        <v>11345.751236233151</v>
      </c>
      <c r="AA930" s="9">
        <f t="shared" si="124"/>
        <v>61535.159879441446</v>
      </c>
      <c r="AB930" s="9">
        <f t="shared" si="121"/>
        <v>25454.176949479053</v>
      </c>
    </row>
    <row r="931" spans="1:28" x14ac:dyDescent="0.3">
      <c r="A931" s="1">
        <v>45768</v>
      </c>
      <c r="B931" s="2">
        <v>159.38999999999999</v>
      </c>
      <c r="C931" s="2">
        <v>513.88</v>
      </c>
      <c r="D931" s="9">
        <f>B931-B930</f>
        <v>-3.2700000000000102</v>
      </c>
      <c r="E931" s="9">
        <f>C931-C930</f>
        <v>-12.529999999999973</v>
      </c>
      <c r="F931" s="3">
        <f>F$1/B931</f>
        <v>627.39193173975787</v>
      </c>
      <c r="G931" s="3">
        <f>F$1/C931</f>
        <v>194.59796061337278</v>
      </c>
      <c r="H931" s="2">
        <f>D931*F930</f>
        <v>-2010.3282921431271</v>
      </c>
      <c r="I931" s="2">
        <f>E931*G930</f>
        <v>-2380.2739309663521</v>
      </c>
      <c r="J931" s="2">
        <f>I931-H931</f>
        <v>-369.94563882322495</v>
      </c>
      <c r="K931" s="2">
        <f t="shared" si="119"/>
        <v>369.94563882322495</v>
      </c>
      <c r="L931" s="3">
        <f>C931/B931</f>
        <v>3.2240416588242677</v>
      </c>
      <c r="M931" s="3">
        <f t="shared" si="122"/>
        <v>3.2674874894125381</v>
      </c>
      <c r="N931" s="3">
        <f t="shared" si="126"/>
        <v>3.2545109199314561</v>
      </c>
      <c r="O931" s="3">
        <f t="shared" si="118"/>
        <v>3.2780396349052578</v>
      </c>
      <c r="P931" s="3">
        <f t="shared" si="120"/>
        <v>3.2647292942665729</v>
      </c>
      <c r="Q931" s="4" t="str">
        <f t="shared" si="125"/>
        <v>UNDER</v>
      </c>
      <c r="R931" s="4" t="str">
        <f t="shared" si="125"/>
        <v>UNDER</v>
      </c>
      <c r="S931" s="4" t="str">
        <f t="shared" si="123"/>
        <v>UNDER</v>
      </c>
      <c r="T931" s="4" t="str">
        <f t="shared" si="123"/>
        <v>UNDER</v>
      </c>
      <c r="U931" s="2">
        <f>IF(Q931="OVER",$J931,$K931)</f>
        <v>369.94563882322495</v>
      </c>
      <c r="V931" s="2">
        <f>IF(R931="OVER",$J931,$K931)</f>
        <v>369.94563882322495</v>
      </c>
      <c r="W931" s="2">
        <f>IF(S931="OVER",$J931,$K931)</f>
        <v>369.94563882322495</v>
      </c>
      <c r="X931" s="2">
        <f>IF(T931="OVER",$J931,$K931)</f>
        <v>369.94563882322495</v>
      </c>
      <c r="Y931" s="9">
        <f t="shared" si="124"/>
        <v>-7471.3808263682877</v>
      </c>
      <c r="Z931" s="9">
        <f t="shared" si="124"/>
        <v>11715.696875056376</v>
      </c>
      <c r="AA931" s="9">
        <f t="shared" si="124"/>
        <v>61905.105518264674</v>
      </c>
      <c r="AB931" s="9">
        <f t="shared" si="121"/>
        <v>25824.122588302278</v>
      </c>
    </row>
    <row r="932" spans="1:28" x14ac:dyDescent="0.3">
      <c r="A932" s="1">
        <v>45769</v>
      </c>
      <c r="B932" s="2">
        <v>163.32</v>
      </c>
      <c r="C932" s="2">
        <v>527.25</v>
      </c>
      <c r="D932" s="9">
        <f>B932-B931</f>
        <v>3.9300000000000068</v>
      </c>
      <c r="E932" s="9">
        <f>C932-C931</f>
        <v>13.370000000000005</v>
      </c>
      <c r="F932" s="3">
        <f>F$1/B932</f>
        <v>612.29488121479312</v>
      </c>
      <c r="G932" s="3">
        <f>F$1/C932</f>
        <v>189.66334755808441</v>
      </c>
      <c r="H932" s="2">
        <f>D932*F931</f>
        <v>2465.6502917372527</v>
      </c>
      <c r="I932" s="2">
        <f>E932*G931</f>
        <v>2601.774733400795</v>
      </c>
      <c r="J932" s="2">
        <f>I932-H932</f>
        <v>136.12444166354226</v>
      </c>
      <c r="K932" s="2">
        <f t="shared" si="119"/>
        <v>-136.12444166354226</v>
      </c>
      <c r="L932" s="3">
        <f>C932/B932</f>
        <v>3.2283247612049966</v>
      </c>
      <c r="M932" s="3">
        <f t="shared" si="122"/>
        <v>3.2667297942364444</v>
      </c>
      <c r="N932" s="3">
        <f t="shared" si="126"/>
        <v>3.2525484796377873</v>
      </c>
      <c r="O932" s="3">
        <f t="shared" si="118"/>
        <v>3.2759353943619631</v>
      </c>
      <c r="P932" s="3">
        <f t="shared" si="120"/>
        <v>3.2640324447901552</v>
      </c>
      <c r="Q932" s="4" t="str">
        <f t="shared" si="125"/>
        <v>UNDER</v>
      </c>
      <c r="R932" s="4" t="str">
        <f t="shared" si="125"/>
        <v>UNDER</v>
      </c>
      <c r="S932" s="4" t="str">
        <f t="shared" si="123"/>
        <v>UNDER</v>
      </c>
      <c r="T932" s="4" t="str">
        <f t="shared" si="123"/>
        <v>UNDER</v>
      </c>
      <c r="U932" s="2">
        <f>IF(Q932="OVER",$J932,$K932)</f>
        <v>-136.12444166354226</v>
      </c>
      <c r="V932" s="2">
        <f>IF(R932="OVER",$J932,$K932)</f>
        <v>-136.12444166354226</v>
      </c>
      <c r="W932" s="2">
        <f>IF(S932="OVER",$J932,$K932)</f>
        <v>-136.12444166354226</v>
      </c>
      <c r="X932" s="2">
        <f>IF(T932="OVER",$J932,$K932)</f>
        <v>-136.12444166354226</v>
      </c>
      <c r="Y932" s="9">
        <f t="shared" si="124"/>
        <v>-7607.5052680318295</v>
      </c>
      <c r="Z932" s="9">
        <f t="shared" si="124"/>
        <v>11579.572433392834</v>
      </c>
      <c r="AA932" s="9">
        <f t="shared" si="124"/>
        <v>61768.981076601129</v>
      </c>
      <c r="AB932" s="9">
        <f t="shared" si="121"/>
        <v>25687.998146638736</v>
      </c>
    </row>
    <row r="933" spans="1:28" x14ac:dyDescent="0.3">
      <c r="A933" s="1">
        <v>45770</v>
      </c>
      <c r="B933" s="2">
        <v>164.9</v>
      </c>
      <c r="C933" s="2">
        <v>535.41999999999996</v>
      </c>
      <c r="D933" s="9">
        <f>B933-B932</f>
        <v>1.5800000000000125</v>
      </c>
      <c r="E933" s="9">
        <f>C933-C932</f>
        <v>8.1699999999999591</v>
      </c>
      <c r="F933" s="3">
        <f>F$1/B933</f>
        <v>606.42813826561553</v>
      </c>
      <c r="G933" s="3">
        <f>F$1/C933</f>
        <v>186.76926524971051</v>
      </c>
      <c r="H933" s="2">
        <f>D933*F932</f>
        <v>967.42591231938081</v>
      </c>
      <c r="I933" s="2">
        <f>E933*G932</f>
        <v>1549.5495495495418</v>
      </c>
      <c r="J933" s="2">
        <f>I933-H933</f>
        <v>582.12363723016097</v>
      </c>
      <c r="K933" s="2">
        <f t="shared" si="119"/>
        <v>-582.12363723016097</v>
      </c>
      <c r="L933" s="3">
        <f>C933/B933</f>
        <v>3.2469375379017582</v>
      </c>
      <c r="M933" s="3">
        <f t="shared" si="122"/>
        <v>3.2667782854882041</v>
      </c>
      <c r="N933" s="3">
        <f t="shared" si="126"/>
        <v>3.2507314950620012</v>
      </c>
      <c r="O933" s="3">
        <f t="shared" si="118"/>
        <v>3.2739400445279547</v>
      </c>
      <c r="P933" s="3">
        <f t="shared" si="120"/>
        <v>3.2633243172303974</v>
      </c>
      <c r="Q933" s="4" t="str">
        <f t="shared" si="125"/>
        <v>UNDER</v>
      </c>
      <c r="R933" s="4" t="str">
        <f t="shared" si="125"/>
        <v>UNDER</v>
      </c>
      <c r="S933" s="4" t="str">
        <f t="shared" si="123"/>
        <v>UNDER</v>
      </c>
      <c r="T933" s="4" t="str">
        <f t="shared" si="123"/>
        <v>UNDER</v>
      </c>
      <c r="U933" s="2">
        <f>IF(Q933="OVER",$J933,$K933)</f>
        <v>-582.12363723016097</v>
      </c>
      <c r="V933" s="2">
        <f>IF(R933="OVER",$J933,$K933)</f>
        <v>-582.12363723016097</v>
      </c>
      <c r="W933" s="2">
        <f>IF(S933="OVER",$J933,$K933)</f>
        <v>-582.12363723016097</v>
      </c>
      <c r="X933" s="2">
        <f>IF(T933="OVER",$J933,$K933)</f>
        <v>-582.12363723016097</v>
      </c>
      <c r="Y933" s="9">
        <f t="shared" si="124"/>
        <v>-8189.6289052619904</v>
      </c>
      <c r="Z933" s="9">
        <f t="shared" si="124"/>
        <v>10997.448796162673</v>
      </c>
      <c r="AA933" s="9">
        <f t="shared" si="124"/>
        <v>61186.857439370971</v>
      </c>
      <c r="AB933" s="9">
        <f t="shared" si="121"/>
        <v>25105.874509408575</v>
      </c>
    </row>
    <row r="934" spans="1:28" x14ac:dyDescent="0.3">
      <c r="A934" s="1">
        <v>45771</v>
      </c>
      <c r="B934" s="2">
        <v>167.69</v>
      </c>
      <c r="C934" s="2">
        <v>546.69000000000005</v>
      </c>
      <c r="D934" s="9">
        <f>B934-B933</f>
        <v>2.789999999999992</v>
      </c>
      <c r="E934" s="9">
        <f>C934-C933</f>
        <v>11.270000000000095</v>
      </c>
      <c r="F934" s="3">
        <f>F$1/B934</f>
        <v>596.33848172222554</v>
      </c>
      <c r="G934" s="3">
        <f>F$1/C934</f>
        <v>182.91902174907167</v>
      </c>
      <c r="H934" s="2">
        <f>D934*F933</f>
        <v>1691.9345057610626</v>
      </c>
      <c r="I934" s="2">
        <f>E934*G933</f>
        <v>2104.8896193642554</v>
      </c>
      <c r="J934" s="2">
        <f>I934-H934</f>
        <v>412.95511360319279</v>
      </c>
      <c r="K934" s="2">
        <f t="shared" si="119"/>
        <v>-412.95511360319279</v>
      </c>
      <c r="L934" s="3">
        <f>C934/B934</f>
        <v>3.2601228457272353</v>
      </c>
      <c r="M934" s="3">
        <f t="shared" si="122"/>
        <v>3.2606157093198282</v>
      </c>
      <c r="N934" s="3">
        <f t="shared" si="126"/>
        <v>3.2512276339186159</v>
      </c>
      <c r="O934" s="3">
        <f t="shared" si="118"/>
        <v>3.2721649080815034</v>
      </c>
      <c r="P934" s="3">
        <f t="shared" si="120"/>
        <v>3.2626956631663506</v>
      </c>
      <c r="Q934" s="4" t="str">
        <f t="shared" si="125"/>
        <v>UNDER</v>
      </c>
      <c r="R934" s="4" t="str">
        <f t="shared" si="125"/>
        <v>UNDER</v>
      </c>
      <c r="S934" s="4" t="str">
        <f t="shared" si="123"/>
        <v>UNDER</v>
      </c>
      <c r="T934" s="4" t="str">
        <f t="shared" si="123"/>
        <v>UNDER</v>
      </c>
      <c r="U934" s="2">
        <f>IF(Q934="OVER",$J934,$K934)</f>
        <v>-412.95511360319279</v>
      </c>
      <c r="V934" s="2">
        <f>IF(R934="OVER",$J934,$K934)</f>
        <v>-412.95511360319279</v>
      </c>
      <c r="W934" s="2">
        <f>IF(S934="OVER",$J934,$K934)</f>
        <v>-412.95511360319279</v>
      </c>
      <c r="X934" s="2">
        <f>IF(T934="OVER",$J934,$K934)</f>
        <v>-412.95511360319279</v>
      </c>
      <c r="Y934" s="9">
        <f t="shared" si="124"/>
        <v>-8602.5840188651837</v>
      </c>
      <c r="Z934" s="9">
        <f t="shared" si="124"/>
        <v>10584.49368255948</v>
      </c>
      <c r="AA934" s="9">
        <f t="shared" si="124"/>
        <v>60773.902325767776</v>
      </c>
      <c r="AB934" s="9">
        <f t="shared" si="121"/>
        <v>24692.919395805384</v>
      </c>
    </row>
    <row r="935" spans="1:28" x14ac:dyDescent="0.3">
      <c r="A935" s="1">
        <v>45772</v>
      </c>
      <c r="B935" s="2">
        <v>167.45</v>
      </c>
      <c r="C935" s="2">
        <v>550.64</v>
      </c>
      <c r="D935" s="9">
        <f>B935-B934</f>
        <v>-0.24000000000000909</v>
      </c>
      <c r="E935" s="9">
        <f>C935-C934</f>
        <v>3.9499999999999318</v>
      </c>
      <c r="F935" s="3">
        <f>F$1/B935</f>
        <v>597.19319199761128</v>
      </c>
      <c r="G935" s="3">
        <f>F$1/C935</f>
        <v>181.60685747493827</v>
      </c>
      <c r="H935" s="2">
        <f>D935*F934</f>
        <v>-143.12123561333956</v>
      </c>
      <c r="I935" s="2">
        <f>E935*G934</f>
        <v>722.53013590882063</v>
      </c>
      <c r="J935" s="2">
        <f>I935-H935</f>
        <v>865.65137152216016</v>
      </c>
      <c r="K935" s="2">
        <f t="shared" si="119"/>
        <v>-865.65137152216016</v>
      </c>
      <c r="L935" s="3">
        <f>C935/B935</f>
        <v>3.2883845924156465</v>
      </c>
      <c r="M935" s="3">
        <f t="shared" si="122"/>
        <v>3.2607699580350769</v>
      </c>
      <c r="N935" s="3">
        <f t="shared" si="126"/>
        <v>3.2531504454065541</v>
      </c>
      <c r="O935" s="3">
        <f t="shared" si="118"/>
        <v>3.2707806800633721</v>
      </c>
      <c r="P935" s="3">
        <f t="shared" si="120"/>
        <v>3.2621628732039234</v>
      </c>
      <c r="Q935" s="4" t="str">
        <f t="shared" si="125"/>
        <v>UNDER</v>
      </c>
      <c r="R935" s="4" t="str">
        <f t="shared" si="125"/>
        <v>OVER</v>
      </c>
      <c r="S935" s="4" t="str">
        <f t="shared" si="123"/>
        <v>OVER</v>
      </c>
      <c r="T935" s="4" t="str">
        <f t="shared" si="123"/>
        <v>OVER</v>
      </c>
      <c r="U935" s="2">
        <f>IF(Q935="OVER",$J935,$K935)</f>
        <v>-865.65137152216016</v>
      </c>
      <c r="V935" s="2">
        <f>IF(R935="OVER",$J935,$K935)</f>
        <v>865.65137152216016</v>
      </c>
      <c r="W935" s="2">
        <f>IF(S935="OVER",$J935,$K935)</f>
        <v>865.65137152216016</v>
      </c>
      <c r="X935" s="2">
        <f>IF(T935="OVER",$J935,$K935)</f>
        <v>865.65137152216016</v>
      </c>
      <c r="Y935" s="9">
        <f t="shared" si="124"/>
        <v>-9468.2353903873445</v>
      </c>
      <c r="Z935" s="9">
        <f t="shared" si="124"/>
        <v>11450.14505408164</v>
      </c>
      <c r="AA935" s="9">
        <f t="shared" si="124"/>
        <v>61639.553697289935</v>
      </c>
      <c r="AB935" s="9">
        <f t="shared" si="121"/>
        <v>25558.570767327543</v>
      </c>
    </row>
    <row r="936" spans="1:28" x14ac:dyDescent="0.3">
      <c r="A936" s="1">
        <v>45775</v>
      </c>
      <c r="B936" s="2">
        <v>167.92</v>
      </c>
      <c r="C936" s="2">
        <v>550.85</v>
      </c>
      <c r="D936" s="9">
        <f>B936-B935</f>
        <v>0.46999999999999886</v>
      </c>
      <c r="E936" s="9">
        <f>C936-C935</f>
        <v>0.21000000000003638</v>
      </c>
      <c r="F936" s="3">
        <f>F$1/B936</f>
        <v>595.52167698904248</v>
      </c>
      <c r="G936" s="3">
        <f>F$1/C936</f>
        <v>181.53762367250613</v>
      </c>
      <c r="H936" s="2">
        <f>D936*F935</f>
        <v>280.6808002388766</v>
      </c>
      <c r="I936" s="2">
        <f>E936*G935</f>
        <v>38.13744006974364</v>
      </c>
      <c r="J936" s="2">
        <f>I936-H936</f>
        <v>-242.54336016913297</v>
      </c>
      <c r="K936" s="2">
        <f t="shared" si="119"/>
        <v>242.54336016913297</v>
      </c>
      <c r="L936" s="3">
        <f>C936/B936</f>
        <v>3.2804311576941405</v>
      </c>
      <c r="M936" s="3">
        <f t="shared" si="122"/>
        <v>3.2592611666325366</v>
      </c>
      <c r="N936" s="3">
        <f t="shared" si="126"/>
        <v>3.2554548903692586</v>
      </c>
      <c r="O936" s="3">
        <f t="shared" si="118"/>
        <v>3.2691124633187667</v>
      </c>
      <c r="P936" s="3">
        <f t="shared" si="120"/>
        <v>3.2615625451976404</v>
      </c>
      <c r="Q936" s="4" t="str">
        <f t="shared" si="125"/>
        <v>OVER</v>
      </c>
      <c r="R936" s="4" t="str">
        <f t="shared" si="125"/>
        <v>OVER</v>
      </c>
      <c r="S936" s="4" t="str">
        <f t="shared" si="123"/>
        <v>OVER</v>
      </c>
      <c r="T936" s="4" t="str">
        <f t="shared" si="123"/>
        <v>OVER</v>
      </c>
      <c r="U936" s="2">
        <f>IF(Q936="OVER",$J936,$K936)</f>
        <v>-242.54336016913297</v>
      </c>
      <c r="V936" s="2">
        <f>IF(R936="OVER",$J936,$K936)</f>
        <v>-242.54336016913297</v>
      </c>
      <c r="W936" s="2">
        <f>IF(S936="OVER",$J936,$K936)</f>
        <v>-242.54336016913297</v>
      </c>
      <c r="X936" s="2">
        <f>IF(T936="OVER",$J936,$K936)</f>
        <v>-242.54336016913297</v>
      </c>
      <c r="Y936" s="9">
        <f t="shared" si="124"/>
        <v>-9710.7787505564775</v>
      </c>
      <c r="Z936" s="9">
        <f t="shared" si="124"/>
        <v>11207.601693912507</v>
      </c>
      <c r="AA936" s="9">
        <f t="shared" si="124"/>
        <v>61397.010337120802</v>
      </c>
      <c r="AB936" s="9">
        <f t="shared" si="121"/>
        <v>25316.02740715841</v>
      </c>
    </row>
    <row r="937" spans="1:28" x14ac:dyDescent="0.3">
      <c r="A937" s="1">
        <v>45776</v>
      </c>
      <c r="B937" s="2">
        <v>168.9</v>
      </c>
      <c r="C937" s="2">
        <v>554.32000000000005</v>
      </c>
      <c r="D937" s="9">
        <f>B937-B936</f>
        <v>0.98000000000001819</v>
      </c>
      <c r="E937" s="9">
        <f>C937-C936</f>
        <v>3.4700000000000273</v>
      </c>
      <c r="F937" s="3">
        <f>F$1/B937</f>
        <v>592.06631142687979</v>
      </c>
      <c r="G937" s="3">
        <f>F$1/C937</f>
        <v>180.40121229614661</v>
      </c>
      <c r="H937" s="2">
        <f>D937*F936</f>
        <v>583.61124344927248</v>
      </c>
      <c r="I937" s="2">
        <f>E937*G936</f>
        <v>629.93555414360117</v>
      </c>
      <c r="J937" s="2">
        <f>I937-H937</f>
        <v>46.324310694328688</v>
      </c>
      <c r="K937" s="2">
        <f t="shared" si="119"/>
        <v>-46.324310694328688</v>
      </c>
      <c r="L937" s="3">
        <f>C937/B937</f>
        <v>3.2819419775014804</v>
      </c>
      <c r="M937" s="3">
        <f t="shared" si="122"/>
        <v>3.2589039596657612</v>
      </c>
      <c r="N937" s="3">
        <f t="shared" si="126"/>
        <v>3.2580932349869869</v>
      </c>
      <c r="O937" s="3">
        <f t="shared" si="118"/>
        <v>3.2674109008365453</v>
      </c>
      <c r="P937" s="3">
        <f t="shared" si="120"/>
        <v>3.2613171611069363</v>
      </c>
      <c r="Q937" s="4" t="str">
        <f t="shared" si="125"/>
        <v>OVER</v>
      </c>
      <c r="R937" s="4" t="str">
        <f t="shared" si="125"/>
        <v>OVER</v>
      </c>
      <c r="S937" s="4" t="str">
        <f t="shared" si="123"/>
        <v>OVER</v>
      </c>
      <c r="T937" s="4" t="str">
        <f t="shared" si="123"/>
        <v>OVER</v>
      </c>
      <c r="U937" s="2">
        <f>IF(Q937="OVER",$J937,$K937)</f>
        <v>46.324310694328688</v>
      </c>
      <c r="V937" s="2">
        <f>IF(R937="OVER",$J937,$K937)</f>
        <v>46.324310694328688</v>
      </c>
      <c r="W937" s="2">
        <f>IF(S937="OVER",$J937,$K937)</f>
        <v>46.324310694328688</v>
      </c>
      <c r="X937" s="2">
        <f>IF(T937="OVER",$J937,$K937)</f>
        <v>46.324310694328688</v>
      </c>
      <c r="Y937" s="9">
        <f t="shared" si="124"/>
        <v>-9664.4544398621492</v>
      </c>
      <c r="Z937" s="9">
        <f t="shared" si="124"/>
        <v>11253.926004606836</v>
      </c>
      <c r="AA937" s="9">
        <f t="shared" si="124"/>
        <v>61443.334647815129</v>
      </c>
      <c r="AB937" s="9">
        <f t="shared" si="121"/>
        <v>25362.35171785274</v>
      </c>
    </row>
    <row r="938" spans="1:28" x14ac:dyDescent="0.3">
      <c r="A938" s="1">
        <v>45777</v>
      </c>
      <c r="B938" s="2">
        <v>169.14</v>
      </c>
      <c r="C938" s="2">
        <v>554.54</v>
      </c>
      <c r="D938" s="9">
        <f>B938-B937</f>
        <v>0.23999999999998067</v>
      </c>
      <c r="E938" s="9">
        <f>C938-C937</f>
        <v>0.2199999999999136</v>
      </c>
      <c r="F938" s="3">
        <f>F$1/B938</f>
        <v>591.22620314532344</v>
      </c>
      <c r="G938" s="3">
        <f>F$1/C938</f>
        <v>180.32964258664842</v>
      </c>
      <c r="H938" s="2">
        <f>D938*F937</f>
        <v>142.0959147424397</v>
      </c>
      <c r="I938" s="2">
        <f>E938*G937</f>
        <v>39.68826670513667</v>
      </c>
      <c r="J938" s="2">
        <f>I938-H938</f>
        <v>-102.40764803730303</v>
      </c>
      <c r="K938" s="2">
        <f t="shared" si="119"/>
        <v>102.40764803730303</v>
      </c>
      <c r="L938" s="3">
        <f>C938/B938</f>
        <v>3.2785857869220765</v>
      </c>
      <c r="M938" s="3">
        <f t="shared" si="122"/>
        <v>3.2580697039241224</v>
      </c>
      <c r="N938" s="3">
        <f t="shared" si="126"/>
        <v>3.2602757969240601</v>
      </c>
      <c r="O938" s="3">
        <f t="shared" si="118"/>
        <v>3.2659589962538376</v>
      </c>
      <c r="P938" s="3">
        <f t="shared" si="120"/>
        <v>3.2610961340693159</v>
      </c>
      <c r="Q938" s="4" t="str">
        <f t="shared" si="125"/>
        <v>OVER</v>
      </c>
      <c r="R938" s="4" t="str">
        <f t="shared" si="125"/>
        <v>OVER</v>
      </c>
      <c r="S938" s="4" t="str">
        <f t="shared" si="123"/>
        <v>OVER</v>
      </c>
      <c r="T938" s="4" t="str">
        <f t="shared" si="123"/>
        <v>OVER</v>
      </c>
      <c r="U938" s="2">
        <f>IF(Q938="OVER",$J938,$K938)</f>
        <v>-102.40764803730303</v>
      </c>
      <c r="V938" s="2">
        <f>IF(R938="OVER",$J938,$K938)</f>
        <v>-102.40764803730303</v>
      </c>
      <c r="W938" s="2">
        <f>IF(S938="OVER",$J938,$K938)</f>
        <v>-102.40764803730303</v>
      </c>
      <c r="X938" s="2">
        <f>IF(T938="OVER",$J938,$K938)</f>
        <v>-102.40764803730303</v>
      </c>
      <c r="Y938" s="9">
        <f t="shared" si="124"/>
        <v>-9766.8620878994516</v>
      </c>
      <c r="Z938" s="9">
        <f t="shared" si="124"/>
        <v>11151.518356569533</v>
      </c>
      <c r="AA938" s="9">
        <f t="shared" si="124"/>
        <v>61340.926999777825</v>
      </c>
      <c r="AB938" s="9">
        <f t="shared" si="121"/>
        <v>25259.944069815436</v>
      </c>
    </row>
    <row r="939" spans="1:28" x14ac:dyDescent="0.3">
      <c r="A939" s="1">
        <v>45778</v>
      </c>
      <c r="B939" s="2">
        <v>168.91</v>
      </c>
      <c r="C939" s="2">
        <v>558.47</v>
      </c>
      <c r="D939" s="9">
        <f>B939-B938</f>
        <v>-0.22999999999998977</v>
      </c>
      <c r="E939" s="9">
        <f>C939-C938</f>
        <v>3.9300000000000637</v>
      </c>
      <c r="F939" s="3">
        <f>F$1/B939</f>
        <v>592.03125925048846</v>
      </c>
      <c r="G939" s="3">
        <f>F$1/C939</f>
        <v>179.06064784142387</v>
      </c>
      <c r="H939" s="2">
        <f>D939*F938</f>
        <v>-135.98202672341833</v>
      </c>
      <c r="I939" s="2">
        <f>E939*G938</f>
        <v>708.69549536553973</v>
      </c>
      <c r="J939" s="2">
        <f>I939-H939</f>
        <v>844.67752208895809</v>
      </c>
      <c r="K939" s="2">
        <f t="shared" si="119"/>
        <v>-844.67752208895809</v>
      </c>
      <c r="L939" s="3">
        <f>C939/B939</f>
        <v>3.306316973536203</v>
      </c>
      <c r="M939" s="3">
        <f t="shared" si="122"/>
        <v>3.2631346974501687</v>
      </c>
      <c r="N939" s="3">
        <f t="shared" si="126"/>
        <v>3.2641710805774231</v>
      </c>
      <c r="O939" s="3">
        <f t="shared" si="118"/>
        <v>3.2650398314585369</v>
      </c>
      <c r="P939" s="3">
        <f t="shared" si="120"/>
        <v>3.2609868346316397</v>
      </c>
      <c r="Q939" s="4" t="str">
        <f t="shared" si="125"/>
        <v>OVER</v>
      </c>
      <c r="R939" s="4" t="str">
        <f t="shared" si="125"/>
        <v>OVER</v>
      </c>
      <c r="S939" s="4" t="str">
        <f t="shared" si="123"/>
        <v>OVER</v>
      </c>
      <c r="T939" s="4" t="str">
        <f t="shared" si="123"/>
        <v>OVER</v>
      </c>
      <c r="U939" s="2">
        <f>IF(Q939="OVER",$J939,$K939)</f>
        <v>844.67752208895809</v>
      </c>
      <c r="V939" s="2">
        <f>IF(R939="OVER",$J939,$K939)</f>
        <v>844.67752208895809</v>
      </c>
      <c r="W939" s="2">
        <f>IF(S939="OVER",$J939,$K939)</f>
        <v>844.67752208895809</v>
      </c>
      <c r="X939" s="2">
        <f>IF(T939="OVER",$J939,$K939)</f>
        <v>844.67752208895809</v>
      </c>
      <c r="Y939" s="9">
        <f t="shared" si="124"/>
        <v>-8922.184565810494</v>
      </c>
      <c r="Z939" s="9">
        <f t="shared" si="124"/>
        <v>11996.195878658491</v>
      </c>
      <c r="AA939" s="9">
        <f t="shared" si="124"/>
        <v>62185.604521866786</v>
      </c>
      <c r="AB939" s="9">
        <f t="shared" si="121"/>
        <v>26104.621591904393</v>
      </c>
    </row>
    <row r="940" spans="1:28" x14ac:dyDescent="0.3">
      <c r="A940" s="1">
        <v>45779</v>
      </c>
      <c r="B940" s="2">
        <v>171.89</v>
      </c>
      <c r="C940" s="2">
        <v>566.76</v>
      </c>
      <c r="D940" s="9">
        <f>B940-B939</f>
        <v>2.9799999999999898</v>
      </c>
      <c r="E940" s="9">
        <f>C940-C939</f>
        <v>8.2899999999999636</v>
      </c>
      <c r="F940" s="3">
        <f>F$1/B940</f>
        <v>581.76740938972603</v>
      </c>
      <c r="G940" s="3">
        <f>F$1/C940</f>
        <v>176.44152727786013</v>
      </c>
      <c r="H940" s="2">
        <f>D940*F939</f>
        <v>1764.2531525664494</v>
      </c>
      <c r="I940" s="2">
        <f>E940*G939</f>
        <v>1484.4127706053973</v>
      </c>
      <c r="J940" s="2">
        <f>I940-H940</f>
        <v>-279.84038196105212</v>
      </c>
      <c r="K940" s="2">
        <f t="shared" si="119"/>
        <v>279.84038196105212</v>
      </c>
      <c r="L940" s="3">
        <f>C940/B940</f>
        <v>3.2972249694572113</v>
      </c>
      <c r="M940" s="3">
        <f t="shared" si="122"/>
        <v>3.2692312261185017</v>
      </c>
      <c r="N940" s="3">
        <f t="shared" si="126"/>
        <v>3.267890192498311</v>
      </c>
      <c r="O940" s="3">
        <f t="shared" si="118"/>
        <v>3.2640493599078848</v>
      </c>
      <c r="P940" s="3">
        <f t="shared" si="120"/>
        <v>3.2610248784120106</v>
      </c>
      <c r="Q940" s="4" t="str">
        <f t="shared" si="125"/>
        <v>OVER</v>
      </c>
      <c r="R940" s="4" t="str">
        <f t="shared" si="125"/>
        <v>OVER</v>
      </c>
      <c r="S940" s="4" t="str">
        <f t="shared" si="123"/>
        <v>OVER</v>
      </c>
      <c r="T940" s="4" t="str">
        <f t="shared" si="123"/>
        <v>OVER</v>
      </c>
      <c r="U940" s="2">
        <f>IF(Q940="OVER",$J940,$K940)</f>
        <v>-279.84038196105212</v>
      </c>
      <c r="V940" s="2">
        <f>IF(R940="OVER",$J940,$K940)</f>
        <v>-279.84038196105212</v>
      </c>
      <c r="W940" s="2">
        <f>IF(S940="OVER",$J940,$K940)</f>
        <v>-279.84038196105212</v>
      </c>
      <c r="X940" s="2">
        <f>IF(T940="OVER",$J940,$K940)</f>
        <v>-279.84038196105212</v>
      </c>
      <c r="Y940" s="9">
        <f t="shared" si="124"/>
        <v>-9202.0249477715461</v>
      </c>
      <c r="Z940" s="9">
        <f t="shared" si="124"/>
        <v>11716.355496697439</v>
      </c>
      <c r="AA940" s="9">
        <f t="shared" si="124"/>
        <v>61905.764139905732</v>
      </c>
      <c r="AB940" s="9">
        <f t="shared" si="121"/>
        <v>25824.781209943343</v>
      </c>
    </row>
    <row r="941" spans="1:28" x14ac:dyDescent="0.3">
      <c r="A941" s="1">
        <v>45782</v>
      </c>
      <c r="B941" s="2">
        <v>171.32</v>
      </c>
      <c r="C941" s="2">
        <v>563.51</v>
      </c>
      <c r="D941" s="9">
        <f>B941-B940</f>
        <v>-0.56999999999999318</v>
      </c>
      <c r="E941" s="9">
        <f>C941-C940</f>
        <v>-3.25</v>
      </c>
      <c r="F941" s="3">
        <f>F$1/B941</f>
        <v>583.70301190754151</v>
      </c>
      <c r="G941" s="3">
        <f>F$1/C941</f>
        <v>177.4591400330074</v>
      </c>
      <c r="H941" s="2">
        <f>D941*F940</f>
        <v>-331.60742335213985</v>
      </c>
      <c r="I941" s="2">
        <f>E941*G940</f>
        <v>-573.43496365304543</v>
      </c>
      <c r="J941" s="2">
        <f>I941-H941</f>
        <v>-241.82754030090558</v>
      </c>
      <c r="K941" s="2">
        <f t="shared" si="119"/>
        <v>241.82754030090558</v>
      </c>
      <c r="L941" s="3">
        <f>C941/B941</f>
        <v>3.2892248424001869</v>
      </c>
      <c r="M941" s="3">
        <f t="shared" si="122"/>
        <v>3.2757495444760933</v>
      </c>
      <c r="N941" s="3">
        <f t="shared" si="126"/>
        <v>3.2716185169443159</v>
      </c>
      <c r="O941" s="3">
        <f t="shared" si="118"/>
        <v>3.2631071300291619</v>
      </c>
      <c r="P941" s="3">
        <f t="shared" si="120"/>
        <v>3.2611871595738973</v>
      </c>
      <c r="Q941" s="4" t="str">
        <f t="shared" si="125"/>
        <v>OVER</v>
      </c>
      <c r="R941" s="4" t="str">
        <f t="shared" si="125"/>
        <v>OVER</v>
      </c>
      <c r="S941" s="4" t="str">
        <f t="shared" si="123"/>
        <v>OVER</v>
      </c>
      <c r="T941" s="4" t="str">
        <f t="shared" si="123"/>
        <v>OVER</v>
      </c>
      <c r="U941" s="2">
        <f>IF(Q941="OVER",$J941,$K941)</f>
        <v>-241.82754030090558</v>
      </c>
      <c r="V941" s="2">
        <f>IF(R941="OVER",$J941,$K941)</f>
        <v>-241.82754030090558</v>
      </c>
      <c r="W941" s="2">
        <f>IF(S941="OVER",$J941,$K941)</f>
        <v>-241.82754030090558</v>
      </c>
      <c r="X941" s="2">
        <f>IF(T941="OVER",$J941,$K941)</f>
        <v>-241.82754030090558</v>
      </c>
      <c r="Y941" s="9">
        <f t="shared" si="124"/>
        <v>-9443.8524880724508</v>
      </c>
      <c r="Z941" s="9">
        <f t="shared" si="124"/>
        <v>11474.527956396534</v>
      </c>
      <c r="AA941" s="9">
        <f t="shared" si="124"/>
        <v>61663.936599604829</v>
      </c>
      <c r="AB941" s="9">
        <f t="shared" si="121"/>
        <v>25582.953669642437</v>
      </c>
    </row>
    <row r="942" spans="1:28" x14ac:dyDescent="0.3">
      <c r="A942" s="1">
        <v>45783</v>
      </c>
      <c r="B942" s="2">
        <v>170.05</v>
      </c>
      <c r="C942" s="2">
        <v>558.79999999999995</v>
      </c>
      <c r="D942" s="9">
        <f>B942-B941</f>
        <v>-1.2699999999999818</v>
      </c>
      <c r="E942" s="9">
        <f>C942-C941</f>
        <v>-4.7100000000000364</v>
      </c>
      <c r="F942" s="3">
        <f>F$1/B942</f>
        <v>588.0623346074683</v>
      </c>
      <c r="G942" s="3">
        <f>F$1/C942</f>
        <v>178.95490336435219</v>
      </c>
      <c r="H942" s="2">
        <f>D942*F941</f>
        <v>-741.30282512256713</v>
      </c>
      <c r="I942" s="2">
        <f>E942*G941</f>
        <v>-835.83254955547136</v>
      </c>
      <c r="J942" s="2">
        <f>I942-H942</f>
        <v>-94.529724432904231</v>
      </c>
      <c r="K942" s="2">
        <f t="shared" si="119"/>
        <v>94.529724432904231</v>
      </c>
      <c r="L942" s="3">
        <f>C942/B942</f>
        <v>3.2860923257865329</v>
      </c>
      <c r="M942" s="3">
        <f t="shared" si="122"/>
        <v>3.2815263009342472</v>
      </c>
      <c r="N942" s="3">
        <f t="shared" si="126"/>
        <v>3.2741280475853456</v>
      </c>
      <c r="O942" s="3">
        <f t="shared" si="118"/>
        <v>3.2624612485902338</v>
      </c>
      <c r="P942" s="3">
        <f t="shared" si="120"/>
        <v>3.2613188126620725</v>
      </c>
      <c r="Q942" s="4" t="str">
        <f t="shared" si="125"/>
        <v>OVER</v>
      </c>
      <c r="R942" s="4" t="str">
        <f t="shared" si="125"/>
        <v>OVER</v>
      </c>
      <c r="S942" s="4" t="str">
        <f t="shared" si="123"/>
        <v>OVER</v>
      </c>
      <c r="T942" s="4" t="str">
        <f t="shared" si="123"/>
        <v>OVER</v>
      </c>
      <c r="U942" s="2">
        <f>IF(Q942="OVER",$J942,$K942)</f>
        <v>-94.529724432904231</v>
      </c>
      <c r="V942" s="2">
        <f>IF(R942="OVER",$J942,$K942)</f>
        <v>-94.529724432904231</v>
      </c>
      <c r="W942" s="2">
        <f>IF(S942="OVER",$J942,$K942)</f>
        <v>-94.529724432904231</v>
      </c>
      <c r="X942" s="2">
        <f>IF(T942="OVER",$J942,$K942)</f>
        <v>-94.529724432904231</v>
      </c>
      <c r="Y942" s="9">
        <f t="shared" si="124"/>
        <v>-9538.3822125053557</v>
      </c>
      <c r="Z942" s="9">
        <f t="shared" si="124"/>
        <v>11379.998231963629</v>
      </c>
      <c r="AA942" s="9">
        <f t="shared" si="124"/>
        <v>61569.406875171924</v>
      </c>
      <c r="AB942" s="9">
        <f t="shared" si="121"/>
        <v>25488.423945209532</v>
      </c>
    </row>
    <row r="943" spans="1:28" x14ac:dyDescent="0.3">
      <c r="A943" s="1">
        <v>45784</v>
      </c>
      <c r="B943" s="2">
        <v>171.17</v>
      </c>
      <c r="C943" s="2">
        <v>561.15</v>
      </c>
      <c r="D943" s="9">
        <f>B943-B942</f>
        <v>1.1199999999999761</v>
      </c>
      <c r="E943" s="9">
        <f>C943-C942</f>
        <v>2.3500000000000227</v>
      </c>
      <c r="F943" s="3">
        <f>F$1/B943</f>
        <v>584.21452357305611</v>
      </c>
      <c r="G943" s="3">
        <f>F$1/C943</f>
        <v>178.20547090795688</v>
      </c>
      <c r="H943" s="2">
        <f>D943*F942</f>
        <v>658.62981476035043</v>
      </c>
      <c r="I943" s="2">
        <f>E943*G942</f>
        <v>420.5440229062317</v>
      </c>
      <c r="J943" s="2">
        <f>I943-H943</f>
        <v>-238.08579185411872</v>
      </c>
      <c r="K943" s="2">
        <f t="shared" si="119"/>
        <v>238.08579185411872</v>
      </c>
      <c r="L943" s="3">
        <f>C943/B943</f>
        <v>3.278319799030204</v>
      </c>
      <c r="M943" s="3">
        <f t="shared" si="122"/>
        <v>3.2846645270470924</v>
      </c>
      <c r="N943" s="3">
        <f t="shared" si="126"/>
        <v>3.2757214062676483</v>
      </c>
      <c r="O943" s="3">
        <f t="shared" si="118"/>
        <v>3.2620559543127201</v>
      </c>
      <c r="P943" s="3">
        <f t="shared" si="120"/>
        <v>3.2614102335099551</v>
      </c>
      <c r="Q943" s="4" t="str">
        <f t="shared" si="125"/>
        <v>OVER</v>
      </c>
      <c r="R943" s="4" t="str">
        <f t="shared" si="125"/>
        <v>OVER</v>
      </c>
      <c r="S943" s="4" t="str">
        <f t="shared" si="123"/>
        <v>OVER</v>
      </c>
      <c r="T943" s="4" t="str">
        <f t="shared" si="123"/>
        <v>OVER</v>
      </c>
      <c r="U943" s="2">
        <f>IF(Q943="OVER",$J943,$K943)</f>
        <v>-238.08579185411872</v>
      </c>
      <c r="V943" s="2">
        <f>IF(R943="OVER",$J943,$K943)</f>
        <v>-238.08579185411872</v>
      </c>
      <c r="W943" s="2">
        <f>IF(S943="OVER",$J943,$K943)</f>
        <v>-238.08579185411872</v>
      </c>
      <c r="X943" s="2">
        <f>IF(T943="OVER",$J943,$K943)</f>
        <v>-238.08579185411872</v>
      </c>
      <c r="Y943" s="9">
        <f t="shared" si="124"/>
        <v>-9776.4680043594744</v>
      </c>
      <c r="Z943" s="9">
        <f t="shared" si="124"/>
        <v>11141.91244010951</v>
      </c>
      <c r="AA943" s="9">
        <f t="shared" si="124"/>
        <v>61331.321083317802</v>
      </c>
      <c r="AB943" s="9">
        <f t="shared" si="121"/>
        <v>25250.338153355413</v>
      </c>
    </row>
    <row r="944" spans="1:28" x14ac:dyDescent="0.3">
      <c r="A944" s="1">
        <v>45785</v>
      </c>
      <c r="B944" s="2">
        <v>172.61</v>
      </c>
      <c r="C944" s="2">
        <v>565.05999999999995</v>
      </c>
      <c r="D944" s="9">
        <f>B944-B943</f>
        <v>1.4400000000000261</v>
      </c>
      <c r="E944" s="9">
        <f>C944-C943</f>
        <v>3.9099999999999682</v>
      </c>
      <c r="F944" s="3">
        <f>F$1/B944</f>
        <v>579.34071027171069</v>
      </c>
      <c r="G944" s="3">
        <f>F$1/C944</f>
        <v>176.97235691784945</v>
      </c>
      <c r="H944" s="2">
        <f>D944*F943</f>
        <v>841.26891394521613</v>
      </c>
      <c r="I944" s="2">
        <f>E944*G943</f>
        <v>696.78339125010575</v>
      </c>
      <c r="J944" s="2">
        <f>I944-H944</f>
        <v>-144.48552269511038</v>
      </c>
      <c r="K944" s="2">
        <f t="shared" si="119"/>
        <v>144.48552269511038</v>
      </c>
      <c r="L944" s="3">
        <f>C944/B944</f>
        <v>3.2736226174613283</v>
      </c>
      <c r="M944" s="3">
        <f t="shared" si="122"/>
        <v>3.2860145042205011</v>
      </c>
      <c r="N944" s="3">
        <f t="shared" si="126"/>
        <v>3.2733151067701654</v>
      </c>
      <c r="O944" s="3">
        <f t="shared" si="118"/>
        <v>3.2613838886667308</v>
      </c>
      <c r="P944" s="3">
        <f t="shared" si="120"/>
        <v>3.261439160831634</v>
      </c>
      <c r="Q944" s="4" t="str">
        <f t="shared" si="125"/>
        <v>UNDER</v>
      </c>
      <c r="R944" s="4" t="str">
        <f t="shared" si="125"/>
        <v>OVER</v>
      </c>
      <c r="S944" s="4" t="str">
        <f t="shared" si="123"/>
        <v>OVER</v>
      </c>
      <c r="T944" s="4" t="str">
        <f t="shared" si="123"/>
        <v>OVER</v>
      </c>
      <c r="U944" s="2">
        <f>IF(Q944="OVER",$J944,$K944)</f>
        <v>144.48552269511038</v>
      </c>
      <c r="V944" s="2">
        <f>IF(R944="OVER",$J944,$K944)</f>
        <v>-144.48552269511038</v>
      </c>
      <c r="W944" s="2">
        <f>IF(S944="OVER",$J944,$K944)</f>
        <v>-144.48552269511038</v>
      </c>
      <c r="X944" s="2">
        <f>IF(T944="OVER",$J944,$K944)</f>
        <v>-144.48552269511038</v>
      </c>
      <c r="Y944" s="9">
        <f t="shared" si="124"/>
        <v>-9631.9824816643631</v>
      </c>
      <c r="Z944" s="9">
        <f t="shared" si="124"/>
        <v>10997.426917414399</v>
      </c>
      <c r="AA944" s="9">
        <f t="shared" si="124"/>
        <v>61186.835560622691</v>
      </c>
      <c r="AB944" s="9">
        <f t="shared" si="121"/>
        <v>25105.852630660302</v>
      </c>
    </row>
    <row r="945" spans="1:28" x14ac:dyDescent="0.3">
      <c r="A945" s="1">
        <v>45786</v>
      </c>
      <c r="B945" s="2">
        <v>172.57</v>
      </c>
      <c r="C945" s="2">
        <v>564.34</v>
      </c>
      <c r="D945" s="9">
        <f>B945-B944</f>
        <v>-4.0000000000020464E-2</v>
      </c>
      <c r="E945" s="9">
        <f>C945-C944</f>
        <v>-0.7199999999999136</v>
      </c>
      <c r="F945" s="3">
        <f>F$1/B945</f>
        <v>579.47499565393753</v>
      </c>
      <c r="G945" s="3">
        <f>F$1/C945</f>
        <v>177.19814296346172</v>
      </c>
      <c r="H945" s="2">
        <f>D945*F944</f>
        <v>-23.173628410880283</v>
      </c>
      <c r="I945" s="2">
        <f>E945*G944</f>
        <v>-127.42009698083632</v>
      </c>
      <c r="J945" s="2">
        <f>I945-H945</f>
        <v>-104.24646856995604</v>
      </c>
      <c r="K945" s="2">
        <f t="shared" si="119"/>
        <v>104.24646856995604</v>
      </c>
      <c r="L945" s="3">
        <f>C945/B945</f>
        <v>3.2702091904734312</v>
      </c>
      <c r="M945" s="3">
        <f t="shared" si="122"/>
        <v>3.2841969640262798</v>
      </c>
      <c r="N945" s="3">
        <f t="shared" si="126"/>
        <v>3.2724834610306788</v>
      </c>
      <c r="O945" s="3">
        <f t="shared" si="118"/>
        <v>3.2611258951473552</v>
      </c>
      <c r="P945" s="3">
        <f t="shared" si="120"/>
        <v>3.261418776523255</v>
      </c>
      <c r="Q945" s="4" t="str">
        <f t="shared" si="125"/>
        <v>UNDER</v>
      </c>
      <c r="R945" s="4" t="str">
        <f t="shared" si="125"/>
        <v>OVER</v>
      </c>
      <c r="S945" s="4" t="str">
        <f t="shared" si="123"/>
        <v>OVER</v>
      </c>
      <c r="T945" s="4" t="str">
        <f t="shared" si="123"/>
        <v>OVER</v>
      </c>
      <c r="U945" s="2">
        <f>IF(Q945="OVER",$J945,$K945)</f>
        <v>104.24646856995604</v>
      </c>
      <c r="V945" s="2">
        <f>IF(R945="OVER",$J945,$K945)</f>
        <v>-104.24646856995604</v>
      </c>
      <c r="W945" s="2">
        <f>IF(S945="OVER",$J945,$K945)</f>
        <v>-104.24646856995604</v>
      </c>
      <c r="X945" s="2">
        <f>IF(T945="OVER",$J945,$K945)</f>
        <v>-104.24646856995604</v>
      </c>
      <c r="Y945" s="9">
        <f t="shared" si="124"/>
        <v>-9527.7360130944071</v>
      </c>
      <c r="Z945" s="9">
        <f t="shared" si="124"/>
        <v>10893.180448844443</v>
      </c>
      <c r="AA945" s="9">
        <f t="shared" si="124"/>
        <v>61082.589092052738</v>
      </c>
      <c r="AB945" s="9">
        <f t="shared" si="121"/>
        <v>25001.606162090346</v>
      </c>
    </row>
    <row r="946" spans="1:28" x14ac:dyDescent="0.3">
      <c r="A946" s="1">
        <v>45789</v>
      </c>
      <c r="B946" s="2">
        <v>177.3</v>
      </c>
      <c r="C946" s="2">
        <v>582.99</v>
      </c>
      <c r="D946" s="9">
        <f>B946-B945</f>
        <v>4.7300000000000182</v>
      </c>
      <c r="E946" s="9">
        <f>C946-C945</f>
        <v>18.649999999999977</v>
      </c>
      <c r="F946" s="3">
        <f>F$1/B946</f>
        <v>564.0157924421884</v>
      </c>
      <c r="G946" s="3">
        <f>F$1/C946</f>
        <v>171.52952880838436</v>
      </c>
      <c r="H946" s="2">
        <f>D946*F945</f>
        <v>2740.916729443135</v>
      </c>
      <c r="I946" s="2">
        <f>E946*G945</f>
        <v>3304.7453662685571</v>
      </c>
      <c r="J946" s="2">
        <f>I946-H946</f>
        <v>563.82863682542211</v>
      </c>
      <c r="K946" s="2">
        <f t="shared" si="119"/>
        <v>-563.82863682542211</v>
      </c>
      <c r="L946" s="3">
        <f>C946/B946</f>
        <v>3.2881556683587139</v>
      </c>
      <c r="M946" s="3">
        <f t="shared" si="122"/>
        <v>3.2849694150927369</v>
      </c>
      <c r="N946" s="3">
        <f t="shared" si="126"/>
        <v>3.2721152908626374</v>
      </c>
      <c r="O946" s="3">
        <f t="shared" si="118"/>
        <v>3.2609349625604835</v>
      </c>
      <c r="P946" s="3">
        <f t="shared" si="120"/>
        <v>3.261669605717576</v>
      </c>
      <c r="Q946" s="4" t="str">
        <f t="shared" si="125"/>
        <v>UNDER</v>
      </c>
      <c r="R946" s="4" t="str">
        <f t="shared" si="125"/>
        <v>UNDER</v>
      </c>
      <c r="S946" s="4" t="str">
        <f t="shared" si="123"/>
        <v>OVER</v>
      </c>
      <c r="T946" s="4" t="str">
        <f t="shared" si="123"/>
        <v>OVER</v>
      </c>
      <c r="U946" s="2">
        <f>IF(Q946="OVER",$J946,$K946)</f>
        <v>-563.82863682542211</v>
      </c>
      <c r="V946" s="2">
        <f>IF(R946="OVER",$J946,$K946)</f>
        <v>-563.82863682542211</v>
      </c>
      <c r="W946" s="2">
        <f>IF(S946="OVER",$J946,$K946)</f>
        <v>563.82863682542211</v>
      </c>
      <c r="X946" s="2">
        <f>IF(T946="OVER",$J946,$K946)</f>
        <v>563.82863682542211</v>
      </c>
      <c r="Y946" s="9">
        <f t="shared" si="124"/>
        <v>-10091.56464991983</v>
      </c>
      <c r="Z946" s="9">
        <f t="shared" si="124"/>
        <v>10329.35181201902</v>
      </c>
      <c r="AA946" s="9">
        <f t="shared" si="124"/>
        <v>61646.417728878158</v>
      </c>
      <c r="AB946" s="9">
        <f t="shared" si="121"/>
        <v>25565.434798915769</v>
      </c>
    </row>
    <row r="947" spans="1:28" x14ac:dyDescent="0.3">
      <c r="A947" s="1">
        <v>45790</v>
      </c>
      <c r="B947" s="2">
        <v>177.7</v>
      </c>
      <c r="C947" s="2">
        <v>586.84</v>
      </c>
      <c r="D947" s="9">
        <f>B947-B946</f>
        <v>0.39999999999997726</v>
      </c>
      <c r="E947" s="9">
        <f>C947-C946</f>
        <v>3.8500000000000227</v>
      </c>
      <c r="F947" s="3">
        <f>F$1/B947</f>
        <v>562.74620146314021</v>
      </c>
      <c r="G947" s="3">
        <f>F$1/C947</f>
        <v>170.40419875945742</v>
      </c>
      <c r="H947" s="2">
        <f>D947*F946</f>
        <v>225.60631697686253</v>
      </c>
      <c r="I947" s="2">
        <f>E947*G946</f>
        <v>660.38868591228368</v>
      </c>
      <c r="J947" s="2">
        <f>I947-H947</f>
        <v>434.78236893542112</v>
      </c>
      <c r="K947" s="2">
        <f t="shared" si="119"/>
        <v>-434.78236893542112</v>
      </c>
      <c r="L947" s="3">
        <f>C947/B947</f>
        <v>3.3024198086662917</v>
      </c>
      <c r="M947" s="3">
        <f t="shared" si="122"/>
        <v>3.287017198209218</v>
      </c>
      <c r="N947" s="3">
        <f t="shared" si="126"/>
        <v>3.2729605789374903</v>
      </c>
      <c r="O947" s="3">
        <f t="shared" si="118"/>
        <v>3.2614868928973904</v>
      </c>
      <c r="P947" s="3">
        <f t="shared" si="120"/>
        <v>3.2620953587794315</v>
      </c>
      <c r="Q947" s="4" t="str">
        <f t="shared" si="125"/>
        <v>OVER</v>
      </c>
      <c r="R947" s="4" t="str">
        <f t="shared" si="125"/>
        <v>OVER</v>
      </c>
      <c r="S947" s="4" t="str">
        <f t="shared" si="123"/>
        <v>OVER</v>
      </c>
      <c r="T947" s="4" t="str">
        <f t="shared" si="123"/>
        <v>OVER</v>
      </c>
      <c r="U947" s="2">
        <f>IF(Q947="OVER",$J947,$K947)</f>
        <v>434.78236893542112</v>
      </c>
      <c r="V947" s="2">
        <f>IF(R947="OVER",$J947,$K947)</f>
        <v>434.78236893542112</v>
      </c>
      <c r="W947" s="2">
        <f>IF(S947="OVER",$J947,$K947)</f>
        <v>434.78236893542112</v>
      </c>
      <c r="X947" s="2">
        <f>IF(T947="OVER",$J947,$K947)</f>
        <v>434.78236893542112</v>
      </c>
      <c r="Y947" s="9">
        <f t="shared" si="124"/>
        <v>-9656.7822809844092</v>
      </c>
      <c r="Z947" s="9">
        <f t="shared" si="124"/>
        <v>10764.134180954441</v>
      </c>
      <c r="AA947" s="9">
        <f t="shared" si="124"/>
        <v>62081.200097813577</v>
      </c>
      <c r="AB947" s="9">
        <f t="shared" si="121"/>
        <v>26000.217167851191</v>
      </c>
    </row>
    <row r="948" spans="1:28" x14ac:dyDescent="0.3">
      <c r="A948" s="1">
        <v>45791</v>
      </c>
      <c r="B948" s="2">
        <v>176.63</v>
      </c>
      <c r="C948" s="2">
        <v>587.59</v>
      </c>
      <c r="D948" s="9">
        <f>B948-B947</f>
        <v>-1.0699999999999932</v>
      </c>
      <c r="E948" s="9">
        <f>C948-C947</f>
        <v>0.75</v>
      </c>
      <c r="F948" s="3">
        <f>F$1/B948</f>
        <v>566.1552397667441</v>
      </c>
      <c r="G948" s="3">
        <f>F$1/C948</f>
        <v>170.18669480420019</v>
      </c>
      <c r="H948" s="2">
        <f>D948*F947</f>
        <v>-602.13843556555616</v>
      </c>
      <c r="I948" s="2">
        <f>E948*G947</f>
        <v>127.80314906959306</v>
      </c>
      <c r="J948" s="2">
        <f>I948-H948</f>
        <v>729.94158463514918</v>
      </c>
      <c r="K948" s="2">
        <f t="shared" si="119"/>
        <v>-729.94158463514918</v>
      </c>
      <c r="L948" s="3">
        <f>C948/B948</f>
        <v>3.3266715733454117</v>
      </c>
      <c r="M948" s="3">
        <f t="shared" si="122"/>
        <v>3.2918257768515518</v>
      </c>
      <c r="N948" s="3">
        <f t="shared" si="126"/>
        <v>3.2749477403878373</v>
      </c>
      <c r="O948" s="3">
        <f t="shared" si="118"/>
        <v>3.2622363125043368</v>
      </c>
      <c r="P948" s="3">
        <f t="shared" si="120"/>
        <v>3.2626912475758156</v>
      </c>
      <c r="Q948" s="4" t="str">
        <f t="shared" si="125"/>
        <v>OVER</v>
      </c>
      <c r="R948" s="4" t="str">
        <f t="shared" si="125"/>
        <v>OVER</v>
      </c>
      <c r="S948" s="4" t="str">
        <f t="shared" si="123"/>
        <v>OVER</v>
      </c>
      <c r="T948" s="4" t="str">
        <f t="shared" si="123"/>
        <v>OVER</v>
      </c>
      <c r="U948" s="2">
        <f>IF(Q948="OVER",$J948,$K948)</f>
        <v>729.94158463514918</v>
      </c>
      <c r="V948" s="2">
        <f>IF(R948="OVER",$J948,$K948)</f>
        <v>729.94158463514918</v>
      </c>
      <c r="W948" s="2">
        <f>IF(S948="OVER",$J948,$K948)</f>
        <v>729.94158463514918</v>
      </c>
      <c r="X948" s="2">
        <f>IF(T948="OVER",$J948,$K948)</f>
        <v>729.94158463514918</v>
      </c>
      <c r="Y948" s="9">
        <f t="shared" si="124"/>
        <v>-8926.8406963492598</v>
      </c>
      <c r="Z948" s="9">
        <f t="shared" si="124"/>
        <v>11494.07576558959</v>
      </c>
      <c r="AA948" s="9">
        <f t="shared" si="124"/>
        <v>62811.141682448724</v>
      </c>
      <c r="AB948" s="9">
        <f t="shared" si="121"/>
        <v>26730.158752486339</v>
      </c>
    </row>
    <row r="949" spans="1:28" x14ac:dyDescent="0.3">
      <c r="A949" s="1">
        <v>45792</v>
      </c>
      <c r="B949" s="2">
        <v>178.24</v>
      </c>
      <c r="C949" s="2">
        <v>590.46</v>
      </c>
      <c r="D949" s="9">
        <f>B949-B948</f>
        <v>1.6100000000000136</v>
      </c>
      <c r="E949" s="9">
        <f>C949-C948</f>
        <v>2.8700000000000045</v>
      </c>
      <c r="F949" s="3">
        <f>F$1/B949</f>
        <v>561.04129263913819</v>
      </c>
      <c r="G949" s="3">
        <f>F$1/C949</f>
        <v>169.35948243742166</v>
      </c>
      <c r="H949" s="2">
        <f>D949*F948</f>
        <v>911.50993602446567</v>
      </c>
      <c r="I949" s="2">
        <f>E949*G948</f>
        <v>488.43581408805528</v>
      </c>
      <c r="J949" s="2">
        <f>I949-H949</f>
        <v>-423.07412193641039</v>
      </c>
      <c r="K949" s="2">
        <f t="shared" si="119"/>
        <v>423.07412193641039</v>
      </c>
      <c r="L949" s="3">
        <f>C949/B949</f>
        <v>3.3127244165170557</v>
      </c>
      <c r="M949" s="3">
        <f t="shared" si="122"/>
        <v>3.2924665211496369</v>
      </c>
      <c r="N949" s="3">
        <f t="shared" si="126"/>
        <v>3.277800609299903</v>
      </c>
      <c r="O949" s="3">
        <f t="shared" ref="O949:O1012" si="127">AVERAGE(L900:L949)</f>
        <v>3.2626120369230347</v>
      </c>
      <c r="P949" s="3">
        <f t="shared" si="120"/>
        <v>3.2632296887441221</v>
      </c>
      <c r="Q949" s="4" t="str">
        <f t="shared" si="125"/>
        <v>OVER</v>
      </c>
      <c r="R949" s="4" t="str">
        <f t="shared" si="125"/>
        <v>OVER</v>
      </c>
      <c r="S949" s="4" t="str">
        <f t="shared" si="123"/>
        <v>OVER</v>
      </c>
      <c r="T949" s="4" t="str">
        <f t="shared" si="123"/>
        <v>OVER</v>
      </c>
      <c r="U949" s="2">
        <f>IF(Q949="OVER",$J949,$K949)</f>
        <v>-423.07412193641039</v>
      </c>
      <c r="V949" s="2">
        <f>IF(R949="OVER",$J949,$K949)</f>
        <v>-423.07412193641039</v>
      </c>
      <c r="W949" s="2">
        <f>IF(S949="OVER",$J949,$K949)</f>
        <v>-423.07412193641039</v>
      </c>
      <c r="X949" s="2">
        <f>IF(T949="OVER",$J949,$K949)</f>
        <v>-423.07412193641039</v>
      </c>
      <c r="Y949" s="9">
        <f t="shared" si="124"/>
        <v>-9349.9148182856698</v>
      </c>
      <c r="Z949" s="9">
        <f t="shared" si="124"/>
        <v>11071.001643653181</v>
      </c>
      <c r="AA949" s="9">
        <f t="shared" si="124"/>
        <v>62388.067560512311</v>
      </c>
      <c r="AB949" s="9">
        <f t="shared" si="121"/>
        <v>26307.084630549929</v>
      </c>
    </row>
    <row r="950" spans="1:28" x14ac:dyDescent="0.3">
      <c r="A950" s="1">
        <v>45793</v>
      </c>
      <c r="B950" s="2">
        <v>179.99</v>
      </c>
      <c r="C950" s="2">
        <v>594.20000000000005</v>
      </c>
      <c r="D950" s="9">
        <f>B950-B949</f>
        <v>1.75</v>
      </c>
      <c r="E950" s="9">
        <f>C950-C949</f>
        <v>3.7400000000000091</v>
      </c>
      <c r="F950" s="3">
        <f>F$1/B950</f>
        <v>555.58642146785928</v>
      </c>
      <c r="G950" s="3">
        <f>F$1/C950</f>
        <v>168.29350387075058</v>
      </c>
      <c r="H950" s="2">
        <f>D950*F949</f>
        <v>981.82226211849184</v>
      </c>
      <c r="I950" s="2">
        <f>E950*G949</f>
        <v>633.40446431595853</v>
      </c>
      <c r="J950" s="2">
        <f>I950-H950</f>
        <v>-348.4177978025333</v>
      </c>
      <c r="K950" s="2">
        <f t="shared" si="119"/>
        <v>348.4177978025333</v>
      </c>
      <c r="L950" s="3">
        <f>C950/B950</f>
        <v>3.3012945163620202</v>
      </c>
      <c r="M950" s="3">
        <f t="shared" si="122"/>
        <v>3.2928734758401177</v>
      </c>
      <c r="N950" s="3">
        <f t="shared" si="126"/>
        <v>3.2810523509793099</v>
      </c>
      <c r="O950" s="3">
        <f t="shared" si="127"/>
        <v>3.2632040512148568</v>
      </c>
      <c r="P950" s="3">
        <f t="shared" si="120"/>
        <v>3.2638687217802906</v>
      </c>
      <c r="Q950" s="4" t="str">
        <f t="shared" si="125"/>
        <v>OVER</v>
      </c>
      <c r="R950" s="4" t="str">
        <f t="shared" si="125"/>
        <v>OVER</v>
      </c>
      <c r="S950" s="4" t="str">
        <f t="shared" si="123"/>
        <v>OVER</v>
      </c>
      <c r="T950" s="4" t="str">
        <f t="shared" si="123"/>
        <v>OVER</v>
      </c>
      <c r="U950" s="2">
        <f>IF(Q950="OVER",$J950,$K950)</f>
        <v>-348.4177978025333</v>
      </c>
      <c r="V950" s="2">
        <f>IF(R950="OVER",$J950,$K950)</f>
        <v>-348.4177978025333</v>
      </c>
      <c r="W950" s="2">
        <f>IF(S950="OVER",$J950,$K950)</f>
        <v>-348.4177978025333</v>
      </c>
      <c r="X950" s="2">
        <f>IF(T950="OVER",$J950,$K950)</f>
        <v>-348.4177978025333</v>
      </c>
      <c r="Y950" s="9">
        <f t="shared" si="124"/>
        <v>-9698.3326160882025</v>
      </c>
      <c r="Z950" s="9">
        <f t="shared" si="124"/>
        <v>10722.583845850648</v>
      </c>
      <c r="AA950" s="9">
        <f t="shared" si="124"/>
        <v>62039.649762709778</v>
      </c>
      <c r="AB950" s="9">
        <f t="shared" si="121"/>
        <v>25958.666832747396</v>
      </c>
    </row>
    <row r="951" spans="1:28" x14ac:dyDescent="0.3">
      <c r="A951" s="1">
        <v>45796</v>
      </c>
      <c r="B951" s="2">
        <v>179.97</v>
      </c>
      <c r="C951" s="2">
        <v>594.85</v>
      </c>
      <c r="D951" s="9">
        <f>B951-B950</f>
        <v>-2.0000000000010232E-2</v>
      </c>
      <c r="E951" s="9">
        <f>C951-C950</f>
        <v>0.64999999999997726</v>
      </c>
      <c r="F951" s="3">
        <f>F$1/B951</f>
        <v>555.64816358281939</v>
      </c>
      <c r="G951" s="3">
        <f>F$1/C951</f>
        <v>168.10960746406656</v>
      </c>
      <c r="H951" s="2">
        <f>D951*F950</f>
        <v>-11.11172842936287</v>
      </c>
      <c r="I951" s="2">
        <f>E951*G950</f>
        <v>109.39077751598406</v>
      </c>
      <c r="J951" s="2">
        <f>I951-H951</f>
        <v>120.50250594534693</v>
      </c>
      <c r="K951" s="2">
        <f t="shared" si="119"/>
        <v>-120.50250594534693</v>
      </c>
      <c r="L951" s="3">
        <f>C951/B951</f>
        <v>3.3052731010724012</v>
      </c>
      <c r="M951" s="3">
        <f t="shared" si="122"/>
        <v>3.2944783017073389</v>
      </c>
      <c r="N951" s="3">
        <f t="shared" si="126"/>
        <v>3.2851139230917163</v>
      </c>
      <c r="O951" s="3">
        <f t="shared" si="127"/>
        <v>3.2641196326544946</v>
      </c>
      <c r="P951" s="3">
        <f t="shared" si="120"/>
        <v>3.2643458448614111</v>
      </c>
      <c r="Q951" s="4" t="str">
        <f t="shared" si="125"/>
        <v>OVER</v>
      </c>
      <c r="R951" s="4" t="str">
        <f t="shared" si="125"/>
        <v>OVER</v>
      </c>
      <c r="S951" s="4" t="str">
        <f t="shared" si="123"/>
        <v>OVER</v>
      </c>
      <c r="T951" s="4" t="str">
        <f t="shared" si="123"/>
        <v>OVER</v>
      </c>
      <c r="U951" s="2">
        <f>IF(Q951="OVER",$J951,$K951)</f>
        <v>120.50250594534693</v>
      </c>
      <c r="V951" s="2">
        <f>IF(R951="OVER",$J951,$K951)</f>
        <v>120.50250594534693</v>
      </c>
      <c r="W951" s="2">
        <f>IF(S951="OVER",$J951,$K951)</f>
        <v>120.50250594534693</v>
      </c>
      <c r="X951" s="2">
        <f>IF(T951="OVER",$J951,$K951)</f>
        <v>120.50250594534693</v>
      </c>
      <c r="Y951" s="9">
        <f t="shared" si="124"/>
        <v>-9577.8301101428551</v>
      </c>
      <c r="Z951" s="9">
        <f t="shared" si="124"/>
        <v>10843.086351795995</v>
      </c>
      <c r="AA951" s="9">
        <f t="shared" si="124"/>
        <v>62160.152268655125</v>
      </c>
      <c r="AB951" s="9">
        <f t="shared" si="121"/>
        <v>26079.169338692744</v>
      </c>
    </row>
    <row r="952" spans="1:28" x14ac:dyDescent="0.3">
      <c r="A952" s="1">
        <v>45797</v>
      </c>
      <c r="B952" s="2">
        <v>179.5</v>
      </c>
      <c r="C952" s="2">
        <v>592.85</v>
      </c>
      <c r="D952" s="9">
        <f>B952-B951</f>
        <v>-0.46999999999999886</v>
      </c>
      <c r="E952" s="9">
        <f>C952-C951</f>
        <v>-2</v>
      </c>
      <c r="F952" s="3">
        <f>F$1/B952</f>
        <v>557.10306406685231</v>
      </c>
      <c r="G952" s="3">
        <f>F$1/C952</f>
        <v>168.67673104495233</v>
      </c>
      <c r="H952" s="2">
        <f>D952*F951</f>
        <v>-261.15463688392447</v>
      </c>
      <c r="I952" s="2">
        <f>E952*G951</f>
        <v>-336.21921492813311</v>
      </c>
      <c r="J952" s="2">
        <f>I952-H952</f>
        <v>-75.064578044208645</v>
      </c>
      <c r="K952" s="2">
        <f t="shared" si="119"/>
        <v>75.064578044208645</v>
      </c>
      <c r="L952" s="3">
        <f>C952/B952</f>
        <v>3.3027855153203345</v>
      </c>
      <c r="M952" s="3">
        <f t="shared" si="122"/>
        <v>3.2961476206607196</v>
      </c>
      <c r="N952" s="3">
        <f t="shared" si="126"/>
        <v>3.2888369607974837</v>
      </c>
      <c r="O952" s="3">
        <f t="shared" si="127"/>
        <v>3.2658148377944256</v>
      </c>
      <c r="P952" s="3">
        <f t="shared" si="120"/>
        <v>3.2648597135070201</v>
      </c>
      <c r="Q952" s="4" t="str">
        <f t="shared" si="125"/>
        <v>OVER</v>
      </c>
      <c r="R952" s="4" t="str">
        <f t="shared" si="125"/>
        <v>OVER</v>
      </c>
      <c r="S952" s="4" t="str">
        <f t="shared" si="123"/>
        <v>OVER</v>
      </c>
      <c r="T952" s="4" t="str">
        <f t="shared" si="123"/>
        <v>OVER</v>
      </c>
      <c r="U952" s="2">
        <f>IF(Q952="OVER",$J952,$K952)</f>
        <v>-75.064578044208645</v>
      </c>
      <c r="V952" s="2">
        <f>IF(R952="OVER",$J952,$K952)</f>
        <v>-75.064578044208645</v>
      </c>
      <c r="W952" s="2">
        <f>IF(S952="OVER",$J952,$K952)</f>
        <v>-75.064578044208645</v>
      </c>
      <c r="X952" s="2">
        <f>IF(T952="OVER",$J952,$K952)</f>
        <v>-75.064578044208645</v>
      </c>
      <c r="Y952" s="9">
        <f t="shared" si="124"/>
        <v>-9652.8946881870634</v>
      </c>
      <c r="Z952" s="9">
        <f t="shared" si="124"/>
        <v>10768.021773751787</v>
      </c>
      <c r="AA952" s="9">
        <f t="shared" si="124"/>
        <v>62085.087690610919</v>
      </c>
      <c r="AB952" s="9">
        <f t="shared" si="121"/>
        <v>26004.104760648534</v>
      </c>
    </row>
    <row r="953" spans="1:28" x14ac:dyDescent="0.3">
      <c r="A953" s="1">
        <v>45798</v>
      </c>
      <c r="B953" s="2">
        <v>175.59</v>
      </c>
      <c r="C953" s="2">
        <v>582.86</v>
      </c>
      <c r="D953" s="9">
        <f>B953-B952</f>
        <v>-3.9099999999999966</v>
      </c>
      <c r="E953" s="9">
        <f>C953-C952</f>
        <v>-9.9900000000000091</v>
      </c>
      <c r="F953" s="3">
        <f>F$1/B953</f>
        <v>569.50851415228658</v>
      </c>
      <c r="G953" s="3">
        <f>F$1/C953</f>
        <v>171.56778643241944</v>
      </c>
      <c r="H953" s="2">
        <f>D953*F952</f>
        <v>-2178.2729805013905</v>
      </c>
      <c r="I953" s="2">
        <f>E953*G952</f>
        <v>-1685.0805431390754</v>
      </c>
      <c r="J953" s="2">
        <f>I953-H953</f>
        <v>493.1924373623151</v>
      </c>
      <c r="K953" s="2">
        <f t="shared" si="119"/>
        <v>-493.1924373623151</v>
      </c>
      <c r="L953" s="3">
        <f>C953/B953</f>
        <v>3.3194373255880176</v>
      </c>
      <c r="M953" s="3">
        <f t="shared" si="122"/>
        <v>3.3002593733165009</v>
      </c>
      <c r="N953" s="3">
        <f t="shared" si="126"/>
        <v>3.2924619501817967</v>
      </c>
      <c r="O953" s="3">
        <f t="shared" si="127"/>
        <v>3.2675165933822852</v>
      </c>
      <c r="P953" s="3">
        <f t="shared" si="120"/>
        <v>3.2654798059333654</v>
      </c>
      <c r="Q953" s="4" t="str">
        <f t="shared" si="125"/>
        <v>OVER</v>
      </c>
      <c r="R953" s="4" t="str">
        <f t="shared" si="125"/>
        <v>OVER</v>
      </c>
      <c r="S953" s="4" t="str">
        <f t="shared" si="123"/>
        <v>OVER</v>
      </c>
      <c r="T953" s="4" t="str">
        <f t="shared" si="123"/>
        <v>OVER</v>
      </c>
      <c r="U953" s="2">
        <f>IF(Q953="OVER",$J953,$K953)</f>
        <v>493.1924373623151</v>
      </c>
      <c r="V953" s="2">
        <f>IF(R953="OVER",$J953,$K953)</f>
        <v>493.1924373623151</v>
      </c>
      <c r="W953" s="2">
        <f>IF(S953="OVER",$J953,$K953)</f>
        <v>493.1924373623151</v>
      </c>
      <c r="X953" s="2">
        <f>IF(T953="OVER",$J953,$K953)</f>
        <v>493.1924373623151</v>
      </c>
      <c r="Y953" s="9">
        <f t="shared" si="124"/>
        <v>-9159.7022508247483</v>
      </c>
      <c r="Z953" s="9">
        <f t="shared" si="124"/>
        <v>11261.214211114102</v>
      </c>
      <c r="AA953" s="9">
        <f t="shared" si="124"/>
        <v>62578.280127973238</v>
      </c>
      <c r="AB953" s="9">
        <f t="shared" si="121"/>
        <v>26497.297198010849</v>
      </c>
    </row>
    <row r="954" spans="1:28" x14ac:dyDescent="0.3">
      <c r="A954" s="1">
        <v>45799</v>
      </c>
      <c r="B954" s="2">
        <v>175.03</v>
      </c>
      <c r="C954" s="2">
        <v>583.09</v>
      </c>
      <c r="D954" s="9">
        <f>B954-B953</f>
        <v>-0.56000000000000227</v>
      </c>
      <c r="E954" s="9">
        <f>C954-C953</f>
        <v>0.23000000000001819</v>
      </c>
      <c r="F954" s="3">
        <f>F$1/B954</f>
        <v>571.33062903502253</v>
      </c>
      <c r="G954" s="3">
        <f>F$1/C954</f>
        <v>171.50011147507246</v>
      </c>
      <c r="H954" s="2">
        <f>D954*F953</f>
        <v>-318.9247679252818</v>
      </c>
      <c r="I954" s="2">
        <f>E954*G953</f>
        <v>39.460590879459595</v>
      </c>
      <c r="J954" s="2">
        <f>I954-H954</f>
        <v>358.38535880474137</v>
      </c>
      <c r="K954" s="2">
        <f t="shared" si="119"/>
        <v>-358.38535880474137</v>
      </c>
      <c r="L954" s="3">
        <f>C954/B954</f>
        <v>3.3313717648403132</v>
      </c>
      <c r="M954" s="3">
        <f t="shared" si="122"/>
        <v>3.3060342880543994</v>
      </c>
      <c r="N954" s="3">
        <f t="shared" si="126"/>
        <v>3.2960243961374509</v>
      </c>
      <c r="O954" s="3">
        <f t="shared" si="127"/>
        <v>3.2688058630159129</v>
      </c>
      <c r="P954" s="3">
        <f t="shared" si="120"/>
        <v>3.2662495432197676</v>
      </c>
      <c r="Q954" s="4" t="str">
        <f t="shared" si="125"/>
        <v>OVER</v>
      </c>
      <c r="R954" s="4" t="str">
        <f t="shared" si="125"/>
        <v>OVER</v>
      </c>
      <c r="S954" s="4" t="str">
        <f t="shared" si="123"/>
        <v>OVER</v>
      </c>
      <c r="T954" s="4" t="str">
        <f t="shared" si="123"/>
        <v>OVER</v>
      </c>
      <c r="U954" s="2">
        <f>IF(Q954="OVER",$J954,$K954)</f>
        <v>358.38535880474137</v>
      </c>
      <c r="V954" s="2">
        <f>IF(R954="OVER",$J954,$K954)</f>
        <v>358.38535880474137</v>
      </c>
      <c r="W954" s="2">
        <f>IF(S954="OVER",$J954,$K954)</f>
        <v>358.38535880474137</v>
      </c>
      <c r="X954" s="2">
        <f>IF(T954="OVER",$J954,$K954)</f>
        <v>358.38535880474137</v>
      </c>
      <c r="Y954" s="9">
        <f t="shared" si="124"/>
        <v>-8801.3168920200078</v>
      </c>
      <c r="Z954" s="9">
        <f t="shared" si="124"/>
        <v>11619.599569918842</v>
      </c>
      <c r="AA954" s="9">
        <f t="shared" si="124"/>
        <v>62936.66548677798</v>
      </c>
      <c r="AB954" s="9">
        <f t="shared" si="121"/>
        <v>26855.682556815591</v>
      </c>
    </row>
    <row r="955" spans="1:28" x14ac:dyDescent="0.3">
      <c r="A955" s="1">
        <v>45800</v>
      </c>
      <c r="B955" s="2">
        <v>174.33</v>
      </c>
      <c r="C955" s="2">
        <v>579.11</v>
      </c>
      <c r="D955" s="9">
        <f>B955-B954</f>
        <v>-0.69999999999998863</v>
      </c>
      <c r="E955" s="9">
        <f>C955-C954</f>
        <v>-3.9800000000000182</v>
      </c>
      <c r="F955" s="3">
        <f>F$1/B955</f>
        <v>573.62473469856013</v>
      </c>
      <c r="G955" s="3">
        <f>F$1/C955</f>
        <v>172.67876569218282</v>
      </c>
      <c r="H955" s="2">
        <f>D955*F954</f>
        <v>-399.93144032450925</v>
      </c>
      <c r="I955" s="2">
        <f>E955*G954</f>
        <v>-682.57044367079152</v>
      </c>
      <c r="J955" s="2">
        <f>I955-H955</f>
        <v>-282.63900334628227</v>
      </c>
      <c r="K955" s="2">
        <f t="shared" si="119"/>
        <v>282.63900334628227</v>
      </c>
      <c r="L955" s="3">
        <f>C955/B955</f>
        <v>3.3219182011128319</v>
      </c>
      <c r="M955" s="3">
        <f t="shared" si="122"/>
        <v>3.3112051891183389</v>
      </c>
      <c r="N955" s="3">
        <f t="shared" si="126"/>
        <v>3.2977010765723103</v>
      </c>
      <c r="O955" s="3">
        <f t="shared" si="127"/>
        <v>3.2701530389368885</v>
      </c>
      <c r="P955" s="3">
        <f t="shared" si="120"/>
        <v>3.266988313556638</v>
      </c>
      <c r="Q955" s="4" t="str">
        <f t="shared" si="125"/>
        <v>OVER</v>
      </c>
      <c r="R955" s="4" t="str">
        <f t="shared" si="125"/>
        <v>OVER</v>
      </c>
      <c r="S955" s="4" t="str">
        <f t="shared" si="123"/>
        <v>OVER</v>
      </c>
      <c r="T955" s="4" t="str">
        <f t="shared" si="123"/>
        <v>OVER</v>
      </c>
      <c r="U955" s="2">
        <f>IF(Q955="OVER",$J955,$K955)</f>
        <v>-282.63900334628227</v>
      </c>
      <c r="V955" s="2">
        <f>IF(R955="OVER",$J955,$K955)</f>
        <v>-282.63900334628227</v>
      </c>
      <c r="W955" s="2">
        <f>IF(S955="OVER",$J955,$K955)</f>
        <v>-282.63900334628227</v>
      </c>
      <c r="X955" s="2">
        <f>IF(T955="OVER",$J955,$K955)</f>
        <v>-282.63900334628227</v>
      </c>
      <c r="Y955" s="9">
        <f t="shared" si="124"/>
        <v>-9083.9558953662909</v>
      </c>
      <c r="Z955" s="9">
        <f t="shared" si="124"/>
        <v>11336.960566572559</v>
      </c>
      <c r="AA955" s="9">
        <f t="shared" si="124"/>
        <v>62654.026483431699</v>
      </c>
      <c r="AB955" s="9">
        <f t="shared" si="121"/>
        <v>26573.04355346931</v>
      </c>
    </row>
    <row r="956" spans="1:28" x14ac:dyDescent="0.3">
      <c r="A956" s="1">
        <v>45804</v>
      </c>
      <c r="B956" s="2">
        <v>177.58</v>
      </c>
      <c r="C956" s="2">
        <v>591.15</v>
      </c>
      <c r="D956" s="9">
        <f>B956-B955</f>
        <v>3.25</v>
      </c>
      <c r="E956" s="9">
        <f>C956-C955</f>
        <v>12.039999999999964</v>
      </c>
      <c r="F956" s="3">
        <f>F$1/B956</f>
        <v>563.12647820700522</v>
      </c>
      <c r="G956" s="3">
        <f>F$1/C956</f>
        <v>169.16180326482282</v>
      </c>
      <c r="H956" s="2">
        <f>D956*F955</f>
        <v>1864.2803877703204</v>
      </c>
      <c r="I956" s="2">
        <f>E956*G955</f>
        <v>2079.052338933875</v>
      </c>
      <c r="J956" s="2">
        <f>I956-H956</f>
        <v>214.7719511635546</v>
      </c>
      <c r="K956" s="2">
        <f t="shared" si="119"/>
        <v>-214.7719511635546</v>
      </c>
      <c r="L956" s="3">
        <f>C956/B956</f>
        <v>3.3289221759207113</v>
      </c>
      <c r="M956" s="3">
        <f t="shared" si="122"/>
        <v>3.3152818398745389</v>
      </c>
      <c r="N956" s="3">
        <f t="shared" si="126"/>
        <v>3.3001256274836388</v>
      </c>
      <c r="O956" s="3">
        <f t="shared" si="127"/>
        <v>3.2715386178659367</v>
      </c>
      <c r="P956" s="3">
        <f t="shared" si="120"/>
        <v>3.2677562255259938</v>
      </c>
      <c r="Q956" s="4" t="str">
        <f t="shared" si="125"/>
        <v>OVER</v>
      </c>
      <c r="R956" s="4" t="str">
        <f t="shared" si="125"/>
        <v>OVER</v>
      </c>
      <c r="S956" s="4" t="str">
        <f t="shared" si="123"/>
        <v>OVER</v>
      </c>
      <c r="T956" s="4" t="str">
        <f t="shared" si="123"/>
        <v>OVER</v>
      </c>
      <c r="U956" s="2">
        <f>IF(Q956="OVER",$J956,$K956)</f>
        <v>214.7719511635546</v>
      </c>
      <c r="V956" s="2">
        <f>IF(R956="OVER",$J956,$K956)</f>
        <v>214.7719511635546</v>
      </c>
      <c r="W956" s="2">
        <f>IF(S956="OVER",$J956,$K956)</f>
        <v>214.7719511635546</v>
      </c>
      <c r="X956" s="2">
        <f>IF(T956="OVER",$J956,$K956)</f>
        <v>214.7719511635546</v>
      </c>
      <c r="Y956" s="9">
        <f t="shared" si="124"/>
        <v>-8869.1839442027358</v>
      </c>
      <c r="Z956" s="9">
        <f t="shared" si="124"/>
        <v>11551.732517736114</v>
      </c>
      <c r="AA956" s="9">
        <f t="shared" si="124"/>
        <v>62868.79843459525</v>
      </c>
      <c r="AB956" s="9">
        <f t="shared" si="121"/>
        <v>26787.815504632865</v>
      </c>
    </row>
    <row r="957" spans="1:28" x14ac:dyDescent="0.3">
      <c r="A957" s="1">
        <v>45805</v>
      </c>
      <c r="B957" s="2">
        <v>176.07</v>
      </c>
      <c r="C957" s="2">
        <v>587.73</v>
      </c>
      <c r="D957" s="9">
        <f>B957-B956</f>
        <v>-1.5100000000000193</v>
      </c>
      <c r="E957" s="9">
        <f>C957-C956</f>
        <v>-3.4199999999999591</v>
      </c>
      <c r="F957" s="3">
        <f>F$1/B957</f>
        <v>567.95592662009426</v>
      </c>
      <c r="G957" s="3">
        <f>F$1/C957</f>
        <v>170.14615554761539</v>
      </c>
      <c r="H957" s="2">
        <f>D957*F956</f>
        <v>-850.32098209258879</v>
      </c>
      <c r="I957" s="2">
        <f>E957*G956</f>
        <v>-578.53336716568708</v>
      </c>
      <c r="J957" s="2">
        <f>I957-H957</f>
        <v>271.78761492690171</v>
      </c>
      <c r="K957" s="2">
        <f t="shared" si="119"/>
        <v>-271.78761492690171</v>
      </c>
      <c r="L957" s="3">
        <f>C957/B957</f>
        <v>3.3380473675242803</v>
      </c>
      <c r="M957" s="3">
        <f t="shared" si="122"/>
        <v>3.3188445957603383</v>
      </c>
      <c r="N957" s="3">
        <f t="shared" si="126"/>
        <v>3.3029308969847784</v>
      </c>
      <c r="O957" s="3">
        <f t="shared" si="127"/>
        <v>3.2734787183108849</v>
      </c>
      <c r="P957" s="3">
        <f t="shared" si="120"/>
        <v>3.2684918622433501</v>
      </c>
      <c r="Q957" s="4" t="str">
        <f t="shared" si="125"/>
        <v>OVER</v>
      </c>
      <c r="R957" s="4" t="str">
        <f t="shared" si="125"/>
        <v>OVER</v>
      </c>
      <c r="S957" s="4" t="str">
        <f t="shared" si="123"/>
        <v>OVER</v>
      </c>
      <c r="T957" s="4" t="str">
        <f t="shared" si="123"/>
        <v>OVER</v>
      </c>
      <c r="U957" s="2">
        <f>IF(Q957="OVER",$J957,$K957)</f>
        <v>271.78761492690171</v>
      </c>
      <c r="V957" s="2">
        <f>IF(R957="OVER",$J957,$K957)</f>
        <v>271.78761492690171</v>
      </c>
      <c r="W957" s="2">
        <f>IF(S957="OVER",$J957,$K957)</f>
        <v>271.78761492690171</v>
      </c>
      <c r="X957" s="2">
        <f>IF(T957="OVER",$J957,$K957)</f>
        <v>271.78761492690171</v>
      </c>
      <c r="Y957" s="9">
        <f t="shared" si="124"/>
        <v>-8597.3963292758344</v>
      </c>
      <c r="Z957" s="9">
        <f t="shared" si="124"/>
        <v>11823.520132663016</v>
      </c>
      <c r="AA957" s="9">
        <f t="shared" si="124"/>
        <v>63140.58604952215</v>
      </c>
      <c r="AB957" s="9">
        <f t="shared" si="121"/>
        <v>27059.603119559768</v>
      </c>
    </row>
    <row r="958" spans="1:28" x14ac:dyDescent="0.3">
      <c r="A958" s="1">
        <v>45806</v>
      </c>
      <c r="B958" s="2">
        <v>176.5</v>
      </c>
      <c r="C958" s="2">
        <v>590.04999999999995</v>
      </c>
      <c r="D958" s="9">
        <f>B958-B957</f>
        <v>0.43000000000000682</v>
      </c>
      <c r="E958" s="9">
        <f>C958-C957</f>
        <v>2.3199999999999363</v>
      </c>
      <c r="F958" s="3">
        <f>F$1/B958</f>
        <v>566.57223796033998</v>
      </c>
      <c r="G958" s="3">
        <f>F$1/C958</f>
        <v>169.47716295229219</v>
      </c>
      <c r="H958" s="2">
        <f>D958*F957</f>
        <v>244.2210484466444</v>
      </c>
      <c r="I958" s="2">
        <f>E958*G957</f>
        <v>394.73908087045686</v>
      </c>
      <c r="J958" s="2">
        <f>I958-H958</f>
        <v>150.51803242381246</v>
      </c>
      <c r="K958" s="2">
        <f t="shared" si="119"/>
        <v>-150.51803242381246</v>
      </c>
      <c r="L958" s="3">
        <f>C958/B958</f>
        <v>3.3430594900849857</v>
      </c>
      <c r="M958" s="3">
        <f t="shared" si="122"/>
        <v>3.3204833874342952</v>
      </c>
      <c r="N958" s="3">
        <f t="shared" si="126"/>
        <v>3.3061545821429235</v>
      </c>
      <c r="O958" s="3">
        <f t="shared" si="127"/>
        <v>3.2758844853184668</v>
      </c>
      <c r="P958" s="3">
        <f t="shared" si="120"/>
        <v>3.2692158605638624</v>
      </c>
      <c r="Q958" s="4" t="str">
        <f t="shared" si="125"/>
        <v>OVER</v>
      </c>
      <c r="R958" s="4" t="str">
        <f t="shared" si="125"/>
        <v>OVER</v>
      </c>
      <c r="S958" s="4" t="str">
        <f t="shared" si="123"/>
        <v>OVER</v>
      </c>
      <c r="T958" s="4" t="str">
        <f t="shared" si="123"/>
        <v>OVER</v>
      </c>
      <c r="U958" s="2">
        <f>IF(Q958="OVER",$J958,$K958)</f>
        <v>150.51803242381246</v>
      </c>
      <c r="V958" s="2">
        <f>IF(R958="OVER",$J958,$K958)</f>
        <v>150.51803242381246</v>
      </c>
      <c r="W958" s="2">
        <f>IF(S958="OVER",$J958,$K958)</f>
        <v>150.51803242381246</v>
      </c>
      <c r="X958" s="2">
        <f>IF(T958="OVER",$J958,$K958)</f>
        <v>150.51803242381246</v>
      </c>
      <c r="Y958" s="9">
        <f t="shared" si="124"/>
        <v>-8446.8782968520227</v>
      </c>
      <c r="Z958" s="9">
        <f t="shared" si="124"/>
        <v>11974.038165086828</v>
      </c>
      <c r="AA958" s="9">
        <f t="shared" si="124"/>
        <v>63291.104081945959</v>
      </c>
      <c r="AB958" s="9">
        <f t="shared" si="121"/>
        <v>27210.121151983582</v>
      </c>
    </row>
    <row r="959" spans="1:28" x14ac:dyDescent="0.3">
      <c r="A959" s="1">
        <v>45807</v>
      </c>
      <c r="B959" s="2">
        <v>176.43</v>
      </c>
      <c r="C959" s="2">
        <v>589.39</v>
      </c>
      <c r="D959" s="9">
        <f>B959-B958</f>
        <v>-6.9999999999993179E-2</v>
      </c>
      <c r="E959" s="9">
        <f>C959-C958</f>
        <v>-0.65999999999996817</v>
      </c>
      <c r="F959" s="3">
        <f>F$1/B959</f>
        <v>566.79702998356288</v>
      </c>
      <c r="G959" s="3">
        <f>F$1/C959</f>
        <v>169.66694378934153</v>
      </c>
      <c r="H959" s="2">
        <f>D959*F958</f>
        <v>-39.660056657219933</v>
      </c>
      <c r="I959" s="2">
        <f>E959*G958</f>
        <v>-111.85492754850745</v>
      </c>
      <c r="J959" s="2">
        <f>I959-H959</f>
        <v>-72.194870891287508</v>
      </c>
      <c r="K959" s="2">
        <f t="shared" si="119"/>
        <v>72.194870891287508</v>
      </c>
      <c r="L959" s="3">
        <f>C959/B959</f>
        <v>3.340645015020121</v>
      </c>
      <c r="M959" s="3">
        <f t="shared" si="122"/>
        <v>3.323275447284602</v>
      </c>
      <c r="N959" s="3">
        <f t="shared" si="126"/>
        <v>3.3078709842171192</v>
      </c>
      <c r="O959" s="3">
        <f t="shared" si="127"/>
        <v>3.2780192764781955</v>
      </c>
      <c r="P959" s="3">
        <f t="shared" si="120"/>
        <v>3.2698422089431527</v>
      </c>
      <c r="Q959" s="4" t="str">
        <f t="shared" si="125"/>
        <v>OVER</v>
      </c>
      <c r="R959" s="4" t="str">
        <f t="shared" si="125"/>
        <v>OVER</v>
      </c>
      <c r="S959" s="4" t="str">
        <f t="shared" si="123"/>
        <v>OVER</v>
      </c>
      <c r="T959" s="4" t="str">
        <f t="shared" si="123"/>
        <v>OVER</v>
      </c>
      <c r="U959" s="2">
        <f>IF(Q959="OVER",$J959,$K959)</f>
        <v>-72.194870891287508</v>
      </c>
      <c r="V959" s="2">
        <f>IF(R959="OVER",$J959,$K959)</f>
        <v>-72.194870891287508</v>
      </c>
      <c r="W959" s="2">
        <f>IF(S959="OVER",$J959,$K959)</f>
        <v>-72.194870891287508</v>
      </c>
      <c r="X959" s="2">
        <f>IF(T959="OVER",$J959,$K959)</f>
        <v>-72.194870891287508</v>
      </c>
      <c r="Y959" s="9">
        <f t="shared" si="124"/>
        <v>-8519.0731677433105</v>
      </c>
      <c r="Z959" s="9">
        <f t="shared" si="124"/>
        <v>11901.84329419554</v>
      </c>
      <c r="AA959" s="9">
        <f t="shared" si="124"/>
        <v>63218.90921105467</v>
      </c>
      <c r="AB959" s="9">
        <f t="shared" si="121"/>
        <v>27137.926281092296</v>
      </c>
    </row>
    <row r="960" spans="1:28" x14ac:dyDescent="0.3">
      <c r="A960" s="1">
        <v>45810</v>
      </c>
      <c r="B960" s="2">
        <v>176.57</v>
      </c>
      <c r="C960" s="2">
        <v>592.71</v>
      </c>
      <c r="D960" s="9">
        <f>B960-B959</f>
        <v>0.13999999999998636</v>
      </c>
      <c r="E960" s="9">
        <f>C960-C959</f>
        <v>3.32000000000005</v>
      </c>
      <c r="F960" s="3">
        <f>F$1/B960</f>
        <v>566.34762417171657</v>
      </c>
      <c r="G960" s="3">
        <f>F$1/C960</f>
        <v>168.71657302896864</v>
      </c>
      <c r="H960" s="2">
        <f>D960*F959</f>
        <v>79.351584197691068</v>
      </c>
      <c r="I960" s="2">
        <f>E960*G959</f>
        <v>563.29425338062242</v>
      </c>
      <c r="J960" s="2">
        <f>I960-H960</f>
        <v>483.94266918293135</v>
      </c>
      <c r="K960" s="2">
        <f t="shared" si="119"/>
        <v>-483.94266918293135</v>
      </c>
      <c r="L960" s="3">
        <f>C960/B960</f>
        <v>3.3567990032281818</v>
      </c>
      <c r="M960" s="3">
        <f t="shared" si="122"/>
        <v>3.3288258959712183</v>
      </c>
      <c r="N960" s="3">
        <f t="shared" si="126"/>
        <v>3.310849685905668</v>
      </c>
      <c r="O960" s="3">
        <f t="shared" si="127"/>
        <v>3.2803946060617695</v>
      </c>
      <c r="P960" s="3">
        <f t="shared" si="120"/>
        <v>3.2704690559922018</v>
      </c>
      <c r="Q960" s="4" t="str">
        <f t="shared" si="125"/>
        <v>OVER</v>
      </c>
      <c r="R960" s="4" t="str">
        <f t="shared" si="125"/>
        <v>OVER</v>
      </c>
      <c r="S960" s="4" t="str">
        <f t="shared" si="123"/>
        <v>OVER</v>
      </c>
      <c r="T960" s="4" t="str">
        <f t="shared" si="123"/>
        <v>OVER</v>
      </c>
      <c r="U960" s="2">
        <f>IF(Q960="OVER",$J960,$K960)</f>
        <v>483.94266918293135</v>
      </c>
      <c r="V960" s="2">
        <f>IF(R960="OVER",$J960,$K960)</f>
        <v>483.94266918293135</v>
      </c>
      <c r="W960" s="2">
        <f>IF(S960="OVER",$J960,$K960)</f>
        <v>483.94266918293135</v>
      </c>
      <c r="X960" s="2">
        <f>IF(T960="OVER",$J960,$K960)</f>
        <v>483.94266918293135</v>
      </c>
      <c r="Y960" s="9">
        <f t="shared" si="124"/>
        <v>-8035.1304985603792</v>
      </c>
      <c r="Z960" s="9">
        <f t="shared" si="124"/>
        <v>12385.785963378472</v>
      </c>
      <c r="AA960" s="9">
        <f t="shared" si="124"/>
        <v>63702.851880237598</v>
      </c>
      <c r="AB960" s="9">
        <f t="shared" si="121"/>
        <v>27621.868950275228</v>
      </c>
    </row>
    <row r="961" spans="1:28" x14ac:dyDescent="0.3">
      <c r="A961" s="1">
        <v>45811</v>
      </c>
      <c r="B961" s="2">
        <v>178.04</v>
      </c>
      <c r="C961" s="2">
        <v>596.09</v>
      </c>
      <c r="D961" s="9">
        <f>B961-B960</f>
        <v>1.4699999999999989</v>
      </c>
      <c r="E961" s="9">
        <f>C961-C960</f>
        <v>3.3799999999999955</v>
      </c>
      <c r="F961" s="3">
        <f>F$1/B961</f>
        <v>561.67153448663225</v>
      </c>
      <c r="G961" s="3">
        <f>F$1/C961</f>
        <v>167.7599020282172</v>
      </c>
      <c r="H961" s="2">
        <f>D961*F960</f>
        <v>832.53100753242268</v>
      </c>
      <c r="I961" s="2">
        <f>E961*G960</f>
        <v>570.26201683791328</v>
      </c>
      <c r="J961" s="2">
        <f>I961-H961</f>
        <v>-262.2689906945094</v>
      </c>
      <c r="K961" s="2">
        <f t="shared" si="119"/>
        <v>262.2689906945094</v>
      </c>
      <c r="L961" s="3">
        <f>C961/B961</f>
        <v>3.3480678499213665</v>
      </c>
      <c r="M961" s="3">
        <f t="shared" si="122"/>
        <v>3.3331053708561145</v>
      </c>
      <c r="N961" s="3">
        <f t="shared" si="126"/>
        <v>3.3137918362817267</v>
      </c>
      <c r="O961" s="3">
        <f t="shared" si="127"/>
        <v>3.2824710113804918</v>
      </c>
      <c r="P961" s="3">
        <f t="shared" si="120"/>
        <v>3.2710350243690618</v>
      </c>
      <c r="Q961" s="4" t="str">
        <f t="shared" si="125"/>
        <v>OVER</v>
      </c>
      <c r="R961" s="4" t="str">
        <f t="shared" si="125"/>
        <v>OVER</v>
      </c>
      <c r="S961" s="4" t="str">
        <f t="shared" si="123"/>
        <v>OVER</v>
      </c>
      <c r="T961" s="4" t="str">
        <f t="shared" si="123"/>
        <v>OVER</v>
      </c>
      <c r="U961" s="2">
        <f>IF(Q961="OVER",$J961,$K961)</f>
        <v>-262.2689906945094</v>
      </c>
      <c r="V961" s="2">
        <f>IF(R961="OVER",$J961,$K961)</f>
        <v>-262.2689906945094</v>
      </c>
      <c r="W961" s="2">
        <f>IF(S961="OVER",$J961,$K961)</f>
        <v>-262.2689906945094</v>
      </c>
      <c r="X961" s="2">
        <f>IF(T961="OVER",$J961,$K961)</f>
        <v>-262.2689906945094</v>
      </c>
      <c r="Y961" s="9">
        <f t="shared" si="124"/>
        <v>-8297.399489254889</v>
      </c>
      <c r="Z961" s="9">
        <f t="shared" si="124"/>
        <v>12123.516972683963</v>
      </c>
      <c r="AA961" s="9">
        <f t="shared" si="124"/>
        <v>63440.58288954309</v>
      </c>
      <c r="AB961" s="9">
        <f t="shared" si="121"/>
        <v>27359.599959580719</v>
      </c>
    </row>
    <row r="962" spans="1:28" x14ac:dyDescent="0.3">
      <c r="A962" s="1">
        <v>45812</v>
      </c>
      <c r="B962" s="2">
        <v>177.64</v>
      </c>
      <c r="C962" s="2">
        <v>595.92999999999995</v>
      </c>
      <c r="D962" s="9">
        <f>B962-B961</f>
        <v>-0.40000000000000568</v>
      </c>
      <c r="E962" s="9">
        <f>C962-C961</f>
        <v>-0.16000000000008185</v>
      </c>
      <c r="F962" s="3">
        <f>F$1/B962</f>
        <v>562.93627561360063</v>
      </c>
      <c r="G962" s="3">
        <f>F$1/C962</f>
        <v>167.8049435336365</v>
      </c>
      <c r="H962" s="2">
        <f>D962*F961</f>
        <v>-224.6686137946561</v>
      </c>
      <c r="I962" s="2">
        <f>E962*G961</f>
        <v>-26.841584324528483</v>
      </c>
      <c r="J962" s="2">
        <f>I962-H962</f>
        <v>197.82702947012763</v>
      </c>
      <c r="K962" s="2">
        <f t="shared" si="119"/>
        <v>-197.82702947012763</v>
      </c>
      <c r="L962" s="3">
        <f>C962/B962</f>
        <v>3.3547061472641295</v>
      </c>
      <c r="M962" s="3">
        <f t="shared" si="122"/>
        <v>3.3382974340504945</v>
      </c>
      <c r="N962" s="3">
        <f t="shared" si="126"/>
        <v>3.3172225273556064</v>
      </c>
      <c r="O962" s="3">
        <f t="shared" si="127"/>
        <v>3.2842136629842065</v>
      </c>
      <c r="P962" s="3">
        <f t="shared" si="120"/>
        <v>3.271577117645736</v>
      </c>
      <c r="Q962" s="4" t="str">
        <f t="shared" si="125"/>
        <v>OVER</v>
      </c>
      <c r="R962" s="4" t="str">
        <f t="shared" si="125"/>
        <v>OVER</v>
      </c>
      <c r="S962" s="4" t="str">
        <f t="shared" si="123"/>
        <v>OVER</v>
      </c>
      <c r="T962" s="4" t="str">
        <f t="shared" si="123"/>
        <v>OVER</v>
      </c>
      <c r="U962" s="2">
        <f>IF(Q962="OVER",$J962,$K962)</f>
        <v>197.82702947012763</v>
      </c>
      <c r="V962" s="2">
        <f>IF(R962="OVER",$J962,$K962)</f>
        <v>197.82702947012763</v>
      </c>
      <c r="W962" s="2">
        <f>IF(S962="OVER",$J962,$K962)</f>
        <v>197.82702947012763</v>
      </c>
      <c r="X962" s="2">
        <f>IF(T962="OVER",$J962,$K962)</f>
        <v>197.82702947012763</v>
      </c>
      <c r="Y962" s="9">
        <f t="shared" si="124"/>
        <v>-8099.5724597847611</v>
      </c>
      <c r="Z962" s="9">
        <f t="shared" si="124"/>
        <v>12321.34400215409</v>
      </c>
      <c r="AA962" s="9">
        <f t="shared" si="124"/>
        <v>63638.409919013218</v>
      </c>
      <c r="AB962" s="9">
        <f t="shared" si="121"/>
        <v>27557.426989050848</v>
      </c>
    </row>
    <row r="963" spans="1:28" x14ac:dyDescent="0.3">
      <c r="A963" s="1">
        <v>45813</v>
      </c>
      <c r="B963" s="2">
        <v>177.16</v>
      </c>
      <c r="C963" s="2">
        <v>593.04999999999995</v>
      </c>
      <c r="D963" s="9">
        <f>B963-B962</f>
        <v>-0.47999999999998977</v>
      </c>
      <c r="E963" s="9">
        <f>C963-C962</f>
        <v>-2.8799999999999955</v>
      </c>
      <c r="F963" s="3">
        <f>F$1/B963</f>
        <v>564.46150372544594</v>
      </c>
      <c r="G963" s="3">
        <f>F$1/C963</f>
        <v>168.61984655593966</v>
      </c>
      <c r="H963" s="2">
        <f>D963*F962</f>
        <v>-270.20941229452256</v>
      </c>
      <c r="I963" s="2">
        <f>E963*G962</f>
        <v>-483.27823737687237</v>
      </c>
      <c r="J963" s="2">
        <f>I963-H963</f>
        <v>-213.0688250823498</v>
      </c>
      <c r="K963" s="2">
        <f t="shared" si="119"/>
        <v>213.0688250823498</v>
      </c>
      <c r="L963" s="3">
        <f>C963/B963</f>
        <v>3.3475389478437569</v>
      </c>
      <c r="M963" s="3">
        <f t="shared" si="122"/>
        <v>3.3411075962760677</v>
      </c>
      <c r="N963" s="3">
        <f t="shared" si="126"/>
        <v>3.3206834847962838</v>
      </c>
      <c r="O963" s="3">
        <f t="shared" si="127"/>
        <v>3.2854988973527326</v>
      </c>
      <c r="P963" s="3">
        <f t="shared" si="120"/>
        <v>3.2720860385238471</v>
      </c>
      <c r="Q963" s="4" t="str">
        <f t="shared" si="125"/>
        <v>OVER</v>
      </c>
      <c r="R963" s="4" t="str">
        <f t="shared" si="125"/>
        <v>OVER</v>
      </c>
      <c r="S963" s="4" t="str">
        <f t="shared" si="123"/>
        <v>OVER</v>
      </c>
      <c r="T963" s="4" t="str">
        <f t="shared" si="123"/>
        <v>OVER</v>
      </c>
      <c r="U963" s="2">
        <f>IF(Q963="OVER",$J963,$K963)</f>
        <v>-213.0688250823498</v>
      </c>
      <c r="V963" s="2">
        <f>IF(R963="OVER",$J963,$K963)</f>
        <v>-213.0688250823498</v>
      </c>
      <c r="W963" s="2">
        <f>IF(S963="OVER",$J963,$K963)</f>
        <v>-213.0688250823498</v>
      </c>
      <c r="X963" s="2">
        <f>IF(T963="OVER",$J963,$K963)</f>
        <v>-213.0688250823498</v>
      </c>
      <c r="Y963" s="9">
        <f t="shared" si="124"/>
        <v>-8312.6412848671116</v>
      </c>
      <c r="Z963" s="9">
        <f t="shared" si="124"/>
        <v>12108.27517707174</v>
      </c>
      <c r="AA963" s="9">
        <f t="shared" si="124"/>
        <v>63425.341093930867</v>
      </c>
      <c r="AB963" s="9">
        <f t="shared" si="121"/>
        <v>27344.358163968496</v>
      </c>
    </row>
    <row r="964" spans="1:28" x14ac:dyDescent="0.3">
      <c r="A964" s="1">
        <v>45814</v>
      </c>
      <c r="B964" s="2">
        <v>178.69</v>
      </c>
      <c r="C964" s="2">
        <v>599.14</v>
      </c>
      <c r="D964" s="9">
        <f>B964-B963</f>
        <v>1.5300000000000011</v>
      </c>
      <c r="E964" s="9">
        <f>C964-C963</f>
        <v>6.0900000000000318</v>
      </c>
      <c r="F964" s="3">
        <f>F$1/B964</f>
        <v>559.62840673792607</v>
      </c>
      <c r="G964" s="3">
        <f>F$1/C964</f>
        <v>166.90589845445137</v>
      </c>
      <c r="H964" s="2">
        <f>D964*F963</f>
        <v>863.62610069993298</v>
      </c>
      <c r="I964" s="2">
        <f>E964*G963</f>
        <v>1026.8948655256779</v>
      </c>
      <c r="J964" s="2">
        <f>I964-H964</f>
        <v>163.26876482574494</v>
      </c>
      <c r="K964" s="2">
        <f t="shared" si="119"/>
        <v>-163.26876482574494</v>
      </c>
      <c r="L964" s="3">
        <f>C964/B964</f>
        <v>3.3529576361296098</v>
      </c>
      <c r="M964" s="3">
        <f t="shared" si="122"/>
        <v>3.3432661834049973</v>
      </c>
      <c r="N964" s="3">
        <f t="shared" si="126"/>
        <v>3.3246502357296981</v>
      </c>
      <c r="O964" s="3">
        <f t="shared" si="127"/>
        <v>3.2875540487034254</v>
      </c>
      <c r="P964" s="3">
        <f t="shared" si="120"/>
        <v>3.2725906570159777</v>
      </c>
      <c r="Q964" s="4" t="str">
        <f t="shared" si="125"/>
        <v>OVER</v>
      </c>
      <c r="R964" s="4" t="str">
        <f t="shared" si="125"/>
        <v>OVER</v>
      </c>
      <c r="S964" s="4" t="str">
        <f t="shared" si="123"/>
        <v>OVER</v>
      </c>
      <c r="T964" s="4" t="str">
        <f t="shared" si="123"/>
        <v>OVER</v>
      </c>
      <c r="U964" s="2">
        <f>IF(Q964="OVER",$J964,$K964)</f>
        <v>163.26876482574494</v>
      </c>
      <c r="V964" s="2">
        <f>IF(R964="OVER",$J964,$K964)</f>
        <v>163.26876482574494</v>
      </c>
      <c r="W964" s="2">
        <f>IF(S964="OVER",$J964,$K964)</f>
        <v>163.26876482574494</v>
      </c>
      <c r="X964" s="2">
        <f>IF(T964="OVER",$J964,$K964)</f>
        <v>163.26876482574494</v>
      </c>
      <c r="Y964" s="9">
        <f t="shared" si="124"/>
        <v>-8149.3725200413664</v>
      </c>
      <c r="Z964" s="9">
        <f t="shared" si="124"/>
        <v>12271.543941897486</v>
      </c>
      <c r="AA964" s="9">
        <f t="shared" si="124"/>
        <v>63588.609858756608</v>
      </c>
      <c r="AB964" s="9">
        <f t="shared" si="121"/>
        <v>27507.626928794241</v>
      </c>
    </row>
    <row r="965" spans="1:28" x14ac:dyDescent="0.3">
      <c r="A965" s="1">
        <v>45817</v>
      </c>
      <c r="B965" s="2">
        <v>178.72</v>
      </c>
      <c r="C965" s="2">
        <v>599.67999999999995</v>
      </c>
      <c r="D965" s="9">
        <f>B965-B964</f>
        <v>3.0000000000001137E-2</v>
      </c>
      <c r="E965" s="9">
        <f>C965-C964</f>
        <v>0.53999999999996362</v>
      </c>
      <c r="F965" s="3">
        <f>F$1/B965</f>
        <v>559.53446732318707</v>
      </c>
      <c r="G965" s="3">
        <f>F$1/C965</f>
        <v>166.75560298826042</v>
      </c>
      <c r="H965" s="2">
        <f>D965*F964</f>
        <v>16.788852202138418</v>
      </c>
      <c r="I965" s="2">
        <f>E965*G964</f>
        <v>90.129185165397672</v>
      </c>
      <c r="J965" s="2">
        <f>I965-H965</f>
        <v>73.340332963259257</v>
      </c>
      <c r="K965" s="2">
        <f t="shared" ref="K965:K1028" si="128">H965-I965</f>
        <v>-73.340332963259257</v>
      </c>
      <c r="L965" s="3">
        <f>C965/B965</f>
        <v>3.355416293643688</v>
      </c>
      <c r="M965" s="3">
        <f t="shared" si="122"/>
        <v>3.3466159926580827</v>
      </c>
      <c r="N965" s="3">
        <f t="shared" si="126"/>
        <v>3.3289105908882113</v>
      </c>
      <c r="O965" s="3">
        <f t="shared" si="127"/>
        <v>3.2896638073231617</v>
      </c>
      <c r="P965" s="3">
        <f t="shared" si="120"/>
        <v>3.2730696054620254</v>
      </c>
      <c r="Q965" s="4" t="str">
        <f t="shared" si="125"/>
        <v>OVER</v>
      </c>
      <c r="R965" s="4" t="str">
        <f t="shared" si="125"/>
        <v>OVER</v>
      </c>
      <c r="S965" s="4" t="str">
        <f t="shared" si="123"/>
        <v>OVER</v>
      </c>
      <c r="T965" s="4" t="str">
        <f t="shared" si="123"/>
        <v>OVER</v>
      </c>
      <c r="U965" s="2">
        <f>IF(Q965="OVER",$J965,$K965)</f>
        <v>73.340332963259257</v>
      </c>
      <c r="V965" s="2">
        <f>IF(R965="OVER",$J965,$K965)</f>
        <v>73.340332963259257</v>
      </c>
      <c r="W965" s="2">
        <f>IF(S965="OVER",$J965,$K965)</f>
        <v>73.340332963259257</v>
      </c>
      <c r="X965" s="2">
        <f>IF(T965="OVER",$J965,$K965)</f>
        <v>73.340332963259257</v>
      </c>
      <c r="Y965" s="9">
        <f t="shared" si="124"/>
        <v>-8076.0321870781072</v>
      </c>
      <c r="Z965" s="9">
        <f t="shared" si="124"/>
        <v>12344.884274860746</v>
      </c>
      <c r="AA965" s="9">
        <f t="shared" si="124"/>
        <v>63661.950191719865</v>
      </c>
      <c r="AB965" s="9">
        <f t="shared" si="121"/>
        <v>27580.967261757502</v>
      </c>
    </row>
    <row r="966" spans="1:28" x14ac:dyDescent="0.3">
      <c r="A966" s="1">
        <v>45818</v>
      </c>
      <c r="B966" s="2">
        <v>179.61</v>
      </c>
      <c r="C966" s="2">
        <v>603.08000000000004</v>
      </c>
      <c r="D966" s="9">
        <f>B966-B965</f>
        <v>0.89000000000001478</v>
      </c>
      <c r="E966" s="9">
        <f>C966-C965</f>
        <v>3.4000000000000909</v>
      </c>
      <c r="F966" s="3">
        <f>F$1/B966</f>
        <v>556.76187294694057</v>
      </c>
      <c r="G966" s="3">
        <f>F$1/C966</f>
        <v>165.81548053326259</v>
      </c>
      <c r="H966" s="2">
        <f>D966*F965</f>
        <v>497.98567591764476</v>
      </c>
      <c r="I966" s="2">
        <f>E966*G965</f>
        <v>566.96905016010055</v>
      </c>
      <c r="J966" s="2">
        <f>I966-H966</f>
        <v>68.983374242455795</v>
      </c>
      <c r="K966" s="2">
        <f t="shared" si="128"/>
        <v>-68.983374242455795</v>
      </c>
      <c r="L966" s="3">
        <f>C966/B966</f>
        <v>3.3577195033684095</v>
      </c>
      <c r="M966" s="3">
        <f t="shared" si="122"/>
        <v>3.3494957254028526</v>
      </c>
      <c r="N966" s="3">
        <f t="shared" si="126"/>
        <v>3.332388782638696</v>
      </c>
      <c r="O966" s="3">
        <f t="shared" si="127"/>
        <v>3.2921313522217286</v>
      </c>
      <c r="P966" s="3">
        <f t="shared" si="120"/>
        <v>3.273617762654419</v>
      </c>
      <c r="Q966" s="4" t="str">
        <f t="shared" si="125"/>
        <v>OVER</v>
      </c>
      <c r="R966" s="4" t="str">
        <f t="shared" si="125"/>
        <v>OVER</v>
      </c>
      <c r="S966" s="4" t="str">
        <f t="shared" si="123"/>
        <v>OVER</v>
      </c>
      <c r="T966" s="4" t="str">
        <f t="shared" si="123"/>
        <v>OVER</v>
      </c>
      <c r="U966" s="2">
        <f>IF(Q966="OVER",$J966,$K966)</f>
        <v>68.983374242455795</v>
      </c>
      <c r="V966" s="2">
        <f>IF(R966="OVER",$J966,$K966)</f>
        <v>68.983374242455795</v>
      </c>
      <c r="W966" s="2">
        <f>IF(S966="OVER",$J966,$K966)</f>
        <v>68.983374242455795</v>
      </c>
      <c r="X966" s="2">
        <f>IF(T966="OVER",$J966,$K966)</f>
        <v>68.983374242455795</v>
      </c>
      <c r="Y966" s="9">
        <f t="shared" si="124"/>
        <v>-8007.048812835651</v>
      </c>
      <c r="Z966" s="9">
        <f t="shared" si="124"/>
        <v>12413.867649103202</v>
      </c>
      <c r="AA966" s="9">
        <f t="shared" si="124"/>
        <v>63730.933565962318</v>
      </c>
      <c r="AB966" s="9">
        <f t="shared" si="121"/>
        <v>27649.950635999958</v>
      </c>
    </row>
    <row r="967" spans="1:28" x14ac:dyDescent="0.3">
      <c r="A967" s="1">
        <v>45819</v>
      </c>
      <c r="B967" s="2">
        <v>179.1</v>
      </c>
      <c r="C967" s="2">
        <v>601.36</v>
      </c>
      <c r="D967" s="9">
        <f>B967-B966</f>
        <v>-0.51000000000001933</v>
      </c>
      <c r="E967" s="9">
        <f>C967-C966</f>
        <v>-1.7200000000000273</v>
      </c>
      <c r="F967" s="3">
        <f>F$1/B967</f>
        <v>558.3472920156338</v>
      </c>
      <c r="G967" s="3">
        <f>F$1/C967</f>
        <v>166.28974324863643</v>
      </c>
      <c r="H967" s="2">
        <f>D967*F966</f>
        <v>-283.94855520295044</v>
      </c>
      <c r="I967" s="2">
        <f>E967*G966</f>
        <v>-285.20262651721617</v>
      </c>
      <c r="J967" s="2">
        <f>I967-H967</f>
        <v>-1.2540713142657296</v>
      </c>
      <c r="K967" s="2">
        <f t="shared" si="128"/>
        <v>1.2540713142657296</v>
      </c>
      <c r="L967" s="3">
        <f>C967/B967</f>
        <v>3.3576772752652153</v>
      </c>
      <c r="M967" s="3">
        <f t="shared" si="122"/>
        <v>3.3514587161769462</v>
      </c>
      <c r="N967" s="3">
        <f t="shared" si="126"/>
        <v>3.3351516559686423</v>
      </c>
      <c r="O967" s="3">
        <f t="shared" si="127"/>
        <v>3.2947013960240947</v>
      </c>
      <c r="P967" s="3">
        <f t="shared" si="120"/>
        <v>3.2742472971337024</v>
      </c>
      <c r="Q967" s="4" t="str">
        <f t="shared" si="125"/>
        <v>OVER</v>
      </c>
      <c r="R967" s="4" t="str">
        <f t="shared" si="125"/>
        <v>OVER</v>
      </c>
      <c r="S967" s="4" t="str">
        <f t="shared" si="123"/>
        <v>OVER</v>
      </c>
      <c r="T967" s="4" t="str">
        <f t="shared" si="123"/>
        <v>OVER</v>
      </c>
      <c r="U967" s="2">
        <f>IF(Q967="OVER",$J967,$K967)</f>
        <v>-1.2540713142657296</v>
      </c>
      <c r="V967" s="2">
        <f>IF(R967="OVER",$J967,$K967)</f>
        <v>-1.2540713142657296</v>
      </c>
      <c r="W967" s="2">
        <f>IF(S967="OVER",$J967,$K967)</f>
        <v>-1.2540713142657296</v>
      </c>
      <c r="X967" s="2">
        <f>IF(T967="OVER",$J967,$K967)</f>
        <v>-1.2540713142657296</v>
      </c>
      <c r="Y967" s="9">
        <f t="shared" si="124"/>
        <v>-8008.3028841499163</v>
      </c>
      <c r="Z967" s="9">
        <f t="shared" si="124"/>
        <v>12412.613577788936</v>
      </c>
      <c r="AA967" s="9">
        <f t="shared" si="124"/>
        <v>63729.679494648051</v>
      </c>
      <c r="AB967" s="9">
        <f t="shared" si="121"/>
        <v>27648.696564685692</v>
      </c>
    </row>
    <row r="968" spans="1:28" x14ac:dyDescent="0.3">
      <c r="A968" s="1">
        <v>45820</v>
      </c>
      <c r="B968" s="2">
        <v>179.52</v>
      </c>
      <c r="C968" s="2">
        <v>603.75</v>
      </c>
      <c r="D968" s="9">
        <f>B968-B967</f>
        <v>0.42000000000001592</v>
      </c>
      <c r="E968" s="9">
        <f>C968-C967</f>
        <v>2.3899999999999864</v>
      </c>
      <c r="F968" s="3">
        <f>F$1/B968</f>
        <v>557.04099821746877</v>
      </c>
      <c r="G968" s="3">
        <f>F$1/C968</f>
        <v>165.63146997929607</v>
      </c>
      <c r="H968" s="2">
        <f>D968*F967</f>
        <v>234.50586264657508</v>
      </c>
      <c r="I968" s="2">
        <f>E968*G967</f>
        <v>397.4324863642388</v>
      </c>
      <c r="J968" s="2">
        <f>I968-H968</f>
        <v>162.92662371766372</v>
      </c>
      <c r="K968" s="2">
        <f t="shared" si="128"/>
        <v>-162.92662371766372</v>
      </c>
      <c r="L968" s="3">
        <f>C968/B968</f>
        <v>3.3631350267379676</v>
      </c>
      <c r="M968" s="3">
        <f t="shared" si="122"/>
        <v>3.3534662698422446</v>
      </c>
      <c r="N968" s="3">
        <f t="shared" si="126"/>
        <v>3.3369748286382701</v>
      </c>
      <c r="O968" s="3">
        <f t="shared" si="127"/>
        <v>3.2972654055952426</v>
      </c>
      <c r="P968" s="3">
        <f t="shared" si="120"/>
        <v>3.2749376136902266</v>
      </c>
      <c r="Q968" s="4" t="str">
        <f t="shared" si="125"/>
        <v>OVER</v>
      </c>
      <c r="R968" s="4" t="str">
        <f t="shared" si="125"/>
        <v>OVER</v>
      </c>
      <c r="S968" s="4" t="str">
        <f t="shared" si="123"/>
        <v>OVER</v>
      </c>
      <c r="T968" s="4" t="str">
        <f t="shared" si="123"/>
        <v>OVER</v>
      </c>
      <c r="U968" s="2">
        <f>IF(Q968="OVER",$J968,$K968)</f>
        <v>162.92662371766372</v>
      </c>
      <c r="V968" s="2">
        <f>IF(R968="OVER",$J968,$K968)</f>
        <v>162.92662371766372</v>
      </c>
      <c r="W968" s="2">
        <f>IF(S968="OVER",$J968,$K968)</f>
        <v>162.92662371766372</v>
      </c>
      <c r="X968" s="2">
        <f>IF(T968="OVER",$J968,$K968)</f>
        <v>162.92662371766372</v>
      </c>
      <c r="Y968" s="9">
        <f t="shared" si="124"/>
        <v>-7845.3762604322528</v>
      </c>
      <c r="Z968" s="9">
        <f t="shared" si="124"/>
        <v>12575.540201506599</v>
      </c>
      <c r="AA968" s="9">
        <f t="shared" si="124"/>
        <v>63892.606118365715</v>
      </c>
      <c r="AB968" s="9">
        <f t="shared" si="121"/>
        <v>27811.623188403355</v>
      </c>
    </row>
    <row r="969" spans="1:28" x14ac:dyDescent="0.3">
      <c r="A969" s="1">
        <v>45821</v>
      </c>
      <c r="B969" s="2">
        <v>177.35</v>
      </c>
      <c r="C969" s="2">
        <v>597</v>
      </c>
      <c r="D969" s="9">
        <f>B969-B968</f>
        <v>-2.1700000000000159</v>
      </c>
      <c r="E969" s="9">
        <f>C969-C968</f>
        <v>-6.75</v>
      </c>
      <c r="F969" s="3">
        <f>F$1/B969</f>
        <v>563.85678037778405</v>
      </c>
      <c r="G969" s="3">
        <f>F$1/C969</f>
        <v>167.50418760469012</v>
      </c>
      <c r="H969" s="2">
        <f>D969*F968</f>
        <v>-1208.7789661319161</v>
      </c>
      <c r="I969" s="2">
        <f>E969*G968</f>
        <v>-1118.0124223602484</v>
      </c>
      <c r="J969" s="2">
        <f>I969-H969</f>
        <v>90.766543771667784</v>
      </c>
      <c r="K969" s="2">
        <f t="shared" si="128"/>
        <v>-90.766543771667784</v>
      </c>
      <c r="L969" s="3">
        <f>C969/B969</f>
        <v>3.3662249788553709</v>
      </c>
      <c r="M969" s="3">
        <f t="shared" si="122"/>
        <v>3.35602426622577</v>
      </c>
      <c r="N969" s="3">
        <f t="shared" si="126"/>
        <v>3.339649856755186</v>
      </c>
      <c r="O969" s="3">
        <f t="shared" si="127"/>
        <v>3.3000216791629713</v>
      </c>
      <c r="P969" s="3">
        <f t="shared" si="120"/>
        <v>3.2756790501699742</v>
      </c>
      <c r="Q969" s="4" t="str">
        <f t="shared" si="125"/>
        <v>OVER</v>
      </c>
      <c r="R969" s="4" t="str">
        <f t="shared" si="125"/>
        <v>OVER</v>
      </c>
      <c r="S969" s="4" t="str">
        <f t="shared" si="123"/>
        <v>OVER</v>
      </c>
      <c r="T969" s="4" t="str">
        <f t="shared" si="123"/>
        <v>OVER</v>
      </c>
      <c r="U969" s="2">
        <f>IF(Q969="OVER",$J969,$K969)</f>
        <v>90.766543771667784</v>
      </c>
      <c r="V969" s="2">
        <f>IF(R969="OVER",$J969,$K969)</f>
        <v>90.766543771667784</v>
      </c>
      <c r="W969" s="2">
        <f>IF(S969="OVER",$J969,$K969)</f>
        <v>90.766543771667784</v>
      </c>
      <c r="X969" s="2">
        <f>IF(T969="OVER",$J969,$K969)</f>
        <v>90.766543771667784</v>
      </c>
      <c r="Y969" s="9">
        <f t="shared" si="124"/>
        <v>-7754.609716660585</v>
      </c>
      <c r="Z969" s="9">
        <f t="shared" si="124"/>
        <v>12666.306745278267</v>
      </c>
      <c r="AA969" s="9">
        <f t="shared" si="124"/>
        <v>63983.372662137379</v>
      </c>
      <c r="AB969" s="9">
        <f t="shared" si="121"/>
        <v>27902.389732175023</v>
      </c>
    </row>
    <row r="970" spans="1:28" x14ac:dyDescent="0.3">
      <c r="A970" s="1">
        <v>45824</v>
      </c>
      <c r="B970" s="2">
        <v>179.06</v>
      </c>
      <c r="C970" s="2">
        <v>602.67999999999995</v>
      </c>
      <c r="D970" s="9">
        <f>B970-B969</f>
        <v>1.710000000000008</v>
      </c>
      <c r="E970" s="9">
        <f>C970-C969</f>
        <v>5.67999999999995</v>
      </c>
      <c r="F970" s="3">
        <f>F$1/B970</f>
        <v>558.47202055177036</v>
      </c>
      <c r="G970" s="3">
        <f>F$1/C970</f>
        <v>165.92553262095973</v>
      </c>
      <c r="H970" s="2">
        <f>D970*F969</f>
        <v>964.19509444601522</v>
      </c>
      <c r="I970" s="2">
        <f>E970*G969</f>
        <v>951.42378559463145</v>
      </c>
      <c r="J970" s="2">
        <f>I970-H970</f>
        <v>-12.771308851383765</v>
      </c>
      <c r="K970" s="2">
        <f t="shared" si="128"/>
        <v>12.771308851383765</v>
      </c>
      <c r="L970" s="3">
        <f>C970/B970</f>
        <v>3.3657991734614092</v>
      </c>
      <c r="M970" s="3">
        <f t="shared" si="122"/>
        <v>3.356924283249092</v>
      </c>
      <c r="N970" s="3">
        <f t="shared" si="126"/>
        <v>3.3428750896101547</v>
      </c>
      <c r="O970" s="3">
        <f t="shared" si="127"/>
        <v>3.3028808080114094</v>
      </c>
      <c r="P970" s="3">
        <f t="shared" si="120"/>
        <v>3.2764036583114415</v>
      </c>
      <c r="Q970" s="4" t="str">
        <f t="shared" si="125"/>
        <v>OVER</v>
      </c>
      <c r="R970" s="4" t="str">
        <f t="shared" si="125"/>
        <v>OVER</v>
      </c>
      <c r="S970" s="4" t="str">
        <f t="shared" si="123"/>
        <v>OVER</v>
      </c>
      <c r="T970" s="4" t="str">
        <f t="shared" si="123"/>
        <v>OVER</v>
      </c>
      <c r="U970" s="2">
        <f>IF(Q970="OVER",$J970,$K970)</f>
        <v>-12.771308851383765</v>
      </c>
      <c r="V970" s="2">
        <f>IF(R970="OVER",$J970,$K970)</f>
        <v>-12.771308851383765</v>
      </c>
      <c r="W970" s="2">
        <f>IF(S970="OVER",$J970,$K970)</f>
        <v>-12.771308851383765</v>
      </c>
      <c r="X970" s="2">
        <f>IF(T970="OVER",$J970,$K970)</f>
        <v>-12.771308851383765</v>
      </c>
      <c r="Y970" s="9">
        <f t="shared" si="124"/>
        <v>-7767.3810255119688</v>
      </c>
      <c r="Z970" s="9">
        <f t="shared" si="124"/>
        <v>12653.535436426882</v>
      </c>
      <c r="AA970" s="9">
        <f t="shared" si="124"/>
        <v>63970.601353285994</v>
      </c>
      <c r="AB970" s="9">
        <f t="shared" si="121"/>
        <v>27889.618423323638</v>
      </c>
    </row>
    <row r="971" spans="1:28" x14ac:dyDescent="0.3">
      <c r="A971" s="1">
        <v>45825</v>
      </c>
      <c r="B971" s="2">
        <v>177.34</v>
      </c>
      <c r="C971" s="2">
        <v>597.53</v>
      </c>
      <c r="D971" s="9">
        <f>B971-B970</f>
        <v>-1.7199999999999989</v>
      </c>
      <c r="E971" s="9">
        <f>C971-C970</f>
        <v>-5.1499999999999773</v>
      </c>
      <c r="F971" s="3">
        <f>F$1/B971</f>
        <v>563.88857561745795</v>
      </c>
      <c r="G971" s="3">
        <f>F$1/C971</f>
        <v>167.35561394406977</v>
      </c>
      <c r="H971" s="2">
        <f>D971*F970</f>
        <v>-960.57187534904438</v>
      </c>
      <c r="I971" s="2">
        <f>E971*G970</f>
        <v>-854.51649299793883</v>
      </c>
      <c r="J971" s="2">
        <f>I971-H971</f>
        <v>106.05538235110555</v>
      </c>
      <c r="K971" s="2">
        <f t="shared" si="128"/>
        <v>-106.05538235110555</v>
      </c>
      <c r="L971" s="3">
        <f>C971/B971</f>
        <v>3.3694034058869966</v>
      </c>
      <c r="M971" s="3">
        <f t="shared" si="122"/>
        <v>3.3590578388456551</v>
      </c>
      <c r="N971" s="3">
        <f t="shared" si="126"/>
        <v>3.3460816048508848</v>
      </c>
      <c r="O971" s="3">
        <f t="shared" si="127"/>
        <v>3.3059757090595472</v>
      </c>
      <c r="P971" s="3">
        <f t="shared" ref="P971:P1034" si="129">AVERAGE(L772:L971)</f>
        <v>3.2771955767039644</v>
      </c>
      <c r="Q971" s="4" t="str">
        <f t="shared" si="125"/>
        <v>OVER</v>
      </c>
      <c r="R971" s="4" t="str">
        <f t="shared" si="125"/>
        <v>OVER</v>
      </c>
      <c r="S971" s="4" t="str">
        <f t="shared" si="123"/>
        <v>OVER</v>
      </c>
      <c r="T971" s="4" t="str">
        <f t="shared" si="123"/>
        <v>OVER</v>
      </c>
      <c r="U971" s="2">
        <f>IF(Q971="OVER",$J971,$K971)</f>
        <v>106.05538235110555</v>
      </c>
      <c r="V971" s="2">
        <f>IF(R971="OVER",$J971,$K971)</f>
        <v>106.05538235110555</v>
      </c>
      <c r="W971" s="2">
        <f>IF(S971="OVER",$J971,$K971)</f>
        <v>106.05538235110555</v>
      </c>
      <c r="X971" s="2">
        <f>IF(T971="OVER",$J971,$K971)</f>
        <v>106.05538235110555</v>
      </c>
      <c r="Y971" s="9">
        <f t="shared" si="124"/>
        <v>-7661.3256431608634</v>
      </c>
      <c r="Z971" s="9">
        <f t="shared" si="124"/>
        <v>12759.590818777988</v>
      </c>
      <c r="AA971" s="9">
        <f t="shared" si="124"/>
        <v>64076.656735637102</v>
      </c>
      <c r="AB971" s="9">
        <f t="shared" si="121"/>
        <v>27995.673805674745</v>
      </c>
    </row>
    <row r="972" spans="1:28" x14ac:dyDescent="0.3">
      <c r="A972" s="1">
        <v>45826</v>
      </c>
      <c r="B972" s="2">
        <v>177.36</v>
      </c>
      <c r="C972" s="2">
        <v>597.44000000000005</v>
      </c>
      <c r="D972" s="9">
        <f>B972-B971</f>
        <v>2.0000000000010232E-2</v>
      </c>
      <c r="E972" s="9">
        <f>C972-C971</f>
        <v>-8.9999999999918145E-2</v>
      </c>
      <c r="F972" s="3">
        <f>F$1/B972</f>
        <v>563.82498872350016</v>
      </c>
      <c r="G972" s="3">
        <f>F$1/C972</f>
        <v>167.38082485270485</v>
      </c>
      <c r="H972" s="2">
        <f>D972*F971</f>
        <v>11.277771512354928</v>
      </c>
      <c r="I972" s="2">
        <f>E972*G971</f>
        <v>-15.062005254952581</v>
      </c>
      <c r="J972" s="2">
        <f>I972-H972</f>
        <v>-26.339776767307509</v>
      </c>
      <c r="K972" s="2">
        <f t="shared" si="128"/>
        <v>26.339776767307509</v>
      </c>
      <c r="L972" s="3">
        <f>C972/B972</f>
        <v>3.3685160126296796</v>
      </c>
      <c r="M972" s="3">
        <f t="shared" si="122"/>
        <v>3.3604388253822099</v>
      </c>
      <c r="N972" s="3">
        <f t="shared" si="126"/>
        <v>3.3493681297163524</v>
      </c>
      <c r="O972" s="3">
        <f t="shared" si="127"/>
        <v>3.3086279950528223</v>
      </c>
      <c r="P972" s="3">
        <f t="shared" si="129"/>
        <v>3.2780414228684189</v>
      </c>
      <c r="Q972" s="4" t="str">
        <f t="shared" si="125"/>
        <v>OVER</v>
      </c>
      <c r="R972" s="4" t="str">
        <f t="shared" si="125"/>
        <v>OVER</v>
      </c>
      <c r="S972" s="4" t="str">
        <f t="shared" si="123"/>
        <v>OVER</v>
      </c>
      <c r="T972" s="4" t="str">
        <f t="shared" si="123"/>
        <v>OVER</v>
      </c>
      <c r="U972" s="2">
        <f>IF(Q972="OVER",$J972,$K972)</f>
        <v>-26.339776767307509</v>
      </c>
      <c r="V972" s="2">
        <f>IF(R972="OVER",$J972,$K972)</f>
        <v>-26.339776767307509</v>
      </c>
      <c r="W972" s="2">
        <f>IF(S972="OVER",$J972,$K972)</f>
        <v>-26.339776767307509</v>
      </c>
      <c r="X972" s="2">
        <f>IF(T972="OVER",$J972,$K972)</f>
        <v>-26.339776767307509</v>
      </c>
      <c r="Y972" s="9">
        <f t="shared" si="124"/>
        <v>-7687.6654199281711</v>
      </c>
      <c r="Z972" s="9">
        <f t="shared" si="124"/>
        <v>12733.251042010681</v>
      </c>
      <c r="AA972" s="9">
        <f t="shared" si="124"/>
        <v>64050.316958869793</v>
      </c>
      <c r="AB972" s="9">
        <f t="shared" si="124"/>
        <v>27969.334028907437</v>
      </c>
    </row>
    <row r="973" spans="1:28" x14ac:dyDescent="0.3">
      <c r="A973" s="1">
        <v>45828</v>
      </c>
      <c r="B973" s="2">
        <v>177.65</v>
      </c>
      <c r="C973" s="2">
        <v>594.28</v>
      </c>
      <c r="D973" s="9">
        <f>B973-B972</f>
        <v>0.28999999999999204</v>
      </c>
      <c r="E973" s="9">
        <f>C973-C972</f>
        <v>-3.1600000000000819</v>
      </c>
      <c r="F973" s="3">
        <f>F$1/B973</f>
        <v>562.90458767238954</v>
      </c>
      <c r="G973" s="3">
        <f>F$1/C973</f>
        <v>168.27084875816115</v>
      </c>
      <c r="H973" s="2">
        <f>D973*F972</f>
        <v>163.50924672981057</v>
      </c>
      <c r="I973" s="2">
        <f>E973*G972</f>
        <v>-528.92340653456097</v>
      </c>
      <c r="J973" s="2">
        <f>I973-H973</f>
        <v>-692.43265326437154</v>
      </c>
      <c r="K973" s="2">
        <f t="shared" si="128"/>
        <v>692.43265326437154</v>
      </c>
      <c r="L973" s="3">
        <f>C973/B973</f>
        <v>3.3452293836194764</v>
      </c>
      <c r="M973" s="3">
        <f t="shared" ref="M973:M1036" si="130">AVERAGE(L964:L973)</f>
        <v>3.3602078689597823</v>
      </c>
      <c r="N973" s="3">
        <f t="shared" si="126"/>
        <v>3.3506577326179245</v>
      </c>
      <c r="O973" s="3">
        <f t="shared" si="127"/>
        <v>3.310603530217529</v>
      </c>
      <c r="P973" s="3">
        <f t="shared" si="129"/>
        <v>3.278742096425511</v>
      </c>
      <c r="Q973" s="4" t="str">
        <f t="shared" si="125"/>
        <v>OVER</v>
      </c>
      <c r="R973" s="4" t="str">
        <f t="shared" si="125"/>
        <v>OVER</v>
      </c>
      <c r="S973" s="4" t="str">
        <f t="shared" ref="S973:T1036" si="131">IF($L973&gt;O973,"OVER","UNDER")</f>
        <v>OVER</v>
      </c>
      <c r="T973" s="4" t="str">
        <f t="shared" si="131"/>
        <v>OVER</v>
      </c>
      <c r="U973" s="2">
        <f>IF(Q973="OVER",$J973,$K973)</f>
        <v>-692.43265326437154</v>
      </c>
      <c r="V973" s="2">
        <f>IF(R973="OVER",$J973,$K973)</f>
        <v>-692.43265326437154</v>
      </c>
      <c r="W973" s="2">
        <f>IF(S973="OVER",$J973,$K973)</f>
        <v>-692.43265326437154</v>
      </c>
      <c r="X973" s="2">
        <f>IF(T973="OVER",$J973,$K973)</f>
        <v>-692.43265326437154</v>
      </c>
      <c r="Y973" s="9">
        <f t="shared" ref="Y973:AB1036" si="132">Y972+U973</f>
        <v>-8380.0980731925429</v>
      </c>
      <c r="Z973" s="9">
        <f t="shared" si="132"/>
        <v>12040.818388746309</v>
      </c>
      <c r="AA973" s="9">
        <f t="shared" si="132"/>
        <v>63357.884305605425</v>
      </c>
      <c r="AB973" s="9">
        <f t="shared" si="132"/>
        <v>27276.901375643065</v>
      </c>
    </row>
    <row r="974" spans="1:28" x14ac:dyDescent="0.3">
      <c r="A974" s="1">
        <v>45831</v>
      </c>
      <c r="B974" s="2">
        <v>178.49</v>
      </c>
      <c r="C974" s="2">
        <v>600.15</v>
      </c>
      <c r="D974" s="9">
        <f>B974-B973</f>
        <v>0.84000000000000341</v>
      </c>
      <c r="E974" s="9">
        <f>C974-C973</f>
        <v>5.8700000000000045</v>
      </c>
      <c r="F974" s="3">
        <f>F$1/B974</f>
        <v>560.25547649728276</v>
      </c>
      <c r="G974" s="3">
        <f>F$1/C974</f>
        <v>166.62501041406315</v>
      </c>
      <c r="H974" s="2">
        <f>D974*F973</f>
        <v>472.83985364480912</v>
      </c>
      <c r="I974" s="2">
        <f>E974*G973</f>
        <v>987.74988221040667</v>
      </c>
      <c r="J974" s="2">
        <f>I974-H974</f>
        <v>514.91002856559749</v>
      </c>
      <c r="K974" s="2">
        <f t="shared" si="128"/>
        <v>-514.91002856559749</v>
      </c>
      <c r="L974" s="3">
        <f>C974/B974</f>
        <v>3.362373242198442</v>
      </c>
      <c r="M974" s="3">
        <f t="shared" si="130"/>
        <v>3.3611494295666651</v>
      </c>
      <c r="N974" s="3">
        <f t="shared" si="126"/>
        <v>3.3522078064858314</v>
      </c>
      <c r="O974" s="3">
        <f t="shared" si="127"/>
        <v>3.3114160229132779</v>
      </c>
      <c r="P974" s="3">
        <f t="shared" si="129"/>
        <v>3.2796539568764671</v>
      </c>
      <c r="Q974" s="4" t="str">
        <f t="shared" ref="Q974:R1037" si="133">IF($L973&gt;M973,"OVER","UNDER")</f>
        <v>UNDER</v>
      </c>
      <c r="R974" s="4" t="str">
        <f t="shared" si="133"/>
        <v>UNDER</v>
      </c>
      <c r="S974" s="4" t="str">
        <f t="shared" si="131"/>
        <v>OVER</v>
      </c>
      <c r="T974" s="4" t="str">
        <f t="shared" si="131"/>
        <v>OVER</v>
      </c>
      <c r="U974" s="2">
        <f>IF(Q974="OVER",$J974,$K974)</f>
        <v>-514.91002856559749</v>
      </c>
      <c r="V974" s="2">
        <f>IF(R974="OVER",$J974,$K974)</f>
        <v>-514.91002856559749</v>
      </c>
      <c r="W974" s="2">
        <f>IF(S974="OVER",$J974,$K974)</f>
        <v>514.91002856559749</v>
      </c>
      <c r="X974" s="2">
        <f>IF(T974="OVER",$J974,$K974)</f>
        <v>514.91002856559749</v>
      </c>
      <c r="Y974" s="9">
        <f t="shared" si="132"/>
        <v>-8895.0081017581397</v>
      </c>
      <c r="Z974" s="9">
        <f t="shared" si="132"/>
        <v>11525.908360180712</v>
      </c>
      <c r="AA974" s="9">
        <f t="shared" si="132"/>
        <v>63872.79433417102</v>
      </c>
      <c r="AB974" s="9">
        <f t="shared" si="132"/>
        <v>27791.811404208664</v>
      </c>
    </row>
    <row r="975" spans="1:28" x14ac:dyDescent="0.3">
      <c r="A975" s="1">
        <v>45832</v>
      </c>
      <c r="B975" s="2">
        <v>180.18</v>
      </c>
      <c r="C975" s="2">
        <v>606.78</v>
      </c>
      <c r="D975" s="9">
        <f>B975-B974</f>
        <v>1.6899999999999977</v>
      </c>
      <c r="E975" s="9">
        <f>C975-C974</f>
        <v>6.6299999999999955</v>
      </c>
      <c r="F975" s="3">
        <f>F$1/B975</f>
        <v>555.00055500055498</v>
      </c>
      <c r="G975" s="3">
        <f>F$1/C975</f>
        <v>164.80437720425854</v>
      </c>
      <c r="H975" s="2">
        <f>D975*F974</f>
        <v>946.83175528040658</v>
      </c>
      <c r="I975" s="2">
        <f>E975*G974</f>
        <v>1104.7238190452379</v>
      </c>
      <c r="J975" s="2">
        <f>I975-H975</f>
        <v>157.89206376483128</v>
      </c>
      <c r="K975" s="2">
        <f t="shared" si="128"/>
        <v>-157.89206376483128</v>
      </c>
      <c r="L975" s="3">
        <f>C975/B975</f>
        <v>3.3676323676323672</v>
      </c>
      <c r="M975" s="3">
        <f t="shared" si="130"/>
        <v>3.3623710369655329</v>
      </c>
      <c r="N975" s="3">
        <f t="shared" si="126"/>
        <v>3.354493514811808</v>
      </c>
      <c r="O975" s="3">
        <f t="shared" si="127"/>
        <v>3.313031828160661</v>
      </c>
      <c r="P975" s="3">
        <f t="shared" si="129"/>
        <v>3.2806017749213656</v>
      </c>
      <c r="Q975" s="4" t="str">
        <f t="shared" si="133"/>
        <v>OVER</v>
      </c>
      <c r="R975" s="4" t="str">
        <f t="shared" si="133"/>
        <v>OVER</v>
      </c>
      <c r="S975" s="4" t="str">
        <f t="shared" si="131"/>
        <v>OVER</v>
      </c>
      <c r="T975" s="4" t="str">
        <f t="shared" si="131"/>
        <v>OVER</v>
      </c>
      <c r="U975" s="2">
        <f>IF(Q975="OVER",$J975,$K975)</f>
        <v>157.89206376483128</v>
      </c>
      <c r="V975" s="2">
        <f>IF(R975="OVER",$J975,$K975)</f>
        <v>157.89206376483128</v>
      </c>
      <c r="W975" s="2">
        <f>IF(S975="OVER",$J975,$K975)</f>
        <v>157.89206376483128</v>
      </c>
      <c r="X975" s="2">
        <f>IF(T975="OVER",$J975,$K975)</f>
        <v>157.89206376483128</v>
      </c>
      <c r="Y975" s="9">
        <f t="shared" si="132"/>
        <v>-8737.1160379933081</v>
      </c>
      <c r="Z975" s="9">
        <f t="shared" si="132"/>
        <v>11683.800423945544</v>
      </c>
      <c r="AA975" s="9">
        <f t="shared" si="132"/>
        <v>64030.686397935853</v>
      </c>
      <c r="AB975" s="9">
        <f t="shared" si="132"/>
        <v>27949.703467973493</v>
      </c>
    </row>
    <row r="976" spans="1:28" x14ac:dyDescent="0.3">
      <c r="A976" s="1">
        <v>45833</v>
      </c>
      <c r="B976" s="2">
        <v>178.88</v>
      </c>
      <c r="C976" s="2">
        <v>607.12</v>
      </c>
      <c r="D976" s="9">
        <f>B976-B975</f>
        <v>-1.3000000000000114</v>
      </c>
      <c r="E976" s="9">
        <f>C976-C975</f>
        <v>0.34000000000003183</v>
      </c>
      <c r="F976" s="3">
        <f>F$1/B976</f>
        <v>559.03398926654745</v>
      </c>
      <c r="G976" s="3">
        <f>F$1/C976</f>
        <v>164.7120832784293</v>
      </c>
      <c r="H976" s="2">
        <f>D976*F975</f>
        <v>-721.50072150072776</v>
      </c>
      <c r="I976" s="2">
        <f>E976*G975</f>
        <v>56.03348824945315</v>
      </c>
      <c r="J976" s="2">
        <f>I976-H976</f>
        <v>777.53420975018093</v>
      </c>
      <c r="K976" s="2">
        <f t="shared" si="128"/>
        <v>-777.53420975018093</v>
      </c>
      <c r="L976" s="3">
        <f>C976/B976</f>
        <v>3.3940071556350628</v>
      </c>
      <c r="M976" s="3">
        <f t="shared" si="130"/>
        <v>3.3659998021921984</v>
      </c>
      <c r="N976" s="3">
        <f t="shared" si="126"/>
        <v>3.3577477637975255</v>
      </c>
      <c r="O976" s="3">
        <f t="shared" si="127"/>
        <v>3.3150015898389715</v>
      </c>
      <c r="P976" s="3">
        <f t="shared" si="129"/>
        <v>3.281622594216663</v>
      </c>
      <c r="Q976" s="4" t="str">
        <f t="shared" si="133"/>
        <v>OVER</v>
      </c>
      <c r="R976" s="4" t="str">
        <f t="shared" si="133"/>
        <v>OVER</v>
      </c>
      <c r="S976" s="4" t="str">
        <f t="shared" si="131"/>
        <v>OVER</v>
      </c>
      <c r="T976" s="4" t="str">
        <f t="shared" si="131"/>
        <v>OVER</v>
      </c>
      <c r="U976" s="2">
        <f>IF(Q976="OVER",$J976,$K976)</f>
        <v>777.53420975018093</v>
      </c>
      <c r="V976" s="2">
        <f>IF(R976="OVER",$J976,$K976)</f>
        <v>777.53420975018093</v>
      </c>
      <c r="W976" s="2">
        <f>IF(S976="OVER",$J976,$K976)</f>
        <v>777.53420975018093</v>
      </c>
      <c r="X976" s="2">
        <f>IF(T976="OVER",$J976,$K976)</f>
        <v>777.53420975018093</v>
      </c>
      <c r="Y976" s="9">
        <f t="shared" si="132"/>
        <v>-7959.5818282431273</v>
      </c>
      <c r="Z976" s="9">
        <f t="shared" si="132"/>
        <v>12461.334633695726</v>
      </c>
      <c r="AA976" s="9">
        <f t="shared" si="132"/>
        <v>64808.220607686031</v>
      </c>
      <c r="AB976" s="9">
        <f t="shared" si="132"/>
        <v>28727.237677723675</v>
      </c>
    </row>
    <row r="977" spans="1:28" x14ac:dyDescent="0.3">
      <c r="A977" s="1">
        <v>45834</v>
      </c>
      <c r="B977" s="2">
        <v>180.23</v>
      </c>
      <c r="C977" s="2">
        <v>611.87</v>
      </c>
      <c r="D977" s="9">
        <f>B977-B976</f>
        <v>1.3499999999999943</v>
      </c>
      <c r="E977" s="9">
        <f>C977-C976</f>
        <v>4.75</v>
      </c>
      <c r="F977" s="3">
        <f>F$1/B977</f>
        <v>554.84658491926984</v>
      </c>
      <c r="G977" s="3">
        <f>F$1/C977</f>
        <v>163.43340905747954</v>
      </c>
      <c r="H977" s="2">
        <f>D977*F976</f>
        <v>754.69588550983588</v>
      </c>
      <c r="I977" s="2">
        <f>E977*G976</f>
        <v>782.38239557253917</v>
      </c>
      <c r="J977" s="2">
        <f>I977-H977</f>
        <v>27.686510062703292</v>
      </c>
      <c r="K977" s="2">
        <f t="shared" si="128"/>
        <v>-27.686510062703292</v>
      </c>
      <c r="L977" s="3">
        <f>C977/B977</f>
        <v>3.3949397991455363</v>
      </c>
      <c r="M977" s="3">
        <f t="shared" si="130"/>
        <v>3.369726054580231</v>
      </c>
      <c r="N977" s="3">
        <f t="shared" si="126"/>
        <v>3.3605923853785891</v>
      </c>
      <c r="O977" s="3">
        <f t="shared" si="127"/>
        <v>3.317190104878498</v>
      </c>
      <c r="P977" s="3">
        <f t="shared" si="129"/>
        <v>3.2827463105195189</v>
      </c>
      <c r="Q977" s="4" t="str">
        <f t="shared" si="133"/>
        <v>OVER</v>
      </c>
      <c r="R977" s="4" t="str">
        <f t="shared" si="133"/>
        <v>OVER</v>
      </c>
      <c r="S977" s="4" t="str">
        <f t="shared" si="131"/>
        <v>OVER</v>
      </c>
      <c r="T977" s="4" t="str">
        <f t="shared" si="131"/>
        <v>OVER</v>
      </c>
      <c r="U977" s="2">
        <f>IF(Q977="OVER",$J977,$K977)</f>
        <v>27.686510062703292</v>
      </c>
      <c r="V977" s="2">
        <f>IF(R977="OVER",$J977,$K977)</f>
        <v>27.686510062703292</v>
      </c>
      <c r="W977" s="2">
        <f>IF(S977="OVER",$J977,$K977)</f>
        <v>27.686510062703292</v>
      </c>
      <c r="X977" s="2">
        <f>IF(T977="OVER",$J977,$K977)</f>
        <v>27.686510062703292</v>
      </c>
      <c r="Y977" s="9">
        <f t="shared" si="132"/>
        <v>-7931.8953181804245</v>
      </c>
      <c r="Z977" s="9">
        <f t="shared" si="132"/>
        <v>12489.021143758429</v>
      </c>
      <c r="AA977" s="9">
        <f t="shared" si="132"/>
        <v>64835.907117748735</v>
      </c>
      <c r="AB977" s="9">
        <f t="shared" si="132"/>
        <v>28754.924187786379</v>
      </c>
    </row>
    <row r="978" spans="1:28" x14ac:dyDescent="0.3">
      <c r="A978" s="1">
        <v>45835</v>
      </c>
      <c r="B978" s="2">
        <v>180.89</v>
      </c>
      <c r="C978" s="2">
        <v>614.91</v>
      </c>
      <c r="D978" s="9">
        <f>B978-B977</f>
        <v>0.65999999999999659</v>
      </c>
      <c r="E978" s="9">
        <f>C978-C977</f>
        <v>3.0399999999999636</v>
      </c>
      <c r="F978" s="3">
        <f>F$1/B978</f>
        <v>552.82215711205708</v>
      </c>
      <c r="G978" s="3">
        <f>F$1/C978</f>
        <v>162.62542485892246</v>
      </c>
      <c r="H978" s="2">
        <f>D978*F977</f>
        <v>366.19874604671622</v>
      </c>
      <c r="I978" s="2">
        <f>E978*G977</f>
        <v>496.83756353473183</v>
      </c>
      <c r="J978" s="2">
        <f>I978-H978</f>
        <v>130.6388174880156</v>
      </c>
      <c r="K978" s="2">
        <f t="shared" si="128"/>
        <v>-130.6388174880156</v>
      </c>
      <c r="L978" s="3">
        <f>C978/B978</f>
        <v>3.3993587262977503</v>
      </c>
      <c r="M978" s="3">
        <f t="shared" si="130"/>
        <v>3.3733484245362093</v>
      </c>
      <c r="N978" s="3">
        <f t="shared" si="126"/>
        <v>3.3634073471892272</v>
      </c>
      <c r="O978" s="3">
        <f t="shared" si="127"/>
        <v>3.3194387125176839</v>
      </c>
      <c r="P978" s="3">
        <f t="shared" si="129"/>
        <v>3.2838683220475793</v>
      </c>
      <c r="Q978" s="4" t="str">
        <f t="shared" si="133"/>
        <v>OVER</v>
      </c>
      <c r="R978" s="4" t="str">
        <f t="shared" si="133"/>
        <v>OVER</v>
      </c>
      <c r="S978" s="4" t="str">
        <f t="shared" si="131"/>
        <v>OVER</v>
      </c>
      <c r="T978" s="4" t="str">
        <f t="shared" si="131"/>
        <v>OVER</v>
      </c>
      <c r="U978" s="2">
        <f>IF(Q978="OVER",$J978,$K978)</f>
        <v>130.6388174880156</v>
      </c>
      <c r="V978" s="2">
        <f>IF(R978="OVER",$J978,$K978)</f>
        <v>130.6388174880156</v>
      </c>
      <c r="W978" s="2">
        <f>IF(S978="OVER",$J978,$K978)</f>
        <v>130.6388174880156</v>
      </c>
      <c r="X978" s="2">
        <f>IF(T978="OVER",$J978,$K978)</f>
        <v>130.6388174880156</v>
      </c>
      <c r="Y978" s="9">
        <f t="shared" si="132"/>
        <v>-7801.2565006924087</v>
      </c>
      <c r="Z978" s="9">
        <f t="shared" si="132"/>
        <v>12619.659961246445</v>
      </c>
      <c r="AA978" s="9">
        <f t="shared" si="132"/>
        <v>64966.545935236747</v>
      </c>
      <c r="AB978" s="9">
        <f t="shared" si="132"/>
        <v>28885.563005274395</v>
      </c>
    </row>
    <row r="979" spans="1:28" x14ac:dyDescent="0.3">
      <c r="A979" s="1">
        <v>45838</v>
      </c>
      <c r="B979" s="2">
        <v>181.74</v>
      </c>
      <c r="C979" s="2">
        <v>617.85</v>
      </c>
      <c r="D979" s="9">
        <f>B979-B978</f>
        <v>0.85000000000002274</v>
      </c>
      <c r="E979" s="9">
        <f>C979-C978</f>
        <v>2.9400000000000546</v>
      </c>
      <c r="F979" s="3">
        <f>F$1/B979</f>
        <v>550.23660173874759</v>
      </c>
      <c r="G979" s="3">
        <f>F$1/C979</f>
        <v>161.85158209921502</v>
      </c>
      <c r="H979" s="2">
        <f>D979*F978</f>
        <v>469.89883354526108</v>
      </c>
      <c r="I979" s="2">
        <f>E979*G978</f>
        <v>478.11874908524089</v>
      </c>
      <c r="J979" s="2">
        <f>I979-H979</f>
        <v>8.2199155399798087</v>
      </c>
      <c r="K979" s="2">
        <f t="shared" si="128"/>
        <v>-8.2199155399798087</v>
      </c>
      <c r="L979" s="3">
        <f>C979/B979</f>
        <v>3.3996368438428526</v>
      </c>
      <c r="M979" s="3">
        <f t="shared" si="130"/>
        <v>3.3766896110349576</v>
      </c>
      <c r="N979" s="3">
        <f t="shared" si="126"/>
        <v>3.3663569386303642</v>
      </c>
      <c r="O979" s="3">
        <f t="shared" si="127"/>
        <v>3.3223181086290254</v>
      </c>
      <c r="P979" s="3">
        <f t="shared" si="129"/>
        <v>3.284931837277246</v>
      </c>
      <c r="Q979" s="4" t="str">
        <f t="shared" si="133"/>
        <v>OVER</v>
      </c>
      <c r="R979" s="4" t="str">
        <f t="shared" si="133"/>
        <v>OVER</v>
      </c>
      <c r="S979" s="4" t="str">
        <f t="shared" si="131"/>
        <v>OVER</v>
      </c>
      <c r="T979" s="4" t="str">
        <f t="shared" si="131"/>
        <v>OVER</v>
      </c>
      <c r="U979" s="2">
        <f>IF(Q979="OVER",$J979,$K979)</f>
        <v>8.2199155399798087</v>
      </c>
      <c r="V979" s="2">
        <f>IF(R979="OVER",$J979,$K979)</f>
        <v>8.2199155399798087</v>
      </c>
      <c r="W979" s="2">
        <f>IF(S979="OVER",$J979,$K979)</f>
        <v>8.2199155399798087</v>
      </c>
      <c r="X979" s="2">
        <f>IF(T979="OVER",$J979,$K979)</f>
        <v>8.2199155399798087</v>
      </c>
      <c r="Y979" s="9">
        <f t="shared" si="132"/>
        <v>-7793.0365851524293</v>
      </c>
      <c r="Z979" s="9">
        <f t="shared" si="132"/>
        <v>12627.879876786425</v>
      </c>
      <c r="AA979" s="9">
        <f t="shared" si="132"/>
        <v>64974.765850776726</v>
      </c>
      <c r="AB979" s="9">
        <f t="shared" si="132"/>
        <v>28893.782920814374</v>
      </c>
    </row>
    <row r="980" spans="1:28" x14ac:dyDescent="0.3">
      <c r="A980" s="1">
        <v>45839</v>
      </c>
      <c r="B980" s="2">
        <v>183.87</v>
      </c>
      <c r="C980" s="2">
        <v>617.65</v>
      </c>
      <c r="D980" s="9">
        <f>B980-B979</f>
        <v>2.1299999999999955</v>
      </c>
      <c r="E980" s="9">
        <f>C980-C979</f>
        <v>-0.20000000000004547</v>
      </c>
      <c r="F980" s="3">
        <f>F$1/B980</f>
        <v>543.86251155707839</v>
      </c>
      <c r="G980" s="3">
        <f>F$1/C980</f>
        <v>161.90399093337652</v>
      </c>
      <c r="H980" s="2">
        <f>D980*F979</f>
        <v>1172.00396170353</v>
      </c>
      <c r="I980" s="2">
        <f>E980*G979</f>
        <v>-32.370316419850361</v>
      </c>
      <c r="J980" s="2">
        <f>I980-H980</f>
        <v>-1204.3742781233802</v>
      </c>
      <c r="K980" s="2">
        <f t="shared" si="128"/>
        <v>1204.3742781233802</v>
      </c>
      <c r="L980" s="3">
        <f>C980/B980</f>
        <v>3.3591668026322945</v>
      </c>
      <c r="M980" s="3">
        <f t="shared" si="130"/>
        <v>3.3760263739520453</v>
      </c>
      <c r="N980" s="3">
        <f t="shared" si="126"/>
        <v>3.3664753286005693</v>
      </c>
      <c r="O980" s="3">
        <f t="shared" si="127"/>
        <v>3.324776251026194</v>
      </c>
      <c r="P980" s="3">
        <f t="shared" si="129"/>
        <v>3.285637004933315</v>
      </c>
      <c r="Q980" s="4" t="str">
        <f t="shared" si="133"/>
        <v>OVER</v>
      </c>
      <c r="R980" s="4" t="str">
        <f t="shared" si="133"/>
        <v>OVER</v>
      </c>
      <c r="S980" s="4" t="str">
        <f t="shared" si="131"/>
        <v>OVER</v>
      </c>
      <c r="T980" s="4" t="str">
        <f t="shared" si="131"/>
        <v>OVER</v>
      </c>
      <c r="U980" s="2">
        <f>IF(Q980="OVER",$J980,$K980)</f>
        <v>-1204.3742781233802</v>
      </c>
      <c r="V980" s="2">
        <f>IF(R980="OVER",$J980,$K980)</f>
        <v>-1204.3742781233802</v>
      </c>
      <c r="W980" s="2">
        <f>IF(S980="OVER",$J980,$K980)</f>
        <v>-1204.3742781233802</v>
      </c>
      <c r="X980" s="2">
        <f>IF(T980="OVER",$J980,$K980)</f>
        <v>-1204.3742781233802</v>
      </c>
      <c r="Y980" s="9">
        <f t="shared" si="132"/>
        <v>-8997.4108632758089</v>
      </c>
      <c r="Z980" s="9">
        <f t="shared" si="132"/>
        <v>11423.505598663045</v>
      </c>
      <c r="AA980" s="9">
        <f t="shared" si="132"/>
        <v>63770.391572653345</v>
      </c>
      <c r="AB980" s="9">
        <f t="shared" si="132"/>
        <v>27689.408642690993</v>
      </c>
    </row>
    <row r="981" spans="1:28" x14ac:dyDescent="0.3">
      <c r="A981" s="1">
        <v>45840</v>
      </c>
      <c r="B981" s="2">
        <v>184.29</v>
      </c>
      <c r="C981" s="2">
        <v>620.45000000000005</v>
      </c>
      <c r="D981" s="9">
        <f>B981-B980</f>
        <v>0.41999999999998749</v>
      </c>
      <c r="E981" s="9">
        <f>C981-C980</f>
        <v>2.8000000000000682</v>
      </c>
      <c r="F981" s="3">
        <f>F$1/B981</f>
        <v>542.62303977426882</v>
      </c>
      <c r="G981" s="3">
        <f>F$1/C981</f>
        <v>161.17334192924488</v>
      </c>
      <c r="H981" s="2">
        <f>D981*F980</f>
        <v>228.42225485396614</v>
      </c>
      <c r="I981" s="2">
        <f>E981*G980</f>
        <v>453.33117461346529</v>
      </c>
      <c r="J981" s="2">
        <f>I981-H981</f>
        <v>224.90891975949916</v>
      </c>
      <c r="K981" s="2">
        <f t="shared" si="128"/>
        <v>-224.90891975949916</v>
      </c>
      <c r="L981" s="3">
        <f>C981/B981</f>
        <v>3.3667046502794511</v>
      </c>
      <c r="M981" s="3">
        <f t="shared" si="130"/>
        <v>3.3757564983912913</v>
      </c>
      <c r="N981" s="3">
        <f t="shared" si="126"/>
        <v>3.367407168618473</v>
      </c>
      <c r="O981" s="3">
        <f t="shared" si="127"/>
        <v>3.3276295108552971</v>
      </c>
      <c r="P981" s="3">
        <f t="shared" si="129"/>
        <v>3.2863444826121708</v>
      </c>
      <c r="Q981" s="4" t="str">
        <f t="shared" si="133"/>
        <v>UNDER</v>
      </c>
      <c r="R981" s="4" t="str">
        <f t="shared" si="133"/>
        <v>UNDER</v>
      </c>
      <c r="S981" s="4" t="str">
        <f t="shared" si="131"/>
        <v>OVER</v>
      </c>
      <c r="T981" s="4" t="str">
        <f t="shared" si="131"/>
        <v>OVER</v>
      </c>
      <c r="U981" s="2">
        <f>IF(Q981="OVER",$J981,$K981)</f>
        <v>-224.90891975949916</v>
      </c>
      <c r="V981" s="2">
        <f>IF(R981="OVER",$J981,$K981)</f>
        <v>-224.90891975949916</v>
      </c>
      <c r="W981" s="2">
        <f>IF(S981="OVER",$J981,$K981)</f>
        <v>224.90891975949916</v>
      </c>
      <c r="X981" s="2">
        <f>IF(T981="OVER",$J981,$K981)</f>
        <v>224.90891975949916</v>
      </c>
      <c r="Y981" s="9">
        <f t="shared" si="132"/>
        <v>-9222.3197830353074</v>
      </c>
      <c r="Z981" s="9">
        <f t="shared" si="132"/>
        <v>11198.596678903546</v>
      </c>
      <c r="AA981" s="9">
        <f t="shared" si="132"/>
        <v>63995.300492412847</v>
      </c>
      <c r="AB981" s="9">
        <f t="shared" si="132"/>
        <v>27914.317562450491</v>
      </c>
    </row>
    <row r="982" spans="1:28" x14ac:dyDescent="0.3">
      <c r="A982" s="1">
        <v>45841</v>
      </c>
      <c r="B982" s="2">
        <v>185.18</v>
      </c>
      <c r="C982" s="2">
        <v>625.34</v>
      </c>
      <c r="D982" s="9">
        <f>B982-B981</f>
        <v>0.89000000000001478</v>
      </c>
      <c r="E982" s="9">
        <f>C982-C981</f>
        <v>4.8899999999999864</v>
      </c>
      <c r="F982" s="3">
        <f>F$1/B982</f>
        <v>540.01512042337185</v>
      </c>
      <c r="G982" s="3">
        <f>F$1/C982</f>
        <v>159.91300732401572</v>
      </c>
      <c r="H982" s="2">
        <f>D982*F981</f>
        <v>482.93450539910725</v>
      </c>
      <c r="I982" s="2">
        <f>E982*G981</f>
        <v>788.13764203400524</v>
      </c>
      <c r="J982" s="2">
        <f>I982-H982</f>
        <v>305.20313663489799</v>
      </c>
      <c r="K982" s="2">
        <f t="shared" si="128"/>
        <v>-305.20313663489799</v>
      </c>
      <c r="L982" s="3">
        <f>C982/B982</f>
        <v>3.3769305540555137</v>
      </c>
      <c r="M982" s="3">
        <f t="shared" si="130"/>
        <v>3.3765979525338752</v>
      </c>
      <c r="N982" s="3">
        <f t="shared" si="126"/>
        <v>3.368518388958043</v>
      </c>
      <c r="O982" s="3">
        <f t="shared" si="127"/>
        <v>3.330601626712308</v>
      </c>
      <c r="P982" s="3">
        <f t="shared" si="129"/>
        <v>3.2871726243259367</v>
      </c>
      <c r="Q982" s="4" t="str">
        <f t="shared" si="133"/>
        <v>UNDER</v>
      </c>
      <c r="R982" s="4" t="str">
        <f t="shared" si="133"/>
        <v>UNDER</v>
      </c>
      <c r="S982" s="4" t="str">
        <f t="shared" si="131"/>
        <v>OVER</v>
      </c>
      <c r="T982" s="4" t="str">
        <f t="shared" si="131"/>
        <v>OVER</v>
      </c>
      <c r="U982" s="2">
        <f>IF(Q982="OVER",$J982,$K982)</f>
        <v>-305.20313663489799</v>
      </c>
      <c r="V982" s="2">
        <f>IF(R982="OVER",$J982,$K982)</f>
        <v>-305.20313663489799</v>
      </c>
      <c r="W982" s="2">
        <f>IF(S982="OVER",$J982,$K982)</f>
        <v>305.20313663489799</v>
      </c>
      <c r="X982" s="2">
        <f>IF(T982="OVER",$J982,$K982)</f>
        <v>305.20313663489799</v>
      </c>
      <c r="Y982" s="9">
        <f t="shared" si="132"/>
        <v>-9527.5229196702057</v>
      </c>
      <c r="Z982" s="9">
        <f t="shared" si="132"/>
        <v>10893.393542268648</v>
      </c>
      <c r="AA982" s="9">
        <f t="shared" si="132"/>
        <v>64300.503629047744</v>
      </c>
      <c r="AB982" s="9">
        <f t="shared" si="132"/>
        <v>28219.520699085388</v>
      </c>
    </row>
    <row r="983" spans="1:28" x14ac:dyDescent="0.3">
      <c r="A983" s="1">
        <v>45845</v>
      </c>
      <c r="B983" s="2">
        <v>183.7</v>
      </c>
      <c r="C983" s="2">
        <v>620.67999999999995</v>
      </c>
      <c r="D983" s="9">
        <f>B983-B982</f>
        <v>-1.4800000000000182</v>
      </c>
      <c r="E983" s="9">
        <f>C983-C982</f>
        <v>-4.6600000000000819</v>
      </c>
      <c r="F983" s="3">
        <f>F$1/B983</f>
        <v>544.36581382689167</v>
      </c>
      <c r="G983" s="3">
        <f>F$1/C983</f>
        <v>161.11361732293614</v>
      </c>
      <c r="H983" s="2">
        <f>D983*F982</f>
        <v>-799.2223782266002</v>
      </c>
      <c r="I983" s="2">
        <f>E983*G982</f>
        <v>-745.19461412992632</v>
      </c>
      <c r="J983" s="2">
        <f>I983-H983</f>
        <v>54.027764096673877</v>
      </c>
      <c r="K983" s="2">
        <f t="shared" si="128"/>
        <v>-54.027764096673877</v>
      </c>
      <c r="L983" s="3">
        <f>C983/B983</f>
        <v>3.3787697332607514</v>
      </c>
      <c r="M983" s="3">
        <f t="shared" si="130"/>
        <v>3.3799519874980022</v>
      </c>
      <c r="N983" s="3">
        <f t="shared" ref="N983:N1046" si="134">AVERAGE(L964:L983)</f>
        <v>3.3700799282288934</v>
      </c>
      <c r="O983" s="3">
        <f t="shared" si="127"/>
        <v>3.3332382706194879</v>
      </c>
      <c r="P983" s="3">
        <f t="shared" si="129"/>
        <v>3.2881020981340598</v>
      </c>
      <c r="Q983" s="4" t="str">
        <f t="shared" si="133"/>
        <v>OVER</v>
      </c>
      <c r="R983" s="4" t="str">
        <f t="shared" si="133"/>
        <v>OVER</v>
      </c>
      <c r="S983" s="4" t="str">
        <f t="shared" si="131"/>
        <v>OVER</v>
      </c>
      <c r="T983" s="4" t="str">
        <f t="shared" si="131"/>
        <v>OVER</v>
      </c>
      <c r="U983" s="2">
        <f>IF(Q983="OVER",$J983,$K983)</f>
        <v>54.027764096673877</v>
      </c>
      <c r="V983" s="2">
        <f>IF(R983="OVER",$J983,$K983)</f>
        <v>54.027764096673877</v>
      </c>
      <c r="W983" s="2">
        <f>IF(S983="OVER",$J983,$K983)</f>
        <v>54.027764096673877</v>
      </c>
      <c r="X983" s="2">
        <f>IF(T983="OVER",$J983,$K983)</f>
        <v>54.027764096673877</v>
      </c>
      <c r="Y983" s="9">
        <f t="shared" si="132"/>
        <v>-9473.4951555735315</v>
      </c>
      <c r="Z983" s="9">
        <f t="shared" si="132"/>
        <v>10947.421306365322</v>
      </c>
      <c r="AA983" s="9">
        <f t="shared" si="132"/>
        <v>64354.531393144418</v>
      </c>
      <c r="AB983" s="9">
        <f t="shared" si="132"/>
        <v>28273.548463182062</v>
      </c>
    </row>
    <row r="984" spans="1:28" x14ac:dyDescent="0.3">
      <c r="A984" s="1">
        <v>45846</v>
      </c>
      <c r="B984" s="2">
        <v>184.16</v>
      </c>
      <c r="C984" s="2">
        <v>620.34</v>
      </c>
      <c r="D984" s="9">
        <f>B984-B983</f>
        <v>0.46000000000000796</v>
      </c>
      <c r="E984" s="9">
        <f>C984-C983</f>
        <v>-0.33999999999991815</v>
      </c>
      <c r="F984" s="3">
        <f>F$1/B984</f>
        <v>543.00608166811469</v>
      </c>
      <c r="G984" s="3">
        <f>F$1/C984</f>
        <v>161.20192152690458</v>
      </c>
      <c r="H984" s="2">
        <f>D984*F983</f>
        <v>250.40827436037449</v>
      </c>
      <c r="I984" s="2">
        <f>E984*G983</f>
        <v>-54.778629889785101</v>
      </c>
      <c r="J984" s="2">
        <f>I984-H984</f>
        <v>-305.18690425015961</v>
      </c>
      <c r="K984" s="2">
        <f t="shared" si="128"/>
        <v>305.18690425015961</v>
      </c>
      <c r="L984" s="3">
        <f>C984/B984</f>
        <v>3.3684839270199829</v>
      </c>
      <c r="M984" s="3">
        <f t="shared" si="130"/>
        <v>3.3805630559801565</v>
      </c>
      <c r="N984" s="3">
        <f t="shared" si="134"/>
        <v>3.370856242773411</v>
      </c>
      <c r="O984" s="3">
        <f t="shared" si="127"/>
        <v>3.3354054922453433</v>
      </c>
      <c r="P984" s="3">
        <f t="shared" si="129"/>
        <v>3.2889971404042568</v>
      </c>
      <c r="Q984" s="4" t="str">
        <f t="shared" si="133"/>
        <v>UNDER</v>
      </c>
      <c r="R984" s="4" t="str">
        <f t="shared" si="133"/>
        <v>OVER</v>
      </c>
      <c r="S984" s="4" t="str">
        <f t="shared" si="131"/>
        <v>OVER</v>
      </c>
      <c r="T984" s="4" t="str">
        <f t="shared" si="131"/>
        <v>OVER</v>
      </c>
      <c r="U984" s="2">
        <f>IF(Q984="OVER",$J984,$K984)</f>
        <v>305.18690425015961</v>
      </c>
      <c r="V984" s="2">
        <f>IF(R984="OVER",$J984,$K984)</f>
        <v>-305.18690425015961</v>
      </c>
      <c r="W984" s="2">
        <f>IF(S984="OVER",$J984,$K984)</f>
        <v>-305.18690425015961</v>
      </c>
      <c r="X984" s="2">
        <f>IF(T984="OVER",$J984,$K984)</f>
        <v>-305.18690425015961</v>
      </c>
      <c r="Y984" s="9">
        <f t="shared" si="132"/>
        <v>-9168.3082513233712</v>
      </c>
      <c r="Z984" s="9">
        <f t="shared" si="132"/>
        <v>10642.234402115162</v>
      </c>
      <c r="AA984" s="9">
        <f t="shared" si="132"/>
        <v>64049.344488894261</v>
      </c>
      <c r="AB984" s="9">
        <f t="shared" si="132"/>
        <v>27968.361558931902</v>
      </c>
    </row>
    <row r="985" spans="1:28" x14ac:dyDescent="0.3">
      <c r="A985" s="1">
        <v>45847</v>
      </c>
      <c r="B985" s="2">
        <v>184.71</v>
      </c>
      <c r="C985" s="2">
        <v>624.05999999999995</v>
      </c>
      <c r="D985" s="9">
        <f>B985-B984</f>
        <v>0.55000000000001137</v>
      </c>
      <c r="E985" s="9">
        <f>C985-C984</f>
        <v>3.7199999999999136</v>
      </c>
      <c r="F985" s="3">
        <f>F$1/B985</f>
        <v>541.38920469925824</v>
      </c>
      <c r="G985" s="3">
        <f>F$1/C985</f>
        <v>160.24100246771144</v>
      </c>
      <c r="H985" s="2">
        <f>D985*F984</f>
        <v>298.65334491746927</v>
      </c>
      <c r="I985" s="2">
        <f>E985*G984</f>
        <v>599.67114808007113</v>
      </c>
      <c r="J985" s="2">
        <f>I985-H985</f>
        <v>301.01780316260187</v>
      </c>
      <c r="K985" s="2">
        <f t="shared" si="128"/>
        <v>-301.01780316260187</v>
      </c>
      <c r="L985" s="3">
        <f>C985/B985</f>
        <v>3.3785934708461909</v>
      </c>
      <c r="M985" s="3">
        <f t="shared" si="130"/>
        <v>3.3816591663015387</v>
      </c>
      <c r="N985" s="3">
        <f t="shared" si="134"/>
        <v>3.3720151016335365</v>
      </c>
      <c r="O985" s="3">
        <f t="shared" si="127"/>
        <v>3.3372096698139546</v>
      </c>
      <c r="P985" s="3">
        <f t="shared" si="129"/>
        <v>3.2899602513371722</v>
      </c>
      <c r="Q985" s="4" t="str">
        <f t="shared" si="133"/>
        <v>UNDER</v>
      </c>
      <c r="R985" s="4" t="str">
        <f t="shared" si="133"/>
        <v>UNDER</v>
      </c>
      <c r="S985" s="4" t="str">
        <f t="shared" si="131"/>
        <v>OVER</v>
      </c>
      <c r="T985" s="4" t="str">
        <f t="shared" si="131"/>
        <v>OVER</v>
      </c>
      <c r="U985" s="2">
        <f>IF(Q985="OVER",$J985,$K985)</f>
        <v>-301.01780316260187</v>
      </c>
      <c r="V985" s="2">
        <f>IF(R985="OVER",$J985,$K985)</f>
        <v>-301.01780316260187</v>
      </c>
      <c r="W985" s="2">
        <f>IF(S985="OVER",$J985,$K985)</f>
        <v>301.01780316260187</v>
      </c>
      <c r="X985" s="2">
        <f>IF(T985="OVER",$J985,$K985)</f>
        <v>301.01780316260187</v>
      </c>
      <c r="Y985" s="9">
        <f t="shared" si="132"/>
        <v>-9469.3260544859731</v>
      </c>
      <c r="Z985" s="9">
        <f t="shared" si="132"/>
        <v>10341.21659895256</v>
      </c>
      <c r="AA985" s="9">
        <f t="shared" si="132"/>
        <v>64350.36229205686</v>
      </c>
      <c r="AB985" s="9">
        <f t="shared" si="132"/>
        <v>28269.379362094503</v>
      </c>
    </row>
    <row r="986" spans="1:28" x14ac:dyDescent="0.3">
      <c r="A986" s="1">
        <v>45848</v>
      </c>
      <c r="B986" s="2">
        <v>185.78</v>
      </c>
      <c r="C986" s="2">
        <v>625.82000000000005</v>
      </c>
      <c r="D986" s="9">
        <f>B986-B985</f>
        <v>1.0699999999999932</v>
      </c>
      <c r="E986" s="9">
        <f>C986-C985</f>
        <v>1.7600000000001046</v>
      </c>
      <c r="F986" s="3">
        <f>F$1/B986</f>
        <v>538.27107331252023</v>
      </c>
      <c r="G986" s="3">
        <f>F$1/C986</f>
        <v>159.79035505416891</v>
      </c>
      <c r="H986" s="2">
        <f>D986*F985</f>
        <v>579.28644902820258</v>
      </c>
      <c r="I986" s="2">
        <f>E986*G985</f>
        <v>282.02416434318889</v>
      </c>
      <c r="J986" s="2">
        <f>I986-H986</f>
        <v>-297.2622846850137</v>
      </c>
      <c r="K986" s="2">
        <f t="shared" si="128"/>
        <v>297.2622846850137</v>
      </c>
      <c r="L986" s="3">
        <f>C986/B986</f>
        <v>3.3686080310044142</v>
      </c>
      <c r="M986" s="3">
        <f t="shared" si="130"/>
        <v>3.3791192538384736</v>
      </c>
      <c r="N986" s="3">
        <f t="shared" si="134"/>
        <v>3.3725595280153362</v>
      </c>
      <c r="O986" s="3">
        <f t="shared" si="127"/>
        <v>3.3389732072801603</v>
      </c>
      <c r="P986" s="3">
        <f t="shared" si="129"/>
        <v>3.2907726328364584</v>
      </c>
      <c r="Q986" s="4" t="str">
        <f t="shared" si="133"/>
        <v>UNDER</v>
      </c>
      <c r="R986" s="4" t="str">
        <f t="shared" si="133"/>
        <v>OVER</v>
      </c>
      <c r="S986" s="4" t="str">
        <f t="shared" si="131"/>
        <v>OVER</v>
      </c>
      <c r="T986" s="4" t="str">
        <f t="shared" si="131"/>
        <v>OVER</v>
      </c>
      <c r="U986" s="2">
        <f>IF(Q986="OVER",$J986,$K986)</f>
        <v>297.2622846850137</v>
      </c>
      <c r="V986" s="2">
        <f>IF(R986="OVER",$J986,$K986)</f>
        <v>-297.2622846850137</v>
      </c>
      <c r="W986" s="2">
        <f>IF(S986="OVER",$J986,$K986)</f>
        <v>-297.2622846850137</v>
      </c>
      <c r="X986" s="2">
        <f>IF(T986="OVER",$J986,$K986)</f>
        <v>-297.2622846850137</v>
      </c>
      <c r="Y986" s="9">
        <f t="shared" si="132"/>
        <v>-9172.0637698009596</v>
      </c>
      <c r="Z986" s="9">
        <f t="shared" si="132"/>
        <v>10043.954314267547</v>
      </c>
      <c r="AA986" s="9">
        <f t="shared" si="132"/>
        <v>64053.100007371846</v>
      </c>
      <c r="AB986" s="9">
        <f t="shared" si="132"/>
        <v>27972.11707740949</v>
      </c>
    </row>
    <row r="987" spans="1:28" x14ac:dyDescent="0.3">
      <c r="A987" s="1">
        <v>45849</v>
      </c>
      <c r="B987" s="2">
        <v>184.42</v>
      </c>
      <c r="C987" s="2">
        <v>623.62</v>
      </c>
      <c r="D987" s="9">
        <f>B987-B986</f>
        <v>-1.3600000000000136</v>
      </c>
      <c r="E987" s="9">
        <f>C987-C986</f>
        <v>-2.2000000000000455</v>
      </c>
      <c r="F987" s="3">
        <f>F$1/B987</f>
        <v>542.2405379026136</v>
      </c>
      <c r="G987" s="3">
        <f>F$1/C987</f>
        <v>160.35406176838458</v>
      </c>
      <c r="H987" s="2">
        <f>D987*F986</f>
        <v>-732.04865970503488</v>
      </c>
      <c r="I987" s="2">
        <f>E987*G986</f>
        <v>-351.53878111917885</v>
      </c>
      <c r="J987" s="2">
        <f>I987-H987</f>
        <v>380.50987858585603</v>
      </c>
      <c r="K987" s="2">
        <f t="shared" si="128"/>
        <v>-380.50987858585603</v>
      </c>
      <c r="L987" s="3">
        <f>C987/B987</f>
        <v>3.381520442468279</v>
      </c>
      <c r="M987" s="3">
        <f t="shared" si="130"/>
        <v>3.3777773181707476</v>
      </c>
      <c r="N987" s="3">
        <f t="shared" si="134"/>
        <v>3.3737516863754893</v>
      </c>
      <c r="O987" s="3">
        <f t="shared" si="127"/>
        <v>3.3409647765794968</v>
      </c>
      <c r="P987" s="3">
        <f t="shared" si="129"/>
        <v>3.2916677801344627</v>
      </c>
      <c r="Q987" s="4" t="str">
        <f t="shared" si="133"/>
        <v>UNDER</v>
      </c>
      <c r="R987" s="4" t="str">
        <f t="shared" si="133"/>
        <v>UNDER</v>
      </c>
      <c r="S987" s="4" t="str">
        <f t="shared" si="131"/>
        <v>OVER</v>
      </c>
      <c r="T987" s="4" t="str">
        <f t="shared" si="131"/>
        <v>OVER</v>
      </c>
      <c r="U987" s="2">
        <f>IF(Q987="OVER",$J987,$K987)</f>
        <v>-380.50987858585603</v>
      </c>
      <c r="V987" s="2">
        <f>IF(R987="OVER",$J987,$K987)</f>
        <v>-380.50987858585603</v>
      </c>
      <c r="W987" s="2">
        <f>IF(S987="OVER",$J987,$K987)</f>
        <v>380.50987858585603</v>
      </c>
      <c r="X987" s="2">
        <f>IF(T987="OVER",$J987,$K987)</f>
        <v>380.50987858585603</v>
      </c>
      <c r="Y987" s="9">
        <f t="shared" si="132"/>
        <v>-9552.573648386815</v>
      </c>
      <c r="Z987" s="9">
        <f t="shared" si="132"/>
        <v>9663.4444356816912</v>
      </c>
      <c r="AA987" s="9">
        <f t="shared" si="132"/>
        <v>64433.609885957703</v>
      </c>
      <c r="AB987" s="9">
        <f t="shared" si="132"/>
        <v>28352.626955995347</v>
      </c>
    </row>
    <row r="988" spans="1:28" x14ac:dyDescent="0.3">
      <c r="A988" s="1">
        <v>45852</v>
      </c>
      <c r="B988" s="2">
        <v>184.61</v>
      </c>
      <c r="C988" s="2">
        <v>624.80999999999995</v>
      </c>
      <c r="D988" s="9">
        <f>B988-B987</f>
        <v>0.19000000000002615</v>
      </c>
      <c r="E988" s="9">
        <f>C988-C987</f>
        <v>1.1899999999999409</v>
      </c>
      <c r="F988" s="3">
        <f>F$1/B988</f>
        <v>541.68246573858403</v>
      </c>
      <c r="G988" s="3">
        <f>F$1/C988</f>
        <v>160.04865479105649</v>
      </c>
      <c r="H988" s="2">
        <f>D988*F987</f>
        <v>103.02570220151077</v>
      </c>
      <c r="I988" s="2">
        <f>E988*G987</f>
        <v>190.82133350436817</v>
      </c>
      <c r="J988" s="2">
        <f>I988-H988</f>
        <v>87.795631302857402</v>
      </c>
      <c r="K988" s="2">
        <f t="shared" si="128"/>
        <v>-87.795631302857402</v>
      </c>
      <c r="L988" s="3">
        <f>C988/B988</f>
        <v>3.3844862141812464</v>
      </c>
      <c r="M988" s="3">
        <f t="shared" si="130"/>
        <v>3.3762900669590978</v>
      </c>
      <c r="N988" s="3">
        <f t="shared" si="134"/>
        <v>3.3748192457476542</v>
      </c>
      <c r="O988" s="3">
        <f t="shared" si="127"/>
        <v>3.3430827851246803</v>
      </c>
      <c r="P988" s="3">
        <f t="shared" si="129"/>
        <v>3.2925567183824023</v>
      </c>
      <c r="Q988" s="4" t="str">
        <f t="shared" si="133"/>
        <v>OVER</v>
      </c>
      <c r="R988" s="4" t="str">
        <f t="shared" si="133"/>
        <v>OVER</v>
      </c>
      <c r="S988" s="4" t="str">
        <f t="shared" si="131"/>
        <v>OVER</v>
      </c>
      <c r="T988" s="4" t="str">
        <f t="shared" si="131"/>
        <v>OVER</v>
      </c>
      <c r="U988" s="2">
        <f>IF(Q988="OVER",$J988,$K988)</f>
        <v>87.795631302857402</v>
      </c>
      <c r="V988" s="2">
        <f>IF(R988="OVER",$J988,$K988)</f>
        <v>87.795631302857402</v>
      </c>
      <c r="W988" s="2">
        <f>IF(S988="OVER",$J988,$K988)</f>
        <v>87.795631302857402</v>
      </c>
      <c r="X988" s="2">
        <f>IF(T988="OVER",$J988,$K988)</f>
        <v>87.795631302857402</v>
      </c>
      <c r="Y988" s="9">
        <f t="shared" si="132"/>
        <v>-9464.7780170839578</v>
      </c>
      <c r="Z988" s="9">
        <f t="shared" si="132"/>
        <v>9751.2400669845483</v>
      </c>
      <c r="AA988" s="9">
        <f t="shared" si="132"/>
        <v>64521.405517260559</v>
      </c>
      <c r="AB988" s="9">
        <f t="shared" si="132"/>
        <v>28440.422587298206</v>
      </c>
    </row>
    <row r="989" spans="1:28" x14ac:dyDescent="0.3">
      <c r="A989" s="1">
        <v>45853</v>
      </c>
      <c r="B989" s="2">
        <v>182.05</v>
      </c>
      <c r="C989" s="2">
        <v>622.14</v>
      </c>
      <c r="D989" s="9">
        <f>B989-B988</f>
        <v>-2.5600000000000023</v>
      </c>
      <c r="E989" s="9">
        <f>C989-C988</f>
        <v>-2.6699999999999591</v>
      </c>
      <c r="F989" s="3">
        <f>F$1/B989</f>
        <v>549.299642955232</v>
      </c>
      <c r="G989" s="3">
        <f>F$1/C989</f>
        <v>160.73552576590478</v>
      </c>
      <c r="H989" s="2">
        <f>D989*F988</f>
        <v>-1386.7071122907764</v>
      </c>
      <c r="I989" s="2">
        <f>E989*G988</f>
        <v>-427.32990829211428</v>
      </c>
      <c r="J989" s="2">
        <f>I989-H989</f>
        <v>959.37720399866214</v>
      </c>
      <c r="K989" s="2">
        <f t="shared" si="128"/>
        <v>-959.37720399866214</v>
      </c>
      <c r="L989" s="3">
        <f>C989/B989</f>
        <v>3.4174127986816805</v>
      </c>
      <c r="M989" s="3">
        <f t="shared" si="130"/>
        <v>3.3780676624429802</v>
      </c>
      <c r="N989" s="3">
        <f t="shared" si="134"/>
        <v>3.3773786367389689</v>
      </c>
      <c r="O989" s="3">
        <f t="shared" si="127"/>
        <v>3.3453047016275894</v>
      </c>
      <c r="P989" s="3">
        <f t="shared" si="129"/>
        <v>3.2935879114298268</v>
      </c>
      <c r="Q989" s="4" t="str">
        <f t="shared" si="133"/>
        <v>OVER</v>
      </c>
      <c r="R989" s="4" t="str">
        <f t="shared" si="133"/>
        <v>OVER</v>
      </c>
      <c r="S989" s="4" t="str">
        <f t="shared" si="131"/>
        <v>OVER</v>
      </c>
      <c r="T989" s="4" t="str">
        <f t="shared" si="131"/>
        <v>OVER</v>
      </c>
      <c r="U989" s="2">
        <f>IF(Q989="OVER",$J989,$K989)</f>
        <v>959.37720399866214</v>
      </c>
      <c r="V989" s="2">
        <f>IF(R989="OVER",$J989,$K989)</f>
        <v>959.37720399866214</v>
      </c>
      <c r="W989" s="2">
        <f>IF(S989="OVER",$J989,$K989)</f>
        <v>959.37720399866214</v>
      </c>
      <c r="X989" s="2">
        <f>IF(T989="OVER",$J989,$K989)</f>
        <v>959.37720399866214</v>
      </c>
      <c r="Y989" s="9">
        <f t="shared" si="132"/>
        <v>-8505.4008130852962</v>
      </c>
      <c r="Z989" s="9">
        <f t="shared" si="132"/>
        <v>10710.61727098321</v>
      </c>
      <c r="AA989" s="9">
        <f t="shared" si="132"/>
        <v>65480.782721259224</v>
      </c>
      <c r="AB989" s="9">
        <f t="shared" si="132"/>
        <v>29399.799791296868</v>
      </c>
    </row>
    <row r="990" spans="1:28" x14ac:dyDescent="0.3">
      <c r="A990" s="1">
        <v>45854</v>
      </c>
      <c r="B990" s="2">
        <v>182.76</v>
      </c>
      <c r="C990" s="2">
        <v>624.22</v>
      </c>
      <c r="D990" s="9">
        <f>B990-B989</f>
        <v>0.70999999999997954</v>
      </c>
      <c r="E990" s="9">
        <f>C990-C989</f>
        <v>2.0800000000000409</v>
      </c>
      <c r="F990" s="3">
        <f>F$1/B990</f>
        <v>547.16568176843953</v>
      </c>
      <c r="G990" s="3">
        <f>F$1/C990</f>
        <v>160.19992951203102</v>
      </c>
      <c r="H990" s="2">
        <f>D990*F989</f>
        <v>390.00274649820346</v>
      </c>
      <c r="I990" s="2">
        <f>E990*G989</f>
        <v>334.32989359308851</v>
      </c>
      <c r="J990" s="2">
        <f>I990-H990</f>
        <v>-55.672852905114951</v>
      </c>
      <c r="K990" s="2">
        <f t="shared" si="128"/>
        <v>55.672852905114951</v>
      </c>
      <c r="L990" s="3">
        <f>C990/B990</f>
        <v>3.4155176187349534</v>
      </c>
      <c r="M990" s="3">
        <f t="shared" si="130"/>
        <v>3.3837027440532466</v>
      </c>
      <c r="N990" s="3">
        <f t="shared" si="134"/>
        <v>3.3798645590026455</v>
      </c>
      <c r="O990" s="3">
        <f t="shared" si="127"/>
        <v>3.3476705546131442</v>
      </c>
      <c r="P990" s="3">
        <f t="shared" si="129"/>
        <v>3.29454537057152</v>
      </c>
      <c r="Q990" s="4" t="str">
        <f t="shared" si="133"/>
        <v>OVER</v>
      </c>
      <c r="R990" s="4" t="str">
        <f t="shared" si="133"/>
        <v>OVER</v>
      </c>
      <c r="S990" s="4" t="str">
        <f t="shared" si="131"/>
        <v>OVER</v>
      </c>
      <c r="T990" s="4" t="str">
        <f t="shared" si="131"/>
        <v>OVER</v>
      </c>
      <c r="U990" s="2">
        <f>IF(Q990="OVER",$J990,$K990)</f>
        <v>-55.672852905114951</v>
      </c>
      <c r="V990" s="2">
        <f>IF(R990="OVER",$J990,$K990)</f>
        <v>-55.672852905114951</v>
      </c>
      <c r="W990" s="2">
        <f>IF(S990="OVER",$J990,$K990)</f>
        <v>-55.672852905114951</v>
      </c>
      <c r="X990" s="2">
        <f>IF(T990="OVER",$J990,$K990)</f>
        <v>-55.672852905114951</v>
      </c>
      <c r="Y990" s="9">
        <f t="shared" si="132"/>
        <v>-8561.0736659904105</v>
      </c>
      <c r="Z990" s="9">
        <f t="shared" si="132"/>
        <v>10654.944418078096</v>
      </c>
      <c r="AA990" s="9">
        <f t="shared" si="132"/>
        <v>65425.109868354106</v>
      </c>
      <c r="AB990" s="9">
        <f t="shared" si="132"/>
        <v>29344.126938391753</v>
      </c>
    </row>
    <row r="991" spans="1:28" x14ac:dyDescent="0.3">
      <c r="A991" s="1">
        <v>45855</v>
      </c>
      <c r="B991" s="2">
        <v>184.25</v>
      </c>
      <c r="C991" s="2">
        <v>628.04</v>
      </c>
      <c r="D991" s="9">
        <f>B991-B990</f>
        <v>1.4900000000000091</v>
      </c>
      <c r="E991" s="9">
        <f>C991-C990</f>
        <v>3.8199999999999363</v>
      </c>
      <c r="F991" s="3">
        <f>F$1/B991</f>
        <v>542.74084124830392</v>
      </c>
      <c r="G991" s="3">
        <f>F$1/C991</f>
        <v>159.2255270364945</v>
      </c>
      <c r="H991" s="2">
        <f>D991*F990</f>
        <v>815.27686583497984</v>
      </c>
      <c r="I991" s="2">
        <f>E991*G990</f>
        <v>611.96373073594827</v>
      </c>
      <c r="J991" s="2">
        <f>I991-H991</f>
        <v>-203.31313509903157</v>
      </c>
      <c r="K991" s="2">
        <f t="shared" si="128"/>
        <v>203.31313509903157</v>
      </c>
      <c r="L991" s="3">
        <f>C991/B991</f>
        <v>3.4086295793758477</v>
      </c>
      <c r="M991" s="3">
        <f t="shared" si="130"/>
        <v>3.3878952369628861</v>
      </c>
      <c r="N991" s="3">
        <f t="shared" si="134"/>
        <v>3.381825867677088</v>
      </c>
      <c r="O991" s="3">
        <f t="shared" si="127"/>
        <v>3.3500586493526576</v>
      </c>
      <c r="P991" s="3">
        <f t="shared" si="129"/>
        <v>3.295538824150154</v>
      </c>
      <c r="Q991" s="4" t="str">
        <f t="shared" si="133"/>
        <v>OVER</v>
      </c>
      <c r="R991" s="4" t="str">
        <f t="shared" si="133"/>
        <v>OVER</v>
      </c>
      <c r="S991" s="4" t="str">
        <f t="shared" si="131"/>
        <v>OVER</v>
      </c>
      <c r="T991" s="4" t="str">
        <f t="shared" si="131"/>
        <v>OVER</v>
      </c>
      <c r="U991" s="2">
        <f>IF(Q991="OVER",$J991,$K991)</f>
        <v>-203.31313509903157</v>
      </c>
      <c r="V991" s="2">
        <f>IF(R991="OVER",$J991,$K991)</f>
        <v>-203.31313509903157</v>
      </c>
      <c r="W991" s="2">
        <f>IF(S991="OVER",$J991,$K991)</f>
        <v>-203.31313509903157</v>
      </c>
      <c r="X991" s="2">
        <f>IF(T991="OVER",$J991,$K991)</f>
        <v>-203.31313509903157</v>
      </c>
      <c r="Y991" s="9">
        <f t="shared" si="132"/>
        <v>-8764.3868010894421</v>
      </c>
      <c r="Z991" s="9">
        <f t="shared" si="132"/>
        <v>10451.631282979064</v>
      </c>
      <c r="AA991" s="9">
        <f t="shared" si="132"/>
        <v>65221.796733255076</v>
      </c>
      <c r="AB991" s="9">
        <f t="shared" si="132"/>
        <v>29140.813803292724</v>
      </c>
    </row>
    <row r="992" spans="1:28" x14ac:dyDescent="0.3">
      <c r="A992" s="1">
        <v>45856</v>
      </c>
      <c r="B992" s="2">
        <v>184.18</v>
      </c>
      <c r="C992" s="2">
        <v>627.58000000000004</v>
      </c>
      <c r="D992" s="9">
        <f>B992-B991</f>
        <v>-6.9999999999993179E-2</v>
      </c>
      <c r="E992" s="9">
        <f>C992-C991</f>
        <v>-0.45999999999992269</v>
      </c>
      <c r="F992" s="3">
        <f>F$1/B992</f>
        <v>542.947116950809</v>
      </c>
      <c r="G992" s="3">
        <f>F$1/C992</f>
        <v>159.34223525287612</v>
      </c>
      <c r="H992" s="2">
        <f>D992*F991</f>
        <v>-37.991858887377575</v>
      </c>
      <c r="I992" s="2">
        <f>E992*G991</f>
        <v>-73.243742436775165</v>
      </c>
      <c r="J992" s="2">
        <f>I992-H992</f>
        <v>-35.25188354939759</v>
      </c>
      <c r="K992" s="2">
        <f t="shared" si="128"/>
        <v>35.25188354939759</v>
      </c>
      <c r="L992" s="3">
        <f>C992/B992</f>
        <v>3.4074275165598871</v>
      </c>
      <c r="M992" s="3">
        <f t="shared" si="130"/>
        <v>3.3909449332133237</v>
      </c>
      <c r="N992" s="3">
        <f t="shared" si="134"/>
        <v>3.3837714428735994</v>
      </c>
      <c r="O992" s="3">
        <f t="shared" si="127"/>
        <v>3.3524853531681256</v>
      </c>
      <c r="P992" s="3">
        <f t="shared" si="129"/>
        <v>3.296606867673824</v>
      </c>
      <c r="Q992" s="4" t="str">
        <f t="shared" si="133"/>
        <v>OVER</v>
      </c>
      <c r="R992" s="4" t="str">
        <f t="shared" si="133"/>
        <v>OVER</v>
      </c>
      <c r="S992" s="4" t="str">
        <f t="shared" si="131"/>
        <v>OVER</v>
      </c>
      <c r="T992" s="4" t="str">
        <f t="shared" si="131"/>
        <v>OVER</v>
      </c>
      <c r="U992" s="2">
        <f>IF(Q992="OVER",$J992,$K992)</f>
        <v>-35.25188354939759</v>
      </c>
      <c r="V992" s="2">
        <f>IF(R992="OVER",$J992,$K992)</f>
        <v>-35.25188354939759</v>
      </c>
      <c r="W992" s="2">
        <f>IF(S992="OVER",$J992,$K992)</f>
        <v>-35.25188354939759</v>
      </c>
      <c r="X992" s="2">
        <f>IF(T992="OVER",$J992,$K992)</f>
        <v>-35.25188354939759</v>
      </c>
      <c r="Y992" s="9">
        <f t="shared" si="132"/>
        <v>-8799.6386846388395</v>
      </c>
      <c r="Z992" s="9">
        <f t="shared" si="132"/>
        <v>10416.379399429667</v>
      </c>
      <c r="AA992" s="9">
        <f t="shared" si="132"/>
        <v>65186.544849705679</v>
      </c>
      <c r="AB992" s="9">
        <f t="shared" si="132"/>
        <v>29105.561919743326</v>
      </c>
    </row>
    <row r="993" spans="1:28" x14ac:dyDescent="0.3">
      <c r="A993" s="1">
        <v>45859</v>
      </c>
      <c r="B993" s="2">
        <v>183.55</v>
      </c>
      <c r="C993" s="2">
        <v>628.77</v>
      </c>
      <c r="D993" s="9">
        <f>B993-B992</f>
        <v>-0.62999999999999545</v>
      </c>
      <c r="E993" s="9">
        <f>C993-C992</f>
        <v>1.1899999999999409</v>
      </c>
      <c r="F993" s="3">
        <f>F$1/B993</f>
        <v>544.8106782892944</v>
      </c>
      <c r="G993" s="3">
        <f>F$1/C993</f>
        <v>159.04066669847481</v>
      </c>
      <c r="H993" s="2">
        <f>D993*F992</f>
        <v>-342.05668367900722</v>
      </c>
      <c r="I993" s="2">
        <f>E993*G992</f>
        <v>189.61725995091317</v>
      </c>
      <c r="J993" s="2">
        <f>I993-H993</f>
        <v>531.67394362992036</v>
      </c>
      <c r="K993" s="2">
        <f t="shared" si="128"/>
        <v>-531.67394362992036</v>
      </c>
      <c r="L993" s="3">
        <f>C993/B993</f>
        <v>3.4256061018795965</v>
      </c>
      <c r="M993" s="3">
        <f t="shared" si="130"/>
        <v>3.3956285700752082</v>
      </c>
      <c r="N993" s="3">
        <f t="shared" si="134"/>
        <v>3.3877902787866048</v>
      </c>
      <c r="O993" s="3">
        <f t="shared" si="127"/>
        <v>3.3554310792251125</v>
      </c>
      <c r="P993" s="3">
        <f t="shared" si="129"/>
        <v>3.29772239539242</v>
      </c>
      <c r="Q993" s="4" t="str">
        <f t="shared" si="133"/>
        <v>OVER</v>
      </c>
      <c r="R993" s="4" t="str">
        <f t="shared" si="133"/>
        <v>OVER</v>
      </c>
      <c r="S993" s="4" t="str">
        <f t="shared" si="131"/>
        <v>OVER</v>
      </c>
      <c r="T993" s="4" t="str">
        <f t="shared" si="131"/>
        <v>OVER</v>
      </c>
      <c r="U993" s="2">
        <f>IF(Q993="OVER",$J993,$K993)</f>
        <v>531.67394362992036</v>
      </c>
      <c r="V993" s="2">
        <f>IF(R993="OVER",$J993,$K993)</f>
        <v>531.67394362992036</v>
      </c>
      <c r="W993" s="2">
        <f>IF(S993="OVER",$J993,$K993)</f>
        <v>531.67394362992036</v>
      </c>
      <c r="X993" s="2">
        <f>IF(T993="OVER",$J993,$K993)</f>
        <v>531.67394362992036</v>
      </c>
      <c r="Y993" s="9">
        <f t="shared" si="132"/>
        <v>-8267.9647410089201</v>
      </c>
      <c r="Z993" s="9">
        <f t="shared" si="132"/>
        <v>10948.053343059586</v>
      </c>
      <c r="AA993" s="9">
        <f t="shared" si="132"/>
        <v>65718.218793335604</v>
      </c>
      <c r="AB993" s="9">
        <f t="shared" si="132"/>
        <v>29637.235863373247</v>
      </c>
    </row>
    <row r="994" spans="1:28" x14ac:dyDescent="0.3">
      <c r="A994" s="1">
        <v>45860</v>
      </c>
      <c r="B994" s="2">
        <v>185.89</v>
      </c>
      <c r="C994" s="2">
        <v>628.86</v>
      </c>
      <c r="D994" s="9">
        <f>B994-B993</f>
        <v>2.339999999999975</v>
      </c>
      <c r="E994" s="9">
        <f>C994-C993</f>
        <v>9.0000000000031832E-2</v>
      </c>
      <c r="F994" s="3">
        <f>F$1/B994</f>
        <v>537.95255258486202</v>
      </c>
      <c r="G994" s="3">
        <f>F$1/C994</f>
        <v>159.01790541614986</v>
      </c>
      <c r="H994" s="2">
        <f>D994*F993</f>
        <v>1274.8569871969353</v>
      </c>
      <c r="I994" s="2">
        <f>E994*G993</f>
        <v>14.313660002867795</v>
      </c>
      <c r="J994" s="2">
        <f>I994-H994</f>
        <v>-1260.5433271940674</v>
      </c>
      <c r="K994" s="2">
        <f t="shared" si="128"/>
        <v>1260.5433271940674</v>
      </c>
      <c r="L994" s="3">
        <f>C994/B994</f>
        <v>3.3829684221851637</v>
      </c>
      <c r="M994" s="3">
        <f t="shared" si="130"/>
        <v>3.3970770195917259</v>
      </c>
      <c r="N994" s="3">
        <f t="shared" si="134"/>
        <v>3.3888200377859405</v>
      </c>
      <c r="O994" s="3">
        <f t="shared" si="127"/>
        <v>3.3576179953195897</v>
      </c>
      <c r="P994" s="3">
        <f t="shared" si="129"/>
        <v>3.2986835873153653</v>
      </c>
      <c r="Q994" s="4" t="str">
        <f t="shared" si="133"/>
        <v>OVER</v>
      </c>
      <c r="R994" s="4" t="str">
        <f t="shared" si="133"/>
        <v>OVER</v>
      </c>
      <c r="S994" s="4" t="str">
        <f t="shared" si="131"/>
        <v>OVER</v>
      </c>
      <c r="T994" s="4" t="str">
        <f t="shared" si="131"/>
        <v>OVER</v>
      </c>
      <c r="U994" s="2">
        <f>IF(Q994="OVER",$J994,$K994)</f>
        <v>-1260.5433271940674</v>
      </c>
      <c r="V994" s="2">
        <f>IF(R994="OVER",$J994,$K994)</f>
        <v>-1260.5433271940674</v>
      </c>
      <c r="W994" s="2">
        <f>IF(S994="OVER",$J994,$K994)</f>
        <v>-1260.5433271940674</v>
      </c>
      <c r="X994" s="2">
        <f>IF(T994="OVER",$J994,$K994)</f>
        <v>-1260.5433271940674</v>
      </c>
      <c r="Y994" s="9">
        <f t="shared" si="132"/>
        <v>-9528.5080682029875</v>
      </c>
      <c r="Z994" s="9">
        <f t="shared" si="132"/>
        <v>9687.5100158655187</v>
      </c>
      <c r="AA994" s="9">
        <f t="shared" si="132"/>
        <v>64457.675466141533</v>
      </c>
      <c r="AB994" s="9">
        <f t="shared" si="132"/>
        <v>28376.69253617918</v>
      </c>
    </row>
    <row r="995" spans="1:28" x14ac:dyDescent="0.3">
      <c r="A995" s="1">
        <v>45861</v>
      </c>
      <c r="B995" s="2">
        <v>187.43</v>
      </c>
      <c r="C995" s="2">
        <v>634.21</v>
      </c>
      <c r="D995" s="9">
        <f>B995-B994</f>
        <v>1.5400000000000205</v>
      </c>
      <c r="E995" s="9">
        <f>C995-C994</f>
        <v>5.3500000000000227</v>
      </c>
      <c r="F995" s="3">
        <f>F$1/B995</f>
        <v>533.53251880702123</v>
      </c>
      <c r="G995" s="3">
        <f>F$1/C995</f>
        <v>157.67647939956797</v>
      </c>
      <c r="H995" s="2">
        <f>D995*F994</f>
        <v>828.44693098069854</v>
      </c>
      <c r="I995" s="2">
        <f>E995*G994</f>
        <v>850.74579397640537</v>
      </c>
      <c r="J995" s="2">
        <f>I995-H995</f>
        <v>22.298862995706827</v>
      </c>
      <c r="K995" s="2">
        <f t="shared" si="128"/>
        <v>-22.298862995706827</v>
      </c>
      <c r="L995" s="3">
        <f>C995/B995</f>
        <v>3.3837165875260098</v>
      </c>
      <c r="M995" s="3">
        <f t="shared" si="130"/>
        <v>3.3975893312597081</v>
      </c>
      <c r="N995" s="3">
        <f t="shared" si="134"/>
        <v>3.3896242487806227</v>
      </c>
      <c r="O995" s="3">
        <f t="shared" si="127"/>
        <v>3.3598881432606413</v>
      </c>
      <c r="P995" s="3">
        <f t="shared" si="129"/>
        <v>3.2996247519853852</v>
      </c>
      <c r="Q995" s="4" t="str">
        <f t="shared" si="133"/>
        <v>UNDER</v>
      </c>
      <c r="R995" s="4" t="str">
        <f t="shared" si="133"/>
        <v>UNDER</v>
      </c>
      <c r="S995" s="4" t="str">
        <f t="shared" si="131"/>
        <v>OVER</v>
      </c>
      <c r="T995" s="4" t="str">
        <f t="shared" si="131"/>
        <v>OVER</v>
      </c>
      <c r="U995" s="2">
        <f>IF(Q995="OVER",$J995,$K995)</f>
        <v>-22.298862995706827</v>
      </c>
      <c r="V995" s="2">
        <f>IF(R995="OVER",$J995,$K995)</f>
        <v>-22.298862995706827</v>
      </c>
      <c r="W995" s="2">
        <f>IF(S995="OVER",$J995,$K995)</f>
        <v>22.298862995706827</v>
      </c>
      <c r="X995" s="2">
        <f>IF(T995="OVER",$J995,$K995)</f>
        <v>22.298862995706827</v>
      </c>
      <c r="Y995" s="9">
        <f t="shared" si="132"/>
        <v>-9550.8069311986947</v>
      </c>
      <c r="Z995" s="9">
        <f t="shared" si="132"/>
        <v>9665.2111528698115</v>
      </c>
      <c r="AA995" s="9">
        <f t="shared" si="132"/>
        <v>64479.974329137236</v>
      </c>
      <c r="AB995" s="9">
        <f t="shared" si="132"/>
        <v>28398.991399174887</v>
      </c>
    </row>
    <row r="996" spans="1:28" x14ac:dyDescent="0.3">
      <c r="A996" s="1">
        <v>45862</v>
      </c>
      <c r="B996" s="2">
        <v>186.83</v>
      </c>
      <c r="C996" s="2">
        <v>634.41999999999996</v>
      </c>
      <c r="D996" s="9">
        <f>B996-B995</f>
        <v>-0.59999999999999432</v>
      </c>
      <c r="E996" s="9">
        <f>C996-C995</f>
        <v>0.20999999999992269</v>
      </c>
      <c r="F996" s="3">
        <f>F$1/B996</f>
        <v>535.24594551196276</v>
      </c>
      <c r="G996" s="3">
        <f>F$1/C996</f>
        <v>157.62428675010247</v>
      </c>
      <c r="H996" s="2">
        <f>D996*F995</f>
        <v>-320.11951128420969</v>
      </c>
      <c r="I996" s="2">
        <f>E996*G995</f>
        <v>33.112060673897084</v>
      </c>
      <c r="J996" s="2">
        <f>I996-H996</f>
        <v>353.23157195810677</v>
      </c>
      <c r="K996" s="2">
        <f t="shared" si="128"/>
        <v>-353.23157195810677</v>
      </c>
      <c r="L996" s="3">
        <f>C996/B996</f>
        <v>3.3957073275169938</v>
      </c>
      <c r="M996" s="3">
        <f t="shared" si="130"/>
        <v>3.4002992609109661</v>
      </c>
      <c r="N996" s="3">
        <f t="shared" si="134"/>
        <v>3.3897092573747187</v>
      </c>
      <c r="O996" s="3">
        <f t="shared" si="127"/>
        <v>3.3620391764438065</v>
      </c>
      <c r="P996" s="3">
        <f t="shared" si="129"/>
        <v>3.3005794710363352</v>
      </c>
      <c r="Q996" s="4" t="str">
        <f t="shared" si="133"/>
        <v>UNDER</v>
      </c>
      <c r="R996" s="4" t="str">
        <f t="shared" si="133"/>
        <v>UNDER</v>
      </c>
      <c r="S996" s="4" t="str">
        <f t="shared" si="131"/>
        <v>OVER</v>
      </c>
      <c r="T996" s="4" t="str">
        <f t="shared" si="131"/>
        <v>OVER</v>
      </c>
      <c r="U996" s="2">
        <f>IF(Q996="OVER",$J996,$K996)</f>
        <v>-353.23157195810677</v>
      </c>
      <c r="V996" s="2">
        <f>IF(R996="OVER",$J996,$K996)</f>
        <v>-353.23157195810677</v>
      </c>
      <c r="W996" s="2">
        <f>IF(S996="OVER",$J996,$K996)</f>
        <v>353.23157195810677</v>
      </c>
      <c r="X996" s="2">
        <f>IF(T996="OVER",$J996,$K996)</f>
        <v>353.23157195810677</v>
      </c>
      <c r="Y996" s="9">
        <f t="shared" si="132"/>
        <v>-9904.0385031568021</v>
      </c>
      <c r="Z996" s="9">
        <f t="shared" si="132"/>
        <v>9311.979580911704</v>
      </c>
      <c r="AA996" s="9">
        <f t="shared" si="132"/>
        <v>64833.205901095345</v>
      </c>
      <c r="AB996" s="9">
        <f t="shared" si="132"/>
        <v>28752.222971132993</v>
      </c>
    </row>
    <row r="997" spans="1:28" x14ac:dyDescent="0.3">
      <c r="A997" s="1">
        <v>45863</v>
      </c>
      <c r="B997" s="2">
        <v>187.73</v>
      </c>
      <c r="C997" s="2">
        <v>637.1</v>
      </c>
      <c r="D997" s="9">
        <f>B997-B996</f>
        <v>0.89999999999997726</v>
      </c>
      <c r="E997" s="9">
        <f>C997-C996</f>
        <v>2.6800000000000637</v>
      </c>
      <c r="F997" s="3">
        <f>F$1/B997</f>
        <v>532.67991264049431</v>
      </c>
      <c r="G997" s="3">
        <f>F$1/C997</f>
        <v>156.96123057604771</v>
      </c>
      <c r="H997" s="2">
        <f>D997*F996</f>
        <v>481.72135096075431</v>
      </c>
      <c r="I997" s="2">
        <f>E997*G996</f>
        <v>422.43308849028466</v>
      </c>
      <c r="J997" s="2">
        <f>I997-H997</f>
        <v>-59.288262470469647</v>
      </c>
      <c r="K997" s="2">
        <f t="shared" si="128"/>
        <v>59.288262470469647</v>
      </c>
      <c r="L997" s="3">
        <f>C997/B997</f>
        <v>3.3937037234325897</v>
      </c>
      <c r="M997" s="3">
        <f t="shared" si="130"/>
        <v>3.4015175890073968</v>
      </c>
      <c r="N997" s="3">
        <f t="shared" si="134"/>
        <v>3.3896474535890717</v>
      </c>
      <c r="O997" s="3">
        <f t="shared" si="127"/>
        <v>3.3638648547391323</v>
      </c>
      <c r="P997" s="3">
        <f t="shared" si="129"/>
        <v>3.3015044213049514</v>
      </c>
      <c r="Q997" s="4" t="str">
        <f t="shared" si="133"/>
        <v>UNDER</v>
      </c>
      <c r="R997" s="4" t="str">
        <f t="shared" si="133"/>
        <v>OVER</v>
      </c>
      <c r="S997" s="4" t="str">
        <f t="shared" si="131"/>
        <v>OVER</v>
      </c>
      <c r="T997" s="4" t="str">
        <f t="shared" si="131"/>
        <v>OVER</v>
      </c>
      <c r="U997" s="2">
        <f>IF(Q997="OVER",$J997,$K997)</f>
        <v>59.288262470469647</v>
      </c>
      <c r="V997" s="2">
        <f>IF(R997="OVER",$J997,$K997)</f>
        <v>-59.288262470469647</v>
      </c>
      <c r="W997" s="2">
        <f>IF(S997="OVER",$J997,$K997)</f>
        <v>-59.288262470469647</v>
      </c>
      <c r="X997" s="2">
        <f>IF(T997="OVER",$J997,$K997)</f>
        <v>-59.288262470469647</v>
      </c>
      <c r="Y997" s="9">
        <f t="shared" si="132"/>
        <v>-9844.7502406863332</v>
      </c>
      <c r="Z997" s="9">
        <f t="shared" si="132"/>
        <v>9252.6913184412351</v>
      </c>
      <c r="AA997" s="9">
        <f t="shared" si="132"/>
        <v>64773.917638624873</v>
      </c>
      <c r="AB997" s="9">
        <f t="shared" si="132"/>
        <v>28692.934708662524</v>
      </c>
    </row>
    <row r="998" spans="1:28" x14ac:dyDescent="0.3">
      <c r="A998" s="1">
        <v>45866</v>
      </c>
      <c r="B998" s="2">
        <v>186.62</v>
      </c>
      <c r="C998" s="2">
        <v>636.94000000000005</v>
      </c>
      <c r="D998" s="9">
        <f>B998-B997</f>
        <v>-1.1099999999999852</v>
      </c>
      <c r="E998" s="9">
        <f>C998-C997</f>
        <v>-0.15999999999996817</v>
      </c>
      <c r="F998" s="3">
        <f>F$1/B998</f>
        <v>535.84824777622975</v>
      </c>
      <c r="G998" s="3">
        <f>F$1/C998</f>
        <v>157.00065940276949</v>
      </c>
      <c r="H998" s="2">
        <f>D998*F997</f>
        <v>-591.27470303094083</v>
      </c>
      <c r="I998" s="2">
        <f>E998*G997</f>
        <v>-25.113796892162636</v>
      </c>
      <c r="J998" s="2">
        <f>I998-H998</f>
        <v>566.16090613877816</v>
      </c>
      <c r="K998" s="2">
        <f t="shared" si="128"/>
        <v>-566.16090613877816</v>
      </c>
      <c r="L998" s="3">
        <f>C998/B998</f>
        <v>3.4130318293859183</v>
      </c>
      <c r="M998" s="3">
        <f t="shared" si="130"/>
        <v>3.4043721505278639</v>
      </c>
      <c r="N998" s="3">
        <f t="shared" si="134"/>
        <v>3.3903311087434806</v>
      </c>
      <c r="O998" s="3">
        <f t="shared" si="127"/>
        <v>3.3655920598599427</v>
      </c>
      <c r="P998" s="3">
        <f t="shared" si="129"/>
        <v>3.3025463272630331</v>
      </c>
      <c r="Q998" s="4" t="str">
        <f t="shared" si="133"/>
        <v>UNDER</v>
      </c>
      <c r="R998" s="4" t="str">
        <f t="shared" si="133"/>
        <v>OVER</v>
      </c>
      <c r="S998" s="4" t="str">
        <f t="shared" si="131"/>
        <v>OVER</v>
      </c>
      <c r="T998" s="4" t="str">
        <f t="shared" si="131"/>
        <v>OVER</v>
      </c>
      <c r="U998" s="2">
        <f>IF(Q998="OVER",$J998,$K998)</f>
        <v>-566.16090613877816</v>
      </c>
      <c r="V998" s="2">
        <f>IF(R998="OVER",$J998,$K998)</f>
        <v>566.16090613877816</v>
      </c>
      <c r="W998" s="2">
        <f>IF(S998="OVER",$J998,$K998)</f>
        <v>566.16090613877816</v>
      </c>
      <c r="X998" s="2">
        <f>IF(T998="OVER",$J998,$K998)</f>
        <v>566.16090613877816</v>
      </c>
      <c r="Y998" s="9">
        <f t="shared" si="132"/>
        <v>-10410.911146825112</v>
      </c>
      <c r="Z998" s="9">
        <f t="shared" si="132"/>
        <v>9818.8522245800141</v>
      </c>
      <c r="AA998" s="9">
        <f t="shared" si="132"/>
        <v>65340.078544763652</v>
      </c>
      <c r="AB998" s="9">
        <f t="shared" si="132"/>
        <v>29259.095614801303</v>
      </c>
    </row>
    <row r="999" spans="1:28" x14ac:dyDescent="0.3">
      <c r="A999" s="1">
        <v>45867</v>
      </c>
      <c r="B999" s="2">
        <v>186.53</v>
      </c>
      <c r="C999" s="2">
        <v>635.26</v>
      </c>
      <c r="D999" s="9">
        <f>B999-B998</f>
        <v>-9.0000000000003411E-2</v>
      </c>
      <c r="E999" s="9">
        <f>C999-C998</f>
        <v>-1.6800000000000637</v>
      </c>
      <c r="F999" s="3">
        <f>F$1/B999</f>
        <v>536.10679247306064</v>
      </c>
      <c r="G999" s="3">
        <f>F$1/C999</f>
        <v>157.41586122217674</v>
      </c>
      <c r="H999" s="2">
        <f>D999*F998</f>
        <v>-48.226342299862509</v>
      </c>
      <c r="I999" s="2">
        <f>E999*G998</f>
        <v>-263.76110779666271</v>
      </c>
      <c r="J999" s="2">
        <f>I999-H999</f>
        <v>-215.53476549680022</v>
      </c>
      <c r="K999" s="2">
        <f t="shared" si="128"/>
        <v>215.53476549680022</v>
      </c>
      <c r="L999" s="3">
        <f>C999/B999</f>
        <v>3.4056720098643649</v>
      </c>
      <c r="M999" s="3">
        <f t="shared" si="130"/>
        <v>3.4031980716461327</v>
      </c>
      <c r="N999" s="3">
        <f t="shared" si="134"/>
        <v>3.3906328670445562</v>
      </c>
      <c r="O999" s="3">
        <f t="shared" si="127"/>
        <v>3.3674510117268888</v>
      </c>
      <c r="P999" s="3">
        <f t="shared" si="129"/>
        <v>3.303438144519562</v>
      </c>
      <c r="Q999" s="4" t="str">
        <f t="shared" si="133"/>
        <v>OVER</v>
      </c>
      <c r="R999" s="4" t="str">
        <f t="shared" si="133"/>
        <v>OVER</v>
      </c>
      <c r="S999" s="4" t="str">
        <f t="shared" si="131"/>
        <v>OVER</v>
      </c>
      <c r="T999" s="4" t="str">
        <f t="shared" si="131"/>
        <v>OVER</v>
      </c>
      <c r="U999" s="2">
        <f>IF(Q999="OVER",$J999,$K999)</f>
        <v>-215.53476549680022</v>
      </c>
      <c r="V999" s="2">
        <f>IF(R999="OVER",$J999,$K999)</f>
        <v>-215.53476549680022</v>
      </c>
      <c r="W999" s="2">
        <f>IF(S999="OVER",$J999,$K999)</f>
        <v>-215.53476549680022</v>
      </c>
      <c r="X999" s="2">
        <f>IF(T999="OVER",$J999,$K999)</f>
        <v>-215.53476549680022</v>
      </c>
      <c r="Y999" s="9">
        <f t="shared" si="132"/>
        <v>-10626.445912321913</v>
      </c>
      <c r="Z999" s="9">
        <f t="shared" si="132"/>
        <v>9603.3174590832132</v>
      </c>
      <c r="AA999" s="9">
        <f t="shared" si="132"/>
        <v>65124.543779266853</v>
      </c>
      <c r="AB999" s="9">
        <f t="shared" si="132"/>
        <v>29043.560849304504</v>
      </c>
    </row>
    <row r="1000" spans="1:28" x14ac:dyDescent="0.3">
      <c r="A1000" s="1">
        <v>45868</v>
      </c>
      <c r="B1000" s="2">
        <v>185.32</v>
      </c>
      <c r="C1000" s="2">
        <v>634.46</v>
      </c>
      <c r="D1000" s="9">
        <f>B1000-B999</f>
        <v>-1.210000000000008</v>
      </c>
      <c r="E1000" s="9">
        <f>C1000-C999</f>
        <v>-0.79999999999995453</v>
      </c>
      <c r="F1000" s="3">
        <f>F$1/B1000</f>
        <v>539.60716598316424</v>
      </c>
      <c r="G1000" s="3">
        <f>F$1/C1000</f>
        <v>157.61434921035209</v>
      </c>
      <c r="H1000" s="2">
        <f>D1000*F999</f>
        <v>-648.68921889240767</v>
      </c>
      <c r="I1000" s="2">
        <f>E1000*G999</f>
        <v>-125.93268897773423</v>
      </c>
      <c r="J1000" s="2">
        <f>I1000-H1000</f>
        <v>522.75652991467348</v>
      </c>
      <c r="K1000" s="2">
        <f t="shared" si="128"/>
        <v>-522.75652991467348</v>
      </c>
      <c r="L1000" s="3">
        <f>C1000/B1000</f>
        <v>3.4235916252967842</v>
      </c>
      <c r="M1000" s="3">
        <f t="shared" si="130"/>
        <v>3.4040054723023152</v>
      </c>
      <c r="N1000" s="3">
        <f t="shared" si="134"/>
        <v>3.3938541081777807</v>
      </c>
      <c r="O1000" s="3">
        <f t="shared" si="127"/>
        <v>3.3698969539055836</v>
      </c>
      <c r="P1000" s="3">
        <f t="shared" si="129"/>
        <v>3.3044186459857174</v>
      </c>
      <c r="Q1000" s="4" t="str">
        <f t="shared" si="133"/>
        <v>OVER</v>
      </c>
      <c r="R1000" s="4" t="str">
        <f t="shared" si="133"/>
        <v>OVER</v>
      </c>
      <c r="S1000" s="4" t="str">
        <f t="shared" si="131"/>
        <v>OVER</v>
      </c>
      <c r="T1000" s="4" t="str">
        <f t="shared" si="131"/>
        <v>OVER</v>
      </c>
      <c r="U1000" s="2">
        <f>IF(Q1000="OVER",$J1000,$K1000)</f>
        <v>522.75652991467348</v>
      </c>
      <c r="V1000" s="2">
        <f>IF(R1000="OVER",$J1000,$K1000)</f>
        <v>522.75652991467348</v>
      </c>
      <c r="W1000" s="2">
        <f>IF(S1000="OVER",$J1000,$K1000)</f>
        <v>522.75652991467348</v>
      </c>
      <c r="X1000" s="2">
        <f>IF(T1000="OVER",$J1000,$K1000)</f>
        <v>522.75652991467348</v>
      </c>
      <c r="Y1000" s="9">
        <f t="shared" si="132"/>
        <v>-10103.689382407239</v>
      </c>
      <c r="Z1000" s="9">
        <f t="shared" si="132"/>
        <v>10126.073988997887</v>
      </c>
      <c r="AA1000" s="9">
        <f t="shared" si="132"/>
        <v>65647.300309181519</v>
      </c>
      <c r="AB1000" s="9">
        <f t="shared" si="132"/>
        <v>29566.317379219177</v>
      </c>
    </row>
    <row r="1001" spans="1:28" x14ac:dyDescent="0.3">
      <c r="A1001" s="1">
        <v>45869</v>
      </c>
      <c r="B1001" s="2">
        <v>183.63</v>
      </c>
      <c r="C1001" s="2">
        <v>632.08000000000004</v>
      </c>
      <c r="D1001" s="9">
        <f>B1001-B1000</f>
        <v>-1.6899999999999977</v>
      </c>
      <c r="E1001" s="9">
        <f>C1001-C1000</f>
        <v>-2.3799999999999955</v>
      </c>
      <c r="F1001" s="3">
        <f>F$1/B1001</f>
        <v>544.57332679845342</v>
      </c>
      <c r="G1001" s="3">
        <f>F$1/C1001</f>
        <v>158.20782179470953</v>
      </c>
      <c r="H1001" s="2">
        <f>D1001*F1000</f>
        <v>-911.9361105115463</v>
      </c>
      <c r="I1001" s="2">
        <f>E1001*G1000</f>
        <v>-375.12215112063723</v>
      </c>
      <c r="J1001" s="2">
        <f>I1001-H1001</f>
        <v>536.81395939090908</v>
      </c>
      <c r="K1001" s="2">
        <f t="shared" si="128"/>
        <v>-536.81395939090908</v>
      </c>
      <c r="L1001" s="3">
        <f>C1001/B1001</f>
        <v>3.4421390840276644</v>
      </c>
      <c r="M1001" s="3">
        <f t="shared" si="130"/>
        <v>3.4073564227674971</v>
      </c>
      <c r="N1001" s="3">
        <f t="shared" si="134"/>
        <v>3.3976258298651913</v>
      </c>
      <c r="O1001" s="3">
        <f t="shared" si="127"/>
        <v>3.3726342735646897</v>
      </c>
      <c r="P1001" s="3">
        <f t="shared" si="129"/>
        <v>3.3054595406761336</v>
      </c>
      <c r="Q1001" s="4" t="str">
        <f t="shared" si="133"/>
        <v>OVER</v>
      </c>
      <c r="R1001" s="4" t="str">
        <f t="shared" si="133"/>
        <v>OVER</v>
      </c>
      <c r="S1001" s="4" t="str">
        <f t="shared" si="131"/>
        <v>OVER</v>
      </c>
      <c r="T1001" s="4" t="str">
        <f t="shared" si="131"/>
        <v>OVER</v>
      </c>
      <c r="U1001" s="2">
        <f>IF(Q1001="OVER",$J1001,$K1001)</f>
        <v>536.81395939090908</v>
      </c>
      <c r="V1001" s="2">
        <f>IF(R1001="OVER",$J1001,$K1001)</f>
        <v>536.81395939090908</v>
      </c>
      <c r="W1001" s="2">
        <f>IF(S1001="OVER",$J1001,$K1001)</f>
        <v>536.81395939090908</v>
      </c>
      <c r="X1001" s="2">
        <f>IF(T1001="OVER",$J1001,$K1001)</f>
        <v>536.81395939090908</v>
      </c>
      <c r="Y1001" s="9">
        <f t="shared" si="132"/>
        <v>-9566.8754230163304</v>
      </c>
      <c r="Z1001" s="9">
        <f t="shared" si="132"/>
        <v>10662.887948388796</v>
      </c>
      <c r="AA1001" s="9">
        <f t="shared" si="132"/>
        <v>66184.114268572434</v>
      </c>
      <c r="AB1001" s="9">
        <f t="shared" si="132"/>
        <v>30103.131338610088</v>
      </c>
    </row>
    <row r="1002" spans="1:28" x14ac:dyDescent="0.3">
      <c r="A1002" s="1">
        <v>45870</v>
      </c>
      <c r="B1002" s="2">
        <v>181.56</v>
      </c>
      <c r="C1002" s="2">
        <v>621.72</v>
      </c>
      <c r="D1002" s="9">
        <f>B1002-B1001</f>
        <v>-2.0699999999999932</v>
      </c>
      <c r="E1002" s="9">
        <f>C1002-C1001</f>
        <v>-10.360000000000014</v>
      </c>
      <c r="F1002" s="3">
        <f>F$1/B1002</f>
        <v>550.78211059704779</v>
      </c>
      <c r="G1002" s="3">
        <f>F$1/C1002</f>
        <v>160.84410988869587</v>
      </c>
      <c r="H1002" s="2">
        <f>D1002*F1001</f>
        <v>-1127.2667864727948</v>
      </c>
      <c r="I1002" s="2">
        <f>E1002*G1001</f>
        <v>-1639.033033793193</v>
      </c>
      <c r="J1002" s="2">
        <f>I1002-H1002</f>
        <v>-511.76624732039818</v>
      </c>
      <c r="K1002" s="2">
        <f t="shared" si="128"/>
        <v>511.76624732039818</v>
      </c>
      <c r="L1002" s="3">
        <f>C1002/B1002</f>
        <v>3.4243225380039659</v>
      </c>
      <c r="M1002" s="3">
        <f t="shared" si="130"/>
        <v>3.4090459249119052</v>
      </c>
      <c r="N1002" s="3">
        <f t="shared" si="134"/>
        <v>3.3999954290626144</v>
      </c>
      <c r="O1002" s="3">
        <f t="shared" si="127"/>
        <v>3.3750650140183622</v>
      </c>
      <c r="P1002" s="3">
        <f t="shared" si="129"/>
        <v>3.306472759814179</v>
      </c>
      <c r="Q1002" s="4" t="str">
        <f t="shared" si="133"/>
        <v>OVER</v>
      </c>
      <c r="R1002" s="4" t="str">
        <f t="shared" si="133"/>
        <v>OVER</v>
      </c>
      <c r="S1002" s="4" t="str">
        <f t="shared" si="131"/>
        <v>OVER</v>
      </c>
      <c r="T1002" s="4" t="str">
        <f t="shared" si="131"/>
        <v>OVER</v>
      </c>
      <c r="U1002" s="2">
        <f>IF(Q1002="OVER",$J1002,$K1002)</f>
        <v>-511.76624732039818</v>
      </c>
      <c r="V1002" s="2">
        <f>IF(R1002="OVER",$J1002,$K1002)</f>
        <v>-511.76624732039818</v>
      </c>
      <c r="W1002" s="2">
        <f>IF(S1002="OVER",$J1002,$K1002)</f>
        <v>-511.76624732039818</v>
      </c>
      <c r="X1002" s="2">
        <f>IF(T1002="OVER",$J1002,$K1002)</f>
        <v>-511.76624732039818</v>
      </c>
      <c r="Y1002" s="9">
        <f t="shared" si="132"/>
        <v>-10078.641670336729</v>
      </c>
      <c r="Z1002" s="9">
        <f t="shared" si="132"/>
        <v>10151.121701068398</v>
      </c>
      <c r="AA1002" s="9">
        <f t="shared" si="132"/>
        <v>65672.348021252037</v>
      </c>
      <c r="AB1002" s="9">
        <f t="shared" si="132"/>
        <v>29591.365091289692</v>
      </c>
    </row>
    <row r="1003" spans="1:28" x14ac:dyDescent="0.3">
      <c r="A1003" s="1">
        <v>45873</v>
      </c>
      <c r="B1003" s="2">
        <v>183.78</v>
      </c>
      <c r="C1003" s="2">
        <v>631.16999999999996</v>
      </c>
      <c r="D1003" s="9">
        <f>B1003-B1002</f>
        <v>2.2199999999999989</v>
      </c>
      <c r="E1003" s="9">
        <f>C1003-C1002</f>
        <v>9.4499999999999318</v>
      </c>
      <c r="F1003" s="3">
        <f>F$1/B1003</f>
        <v>544.12884971161168</v>
      </c>
      <c r="G1003" s="3">
        <f>F$1/C1003</f>
        <v>158.43592059191661</v>
      </c>
      <c r="H1003" s="2">
        <f>D1003*F1002</f>
        <v>1222.7362855254455</v>
      </c>
      <c r="I1003" s="2">
        <f>E1003*G1002</f>
        <v>1519.9768384481649</v>
      </c>
      <c r="J1003" s="2">
        <f>I1003-H1003</f>
        <v>297.24055292271942</v>
      </c>
      <c r="K1003" s="2">
        <f t="shared" si="128"/>
        <v>-297.24055292271942</v>
      </c>
      <c r="L1003" s="3">
        <f>C1003/B1003</f>
        <v>3.4343780607247796</v>
      </c>
      <c r="M1003" s="3">
        <f t="shared" si="130"/>
        <v>3.4099231207964236</v>
      </c>
      <c r="N1003" s="3">
        <f t="shared" si="134"/>
        <v>3.4027758454358166</v>
      </c>
      <c r="O1003" s="3">
        <f t="shared" si="127"/>
        <v>3.377363828721097</v>
      </c>
      <c r="P1003" s="3">
        <f t="shared" si="129"/>
        <v>3.3075228092613855</v>
      </c>
      <c r="Q1003" s="4" t="str">
        <f t="shared" si="133"/>
        <v>OVER</v>
      </c>
      <c r="R1003" s="4" t="str">
        <f t="shared" si="133"/>
        <v>OVER</v>
      </c>
      <c r="S1003" s="4" t="str">
        <f t="shared" si="131"/>
        <v>OVER</v>
      </c>
      <c r="T1003" s="4" t="str">
        <f t="shared" si="131"/>
        <v>OVER</v>
      </c>
      <c r="U1003" s="2">
        <f>IF(Q1003="OVER",$J1003,$K1003)</f>
        <v>297.24055292271942</v>
      </c>
      <c r="V1003" s="2">
        <f>IF(R1003="OVER",$J1003,$K1003)</f>
        <v>297.24055292271942</v>
      </c>
      <c r="W1003" s="2">
        <f>IF(S1003="OVER",$J1003,$K1003)</f>
        <v>297.24055292271942</v>
      </c>
      <c r="X1003" s="2">
        <f>IF(T1003="OVER",$J1003,$K1003)</f>
        <v>297.24055292271942</v>
      </c>
      <c r="Y1003" s="9">
        <f t="shared" si="132"/>
        <v>-9781.4011174140087</v>
      </c>
      <c r="Z1003" s="9">
        <f t="shared" si="132"/>
        <v>10448.362253991118</v>
      </c>
      <c r="AA1003" s="9">
        <f t="shared" si="132"/>
        <v>65969.588574174762</v>
      </c>
      <c r="AB1003" s="9">
        <f t="shared" si="132"/>
        <v>29888.60564421241</v>
      </c>
    </row>
    <row r="1004" spans="1:28" x14ac:dyDescent="0.3">
      <c r="A1004" s="1">
        <v>45874</v>
      </c>
      <c r="B1004" s="2">
        <v>183.27</v>
      </c>
      <c r="C1004" s="2">
        <v>627.97</v>
      </c>
      <c r="D1004" s="9">
        <f>B1004-B1003</f>
        <v>-0.50999999999999091</v>
      </c>
      <c r="E1004" s="9">
        <f>C1004-C1003</f>
        <v>-3.1999999999999318</v>
      </c>
      <c r="F1004" s="3">
        <f>F$1/B1004</f>
        <v>545.64304032302061</v>
      </c>
      <c r="G1004" s="3">
        <f>F$1/C1004</f>
        <v>159.24327595267289</v>
      </c>
      <c r="H1004" s="2">
        <f>D1004*F1003</f>
        <v>-277.50571335291698</v>
      </c>
      <c r="I1004" s="2">
        <f>E1004*G1003</f>
        <v>-506.99494589412234</v>
      </c>
      <c r="J1004" s="2">
        <f>I1004-H1004</f>
        <v>-229.48923254120535</v>
      </c>
      <c r="K1004" s="2">
        <f t="shared" si="128"/>
        <v>229.48923254120535</v>
      </c>
      <c r="L1004" s="3">
        <f>C1004/B1004</f>
        <v>3.4264746003164728</v>
      </c>
      <c r="M1004" s="3">
        <f t="shared" si="130"/>
        <v>3.4142737386095545</v>
      </c>
      <c r="N1004" s="3">
        <f t="shared" si="134"/>
        <v>3.4056753791006402</v>
      </c>
      <c r="O1004" s="3">
        <f t="shared" si="127"/>
        <v>3.3792658854306201</v>
      </c>
      <c r="P1004" s="3">
        <f t="shared" si="129"/>
        <v>3.3085858917973368</v>
      </c>
      <c r="Q1004" s="4" t="str">
        <f t="shared" si="133"/>
        <v>OVER</v>
      </c>
      <c r="R1004" s="4" t="str">
        <f t="shared" si="133"/>
        <v>OVER</v>
      </c>
      <c r="S1004" s="4" t="str">
        <f t="shared" si="131"/>
        <v>OVER</v>
      </c>
      <c r="T1004" s="4" t="str">
        <f t="shared" si="131"/>
        <v>OVER</v>
      </c>
      <c r="U1004" s="2">
        <f>IF(Q1004="OVER",$J1004,$K1004)</f>
        <v>-229.48923254120535</v>
      </c>
      <c r="V1004" s="2">
        <f>IF(R1004="OVER",$J1004,$K1004)</f>
        <v>-229.48923254120535</v>
      </c>
      <c r="W1004" s="2">
        <f>IF(S1004="OVER",$J1004,$K1004)</f>
        <v>-229.48923254120535</v>
      </c>
      <c r="X1004" s="2">
        <f>IF(T1004="OVER",$J1004,$K1004)</f>
        <v>-229.48923254120535</v>
      </c>
      <c r="Y1004" s="9">
        <f t="shared" si="132"/>
        <v>-10010.890349955214</v>
      </c>
      <c r="Z1004" s="9">
        <f t="shared" si="132"/>
        <v>10218.873021449912</v>
      </c>
      <c r="AA1004" s="9">
        <f t="shared" si="132"/>
        <v>65740.099341633555</v>
      </c>
      <c r="AB1004" s="9">
        <f t="shared" si="132"/>
        <v>29659.116411671206</v>
      </c>
    </row>
    <row r="1005" spans="1:28" x14ac:dyDescent="0.3">
      <c r="A1005" s="1">
        <v>45875</v>
      </c>
      <c r="B1005" s="2">
        <v>182.86</v>
      </c>
      <c r="C1005" s="2">
        <v>632.78</v>
      </c>
      <c r="D1005" s="9">
        <f>B1005-B1004</f>
        <v>-0.40999999999999659</v>
      </c>
      <c r="E1005" s="9">
        <f>C1005-C1004</f>
        <v>4.8099999999999454</v>
      </c>
      <c r="F1005" s="3">
        <f>F$1/B1005</f>
        <v>546.86645521163723</v>
      </c>
      <c r="G1005" s="3">
        <f>F$1/C1005</f>
        <v>158.03280761086003</v>
      </c>
      <c r="H1005" s="2">
        <f>D1005*F1004</f>
        <v>-223.7136465324366</v>
      </c>
      <c r="I1005" s="2">
        <f>E1005*G1004</f>
        <v>765.96015733234788</v>
      </c>
      <c r="J1005" s="2">
        <f>I1005-H1005</f>
        <v>989.67380386478453</v>
      </c>
      <c r="K1005" s="2">
        <f t="shared" si="128"/>
        <v>-989.67380386478453</v>
      </c>
      <c r="L1005" s="3">
        <f>C1005/B1005</f>
        <v>3.4604615552881981</v>
      </c>
      <c r="M1005" s="3">
        <f t="shared" si="130"/>
        <v>3.4219482353857735</v>
      </c>
      <c r="N1005" s="3">
        <f t="shared" si="134"/>
        <v>3.409768783322741</v>
      </c>
      <c r="O1005" s="3">
        <f t="shared" si="127"/>
        <v>3.3820367525141273</v>
      </c>
      <c r="P1005" s="3">
        <f t="shared" si="129"/>
        <v>3.3098574760851749</v>
      </c>
      <c r="Q1005" s="4" t="str">
        <f t="shared" si="133"/>
        <v>OVER</v>
      </c>
      <c r="R1005" s="4" t="str">
        <f t="shared" si="133"/>
        <v>OVER</v>
      </c>
      <c r="S1005" s="4" t="str">
        <f t="shared" si="131"/>
        <v>OVER</v>
      </c>
      <c r="T1005" s="4" t="str">
        <f t="shared" si="131"/>
        <v>OVER</v>
      </c>
      <c r="U1005" s="2">
        <f>IF(Q1005="OVER",$J1005,$K1005)</f>
        <v>989.67380386478453</v>
      </c>
      <c r="V1005" s="2">
        <f>IF(R1005="OVER",$J1005,$K1005)</f>
        <v>989.67380386478453</v>
      </c>
      <c r="W1005" s="2">
        <f>IF(S1005="OVER",$J1005,$K1005)</f>
        <v>989.67380386478453</v>
      </c>
      <c r="X1005" s="2">
        <f>IF(T1005="OVER",$J1005,$K1005)</f>
        <v>989.67380386478453</v>
      </c>
      <c r="Y1005" s="9">
        <f t="shared" si="132"/>
        <v>-9021.2165460904289</v>
      </c>
      <c r="Z1005" s="9">
        <f t="shared" si="132"/>
        <v>11208.546825314697</v>
      </c>
      <c r="AA1005" s="9">
        <f t="shared" si="132"/>
        <v>66729.773145498344</v>
      </c>
      <c r="AB1005" s="9">
        <f t="shared" si="132"/>
        <v>30648.790215535992</v>
      </c>
    </row>
    <row r="1006" spans="1:28" x14ac:dyDescent="0.3">
      <c r="A1006" s="1">
        <v>45876</v>
      </c>
      <c r="B1006" s="2">
        <v>182.75</v>
      </c>
      <c r="C1006" s="2">
        <v>632.25</v>
      </c>
      <c r="D1006" s="9">
        <f>B1006-B1005</f>
        <v>-0.11000000000001364</v>
      </c>
      <c r="E1006" s="9">
        <f>C1006-C1005</f>
        <v>-0.52999999999997272</v>
      </c>
      <c r="F1006" s="3">
        <f>F$1/B1006</f>
        <v>547.19562243502048</v>
      </c>
      <c r="G1006" s="3">
        <f>F$1/C1006</f>
        <v>158.16528272044286</v>
      </c>
      <c r="H1006" s="2">
        <f>D1006*F1005</f>
        <v>-60.155310073287559</v>
      </c>
      <c r="I1006" s="2">
        <f>E1006*G1005</f>
        <v>-83.757388033751511</v>
      </c>
      <c r="J1006" s="2">
        <f>I1006-H1006</f>
        <v>-23.602077960463951</v>
      </c>
      <c r="K1006" s="2">
        <f t="shared" si="128"/>
        <v>23.602077960463951</v>
      </c>
      <c r="L1006" s="3">
        <f>C1006/B1006</f>
        <v>3.4596443228454175</v>
      </c>
      <c r="M1006" s="3">
        <f t="shared" si="130"/>
        <v>3.4283419349186159</v>
      </c>
      <c r="N1006" s="3">
        <f t="shared" si="134"/>
        <v>3.4143205979147915</v>
      </c>
      <c r="O1006" s="3">
        <f t="shared" si="127"/>
        <v>3.3846511954526211</v>
      </c>
      <c r="P1006" s="3">
        <f t="shared" si="129"/>
        <v>3.3110979576674162</v>
      </c>
      <c r="Q1006" s="4" t="str">
        <f t="shared" si="133"/>
        <v>OVER</v>
      </c>
      <c r="R1006" s="4" t="str">
        <f t="shared" si="133"/>
        <v>OVER</v>
      </c>
      <c r="S1006" s="4" t="str">
        <f t="shared" si="131"/>
        <v>OVER</v>
      </c>
      <c r="T1006" s="4" t="str">
        <f t="shared" si="131"/>
        <v>OVER</v>
      </c>
      <c r="U1006" s="2">
        <f>IF(Q1006="OVER",$J1006,$K1006)</f>
        <v>-23.602077960463951</v>
      </c>
      <c r="V1006" s="2">
        <f>IF(R1006="OVER",$J1006,$K1006)</f>
        <v>-23.602077960463951</v>
      </c>
      <c r="W1006" s="2">
        <f>IF(S1006="OVER",$J1006,$K1006)</f>
        <v>-23.602077960463951</v>
      </c>
      <c r="X1006" s="2">
        <f>IF(T1006="OVER",$J1006,$K1006)</f>
        <v>-23.602077960463951</v>
      </c>
      <c r="Y1006" s="9">
        <f t="shared" si="132"/>
        <v>-9044.818624050893</v>
      </c>
      <c r="Z1006" s="9">
        <f t="shared" si="132"/>
        <v>11184.944747354233</v>
      </c>
      <c r="AA1006" s="9">
        <f t="shared" si="132"/>
        <v>66706.171067537885</v>
      </c>
      <c r="AB1006" s="9">
        <f t="shared" si="132"/>
        <v>30625.188137575529</v>
      </c>
    </row>
    <row r="1007" spans="1:28" x14ac:dyDescent="0.3">
      <c r="A1007" s="1">
        <v>45877</v>
      </c>
      <c r="B1007" s="2">
        <v>183.08</v>
      </c>
      <c r="C1007" s="2">
        <v>637.17999999999995</v>
      </c>
      <c r="D1007" s="9">
        <f>B1007-B1006</f>
        <v>0.33000000000001251</v>
      </c>
      <c r="E1007" s="9">
        <f>C1007-C1006</f>
        <v>4.92999999999995</v>
      </c>
      <c r="F1007" s="3">
        <f>F$1/B1007</f>
        <v>546.20930740659821</v>
      </c>
      <c r="G1007" s="3">
        <f>F$1/C1007</f>
        <v>156.94152358831101</v>
      </c>
      <c r="H1007" s="2">
        <f>D1007*F1006</f>
        <v>180.57455540356361</v>
      </c>
      <c r="I1007" s="2">
        <f>E1007*G1006</f>
        <v>779.75484381177534</v>
      </c>
      <c r="J1007" s="2">
        <f>I1007-H1007</f>
        <v>599.18028840821171</v>
      </c>
      <c r="K1007" s="2">
        <f t="shared" si="128"/>
        <v>-599.18028840821171</v>
      </c>
      <c r="L1007" s="3">
        <f>C1007/B1007</f>
        <v>3.4803364649333619</v>
      </c>
      <c r="M1007" s="3">
        <f t="shared" si="130"/>
        <v>3.4370052090686927</v>
      </c>
      <c r="N1007" s="3">
        <f t="shared" si="134"/>
        <v>3.4192613990380449</v>
      </c>
      <c r="O1007" s="3">
        <f t="shared" si="127"/>
        <v>3.387496977400803</v>
      </c>
      <c r="P1007" s="3">
        <f t="shared" si="129"/>
        <v>3.3124279954107885</v>
      </c>
      <c r="Q1007" s="4" t="str">
        <f t="shared" si="133"/>
        <v>OVER</v>
      </c>
      <c r="R1007" s="4" t="str">
        <f t="shared" si="133"/>
        <v>OVER</v>
      </c>
      <c r="S1007" s="4" t="str">
        <f t="shared" si="131"/>
        <v>OVER</v>
      </c>
      <c r="T1007" s="4" t="str">
        <f t="shared" si="131"/>
        <v>OVER</v>
      </c>
      <c r="U1007" s="2">
        <f>IF(Q1007="OVER",$J1007,$K1007)</f>
        <v>599.18028840821171</v>
      </c>
      <c r="V1007" s="2">
        <f>IF(R1007="OVER",$J1007,$K1007)</f>
        <v>599.18028840821171</v>
      </c>
      <c r="W1007" s="2">
        <f>IF(S1007="OVER",$J1007,$K1007)</f>
        <v>599.18028840821171</v>
      </c>
      <c r="X1007" s="2">
        <f>IF(T1007="OVER",$J1007,$K1007)</f>
        <v>599.18028840821171</v>
      </c>
      <c r="Y1007" s="9">
        <f t="shared" si="132"/>
        <v>-8445.6383356426813</v>
      </c>
      <c r="Z1007" s="9">
        <f t="shared" si="132"/>
        <v>11784.125035762445</v>
      </c>
      <c r="AA1007" s="9">
        <f t="shared" si="132"/>
        <v>67305.351355946099</v>
      </c>
      <c r="AB1007" s="9">
        <f t="shared" si="132"/>
        <v>31224.368425983739</v>
      </c>
    </row>
    <row r="1008" spans="1:28" x14ac:dyDescent="0.3">
      <c r="A1008" s="1">
        <v>45880</v>
      </c>
      <c r="B1008" s="2">
        <v>182.58</v>
      </c>
      <c r="C1008" s="2">
        <v>635.91999999999996</v>
      </c>
      <c r="D1008" s="9">
        <f>B1008-B1007</f>
        <v>-0.5</v>
      </c>
      <c r="E1008" s="9">
        <f>C1008-C1007</f>
        <v>-1.2599999999999909</v>
      </c>
      <c r="F1008" s="3">
        <f>F$1/B1008</f>
        <v>547.70511556577935</v>
      </c>
      <c r="G1008" s="3">
        <f>F$1/C1008</f>
        <v>157.25248458925651</v>
      </c>
      <c r="H1008" s="2">
        <f>D1008*F1007</f>
        <v>-273.10465370329911</v>
      </c>
      <c r="I1008" s="2">
        <f>E1008*G1007</f>
        <v>-197.74631972127045</v>
      </c>
      <c r="J1008" s="2">
        <f>I1008-H1008</f>
        <v>75.358333982028654</v>
      </c>
      <c r="K1008" s="2">
        <f t="shared" si="128"/>
        <v>-75.358333982028654</v>
      </c>
      <c r="L1008" s="3">
        <f>C1008/B1008</f>
        <v>3.482966370905904</v>
      </c>
      <c r="M1008" s="3">
        <f t="shared" si="130"/>
        <v>3.4439986632206918</v>
      </c>
      <c r="N1008" s="3">
        <f t="shared" si="134"/>
        <v>3.4241854068742783</v>
      </c>
      <c r="O1008" s="3">
        <f t="shared" si="127"/>
        <v>3.3902951150172216</v>
      </c>
      <c r="P1008" s="3">
        <f t="shared" si="129"/>
        <v>3.3136596529086186</v>
      </c>
      <c r="Q1008" s="4" t="str">
        <f t="shared" si="133"/>
        <v>OVER</v>
      </c>
      <c r="R1008" s="4" t="str">
        <f t="shared" si="133"/>
        <v>OVER</v>
      </c>
      <c r="S1008" s="4" t="str">
        <f t="shared" si="131"/>
        <v>OVER</v>
      </c>
      <c r="T1008" s="4" t="str">
        <f t="shared" si="131"/>
        <v>OVER</v>
      </c>
      <c r="U1008" s="2">
        <f>IF(Q1008="OVER",$J1008,$K1008)</f>
        <v>75.358333982028654</v>
      </c>
      <c r="V1008" s="2">
        <f>IF(R1008="OVER",$J1008,$K1008)</f>
        <v>75.358333982028654</v>
      </c>
      <c r="W1008" s="2">
        <f>IF(S1008="OVER",$J1008,$K1008)</f>
        <v>75.358333982028654</v>
      </c>
      <c r="X1008" s="2">
        <f>IF(T1008="OVER",$J1008,$K1008)</f>
        <v>75.358333982028654</v>
      </c>
      <c r="Y1008" s="9">
        <f t="shared" si="132"/>
        <v>-8370.2800016606525</v>
      </c>
      <c r="Z1008" s="9">
        <f t="shared" si="132"/>
        <v>11859.483369744474</v>
      </c>
      <c r="AA1008" s="9">
        <f t="shared" si="132"/>
        <v>67380.709689928131</v>
      </c>
      <c r="AB1008" s="9">
        <f t="shared" si="132"/>
        <v>31299.726759965768</v>
      </c>
    </row>
    <row r="1009" spans="1:28" x14ac:dyDescent="0.3">
      <c r="A1009" s="1">
        <v>45881</v>
      </c>
      <c r="B1009" s="2">
        <v>184.9</v>
      </c>
      <c r="C1009" s="2">
        <v>642.69000000000005</v>
      </c>
      <c r="D1009" s="9">
        <f>B1009-B1008</f>
        <v>2.3199999999999932</v>
      </c>
      <c r="E1009" s="9">
        <f>C1009-C1008</f>
        <v>6.7700000000000955</v>
      </c>
      <c r="F1009" s="3">
        <f>F$1/B1009</f>
        <v>540.83288263926443</v>
      </c>
      <c r="G1009" s="3">
        <f>F$1/C1009</f>
        <v>155.59601051829029</v>
      </c>
      <c r="H1009" s="2">
        <f>D1009*F1008</f>
        <v>1270.6758681126043</v>
      </c>
      <c r="I1009" s="2">
        <f>E1009*G1008</f>
        <v>1064.5993206692815</v>
      </c>
      <c r="J1009" s="2">
        <f>I1009-H1009</f>
        <v>-206.07654744332285</v>
      </c>
      <c r="K1009" s="2">
        <f t="shared" si="128"/>
        <v>206.07654744332285</v>
      </c>
      <c r="L1009" s="3">
        <f>C1009/B1009</f>
        <v>3.4758788534342888</v>
      </c>
      <c r="M1009" s="3">
        <f t="shared" si="130"/>
        <v>3.4510193475776836</v>
      </c>
      <c r="N1009" s="3">
        <f t="shared" si="134"/>
        <v>3.4271087096119088</v>
      </c>
      <c r="O1009" s="3">
        <f t="shared" si="127"/>
        <v>3.3929997917855048</v>
      </c>
      <c r="P1009" s="3">
        <f t="shared" si="129"/>
        <v>3.3147914843659199</v>
      </c>
      <c r="Q1009" s="4" t="str">
        <f t="shared" si="133"/>
        <v>OVER</v>
      </c>
      <c r="R1009" s="4" t="str">
        <f t="shared" si="133"/>
        <v>OVER</v>
      </c>
      <c r="S1009" s="4" t="str">
        <f t="shared" si="131"/>
        <v>OVER</v>
      </c>
      <c r="T1009" s="4" t="str">
        <f t="shared" si="131"/>
        <v>OVER</v>
      </c>
      <c r="U1009" s="2">
        <f>IF(Q1009="OVER",$J1009,$K1009)</f>
        <v>-206.07654744332285</v>
      </c>
      <c r="V1009" s="2">
        <f>IF(R1009="OVER",$J1009,$K1009)</f>
        <v>-206.07654744332285</v>
      </c>
      <c r="W1009" s="2">
        <f>IF(S1009="OVER",$J1009,$K1009)</f>
        <v>-206.07654744332285</v>
      </c>
      <c r="X1009" s="2">
        <f>IF(T1009="OVER",$J1009,$K1009)</f>
        <v>-206.07654744332285</v>
      </c>
      <c r="Y1009" s="9">
        <f t="shared" si="132"/>
        <v>-8576.3565491039753</v>
      </c>
      <c r="Z1009" s="9">
        <f t="shared" si="132"/>
        <v>11653.406822301151</v>
      </c>
      <c r="AA1009" s="9">
        <f t="shared" si="132"/>
        <v>67174.633142484803</v>
      </c>
      <c r="AB1009" s="9">
        <f t="shared" si="132"/>
        <v>31093.650212522443</v>
      </c>
    </row>
    <row r="1010" spans="1:28" x14ac:dyDescent="0.3">
      <c r="A1010" s="1">
        <v>45882</v>
      </c>
      <c r="B1010" s="2">
        <v>187.54</v>
      </c>
      <c r="C1010" s="2">
        <v>644.89</v>
      </c>
      <c r="D1010" s="9">
        <f>B1010-B1009</f>
        <v>2.6399999999999864</v>
      </c>
      <c r="E1010" s="9">
        <f>C1010-C1009</f>
        <v>2.1999999999999318</v>
      </c>
      <c r="F1010" s="3">
        <f>F$1/B1010</f>
        <v>533.21957982297113</v>
      </c>
      <c r="G1010" s="3">
        <f>F$1/C1010</f>
        <v>155.06520491866831</v>
      </c>
      <c r="H1010" s="2">
        <f>D1010*F1009</f>
        <v>1427.7988101676508</v>
      </c>
      <c r="I1010" s="2">
        <f>E1010*G1009</f>
        <v>342.31122314022804</v>
      </c>
      <c r="J1010" s="2">
        <f>I1010-H1010</f>
        <v>-1085.4875870274227</v>
      </c>
      <c r="K1010" s="2">
        <f t="shared" si="128"/>
        <v>1085.4875870274227</v>
      </c>
      <c r="L1010" s="3">
        <f>C1010/B1010</f>
        <v>3.4386797483203586</v>
      </c>
      <c r="M1010" s="3">
        <f t="shared" si="130"/>
        <v>3.4525281598800412</v>
      </c>
      <c r="N1010" s="3">
        <f t="shared" si="134"/>
        <v>3.4282668160911784</v>
      </c>
      <c r="O1010" s="3">
        <f t="shared" si="127"/>
        <v>3.394637406687349</v>
      </c>
      <c r="P1010" s="3">
        <f t="shared" si="129"/>
        <v>3.3158326921842041</v>
      </c>
      <c r="Q1010" s="4" t="str">
        <f t="shared" si="133"/>
        <v>OVER</v>
      </c>
      <c r="R1010" s="4" t="str">
        <f t="shared" si="133"/>
        <v>OVER</v>
      </c>
      <c r="S1010" s="4" t="str">
        <f t="shared" si="131"/>
        <v>OVER</v>
      </c>
      <c r="T1010" s="4" t="str">
        <f t="shared" si="131"/>
        <v>OVER</v>
      </c>
      <c r="U1010" s="2">
        <f>IF(Q1010="OVER",$J1010,$K1010)</f>
        <v>-1085.4875870274227</v>
      </c>
      <c r="V1010" s="2">
        <f>IF(R1010="OVER",$J1010,$K1010)</f>
        <v>-1085.4875870274227</v>
      </c>
      <c r="W1010" s="2">
        <f>IF(S1010="OVER",$J1010,$K1010)</f>
        <v>-1085.4875870274227</v>
      </c>
      <c r="X1010" s="2">
        <f>IF(T1010="OVER",$J1010,$K1010)</f>
        <v>-1085.4875870274227</v>
      </c>
      <c r="Y1010" s="9">
        <f t="shared" si="132"/>
        <v>-9661.844136131398</v>
      </c>
      <c r="Z1010" s="9">
        <f t="shared" si="132"/>
        <v>10567.919235273728</v>
      </c>
      <c r="AA1010" s="9">
        <f t="shared" si="132"/>
        <v>66089.145555457377</v>
      </c>
      <c r="AB1010" s="9">
        <f t="shared" si="132"/>
        <v>30008.162625495021</v>
      </c>
    </row>
    <row r="1011" spans="1:28" x14ac:dyDescent="0.3">
      <c r="A1011" s="1">
        <v>45883</v>
      </c>
      <c r="B1011" s="2">
        <v>186.32</v>
      </c>
      <c r="C1011" s="2">
        <v>644.95000000000005</v>
      </c>
      <c r="D1011" s="9">
        <f>B1011-B1010</f>
        <v>-1.2199999999999989</v>
      </c>
      <c r="E1011" s="9">
        <f>C1011-C1010</f>
        <v>6.0000000000059117E-2</v>
      </c>
      <c r="F1011" s="3">
        <f>F$1/B1011</f>
        <v>536.71103477887505</v>
      </c>
      <c r="G1011" s="3">
        <f>F$1/C1011</f>
        <v>155.05077913016513</v>
      </c>
      <c r="H1011" s="2">
        <f>D1011*F1010</f>
        <v>-650.52788738402421</v>
      </c>
      <c r="I1011" s="2">
        <f>E1011*G1010</f>
        <v>9.3039122951292654</v>
      </c>
      <c r="J1011" s="2">
        <f>I1011-H1011</f>
        <v>659.83179967915351</v>
      </c>
      <c r="K1011" s="2">
        <f t="shared" si="128"/>
        <v>-659.83179967915351</v>
      </c>
      <c r="L1011" s="3">
        <f>C1011/B1011</f>
        <v>3.4615178188063549</v>
      </c>
      <c r="M1011" s="3">
        <f t="shared" si="130"/>
        <v>3.4544660333579102</v>
      </c>
      <c r="N1011" s="3">
        <f t="shared" si="134"/>
        <v>3.4309112280627039</v>
      </c>
      <c r="O1011" s="3">
        <f t="shared" si="127"/>
        <v>3.3969064060650487</v>
      </c>
      <c r="P1011" s="3">
        <f t="shared" si="129"/>
        <v>3.316956776584449</v>
      </c>
      <c r="Q1011" s="4" t="str">
        <f t="shared" si="133"/>
        <v>UNDER</v>
      </c>
      <c r="R1011" s="4" t="str">
        <f t="shared" si="133"/>
        <v>OVER</v>
      </c>
      <c r="S1011" s="4" t="str">
        <f t="shared" si="131"/>
        <v>OVER</v>
      </c>
      <c r="T1011" s="4" t="str">
        <f t="shared" si="131"/>
        <v>OVER</v>
      </c>
      <c r="U1011" s="2">
        <f>IF(Q1011="OVER",$J1011,$K1011)</f>
        <v>-659.83179967915351</v>
      </c>
      <c r="V1011" s="2">
        <f>IF(R1011="OVER",$J1011,$K1011)</f>
        <v>659.83179967915351</v>
      </c>
      <c r="W1011" s="2">
        <f>IF(S1011="OVER",$J1011,$K1011)</f>
        <v>659.83179967915351</v>
      </c>
      <c r="X1011" s="2">
        <f>IF(T1011="OVER",$J1011,$K1011)</f>
        <v>659.83179967915351</v>
      </c>
      <c r="Y1011" s="9">
        <f t="shared" si="132"/>
        <v>-10321.675935810552</v>
      </c>
      <c r="Z1011" s="9">
        <f t="shared" si="132"/>
        <v>11227.751034952882</v>
      </c>
      <c r="AA1011" s="9">
        <f t="shared" si="132"/>
        <v>66748.977355136536</v>
      </c>
      <c r="AB1011" s="9">
        <f t="shared" si="132"/>
        <v>30667.994425174173</v>
      </c>
    </row>
    <row r="1012" spans="1:28" x14ac:dyDescent="0.3">
      <c r="A1012" s="1">
        <v>45884</v>
      </c>
      <c r="B1012" s="2">
        <v>185.86</v>
      </c>
      <c r="C1012" s="2">
        <v>643.44000000000005</v>
      </c>
      <c r="D1012" s="9">
        <f>B1012-B1011</f>
        <v>-0.45999999999997954</v>
      </c>
      <c r="E1012" s="9">
        <f>C1012-C1011</f>
        <v>-1.5099999999999909</v>
      </c>
      <c r="F1012" s="3">
        <f>F$1/B1012</f>
        <v>538.03938448294412</v>
      </c>
      <c r="G1012" s="3">
        <f>F$1/C1012</f>
        <v>155.41464627626507</v>
      </c>
      <c r="H1012" s="2">
        <f>D1012*F1011</f>
        <v>-246.88707599827154</v>
      </c>
      <c r="I1012" s="2">
        <f>E1012*G1011</f>
        <v>-234.12667648654792</v>
      </c>
      <c r="J1012" s="2">
        <f>I1012-H1012</f>
        <v>12.76039951172362</v>
      </c>
      <c r="K1012" s="2">
        <f t="shared" si="128"/>
        <v>-12.76039951172362</v>
      </c>
      <c r="L1012" s="3">
        <f>C1012/B1012</f>
        <v>3.4619606155170559</v>
      </c>
      <c r="M1012" s="3">
        <f t="shared" si="130"/>
        <v>3.4582298411092189</v>
      </c>
      <c r="N1012" s="3">
        <f t="shared" si="134"/>
        <v>3.4336378830105625</v>
      </c>
      <c r="O1012" s="3">
        <f t="shared" si="127"/>
        <v>3.3990514954301072</v>
      </c>
      <c r="P1012" s="3">
        <f t="shared" si="129"/>
        <v>3.3180114564235854</v>
      </c>
      <c r="Q1012" s="4" t="str">
        <f t="shared" si="133"/>
        <v>OVER</v>
      </c>
      <c r="R1012" s="4" t="str">
        <f t="shared" si="133"/>
        <v>OVER</v>
      </c>
      <c r="S1012" s="4" t="str">
        <f t="shared" si="131"/>
        <v>OVER</v>
      </c>
      <c r="T1012" s="4" t="str">
        <f t="shared" si="131"/>
        <v>OVER</v>
      </c>
      <c r="U1012" s="2">
        <f>IF(Q1012="OVER",$J1012,$K1012)</f>
        <v>12.76039951172362</v>
      </c>
      <c r="V1012" s="2">
        <f>IF(R1012="OVER",$J1012,$K1012)</f>
        <v>12.76039951172362</v>
      </c>
      <c r="W1012" s="2">
        <f>IF(S1012="OVER",$J1012,$K1012)</f>
        <v>12.76039951172362</v>
      </c>
      <c r="X1012" s="2">
        <f>IF(T1012="OVER",$J1012,$K1012)</f>
        <v>12.76039951172362</v>
      </c>
      <c r="Y1012" s="9">
        <f t="shared" si="132"/>
        <v>-10308.915536298828</v>
      </c>
      <c r="Z1012" s="9">
        <f t="shared" si="132"/>
        <v>11240.511434464606</v>
      </c>
      <c r="AA1012" s="9">
        <f t="shared" si="132"/>
        <v>66761.73775464826</v>
      </c>
      <c r="AB1012" s="9">
        <f t="shared" si="132"/>
        <v>30680.754824685897</v>
      </c>
    </row>
    <row r="1013" spans="1:28" x14ac:dyDescent="0.3">
      <c r="A1013" s="1">
        <v>45887</v>
      </c>
      <c r="B1013" s="2">
        <v>185.82</v>
      </c>
      <c r="C1013" s="2">
        <v>643.29999999999995</v>
      </c>
      <c r="D1013" s="9">
        <f>B1013-B1012</f>
        <v>-4.0000000000020464E-2</v>
      </c>
      <c r="E1013" s="9">
        <f>C1013-C1012</f>
        <v>-0.14000000000010004</v>
      </c>
      <c r="F1013" s="3">
        <f>F$1/B1013</f>
        <v>538.15520396082229</v>
      </c>
      <c r="G1013" s="3">
        <f>F$1/C1013</f>
        <v>155.44846883258202</v>
      </c>
      <c r="H1013" s="2">
        <f>D1013*F1012</f>
        <v>-21.521575379328773</v>
      </c>
      <c r="I1013" s="2">
        <f>E1013*G1012</f>
        <v>-21.75805047869266</v>
      </c>
      <c r="J1013" s="2">
        <f>I1013-H1013</f>
        <v>-0.23647509936388644</v>
      </c>
      <c r="K1013" s="2">
        <f t="shared" si="128"/>
        <v>0.23647509936388644</v>
      </c>
      <c r="L1013" s="3">
        <f>C1013/B1013</f>
        <v>3.4619524270799698</v>
      </c>
      <c r="M1013" s="3">
        <f t="shared" si="130"/>
        <v>3.4609872777447386</v>
      </c>
      <c r="N1013" s="3">
        <f t="shared" si="134"/>
        <v>3.4354551992705806</v>
      </c>
      <c r="O1013" s="3">
        <f t="shared" ref="O1013:O1076" si="135">AVERAGE(L964:L1013)</f>
        <v>3.4013397650148312</v>
      </c>
      <c r="P1013" s="3">
        <f t="shared" si="129"/>
        <v>3.3191077862231215</v>
      </c>
      <c r="Q1013" s="4" t="str">
        <f t="shared" si="133"/>
        <v>OVER</v>
      </c>
      <c r="R1013" s="4" t="str">
        <f t="shared" si="133"/>
        <v>OVER</v>
      </c>
      <c r="S1013" s="4" t="str">
        <f t="shared" si="131"/>
        <v>OVER</v>
      </c>
      <c r="T1013" s="4" t="str">
        <f t="shared" si="131"/>
        <v>OVER</v>
      </c>
      <c r="U1013" s="2">
        <f>IF(Q1013="OVER",$J1013,$K1013)</f>
        <v>-0.23647509936388644</v>
      </c>
      <c r="V1013" s="2">
        <f>IF(R1013="OVER",$J1013,$K1013)</f>
        <v>-0.23647509936388644</v>
      </c>
      <c r="W1013" s="2">
        <f>IF(S1013="OVER",$J1013,$K1013)</f>
        <v>-0.23647509936388644</v>
      </c>
      <c r="X1013" s="2">
        <f>IF(T1013="OVER",$J1013,$K1013)</f>
        <v>-0.23647509936388644</v>
      </c>
      <c r="Y1013" s="9">
        <f t="shared" si="132"/>
        <v>-10309.152011398191</v>
      </c>
      <c r="Z1013" s="9">
        <f t="shared" si="132"/>
        <v>11240.274959365242</v>
      </c>
      <c r="AA1013" s="9">
        <f t="shared" si="132"/>
        <v>66761.501279548902</v>
      </c>
      <c r="AB1013" s="9">
        <f t="shared" si="132"/>
        <v>30680.518349586531</v>
      </c>
    </row>
    <row r="1014" spans="1:28" x14ac:dyDescent="0.3">
      <c r="A1014" s="1">
        <v>45888</v>
      </c>
      <c r="B1014" s="2">
        <v>186.69</v>
      </c>
      <c r="C1014" s="2">
        <v>639.80999999999995</v>
      </c>
      <c r="D1014" s="9">
        <f>B1014-B1013</f>
        <v>0.87000000000000455</v>
      </c>
      <c r="E1014" s="9">
        <f>C1014-C1013</f>
        <v>-3.4900000000000091</v>
      </c>
      <c r="F1014" s="3">
        <f>F$1/B1014</f>
        <v>535.64732979806092</v>
      </c>
      <c r="G1014" s="3">
        <f>F$1/C1014</f>
        <v>156.29640049389664</v>
      </c>
      <c r="H1014" s="2">
        <f>D1014*F1013</f>
        <v>468.19502744591784</v>
      </c>
      <c r="I1014" s="2">
        <f>E1014*G1013</f>
        <v>-542.51515622571264</v>
      </c>
      <c r="J1014" s="2">
        <f>I1014-H1014</f>
        <v>-1010.7101836716305</v>
      </c>
      <c r="K1014" s="2">
        <f t="shared" si="128"/>
        <v>1010.7101836716305</v>
      </c>
      <c r="L1014" s="3">
        <f>C1014/B1014</f>
        <v>3.4271251807809735</v>
      </c>
      <c r="M1014" s="3">
        <f t="shared" si="130"/>
        <v>3.4610523357911886</v>
      </c>
      <c r="N1014" s="3">
        <f t="shared" si="134"/>
        <v>3.4376630372003718</v>
      </c>
      <c r="O1014" s="3">
        <f t="shared" si="135"/>
        <v>3.4028231159078581</v>
      </c>
      <c r="P1014" s="3">
        <f t="shared" si="129"/>
        <v>3.3199546339883765</v>
      </c>
      <c r="Q1014" s="4" t="str">
        <f t="shared" si="133"/>
        <v>OVER</v>
      </c>
      <c r="R1014" s="4" t="str">
        <f t="shared" si="133"/>
        <v>OVER</v>
      </c>
      <c r="S1014" s="4" t="str">
        <f t="shared" si="131"/>
        <v>OVER</v>
      </c>
      <c r="T1014" s="4" t="str">
        <f t="shared" si="131"/>
        <v>OVER</v>
      </c>
      <c r="U1014" s="2">
        <f>IF(Q1014="OVER",$J1014,$K1014)</f>
        <v>-1010.7101836716305</v>
      </c>
      <c r="V1014" s="2">
        <f>IF(R1014="OVER",$J1014,$K1014)</f>
        <v>-1010.7101836716305</v>
      </c>
      <c r="W1014" s="2">
        <f>IF(S1014="OVER",$J1014,$K1014)</f>
        <v>-1010.7101836716305</v>
      </c>
      <c r="X1014" s="2">
        <f>IF(T1014="OVER",$J1014,$K1014)</f>
        <v>-1010.7101836716305</v>
      </c>
      <c r="Y1014" s="9">
        <f t="shared" si="132"/>
        <v>-11319.862195069822</v>
      </c>
      <c r="Z1014" s="9">
        <f t="shared" si="132"/>
        <v>10229.564775693612</v>
      </c>
      <c r="AA1014" s="9">
        <f t="shared" si="132"/>
        <v>65750.79109587727</v>
      </c>
      <c r="AB1014" s="9">
        <f t="shared" si="132"/>
        <v>29669.808165914899</v>
      </c>
    </row>
    <row r="1015" spans="1:28" x14ac:dyDescent="0.3">
      <c r="A1015" s="1">
        <v>45889</v>
      </c>
      <c r="B1015" s="2">
        <v>186.52</v>
      </c>
      <c r="C1015" s="2">
        <v>638.11</v>
      </c>
      <c r="D1015" s="9">
        <f>B1015-B1014</f>
        <v>-0.16999999999998749</v>
      </c>
      <c r="E1015" s="9">
        <f>C1015-C1014</f>
        <v>-1.6999999999999318</v>
      </c>
      <c r="F1015" s="3">
        <f>F$1/B1015</f>
        <v>536.135535063264</v>
      </c>
      <c r="G1015" s="3">
        <f>F$1/C1015</f>
        <v>156.71279246524892</v>
      </c>
      <c r="H1015" s="2">
        <f>D1015*F1014</f>
        <v>-91.060046065663656</v>
      </c>
      <c r="I1015" s="2">
        <f>E1015*G1014</f>
        <v>-265.70388083961365</v>
      </c>
      <c r="J1015" s="2">
        <f>I1015-H1015</f>
        <v>-174.64383477395</v>
      </c>
      <c r="K1015" s="2">
        <f t="shared" si="128"/>
        <v>174.64383477395</v>
      </c>
      <c r="L1015" s="3">
        <f>C1015/B1015</f>
        <v>3.4211344627921938</v>
      </c>
      <c r="M1015" s="3">
        <f t="shared" si="130"/>
        <v>3.457119626541588</v>
      </c>
      <c r="N1015" s="3">
        <f t="shared" si="134"/>
        <v>3.4395339309636812</v>
      </c>
      <c r="O1015" s="3">
        <f t="shared" si="135"/>
        <v>3.4041374792908283</v>
      </c>
      <c r="P1015" s="3">
        <f t="shared" si="129"/>
        <v>3.3207852628094376</v>
      </c>
      <c r="Q1015" s="4" t="str">
        <f t="shared" si="133"/>
        <v>UNDER</v>
      </c>
      <c r="R1015" s="4" t="str">
        <f t="shared" si="133"/>
        <v>UNDER</v>
      </c>
      <c r="S1015" s="4" t="str">
        <f t="shared" si="131"/>
        <v>OVER</v>
      </c>
      <c r="T1015" s="4" t="str">
        <f t="shared" si="131"/>
        <v>OVER</v>
      </c>
      <c r="U1015" s="2">
        <f>IF(Q1015="OVER",$J1015,$K1015)</f>
        <v>174.64383477395</v>
      </c>
      <c r="V1015" s="2">
        <f>IF(R1015="OVER",$J1015,$K1015)</f>
        <v>174.64383477395</v>
      </c>
      <c r="W1015" s="2">
        <f>IF(S1015="OVER",$J1015,$K1015)</f>
        <v>-174.64383477395</v>
      </c>
      <c r="X1015" s="2">
        <f>IF(T1015="OVER",$J1015,$K1015)</f>
        <v>-174.64383477395</v>
      </c>
      <c r="Y1015" s="9">
        <f t="shared" si="132"/>
        <v>-11145.218360295872</v>
      </c>
      <c r="Z1015" s="9">
        <f t="shared" si="132"/>
        <v>10404.208610467562</v>
      </c>
      <c r="AA1015" s="9">
        <f t="shared" si="132"/>
        <v>65576.147261103324</v>
      </c>
      <c r="AB1015" s="9">
        <f t="shared" si="132"/>
        <v>29495.16433114095</v>
      </c>
    </row>
    <row r="1016" spans="1:28" x14ac:dyDescent="0.3">
      <c r="A1016" s="1">
        <v>45890</v>
      </c>
      <c r="B1016" s="2">
        <v>185.87</v>
      </c>
      <c r="C1016" s="2">
        <v>635.54999999999995</v>
      </c>
      <c r="D1016" s="9">
        <f>B1016-B1015</f>
        <v>-0.65000000000000568</v>
      </c>
      <c r="E1016" s="9">
        <f>C1016-C1015</f>
        <v>-2.5600000000000591</v>
      </c>
      <c r="F1016" s="3">
        <f>F$1/B1016</f>
        <v>538.01043740248565</v>
      </c>
      <c r="G1016" s="3">
        <f>F$1/C1016</f>
        <v>157.34403272755881</v>
      </c>
      <c r="H1016" s="2">
        <f>D1016*F1015</f>
        <v>-348.48809779112463</v>
      </c>
      <c r="I1016" s="2">
        <f>E1016*G1015</f>
        <v>-401.1847487110465</v>
      </c>
      <c r="J1016" s="2">
        <f>I1016-H1016</f>
        <v>-52.696650919921865</v>
      </c>
      <c r="K1016" s="2">
        <f t="shared" si="128"/>
        <v>52.696650919921865</v>
      </c>
      <c r="L1016" s="3">
        <f>C1016/B1016</f>
        <v>3.4193253349114969</v>
      </c>
      <c r="M1016" s="3">
        <f t="shared" si="130"/>
        <v>3.4530877277481964</v>
      </c>
      <c r="N1016" s="3">
        <f t="shared" si="134"/>
        <v>3.4407148313334064</v>
      </c>
      <c r="O1016" s="3">
        <f t="shared" si="135"/>
        <v>3.4053695959216896</v>
      </c>
      <c r="P1016" s="3">
        <f t="shared" si="129"/>
        <v>3.3217539185270493</v>
      </c>
      <c r="Q1016" s="4" t="str">
        <f t="shared" si="133"/>
        <v>UNDER</v>
      </c>
      <c r="R1016" s="4" t="str">
        <f t="shared" si="133"/>
        <v>UNDER</v>
      </c>
      <c r="S1016" s="4" t="str">
        <f t="shared" si="131"/>
        <v>OVER</v>
      </c>
      <c r="T1016" s="4" t="str">
        <f t="shared" si="131"/>
        <v>OVER</v>
      </c>
      <c r="U1016" s="2">
        <f>IF(Q1016="OVER",$J1016,$K1016)</f>
        <v>52.696650919921865</v>
      </c>
      <c r="V1016" s="2">
        <f>IF(R1016="OVER",$J1016,$K1016)</f>
        <v>52.696650919921865</v>
      </c>
      <c r="W1016" s="2">
        <f>IF(S1016="OVER",$J1016,$K1016)</f>
        <v>-52.696650919921865</v>
      </c>
      <c r="X1016" s="2">
        <f>IF(T1016="OVER",$J1016,$K1016)</f>
        <v>-52.696650919921865</v>
      </c>
      <c r="Y1016" s="9">
        <f t="shared" si="132"/>
        <v>-11092.521709375951</v>
      </c>
      <c r="Z1016" s="9">
        <f t="shared" si="132"/>
        <v>10456.905261387483</v>
      </c>
      <c r="AA1016" s="9">
        <f t="shared" si="132"/>
        <v>65523.450610183405</v>
      </c>
      <c r="AB1016" s="9">
        <f t="shared" si="132"/>
        <v>29442.467680221027</v>
      </c>
    </row>
    <row r="1017" spans="1:28" x14ac:dyDescent="0.3">
      <c r="A1017" s="1">
        <v>45891</v>
      </c>
      <c r="B1017" s="2">
        <v>189.49</v>
      </c>
      <c r="C1017" s="2">
        <v>645.30999999999995</v>
      </c>
      <c r="D1017" s="9">
        <f>B1017-B1016</f>
        <v>3.6200000000000045</v>
      </c>
      <c r="E1017" s="9">
        <f>C1017-C1016</f>
        <v>9.7599999999999909</v>
      </c>
      <c r="F1017" s="3">
        <f>F$1/B1017</f>
        <v>527.73233416011396</v>
      </c>
      <c r="G1017" s="3">
        <f>F$1/C1017</f>
        <v>154.96428073329099</v>
      </c>
      <c r="H1017" s="2">
        <f>D1017*F1016</f>
        <v>1947.5977833970005</v>
      </c>
      <c r="I1017" s="2">
        <f>E1017*G1016</f>
        <v>1535.6777594209725</v>
      </c>
      <c r="J1017" s="2">
        <f>I1017-H1017</f>
        <v>-411.92002397602801</v>
      </c>
      <c r="K1017" s="2">
        <f t="shared" si="128"/>
        <v>411.92002397602801</v>
      </c>
      <c r="L1017" s="3">
        <f>C1017/B1017</f>
        <v>3.4055095255686312</v>
      </c>
      <c r="M1017" s="3">
        <f t="shared" si="130"/>
        <v>3.4456050338117228</v>
      </c>
      <c r="N1017" s="3">
        <f t="shared" si="134"/>
        <v>3.4413051214402079</v>
      </c>
      <c r="O1017" s="3">
        <f t="shared" si="135"/>
        <v>3.4063262409277577</v>
      </c>
      <c r="P1017" s="3">
        <f t="shared" si="129"/>
        <v>3.3225955251118084</v>
      </c>
      <c r="Q1017" s="4" t="str">
        <f t="shared" si="133"/>
        <v>UNDER</v>
      </c>
      <c r="R1017" s="4" t="str">
        <f t="shared" si="133"/>
        <v>UNDER</v>
      </c>
      <c r="S1017" s="4" t="str">
        <f t="shared" si="131"/>
        <v>UNDER</v>
      </c>
      <c r="T1017" s="4" t="str">
        <f t="shared" si="131"/>
        <v>OVER</v>
      </c>
      <c r="U1017" s="2">
        <f>IF(Q1017="OVER",$J1017,$K1017)</f>
        <v>411.92002397602801</v>
      </c>
      <c r="V1017" s="2">
        <f>IF(R1017="OVER",$J1017,$K1017)</f>
        <v>411.92002397602801</v>
      </c>
      <c r="W1017" s="2">
        <f>IF(S1017="OVER",$J1017,$K1017)</f>
        <v>411.92002397602801</v>
      </c>
      <c r="X1017" s="2">
        <f>IF(T1017="OVER",$J1017,$K1017)</f>
        <v>-411.92002397602801</v>
      </c>
      <c r="Y1017" s="9">
        <f t="shared" si="132"/>
        <v>-10680.601685399923</v>
      </c>
      <c r="Z1017" s="9">
        <f t="shared" si="132"/>
        <v>10868.825285363511</v>
      </c>
      <c r="AA1017" s="9">
        <f t="shared" si="132"/>
        <v>65935.370634159437</v>
      </c>
      <c r="AB1017" s="9">
        <f t="shared" si="132"/>
        <v>29030.547656244999</v>
      </c>
    </row>
    <row r="1018" spans="1:28" x14ac:dyDescent="0.3">
      <c r="A1018" s="1">
        <v>45894</v>
      </c>
      <c r="B1018" s="2">
        <v>188.04</v>
      </c>
      <c r="C1018" s="2">
        <v>642.47</v>
      </c>
      <c r="D1018" s="9">
        <f>B1018-B1017</f>
        <v>-1.4500000000000171</v>
      </c>
      <c r="E1018" s="9">
        <f>C1018-C1017</f>
        <v>-2.8399999999999181</v>
      </c>
      <c r="F1018" s="3">
        <f>F$1/B1018</f>
        <v>531.80174430972136</v>
      </c>
      <c r="G1018" s="3">
        <f>F$1/C1018</f>
        <v>155.64929101747941</v>
      </c>
      <c r="H1018" s="2">
        <f>D1018*F1017</f>
        <v>-765.21188453217428</v>
      </c>
      <c r="I1018" s="2">
        <f>E1018*G1017</f>
        <v>-440.0985572825337</v>
      </c>
      <c r="J1018" s="2">
        <f>I1018-H1018</f>
        <v>325.11332724964058</v>
      </c>
      <c r="K1018" s="2">
        <f t="shared" si="128"/>
        <v>-325.11332724964058</v>
      </c>
      <c r="L1018" s="3">
        <f>C1018/B1018</f>
        <v>3.416666666666667</v>
      </c>
      <c r="M1018" s="3">
        <f t="shared" si="130"/>
        <v>3.4389750633877987</v>
      </c>
      <c r="N1018" s="3">
        <f t="shared" si="134"/>
        <v>3.4414868633042461</v>
      </c>
      <c r="O1018" s="3">
        <f t="shared" si="135"/>
        <v>3.4073968737263316</v>
      </c>
      <c r="P1018" s="3">
        <f t="shared" si="129"/>
        <v>3.3235469859577398</v>
      </c>
      <c r="Q1018" s="4" t="str">
        <f t="shared" si="133"/>
        <v>UNDER</v>
      </c>
      <c r="R1018" s="4" t="str">
        <f t="shared" si="133"/>
        <v>UNDER</v>
      </c>
      <c r="S1018" s="4" t="str">
        <f t="shared" si="131"/>
        <v>OVER</v>
      </c>
      <c r="T1018" s="4" t="str">
        <f t="shared" si="131"/>
        <v>OVER</v>
      </c>
      <c r="U1018" s="2">
        <f>IF(Q1018="OVER",$J1018,$K1018)</f>
        <v>-325.11332724964058</v>
      </c>
      <c r="V1018" s="2">
        <f>IF(R1018="OVER",$J1018,$K1018)</f>
        <v>-325.11332724964058</v>
      </c>
      <c r="W1018" s="2">
        <f>IF(S1018="OVER",$J1018,$K1018)</f>
        <v>325.11332724964058</v>
      </c>
      <c r="X1018" s="2">
        <f>IF(T1018="OVER",$J1018,$K1018)</f>
        <v>325.11332724964058</v>
      </c>
      <c r="Y1018" s="9">
        <f t="shared" si="132"/>
        <v>-11005.715012649564</v>
      </c>
      <c r="Z1018" s="9">
        <f t="shared" si="132"/>
        <v>10543.71195811387</v>
      </c>
      <c r="AA1018" s="9">
        <f t="shared" si="132"/>
        <v>66260.483961409074</v>
      </c>
      <c r="AB1018" s="9">
        <f t="shared" si="132"/>
        <v>29355.660983494639</v>
      </c>
    </row>
    <row r="1019" spans="1:28" x14ac:dyDescent="0.3">
      <c r="A1019" s="1">
        <v>45895</v>
      </c>
      <c r="B1019" s="2">
        <v>188.17</v>
      </c>
      <c r="C1019" s="2">
        <v>645.16</v>
      </c>
      <c r="D1019" s="9">
        <f>B1019-B1018</f>
        <v>0.12999999999999545</v>
      </c>
      <c r="E1019" s="9">
        <f>C1019-C1018</f>
        <v>2.6899999999999409</v>
      </c>
      <c r="F1019" s="3">
        <f>F$1/B1019</f>
        <v>531.43434128713398</v>
      </c>
      <c r="G1019" s="3">
        <f>F$1/C1019</f>
        <v>155.00031000062</v>
      </c>
      <c r="H1019" s="2">
        <f>D1019*F1018</f>
        <v>69.134226760261356</v>
      </c>
      <c r="I1019" s="2">
        <f>E1019*G1018</f>
        <v>418.69659283701043</v>
      </c>
      <c r="J1019" s="2">
        <f>I1019-H1019</f>
        <v>349.56236607674907</v>
      </c>
      <c r="K1019" s="2">
        <f t="shared" si="128"/>
        <v>-349.56236607674907</v>
      </c>
      <c r="L1019" s="3">
        <f>C1019/B1019</f>
        <v>3.4286017962480737</v>
      </c>
      <c r="M1019" s="3">
        <f t="shared" si="130"/>
        <v>3.4342473576691774</v>
      </c>
      <c r="N1019" s="3">
        <f t="shared" si="134"/>
        <v>3.4426333526234316</v>
      </c>
      <c r="O1019" s="3">
        <f t="shared" si="135"/>
        <v>3.4086444100741851</v>
      </c>
      <c r="P1019" s="3">
        <f t="shared" si="129"/>
        <v>3.3245513034966558</v>
      </c>
      <c r="Q1019" s="4" t="str">
        <f t="shared" si="133"/>
        <v>UNDER</v>
      </c>
      <c r="R1019" s="4" t="str">
        <f t="shared" si="133"/>
        <v>UNDER</v>
      </c>
      <c r="S1019" s="4" t="str">
        <f t="shared" si="131"/>
        <v>OVER</v>
      </c>
      <c r="T1019" s="4" t="str">
        <f t="shared" si="131"/>
        <v>OVER</v>
      </c>
      <c r="U1019" s="2">
        <f>IF(Q1019="OVER",$J1019,$K1019)</f>
        <v>-349.56236607674907</v>
      </c>
      <c r="V1019" s="2">
        <f>IF(R1019="OVER",$J1019,$K1019)</f>
        <v>-349.56236607674907</v>
      </c>
      <c r="W1019" s="2">
        <f>IF(S1019="OVER",$J1019,$K1019)</f>
        <v>349.56236607674907</v>
      </c>
      <c r="X1019" s="2">
        <f>IF(T1019="OVER",$J1019,$K1019)</f>
        <v>349.56236607674907</v>
      </c>
      <c r="Y1019" s="9">
        <f t="shared" si="132"/>
        <v>-11355.277378726312</v>
      </c>
      <c r="Z1019" s="9">
        <f t="shared" si="132"/>
        <v>10194.149592037122</v>
      </c>
      <c r="AA1019" s="9">
        <f t="shared" si="132"/>
        <v>66610.046327485819</v>
      </c>
      <c r="AB1019" s="9">
        <f t="shared" si="132"/>
        <v>29705.223349571388</v>
      </c>
    </row>
    <row r="1020" spans="1:28" x14ac:dyDescent="0.3">
      <c r="A1020" s="1">
        <v>45896</v>
      </c>
      <c r="B1020" s="2">
        <v>188.85</v>
      </c>
      <c r="C1020" s="2">
        <v>646.63</v>
      </c>
      <c r="D1020" s="9">
        <f>B1020-B1019</f>
        <v>0.68000000000000682</v>
      </c>
      <c r="E1020" s="9">
        <f>C1020-C1019</f>
        <v>1.4700000000000273</v>
      </c>
      <c r="F1020" s="3">
        <f>F$1/B1020</f>
        <v>529.52078369075991</v>
      </c>
      <c r="G1020" s="3">
        <f>F$1/C1020</f>
        <v>154.64794395558511</v>
      </c>
      <c r="H1020" s="2">
        <f>D1020*F1019</f>
        <v>361.37535207525474</v>
      </c>
      <c r="I1020" s="2">
        <f>E1020*G1019</f>
        <v>227.85045570091563</v>
      </c>
      <c r="J1020" s="2">
        <f>I1020-H1020</f>
        <v>-133.52489637433911</v>
      </c>
      <c r="K1020" s="2">
        <f t="shared" si="128"/>
        <v>133.52489637433911</v>
      </c>
      <c r="L1020" s="3">
        <f>C1020/B1020</f>
        <v>3.4240402435795607</v>
      </c>
      <c r="M1020" s="3">
        <f t="shared" si="130"/>
        <v>3.4327834071950982</v>
      </c>
      <c r="N1020" s="3">
        <f t="shared" si="134"/>
        <v>3.4426557835375697</v>
      </c>
      <c r="O1020" s="3">
        <f t="shared" si="135"/>
        <v>3.4098092314765478</v>
      </c>
      <c r="P1020" s="3">
        <f t="shared" si="129"/>
        <v>3.3255140416199667</v>
      </c>
      <c r="Q1020" s="4" t="str">
        <f t="shared" si="133"/>
        <v>UNDER</v>
      </c>
      <c r="R1020" s="4" t="str">
        <f t="shared" si="133"/>
        <v>UNDER</v>
      </c>
      <c r="S1020" s="4" t="str">
        <f t="shared" si="131"/>
        <v>OVER</v>
      </c>
      <c r="T1020" s="4" t="str">
        <f t="shared" si="131"/>
        <v>OVER</v>
      </c>
      <c r="U1020" s="2">
        <f>IF(Q1020="OVER",$J1020,$K1020)</f>
        <v>133.52489637433911</v>
      </c>
      <c r="V1020" s="2">
        <f>IF(R1020="OVER",$J1020,$K1020)</f>
        <v>133.52489637433911</v>
      </c>
      <c r="W1020" s="2">
        <f>IF(S1020="OVER",$J1020,$K1020)</f>
        <v>-133.52489637433911</v>
      </c>
      <c r="X1020" s="2">
        <f>IF(T1020="OVER",$J1020,$K1020)</f>
        <v>-133.52489637433911</v>
      </c>
      <c r="Y1020" s="9">
        <f t="shared" si="132"/>
        <v>-11221.752482351973</v>
      </c>
      <c r="Z1020" s="9">
        <f t="shared" si="132"/>
        <v>10327.674488411461</v>
      </c>
      <c r="AA1020" s="9">
        <f t="shared" si="132"/>
        <v>66476.521431111483</v>
      </c>
      <c r="AB1020" s="9">
        <f t="shared" si="132"/>
        <v>29571.698453197048</v>
      </c>
    </row>
    <row r="1021" spans="1:28" x14ac:dyDescent="0.3">
      <c r="A1021" s="1">
        <v>45897</v>
      </c>
      <c r="B1021" s="2">
        <v>188.76</v>
      </c>
      <c r="C1021" s="2">
        <v>648.91999999999996</v>
      </c>
      <c r="D1021" s="9">
        <f>B1021-B1020</f>
        <v>-9.0000000000003411E-2</v>
      </c>
      <c r="E1021" s="9">
        <f>C1021-C1020</f>
        <v>2.2899999999999636</v>
      </c>
      <c r="F1021" s="3">
        <f>F$1/B1021</f>
        <v>529.77325704598434</v>
      </c>
      <c r="G1021" s="3">
        <f>F$1/C1021</f>
        <v>154.10220057942428</v>
      </c>
      <c r="H1021" s="2">
        <f>D1021*F1020</f>
        <v>-47.656870532170196</v>
      </c>
      <c r="I1021" s="2">
        <f>E1021*G1020</f>
        <v>354.14379165828427</v>
      </c>
      <c r="J1021" s="2">
        <f>I1021-H1021</f>
        <v>401.80066219045449</v>
      </c>
      <c r="K1021" s="2">
        <f t="shared" si="128"/>
        <v>-401.80066219045449</v>
      </c>
      <c r="L1021" s="3">
        <f>C1021/B1021</f>
        <v>3.4378046196228014</v>
      </c>
      <c r="M1021" s="3">
        <f t="shared" si="130"/>
        <v>3.4304120872767427</v>
      </c>
      <c r="N1021" s="3">
        <f t="shared" si="134"/>
        <v>3.4424390603173265</v>
      </c>
      <c r="O1021" s="3">
        <f t="shared" si="135"/>
        <v>3.4111772557512641</v>
      </c>
      <c r="P1021" s="3">
        <f t="shared" si="129"/>
        <v>3.326436678438859</v>
      </c>
      <c r="Q1021" s="4" t="str">
        <f t="shared" si="133"/>
        <v>UNDER</v>
      </c>
      <c r="R1021" s="4" t="str">
        <f t="shared" si="133"/>
        <v>UNDER</v>
      </c>
      <c r="S1021" s="4" t="str">
        <f t="shared" si="131"/>
        <v>OVER</v>
      </c>
      <c r="T1021" s="4" t="str">
        <f t="shared" si="131"/>
        <v>OVER</v>
      </c>
      <c r="U1021" s="2">
        <f>IF(Q1021="OVER",$J1021,$K1021)</f>
        <v>-401.80066219045449</v>
      </c>
      <c r="V1021" s="2">
        <f>IF(R1021="OVER",$J1021,$K1021)</f>
        <v>-401.80066219045449</v>
      </c>
      <c r="W1021" s="2">
        <f>IF(S1021="OVER",$J1021,$K1021)</f>
        <v>401.80066219045449</v>
      </c>
      <c r="X1021" s="2">
        <f>IF(T1021="OVER",$J1021,$K1021)</f>
        <v>401.80066219045449</v>
      </c>
      <c r="Y1021" s="9">
        <f t="shared" si="132"/>
        <v>-11623.553144542428</v>
      </c>
      <c r="Z1021" s="9">
        <f t="shared" si="132"/>
        <v>9925.8738262210063</v>
      </c>
      <c r="AA1021" s="9">
        <f t="shared" si="132"/>
        <v>66878.322093301933</v>
      </c>
      <c r="AB1021" s="9">
        <f t="shared" si="132"/>
        <v>29973.499115387502</v>
      </c>
    </row>
    <row r="1022" spans="1:28" x14ac:dyDescent="0.3">
      <c r="A1022" s="1">
        <v>45898</v>
      </c>
      <c r="B1022" s="2">
        <v>188.62</v>
      </c>
      <c r="C1022" s="2">
        <v>645.04999999999995</v>
      </c>
      <c r="D1022" s="9">
        <f>B1022-B1021</f>
        <v>-0.13999999999998636</v>
      </c>
      <c r="E1022" s="9">
        <f>C1022-C1021</f>
        <v>-3.8700000000000045</v>
      </c>
      <c r="F1022" s="3">
        <f>F$1/B1022</f>
        <v>530.1664722722935</v>
      </c>
      <c r="G1022" s="3">
        <f>F$1/C1022</f>
        <v>155.02674211301451</v>
      </c>
      <c r="H1022" s="2">
        <f>D1022*F1021</f>
        <v>-74.16825598643058</v>
      </c>
      <c r="I1022" s="2">
        <f>E1022*G1021</f>
        <v>-596.37551624237267</v>
      </c>
      <c r="J1022" s="2">
        <f>I1022-H1022</f>
        <v>-522.20726025594206</v>
      </c>
      <c r="K1022" s="2">
        <f t="shared" si="128"/>
        <v>522.20726025594206</v>
      </c>
      <c r="L1022" s="3">
        <f>C1022/B1022</f>
        <v>3.4198388293924289</v>
      </c>
      <c r="M1022" s="3">
        <f t="shared" si="130"/>
        <v>3.4261999086642803</v>
      </c>
      <c r="N1022" s="3">
        <f t="shared" si="134"/>
        <v>3.44221487488675</v>
      </c>
      <c r="O1022" s="3">
        <f t="shared" si="135"/>
        <v>3.4122037120865194</v>
      </c>
      <c r="P1022" s="3">
        <f t="shared" si="129"/>
        <v>3.327289539071427</v>
      </c>
      <c r="Q1022" s="4" t="str">
        <f t="shared" si="133"/>
        <v>OVER</v>
      </c>
      <c r="R1022" s="4" t="str">
        <f t="shared" si="133"/>
        <v>UNDER</v>
      </c>
      <c r="S1022" s="4" t="str">
        <f t="shared" si="131"/>
        <v>OVER</v>
      </c>
      <c r="T1022" s="4" t="str">
        <f t="shared" si="131"/>
        <v>OVER</v>
      </c>
      <c r="U1022" s="2">
        <f>IF(Q1022="OVER",$J1022,$K1022)</f>
        <v>-522.20726025594206</v>
      </c>
      <c r="V1022" s="2">
        <f>IF(R1022="OVER",$J1022,$K1022)</f>
        <v>522.20726025594206</v>
      </c>
      <c r="W1022" s="2">
        <f>IF(S1022="OVER",$J1022,$K1022)</f>
        <v>-522.20726025594206</v>
      </c>
      <c r="X1022" s="2">
        <f>IF(T1022="OVER",$J1022,$K1022)</f>
        <v>-522.20726025594206</v>
      </c>
      <c r="Y1022" s="9">
        <f t="shared" si="132"/>
        <v>-12145.76040479837</v>
      </c>
      <c r="Z1022" s="9">
        <f t="shared" si="132"/>
        <v>10448.081086476948</v>
      </c>
      <c r="AA1022" s="9">
        <f t="shared" si="132"/>
        <v>66356.114833045984</v>
      </c>
      <c r="AB1022" s="9">
        <f t="shared" si="132"/>
        <v>29451.29185513156</v>
      </c>
    </row>
    <row r="1023" spans="1:28" x14ac:dyDescent="0.3">
      <c r="A1023" s="1">
        <v>45902</v>
      </c>
      <c r="B1023" s="2">
        <v>187.13</v>
      </c>
      <c r="C1023" s="2">
        <v>640.27</v>
      </c>
      <c r="D1023" s="9">
        <f>B1023-B1022</f>
        <v>-1.4900000000000091</v>
      </c>
      <c r="E1023" s="9">
        <f>C1023-C1022</f>
        <v>-4.7799999999999727</v>
      </c>
      <c r="F1023" s="3">
        <f>F$1/B1023</f>
        <v>534.38785870785011</v>
      </c>
      <c r="G1023" s="3">
        <f>F$1/C1023</f>
        <v>156.18410982866604</v>
      </c>
      <c r="H1023" s="2">
        <f>D1023*F1022</f>
        <v>-789.94804368572215</v>
      </c>
      <c r="I1023" s="2">
        <f>E1023*G1022</f>
        <v>-741.0278273002051</v>
      </c>
      <c r="J1023" s="2">
        <f>I1023-H1023</f>
        <v>48.920216385517051</v>
      </c>
      <c r="K1023" s="2">
        <f t="shared" si="128"/>
        <v>-48.920216385517051</v>
      </c>
      <c r="L1023" s="3">
        <f>C1023/B1023</f>
        <v>3.4215251429487523</v>
      </c>
      <c r="M1023" s="3">
        <f t="shared" si="130"/>
        <v>3.4221571802511574</v>
      </c>
      <c r="N1023" s="3">
        <f t="shared" si="134"/>
        <v>3.4415722289979485</v>
      </c>
      <c r="O1023" s="3">
        <f t="shared" si="135"/>
        <v>3.4137296272731046</v>
      </c>
      <c r="P1023" s="3">
        <f t="shared" si="129"/>
        <v>3.3282162113757288</v>
      </c>
      <c r="Q1023" s="4" t="str">
        <f t="shared" si="133"/>
        <v>UNDER</v>
      </c>
      <c r="R1023" s="4" t="str">
        <f t="shared" si="133"/>
        <v>UNDER</v>
      </c>
      <c r="S1023" s="4" t="str">
        <f t="shared" si="131"/>
        <v>OVER</v>
      </c>
      <c r="T1023" s="4" t="str">
        <f t="shared" si="131"/>
        <v>OVER</v>
      </c>
      <c r="U1023" s="2">
        <f>IF(Q1023="OVER",$J1023,$K1023)</f>
        <v>-48.920216385517051</v>
      </c>
      <c r="V1023" s="2">
        <f>IF(R1023="OVER",$J1023,$K1023)</f>
        <v>-48.920216385517051</v>
      </c>
      <c r="W1023" s="2">
        <f>IF(S1023="OVER",$J1023,$K1023)</f>
        <v>48.920216385517051</v>
      </c>
      <c r="X1023" s="2">
        <f>IF(T1023="OVER",$J1023,$K1023)</f>
        <v>48.920216385517051</v>
      </c>
      <c r="Y1023" s="9">
        <f t="shared" si="132"/>
        <v>-12194.680621183887</v>
      </c>
      <c r="Z1023" s="9">
        <f t="shared" si="132"/>
        <v>10399.160870091431</v>
      </c>
      <c r="AA1023" s="9">
        <f t="shared" si="132"/>
        <v>66405.035049431506</v>
      </c>
      <c r="AB1023" s="9">
        <f t="shared" si="132"/>
        <v>29500.212071517075</v>
      </c>
    </row>
    <row r="1024" spans="1:28" x14ac:dyDescent="0.3">
      <c r="A1024" s="1">
        <v>45903</v>
      </c>
      <c r="B1024" s="2">
        <v>186.84</v>
      </c>
      <c r="C1024" s="2">
        <v>643.74</v>
      </c>
      <c r="D1024" s="9">
        <f>B1024-B1023</f>
        <v>-0.28999999999999204</v>
      </c>
      <c r="E1024" s="9">
        <f>C1024-C1023</f>
        <v>3.4700000000000273</v>
      </c>
      <c r="F1024" s="3">
        <f>F$1/B1024</f>
        <v>535.21729822307861</v>
      </c>
      <c r="G1024" s="3">
        <f>F$1/C1024</f>
        <v>155.34221890825489</v>
      </c>
      <c r="H1024" s="2">
        <f>D1024*F1023</f>
        <v>-154.97247902527229</v>
      </c>
      <c r="I1024" s="2">
        <f>E1024*G1023</f>
        <v>541.95886110547542</v>
      </c>
      <c r="J1024" s="2">
        <f>I1024-H1024</f>
        <v>696.93134013074769</v>
      </c>
      <c r="K1024" s="2">
        <f t="shared" si="128"/>
        <v>-696.93134013074769</v>
      </c>
      <c r="L1024" s="3">
        <f>C1024/B1024</f>
        <v>3.4454078355812459</v>
      </c>
      <c r="M1024" s="3">
        <f t="shared" si="130"/>
        <v>3.4239854457311849</v>
      </c>
      <c r="N1024" s="3">
        <f t="shared" si="134"/>
        <v>3.4425188907611877</v>
      </c>
      <c r="O1024" s="3">
        <f t="shared" si="135"/>
        <v>3.4153903191407604</v>
      </c>
      <c r="P1024" s="3">
        <f t="shared" si="129"/>
        <v>3.3291886892552305</v>
      </c>
      <c r="Q1024" s="4" t="str">
        <f t="shared" si="133"/>
        <v>UNDER</v>
      </c>
      <c r="R1024" s="4" t="str">
        <f t="shared" si="133"/>
        <v>UNDER</v>
      </c>
      <c r="S1024" s="4" t="str">
        <f t="shared" si="131"/>
        <v>OVER</v>
      </c>
      <c r="T1024" s="4" t="str">
        <f t="shared" si="131"/>
        <v>OVER</v>
      </c>
      <c r="U1024" s="2">
        <f>IF(Q1024="OVER",$J1024,$K1024)</f>
        <v>-696.93134013074769</v>
      </c>
      <c r="V1024" s="2">
        <f>IF(R1024="OVER",$J1024,$K1024)</f>
        <v>-696.93134013074769</v>
      </c>
      <c r="W1024" s="2">
        <f>IF(S1024="OVER",$J1024,$K1024)</f>
        <v>696.93134013074769</v>
      </c>
      <c r="X1024" s="2">
        <f>IF(T1024="OVER",$J1024,$K1024)</f>
        <v>696.93134013074769</v>
      </c>
      <c r="Y1024" s="9">
        <f t="shared" si="132"/>
        <v>-12891.611961314635</v>
      </c>
      <c r="Z1024" s="9">
        <f t="shared" si="132"/>
        <v>9702.2295299606831</v>
      </c>
      <c r="AA1024" s="9">
        <f t="shared" si="132"/>
        <v>67101.966389562251</v>
      </c>
      <c r="AB1024" s="9">
        <f t="shared" si="132"/>
        <v>30197.143411647823</v>
      </c>
    </row>
    <row r="1025" spans="1:28" x14ac:dyDescent="0.3">
      <c r="A1025" s="1">
        <v>45904</v>
      </c>
      <c r="B1025" s="2">
        <v>188.22</v>
      </c>
      <c r="C1025" s="2">
        <v>649.12</v>
      </c>
      <c r="D1025" s="9">
        <f>B1025-B1024</f>
        <v>1.3799999999999955</v>
      </c>
      <c r="E1025" s="9">
        <f>C1025-C1024</f>
        <v>5.3799999999999955</v>
      </c>
      <c r="F1025" s="3">
        <f>F$1/B1025</f>
        <v>531.29316756986509</v>
      </c>
      <c r="G1025" s="3">
        <f>F$1/C1025</f>
        <v>154.05472023662804</v>
      </c>
      <c r="H1025" s="2">
        <f>D1025*F1024</f>
        <v>738.59987154784608</v>
      </c>
      <c r="I1025" s="2">
        <f>E1025*G1024</f>
        <v>835.74113772641067</v>
      </c>
      <c r="J1025" s="2">
        <f>I1025-H1025</f>
        <v>97.141266178564592</v>
      </c>
      <c r="K1025" s="2">
        <f t="shared" si="128"/>
        <v>-97.141266178564592</v>
      </c>
      <c r="L1025" s="3">
        <f>C1025/B1025</f>
        <v>3.4487302093295082</v>
      </c>
      <c r="M1025" s="3">
        <f t="shared" si="130"/>
        <v>3.4267450203849172</v>
      </c>
      <c r="N1025" s="3">
        <f t="shared" si="134"/>
        <v>3.4419323234632531</v>
      </c>
      <c r="O1025" s="3">
        <f t="shared" si="135"/>
        <v>3.4170122759747033</v>
      </c>
      <c r="P1025" s="3">
        <f t="shared" si="129"/>
        <v>3.3301787340746722</v>
      </c>
      <c r="Q1025" s="4" t="str">
        <f t="shared" si="133"/>
        <v>OVER</v>
      </c>
      <c r="R1025" s="4" t="str">
        <f t="shared" si="133"/>
        <v>OVER</v>
      </c>
      <c r="S1025" s="4" t="str">
        <f t="shared" si="131"/>
        <v>OVER</v>
      </c>
      <c r="T1025" s="4" t="str">
        <f t="shared" si="131"/>
        <v>OVER</v>
      </c>
      <c r="U1025" s="2">
        <f>IF(Q1025="OVER",$J1025,$K1025)</f>
        <v>97.141266178564592</v>
      </c>
      <c r="V1025" s="2">
        <f>IF(R1025="OVER",$J1025,$K1025)</f>
        <v>97.141266178564592</v>
      </c>
      <c r="W1025" s="2">
        <f>IF(S1025="OVER",$J1025,$K1025)</f>
        <v>97.141266178564592</v>
      </c>
      <c r="X1025" s="2">
        <f>IF(T1025="OVER",$J1025,$K1025)</f>
        <v>97.141266178564592</v>
      </c>
      <c r="Y1025" s="9">
        <f t="shared" si="132"/>
        <v>-12794.470695136069</v>
      </c>
      <c r="Z1025" s="9">
        <f t="shared" si="132"/>
        <v>9799.3707961392483</v>
      </c>
      <c r="AA1025" s="9">
        <f t="shared" si="132"/>
        <v>67199.107655740809</v>
      </c>
      <c r="AB1025" s="9">
        <f t="shared" si="132"/>
        <v>30294.284677826388</v>
      </c>
    </row>
    <row r="1026" spans="1:28" x14ac:dyDescent="0.3">
      <c r="A1026" s="1">
        <v>45905</v>
      </c>
      <c r="B1026" s="2">
        <v>188.44</v>
      </c>
      <c r="C1026" s="2">
        <v>647.24</v>
      </c>
      <c r="D1026" s="9">
        <f>B1026-B1025</f>
        <v>0.21999999999999886</v>
      </c>
      <c r="E1026" s="9">
        <f>C1026-C1025</f>
        <v>-1.8799999999999955</v>
      </c>
      <c r="F1026" s="3">
        <f>F$1/B1026</f>
        <v>530.67289322861393</v>
      </c>
      <c r="G1026" s="3">
        <f>F$1/C1026</f>
        <v>154.50219393115381</v>
      </c>
      <c r="H1026" s="2">
        <f>D1026*F1025</f>
        <v>116.88449686536971</v>
      </c>
      <c r="I1026" s="2">
        <f>E1026*G1025</f>
        <v>-289.62287404486</v>
      </c>
      <c r="J1026" s="2">
        <f>I1026-H1026</f>
        <v>-406.50737091022972</v>
      </c>
      <c r="K1026" s="2">
        <f t="shared" si="128"/>
        <v>406.50737091022972</v>
      </c>
      <c r="L1026" s="3">
        <f>C1026/B1026</f>
        <v>3.4347272341328807</v>
      </c>
      <c r="M1026" s="3">
        <f t="shared" si="130"/>
        <v>3.4282852103070551</v>
      </c>
      <c r="N1026" s="3">
        <f t="shared" si="134"/>
        <v>3.4406864690276251</v>
      </c>
      <c r="O1026" s="3">
        <f t="shared" si="135"/>
        <v>3.4178266775446593</v>
      </c>
      <c r="P1026" s="3">
        <f t="shared" si="129"/>
        <v>3.331073013353326</v>
      </c>
      <c r="Q1026" s="4" t="str">
        <f t="shared" si="133"/>
        <v>OVER</v>
      </c>
      <c r="R1026" s="4" t="str">
        <f t="shared" si="133"/>
        <v>OVER</v>
      </c>
      <c r="S1026" s="4" t="str">
        <f t="shared" si="131"/>
        <v>OVER</v>
      </c>
      <c r="T1026" s="4" t="str">
        <f t="shared" si="131"/>
        <v>OVER</v>
      </c>
      <c r="U1026" s="2">
        <f>IF(Q1026="OVER",$J1026,$K1026)</f>
        <v>-406.50737091022972</v>
      </c>
      <c r="V1026" s="2">
        <f>IF(R1026="OVER",$J1026,$K1026)</f>
        <v>-406.50737091022972</v>
      </c>
      <c r="W1026" s="2">
        <f>IF(S1026="OVER",$J1026,$K1026)</f>
        <v>-406.50737091022972</v>
      </c>
      <c r="X1026" s="2">
        <f>IF(T1026="OVER",$J1026,$K1026)</f>
        <v>-406.50737091022972</v>
      </c>
      <c r="Y1026" s="9">
        <f t="shared" si="132"/>
        <v>-13200.978066046298</v>
      </c>
      <c r="Z1026" s="9">
        <f t="shared" si="132"/>
        <v>9392.8634252290194</v>
      </c>
      <c r="AA1026" s="9">
        <f t="shared" si="132"/>
        <v>66792.60028483058</v>
      </c>
      <c r="AB1026" s="9">
        <f t="shared" si="132"/>
        <v>29887.777306916159</v>
      </c>
    </row>
    <row r="1027" spans="1:28" x14ac:dyDescent="0.3">
      <c r="A1027" s="1">
        <v>45908</v>
      </c>
      <c r="B1027" s="2">
        <v>188.29</v>
      </c>
      <c r="C1027" s="2">
        <v>648.83000000000004</v>
      </c>
      <c r="D1027" s="9">
        <f>B1027-B1026</f>
        <v>-0.15000000000000568</v>
      </c>
      <c r="E1027" s="9">
        <f>C1027-C1026</f>
        <v>1.5900000000000318</v>
      </c>
      <c r="F1027" s="3">
        <f>F$1/B1027</f>
        <v>531.09565032662385</v>
      </c>
      <c r="G1027" s="3">
        <f>F$1/C1027</f>
        <v>154.12357628346408</v>
      </c>
      <c r="H1027" s="2">
        <f>D1027*F1026</f>
        <v>-79.600933984295111</v>
      </c>
      <c r="I1027" s="2">
        <f>E1027*G1026</f>
        <v>245.65848835053947</v>
      </c>
      <c r="J1027" s="2">
        <f>I1027-H1027</f>
        <v>325.2594223348346</v>
      </c>
      <c r="K1027" s="2">
        <f t="shared" si="128"/>
        <v>-325.2594223348346</v>
      </c>
      <c r="L1027" s="3">
        <f>C1027/B1027</f>
        <v>3.4459079080142336</v>
      </c>
      <c r="M1027" s="3">
        <f t="shared" si="130"/>
        <v>3.4323250485516148</v>
      </c>
      <c r="N1027" s="3">
        <f t="shared" si="134"/>
        <v>3.4389650411816697</v>
      </c>
      <c r="O1027" s="3">
        <f t="shared" si="135"/>
        <v>3.418846039722033</v>
      </c>
      <c r="P1027" s="3">
        <f t="shared" si="129"/>
        <v>3.3321162480409594</v>
      </c>
      <c r="Q1027" s="4" t="str">
        <f t="shared" si="133"/>
        <v>OVER</v>
      </c>
      <c r="R1027" s="4" t="str">
        <f t="shared" si="133"/>
        <v>UNDER</v>
      </c>
      <c r="S1027" s="4" t="str">
        <f t="shared" si="131"/>
        <v>OVER</v>
      </c>
      <c r="T1027" s="4" t="str">
        <f t="shared" si="131"/>
        <v>OVER</v>
      </c>
      <c r="U1027" s="2">
        <f>IF(Q1027="OVER",$J1027,$K1027)</f>
        <v>325.2594223348346</v>
      </c>
      <c r="V1027" s="2">
        <f>IF(R1027="OVER",$J1027,$K1027)</f>
        <v>-325.2594223348346</v>
      </c>
      <c r="W1027" s="2">
        <f>IF(S1027="OVER",$J1027,$K1027)</f>
        <v>325.2594223348346</v>
      </c>
      <c r="X1027" s="2">
        <f>IF(T1027="OVER",$J1027,$K1027)</f>
        <v>325.2594223348346</v>
      </c>
      <c r="Y1027" s="9">
        <f t="shared" si="132"/>
        <v>-12875.718643711463</v>
      </c>
      <c r="Z1027" s="9">
        <f t="shared" si="132"/>
        <v>9067.6040028941843</v>
      </c>
      <c r="AA1027" s="9">
        <f t="shared" si="132"/>
        <v>67117.859707165408</v>
      </c>
      <c r="AB1027" s="9">
        <f t="shared" si="132"/>
        <v>30213.036729250995</v>
      </c>
    </row>
    <row r="1028" spans="1:28" x14ac:dyDescent="0.3">
      <c r="A1028" s="1">
        <v>45909</v>
      </c>
      <c r="B1028" s="2">
        <v>187.71</v>
      </c>
      <c r="C1028" s="2">
        <v>650.33000000000004</v>
      </c>
      <c r="D1028" s="9">
        <f>B1028-B1027</f>
        <v>-0.57999999999998408</v>
      </c>
      <c r="E1028" s="9">
        <f>C1028-C1027</f>
        <v>1.5</v>
      </c>
      <c r="F1028" s="3">
        <f>F$1/B1028</f>
        <v>532.7366682648767</v>
      </c>
      <c r="G1028" s="3">
        <f>F$1/C1028</f>
        <v>153.76808697122999</v>
      </c>
      <c r="H1028" s="2">
        <f>D1028*F1027</f>
        <v>-308.03547718943338</v>
      </c>
      <c r="I1028" s="2">
        <f>E1028*G1027</f>
        <v>231.1853644251961</v>
      </c>
      <c r="J1028" s="2">
        <f>I1028-H1028</f>
        <v>539.22084161462953</v>
      </c>
      <c r="K1028" s="2">
        <f t="shared" si="128"/>
        <v>-539.22084161462953</v>
      </c>
      <c r="L1028" s="3">
        <f>C1028/B1028</f>
        <v>3.4645463747269725</v>
      </c>
      <c r="M1028" s="3">
        <f t="shared" si="130"/>
        <v>3.4371130193576453</v>
      </c>
      <c r="N1028" s="3">
        <f t="shared" si="134"/>
        <v>3.4380440413727222</v>
      </c>
      <c r="O1028" s="3">
        <f t="shared" si="135"/>
        <v>3.4201497926906188</v>
      </c>
      <c r="P1028" s="3">
        <f t="shared" si="129"/>
        <v>3.3332516622506985</v>
      </c>
      <c r="Q1028" s="4" t="str">
        <f t="shared" si="133"/>
        <v>OVER</v>
      </c>
      <c r="R1028" s="4" t="str">
        <f t="shared" si="133"/>
        <v>OVER</v>
      </c>
      <c r="S1028" s="4" t="str">
        <f t="shared" si="131"/>
        <v>OVER</v>
      </c>
      <c r="T1028" s="4" t="str">
        <f t="shared" si="131"/>
        <v>OVER</v>
      </c>
      <c r="U1028" s="2">
        <f>IF(Q1028="OVER",$J1028,$K1028)</f>
        <v>539.22084161462953</v>
      </c>
      <c r="V1028" s="2">
        <f>IF(R1028="OVER",$J1028,$K1028)</f>
        <v>539.22084161462953</v>
      </c>
      <c r="W1028" s="2">
        <f>IF(S1028="OVER",$J1028,$K1028)</f>
        <v>539.22084161462953</v>
      </c>
      <c r="X1028" s="2">
        <f>IF(T1028="OVER",$J1028,$K1028)</f>
        <v>539.22084161462953</v>
      </c>
      <c r="Y1028" s="9">
        <f t="shared" si="132"/>
        <v>-12336.497802096834</v>
      </c>
      <c r="Z1028" s="9">
        <f t="shared" si="132"/>
        <v>9606.8248445088138</v>
      </c>
      <c r="AA1028" s="9">
        <f t="shared" si="132"/>
        <v>67657.080548780039</v>
      </c>
      <c r="AB1028" s="9">
        <f t="shared" si="132"/>
        <v>30752.257570865622</v>
      </c>
    </row>
    <row r="1029" spans="1:28" x14ac:dyDescent="0.3">
      <c r="A1029" s="1">
        <v>45910</v>
      </c>
      <c r="B1029" s="2">
        <v>187.52</v>
      </c>
      <c r="C1029" s="2">
        <v>652.21</v>
      </c>
      <c r="D1029" s="9">
        <f>B1029-B1028</f>
        <v>-0.18999999999999773</v>
      </c>
      <c r="E1029" s="9">
        <f>C1029-C1028</f>
        <v>1.8799999999999955</v>
      </c>
      <c r="F1029" s="3">
        <f>F$1/B1029</f>
        <v>533.27645051194531</v>
      </c>
      <c r="G1029" s="3">
        <f>F$1/C1029</f>
        <v>153.32484935833548</v>
      </c>
      <c r="H1029" s="2">
        <f>D1029*F1028</f>
        <v>-101.21996697032536</v>
      </c>
      <c r="I1029" s="2">
        <f>E1029*G1028</f>
        <v>289.08400350591171</v>
      </c>
      <c r="J1029" s="2">
        <f>I1029-H1029</f>
        <v>390.30397047623705</v>
      </c>
      <c r="K1029" s="2">
        <f t="shared" ref="K1029:K1092" si="136">H1029-I1029</f>
        <v>-390.30397047623705</v>
      </c>
      <c r="L1029" s="3">
        <f>C1029/B1029</f>
        <v>3.4780823378839592</v>
      </c>
      <c r="M1029" s="3">
        <f t="shared" si="130"/>
        <v>3.4420610735212342</v>
      </c>
      <c r="N1029" s="3">
        <f t="shared" si="134"/>
        <v>3.4381542155952061</v>
      </c>
      <c r="O1029" s="3">
        <f t="shared" si="135"/>
        <v>3.4217187025714408</v>
      </c>
      <c r="P1029" s="3">
        <f t="shared" si="129"/>
        <v>3.3343516445328993</v>
      </c>
      <c r="Q1029" s="4" t="str">
        <f t="shared" si="133"/>
        <v>OVER</v>
      </c>
      <c r="R1029" s="4" t="str">
        <f t="shared" si="133"/>
        <v>OVER</v>
      </c>
      <c r="S1029" s="4" t="str">
        <f t="shared" si="131"/>
        <v>OVER</v>
      </c>
      <c r="T1029" s="4" t="str">
        <f t="shared" si="131"/>
        <v>OVER</v>
      </c>
      <c r="U1029" s="2">
        <f>IF(Q1029="OVER",$J1029,$K1029)</f>
        <v>390.30397047623705</v>
      </c>
      <c r="V1029" s="2">
        <f>IF(R1029="OVER",$J1029,$K1029)</f>
        <v>390.30397047623705</v>
      </c>
      <c r="W1029" s="2">
        <f>IF(S1029="OVER",$J1029,$K1029)</f>
        <v>390.30397047623705</v>
      </c>
      <c r="X1029" s="2">
        <f>IF(T1029="OVER",$J1029,$K1029)</f>
        <v>390.30397047623705</v>
      </c>
      <c r="Y1029" s="9">
        <f t="shared" si="132"/>
        <v>-11946.193831620596</v>
      </c>
      <c r="Z1029" s="9">
        <f t="shared" si="132"/>
        <v>9997.1288149850516</v>
      </c>
      <c r="AA1029" s="9">
        <f t="shared" si="132"/>
        <v>68047.384519256273</v>
      </c>
      <c r="AB1029" s="9">
        <f t="shared" si="132"/>
        <v>31142.56154134186</v>
      </c>
    </row>
    <row r="1030" spans="1:28" x14ac:dyDescent="0.3">
      <c r="A1030" s="1">
        <v>45911</v>
      </c>
      <c r="B1030" s="2">
        <v>190.33</v>
      </c>
      <c r="C1030" s="2">
        <v>657.63</v>
      </c>
      <c r="D1030" s="9">
        <f>B1030-B1029</f>
        <v>2.8100000000000023</v>
      </c>
      <c r="E1030" s="9">
        <f>C1030-C1029</f>
        <v>5.4199999999999591</v>
      </c>
      <c r="F1030" s="3">
        <f>F$1/B1030</f>
        <v>525.40324699206633</v>
      </c>
      <c r="G1030" s="3">
        <f>F$1/C1030</f>
        <v>152.06118942262367</v>
      </c>
      <c r="H1030" s="2">
        <f>D1030*F1029</f>
        <v>1498.5068259385675</v>
      </c>
      <c r="I1030" s="2">
        <f>E1030*G1029</f>
        <v>831.02068352217202</v>
      </c>
      <c r="J1030" s="2">
        <f>I1030-H1030</f>
        <v>-667.48614241639552</v>
      </c>
      <c r="K1030" s="2">
        <f t="shared" si="136"/>
        <v>667.48614241639552</v>
      </c>
      <c r="L1030" s="3">
        <f>C1030/B1030</f>
        <v>3.455209373193926</v>
      </c>
      <c r="M1030" s="3">
        <f t="shared" si="130"/>
        <v>3.4451779864826713</v>
      </c>
      <c r="N1030" s="3">
        <f t="shared" si="134"/>
        <v>3.4389806968388847</v>
      </c>
      <c r="O1030" s="3">
        <f t="shared" si="135"/>
        <v>3.4236395539826736</v>
      </c>
      <c r="P1030" s="3">
        <f t="shared" si="129"/>
        <v>3.3353864240024222</v>
      </c>
      <c r="Q1030" s="4" t="str">
        <f t="shared" si="133"/>
        <v>OVER</v>
      </c>
      <c r="R1030" s="4" t="str">
        <f t="shared" si="133"/>
        <v>OVER</v>
      </c>
      <c r="S1030" s="4" t="str">
        <f t="shared" si="131"/>
        <v>OVER</v>
      </c>
      <c r="T1030" s="4" t="str">
        <f t="shared" si="131"/>
        <v>OVER</v>
      </c>
      <c r="U1030" s="2">
        <f>IF(Q1030="OVER",$J1030,$K1030)</f>
        <v>-667.48614241639552</v>
      </c>
      <c r="V1030" s="2">
        <f>IF(R1030="OVER",$J1030,$K1030)</f>
        <v>-667.48614241639552</v>
      </c>
      <c r="W1030" s="2">
        <f>IF(S1030="OVER",$J1030,$K1030)</f>
        <v>-667.48614241639552</v>
      </c>
      <c r="X1030" s="2">
        <f>IF(T1030="OVER",$J1030,$K1030)</f>
        <v>-667.48614241639552</v>
      </c>
      <c r="Y1030" s="9">
        <f t="shared" si="132"/>
        <v>-12613.679974036992</v>
      </c>
      <c r="Z1030" s="9">
        <f t="shared" si="132"/>
        <v>9329.6426725686561</v>
      </c>
      <c r="AA1030" s="9">
        <f t="shared" si="132"/>
        <v>67379.898376839876</v>
      </c>
      <c r="AB1030" s="9">
        <f t="shared" si="132"/>
        <v>30475.075398925466</v>
      </c>
    </row>
    <row r="1031" spans="1:28" x14ac:dyDescent="0.3">
      <c r="A1031" s="1">
        <v>45912</v>
      </c>
      <c r="B1031" s="2">
        <v>188.96</v>
      </c>
      <c r="C1031" s="2">
        <v>657.41</v>
      </c>
      <c r="D1031" s="9">
        <f>B1031-B1030</f>
        <v>-1.3700000000000045</v>
      </c>
      <c r="E1031" s="9">
        <f>C1031-C1030</f>
        <v>-0.22000000000002728</v>
      </c>
      <c r="F1031" s="3">
        <f>F$1/B1031</f>
        <v>529.21253175275183</v>
      </c>
      <c r="G1031" s="3">
        <f>F$1/C1031</f>
        <v>152.11207617772774</v>
      </c>
      <c r="H1031" s="2">
        <f>D1031*F1030</f>
        <v>-719.80244837913324</v>
      </c>
      <c r="I1031" s="2">
        <f>E1031*G1030</f>
        <v>-33.453461672981355</v>
      </c>
      <c r="J1031" s="2">
        <f>I1031-H1031</f>
        <v>686.34898670615189</v>
      </c>
      <c r="K1031" s="2">
        <f t="shared" si="136"/>
        <v>-686.34898670615189</v>
      </c>
      <c r="L1031" s="3">
        <f>C1031/B1031</f>
        <v>3.479096104995766</v>
      </c>
      <c r="M1031" s="3">
        <f t="shared" si="130"/>
        <v>3.4493071350199678</v>
      </c>
      <c r="N1031" s="3">
        <f t="shared" si="134"/>
        <v>3.4398596111483548</v>
      </c>
      <c r="O1031" s="3">
        <f t="shared" si="135"/>
        <v>3.4258873830769998</v>
      </c>
      <c r="P1031" s="3">
        <f t="shared" si="129"/>
        <v>3.3366565785821596</v>
      </c>
      <c r="Q1031" s="4" t="str">
        <f t="shared" si="133"/>
        <v>OVER</v>
      </c>
      <c r="R1031" s="4" t="str">
        <f t="shared" si="133"/>
        <v>OVER</v>
      </c>
      <c r="S1031" s="4" t="str">
        <f t="shared" si="131"/>
        <v>OVER</v>
      </c>
      <c r="T1031" s="4" t="str">
        <f t="shared" si="131"/>
        <v>OVER</v>
      </c>
      <c r="U1031" s="2">
        <f>IF(Q1031="OVER",$J1031,$K1031)</f>
        <v>686.34898670615189</v>
      </c>
      <c r="V1031" s="2">
        <f>IF(R1031="OVER",$J1031,$K1031)</f>
        <v>686.34898670615189</v>
      </c>
      <c r="W1031" s="2">
        <f>IF(S1031="OVER",$J1031,$K1031)</f>
        <v>686.34898670615189</v>
      </c>
      <c r="X1031" s="2">
        <f>IF(T1031="OVER",$J1031,$K1031)</f>
        <v>686.34898670615189</v>
      </c>
      <c r="Y1031" s="9">
        <f t="shared" si="132"/>
        <v>-11927.330987330839</v>
      </c>
      <c r="Z1031" s="9">
        <f t="shared" si="132"/>
        <v>10015.991659274809</v>
      </c>
      <c r="AA1031" s="9">
        <f t="shared" si="132"/>
        <v>68066.247363546034</v>
      </c>
      <c r="AB1031" s="9">
        <f t="shared" si="132"/>
        <v>31161.424385631617</v>
      </c>
    </row>
    <row r="1032" spans="1:28" x14ac:dyDescent="0.3">
      <c r="A1032" s="1">
        <v>45915</v>
      </c>
      <c r="B1032" s="2">
        <v>188.63</v>
      </c>
      <c r="C1032" s="2">
        <v>660.91</v>
      </c>
      <c r="D1032" s="9">
        <f>B1032-B1031</f>
        <v>-0.33000000000001251</v>
      </c>
      <c r="E1032" s="9">
        <f>C1032-C1031</f>
        <v>3.5</v>
      </c>
      <c r="F1032" s="3">
        <f>F$1/B1032</f>
        <v>530.13836611355566</v>
      </c>
      <c r="G1032" s="3">
        <f>F$1/C1032</f>
        <v>151.30653190298227</v>
      </c>
      <c r="H1032" s="2">
        <f>D1032*F1031</f>
        <v>-174.64013547841472</v>
      </c>
      <c r="I1032" s="2">
        <f>E1032*G1031</f>
        <v>532.39226662204715</v>
      </c>
      <c r="J1032" s="2">
        <f>I1032-H1032</f>
        <v>707.03240210046192</v>
      </c>
      <c r="K1032" s="2">
        <f t="shared" si="136"/>
        <v>-707.03240210046192</v>
      </c>
      <c r="L1032" s="3">
        <f>C1032/B1032</f>
        <v>3.5037374754811004</v>
      </c>
      <c r="M1032" s="3">
        <f t="shared" si="130"/>
        <v>3.4576969996288343</v>
      </c>
      <c r="N1032" s="3">
        <f t="shared" si="134"/>
        <v>3.4419484541465573</v>
      </c>
      <c r="O1032" s="3">
        <f t="shared" si="135"/>
        <v>3.4284235215055121</v>
      </c>
      <c r="P1032" s="3">
        <f t="shared" si="129"/>
        <v>3.3381263789871083</v>
      </c>
      <c r="Q1032" s="4" t="str">
        <f t="shared" si="133"/>
        <v>OVER</v>
      </c>
      <c r="R1032" s="4" t="str">
        <f t="shared" si="133"/>
        <v>OVER</v>
      </c>
      <c r="S1032" s="4" t="str">
        <f t="shared" si="131"/>
        <v>OVER</v>
      </c>
      <c r="T1032" s="4" t="str">
        <f t="shared" si="131"/>
        <v>OVER</v>
      </c>
      <c r="U1032" s="2">
        <f>IF(Q1032="OVER",$J1032,$K1032)</f>
        <v>707.03240210046192</v>
      </c>
      <c r="V1032" s="2">
        <f>IF(R1032="OVER",$J1032,$K1032)</f>
        <v>707.03240210046192</v>
      </c>
      <c r="W1032" s="2">
        <f>IF(S1032="OVER",$J1032,$K1032)</f>
        <v>707.03240210046192</v>
      </c>
      <c r="X1032" s="2">
        <f>IF(T1032="OVER",$J1032,$K1032)</f>
        <v>707.03240210046192</v>
      </c>
      <c r="Y1032" s="9">
        <f t="shared" si="132"/>
        <v>-11220.298585230377</v>
      </c>
      <c r="Z1032" s="9">
        <f t="shared" si="132"/>
        <v>10723.02406137527</v>
      </c>
      <c r="AA1032" s="9">
        <f t="shared" si="132"/>
        <v>68773.279765646497</v>
      </c>
      <c r="AB1032" s="9">
        <f t="shared" si="132"/>
        <v>31868.456787732081</v>
      </c>
    </row>
    <row r="1033" spans="1:28" x14ac:dyDescent="0.3">
      <c r="A1033" s="1">
        <v>45916</v>
      </c>
      <c r="B1033" s="2">
        <v>188.13</v>
      </c>
      <c r="C1033" s="2">
        <v>660</v>
      </c>
      <c r="D1033" s="9">
        <f>B1033-B1032</f>
        <v>-0.5</v>
      </c>
      <c r="E1033" s="9">
        <f>C1033-C1032</f>
        <v>-0.90999999999996817</v>
      </c>
      <c r="F1033" s="3">
        <f>F$1/B1033</f>
        <v>531.54733429011856</v>
      </c>
      <c r="G1033" s="3">
        <f>F$1/C1033</f>
        <v>151.5151515151515</v>
      </c>
      <c r="H1033" s="2">
        <f>D1033*F1032</f>
        <v>-265.06918305677783</v>
      </c>
      <c r="I1033" s="2">
        <f>E1033*G1032</f>
        <v>-137.68894403170904</v>
      </c>
      <c r="J1033" s="2">
        <f>I1033-H1033</f>
        <v>127.38023902506879</v>
      </c>
      <c r="K1033" s="2">
        <f t="shared" si="136"/>
        <v>-127.38023902506879</v>
      </c>
      <c r="L1033" s="3">
        <f>C1033/B1033</f>
        <v>3.5082124063147826</v>
      </c>
      <c r="M1033" s="3">
        <f t="shared" si="130"/>
        <v>3.4663657259654372</v>
      </c>
      <c r="N1033" s="3">
        <f t="shared" si="134"/>
        <v>3.4442614531082976</v>
      </c>
      <c r="O1033" s="3">
        <f t="shared" si="135"/>
        <v>3.4310123749665933</v>
      </c>
      <c r="P1033" s="3">
        <f t="shared" si="129"/>
        <v>3.3397086247161343</v>
      </c>
      <c r="Q1033" s="4" t="str">
        <f t="shared" si="133"/>
        <v>OVER</v>
      </c>
      <c r="R1033" s="4" t="str">
        <f t="shared" si="133"/>
        <v>OVER</v>
      </c>
      <c r="S1033" s="4" t="str">
        <f t="shared" si="131"/>
        <v>OVER</v>
      </c>
      <c r="T1033" s="4" t="str">
        <f t="shared" si="131"/>
        <v>OVER</v>
      </c>
      <c r="U1033" s="2">
        <f>IF(Q1033="OVER",$J1033,$K1033)</f>
        <v>127.38023902506879</v>
      </c>
      <c r="V1033" s="2">
        <f>IF(R1033="OVER",$J1033,$K1033)</f>
        <v>127.38023902506879</v>
      </c>
      <c r="W1033" s="2">
        <f>IF(S1033="OVER",$J1033,$K1033)</f>
        <v>127.38023902506879</v>
      </c>
      <c r="X1033" s="2">
        <f>IF(T1033="OVER",$J1033,$K1033)</f>
        <v>127.38023902506879</v>
      </c>
      <c r="Y1033" s="9">
        <f t="shared" si="132"/>
        <v>-11092.918346205308</v>
      </c>
      <c r="Z1033" s="9">
        <f t="shared" si="132"/>
        <v>10850.40430040034</v>
      </c>
      <c r="AA1033" s="9">
        <f t="shared" si="132"/>
        <v>68900.660004671561</v>
      </c>
      <c r="AB1033" s="9">
        <f t="shared" si="132"/>
        <v>31995.837026757148</v>
      </c>
    </row>
    <row r="1034" spans="1:28" x14ac:dyDescent="0.3">
      <c r="A1034" s="1">
        <v>45917</v>
      </c>
      <c r="B1034" s="2">
        <v>188.31</v>
      </c>
      <c r="C1034" s="2">
        <v>659.18</v>
      </c>
      <c r="D1034" s="9">
        <f>B1034-B1033</f>
        <v>0.18000000000000682</v>
      </c>
      <c r="E1034" s="9">
        <f>C1034-C1033</f>
        <v>-0.82000000000005002</v>
      </c>
      <c r="F1034" s="3">
        <f>F$1/B1034</f>
        <v>531.03924380011688</v>
      </c>
      <c r="G1034" s="3">
        <f>F$1/C1034</f>
        <v>151.70363178494495</v>
      </c>
      <c r="H1034" s="2">
        <f>D1034*F1033</f>
        <v>95.678520172224964</v>
      </c>
      <c r="I1034" s="2">
        <f>E1034*G1033</f>
        <v>-124.24242424243181</v>
      </c>
      <c r="J1034" s="2">
        <f>I1034-H1034</f>
        <v>-219.92094441465679</v>
      </c>
      <c r="K1034" s="2">
        <f t="shared" si="136"/>
        <v>219.92094441465679</v>
      </c>
      <c r="L1034" s="3">
        <f>C1034/B1034</f>
        <v>3.50050448728161</v>
      </c>
      <c r="M1034" s="3">
        <f t="shared" si="130"/>
        <v>3.4718753911354741</v>
      </c>
      <c r="N1034" s="3">
        <f t="shared" si="134"/>
        <v>3.4479304184333301</v>
      </c>
      <c r="O1034" s="3">
        <f t="shared" si="135"/>
        <v>3.4336527861718249</v>
      </c>
      <c r="P1034" s="3">
        <f t="shared" si="129"/>
        <v>3.3411707155977708</v>
      </c>
      <c r="Q1034" s="4" t="str">
        <f t="shared" si="133"/>
        <v>OVER</v>
      </c>
      <c r="R1034" s="4" t="str">
        <f t="shared" si="133"/>
        <v>OVER</v>
      </c>
      <c r="S1034" s="4" t="str">
        <f t="shared" si="131"/>
        <v>OVER</v>
      </c>
      <c r="T1034" s="4" t="str">
        <f t="shared" si="131"/>
        <v>OVER</v>
      </c>
      <c r="U1034" s="2">
        <f>IF(Q1034="OVER",$J1034,$K1034)</f>
        <v>-219.92094441465679</v>
      </c>
      <c r="V1034" s="2">
        <f>IF(R1034="OVER",$J1034,$K1034)</f>
        <v>-219.92094441465679</v>
      </c>
      <c r="W1034" s="2">
        <f>IF(S1034="OVER",$J1034,$K1034)</f>
        <v>-219.92094441465679</v>
      </c>
      <c r="X1034" s="2">
        <f>IF(T1034="OVER",$J1034,$K1034)</f>
        <v>-219.92094441465679</v>
      </c>
      <c r="Y1034" s="9">
        <f t="shared" si="132"/>
        <v>-11312.839290619964</v>
      </c>
      <c r="Z1034" s="9">
        <f t="shared" si="132"/>
        <v>10630.483355985683</v>
      </c>
      <c r="AA1034" s="9">
        <f t="shared" si="132"/>
        <v>68680.739060256907</v>
      </c>
      <c r="AB1034" s="9">
        <f t="shared" si="132"/>
        <v>31775.91608234249</v>
      </c>
    </row>
    <row r="1035" spans="1:28" x14ac:dyDescent="0.3">
      <c r="A1035" s="1">
        <v>45918</v>
      </c>
      <c r="B1035" s="2">
        <v>189.54</v>
      </c>
      <c r="C1035" s="2">
        <v>662.26</v>
      </c>
      <c r="D1035" s="9">
        <f>B1035-B1034</f>
        <v>1.2299999999999898</v>
      </c>
      <c r="E1035" s="9">
        <f>C1035-C1034</f>
        <v>3.0800000000000409</v>
      </c>
      <c r="F1035" s="3">
        <f>F$1/B1035</f>
        <v>527.59312018571279</v>
      </c>
      <c r="G1035" s="3">
        <f>F$1/C1035</f>
        <v>150.99809742397247</v>
      </c>
      <c r="H1035" s="2">
        <f>D1035*F1034</f>
        <v>653.17826987413832</v>
      </c>
      <c r="I1035" s="2">
        <f>E1035*G1034</f>
        <v>467.24718589763665</v>
      </c>
      <c r="J1035" s="2">
        <f>I1035-H1035</f>
        <v>-185.93108397650167</v>
      </c>
      <c r="K1035" s="2">
        <f t="shared" si="136"/>
        <v>185.93108397650167</v>
      </c>
      <c r="L1035" s="3">
        <f>C1035/B1035</f>
        <v>3.4940381977419017</v>
      </c>
      <c r="M1035" s="3">
        <f t="shared" si="130"/>
        <v>3.4764061899767134</v>
      </c>
      <c r="N1035" s="3">
        <f t="shared" si="134"/>
        <v>3.4515756051808153</v>
      </c>
      <c r="O1035" s="3">
        <f t="shared" si="135"/>
        <v>3.43596168070974</v>
      </c>
      <c r="P1035" s="3">
        <f t="shared" ref="P1035:P1098" si="137">AVERAGE(L836:L1035)</f>
        <v>3.3426336892649084</v>
      </c>
      <c r="Q1035" s="4" t="str">
        <f t="shared" si="133"/>
        <v>OVER</v>
      </c>
      <c r="R1035" s="4" t="str">
        <f t="shared" si="133"/>
        <v>OVER</v>
      </c>
      <c r="S1035" s="4" t="str">
        <f t="shared" si="131"/>
        <v>OVER</v>
      </c>
      <c r="T1035" s="4" t="str">
        <f t="shared" si="131"/>
        <v>OVER</v>
      </c>
      <c r="U1035" s="2">
        <f>IF(Q1035="OVER",$J1035,$K1035)</f>
        <v>-185.93108397650167</v>
      </c>
      <c r="V1035" s="2">
        <f>IF(R1035="OVER",$J1035,$K1035)</f>
        <v>-185.93108397650167</v>
      </c>
      <c r="W1035" s="2">
        <f>IF(S1035="OVER",$J1035,$K1035)</f>
        <v>-185.93108397650167</v>
      </c>
      <c r="X1035" s="2">
        <f>IF(T1035="OVER",$J1035,$K1035)</f>
        <v>-185.93108397650167</v>
      </c>
      <c r="Y1035" s="9">
        <f t="shared" si="132"/>
        <v>-11498.770374596466</v>
      </c>
      <c r="Z1035" s="9">
        <f t="shared" si="132"/>
        <v>10444.552272009181</v>
      </c>
      <c r="AA1035" s="9">
        <f t="shared" si="132"/>
        <v>68494.807976280412</v>
      </c>
      <c r="AB1035" s="9">
        <f t="shared" si="132"/>
        <v>31589.984998365988</v>
      </c>
    </row>
    <row r="1036" spans="1:28" x14ac:dyDescent="0.3">
      <c r="A1036" s="1">
        <v>45919</v>
      </c>
      <c r="B1036" s="2">
        <v>189.21</v>
      </c>
      <c r="C1036" s="2">
        <v>663.7</v>
      </c>
      <c r="D1036" s="9">
        <f>B1036-B1035</f>
        <v>-0.32999999999998408</v>
      </c>
      <c r="E1036" s="9">
        <f>C1036-C1035</f>
        <v>1.4400000000000546</v>
      </c>
      <c r="F1036" s="3">
        <f>F$1/B1036</f>
        <v>528.51329210929657</v>
      </c>
      <c r="G1036" s="3">
        <f>F$1/C1036</f>
        <v>150.6704836522525</v>
      </c>
      <c r="H1036" s="2">
        <f>D1036*F1035</f>
        <v>-174.10572966127683</v>
      </c>
      <c r="I1036" s="2">
        <f>E1036*G1035</f>
        <v>217.4372602905286</v>
      </c>
      <c r="J1036" s="2">
        <f>I1036-H1036</f>
        <v>391.54298995180545</v>
      </c>
      <c r="K1036" s="2">
        <f t="shared" si="136"/>
        <v>-391.54298995180545</v>
      </c>
      <c r="L1036" s="3">
        <f>C1036/B1036</f>
        <v>3.5077427197294013</v>
      </c>
      <c r="M1036" s="3">
        <f t="shared" si="130"/>
        <v>3.4837077385363648</v>
      </c>
      <c r="N1036" s="3">
        <f t="shared" si="134"/>
        <v>3.4559964744217111</v>
      </c>
      <c r="O1036" s="3">
        <f t="shared" si="135"/>
        <v>3.438744374484239</v>
      </c>
      <c r="P1036" s="3">
        <f t="shared" si="137"/>
        <v>3.3441146798063119</v>
      </c>
      <c r="Q1036" s="4" t="str">
        <f t="shared" si="133"/>
        <v>OVER</v>
      </c>
      <c r="R1036" s="4" t="str">
        <f t="shared" si="133"/>
        <v>OVER</v>
      </c>
      <c r="S1036" s="4" t="str">
        <f t="shared" si="131"/>
        <v>OVER</v>
      </c>
      <c r="T1036" s="4" t="str">
        <f t="shared" si="131"/>
        <v>OVER</v>
      </c>
      <c r="U1036" s="2">
        <f>IF(Q1036="OVER",$J1036,$K1036)</f>
        <v>391.54298995180545</v>
      </c>
      <c r="V1036" s="2">
        <f>IF(R1036="OVER",$J1036,$K1036)</f>
        <v>391.54298995180545</v>
      </c>
      <c r="W1036" s="2">
        <f>IF(S1036="OVER",$J1036,$K1036)</f>
        <v>391.54298995180545</v>
      </c>
      <c r="X1036" s="2">
        <f>IF(T1036="OVER",$J1036,$K1036)</f>
        <v>391.54298995180545</v>
      </c>
      <c r="Y1036" s="9">
        <f t="shared" si="132"/>
        <v>-11107.227384644661</v>
      </c>
      <c r="Z1036" s="9">
        <f t="shared" si="132"/>
        <v>10836.095261960987</v>
      </c>
      <c r="AA1036" s="9">
        <f t="shared" si="132"/>
        <v>68886.350966232218</v>
      </c>
      <c r="AB1036" s="9">
        <f t="shared" ref="AB1036:AB1099" si="138">AB1035+X1036</f>
        <v>31981.527988317794</v>
      </c>
    </row>
    <row r="1037" spans="1:28" x14ac:dyDescent="0.3">
      <c r="A1037" s="1">
        <v>45922</v>
      </c>
      <c r="B1037" s="2">
        <v>188.48</v>
      </c>
      <c r="C1037" s="2">
        <v>666.84</v>
      </c>
      <c r="D1037" s="9">
        <f>B1037-B1036</f>
        <v>-0.73000000000001819</v>
      </c>
      <c r="E1037" s="9">
        <f>C1037-C1036</f>
        <v>3.1399999999999864</v>
      </c>
      <c r="F1037" s="3">
        <f>F$1/B1037</f>
        <v>530.56027164685906</v>
      </c>
      <c r="G1037" s="3">
        <f>F$1/C1037</f>
        <v>149.96101013736427</v>
      </c>
      <c r="H1037" s="2">
        <f>D1037*F1036</f>
        <v>-385.81470323979613</v>
      </c>
      <c r="I1037" s="2">
        <f>E1037*G1036</f>
        <v>473.10531866807082</v>
      </c>
      <c r="J1037" s="2">
        <f>I1037-H1037</f>
        <v>858.92002190786695</v>
      </c>
      <c r="K1037" s="2">
        <f t="shared" si="136"/>
        <v>-858.92002190786695</v>
      </c>
      <c r="L1037" s="3">
        <f>C1037/B1037</f>
        <v>3.5379881154499153</v>
      </c>
      <c r="M1037" s="3">
        <f t="shared" ref="M1037:M1100" si="139">AVERAGE(L1028:L1037)</f>
        <v>3.4929157592799327</v>
      </c>
      <c r="N1037" s="3">
        <f t="shared" si="134"/>
        <v>3.4626204039157749</v>
      </c>
      <c r="O1037" s="3">
        <f t="shared" si="135"/>
        <v>3.4418737279438716</v>
      </c>
      <c r="P1037" s="3">
        <f t="shared" si="137"/>
        <v>3.345677716830262</v>
      </c>
      <c r="Q1037" s="4" t="str">
        <f t="shared" si="133"/>
        <v>OVER</v>
      </c>
      <c r="R1037" s="4" t="str">
        <f t="shared" si="133"/>
        <v>OVER</v>
      </c>
      <c r="S1037" s="4" t="str">
        <f t="shared" ref="S1037:T1100" si="140">IF($L1037&gt;O1037,"OVER","UNDER")</f>
        <v>OVER</v>
      </c>
      <c r="T1037" s="4" t="str">
        <f t="shared" si="140"/>
        <v>OVER</v>
      </c>
      <c r="U1037" s="2">
        <f>IF(Q1037="OVER",$J1037,$K1037)</f>
        <v>858.92002190786695</v>
      </c>
      <c r="V1037" s="2">
        <f>IF(R1037="OVER",$J1037,$K1037)</f>
        <v>858.92002190786695</v>
      </c>
      <c r="W1037" s="2">
        <f>IF(S1037="OVER",$J1037,$K1037)</f>
        <v>858.92002190786695</v>
      </c>
      <c r="X1037" s="2">
        <f>IF(T1037="OVER",$J1037,$K1037)</f>
        <v>858.92002190786695</v>
      </c>
      <c r="Y1037" s="9">
        <f t="shared" ref="Y1037:AB1100" si="141">Y1036+U1037</f>
        <v>-10248.307362736794</v>
      </c>
      <c r="Z1037" s="9">
        <f t="shared" si="141"/>
        <v>11695.015283868854</v>
      </c>
      <c r="AA1037" s="9">
        <f t="shared" si="141"/>
        <v>69745.270988140081</v>
      </c>
      <c r="AB1037" s="9">
        <f t="shared" si="138"/>
        <v>32840.448010225664</v>
      </c>
    </row>
    <row r="1038" spans="1:28" x14ac:dyDescent="0.3">
      <c r="A1038" s="1">
        <v>45923</v>
      </c>
      <c r="B1038" s="2">
        <v>188.71</v>
      </c>
      <c r="C1038" s="2">
        <v>663.21</v>
      </c>
      <c r="D1038" s="9">
        <f>B1038-B1037</f>
        <v>0.23000000000001819</v>
      </c>
      <c r="E1038" s="9">
        <f>C1038-C1037</f>
        <v>-3.6299999999999955</v>
      </c>
      <c r="F1038" s="3">
        <f>F$1/B1038</f>
        <v>529.91362407927511</v>
      </c>
      <c r="G1038" s="3">
        <f>F$1/C1038</f>
        <v>150.78180365193526</v>
      </c>
      <c r="H1038" s="2">
        <f>D1038*F1037</f>
        <v>122.02886247878723</v>
      </c>
      <c r="I1038" s="2">
        <f>E1038*G1037</f>
        <v>-544.35846679863164</v>
      </c>
      <c r="J1038" s="2">
        <f>I1038-H1038</f>
        <v>-666.38732927741887</v>
      </c>
      <c r="K1038" s="2">
        <f t="shared" si="136"/>
        <v>666.38732927741887</v>
      </c>
      <c r="L1038" s="3">
        <f>C1038/B1038</f>
        <v>3.5144401462561601</v>
      </c>
      <c r="M1038" s="3">
        <f t="shared" si="139"/>
        <v>3.4979051364328519</v>
      </c>
      <c r="N1038" s="3">
        <f t="shared" si="134"/>
        <v>3.4675090778952495</v>
      </c>
      <c r="O1038" s="3">
        <f t="shared" si="135"/>
        <v>3.4444728065853707</v>
      </c>
      <c r="P1038" s="3">
        <f t="shared" si="137"/>
        <v>3.3470436595108772</v>
      </c>
      <c r="Q1038" s="4" t="str">
        <f t="shared" ref="Q1038:R1101" si="142">IF($L1037&gt;M1037,"OVER","UNDER")</f>
        <v>OVER</v>
      </c>
      <c r="R1038" s="4" t="str">
        <f t="shared" si="142"/>
        <v>OVER</v>
      </c>
      <c r="S1038" s="4" t="str">
        <f t="shared" si="140"/>
        <v>OVER</v>
      </c>
      <c r="T1038" s="4" t="str">
        <f t="shared" si="140"/>
        <v>OVER</v>
      </c>
      <c r="U1038" s="2">
        <f>IF(Q1038="OVER",$J1038,$K1038)</f>
        <v>-666.38732927741887</v>
      </c>
      <c r="V1038" s="2">
        <f>IF(R1038="OVER",$J1038,$K1038)</f>
        <v>-666.38732927741887</v>
      </c>
      <c r="W1038" s="2">
        <f>IF(S1038="OVER",$J1038,$K1038)</f>
        <v>-666.38732927741887</v>
      </c>
      <c r="X1038" s="2">
        <f>IF(T1038="OVER",$J1038,$K1038)</f>
        <v>-666.38732927741887</v>
      </c>
      <c r="Y1038" s="9">
        <f t="shared" si="141"/>
        <v>-10914.694692014213</v>
      </c>
      <c r="Z1038" s="9">
        <f t="shared" si="141"/>
        <v>11028.627954591435</v>
      </c>
      <c r="AA1038" s="9">
        <f t="shared" si="141"/>
        <v>69078.883658862658</v>
      </c>
      <c r="AB1038" s="9">
        <f t="shared" si="138"/>
        <v>32174.060680948245</v>
      </c>
    </row>
    <row r="1039" spans="1:28" x14ac:dyDescent="0.3">
      <c r="A1039" s="1">
        <v>45924</v>
      </c>
      <c r="B1039" s="2">
        <v>188.27</v>
      </c>
      <c r="C1039" s="2">
        <v>661.1</v>
      </c>
      <c r="D1039" s="9">
        <f>B1039-B1038</f>
        <v>-0.43999999999999773</v>
      </c>
      <c r="E1039" s="9">
        <f>C1039-C1038</f>
        <v>-2.1100000000000136</v>
      </c>
      <c r="F1039" s="3">
        <f>F$1/B1039</f>
        <v>531.15206883730809</v>
      </c>
      <c r="G1039" s="3">
        <f>F$1/C1039</f>
        <v>151.26304643775526</v>
      </c>
      <c r="H1039" s="2">
        <f>D1039*F1038</f>
        <v>-233.16199459487984</v>
      </c>
      <c r="I1039" s="2">
        <f>E1039*G1038</f>
        <v>-318.14960570558549</v>
      </c>
      <c r="J1039" s="2">
        <f>I1039-H1039</f>
        <v>-84.987611110705643</v>
      </c>
      <c r="K1039" s="2">
        <f t="shared" si="136"/>
        <v>84.987611110705643</v>
      </c>
      <c r="L1039" s="3">
        <f>C1039/B1039</f>
        <v>3.5114463270834437</v>
      </c>
      <c r="M1039" s="3">
        <f t="shared" si="139"/>
        <v>3.5012415353528006</v>
      </c>
      <c r="N1039" s="3">
        <f t="shared" si="134"/>
        <v>3.4716513044370174</v>
      </c>
      <c r="O1039" s="3">
        <f t="shared" si="135"/>
        <v>3.4463534771534059</v>
      </c>
      <c r="P1039" s="3">
        <f t="shared" si="137"/>
        <v>3.3482948749384911</v>
      </c>
      <c r="Q1039" s="4" t="str">
        <f t="shared" si="142"/>
        <v>OVER</v>
      </c>
      <c r="R1039" s="4" t="str">
        <f t="shared" si="142"/>
        <v>OVER</v>
      </c>
      <c r="S1039" s="4" t="str">
        <f t="shared" si="140"/>
        <v>OVER</v>
      </c>
      <c r="T1039" s="4" t="str">
        <f t="shared" si="140"/>
        <v>OVER</v>
      </c>
      <c r="U1039" s="2">
        <f>IF(Q1039="OVER",$J1039,$K1039)</f>
        <v>-84.987611110705643</v>
      </c>
      <c r="V1039" s="2">
        <f>IF(R1039="OVER",$J1039,$K1039)</f>
        <v>-84.987611110705643</v>
      </c>
      <c r="W1039" s="2">
        <f>IF(S1039="OVER",$J1039,$K1039)</f>
        <v>-84.987611110705643</v>
      </c>
      <c r="X1039" s="2">
        <f>IF(T1039="OVER",$J1039,$K1039)</f>
        <v>-84.987611110705643</v>
      </c>
      <c r="Y1039" s="9">
        <f t="shared" si="141"/>
        <v>-10999.682303124919</v>
      </c>
      <c r="Z1039" s="9">
        <f t="shared" si="141"/>
        <v>10943.640343480729</v>
      </c>
      <c r="AA1039" s="9">
        <f t="shared" si="141"/>
        <v>68993.896047751958</v>
      </c>
      <c r="AB1039" s="9">
        <f t="shared" si="138"/>
        <v>32089.073069837541</v>
      </c>
    </row>
    <row r="1040" spans="1:28" x14ac:dyDescent="0.3">
      <c r="A1040" s="1">
        <v>45925</v>
      </c>
      <c r="B1040" s="2">
        <v>186.72</v>
      </c>
      <c r="C1040" s="2">
        <v>658.05</v>
      </c>
      <c r="D1040" s="9">
        <f>B1040-B1039</f>
        <v>-1.5500000000000114</v>
      </c>
      <c r="E1040" s="9">
        <f>C1040-C1039</f>
        <v>-3.0500000000000682</v>
      </c>
      <c r="F1040" s="3">
        <f>F$1/B1040</f>
        <v>535.5612682090831</v>
      </c>
      <c r="G1040" s="3">
        <f>F$1/C1040</f>
        <v>151.96413646379455</v>
      </c>
      <c r="H1040" s="2">
        <f>D1040*F1039</f>
        <v>-823.28570669783358</v>
      </c>
      <c r="I1040" s="2">
        <f>E1040*G1039</f>
        <v>-461.35229163516385</v>
      </c>
      <c r="J1040" s="2">
        <f>I1040-H1040</f>
        <v>361.93341506266972</v>
      </c>
      <c r="K1040" s="2">
        <f t="shared" si="136"/>
        <v>-361.93341506266972</v>
      </c>
      <c r="L1040" s="3">
        <f>C1040/B1040</f>
        <v>3.5242609254498714</v>
      </c>
      <c r="M1040" s="3">
        <f t="shared" si="139"/>
        <v>3.5081466905783953</v>
      </c>
      <c r="N1040" s="3">
        <f t="shared" si="134"/>
        <v>3.4766623385305331</v>
      </c>
      <c r="O1040" s="3">
        <f t="shared" si="135"/>
        <v>3.4485283432877036</v>
      </c>
      <c r="P1040" s="3">
        <f t="shared" si="137"/>
        <v>3.3495553381417924</v>
      </c>
      <c r="Q1040" s="4" t="str">
        <f t="shared" si="142"/>
        <v>OVER</v>
      </c>
      <c r="R1040" s="4" t="str">
        <f t="shared" si="142"/>
        <v>OVER</v>
      </c>
      <c r="S1040" s="4" t="str">
        <f t="shared" si="140"/>
        <v>OVER</v>
      </c>
      <c r="T1040" s="4" t="str">
        <f t="shared" si="140"/>
        <v>OVER</v>
      </c>
      <c r="U1040" s="2">
        <f>IF(Q1040="OVER",$J1040,$K1040)</f>
        <v>361.93341506266972</v>
      </c>
      <c r="V1040" s="2">
        <f>IF(R1040="OVER",$J1040,$K1040)</f>
        <v>361.93341506266972</v>
      </c>
      <c r="W1040" s="2">
        <f>IF(S1040="OVER",$J1040,$K1040)</f>
        <v>361.93341506266972</v>
      </c>
      <c r="X1040" s="2">
        <f>IF(T1040="OVER",$J1040,$K1040)</f>
        <v>361.93341506266972</v>
      </c>
      <c r="Y1040" s="9">
        <f t="shared" si="141"/>
        <v>-10637.74888806225</v>
      </c>
      <c r="Z1040" s="9">
        <f t="shared" si="141"/>
        <v>11305.573758543398</v>
      </c>
      <c r="AA1040" s="9">
        <f t="shared" si="141"/>
        <v>69355.829462814625</v>
      </c>
      <c r="AB1040" s="9">
        <f t="shared" si="138"/>
        <v>32451.006484900212</v>
      </c>
    </row>
    <row r="1041" spans="1:28" x14ac:dyDescent="0.3">
      <c r="A1041" s="1">
        <v>45926</v>
      </c>
      <c r="B1041" s="2">
        <v>188.57</v>
      </c>
      <c r="C1041" s="2">
        <v>661.82</v>
      </c>
      <c r="D1041" s="9">
        <f>B1041-B1040</f>
        <v>1.8499999999999943</v>
      </c>
      <c r="E1041" s="9">
        <f>C1041-C1040</f>
        <v>3.7700000000000955</v>
      </c>
      <c r="F1041" s="3">
        <f>F$1/B1041</f>
        <v>530.30704778066502</v>
      </c>
      <c r="G1041" s="3">
        <f>F$1/C1041</f>
        <v>151.09848599317033</v>
      </c>
      <c r="H1041" s="2">
        <f>D1041*F1040</f>
        <v>990.78834618680071</v>
      </c>
      <c r="I1041" s="2">
        <f>E1041*G1040</f>
        <v>572.90479446851998</v>
      </c>
      <c r="J1041" s="2">
        <f>I1041-H1041</f>
        <v>-417.88355171828073</v>
      </c>
      <c r="K1041" s="2">
        <f t="shared" si="136"/>
        <v>417.88355171828073</v>
      </c>
      <c r="L1041" s="3">
        <f>C1041/B1041</f>
        <v>3.5096781036219977</v>
      </c>
      <c r="M1041" s="3">
        <f t="shared" si="139"/>
        <v>3.5112048904410189</v>
      </c>
      <c r="N1041" s="3">
        <f t="shared" si="134"/>
        <v>3.4802560127304929</v>
      </c>
      <c r="O1041" s="3">
        <f t="shared" si="135"/>
        <v>3.4505493137726275</v>
      </c>
      <c r="P1041" s="3">
        <f t="shared" si="137"/>
        <v>3.3506932853314289</v>
      </c>
      <c r="Q1041" s="4" t="str">
        <f t="shared" si="142"/>
        <v>OVER</v>
      </c>
      <c r="R1041" s="4" t="str">
        <f t="shared" si="142"/>
        <v>OVER</v>
      </c>
      <c r="S1041" s="4" t="str">
        <f t="shared" si="140"/>
        <v>OVER</v>
      </c>
      <c r="T1041" s="4" t="str">
        <f t="shared" si="140"/>
        <v>OVER</v>
      </c>
      <c r="U1041" s="2">
        <f>IF(Q1041="OVER",$J1041,$K1041)</f>
        <v>-417.88355171828073</v>
      </c>
      <c r="V1041" s="2">
        <f>IF(R1041="OVER",$J1041,$K1041)</f>
        <v>-417.88355171828073</v>
      </c>
      <c r="W1041" s="2">
        <f>IF(S1041="OVER",$J1041,$K1041)</f>
        <v>-417.88355171828073</v>
      </c>
      <c r="X1041" s="2">
        <f>IF(T1041="OVER",$J1041,$K1041)</f>
        <v>-417.88355171828073</v>
      </c>
      <c r="Y1041" s="9">
        <f t="shared" si="141"/>
        <v>-11055.632439780531</v>
      </c>
      <c r="Z1041" s="9">
        <f t="shared" si="141"/>
        <v>10887.690206825117</v>
      </c>
      <c r="AA1041" s="9">
        <f t="shared" si="141"/>
        <v>68937.945911096351</v>
      </c>
      <c r="AB1041" s="9">
        <f t="shared" si="138"/>
        <v>32033.12293318193</v>
      </c>
    </row>
    <row r="1042" spans="1:28" x14ac:dyDescent="0.3">
      <c r="A1042" s="1">
        <v>45929</v>
      </c>
      <c r="B1042" s="2">
        <v>189.2</v>
      </c>
      <c r="C1042" s="2">
        <v>663.68</v>
      </c>
      <c r="D1042" s="9">
        <f>B1042-B1041</f>
        <v>0.62999999999999545</v>
      </c>
      <c r="E1042" s="9">
        <f>C1042-C1041</f>
        <v>1.8599999999999</v>
      </c>
      <c r="F1042" s="3">
        <f>F$1/B1042</f>
        <v>528.54122621564488</v>
      </c>
      <c r="G1042" s="3">
        <f>F$1/C1042</f>
        <v>150.67502410800387</v>
      </c>
      <c r="H1042" s="2">
        <f>D1042*F1041</f>
        <v>334.09344010181655</v>
      </c>
      <c r="I1042" s="2">
        <f>E1042*G1041</f>
        <v>281.0431839472817</v>
      </c>
      <c r="J1042" s="2">
        <f>I1042-H1042</f>
        <v>-53.05025615453485</v>
      </c>
      <c r="K1042" s="2">
        <f t="shared" si="136"/>
        <v>53.05025615453485</v>
      </c>
      <c r="L1042" s="3">
        <f>C1042/B1042</f>
        <v>3.5078224101479916</v>
      </c>
      <c r="M1042" s="3">
        <f t="shared" si="139"/>
        <v>3.5116133839077071</v>
      </c>
      <c r="N1042" s="3">
        <f t="shared" si="134"/>
        <v>3.4846551917682711</v>
      </c>
      <c r="O1042" s="3">
        <f t="shared" si="135"/>
        <v>3.4525572116443892</v>
      </c>
      <c r="P1042" s="3">
        <f t="shared" si="137"/>
        <v>3.3518391858656047</v>
      </c>
      <c r="Q1042" s="4" t="str">
        <f t="shared" si="142"/>
        <v>UNDER</v>
      </c>
      <c r="R1042" s="4" t="str">
        <f t="shared" si="142"/>
        <v>OVER</v>
      </c>
      <c r="S1042" s="4" t="str">
        <f t="shared" si="140"/>
        <v>OVER</v>
      </c>
      <c r="T1042" s="4" t="str">
        <f t="shared" si="140"/>
        <v>OVER</v>
      </c>
      <c r="U1042" s="2">
        <f>IF(Q1042="OVER",$J1042,$K1042)</f>
        <v>53.05025615453485</v>
      </c>
      <c r="V1042" s="2">
        <f>IF(R1042="OVER",$J1042,$K1042)</f>
        <v>-53.05025615453485</v>
      </c>
      <c r="W1042" s="2">
        <f>IF(S1042="OVER",$J1042,$K1042)</f>
        <v>-53.05025615453485</v>
      </c>
      <c r="X1042" s="2">
        <f>IF(T1042="OVER",$J1042,$K1042)</f>
        <v>-53.05025615453485</v>
      </c>
      <c r="Y1042" s="9">
        <f t="shared" si="141"/>
        <v>-11002.582183625997</v>
      </c>
      <c r="Z1042" s="9">
        <f t="shared" si="141"/>
        <v>10834.639950670582</v>
      </c>
      <c r="AA1042" s="9">
        <f t="shared" si="141"/>
        <v>68884.895654941822</v>
      </c>
      <c r="AB1042" s="9">
        <f t="shared" si="138"/>
        <v>31980.072677027394</v>
      </c>
    </row>
    <row r="1043" spans="1:28" x14ac:dyDescent="0.3">
      <c r="A1043" s="1">
        <v>45930</v>
      </c>
      <c r="B1043" s="2">
        <v>189.7</v>
      </c>
      <c r="C1043" s="2">
        <v>666.18</v>
      </c>
      <c r="D1043" s="9">
        <f>B1043-B1042</f>
        <v>0.5</v>
      </c>
      <c r="E1043" s="9">
        <f>C1043-C1042</f>
        <v>2.5</v>
      </c>
      <c r="F1043" s="3">
        <f>F$1/B1043</f>
        <v>527.1481286241434</v>
      </c>
      <c r="G1043" s="3">
        <f>F$1/C1043</f>
        <v>150.10957999339519</v>
      </c>
      <c r="H1043" s="2">
        <f>D1043*F1042</f>
        <v>264.27061310782244</v>
      </c>
      <c r="I1043" s="2">
        <f>E1043*G1042</f>
        <v>376.68756027000967</v>
      </c>
      <c r="J1043" s="2">
        <f>I1043-H1043</f>
        <v>112.41694716218723</v>
      </c>
      <c r="K1043" s="2">
        <f t="shared" si="136"/>
        <v>-112.41694716218723</v>
      </c>
      <c r="L1043" s="3">
        <f>C1043/B1043</f>
        <v>3.5117554032683183</v>
      </c>
      <c r="M1043" s="3">
        <f t="shared" si="139"/>
        <v>3.5119676836030607</v>
      </c>
      <c r="N1043" s="3">
        <f t="shared" si="134"/>
        <v>3.4891667047842496</v>
      </c>
      <c r="O1043" s="3">
        <f t="shared" si="135"/>
        <v>3.4542801976721638</v>
      </c>
      <c r="P1043" s="3">
        <f t="shared" si="137"/>
        <v>3.3529549732474675</v>
      </c>
      <c r="Q1043" s="4" t="str">
        <f t="shared" si="142"/>
        <v>UNDER</v>
      </c>
      <c r="R1043" s="4" t="str">
        <f t="shared" si="142"/>
        <v>OVER</v>
      </c>
      <c r="S1043" s="4" t="str">
        <f t="shared" si="140"/>
        <v>OVER</v>
      </c>
      <c r="T1043" s="4" t="str">
        <f t="shared" si="140"/>
        <v>OVER</v>
      </c>
      <c r="U1043" s="2">
        <f>IF(Q1043="OVER",$J1043,$K1043)</f>
        <v>-112.41694716218723</v>
      </c>
      <c r="V1043" s="2">
        <f>IF(R1043="OVER",$J1043,$K1043)</f>
        <v>112.41694716218723</v>
      </c>
      <c r="W1043" s="2">
        <f>IF(S1043="OVER",$J1043,$K1043)</f>
        <v>112.41694716218723</v>
      </c>
      <c r="X1043" s="2">
        <f>IF(T1043="OVER",$J1043,$K1043)</f>
        <v>112.41694716218723</v>
      </c>
      <c r="Y1043" s="9">
        <f t="shared" si="141"/>
        <v>-11114.999130788185</v>
      </c>
      <c r="Z1043" s="9">
        <f t="shared" si="141"/>
        <v>10947.05689783277</v>
      </c>
      <c r="AA1043" s="9">
        <f t="shared" si="141"/>
        <v>68997.312602104008</v>
      </c>
      <c r="AB1043" s="9">
        <f t="shared" si="138"/>
        <v>32092.48962418958</v>
      </c>
    </row>
    <row r="1044" spans="1:28" x14ac:dyDescent="0.3">
      <c r="A1044" s="1">
        <v>45931</v>
      </c>
      <c r="B1044" s="2">
        <v>190.13</v>
      </c>
      <c r="C1044" s="2">
        <v>668.45</v>
      </c>
      <c r="D1044" s="9">
        <f>B1044-B1043</f>
        <v>0.43000000000000682</v>
      </c>
      <c r="E1044" s="9">
        <f>C1044-C1043</f>
        <v>2.2700000000000955</v>
      </c>
      <c r="F1044" s="3">
        <f>F$1/B1044</f>
        <v>525.95592489349394</v>
      </c>
      <c r="G1044" s="3">
        <f>F$1/C1044</f>
        <v>149.59982048021541</v>
      </c>
      <c r="H1044" s="2">
        <f>D1044*F1043</f>
        <v>226.67369530838525</v>
      </c>
      <c r="I1044" s="2">
        <f>E1044*G1043</f>
        <v>340.74874658502142</v>
      </c>
      <c r="J1044" s="2">
        <f>I1044-H1044</f>
        <v>114.07505127663617</v>
      </c>
      <c r="K1044" s="2">
        <f t="shared" si="136"/>
        <v>-114.07505127663617</v>
      </c>
      <c r="L1044" s="3">
        <f>C1044/B1044</f>
        <v>3.5157523799505603</v>
      </c>
      <c r="M1044" s="3">
        <f t="shared" si="139"/>
        <v>3.5134924728699559</v>
      </c>
      <c r="N1044" s="3">
        <f t="shared" si="134"/>
        <v>3.492683932002715</v>
      </c>
      <c r="O1044" s="3">
        <f t="shared" si="135"/>
        <v>3.4569358768274712</v>
      </c>
      <c r="P1044" s="3">
        <f t="shared" si="137"/>
        <v>3.3539789850518371</v>
      </c>
      <c r="Q1044" s="4" t="str">
        <f t="shared" si="142"/>
        <v>UNDER</v>
      </c>
      <c r="R1044" s="4" t="str">
        <f t="shared" si="142"/>
        <v>OVER</v>
      </c>
      <c r="S1044" s="4" t="str">
        <f t="shared" si="140"/>
        <v>OVER</v>
      </c>
      <c r="T1044" s="4" t="str">
        <f t="shared" si="140"/>
        <v>OVER</v>
      </c>
      <c r="U1044" s="2">
        <f>IF(Q1044="OVER",$J1044,$K1044)</f>
        <v>-114.07505127663617</v>
      </c>
      <c r="V1044" s="2">
        <f>IF(R1044="OVER",$J1044,$K1044)</f>
        <v>114.07505127663617</v>
      </c>
      <c r="W1044" s="2">
        <f>IF(S1044="OVER",$J1044,$K1044)</f>
        <v>114.07505127663617</v>
      </c>
      <c r="X1044" s="2">
        <f>IF(T1044="OVER",$J1044,$K1044)</f>
        <v>114.07505127663617</v>
      </c>
      <c r="Y1044" s="9">
        <f t="shared" si="141"/>
        <v>-11229.07418206482</v>
      </c>
      <c r="Z1044" s="9">
        <f t="shared" si="141"/>
        <v>11061.131949109405</v>
      </c>
      <c r="AA1044" s="9">
        <f t="shared" si="141"/>
        <v>69111.387653380647</v>
      </c>
      <c r="AB1044" s="9">
        <f t="shared" si="138"/>
        <v>32206.564675466216</v>
      </c>
    </row>
    <row r="1045" spans="1:28" x14ac:dyDescent="0.3">
      <c r="A1045" s="1">
        <v>45932</v>
      </c>
      <c r="B1045" s="2">
        <v>190.58</v>
      </c>
      <c r="C1045" s="2">
        <v>669.22</v>
      </c>
      <c r="D1045" s="9">
        <f>B1045-B1044</f>
        <v>0.45000000000001705</v>
      </c>
      <c r="E1045" s="9">
        <f>C1045-C1044</f>
        <v>0.76999999999998181</v>
      </c>
      <c r="F1045" s="3">
        <f>F$1/B1045</f>
        <v>524.71403085318502</v>
      </c>
      <c r="G1045" s="3">
        <f>F$1/C1045</f>
        <v>149.4276919398703</v>
      </c>
      <c r="H1045" s="2">
        <f>D1045*F1044</f>
        <v>236.68016620208124</v>
      </c>
      <c r="I1045" s="2">
        <f>E1045*G1044</f>
        <v>115.19186176976315</v>
      </c>
      <c r="J1045" s="2">
        <f>I1045-H1045</f>
        <v>-121.48830443231809</v>
      </c>
      <c r="K1045" s="2">
        <f t="shared" si="136"/>
        <v>121.48830443231809</v>
      </c>
      <c r="L1045" s="3">
        <f>C1045/B1045</f>
        <v>3.5114912372756848</v>
      </c>
      <c r="M1045" s="3">
        <f t="shared" si="139"/>
        <v>3.5152377768233336</v>
      </c>
      <c r="N1045" s="3">
        <f t="shared" si="134"/>
        <v>3.4958219834000248</v>
      </c>
      <c r="O1045" s="3">
        <f t="shared" si="135"/>
        <v>3.459491369822465</v>
      </c>
      <c r="P1045" s="3">
        <f t="shared" si="137"/>
        <v>3.3550066272338381</v>
      </c>
      <c r="Q1045" s="4" t="str">
        <f t="shared" si="142"/>
        <v>OVER</v>
      </c>
      <c r="R1045" s="4" t="str">
        <f t="shared" si="142"/>
        <v>OVER</v>
      </c>
      <c r="S1045" s="4" t="str">
        <f t="shared" si="140"/>
        <v>OVER</v>
      </c>
      <c r="T1045" s="4" t="str">
        <f t="shared" si="140"/>
        <v>OVER</v>
      </c>
      <c r="U1045" s="2">
        <f>IF(Q1045="OVER",$J1045,$K1045)</f>
        <v>-121.48830443231809</v>
      </c>
      <c r="V1045" s="2">
        <f>IF(R1045="OVER",$J1045,$K1045)</f>
        <v>-121.48830443231809</v>
      </c>
      <c r="W1045" s="2">
        <f>IF(S1045="OVER",$J1045,$K1045)</f>
        <v>-121.48830443231809</v>
      </c>
      <c r="X1045" s="2">
        <f>IF(T1045="OVER",$J1045,$K1045)</f>
        <v>-121.48830443231809</v>
      </c>
      <c r="Y1045" s="9">
        <f t="shared" si="141"/>
        <v>-11350.562486497138</v>
      </c>
      <c r="Z1045" s="9">
        <f t="shared" si="141"/>
        <v>10939.643644677088</v>
      </c>
      <c r="AA1045" s="9">
        <f t="shared" si="141"/>
        <v>68989.899348948325</v>
      </c>
      <c r="AB1045" s="9">
        <f t="shared" si="138"/>
        <v>32085.076371033898</v>
      </c>
    </row>
    <row r="1046" spans="1:28" x14ac:dyDescent="0.3">
      <c r="A1046" s="1">
        <v>45933</v>
      </c>
      <c r="B1046" s="2">
        <v>191.25</v>
      </c>
      <c r="C1046" s="2">
        <v>669.21</v>
      </c>
      <c r="D1046" s="9">
        <f>B1046-B1045</f>
        <v>0.66999999999998749</v>
      </c>
      <c r="E1046" s="9">
        <f>C1046-C1045</f>
        <v>-9.9999999999909051E-3</v>
      </c>
      <c r="F1046" s="3">
        <f>F$1/B1046</f>
        <v>522.87581699346401</v>
      </c>
      <c r="G1046" s="3">
        <f>F$1/C1046</f>
        <v>149.4299248367478</v>
      </c>
      <c r="H1046" s="2">
        <f>D1046*F1045</f>
        <v>351.5584006716274</v>
      </c>
      <c r="I1046" s="2">
        <f>E1046*G1045</f>
        <v>-1.494276919397344</v>
      </c>
      <c r="J1046" s="2">
        <f>I1046-H1046</f>
        <v>-353.05267759102475</v>
      </c>
      <c r="K1046" s="2">
        <f t="shared" si="136"/>
        <v>353.05267759102475</v>
      </c>
      <c r="L1046" s="3">
        <f>C1046/B1046</f>
        <v>3.499137254901961</v>
      </c>
      <c r="M1046" s="3">
        <f t="shared" si="139"/>
        <v>3.5143772303405902</v>
      </c>
      <c r="N1046" s="3">
        <f t="shared" si="134"/>
        <v>3.4990424844384784</v>
      </c>
      <c r="O1046" s="3">
        <f t="shared" si="135"/>
        <v>3.4615599683701652</v>
      </c>
      <c r="P1046" s="3">
        <f t="shared" si="137"/>
        <v>3.3559177175487527</v>
      </c>
      <c r="Q1046" s="4" t="str">
        <f t="shared" si="142"/>
        <v>UNDER</v>
      </c>
      <c r="R1046" s="4" t="str">
        <f t="shared" si="142"/>
        <v>OVER</v>
      </c>
      <c r="S1046" s="4" t="str">
        <f t="shared" si="140"/>
        <v>OVER</v>
      </c>
      <c r="T1046" s="4" t="str">
        <f t="shared" si="140"/>
        <v>OVER</v>
      </c>
      <c r="U1046" s="2">
        <f>IF(Q1046="OVER",$J1046,$K1046)</f>
        <v>353.05267759102475</v>
      </c>
      <c r="V1046" s="2">
        <f>IF(R1046="OVER",$J1046,$K1046)</f>
        <v>-353.05267759102475</v>
      </c>
      <c r="W1046" s="2">
        <f>IF(S1046="OVER",$J1046,$K1046)</f>
        <v>-353.05267759102475</v>
      </c>
      <c r="X1046" s="2">
        <f>IF(T1046="OVER",$J1046,$K1046)</f>
        <v>-353.05267759102475</v>
      </c>
      <c r="Y1046" s="9">
        <f t="shared" si="141"/>
        <v>-10997.509808906114</v>
      </c>
      <c r="Z1046" s="9">
        <f t="shared" si="141"/>
        <v>10586.590967086064</v>
      </c>
      <c r="AA1046" s="9">
        <f t="shared" si="141"/>
        <v>68636.8466713573</v>
      </c>
      <c r="AB1046" s="9">
        <f t="shared" si="138"/>
        <v>31732.023693442872</v>
      </c>
    </row>
    <row r="1047" spans="1:28" x14ac:dyDescent="0.3">
      <c r="A1047" s="1">
        <v>45936</v>
      </c>
      <c r="B1047" s="2">
        <v>191.19</v>
      </c>
      <c r="C1047" s="2">
        <v>671.61</v>
      </c>
      <c r="D1047" s="9">
        <f>B1047-B1046</f>
        <v>-6.0000000000002274E-2</v>
      </c>
      <c r="E1047" s="9">
        <f>C1047-C1046</f>
        <v>2.3999999999999773</v>
      </c>
      <c r="F1047" s="3">
        <f>F$1/B1047</f>
        <v>523.03990794497622</v>
      </c>
      <c r="G1047" s="3">
        <f>F$1/C1047</f>
        <v>148.89593662988938</v>
      </c>
      <c r="H1047" s="2">
        <f>D1047*F1046</f>
        <v>-31.372549019609028</v>
      </c>
      <c r="I1047" s="2">
        <f>E1047*G1046</f>
        <v>358.63181960819134</v>
      </c>
      <c r="J1047" s="2">
        <f>I1047-H1047</f>
        <v>390.00436862780037</v>
      </c>
      <c r="K1047" s="2">
        <f t="shared" si="136"/>
        <v>-390.00436862780037</v>
      </c>
      <c r="L1047" s="3">
        <f>C1047/B1047</f>
        <v>3.5127883257492547</v>
      </c>
      <c r="M1047" s="3">
        <f t="shared" si="139"/>
        <v>3.511857251370524</v>
      </c>
      <c r="N1047" s="3">
        <f t="shared" ref="N1047:N1110" si="143">AVERAGE(L1028:L1047)</f>
        <v>3.5023865053252292</v>
      </c>
      <c r="O1047" s="3">
        <f t="shared" si="135"/>
        <v>3.4639416604164985</v>
      </c>
      <c r="P1047" s="3">
        <f t="shared" si="137"/>
        <v>3.3567712053330401</v>
      </c>
      <c r="Q1047" s="4" t="str">
        <f t="shared" si="142"/>
        <v>UNDER</v>
      </c>
      <c r="R1047" s="4" t="str">
        <f t="shared" si="142"/>
        <v>OVER</v>
      </c>
      <c r="S1047" s="4" t="str">
        <f t="shared" si="140"/>
        <v>OVER</v>
      </c>
      <c r="T1047" s="4" t="str">
        <f t="shared" si="140"/>
        <v>OVER</v>
      </c>
      <c r="U1047" s="2">
        <f>IF(Q1047="OVER",$J1047,$K1047)</f>
        <v>-390.00436862780037</v>
      </c>
      <c r="V1047" s="2">
        <f>IF(R1047="OVER",$J1047,$K1047)</f>
        <v>390.00436862780037</v>
      </c>
      <c r="W1047" s="2">
        <f>IF(S1047="OVER",$J1047,$K1047)</f>
        <v>390.00436862780037</v>
      </c>
      <c r="X1047" s="2">
        <f>IF(T1047="OVER",$J1047,$K1047)</f>
        <v>390.00436862780037</v>
      </c>
      <c r="Y1047" s="9">
        <f t="shared" si="141"/>
        <v>-11387.514177533914</v>
      </c>
      <c r="Z1047" s="9">
        <f t="shared" si="141"/>
        <v>10976.595335713864</v>
      </c>
      <c r="AA1047" s="9">
        <f t="shared" si="141"/>
        <v>69026.851039985093</v>
      </c>
      <c r="AB1047" s="9">
        <f t="shared" si="138"/>
        <v>32122.028062070673</v>
      </c>
    </row>
    <row r="1048" spans="1:28" x14ac:dyDescent="0.3">
      <c r="A1048" s="1">
        <v>45937</v>
      </c>
      <c r="B1048" s="2">
        <v>190.35</v>
      </c>
      <c r="C1048" s="2">
        <v>669.12</v>
      </c>
      <c r="D1048" s="9">
        <f>B1048-B1047</f>
        <v>-0.84000000000000341</v>
      </c>
      <c r="E1048" s="9">
        <f>C1048-C1047</f>
        <v>-2.4900000000000091</v>
      </c>
      <c r="F1048" s="3">
        <f>F$1/B1048</f>
        <v>525.3480430785396</v>
      </c>
      <c r="G1048" s="3">
        <f>F$1/C1048</f>
        <v>149.45002391200381</v>
      </c>
      <c r="H1048" s="2">
        <f>D1048*F1047</f>
        <v>-439.35352267378181</v>
      </c>
      <c r="I1048" s="2">
        <f>E1048*G1047</f>
        <v>-370.75088220842588</v>
      </c>
      <c r="J1048" s="2">
        <f>I1048-H1048</f>
        <v>68.602640465355933</v>
      </c>
      <c r="K1048" s="2">
        <f t="shared" si="136"/>
        <v>-68.602640465355933</v>
      </c>
      <c r="L1048" s="3">
        <f>C1048/B1048</f>
        <v>3.5152088258471239</v>
      </c>
      <c r="M1048" s="3">
        <f t="shared" si="139"/>
        <v>3.511934119329621</v>
      </c>
      <c r="N1048" s="3">
        <f t="shared" si="143"/>
        <v>3.5049196278812369</v>
      </c>
      <c r="O1048" s="3">
        <f t="shared" si="135"/>
        <v>3.4659852003457221</v>
      </c>
      <c r="P1048" s="3">
        <f t="shared" si="137"/>
        <v>3.3575735304815395</v>
      </c>
      <c r="Q1048" s="4" t="str">
        <f t="shared" si="142"/>
        <v>OVER</v>
      </c>
      <c r="R1048" s="4" t="str">
        <f t="shared" si="142"/>
        <v>OVER</v>
      </c>
      <c r="S1048" s="4" t="str">
        <f t="shared" si="140"/>
        <v>OVER</v>
      </c>
      <c r="T1048" s="4" t="str">
        <f t="shared" si="140"/>
        <v>OVER</v>
      </c>
      <c r="U1048" s="2">
        <f>IF(Q1048="OVER",$J1048,$K1048)</f>
        <v>68.602640465355933</v>
      </c>
      <c r="V1048" s="2">
        <f>IF(R1048="OVER",$J1048,$K1048)</f>
        <v>68.602640465355933</v>
      </c>
      <c r="W1048" s="2">
        <f>IF(S1048="OVER",$J1048,$K1048)</f>
        <v>68.602640465355933</v>
      </c>
      <c r="X1048" s="2">
        <f>IF(T1048="OVER",$J1048,$K1048)</f>
        <v>68.602640465355933</v>
      </c>
      <c r="Y1048" s="9">
        <f t="shared" si="141"/>
        <v>-11318.911537068558</v>
      </c>
      <c r="Z1048" s="9">
        <f t="shared" si="141"/>
        <v>11045.197976179221</v>
      </c>
      <c r="AA1048" s="9">
        <f t="shared" si="141"/>
        <v>69095.453680450446</v>
      </c>
      <c r="AB1048" s="9">
        <f t="shared" si="138"/>
        <v>32190.630702536029</v>
      </c>
    </row>
    <row r="1049" spans="1:28" x14ac:dyDescent="0.3">
      <c r="A1049" s="1">
        <v>45938</v>
      </c>
      <c r="B1049" s="2">
        <v>190.97</v>
      </c>
      <c r="C1049" s="2">
        <v>673.11</v>
      </c>
      <c r="D1049" s="9">
        <f>B1049-B1048</f>
        <v>0.62000000000000455</v>
      </c>
      <c r="E1049" s="9">
        <f>C1049-C1048</f>
        <v>3.9900000000000091</v>
      </c>
      <c r="F1049" s="3">
        <f>F$1/B1049</f>
        <v>523.64245693040789</v>
      </c>
      <c r="G1049" s="3">
        <f>F$1/C1049</f>
        <v>148.56412770572416</v>
      </c>
      <c r="H1049" s="2">
        <f>D1049*F1048</f>
        <v>325.71578670869695</v>
      </c>
      <c r="I1049" s="2">
        <f>E1049*G1048</f>
        <v>596.30559540889658</v>
      </c>
      <c r="J1049" s="2">
        <f>I1049-H1049</f>
        <v>270.58980870019963</v>
      </c>
      <c r="K1049" s="2">
        <f t="shared" si="136"/>
        <v>-270.58980870019963</v>
      </c>
      <c r="L1049" s="3">
        <f>C1049/B1049</f>
        <v>3.5246897418442686</v>
      </c>
      <c r="M1049" s="3">
        <f t="shared" si="139"/>
        <v>3.5132584608057029</v>
      </c>
      <c r="N1049" s="3">
        <f t="shared" si="143"/>
        <v>3.507249998079252</v>
      </c>
      <c r="O1049" s="3">
        <f t="shared" si="135"/>
        <v>3.4683655549853203</v>
      </c>
      <c r="P1049" s="3">
        <f t="shared" si="137"/>
        <v>3.3584269563074658</v>
      </c>
      <c r="Q1049" s="4" t="str">
        <f t="shared" si="142"/>
        <v>OVER</v>
      </c>
      <c r="R1049" s="4" t="str">
        <f t="shared" si="142"/>
        <v>OVER</v>
      </c>
      <c r="S1049" s="4" t="str">
        <f t="shared" si="140"/>
        <v>OVER</v>
      </c>
      <c r="T1049" s="4" t="str">
        <f t="shared" si="140"/>
        <v>OVER</v>
      </c>
      <c r="U1049" s="2">
        <f>IF(Q1049="OVER",$J1049,$K1049)</f>
        <v>270.58980870019963</v>
      </c>
      <c r="V1049" s="2">
        <f>IF(R1049="OVER",$J1049,$K1049)</f>
        <v>270.58980870019963</v>
      </c>
      <c r="W1049" s="2">
        <f>IF(S1049="OVER",$J1049,$K1049)</f>
        <v>270.58980870019963</v>
      </c>
      <c r="X1049" s="2">
        <f>IF(T1049="OVER",$J1049,$K1049)</f>
        <v>270.58980870019963</v>
      </c>
      <c r="Y1049" s="9">
        <f t="shared" si="141"/>
        <v>-11048.321728368359</v>
      </c>
      <c r="Z1049" s="9">
        <f t="shared" si="141"/>
        <v>11315.78778487942</v>
      </c>
      <c r="AA1049" s="9">
        <f t="shared" si="141"/>
        <v>69366.043489150645</v>
      </c>
      <c r="AB1049" s="9">
        <f t="shared" si="138"/>
        <v>32461.220511236228</v>
      </c>
    </row>
    <row r="1050" spans="1:28" x14ac:dyDescent="0.3">
      <c r="A1050" s="1">
        <v>45939</v>
      </c>
      <c r="B1050" s="2">
        <v>189.39</v>
      </c>
      <c r="C1050" s="2">
        <v>671.16</v>
      </c>
      <c r="D1050" s="9">
        <f>B1050-B1049</f>
        <v>-1.5800000000000125</v>
      </c>
      <c r="E1050" s="9">
        <f>C1050-C1049</f>
        <v>-1.9500000000000455</v>
      </c>
      <c r="F1050" s="3">
        <f>F$1/B1050</f>
        <v>528.01098262843868</v>
      </c>
      <c r="G1050" s="3">
        <f>F$1/C1050</f>
        <v>148.99576852017404</v>
      </c>
      <c r="H1050" s="2">
        <f>D1050*F1049</f>
        <v>-827.35508195005104</v>
      </c>
      <c r="I1050" s="2">
        <f>E1050*G1049</f>
        <v>-289.70004902616887</v>
      </c>
      <c r="J1050" s="2">
        <f>I1050-H1050</f>
        <v>537.65503292388212</v>
      </c>
      <c r="K1050" s="2">
        <f t="shared" si="136"/>
        <v>-537.65503292388212</v>
      </c>
      <c r="L1050" s="3">
        <f>C1050/B1050</f>
        <v>3.5437985110090291</v>
      </c>
      <c r="M1050" s="3">
        <f t="shared" si="139"/>
        <v>3.5152122193616195</v>
      </c>
      <c r="N1050" s="3">
        <f t="shared" si="143"/>
        <v>3.5116794549700074</v>
      </c>
      <c r="O1050" s="3">
        <f t="shared" si="135"/>
        <v>3.4707696926995646</v>
      </c>
      <c r="P1050" s="3">
        <f t="shared" si="137"/>
        <v>3.359325262374163</v>
      </c>
      <c r="Q1050" s="4" t="str">
        <f t="shared" si="142"/>
        <v>OVER</v>
      </c>
      <c r="R1050" s="4" t="str">
        <f t="shared" si="142"/>
        <v>OVER</v>
      </c>
      <c r="S1050" s="4" t="str">
        <f t="shared" si="140"/>
        <v>OVER</v>
      </c>
      <c r="T1050" s="4" t="str">
        <f t="shared" si="140"/>
        <v>OVER</v>
      </c>
      <c r="U1050" s="2">
        <f>IF(Q1050="OVER",$J1050,$K1050)</f>
        <v>537.65503292388212</v>
      </c>
      <c r="V1050" s="2">
        <f>IF(R1050="OVER",$J1050,$K1050)</f>
        <v>537.65503292388212</v>
      </c>
      <c r="W1050" s="2">
        <f>IF(S1050="OVER",$J1050,$K1050)</f>
        <v>537.65503292388212</v>
      </c>
      <c r="X1050" s="2">
        <f>IF(T1050="OVER",$J1050,$K1050)</f>
        <v>537.65503292388212</v>
      </c>
      <c r="Y1050" s="9">
        <f t="shared" si="141"/>
        <v>-10510.666695444477</v>
      </c>
      <c r="Z1050" s="9">
        <f t="shared" si="141"/>
        <v>11853.442817803301</v>
      </c>
      <c r="AA1050" s="9">
        <f t="shared" si="141"/>
        <v>69903.698522074526</v>
      </c>
      <c r="AB1050" s="9">
        <f t="shared" si="138"/>
        <v>32998.87554416011</v>
      </c>
    </row>
    <row r="1051" spans="1:28" x14ac:dyDescent="0.3">
      <c r="A1051" s="1">
        <v>45940</v>
      </c>
      <c r="B1051" s="2">
        <v>185.12</v>
      </c>
      <c r="C1051" s="2">
        <v>653.02</v>
      </c>
      <c r="D1051" s="9">
        <f>B1051-B1050</f>
        <v>-4.2699999999999818</v>
      </c>
      <c r="E1051" s="9">
        <f>C1051-C1050</f>
        <v>-18.139999999999986</v>
      </c>
      <c r="F1051" s="3">
        <f>F$1/B1051</f>
        <v>540.19014693171994</v>
      </c>
      <c r="G1051" s="3">
        <f>F$1/C1051</f>
        <v>153.13466662583076</v>
      </c>
      <c r="H1051" s="2">
        <f>D1051*F1050</f>
        <v>-2254.6068958234237</v>
      </c>
      <c r="I1051" s="2">
        <f>E1051*G1050</f>
        <v>-2702.7832409559551</v>
      </c>
      <c r="J1051" s="2">
        <f>I1051-H1051</f>
        <v>-448.17634513253142</v>
      </c>
      <c r="K1051" s="2">
        <f t="shared" si="136"/>
        <v>448.17634513253142</v>
      </c>
      <c r="L1051" s="3">
        <f>C1051/B1051</f>
        <v>3.5275496974935177</v>
      </c>
      <c r="M1051" s="3">
        <f t="shared" si="139"/>
        <v>3.5169993787487712</v>
      </c>
      <c r="N1051" s="3">
        <f t="shared" si="143"/>
        <v>3.5141021345948951</v>
      </c>
      <c r="O1051" s="3">
        <f t="shared" si="135"/>
        <v>3.472477904968883</v>
      </c>
      <c r="P1051" s="3">
        <f t="shared" si="137"/>
        <v>3.3602317191147715</v>
      </c>
      <c r="Q1051" s="4" t="str">
        <f t="shared" si="142"/>
        <v>OVER</v>
      </c>
      <c r="R1051" s="4" t="str">
        <f t="shared" si="142"/>
        <v>OVER</v>
      </c>
      <c r="S1051" s="4" t="str">
        <f t="shared" si="140"/>
        <v>OVER</v>
      </c>
      <c r="T1051" s="4" t="str">
        <f t="shared" si="140"/>
        <v>OVER</v>
      </c>
      <c r="U1051" s="2">
        <f>IF(Q1051="OVER",$J1051,$K1051)</f>
        <v>-448.17634513253142</v>
      </c>
      <c r="V1051" s="2">
        <f>IF(R1051="OVER",$J1051,$K1051)</f>
        <v>-448.17634513253142</v>
      </c>
      <c r="W1051" s="2">
        <f>IF(S1051="OVER",$J1051,$K1051)</f>
        <v>-448.17634513253142</v>
      </c>
      <c r="X1051" s="2">
        <f>IF(T1051="OVER",$J1051,$K1051)</f>
        <v>-448.17634513253142</v>
      </c>
      <c r="Y1051" s="9">
        <f t="shared" si="141"/>
        <v>-10958.843040577009</v>
      </c>
      <c r="Z1051" s="9">
        <f t="shared" si="141"/>
        <v>11405.26647267077</v>
      </c>
      <c r="AA1051" s="9">
        <f t="shared" si="141"/>
        <v>69455.522176942002</v>
      </c>
      <c r="AB1051" s="9">
        <f t="shared" si="138"/>
        <v>32550.699199027578</v>
      </c>
    </row>
    <row r="1052" spans="1:28" x14ac:dyDescent="0.3">
      <c r="A1052" s="1">
        <v>45943</v>
      </c>
      <c r="B1052" s="2">
        <v>186.92</v>
      </c>
      <c r="C1052" s="2">
        <v>663.04</v>
      </c>
      <c r="D1052" s="9">
        <f>B1052-B1051</f>
        <v>1.7999999999999829</v>
      </c>
      <c r="E1052" s="9">
        <f>C1052-C1051</f>
        <v>10.019999999999982</v>
      </c>
      <c r="F1052" s="3">
        <f>F$1/B1052</f>
        <v>534.98823025893432</v>
      </c>
      <c r="G1052" s="3">
        <f>F$1/C1052</f>
        <v>150.82046332046332</v>
      </c>
      <c r="H1052" s="2">
        <f>D1052*F1051</f>
        <v>972.3422644770867</v>
      </c>
      <c r="I1052" s="2">
        <f>E1052*G1051</f>
        <v>1534.4093595908214</v>
      </c>
      <c r="J1052" s="2">
        <f>I1052-H1052</f>
        <v>562.06709511373469</v>
      </c>
      <c r="K1052" s="2">
        <f t="shared" si="136"/>
        <v>-562.06709511373469</v>
      </c>
      <c r="L1052" s="3">
        <f>C1052/B1052</f>
        <v>3.5471859619088382</v>
      </c>
      <c r="M1052" s="3">
        <f t="shared" si="139"/>
        <v>3.5209357339248561</v>
      </c>
      <c r="N1052" s="3">
        <f t="shared" si="143"/>
        <v>3.5162745589162818</v>
      </c>
      <c r="O1052" s="3">
        <f t="shared" si="135"/>
        <v>3.4749351734469802</v>
      </c>
      <c r="P1052" s="3">
        <f t="shared" si="137"/>
        <v>3.3610998817357527</v>
      </c>
      <c r="Q1052" s="4" t="str">
        <f t="shared" si="142"/>
        <v>OVER</v>
      </c>
      <c r="R1052" s="4" t="str">
        <f t="shared" si="142"/>
        <v>OVER</v>
      </c>
      <c r="S1052" s="4" t="str">
        <f t="shared" si="140"/>
        <v>OVER</v>
      </c>
      <c r="T1052" s="4" t="str">
        <f t="shared" si="140"/>
        <v>OVER</v>
      </c>
      <c r="U1052" s="2">
        <f>IF(Q1052="OVER",$J1052,$K1052)</f>
        <v>562.06709511373469</v>
      </c>
      <c r="V1052" s="2">
        <f>IF(R1052="OVER",$J1052,$K1052)</f>
        <v>562.06709511373469</v>
      </c>
      <c r="W1052" s="2">
        <f>IF(S1052="OVER",$J1052,$K1052)</f>
        <v>562.06709511373469</v>
      </c>
      <c r="X1052" s="2">
        <f>IF(T1052="OVER",$J1052,$K1052)</f>
        <v>562.06709511373469</v>
      </c>
      <c r="Y1052" s="9">
        <f t="shared" si="141"/>
        <v>-10396.775945463274</v>
      </c>
      <c r="Z1052" s="9">
        <f t="shared" si="141"/>
        <v>11967.333567784504</v>
      </c>
      <c r="AA1052" s="9">
        <f t="shared" si="141"/>
        <v>70017.589272055731</v>
      </c>
      <c r="AB1052" s="9">
        <f t="shared" si="138"/>
        <v>33112.766294141315</v>
      </c>
    </row>
    <row r="1053" spans="1:28" x14ac:dyDescent="0.3">
      <c r="A1053" s="1">
        <v>45944</v>
      </c>
      <c r="B1053" s="2">
        <v>188.47</v>
      </c>
      <c r="C1053" s="2">
        <v>662.23</v>
      </c>
      <c r="D1053" s="9">
        <f>B1053-B1052</f>
        <v>1.5500000000000114</v>
      </c>
      <c r="E1053" s="9">
        <f>C1053-C1052</f>
        <v>-0.80999999999994543</v>
      </c>
      <c r="F1053" s="3">
        <f>F$1/B1053</f>
        <v>530.58842256061973</v>
      </c>
      <c r="G1053" s="3">
        <f>F$1/C1053</f>
        <v>151.00493786146808</v>
      </c>
      <c r="H1053" s="2">
        <f>D1053*F1052</f>
        <v>829.23175690135429</v>
      </c>
      <c r="I1053" s="2">
        <f>E1053*G1052</f>
        <v>-122.16457528956705</v>
      </c>
      <c r="J1053" s="2">
        <f>I1053-H1053</f>
        <v>-951.39633219092138</v>
      </c>
      <c r="K1053" s="2">
        <f t="shared" si="136"/>
        <v>951.39633219092138</v>
      </c>
      <c r="L1053" s="3">
        <f>C1053/B1053</f>
        <v>3.5137157107231922</v>
      </c>
      <c r="M1053" s="3">
        <f t="shared" si="139"/>
        <v>3.5211317646703435</v>
      </c>
      <c r="N1053" s="3">
        <f t="shared" si="143"/>
        <v>3.5165497241367021</v>
      </c>
      <c r="O1053" s="3">
        <f t="shared" si="135"/>
        <v>3.4765219264469489</v>
      </c>
      <c r="P1053" s="3">
        <f t="shared" si="137"/>
        <v>3.3617409224255095</v>
      </c>
      <c r="Q1053" s="4" t="str">
        <f t="shared" si="142"/>
        <v>OVER</v>
      </c>
      <c r="R1053" s="4" t="str">
        <f t="shared" si="142"/>
        <v>OVER</v>
      </c>
      <c r="S1053" s="4" t="str">
        <f t="shared" si="140"/>
        <v>OVER</v>
      </c>
      <c r="T1053" s="4" t="str">
        <f t="shared" si="140"/>
        <v>OVER</v>
      </c>
      <c r="U1053" s="2">
        <f>IF(Q1053="OVER",$J1053,$K1053)</f>
        <v>-951.39633219092138</v>
      </c>
      <c r="V1053" s="2">
        <f>IF(R1053="OVER",$J1053,$K1053)</f>
        <v>-951.39633219092138</v>
      </c>
      <c r="W1053" s="2">
        <f>IF(S1053="OVER",$J1053,$K1053)</f>
        <v>-951.39633219092138</v>
      </c>
      <c r="X1053" s="2">
        <f>IF(T1053="OVER",$J1053,$K1053)</f>
        <v>-951.39633219092138</v>
      </c>
      <c r="Y1053" s="9">
        <f t="shared" si="141"/>
        <v>-11348.172277654196</v>
      </c>
      <c r="Z1053" s="9">
        <f t="shared" si="141"/>
        <v>11015.937235593583</v>
      </c>
      <c r="AA1053" s="9">
        <f t="shared" si="141"/>
        <v>69066.192939864806</v>
      </c>
      <c r="AB1053" s="9">
        <f t="shared" si="138"/>
        <v>32161.369961950393</v>
      </c>
    </row>
    <row r="1054" spans="1:28" x14ac:dyDescent="0.3">
      <c r="A1054" s="1">
        <v>45945</v>
      </c>
      <c r="B1054" s="2">
        <v>188.85</v>
      </c>
      <c r="C1054" s="2">
        <v>665.17</v>
      </c>
      <c r="D1054" s="9">
        <f>B1054-B1053</f>
        <v>0.37999999999999545</v>
      </c>
      <c r="E1054" s="9">
        <f>C1054-C1053</f>
        <v>2.9399999999999409</v>
      </c>
      <c r="F1054" s="3">
        <f>F$1/B1054</f>
        <v>529.52078369075991</v>
      </c>
      <c r="G1054" s="3">
        <f>F$1/C1054</f>
        <v>150.33750770479728</v>
      </c>
      <c r="H1054" s="2">
        <f>D1054*F1053</f>
        <v>201.62360057303309</v>
      </c>
      <c r="I1054" s="2">
        <f>E1054*G1053</f>
        <v>443.95451731270725</v>
      </c>
      <c r="J1054" s="2">
        <f>I1054-H1054</f>
        <v>242.33091673967417</v>
      </c>
      <c r="K1054" s="2">
        <f t="shared" si="136"/>
        <v>-242.33091673967417</v>
      </c>
      <c r="L1054" s="3">
        <f>C1054/B1054</f>
        <v>3.5222133968758271</v>
      </c>
      <c r="M1054" s="3">
        <f t="shared" si="139"/>
        <v>3.5217778663628692</v>
      </c>
      <c r="N1054" s="3">
        <f t="shared" si="143"/>
        <v>3.5176351696164132</v>
      </c>
      <c r="O1054" s="3">
        <f t="shared" si="135"/>
        <v>3.4784367023781351</v>
      </c>
      <c r="P1054" s="3">
        <f t="shared" si="137"/>
        <v>3.3624509213941498</v>
      </c>
      <c r="Q1054" s="4" t="str">
        <f t="shared" si="142"/>
        <v>UNDER</v>
      </c>
      <c r="R1054" s="4" t="str">
        <f t="shared" si="142"/>
        <v>UNDER</v>
      </c>
      <c r="S1054" s="4" t="str">
        <f t="shared" si="140"/>
        <v>OVER</v>
      </c>
      <c r="T1054" s="4" t="str">
        <f t="shared" si="140"/>
        <v>OVER</v>
      </c>
      <c r="U1054" s="2">
        <f>IF(Q1054="OVER",$J1054,$K1054)</f>
        <v>-242.33091673967417</v>
      </c>
      <c r="V1054" s="2">
        <f>IF(R1054="OVER",$J1054,$K1054)</f>
        <v>-242.33091673967417</v>
      </c>
      <c r="W1054" s="2">
        <f>IF(S1054="OVER",$J1054,$K1054)</f>
        <v>242.33091673967417</v>
      </c>
      <c r="X1054" s="2">
        <f>IF(T1054="OVER",$J1054,$K1054)</f>
        <v>242.33091673967417</v>
      </c>
      <c r="Y1054" s="9">
        <f t="shared" si="141"/>
        <v>-11590.50319439387</v>
      </c>
      <c r="Z1054" s="9">
        <f t="shared" si="141"/>
        <v>10773.606318853908</v>
      </c>
      <c r="AA1054" s="9">
        <f t="shared" si="141"/>
        <v>69308.523856604486</v>
      </c>
      <c r="AB1054" s="9">
        <f t="shared" si="138"/>
        <v>32403.700878690066</v>
      </c>
    </row>
    <row r="1055" spans="1:28" x14ac:dyDescent="0.3">
      <c r="A1055" s="1">
        <v>45946</v>
      </c>
      <c r="B1055" s="2">
        <v>187.06</v>
      </c>
      <c r="C1055" s="2">
        <v>660.64</v>
      </c>
      <c r="D1055" s="9">
        <f>B1055-B1054</f>
        <v>-1.789999999999992</v>
      </c>
      <c r="E1055" s="9">
        <f>C1055-C1054</f>
        <v>-4.5299999999999727</v>
      </c>
      <c r="F1055" s="3">
        <f>F$1/B1055</f>
        <v>534.58783278092585</v>
      </c>
      <c r="G1055" s="3">
        <f>F$1/C1055</f>
        <v>151.36837006539113</v>
      </c>
      <c r="H1055" s="2">
        <f>D1055*F1054</f>
        <v>-947.84220280645604</v>
      </c>
      <c r="I1055" s="2">
        <f>E1055*G1054</f>
        <v>-681.02890990272761</v>
      </c>
      <c r="J1055" s="2">
        <f>I1055-H1055</f>
        <v>266.81329290372844</v>
      </c>
      <c r="K1055" s="2">
        <f t="shared" si="136"/>
        <v>-266.81329290372844</v>
      </c>
      <c r="L1055" s="3">
        <f>C1055/B1055</f>
        <v>3.5317010584839088</v>
      </c>
      <c r="M1055" s="3">
        <f t="shared" si="139"/>
        <v>3.523798848483692</v>
      </c>
      <c r="N1055" s="3">
        <f t="shared" si="143"/>
        <v>3.5195183126535126</v>
      </c>
      <c r="O1055" s="3">
        <f t="shared" si="135"/>
        <v>3.4798614924420495</v>
      </c>
      <c r="P1055" s="3">
        <f t="shared" si="137"/>
        <v>3.3632717448709597</v>
      </c>
      <c r="Q1055" s="4" t="str">
        <f t="shared" si="142"/>
        <v>OVER</v>
      </c>
      <c r="R1055" s="4" t="str">
        <f t="shared" si="142"/>
        <v>OVER</v>
      </c>
      <c r="S1055" s="4" t="str">
        <f t="shared" si="140"/>
        <v>OVER</v>
      </c>
      <c r="T1055" s="4" t="str">
        <f t="shared" si="140"/>
        <v>OVER</v>
      </c>
      <c r="U1055" s="2">
        <f>IF(Q1055="OVER",$J1055,$K1055)</f>
        <v>266.81329290372844</v>
      </c>
      <c r="V1055" s="2">
        <f>IF(R1055="OVER",$J1055,$K1055)</f>
        <v>266.81329290372844</v>
      </c>
      <c r="W1055" s="2">
        <f>IF(S1055="OVER",$J1055,$K1055)</f>
        <v>266.81329290372844</v>
      </c>
      <c r="X1055" s="2">
        <f>IF(T1055="OVER",$J1055,$K1055)</f>
        <v>266.81329290372844</v>
      </c>
      <c r="Y1055" s="9">
        <f t="shared" si="141"/>
        <v>-11323.689901490141</v>
      </c>
      <c r="Z1055" s="9">
        <f t="shared" si="141"/>
        <v>11040.419611757638</v>
      </c>
      <c r="AA1055" s="9">
        <f t="shared" si="141"/>
        <v>69575.33714950821</v>
      </c>
      <c r="AB1055" s="9">
        <f t="shared" si="138"/>
        <v>32670.514171593793</v>
      </c>
    </row>
    <row r="1056" spans="1:28" x14ac:dyDescent="0.3">
      <c r="A1056" s="1">
        <v>45947</v>
      </c>
      <c r="B1056" s="2">
        <v>188.01</v>
      </c>
      <c r="C1056" s="2">
        <v>664.39</v>
      </c>
      <c r="D1056" s="9">
        <f>B1056-B1055</f>
        <v>0.94999999999998863</v>
      </c>
      <c r="E1056" s="9">
        <f>C1056-C1055</f>
        <v>3.75</v>
      </c>
      <c r="F1056" s="3">
        <f>F$1/B1056</f>
        <v>531.88660177650127</v>
      </c>
      <c r="G1056" s="3">
        <f>F$1/C1056</f>
        <v>150.51400532819579</v>
      </c>
      <c r="H1056" s="2">
        <f>D1056*F1055</f>
        <v>507.85844114187347</v>
      </c>
      <c r="I1056" s="2">
        <f>E1056*G1055</f>
        <v>567.63138774521678</v>
      </c>
      <c r="J1056" s="2">
        <f>I1056-H1056</f>
        <v>59.772946603343314</v>
      </c>
      <c r="K1056" s="2">
        <f t="shared" si="136"/>
        <v>-59.772946603343314</v>
      </c>
      <c r="L1056" s="3">
        <f>C1056/B1056</f>
        <v>3.5338013935428969</v>
      </c>
      <c r="M1056" s="3">
        <f t="shared" si="139"/>
        <v>3.5272652623477851</v>
      </c>
      <c r="N1056" s="3">
        <f t="shared" si="143"/>
        <v>3.5208212463441884</v>
      </c>
      <c r="O1056" s="3">
        <f t="shared" si="135"/>
        <v>3.4813446338559988</v>
      </c>
      <c r="P1056" s="3">
        <f t="shared" si="137"/>
        <v>3.3641258184443568</v>
      </c>
      <c r="Q1056" s="4" t="str">
        <f t="shared" si="142"/>
        <v>OVER</v>
      </c>
      <c r="R1056" s="4" t="str">
        <f t="shared" si="142"/>
        <v>OVER</v>
      </c>
      <c r="S1056" s="4" t="str">
        <f t="shared" si="140"/>
        <v>OVER</v>
      </c>
      <c r="T1056" s="4" t="str">
        <f t="shared" si="140"/>
        <v>OVER</v>
      </c>
      <c r="U1056" s="2">
        <f>IF(Q1056="OVER",$J1056,$K1056)</f>
        <v>59.772946603343314</v>
      </c>
      <c r="V1056" s="2">
        <f>IF(R1056="OVER",$J1056,$K1056)</f>
        <v>59.772946603343314</v>
      </c>
      <c r="W1056" s="2">
        <f>IF(S1056="OVER",$J1056,$K1056)</f>
        <v>59.772946603343314</v>
      </c>
      <c r="X1056" s="2">
        <f>IF(T1056="OVER",$J1056,$K1056)</f>
        <v>59.772946603343314</v>
      </c>
      <c r="Y1056" s="9">
        <f t="shared" si="141"/>
        <v>-11263.916954886798</v>
      </c>
      <c r="Z1056" s="9">
        <f t="shared" si="141"/>
        <v>11100.192558360981</v>
      </c>
      <c r="AA1056" s="9">
        <f t="shared" si="141"/>
        <v>69635.110096111559</v>
      </c>
      <c r="AB1056" s="9">
        <f t="shared" si="138"/>
        <v>32730.287118197135</v>
      </c>
    </row>
    <row r="1057" spans="1:28" x14ac:dyDescent="0.3">
      <c r="A1057" s="1">
        <v>45950</v>
      </c>
      <c r="B1057" s="2">
        <v>189.89</v>
      </c>
      <c r="C1057" s="2">
        <v>671.3</v>
      </c>
      <c r="D1057" s="9">
        <f>B1057-B1056</f>
        <v>1.8799999999999955</v>
      </c>
      <c r="E1057" s="9">
        <f>C1057-C1056</f>
        <v>6.9099999999999682</v>
      </c>
      <c r="F1057" s="3">
        <f>F$1/B1057</f>
        <v>526.62067512770557</v>
      </c>
      <c r="G1057" s="3">
        <f>F$1/C1057</f>
        <v>148.96469536719798</v>
      </c>
      <c r="H1057" s="2">
        <f>D1057*F1056</f>
        <v>999.94681133981999</v>
      </c>
      <c r="I1057" s="2">
        <f>E1057*G1056</f>
        <v>1040.0517768178281</v>
      </c>
      <c r="J1057" s="2">
        <f>I1057-H1057</f>
        <v>40.104965478008126</v>
      </c>
      <c r="K1057" s="2">
        <f t="shared" si="136"/>
        <v>-40.104965478008126</v>
      </c>
      <c r="L1057" s="3">
        <f>C1057/B1057</f>
        <v>3.535204592132287</v>
      </c>
      <c r="M1057" s="3">
        <f t="shared" si="139"/>
        <v>3.5295068889860892</v>
      </c>
      <c r="N1057" s="3">
        <f t="shared" si="143"/>
        <v>3.5206820701783066</v>
      </c>
      <c r="O1057" s="3">
        <f t="shared" si="135"/>
        <v>3.4824419963999782</v>
      </c>
      <c r="P1057" s="3">
        <f t="shared" si="137"/>
        <v>3.3650786775632104</v>
      </c>
      <c r="Q1057" s="4" t="str">
        <f t="shared" si="142"/>
        <v>OVER</v>
      </c>
      <c r="R1057" s="4" t="str">
        <f t="shared" si="142"/>
        <v>OVER</v>
      </c>
      <c r="S1057" s="4" t="str">
        <f t="shared" si="140"/>
        <v>OVER</v>
      </c>
      <c r="T1057" s="4" t="str">
        <f t="shared" si="140"/>
        <v>OVER</v>
      </c>
      <c r="U1057" s="2">
        <f>IF(Q1057="OVER",$J1057,$K1057)</f>
        <v>40.104965478008126</v>
      </c>
      <c r="V1057" s="2">
        <f>IF(R1057="OVER",$J1057,$K1057)</f>
        <v>40.104965478008126</v>
      </c>
      <c r="W1057" s="2">
        <f>IF(S1057="OVER",$J1057,$K1057)</f>
        <v>40.104965478008126</v>
      </c>
      <c r="X1057" s="2">
        <f>IF(T1057="OVER",$J1057,$K1057)</f>
        <v>40.104965478008126</v>
      </c>
      <c r="Y1057" s="9">
        <f t="shared" si="141"/>
        <v>-11223.81198940879</v>
      </c>
      <c r="Z1057" s="9">
        <f t="shared" si="141"/>
        <v>11140.297523838988</v>
      </c>
      <c r="AA1057" s="9">
        <f t="shared" si="141"/>
        <v>69675.215061589566</v>
      </c>
      <c r="AB1057" s="9">
        <f t="shared" si="138"/>
        <v>32770.392083675142</v>
      </c>
    </row>
    <row r="1058" spans="1:28" x14ac:dyDescent="0.3">
      <c r="A1058" s="1">
        <v>45951</v>
      </c>
      <c r="B1058" s="2">
        <v>190.76</v>
      </c>
      <c r="C1058" s="2">
        <v>671.29</v>
      </c>
      <c r="D1058" s="9">
        <f>B1058-B1057</f>
        <v>0.87000000000000455</v>
      </c>
      <c r="E1058" s="9">
        <f>C1058-C1057</f>
        <v>-9.9999999999909051E-3</v>
      </c>
      <c r="F1058" s="3">
        <f>F$1/B1058</f>
        <v>524.21891381841056</v>
      </c>
      <c r="G1058" s="3">
        <f>F$1/C1058</f>
        <v>148.96691444830105</v>
      </c>
      <c r="H1058" s="2">
        <f>D1058*F1057</f>
        <v>458.15998736110623</v>
      </c>
      <c r="I1058" s="2">
        <f>E1058*G1057</f>
        <v>-1.4896469536706249</v>
      </c>
      <c r="J1058" s="2">
        <f>I1058-H1058</f>
        <v>-459.64963431477685</v>
      </c>
      <c r="K1058" s="2">
        <f t="shared" si="136"/>
        <v>459.64963431477685</v>
      </c>
      <c r="L1058" s="3">
        <f>C1058/B1058</f>
        <v>3.5190291465716084</v>
      </c>
      <c r="M1058" s="3">
        <f t="shared" si="139"/>
        <v>3.529888921058538</v>
      </c>
      <c r="N1058" s="3">
        <f t="shared" si="143"/>
        <v>3.5209115201940788</v>
      </c>
      <c r="O1058" s="3">
        <f t="shared" si="135"/>
        <v>3.4831632519132909</v>
      </c>
      <c r="P1058" s="3">
        <f t="shared" si="137"/>
        <v>3.3659430540652995</v>
      </c>
      <c r="Q1058" s="4" t="str">
        <f t="shared" si="142"/>
        <v>OVER</v>
      </c>
      <c r="R1058" s="4" t="str">
        <f t="shared" si="142"/>
        <v>OVER</v>
      </c>
      <c r="S1058" s="4" t="str">
        <f t="shared" si="140"/>
        <v>OVER</v>
      </c>
      <c r="T1058" s="4" t="str">
        <f t="shared" si="140"/>
        <v>OVER</v>
      </c>
      <c r="U1058" s="2">
        <f>IF(Q1058="OVER",$J1058,$K1058)</f>
        <v>-459.64963431477685</v>
      </c>
      <c r="V1058" s="2">
        <f>IF(R1058="OVER",$J1058,$K1058)</f>
        <v>-459.64963431477685</v>
      </c>
      <c r="W1058" s="2">
        <f>IF(S1058="OVER",$J1058,$K1058)</f>
        <v>-459.64963431477685</v>
      </c>
      <c r="X1058" s="2">
        <f>IF(T1058="OVER",$J1058,$K1058)</f>
        <v>-459.64963431477685</v>
      </c>
      <c r="Y1058" s="9">
        <f t="shared" si="141"/>
        <v>-11683.461623723568</v>
      </c>
      <c r="Z1058" s="9">
        <f t="shared" si="141"/>
        <v>10680.647889524211</v>
      </c>
      <c r="AA1058" s="9">
        <f t="shared" si="141"/>
        <v>69215.565427274792</v>
      </c>
      <c r="AB1058" s="9">
        <f t="shared" si="138"/>
        <v>32310.742449360365</v>
      </c>
    </row>
    <row r="1059" spans="1:28" x14ac:dyDescent="0.3">
      <c r="A1059" s="1">
        <v>45952</v>
      </c>
      <c r="B1059" s="2">
        <v>189.84</v>
      </c>
      <c r="C1059" s="2">
        <v>667.8</v>
      </c>
      <c r="D1059" s="9">
        <f>B1059-B1058</f>
        <v>-0.91999999999998749</v>
      </c>
      <c r="E1059" s="9">
        <f>C1059-C1058</f>
        <v>-3.4900000000000091</v>
      </c>
      <c r="F1059" s="3">
        <f>F$1/B1059</f>
        <v>526.7593763168984</v>
      </c>
      <c r="G1059" s="3">
        <f>F$1/C1059</f>
        <v>149.74543276430069</v>
      </c>
      <c r="H1059" s="2">
        <f>D1059*F1058</f>
        <v>-482.28140071293114</v>
      </c>
      <c r="I1059" s="2">
        <f>E1059*G1058</f>
        <v>-519.89453142457205</v>
      </c>
      <c r="J1059" s="2">
        <f>I1059-H1059</f>
        <v>-37.613130711640906</v>
      </c>
      <c r="K1059" s="2">
        <f t="shared" si="136"/>
        <v>37.613130711640906</v>
      </c>
      <c r="L1059" s="3">
        <f>C1059/B1059</f>
        <v>3.5176991150442474</v>
      </c>
      <c r="M1059" s="3">
        <f t="shared" si="139"/>
        <v>3.5291898583785355</v>
      </c>
      <c r="N1059" s="3">
        <f t="shared" si="143"/>
        <v>3.5212241595921192</v>
      </c>
      <c r="O1059" s="3">
        <f t="shared" si="135"/>
        <v>3.4839996571454903</v>
      </c>
      <c r="P1059" s="3">
        <f t="shared" si="137"/>
        <v>3.3667453087149313</v>
      </c>
      <c r="Q1059" s="4" t="str">
        <f t="shared" si="142"/>
        <v>UNDER</v>
      </c>
      <c r="R1059" s="4" t="str">
        <f t="shared" si="142"/>
        <v>UNDER</v>
      </c>
      <c r="S1059" s="4" t="str">
        <f t="shared" si="140"/>
        <v>OVER</v>
      </c>
      <c r="T1059" s="4" t="str">
        <f t="shared" si="140"/>
        <v>OVER</v>
      </c>
      <c r="U1059" s="2">
        <f>IF(Q1059="OVER",$J1059,$K1059)</f>
        <v>37.613130711640906</v>
      </c>
      <c r="V1059" s="2">
        <f>IF(R1059="OVER",$J1059,$K1059)</f>
        <v>37.613130711640906</v>
      </c>
      <c r="W1059" s="2">
        <f>IF(S1059="OVER",$J1059,$K1059)</f>
        <v>-37.613130711640906</v>
      </c>
      <c r="X1059" s="2">
        <f>IF(T1059="OVER",$J1059,$K1059)</f>
        <v>-37.613130711640906</v>
      </c>
      <c r="Y1059" s="9">
        <f t="shared" si="141"/>
        <v>-11645.848493011927</v>
      </c>
      <c r="Z1059" s="9">
        <f t="shared" si="141"/>
        <v>10718.261020235852</v>
      </c>
      <c r="AA1059" s="9">
        <f t="shared" si="141"/>
        <v>69177.952296563148</v>
      </c>
      <c r="AB1059" s="9">
        <f t="shared" si="138"/>
        <v>32273.129318648724</v>
      </c>
    </row>
    <row r="1060" spans="1:28" x14ac:dyDescent="0.3">
      <c r="A1060" s="1">
        <v>45953</v>
      </c>
      <c r="B1060" s="2">
        <v>190.74</v>
      </c>
      <c r="C1060" s="2">
        <v>671.76</v>
      </c>
      <c r="D1060" s="9">
        <f>B1060-B1059</f>
        <v>0.90000000000000568</v>
      </c>
      <c r="E1060" s="9">
        <f>C1060-C1059</f>
        <v>3.9600000000000364</v>
      </c>
      <c r="F1060" s="3">
        <f>F$1/B1060</f>
        <v>524.27388067526476</v>
      </c>
      <c r="G1060" s="3">
        <f>F$1/C1060</f>
        <v>148.86268905561511</v>
      </c>
      <c r="H1060" s="2">
        <f>D1060*F1059</f>
        <v>474.08343868521155</v>
      </c>
      <c r="I1060" s="2">
        <f>E1060*G1059</f>
        <v>592.99191374663621</v>
      </c>
      <c r="J1060" s="2">
        <f>I1060-H1060</f>
        <v>118.90847506142467</v>
      </c>
      <c r="K1060" s="2">
        <f t="shared" si="136"/>
        <v>-118.90847506142467</v>
      </c>
      <c r="L1060" s="3">
        <f>C1060/B1060</f>
        <v>3.5218622208241581</v>
      </c>
      <c r="M1060" s="3">
        <f t="shared" si="139"/>
        <v>3.5269962293600488</v>
      </c>
      <c r="N1060" s="3">
        <f t="shared" si="143"/>
        <v>3.5211042243608341</v>
      </c>
      <c r="O1060" s="3">
        <f t="shared" si="135"/>
        <v>3.4856633065955664</v>
      </c>
      <c r="P1060" s="3">
        <f t="shared" si="137"/>
        <v>3.3674601816805723</v>
      </c>
      <c r="Q1060" s="4" t="str">
        <f t="shared" si="142"/>
        <v>UNDER</v>
      </c>
      <c r="R1060" s="4" t="str">
        <f t="shared" si="142"/>
        <v>UNDER</v>
      </c>
      <c r="S1060" s="4" t="str">
        <f t="shared" si="140"/>
        <v>OVER</v>
      </c>
      <c r="T1060" s="4" t="str">
        <f t="shared" si="140"/>
        <v>OVER</v>
      </c>
      <c r="U1060" s="2">
        <f>IF(Q1060="OVER",$J1060,$K1060)</f>
        <v>-118.90847506142467</v>
      </c>
      <c r="V1060" s="2">
        <f>IF(R1060="OVER",$J1060,$K1060)</f>
        <v>-118.90847506142467</v>
      </c>
      <c r="W1060" s="2">
        <f>IF(S1060="OVER",$J1060,$K1060)</f>
        <v>118.90847506142467</v>
      </c>
      <c r="X1060" s="2">
        <f>IF(T1060="OVER",$J1060,$K1060)</f>
        <v>118.90847506142467</v>
      </c>
      <c r="Y1060" s="9">
        <f t="shared" si="141"/>
        <v>-11764.75696807335</v>
      </c>
      <c r="Z1060" s="9">
        <f t="shared" si="141"/>
        <v>10599.352545174428</v>
      </c>
      <c r="AA1060" s="9">
        <f t="shared" si="141"/>
        <v>69296.860771624575</v>
      </c>
      <c r="AB1060" s="9">
        <f t="shared" si="138"/>
        <v>32392.037793710148</v>
      </c>
    </row>
    <row r="1061" spans="1:28" x14ac:dyDescent="0.3">
      <c r="A1061" s="1">
        <v>45954</v>
      </c>
      <c r="B1061" s="2">
        <v>191.26</v>
      </c>
      <c r="C1061" s="2">
        <v>677.25</v>
      </c>
      <c r="D1061" s="9">
        <f>B1061-B1060</f>
        <v>0.51999999999998181</v>
      </c>
      <c r="E1061" s="9">
        <f>C1061-C1060</f>
        <v>5.4900000000000091</v>
      </c>
      <c r="F1061" s="3">
        <f>F$1/B1061</f>
        <v>522.84847851092752</v>
      </c>
      <c r="G1061" s="3">
        <f>F$1/C1061</f>
        <v>147.65596160944997</v>
      </c>
      <c r="H1061" s="2">
        <f>D1061*F1060</f>
        <v>272.62241795112811</v>
      </c>
      <c r="I1061" s="2">
        <f>E1061*G1060</f>
        <v>817.25616291532833</v>
      </c>
      <c r="J1061" s="2">
        <f>I1061-H1061</f>
        <v>544.63374496420022</v>
      </c>
      <c r="K1061" s="2">
        <f t="shared" si="136"/>
        <v>-544.63374496420022</v>
      </c>
      <c r="L1061" s="3">
        <f>C1061/B1061</f>
        <v>3.540991320715257</v>
      </c>
      <c r="M1061" s="3">
        <f t="shared" si="139"/>
        <v>3.5283403916822222</v>
      </c>
      <c r="N1061" s="3">
        <f t="shared" si="143"/>
        <v>3.522669885215497</v>
      </c>
      <c r="O1061" s="3">
        <f t="shared" si="135"/>
        <v>3.4872527766337442</v>
      </c>
      <c r="P1061" s="3">
        <f t="shared" si="137"/>
        <v>3.3684055573946781</v>
      </c>
      <c r="Q1061" s="4" t="str">
        <f t="shared" si="142"/>
        <v>UNDER</v>
      </c>
      <c r="R1061" s="4" t="str">
        <f t="shared" si="142"/>
        <v>OVER</v>
      </c>
      <c r="S1061" s="4" t="str">
        <f t="shared" si="140"/>
        <v>OVER</v>
      </c>
      <c r="T1061" s="4" t="str">
        <f t="shared" si="140"/>
        <v>OVER</v>
      </c>
      <c r="U1061" s="2">
        <f>IF(Q1061="OVER",$J1061,$K1061)</f>
        <v>-544.63374496420022</v>
      </c>
      <c r="V1061" s="2">
        <f>IF(R1061="OVER",$J1061,$K1061)</f>
        <v>544.63374496420022</v>
      </c>
      <c r="W1061" s="2">
        <f>IF(S1061="OVER",$J1061,$K1061)</f>
        <v>544.63374496420022</v>
      </c>
      <c r="X1061" s="2">
        <f>IF(T1061="OVER",$J1061,$K1061)</f>
        <v>544.63374496420022</v>
      </c>
      <c r="Y1061" s="9">
        <f t="shared" si="141"/>
        <v>-12309.39071303755</v>
      </c>
      <c r="Z1061" s="9">
        <f t="shared" si="141"/>
        <v>11143.986290138628</v>
      </c>
      <c r="AA1061" s="9">
        <f t="shared" si="141"/>
        <v>69841.494516588777</v>
      </c>
      <c r="AB1061" s="9">
        <f t="shared" si="138"/>
        <v>32936.671538674345</v>
      </c>
    </row>
    <row r="1062" spans="1:28" x14ac:dyDescent="0.3">
      <c r="A1062" s="1">
        <v>45957</v>
      </c>
      <c r="B1062" s="2">
        <v>192.11</v>
      </c>
      <c r="C1062" s="2">
        <v>685.24</v>
      </c>
      <c r="D1062" s="9">
        <f>B1062-B1061</f>
        <v>0.85000000000002274</v>
      </c>
      <c r="E1062" s="9">
        <f>C1062-C1061</f>
        <v>7.9900000000000091</v>
      </c>
      <c r="F1062" s="3">
        <f>F$1/B1062</f>
        <v>520.53511009317572</v>
      </c>
      <c r="G1062" s="3">
        <f>F$1/C1062</f>
        <v>145.9342712042496</v>
      </c>
      <c r="H1062" s="2">
        <f>D1062*F1061</f>
        <v>444.42120673430026</v>
      </c>
      <c r="I1062" s="2">
        <f>E1062*G1061</f>
        <v>1179.7711332595065</v>
      </c>
      <c r="J1062" s="2">
        <f>I1062-H1062</f>
        <v>735.34992652520623</v>
      </c>
      <c r="K1062" s="2">
        <f t="shared" si="136"/>
        <v>-735.34992652520623</v>
      </c>
      <c r="L1062" s="3">
        <f>C1062/B1062</f>
        <v>3.5669147884024777</v>
      </c>
      <c r="M1062" s="3">
        <f t="shared" si="139"/>
        <v>3.5303132743315855</v>
      </c>
      <c r="N1062" s="3">
        <f t="shared" si="143"/>
        <v>3.5256245041282215</v>
      </c>
      <c r="O1062" s="3">
        <f t="shared" si="135"/>
        <v>3.4893518600914524</v>
      </c>
      <c r="P1062" s="3">
        <f t="shared" si="137"/>
        <v>3.3694761113162151</v>
      </c>
      <c r="Q1062" s="4" t="str">
        <f t="shared" si="142"/>
        <v>OVER</v>
      </c>
      <c r="R1062" s="4" t="str">
        <f t="shared" si="142"/>
        <v>OVER</v>
      </c>
      <c r="S1062" s="4" t="str">
        <f t="shared" si="140"/>
        <v>OVER</v>
      </c>
      <c r="T1062" s="4" t="str">
        <f t="shared" si="140"/>
        <v>OVER</v>
      </c>
      <c r="U1062" s="2">
        <f>IF(Q1062="OVER",$J1062,$K1062)</f>
        <v>735.34992652520623</v>
      </c>
      <c r="V1062" s="2">
        <f>IF(R1062="OVER",$J1062,$K1062)</f>
        <v>735.34992652520623</v>
      </c>
      <c r="W1062" s="2">
        <f>IF(S1062="OVER",$J1062,$K1062)</f>
        <v>735.34992652520623</v>
      </c>
      <c r="X1062" s="2">
        <f>IF(T1062="OVER",$J1062,$K1062)</f>
        <v>735.34992652520623</v>
      </c>
      <c r="Y1062" s="9">
        <f t="shared" si="141"/>
        <v>-11574.040786512343</v>
      </c>
      <c r="Z1062" s="9">
        <f t="shared" si="141"/>
        <v>11879.336216663834</v>
      </c>
      <c r="AA1062" s="9">
        <f t="shared" si="141"/>
        <v>70576.84444311398</v>
      </c>
      <c r="AB1062" s="9">
        <f t="shared" si="138"/>
        <v>33672.021465199548</v>
      </c>
    </row>
    <row r="1063" spans="1:28" x14ac:dyDescent="0.3">
      <c r="A1063" s="1">
        <v>45958</v>
      </c>
      <c r="B1063" s="2">
        <v>190.46</v>
      </c>
      <c r="C1063" s="2">
        <v>687.06</v>
      </c>
      <c r="D1063" s="9">
        <f>B1063-B1062</f>
        <v>-1.6500000000000057</v>
      </c>
      <c r="E1063" s="9">
        <f>C1063-C1062</f>
        <v>1.8199999999999363</v>
      </c>
      <c r="F1063" s="3">
        <f>F$1/B1063</f>
        <v>525.04462879344737</v>
      </c>
      <c r="G1063" s="3">
        <f>F$1/C1063</f>
        <v>145.54769597997264</v>
      </c>
      <c r="H1063" s="2">
        <f>D1063*F1062</f>
        <v>-858.88293165374284</v>
      </c>
      <c r="I1063" s="2">
        <f>E1063*G1062</f>
        <v>265.60037359172497</v>
      </c>
      <c r="J1063" s="2">
        <f>I1063-H1063</f>
        <v>1124.4833052454678</v>
      </c>
      <c r="K1063" s="2">
        <f t="shared" si="136"/>
        <v>-1124.4833052454678</v>
      </c>
      <c r="L1063" s="3">
        <f>C1063/B1063</f>
        <v>3.6073716265882596</v>
      </c>
      <c r="M1063" s="3">
        <f t="shared" si="139"/>
        <v>3.5396788659180927</v>
      </c>
      <c r="N1063" s="3">
        <f t="shared" si="143"/>
        <v>3.5304053152942183</v>
      </c>
      <c r="O1063" s="3">
        <f t="shared" si="135"/>
        <v>3.4922602440816184</v>
      </c>
      <c r="P1063" s="3">
        <f t="shared" si="137"/>
        <v>3.3707600112961984</v>
      </c>
      <c r="Q1063" s="4" t="str">
        <f t="shared" si="142"/>
        <v>OVER</v>
      </c>
      <c r="R1063" s="4" t="str">
        <f t="shared" si="142"/>
        <v>OVER</v>
      </c>
      <c r="S1063" s="4" t="str">
        <f t="shared" si="140"/>
        <v>OVER</v>
      </c>
      <c r="T1063" s="4" t="str">
        <f t="shared" si="140"/>
        <v>OVER</v>
      </c>
      <c r="U1063" s="2">
        <f>IF(Q1063="OVER",$J1063,$K1063)</f>
        <v>1124.4833052454678</v>
      </c>
      <c r="V1063" s="2">
        <f>IF(R1063="OVER",$J1063,$K1063)</f>
        <v>1124.4833052454678</v>
      </c>
      <c r="W1063" s="2">
        <f>IF(S1063="OVER",$J1063,$K1063)</f>
        <v>1124.4833052454678</v>
      </c>
      <c r="X1063" s="2">
        <f>IF(T1063="OVER",$J1063,$K1063)</f>
        <v>1124.4833052454678</v>
      </c>
      <c r="Y1063" s="9">
        <f t="shared" si="141"/>
        <v>-10449.557481266875</v>
      </c>
      <c r="Z1063" s="9">
        <f t="shared" si="141"/>
        <v>13003.819521909303</v>
      </c>
      <c r="AA1063" s="9">
        <f t="shared" si="141"/>
        <v>71701.327748359443</v>
      </c>
      <c r="AB1063" s="9">
        <f t="shared" si="138"/>
        <v>34796.504770445019</v>
      </c>
    </row>
    <row r="1064" spans="1:28" x14ac:dyDescent="0.3">
      <c r="A1064" s="1">
        <v>45959</v>
      </c>
      <c r="B1064" s="2">
        <v>188.33</v>
      </c>
      <c r="C1064" s="2">
        <v>687.39</v>
      </c>
      <c r="D1064" s="9">
        <f>B1064-B1063</f>
        <v>-2.1299999999999955</v>
      </c>
      <c r="E1064" s="9">
        <f>C1064-C1063</f>
        <v>0.33000000000004093</v>
      </c>
      <c r="F1064" s="3">
        <f>F$1/B1064</f>
        <v>530.98284925396911</v>
      </c>
      <c r="G1064" s="3">
        <f>F$1/C1064</f>
        <v>145.47782190605042</v>
      </c>
      <c r="H1064" s="2">
        <f>D1064*F1063</f>
        <v>-1118.3450593300406</v>
      </c>
      <c r="I1064" s="2">
        <f>E1064*G1063</f>
        <v>48.03073967339693</v>
      </c>
      <c r="J1064" s="2">
        <f>I1064-H1064</f>
        <v>1166.3757990034376</v>
      </c>
      <c r="K1064" s="2">
        <f t="shared" si="136"/>
        <v>-1166.3757990034376</v>
      </c>
      <c r="L1064" s="3">
        <f>C1064/B1064</f>
        <v>3.6499230074868581</v>
      </c>
      <c r="M1064" s="3">
        <f t="shared" si="139"/>
        <v>3.5524498269791955</v>
      </c>
      <c r="N1064" s="3">
        <f t="shared" si="143"/>
        <v>3.5371138466710326</v>
      </c>
      <c r="O1064" s="3">
        <f t="shared" si="135"/>
        <v>3.4967162006157362</v>
      </c>
      <c r="P1064" s="3">
        <f t="shared" si="137"/>
        <v>3.3723671004276383</v>
      </c>
      <c r="Q1064" s="4" t="str">
        <f t="shared" si="142"/>
        <v>OVER</v>
      </c>
      <c r="R1064" s="4" t="str">
        <f t="shared" si="142"/>
        <v>OVER</v>
      </c>
      <c r="S1064" s="4" t="str">
        <f t="shared" si="140"/>
        <v>OVER</v>
      </c>
      <c r="T1064" s="4" t="str">
        <f t="shared" si="140"/>
        <v>OVER</v>
      </c>
      <c r="U1064" s="2">
        <f>IF(Q1064="OVER",$J1064,$K1064)</f>
        <v>1166.3757990034376</v>
      </c>
      <c r="V1064" s="2">
        <f>IF(R1064="OVER",$J1064,$K1064)</f>
        <v>1166.3757990034376</v>
      </c>
      <c r="W1064" s="2">
        <f>IF(S1064="OVER",$J1064,$K1064)</f>
        <v>1166.3757990034376</v>
      </c>
      <c r="X1064" s="2">
        <f>IF(T1064="OVER",$J1064,$K1064)</f>
        <v>1166.3757990034376</v>
      </c>
      <c r="Y1064" s="9">
        <f t="shared" si="141"/>
        <v>-9283.1816822634373</v>
      </c>
      <c r="Z1064" s="9">
        <f t="shared" si="141"/>
        <v>14170.19532091274</v>
      </c>
      <c r="AA1064" s="9">
        <f t="shared" si="141"/>
        <v>72867.703547362878</v>
      </c>
      <c r="AB1064" s="9">
        <f t="shared" si="138"/>
        <v>35962.880569448454</v>
      </c>
    </row>
    <row r="1065" spans="1:28" x14ac:dyDescent="0.3">
      <c r="A1065" s="1">
        <v>45960</v>
      </c>
      <c r="B1065" s="2">
        <v>187.52</v>
      </c>
      <c r="C1065" s="2">
        <v>679.83</v>
      </c>
      <c r="D1065" s="9">
        <f>B1065-B1064</f>
        <v>-0.81000000000000227</v>
      </c>
      <c r="E1065" s="9">
        <f>C1065-C1064</f>
        <v>-7.5599999999999454</v>
      </c>
      <c r="F1065" s="3">
        <f>F$1/B1065</f>
        <v>533.27645051194531</v>
      </c>
      <c r="G1065" s="3">
        <f>F$1/C1065</f>
        <v>147.09559742876894</v>
      </c>
      <c r="H1065" s="2">
        <f>D1065*F1064</f>
        <v>-430.09610789571616</v>
      </c>
      <c r="I1065" s="2">
        <f>E1065*G1064</f>
        <v>-1099.8123336097333</v>
      </c>
      <c r="J1065" s="2">
        <f>I1065-H1065</f>
        <v>-669.71622571401713</v>
      </c>
      <c r="K1065" s="2">
        <f t="shared" si="136"/>
        <v>669.71622571401713</v>
      </c>
      <c r="L1065" s="3">
        <f>C1065/B1065</f>
        <v>3.6253732935153584</v>
      </c>
      <c r="M1065" s="3">
        <f t="shared" si="139"/>
        <v>3.561817050482341</v>
      </c>
      <c r="N1065" s="3">
        <f t="shared" si="143"/>
        <v>3.5428079494830165</v>
      </c>
      <c r="O1065" s="3">
        <f t="shared" si="135"/>
        <v>3.5008009772301993</v>
      </c>
      <c r="P1065" s="3">
        <f t="shared" si="137"/>
        <v>3.3739619927925348</v>
      </c>
      <c r="Q1065" s="4" t="str">
        <f t="shared" si="142"/>
        <v>OVER</v>
      </c>
      <c r="R1065" s="4" t="str">
        <f t="shared" si="142"/>
        <v>OVER</v>
      </c>
      <c r="S1065" s="4" t="str">
        <f t="shared" si="140"/>
        <v>OVER</v>
      </c>
      <c r="T1065" s="4" t="str">
        <f t="shared" si="140"/>
        <v>OVER</v>
      </c>
      <c r="U1065" s="2">
        <f>IF(Q1065="OVER",$J1065,$K1065)</f>
        <v>-669.71622571401713</v>
      </c>
      <c r="V1065" s="2">
        <f>IF(R1065="OVER",$J1065,$K1065)</f>
        <v>-669.71622571401713</v>
      </c>
      <c r="W1065" s="2">
        <f>IF(S1065="OVER",$J1065,$K1065)</f>
        <v>-669.71622571401713</v>
      </c>
      <c r="X1065" s="2">
        <f>IF(T1065="OVER",$J1065,$K1065)</f>
        <v>-669.71622571401713</v>
      </c>
      <c r="Y1065" s="9">
        <f t="shared" si="141"/>
        <v>-9952.8979079774545</v>
      </c>
      <c r="Z1065" s="9">
        <f t="shared" si="141"/>
        <v>13500.479095198723</v>
      </c>
      <c r="AA1065" s="9">
        <f t="shared" si="141"/>
        <v>72197.987321648863</v>
      </c>
      <c r="AB1065" s="9">
        <f t="shared" si="138"/>
        <v>35293.164343734439</v>
      </c>
    </row>
    <row r="1066" spans="1:28" x14ac:dyDescent="0.3">
      <c r="A1066" s="1">
        <v>45961</v>
      </c>
      <c r="B1066" s="2">
        <v>187.93</v>
      </c>
      <c r="C1066" s="2">
        <v>682.06</v>
      </c>
      <c r="D1066" s="9">
        <f>B1066-B1065</f>
        <v>0.40999999999999659</v>
      </c>
      <c r="E1066" s="9">
        <f>C1066-C1065</f>
        <v>2.2299999999999045</v>
      </c>
      <c r="F1066" s="3">
        <f>F$1/B1066</f>
        <v>532.11302080561904</v>
      </c>
      <c r="G1066" s="3">
        <f>F$1/C1066</f>
        <v>146.61466733131985</v>
      </c>
      <c r="H1066" s="2">
        <f>D1066*F1065</f>
        <v>218.64334470989576</v>
      </c>
      <c r="I1066" s="2">
        <f>E1066*G1065</f>
        <v>328.02318226614068</v>
      </c>
      <c r="J1066" s="2">
        <f>I1066-H1066</f>
        <v>109.37983755624492</v>
      </c>
      <c r="K1066" s="2">
        <f t="shared" si="136"/>
        <v>-109.37983755624492</v>
      </c>
      <c r="L1066" s="3">
        <f>C1066/B1066</f>
        <v>3.6293300697068052</v>
      </c>
      <c r="M1066" s="3">
        <f t="shared" si="139"/>
        <v>3.5713699180987311</v>
      </c>
      <c r="N1066" s="3">
        <f t="shared" si="143"/>
        <v>3.5493175902232585</v>
      </c>
      <c r="O1066" s="3">
        <f t="shared" si="135"/>
        <v>3.5050010719261051</v>
      </c>
      <c r="P1066" s="3">
        <f t="shared" si="137"/>
        <v>3.3754359762118913</v>
      </c>
      <c r="Q1066" s="4" t="str">
        <f t="shared" si="142"/>
        <v>OVER</v>
      </c>
      <c r="R1066" s="4" t="str">
        <f t="shared" si="142"/>
        <v>OVER</v>
      </c>
      <c r="S1066" s="4" t="str">
        <f t="shared" si="140"/>
        <v>OVER</v>
      </c>
      <c r="T1066" s="4" t="str">
        <f t="shared" si="140"/>
        <v>OVER</v>
      </c>
      <c r="U1066" s="2">
        <f>IF(Q1066="OVER",$J1066,$K1066)</f>
        <v>109.37983755624492</v>
      </c>
      <c r="V1066" s="2">
        <f>IF(R1066="OVER",$J1066,$K1066)</f>
        <v>109.37983755624492</v>
      </c>
      <c r="W1066" s="2">
        <f>IF(S1066="OVER",$J1066,$K1066)</f>
        <v>109.37983755624492</v>
      </c>
      <c r="X1066" s="2">
        <f>IF(T1066="OVER",$J1066,$K1066)</f>
        <v>109.37983755624492</v>
      </c>
      <c r="Y1066" s="9">
        <f t="shared" si="141"/>
        <v>-9843.5180704212089</v>
      </c>
      <c r="Z1066" s="9">
        <f t="shared" si="141"/>
        <v>13609.858932754969</v>
      </c>
      <c r="AA1066" s="9">
        <f t="shared" si="141"/>
        <v>72307.367159205111</v>
      </c>
      <c r="AB1066" s="9">
        <f t="shared" si="138"/>
        <v>35402.544181290687</v>
      </c>
    </row>
    <row r="1067" spans="1:28" x14ac:dyDescent="0.3">
      <c r="A1067" s="1">
        <v>45964</v>
      </c>
      <c r="B1067" s="2">
        <v>187.47</v>
      </c>
      <c r="C1067" s="2">
        <v>683.34</v>
      </c>
      <c r="D1067" s="9">
        <f>B1067-B1066</f>
        <v>-0.46000000000000796</v>
      </c>
      <c r="E1067" s="9">
        <f>C1067-C1066</f>
        <v>1.2800000000000864</v>
      </c>
      <c r="F1067" s="3">
        <f>F$1/B1067</f>
        <v>533.41868032218485</v>
      </c>
      <c r="G1067" s="3">
        <f>F$1/C1067</f>
        <v>146.34003570696871</v>
      </c>
      <c r="H1067" s="2">
        <f>D1067*F1066</f>
        <v>-244.771989570589</v>
      </c>
      <c r="I1067" s="2">
        <f>E1067*G1066</f>
        <v>187.66677418410208</v>
      </c>
      <c r="J1067" s="2">
        <f>I1067-H1067</f>
        <v>432.43876375469108</v>
      </c>
      <c r="K1067" s="2">
        <f t="shared" si="136"/>
        <v>-432.43876375469108</v>
      </c>
      <c r="L1067" s="3">
        <f>C1067/B1067</f>
        <v>3.6450632101136184</v>
      </c>
      <c r="M1067" s="3">
        <f t="shared" si="139"/>
        <v>3.582355779896865</v>
      </c>
      <c r="N1067" s="3">
        <f t="shared" si="143"/>
        <v>3.5559313344414774</v>
      </c>
      <c r="O1067" s="3">
        <f t="shared" si="135"/>
        <v>3.5097921456170047</v>
      </c>
      <c r="P1067" s="3">
        <f t="shared" si="137"/>
        <v>3.3771507157150462</v>
      </c>
      <c r="Q1067" s="4" t="str">
        <f t="shared" si="142"/>
        <v>OVER</v>
      </c>
      <c r="R1067" s="4" t="str">
        <f t="shared" si="142"/>
        <v>OVER</v>
      </c>
      <c r="S1067" s="4" t="str">
        <f t="shared" si="140"/>
        <v>OVER</v>
      </c>
      <c r="T1067" s="4" t="str">
        <f t="shared" si="140"/>
        <v>OVER</v>
      </c>
      <c r="U1067" s="2">
        <f>IF(Q1067="OVER",$J1067,$K1067)</f>
        <v>432.43876375469108</v>
      </c>
      <c r="V1067" s="2">
        <f>IF(R1067="OVER",$J1067,$K1067)</f>
        <v>432.43876375469108</v>
      </c>
      <c r="W1067" s="2">
        <f>IF(S1067="OVER",$J1067,$K1067)</f>
        <v>432.43876375469108</v>
      </c>
      <c r="X1067" s="2">
        <f>IF(T1067="OVER",$J1067,$K1067)</f>
        <v>432.43876375469108</v>
      </c>
      <c r="Y1067" s="9">
        <f t="shared" si="141"/>
        <v>-9411.0793066665174</v>
      </c>
      <c r="Z1067" s="9">
        <f t="shared" si="141"/>
        <v>14042.29769650966</v>
      </c>
      <c r="AA1067" s="9">
        <f t="shared" si="141"/>
        <v>72739.8059229598</v>
      </c>
      <c r="AB1067" s="9">
        <f t="shared" si="138"/>
        <v>35834.982945045376</v>
      </c>
    </row>
    <row r="1068" spans="1:28" x14ac:dyDescent="0.3">
      <c r="A1068" s="1">
        <v>45965</v>
      </c>
      <c r="B1068" s="2">
        <v>186.23</v>
      </c>
      <c r="C1068" s="2">
        <v>675.24</v>
      </c>
      <c r="D1068" s="9">
        <f>B1068-B1067</f>
        <v>-1.2400000000000091</v>
      </c>
      <c r="E1068" s="9">
        <f>C1068-C1067</f>
        <v>-8.1000000000000227</v>
      </c>
      <c r="F1068" s="3">
        <f>F$1/B1068</f>
        <v>536.97041293024756</v>
      </c>
      <c r="G1068" s="3">
        <f>F$1/C1068</f>
        <v>148.09549197322434</v>
      </c>
      <c r="H1068" s="2">
        <f>D1068*F1067</f>
        <v>-661.43916359951402</v>
      </c>
      <c r="I1068" s="2">
        <f>E1068*G1067</f>
        <v>-1185.3542892264497</v>
      </c>
      <c r="J1068" s="2">
        <f>I1068-H1068</f>
        <v>-523.91512562693572</v>
      </c>
      <c r="K1068" s="2">
        <f t="shared" si="136"/>
        <v>523.91512562693572</v>
      </c>
      <c r="L1068" s="3">
        <f>C1068/B1068</f>
        <v>3.6258390162702039</v>
      </c>
      <c r="M1068" s="3">
        <f t="shared" si="139"/>
        <v>3.5930367668667254</v>
      </c>
      <c r="N1068" s="3">
        <f t="shared" si="143"/>
        <v>3.561462843962631</v>
      </c>
      <c r="O1068" s="3">
        <f t="shared" si="135"/>
        <v>3.5139755926090754</v>
      </c>
      <c r="P1068" s="3">
        <f t="shared" si="137"/>
        <v>3.378684154297841</v>
      </c>
      <c r="Q1068" s="4" t="str">
        <f t="shared" si="142"/>
        <v>OVER</v>
      </c>
      <c r="R1068" s="4" t="str">
        <f t="shared" si="142"/>
        <v>OVER</v>
      </c>
      <c r="S1068" s="4" t="str">
        <f t="shared" si="140"/>
        <v>OVER</v>
      </c>
      <c r="T1068" s="4" t="str">
        <f t="shared" si="140"/>
        <v>OVER</v>
      </c>
      <c r="U1068" s="2">
        <f>IF(Q1068="OVER",$J1068,$K1068)</f>
        <v>-523.91512562693572</v>
      </c>
      <c r="V1068" s="2">
        <f>IF(R1068="OVER",$J1068,$K1068)</f>
        <v>-523.91512562693572</v>
      </c>
      <c r="W1068" s="2">
        <f>IF(S1068="OVER",$J1068,$K1068)</f>
        <v>-523.91512562693572</v>
      </c>
      <c r="X1068" s="2">
        <f>IF(T1068="OVER",$J1068,$K1068)</f>
        <v>-523.91512562693572</v>
      </c>
      <c r="Y1068" s="9">
        <f t="shared" si="141"/>
        <v>-9934.9944322934534</v>
      </c>
      <c r="Z1068" s="9">
        <f t="shared" si="141"/>
        <v>13518.382570882724</v>
      </c>
      <c r="AA1068" s="9">
        <f t="shared" si="141"/>
        <v>72215.890797332861</v>
      </c>
      <c r="AB1068" s="9">
        <f t="shared" si="138"/>
        <v>35311.067819418444</v>
      </c>
    </row>
    <row r="1069" spans="1:28" x14ac:dyDescent="0.3">
      <c r="A1069" s="1">
        <v>45966</v>
      </c>
      <c r="B1069" s="2">
        <v>187.32</v>
      </c>
      <c r="C1069" s="2">
        <v>677.58</v>
      </c>
      <c r="D1069" s="9">
        <f>B1069-B1068</f>
        <v>1.0900000000000034</v>
      </c>
      <c r="E1069" s="9">
        <f>C1069-C1068</f>
        <v>2.3400000000000318</v>
      </c>
      <c r="F1069" s="3">
        <f>F$1/B1069</f>
        <v>533.84582532564593</v>
      </c>
      <c r="G1069" s="3">
        <f>F$1/C1069</f>
        <v>147.58404911597154</v>
      </c>
      <c r="H1069" s="2">
        <f>D1069*F1068</f>
        <v>585.29775009397167</v>
      </c>
      <c r="I1069" s="2">
        <f>E1069*G1068</f>
        <v>346.54345121734968</v>
      </c>
      <c r="J1069" s="2">
        <f>I1069-H1069</f>
        <v>-238.75429887662199</v>
      </c>
      <c r="K1069" s="2">
        <f t="shared" si="136"/>
        <v>238.75429887662199</v>
      </c>
      <c r="L1069" s="3">
        <f>C1069/B1069</f>
        <v>3.6172325432415122</v>
      </c>
      <c r="M1069" s="3">
        <f t="shared" si="139"/>
        <v>3.6029901096864512</v>
      </c>
      <c r="N1069" s="3">
        <f t="shared" si="143"/>
        <v>3.5660899840324931</v>
      </c>
      <c r="O1069" s="3">
        <f t="shared" si="135"/>
        <v>3.5177482075489435</v>
      </c>
      <c r="P1069" s="3">
        <f t="shared" si="137"/>
        <v>3.3802148346662739</v>
      </c>
      <c r="Q1069" s="4" t="str">
        <f t="shared" si="142"/>
        <v>OVER</v>
      </c>
      <c r="R1069" s="4" t="str">
        <f t="shared" si="142"/>
        <v>OVER</v>
      </c>
      <c r="S1069" s="4" t="str">
        <f t="shared" si="140"/>
        <v>OVER</v>
      </c>
      <c r="T1069" s="4" t="str">
        <f t="shared" si="140"/>
        <v>OVER</v>
      </c>
      <c r="U1069" s="2">
        <f>IF(Q1069="OVER",$J1069,$K1069)</f>
        <v>-238.75429887662199</v>
      </c>
      <c r="V1069" s="2">
        <f>IF(R1069="OVER",$J1069,$K1069)</f>
        <v>-238.75429887662199</v>
      </c>
      <c r="W1069" s="2">
        <f>IF(S1069="OVER",$J1069,$K1069)</f>
        <v>-238.75429887662199</v>
      </c>
      <c r="X1069" s="2">
        <f>IF(T1069="OVER",$J1069,$K1069)</f>
        <v>-238.75429887662199</v>
      </c>
      <c r="Y1069" s="9">
        <f t="shared" si="141"/>
        <v>-10173.748731170075</v>
      </c>
      <c r="Z1069" s="9">
        <f t="shared" si="141"/>
        <v>13279.628272006103</v>
      </c>
      <c r="AA1069" s="9">
        <f t="shared" si="141"/>
        <v>71977.136498456239</v>
      </c>
      <c r="AB1069" s="9">
        <f t="shared" si="138"/>
        <v>35072.313520541822</v>
      </c>
    </row>
    <row r="1070" spans="1:28" x14ac:dyDescent="0.3">
      <c r="A1070" s="1">
        <v>45967</v>
      </c>
      <c r="B1070" s="2">
        <v>186</v>
      </c>
      <c r="C1070" s="2">
        <v>670.31</v>
      </c>
      <c r="D1070" s="9">
        <f>B1070-B1069</f>
        <v>-1.3199999999999932</v>
      </c>
      <c r="E1070" s="9">
        <f>C1070-C1069</f>
        <v>-7.2700000000000955</v>
      </c>
      <c r="F1070" s="3">
        <f>F$1/B1070</f>
        <v>537.63440860215053</v>
      </c>
      <c r="G1070" s="3">
        <f>F$1/C1070</f>
        <v>149.18470558398354</v>
      </c>
      <c r="H1070" s="2">
        <f>D1070*F1069</f>
        <v>-704.67648942984897</v>
      </c>
      <c r="I1070" s="2">
        <f>E1070*G1069</f>
        <v>-1072.9360370731272</v>
      </c>
      <c r="J1070" s="2">
        <f>I1070-H1070</f>
        <v>-368.25954764327821</v>
      </c>
      <c r="K1070" s="2">
        <f t="shared" si="136"/>
        <v>368.25954764327821</v>
      </c>
      <c r="L1070" s="3">
        <f>C1070/B1070</f>
        <v>3.603817204301075</v>
      </c>
      <c r="M1070" s="3">
        <f t="shared" si="139"/>
        <v>3.6111856080341425</v>
      </c>
      <c r="N1070" s="3">
        <f t="shared" si="143"/>
        <v>3.5690909186970954</v>
      </c>
      <c r="O1070" s="3">
        <f t="shared" si="135"/>
        <v>3.5213437467633737</v>
      </c>
      <c r="P1070" s="3">
        <f t="shared" si="137"/>
        <v>3.3815266640896198</v>
      </c>
      <c r="Q1070" s="4" t="str">
        <f t="shared" si="142"/>
        <v>OVER</v>
      </c>
      <c r="R1070" s="4" t="str">
        <f t="shared" si="142"/>
        <v>OVER</v>
      </c>
      <c r="S1070" s="4" t="str">
        <f t="shared" si="140"/>
        <v>OVER</v>
      </c>
      <c r="T1070" s="4" t="str">
        <f t="shared" si="140"/>
        <v>OVER</v>
      </c>
      <c r="U1070" s="2">
        <f>IF(Q1070="OVER",$J1070,$K1070)</f>
        <v>-368.25954764327821</v>
      </c>
      <c r="V1070" s="2">
        <f>IF(R1070="OVER",$J1070,$K1070)</f>
        <v>-368.25954764327821</v>
      </c>
      <c r="W1070" s="2">
        <f>IF(S1070="OVER",$J1070,$K1070)</f>
        <v>-368.25954764327821</v>
      </c>
      <c r="X1070" s="2">
        <f>IF(T1070="OVER",$J1070,$K1070)</f>
        <v>-368.25954764327821</v>
      </c>
      <c r="Y1070" s="9">
        <f t="shared" si="141"/>
        <v>-10542.008278813353</v>
      </c>
      <c r="Z1070" s="9">
        <f t="shared" si="141"/>
        <v>12911.368724362825</v>
      </c>
      <c r="AA1070" s="9">
        <f t="shared" si="141"/>
        <v>71608.876950812963</v>
      </c>
      <c r="AB1070" s="9">
        <f t="shared" si="138"/>
        <v>34704.053972898546</v>
      </c>
    </row>
    <row r="1071" spans="1:28" x14ac:dyDescent="0.3">
      <c r="A1071" s="1">
        <v>45968</v>
      </c>
      <c r="B1071" s="2">
        <v>187.56</v>
      </c>
      <c r="C1071" s="2">
        <v>670.97</v>
      </c>
      <c r="D1071" s="9">
        <f>B1071-B1070</f>
        <v>1.5600000000000023</v>
      </c>
      <c r="E1071" s="9">
        <f>C1071-C1070</f>
        <v>0.66000000000008185</v>
      </c>
      <c r="F1071" s="3">
        <f>F$1/B1071</f>
        <v>533.16272126252932</v>
      </c>
      <c r="G1071" s="3">
        <f>F$1/C1071</f>
        <v>149.03795996840395</v>
      </c>
      <c r="H1071" s="2">
        <f>D1071*F1070</f>
        <v>838.70967741935601</v>
      </c>
      <c r="I1071" s="2">
        <f>E1071*G1070</f>
        <v>98.461905685441351</v>
      </c>
      <c r="J1071" s="2">
        <f>I1071-H1071</f>
        <v>-740.24777173391465</v>
      </c>
      <c r="K1071" s="2">
        <f t="shared" si="136"/>
        <v>740.24777173391465</v>
      </c>
      <c r="L1071" s="3">
        <f>C1071/B1071</f>
        <v>3.5773619108551933</v>
      </c>
      <c r="M1071" s="3">
        <f t="shared" si="139"/>
        <v>3.6148226670481365</v>
      </c>
      <c r="N1071" s="3">
        <f t="shared" si="143"/>
        <v>3.5715815293651794</v>
      </c>
      <c r="O1071" s="3">
        <f t="shared" si="135"/>
        <v>3.5241348925880214</v>
      </c>
      <c r="P1071" s="3">
        <f t="shared" si="137"/>
        <v>3.3826942523661332</v>
      </c>
      <c r="Q1071" s="4" t="str">
        <f t="shared" si="142"/>
        <v>UNDER</v>
      </c>
      <c r="R1071" s="4" t="str">
        <f t="shared" si="142"/>
        <v>OVER</v>
      </c>
      <c r="S1071" s="4" t="str">
        <f t="shared" si="140"/>
        <v>OVER</v>
      </c>
      <c r="T1071" s="4" t="str">
        <f t="shared" si="140"/>
        <v>OVER</v>
      </c>
      <c r="U1071" s="2">
        <f>IF(Q1071="OVER",$J1071,$K1071)</f>
        <v>740.24777173391465</v>
      </c>
      <c r="V1071" s="2">
        <f>IF(R1071="OVER",$J1071,$K1071)</f>
        <v>-740.24777173391465</v>
      </c>
      <c r="W1071" s="2">
        <f>IF(S1071="OVER",$J1071,$K1071)</f>
        <v>-740.24777173391465</v>
      </c>
      <c r="X1071" s="2">
        <f>IF(T1071="OVER",$J1071,$K1071)</f>
        <v>-740.24777173391465</v>
      </c>
      <c r="Y1071" s="9">
        <f t="shared" si="141"/>
        <v>-9801.760507079438</v>
      </c>
      <c r="Z1071" s="9">
        <f t="shared" si="141"/>
        <v>12171.120952628909</v>
      </c>
      <c r="AA1071" s="9">
        <f t="shared" si="141"/>
        <v>70868.629179079042</v>
      </c>
      <c r="AB1071" s="9">
        <f t="shared" si="138"/>
        <v>33963.806201164633</v>
      </c>
    </row>
    <row r="1072" spans="1:28" x14ac:dyDescent="0.3">
      <c r="A1072" s="1">
        <v>45971</v>
      </c>
      <c r="B1072" s="2">
        <v>188.64</v>
      </c>
      <c r="C1072" s="2">
        <v>681.44</v>
      </c>
      <c r="D1072" s="9">
        <f>B1072-B1071</f>
        <v>1.0799999999999841</v>
      </c>
      <c r="E1072" s="9">
        <f>C1072-C1071</f>
        <v>10.470000000000027</v>
      </c>
      <c r="F1072" s="3">
        <f>F$1/B1072</f>
        <v>530.11026293469047</v>
      </c>
      <c r="G1072" s="3">
        <f>F$1/C1072</f>
        <v>146.74806292556937</v>
      </c>
      <c r="H1072" s="2">
        <f>D1072*F1071</f>
        <v>575.81573896352313</v>
      </c>
      <c r="I1072" s="2">
        <f>E1072*G1071</f>
        <v>1560.4274408691936</v>
      </c>
      <c r="J1072" s="2">
        <f>I1072-H1072</f>
        <v>984.61170190567043</v>
      </c>
      <c r="K1072" s="2">
        <f t="shared" si="136"/>
        <v>-984.61170190567043</v>
      </c>
      <c r="L1072" s="3">
        <f>C1072/B1072</f>
        <v>3.6123833757421551</v>
      </c>
      <c r="M1072" s="3">
        <f t="shared" si="139"/>
        <v>3.6193695257821039</v>
      </c>
      <c r="N1072" s="3">
        <f t="shared" si="143"/>
        <v>3.5748414000568447</v>
      </c>
      <c r="O1072" s="3">
        <f t="shared" si="135"/>
        <v>3.5279857835150157</v>
      </c>
      <c r="P1072" s="3">
        <f t="shared" si="137"/>
        <v>3.3840711151804062</v>
      </c>
      <c r="Q1072" s="4" t="str">
        <f t="shared" si="142"/>
        <v>UNDER</v>
      </c>
      <c r="R1072" s="4" t="str">
        <f t="shared" si="142"/>
        <v>OVER</v>
      </c>
      <c r="S1072" s="4" t="str">
        <f t="shared" si="140"/>
        <v>OVER</v>
      </c>
      <c r="T1072" s="4" t="str">
        <f t="shared" si="140"/>
        <v>OVER</v>
      </c>
      <c r="U1072" s="2">
        <f>IF(Q1072="OVER",$J1072,$K1072)</f>
        <v>-984.61170190567043</v>
      </c>
      <c r="V1072" s="2">
        <f>IF(R1072="OVER",$J1072,$K1072)</f>
        <v>984.61170190567043</v>
      </c>
      <c r="W1072" s="2">
        <f>IF(S1072="OVER",$J1072,$K1072)</f>
        <v>984.61170190567043</v>
      </c>
      <c r="X1072" s="2">
        <f>IF(T1072="OVER",$J1072,$K1072)</f>
        <v>984.61170190567043</v>
      </c>
      <c r="Y1072" s="9">
        <f t="shared" si="141"/>
        <v>-10786.372208985109</v>
      </c>
      <c r="Z1072" s="9">
        <f t="shared" si="141"/>
        <v>13155.73265453458</v>
      </c>
      <c r="AA1072" s="9">
        <f t="shared" si="141"/>
        <v>71853.240880984711</v>
      </c>
      <c r="AB1072" s="9">
        <f t="shared" si="138"/>
        <v>34948.417903070302</v>
      </c>
    </row>
    <row r="1073" spans="1:28" x14ac:dyDescent="0.3">
      <c r="A1073" s="1">
        <v>45972</v>
      </c>
      <c r="B1073" s="2">
        <v>189.73</v>
      </c>
      <c r="C1073" s="2">
        <v>683</v>
      </c>
      <c r="D1073" s="9">
        <f>B1073-B1072</f>
        <v>1.0900000000000034</v>
      </c>
      <c r="E1073" s="9">
        <f>C1073-C1072</f>
        <v>1.5599999999999454</v>
      </c>
      <c r="F1073" s="3">
        <f>F$1/B1073</f>
        <v>527.06477626100252</v>
      </c>
      <c r="G1073" s="3">
        <f>F$1/C1073</f>
        <v>146.41288433382138</v>
      </c>
      <c r="H1073" s="2">
        <f>D1073*F1072</f>
        <v>577.82018659881442</v>
      </c>
      <c r="I1073" s="2">
        <f>E1073*G1072</f>
        <v>228.92697816388022</v>
      </c>
      <c r="J1073" s="2">
        <f>I1073-H1073</f>
        <v>-348.89320843493419</v>
      </c>
      <c r="K1073" s="2">
        <f t="shared" si="136"/>
        <v>348.89320843493419</v>
      </c>
      <c r="L1073" s="3">
        <f>C1073/B1073</f>
        <v>3.5998524218626473</v>
      </c>
      <c r="M1073" s="3">
        <f t="shared" si="139"/>
        <v>3.6186176053095425</v>
      </c>
      <c r="N1073" s="3">
        <f t="shared" si="143"/>
        <v>3.5791482356138173</v>
      </c>
      <c r="O1073" s="3">
        <f t="shared" si="135"/>
        <v>3.531552329093294</v>
      </c>
      <c r="P1073" s="3">
        <f t="shared" si="137"/>
        <v>3.3856321676468037</v>
      </c>
      <c r="Q1073" s="4" t="str">
        <f t="shared" si="142"/>
        <v>UNDER</v>
      </c>
      <c r="R1073" s="4" t="str">
        <f t="shared" si="142"/>
        <v>OVER</v>
      </c>
      <c r="S1073" s="4" t="str">
        <f t="shared" si="140"/>
        <v>OVER</v>
      </c>
      <c r="T1073" s="4" t="str">
        <f t="shared" si="140"/>
        <v>OVER</v>
      </c>
      <c r="U1073" s="2">
        <f>IF(Q1073="OVER",$J1073,$K1073)</f>
        <v>348.89320843493419</v>
      </c>
      <c r="V1073" s="2">
        <f>IF(R1073="OVER",$J1073,$K1073)</f>
        <v>-348.89320843493419</v>
      </c>
      <c r="W1073" s="2">
        <f>IF(S1073="OVER",$J1073,$K1073)</f>
        <v>-348.89320843493419</v>
      </c>
      <c r="X1073" s="2">
        <f>IF(T1073="OVER",$J1073,$K1073)</f>
        <v>-348.89320843493419</v>
      </c>
      <c r="Y1073" s="9">
        <f t="shared" si="141"/>
        <v>-10437.479000550175</v>
      </c>
      <c r="Z1073" s="9">
        <f t="shared" si="141"/>
        <v>12806.839446099646</v>
      </c>
      <c r="AA1073" s="9">
        <f t="shared" si="141"/>
        <v>71504.347672549775</v>
      </c>
      <c r="AB1073" s="9">
        <f t="shared" si="138"/>
        <v>34599.524694635365</v>
      </c>
    </row>
    <row r="1074" spans="1:28" x14ac:dyDescent="0.3">
      <c r="A1074" s="1">
        <v>45973</v>
      </c>
      <c r="B1074" s="2">
        <v>190.18</v>
      </c>
      <c r="C1074" s="2">
        <v>683.38</v>
      </c>
      <c r="D1074" s="9">
        <f>B1074-B1073</f>
        <v>0.45000000000001705</v>
      </c>
      <c r="E1074" s="9">
        <f>C1074-C1073</f>
        <v>0.37999999999999545</v>
      </c>
      <c r="F1074" s="3">
        <f>F$1/B1074</f>
        <v>525.8176464402145</v>
      </c>
      <c r="G1074" s="3">
        <f>F$1/C1074</f>
        <v>146.33147004594809</v>
      </c>
      <c r="H1074" s="2">
        <f>D1074*F1073</f>
        <v>237.17914931746012</v>
      </c>
      <c r="I1074" s="2">
        <f>E1074*G1073</f>
        <v>55.636896046851462</v>
      </c>
      <c r="J1074" s="2">
        <f>I1074-H1074</f>
        <v>-181.54225327060865</v>
      </c>
      <c r="K1074" s="2">
        <f t="shared" si="136"/>
        <v>181.54225327060865</v>
      </c>
      <c r="L1074" s="3">
        <f>C1074/B1074</f>
        <v>3.593332632243138</v>
      </c>
      <c r="M1074" s="3">
        <f t="shared" si="139"/>
        <v>3.6129585677851708</v>
      </c>
      <c r="N1074" s="3">
        <f t="shared" si="143"/>
        <v>3.5827041973821836</v>
      </c>
      <c r="O1074" s="3">
        <f t="shared" si="135"/>
        <v>3.534510825026532</v>
      </c>
      <c r="P1074" s="3">
        <f t="shared" si="137"/>
        <v>3.3869371252791063</v>
      </c>
      <c r="Q1074" s="4" t="str">
        <f t="shared" si="142"/>
        <v>UNDER</v>
      </c>
      <c r="R1074" s="4" t="str">
        <f t="shared" si="142"/>
        <v>OVER</v>
      </c>
      <c r="S1074" s="4" t="str">
        <f t="shared" si="140"/>
        <v>OVER</v>
      </c>
      <c r="T1074" s="4" t="str">
        <f t="shared" si="140"/>
        <v>OVER</v>
      </c>
      <c r="U1074" s="2">
        <f>IF(Q1074="OVER",$J1074,$K1074)</f>
        <v>181.54225327060865</v>
      </c>
      <c r="V1074" s="2">
        <f>IF(R1074="OVER",$J1074,$K1074)</f>
        <v>-181.54225327060865</v>
      </c>
      <c r="W1074" s="2">
        <f>IF(S1074="OVER",$J1074,$K1074)</f>
        <v>-181.54225327060865</v>
      </c>
      <c r="X1074" s="2">
        <f>IF(T1074="OVER",$J1074,$K1074)</f>
        <v>-181.54225327060865</v>
      </c>
      <c r="Y1074" s="9">
        <f t="shared" si="141"/>
        <v>-10255.936747279566</v>
      </c>
      <c r="Z1074" s="9">
        <f t="shared" si="141"/>
        <v>12625.297192829037</v>
      </c>
      <c r="AA1074" s="9">
        <f t="shared" si="141"/>
        <v>71322.805419279161</v>
      </c>
      <c r="AB1074" s="9">
        <f t="shared" si="138"/>
        <v>34417.982441364758</v>
      </c>
    </row>
    <row r="1075" spans="1:28" x14ac:dyDescent="0.3">
      <c r="A1075" s="1">
        <v>45974</v>
      </c>
      <c r="B1075" s="2">
        <v>188.03</v>
      </c>
      <c r="C1075" s="2">
        <v>672.04</v>
      </c>
      <c r="D1075" s="9">
        <f>B1075-B1074</f>
        <v>-2.1500000000000057</v>
      </c>
      <c r="E1075" s="9">
        <f>C1075-C1074</f>
        <v>-11.340000000000032</v>
      </c>
      <c r="F1075" s="3">
        <f>F$1/B1075</f>
        <v>531.83002712333143</v>
      </c>
      <c r="G1075" s="3">
        <f>F$1/C1075</f>
        <v>148.8006666269865</v>
      </c>
      <c r="H1075" s="2">
        <f>D1075*F1074</f>
        <v>-1130.5079398464641</v>
      </c>
      <c r="I1075" s="2">
        <f>E1075*G1074</f>
        <v>-1659.3988703210559</v>
      </c>
      <c r="J1075" s="2">
        <f>I1075-H1075</f>
        <v>-528.89093047459187</v>
      </c>
      <c r="K1075" s="2">
        <f t="shared" si="136"/>
        <v>528.89093047459187</v>
      </c>
      <c r="L1075" s="3">
        <f>C1075/B1075</f>
        <v>3.5741105142796359</v>
      </c>
      <c r="M1075" s="3">
        <f t="shared" si="139"/>
        <v>3.6078322898615989</v>
      </c>
      <c r="N1075" s="3">
        <f t="shared" si="143"/>
        <v>3.5848246701719697</v>
      </c>
      <c r="O1075" s="3">
        <f t="shared" si="135"/>
        <v>3.537018431125535</v>
      </c>
      <c r="P1075" s="3">
        <f t="shared" si="137"/>
        <v>3.3881656226544425</v>
      </c>
      <c r="Q1075" s="4" t="str">
        <f t="shared" si="142"/>
        <v>UNDER</v>
      </c>
      <c r="R1075" s="4" t="str">
        <f t="shared" si="142"/>
        <v>OVER</v>
      </c>
      <c r="S1075" s="4" t="str">
        <f t="shared" si="140"/>
        <v>OVER</v>
      </c>
      <c r="T1075" s="4" t="str">
        <f t="shared" si="140"/>
        <v>OVER</v>
      </c>
      <c r="U1075" s="2">
        <f>IF(Q1075="OVER",$J1075,$K1075)</f>
        <v>528.89093047459187</v>
      </c>
      <c r="V1075" s="2">
        <f>IF(R1075="OVER",$J1075,$K1075)</f>
        <v>-528.89093047459187</v>
      </c>
      <c r="W1075" s="2">
        <f>IF(S1075="OVER",$J1075,$K1075)</f>
        <v>-528.89093047459187</v>
      </c>
      <c r="X1075" s="2">
        <f>IF(T1075="OVER",$J1075,$K1075)</f>
        <v>-528.89093047459187</v>
      </c>
      <c r="Y1075" s="9">
        <f t="shared" si="141"/>
        <v>-9727.0458168049736</v>
      </c>
      <c r="Z1075" s="9">
        <f t="shared" si="141"/>
        <v>12096.406262354445</v>
      </c>
      <c r="AA1075" s="9">
        <f t="shared" si="141"/>
        <v>70793.91448880457</v>
      </c>
      <c r="AB1075" s="9">
        <f t="shared" si="138"/>
        <v>33889.091510890168</v>
      </c>
    </row>
    <row r="1076" spans="1:28" x14ac:dyDescent="0.3">
      <c r="A1076" s="1">
        <v>45975</v>
      </c>
      <c r="B1076" s="2">
        <v>187.34</v>
      </c>
      <c r="C1076" s="2">
        <v>671.93</v>
      </c>
      <c r="D1076" s="9">
        <f>B1076-B1075</f>
        <v>-0.68999999999999773</v>
      </c>
      <c r="E1076" s="9">
        <f>C1076-C1075</f>
        <v>-0.11000000000001364</v>
      </c>
      <c r="F1076" s="3">
        <f>F$1/B1076</f>
        <v>533.78883313761071</v>
      </c>
      <c r="G1076" s="3">
        <f>F$1/C1076</f>
        <v>148.8250264164422</v>
      </c>
      <c r="H1076" s="2">
        <f>D1076*F1075</f>
        <v>-366.96271871509748</v>
      </c>
      <c r="I1076" s="2">
        <f>E1076*G1075</f>
        <v>-16.368073328970546</v>
      </c>
      <c r="J1076" s="2">
        <f>I1076-H1076</f>
        <v>350.59464538612696</v>
      </c>
      <c r="K1076" s="2">
        <f t="shared" si="136"/>
        <v>-350.59464538612696</v>
      </c>
      <c r="L1076" s="3">
        <f>C1076/B1076</f>
        <v>3.5866873065015477</v>
      </c>
      <c r="M1076" s="3">
        <f t="shared" si="139"/>
        <v>3.6035680135410728</v>
      </c>
      <c r="N1076" s="3">
        <f t="shared" si="143"/>
        <v>3.5874689658199026</v>
      </c>
      <c r="O1076" s="3">
        <f t="shared" si="135"/>
        <v>3.5400576325729083</v>
      </c>
      <c r="P1076" s="3">
        <f t="shared" si="137"/>
        <v>3.3895443913528687</v>
      </c>
      <c r="Q1076" s="4" t="str">
        <f t="shared" si="142"/>
        <v>UNDER</v>
      </c>
      <c r="R1076" s="4" t="str">
        <f t="shared" si="142"/>
        <v>UNDER</v>
      </c>
      <c r="S1076" s="4" t="str">
        <f t="shared" si="140"/>
        <v>OVER</v>
      </c>
      <c r="T1076" s="4" t="str">
        <f t="shared" si="140"/>
        <v>OVER</v>
      </c>
      <c r="U1076" s="2">
        <f>IF(Q1076="OVER",$J1076,$K1076)</f>
        <v>-350.59464538612696</v>
      </c>
      <c r="V1076" s="2">
        <f>IF(R1076="OVER",$J1076,$K1076)</f>
        <v>-350.59464538612696</v>
      </c>
      <c r="W1076" s="2">
        <f>IF(S1076="OVER",$J1076,$K1076)</f>
        <v>350.59464538612696</v>
      </c>
      <c r="X1076" s="2">
        <f>IF(T1076="OVER",$J1076,$K1076)</f>
        <v>350.59464538612696</v>
      </c>
      <c r="Y1076" s="9">
        <f t="shared" si="141"/>
        <v>-10077.640462191101</v>
      </c>
      <c r="Z1076" s="9">
        <f t="shared" si="141"/>
        <v>11745.811616968318</v>
      </c>
      <c r="AA1076" s="9">
        <f t="shared" si="141"/>
        <v>71144.509134190695</v>
      </c>
      <c r="AB1076" s="9">
        <f t="shared" si="138"/>
        <v>34239.686156276293</v>
      </c>
    </row>
    <row r="1077" spans="1:28" x14ac:dyDescent="0.3">
      <c r="A1077" s="1">
        <v>45978</v>
      </c>
      <c r="B1077" s="2">
        <v>184.88</v>
      </c>
      <c r="C1077" s="2">
        <v>665.67</v>
      </c>
      <c r="D1077" s="9">
        <f>B1077-B1076</f>
        <v>-2.460000000000008</v>
      </c>
      <c r="E1077" s="9">
        <f>C1077-C1076</f>
        <v>-6.2599999999999909</v>
      </c>
      <c r="F1077" s="3">
        <f>F$1/B1077</f>
        <v>540.89138900908699</v>
      </c>
      <c r="G1077" s="3">
        <f>F$1/C1077</f>
        <v>150.22458575570479</v>
      </c>
      <c r="H1077" s="2">
        <f>D1077*F1076</f>
        <v>-1313.1205295185266</v>
      </c>
      <c r="I1077" s="2">
        <f>E1077*G1076</f>
        <v>-931.6446653669268</v>
      </c>
      <c r="J1077" s="2">
        <f>I1077-H1077</f>
        <v>381.47586415159981</v>
      </c>
      <c r="K1077" s="2">
        <f t="shared" si="136"/>
        <v>-381.47586415159981</v>
      </c>
      <c r="L1077" s="3">
        <f>C1077/B1077</f>
        <v>3.6005517092167891</v>
      </c>
      <c r="M1077" s="3">
        <f t="shared" si="139"/>
        <v>3.5991168634513899</v>
      </c>
      <c r="N1077" s="3">
        <f t="shared" si="143"/>
        <v>3.5907363216741275</v>
      </c>
      <c r="O1077" s="3">
        <f t="shared" ref="O1077:O1140" si="144">AVERAGE(L1028:L1077)</f>
        <v>3.5431505085969599</v>
      </c>
      <c r="P1077" s="3">
        <f t="shared" si="137"/>
        <v>3.3909443028453228</v>
      </c>
      <c r="Q1077" s="4" t="str">
        <f t="shared" si="142"/>
        <v>UNDER</v>
      </c>
      <c r="R1077" s="4" t="str">
        <f t="shared" si="142"/>
        <v>UNDER</v>
      </c>
      <c r="S1077" s="4" t="str">
        <f t="shared" si="140"/>
        <v>OVER</v>
      </c>
      <c r="T1077" s="4" t="str">
        <f t="shared" si="140"/>
        <v>OVER</v>
      </c>
      <c r="U1077" s="2">
        <f>IF(Q1077="OVER",$J1077,$K1077)</f>
        <v>-381.47586415159981</v>
      </c>
      <c r="V1077" s="2">
        <f>IF(R1077="OVER",$J1077,$K1077)</f>
        <v>-381.47586415159981</v>
      </c>
      <c r="W1077" s="2">
        <f>IF(S1077="OVER",$J1077,$K1077)</f>
        <v>381.47586415159981</v>
      </c>
      <c r="X1077" s="2">
        <f>IF(T1077="OVER",$J1077,$K1077)</f>
        <v>381.47586415159981</v>
      </c>
      <c r="Y1077" s="9">
        <f t="shared" si="141"/>
        <v>-10459.116326342701</v>
      </c>
      <c r="Z1077" s="9">
        <f t="shared" si="141"/>
        <v>11364.335752816718</v>
      </c>
      <c r="AA1077" s="9">
        <f t="shared" si="141"/>
        <v>71525.98499834229</v>
      </c>
      <c r="AB1077" s="9">
        <f t="shared" si="138"/>
        <v>34621.162020427895</v>
      </c>
    </row>
    <row r="1078" spans="1:28" x14ac:dyDescent="0.3">
      <c r="A1078" s="1">
        <v>45979</v>
      </c>
      <c r="B1078" s="2">
        <v>184.99</v>
      </c>
      <c r="C1078" s="2">
        <v>660.08</v>
      </c>
      <c r="D1078" s="9">
        <f>B1078-B1077</f>
        <v>0.11000000000001364</v>
      </c>
      <c r="E1078" s="9">
        <f>C1078-C1077</f>
        <v>-5.5899999999999181</v>
      </c>
      <c r="F1078" s="3">
        <f>F$1/B1078</f>
        <v>540.56976052759603</v>
      </c>
      <c r="G1078" s="3">
        <f>F$1/C1078</f>
        <v>151.49678826808869</v>
      </c>
      <c r="H1078" s="2">
        <f>D1078*F1077</f>
        <v>59.498052791006948</v>
      </c>
      <c r="I1078" s="2">
        <f>E1078*G1077</f>
        <v>-839.7554343743775</v>
      </c>
      <c r="J1078" s="2">
        <f>I1078-H1078</f>
        <v>-899.2534871653844</v>
      </c>
      <c r="K1078" s="2">
        <f t="shared" si="136"/>
        <v>899.2534871653844</v>
      </c>
      <c r="L1078" s="3">
        <f>C1078/B1078</f>
        <v>3.5681928752905563</v>
      </c>
      <c r="M1078" s="3">
        <f t="shared" si="139"/>
        <v>3.5933522493534249</v>
      </c>
      <c r="N1078" s="3">
        <f t="shared" si="143"/>
        <v>3.5931945081100749</v>
      </c>
      <c r="O1078" s="3">
        <f t="shared" si="144"/>
        <v>3.5452234386082311</v>
      </c>
      <c r="P1078" s="3">
        <f t="shared" si="137"/>
        <v>3.3922035751274624</v>
      </c>
      <c r="Q1078" s="4" t="str">
        <f t="shared" si="142"/>
        <v>OVER</v>
      </c>
      <c r="R1078" s="4" t="str">
        <f t="shared" si="142"/>
        <v>OVER</v>
      </c>
      <c r="S1078" s="4" t="str">
        <f t="shared" si="140"/>
        <v>OVER</v>
      </c>
      <c r="T1078" s="4" t="str">
        <f t="shared" si="140"/>
        <v>OVER</v>
      </c>
      <c r="U1078" s="2">
        <f>IF(Q1078="OVER",$J1078,$K1078)</f>
        <v>-899.2534871653844</v>
      </c>
      <c r="V1078" s="2">
        <f>IF(R1078="OVER",$J1078,$K1078)</f>
        <v>-899.2534871653844</v>
      </c>
      <c r="W1078" s="2">
        <f>IF(S1078="OVER",$J1078,$K1078)</f>
        <v>-899.2534871653844</v>
      </c>
      <c r="X1078" s="2">
        <f>IF(T1078="OVER",$J1078,$K1078)</f>
        <v>-899.2534871653844</v>
      </c>
      <c r="Y1078" s="9">
        <f t="shared" si="141"/>
        <v>-11358.369813508085</v>
      </c>
      <c r="Z1078" s="9">
        <f t="shared" si="141"/>
        <v>10465.082265651334</v>
      </c>
      <c r="AA1078" s="9">
        <f t="shared" si="141"/>
        <v>70626.731511176898</v>
      </c>
      <c r="AB1078" s="9">
        <f t="shared" si="138"/>
        <v>33721.908533262511</v>
      </c>
    </row>
    <row r="1079" spans="1:28" x14ac:dyDescent="0.3">
      <c r="A1079" s="1">
        <v>45980</v>
      </c>
      <c r="B1079" s="2">
        <v>184.43</v>
      </c>
      <c r="C1079" s="2">
        <v>662.63</v>
      </c>
      <c r="D1079" s="9">
        <f>B1079-B1078</f>
        <v>-0.56000000000000227</v>
      </c>
      <c r="E1079" s="9">
        <f>C1079-C1078</f>
        <v>2.5499999999999545</v>
      </c>
      <c r="F1079" s="3">
        <f>F$1/B1079</f>
        <v>542.21113701675426</v>
      </c>
      <c r="G1079" s="3">
        <f>F$1/C1079</f>
        <v>150.91378295579736</v>
      </c>
      <c r="H1079" s="2">
        <f>D1079*F1078</f>
        <v>-302.719065895455</v>
      </c>
      <c r="I1079" s="2">
        <f>E1079*G1078</f>
        <v>386.31681008361926</v>
      </c>
      <c r="J1079" s="2">
        <f>I1079-H1079</f>
        <v>689.03587597907426</v>
      </c>
      <c r="K1079" s="2">
        <f t="shared" si="136"/>
        <v>-689.03587597907426</v>
      </c>
      <c r="L1079" s="3">
        <f>C1079/B1079</f>
        <v>3.592853657214119</v>
      </c>
      <c r="M1079" s="3">
        <f t="shared" si="139"/>
        <v>3.5909143607506855</v>
      </c>
      <c r="N1079" s="3">
        <f t="shared" si="143"/>
        <v>3.5969522352185685</v>
      </c>
      <c r="O1079" s="3">
        <f t="shared" si="144"/>
        <v>3.5475188649948337</v>
      </c>
      <c r="P1079" s="3">
        <f t="shared" si="137"/>
        <v>3.3934952662538946</v>
      </c>
      <c r="Q1079" s="4" t="str">
        <f t="shared" si="142"/>
        <v>UNDER</v>
      </c>
      <c r="R1079" s="4" t="str">
        <f t="shared" si="142"/>
        <v>UNDER</v>
      </c>
      <c r="S1079" s="4" t="str">
        <f t="shared" si="140"/>
        <v>OVER</v>
      </c>
      <c r="T1079" s="4" t="str">
        <f t="shared" si="140"/>
        <v>OVER</v>
      </c>
      <c r="U1079" s="2">
        <f>IF(Q1079="OVER",$J1079,$K1079)</f>
        <v>-689.03587597907426</v>
      </c>
      <c r="V1079" s="2">
        <f>IF(R1079="OVER",$J1079,$K1079)</f>
        <v>-689.03587597907426</v>
      </c>
      <c r="W1079" s="2">
        <f>IF(S1079="OVER",$J1079,$K1079)</f>
        <v>689.03587597907426</v>
      </c>
      <c r="X1079" s="2">
        <f>IF(T1079="OVER",$J1079,$K1079)</f>
        <v>689.03587597907426</v>
      </c>
      <c r="Y1079" s="9">
        <f t="shared" si="141"/>
        <v>-12047.405689487159</v>
      </c>
      <c r="Z1079" s="9">
        <f t="shared" si="141"/>
        <v>9776.0463896722595</v>
      </c>
      <c r="AA1079" s="9">
        <f t="shared" si="141"/>
        <v>71315.767387155967</v>
      </c>
      <c r="AB1079" s="9">
        <f t="shared" si="138"/>
        <v>34410.944409241587</v>
      </c>
    </row>
    <row r="1080" spans="1:28" x14ac:dyDescent="0.3">
      <c r="A1080" s="1">
        <v>45981</v>
      </c>
      <c r="B1080" s="2">
        <v>182.18</v>
      </c>
      <c r="C1080" s="2">
        <v>652.53</v>
      </c>
      <c r="D1080" s="9">
        <f>B1080-B1079</f>
        <v>-2.25</v>
      </c>
      <c r="E1080" s="9">
        <f>C1080-C1079</f>
        <v>-10.100000000000023</v>
      </c>
      <c r="F1080" s="3">
        <f>F$1/B1080</f>
        <v>548.90767372927871</v>
      </c>
      <c r="G1080" s="3">
        <f>F$1/C1080</f>
        <v>153.2496590195087</v>
      </c>
      <c r="H1080" s="2">
        <f>D1080*F1079</f>
        <v>-1219.975058287697</v>
      </c>
      <c r="I1080" s="2">
        <f>E1080*G1079</f>
        <v>-1524.2292078535568</v>
      </c>
      <c r="J1080" s="2">
        <f>I1080-H1080</f>
        <v>-304.25414956585973</v>
      </c>
      <c r="K1080" s="2">
        <f t="shared" si="136"/>
        <v>304.25414956585973</v>
      </c>
      <c r="L1080" s="3">
        <f>C1080/B1080</f>
        <v>3.5817872433856621</v>
      </c>
      <c r="M1080" s="3">
        <f t="shared" si="139"/>
        <v>3.5887113646591446</v>
      </c>
      <c r="N1080" s="3">
        <f t="shared" si="143"/>
        <v>3.5999484863466442</v>
      </c>
      <c r="O1080" s="3">
        <f t="shared" si="144"/>
        <v>3.5500504223986682</v>
      </c>
      <c r="P1080" s="3">
        <f t="shared" si="137"/>
        <v>3.3947452556828437</v>
      </c>
      <c r="Q1080" s="4" t="str">
        <f t="shared" si="142"/>
        <v>OVER</v>
      </c>
      <c r="R1080" s="4" t="str">
        <f t="shared" si="142"/>
        <v>UNDER</v>
      </c>
      <c r="S1080" s="4" t="str">
        <f t="shared" si="140"/>
        <v>OVER</v>
      </c>
      <c r="T1080" s="4" t="str">
        <f t="shared" si="140"/>
        <v>OVER</v>
      </c>
      <c r="U1080" s="2">
        <f>IF(Q1080="OVER",$J1080,$K1080)</f>
        <v>-304.25414956585973</v>
      </c>
      <c r="V1080" s="2">
        <f>IF(R1080="OVER",$J1080,$K1080)</f>
        <v>304.25414956585973</v>
      </c>
      <c r="W1080" s="2">
        <f>IF(S1080="OVER",$J1080,$K1080)</f>
        <v>-304.25414956585973</v>
      </c>
      <c r="X1080" s="2">
        <f>IF(T1080="OVER",$J1080,$K1080)</f>
        <v>-304.25414956585973</v>
      </c>
      <c r="Y1080" s="9">
        <f t="shared" si="141"/>
        <v>-12351.65983905302</v>
      </c>
      <c r="Z1080" s="9">
        <f t="shared" si="141"/>
        <v>10080.30053923812</v>
      </c>
      <c r="AA1080" s="9">
        <f t="shared" si="141"/>
        <v>71011.513237590101</v>
      </c>
      <c r="AB1080" s="9">
        <f t="shared" si="138"/>
        <v>34106.690259675728</v>
      </c>
    </row>
    <row r="1081" spans="1:28" x14ac:dyDescent="0.3">
      <c r="A1081" s="1">
        <v>45982</v>
      </c>
      <c r="B1081" s="2">
        <v>185.76</v>
      </c>
      <c r="C1081" s="2">
        <v>659.03</v>
      </c>
      <c r="D1081" s="9">
        <f>B1081-B1080</f>
        <v>3.5799999999999841</v>
      </c>
      <c r="E1081" s="9">
        <f>C1081-C1080</f>
        <v>6.5</v>
      </c>
      <c r="F1081" s="3">
        <f>F$1/B1081</f>
        <v>538.3290267011198</v>
      </c>
      <c r="G1081" s="3">
        <f>F$1/C1081</f>
        <v>151.73816063001684</v>
      </c>
      <c r="H1081" s="2">
        <f>D1081*F1080</f>
        <v>1965.089471950809</v>
      </c>
      <c r="I1081" s="2">
        <f>E1081*G1080</f>
        <v>996.12278362680649</v>
      </c>
      <c r="J1081" s="2">
        <f>I1081-H1081</f>
        <v>-968.96668832400246</v>
      </c>
      <c r="K1081" s="2">
        <f t="shared" si="136"/>
        <v>968.96668832400246</v>
      </c>
      <c r="L1081" s="3">
        <f>C1081/B1081</f>
        <v>3.5477497846683894</v>
      </c>
      <c r="M1081" s="3">
        <f t="shared" si="139"/>
        <v>3.5857501520404638</v>
      </c>
      <c r="N1081" s="3">
        <f t="shared" si="143"/>
        <v>3.6002864095443003</v>
      </c>
      <c r="O1081" s="3">
        <f t="shared" si="144"/>
        <v>3.5514234959921214</v>
      </c>
      <c r="P1081" s="3">
        <f t="shared" si="137"/>
        <v>3.3957450062074224</v>
      </c>
      <c r="Q1081" s="4" t="str">
        <f t="shared" si="142"/>
        <v>UNDER</v>
      </c>
      <c r="R1081" s="4" t="str">
        <f t="shared" si="142"/>
        <v>UNDER</v>
      </c>
      <c r="S1081" s="4" t="str">
        <f t="shared" si="140"/>
        <v>UNDER</v>
      </c>
      <c r="T1081" s="4" t="str">
        <f t="shared" si="140"/>
        <v>OVER</v>
      </c>
      <c r="U1081" s="2">
        <f>IF(Q1081="OVER",$J1081,$K1081)</f>
        <v>968.96668832400246</v>
      </c>
      <c r="V1081" s="2">
        <f>IF(R1081="OVER",$J1081,$K1081)</f>
        <v>968.96668832400246</v>
      </c>
      <c r="W1081" s="2">
        <f>IF(S1081="OVER",$J1081,$K1081)</f>
        <v>968.96668832400246</v>
      </c>
      <c r="X1081" s="2">
        <f>IF(T1081="OVER",$J1081,$K1081)</f>
        <v>-968.96668832400246</v>
      </c>
      <c r="Y1081" s="9">
        <f t="shared" si="141"/>
        <v>-11382.693150729017</v>
      </c>
      <c r="Z1081" s="9">
        <f t="shared" si="141"/>
        <v>11049.267227562123</v>
      </c>
      <c r="AA1081" s="9">
        <f t="shared" si="141"/>
        <v>71980.4799259141</v>
      </c>
      <c r="AB1081" s="9">
        <f t="shared" si="138"/>
        <v>33137.723571351729</v>
      </c>
    </row>
    <row r="1082" spans="1:28" x14ac:dyDescent="0.3">
      <c r="A1082" s="1">
        <v>45985</v>
      </c>
      <c r="B1082" s="2">
        <v>186.53</v>
      </c>
      <c r="C1082" s="2">
        <v>668.73</v>
      </c>
      <c r="D1082" s="9">
        <f>B1082-B1081</f>
        <v>0.77000000000001023</v>
      </c>
      <c r="E1082" s="9">
        <f>C1082-C1081</f>
        <v>9.7000000000000455</v>
      </c>
      <c r="F1082" s="3">
        <f>F$1/B1082</f>
        <v>536.10679247306064</v>
      </c>
      <c r="G1082" s="3">
        <f>F$1/C1082</f>
        <v>149.53718242040884</v>
      </c>
      <c r="H1082" s="2">
        <f>D1082*F1081</f>
        <v>414.51335055986777</v>
      </c>
      <c r="I1082" s="2">
        <f>E1082*G1081</f>
        <v>1471.8601581111702</v>
      </c>
      <c r="J1082" s="2">
        <f>I1082-H1082</f>
        <v>1057.3468075513024</v>
      </c>
      <c r="K1082" s="2">
        <f t="shared" si="136"/>
        <v>-1057.3468075513024</v>
      </c>
      <c r="L1082" s="3">
        <f>C1082/B1082</f>
        <v>3.5851069533050985</v>
      </c>
      <c r="M1082" s="3">
        <f t="shared" si="139"/>
        <v>3.5830225097967583</v>
      </c>
      <c r="N1082" s="3">
        <f t="shared" si="143"/>
        <v>3.6011960177894315</v>
      </c>
      <c r="O1082" s="3">
        <f t="shared" si="144"/>
        <v>3.5530508855486009</v>
      </c>
      <c r="P1082" s="3">
        <f t="shared" si="137"/>
        <v>3.3970028570320987</v>
      </c>
      <c r="Q1082" s="4" t="str">
        <f t="shared" si="142"/>
        <v>UNDER</v>
      </c>
      <c r="R1082" s="4" t="str">
        <f t="shared" si="142"/>
        <v>UNDER</v>
      </c>
      <c r="S1082" s="4" t="str">
        <f t="shared" si="140"/>
        <v>OVER</v>
      </c>
      <c r="T1082" s="4" t="str">
        <f t="shared" si="140"/>
        <v>OVER</v>
      </c>
      <c r="U1082" s="2">
        <f>IF(Q1082="OVER",$J1082,$K1082)</f>
        <v>-1057.3468075513024</v>
      </c>
      <c r="V1082" s="2">
        <f>IF(R1082="OVER",$J1082,$K1082)</f>
        <v>-1057.3468075513024</v>
      </c>
      <c r="W1082" s="2">
        <f>IF(S1082="OVER",$J1082,$K1082)</f>
        <v>1057.3468075513024</v>
      </c>
      <c r="X1082" s="2">
        <f>IF(T1082="OVER",$J1082,$K1082)</f>
        <v>1057.3468075513024</v>
      </c>
      <c r="Y1082" s="9">
        <f t="shared" si="141"/>
        <v>-12440.03995828032</v>
      </c>
      <c r="Z1082" s="9">
        <f t="shared" si="141"/>
        <v>9991.9204200108197</v>
      </c>
      <c r="AA1082" s="9">
        <f t="shared" si="141"/>
        <v>73037.826733465408</v>
      </c>
      <c r="AB1082" s="9">
        <f t="shared" si="138"/>
        <v>34195.07037890303</v>
      </c>
    </row>
    <row r="1083" spans="1:28" x14ac:dyDescent="0.3">
      <c r="A1083" s="1">
        <v>45986</v>
      </c>
      <c r="B1083" s="2">
        <v>189.18</v>
      </c>
      <c r="C1083" s="2">
        <v>675.02</v>
      </c>
      <c r="D1083" s="9">
        <f>B1083-B1082</f>
        <v>2.6500000000000057</v>
      </c>
      <c r="E1083" s="9">
        <f>C1083-C1082</f>
        <v>6.2899999999999636</v>
      </c>
      <c r="F1083" s="3">
        <f>F$1/B1083</f>
        <v>528.59710328787401</v>
      </c>
      <c r="G1083" s="3">
        <f>F$1/C1083</f>
        <v>148.14375870344583</v>
      </c>
      <c r="H1083" s="2">
        <f>D1083*F1082</f>
        <v>1420.6830000536138</v>
      </c>
      <c r="I1083" s="2">
        <f>E1083*G1082</f>
        <v>940.58887742436616</v>
      </c>
      <c r="J1083" s="2">
        <f>I1083-H1083</f>
        <v>-480.09412262924764</v>
      </c>
      <c r="K1083" s="2">
        <f t="shared" si="136"/>
        <v>480.09412262924764</v>
      </c>
      <c r="L1083" s="3">
        <f>C1083/B1083</f>
        <v>3.5681361666138067</v>
      </c>
      <c r="M1083" s="3">
        <f t="shared" si="139"/>
        <v>3.5798508842718739</v>
      </c>
      <c r="N1083" s="3">
        <f t="shared" si="143"/>
        <v>3.5992342447907086</v>
      </c>
      <c r="O1083" s="3">
        <f t="shared" si="144"/>
        <v>3.5542493607545822</v>
      </c>
      <c r="P1083" s="3">
        <f t="shared" si="137"/>
        <v>3.3981100127171571</v>
      </c>
      <c r="Q1083" s="4" t="str">
        <f t="shared" si="142"/>
        <v>OVER</v>
      </c>
      <c r="R1083" s="4" t="str">
        <f t="shared" si="142"/>
        <v>UNDER</v>
      </c>
      <c r="S1083" s="4" t="str">
        <f t="shared" si="140"/>
        <v>OVER</v>
      </c>
      <c r="T1083" s="4" t="str">
        <f t="shared" si="140"/>
        <v>OVER</v>
      </c>
      <c r="U1083" s="2">
        <f>IF(Q1083="OVER",$J1083,$K1083)</f>
        <v>-480.09412262924764</v>
      </c>
      <c r="V1083" s="2">
        <f>IF(R1083="OVER",$J1083,$K1083)</f>
        <v>480.09412262924764</v>
      </c>
      <c r="W1083" s="2">
        <f>IF(S1083="OVER",$J1083,$K1083)</f>
        <v>-480.09412262924764</v>
      </c>
      <c r="X1083" s="2">
        <f>IF(T1083="OVER",$J1083,$K1083)</f>
        <v>-480.09412262924764</v>
      </c>
      <c r="Y1083" s="9">
        <f t="shared" si="141"/>
        <v>-12920.134080909567</v>
      </c>
      <c r="Z1083" s="9">
        <f t="shared" si="141"/>
        <v>10472.014542640067</v>
      </c>
      <c r="AA1083" s="9">
        <f t="shared" si="141"/>
        <v>72557.732610836159</v>
      </c>
      <c r="AB1083" s="9">
        <f t="shared" si="138"/>
        <v>33714.976256273781</v>
      </c>
    </row>
    <row r="1084" spans="1:28" x14ac:dyDescent="0.3">
      <c r="A1084" s="1">
        <v>45987</v>
      </c>
      <c r="B1084" s="2">
        <v>190.5</v>
      </c>
      <c r="C1084" s="2">
        <v>679.68</v>
      </c>
      <c r="D1084" s="9">
        <f>B1084-B1083</f>
        <v>1.3199999999999932</v>
      </c>
      <c r="E1084" s="9">
        <f>C1084-C1083</f>
        <v>4.6599999999999682</v>
      </c>
      <c r="F1084" s="3">
        <f>F$1/B1084</f>
        <v>524.93438320209975</v>
      </c>
      <c r="G1084" s="3">
        <f>F$1/C1084</f>
        <v>147.12806026365348</v>
      </c>
      <c r="H1084" s="2">
        <f>D1084*F1083</f>
        <v>697.7481763399901</v>
      </c>
      <c r="I1084" s="2">
        <f>E1084*G1083</f>
        <v>690.34991555805288</v>
      </c>
      <c r="J1084" s="2">
        <f>I1084-H1084</f>
        <v>-7.3982607819372106</v>
      </c>
      <c r="K1084" s="2">
        <f t="shared" si="136"/>
        <v>7.3982607819372106</v>
      </c>
      <c r="L1084" s="3">
        <f>C1084/B1084</f>
        <v>3.5678740157480311</v>
      </c>
      <c r="M1084" s="3">
        <f t="shared" si="139"/>
        <v>3.5773050226223639</v>
      </c>
      <c r="N1084" s="3">
        <f t="shared" si="143"/>
        <v>3.5951317952037676</v>
      </c>
      <c r="O1084" s="3">
        <f t="shared" si="144"/>
        <v>3.5555967513239106</v>
      </c>
      <c r="P1084" s="3">
        <f t="shared" si="137"/>
        <v>3.3992049844556478</v>
      </c>
      <c r="Q1084" s="4" t="str">
        <f t="shared" si="142"/>
        <v>UNDER</v>
      </c>
      <c r="R1084" s="4" t="str">
        <f t="shared" si="142"/>
        <v>UNDER</v>
      </c>
      <c r="S1084" s="4" t="str">
        <f t="shared" si="140"/>
        <v>OVER</v>
      </c>
      <c r="T1084" s="4" t="str">
        <f t="shared" si="140"/>
        <v>OVER</v>
      </c>
      <c r="U1084" s="2">
        <f>IF(Q1084="OVER",$J1084,$K1084)</f>
        <v>7.3982607819372106</v>
      </c>
      <c r="V1084" s="2">
        <f>IF(R1084="OVER",$J1084,$K1084)</f>
        <v>7.3982607819372106</v>
      </c>
      <c r="W1084" s="2">
        <f>IF(S1084="OVER",$J1084,$K1084)</f>
        <v>-7.3982607819372106</v>
      </c>
      <c r="X1084" s="2">
        <f>IF(T1084="OVER",$J1084,$K1084)</f>
        <v>-7.3982607819372106</v>
      </c>
      <c r="Y1084" s="9">
        <f t="shared" si="141"/>
        <v>-12912.735820127629</v>
      </c>
      <c r="Z1084" s="9">
        <f t="shared" si="141"/>
        <v>10479.412803422005</v>
      </c>
      <c r="AA1084" s="9">
        <f t="shared" si="141"/>
        <v>72550.334350054225</v>
      </c>
      <c r="AB1084" s="9">
        <f t="shared" si="138"/>
        <v>33707.577995491847</v>
      </c>
    </row>
    <row r="1085" spans="1:28" x14ac:dyDescent="0.3">
      <c r="A1085" s="1">
        <v>45989</v>
      </c>
      <c r="B1085" s="2">
        <v>191.53</v>
      </c>
      <c r="C1085" s="2">
        <v>683.39</v>
      </c>
      <c r="D1085" s="9">
        <f>B1085-B1084</f>
        <v>1.0300000000000011</v>
      </c>
      <c r="E1085" s="9">
        <f>C1085-C1084</f>
        <v>3.7100000000000364</v>
      </c>
      <c r="F1085" s="3">
        <f>F$1/B1085</f>
        <v>522.1114185767243</v>
      </c>
      <c r="G1085" s="3">
        <f>F$1/C1085</f>
        <v>146.32932878736887</v>
      </c>
      <c r="H1085" s="2">
        <f>D1085*F1084</f>
        <v>540.68241469816337</v>
      </c>
      <c r="I1085" s="2">
        <f>E1085*G1084</f>
        <v>545.84510357815975</v>
      </c>
      <c r="J1085" s="2">
        <f>I1085-H1085</f>
        <v>5.1626888799963808</v>
      </c>
      <c r="K1085" s="2">
        <f t="shared" si="136"/>
        <v>-5.1626888799963808</v>
      </c>
      <c r="L1085" s="3">
        <f>C1085/B1085</f>
        <v>3.568057223411476</v>
      </c>
      <c r="M1085" s="3">
        <f t="shared" si="139"/>
        <v>3.5766996935355477</v>
      </c>
      <c r="N1085" s="3">
        <f t="shared" si="143"/>
        <v>3.5922659916985729</v>
      </c>
      <c r="O1085" s="3">
        <f t="shared" si="144"/>
        <v>3.557077131837302</v>
      </c>
      <c r="P1085" s="3">
        <f t="shared" si="137"/>
        <v>3.4002572906060942</v>
      </c>
      <c r="Q1085" s="4" t="str">
        <f t="shared" si="142"/>
        <v>UNDER</v>
      </c>
      <c r="R1085" s="4" t="str">
        <f t="shared" si="142"/>
        <v>UNDER</v>
      </c>
      <c r="S1085" s="4" t="str">
        <f t="shared" si="140"/>
        <v>OVER</v>
      </c>
      <c r="T1085" s="4" t="str">
        <f t="shared" si="140"/>
        <v>OVER</v>
      </c>
      <c r="U1085" s="2">
        <f>IF(Q1085="OVER",$J1085,$K1085)</f>
        <v>-5.1626888799963808</v>
      </c>
      <c r="V1085" s="2">
        <f>IF(R1085="OVER",$J1085,$K1085)</f>
        <v>-5.1626888799963808</v>
      </c>
      <c r="W1085" s="2">
        <f>IF(S1085="OVER",$J1085,$K1085)</f>
        <v>5.1626888799963808</v>
      </c>
      <c r="X1085" s="2">
        <f>IF(T1085="OVER",$J1085,$K1085)</f>
        <v>5.1626888799963808</v>
      </c>
      <c r="Y1085" s="9">
        <f t="shared" si="141"/>
        <v>-12917.898509007626</v>
      </c>
      <c r="Z1085" s="9">
        <f t="shared" si="141"/>
        <v>10474.250114542008</v>
      </c>
      <c r="AA1085" s="9">
        <f t="shared" si="141"/>
        <v>72555.49703893422</v>
      </c>
      <c r="AB1085" s="9">
        <f t="shared" si="138"/>
        <v>33712.740684371842</v>
      </c>
    </row>
    <row r="1086" spans="1:28" x14ac:dyDescent="0.3">
      <c r="A1086" s="1">
        <v>45992</v>
      </c>
      <c r="B1086" s="2">
        <v>190.22</v>
      </c>
      <c r="C1086" s="2">
        <v>680.27</v>
      </c>
      <c r="D1086" s="9">
        <f>B1086-B1085</f>
        <v>-1.3100000000000023</v>
      </c>
      <c r="E1086" s="9">
        <f>C1086-C1085</f>
        <v>-3.1200000000000045</v>
      </c>
      <c r="F1086" s="3">
        <f>F$1/B1086</f>
        <v>525.70707601724314</v>
      </c>
      <c r="G1086" s="3">
        <f>F$1/C1086</f>
        <v>147.00045570141268</v>
      </c>
      <c r="H1086" s="2">
        <f>D1086*F1085</f>
        <v>-683.96595833550998</v>
      </c>
      <c r="I1086" s="2">
        <f>E1086*G1085</f>
        <v>-456.54750581659152</v>
      </c>
      <c r="J1086" s="2">
        <f>I1086-H1086</f>
        <v>227.41845251891846</v>
      </c>
      <c r="K1086" s="2">
        <f t="shared" si="136"/>
        <v>-227.41845251891846</v>
      </c>
      <c r="L1086" s="3">
        <f>C1086/B1086</f>
        <v>3.5762275260225</v>
      </c>
      <c r="M1086" s="3">
        <f t="shared" si="139"/>
        <v>3.5756537154876433</v>
      </c>
      <c r="N1086" s="3">
        <f t="shared" si="143"/>
        <v>3.5896108645143578</v>
      </c>
      <c r="O1086" s="3">
        <f t="shared" si="144"/>
        <v>3.5584468279631642</v>
      </c>
      <c r="P1086" s="3">
        <f t="shared" si="137"/>
        <v>3.4013192182615848</v>
      </c>
      <c r="Q1086" s="4" t="str">
        <f t="shared" si="142"/>
        <v>UNDER</v>
      </c>
      <c r="R1086" s="4" t="str">
        <f t="shared" si="142"/>
        <v>UNDER</v>
      </c>
      <c r="S1086" s="4" t="str">
        <f t="shared" si="140"/>
        <v>OVER</v>
      </c>
      <c r="T1086" s="4" t="str">
        <f t="shared" si="140"/>
        <v>OVER</v>
      </c>
      <c r="U1086" s="2">
        <f>IF(Q1086="OVER",$J1086,$K1086)</f>
        <v>-227.41845251891846</v>
      </c>
      <c r="V1086" s="2">
        <f>IF(R1086="OVER",$J1086,$K1086)</f>
        <v>-227.41845251891846</v>
      </c>
      <c r="W1086" s="2">
        <f>IF(S1086="OVER",$J1086,$K1086)</f>
        <v>227.41845251891846</v>
      </c>
      <c r="X1086" s="2">
        <f>IF(T1086="OVER",$J1086,$K1086)</f>
        <v>227.41845251891846</v>
      </c>
      <c r="Y1086" s="9">
        <f t="shared" si="141"/>
        <v>-13145.316961526543</v>
      </c>
      <c r="Z1086" s="9">
        <f t="shared" si="141"/>
        <v>10246.831662023091</v>
      </c>
      <c r="AA1086" s="9">
        <f t="shared" si="141"/>
        <v>72782.915491453139</v>
      </c>
      <c r="AB1086" s="9">
        <f t="shared" si="138"/>
        <v>33940.159136890761</v>
      </c>
    </row>
    <row r="1087" spans="1:28" x14ac:dyDescent="0.3">
      <c r="A1087" s="1">
        <v>45993</v>
      </c>
      <c r="B1087" s="2">
        <v>190.04</v>
      </c>
      <c r="C1087" s="2">
        <v>681.53</v>
      </c>
      <c r="D1087" s="9">
        <f>B1087-B1086</f>
        <v>-0.18000000000000682</v>
      </c>
      <c r="E1087" s="9">
        <f>C1087-C1086</f>
        <v>1.2599999999999909</v>
      </c>
      <c r="F1087" s="3">
        <f>F$1/B1087</f>
        <v>526.20500947169023</v>
      </c>
      <c r="G1087" s="3">
        <f>F$1/C1087</f>
        <v>146.7286839904333</v>
      </c>
      <c r="H1087" s="2">
        <f>D1087*F1086</f>
        <v>-94.627273683107347</v>
      </c>
      <c r="I1087" s="2">
        <f>E1087*G1086</f>
        <v>185.22057418377864</v>
      </c>
      <c r="J1087" s="2">
        <f>I1087-H1087</f>
        <v>279.84784786688601</v>
      </c>
      <c r="K1087" s="2">
        <f t="shared" si="136"/>
        <v>-279.84784786688601</v>
      </c>
      <c r="L1087" s="3">
        <f>C1087/B1087</f>
        <v>3.5862450010524101</v>
      </c>
      <c r="M1087" s="3">
        <f t="shared" si="139"/>
        <v>3.5742230446712049</v>
      </c>
      <c r="N1087" s="3">
        <f t="shared" si="143"/>
        <v>3.5866699540612976</v>
      </c>
      <c r="O1087" s="3">
        <f t="shared" si="144"/>
        <v>3.5594119656752143</v>
      </c>
      <c r="P1087" s="3">
        <f t="shared" si="137"/>
        <v>3.402415342758784</v>
      </c>
      <c r="Q1087" s="4" t="str">
        <f t="shared" si="142"/>
        <v>OVER</v>
      </c>
      <c r="R1087" s="4" t="str">
        <f t="shared" si="142"/>
        <v>UNDER</v>
      </c>
      <c r="S1087" s="4" t="str">
        <f t="shared" si="140"/>
        <v>OVER</v>
      </c>
      <c r="T1087" s="4" t="str">
        <f t="shared" si="140"/>
        <v>OVER</v>
      </c>
      <c r="U1087" s="2">
        <f>IF(Q1087="OVER",$J1087,$K1087)</f>
        <v>279.84784786688601</v>
      </c>
      <c r="V1087" s="2">
        <f>IF(R1087="OVER",$J1087,$K1087)</f>
        <v>-279.84784786688601</v>
      </c>
      <c r="W1087" s="2">
        <f>IF(S1087="OVER",$J1087,$K1087)</f>
        <v>279.84784786688601</v>
      </c>
      <c r="X1087" s="2">
        <f>IF(T1087="OVER",$J1087,$K1087)</f>
        <v>279.84784786688601</v>
      </c>
      <c r="Y1087" s="9">
        <f t="shared" si="141"/>
        <v>-12865.469113659658</v>
      </c>
      <c r="Z1087" s="9">
        <f t="shared" si="141"/>
        <v>9966.983814156205</v>
      </c>
      <c r="AA1087" s="9">
        <f t="shared" si="141"/>
        <v>73062.763339320023</v>
      </c>
      <c r="AB1087" s="9">
        <f t="shared" si="138"/>
        <v>34220.006984757645</v>
      </c>
    </row>
    <row r="1088" spans="1:28" x14ac:dyDescent="0.3">
      <c r="A1088" s="1">
        <v>45994</v>
      </c>
      <c r="B1088" s="2">
        <v>191.49</v>
      </c>
      <c r="C1088" s="2">
        <v>683.89</v>
      </c>
      <c r="D1088" s="9">
        <f>B1088-B1087</f>
        <v>1.4500000000000171</v>
      </c>
      <c r="E1088" s="9">
        <f>C1088-C1087</f>
        <v>2.3600000000000136</v>
      </c>
      <c r="F1088" s="3">
        <f>F$1/B1088</f>
        <v>522.22048148728391</v>
      </c>
      <c r="G1088" s="3">
        <f>F$1/C1088</f>
        <v>146.2223456988697</v>
      </c>
      <c r="H1088" s="2">
        <f>D1088*F1087</f>
        <v>762.99726373395981</v>
      </c>
      <c r="I1088" s="2">
        <f>E1088*G1087</f>
        <v>346.27969421742461</v>
      </c>
      <c r="J1088" s="2">
        <f>I1088-H1088</f>
        <v>-416.71756951653521</v>
      </c>
      <c r="K1088" s="2">
        <f t="shared" si="136"/>
        <v>416.71756951653521</v>
      </c>
      <c r="L1088" s="3">
        <f>C1088/B1088</f>
        <v>3.571413650843386</v>
      </c>
      <c r="M1088" s="3">
        <f t="shared" si="139"/>
        <v>3.5745451222264877</v>
      </c>
      <c r="N1088" s="3">
        <f t="shared" si="143"/>
        <v>3.5839486857899567</v>
      </c>
      <c r="O1088" s="3">
        <f t="shared" si="144"/>
        <v>3.5605514357669592</v>
      </c>
      <c r="P1088" s="3">
        <f t="shared" si="137"/>
        <v>3.4035165059327137</v>
      </c>
      <c r="Q1088" s="4" t="str">
        <f t="shared" si="142"/>
        <v>OVER</v>
      </c>
      <c r="R1088" s="4" t="str">
        <f t="shared" si="142"/>
        <v>UNDER</v>
      </c>
      <c r="S1088" s="4" t="str">
        <f t="shared" si="140"/>
        <v>OVER</v>
      </c>
      <c r="T1088" s="4" t="str">
        <f t="shared" si="140"/>
        <v>OVER</v>
      </c>
      <c r="U1088" s="2">
        <f>IF(Q1088="OVER",$J1088,$K1088)</f>
        <v>-416.71756951653521</v>
      </c>
      <c r="V1088" s="2">
        <f>IF(R1088="OVER",$J1088,$K1088)</f>
        <v>416.71756951653521</v>
      </c>
      <c r="W1088" s="2">
        <f>IF(S1088="OVER",$J1088,$K1088)</f>
        <v>-416.71756951653521</v>
      </c>
      <c r="X1088" s="2">
        <f>IF(T1088="OVER",$J1088,$K1088)</f>
        <v>-416.71756951653521</v>
      </c>
      <c r="Y1088" s="9">
        <f t="shared" si="141"/>
        <v>-13282.186683176193</v>
      </c>
      <c r="Z1088" s="9">
        <f t="shared" si="141"/>
        <v>10383.70138367274</v>
      </c>
      <c r="AA1088" s="9">
        <f t="shared" si="141"/>
        <v>72646.045769803488</v>
      </c>
      <c r="AB1088" s="9">
        <f t="shared" si="138"/>
        <v>33803.28941524111</v>
      </c>
    </row>
    <row r="1089" spans="1:28" x14ac:dyDescent="0.3">
      <c r="A1089" s="1">
        <v>45995</v>
      </c>
      <c r="B1089" s="2">
        <v>191.55</v>
      </c>
      <c r="C1089" s="2">
        <v>684.39</v>
      </c>
      <c r="D1089" s="9">
        <f>B1089-B1088</f>
        <v>6.0000000000002274E-2</v>
      </c>
      <c r="E1089" s="9">
        <f>C1089-C1088</f>
        <v>0.5</v>
      </c>
      <c r="F1089" s="3">
        <f>F$1/B1089</f>
        <v>522.05690420255803</v>
      </c>
      <c r="G1089" s="3">
        <f>F$1/C1089</f>
        <v>146.11551892926548</v>
      </c>
      <c r="H1089" s="2">
        <f>D1089*F1088</f>
        <v>31.333228889238221</v>
      </c>
      <c r="I1089" s="2">
        <f>E1089*G1088</f>
        <v>73.111172849434851</v>
      </c>
      <c r="J1089" s="2">
        <f>I1089-H1089</f>
        <v>41.77794396019663</v>
      </c>
      <c r="K1089" s="2">
        <f t="shared" si="136"/>
        <v>-41.77794396019663</v>
      </c>
      <c r="L1089" s="3">
        <f>C1089/B1089</f>
        <v>3.5729052466718869</v>
      </c>
      <c r="M1089" s="3">
        <f t="shared" si="139"/>
        <v>3.5725502811722643</v>
      </c>
      <c r="N1089" s="3">
        <f t="shared" si="143"/>
        <v>3.5817323209614758</v>
      </c>
      <c r="O1089" s="3">
        <f t="shared" si="144"/>
        <v>3.5617806141587276</v>
      </c>
      <c r="P1089" s="3">
        <f t="shared" si="137"/>
        <v>3.4046196560995661</v>
      </c>
      <c r="Q1089" s="4" t="str">
        <f t="shared" si="142"/>
        <v>UNDER</v>
      </c>
      <c r="R1089" s="4" t="str">
        <f t="shared" si="142"/>
        <v>UNDER</v>
      </c>
      <c r="S1089" s="4" t="str">
        <f t="shared" si="140"/>
        <v>OVER</v>
      </c>
      <c r="T1089" s="4" t="str">
        <f t="shared" si="140"/>
        <v>OVER</v>
      </c>
      <c r="U1089" s="2">
        <f>IF(Q1089="OVER",$J1089,$K1089)</f>
        <v>-41.77794396019663</v>
      </c>
      <c r="V1089" s="2">
        <f>IF(R1089="OVER",$J1089,$K1089)</f>
        <v>-41.77794396019663</v>
      </c>
      <c r="W1089" s="2">
        <f>IF(S1089="OVER",$J1089,$K1089)</f>
        <v>41.77794396019663</v>
      </c>
      <c r="X1089" s="2">
        <f>IF(T1089="OVER",$J1089,$K1089)</f>
        <v>41.77794396019663</v>
      </c>
      <c r="Y1089" s="9">
        <f t="shared" si="141"/>
        <v>-13323.964627136389</v>
      </c>
      <c r="Z1089" s="9">
        <f t="shared" si="141"/>
        <v>10341.923439712544</v>
      </c>
      <c r="AA1089" s="9">
        <f t="shared" si="141"/>
        <v>72687.82371376369</v>
      </c>
      <c r="AB1089" s="9">
        <f t="shared" si="138"/>
        <v>33845.067359201304</v>
      </c>
    </row>
    <row r="1090" spans="1:28" x14ac:dyDescent="0.3">
      <c r="A1090" s="1">
        <v>45996</v>
      </c>
      <c r="B1090" s="2">
        <v>192</v>
      </c>
      <c r="C1090" s="2">
        <v>685.69</v>
      </c>
      <c r="D1090" s="9">
        <f>B1090-B1089</f>
        <v>0.44999999999998863</v>
      </c>
      <c r="E1090" s="9">
        <f>C1090-C1089</f>
        <v>1.3000000000000682</v>
      </c>
      <c r="F1090" s="3">
        <f>F$1/B1090</f>
        <v>520.83333333333337</v>
      </c>
      <c r="G1090" s="3">
        <f>F$1/C1090</f>
        <v>145.83849844681998</v>
      </c>
      <c r="H1090" s="2">
        <f>D1090*F1089</f>
        <v>234.92560689114518</v>
      </c>
      <c r="I1090" s="2">
        <f>E1090*G1089</f>
        <v>189.95017460805508</v>
      </c>
      <c r="J1090" s="2">
        <f>I1090-H1090</f>
        <v>-44.9754322830901</v>
      </c>
      <c r="K1090" s="2">
        <f t="shared" si="136"/>
        <v>44.9754322830901</v>
      </c>
      <c r="L1090" s="3">
        <f>C1090/B1090</f>
        <v>3.5713020833333338</v>
      </c>
      <c r="M1090" s="3">
        <f t="shared" si="139"/>
        <v>3.5715017651670324</v>
      </c>
      <c r="N1090" s="3">
        <f t="shared" si="143"/>
        <v>3.580106564913089</v>
      </c>
      <c r="O1090" s="3">
        <f t="shared" si="144"/>
        <v>3.562721437316398</v>
      </c>
      <c r="P1090" s="3">
        <f t="shared" si="137"/>
        <v>3.4057424237812843</v>
      </c>
      <c r="Q1090" s="4" t="str">
        <f t="shared" si="142"/>
        <v>OVER</v>
      </c>
      <c r="R1090" s="4" t="str">
        <f t="shared" si="142"/>
        <v>UNDER</v>
      </c>
      <c r="S1090" s="4" t="str">
        <f t="shared" si="140"/>
        <v>OVER</v>
      </c>
      <c r="T1090" s="4" t="str">
        <f t="shared" si="140"/>
        <v>OVER</v>
      </c>
      <c r="U1090" s="2">
        <f>IF(Q1090="OVER",$J1090,$K1090)</f>
        <v>-44.9754322830901</v>
      </c>
      <c r="V1090" s="2">
        <f>IF(R1090="OVER",$J1090,$K1090)</f>
        <v>44.9754322830901</v>
      </c>
      <c r="W1090" s="2">
        <f>IF(S1090="OVER",$J1090,$K1090)</f>
        <v>-44.9754322830901</v>
      </c>
      <c r="X1090" s="2">
        <f>IF(T1090="OVER",$J1090,$K1090)</f>
        <v>-44.9754322830901</v>
      </c>
      <c r="Y1090" s="9">
        <f t="shared" si="141"/>
        <v>-13368.940059419479</v>
      </c>
      <c r="Z1090" s="9">
        <f t="shared" si="141"/>
        <v>10386.898871995634</v>
      </c>
      <c r="AA1090" s="9">
        <f t="shared" si="141"/>
        <v>72642.848281480605</v>
      </c>
      <c r="AB1090" s="9">
        <f t="shared" si="138"/>
        <v>33800.091926918212</v>
      </c>
    </row>
    <row r="1091" spans="1:28" x14ac:dyDescent="0.3">
      <c r="A1091" s="1">
        <v>45999</v>
      </c>
      <c r="B1091" s="2">
        <v>190.85</v>
      </c>
      <c r="C1091" s="2">
        <v>683.63</v>
      </c>
      <c r="D1091" s="9">
        <f>B1091-B1090</f>
        <v>-1.1500000000000057</v>
      </c>
      <c r="E1091" s="9">
        <f>C1091-C1090</f>
        <v>-2.0600000000000591</v>
      </c>
      <c r="F1091" s="3">
        <f>F$1/B1091</f>
        <v>523.97170552790146</v>
      </c>
      <c r="G1091" s="3">
        <f>F$1/C1091</f>
        <v>146.27795737460323</v>
      </c>
      <c r="H1091" s="2">
        <f>D1091*F1090</f>
        <v>-598.95833333333633</v>
      </c>
      <c r="I1091" s="2">
        <f>E1091*G1090</f>
        <v>-300.42730680045781</v>
      </c>
      <c r="J1091" s="2">
        <f>I1091-H1091</f>
        <v>298.53102653287851</v>
      </c>
      <c r="K1091" s="2">
        <f t="shared" si="136"/>
        <v>-298.53102653287851</v>
      </c>
      <c r="L1091" s="3">
        <f>C1091/B1091</f>
        <v>3.5820277705003929</v>
      </c>
      <c r="M1091" s="3">
        <f t="shared" si="139"/>
        <v>3.5749295637502327</v>
      </c>
      <c r="N1091" s="3">
        <f t="shared" si="143"/>
        <v>3.5803398578953476</v>
      </c>
      <c r="O1091" s="3">
        <f t="shared" si="144"/>
        <v>3.5641684306539649</v>
      </c>
      <c r="P1091" s="3">
        <f t="shared" si="137"/>
        <v>3.4069708809521044</v>
      </c>
      <c r="Q1091" s="4" t="str">
        <f t="shared" si="142"/>
        <v>UNDER</v>
      </c>
      <c r="R1091" s="4" t="str">
        <f t="shared" si="142"/>
        <v>UNDER</v>
      </c>
      <c r="S1091" s="4" t="str">
        <f t="shared" si="140"/>
        <v>OVER</v>
      </c>
      <c r="T1091" s="4" t="str">
        <f t="shared" si="140"/>
        <v>OVER</v>
      </c>
      <c r="U1091" s="2">
        <f>IF(Q1091="OVER",$J1091,$K1091)</f>
        <v>-298.53102653287851</v>
      </c>
      <c r="V1091" s="2">
        <f>IF(R1091="OVER",$J1091,$K1091)</f>
        <v>-298.53102653287851</v>
      </c>
      <c r="W1091" s="2">
        <f>IF(S1091="OVER",$J1091,$K1091)</f>
        <v>298.53102653287851</v>
      </c>
      <c r="X1091" s="2">
        <f>IF(T1091="OVER",$J1091,$K1091)</f>
        <v>298.53102653287851</v>
      </c>
      <c r="Y1091" s="9">
        <f t="shared" si="141"/>
        <v>-13667.471085952358</v>
      </c>
      <c r="Z1091" s="9">
        <f t="shared" si="141"/>
        <v>10088.367845462755</v>
      </c>
      <c r="AA1091" s="9">
        <f t="shared" si="141"/>
        <v>72941.379308013478</v>
      </c>
      <c r="AB1091" s="9">
        <f t="shared" si="138"/>
        <v>34098.622953451093</v>
      </c>
    </row>
    <row r="1092" spans="1:28" x14ac:dyDescent="0.3">
      <c r="A1092" s="1">
        <v>46000</v>
      </c>
      <c r="B1092" s="2">
        <v>190.49</v>
      </c>
      <c r="C1092" s="2">
        <v>683.04</v>
      </c>
      <c r="D1092" s="9">
        <f>B1092-B1091</f>
        <v>-0.35999999999998522</v>
      </c>
      <c r="E1092" s="9">
        <f>C1092-C1091</f>
        <v>-0.59000000000003183</v>
      </c>
      <c r="F1092" s="3">
        <f>F$1/B1092</f>
        <v>524.96194025933119</v>
      </c>
      <c r="G1092" s="3">
        <f>F$1/C1092</f>
        <v>146.40431014289061</v>
      </c>
      <c r="H1092" s="2">
        <f>D1092*F1091</f>
        <v>-188.62981399003678</v>
      </c>
      <c r="I1092" s="2">
        <f>E1092*G1091</f>
        <v>-86.303994851020562</v>
      </c>
      <c r="J1092" s="2">
        <f>I1092-H1092</f>
        <v>102.32581913901622</v>
      </c>
      <c r="K1092" s="2">
        <f t="shared" si="136"/>
        <v>-102.32581913901622</v>
      </c>
      <c r="L1092" s="3">
        <f>C1092/B1092</f>
        <v>3.5857000367473355</v>
      </c>
      <c r="M1092" s="3">
        <f t="shared" si="139"/>
        <v>3.5749888720944556</v>
      </c>
      <c r="N1092" s="3">
        <f t="shared" si="143"/>
        <v>3.5790056909456069</v>
      </c>
      <c r="O1092" s="3">
        <f t="shared" si="144"/>
        <v>3.5657259831859522</v>
      </c>
      <c r="P1092" s="3">
        <f t="shared" si="137"/>
        <v>3.4083074491471761</v>
      </c>
      <c r="Q1092" s="4" t="str">
        <f t="shared" si="142"/>
        <v>OVER</v>
      </c>
      <c r="R1092" s="4" t="str">
        <f t="shared" si="142"/>
        <v>OVER</v>
      </c>
      <c r="S1092" s="4" t="str">
        <f t="shared" si="140"/>
        <v>OVER</v>
      </c>
      <c r="T1092" s="4" t="str">
        <f t="shared" si="140"/>
        <v>OVER</v>
      </c>
      <c r="U1092" s="2">
        <f>IF(Q1092="OVER",$J1092,$K1092)</f>
        <v>102.32581913901622</v>
      </c>
      <c r="V1092" s="2">
        <f>IF(R1092="OVER",$J1092,$K1092)</f>
        <v>102.32581913901622</v>
      </c>
      <c r="W1092" s="2">
        <f>IF(S1092="OVER",$J1092,$K1092)</f>
        <v>102.32581913901622</v>
      </c>
      <c r="X1092" s="2">
        <f>IF(T1092="OVER",$J1092,$K1092)</f>
        <v>102.32581913901622</v>
      </c>
      <c r="Y1092" s="9">
        <f t="shared" si="141"/>
        <v>-13565.145266813342</v>
      </c>
      <c r="Z1092" s="9">
        <f t="shared" si="141"/>
        <v>10190.693664601771</v>
      </c>
      <c r="AA1092" s="9">
        <f t="shared" si="141"/>
        <v>73043.705127152498</v>
      </c>
      <c r="AB1092" s="9">
        <f t="shared" si="138"/>
        <v>34200.948772590113</v>
      </c>
    </row>
    <row r="1093" spans="1:28" x14ac:dyDescent="0.3">
      <c r="A1093" s="1">
        <v>46001</v>
      </c>
      <c r="B1093" s="2">
        <v>193.17</v>
      </c>
      <c r="C1093" s="2">
        <v>687.57</v>
      </c>
      <c r="D1093" s="9">
        <f>B1093-B1092</f>
        <v>2.6799999999999784</v>
      </c>
      <c r="E1093" s="9">
        <f>C1093-C1092</f>
        <v>4.5300000000000864</v>
      </c>
      <c r="F1093" s="3">
        <f>F$1/B1093</f>
        <v>517.67872858104261</v>
      </c>
      <c r="G1093" s="3">
        <f>F$1/C1093</f>
        <v>145.43973704495542</v>
      </c>
      <c r="H1093" s="2">
        <f>D1093*F1092</f>
        <v>1406.8979998949962</v>
      </c>
      <c r="I1093" s="2">
        <f>E1093*G1092</f>
        <v>663.21152494730711</v>
      </c>
      <c r="J1093" s="2">
        <f>I1093-H1093</f>
        <v>-743.68647494768913</v>
      </c>
      <c r="K1093" s="2">
        <f t="shared" ref="K1093:K1156" si="145">H1093-I1093</f>
        <v>743.68647494768913</v>
      </c>
      <c r="L1093" s="3">
        <f>C1093/B1093</f>
        <v>3.5594036341046751</v>
      </c>
      <c r="M1093" s="3">
        <f t="shared" si="139"/>
        <v>3.5741156188435426</v>
      </c>
      <c r="N1093" s="3">
        <f t="shared" si="143"/>
        <v>3.5769832515577087</v>
      </c>
      <c r="O1093" s="3">
        <f t="shared" si="144"/>
        <v>3.5666789478026795</v>
      </c>
      <c r="P1093" s="3">
        <f t="shared" si="137"/>
        <v>3.4096115447531701</v>
      </c>
      <c r="Q1093" s="4" t="str">
        <f t="shared" si="142"/>
        <v>OVER</v>
      </c>
      <c r="R1093" s="4" t="str">
        <f t="shared" si="142"/>
        <v>OVER</v>
      </c>
      <c r="S1093" s="4" t="str">
        <f t="shared" si="140"/>
        <v>UNDER</v>
      </c>
      <c r="T1093" s="4" t="str">
        <f t="shared" si="140"/>
        <v>OVER</v>
      </c>
      <c r="U1093" s="2">
        <f>IF(Q1093="OVER",$J1093,$K1093)</f>
        <v>-743.68647494768913</v>
      </c>
      <c r="V1093" s="2">
        <f>IF(R1093="OVER",$J1093,$K1093)</f>
        <v>-743.68647494768913</v>
      </c>
      <c r="W1093" s="2">
        <f>IF(S1093="OVER",$J1093,$K1093)</f>
        <v>743.68647494768913</v>
      </c>
      <c r="X1093" s="2">
        <f>IF(T1093="OVER",$J1093,$K1093)</f>
        <v>-743.68647494768913</v>
      </c>
      <c r="Y1093" s="9">
        <f t="shared" si="141"/>
        <v>-14308.831741761032</v>
      </c>
      <c r="Z1093" s="9">
        <f t="shared" si="141"/>
        <v>9447.0071896540812</v>
      </c>
      <c r="AA1093" s="9">
        <f t="shared" si="141"/>
        <v>73787.391602100193</v>
      </c>
      <c r="AB1093" s="9">
        <f t="shared" si="138"/>
        <v>33457.262297642425</v>
      </c>
    </row>
    <row r="1094" spans="1:28" x14ac:dyDescent="0.3">
      <c r="A1094" s="1">
        <v>46002</v>
      </c>
      <c r="B1094" s="2">
        <v>194.73</v>
      </c>
      <c r="C1094" s="2">
        <v>689.17</v>
      </c>
      <c r="D1094" s="9">
        <f>B1094-B1093</f>
        <v>1.5600000000000023</v>
      </c>
      <c r="E1094" s="9">
        <f>C1094-C1093</f>
        <v>1.5999999999999091</v>
      </c>
      <c r="F1094" s="3">
        <f>F$1/B1094</f>
        <v>513.53155651414784</v>
      </c>
      <c r="G1094" s="3">
        <f>F$1/C1094</f>
        <v>145.10207931279655</v>
      </c>
      <c r="H1094" s="2">
        <f>D1094*F1093</f>
        <v>807.57881658642759</v>
      </c>
      <c r="I1094" s="2">
        <f>E1094*G1093</f>
        <v>232.70357927191546</v>
      </c>
      <c r="J1094" s="2">
        <f>I1094-H1094</f>
        <v>-574.87523731451211</v>
      </c>
      <c r="K1094" s="2">
        <f t="shared" si="145"/>
        <v>574.87523731451211</v>
      </c>
      <c r="L1094" s="3">
        <f>C1094/B1094</f>
        <v>3.5391054280285523</v>
      </c>
      <c r="M1094" s="3">
        <f t="shared" si="139"/>
        <v>3.5712387600715942</v>
      </c>
      <c r="N1094" s="3">
        <f t="shared" si="143"/>
        <v>3.5742718913469793</v>
      </c>
      <c r="O1094" s="3">
        <f t="shared" si="144"/>
        <v>3.5671460087642402</v>
      </c>
      <c r="P1094" s="3">
        <f t="shared" si="137"/>
        <v>3.4107709423945085</v>
      </c>
      <c r="Q1094" s="4" t="str">
        <f t="shared" si="142"/>
        <v>UNDER</v>
      </c>
      <c r="R1094" s="4" t="str">
        <f t="shared" si="142"/>
        <v>UNDER</v>
      </c>
      <c r="S1094" s="4" t="str">
        <f t="shared" si="140"/>
        <v>UNDER</v>
      </c>
      <c r="T1094" s="4" t="str">
        <f t="shared" si="140"/>
        <v>OVER</v>
      </c>
      <c r="U1094" s="2">
        <f>IF(Q1094="OVER",$J1094,$K1094)</f>
        <v>574.87523731451211</v>
      </c>
      <c r="V1094" s="2">
        <f>IF(R1094="OVER",$J1094,$K1094)</f>
        <v>574.87523731451211</v>
      </c>
      <c r="W1094" s="2">
        <f>IF(S1094="OVER",$J1094,$K1094)</f>
        <v>574.87523731451211</v>
      </c>
      <c r="X1094" s="2">
        <f>IF(T1094="OVER",$J1094,$K1094)</f>
        <v>-574.87523731451211</v>
      </c>
      <c r="Y1094" s="9">
        <f t="shared" si="141"/>
        <v>-13733.95650444652</v>
      </c>
      <c r="Z1094" s="9">
        <f t="shared" si="141"/>
        <v>10021.882426968594</v>
      </c>
      <c r="AA1094" s="9">
        <f t="shared" si="141"/>
        <v>74362.266839414704</v>
      </c>
      <c r="AB1094" s="9">
        <f t="shared" si="138"/>
        <v>32882.387060327914</v>
      </c>
    </row>
    <row r="1095" spans="1:28" x14ac:dyDescent="0.3">
      <c r="A1095" s="1">
        <v>46003</v>
      </c>
      <c r="B1095" s="2">
        <v>193.41</v>
      </c>
      <c r="C1095" s="2">
        <v>681.76</v>
      </c>
      <c r="D1095" s="9">
        <f>B1095-B1094</f>
        <v>-1.3199999999999932</v>
      </c>
      <c r="E1095" s="9">
        <f>C1095-C1094</f>
        <v>-7.4099999999999682</v>
      </c>
      <c r="F1095" s="3">
        <f>F$1/B1095</f>
        <v>517.03634765524021</v>
      </c>
      <c r="G1095" s="3">
        <f>F$1/C1095</f>
        <v>146.67918329030744</v>
      </c>
      <c r="H1095" s="2">
        <f>D1095*F1094</f>
        <v>-677.86165459867163</v>
      </c>
      <c r="I1095" s="2">
        <f>E1095*G1094</f>
        <v>-1075.2064077078178</v>
      </c>
      <c r="J1095" s="2">
        <f>I1095-H1095</f>
        <v>-397.34475310914615</v>
      </c>
      <c r="K1095" s="2">
        <f t="shared" si="145"/>
        <v>397.34475310914615</v>
      </c>
      <c r="L1095" s="3">
        <f>C1095/B1095</f>
        <v>3.5249470037743653</v>
      </c>
      <c r="M1095" s="3">
        <f t="shared" si="139"/>
        <v>3.5669277381078834</v>
      </c>
      <c r="N1095" s="3">
        <f t="shared" si="143"/>
        <v>3.5718137158217163</v>
      </c>
      <c r="O1095" s="3">
        <f t="shared" si="144"/>
        <v>3.5674151240942136</v>
      </c>
      <c r="P1095" s="3">
        <f t="shared" si="137"/>
        <v>3.411980133081169</v>
      </c>
      <c r="Q1095" s="4" t="str">
        <f t="shared" si="142"/>
        <v>UNDER</v>
      </c>
      <c r="R1095" s="4" t="str">
        <f t="shared" si="142"/>
        <v>UNDER</v>
      </c>
      <c r="S1095" s="4" t="str">
        <f t="shared" si="140"/>
        <v>UNDER</v>
      </c>
      <c r="T1095" s="4" t="str">
        <f t="shared" si="140"/>
        <v>OVER</v>
      </c>
      <c r="U1095" s="2">
        <f>IF(Q1095="OVER",$J1095,$K1095)</f>
        <v>397.34475310914615</v>
      </c>
      <c r="V1095" s="2">
        <f>IF(R1095="OVER",$J1095,$K1095)</f>
        <v>397.34475310914615</v>
      </c>
      <c r="W1095" s="2">
        <f>IF(S1095="OVER",$J1095,$K1095)</f>
        <v>397.34475310914615</v>
      </c>
      <c r="X1095" s="2">
        <f>IF(T1095="OVER",$J1095,$K1095)</f>
        <v>-397.34475310914615</v>
      </c>
      <c r="Y1095" s="9">
        <f t="shared" si="141"/>
        <v>-13336.611751337374</v>
      </c>
      <c r="Z1095" s="9">
        <f t="shared" si="141"/>
        <v>10419.22718007774</v>
      </c>
      <c r="AA1095" s="9">
        <f t="shared" si="141"/>
        <v>74759.611592523856</v>
      </c>
      <c r="AB1095" s="9">
        <f t="shared" si="138"/>
        <v>32485.042307218766</v>
      </c>
    </row>
    <row r="1096" spans="1:28" x14ac:dyDescent="0.3">
      <c r="A1096" s="1">
        <v>46006</v>
      </c>
      <c r="B1096" s="2">
        <v>193.65</v>
      </c>
      <c r="C1096" s="2">
        <v>680.73</v>
      </c>
      <c r="D1096" s="9">
        <f>B1096-B1095</f>
        <v>0.24000000000000909</v>
      </c>
      <c r="E1096" s="9">
        <f>C1096-C1095</f>
        <v>-1.0299999999999727</v>
      </c>
      <c r="F1096" s="3">
        <f>F$1/B1096</f>
        <v>516.39555899819266</v>
      </c>
      <c r="G1096" s="3">
        <f>F$1/C1096</f>
        <v>146.90112085555214</v>
      </c>
      <c r="H1096" s="2">
        <f>D1096*F1095</f>
        <v>124.08872343726235</v>
      </c>
      <c r="I1096" s="2">
        <f>E1096*G1095</f>
        <v>-151.07955878901265</v>
      </c>
      <c r="J1096" s="2">
        <f>I1096-H1096</f>
        <v>-275.16828222627498</v>
      </c>
      <c r="K1096" s="2">
        <f t="shared" si="145"/>
        <v>275.16828222627498</v>
      </c>
      <c r="L1096" s="3">
        <f>C1096/B1096</f>
        <v>3.5152594887683968</v>
      </c>
      <c r="M1096" s="3">
        <f t="shared" si="139"/>
        <v>3.5608309343824742</v>
      </c>
      <c r="N1096" s="3">
        <f t="shared" si="143"/>
        <v>3.5682423249350586</v>
      </c>
      <c r="O1096" s="3">
        <f t="shared" si="144"/>
        <v>3.5677375687715425</v>
      </c>
      <c r="P1096" s="3">
        <f t="shared" si="137"/>
        <v>3.4130679190364996</v>
      </c>
      <c r="Q1096" s="4" t="str">
        <f t="shared" si="142"/>
        <v>UNDER</v>
      </c>
      <c r="R1096" s="4" t="str">
        <f t="shared" si="142"/>
        <v>UNDER</v>
      </c>
      <c r="S1096" s="4" t="str">
        <f t="shared" si="140"/>
        <v>UNDER</v>
      </c>
      <c r="T1096" s="4" t="str">
        <f t="shared" si="140"/>
        <v>OVER</v>
      </c>
      <c r="U1096" s="2">
        <f>IF(Q1096="OVER",$J1096,$K1096)</f>
        <v>275.16828222627498</v>
      </c>
      <c r="V1096" s="2">
        <f>IF(R1096="OVER",$J1096,$K1096)</f>
        <v>275.16828222627498</v>
      </c>
      <c r="W1096" s="2">
        <f>IF(S1096="OVER",$J1096,$K1096)</f>
        <v>275.16828222627498</v>
      </c>
      <c r="X1096" s="2">
        <f>IF(T1096="OVER",$J1096,$K1096)</f>
        <v>-275.16828222627498</v>
      </c>
      <c r="Y1096" s="9">
        <f t="shared" si="141"/>
        <v>-13061.443469111098</v>
      </c>
      <c r="Z1096" s="9">
        <f t="shared" si="141"/>
        <v>10694.395462304015</v>
      </c>
      <c r="AA1096" s="9">
        <f t="shared" si="141"/>
        <v>75034.779874750137</v>
      </c>
      <c r="AB1096" s="9">
        <f t="shared" si="138"/>
        <v>32209.874024992492</v>
      </c>
    </row>
    <row r="1097" spans="1:28" x14ac:dyDescent="0.3">
      <c r="A1097" s="1">
        <v>46007</v>
      </c>
      <c r="B1097" s="2">
        <v>192.29</v>
      </c>
      <c r="C1097" s="2">
        <v>678.87</v>
      </c>
      <c r="D1097" s="9">
        <f>B1097-B1096</f>
        <v>-1.3600000000000136</v>
      </c>
      <c r="E1097" s="9">
        <f>C1097-C1096</f>
        <v>-1.8600000000000136</v>
      </c>
      <c r="F1097" s="3">
        <f>F$1/B1097</f>
        <v>520.04784440168498</v>
      </c>
      <c r="G1097" s="3">
        <f>F$1/C1097</f>
        <v>147.30360746534683</v>
      </c>
      <c r="H1097" s="2">
        <f>D1097*F1096</f>
        <v>-702.29796023754909</v>
      </c>
      <c r="I1097" s="2">
        <f>E1097*G1096</f>
        <v>-273.23608479132901</v>
      </c>
      <c r="J1097" s="2">
        <f>I1097-H1097</f>
        <v>429.06187544622009</v>
      </c>
      <c r="K1097" s="2">
        <f t="shared" si="145"/>
        <v>-429.06187544622009</v>
      </c>
      <c r="L1097" s="3">
        <f>C1097/B1097</f>
        <v>3.5304488012897188</v>
      </c>
      <c r="M1097" s="3">
        <f t="shared" si="139"/>
        <v>3.5552513144062048</v>
      </c>
      <c r="N1097" s="3">
        <f t="shared" si="143"/>
        <v>3.5647371795387053</v>
      </c>
      <c r="O1097" s="3">
        <f t="shared" si="144"/>
        <v>3.5680907782823521</v>
      </c>
      <c r="P1097" s="3">
        <f t="shared" si="137"/>
        <v>3.414346046583844</v>
      </c>
      <c r="Q1097" s="4" t="str">
        <f t="shared" si="142"/>
        <v>UNDER</v>
      </c>
      <c r="R1097" s="4" t="str">
        <f t="shared" si="142"/>
        <v>UNDER</v>
      </c>
      <c r="S1097" s="4" t="str">
        <f t="shared" si="140"/>
        <v>UNDER</v>
      </c>
      <c r="T1097" s="4" t="str">
        <f t="shared" si="140"/>
        <v>OVER</v>
      </c>
      <c r="U1097" s="2">
        <f>IF(Q1097="OVER",$J1097,$K1097)</f>
        <v>-429.06187544622009</v>
      </c>
      <c r="V1097" s="2">
        <f>IF(R1097="OVER",$J1097,$K1097)</f>
        <v>-429.06187544622009</v>
      </c>
      <c r="W1097" s="2">
        <f>IF(S1097="OVER",$J1097,$K1097)</f>
        <v>-429.06187544622009</v>
      </c>
      <c r="X1097" s="2">
        <f>IF(T1097="OVER",$J1097,$K1097)</f>
        <v>429.06187544622009</v>
      </c>
      <c r="Y1097" s="9">
        <f t="shared" si="141"/>
        <v>-13490.505344557318</v>
      </c>
      <c r="Z1097" s="9">
        <f t="shared" si="141"/>
        <v>10265.333586857796</v>
      </c>
      <c r="AA1097" s="9">
        <f t="shared" si="141"/>
        <v>74605.717999303917</v>
      </c>
      <c r="AB1097" s="9">
        <f t="shared" si="138"/>
        <v>32638.935900438712</v>
      </c>
    </row>
    <row r="1098" spans="1:28" x14ac:dyDescent="0.3">
      <c r="A1098" s="1">
        <v>46008</v>
      </c>
      <c r="B1098" s="2">
        <v>191.77</v>
      </c>
      <c r="C1098" s="2">
        <v>671.4</v>
      </c>
      <c r="D1098" s="9">
        <f>B1098-B1097</f>
        <v>-0.51999999999998181</v>
      </c>
      <c r="E1098" s="9">
        <f>C1098-C1097</f>
        <v>-7.4700000000000273</v>
      </c>
      <c r="F1098" s="3">
        <f>F$1/B1098</f>
        <v>521.4579965583772</v>
      </c>
      <c r="G1098" s="3">
        <f>F$1/C1098</f>
        <v>148.94250819183796</v>
      </c>
      <c r="H1098" s="2">
        <f>D1098*F1097</f>
        <v>-270.42487908886676</v>
      </c>
      <c r="I1098" s="2">
        <f>E1098*G1097</f>
        <v>-1100.3579477661449</v>
      </c>
      <c r="J1098" s="2">
        <f>I1098-H1098</f>
        <v>-829.93306867727813</v>
      </c>
      <c r="K1098" s="2">
        <f t="shared" si="145"/>
        <v>829.93306867727813</v>
      </c>
      <c r="L1098" s="3">
        <f>C1098/B1098</f>
        <v>3.5010689888929445</v>
      </c>
      <c r="M1098" s="3">
        <f t="shared" si="139"/>
        <v>3.5482168482111605</v>
      </c>
      <c r="N1098" s="3">
        <f t="shared" si="143"/>
        <v>3.5613809852188241</v>
      </c>
      <c r="O1098" s="3">
        <f t="shared" si="144"/>
        <v>3.5678079815432682</v>
      </c>
      <c r="P1098" s="3">
        <f t="shared" si="137"/>
        <v>3.4154053885633173</v>
      </c>
      <c r="Q1098" s="4" t="str">
        <f t="shared" si="142"/>
        <v>UNDER</v>
      </c>
      <c r="R1098" s="4" t="str">
        <f t="shared" si="142"/>
        <v>UNDER</v>
      </c>
      <c r="S1098" s="4" t="str">
        <f t="shared" si="140"/>
        <v>UNDER</v>
      </c>
      <c r="T1098" s="4" t="str">
        <f t="shared" si="140"/>
        <v>OVER</v>
      </c>
      <c r="U1098" s="2">
        <f>IF(Q1098="OVER",$J1098,$K1098)</f>
        <v>829.93306867727813</v>
      </c>
      <c r="V1098" s="2">
        <f>IF(R1098="OVER",$J1098,$K1098)</f>
        <v>829.93306867727813</v>
      </c>
      <c r="W1098" s="2">
        <f>IF(S1098="OVER",$J1098,$K1098)</f>
        <v>829.93306867727813</v>
      </c>
      <c r="X1098" s="2">
        <f>IF(T1098="OVER",$J1098,$K1098)</f>
        <v>-829.93306867727813</v>
      </c>
      <c r="Y1098" s="9">
        <f t="shared" si="141"/>
        <v>-12660.57227588004</v>
      </c>
      <c r="Z1098" s="9">
        <f t="shared" si="141"/>
        <v>11095.266655535073</v>
      </c>
      <c r="AA1098" s="9">
        <f t="shared" si="141"/>
        <v>75435.651067981191</v>
      </c>
      <c r="AB1098" s="9">
        <f t="shared" si="138"/>
        <v>31809.002831761434</v>
      </c>
    </row>
    <row r="1099" spans="1:28" x14ac:dyDescent="0.3">
      <c r="A1099" s="1">
        <v>46009</v>
      </c>
      <c r="B1099" s="2">
        <v>192.18</v>
      </c>
      <c r="C1099" s="2">
        <v>676.47</v>
      </c>
      <c r="D1099" s="9">
        <f>B1099-B1098</f>
        <v>0.40999999999999659</v>
      </c>
      <c r="E1099" s="9">
        <f>C1099-C1098</f>
        <v>5.07000000000005</v>
      </c>
      <c r="F1099" s="3">
        <f>F$1/B1099</f>
        <v>520.34550941825376</v>
      </c>
      <c r="G1099" s="3">
        <f>F$1/C1099</f>
        <v>147.82621550105696</v>
      </c>
      <c r="H1099" s="2">
        <f>D1099*F1098</f>
        <v>213.79777858893289</v>
      </c>
      <c r="I1099" s="2">
        <f>E1099*G1098</f>
        <v>755.13851653262589</v>
      </c>
      <c r="J1099" s="2">
        <f>I1099-H1099</f>
        <v>541.34073794369306</v>
      </c>
      <c r="K1099" s="2">
        <f t="shared" si="145"/>
        <v>-541.34073794369306</v>
      </c>
      <c r="L1099" s="3">
        <f>C1099/B1099</f>
        <v>3.5199812675616609</v>
      </c>
      <c r="M1099" s="3">
        <f t="shared" si="139"/>
        <v>3.5429244503001378</v>
      </c>
      <c r="N1099" s="3">
        <f t="shared" si="143"/>
        <v>3.5577373657362008</v>
      </c>
      <c r="O1099" s="3">
        <f t="shared" si="144"/>
        <v>3.5677138120576162</v>
      </c>
      <c r="P1099" s="3">
        <f t="shared" ref="P1099:P1162" si="146">AVERAGE(L900:L1099)</f>
        <v>3.4165356039232146</v>
      </c>
      <c r="Q1099" s="4" t="str">
        <f t="shared" si="142"/>
        <v>UNDER</v>
      </c>
      <c r="R1099" s="4" t="str">
        <f t="shared" si="142"/>
        <v>UNDER</v>
      </c>
      <c r="S1099" s="4" t="str">
        <f t="shared" si="140"/>
        <v>UNDER</v>
      </c>
      <c r="T1099" s="4" t="str">
        <f t="shared" si="140"/>
        <v>OVER</v>
      </c>
      <c r="U1099" s="2">
        <f>IF(Q1099="OVER",$J1099,$K1099)</f>
        <v>-541.34073794369306</v>
      </c>
      <c r="V1099" s="2">
        <f>IF(R1099="OVER",$J1099,$K1099)</f>
        <v>-541.34073794369306</v>
      </c>
      <c r="W1099" s="2">
        <f>IF(S1099="OVER",$J1099,$K1099)</f>
        <v>-541.34073794369306</v>
      </c>
      <c r="X1099" s="2">
        <f>IF(T1099="OVER",$J1099,$K1099)</f>
        <v>541.34073794369306</v>
      </c>
      <c r="Y1099" s="9">
        <f t="shared" si="141"/>
        <v>-13201.913013823734</v>
      </c>
      <c r="Z1099" s="9">
        <f t="shared" si="141"/>
        <v>10553.925917591379</v>
      </c>
      <c r="AA1099" s="9">
        <f t="shared" si="141"/>
        <v>74894.310330037493</v>
      </c>
      <c r="AB1099" s="9">
        <f t="shared" si="138"/>
        <v>32350.343569705128</v>
      </c>
    </row>
    <row r="1100" spans="1:28" x14ac:dyDescent="0.3">
      <c r="A1100" s="1">
        <v>46010</v>
      </c>
      <c r="B1100" s="2">
        <v>192.88</v>
      </c>
      <c r="C1100" s="2">
        <v>680.59</v>
      </c>
      <c r="D1100" s="9">
        <f>B1100-B1099</f>
        <v>0.69999999999998863</v>
      </c>
      <c r="E1100" s="9">
        <f>C1100-C1099</f>
        <v>4.1200000000000045</v>
      </c>
      <c r="F1100" s="3">
        <f>F$1/B1100</f>
        <v>518.45707175445875</v>
      </c>
      <c r="G1100" s="3">
        <f>F$1/C1100</f>
        <v>146.93133898529217</v>
      </c>
      <c r="H1100" s="2">
        <f>D1100*F1099</f>
        <v>364.24185659277174</v>
      </c>
      <c r="I1100" s="2">
        <f>E1100*G1099</f>
        <v>609.04400786435542</v>
      </c>
      <c r="J1100" s="2">
        <f>I1100-H1100</f>
        <v>244.80215127158368</v>
      </c>
      <c r="K1100" s="2">
        <f t="shared" si="145"/>
        <v>-244.80215127158368</v>
      </c>
      <c r="L1100" s="3">
        <f>C1100/B1100</f>
        <v>3.5285669846536711</v>
      </c>
      <c r="M1100" s="3">
        <f t="shared" si="139"/>
        <v>3.5386509404321713</v>
      </c>
      <c r="N1100" s="3">
        <f t="shared" si="143"/>
        <v>3.5550763527996017</v>
      </c>
      <c r="O1100" s="3">
        <f t="shared" si="144"/>
        <v>3.5674091815305089</v>
      </c>
      <c r="P1100" s="3">
        <f t="shared" si="146"/>
        <v>3.417819969837629</v>
      </c>
      <c r="Q1100" s="4" t="str">
        <f t="shared" si="142"/>
        <v>UNDER</v>
      </c>
      <c r="R1100" s="4" t="str">
        <f t="shared" si="142"/>
        <v>UNDER</v>
      </c>
      <c r="S1100" s="4" t="str">
        <f t="shared" si="140"/>
        <v>UNDER</v>
      </c>
      <c r="T1100" s="4" t="str">
        <f t="shared" si="140"/>
        <v>OVER</v>
      </c>
      <c r="U1100" s="2">
        <f>IF(Q1100="OVER",$J1100,$K1100)</f>
        <v>-244.80215127158368</v>
      </c>
      <c r="V1100" s="2">
        <f>IF(R1100="OVER",$J1100,$K1100)</f>
        <v>-244.80215127158368</v>
      </c>
      <c r="W1100" s="2">
        <f>IF(S1100="OVER",$J1100,$K1100)</f>
        <v>-244.80215127158368</v>
      </c>
      <c r="X1100" s="2">
        <f>IF(T1100="OVER",$J1100,$K1100)</f>
        <v>244.80215127158368</v>
      </c>
      <c r="Y1100" s="9">
        <f t="shared" si="141"/>
        <v>-13446.715165095318</v>
      </c>
      <c r="Z1100" s="9">
        <f t="shared" si="141"/>
        <v>10309.123766319795</v>
      </c>
      <c r="AA1100" s="9">
        <f t="shared" si="141"/>
        <v>74649.508178765915</v>
      </c>
      <c r="AB1100" s="9">
        <f t="shared" si="141"/>
        <v>32595.14572097671</v>
      </c>
    </row>
    <row r="1101" spans="1:28" x14ac:dyDescent="0.3">
      <c r="A1101" s="1">
        <v>46013</v>
      </c>
      <c r="B1101" s="2">
        <v>193.54</v>
      </c>
      <c r="C1101" s="2">
        <v>684.83</v>
      </c>
      <c r="D1101" s="9">
        <f>B1101-B1100</f>
        <v>0.65999999999999659</v>
      </c>
      <c r="E1101" s="9">
        <f>C1101-C1100</f>
        <v>4.2400000000000091</v>
      </c>
      <c r="F1101" s="3">
        <f>F$1/B1101</f>
        <v>516.6890565257828</v>
      </c>
      <c r="G1101" s="3">
        <f>F$1/C1101</f>
        <v>146.02164040710832</v>
      </c>
      <c r="H1101" s="2">
        <f>D1101*F1100</f>
        <v>342.18166735794102</v>
      </c>
      <c r="I1101" s="2">
        <f>E1101*G1100</f>
        <v>622.9888772976401</v>
      </c>
      <c r="J1101" s="2">
        <f>I1101-H1101</f>
        <v>280.80720993969908</v>
      </c>
      <c r="K1101" s="2">
        <f t="shared" si="145"/>
        <v>-280.80720993969908</v>
      </c>
      <c r="L1101" s="3">
        <f>C1101/B1101</f>
        <v>3.5384416658055184</v>
      </c>
      <c r="M1101" s="3">
        <f t="shared" ref="M1101:M1164" si="147">AVERAGE(L1092:L1101)</f>
        <v>3.5342923299626841</v>
      </c>
      <c r="N1101" s="3">
        <f t="shared" si="143"/>
        <v>3.554610946856458</v>
      </c>
      <c r="O1101" s="3">
        <f t="shared" si="144"/>
        <v>3.5676270208967491</v>
      </c>
      <c r="P1101" s="3">
        <f t="shared" si="146"/>
        <v>3.4192147080212032</v>
      </c>
      <c r="Q1101" s="4" t="str">
        <f t="shared" si="142"/>
        <v>UNDER</v>
      </c>
      <c r="R1101" s="4" t="str">
        <f t="shared" si="142"/>
        <v>UNDER</v>
      </c>
      <c r="S1101" s="4" t="str">
        <f t="shared" ref="S1101:T1164" si="148">IF($L1101&gt;O1101,"OVER","UNDER")</f>
        <v>UNDER</v>
      </c>
      <c r="T1101" s="4" t="str">
        <f t="shared" si="148"/>
        <v>OVER</v>
      </c>
      <c r="U1101" s="2">
        <f>IF(Q1101="OVER",$J1101,$K1101)</f>
        <v>-280.80720993969908</v>
      </c>
      <c r="V1101" s="2">
        <f>IF(R1101="OVER",$J1101,$K1101)</f>
        <v>-280.80720993969908</v>
      </c>
      <c r="W1101" s="2">
        <f>IF(S1101="OVER",$J1101,$K1101)</f>
        <v>-280.80720993969908</v>
      </c>
      <c r="X1101" s="2">
        <f>IF(T1101="OVER",$J1101,$K1101)</f>
        <v>280.80720993969908</v>
      </c>
      <c r="Y1101" s="9">
        <f t="shared" ref="Y1101:AB1164" si="149">Y1100+U1101</f>
        <v>-13727.522375035018</v>
      </c>
      <c r="Z1101" s="9">
        <f t="shared" si="149"/>
        <v>10028.316556380096</v>
      </c>
      <c r="AA1101" s="9">
        <f t="shared" si="149"/>
        <v>74368.700968826219</v>
      </c>
      <c r="AB1101" s="9">
        <f t="shared" si="149"/>
        <v>32875.952930916406</v>
      </c>
    </row>
    <row r="1102" spans="1:28" x14ac:dyDescent="0.3">
      <c r="A1102" s="1">
        <v>46014</v>
      </c>
      <c r="B1102" s="2">
        <v>193.09</v>
      </c>
      <c r="C1102" s="2">
        <v>687.96</v>
      </c>
      <c r="D1102" s="9">
        <f>B1102-B1101</f>
        <v>-0.44999999999998863</v>
      </c>
      <c r="E1102" s="9">
        <f>C1102-C1101</f>
        <v>3.1299999999999955</v>
      </c>
      <c r="F1102" s="3">
        <f>F$1/B1102</f>
        <v>517.89321042001143</v>
      </c>
      <c r="G1102" s="3">
        <f>F$1/C1102</f>
        <v>145.35728821443107</v>
      </c>
      <c r="H1102" s="2">
        <f>D1102*F1101</f>
        <v>-232.5100754365964</v>
      </c>
      <c r="I1102" s="2">
        <f>E1102*G1101</f>
        <v>457.04773447424839</v>
      </c>
      <c r="J1102" s="2">
        <f>I1102-H1102</f>
        <v>689.55780991084475</v>
      </c>
      <c r="K1102" s="2">
        <f t="shared" si="145"/>
        <v>-689.55780991084475</v>
      </c>
      <c r="L1102" s="3">
        <f>C1102/B1102</f>
        <v>3.5628981304055105</v>
      </c>
      <c r="M1102" s="3">
        <f t="shared" si="147"/>
        <v>3.5320121393285016</v>
      </c>
      <c r="N1102" s="3">
        <f t="shared" si="143"/>
        <v>3.5535005057114795</v>
      </c>
      <c r="O1102" s="3">
        <f t="shared" si="144"/>
        <v>3.5679412642666812</v>
      </c>
      <c r="P1102" s="3">
        <f t="shared" si="146"/>
        <v>3.420939072381612</v>
      </c>
      <c r="Q1102" s="4" t="str">
        <f t="shared" ref="Q1102:R1165" si="150">IF($L1101&gt;M1101,"OVER","UNDER")</f>
        <v>OVER</v>
      </c>
      <c r="R1102" s="4" t="str">
        <f t="shared" si="150"/>
        <v>UNDER</v>
      </c>
      <c r="S1102" s="4" t="str">
        <f t="shared" si="148"/>
        <v>UNDER</v>
      </c>
      <c r="T1102" s="4" t="str">
        <f t="shared" si="148"/>
        <v>OVER</v>
      </c>
      <c r="U1102" s="2">
        <f>IF(Q1102="OVER",$J1102,$K1102)</f>
        <v>689.55780991084475</v>
      </c>
      <c r="V1102" s="2">
        <f>IF(R1102="OVER",$J1102,$K1102)</f>
        <v>-689.55780991084475</v>
      </c>
      <c r="W1102" s="2">
        <f>IF(S1102="OVER",$J1102,$K1102)</f>
        <v>-689.55780991084475</v>
      </c>
      <c r="X1102" s="2">
        <f>IF(T1102="OVER",$J1102,$K1102)</f>
        <v>689.55780991084475</v>
      </c>
      <c r="Y1102" s="9">
        <f t="shared" si="149"/>
        <v>-13037.964565124174</v>
      </c>
      <c r="Z1102" s="9">
        <f t="shared" si="149"/>
        <v>9338.7587464692515</v>
      </c>
      <c r="AA1102" s="9">
        <f t="shared" si="149"/>
        <v>73679.14315891538</v>
      </c>
      <c r="AB1102" s="9">
        <f t="shared" si="149"/>
        <v>33565.510740827252</v>
      </c>
    </row>
    <row r="1103" spans="1:28" x14ac:dyDescent="0.3">
      <c r="A1103" s="1">
        <v>46015</v>
      </c>
      <c r="B1103" s="2">
        <v>193.79</v>
      </c>
      <c r="C1103" s="2">
        <v>690.38</v>
      </c>
      <c r="D1103" s="9">
        <f>B1103-B1102</f>
        <v>0.69999999999998863</v>
      </c>
      <c r="E1103" s="9">
        <f>C1103-C1102</f>
        <v>2.4199999999999591</v>
      </c>
      <c r="F1103" s="3">
        <f>F$1/B1103</f>
        <v>516.02249858093819</v>
      </c>
      <c r="G1103" s="3">
        <f>F$1/C1103</f>
        <v>144.84776499898607</v>
      </c>
      <c r="H1103" s="2">
        <f>D1103*F1102</f>
        <v>362.5252472940021</v>
      </c>
      <c r="I1103" s="2">
        <f>E1103*G1102</f>
        <v>351.76463747891722</v>
      </c>
      <c r="J1103" s="2">
        <f>I1103-H1103</f>
        <v>-10.760609815084877</v>
      </c>
      <c r="K1103" s="2">
        <f t="shared" si="145"/>
        <v>10.760609815084877</v>
      </c>
      <c r="L1103" s="3">
        <f>C1103/B1103</f>
        <v>3.5625161257030808</v>
      </c>
      <c r="M1103" s="3">
        <f t="shared" si="147"/>
        <v>3.5323233884883423</v>
      </c>
      <c r="N1103" s="3">
        <f t="shared" si="143"/>
        <v>3.5532195036659431</v>
      </c>
      <c r="O1103" s="3">
        <f t="shared" si="144"/>
        <v>3.5689172725662792</v>
      </c>
      <c r="P1103" s="3">
        <f t="shared" si="146"/>
        <v>3.4225799052791519</v>
      </c>
      <c r="Q1103" s="4" t="str">
        <f t="shared" si="150"/>
        <v>OVER</v>
      </c>
      <c r="R1103" s="4" t="str">
        <f t="shared" si="150"/>
        <v>OVER</v>
      </c>
      <c r="S1103" s="4" t="str">
        <f t="shared" si="148"/>
        <v>UNDER</v>
      </c>
      <c r="T1103" s="4" t="str">
        <f t="shared" si="148"/>
        <v>OVER</v>
      </c>
      <c r="U1103" s="2">
        <f>IF(Q1103="OVER",$J1103,$K1103)</f>
        <v>-10.760609815084877</v>
      </c>
      <c r="V1103" s="2">
        <f>IF(R1103="OVER",$J1103,$K1103)</f>
        <v>-10.760609815084877</v>
      </c>
      <c r="W1103" s="2">
        <f>IF(S1103="OVER",$J1103,$K1103)</f>
        <v>10.760609815084877</v>
      </c>
      <c r="X1103" s="2">
        <f>IF(T1103="OVER",$J1103,$K1103)</f>
        <v>-10.760609815084877</v>
      </c>
      <c r="Y1103" s="9">
        <f t="shared" si="149"/>
        <v>-13048.725174939258</v>
      </c>
      <c r="Z1103" s="9">
        <f t="shared" si="149"/>
        <v>9327.998136654167</v>
      </c>
      <c r="AA1103" s="9">
        <f t="shared" si="149"/>
        <v>73689.903768730466</v>
      </c>
      <c r="AB1103" s="9">
        <f t="shared" si="149"/>
        <v>33554.750131012166</v>
      </c>
    </row>
    <row r="1104" spans="1:28" x14ac:dyDescent="0.3">
      <c r="A1104" s="1">
        <v>46017</v>
      </c>
      <c r="B1104" s="2">
        <v>193.84</v>
      </c>
      <c r="C1104" s="2">
        <v>690.31</v>
      </c>
      <c r="D1104" s="9">
        <f>B1104-B1103</f>
        <v>5.0000000000011369E-2</v>
      </c>
      <c r="E1104" s="9">
        <f>C1104-C1103</f>
        <v>-7.0000000000050022E-2</v>
      </c>
      <c r="F1104" s="3">
        <f>F$1/B1104</f>
        <v>515.88939331407346</v>
      </c>
      <c r="G1104" s="3">
        <f>F$1/C1104</f>
        <v>144.86245310078081</v>
      </c>
      <c r="H1104" s="2">
        <f>D1104*F1103</f>
        <v>25.801124929052776</v>
      </c>
      <c r="I1104" s="2">
        <f>E1104*G1103</f>
        <v>-10.139343549936271</v>
      </c>
      <c r="J1104" s="2">
        <f>I1104-H1104</f>
        <v>-35.940468478989047</v>
      </c>
      <c r="K1104" s="2">
        <f t="shared" si="145"/>
        <v>35.940468478989047</v>
      </c>
      <c r="L1104" s="3">
        <f>C1104/B1104</f>
        <v>3.5612360709863804</v>
      </c>
      <c r="M1104" s="3">
        <f t="shared" si="147"/>
        <v>3.534536452784125</v>
      </c>
      <c r="N1104" s="3">
        <f t="shared" si="143"/>
        <v>3.5528876064278601</v>
      </c>
      <c r="O1104" s="3">
        <f t="shared" si="144"/>
        <v>3.5696977260484903</v>
      </c>
      <c r="P1104" s="3">
        <f t="shared" si="146"/>
        <v>3.4240515442182891</v>
      </c>
      <c r="Q1104" s="4" t="str">
        <f t="shared" si="150"/>
        <v>OVER</v>
      </c>
      <c r="R1104" s="4" t="str">
        <f t="shared" si="150"/>
        <v>OVER</v>
      </c>
      <c r="S1104" s="4" t="str">
        <f t="shared" si="148"/>
        <v>UNDER</v>
      </c>
      <c r="T1104" s="4" t="str">
        <f t="shared" si="148"/>
        <v>OVER</v>
      </c>
      <c r="U1104" s="2">
        <f>IF(Q1104="OVER",$J1104,$K1104)</f>
        <v>-35.940468478989047</v>
      </c>
      <c r="V1104" s="2">
        <f>IF(R1104="OVER",$J1104,$K1104)</f>
        <v>-35.940468478989047</v>
      </c>
      <c r="W1104" s="2">
        <f>IF(S1104="OVER",$J1104,$K1104)</f>
        <v>35.940468478989047</v>
      </c>
      <c r="X1104" s="2">
        <f>IF(T1104="OVER",$J1104,$K1104)</f>
        <v>-35.940468478989047</v>
      </c>
      <c r="Y1104" s="9">
        <f t="shared" si="149"/>
        <v>-13084.665643418248</v>
      </c>
      <c r="Z1104" s="9">
        <f t="shared" si="149"/>
        <v>9292.0576681751772</v>
      </c>
      <c r="AA1104" s="9">
        <f t="shared" si="149"/>
        <v>73725.844237209458</v>
      </c>
      <c r="AB1104" s="9">
        <f t="shared" si="149"/>
        <v>33518.809662533175</v>
      </c>
    </row>
    <row r="1105" spans="1:28" x14ac:dyDescent="0.3">
      <c r="A1105" s="1">
        <v>46020</v>
      </c>
      <c r="B1105" s="2">
        <v>193.52</v>
      </c>
      <c r="C1105" s="2">
        <v>687.85</v>
      </c>
      <c r="D1105" s="9">
        <f>B1105-B1104</f>
        <v>-0.31999999999999318</v>
      </c>
      <c r="E1105" s="9">
        <f>C1105-C1104</f>
        <v>-2.4599999999999227</v>
      </c>
      <c r="F1105" s="3">
        <f>F$1/B1105</f>
        <v>516.74245556014876</v>
      </c>
      <c r="G1105" s="3">
        <f>F$1/C1105</f>
        <v>145.3805335465581</v>
      </c>
      <c r="H1105" s="2">
        <f>D1105*F1104</f>
        <v>-165.08460586049998</v>
      </c>
      <c r="I1105" s="2">
        <f>E1105*G1104</f>
        <v>-356.36163462790961</v>
      </c>
      <c r="J1105" s="2">
        <f>I1105-H1105</f>
        <v>-191.27702876740963</v>
      </c>
      <c r="K1105" s="2">
        <f t="shared" si="145"/>
        <v>191.27702876740963</v>
      </c>
      <c r="L1105" s="3">
        <f>C1105/B1105</f>
        <v>3.5544129805704836</v>
      </c>
      <c r="M1105" s="3">
        <f t="shared" si="147"/>
        <v>3.5374830504637367</v>
      </c>
      <c r="N1105" s="3">
        <f t="shared" si="143"/>
        <v>3.5522053942858109</v>
      </c>
      <c r="O1105" s="3">
        <f t="shared" si="144"/>
        <v>3.5701519644902215</v>
      </c>
      <c r="P1105" s="3">
        <f t="shared" si="146"/>
        <v>3.4255508120958216</v>
      </c>
      <c r="Q1105" s="4" t="str">
        <f t="shared" si="150"/>
        <v>OVER</v>
      </c>
      <c r="R1105" s="4" t="str">
        <f t="shared" si="150"/>
        <v>OVER</v>
      </c>
      <c r="S1105" s="4" t="str">
        <f t="shared" si="148"/>
        <v>UNDER</v>
      </c>
      <c r="T1105" s="4" t="str">
        <f t="shared" si="148"/>
        <v>OVER</v>
      </c>
      <c r="U1105" s="2">
        <f>IF(Q1105="OVER",$J1105,$K1105)</f>
        <v>-191.27702876740963</v>
      </c>
      <c r="V1105" s="2">
        <f>IF(R1105="OVER",$J1105,$K1105)</f>
        <v>-191.27702876740963</v>
      </c>
      <c r="W1105" s="2">
        <f>IF(S1105="OVER",$J1105,$K1105)</f>
        <v>191.27702876740963</v>
      </c>
      <c r="X1105" s="2">
        <f>IF(T1105="OVER",$J1105,$K1105)</f>
        <v>-191.27702876740963</v>
      </c>
      <c r="Y1105" s="9">
        <f t="shared" si="149"/>
        <v>-13275.942672185658</v>
      </c>
      <c r="Z1105" s="9">
        <f t="shared" si="149"/>
        <v>9100.780639407767</v>
      </c>
      <c r="AA1105" s="9">
        <f t="shared" si="149"/>
        <v>73917.121265976864</v>
      </c>
      <c r="AB1105" s="9">
        <f t="shared" si="149"/>
        <v>33327.532633765768</v>
      </c>
    </row>
    <row r="1106" spans="1:28" x14ac:dyDescent="0.3">
      <c r="A1106" s="1">
        <v>46021</v>
      </c>
      <c r="B1106" s="2">
        <v>193.21</v>
      </c>
      <c r="C1106" s="2">
        <v>687.01</v>
      </c>
      <c r="D1106" s="9">
        <f>B1106-B1105</f>
        <v>-0.31000000000000227</v>
      </c>
      <c r="E1106" s="9">
        <f>C1106-C1105</f>
        <v>-0.84000000000003183</v>
      </c>
      <c r="F1106" s="3">
        <f>F$1/B1106</f>
        <v>517.57155426737745</v>
      </c>
      <c r="G1106" s="3">
        <f>F$1/C1106</f>
        <v>145.55828881675666</v>
      </c>
      <c r="H1106" s="2">
        <f>D1106*F1105</f>
        <v>-160.19016122364729</v>
      </c>
      <c r="I1106" s="2">
        <f>E1106*G1105</f>
        <v>-122.11964817911343</v>
      </c>
      <c r="J1106" s="2">
        <f>I1106-H1106</f>
        <v>38.070513044533868</v>
      </c>
      <c r="K1106" s="2">
        <f t="shared" si="145"/>
        <v>-38.070513044533868</v>
      </c>
      <c r="L1106" s="3">
        <f>C1106/B1106</f>
        <v>3.5557683349723099</v>
      </c>
      <c r="M1106" s="3">
        <f t="shared" si="147"/>
        <v>3.5415339350841277</v>
      </c>
      <c r="N1106" s="3">
        <f t="shared" si="143"/>
        <v>3.5511824347333016</v>
      </c>
      <c r="O1106" s="3">
        <f t="shared" si="144"/>
        <v>3.5705913033188095</v>
      </c>
      <c r="P1106" s="3">
        <f t="shared" si="146"/>
        <v>3.4270314376233419</v>
      </c>
      <c r="Q1106" s="4" t="str">
        <f t="shared" si="150"/>
        <v>OVER</v>
      </c>
      <c r="R1106" s="4" t="str">
        <f t="shared" si="150"/>
        <v>OVER</v>
      </c>
      <c r="S1106" s="4" t="str">
        <f t="shared" si="148"/>
        <v>UNDER</v>
      </c>
      <c r="T1106" s="4" t="str">
        <f t="shared" si="148"/>
        <v>OVER</v>
      </c>
      <c r="U1106" s="2">
        <f>IF(Q1106="OVER",$J1106,$K1106)</f>
        <v>38.070513044533868</v>
      </c>
      <c r="V1106" s="2">
        <f>IF(R1106="OVER",$J1106,$K1106)</f>
        <v>38.070513044533868</v>
      </c>
      <c r="W1106" s="2">
        <f>IF(S1106="OVER",$J1106,$K1106)</f>
        <v>-38.070513044533868</v>
      </c>
      <c r="X1106" s="2">
        <f>IF(T1106="OVER",$J1106,$K1106)</f>
        <v>38.070513044533868</v>
      </c>
      <c r="Y1106" s="9">
        <f t="shared" si="149"/>
        <v>-13237.872159141125</v>
      </c>
      <c r="Z1106" s="9">
        <f t="shared" si="149"/>
        <v>9138.8511524523001</v>
      </c>
      <c r="AA1106" s="9">
        <f t="shared" si="149"/>
        <v>73879.050752932337</v>
      </c>
      <c r="AB1106" s="9">
        <f t="shared" si="149"/>
        <v>33365.603146810303</v>
      </c>
    </row>
    <row r="1107" spans="1:28" x14ac:dyDescent="0.3">
      <c r="A1107" s="1">
        <v>46022</v>
      </c>
      <c r="B1107" s="2">
        <v>191.56</v>
      </c>
      <c r="C1107" s="2">
        <v>681.92</v>
      </c>
      <c r="D1107" s="9">
        <f>B1107-B1106</f>
        <v>-1.6500000000000057</v>
      </c>
      <c r="E1107" s="9">
        <f>C1107-C1106</f>
        <v>-5.0900000000000318</v>
      </c>
      <c r="F1107" s="3">
        <f>F$1/B1107</f>
        <v>522.02965128419294</v>
      </c>
      <c r="G1107" s="3">
        <f>F$1/C1107</f>
        <v>146.64476771468796</v>
      </c>
      <c r="H1107" s="2">
        <f>D1107*F1106</f>
        <v>-853.99306454117573</v>
      </c>
      <c r="I1107" s="2">
        <f>E1107*G1106</f>
        <v>-740.89169007729606</v>
      </c>
      <c r="J1107" s="2">
        <f>I1107-H1107</f>
        <v>113.10137446387967</v>
      </c>
      <c r="K1107" s="2">
        <f t="shared" si="145"/>
        <v>-113.10137446387967</v>
      </c>
      <c r="L1107" s="3">
        <f>C1107/B1107</f>
        <v>3.5598245980371681</v>
      </c>
      <c r="M1107" s="3">
        <f t="shared" si="147"/>
        <v>3.544471514758873</v>
      </c>
      <c r="N1107" s="3">
        <f t="shared" si="143"/>
        <v>3.5498614145825393</v>
      </c>
      <c r="O1107" s="3">
        <f t="shared" si="144"/>
        <v>3.5710837034369076</v>
      </c>
      <c r="P1107" s="3">
        <f t="shared" si="146"/>
        <v>3.4286253488871434</v>
      </c>
      <c r="Q1107" s="4" t="str">
        <f t="shared" si="150"/>
        <v>OVER</v>
      </c>
      <c r="R1107" s="4" t="str">
        <f t="shared" si="150"/>
        <v>OVER</v>
      </c>
      <c r="S1107" s="4" t="str">
        <f t="shared" si="148"/>
        <v>UNDER</v>
      </c>
      <c r="T1107" s="4" t="str">
        <f t="shared" si="148"/>
        <v>OVER</v>
      </c>
      <c r="U1107" s="2">
        <f>IF(Q1107="OVER",$J1107,$K1107)</f>
        <v>113.10137446387967</v>
      </c>
      <c r="V1107" s="2">
        <f>IF(R1107="OVER",$J1107,$K1107)</f>
        <v>113.10137446387967</v>
      </c>
      <c r="W1107" s="2">
        <f>IF(S1107="OVER",$J1107,$K1107)</f>
        <v>-113.10137446387967</v>
      </c>
      <c r="X1107" s="2">
        <f>IF(T1107="OVER",$J1107,$K1107)</f>
        <v>113.10137446387967</v>
      </c>
      <c r="Y1107" s="9">
        <f t="shared" si="149"/>
        <v>-13124.770784677245</v>
      </c>
      <c r="Z1107" s="9">
        <f t="shared" si="149"/>
        <v>9251.9525269161804</v>
      </c>
      <c r="AA1107" s="9">
        <f t="shared" si="149"/>
        <v>73765.94937846846</v>
      </c>
      <c r="AB1107" s="9">
        <f t="shared" si="149"/>
        <v>33478.70452127418</v>
      </c>
    </row>
    <row r="1108" spans="1:28" x14ac:dyDescent="0.3">
      <c r="A1108" s="1">
        <v>46024</v>
      </c>
      <c r="B1108" s="2">
        <v>192.86</v>
      </c>
      <c r="C1108" s="2">
        <v>683.17</v>
      </c>
      <c r="D1108" s="9">
        <f>B1108-B1107</f>
        <v>1.3000000000000114</v>
      </c>
      <c r="E1108" s="9">
        <f>C1108-C1107</f>
        <v>1.25</v>
      </c>
      <c r="F1108" s="3">
        <f>F$1/B1108</f>
        <v>518.51083687649066</v>
      </c>
      <c r="G1108" s="3">
        <f>F$1/C1108</f>
        <v>146.37645095657012</v>
      </c>
      <c r="H1108" s="2">
        <f>D1108*F1107</f>
        <v>678.63854666945679</v>
      </c>
      <c r="I1108" s="2">
        <f>E1108*G1107</f>
        <v>183.30595964335996</v>
      </c>
      <c r="J1108" s="2">
        <f>I1108-H1108</f>
        <v>-495.3325870260968</v>
      </c>
      <c r="K1108" s="2">
        <f t="shared" si="145"/>
        <v>495.3325870260968</v>
      </c>
      <c r="L1108" s="3">
        <f>C1108/B1108</f>
        <v>3.5423104842891213</v>
      </c>
      <c r="M1108" s="3">
        <f t="shared" si="147"/>
        <v>3.5485956642984902</v>
      </c>
      <c r="N1108" s="3">
        <f t="shared" si="143"/>
        <v>3.5484062562548253</v>
      </c>
      <c r="O1108" s="3">
        <f t="shared" si="144"/>
        <v>3.5715493301912575</v>
      </c>
      <c r="P1108" s="3">
        <f t="shared" si="146"/>
        <v>3.4302230456100595</v>
      </c>
      <c r="Q1108" s="4" t="str">
        <f t="shared" si="150"/>
        <v>OVER</v>
      </c>
      <c r="R1108" s="4" t="str">
        <f t="shared" si="150"/>
        <v>OVER</v>
      </c>
      <c r="S1108" s="4" t="str">
        <f t="shared" si="148"/>
        <v>UNDER</v>
      </c>
      <c r="T1108" s="4" t="str">
        <f t="shared" si="148"/>
        <v>OVER</v>
      </c>
      <c r="U1108" s="2">
        <f>IF(Q1108="OVER",$J1108,$K1108)</f>
        <v>-495.3325870260968</v>
      </c>
      <c r="V1108" s="2">
        <f>IF(R1108="OVER",$J1108,$K1108)</f>
        <v>-495.3325870260968</v>
      </c>
      <c r="W1108" s="2">
        <f>IF(S1108="OVER",$J1108,$K1108)</f>
        <v>495.3325870260968</v>
      </c>
      <c r="X1108" s="2">
        <f>IF(T1108="OVER",$J1108,$K1108)</f>
        <v>-495.3325870260968</v>
      </c>
      <c r="Y1108" s="9">
        <f t="shared" si="149"/>
        <v>-13620.103371703341</v>
      </c>
      <c r="Z1108" s="9">
        <f t="shared" si="149"/>
        <v>8756.6199398900844</v>
      </c>
      <c r="AA1108" s="9">
        <f t="shared" si="149"/>
        <v>74261.281965494563</v>
      </c>
      <c r="AB1108" s="9">
        <f t="shared" si="149"/>
        <v>32983.371934248084</v>
      </c>
    </row>
    <row r="1109" spans="1:28" x14ac:dyDescent="0.3">
      <c r="A1109" s="1">
        <v>46027</v>
      </c>
      <c r="B1109" s="2">
        <v>194.65</v>
      </c>
      <c r="C1109" s="2">
        <v>687.72</v>
      </c>
      <c r="D1109" s="9">
        <f>B1109-B1108</f>
        <v>1.789999999999992</v>
      </c>
      <c r="E1109" s="9">
        <f>C1109-C1108</f>
        <v>4.5500000000000682</v>
      </c>
      <c r="F1109" s="3">
        <f>F$1/B1109</f>
        <v>513.74261494991003</v>
      </c>
      <c r="G1109" s="3">
        <f>F$1/C1109</f>
        <v>145.40801488978073</v>
      </c>
      <c r="H1109" s="2">
        <f>D1109*F1108</f>
        <v>928.1343980089141</v>
      </c>
      <c r="I1109" s="2">
        <f>E1109*G1108</f>
        <v>666.01285185240408</v>
      </c>
      <c r="J1109" s="2">
        <f>I1109-H1109</f>
        <v>-262.12154615651002</v>
      </c>
      <c r="K1109" s="2">
        <f t="shared" si="145"/>
        <v>262.12154615651002</v>
      </c>
      <c r="L1109" s="3">
        <f>C1109/B1109</f>
        <v>3.5331107115335216</v>
      </c>
      <c r="M1109" s="3">
        <f t="shared" si="147"/>
        <v>3.5499086086956764</v>
      </c>
      <c r="N1109" s="3">
        <f t="shared" si="143"/>
        <v>3.5464165294979075</v>
      </c>
      <c r="O1109" s="3">
        <f t="shared" si="144"/>
        <v>3.5718575621210427</v>
      </c>
      <c r="P1109" s="3">
        <f t="shared" si="146"/>
        <v>3.4317190718825588</v>
      </c>
      <c r="Q1109" s="4" t="str">
        <f t="shared" si="150"/>
        <v>UNDER</v>
      </c>
      <c r="R1109" s="4" t="str">
        <f t="shared" si="150"/>
        <v>UNDER</v>
      </c>
      <c r="S1109" s="4" t="str">
        <f t="shared" si="148"/>
        <v>UNDER</v>
      </c>
      <c r="T1109" s="4" t="str">
        <f t="shared" si="148"/>
        <v>OVER</v>
      </c>
      <c r="U1109" s="2">
        <f>IF(Q1109="OVER",$J1109,$K1109)</f>
        <v>262.12154615651002</v>
      </c>
      <c r="V1109" s="2">
        <f>IF(R1109="OVER",$J1109,$K1109)</f>
        <v>262.12154615651002</v>
      </c>
      <c r="W1109" s="2">
        <f>IF(S1109="OVER",$J1109,$K1109)</f>
        <v>262.12154615651002</v>
      </c>
      <c r="X1109" s="2">
        <f>IF(T1109="OVER",$J1109,$K1109)</f>
        <v>-262.12154615651002</v>
      </c>
      <c r="Y1109" s="9">
        <f t="shared" si="149"/>
        <v>-13357.981825546831</v>
      </c>
      <c r="Z1109" s="9">
        <f t="shared" si="149"/>
        <v>9018.7414860465942</v>
      </c>
      <c r="AA1109" s="9">
        <f t="shared" si="149"/>
        <v>74523.403511651079</v>
      </c>
      <c r="AB1109" s="9">
        <f t="shared" si="149"/>
        <v>32721.250388091572</v>
      </c>
    </row>
    <row r="1110" spans="1:28" x14ac:dyDescent="0.3">
      <c r="A1110" s="1">
        <v>46028</v>
      </c>
      <c r="B1110" s="2">
        <v>197</v>
      </c>
      <c r="C1110" s="2">
        <v>691.81</v>
      </c>
      <c r="D1110" s="9">
        <f>B1110-B1109</f>
        <v>2.3499999999999943</v>
      </c>
      <c r="E1110" s="9">
        <f>C1110-C1109</f>
        <v>4.0899999999999181</v>
      </c>
      <c r="F1110" s="3">
        <f>F$1/B1110</f>
        <v>507.61421319796955</v>
      </c>
      <c r="G1110" s="3">
        <f>F$1/C1110</f>
        <v>144.54835865338751</v>
      </c>
      <c r="H1110" s="2">
        <f>D1110*F1109</f>
        <v>1207.2951451322856</v>
      </c>
      <c r="I1110" s="2">
        <f>E1110*G1109</f>
        <v>594.7187808991913</v>
      </c>
      <c r="J1110" s="2">
        <f>I1110-H1110</f>
        <v>-612.5763642330943</v>
      </c>
      <c r="K1110" s="2">
        <f t="shared" si="145"/>
        <v>612.5763642330943</v>
      </c>
      <c r="L1110" s="3">
        <f>C1110/B1110</f>
        <v>3.511725888324873</v>
      </c>
      <c r="M1110" s="3">
        <f t="shared" si="147"/>
        <v>3.5482244990627967</v>
      </c>
      <c r="N1110" s="3">
        <f t="shared" si="143"/>
        <v>3.5434377197474847</v>
      </c>
      <c r="O1110" s="3">
        <f t="shared" si="144"/>
        <v>3.5716548354710569</v>
      </c>
      <c r="P1110" s="3">
        <f t="shared" si="146"/>
        <v>3.4330875387039352</v>
      </c>
      <c r="Q1110" s="4" t="str">
        <f t="shared" si="150"/>
        <v>UNDER</v>
      </c>
      <c r="R1110" s="4" t="str">
        <f t="shared" si="150"/>
        <v>UNDER</v>
      </c>
      <c r="S1110" s="4" t="str">
        <f t="shared" si="148"/>
        <v>UNDER</v>
      </c>
      <c r="T1110" s="4" t="str">
        <f t="shared" si="148"/>
        <v>OVER</v>
      </c>
      <c r="U1110" s="2">
        <f>IF(Q1110="OVER",$J1110,$K1110)</f>
        <v>612.5763642330943</v>
      </c>
      <c r="V1110" s="2">
        <f>IF(R1110="OVER",$J1110,$K1110)</f>
        <v>612.5763642330943</v>
      </c>
      <c r="W1110" s="2">
        <f>IF(S1110="OVER",$J1110,$K1110)</f>
        <v>612.5763642330943</v>
      </c>
      <c r="X1110" s="2">
        <f>IF(T1110="OVER",$J1110,$K1110)</f>
        <v>-612.5763642330943</v>
      </c>
      <c r="Y1110" s="9">
        <f t="shared" si="149"/>
        <v>-12745.405461313736</v>
      </c>
      <c r="Z1110" s="9">
        <f t="shared" si="149"/>
        <v>9631.3178502796891</v>
      </c>
      <c r="AA1110" s="9">
        <f t="shared" si="149"/>
        <v>75135.979875884179</v>
      </c>
      <c r="AB1110" s="9">
        <f t="shared" si="149"/>
        <v>32108.674023858479</v>
      </c>
    </row>
    <row r="1111" spans="1:28" x14ac:dyDescent="0.3">
      <c r="A1111" s="1">
        <v>46029</v>
      </c>
      <c r="B1111" s="2">
        <v>194.79</v>
      </c>
      <c r="C1111" s="2">
        <v>689.58</v>
      </c>
      <c r="D1111" s="9">
        <f>B1111-B1110</f>
        <v>-2.210000000000008</v>
      </c>
      <c r="E1111" s="9">
        <f>C1111-C1110</f>
        <v>-2.2299999999999045</v>
      </c>
      <c r="F1111" s="3">
        <f>F$1/B1111</f>
        <v>513.37337645669697</v>
      </c>
      <c r="G1111" s="3">
        <f>F$1/C1111</f>
        <v>145.01580672293278</v>
      </c>
      <c r="H1111" s="2">
        <f>D1111*F1110</f>
        <v>-1121.8274111675166</v>
      </c>
      <c r="I1111" s="2">
        <f>E1111*G1110</f>
        <v>-322.34283979704037</v>
      </c>
      <c r="J1111" s="2">
        <f>I1111-H1111</f>
        <v>799.48457137047626</v>
      </c>
      <c r="K1111" s="2">
        <f t="shared" si="145"/>
        <v>-799.48457137047626</v>
      </c>
      <c r="L1111" s="3">
        <f>C1111/B1111</f>
        <v>3.540120129370091</v>
      </c>
      <c r="M1111" s="3">
        <f t="shared" si="147"/>
        <v>3.5483923454192534</v>
      </c>
      <c r="N1111" s="3">
        <f t="shared" ref="N1111:N1174" si="151">AVERAGE(L1092:L1111)</f>
        <v>3.5413423376909692</v>
      </c>
      <c r="O1111" s="3">
        <f t="shared" si="144"/>
        <v>3.5716374116441529</v>
      </c>
      <c r="P1111" s="3">
        <f t="shared" si="146"/>
        <v>3.4345669014308595</v>
      </c>
      <c r="Q1111" s="4" t="str">
        <f t="shared" si="150"/>
        <v>UNDER</v>
      </c>
      <c r="R1111" s="4" t="str">
        <f t="shared" si="150"/>
        <v>UNDER</v>
      </c>
      <c r="S1111" s="4" t="str">
        <f t="shared" si="148"/>
        <v>UNDER</v>
      </c>
      <c r="T1111" s="4" t="str">
        <f t="shared" si="148"/>
        <v>OVER</v>
      </c>
      <c r="U1111" s="2">
        <f>IF(Q1111="OVER",$J1111,$K1111)</f>
        <v>-799.48457137047626</v>
      </c>
      <c r="V1111" s="2">
        <f>IF(R1111="OVER",$J1111,$K1111)</f>
        <v>-799.48457137047626</v>
      </c>
      <c r="W1111" s="2">
        <f>IF(S1111="OVER",$J1111,$K1111)</f>
        <v>-799.48457137047626</v>
      </c>
      <c r="X1111" s="2">
        <f>IF(T1111="OVER",$J1111,$K1111)</f>
        <v>799.48457137047626</v>
      </c>
      <c r="Y1111" s="9">
        <f t="shared" si="149"/>
        <v>-13544.890032684212</v>
      </c>
      <c r="Z1111" s="9">
        <f t="shared" si="149"/>
        <v>8831.8332789092128</v>
      </c>
      <c r="AA1111" s="9">
        <f t="shared" si="149"/>
        <v>74336.495304513708</v>
      </c>
      <c r="AB1111" s="9">
        <f t="shared" si="149"/>
        <v>32908.158595228953</v>
      </c>
    </row>
    <row r="1112" spans="1:28" x14ac:dyDescent="0.3">
      <c r="A1112" s="1">
        <v>46030</v>
      </c>
      <c r="B1112" s="2">
        <v>196.46</v>
      </c>
      <c r="C1112" s="2">
        <v>689.51</v>
      </c>
      <c r="D1112" s="9">
        <f>B1112-B1111</f>
        <v>1.6700000000000159</v>
      </c>
      <c r="E1112" s="9">
        <f>C1112-C1111</f>
        <v>-7.0000000000050022E-2</v>
      </c>
      <c r="F1112" s="3">
        <f>F$1/B1112</f>
        <v>509.00946757609688</v>
      </c>
      <c r="G1112" s="3">
        <f>F$1/C1112</f>
        <v>145.030528926339</v>
      </c>
      <c r="H1112" s="2">
        <f>D1112*F1111</f>
        <v>857.33353868269216</v>
      </c>
      <c r="I1112" s="2">
        <f>E1112*G1111</f>
        <v>-10.151106470612548</v>
      </c>
      <c r="J1112" s="2">
        <f>I1112-H1112</f>
        <v>-867.48464515330477</v>
      </c>
      <c r="K1112" s="2">
        <f t="shared" si="145"/>
        <v>867.48464515330477</v>
      </c>
      <c r="L1112" s="3">
        <f>C1112/B1112</f>
        <v>3.5096711798839455</v>
      </c>
      <c r="M1112" s="3">
        <f t="shared" si="147"/>
        <v>3.5430696503670971</v>
      </c>
      <c r="N1112" s="3">
        <f t="shared" si="151"/>
        <v>3.5375408948478002</v>
      </c>
      <c r="O1112" s="3">
        <f t="shared" si="144"/>
        <v>3.5704925394737823</v>
      </c>
      <c r="P1112" s="3">
        <f t="shared" si="146"/>
        <v>3.4357773894948873</v>
      </c>
      <c r="Q1112" s="4" t="str">
        <f t="shared" si="150"/>
        <v>UNDER</v>
      </c>
      <c r="R1112" s="4" t="str">
        <f t="shared" si="150"/>
        <v>UNDER</v>
      </c>
      <c r="S1112" s="4" t="str">
        <f t="shared" si="148"/>
        <v>UNDER</v>
      </c>
      <c r="T1112" s="4" t="str">
        <f t="shared" si="148"/>
        <v>OVER</v>
      </c>
      <c r="U1112" s="2">
        <f>IF(Q1112="OVER",$J1112,$K1112)</f>
        <v>867.48464515330477</v>
      </c>
      <c r="V1112" s="2">
        <f>IF(R1112="OVER",$J1112,$K1112)</f>
        <v>867.48464515330477</v>
      </c>
      <c r="W1112" s="2">
        <f>IF(S1112="OVER",$J1112,$K1112)</f>
        <v>867.48464515330477</v>
      </c>
      <c r="X1112" s="2">
        <f>IF(T1112="OVER",$J1112,$K1112)</f>
        <v>-867.48464515330477</v>
      </c>
      <c r="Y1112" s="9">
        <f t="shared" si="149"/>
        <v>-12677.405387530907</v>
      </c>
      <c r="Z1112" s="9">
        <f t="shared" si="149"/>
        <v>9699.3179240625177</v>
      </c>
      <c r="AA1112" s="9">
        <f t="shared" si="149"/>
        <v>75203.979949667017</v>
      </c>
      <c r="AB1112" s="9">
        <f t="shared" si="149"/>
        <v>32040.673950075648</v>
      </c>
    </row>
    <row r="1113" spans="1:28" x14ac:dyDescent="0.3">
      <c r="A1113" s="1">
        <v>46031</v>
      </c>
      <c r="B1113" s="2">
        <v>197.6</v>
      </c>
      <c r="C1113" s="2">
        <v>694.07</v>
      </c>
      <c r="D1113" s="9">
        <f>B1113-B1112</f>
        <v>1.1399999999999864</v>
      </c>
      <c r="E1113" s="9">
        <f>C1113-C1112</f>
        <v>4.5600000000000591</v>
      </c>
      <c r="F1113" s="3">
        <f>F$1/B1113</f>
        <v>506.07287449392715</v>
      </c>
      <c r="G1113" s="3">
        <f>F$1/C1113</f>
        <v>144.07768668866251</v>
      </c>
      <c r="H1113" s="2">
        <f>D1113*F1112</f>
        <v>580.2707930367435</v>
      </c>
      <c r="I1113" s="2">
        <f>E1113*G1112</f>
        <v>661.33921190411445</v>
      </c>
      <c r="J1113" s="2">
        <f>I1113-H1113</f>
        <v>81.068418867370951</v>
      </c>
      <c r="K1113" s="2">
        <f t="shared" si="145"/>
        <v>-81.068418867370951</v>
      </c>
      <c r="L1113" s="3">
        <f>C1113/B1113</f>
        <v>3.5125000000000002</v>
      </c>
      <c r="M1113" s="3">
        <f t="shared" si="147"/>
        <v>3.5380680377967892</v>
      </c>
      <c r="N1113" s="3">
        <f t="shared" si="151"/>
        <v>3.5351957131425658</v>
      </c>
      <c r="O1113" s="3">
        <f t="shared" si="144"/>
        <v>3.5685951069420168</v>
      </c>
      <c r="P1113" s="3">
        <f t="shared" si="146"/>
        <v>3.4369235033478005</v>
      </c>
      <c r="Q1113" s="4" t="str">
        <f t="shared" si="150"/>
        <v>UNDER</v>
      </c>
      <c r="R1113" s="4" t="str">
        <f t="shared" si="150"/>
        <v>UNDER</v>
      </c>
      <c r="S1113" s="4" t="str">
        <f t="shared" si="148"/>
        <v>UNDER</v>
      </c>
      <c r="T1113" s="4" t="str">
        <f t="shared" si="148"/>
        <v>OVER</v>
      </c>
      <c r="U1113" s="2">
        <f>IF(Q1113="OVER",$J1113,$K1113)</f>
        <v>-81.068418867370951</v>
      </c>
      <c r="V1113" s="2">
        <f>IF(R1113="OVER",$J1113,$K1113)</f>
        <v>-81.068418867370951</v>
      </c>
      <c r="W1113" s="2">
        <f>IF(S1113="OVER",$J1113,$K1113)</f>
        <v>-81.068418867370951</v>
      </c>
      <c r="X1113" s="2">
        <f>IF(T1113="OVER",$J1113,$K1113)</f>
        <v>81.068418867370951</v>
      </c>
      <c r="Y1113" s="9">
        <f t="shared" si="149"/>
        <v>-12758.473806398279</v>
      </c>
      <c r="Z1113" s="9">
        <f t="shared" si="149"/>
        <v>9618.2495051951464</v>
      </c>
      <c r="AA1113" s="9">
        <f t="shared" si="149"/>
        <v>75122.91153079964</v>
      </c>
      <c r="AB1113" s="9">
        <f t="shared" si="149"/>
        <v>32121.742368943018</v>
      </c>
    </row>
    <row r="1114" spans="1:28" x14ac:dyDescent="0.3">
      <c r="A1114" s="1">
        <v>46034</v>
      </c>
      <c r="B1114" s="2">
        <v>197.78</v>
      </c>
      <c r="C1114" s="2">
        <v>695.16</v>
      </c>
      <c r="D1114" s="9">
        <f>B1114-B1113</f>
        <v>0.18000000000000682</v>
      </c>
      <c r="E1114" s="9">
        <f>C1114-C1113</f>
        <v>1.0899999999999181</v>
      </c>
      <c r="F1114" s="3">
        <f>F$1/B1114</f>
        <v>505.61229649105064</v>
      </c>
      <c r="G1114" s="3">
        <f>F$1/C1114</f>
        <v>143.85177513090511</v>
      </c>
      <c r="H1114" s="2">
        <f>D1114*F1113</f>
        <v>91.093117408910345</v>
      </c>
      <c r="I1114" s="2">
        <f>E1114*G1113</f>
        <v>157.04467849063033</v>
      </c>
      <c r="J1114" s="2">
        <f>I1114-H1114</f>
        <v>65.951561081719987</v>
      </c>
      <c r="K1114" s="2">
        <f t="shared" si="145"/>
        <v>-65.951561081719987</v>
      </c>
      <c r="L1114" s="3">
        <f>C1114/B1114</f>
        <v>3.5148144402871875</v>
      </c>
      <c r="M1114" s="3">
        <f t="shared" si="147"/>
        <v>3.5334258747268699</v>
      </c>
      <c r="N1114" s="3">
        <f t="shared" si="151"/>
        <v>3.5339811637554974</v>
      </c>
      <c r="O1114" s="3">
        <f t="shared" si="144"/>
        <v>3.5658929355980233</v>
      </c>
      <c r="P1114" s="3">
        <f t="shared" si="146"/>
        <v>3.4382465752062608</v>
      </c>
      <c r="Q1114" s="4" t="str">
        <f t="shared" si="150"/>
        <v>UNDER</v>
      </c>
      <c r="R1114" s="4" t="str">
        <f t="shared" si="150"/>
        <v>UNDER</v>
      </c>
      <c r="S1114" s="4" t="str">
        <f t="shared" si="148"/>
        <v>UNDER</v>
      </c>
      <c r="T1114" s="4" t="str">
        <f t="shared" si="148"/>
        <v>OVER</v>
      </c>
      <c r="U1114" s="2">
        <f>IF(Q1114="OVER",$J1114,$K1114)</f>
        <v>-65.951561081719987</v>
      </c>
      <c r="V1114" s="2">
        <f>IF(R1114="OVER",$J1114,$K1114)</f>
        <v>-65.951561081719987</v>
      </c>
      <c r="W1114" s="2">
        <f>IF(S1114="OVER",$J1114,$K1114)</f>
        <v>-65.951561081719987</v>
      </c>
      <c r="X1114" s="2">
        <f>IF(T1114="OVER",$J1114,$K1114)</f>
        <v>65.951561081719987</v>
      </c>
      <c r="Y1114" s="9">
        <f t="shared" si="149"/>
        <v>-12824.425367479998</v>
      </c>
      <c r="Z1114" s="9">
        <f t="shared" si="149"/>
        <v>9552.2979441134266</v>
      </c>
      <c r="AA1114" s="9">
        <f t="shared" si="149"/>
        <v>75056.959969717922</v>
      </c>
      <c r="AB1114" s="9">
        <f t="shared" si="149"/>
        <v>32187.69393002474</v>
      </c>
    </row>
    <row r="1115" spans="1:28" x14ac:dyDescent="0.3">
      <c r="A1115" s="1">
        <v>46035</v>
      </c>
      <c r="B1115" s="2">
        <v>197.78</v>
      </c>
      <c r="C1115" s="2">
        <v>693.77</v>
      </c>
      <c r="D1115" s="9">
        <f>B1115-B1114</f>
        <v>0</v>
      </c>
      <c r="E1115" s="9">
        <f>C1115-C1114</f>
        <v>-1.3899999999999864</v>
      </c>
      <c r="F1115" s="3">
        <f>F$1/B1115</f>
        <v>505.61229649105064</v>
      </c>
      <c r="G1115" s="3">
        <f>F$1/C1115</f>
        <v>144.13998875708089</v>
      </c>
      <c r="H1115" s="2">
        <f>D1115*F1114</f>
        <v>0</v>
      </c>
      <c r="I1115" s="2">
        <f>E1115*G1114</f>
        <v>-199.95396743195613</v>
      </c>
      <c r="J1115" s="2">
        <f>I1115-H1115</f>
        <v>-199.95396743195613</v>
      </c>
      <c r="K1115" s="2">
        <f t="shared" si="145"/>
        <v>199.95396743195613</v>
      </c>
      <c r="L1115" s="3">
        <f>C1115/B1115</f>
        <v>3.5077864293659622</v>
      </c>
      <c r="M1115" s="3">
        <f t="shared" si="147"/>
        <v>3.528763219606418</v>
      </c>
      <c r="N1115" s="3">
        <f t="shared" si="151"/>
        <v>3.5331231350350771</v>
      </c>
      <c r="O1115" s="3">
        <f t="shared" si="144"/>
        <v>3.5635411983150345</v>
      </c>
      <c r="P1115" s="3">
        <f t="shared" si="146"/>
        <v>3.4395358655398063</v>
      </c>
      <c r="Q1115" s="4" t="str">
        <f t="shared" si="150"/>
        <v>UNDER</v>
      </c>
      <c r="R1115" s="4" t="str">
        <f t="shared" si="150"/>
        <v>UNDER</v>
      </c>
      <c r="S1115" s="4" t="str">
        <f t="shared" si="148"/>
        <v>UNDER</v>
      </c>
      <c r="T1115" s="4" t="str">
        <f t="shared" si="148"/>
        <v>OVER</v>
      </c>
      <c r="U1115" s="2">
        <f>IF(Q1115="OVER",$J1115,$K1115)</f>
        <v>199.95396743195613</v>
      </c>
      <c r="V1115" s="2">
        <f>IF(R1115="OVER",$J1115,$K1115)</f>
        <v>199.95396743195613</v>
      </c>
      <c r="W1115" s="2">
        <f>IF(S1115="OVER",$J1115,$K1115)</f>
        <v>199.95396743195613</v>
      </c>
      <c r="X1115" s="2">
        <f>IF(T1115="OVER",$J1115,$K1115)</f>
        <v>-199.95396743195613</v>
      </c>
      <c r="Y1115" s="9">
        <f t="shared" si="149"/>
        <v>-12624.471400048042</v>
      </c>
      <c r="Z1115" s="9">
        <f t="shared" si="149"/>
        <v>9752.2519115453833</v>
      </c>
      <c r="AA1115" s="9">
        <f t="shared" si="149"/>
        <v>75256.913937149875</v>
      </c>
      <c r="AB1115" s="9">
        <f t="shared" si="149"/>
        <v>31987.739962592783</v>
      </c>
    </row>
    <row r="1116" spans="1:28" x14ac:dyDescent="0.3">
      <c r="A1116" s="1">
        <v>46036</v>
      </c>
      <c r="B1116" s="2">
        <v>198.68</v>
      </c>
      <c r="C1116" s="2">
        <v>690.36</v>
      </c>
      <c r="D1116" s="9">
        <f>B1116-B1115</f>
        <v>0.90000000000000568</v>
      </c>
      <c r="E1116" s="9">
        <f>C1116-C1115</f>
        <v>-3.4099999999999682</v>
      </c>
      <c r="F1116" s="3">
        <f>F$1/B1116</f>
        <v>503.32192470304005</v>
      </c>
      <c r="G1116" s="3">
        <f>F$1/C1116</f>
        <v>144.85196129555595</v>
      </c>
      <c r="H1116" s="2">
        <f>D1116*F1115</f>
        <v>455.05106684194845</v>
      </c>
      <c r="I1116" s="2">
        <f>E1116*G1115</f>
        <v>-491.51736166164125</v>
      </c>
      <c r="J1116" s="2">
        <f>I1116-H1116</f>
        <v>-946.56842850358976</v>
      </c>
      <c r="K1116" s="2">
        <f t="shared" si="145"/>
        <v>946.56842850358976</v>
      </c>
      <c r="L1116" s="3">
        <f>C1116/B1116</f>
        <v>3.4747332393799075</v>
      </c>
      <c r="M1116" s="3">
        <f t="shared" si="147"/>
        <v>3.5206597100471777</v>
      </c>
      <c r="N1116" s="3">
        <f t="shared" si="151"/>
        <v>3.5310968225656523</v>
      </c>
      <c r="O1116" s="3">
        <f t="shared" si="144"/>
        <v>3.5604492617084968</v>
      </c>
      <c r="P1116" s="3">
        <f t="shared" si="146"/>
        <v>3.4407378204445056</v>
      </c>
      <c r="Q1116" s="4" t="str">
        <f t="shared" si="150"/>
        <v>UNDER</v>
      </c>
      <c r="R1116" s="4" t="str">
        <f t="shared" si="150"/>
        <v>UNDER</v>
      </c>
      <c r="S1116" s="4" t="str">
        <f t="shared" si="148"/>
        <v>UNDER</v>
      </c>
      <c r="T1116" s="4" t="str">
        <f t="shared" si="148"/>
        <v>OVER</v>
      </c>
      <c r="U1116" s="2">
        <f>IF(Q1116="OVER",$J1116,$K1116)</f>
        <v>946.56842850358976</v>
      </c>
      <c r="V1116" s="2">
        <f>IF(R1116="OVER",$J1116,$K1116)</f>
        <v>946.56842850358976</v>
      </c>
      <c r="W1116" s="2">
        <f>IF(S1116="OVER",$J1116,$K1116)</f>
        <v>946.56842850358976</v>
      </c>
      <c r="X1116" s="2">
        <f>IF(T1116="OVER",$J1116,$K1116)</f>
        <v>-946.56842850358976</v>
      </c>
      <c r="Y1116" s="9">
        <f t="shared" si="149"/>
        <v>-11677.902971544452</v>
      </c>
      <c r="Z1116" s="9">
        <f t="shared" si="149"/>
        <v>10698.820340048973</v>
      </c>
      <c r="AA1116" s="9">
        <f t="shared" si="149"/>
        <v>76203.482365653472</v>
      </c>
      <c r="AB1116" s="9">
        <f t="shared" si="149"/>
        <v>31041.171534089193</v>
      </c>
    </row>
    <row r="1117" spans="1:28" x14ac:dyDescent="0.3">
      <c r="A1117" s="1">
        <v>46037</v>
      </c>
      <c r="B1117" s="2">
        <v>199.56</v>
      </c>
      <c r="C1117" s="2">
        <v>692.24</v>
      </c>
      <c r="D1117" s="9">
        <f>B1117-B1116</f>
        <v>0.87999999999999545</v>
      </c>
      <c r="E1117" s="9">
        <f>C1117-C1116</f>
        <v>1.8799999999999955</v>
      </c>
      <c r="F1117" s="3">
        <f>F$1/B1117</f>
        <v>501.10242533573864</v>
      </c>
      <c r="G1117" s="3">
        <f>F$1/C1117</f>
        <v>144.45856928232982</v>
      </c>
      <c r="H1117" s="2">
        <f>D1117*F1116</f>
        <v>442.92329373867295</v>
      </c>
      <c r="I1117" s="2">
        <f>E1117*G1116</f>
        <v>272.3216872356445</v>
      </c>
      <c r="J1117" s="2">
        <f>I1117-H1117</f>
        <v>-170.60160650302845</v>
      </c>
      <c r="K1117" s="2">
        <f t="shared" si="145"/>
        <v>170.60160650302845</v>
      </c>
      <c r="L1117" s="3">
        <f>C1117/B1117</f>
        <v>3.4688314291441169</v>
      </c>
      <c r="M1117" s="3">
        <f t="shared" si="147"/>
        <v>3.5115603931578727</v>
      </c>
      <c r="N1117" s="3">
        <f t="shared" si="151"/>
        <v>3.5280159539583735</v>
      </c>
      <c r="O1117" s="3">
        <f t="shared" si="144"/>
        <v>3.5569246260891072</v>
      </c>
      <c r="P1117" s="3">
        <f t="shared" si="146"/>
        <v>3.4419361021644916</v>
      </c>
      <c r="Q1117" s="4" t="str">
        <f t="shared" si="150"/>
        <v>UNDER</v>
      </c>
      <c r="R1117" s="4" t="str">
        <f t="shared" si="150"/>
        <v>UNDER</v>
      </c>
      <c r="S1117" s="4" t="str">
        <f t="shared" si="148"/>
        <v>UNDER</v>
      </c>
      <c r="T1117" s="4" t="str">
        <f t="shared" si="148"/>
        <v>OVER</v>
      </c>
      <c r="U1117" s="2">
        <f>IF(Q1117="OVER",$J1117,$K1117)</f>
        <v>170.60160650302845</v>
      </c>
      <c r="V1117" s="2">
        <f>IF(R1117="OVER",$J1117,$K1117)</f>
        <v>170.60160650302845</v>
      </c>
      <c r="W1117" s="2">
        <f>IF(S1117="OVER",$J1117,$K1117)</f>
        <v>170.60160650302845</v>
      </c>
      <c r="X1117" s="2">
        <f>IF(T1117="OVER",$J1117,$K1117)</f>
        <v>-170.60160650302845</v>
      </c>
      <c r="Y1117" s="9">
        <f t="shared" si="149"/>
        <v>-11507.301365041423</v>
      </c>
      <c r="Z1117" s="9">
        <f t="shared" si="149"/>
        <v>10869.421946552002</v>
      </c>
      <c r="AA1117" s="9">
        <f t="shared" si="149"/>
        <v>76374.083972156499</v>
      </c>
      <c r="AB1117" s="9">
        <f t="shared" si="149"/>
        <v>30870.569927586166</v>
      </c>
    </row>
    <row r="1118" spans="1:28" x14ac:dyDescent="0.3">
      <c r="A1118" s="1">
        <v>46038</v>
      </c>
      <c r="B1118" s="2">
        <v>199.05</v>
      </c>
      <c r="C1118" s="2">
        <v>691.66</v>
      </c>
      <c r="D1118" s="9">
        <f>B1118-B1117</f>
        <v>-0.50999999999999091</v>
      </c>
      <c r="E1118" s="9">
        <f>C1118-C1117</f>
        <v>-0.58000000000004093</v>
      </c>
      <c r="F1118" s="3">
        <f>F$1/B1118</f>
        <v>502.38633509168545</v>
      </c>
      <c r="G1118" s="3">
        <f>F$1/C1118</f>
        <v>144.57970679235464</v>
      </c>
      <c r="H1118" s="2">
        <f>D1118*F1117</f>
        <v>-255.56223692122214</v>
      </c>
      <c r="I1118" s="2">
        <f>E1118*G1117</f>
        <v>-83.7859701837572</v>
      </c>
      <c r="J1118" s="2">
        <f>I1118-H1118</f>
        <v>171.77626673746494</v>
      </c>
      <c r="K1118" s="2">
        <f t="shared" si="145"/>
        <v>-171.77626673746494</v>
      </c>
      <c r="L1118" s="3">
        <f>C1118/B1118</f>
        <v>3.4748053252951516</v>
      </c>
      <c r="M1118" s="3">
        <f t="shared" si="147"/>
        <v>3.5048098772584759</v>
      </c>
      <c r="N1118" s="3">
        <f t="shared" si="151"/>
        <v>3.5267027707784835</v>
      </c>
      <c r="O1118" s="3">
        <f t="shared" si="144"/>
        <v>3.5539039522696059</v>
      </c>
      <c r="P1118" s="3">
        <f t="shared" si="146"/>
        <v>3.4431354560500642</v>
      </c>
      <c r="Q1118" s="4" t="str">
        <f t="shared" si="150"/>
        <v>UNDER</v>
      </c>
      <c r="R1118" s="4" t="str">
        <f t="shared" si="150"/>
        <v>UNDER</v>
      </c>
      <c r="S1118" s="4" t="str">
        <f t="shared" si="148"/>
        <v>UNDER</v>
      </c>
      <c r="T1118" s="4" t="str">
        <f t="shared" si="148"/>
        <v>OVER</v>
      </c>
      <c r="U1118" s="2">
        <f>IF(Q1118="OVER",$J1118,$K1118)</f>
        <v>-171.77626673746494</v>
      </c>
      <c r="V1118" s="2">
        <f>IF(R1118="OVER",$J1118,$K1118)</f>
        <v>-171.77626673746494</v>
      </c>
      <c r="W1118" s="2">
        <f>IF(S1118="OVER",$J1118,$K1118)</f>
        <v>-171.77626673746494</v>
      </c>
      <c r="X1118" s="2">
        <f>IF(T1118="OVER",$J1118,$K1118)</f>
        <v>171.77626673746494</v>
      </c>
      <c r="Y1118" s="9">
        <f t="shared" si="149"/>
        <v>-11679.077631778888</v>
      </c>
      <c r="Z1118" s="9">
        <f t="shared" si="149"/>
        <v>10697.645679814537</v>
      </c>
      <c r="AA1118" s="9">
        <f t="shared" si="149"/>
        <v>76202.307705419036</v>
      </c>
      <c r="AB1118" s="9">
        <f t="shared" si="149"/>
        <v>31042.346194323633</v>
      </c>
    </row>
    <row r="1119" spans="1:28" x14ac:dyDescent="0.3">
      <c r="A1119" s="1">
        <v>46042</v>
      </c>
      <c r="B1119" s="2">
        <v>196.08</v>
      </c>
      <c r="C1119" s="2">
        <v>677.58</v>
      </c>
      <c r="D1119" s="9">
        <f>B1119-B1118</f>
        <v>-2.9699999999999989</v>
      </c>
      <c r="E1119" s="9">
        <f>C1119-C1118</f>
        <v>-14.079999999999927</v>
      </c>
      <c r="F1119" s="3">
        <f>F$1/B1119</f>
        <v>509.99592003263973</v>
      </c>
      <c r="G1119" s="3">
        <f>F$1/C1119</f>
        <v>147.58404911597154</v>
      </c>
      <c r="H1119" s="2">
        <f>D1119*F1118</f>
        <v>-1492.0874152223053</v>
      </c>
      <c r="I1119" s="2">
        <f>E1119*G1118</f>
        <v>-2035.6822716363429</v>
      </c>
      <c r="J1119" s="2">
        <f>I1119-H1119</f>
        <v>-543.59485641403762</v>
      </c>
      <c r="K1119" s="2">
        <f t="shared" si="145"/>
        <v>543.59485641403762</v>
      </c>
      <c r="L1119" s="3">
        <f>C1119/B1119</f>
        <v>3.4556303549571603</v>
      </c>
      <c r="M1119" s="3">
        <f t="shared" si="147"/>
        <v>3.4970618416008401</v>
      </c>
      <c r="N1119" s="3">
        <f t="shared" si="151"/>
        <v>3.5234852251482587</v>
      </c>
      <c r="O1119" s="3">
        <f t="shared" si="144"/>
        <v>3.5506719085039196</v>
      </c>
      <c r="P1119" s="3">
        <f t="shared" si="146"/>
        <v>3.4442715513225055</v>
      </c>
      <c r="Q1119" s="4" t="str">
        <f t="shared" si="150"/>
        <v>UNDER</v>
      </c>
      <c r="R1119" s="4" t="str">
        <f t="shared" si="150"/>
        <v>UNDER</v>
      </c>
      <c r="S1119" s="4" t="str">
        <f t="shared" si="148"/>
        <v>UNDER</v>
      </c>
      <c r="T1119" s="4" t="str">
        <f t="shared" si="148"/>
        <v>OVER</v>
      </c>
      <c r="U1119" s="2">
        <f>IF(Q1119="OVER",$J1119,$K1119)</f>
        <v>543.59485641403762</v>
      </c>
      <c r="V1119" s="2">
        <f>IF(R1119="OVER",$J1119,$K1119)</f>
        <v>543.59485641403762</v>
      </c>
      <c r="W1119" s="2">
        <f>IF(S1119="OVER",$J1119,$K1119)</f>
        <v>543.59485641403762</v>
      </c>
      <c r="X1119" s="2">
        <f>IF(T1119="OVER",$J1119,$K1119)</f>
        <v>-543.59485641403762</v>
      </c>
      <c r="Y1119" s="9">
        <f t="shared" si="149"/>
        <v>-11135.48277536485</v>
      </c>
      <c r="Z1119" s="9">
        <f t="shared" si="149"/>
        <v>11241.240536228575</v>
      </c>
      <c r="AA1119" s="9">
        <f t="shared" si="149"/>
        <v>76745.902561833078</v>
      </c>
      <c r="AB1119" s="9">
        <f t="shared" si="149"/>
        <v>30498.751337909594</v>
      </c>
    </row>
    <row r="1120" spans="1:28" x14ac:dyDescent="0.3">
      <c r="A1120" s="1">
        <v>46043</v>
      </c>
      <c r="B1120" s="2">
        <v>199.4</v>
      </c>
      <c r="C1120" s="2">
        <v>685.4</v>
      </c>
      <c r="D1120" s="9">
        <f>B1120-B1119</f>
        <v>3.3199999999999932</v>
      </c>
      <c r="E1120" s="9">
        <f>C1120-C1119</f>
        <v>7.8199999999999363</v>
      </c>
      <c r="F1120" s="3">
        <f>F$1/B1120</f>
        <v>501.50451354062187</v>
      </c>
      <c r="G1120" s="3">
        <f>F$1/C1120</f>
        <v>145.90020426028596</v>
      </c>
      <c r="H1120" s="2">
        <f>D1120*F1119</f>
        <v>1693.1864545083604</v>
      </c>
      <c r="I1120" s="2">
        <f>E1120*G1119</f>
        <v>1154.1072640868881</v>
      </c>
      <c r="J1120" s="2">
        <f>I1120-H1120</f>
        <v>-539.07919042147228</v>
      </c>
      <c r="K1120" s="2">
        <f t="shared" si="145"/>
        <v>539.07919042147228</v>
      </c>
      <c r="L1120" s="3">
        <f>C1120/B1120</f>
        <v>3.437311935807422</v>
      </c>
      <c r="M1120" s="3">
        <f t="shared" si="147"/>
        <v>3.4896204463490945</v>
      </c>
      <c r="N1120" s="3">
        <f t="shared" si="151"/>
        <v>3.5189224727059454</v>
      </c>
      <c r="O1120" s="3">
        <f t="shared" si="144"/>
        <v>3.5473418031340471</v>
      </c>
      <c r="P1120" s="3">
        <f t="shared" si="146"/>
        <v>3.4453438973463459</v>
      </c>
      <c r="Q1120" s="4" t="str">
        <f t="shared" si="150"/>
        <v>UNDER</v>
      </c>
      <c r="R1120" s="4" t="str">
        <f t="shared" si="150"/>
        <v>UNDER</v>
      </c>
      <c r="S1120" s="4" t="str">
        <f t="shared" si="148"/>
        <v>UNDER</v>
      </c>
      <c r="T1120" s="4" t="str">
        <f t="shared" si="148"/>
        <v>UNDER</v>
      </c>
      <c r="U1120" s="2">
        <f>IF(Q1120="OVER",$J1120,$K1120)</f>
        <v>539.07919042147228</v>
      </c>
      <c r="V1120" s="2">
        <f>IF(R1120="OVER",$J1120,$K1120)</f>
        <v>539.07919042147228</v>
      </c>
      <c r="W1120" s="2">
        <f>IF(S1120="OVER",$J1120,$K1120)</f>
        <v>539.07919042147228</v>
      </c>
      <c r="X1120" s="2">
        <f>IF(T1120="OVER",$J1120,$K1120)</f>
        <v>539.07919042147228</v>
      </c>
      <c r="Y1120" s="9">
        <f t="shared" si="149"/>
        <v>-10596.403584943377</v>
      </c>
      <c r="Z1120" s="9">
        <f t="shared" si="149"/>
        <v>11780.319726650048</v>
      </c>
      <c r="AA1120" s="9">
        <f t="shared" si="149"/>
        <v>77284.981752254549</v>
      </c>
      <c r="AB1120" s="9">
        <f t="shared" si="149"/>
        <v>31037.830528331066</v>
      </c>
    </row>
    <row r="1121" spans="1:28" x14ac:dyDescent="0.3">
      <c r="A1121" s="1">
        <v>46044</v>
      </c>
      <c r="B1121" s="2">
        <v>199.66</v>
      </c>
      <c r="C1121" s="2">
        <v>688.98</v>
      </c>
      <c r="D1121" s="9">
        <f>B1121-B1120</f>
        <v>0.25999999999999091</v>
      </c>
      <c r="E1121" s="9">
        <f>C1121-C1120</f>
        <v>3.5800000000000409</v>
      </c>
      <c r="F1121" s="3">
        <f>F$1/B1121</f>
        <v>500.85144746068318</v>
      </c>
      <c r="G1121" s="3">
        <f>F$1/C1121</f>
        <v>145.14209411013383</v>
      </c>
      <c r="H1121" s="2">
        <f>D1121*F1120</f>
        <v>130.39117352055712</v>
      </c>
      <c r="I1121" s="2">
        <f>E1121*G1120</f>
        <v>522.32273125182974</v>
      </c>
      <c r="J1121" s="2">
        <f>I1121-H1121</f>
        <v>391.93155773127262</v>
      </c>
      <c r="K1121" s="2">
        <f t="shared" si="145"/>
        <v>-391.93155773127262</v>
      </c>
      <c r="L1121" s="3">
        <f>C1121/B1121</f>
        <v>3.4507663027146149</v>
      </c>
      <c r="M1121" s="3">
        <f t="shared" si="147"/>
        <v>3.4806850636835471</v>
      </c>
      <c r="N1121" s="3">
        <f t="shared" si="151"/>
        <v>3.5145387045513998</v>
      </c>
      <c r="O1121" s="3">
        <f t="shared" si="144"/>
        <v>3.5448098909712349</v>
      </c>
      <c r="P1121" s="3">
        <f t="shared" si="146"/>
        <v>3.4465244370925188</v>
      </c>
      <c r="Q1121" s="4" t="str">
        <f t="shared" si="150"/>
        <v>UNDER</v>
      </c>
      <c r="R1121" s="4" t="str">
        <f t="shared" si="150"/>
        <v>UNDER</v>
      </c>
      <c r="S1121" s="4" t="str">
        <f t="shared" si="148"/>
        <v>UNDER</v>
      </c>
      <c r="T1121" s="4" t="str">
        <f t="shared" si="148"/>
        <v>OVER</v>
      </c>
      <c r="U1121" s="2">
        <f>IF(Q1121="OVER",$J1121,$K1121)</f>
        <v>-391.93155773127262</v>
      </c>
      <c r="V1121" s="2">
        <f>IF(R1121="OVER",$J1121,$K1121)</f>
        <v>-391.93155773127262</v>
      </c>
      <c r="W1121" s="2">
        <f>IF(S1121="OVER",$J1121,$K1121)</f>
        <v>-391.93155773127262</v>
      </c>
      <c r="X1121" s="2">
        <f>IF(T1121="OVER",$J1121,$K1121)</f>
        <v>391.93155773127262</v>
      </c>
      <c r="Y1121" s="9">
        <f t="shared" si="149"/>
        <v>-10988.335142674649</v>
      </c>
      <c r="Z1121" s="9">
        <f t="shared" si="149"/>
        <v>11388.388168918777</v>
      </c>
      <c r="AA1121" s="9">
        <f t="shared" si="149"/>
        <v>76893.050194523283</v>
      </c>
      <c r="AB1121" s="9">
        <f t="shared" si="149"/>
        <v>31429.762086062339</v>
      </c>
    </row>
    <row r="1122" spans="1:28" x14ac:dyDescent="0.3">
      <c r="A1122" s="1">
        <v>46045</v>
      </c>
      <c r="B1122" s="2">
        <v>198.77</v>
      </c>
      <c r="C1122" s="2">
        <v>689.23</v>
      </c>
      <c r="D1122" s="9">
        <f>B1122-B1121</f>
        <v>-0.88999999999998636</v>
      </c>
      <c r="E1122" s="9">
        <f>C1122-C1121</f>
        <v>0.25</v>
      </c>
      <c r="F1122" s="3">
        <f>F$1/B1122</f>
        <v>503.09402827388436</v>
      </c>
      <c r="G1122" s="3">
        <f>F$1/C1122</f>
        <v>145.08944764447281</v>
      </c>
      <c r="H1122" s="2">
        <f>D1122*F1121</f>
        <v>-445.75778824000122</v>
      </c>
      <c r="I1122" s="2">
        <f>E1122*G1121</f>
        <v>36.285523527533456</v>
      </c>
      <c r="J1122" s="2">
        <f>I1122-H1122</f>
        <v>482.04331176753465</v>
      </c>
      <c r="K1122" s="2">
        <f t="shared" si="145"/>
        <v>-482.04331176753465</v>
      </c>
      <c r="L1122" s="3">
        <f>C1122/B1122</f>
        <v>3.4674749710720931</v>
      </c>
      <c r="M1122" s="3">
        <f t="shared" si="147"/>
        <v>3.476465442802362</v>
      </c>
      <c r="N1122" s="3">
        <f t="shared" si="151"/>
        <v>3.5097675465847296</v>
      </c>
      <c r="O1122" s="3">
        <f t="shared" si="144"/>
        <v>3.5419117228778338</v>
      </c>
      <c r="P1122" s="3">
        <f t="shared" si="146"/>
        <v>3.4476823033830488</v>
      </c>
      <c r="Q1122" s="4" t="str">
        <f t="shared" si="150"/>
        <v>UNDER</v>
      </c>
      <c r="R1122" s="4" t="str">
        <f t="shared" si="150"/>
        <v>UNDER</v>
      </c>
      <c r="S1122" s="4" t="str">
        <f t="shared" si="148"/>
        <v>UNDER</v>
      </c>
      <c r="T1122" s="4" t="str">
        <f t="shared" si="148"/>
        <v>OVER</v>
      </c>
      <c r="U1122" s="2">
        <f>IF(Q1122="OVER",$J1122,$K1122)</f>
        <v>-482.04331176753465</v>
      </c>
      <c r="V1122" s="2">
        <f>IF(R1122="OVER",$J1122,$K1122)</f>
        <v>-482.04331176753465</v>
      </c>
      <c r="W1122" s="2">
        <f>IF(S1122="OVER",$J1122,$K1122)</f>
        <v>-482.04331176753465</v>
      </c>
      <c r="X1122" s="2">
        <f>IF(T1122="OVER",$J1122,$K1122)</f>
        <v>482.04331176753465</v>
      </c>
      <c r="Y1122" s="9">
        <f t="shared" si="149"/>
        <v>-11470.378454442183</v>
      </c>
      <c r="Z1122" s="9">
        <f t="shared" si="149"/>
        <v>10906.344857151242</v>
      </c>
      <c r="AA1122" s="9">
        <f t="shared" si="149"/>
        <v>76411.006882755755</v>
      </c>
      <c r="AB1122" s="9">
        <f t="shared" si="149"/>
        <v>31911.805397829874</v>
      </c>
    </row>
    <row r="1123" spans="1:28" x14ac:dyDescent="0.3">
      <c r="A1123" s="1">
        <v>46048</v>
      </c>
      <c r="B1123" s="2">
        <v>199.24</v>
      </c>
      <c r="C1123" s="2">
        <v>692.73</v>
      </c>
      <c r="D1123" s="9">
        <f>B1123-B1122</f>
        <v>0.46999999999999886</v>
      </c>
      <c r="E1123" s="9">
        <f>C1123-C1122</f>
        <v>3.5</v>
      </c>
      <c r="F1123" s="3">
        <f>F$1/B1123</f>
        <v>501.90724754065445</v>
      </c>
      <c r="G1123" s="3">
        <f>F$1/C1123</f>
        <v>144.35638704834494</v>
      </c>
      <c r="H1123" s="2">
        <f>D1123*F1122</f>
        <v>236.45419328872507</v>
      </c>
      <c r="I1123" s="2">
        <f>E1123*G1122</f>
        <v>507.81306675565486</v>
      </c>
      <c r="J1123" s="2">
        <f>I1123-H1123</f>
        <v>271.35887346692982</v>
      </c>
      <c r="K1123" s="2">
        <f t="shared" si="145"/>
        <v>-271.35887346692982</v>
      </c>
      <c r="L1123" s="3">
        <f>C1123/B1123</f>
        <v>3.4768620758883757</v>
      </c>
      <c r="M1123" s="3">
        <f t="shared" si="147"/>
        <v>3.4729016503911994</v>
      </c>
      <c r="N1123" s="3">
        <f t="shared" si="151"/>
        <v>3.5054848440939943</v>
      </c>
      <c r="O1123" s="3">
        <f t="shared" si="144"/>
        <v>3.5394519159583484</v>
      </c>
      <c r="P1123" s="3">
        <f t="shared" si="146"/>
        <v>3.4488343506355701</v>
      </c>
      <c r="Q1123" s="4" t="str">
        <f t="shared" si="150"/>
        <v>UNDER</v>
      </c>
      <c r="R1123" s="4" t="str">
        <f t="shared" si="150"/>
        <v>UNDER</v>
      </c>
      <c r="S1123" s="4" t="str">
        <f t="shared" si="148"/>
        <v>UNDER</v>
      </c>
      <c r="T1123" s="4" t="str">
        <f t="shared" si="148"/>
        <v>OVER</v>
      </c>
      <c r="U1123" s="2">
        <f>IF(Q1123="OVER",$J1123,$K1123)</f>
        <v>-271.35887346692982</v>
      </c>
      <c r="V1123" s="2">
        <f>IF(R1123="OVER",$J1123,$K1123)</f>
        <v>-271.35887346692982</v>
      </c>
      <c r="W1123" s="2">
        <f>IF(S1123="OVER",$J1123,$K1123)</f>
        <v>-271.35887346692982</v>
      </c>
      <c r="X1123" s="2">
        <f>IF(T1123="OVER",$J1123,$K1123)</f>
        <v>271.35887346692982</v>
      </c>
      <c r="Y1123" s="9">
        <f t="shared" si="149"/>
        <v>-11741.737327909113</v>
      </c>
      <c r="Z1123" s="9">
        <f t="shared" si="149"/>
        <v>10634.985983684312</v>
      </c>
      <c r="AA1123" s="9">
        <f t="shared" si="149"/>
        <v>76139.648009288823</v>
      </c>
      <c r="AB1123" s="9">
        <f t="shared" si="149"/>
        <v>32183.164271296802</v>
      </c>
    </row>
    <row r="1124" spans="1:28" x14ac:dyDescent="0.3">
      <c r="A1124" s="1">
        <v>46049</v>
      </c>
      <c r="B1124" s="2">
        <v>198.93</v>
      </c>
      <c r="C1124" s="2">
        <v>695.49</v>
      </c>
      <c r="D1124" s="9">
        <f>B1124-B1123</f>
        <v>-0.31000000000000227</v>
      </c>
      <c r="E1124" s="9">
        <f>C1124-C1123</f>
        <v>2.7599999999999909</v>
      </c>
      <c r="F1124" s="3">
        <f>F$1/B1124</f>
        <v>502.68938822701449</v>
      </c>
      <c r="G1124" s="3">
        <f>F$1/C1124</f>
        <v>143.78351953299114</v>
      </c>
      <c r="H1124" s="2">
        <f>D1124*F1123</f>
        <v>-155.59124673760402</v>
      </c>
      <c r="I1124" s="2">
        <f>E1124*G1123</f>
        <v>398.42362825343071</v>
      </c>
      <c r="J1124" s="2">
        <f>I1124-H1124</f>
        <v>554.01487499103473</v>
      </c>
      <c r="K1124" s="2">
        <f t="shared" si="145"/>
        <v>-554.01487499103473</v>
      </c>
      <c r="L1124" s="3">
        <f>C1124/B1124</f>
        <v>3.4961544261800634</v>
      </c>
      <c r="M1124" s="3">
        <f t="shared" si="147"/>
        <v>3.4710356489804872</v>
      </c>
      <c r="N1124" s="3">
        <f t="shared" si="151"/>
        <v>3.5022307618536788</v>
      </c>
      <c r="O1124" s="3">
        <f t="shared" si="144"/>
        <v>3.5375083518370873</v>
      </c>
      <c r="P1124" s="3">
        <f t="shared" si="146"/>
        <v>3.449706379729415</v>
      </c>
      <c r="Q1124" s="4" t="str">
        <f t="shared" si="150"/>
        <v>OVER</v>
      </c>
      <c r="R1124" s="4" t="str">
        <f t="shared" si="150"/>
        <v>UNDER</v>
      </c>
      <c r="S1124" s="4" t="str">
        <f t="shared" si="148"/>
        <v>UNDER</v>
      </c>
      <c r="T1124" s="4" t="str">
        <f t="shared" si="148"/>
        <v>OVER</v>
      </c>
      <c r="U1124" s="2">
        <f>IF(Q1124="OVER",$J1124,$K1124)</f>
        <v>554.01487499103473</v>
      </c>
      <c r="V1124" s="2">
        <f>IF(R1124="OVER",$J1124,$K1124)</f>
        <v>-554.01487499103473</v>
      </c>
      <c r="W1124" s="2">
        <f>IF(S1124="OVER",$J1124,$K1124)</f>
        <v>-554.01487499103473</v>
      </c>
      <c r="X1124" s="2">
        <f>IF(T1124="OVER",$J1124,$K1124)</f>
        <v>554.01487499103473</v>
      </c>
      <c r="Y1124" s="9">
        <f t="shared" si="149"/>
        <v>-11187.722452918078</v>
      </c>
      <c r="Z1124" s="9">
        <f t="shared" si="149"/>
        <v>10080.971108693277</v>
      </c>
      <c r="AA1124" s="9">
        <f t="shared" si="149"/>
        <v>75585.633134297794</v>
      </c>
      <c r="AB1124" s="9">
        <f t="shared" si="149"/>
        <v>32737.179146287835</v>
      </c>
    </row>
    <row r="1125" spans="1:28" x14ac:dyDescent="0.3">
      <c r="A1125" s="1">
        <v>46050</v>
      </c>
      <c r="B1125" s="2">
        <v>198.26</v>
      </c>
      <c r="C1125" s="2">
        <v>695.42</v>
      </c>
      <c r="D1125" s="9">
        <f>B1125-B1124</f>
        <v>-0.67000000000001592</v>
      </c>
      <c r="E1125" s="9">
        <f>C1125-C1124</f>
        <v>-7.0000000000050022E-2</v>
      </c>
      <c r="F1125" s="3">
        <f>F$1/B1125</f>
        <v>504.38817714112781</v>
      </c>
      <c r="G1125" s="3">
        <f>F$1/C1125</f>
        <v>143.79799258002359</v>
      </c>
      <c r="H1125" s="2">
        <f>D1125*F1124</f>
        <v>-336.80189011210769</v>
      </c>
      <c r="I1125" s="2">
        <f>E1125*G1124</f>
        <v>-10.064846367316571</v>
      </c>
      <c r="J1125" s="2">
        <f>I1125-H1125</f>
        <v>326.73704374479109</v>
      </c>
      <c r="K1125" s="2">
        <f t="shared" si="145"/>
        <v>-326.73704374479109</v>
      </c>
      <c r="L1125" s="3">
        <f>C1125/B1125</f>
        <v>3.5076162614748312</v>
      </c>
      <c r="M1125" s="3">
        <f t="shared" si="147"/>
        <v>3.4710186321913739</v>
      </c>
      <c r="N1125" s="3">
        <f t="shared" si="151"/>
        <v>3.4998909258988959</v>
      </c>
      <c r="O1125" s="3">
        <f t="shared" si="144"/>
        <v>3.5361784667809903</v>
      </c>
      <c r="P1125" s="3">
        <f t="shared" si="146"/>
        <v>3.4508102505104734</v>
      </c>
      <c r="Q1125" s="4" t="str">
        <f t="shared" si="150"/>
        <v>OVER</v>
      </c>
      <c r="R1125" s="4" t="str">
        <f t="shared" si="150"/>
        <v>UNDER</v>
      </c>
      <c r="S1125" s="4" t="str">
        <f t="shared" si="148"/>
        <v>UNDER</v>
      </c>
      <c r="T1125" s="4" t="str">
        <f t="shared" si="148"/>
        <v>OVER</v>
      </c>
      <c r="U1125" s="2">
        <f>IF(Q1125="OVER",$J1125,$K1125)</f>
        <v>326.73704374479109</v>
      </c>
      <c r="V1125" s="2">
        <f>IF(R1125="OVER",$J1125,$K1125)</f>
        <v>-326.73704374479109</v>
      </c>
      <c r="W1125" s="2">
        <f>IF(S1125="OVER",$J1125,$K1125)</f>
        <v>-326.73704374479109</v>
      </c>
      <c r="X1125" s="2">
        <f>IF(T1125="OVER",$J1125,$K1125)</f>
        <v>326.73704374479109</v>
      </c>
      <c r="Y1125" s="9">
        <f t="shared" si="149"/>
        <v>-10860.985409173287</v>
      </c>
      <c r="Z1125" s="9">
        <f t="shared" si="149"/>
        <v>9754.234064948485</v>
      </c>
      <c r="AA1125" s="9">
        <f t="shared" si="149"/>
        <v>75258.896090552997</v>
      </c>
      <c r="AB1125" s="9">
        <f t="shared" si="149"/>
        <v>33063.916190032629</v>
      </c>
    </row>
    <row r="1126" spans="1:28" x14ac:dyDescent="0.3">
      <c r="A1126" s="1">
        <v>46051</v>
      </c>
      <c r="B1126" s="2">
        <v>198.52</v>
      </c>
      <c r="C1126" s="2">
        <v>694.04</v>
      </c>
      <c r="D1126" s="9">
        <f>B1126-B1125</f>
        <v>0.26000000000001933</v>
      </c>
      <c r="E1126" s="9">
        <f>C1126-C1125</f>
        <v>-1.3799999999999955</v>
      </c>
      <c r="F1126" s="3">
        <f>F$1/B1126</f>
        <v>503.72758412250653</v>
      </c>
      <c r="G1126" s="3">
        <f>F$1/C1126</f>
        <v>144.08391447178838</v>
      </c>
      <c r="H1126" s="2">
        <f>D1126*F1125</f>
        <v>131.14092605670297</v>
      </c>
      <c r="I1126" s="2">
        <f>E1126*G1125</f>
        <v>-198.4412297604319</v>
      </c>
      <c r="J1126" s="2">
        <f>I1126-H1126</f>
        <v>-329.58215581713489</v>
      </c>
      <c r="K1126" s="2">
        <f t="shared" si="145"/>
        <v>329.58215581713489</v>
      </c>
      <c r="L1126" s="3">
        <f>C1126/B1126</f>
        <v>3.4960709248438442</v>
      </c>
      <c r="M1126" s="3">
        <f t="shared" si="147"/>
        <v>3.4731524007377672</v>
      </c>
      <c r="N1126" s="3">
        <f t="shared" si="151"/>
        <v>3.4969060553924729</v>
      </c>
      <c r="O1126" s="3">
        <f t="shared" si="144"/>
        <v>3.5343661391478371</v>
      </c>
      <c r="P1126" s="3">
        <f t="shared" si="146"/>
        <v>3.4518130097760946</v>
      </c>
      <c r="Q1126" s="4" t="str">
        <f t="shared" si="150"/>
        <v>OVER</v>
      </c>
      <c r="R1126" s="4" t="str">
        <f t="shared" si="150"/>
        <v>OVER</v>
      </c>
      <c r="S1126" s="4" t="str">
        <f t="shared" si="148"/>
        <v>UNDER</v>
      </c>
      <c r="T1126" s="4" t="str">
        <f t="shared" si="148"/>
        <v>OVER</v>
      </c>
      <c r="U1126" s="2">
        <f>IF(Q1126="OVER",$J1126,$K1126)</f>
        <v>-329.58215581713489</v>
      </c>
      <c r="V1126" s="2">
        <f>IF(R1126="OVER",$J1126,$K1126)</f>
        <v>-329.58215581713489</v>
      </c>
      <c r="W1126" s="2">
        <f>IF(S1126="OVER",$J1126,$K1126)</f>
        <v>329.58215581713489</v>
      </c>
      <c r="X1126" s="2">
        <f>IF(T1126="OVER",$J1126,$K1126)</f>
        <v>-329.58215581713489</v>
      </c>
      <c r="Y1126" s="9">
        <f t="shared" si="149"/>
        <v>-11190.567564990422</v>
      </c>
      <c r="Z1126" s="9">
        <f t="shared" si="149"/>
        <v>9424.6519091313494</v>
      </c>
      <c r="AA1126" s="9">
        <f t="shared" si="149"/>
        <v>75588.478246370127</v>
      </c>
      <c r="AB1126" s="9">
        <f t="shared" si="149"/>
        <v>32734.334034215495</v>
      </c>
    </row>
    <row r="1127" spans="1:28" x14ac:dyDescent="0.3">
      <c r="A1127" s="1">
        <v>46052</v>
      </c>
      <c r="B1127" s="2">
        <v>198.08</v>
      </c>
      <c r="C1127" s="2">
        <v>691.97</v>
      </c>
      <c r="D1127" s="9">
        <f>B1127-B1126</f>
        <v>-0.43999999999999773</v>
      </c>
      <c r="E1127" s="9">
        <f>C1127-C1126</f>
        <v>-2.0699999999999363</v>
      </c>
      <c r="F1127" s="3">
        <f>F$1/B1127</f>
        <v>504.84652665589658</v>
      </c>
      <c r="G1127" s="3">
        <f>F$1/C1127</f>
        <v>144.51493561859618</v>
      </c>
      <c r="H1127" s="2">
        <f>D1127*F1126</f>
        <v>-221.64013701390172</v>
      </c>
      <c r="I1127" s="2">
        <f>E1127*G1126</f>
        <v>-298.25370295659275</v>
      </c>
      <c r="J1127" s="2">
        <f>I1127-H1127</f>
        <v>-76.613565942691025</v>
      </c>
      <c r="K1127" s="2">
        <f t="shared" si="145"/>
        <v>76.613565942691025</v>
      </c>
      <c r="L1127" s="3">
        <f>C1127/B1127</f>
        <v>3.4933865105008075</v>
      </c>
      <c r="M1127" s="3">
        <f t="shared" si="147"/>
        <v>3.4756079088734366</v>
      </c>
      <c r="N1127" s="3">
        <f t="shared" si="151"/>
        <v>3.4935841510156544</v>
      </c>
      <c r="O1127" s="3">
        <f t="shared" si="144"/>
        <v>3.5322228351735188</v>
      </c>
      <c r="P1127" s="3">
        <f t="shared" si="146"/>
        <v>3.4528523720927531</v>
      </c>
      <c r="Q1127" s="4" t="str">
        <f t="shared" si="150"/>
        <v>OVER</v>
      </c>
      <c r="R1127" s="4" t="str">
        <f t="shared" si="150"/>
        <v>UNDER</v>
      </c>
      <c r="S1127" s="4" t="str">
        <f t="shared" si="148"/>
        <v>UNDER</v>
      </c>
      <c r="T1127" s="4" t="str">
        <f t="shared" si="148"/>
        <v>OVER</v>
      </c>
      <c r="U1127" s="2">
        <f>IF(Q1127="OVER",$J1127,$K1127)</f>
        <v>-76.613565942691025</v>
      </c>
      <c r="V1127" s="2">
        <f>IF(R1127="OVER",$J1127,$K1127)</f>
        <v>76.613565942691025</v>
      </c>
      <c r="W1127" s="2">
        <f>IF(S1127="OVER",$J1127,$K1127)</f>
        <v>76.613565942691025</v>
      </c>
      <c r="X1127" s="2">
        <f>IF(T1127="OVER",$J1127,$K1127)</f>
        <v>-76.613565942691025</v>
      </c>
      <c r="Y1127" s="9">
        <f t="shared" si="149"/>
        <v>-11267.181130933113</v>
      </c>
      <c r="Z1127" s="9">
        <f t="shared" si="149"/>
        <v>9501.2654750740403</v>
      </c>
      <c r="AA1127" s="9">
        <f t="shared" si="149"/>
        <v>75665.091812312821</v>
      </c>
      <c r="AB1127" s="9">
        <f t="shared" si="149"/>
        <v>32657.720468272804</v>
      </c>
    </row>
    <row r="1128" spans="1:28" x14ac:dyDescent="0.3">
      <c r="A1128" s="1">
        <v>46055</v>
      </c>
      <c r="B1128" s="2">
        <v>199.1</v>
      </c>
      <c r="C1128" s="2">
        <v>695.41</v>
      </c>
      <c r="D1128" s="9">
        <f>B1128-B1127</f>
        <v>1.0199999999999818</v>
      </c>
      <c r="E1128" s="9">
        <f>C1128-C1127</f>
        <v>3.4399999999999409</v>
      </c>
      <c r="F1128" s="3">
        <f>F$1/B1128</f>
        <v>502.26017076845807</v>
      </c>
      <c r="G1128" s="3">
        <f>F$1/C1128</f>
        <v>143.80006039602537</v>
      </c>
      <c r="H1128" s="2">
        <f>D1128*F1127</f>
        <v>514.94345718900536</v>
      </c>
      <c r="I1128" s="2">
        <f>E1128*G1127</f>
        <v>497.13137852796234</v>
      </c>
      <c r="J1128" s="2">
        <f>I1128-H1128</f>
        <v>-17.812078661043017</v>
      </c>
      <c r="K1128" s="2">
        <f t="shared" si="145"/>
        <v>17.812078661043017</v>
      </c>
      <c r="L1128" s="3">
        <f>C1128/B1128</f>
        <v>3.4927674535409343</v>
      </c>
      <c r="M1128" s="3">
        <f t="shared" si="147"/>
        <v>3.4774041216980143</v>
      </c>
      <c r="N1128" s="3">
        <f t="shared" si="151"/>
        <v>3.4911069994782453</v>
      </c>
      <c r="O1128" s="3">
        <f t="shared" si="144"/>
        <v>3.5307143267385248</v>
      </c>
      <c r="P1128" s="3">
        <f t="shared" si="146"/>
        <v>3.4538815676387657</v>
      </c>
      <c r="Q1128" s="4" t="str">
        <f t="shared" si="150"/>
        <v>OVER</v>
      </c>
      <c r="R1128" s="4" t="str">
        <f t="shared" si="150"/>
        <v>UNDER</v>
      </c>
      <c r="S1128" s="4" t="str">
        <f t="shared" si="148"/>
        <v>UNDER</v>
      </c>
      <c r="T1128" s="4" t="str">
        <f t="shared" si="148"/>
        <v>OVER</v>
      </c>
      <c r="U1128" s="2">
        <f>IF(Q1128="OVER",$J1128,$K1128)</f>
        <v>-17.812078661043017</v>
      </c>
      <c r="V1128" s="2">
        <f>IF(R1128="OVER",$J1128,$K1128)</f>
        <v>17.812078661043017</v>
      </c>
      <c r="W1128" s="2">
        <f>IF(S1128="OVER",$J1128,$K1128)</f>
        <v>17.812078661043017</v>
      </c>
      <c r="X1128" s="2">
        <f>IF(T1128="OVER",$J1128,$K1128)</f>
        <v>-17.812078661043017</v>
      </c>
      <c r="Y1128" s="9">
        <f t="shared" si="149"/>
        <v>-11284.993209594157</v>
      </c>
      <c r="Z1128" s="9">
        <f t="shared" si="149"/>
        <v>9519.0775537350837</v>
      </c>
      <c r="AA1128" s="9">
        <f t="shared" si="149"/>
        <v>75682.903890973859</v>
      </c>
      <c r="AB1128" s="9">
        <f t="shared" si="149"/>
        <v>32639.908389611763</v>
      </c>
    </row>
    <row r="1129" spans="1:28" x14ac:dyDescent="0.3">
      <c r="A1129" s="1">
        <v>46056</v>
      </c>
      <c r="B1129" s="2">
        <v>198.57</v>
      </c>
      <c r="C1129" s="2">
        <v>689.53</v>
      </c>
      <c r="D1129" s="9">
        <f>B1129-B1128</f>
        <v>-0.53000000000000114</v>
      </c>
      <c r="E1129" s="9">
        <f>C1129-C1128</f>
        <v>-5.8799999999999955</v>
      </c>
      <c r="F1129" s="3">
        <f>F$1/B1129</f>
        <v>503.60074532910312</v>
      </c>
      <c r="G1129" s="3">
        <f>F$1/C1129</f>
        <v>145.02632227749336</v>
      </c>
      <c r="H1129" s="2">
        <f>D1129*F1128</f>
        <v>-266.19789050728332</v>
      </c>
      <c r="I1129" s="2">
        <f>E1129*G1128</f>
        <v>-845.54435512862858</v>
      </c>
      <c r="J1129" s="2">
        <f>I1129-H1129</f>
        <v>-579.34646462134526</v>
      </c>
      <c r="K1129" s="2">
        <f t="shared" si="145"/>
        <v>579.34646462134526</v>
      </c>
      <c r="L1129" s="3">
        <f>C1129/B1129</f>
        <v>3.4724782192677646</v>
      </c>
      <c r="M1129" s="3">
        <f t="shared" si="147"/>
        <v>3.4790889081290759</v>
      </c>
      <c r="N1129" s="3">
        <f t="shared" si="151"/>
        <v>3.4880753748649576</v>
      </c>
      <c r="O1129" s="3">
        <f t="shared" si="144"/>
        <v>3.528306817979598</v>
      </c>
      <c r="P1129" s="3">
        <f t="shared" si="146"/>
        <v>3.4549656235437256</v>
      </c>
      <c r="Q1129" s="4" t="str">
        <f t="shared" si="150"/>
        <v>OVER</v>
      </c>
      <c r="R1129" s="4" t="str">
        <f t="shared" si="150"/>
        <v>OVER</v>
      </c>
      <c r="S1129" s="4" t="str">
        <f t="shared" si="148"/>
        <v>UNDER</v>
      </c>
      <c r="T1129" s="4" t="str">
        <f t="shared" si="148"/>
        <v>OVER</v>
      </c>
      <c r="U1129" s="2">
        <f>IF(Q1129="OVER",$J1129,$K1129)</f>
        <v>-579.34646462134526</v>
      </c>
      <c r="V1129" s="2">
        <f>IF(R1129="OVER",$J1129,$K1129)</f>
        <v>-579.34646462134526</v>
      </c>
      <c r="W1129" s="2">
        <f>IF(S1129="OVER",$J1129,$K1129)</f>
        <v>579.34646462134526</v>
      </c>
      <c r="X1129" s="2">
        <f>IF(T1129="OVER",$J1129,$K1129)</f>
        <v>-579.34646462134526</v>
      </c>
      <c r="Y1129" s="9">
        <f t="shared" si="149"/>
        <v>-11864.339674215502</v>
      </c>
      <c r="Z1129" s="9">
        <f t="shared" si="149"/>
        <v>8939.7310891137386</v>
      </c>
      <c r="AA1129" s="9">
        <f t="shared" si="149"/>
        <v>76262.250355595199</v>
      </c>
      <c r="AB1129" s="9">
        <f t="shared" si="149"/>
        <v>32060.561924990416</v>
      </c>
    </row>
    <row r="1130" spans="1:28" x14ac:dyDescent="0.3">
      <c r="A1130" s="1">
        <v>46057</v>
      </c>
      <c r="B1130" s="2">
        <v>200.3</v>
      </c>
      <c r="C1130" s="2">
        <v>686.19</v>
      </c>
      <c r="D1130" s="9">
        <f>B1130-B1129</f>
        <v>1.7300000000000182</v>
      </c>
      <c r="E1130" s="9">
        <f>C1130-C1129</f>
        <v>-3.3399999999999181</v>
      </c>
      <c r="F1130" s="3">
        <f>F$1/B1130</f>
        <v>499.25112331502743</v>
      </c>
      <c r="G1130" s="3">
        <f>F$1/C1130</f>
        <v>145.73223159766243</v>
      </c>
      <c r="H1130" s="2">
        <f>D1130*F1129</f>
        <v>871.22928941935754</v>
      </c>
      <c r="I1130" s="2">
        <f>E1130*G1129</f>
        <v>-484.38791640681598</v>
      </c>
      <c r="J1130" s="2">
        <f>I1130-H1130</f>
        <v>-1355.6172058261736</v>
      </c>
      <c r="K1130" s="2">
        <f t="shared" si="145"/>
        <v>1355.6172058261736</v>
      </c>
      <c r="L1130" s="3">
        <f>C1130/B1130</f>
        <v>3.4258112830753871</v>
      </c>
      <c r="M1130" s="3">
        <f t="shared" si="147"/>
        <v>3.4779388428558717</v>
      </c>
      <c r="N1130" s="3">
        <f t="shared" si="151"/>
        <v>3.4837796446024831</v>
      </c>
      <c r="O1130" s="3">
        <f t="shared" si="144"/>
        <v>3.525187298773393</v>
      </c>
      <c r="P1130" s="3">
        <f t="shared" si="146"/>
        <v>3.4559133815452325</v>
      </c>
      <c r="Q1130" s="4" t="str">
        <f t="shared" si="150"/>
        <v>UNDER</v>
      </c>
      <c r="R1130" s="4" t="str">
        <f t="shared" si="150"/>
        <v>UNDER</v>
      </c>
      <c r="S1130" s="4" t="str">
        <f t="shared" si="148"/>
        <v>UNDER</v>
      </c>
      <c r="T1130" s="4" t="str">
        <f t="shared" si="148"/>
        <v>UNDER</v>
      </c>
      <c r="U1130" s="2">
        <f>IF(Q1130="OVER",$J1130,$K1130)</f>
        <v>1355.6172058261736</v>
      </c>
      <c r="V1130" s="2">
        <f>IF(R1130="OVER",$J1130,$K1130)</f>
        <v>1355.6172058261736</v>
      </c>
      <c r="W1130" s="2">
        <f>IF(S1130="OVER",$J1130,$K1130)</f>
        <v>1355.6172058261736</v>
      </c>
      <c r="X1130" s="2">
        <f>IF(T1130="OVER",$J1130,$K1130)</f>
        <v>1355.6172058261736</v>
      </c>
      <c r="Y1130" s="9">
        <f t="shared" si="149"/>
        <v>-10508.722468389329</v>
      </c>
      <c r="Z1130" s="9">
        <f t="shared" si="149"/>
        <v>10295.348294939911</v>
      </c>
      <c r="AA1130" s="9">
        <f t="shared" si="149"/>
        <v>77617.867561421372</v>
      </c>
      <c r="AB1130" s="9">
        <f t="shared" si="149"/>
        <v>33416.179130816592</v>
      </c>
    </row>
    <row r="1131" spans="1:28" x14ac:dyDescent="0.3">
      <c r="A1131" s="1">
        <v>46058</v>
      </c>
      <c r="B1131" s="2">
        <v>198.56</v>
      </c>
      <c r="C1131" s="2">
        <v>677.62</v>
      </c>
      <c r="D1131" s="9">
        <f>B1131-B1130</f>
        <v>-1.7400000000000091</v>
      </c>
      <c r="E1131" s="9">
        <f>C1131-C1130</f>
        <v>-8.57000000000005</v>
      </c>
      <c r="F1131" s="3">
        <f>F$1/B1131</f>
        <v>503.62610797743753</v>
      </c>
      <c r="G1131" s="3">
        <f>F$1/C1131</f>
        <v>147.57533720964551</v>
      </c>
      <c r="H1131" s="2">
        <f>D1131*F1130</f>
        <v>-868.69695456815225</v>
      </c>
      <c r="I1131" s="2">
        <f>E1131*G1130</f>
        <v>-1248.9252247919744</v>
      </c>
      <c r="J1131" s="2">
        <f>I1131-H1131</f>
        <v>-380.22827022382216</v>
      </c>
      <c r="K1131" s="2">
        <f t="shared" si="145"/>
        <v>380.22827022382216</v>
      </c>
      <c r="L1131" s="3">
        <f>C1131/B1131</f>
        <v>3.4126712328767121</v>
      </c>
      <c r="M1131" s="3">
        <f t="shared" si="147"/>
        <v>3.4741293358720817</v>
      </c>
      <c r="N1131" s="3">
        <f t="shared" si="151"/>
        <v>3.4774071997778142</v>
      </c>
      <c r="O1131" s="3">
        <f t="shared" si="144"/>
        <v>3.5224857277375592</v>
      </c>
      <c r="P1131" s="3">
        <f t="shared" si="146"/>
        <v>3.4568565294154951</v>
      </c>
      <c r="Q1131" s="4" t="str">
        <f t="shared" si="150"/>
        <v>UNDER</v>
      </c>
      <c r="R1131" s="4" t="str">
        <f t="shared" si="150"/>
        <v>UNDER</v>
      </c>
      <c r="S1131" s="4" t="str">
        <f t="shared" si="148"/>
        <v>UNDER</v>
      </c>
      <c r="T1131" s="4" t="str">
        <f t="shared" si="148"/>
        <v>UNDER</v>
      </c>
      <c r="U1131" s="2">
        <f>IF(Q1131="OVER",$J1131,$K1131)</f>
        <v>380.22827022382216</v>
      </c>
      <c r="V1131" s="2">
        <f>IF(R1131="OVER",$J1131,$K1131)</f>
        <v>380.22827022382216</v>
      </c>
      <c r="W1131" s="2">
        <f>IF(S1131="OVER",$J1131,$K1131)</f>
        <v>380.22827022382216</v>
      </c>
      <c r="X1131" s="2">
        <f>IF(T1131="OVER",$J1131,$K1131)</f>
        <v>380.22827022382216</v>
      </c>
      <c r="Y1131" s="9">
        <f t="shared" si="149"/>
        <v>-10128.494198165507</v>
      </c>
      <c r="Z1131" s="9">
        <f t="shared" si="149"/>
        <v>10675.576565163734</v>
      </c>
      <c r="AA1131" s="9">
        <f t="shared" si="149"/>
        <v>77998.095831645187</v>
      </c>
      <c r="AB1131" s="9">
        <f t="shared" si="149"/>
        <v>33796.407401040415</v>
      </c>
    </row>
    <row r="1132" spans="1:28" x14ac:dyDescent="0.3">
      <c r="A1132" s="1">
        <v>46059</v>
      </c>
      <c r="B1132" s="2">
        <v>202.26</v>
      </c>
      <c r="C1132" s="2">
        <v>690.62</v>
      </c>
      <c r="D1132" s="9">
        <f>B1132-B1131</f>
        <v>3.6999999999999886</v>
      </c>
      <c r="E1132" s="9">
        <f>C1132-C1131</f>
        <v>13</v>
      </c>
      <c r="F1132" s="3">
        <f>F$1/B1132</f>
        <v>494.41313161277566</v>
      </c>
      <c r="G1132" s="3">
        <f>F$1/C1132</f>
        <v>144.79742839767167</v>
      </c>
      <c r="H1132" s="2">
        <f>D1132*F1131</f>
        <v>1863.4165995165131</v>
      </c>
      <c r="I1132" s="2">
        <f>E1132*G1131</f>
        <v>1918.4793837253917</v>
      </c>
      <c r="J1132" s="2">
        <f>I1132-H1132</f>
        <v>55.062784208878611</v>
      </c>
      <c r="K1132" s="2">
        <f t="shared" si="145"/>
        <v>-55.062784208878611</v>
      </c>
      <c r="L1132" s="3">
        <f>C1132/B1132</f>
        <v>3.4145159695441514</v>
      </c>
      <c r="M1132" s="3">
        <f t="shared" si="147"/>
        <v>3.4688334357192874</v>
      </c>
      <c r="N1132" s="3">
        <f t="shared" si="151"/>
        <v>3.4726494392608247</v>
      </c>
      <c r="O1132" s="3">
        <f t="shared" si="144"/>
        <v>3.5190739080623401</v>
      </c>
      <c r="P1132" s="3">
        <f t="shared" si="146"/>
        <v>3.4577874854571911</v>
      </c>
      <c r="Q1132" s="4" t="str">
        <f t="shared" si="150"/>
        <v>UNDER</v>
      </c>
      <c r="R1132" s="4" t="str">
        <f t="shared" si="150"/>
        <v>UNDER</v>
      </c>
      <c r="S1132" s="4" t="str">
        <f t="shared" si="148"/>
        <v>UNDER</v>
      </c>
      <c r="T1132" s="4" t="str">
        <f t="shared" si="148"/>
        <v>UNDER</v>
      </c>
      <c r="U1132" s="2">
        <f>IF(Q1132="OVER",$J1132,$K1132)</f>
        <v>-55.062784208878611</v>
      </c>
      <c r="V1132" s="2">
        <f>IF(R1132="OVER",$J1132,$K1132)</f>
        <v>-55.062784208878611</v>
      </c>
      <c r="W1132" s="2">
        <f>IF(S1132="OVER",$J1132,$K1132)</f>
        <v>-55.062784208878611</v>
      </c>
      <c r="X1132" s="2">
        <f>IF(T1132="OVER",$J1132,$K1132)</f>
        <v>-55.062784208878611</v>
      </c>
      <c r="Y1132" s="9">
        <f t="shared" si="149"/>
        <v>-10183.556982374384</v>
      </c>
      <c r="Z1132" s="9">
        <f t="shared" si="149"/>
        <v>10620.513780954856</v>
      </c>
      <c r="AA1132" s="9">
        <f t="shared" si="149"/>
        <v>77943.033047436315</v>
      </c>
      <c r="AB1132" s="9">
        <f t="shared" si="149"/>
        <v>33741.344616831535</v>
      </c>
    </row>
    <row r="1133" spans="1:28" x14ac:dyDescent="0.3">
      <c r="A1133" s="1">
        <v>46062</v>
      </c>
      <c r="B1133" s="2">
        <v>202.38</v>
      </c>
      <c r="C1133" s="2">
        <v>693.95</v>
      </c>
      <c r="D1133" s="9">
        <f>B1133-B1132</f>
        <v>0.12000000000000455</v>
      </c>
      <c r="E1133" s="9">
        <f>C1133-C1132</f>
        <v>3.3300000000000409</v>
      </c>
      <c r="F1133" s="3">
        <f>F$1/B1133</f>
        <v>494.11997232928155</v>
      </c>
      <c r="G1133" s="3">
        <f>F$1/C1133</f>
        <v>144.10260105194897</v>
      </c>
      <c r="H1133" s="2">
        <f>D1133*F1132</f>
        <v>59.329575793535327</v>
      </c>
      <c r="I1133" s="2">
        <f>E1133*G1132</f>
        <v>482.17543656425255</v>
      </c>
      <c r="J1133" s="2">
        <f>I1133-H1133</f>
        <v>422.8458607707172</v>
      </c>
      <c r="K1133" s="2">
        <f t="shared" si="145"/>
        <v>-422.8458607707172</v>
      </c>
      <c r="L1133" s="3">
        <f>C1133/B1133</f>
        <v>3.4289455479790498</v>
      </c>
      <c r="M1133" s="3">
        <f t="shared" si="147"/>
        <v>3.4640417829283541</v>
      </c>
      <c r="N1133" s="3">
        <f t="shared" si="151"/>
        <v>3.4684717166597769</v>
      </c>
      <c r="O1133" s="3">
        <f t="shared" si="144"/>
        <v>3.5162900956896452</v>
      </c>
      <c r="P1133" s="3">
        <f t="shared" si="146"/>
        <v>3.4586975255075778</v>
      </c>
      <c r="Q1133" s="4" t="str">
        <f t="shared" si="150"/>
        <v>UNDER</v>
      </c>
      <c r="R1133" s="4" t="str">
        <f t="shared" si="150"/>
        <v>UNDER</v>
      </c>
      <c r="S1133" s="4" t="str">
        <f t="shared" si="148"/>
        <v>UNDER</v>
      </c>
      <c r="T1133" s="4" t="str">
        <f t="shared" si="148"/>
        <v>UNDER</v>
      </c>
      <c r="U1133" s="2">
        <f>IF(Q1133="OVER",$J1133,$K1133)</f>
        <v>-422.8458607707172</v>
      </c>
      <c r="V1133" s="2">
        <f>IF(R1133="OVER",$J1133,$K1133)</f>
        <v>-422.8458607707172</v>
      </c>
      <c r="W1133" s="2">
        <f>IF(S1133="OVER",$J1133,$K1133)</f>
        <v>-422.8458607707172</v>
      </c>
      <c r="X1133" s="2">
        <f>IF(T1133="OVER",$J1133,$K1133)</f>
        <v>-422.8458607707172</v>
      </c>
      <c r="Y1133" s="9">
        <f t="shared" si="149"/>
        <v>-10606.402843145102</v>
      </c>
      <c r="Z1133" s="9">
        <f t="shared" si="149"/>
        <v>10197.667920184138</v>
      </c>
      <c r="AA1133" s="9">
        <f t="shared" si="149"/>
        <v>77520.1871866656</v>
      </c>
      <c r="AB1133" s="9">
        <f t="shared" si="149"/>
        <v>33318.498756060821</v>
      </c>
    </row>
    <row r="1134" spans="1:28" x14ac:dyDescent="0.3">
      <c r="A1134" s="1">
        <v>46063</v>
      </c>
      <c r="B1134" s="2">
        <v>203.1</v>
      </c>
      <c r="C1134" s="2">
        <v>692.12</v>
      </c>
      <c r="D1134" s="9">
        <f>B1134-B1133</f>
        <v>0.71999999999999886</v>
      </c>
      <c r="E1134" s="9">
        <f>C1134-C1133</f>
        <v>-1.8300000000000409</v>
      </c>
      <c r="F1134" s="3">
        <f>F$1/B1134</f>
        <v>492.36829148202855</v>
      </c>
      <c r="G1134" s="3">
        <f>F$1/C1134</f>
        <v>144.48361555799573</v>
      </c>
      <c r="H1134" s="2">
        <f>D1134*F1133</f>
        <v>355.76638007708215</v>
      </c>
      <c r="I1134" s="2">
        <f>E1134*G1133</f>
        <v>-263.70775992507248</v>
      </c>
      <c r="J1134" s="2">
        <f>I1134-H1134</f>
        <v>-619.47414000215463</v>
      </c>
      <c r="K1134" s="2">
        <f t="shared" si="145"/>
        <v>619.47414000215463</v>
      </c>
      <c r="L1134" s="3">
        <f>C1134/B1134</f>
        <v>3.4077794190054163</v>
      </c>
      <c r="M1134" s="3">
        <f t="shared" si="147"/>
        <v>3.4552042822108895</v>
      </c>
      <c r="N1134" s="3">
        <f t="shared" si="151"/>
        <v>3.463119965595689</v>
      </c>
      <c r="O1134" s="3">
        <f t="shared" si="144"/>
        <v>3.5130882037547928</v>
      </c>
      <c r="P1134" s="3">
        <f t="shared" si="146"/>
        <v>3.4594358083739691</v>
      </c>
      <c r="Q1134" s="4" t="str">
        <f t="shared" si="150"/>
        <v>UNDER</v>
      </c>
      <c r="R1134" s="4" t="str">
        <f t="shared" si="150"/>
        <v>UNDER</v>
      </c>
      <c r="S1134" s="4" t="str">
        <f t="shared" si="148"/>
        <v>UNDER</v>
      </c>
      <c r="T1134" s="4" t="str">
        <f t="shared" si="148"/>
        <v>UNDER</v>
      </c>
      <c r="U1134" s="2">
        <f>IF(Q1134="OVER",$J1134,$K1134)</f>
        <v>619.47414000215463</v>
      </c>
      <c r="V1134" s="2">
        <f>IF(R1134="OVER",$J1134,$K1134)</f>
        <v>619.47414000215463</v>
      </c>
      <c r="W1134" s="2">
        <f>IF(S1134="OVER",$J1134,$K1134)</f>
        <v>619.47414000215463</v>
      </c>
      <c r="X1134" s="2">
        <f>IF(T1134="OVER",$J1134,$K1134)</f>
        <v>619.47414000215463</v>
      </c>
      <c r="Y1134" s="9">
        <f t="shared" si="149"/>
        <v>-9986.9287031429485</v>
      </c>
      <c r="Z1134" s="9">
        <f t="shared" si="149"/>
        <v>10817.142060186292</v>
      </c>
      <c r="AA1134" s="9">
        <f t="shared" si="149"/>
        <v>78139.66132666776</v>
      </c>
      <c r="AB1134" s="9">
        <f t="shared" si="149"/>
        <v>33937.972896062973</v>
      </c>
    </row>
    <row r="1135" spans="1:28" x14ac:dyDescent="0.3">
      <c r="A1135" s="1">
        <v>46064</v>
      </c>
      <c r="B1135" s="2">
        <v>203.46</v>
      </c>
      <c r="C1135" s="2">
        <v>691.96</v>
      </c>
      <c r="D1135" s="9">
        <f>B1135-B1134</f>
        <v>0.36000000000001364</v>
      </c>
      <c r="E1135" s="9">
        <f>C1135-C1134</f>
        <v>-0.15999999999996817</v>
      </c>
      <c r="F1135" s="3">
        <f>F$1/B1135</f>
        <v>491.49710016710901</v>
      </c>
      <c r="G1135" s="3">
        <f>F$1/C1135</f>
        <v>144.51702410543962</v>
      </c>
      <c r="H1135" s="2">
        <f>D1135*F1134</f>
        <v>177.25258493353701</v>
      </c>
      <c r="I1135" s="2">
        <f>E1135*G1134</f>
        <v>-23.117378489274717</v>
      </c>
      <c r="J1135" s="2">
        <f>I1135-H1135</f>
        <v>-200.36996342281174</v>
      </c>
      <c r="K1135" s="2">
        <f t="shared" si="145"/>
        <v>200.36996342281174</v>
      </c>
      <c r="L1135" s="3">
        <f>C1135/B1135</f>
        <v>3.4009633343163275</v>
      </c>
      <c r="M1135" s="3">
        <f t="shared" si="147"/>
        <v>3.4445389894950393</v>
      </c>
      <c r="N1135" s="3">
        <f t="shared" si="151"/>
        <v>3.4577788108432066</v>
      </c>
      <c r="O1135" s="3">
        <f t="shared" si="144"/>
        <v>3.5097463259728898</v>
      </c>
      <c r="P1135" s="3">
        <f t="shared" si="146"/>
        <v>3.4599987020834728</v>
      </c>
      <c r="Q1135" s="4" t="str">
        <f t="shared" si="150"/>
        <v>UNDER</v>
      </c>
      <c r="R1135" s="4" t="str">
        <f t="shared" si="150"/>
        <v>UNDER</v>
      </c>
      <c r="S1135" s="4" t="str">
        <f t="shared" si="148"/>
        <v>UNDER</v>
      </c>
      <c r="T1135" s="4" t="str">
        <f t="shared" si="148"/>
        <v>UNDER</v>
      </c>
      <c r="U1135" s="2">
        <f>IF(Q1135="OVER",$J1135,$K1135)</f>
        <v>200.36996342281174</v>
      </c>
      <c r="V1135" s="2">
        <f>IF(R1135="OVER",$J1135,$K1135)</f>
        <v>200.36996342281174</v>
      </c>
      <c r="W1135" s="2">
        <f>IF(S1135="OVER",$J1135,$K1135)</f>
        <v>200.36996342281174</v>
      </c>
      <c r="X1135" s="2">
        <f>IF(T1135="OVER",$J1135,$K1135)</f>
        <v>200.36996342281174</v>
      </c>
      <c r="Y1135" s="9">
        <f t="shared" si="149"/>
        <v>-9786.5587397201361</v>
      </c>
      <c r="Z1135" s="9">
        <f t="shared" si="149"/>
        <v>11017.512023609104</v>
      </c>
      <c r="AA1135" s="9">
        <f t="shared" si="149"/>
        <v>78340.03129009057</v>
      </c>
      <c r="AB1135" s="9">
        <f t="shared" si="149"/>
        <v>34138.342859485783</v>
      </c>
    </row>
    <row r="1136" spans="1:28" x14ac:dyDescent="0.3">
      <c r="A1136" s="1">
        <v>46065</v>
      </c>
      <c r="B1136" s="2">
        <v>200.79</v>
      </c>
      <c r="C1136" s="2">
        <v>681.27</v>
      </c>
      <c r="D1136" s="9">
        <f>B1136-B1135</f>
        <v>-2.6700000000000159</v>
      </c>
      <c r="E1136" s="9">
        <f>C1136-C1135</f>
        <v>-10.690000000000055</v>
      </c>
      <c r="F1136" s="3">
        <f>F$1/B1136</f>
        <v>498.03277055630264</v>
      </c>
      <c r="G1136" s="3">
        <f>F$1/C1136</f>
        <v>146.78468155063339</v>
      </c>
      <c r="H1136" s="2">
        <f>D1136*F1135</f>
        <v>-1312.297257446189</v>
      </c>
      <c r="I1136" s="2">
        <f>E1136*G1135</f>
        <v>-1544.8869876871574</v>
      </c>
      <c r="J1136" s="2">
        <f>I1136-H1136</f>
        <v>-232.58973024096849</v>
      </c>
      <c r="K1136" s="2">
        <f t="shared" si="145"/>
        <v>232.58973024096849</v>
      </c>
      <c r="L1136" s="3">
        <f>C1136/B1136</f>
        <v>3.3929478559689228</v>
      </c>
      <c r="M1136" s="3">
        <f t="shared" si="147"/>
        <v>3.4342266826075472</v>
      </c>
      <c r="N1136" s="3">
        <f t="shared" si="151"/>
        <v>3.4536895416726572</v>
      </c>
      <c r="O1136" s="3">
        <f t="shared" si="144"/>
        <v>3.5060807325718177</v>
      </c>
      <c r="P1136" s="3">
        <f t="shared" si="146"/>
        <v>3.4605612855748467</v>
      </c>
      <c r="Q1136" s="4" t="str">
        <f t="shared" si="150"/>
        <v>UNDER</v>
      </c>
      <c r="R1136" s="4" t="str">
        <f t="shared" si="150"/>
        <v>UNDER</v>
      </c>
      <c r="S1136" s="4" t="str">
        <f t="shared" si="148"/>
        <v>UNDER</v>
      </c>
      <c r="T1136" s="4" t="str">
        <f t="shared" si="148"/>
        <v>UNDER</v>
      </c>
      <c r="U1136" s="2">
        <f>IF(Q1136="OVER",$J1136,$K1136)</f>
        <v>232.58973024096849</v>
      </c>
      <c r="V1136" s="2">
        <f>IF(R1136="OVER",$J1136,$K1136)</f>
        <v>232.58973024096849</v>
      </c>
      <c r="W1136" s="2">
        <f>IF(S1136="OVER",$J1136,$K1136)</f>
        <v>232.58973024096849</v>
      </c>
      <c r="X1136" s="2">
        <f>IF(T1136="OVER",$J1136,$K1136)</f>
        <v>232.58973024096849</v>
      </c>
      <c r="Y1136" s="9">
        <f t="shared" si="149"/>
        <v>-9553.9690094791677</v>
      </c>
      <c r="Z1136" s="9">
        <f t="shared" si="149"/>
        <v>11250.101753850073</v>
      </c>
      <c r="AA1136" s="9">
        <f t="shared" si="149"/>
        <v>78572.621020331542</v>
      </c>
      <c r="AB1136" s="9">
        <f t="shared" si="149"/>
        <v>34370.932589726755</v>
      </c>
    </row>
    <row r="1137" spans="1:28" x14ac:dyDescent="0.3">
      <c r="A1137" s="1">
        <v>46066</v>
      </c>
      <c r="B1137" s="2">
        <v>202.87</v>
      </c>
      <c r="C1137" s="2">
        <v>681.75</v>
      </c>
      <c r="D1137" s="9">
        <f>B1137-B1136</f>
        <v>2.0800000000000125</v>
      </c>
      <c r="E1137" s="9">
        <f>C1137-C1136</f>
        <v>0.48000000000001819</v>
      </c>
      <c r="F1137" s="3">
        <f>F$1/B1137</f>
        <v>492.92650465815547</v>
      </c>
      <c r="G1137" s="3">
        <f>F$1/C1137</f>
        <v>146.68133480014669</v>
      </c>
      <c r="H1137" s="2">
        <f>D1137*F1136</f>
        <v>1035.9081627571156</v>
      </c>
      <c r="I1137" s="2">
        <f>E1137*G1136</f>
        <v>70.4566471443067</v>
      </c>
      <c r="J1137" s="2">
        <f>I1137-H1137</f>
        <v>-965.45151561280898</v>
      </c>
      <c r="K1137" s="2">
        <f t="shared" si="145"/>
        <v>965.45151561280898</v>
      </c>
      <c r="L1137" s="3">
        <f>C1137/B1137</f>
        <v>3.360526445506975</v>
      </c>
      <c r="M1137" s="3">
        <f t="shared" si="147"/>
        <v>3.420940676108164</v>
      </c>
      <c r="N1137" s="3">
        <f t="shared" si="151"/>
        <v>3.448274292490801</v>
      </c>
      <c r="O1137" s="3">
        <f t="shared" si="144"/>
        <v>3.5015663614609087</v>
      </c>
      <c r="P1137" s="3">
        <f t="shared" si="146"/>
        <v>3.4609542079148734</v>
      </c>
      <c r="Q1137" s="4" t="str">
        <f t="shared" si="150"/>
        <v>UNDER</v>
      </c>
      <c r="R1137" s="4" t="str">
        <f t="shared" si="150"/>
        <v>UNDER</v>
      </c>
      <c r="S1137" s="4" t="str">
        <f t="shared" si="148"/>
        <v>UNDER</v>
      </c>
      <c r="T1137" s="4" t="str">
        <f t="shared" si="148"/>
        <v>UNDER</v>
      </c>
      <c r="U1137" s="2">
        <f>IF(Q1137="OVER",$J1137,$K1137)</f>
        <v>965.45151561280898</v>
      </c>
      <c r="V1137" s="2">
        <f>IF(R1137="OVER",$J1137,$K1137)</f>
        <v>965.45151561280898</v>
      </c>
      <c r="W1137" s="2">
        <f>IF(S1137="OVER",$J1137,$K1137)</f>
        <v>965.45151561280898</v>
      </c>
      <c r="X1137" s="2">
        <f>IF(T1137="OVER",$J1137,$K1137)</f>
        <v>965.45151561280898</v>
      </c>
      <c r="Y1137" s="9">
        <f t="shared" si="149"/>
        <v>-8588.5174938663586</v>
      </c>
      <c r="Z1137" s="9">
        <f t="shared" si="149"/>
        <v>12215.553269462882</v>
      </c>
      <c r="AA1137" s="9">
        <f t="shared" si="149"/>
        <v>79538.072535944346</v>
      </c>
      <c r="AB1137" s="9">
        <f t="shared" si="149"/>
        <v>35336.384105339566</v>
      </c>
    </row>
    <row r="1138" spans="1:28" x14ac:dyDescent="0.3">
      <c r="A1138" s="1">
        <v>46070</v>
      </c>
      <c r="B1138" s="2">
        <v>202.52</v>
      </c>
      <c r="C1138" s="2">
        <v>682.85</v>
      </c>
      <c r="D1138" s="9">
        <f>B1138-B1137</f>
        <v>-0.34999999999999432</v>
      </c>
      <c r="E1138" s="9">
        <f>C1138-C1137</f>
        <v>1.1000000000000227</v>
      </c>
      <c r="F1138" s="3">
        <f>F$1/B1138</f>
        <v>493.7783922575548</v>
      </c>
      <c r="G1138" s="3">
        <f>F$1/C1138</f>
        <v>146.44504649630227</v>
      </c>
      <c r="H1138" s="2">
        <f>D1138*F1137</f>
        <v>-172.52427663035161</v>
      </c>
      <c r="I1138" s="2">
        <f>E1138*G1137</f>
        <v>161.3494682801647</v>
      </c>
      <c r="J1138" s="2">
        <f>I1138-H1138</f>
        <v>333.87374491051628</v>
      </c>
      <c r="K1138" s="2">
        <f t="shared" si="145"/>
        <v>-333.87374491051628</v>
      </c>
      <c r="L1138" s="3">
        <f>C1138/B1138</f>
        <v>3.3717657515307131</v>
      </c>
      <c r="M1138" s="3">
        <f t="shared" si="147"/>
        <v>3.408840505907142</v>
      </c>
      <c r="N1138" s="3">
        <f t="shared" si="151"/>
        <v>3.4431223138025779</v>
      </c>
      <c r="O1138" s="3">
        <f t="shared" si="144"/>
        <v>3.4975734034746555</v>
      </c>
      <c r="P1138" s="3">
        <f t="shared" si="146"/>
        <v>3.4614201077379163</v>
      </c>
      <c r="Q1138" s="4" t="str">
        <f t="shared" si="150"/>
        <v>UNDER</v>
      </c>
      <c r="R1138" s="4" t="str">
        <f t="shared" si="150"/>
        <v>UNDER</v>
      </c>
      <c r="S1138" s="4" t="str">
        <f t="shared" si="148"/>
        <v>UNDER</v>
      </c>
      <c r="T1138" s="4" t="str">
        <f t="shared" si="148"/>
        <v>UNDER</v>
      </c>
      <c r="U1138" s="2">
        <f>IF(Q1138="OVER",$J1138,$K1138)</f>
        <v>-333.87374491051628</v>
      </c>
      <c r="V1138" s="2">
        <f>IF(R1138="OVER",$J1138,$K1138)</f>
        <v>-333.87374491051628</v>
      </c>
      <c r="W1138" s="2">
        <f>IF(S1138="OVER",$J1138,$K1138)</f>
        <v>-333.87374491051628</v>
      </c>
      <c r="X1138" s="2">
        <f>IF(T1138="OVER",$J1138,$K1138)</f>
        <v>-333.87374491051628</v>
      </c>
      <c r="Y1138" s="9">
        <f t="shared" si="149"/>
        <v>-8922.3912387768742</v>
      </c>
      <c r="Z1138" s="9">
        <f t="shared" si="149"/>
        <v>11881.679524552366</v>
      </c>
      <c r="AA1138" s="9">
        <f t="shared" si="149"/>
        <v>79204.198791033836</v>
      </c>
      <c r="AB1138" s="9">
        <f t="shared" si="149"/>
        <v>35002.510360429049</v>
      </c>
    </row>
    <row r="1139" spans="1:28" x14ac:dyDescent="0.3">
      <c r="A1139" s="1">
        <v>46071</v>
      </c>
      <c r="B1139" s="2">
        <v>203.57</v>
      </c>
      <c r="C1139" s="2">
        <v>686.29</v>
      </c>
      <c r="D1139" s="9">
        <f>B1139-B1138</f>
        <v>1.0499999999999829</v>
      </c>
      <c r="E1139" s="9">
        <f>C1139-C1138</f>
        <v>3.4399999999999409</v>
      </c>
      <c r="F1139" s="3">
        <f>F$1/B1139</f>
        <v>491.23151741415728</v>
      </c>
      <c r="G1139" s="3">
        <f>F$1/C1139</f>
        <v>145.71099680892917</v>
      </c>
      <c r="H1139" s="2">
        <f>D1139*F1138</f>
        <v>518.46731187042417</v>
      </c>
      <c r="I1139" s="2">
        <f>E1139*G1138</f>
        <v>503.77095994727114</v>
      </c>
      <c r="J1139" s="2">
        <f>I1139-H1139</f>
        <v>-14.696351923153031</v>
      </c>
      <c r="K1139" s="2">
        <f t="shared" si="145"/>
        <v>14.696351923153031</v>
      </c>
      <c r="L1139" s="3">
        <f>C1139/B1139</f>
        <v>3.3712727808616201</v>
      </c>
      <c r="M1139" s="3">
        <f t="shared" si="147"/>
        <v>3.3987199620665272</v>
      </c>
      <c r="N1139" s="3">
        <f t="shared" si="151"/>
        <v>3.4389044350978013</v>
      </c>
      <c r="O1139" s="3">
        <f t="shared" si="144"/>
        <v>3.4935407541584511</v>
      </c>
      <c r="P1139" s="3">
        <f t="shared" si="146"/>
        <v>3.461744886774544</v>
      </c>
      <c r="Q1139" s="4" t="str">
        <f t="shared" si="150"/>
        <v>UNDER</v>
      </c>
      <c r="R1139" s="4" t="str">
        <f t="shared" si="150"/>
        <v>UNDER</v>
      </c>
      <c r="S1139" s="4" t="str">
        <f t="shared" si="148"/>
        <v>UNDER</v>
      </c>
      <c r="T1139" s="4" t="str">
        <f t="shared" si="148"/>
        <v>UNDER</v>
      </c>
      <c r="U1139" s="2">
        <f>IF(Q1139="OVER",$J1139,$K1139)</f>
        <v>14.696351923153031</v>
      </c>
      <c r="V1139" s="2">
        <f>IF(R1139="OVER",$J1139,$K1139)</f>
        <v>14.696351923153031</v>
      </c>
      <c r="W1139" s="2">
        <f>IF(S1139="OVER",$J1139,$K1139)</f>
        <v>14.696351923153031</v>
      </c>
      <c r="X1139" s="2">
        <f>IF(T1139="OVER",$J1139,$K1139)</f>
        <v>14.696351923153031</v>
      </c>
      <c r="Y1139" s="9">
        <f t="shared" si="149"/>
        <v>-8907.694886853722</v>
      </c>
      <c r="Z1139" s="9">
        <f t="shared" si="149"/>
        <v>11896.375876475518</v>
      </c>
      <c r="AA1139" s="9">
        <f t="shared" si="149"/>
        <v>79218.895142956986</v>
      </c>
      <c r="AB1139" s="9">
        <f t="shared" si="149"/>
        <v>35017.206712352199</v>
      </c>
    </row>
    <row r="1140" spans="1:28" x14ac:dyDescent="0.3">
      <c r="A1140" s="1">
        <v>46072</v>
      </c>
      <c r="B1140" s="2">
        <v>203.14</v>
      </c>
      <c r="C1140" s="2">
        <v>684.48</v>
      </c>
      <c r="D1140" s="9">
        <f>B1140-B1139</f>
        <v>-0.43000000000000682</v>
      </c>
      <c r="E1140" s="9">
        <f>C1140-C1139</f>
        <v>-1.8099999999999454</v>
      </c>
      <c r="F1140" s="3">
        <f>F$1/B1140</f>
        <v>492.27133996258743</v>
      </c>
      <c r="G1140" s="3">
        <f>F$1/C1140</f>
        <v>146.09630668536698</v>
      </c>
      <c r="H1140" s="2">
        <f>D1140*F1139</f>
        <v>-211.22955248809097</v>
      </c>
      <c r="I1140" s="2">
        <f>E1140*G1139</f>
        <v>-263.73690422415382</v>
      </c>
      <c r="J1140" s="2">
        <f>I1140-H1140</f>
        <v>-52.507351736062844</v>
      </c>
      <c r="K1140" s="2">
        <f t="shared" si="145"/>
        <v>52.507351736062844</v>
      </c>
      <c r="L1140" s="3">
        <f>C1140/B1140</f>
        <v>3.3694988677759183</v>
      </c>
      <c r="M1140" s="3">
        <f t="shared" si="147"/>
        <v>3.3930887205365807</v>
      </c>
      <c r="N1140" s="3">
        <f t="shared" si="151"/>
        <v>3.4355137816962253</v>
      </c>
      <c r="O1140" s="3">
        <f t="shared" si="144"/>
        <v>3.4895046898473026</v>
      </c>
      <c r="P1140" s="3">
        <f t="shared" si="146"/>
        <v>3.4621062562661375</v>
      </c>
      <c r="Q1140" s="4" t="str">
        <f t="shared" si="150"/>
        <v>UNDER</v>
      </c>
      <c r="R1140" s="4" t="str">
        <f t="shared" si="150"/>
        <v>UNDER</v>
      </c>
      <c r="S1140" s="4" t="str">
        <f t="shared" si="148"/>
        <v>UNDER</v>
      </c>
      <c r="T1140" s="4" t="str">
        <f t="shared" si="148"/>
        <v>UNDER</v>
      </c>
      <c r="U1140" s="2">
        <f>IF(Q1140="OVER",$J1140,$K1140)</f>
        <v>52.507351736062844</v>
      </c>
      <c r="V1140" s="2">
        <f>IF(R1140="OVER",$J1140,$K1140)</f>
        <v>52.507351736062844</v>
      </c>
      <c r="W1140" s="2">
        <f>IF(S1140="OVER",$J1140,$K1140)</f>
        <v>52.507351736062844</v>
      </c>
      <c r="X1140" s="2">
        <f>IF(T1140="OVER",$J1140,$K1140)</f>
        <v>52.507351736062844</v>
      </c>
      <c r="Y1140" s="9">
        <f t="shared" si="149"/>
        <v>-8855.1875351176586</v>
      </c>
      <c r="Z1140" s="9">
        <f t="shared" si="149"/>
        <v>11948.883228211582</v>
      </c>
      <c r="AA1140" s="9">
        <f t="shared" si="149"/>
        <v>79271.402494693044</v>
      </c>
      <c r="AB1140" s="9">
        <f t="shared" si="149"/>
        <v>35069.714064088264</v>
      </c>
    </row>
    <row r="1141" spans="1:28" x14ac:dyDescent="0.3">
      <c r="A1141" s="1">
        <v>46073</v>
      </c>
      <c r="B1141" s="2">
        <v>204.09</v>
      </c>
      <c r="C1141" s="2">
        <v>689.43</v>
      </c>
      <c r="D1141" s="9">
        <f>B1141-B1140</f>
        <v>0.95000000000001705</v>
      </c>
      <c r="E1141" s="9">
        <f>C1141-C1140</f>
        <v>4.9499999999999318</v>
      </c>
      <c r="F1141" s="3">
        <f>F$1/B1141</f>
        <v>489.97991082365621</v>
      </c>
      <c r="G1141" s="3">
        <f>F$1/C1141</f>
        <v>145.04735796237472</v>
      </c>
      <c r="H1141" s="2">
        <f>D1141*F1140</f>
        <v>467.65777296446646</v>
      </c>
      <c r="I1141" s="2">
        <f>E1141*G1140</f>
        <v>723.1767180925566</v>
      </c>
      <c r="J1141" s="2">
        <f>I1141-H1141</f>
        <v>255.51894512809014</v>
      </c>
      <c r="K1141" s="2">
        <f t="shared" si="145"/>
        <v>-255.51894512809014</v>
      </c>
      <c r="L1141" s="3">
        <f>C1141/B1141</f>
        <v>3.3780684991915328</v>
      </c>
      <c r="M1141" s="3">
        <f t="shared" si="147"/>
        <v>3.3896284471680622</v>
      </c>
      <c r="N1141" s="3">
        <f t="shared" si="151"/>
        <v>3.4318788915200713</v>
      </c>
      <c r="O1141" s="3">
        <f t="shared" ref="O1141:O1204" si="152">AVERAGE(L1092:L1141)</f>
        <v>3.4854255044211246</v>
      </c>
      <c r="P1141" s="3">
        <f t="shared" si="146"/>
        <v>3.462550474550095</v>
      </c>
      <c r="Q1141" s="4" t="str">
        <f t="shared" si="150"/>
        <v>UNDER</v>
      </c>
      <c r="R1141" s="4" t="str">
        <f t="shared" si="150"/>
        <v>UNDER</v>
      </c>
      <c r="S1141" s="4" t="str">
        <f t="shared" si="148"/>
        <v>UNDER</v>
      </c>
      <c r="T1141" s="4" t="str">
        <f t="shared" si="148"/>
        <v>UNDER</v>
      </c>
      <c r="U1141" s="2">
        <f>IF(Q1141="OVER",$J1141,$K1141)</f>
        <v>-255.51894512809014</v>
      </c>
      <c r="V1141" s="2">
        <f>IF(R1141="OVER",$J1141,$K1141)</f>
        <v>-255.51894512809014</v>
      </c>
      <c r="W1141" s="2">
        <f>IF(S1141="OVER",$J1141,$K1141)</f>
        <v>-255.51894512809014</v>
      </c>
      <c r="X1141" s="2">
        <f>IF(T1141="OVER",$J1141,$K1141)</f>
        <v>-255.51894512809014</v>
      </c>
      <c r="Y1141" s="9">
        <f t="shared" si="149"/>
        <v>-9110.706480245748</v>
      </c>
      <c r="Z1141" s="9">
        <f t="shared" si="149"/>
        <v>11693.364283083492</v>
      </c>
      <c r="AA1141" s="9">
        <f t="shared" si="149"/>
        <v>79015.883549564955</v>
      </c>
      <c r="AB1141" s="9">
        <f t="shared" si="149"/>
        <v>34814.195118960175</v>
      </c>
    </row>
    <row r="1142" spans="1:28" x14ac:dyDescent="0.3">
      <c r="A1142" s="1">
        <v>46076</v>
      </c>
      <c r="B1142" s="2">
        <v>201.85</v>
      </c>
      <c r="C1142" s="2">
        <v>682.39</v>
      </c>
      <c r="D1142" s="9">
        <f>B1142-B1141</f>
        <v>-2.2400000000000091</v>
      </c>
      <c r="E1142" s="9">
        <f>C1142-C1141</f>
        <v>-7.0399999999999636</v>
      </c>
      <c r="F1142" s="3">
        <f>F$1/B1142</f>
        <v>495.41738915035921</v>
      </c>
      <c r="G1142" s="3">
        <f>F$1/C1142</f>
        <v>146.54376529550549</v>
      </c>
      <c r="H1142" s="2">
        <f>D1142*F1141</f>
        <v>-1097.5550002449943</v>
      </c>
      <c r="I1142" s="2">
        <f>E1142*G1141</f>
        <v>-1021.1334000551127</v>
      </c>
      <c r="J1142" s="2">
        <f>I1142-H1142</f>
        <v>76.421600189881588</v>
      </c>
      <c r="K1142" s="2">
        <f t="shared" si="145"/>
        <v>-76.421600189881588</v>
      </c>
      <c r="L1142" s="3">
        <f>C1142/B1142</f>
        <v>3.380678721823136</v>
      </c>
      <c r="M1142" s="3">
        <f t="shared" si="147"/>
        <v>3.3862447223959604</v>
      </c>
      <c r="N1142" s="3">
        <f t="shared" si="151"/>
        <v>3.427539079057623</v>
      </c>
      <c r="O1142" s="3">
        <f t="shared" si="152"/>
        <v>3.4813250781226412</v>
      </c>
      <c r="P1142" s="3">
        <f t="shared" si="146"/>
        <v>3.4630234065302776</v>
      </c>
      <c r="Q1142" s="4" t="str">
        <f t="shared" si="150"/>
        <v>UNDER</v>
      </c>
      <c r="R1142" s="4" t="str">
        <f t="shared" si="150"/>
        <v>UNDER</v>
      </c>
      <c r="S1142" s="4" t="str">
        <f t="shared" si="148"/>
        <v>UNDER</v>
      </c>
      <c r="T1142" s="4" t="str">
        <f t="shared" si="148"/>
        <v>UNDER</v>
      </c>
      <c r="U1142" s="2">
        <f>IF(Q1142="OVER",$J1142,$K1142)</f>
        <v>-76.421600189881588</v>
      </c>
      <c r="V1142" s="2">
        <f>IF(R1142="OVER",$J1142,$K1142)</f>
        <v>-76.421600189881588</v>
      </c>
      <c r="W1142" s="2">
        <f>IF(S1142="OVER",$J1142,$K1142)</f>
        <v>-76.421600189881588</v>
      </c>
      <c r="X1142" s="2">
        <f>IF(T1142="OVER",$J1142,$K1142)</f>
        <v>-76.421600189881588</v>
      </c>
      <c r="Y1142" s="9">
        <f t="shared" si="149"/>
        <v>-9187.1280804356302</v>
      </c>
      <c r="Z1142" s="9">
        <f t="shared" si="149"/>
        <v>11616.94268289361</v>
      </c>
      <c r="AA1142" s="9">
        <f t="shared" si="149"/>
        <v>78939.46194937508</v>
      </c>
      <c r="AB1142" s="9">
        <f t="shared" si="149"/>
        <v>34737.773518770293</v>
      </c>
    </row>
    <row r="1143" spans="1:28" x14ac:dyDescent="0.3">
      <c r="A1143" s="1">
        <v>46077</v>
      </c>
      <c r="B1143" s="2">
        <v>203.46</v>
      </c>
      <c r="C1143" s="2">
        <v>687.35</v>
      </c>
      <c r="D1143" s="9">
        <f>B1143-B1142</f>
        <v>1.6100000000000136</v>
      </c>
      <c r="E1143" s="9">
        <f>C1143-C1142</f>
        <v>4.9600000000000364</v>
      </c>
      <c r="F1143" s="3">
        <f>F$1/B1143</f>
        <v>491.49710016710901</v>
      </c>
      <c r="G1143" s="3">
        <f>F$1/C1143</f>
        <v>145.4862879173638</v>
      </c>
      <c r="H1143" s="2">
        <f>D1143*F1142</f>
        <v>797.62199653208506</v>
      </c>
      <c r="I1143" s="2">
        <f>E1143*G1142</f>
        <v>726.85707586571255</v>
      </c>
      <c r="J1143" s="2">
        <f>I1143-H1143</f>
        <v>-70.764920666372518</v>
      </c>
      <c r="K1143" s="2">
        <f t="shared" si="145"/>
        <v>70.764920666372518</v>
      </c>
      <c r="L1143" s="3">
        <f>C1143/B1143</f>
        <v>3.378305317998624</v>
      </c>
      <c r="M1143" s="3">
        <f t="shared" si="147"/>
        <v>3.3811806993979183</v>
      </c>
      <c r="N1143" s="3">
        <f t="shared" si="151"/>
        <v>3.4226112411631364</v>
      </c>
      <c r="O1143" s="3">
        <f t="shared" si="152"/>
        <v>3.4777031118005199</v>
      </c>
      <c r="P1143" s="3">
        <f t="shared" si="146"/>
        <v>3.4635233341251199</v>
      </c>
      <c r="Q1143" s="4" t="str">
        <f t="shared" si="150"/>
        <v>UNDER</v>
      </c>
      <c r="R1143" s="4" t="str">
        <f t="shared" si="150"/>
        <v>UNDER</v>
      </c>
      <c r="S1143" s="4" t="str">
        <f t="shared" si="148"/>
        <v>UNDER</v>
      </c>
      <c r="T1143" s="4" t="str">
        <f t="shared" si="148"/>
        <v>UNDER</v>
      </c>
      <c r="U1143" s="2">
        <f>IF(Q1143="OVER",$J1143,$K1143)</f>
        <v>70.764920666372518</v>
      </c>
      <c r="V1143" s="2">
        <f>IF(R1143="OVER",$J1143,$K1143)</f>
        <v>70.764920666372518</v>
      </c>
      <c r="W1143" s="2">
        <f>IF(S1143="OVER",$J1143,$K1143)</f>
        <v>70.764920666372518</v>
      </c>
      <c r="X1143" s="2">
        <f>IF(T1143="OVER",$J1143,$K1143)</f>
        <v>70.764920666372518</v>
      </c>
      <c r="Y1143" s="9">
        <f t="shared" si="149"/>
        <v>-9116.3631597692583</v>
      </c>
      <c r="Z1143" s="9">
        <f t="shared" si="149"/>
        <v>11687.707603559982</v>
      </c>
      <c r="AA1143" s="9">
        <f t="shared" si="149"/>
        <v>79010.226870041457</v>
      </c>
      <c r="AB1143" s="9">
        <f t="shared" si="149"/>
        <v>34808.538439436663</v>
      </c>
    </row>
    <row r="1144" spans="1:28" x14ac:dyDescent="0.3">
      <c r="A1144" s="1">
        <v>46078</v>
      </c>
      <c r="B1144" s="2">
        <v>203.58</v>
      </c>
      <c r="C1144" s="2">
        <v>693.15</v>
      </c>
      <c r="D1144" s="9">
        <f>B1144-B1143</f>
        <v>0.12000000000000455</v>
      </c>
      <c r="E1144" s="9">
        <f>C1144-C1143</f>
        <v>5.7999999999999545</v>
      </c>
      <c r="F1144" s="3">
        <f>F$1/B1144</f>
        <v>491.20738775911184</v>
      </c>
      <c r="G1144" s="3">
        <f>F$1/C1144</f>
        <v>144.26891726177595</v>
      </c>
      <c r="H1144" s="2">
        <f>D1144*F1143</f>
        <v>58.979652020055319</v>
      </c>
      <c r="I1144" s="2">
        <f>E1144*G1143</f>
        <v>843.82046992070343</v>
      </c>
      <c r="J1144" s="2">
        <f>I1144-H1144</f>
        <v>784.84081790064806</v>
      </c>
      <c r="K1144" s="2">
        <f t="shared" si="145"/>
        <v>-784.84081790064806</v>
      </c>
      <c r="L1144" s="3">
        <f>C1144/B1144</f>
        <v>3.4048040082522837</v>
      </c>
      <c r="M1144" s="3">
        <f t="shared" si="147"/>
        <v>3.3808831583226051</v>
      </c>
      <c r="N1144" s="3">
        <f t="shared" si="151"/>
        <v>3.4180437202667475</v>
      </c>
      <c r="O1144" s="3">
        <f t="shared" si="152"/>
        <v>3.4750170834049952</v>
      </c>
      <c r="P1144" s="3">
        <f t="shared" si="146"/>
        <v>3.4641792410790746</v>
      </c>
      <c r="Q1144" s="4" t="str">
        <f t="shared" si="150"/>
        <v>UNDER</v>
      </c>
      <c r="R1144" s="4" t="str">
        <f t="shared" si="150"/>
        <v>UNDER</v>
      </c>
      <c r="S1144" s="4" t="str">
        <f t="shared" si="148"/>
        <v>UNDER</v>
      </c>
      <c r="T1144" s="4" t="str">
        <f t="shared" si="148"/>
        <v>UNDER</v>
      </c>
      <c r="U1144" s="2">
        <f>IF(Q1144="OVER",$J1144,$K1144)</f>
        <v>-784.84081790064806</v>
      </c>
      <c r="V1144" s="2">
        <f>IF(R1144="OVER",$J1144,$K1144)</f>
        <v>-784.84081790064806</v>
      </c>
      <c r="W1144" s="2">
        <f>IF(S1144="OVER",$J1144,$K1144)</f>
        <v>-784.84081790064806</v>
      </c>
      <c r="X1144" s="2">
        <f>IF(T1144="OVER",$J1144,$K1144)</f>
        <v>-784.84081790064806</v>
      </c>
      <c r="Y1144" s="9">
        <f t="shared" si="149"/>
        <v>-9901.2039776699057</v>
      </c>
      <c r="Z1144" s="9">
        <f t="shared" si="149"/>
        <v>10902.866785659335</v>
      </c>
      <c r="AA1144" s="9">
        <f t="shared" si="149"/>
        <v>78225.386052140806</v>
      </c>
      <c r="AB1144" s="9">
        <f t="shared" si="149"/>
        <v>34023.697621536012</v>
      </c>
    </row>
    <row r="1145" spans="1:28" x14ac:dyDescent="0.3">
      <c r="A1145" s="1">
        <v>46079</v>
      </c>
      <c r="B1145" s="2">
        <v>204.73</v>
      </c>
      <c r="C1145" s="2">
        <v>689.3</v>
      </c>
      <c r="D1145" s="9">
        <f>B1145-B1144</f>
        <v>1.1499999999999773</v>
      </c>
      <c r="E1145" s="9">
        <f>C1145-C1144</f>
        <v>-3.8500000000000227</v>
      </c>
      <c r="F1145" s="3">
        <f>F$1/B1145</f>
        <v>488.44820006838279</v>
      </c>
      <c r="G1145" s="3">
        <f>F$1/C1145</f>
        <v>145.07471347744089</v>
      </c>
      <c r="H1145" s="2">
        <f>D1145*F1144</f>
        <v>564.88849592296742</v>
      </c>
      <c r="I1145" s="2">
        <f>E1145*G1144</f>
        <v>-555.43533145784068</v>
      </c>
      <c r="J1145" s="2">
        <f>I1145-H1145</f>
        <v>-1120.3238273808081</v>
      </c>
      <c r="K1145" s="2">
        <f t="shared" si="145"/>
        <v>1120.3238273808081</v>
      </c>
      <c r="L1145" s="3">
        <f>C1145/B1145</f>
        <v>3.3668734430713623</v>
      </c>
      <c r="M1145" s="3">
        <f t="shared" si="147"/>
        <v>3.3774741691981083</v>
      </c>
      <c r="N1145" s="3">
        <f t="shared" si="151"/>
        <v>3.4110065793465738</v>
      </c>
      <c r="O1145" s="3">
        <f t="shared" si="152"/>
        <v>3.4718556121909359</v>
      </c>
      <c r="P1145" s="3">
        <f t="shared" si="146"/>
        <v>3.4646625623420642</v>
      </c>
      <c r="Q1145" s="4" t="str">
        <f t="shared" si="150"/>
        <v>OVER</v>
      </c>
      <c r="R1145" s="4" t="str">
        <f t="shared" si="150"/>
        <v>UNDER</v>
      </c>
      <c r="S1145" s="4" t="str">
        <f t="shared" si="148"/>
        <v>UNDER</v>
      </c>
      <c r="T1145" s="4" t="str">
        <f t="shared" si="148"/>
        <v>UNDER</v>
      </c>
      <c r="U1145" s="2">
        <f>IF(Q1145="OVER",$J1145,$K1145)</f>
        <v>-1120.3238273808081</v>
      </c>
      <c r="V1145" s="2">
        <f>IF(R1145="OVER",$J1145,$K1145)</f>
        <v>1120.3238273808081</v>
      </c>
      <c r="W1145" s="2">
        <f>IF(S1145="OVER",$J1145,$K1145)</f>
        <v>1120.3238273808081</v>
      </c>
      <c r="X1145" s="2">
        <f>IF(T1145="OVER",$J1145,$K1145)</f>
        <v>1120.3238273808081</v>
      </c>
      <c r="Y1145" s="9">
        <f t="shared" si="149"/>
        <v>-11021.527805050713</v>
      </c>
      <c r="Z1145" s="9">
        <f t="shared" si="149"/>
        <v>12023.190613040142</v>
      </c>
      <c r="AA1145" s="9">
        <f t="shared" si="149"/>
        <v>79345.709879521615</v>
      </c>
      <c r="AB1145" s="9">
        <f t="shared" si="149"/>
        <v>35144.021448916821</v>
      </c>
    </row>
    <row r="1146" spans="1:28" x14ac:dyDescent="0.3">
      <c r="A1146" s="1">
        <v>46080</v>
      </c>
      <c r="B1146" s="2">
        <v>204.97</v>
      </c>
      <c r="C1146" s="2">
        <v>685.99</v>
      </c>
      <c r="D1146" s="9">
        <f>B1146-B1145</f>
        <v>0.24000000000000909</v>
      </c>
      <c r="E1146" s="9">
        <f>C1146-C1145</f>
        <v>-3.3099999999999454</v>
      </c>
      <c r="F1146" s="3">
        <f>F$1/B1146</f>
        <v>487.87627457676734</v>
      </c>
      <c r="G1146" s="3">
        <f>F$1/C1146</f>
        <v>145.77471974810129</v>
      </c>
      <c r="H1146" s="2">
        <f>D1146*F1145</f>
        <v>117.22756801641631</v>
      </c>
      <c r="I1146" s="2">
        <f>E1146*G1145</f>
        <v>-480.19730161032146</v>
      </c>
      <c r="J1146" s="2">
        <f>I1146-H1146</f>
        <v>-597.42486962673775</v>
      </c>
      <c r="K1146" s="2">
        <f t="shared" si="145"/>
        <v>597.42486962673775</v>
      </c>
      <c r="L1146" s="3">
        <f>C1146/B1146</f>
        <v>3.3467824559691661</v>
      </c>
      <c r="M1146" s="3">
        <f t="shared" si="147"/>
        <v>3.3728576291981334</v>
      </c>
      <c r="N1146" s="3">
        <f t="shared" si="151"/>
        <v>3.4035421559028398</v>
      </c>
      <c r="O1146" s="3">
        <f t="shared" si="152"/>
        <v>3.4684860715349504</v>
      </c>
      <c r="P1146" s="3">
        <f t="shared" si="146"/>
        <v>3.4649556962801169</v>
      </c>
      <c r="Q1146" s="4" t="str">
        <f t="shared" si="150"/>
        <v>UNDER</v>
      </c>
      <c r="R1146" s="4" t="str">
        <f t="shared" si="150"/>
        <v>UNDER</v>
      </c>
      <c r="S1146" s="4" t="str">
        <f t="shared" si="148"/>
        <v>UNDER</v>
      </c>
      <c r="T1146" s="4" t="str">
        <f t="shared" si="148"/>
        <v>UNDER</v>
      </c>
      <c r="U1146" s="2">
        <f>IF(Q1146="OVER",$J1146,$K1146)</f>
        <v>597.42486962673775</v>
      </c>
      <c r="V1146" s="2">
        <f>IF(R1146="OVER",$J1146,$K1146)</f>
        <v>597.42486962673775</v>
      </c>
      <c r="W1146" s="2">
        <f>IF(S1146="OVER",$J1146,$K1146)</f>
        <v>597.42486962673775</v>
      </c>
      <c r="X1146" s="2">
        <f>IF(T1146="OVER",$J1146,$K1146)</f>
        <v>597.42486962673775</v>
      </c>
      <c r="Y1146" s="9">
        <f t="shared" si="149"/>
        <v>-10424.102935423976</v>
      </c>
      <c r="Z1146" s="9">
        <f t="shared" si="149"/>
        <v>12620.615482666879</v>
      </c>
      <c r="AA1146" s="9">
        <f t="shared" si="149"/>
        <v>79943.134749148347</v>
      </c>
      <c r="AB1146" s="9">
        <f t="shared" si="149"/>
        <v>35741.44631854356</v>
      </c>
    </row>
    <row r="1147" spans="1:28" x14ac:dyDescent="0.3">
      <c r="A1147" s="1">
        <v>46083</v>
      </c>
      <c r="B1147" s="2">
        <v>204.59</v>
      </c>
      <c r="C1147" s="2">
        <v>686.38</v>
      </c>
      <c r="D1147" s="9">
        <f>B1147-B1146</f>
        <v>-0.37999999999999545</v>
      </c>
      <c r="E1147" s="9">
        <f>C1147-C1146</f>
        <v>0.38999999999998636</v>
      </c>
      <c r="F1147" s="3">
        <f>F$1/B1147</f>
        <v>488.78244293464979</v>
      </c>
      <c r="G1147" s="3">
        <f>F$1/C1147</f>
        <v>145.69189078935867</v>
      </c>
      <c r="H1147" s="2">
        <f>D1147*F1146</f>
        <v>-185.39298433916937</v>
      </c>
      <c r="I1147" s="2">
        <f>E1147*G1146</f>
        <v>56.852140701757513</v>
      </c>
      <c r="J1147" s="2">
        <f>I1147-H1147</f>
        <v>242.24512504092689</v>
      </c>
      <c r="K1147" s="2">
        <f t="shared" si="145"/>
        <v>-242.24512504092689</v>
      </c>
      <c r="L1147" s="3">
        <f>C1147/B1147</f>
        <v>3.3549049318148492</v>
      </c>
      <c r="M1147" s="3">
        <f t="shared" si="147"/>
        <v>3.3722954778289207</v>
      </c>
      <c r="N1147" s="3">
        <f t="shared" si="151"/>
        <v>3.3966180769685423</v>
      </c>
      <c r="O1147" s="3">
        <f t="shared" si="152"/>
        <v>3.4649751941454543</v>
      </c>
      <c r="P1147" s="3">
        <f t="shared" si="146"/>
        <v>3.4652181218958602</v>
      </c>
      <c r="Q1147" s="4" t="str">
        <f t="shared" si="150"/>
        <v>UNDER</v>
      </c>
      <c r="R1147" s="4" t="str">
        <f t="shared" si="150"/>
        <v>UNDER</v>
      </c>
      <c r="S1147" s="4" t="str">
        <f t="shared" si="148"/>
        <v>UNDER</v>
      </c>
      <c r="T1147" s="4" t="str">
        <f t="shared" si="148"/>
        <v>UNDER</v>
      </c>
      <c r="U1147" s="2">
        <f>IF(Q1147="OVER",$J1147,$K1147)</f>
        <v>-242.24512504092689</v>
      </c>
      <c r="V1147" s="2">
        <f>IF(R1147="OVER",$J1147,$K1147)</f>
        <v>-242.24512504092689</v>
      </c>
      <c r="W1147" s="2">
        <f>IF(S1147="OVER",$J1147,$K1147)</f>
        <v>-242.24512504092689</v>
      </c>
      <c r="X1147" s="2">
        <f>IF(T1147="OVER",$J1147,$K1147)</f>
        <v>-242.24512504092689</v>
      </c>
      <c r="Y1147" s="9">
        <f t="shared" si="149"/>
        <v>-10666.348060464903</v>
      </c>
      <c r="Z1147" s="9">
        <f t="shared" si="149"/>
        <v>12378.370357625952</v>
      </c>
      <c r="AA1147" s="9">
        <f t="shared" si="149"/>
        <v>79700.889624107425</v>
      </c>
      <c r="AB1147" s="9">
        <f t="shared" si="149"/>
        <v>35499.201193502631</v>
      </c>
    </row>
    <row r="1148" spans="1:28" x14ac:dyDescent="0.3">
      <c r="A1148" s="1">
        <v>46084</v>
      </c>
      <c r="B1148" s="2">
        <v>202.08</v>
      </c>
      <c r="C1148" s="2">
        <v>680.33</v>
      </c>
      <c r="D1148" s="9">
        <f>B1148-B1147</f>
        <v>-2.5099999999999909</v>
      </c>
      <c r="E1148" s="9">
        <f>C1148-C1147</f>
        <v>-6.0499999999999545</v>
      </c>
      <c r="F1148" s="3">
        <f>F$1/B1148</f>
        <v>494.85352335708626</v>
      </c>
      <c r="G1148" s="3">
        <f>F$1/C1148</f>
        <v>146.98749136448487</v>
      </c>
      <c r="H1148" s="2">
        <f>D1148*F1147</f>
        <v>-1226.8439317659665</v>
      </c>
      <c r="I1148" s="2">
        <f>E1148*G1147</f>
        <v>-881.43593927561335</v>
      </c>
      <c r="J1148" s="2">
        <f>I1148-H1148</f>
        <v>345.40799249035319</v>
      </c>
      <c r="K1148" s="2">
        <f t="shared" si="145"/>
        <v>-345.40799249035319</v>
      </c>
      <c r="L1148" s="3">
        <f>C1148/B1148</f>
        <v>3.3666369754552652</v>
      </c>
      <c r="M1148" s="3">
        <f t="shared" si="147"/>
        <v>3.3717826002213762</v>
      </c>
      <c r="N1148" s="3">
        <f t="shared" si="151"/>
        <v>3.3903115530642589</v>
      </c>
      <c r="O1148" s="3">
        <f t="shared" si="152"/>
        <v>3.4622865538767007</v>
      </c>
      <c r="P1148" s="3">
        <f t="shared" si="146"/>
        <v>3.4654179489064099</v>
      </c>
      <c r="Q1148" s="4" t="str">
        <f t="shared" si="150"/>
        <v>UNDER</v>
      </c>
      <c r="R1148" s="4" t="str">
        <f t="shared" si="150"/>
        <v>UNDER</v>
      </c>
      <c r="S1148" s="4" t="str">
        <f t="shared" si="148"/>
        <v>UNDER</v>
      </c>
      <c r="T1148" s="4" t="str">
        <f t="shared" si="148"/>
        <v>UNDER</v>
      </c>
      <c r="U1148" s="2">
        <f>IF(Q1148="OVER",$J1148,$K1148)</f>
        <v>-345.40799249035319</v>
      </c>
      <c r="V1148" s="2">
        <f>IF(R1148="OVER",$J1148,$K1148)</f>
        <v>-345.40799249035319</v>
      </c>
      <c r="W1148" s="2">
        <f>IF(S1148="OVER",$J1148,$K1148)</f>
        <v>-345.40799249035319</v>
      </c>
      <c r="X1148" s="2">
        <f>IF(T1148="OVER",$J1148,$K1148)</f>
        <v>-345.40799249035319</v>
      </c>
      <c r="Y1148" s="9">
        <f t="shared" si="149"/>
        <v>-11011.756052955256</v>
      </c>
      <c r="Z1148" s="9">
        <f t="shared" si="149"/>
        <v>12032.9623651356</v>
      </c>
      <c r="AA1148" s="9">
        <f t="shared" si="149"/>
        <v>79355.481631617076</v>
      </c>
      <c r="AB1148" s="9">
        <f t="shared" si="149"/>
        <v>35153.793201012275</v>
      </c>
    </row>
    <row r="1149" spans="1:28" x14ac:dyDescent="0.3">
      <c r="A1149" s="1">
        <v>46085</v>
      </c>
      <c r="B1149" s="2">
        <v>202.89</v>
      </c>
      <c r="C1149" s="2">
        <v>685.13</v>
      </c>
      <c r="D1149" s="9">
        <f>B1149-B1148</f>
        <v>0.80999999999997385</v>
      </c>
      <c r="E1149" s="9">
        <f>C1149-C1148</f>
        <v>4.7999999999999545</v>
      </c>
      <c r="F1149" s="3">
        <f>F$1/B1149</f>
        <v>492.87791414066737</v>
      </c>
      <c r="G1149" s="3">
        <f>F$1/C1149</f>
        <v>145.95770145811744</v>
      </c>
      <c r="H1149" s="2">
        <f>D1149*F1148</f>
        <v>400.83135391922696</v>
      </c>
      <c r="I1149" s="2">
        <f>E1149*G1148</f>
        <v>705.53995854952063</v>
      </c>
      <c r="J1149" s="2">
        <f>I1149-H1149</f>
        <v>304.70860463029368</v>
      </c>
      <c r="K1149" s="2">
        <f t="shared" si="145"/>
        <v>-304.70860463029368</v>
      </c>
      <c r="L1149" s="3">
        <f>C1149/B1149</f>
        <v>3.3768544531519544</v>
      </c>
      <c r="M1149" s="3">
        <f t="shared" si="147"/>
        <v>3.3723407674504093</v>
      </c>
      <c r="N1149" s="3">
        <f t="shared" si="151"/>
        <v>3.3855303647584685</v>
      </c>
      <c r="O1149" s="3">
        <f t="shared" si="152"/>
        <v>3.4594240175885069</v>
      </c>
      <c r="P1149" s="3">
        <f t="shared" si="146"/>
        <v>3.4657385990895841</v>
      </c>
      <c r="Q1149" s="4" t="str">
        <f t="shared" si="150"/>
        <v>UNDER</v>
      </c>
      <c r="R1149" s="4" t="str">
        <f t="shared" si="150"/>
        <v>UNDER</v>
      </c>
      <c r="S1149" s="4" t="str">
        <f t="shared" si="148"/>
        <v>UNDER</v>
      </c>
      <c r="T1149" s="4" t="str">
        <f t="shared" si="148"/>
        <v>UNDER</v>
      </c>
      <c r="U1149" s="2">
        <f>IF(Q1149="OVER",$J1149,$K1149)</f>
        <v>-304.70860463029368</v>
      </c>
      <c r="V1149" s="2">
        <f>IF(R1149="OVER",$J1149,$K1149)</f>
        <v>-304.70860463029368</v>
      </c>
      <c r="W1149" s="2">
        <f>IF(S1149="OVER",$J1149,$K1149)</f>
        <v>-304.70860463029368</v>
      </c>
      <c r="X1149" s="2">
        <f>IF(T1149="OVER",$J1149,$K1149)</f>
        <v>-304.70860463029368</v>
      </c>
      <c r="Y1149" s="9">
        <f t="shared" si="149"/>
        <v>-11316.46465758555</v>
      </c>
      <c r="Z1149" s="9">
        <f t="shared" si="149"/>
        <v>11728.253760505306</v>
      </c>
      <c r="AA1149" s="9">
        <f t="shared" si="149"/>
        <v>79050.77302698679</v>
      </c>
      <c r="AB1149" s="9">
        <f t="shared" si="149"/>
        <v>34849.084596381981</v>
      </c>
    </row>
    <row r="1150" spans="1:28" x14ac:dyDescent="0.3">
      <c r="A1150" s="1">
        <v>46086</v>
      </c>
      <c r="B1150" s="2">
        <v>200.54</v>
      </c>
      <c r="C1150" s="2">
        <v>681.31</v>
      </c>
      <c r="D1150" s="9">
        <f>B1150-B1149</f>
        <v>-2.3499999999999943</v>
      </c>
      <c r="E1150" s="9">
        <f>C1150-C1149</f>
        <v>-3.82000000000005</v>
      </c>
      <c r="F1150" s="3">
        <f>F$1/B1150</f>
        <v>498.6536351850005</v>
      </c>
      <c r="G1150" s="3">
        <f>F$1/C1150</f>
        <v>146.77606375952212</v>
      </c>
      <c r="H1150" s="2">
        <f>D1150*F1149</f>
        <v>-1158.2630982305654</v>
      </c>
      <c r="I1150" s="2">
        <f>E1150*G1149</f>
        <v>-557.55841957001587</v>
      </c>
      <c r="J1150" s="2">
        <f>I1150-H1150</f>
        <v>600.70467866054958</v>
      </c>
      <c r="K1150" s="2">
        <f t="shared" si="145"/>
        <v>-600.70467866054958</v>
      </c>
      <c r="L1150" s="3">
        <f>C1150/B1150</f>
        <v>3.3973770818789268</v>
      </c>
      <c r="M1150" s="3">
        <f t="shared" si="147"/>
        <v>3.3751285888607101</v>
      </c>
      <c r="N1150" s="3">
        <f t="shared" si="151"/>
        <v>3.3841086546986459</v>
      </c>
      <c r="O1150" s="3">
        <f t="shared" si="152"/>
        <v>3.4568002195330121</v>
      </c>
      <c r="P1150" s="3">
        <f t="shared" si="146"/>
        <v>3.4662190119171692</v>
      </c>
      <c r="Q1150" s="4" t="str">
        <f t="shared" si="150"/>
        <v>OVER</v>
      </c>
      <c r="R1150" s="4" t="str">
        <f t="shared" si="150"/>
        <v>UNDER</v>
      </c>
      <c r="S1150" s="4" t="str">
        <f t="shared" si="148"/>
        <v>UNDER</v>
      </c>
      <c r="T1150" s="4" t="str">
        <f t="shared" si="148"/>
        <v>UNDER</v>
      </c>
      <c r="U1150" s="2">
        <f>IF(Q1150="OVER",$J1150,$K1150)</f>
        <v>600.70467866054958</v>
      </c>
      <c r="V1150" s="2">
        <f>IF(R1150="OVER",$J1150,$K1150)</f>
        <v>-600.70467866054958</v>
      </c>
      <c r="W1150" s="2">
        <f>IF(S1150="OVER",$J1150,$K1150)</f>
        <v>-600.70467866054958</v>
      </c>
      <c r="X1150" s="2">
        <f>IF(T1150="OVER",$J1150,$K1150)</f>
        <v>-600.70467866054958</v>
      </c>
      <c r="Y1150" s="9">
        <f t="shared" si="149"/>
        <v>-10715.759978925</v>
      </c>
      <c r="Z1150" s="9">
        <f t="shared" si="149"/>
        <v>11127.549081844756</v>
      </c>
      <c r="AA1150" s="9">
        <f t="shared" si="149"/>
        <v>78450.06834832624</v>
      </c>
      <c r="AB1150" s="9">
        <f t="shared" si="149"/>
        <v>34248.379917721431</v>
      </c>
    </row>
    <row r="1151" spans="1:28" x14ac:dyDescent="0.3">
      <c r="A1151" s="1">
        <v>46087</v>
      </c>
      <c r="B1151" s="2">
        <v>198.15</v>
      </c>
      <c r="C1151" s="2">
        <v>672.38</v>
      </c>
      <c r="D1151" s="9">
        <f>B1151-B1150</f>
        <v>-2.3899999999999864</v>
      </c>
      <c r="E1151" s="9">
        <f>C1151-C1150</f>
        <v>-8.92999999999995</v>
      </c>
      <c r="F1151" s="3">
        <f>F$1/B1151</f>
        <v>504.66818067120869</v>
      </c>
      <c r="G1151" s="3">
        <f>F$1/C1151</f>
        <v>148.72542312382879</v>
      </c>
      <c r="H1151" s="2">
        <f>D1151*F1150</f>
        <v>-1191.7821880921445</v>
      </c>
      <c r="I1151" s="2">
        <f>E1151*G1150</f>
        <v>-1310.7102493725251</v>
      </c>
      <c r="J1151" s="2">
        <f>I1151-H1151</f>
        <v>-118.92806128038069</v>
      </c>
      <c r="K1151" s="2">
        <f t="shared" si="145"/>
        <v>118.92806128038069</v>
      </c>
      <c r="L1151" s="3">
        <f>C1151/B1151</f>
        <v>3.393287913197073</v>
      </c>
      <c r="M1151" s="3">
        <f t="shared" si="147"/>
        <v>3.3766505302612635</v>
      </c>
      <c r="N1151" s="3">
        <f t="shared" si="151"/>
        <v>3.3831394887146637</v>
      </c>
      <c r="O1151" s="3">
        <f t="shared" si="152"/>
        <v>3.4538971444808428</v>
      </c>
      <c r="P1151" s="3">
        <f t="shared" si="146"/>
        <v>3.4666590859777919</v>
      </c>
      <c r="Q1151" s="4" t="str">
        <f t="shared" si="150"/>
        <v>OVER</v>
      </c>
      <c r="R1151" s="4" t="str">
        <f t="shared" si="150"/>
        <v>OVER</v>
      </c>
      <c r="S1151" s="4" t="str">
        <f t="shared" si="148"/>
        <v>UNDER</v>
      </c>
      <c r="T1151" s="4" t="str">
        <f t="shared" si="148"/>
        <v>UNDER</v>
      </c>
      <c r="U1151" s="2">
        <f>IF(Q1151="OVER",$J1151,$K1151)</f>
        <v>-118.92806128038069</v>
      </c>
      <c r="V1151" s="2">
        <f>IF(R1151="OVER",$J1151,$K1151)</f>
        <v>-118.92806128038069</v>
      </c>
      <c r="W1151" s="2">
        <f>IF(S1151="OVER",$J1151,$K1151)</f>
        <v>118.92806128038069</v>
      </c>
      <c r="X1151" s="2">
        <f>IF(T1151="OVER",$J1151,$K1151)</f>
        <v>118.92806128038069</v>
      </c>
      <c r="Y1151" s="9">
        <f t="shared" si="149"/>
        <v>-10834.688040205381</v>
      </c>
      <c r="Z1151" s="9">
        <f t="shared" si="149"/>
        <v>11008.621020564375</v>
      </c>
      <c r="AA1151" s="9">
        <f t="shared" si="149"/>
        <v>78568.996409606625</v>
      </c>
      <c r="AB1151" s="9">
        <f t="shared" si="149"/>
        <v>34367.307979001809</v>
      </c>
    </row>
    <row r="1152" spans="1:28" x14ac:dyDescent="0.3">
      <c r="A1152" s="1">
        <v>46090</v>
      </c>
      <c r="B1152" s="2">
        <v>198.71</v>
      </c>
      <c r="C1152" s="2">
        <v>678.27</v>
      </c>
      <c r="D1152" s="9">
        <f>B1152-B1151</f>
        <v>0.56000000000000227</v>
      </c>
      <c r="E1152" s="9">
        <f>C1152-C1151</f>
        <v>5.8899999999999864</v>
      </c>
      <c r="F1152" s="3">
        <f>F$1/B1152</f>
        <v>503.24593628906445</v>
      </c>
      <c r="G1152" s="3">
        <f>F$1/C1152</f>
        <v>147.43391274861045</v>
      </c>
      <c r="H1152" s="2">
        <f>D1152*F1151</f>
        <v>282.614181175878</v>
      </c>
      <c r="I1152" s="2">
        <f>E1152*G1151</f>
        <v>875.99274219934955</v>
      </c>
      <c r="J1152" s="2">
        <f>I1152-H1152</f>
        <v>593.37856102347155</v>
      </c>
      <c r="K1152" s="2">
        <f t="shared" si="145"/>
        <v>-593.37856102347155</v>
      </c>
      <c r="L1152" s="3">
        <f>C1152/B1152</f>
        <v>3.4133662120678374</v>
      </c>
      <c r="M1152" s="3">
        <f t="shared" si="147"/>
        <v>3.3799192792857342</v>
      </c>
      <c r="N1152" s="3">
        <f t="shared" si="151"/>
        <v>3.3830820008408482</v>
      </c>
      <c r="O1152" s="3">
        <f t="shared" si="152"/>
        <v>3.4509065061140891</v>
      </c>
      <c r="P1152" s="3">
        <f t="shared" si="146"/>
        <v>3.4672119894615294</v>
      </c>
      <c r="Q1152" s="4" t="str">
        <f t="shared" si="150"/>
        <v>OVER</v>
      </c>
      <c r="R1152" s="4" t="str">
        <f t="shared" si="150"/>
        <v>OVER</v>
      </c>
      <c r="S1152" s="4" t="str">
        <f t="shared" si="148"/>
        <v>UNDER</v>
      </c>
      <c r="T1152" s="4" t="str">
        <f t="shared" si="148"/>
        <v>UNDER</v>
      </c>
      <c r="U1152" s="2">
        <f>IF(Q1152="OVER",$J1152,$K1152)</f>
        <v>593.37856102347155</v>
      </c>
      <c r="V1152" s="2">
        <f>IF(R1152="OVER",$J1152,$K1152)</f>
        <v>593.37856102347155</v>
      </c>
      <c r="W1152" s="2">
        <f>IF(S1152="OVER",$J1152,$K1152)</f>
        <v>-593.37856102347155</v>
      </c>
      <c r="X1152" s="2">
        <f>IF(T1152="OVER",$J1152,$K1152)</f>
        <v>-593.37856102347155</v>
      </c>
      <c r="Y1152" s="9">
        <f t="shared" si="149"/>
        <v>-10241.309479181909</v>
      </c>
      <c r="Z1152" s="9">
        <f t="shared" si="149"/>
        <v>11601.999581587846</v>
      </c>
      <c r="AA1152" s="9">
        <f t="shared" si="149"/>
        <v>77975.617848583148</v>
      </c>
      <c r="AB1152" s="9">
        <f t="shared" si="149"/>
        <v>33773.929417978339</v>
      </c>
    </row>
    <row r="1153" spans="1:28" x14ac:dyDescent="0.3">
      <c r="A1153" s="1">
        <v>46091</v>
      </c>
      <c r="B1153" s="2">
        <v>197.22</v>
      </c>
      <c r="C1153" s="2">
        <v>677.18</v>
      </c>
      <c r="D1153" s="9">
        <f>B1153-B1152</f>
        <v>-1.4900000000000091</v>
      </c>
      <c r="E1153" s="9">
        <f>C1153-C1152</f>
        <v>-1.0900000000000318</v>
      </c>
      <c r="F1153" s="3">
        <f>F$1/B1153</f>
        <v>507.04796673765338</v>
      </c>
      <c r="G1153" s="3">
        <f>F$1/C1153</f>
        <v>147.67122478513838</v>
      </c>
      <c r="H1153" s="2">
        <f>D1153*F1152</f>
        <v>-749.83644507071062</v>
      </c>
      <c r="I1153" s="2">
        <f>E1153*G1152</f>
        <v>-160.70296489599008</v>
      </c>
      <c r="J1153" s="2">
        <f>I1153-H1153</f>
        <v>589.13348017472049</v>
      </c>
      <c r="K1153" s="2">
        <f t="shared" si="145"/>
        <v>-589.13348017472049</v>
      </c>
      <c r="L1153" s="3">
        <f>C1153/B1153</f>
        <v>3.433627421154041</v>
      </c>
      <c r="M1153" s="3">
        <f t="shared" si="147"/>
        <v>3.3854514896012757</v>
      </c>
      <c r="N1153" s="3">
        <f t="shared" si="151"/>
        <v>3.3833160944995972</v>
      </c>
      <c r="O1153" s="3">
        <f t="shared" si="152"/>
        <v>3.448328732023108</v>
      </c>
      <c r="P1153" s="3">
        <f t="shared" si="146"/>
        <v>3.4677829399393589</v>
      </c>
      <c r="Q1153" s="4" t="str">
        <f t="shared" si="150"/>
        <v>OVER</v>
      </c>
      <c r="R1153" s="4" t="str">
        <f t="shared" si="150"/>
        <v>OVER</v>
      </c>
      <c r="S1153" s="4" t="str">
        <f t="shared" si="148"/>
        <v>UNDER</v>
      </c>
      <c r="T1153" s="4" t="str">
        <f t="shared" si="148"/>
        <v>UNDER</v>
      </c>
      <c r="U1153" s="2">
        <f>IF(Q1153="OVER",$J1153,$K1153)</f>
        <v>589.13348017472049</v>
      </c>
      <c r="V1153" s="2">
        <f>IF(R1153="OVER",$J1153,$K1153)</f>
        <v>589.13348017472049</v>
      </c>
      <c r="W1153" s="2">
        <f>IF(S1153="OVER",$J1153,$K1153)</f>
        <v>-589.13348017472049</v>
      </c>
      <c r="X1153" s="2">
        <f>IF(T1153="OVER",$J1153,$K1153)</f>
        <v>-589.13348017472049</v>
      </c>
      <c r="Y1153" s="9">
        <f t="shared" si="149"/>
        <v>-9652.1759990071896</v>
      </c>
      <c r="Z1153" s="9">
        <f t="shared" si="149"/>
        <v>12191.133061762566</v>
      </c>
      <c r="AA1153" s="9">
        <f t="shared" si="149"/>
        <v>77386.484368408434</v>
      </c>
      <c r="AB1153" s="9">
        <f t="shared" si="149"/>
        <v>33184.795937803618</v>
      </c>
    </row>
    <row r="1154" spans="1:28" x14ac:dyDescent="0.3">
      <c r="A1154" s="1">
        <v>46092</v>
      </c>
      <c r="B1154" s="2">
        <v>196.57</v>
      </c>
      <c r="C1154" s="2">
        <v>676.33</v>
      </c>
      <c r="D1154" s="9">
        <f>B1154-B1153</f>
        <v>-0.65000000000000568</v>
      </c>
      <c r="E1154" s="9">
        <f>C1154-C1153</f>
        <v>-0.84999999999990905</v>
      </c>
      <c r="F1154" s="3">
        <f>F$1/B1154</f>
        <v>508.7246273592105</v>
      </c>
      <c r="G1154" s="3">
        <f>F$1/C1154</f>
        <v>147.8568154599086</v>
      </c>
      <c r="H1154" s="2">
        <f>D1154*F1153</f>
        <v>-329.58117837947759</v>
      </c>
      <c r="I1154" s="2">
        <f>E1154*G1153</f>
        <v>-125.52054106735419</v>
      </c>
      <c r="J1154" s="2">
        <f>I1154-H1154</f>
        <v>204.06063731212339</v>
      </c>
      <c r="K1154" s="2">
        <f t="shared" si="145"/>
        <v>-204.06063731212339</v>
      </c>
      <c r="L1154" s="3">
        <f>C1154/B1154</f>
        <v>3.4406572722185484</v>
      </c>
      <c r="M1154" s="3">
        <f t="shared" si="147"/>
        <v>3.3890368159979025</v>
      </c>
      <c r="N1154" s="3">
        <f t="shared" si="151"/>
        <v>3.3849599871602534</v>
      </c>
      <c r="O1154" s="3">
        <f t="shared" si="152"/>
        <v>3.4459171560477517</v>
      </c>
      <c r="P1154" s="3">
        <f t="shared" si="146"/>
        <v>3.4683293674762505</v>
      </c>
      <c r="Q1154" s="4" t="str">
        <f t="shared" si="150"/>
        <v>OVER</v>
      </c>
      <c r="R1154" s="4" t="str">
        <f t="shared" si="150"/>
        <v>OVER</v>
      </c>
      <c r="S1154" s="4" t="str">
        <f t="shared" si="148"/>
        <v>UNDER</v>
      </c>
      <c r="T1154" s="4" t="str">
        <f t="shared" si="148"/>
        <v>UNDER</v>
      </c>
      <c r="U1154" s="2">
        <f>IF(Q1154="OVER",$J1154,$K1154)</f>
        <v>204.06063731212339</v>
      </c>
      <c r="V1154" s="2">
        <f>IF(R1154="OVER",$J1154,$K1154)</f>
        <v>204.06063731212339</v>
      </c>
      <c r="W1154" s="2">
        <f>IF(S1154="OVER",$J1154,$K1154)</f>
        <v>-204.06063731212339</v>
      </c>
      <c r="X1154" s="2">
        <f>IF(T1154="OVER",$J1154,$K1154)</f>
        <v>-204.06063731212339</v>
      </c>
      <c r="Y1154" s="9">
        <f t="shared" si="149"/>
        <v>-9448.1153616950669</v>
      </c>
      <c r="Z1154" s="9">
        <f t="shared" si="149"/>
        <v>12395.193699074689</v>
      </c>
      <c r="AA1154" s="9">
        <f t="shared" si="149"/>
        <v>77182.423731096307</v>
      </c>
      <c r="AB1154" s="9">
        <f t="shared" si="149"/>
        <v>32980.735300491491</v>
      </c>
    </row>
    <row r="1155" spans="1:28" x14ac:dyDescent="0.3">
      <c r="A1155" s="1">
        <v>46093</v>
      </c>
      <c r="B1155" s="2">
        <v>193.53</v>
      </c>
      <c r="C1155" s="2">
        <v>666.06</v>
      </c>
      <c r="D1155" s="9">
        <f>B1155-B1154</f>
        <v>-3.039999999999992</v>
      </c>
      <c r="E1155" s="9">
        <f>C1155-C1154</f>
        <v>-10.270000000000095</v>
      </c>
      <c r="F1155" s="3">
        <f>F$1/B1155</f>
        <v>516.71575466335969</v>
      </c>
      <c r="G1155" s="3">
        <f>F$1/C1155</f>
        <v>150.13662432813862</v>
      </c>
      <c r="H1155" s="2">
        <f>D1155*F1154</f>
        <v>-1546.5228671719958</v>
      </c>
      <c r="I1155" s="2">
        <f>E1155*G1154</f>
        <v>-1518.4894947732755</v>
      </c>
      <c r="J1155" s="2">
        <f>I1155-H1155</f>
        <v>28.033372398720303</v>
      </c>
      <c r="K1155" s="2">
        <f t="shared" si="145"/>
        <v>-28.033372398720303</v>
      </c>
      <c r="L1155" s="3">
        <f>C1155/B1155</f>
        <v>3.4416369555107731</v>
      </c>
      <c r="M1155" s="3">
        <f t="shared" si="147"/>
        <v>3.3965131672418436</v>
      </c>
      <c r="N1155" s="3">
        <f t="shared" si="151"/>
        <v>3.3869936682199766</v>
      </c>
      <c r="O1155" s="3">
        <f t="shared" si="152"/>
        <v>3.4436616355465577</v>
      </c>
      <c r="P1155" s="3">
        <f t="shared" si="146"/>
        <v>3.4689279612482395</v>
      </c>
      <c r="Q1155" s="4" t="str">
        <f t="shared" si="150"/>
        <v>OVER</v>
      </c>
      <c r="R1155" s="4" t="str">
        <f t="shared" si="150"/>
        <v>OVER</v>
      </c>
      <c r="S1155" s="4" t="str">
        <f t="shared" si="148"/>
        <v>UNDER</v>
      </c>
      <c r="T1155" s="4" t="str">
        <f t="shared" si="148"/>
        <v>UNDER</v>
      </c>
      <c r="U1155" s="2">
        <f>IF(Q1155="OVER",$J1155,$K1155)</f>
        <v>28.033372398720303</v>
      </c>
      <c r="V1155" s="2">
        <f>IF(R1155="OVER",$J1155,$K1155)</f>
        <v>28.033372398720303</v>
      </c>
      <c r="W1155" s="2">
        <f>IF(S1155="OVER",$J1155,$K1155)</f>
        <v>-28.033372398720303</v>
      </c>
      <c r="X1155" s="2">
        <f>IF(T1155="OVER",$J1155,$K1155)</f>
        <v>-28.033372398720303</v>
      </c>
      <c r="Y1155" s="9">
        <f t="shared" si="149"/>
        <v>-9420.0819892963464</v>
      </c>
      <c r="Z1155" s="9">
        <f t="shared" si="149"/>
        <v>12423.22707147341</v>
      </c>
      <c r="AA1155" s="9">
        <f t="shared" si="149"/>
        <v>77154.390358697594</v>
      </c>
      <c r="AB1155" s="9">
        <f t="shared" si="149"/>
        <v>32952.701928092771</v>
      </c>
    </row>
    <row r="1156" spans="1:28" x14ac:dyDescent="0.3">
      <c r="A1156" s="1">
        <v>46094</v>
      </c>
      <c r="B1156" s="2">
        <v>193.52</v>
      </c>
      <c r="C1156" s="2">
        <v>662.29</v>
      </c>
      <c r="D1156" s="9">
        <f>B1156-B1155</f>
        <v>-9.9999999999909051E-3</v>
      </c>
      <c r="E1156" s="9">
        <f>C1156-C1155</f>
        <v>-3.7699999999999818</v>
      </c>
      <c r="F1156" s="3">
        <f>F$1/B1156</f>
        <v>516.74245556014876</v>
      </c>
      <c r="G1156" s="3">
        <f>F$1/C1156</f>
        <v>150.9912576061846</v>
      </c>
      <c r="H1156" s="2">
        <f>D1156*F1155</f>
        <v>-5.1671575466288973</v>
      </c>
      <c r="I1156" s="2">
        <f>E1156*G1155</f>
        <v>-566.01507371707987</v>
      </c>
      <c r="J1156" s="2">
        <f>I1156-H1156</f>
        <v>-560.84791617045096</v>
      </c>
      <c r="K1156" s="2">
        <f t="shared" si="145"/>
        <v>560.84791617045096</v>
      </c>
      <c r="L1156" s="3">
        <f>C1156/B1156</f>
        <v>3.4223336089293093</v>
      </c>
      <c r="M1156" s="3">
        <f t="shared" si="147"/>
        <v>3.4040682825378581</v>
      </c>
      <c r="N1156" s="3">
        <f t="shared" si="151"/>
        <v>3.3884629558679955</v>
      </c>
      <c r="O1156" s="3">
        <f t="shared" si="152"/>
        <v>3.4409929410256965</v>
      </c>
      <c r="P1156" s="3">
        <f t="shared" si="146"/>
        <v>3.4693950184132825</v>
      </c>
      <c r="Q1156" s="4" t="str">
        <f t="shared" si="150"/>
        <v>OVER</v>
      </c>
      <c r="R1156" s="4" t="str">
        <f t="shared" si="150"/>
        <v>OVER</v>
      </c>
      <c r="S1156" s="4" t="str">
        <f t="shared" si="148"/>
        <v>UNDER</v>
      </c>
      <c r="T1156" s="4" t="str">
        <f t="shared" si="148"/>
        <v>UNDER</v>
      </c>
      <c r="U1156" s="2">
        <f>IF(Q1156="OVER",$J1156,$K1156)</f>
        <v>-560.84791617045096</v>
      </c>
      <c r="V1156" s="2">
        <f>IF(R1156="OVER",$J1156,$K1156)</f>
        <v>-560.84791617045096</v>
      </c>
      <c r="W1156" s="2">
        <f>IF(S1156="OVER",$J1156,$K1156)</f>
        <v>560.84791617045096</v>
      </c>
      <c r="X1156" s="2">
        <f>IF(T1156="OVER",$J1156,$K1156)</f>
        <v>560.84791617045096</v>
      </c>
      <c r="Y1156" s="9">
        <f t="shared" si="149"/>
        <v>-9980.9299054667972</v>
      </c>
      <c r="Z1156" s="9">
        <f t="shared" si="149"/>
        <v>11862.379155302959</v>
      </c>
      <c r="AA1156" s="9">
        <f t="shared" si="149"/>
        <v>77715.238274868039</v>
      </c>
      <c r="AB1156" s="9">
        <f t="shared" si="149"/>
        <v>33513.549844263223</v>
      </c>
    </row>
    <row r="1157" spans="1:28" x14ac:dyDescent="0.3">
      <c r="A1157" s="1">
        <v>46097</v>
      </c>
      <c r="B1157" s="2">
        <v>194.96</v>
      </c>
      <c r="C1157" s="2">
        <v>669.03</v>
      </c>
      <c r="D1157" s="9">
        <f>B1157-B1156</f>
        <v>1.4399999999999977</v>
      </c>
      <c r="E1157" s="9">
        <f>C1157-C1156</f>
        <v>6.7400000000000091</v>
      </c>
      <c r="F1157" s="3">
        <f>F$1/B1157</f>
        <v>512.92572835453427</v>
      </c>
      <c r="G1157" s="3">
        <f>F$1/C1157</f>
        <v>149.47012839484029</v>
      </c>
      <c r="H1157" s="2">
        <f>D1157*F1156</f>
        <v>744.10913600661308</v>
      </c>
      <c r="I1157" s="2">
        <f>E1157*G1156</f>
        <v>1017.6810762656856</v>
      </c>
      <c r="J1157" s="2">
        <f>I1157-H1157</f>
        <v>273.57194025907256</v>
      </c>
      <c r="K1157" s="2">
        <f t="shared" ref="K1157:K1220" si="153">H1157-I1157</f>
        <v>-273.57194025907256</v>
      </c>
      <c r="L1157" s="3">
        <f>C1157/B1157</f>
        <v>3.4316270004103404</v>
      </c>
      <c r="M1157" s="3">
        <f t="shared" si="147"/>
        <v>3.411740489397407</v>
      </c>
      <c r="N1157" s="3">
        <f t="shared" si="151"/>
        <v>3.3920179836131643</v>
      </c>
      <c r="O1157" s="3">
        <f t="shared" si="152"/>
        <v>3.4384289890731599</v>
      </c>
      <c r="P1157" s="3">
        <f t="shared" si="146"/>
        <v>3.4698629165777128</v>
      </c>
      <c r="Q1157" s="4" t="str">
        <f t="shared" si="150"/>
        <v>OVER</v>
      </c>
      <c r="R1157" s="4" t="str">
        <f t="shared" si="150"/>
        <v>OVER</v>
      </c>
      <c r="S1157" s="4" t="str">
        <f t="shared" si="148"/>
        <v>UNDER</v>
      </c>
      <c r="T1157" s="4" t="str">
        <f t="shared" si="148"/>
        <v>UNDER</v>
      </c>
      <c r="U1157" s="2">
        <f>IF(Q1157="OVER",$J1157,$K1157)</f>
        <v>273.57194025907256</v>
      </c>
      <c r="V1157" s="2">
        <f>IF(R1157="OVER",$J1157,$K1157)</f>
        <v>273.57194025907256</v>
      </c>
      <c r="W1157" s="2">
        <f>IF(S1157="OVER",$J1157,$K1157)</f>
        <v>-273.57194025907256</v>
      </c>
      <c r="X1157" s="2">
        <f>IF(T1157="OVER",$J1157,$K1157)</f>
        <v>-273.57194025907256</v>
      </c>
      <c r="Y1157" s="9">
        <f t="shared" si="149"/>
        <v>-9707.3579652077242</v>
      </c>
      <c r="Z1157" s="9">
        <f t="shared" si="149"/>
        <v>12135.951095562032</v>
      </c>
      <c r="AA1157" s="9">
        <f t="shared" si="149"/>
        <v>77441.666334608963</v>
      </c>
      <c r="AB1157" s="9">
        <f t="shared" si="149"/>
        <v>33239.977904004154</v>
      </c>
    </row>
    <row r="1158" spans="1:28" x14ac:dyDescent="0.3">
      <c r="A1158" s="1">
        <v>46098</v>
      </c>
      <c r="B1158" s="2">
        <v>196.05</v>
      </c>
      <c r="C1158" s="2">
        <v>670.79</v>
      </c>
      <c r="D1158" s="9">
        <f>B1158-B1157</f>
        <v>1.0900000000000034</v>
      </c>
      <c r="E1158" s="9">
        <f>C1158-C1157</f>
        <v>1.7599999999999909</v>
      </c>
      <c r="F1158" s="3">
        <f>F$1/B1158</f>
        <v>510.07396072430498</v>
      </c>
      <c r="G1158" s="3">
        <f>F$1/C1158</f>
        <v>149.07795286155132</v>
      </c>
      <c r="H1158" s="2">
        <f>D1158*F1157</f>
        <v>559.08904390644409</v>
      </c>
      <c r="I1158" s="2">
        <f>E1158*G1157</f>
        <v>263.06742597491757</v>
      </c>
      <c r="J1158" s="2">
        <f>I1158-H1158</f>
        <v>-296.02161793152652</v>
      </c>
      <c r="K1158" s="2">
        <f t="shared" si="153"/>
        <v>296.02161793152652</v>
      </c>
      <c r="L1158" s="3">
        <f>C1158/B1158</f>
        <v>3.4215251211425652</v>
      </c>
      <c r="M1158" s="3">
        <f t="shared" si="147"/>
        <v>3.417229303966137</v>
      </c>
      <c r="N1158" s="3">
        <f t="shared" si="151"/>
        <v>3.3945059520937568</v>
      </c>
      <c r="O1158" s="3">
        <f t="shared" si="152"/>
        <v>3.4360132818102289</v>
      </c>
      <c r="P1158" s="3">
        <f t="shared" si="146"/>
        <v>3.4702552447330017</v>
      </c>
      <c r="Q1158" s="4" t="str">
        <f t="shared" si="150"/>
        <v>OVER</v>
      </c>
      <c r="R1158" s="4" t="str">
        <f t="shared" si="150"/>
        <v>OVER</v>
      </c>
      <c r="S1158" s="4" t="str">
        <f t="shared" si="148"/>
        <v>UNDER</v>
      </c>
      <c r="T1158" s="4" t="str">
        <f t="shared" si="148"/>
        <v>UNDER</v>
      </c>
      <c r="U1158" s="2">
        <f>IF(Q1158="OVER",$J1158,$K1158)</f>
        <v>-296.02161793152652</v>
      </c>
      <c r="V1158" s="2">
        <f>IF(R1158="OVER",$J1158,$K1158)</f>
        <v>-296.02161793152652</v>
      </c>
      <c r="W1158" s="2">
        <f>IF(S1158="OVER",$J1158,$K1158)</f>
        <v>296.02161793152652</v>
      </c>
      <c r="X1158" s="2">
        <f>IF(T1158="OVER",$J1158,$K1158)</f>
        <v>296.02161793152652</v>
      </c>
      <c r="Y1158" s="9">
        <f t="shared" si="149"/>
        <v>-10003.379583139251</v>
      </c>
      <c r="Z1158" s="9">
        <f t="shared" si="149"/>
        <v>11839.929477630505</v>
      </c>
      <c r="AA1158" s="9">
        <f t="shared" si="149"/>
        <v>77737.687952540495</v>
      </c>
      <c r="AB1158" s="9">
        <f t="shared" si="149"/>
        <v>33535.999521935679</v>
      </c>
    </row>
    <row r="1159" spans="1:28" x14ac:dyDescent="0.3">
      <c r="A1159" s="1">
        <v>46099</v>
      </c>
      <c r="B1159" s="2">
        <v>193.47</v>
      </c>
      <c r="C1159" s="2">
        <v>661.43</v>
      </c>
      <c r="D1159" s="9">
        <f>B1159-B1158</f>
        <v>-2.5800000000000125</v>
      </c>
      <c r="E1159" s="9">
        <f>C1159-C1158</f>
        <v>-9.3600000000000136</v>
      </c>
      <c r="F1159" s="3">
        <f>F$1/B1159</f>
        <v>516.87600144725286</v>
      </c>
      <c r="G1159" s="3">
        <f>F$1/C1159</f>
        <v>151.18757842855632</v>
      </c>
      <c r="H1159" s="2">
        <f>D1159*F1158</f>
        <v>-1315.9908186687132</v>
      </c>
      <c r="I1159" s="2">
        <f>E1159*G1158</f>
        <v>-1395.3696387841223</v>
      </c>
      <c r="J1159" s="2">
        <f>I1159-H1159</f>
        <v>-79.378820115409098</v>
      </c>
      <c r="K1159" s="2">
        <f t="shared" si="153"/>
        <v>79.378820115409098</v>
      </c>
      <c r="L1159" s="3">
        <f>C1159/B1159</f>
        <v>3.4187729363725641</v>
      </c>
      <c r="M1159" s="3">
        <f t="shared" si="147"/>
        <v>3.4214211522881981</v>
      </c>
      <c r="N1159" s="3">
        <f t="shared" si="151"/>
        <v>3.3968809598693035</v>
      </c>
      <c r="O1159" s="3">
        <f t="shared" si="152"/>
        <v>3.43372652630701</v>
      </c>
      <c r="P1159" s="3">
        <f t="shared" si="146"/>
        <v>3.4706458843397625</v>
      </c>
      <c r="Q1159" s="4" t="str">
        <f t="shared" si="150"/>
        <v>OVER</v>
      </c>
      <c r="R1159" s="4" t="str">
        <f t="shared" si="150"/>
        <v>OVER</v>
      </c>
      <c r="S1159" s="4" t="str">
        <f t="shared" si="148"/>
        <v>UNDER</v>
      </c>
      <c r="T1159" s="4" t="str">
        <f t="shared" si="148"/>
        <v>UNDER</v>
      </c>
      <c r="U1159" s="2">
        <f>IF(Q1159="OVER",$J1159,$K1159)</f>
        <v>-79.378820115409098</v>
      </c>
      <c r="V1159" s="2">
        <f>IF(R1159="OVER",$J1159,$K1159)</f>
        <v>-79.378820115409098</v>
      </c>
      <c r="W1159" s="2">
        <f>IF(S1159="OVER",$J1159,$K1159)</f>
        <v>79.378820115409098</v>
      </c>
      <c r="X1159" s="2">
        <f>IF(T1159="OVER",$J1159,$K1159)</f>
        <v>79.378820115409098</v>
      </c>
      <c r="Y1159" s="9">
        <f t="shared" si="149"/>
        <v>-10082.75840325466</v>
      </c>
      <c r="Z1159" s="9">
        <f t="shared" si="149"/>
        <v>11760.550657515096</v>
      </c>
      <c r="AA1159" s="9">
        <f t="shared" si="149"/>
        <v>77817.066772655904</v>
      </c>
      <c r="AB1159" s="9">
        <f t="shared" si="149"/>
        <v>33615.378342051088</v>
      </c>
    </row>
    <row r="1160" spans="1:28" x14ac:dyDescent="0.3">
      <c r="A1160" s="1">
        <v>46100</v>
      </c>
      <c r="B1160" s="2">
        <v>193.32</v>
      </c>
      <c r="C1160" s="2">
        <v>659.8</v>
      </c>
      <c r="D1160" s="9">
        <f>B1160-B1159</f>
        <v>-0.15000000000000568</v>
      </c>
      <c r="E1160" s="9">
        <f>C1160-C1159</f>
        <v>-1.6299999999999955</v>
      </c>
      <c r="F1160" s="3">
        <f>F$1/B1160</f>
        <v>517.27705358990272</v>
      </c>
      <c r="G1160" s="3">
        <f>F$1/C1160</f>
        <v>151.56107911488331</v>
      </c>
      <c r="H1160" s="2">
        <f>D1160*F1159</f>
        <v>-77.531400217090862</v>
      </c>
      <c r="I1160" s="2">
        <f>E1160*G1159</f>
        <v>-246.43575283854611</v>
      </c>
      <c r="J1160" s="2">
        <f>I1160-H1160</f>
        <v>-168.90435262145525</v>
      </c>
      <c r="K1160" s="2">
        <f t="shared" si="153"/>
        <v>168.90435262145525</v>
      </c>
      <c r="L1160" s="3">
        <f>C1160/B1160</f>
        <v>3.4129939995861784</v>
      </c>
      <c r="M1160" s="3">
        <f t="shared" si="147"/>
        <v>3.4229828440589229</v>
      </c>
      <c r="N1160" s="3">
        <f t="shared" si="151"/>
        <v>3.3990557164598165</v>
      </c>
      <c r="O1160" s="3">
        <f t="shared" si="152"/>
        <v>3.4317518885322356</v>
      </c>
      <c r="P1160" s="3">
        <f t="shared" si="146"/>
        <v>3.470926859321553</v>
      </c>
      <c r="Q1160" s="4" t="str">
        <f t="shared" si="150"/>
        <v>UNDER</v>
      </c>
      <c r="R1160" s="4" t="str">
        <f t="shared" si="150"/>
        <v>OVER</v>
      </c>
      <c r="S1160" s="4" t="str">
        <f t="shared" si="148"/>
        <v>UNDER</v>
      </c>
      <c r="T1160" s="4" t="str">
        <f t="shared" si="148"/>
        <v>UNDER</v>
      </c>
      <c r="U1160" s="2">
        <f>IF(Q1160="OVER",$J1160,$K1160)</f>
        <v>168.90435262145525</v>
      </c>
      <c r="V1160" s="2">
        <f>IF(R1160="OVER",$J1160,$K1160)</f>
        <v>-168.90435262145525</v>
      </c>
      <c r="W1160" s="2">
        <f>IF(S1160="OVER",$J1160,$K1160)</f>
        <v>168.90435262145525</v>
      </c>
      <c r="X1160" s="2">
        <f>IF(T1160="OVER",$J1160,$K1160)</f>
        <v>168.90435262145525</v>
      </c>
      <c r="Y1160" s="9">
        <f t="shared" si="149"/>
        <v>-9913.8540506332047</v>
      </c>
      <c r="Z1160" s="9">
        <f t="shared" si="149"/>
        <v>11591.64630489364</v>
      </c>
      <c r="AA1160" s="9">
        <f t="shared" si="149"/>
        <v>77985.971125277356</v>
      </c>
      <c r="AB1160" s="9">
        <f t="shared" si="149"/>
        <v>33784.28269467254</v>
      </c>
    </row>
    <row r="1161" spans="1:28" x14ac:dyDescent="0.3">
      <c r="A1161" s="1">
        <v>46101</v>
      </c>
      <c r="B1161" s="2">
        <v>190.48</v>
      </c>
      <c r="C1161" s="2">
        <v>648.57000000000005</v>
      </c>
      <c r="D1161" s="9">
        <f>B1161-B1160</f>
        <v>-2.8400000000000034</v>
      </c>
      <c r="E1161" s="9">
        <f>C1161-C1160</f>
        <v>-11.229999999999905</v>
      </c>
      <c r="F1161" s="3">
        <f>F$1/B1161</f>
        <v>524.98950020999587</v>
      </c>
      <c r="G1161" s="3">
        <f>F$1/C1161</f>
        <v>154.18536164176572</v>
      </c>
      <c r="H1161" s="2">
        <f>D1161*F1160</f>
        <v>-1469.0668321953256</v>
      </c>
      <c r="I1161" s="2">
        <f>E1161*G1160</f>
        <v>-1702.0309184601251</v>
      </c>
      <c r="J1161" s="2">
        <f>I1161-H1161</f>
        <v>-232.96408626479956</v>
      </c>
      <c r="K1161" s="2">
        <f t="shared" si="153"/>
        <v>232.96408626479956</v>
      </c>
      <c r="L1161" s="3">
        <f>C1161/B1161</f>
        <v>3.4049244015119702</v>
      </c>
      <c r="M1161" s="3">
        <f t="shared" si="147"/>
        <v>3.4241464928904128</v>
      </c>
      <c r="N1161" s="3">
        <f t="shared" si="151"/>
        <v>3.4003985115758382</v>
      </c>
      <c r="O1161" s="3">
        <f t="shared" si="152"/>
        <v>3.4290479739750732</v>
      </c>
      <c r="P1161" s="3">
        <f t="shared" si="146"/>
        <v>3.4712111420795058</v>
      </c>
      <c r="Q1161" s="4" t="str">
        <f t="shared" si="150"/>
        <v>UNDER</v>
      </c>
      <c r="R1161" s="4" t="str">
        <f t="shared" si="150"/>
        <v>OVER</v>
      </c>
      <c r="S1161" s="4" t="str">
        <f t="shared" si="148"/>
        <v>UNDER</v>
      </c>
      <c r="T1161" s="4" t="str">
        <f t="shared" si="148"/>
        <v>UNDER</v>
      </c>
      <c r="U1161" s="2">
        <f>IF(Q1161="OVER",$J1161,$K1161)</f>
        <v>232.96408626479956</v>
      </c>
      <c r="V1161" s="2">
        <f>IF(R1161="OVER",$J1161,$K1161)</f>
        <v>-232.96408626479956</v>
      </c>
      <c r="W1161" s="2">
        <f>IF(S1161="OVER",$J1161,$K1161)</f>
        <v>232.96408626479956</v>
      </c>
      <c r="X1161" s="2">
        <f>IF(T1161="OVER",$J1161,$K1161)</f>
        <v>232.96408626479956</v>
      </c>
      <c r="Y1161" s="9">
        <f t="shared" si="149"/>
        <v>-9680.8899643684053</v>
      </c>
      <c r="Z1161" s="9">
        <f t="shared" si="149"/>
        <v>11358.682218628841</v>
      </c>
      <c r="AA1161" s="9">
        <f t="shared" si="149"/>
        <v>78218.93521154215</v>
      </c>
      <c r="AB1161" s="9">
        <f t="shared" si="149"/>
        <v>34017.246780937341</v>
      </c>
    </row>
    <row r="1162" spans="1:28" x14ac:dyDescent="0.3">
      <c r="A1162" s="1">
        <v>46104</v>
      </c>
      <c r="B1162" s="2">
        <v>191.69</v>
      </c>
      <c r="C1162" s="2">
        <v>655.38</v>
      </c>
      <c r="D1162" s="9">
        <f>B1162-B1161</f>
        <v>1.210000000000008</v>
      </c>
      <c r="E1162" s="9">
        <f>C1162-C1161</f>
        <v>6.8099999999999454</v>
      </c>
      <c r="F1162" s="3">
        <f>F$1/B1162</f>
        <v>521.67562209817936</v>
      </c>
      <c r="G1162" s="3">
        <f>F$1/C1162</f>
        <v>152.58323415423112</v>
      </c>
      <c r="H1162" s="2">
        <f>D1162*F1161</f>
        <v>635.23729525409919</v>
      </c>
      <c r="I1162" s="2">
        <f>E1162*G1161</f>
        <v>1050.0023127804161</v>
      </c>
      <c r="J1162" s="2">
        <f>I1162-H1162</f>
        <v>414.76501752631691</v>
      </c>
      <c r="K1162" s="2">
        <f t="shared" si="153"/>
        <v>-414.76501752631691</v>
      </c>
      <c r="L1162" s="3">
        <f>C1162/B1162</f>
        <v>3.4189576921070479</v>
      </c>
      <c r="M1162" s="3">
        <f t="shared" si="147"/>
        <v>3.4247056408943335</v>
      </c>
      <c r="N1162" s="3">
        <f t="shared" si="151"/>
        <v>3.4023124600900339</v>
      </c>
      <c r="O1162" s="3">
        <f t="shared" si="152"/>
        <v>3.4272337042195353</v>
      </c>
      <c r="P1162" s="3">
        <f t="shared" si="146"/>
        <v>3.4715323998037206</v>
      </c>
      <c r="Q1162" s="4" t="str">
        <f t="shared" si="150"/>
        <v>UNDER</v>
      </c>
      <c r="R1162" s="4" t="str">
        <f t="shared" si="150"/>
        <v>OVER</v>
      </c>
      <c r="S1162" s="4" t="str">
        <f t="shared" si="148"/>
        <v>UNDER</v>
      </c>
      <c r="T1162" s="4" t="str">
        <f t="shared" si="148"/>
        <v>UNDER</v>
      </c>
      <c r="U1162" s="2">
        <f>IF(Q1162="OVER",$J1162,$K1162)</f>
        <v>-414.76501752631691</v>
      </c>
      <c r="V1162" s="2">
        <f>IF(R1162="OVER",$J1162,$K1162)</f>
        <v>414.76501752631691</v>
      </c>
      <c r="W1162" s="2">
        <f>IF(S1162="OVER",$J1162,$K1162)</f>
        <v>-414.76501752631691</v>
      </c>
      <c r="X1162" s="2">
        <f>IF(T1162="OVER",$J1162,$K1162)</f>
        <v>-414.76501752631691</v>
      </c>
      <c r="Y1162" s="9">
        <f t="shared" si="149"/>
        <v>-10095.654981894722</v>
      </c>
      <c r="Z1162" s="9">
        <f t="shared" si="149"/>
        <v>11773.447236155158</v>
      </c>
      <c r="AA1162" s="9">
        <f t="shared" si="149"/>
        <v>77804.170194015838</v>
      </c>
      <c r="AB1162" s="9">
        <f t="shared" si="149"/>
        <v>33602.481763411022</v>
      </c>
    </row>
    <row r="1163" spans="1:28" x14ac:dyDescent="0.3">
      <c r="A1163" s="1">
        <v>46105</v>
      </c>
      <c r="B1163" s="2">
        <v>191.92</v>
      </c>
      <c r="C1163" s="2">
        <v>653.17999999999995</v>
      </c>
      <c r="D1163" s="9">
        <f>B1163-B1162</f>
        <v>0.22999999999998977</v>
      </c>
      <c r="E1163" s="9">
        <f>C1163-C1162</f>
        <v>-2.2000000000000455</v>
      </c>
      <c r="F1163" s="3">
        <f>F$1/B1163</f>
        <v>521.05043768236771</v>
      </c>
      <c r="G1163" s="3">
        <f>F$1/C1163</f>
        <v>153.09715545485167</v>
      </c>
      <c r="H1163" s="2">
        <f>D1163*F1162</f>
        <v>119.98539308257591</v>
      </c>
      <c r="I1163" s="2">
        <f>E1163*G1162</f>
        <v>-335.68311513931542</v>
      </c>
      <c r="J1163" s="2">
        <f>I1163-H1163</f>
        <v>-455.66850822189133</v>
      </c>
      <c r="K1163" s="2">
        <f t="shared" si="153"/>
        <v>455.66850822189133</v>
      </c>
      <c r="L1163" s="3">
        <f>C1163/B1163</f>
        <v>3.4033972488536892</v>
      </c>
      <c r="M1163" s="3">
        <f t="shared" si="147"/>
        <v>3.4216826236642981</v>
      </c>
      <c r="N1163" s="3">
        <f t="shared" si="151"/>
        <v>3.4035670566327871</v>
      </c>
      <c r="O1163" s="3">
        <f t="shared" si="152"/>
        <v>3.4250516491966092</v>
      </c>
      <c r="P1163" s="3">
        <f t="shared" ref="P1163:P1226" si="154">AVERAGE(L964:L1163)</f>
        <v>3.4718116913087704</v>
      </c>
      <c r="Q1163" s="4" t="str">
        <f t="shared" si="150"/>
        <v>UNDER</v>
      </c>
      <c r="R1163" s="4" t="str">
        <f t="shared" si="150"/>
        <v>OVER</v>
      </c>
      <c r="S1163" s="4" t="str">
        <f t="shared" si="148"/>
        <v>UNDER</v>
      </c>
      <c r="T1163" s="4" t="str">
        <f t="shared" si="148"/>
        <v>UNDER</v>
      </c>
      <c r="U1163" s="2">
        <f>IF(Q1163="OVER",$J1163,$K1163)</f>
        <v>455.66850822189133</v>
      </c>
      <c r="V1163" s="2">
        <f>IF(R1163="OVER",$J1163,$K1163)</f>
        <v>-455.66850822189133</v>
      </c>
      <c r="W1163" s="2">
        <f>IF(S1163="OVER",$J1163,$K1163)</f>
        <v>455.66850822189133</v>
      </c>
      <c r="X1163" s="2">
        <f>IF(T1163="OVER",$J1163,$K1163)</f>
        <v>455.66850822189133</v>
      </c>
      <c r="Y1163" s="9">
        <f t="shared" si="149"/>
        <v>-9639.9864736728305</v>
      </c>
      <c r="Z1163" s="9">
        <f t="shared" si="149"/>
        <v>11317.778727933266</v>
      </c>
      <c r="AA1163" s="9">
        <f t="shared" si="149"/>
        <v>78259.838702237728</v>
      </c>
      <c r="AB1163" s="9">
        <f t="shared" si="149"/>
        <v>34058.150271632912</v>
      </c>
    </row>
    <row r="1164" spans="1:28" x14ac:dyDescent="0.3">
      <c r="A1164" s="1">
        <v>46106</v>
      </c>
      <c r="B1164" s="2">
        <v>192.85</v>
      </c>
      <c r="C1164" s="2">
        <v>656.82</v>
      </c>
      <c r="D1164" s="9">
        <f>B1164-B1163</f>
        <v>0.93000000000000682</v>
      </c>
      <c r="E1164" s="9">
        <f>C1164-C1163</f>
        <v>3.6400000000001</v>
      </c>
      <c r="F1164" s="3">
        <f>F$1/B1164</f>
        <v>518.53772361939332</v>
      </c>
      <c r="G1164" s="3">
        <f>F$1/C1164</f>
        <v>152.24871349837093</v>
      </c>
      <c r="H1164" s="2">
        <f>D1164*F1163</f>
        <v>484.57690704460555</v>
      </c>
      <c r="I1164" s="2">
        <f>E1164*G1163</f>
        <v>557.27364585567545</v>
      </c>
      <c r="J1164" s="2">
        <f>I1164-H1164</f>
        <v>72.696738811069906</v>
      </c>
      <c r="K1164" s="2">
        <f t="shared" si="153"/>
        <v>-72.696738811069906</v>
      </c>
      <c r="L1164" s="3">
        <f>C1164/B1164</f>
        <v>3.4058594762768997</v>
      </c>
      <c r="M1164" s="3">
        <f t="shared" si="147"/>
        <v>3.4182028440701338</v>
      </c>
      <c r="N1164" s="3">
        <f t="shared" si="151"/>
        <v>3.4036198300340184</v>
      </c>
      <c r="O1164" s="3">
        <f t="shared" si="152"/>
        <v>3.4228725499164034</v>
      </c>
      <c r="P1164" s="3">
        <f t="shared" si="154"/>
        <v>3.4720762005095058</v>
      </c>
      <c r="Q1164" s="4" t="str">
        <f t="shared" si="150"/>
        <v>UNDER</v>
      </c>
      <c r="R1164" s="4" t="str">
        <f t="shared" si="150"/>
        <v>UNDER</v>
      </c>
      <c r="S1164" s="4" t="str">
        <f t="shared" si="148"/>
        <v>UNDER</v>
      </c>
      <c r="T1164" s="4" t="str">
        <f t="shared" si="148"/>
        <v>UNDER</v>
      </c>
      <c r="U1164" s="2">
        <f>IF(Q1164="OVER",$J1164,$K1164)</f>
        <v>-72.696738811069906</v>
      </c>
      <c r="V1164" s="2">
        <f>IF(R1164="OVER",$J1164,$K1164)</f>
        <v>-72.696738811069906</v>
      </c>
      <c r="W1164" s="2">
        <f>IF(S1164="OVER",$J1164,$K1164)</f>
        <v>-72.696738811069906</v>
      </c>
      <c r="X1164" s="2">
        <f>IF(T1164="OVER",$J1164,$K1164)</f>
        <v>-72.696738811069906</v>
      </c>
      <c r="Y1164" s="9">
        <f t="shared" si="149"/>
        <v>-9712.6832124839002</v>
      </c>
      <c r="Z1164" s="9">
        <f t="shared" si="149"/>
        <v>11245.081989122196</v>
      </c>
      <c r="AA1164" s="9">
        <f t="shared" si="149"/>
        <v>78187.141963426664</v>
      </c>
      <c r="AB1164" s="9">
        <f t="shared" ref="AB1164:AB1227" si="155">AB1163+X1164</f>
        <v>33985.453532821841</v>
      </c>
    </row>
    <row r="1165" spans="1:28" x14ac:dyDescent="0.3">
      <c r="A1165" s="1">
        <v>46107</v>
      </c>
      <c r="B1165" s="2">
        <v>191.08</v>
      </c>
      <c r="C1165" s="2">
        <v>645.09</v>
      </c>
      <c r="D1165" s="9">
        <f>B1165-B1164</f>
        <v>-1.7699999999999818</v>
      </c>
      <c r="E1165" s="9">
        <f>C1165-C1164</f>
        <v>-11.730000000000018</v>
      </c>
      <c r="F1165" s="3">
        <f>F$1/B1165</f>
        <v>523.3410090014653</v>
      </c>
      <c r="G1165" s="3">
        <f>F$1/C1165</f>
        <v>155.0171293927979</v>
      </c>
      <c r="H1165" s="2">
        <f>D1165*F1164</f>
        <v>-917.81177080631676</v>
      </c>
      <c r="I1165" s="2">
        <f>E1165*G1164</f>
        <v>-1785.8774093358938</v>
      </c>
      <c r="J1165" s="2">
        <f>I1165-H1165</f>
        <v>-868.06563852957709</v>
      </c>
      <c r="K1165" s="2">
        <f t="shared" si="153"/>
        <v>868.06563852957709</v>
      </c>
      <c r="L1165" s="3">
        <f>C1165/B1165</f>
        <v>3.3760205149675526</v>
      </c>
      <c r="M1165" s="3">
        <f t="shared" ref="M1165:M1228" si="156">AVERAGE(L1156:L1165)</f>
        <v>3.4116412000158114</v>
      </c>
      <c r="N1165" s="3">
        <f t="shared" si="151"/>
        <v>3.4040771836288273</v>
      </c>
      <c r="O1165" s="3">
        <f t="shared" si="152"/>
        <v>3.4202372316284353</v>
      </c>
      <c r="P1165" s="3">
        <f t="shared" si="154"/>
        <v>3.4721792216161251</v>
      </c>
      <c r="Q1165" s="4" t="str">
        <f t="shared" si="150"/>
        <v>UNDER</v>
      </c>
      <c r="R1165" s="4" t="str">
        <f t="shared" si="150"/>
        <v>OVER</v>
      </c>
      <c r="S1165" s="4" t="str">
        <f t="shared" ref="S1165:T1228" si="157">IF($L1165&gt;O1165,"OVER","UNDER")</f>
        <v>UNDER</v>
      </c>
      <c r="T1165" s="4" t="str">
        <f t="shared" si="157"/>
        <v>UNDER</v>
      </c>
      <c r="U1165" s="2">
        <f>IF(Q1165="OVER",$J1165,$K1165)</f>
        <v>868.06563852957709</v>
      </c>
      <c r="V1165" s="2">
        <f>IF(R1165="OVER",$J1165,$K1165)</f>
        <v>-868.06563852957709</v>
      </c>
      <c r="W1165" s="2">
        <f>IF(S1165="OVER",$J1165,$K1165)</f>
        <v>868.06563852957709</v>
      </c>
      <c r="X1165" s="2">
        <f>IF(T1165="OVER",$J1165,$K1165)</f>
        <v>868.06563852957709</v>
      </c>
      <c r="Y1165" s="9">
        <f t="shared" ref="Y1165:AB1228" si="158">Y1164+U1165</f>
        <v>-8844.6175739543232</v>
      </c>
      <c r="Z1165" s="9">
        <f t="shared" si="158"/>
        <v>10377.016350592619</v>
      </c>
      <c r="AA1165" s="9">
        <f t="shared" si="158"/>
        <v>79055.207601956237</v>
      </c>
      <c r="AB1165" s="9">
        <f t="shared" si="155"/>
        <v>34853.519171351421</v>
      </c>
    </row>
    <row r="1166" spans="1:28" x14ac:dyDescent="0.3">
      <c r="A1166" s="1">
        <v>46108</v>
      </c>
      <c r="B1166" s="2">
        <v>188.46</v>
      </c>
      <c r="C1166" s="2">
        <v>634.09</v>
      </c>
      <c r="D1166" s="9">
        <f>B1166-B1165</f>
        <v>-2.6200000000000045</v>
      </c>
      <c r="E1166" s="9">
        <f>C1166-C1165</f>
        <v>-11</v>
      </c>
      <c r="F1166" s="3">
        <f>F$1/B1166</f>
        <v>530.61657646184869</v>
      </c>
      <c r="G1166" s="3">
        <f>F$1/C1166</f>
        <v>157.70631929221403</v>
      </c>
      <c r="H1166" s="2">
        <f>D1166*F1165</f>
        <v>-1371.1534435838414</v>
      </c>
      <c r="I1166" s="2">
        <f>E1166*G1165</f>
        <v>-1705.1884233207768</v>
      </c>
      <c r="J1166" s="2">
        <f>I1166-H1166</f>
        <v>-334.03497973693538</v>
      </c>
      <c r="K1166" s="2">
        <f t="shared" si="153"/>
        <v>334.03497973693538</v>
      </c>
      <c r="L1166" s="3">
        <f>C1166/B1166</f>
        <v>3.3645866496869363</v>
      </c>
      <c r="M1166" s="3">
        <f t="shared" si="156"/>
        <v>3.4058665040915748</v>
      </c>
      <c r="N1166" s="3">
        <f t="shared" si="151"/>
        <v>3.404967393314716</v>
      </c>
      <c r="O1166" s="3">
        <f t="shared" si="152"/>
        <v>3.4180342998345759</v>
      </c>
      <c r="P1166" s="3">
        <f t="shared" si="154"/>
        <v>3.4722135573477169</v>
      </c>
      <c r="Q1166" s="4" t="str">
        <f t="shared" ref="Q1166:R1229" si="159">IF($L1165&gt;M1165,"OVER","UNDER")</f>
        <v>UNDER</v>
      </c>
      <c r="R1166" s="4" t="str">
        <f t="shared" si="159"/>
        <v>UNDER</v>
      </c>
      <c r="S1166" s="4" t="str">
        <f t="shared" si="157"/>
        <v>UNDER</v>
      </c>
      <c r="T1166" s="4" t="str">
        <f t="shared" si="157"/>
        <v>UNDER</v>
      </c>
      <c r="U1166" s="2">
        <f>IF(Q1166="OVER",$J1166,$K1166)</f>
        <v>334.03497973693538</v>
      </c>
      <c r="V1166" s="2">
        <f>IF(R1166="OVER",$J1166,$K1166)</f>
        <v>334.03497973693538</v>
      </c>
      <c r="W1166" s="2">
        <f>IF(S1166="OVER",$J1166,$K1166)</f>
        <v>334.03497973693538</v>
      </c>
      <c r="X1166" s="2">
        <f>IF(T1166="OVER",$J1166,$K1166)</f>
        <v>334.03497973693538</v>
      </c>
      <c r="Y1166" s="9">
        <f t="shared" si="158"/>
        <v>-8510.5825942173869</v>
      </c>
      <c r="Z1166" s="9">
        <f t="shared" si="158"/>
        <v>10711.051330329556</v>
      </c>
      <c r="AA1166" s="9">
        <f t="shared" si="158"/>
        <v>79389.242581693179</v>
      </c>
      <c r="AB1166" s="9">
        <f t="shared" si="155"/>
        <v>35187.554151088356</v>
      </c>
    </row>
    <row r="1167" spans="1:28" x14ac:dyDescent="0.3">
      <c r="A1167" s="1">
        <v>46111</v>
      </c>
      <c r="B1167" s="2">
        <v>188.07</v>
      </c>
      <c r="C1167" s="2">
        <v>631.97</v>
      </c>
      <c r="D1167" s="9">
        <f>B1167-B1166</f>
        <v>-0.39000000000001478</v>
      </c>
      <c r="E1167" s="9">
        <f>C1167-C1166</f>
        <v>-2.1200000000000045</v>
      </c>
      <c r="F1167" s="3">
        <f>F$1/B1167</f>
        <v>531.71691391503168</v>
      </c>
      <c r="G1167" s="3">
        <f>F$1/C1167</f>
        <v>158.23535927338321</v>
      </c>
      <c r="H1167" s="2">
        <f>D1167*F1166</f>
        <v>-206.94046482012882</v>
      </c>
      <c r="I1167" s="2">
        <f>E1167*G1166</f>
        <v>-334.33739689949448</v>
      </c>
      <c r="J1167" s="2">
        <f>I1167-H1167</f>
        <v>-127.39693207936565</v>
      </c>
      <c r="K1167" s="2">
        <f t="shared" si="153"/>
        <v>127.39693207936565</v>
      </c>
      <c r="L1167" s="3">
        <f>C1167/B1167</f>
        <v>3.3602913808688255</v>
      </c>
      <c r="M1167" s="3">
        <f t="shared" si="156"/>
        <v>3.3987329421374226</v>
      </c>
      <c r="N1167" s="3">
        <f t="shared" si="151"/>
        <v>3.4052367157674146</v>
      </c>
      <c r="O1167" s="3">
        <f t="shared" si="152"/>
        <v>3.4158634988690704</v>
      </c>
      <c r="P1167" s="3">
        <f t="shared" si="154"/>
        <v>3.4722266278757354</v>
      </c>
      <c r="Q1167" s="4" t="str">
        <f t="shared" si="159"/>
        <v>UNDER</v>
      </c>
      <c r="R1167" s="4" t="str">
        <f t="shared" si="159"/>
        <v>UNDER</v>
      </c>
      <c r="S1167" s="4" t="str">
        <f t="shared" si="157"/>
        <v>UNDER</v>
      </c>
      <c r="T1167" s="4" t="str">
        <f t="shared" si="157"/>
        <v>UNDER</v>
      </c>
      <c r="U1167" s="2">
        <f>IF(Q1167="OVER",$J1167,$K1167)</f>
        <v>127.39693207936565</v>
      </c>
      <c r="V1167" s="2">
        <f>IF(R1167="OVER",$J1167,$K1167)</f>
        <v>127.39693207936565</v>
      </c>
      <c r="W1167" s="2">
        <f>IF(S1167="OVER",$J1167,$K1167)</f>
        <v>127.39693207936565</v>
      </c>
      <c r="X1167" s="2">
        <f>IF(T1167="OVER",$J1167,$K1167)</f>
        <v>127.39693207936565</v>
      </c>
      <c r="Y1167" s="9">
        <f t="shared" si="158"/>
        <v>-8383.1856621380211</v>
      </c>
      <c r="Z1167" s="9">
        <f t="shared" si="158"/>
        <v>10838.448262408921</v>
      </c>
      <c r="AA1167" s="9">
        <f t="shared" si="158"/>
        <v>79516.639513772549</v>
      </c>
      <c r="AB1167" s="9">
        <f t="shared" si="155"/>
        <v>35314.951083167718</v>
      </c>
    </row>
    <row r="1168" spans="1:28" x14ac:dyDescent="0.3">
      <c r="A1168" s="1">
        <v>46112</v>
      </c>
      <c r="B1168" s="2">
        <v>191.92</v>
      </c>
      <c r="C1168" s="2">
        <v>650.34</v>
      </c>
      <c r="D1168" s="9">
        <f>B1168-B1167</f>
        <v>3.8499999999999943</v>
      </c>
      <c r="E1168" s="9">
        <f>C1168-C1167</f>
        <v>18.370000000000005</v>
      </c>
      <c r="F1168" s="3">
        <f>F$1/B1168</f>
        <v>521.05043768236771</v>
      </c>
      <c r="G1168" s="3">
        <f>F$1/C1168</f>
        <v>153.76572254513025</v>
      </c>
      <c r="H1168" s="2">
        <f>D1168*F1167</f>
        <v>2047.1101185728689</v>
      </c>
      <c r="I1168" s="2">
        <f>E1168*G1167</f>
        <v>2906.7835498520503</v>
      </c>
      <c r="J1168" s="2">
        <f>I1168-H1168</f>
        <v>859.67343127918139</v>
      </c>
      <c r="K1168" s="2">
        <f t="shared" si="153"/>
        <v>-859.67343127918139</v>
      </c>
      <c r="L1168" s="3">
        <f>C1168/B1168</f>
        <v>3.38859941642351</v>
      </c>
      <c r="M1168" s="3">
        <f t="shared" si="156"/>
        <v>3.3954403716655177</v>
      </c>
      <c r="N1168" s="3">
        <f t="shared" si="151"/>
        <v>3.4063348378158267</v>
      </c>
      <c r="O1168" s="3">
        <f t="shared" si="152"/>
        <v>3.4141393806916374</v>
      </c>
      <c r="P1168" s="3">
        <f t="shared" si="154"/>
        <v>3.4723539498241638</v>
      </c>
      <c r="Q1168" s="4" t="str">
        <f t="shared" si="159"/>
        <v>UNDER</v>
      </c>
      <c r="R1168" s="4" t="str">
        <f t="shared" si="159"/>
        <v>UNDER</v>
      </c>
      <c r="S1168" s="4" t="str">
        <f t="shared" si="157"/>
        <v>UNDER</v>
      </c>
      <c r="T1168" s="4" t="str">
        <f t="shared" si="157"/>
        <v>UNDER</v>
      </c>
      <c r="U1168" s="2">
        <f>IF(Q1168="OVER",$J1168,$K1168)</f>
        <v>-859.67343127918139</v>
      </c>
      <c r="V1168" s="2">
        <f>IF(R1168="OVER",$J1168,$K1168)</f>
        <v>-859.67343127918139</v>
      </c>
      <c r="W1168" s="2">
        <f>IF(S1168="OVER",$J1168,$K1168)</f>
        <v>-859.67343127918139</v>
      </c>
      <c r="X1168" s="2">
        <f>IF(T1168="OVER",$J1168,$K1168)</f>
        <v>-859.67343127918139</v>
      </c>
      <c r="Y1168" s="9">
        <f t="shared" si="158"/>
        <v>-9242.8590934172025</v>
      </c>
      <c r="Z1168" s="9">
        <f t="shared" si="158"/>
        <v>9978.7748311297401</v>
      </c>
      <c r="AA1168" s="9">
        <f t="shared" si="158"/>
        <v>78656.966082493367</v>
      </c>
      <c r="AB1168" s="9">
        <f t="shared" si="155"/>
        <v>34455.277651888537</v>
      </c>
    </row>
    <row r="1169" spans="1:28" x14ac:dyDescent="0.3">
      <c r="A1169" s="1">
        <v>46113</v>
      </c>
      <c r="B1169" s="2">
        <v>192.54</v>
      </c>
      <c r="C1169" s="2">
        <v>655.24</v>
      </c>
      <c r="D1169" s="9">
        <f>B1169-B1168</f>
        <v>0.62000000000000455</v>
      </c>
      <c r="E1169" s="9">
        <f>C1169-C1168</f>
        <v>4.8999999999999773</v>
      </c>
      <c r="F1169" s="3">
        <f>F$1/B1169</f>
        <v>519.37259790173471</v>
      </c>
      <c r="G1169" s="3">
        <f>F$1/C1169</f>
        <v>152.61583541908308</v>
      </c>
      <c r="H1169" s="2">
        <f>D1169*F1168</f>
        <v>323.05127136307033</v>
      </c>
      <c r="I1169" s="2">
        <f>E1169*G1168</f>
        <v>753.45204047113475</v>
      </c>
      <c r="J1169" s="2">
        <f>I1169-H1169</f>
        <v>430.40076910806442</v>
      </c>
      <c r="K1169" s="2">
        <f t="shared" si="153"/>
        <v>-430.40076910806442</v>
      </c>
      <c r="L1169" s="3">
        <f>C1169/B1169</f>
        <v>3.4031370104913266</v>
      </c>
      <c r="M1169" s="3">
        <f t="shared" si="156"/>
        <v>3.3938767790773938</v>
      </c>
      <c r="N1169" s="3">
        <f t="shared" si="151"/>
        <v>3.4076489656827951</v>
      </c>
      <c r="O1169" s="3">
        <f t="shared" si="152"/>
        <v>3.4130895138023205</v>
      </c>
      <c r="P1169" s="3">
        <f t="shared" si="154"/>
        <v>3.472538509982344</v>
      </c>
      <c r="Q1169" s="4" t="str">
        <f t="shared" si="159"/>
        <v>UNDER</v>
      </c>
      <c r="R1169" s="4" t="str">
        <f t="shared" si="159"/>
        <v>UNDER</v>
      </c>
      <c r="S1169" s="4" t="str">
        <f t="shared" si="157"/>
        <v>UNDER</v>
      </c>
      <c r="T1169" s="4" t="str">
        <f t="shared" si="157"/>
        <v>UNDER</v>
      </c>
      <c r="U1169" s="2">
        <f>IF(Q1169="OVER",$J1169,$K1169)</f>
        <v>-430.40076910806442</v>
      </c>
      <c r="V1169" s="2">
        <f>IF(R1169="OVER",$J1169,$K1169)</f>
        <v>-430.40076910806442</v>
      </c>
      <c r="W1169" s="2">
        <f>IF(S1169="OVER",$J1169,$K1169)</f>
        <v>-430.40076910806442</v>
      </c>
      <c r="X1169" s="2">
        <f>IF(T1169="OVER",$J1169,$K1169)</f>
        <v>-430.40076910806442</v>
      </c>
      <c r="Y1169" s="9">
        <f t="shared" si="158"/>
        <v>-9673.2598625252667</v>
      </c>
      <c r="Z1169" s="9">
        <f t="shared" si="158"/>
        <v>9548.3740620216759</v>
      </c>
      <c r="AA1169" s="9">
        <f t="shared" si="158"/>
        <v>78226.565313385305</v>
      </c>
      <c r="AB1169" s="9">
        <f t="shared" si="155"/>
        <v>34024.876882780474</v>
      </c>
    </row>
    <row r="1170" spans="1:28" x14ac:dyDescent="0.3">
      <c r="A1170" s="1">
        <v>46114</v>
      </c>
      <c r="B1170" s="2">
        <v>193.09</v>
      </c>
      <c r="C1170" s="2">
        <v>655.83</v>
      </c>
      <c r="D1170" s="9">
        <f>B1170-B1169</f>
        <v>0.55000000000001137</v>
      </c>
      <c r="E1170" s="9">
        <f>C1170-C1169</f>
        <v>0.59000000000003183</v>
      </c>
      <c r="F1170" s="3">
        <f>F$1/B1170</f>
        <v>517.89321042001143</v>
      </c>
      <c r="G1170" s="3">
        <f>F$1/C1170</f>
        <v>152.4785386456856</v>
      </c>
      <c r="H1170" s="2">
        <f>D1170*F1169</f>
        <v>285.65492884596</v>
      </c>
      <c r="I1170" s="2">
        <f>E1170*G1169</f>
        <v>90.043342897263884</v>
      </c>
      <c r="J1170" s="2">
        <f>I1170-H1170</f>
        <v>-195.61158594869613</v>
      </c>
      <c r="K1170" s="2">
        <f t="shared" si="153"/>
        <v>195.61158594869613</v>
      </c>
      <c r="L1170" s="3">
        <f>C1170/B1170</f>
        <v>3.3964990418975609</v>
      </c>
      <c r="M1170" s="3">
        <f t="shared" si="156"/>
        <v>3.3922272833085323</v>
      </c>
      <c r="N1170" s="3">
        <f t="shared" si="151"/>
        <v>3.4076050636837265</v>
      </c>
      <c r="O1170" s="3">
        <f t="shared" si="152"/>
        <v>3.4122732559241227</v>
      </c>
      <c r="P1170" s="3">
        <f t="shared" si="154"/>
        <v>3.4726920093245242</v>
      </c>
      <c r="Q1170" s="4" t="str">
        <f t="shared" si="159"/>
        <v>OVER</v>
      </c>
      <c r="R1170" s="4" t="str">
        <f t="shared" si="159"/>
        <v>UNDER</v>
      </c>
      <c r="S1170" s="4" t="str">
        <f t="shared" si="157"/>
        <v>UNDER</v>
      </c>
      <c r="T1170" s="4" t="str">
        <f t="shared" si="157"/>
        <v>UNDER</v>
      </c>
      <c r="U1170" s="2">
        <f>IF(Q1170="OVER",$J1170,$K1170)</f>
        <v>-195.61158594869613</v>
      </c>
      <c r="V1170" s="2">
        <f>IF(R1170="OVER",$J1170,$K1170)</f>
        <v>195.61158594869613</v>
      </c>
      <c r="W1170" s="2">
        <f>IF(S1170="OVER",$J1170,$K1170)</f>
        <v>195.61158594869613</v>
      </c>
      <c r="X1170" s="2">
        <f>IF(T1170="OVER",$J1170,$K1170)</f>
        <v>195.61158594869613</v>
      </c>
      <c r="Y1170" s="9">
        <f t="shared" si="158"/>
        <v>-9868.871448473963</v>
      </c>
      <c r="Z1170" s="9">
        <f t="shared" si="158"/>
        <v>9743.9856479703722</v>
      </c>
      <c r="AA1170" s="9">
        <f t="shared" si="158"/>
        <v>78422.176899333994</v>
      </c>
      <c r="AB1170" s="9">
        <f t="shared" si="155"/>
        <v>34220.488468729171</v>
      </c>
    </row>
    <row r="1171" spans="1:28" x14ac:dyDescent="0.3">
      <c r="A1171" s="1">
        <v>46118</v>
      </c>
      <c r="B1171" s="2">
        <v>193.92</v>
      </c>
      <c r="C1171" s="2">
        <v>658.93</v>
      </c>
      <c r="D1171" s="9">
        <f>B1171-B1170</f>
        <v>0.82999999999998408</v>
      </c>
      <c r="E1171" s="9">
        <f>C1171-C1170</f>
        <v>3.0999999999999091</v>
      </c>
      <c r="F1171" s="3">
        <f>F$1/B1171</f>
        <v>515.67656765676566</v>
      </c>
      <c r="G1171" s="3">
        <f>F$1/C1171</f>
        <v>151.76118859362907</v>
      </c>
      <c r="H1171" s="2">
        <f>D1171*F1170</f>
        <v>429.85136464860125</v>
      </c>
      <c r="I1171" s="2">
        <f>E1171*G1170</f>
        <v>472.68346980161152</v>
      </c>
      <c r="J1171" s="2">
        <f>I1171-H1171</f>
        <v>42.832105153010275</v>
      </c>
      <c r="K1171" s="2">
        <f t="shared" si="153"/>
        <v>-42.832105153010275</v>
      </c>
      <c r="L1171" s="3">
        <f>C1171/B1171</f>
        <v>3.397947607260726</v>
      </c>
      <c r="M1171" s="3">
        <f t="shared" si="156"/>
        <v>3.391529603883408</v>
      </c>
      <c r="N1171" s="3">
        <f t="shared" si="151"/>
        <v>3.4078380483869104</v>
      </c>
      <c r="O1171" s="3">
        <f t="shared" si="152"/>
        <v>3.4112168820150459</v>
      </c>
      <c r="P1171" s="3">
        <f t="shared" si="154"/>
        <v>3.4728347303313929</v>
      </c>
      <c r="Q1171" s="4" t="str">
        <f t="shared" si="159"/>
        <v>OVER</v>
      </c>
      <c r="R1171" s="4" t="str">
        <f t="shared" si="159"/>
        <v>UNDER</v>
      </c>
      <c r="S1171" s="4" t="str">
        <f t="shared" si="157"/>
        <v>UNDER</v>
      </c>
      <c r="T1171" s="4" t="str">
        <f t="shared" si="157"/>
        <v>UNDER</v>
      </c>
      <c r="U1171" s="2">
        <f>IF(Q1171="OVER",$J1171,$K1171)</f>
        <v>42.832105153010275</v>
      </c>
      <c r="V1171" s="2">
        <f>IF(R1171="OVER",$J1171,$K1171)</f>
        <v>-42.832105153010275</v>
      </c>
      <c r="W1171" s="2">
        <f>IF(S1171="OVER",$J1171,$K1171)</f>
        <v>-42.832105153010275</v>
      </c>
      <c r="X1171" s="2">
        <f>IF(T1171="OVER",$J1171,$K1171)</f>
        <v>-42.832105153010275</v>
      </c>
      <c r="Y1171" s="9">
        <f t="shared" si="158"/>
        <v>-9826.039343320952</v>
      </c>
      <c r="Z1171" s="9">
        <f t="shared" si="158"/>
        <v>9701.1535428173611</v>
      </c>
      <c r="AA1171" s="9">
        <f t="shared" si="158"/>
        <v>78379.344794180986</v>
      </c>
      <c r="AB1171" s="9">
        <f t="shared" si="155"/>
        <v>34177.656363576163</v>
      </c>
    </row>
    <row r="1172" spans="1:28" x14ac:dyDescent="0.3">
      <c r="A1172" s="1">
        <v>46119</v>
      </c>
      <c r="B1172" s="2">
        <v>193.49</v>
      </c>
      <c r="C1172" s="2">
        <v>659.22</v>
      </c>
      <c r="D1172" s="9">
        <f>B1172-B1171</f>
        <v>-0.4299999999999784</v>
      </c>
      <c r="E1172" s="9">
        <f>C1172-C1171</f>
        <v>0.29000000000007731</v>
      </c>
      <c r="F1172" s="3">
        <f>F$1/B1172</f>
        <v>516.82257481006764</v>
      </c>
      <c r="G1172" s="3">
        <f>F$1/C1172</f>
        <v>151.69442674676131</v>
      </c>
      <c r="H1172" s="2">
        <f>D1172*F1171</f>
        <v>-221.7409240923981</v>
      </c>
      <c r="I1172" s="2">
        <f>E1172*G1171</f>
        <v>44.01074469216416</v>
      </c>
      <c r="J1172" s="2">
        <f>I1172-H1172</f>
        <v>265.75166878456224</v>
      </c>
      <c r="K1172" s="2">
        <f t="shared" si="153"/>
        <v>-265.75166878456224</v>
      </c>
      <c r="L1172" s="3">
        <f>C1172/B1172</f>
        <v>3.4069977776629283</v>
      </c>
      <c r="M1172" s="3">
        <f t="shared" si="156"/>
        <v>3.3903336124389951</v>
      </c>
      <c r="N1172" s="3">
        <f t="shared" si="151"/>
        <v>3.4075196266666645</v>
      </c>
      <c r="O1172" s="3">
        <f t="shared" si="152"/>
        <v>3.4100073381468623</v>
      </c>
      <c r="P1172" s="3">
        <f t="shared" si="154"/>
        <v>3.4730271391565588</v>
      </c>
      <c r="Q1172" s="4" t="str">
        <f t="shared" si="159"/>
        <v>OVER</v>
      </c>
      <c r="R1172" s="4" t="str">
        <f t="shared" si="159"/>
        <v>UNDER</v>
      </c>
      <c r="S1172" s="4" t="str">
        <f t="shared" si="157"/>
        <v>UNDER</v>
      </c>
      <c r="T1172" s="4" t="str">
        <f t="shared" si="157"/>
        <v>UNDER</v>
      </c>
      <c r="U1172" s="2">
        <f>IF(Q1172="OVER",$J1172,$K1172)</f>
        <v>265.75166878456224</v>
      </c>
      <c r="V1172" s="2">
        <f>IF(R1172="OVER",$J1172,$K1172)</f>
        <v>-265.75166878456224</v>
      </c>
      <c r="W1172" s="2">
        <f>IF(S1172="OVER",$J1172,$K1172)</f>
        <v>-265.75166878456224</v>
      </c>
      <c r="X1172" s="2">
        <f>IF(T1172="OVER",$J1172,$K1172)</f>
        <v>-265.75166878456224</v>
      </c>
      <c r="Y1172" s="9">
        <f t="shared" si="158"/>
        <v>-9560.2876745363901</v>
      </c>
      <c r="Z1172" s="9">
        <f t="shared" si="158"/>
        <v>9435.4018740327992</v>
      </c>
      <c r="AA1172" s="9">
        <f t="shared" si="158"/>
        <v>78113.593125396423</v>
      </c>
      <c r="AB1172" s="9">
        <f t="shared" si="155"/>
        <v>33911.904694791599</v>
      </c>
    </row>
    <row r="1173" spans="1:28" x14ac:dyDescent="0.3">
      <c r="A1173" s="1">
        <v>46120</v>
      </c>
      <c r="B1173" s="2">
        <v>197.96</v>
      </c>
      <c r="C1173" s="2">
        <v>676.01</v>
      </c>
      <c r="D1173" s="9">
        <f>B1173-B1172</f>
        <v>4.4699999999999989</v>
      </c>
      <c r="E1173" s="9">
        <f>C1173-C1172</f>
        <v>16.789999999999964</v>
      </c>
      <c r="F1173" s="3">
        <f>F$1/B1173</f>
        <v>505.1525560719337</v>
      </c>
      <c r="G1173" s="3">
        <f>F$1/C1173</f>
        <v>147.92680581648202</v>
      </c>
      <c r="H1173" s="2">
        <f>D1173*F1172</f>
        <v>2310.1969094010019</v>
      </c>
      <c r="I1173" s="2">
        <f>E1173*G1172</f>
        <v>2546.9494250781167</v>
      </c>
      <c r="J1173" s="2">
        <f>I1173-H1173</f>
        <v>236.75251567711484</v>
      </c>
      <c r="K1173" s="2">
        <f t="shared" si="153"/>
        <v>-236.75251567711484</v>
      </c>
      <c r="L1173" s="3">
        <f>C1173/B1173</f>
        <v>3.4148817943018788</v>
      </c>
      <c r="M1173" s="3">
        <f t="shared" si="156"/>
        <v>3.3914820669838144</v>
      </c>
      <c r="N1173" s="3">
        <f t="shared" si="151"/>
        <v>3.4065823453240562</v>
      </c>
      <c r="O1173" s="3">
        <f t="shared" si="152"/>
        <v>3.4087677325151327</v>
      </c>
      <c r="P1173" s="3">
        <f t="shared" si="154"/>
        <v>3.4733754012099713</v>
      </c>
      <c r="Q1173" s="4" t="str">
        <f t="shared" si="159"/>
        <v>OVER</v>
      </c>
      <c r="R1173" s="4" t="str">
        <f t="shared" si="159"/>
        <v>UNDER</v>
      </c>
      <c r="S1173" s="4" t="str">
        <f t="shared" si="157"/>
        <v>OVER</v>
      </c>
      <c r="T1173" s="4" t="str">
        <f t="shared" si="157"/>
        <v>UNDER</v>
      </c>
      <c r="U1173" s="2">
        <f>IF(Q1173="OVER",$J1173,$K1173)</f>
        <v>236.75251567711484</v>
      </c>
      <c r="V1173" s="2">
        <f>IF(R1173="OVER",$J1173,$K1173)</f>
        <v>-236.75251567711484</v>
      </c>
      <c r="W1173" s="2">
        <f>IF(S1173="OVER",$J1173,$K1173)</f>
        <v>236.75251567711484</v>
      </c>
      <c r="X1173" s="2">
        <f>IF(T1173="OVER",$J1173,$K1173)</f>
        <v>-236.75251567711484</v>
      </c>
      <c r="Y1173" s="9">
        <f t="shared" si="158"/>
        <v>-9323.5351588592748</v>
      </c>
      <c r="Z1173" s="9">
        <f t="shared" si="158"/>
        <v>9198.6493583556839</v>
      </c>
      <c r="AA1173" s="9">
        <f t="shared" si="158"/>
        <v>78350.345641073538</v>
      </c>
      <c r="AB1173" s="9">
        <f t="shared" si="155"/>
        <v>33675.152179114484</v>
      </c>
    </row>
    <row r="1174" spans="1:28" x14ac:dyDescent="0.3">
      <c r="A1174" s="1">
        <v>46121</v>
      </c>
      <c r="B1174" s="2">
        <v>198.08</v>
      </c>
      <c r="C1174" s="2">
        <v>679.91</v>
      </c>
      <c r="D1174" s="9">
        <f>B1174-B1173</f>
        <v>0.12000000000000455</v>
      </c>
      <c r="E1174" s="9">
        <f>C1174-C1173</f>
        <v>3.8999999999999773</v>
      </c>
      <c r="F1174" s="3">
        <f>F$1/B1174</f>
        <v>504.84652665589658</v>
      </c>
      <c r="G1174" s="3">
        <f>F$1/C1174</f>
        <v>147.07828977364653</v>
      </c>
      <c r="H1174" s="2">
        <f>D1174*F1173</f>
        <v>60.618306728634344</v>
      </c>
      <c r="I1174" s="2">
        <f>E1174*G1173</f>
        <v>576.91454268427651</v>
      </c>
      <c r="J1174" s="2">
        <f>I1174-H1174</f>
        <v>516.29623595564215</v>
      </c>
      <c r="K1174" s="2">
        <f t="shared" si="153"/>
        <v>-516.29623595564215</v>
      </c>
      <c r="L1174" s="3">
        <f>C1174/B1174</f>
        <v>3.4325020193861064</v>
      </c>
      <c r="M1174" s="3">
        <f t="shared" si="156"/>
        <v>3.3941463212947349</v>
      </c>
      <c r="N1174" s="3">
        <f t="shared" si="151"/>
        <v>3.4061745826824343</v>
      </c>
      <c r="O1174" s="3">
        <f t="shared" si="152"/>
        <v>3.4074946843792535</v>
      </c>
      <c r="P1174" s="3">
        <f t="shared" si="154"/>
        <v>3.4737260450959089</v>
      </c>
      <c r="Q1174" s="4" t="str">
        <f t="shared" si="159"/>
        <v>OVER</v>
      </c>
      <c r="R1174" s="4" t="str">
        <f t="shared" si="159"/>
        <v>OVER</v>
      </c>
      <c r="S1174" s="4" t="str">
        <f t="shared" si="157"/>
        <v>OVER</v>
      </c>
      <c r="T1174" s="4" t="str">
        <f t="shared" si="157"/>
        <v>UNDER</v>
      </c>
      <c r="U1174" s="2">
        <f>IF(Q1174="OVER",$J1174,$K1174)</f>
        <v>516.29623595564215</v>
      </c>
      <c r="V1174" s="2">
        <f>IF(R1174="OVER",$J1174,$K1174)</f>
        <v>516.29623595564215</v>
      </c>
      <c r="W1174" s="2">
        <f>IF(S1174="OVER",$J1174,$K1174)</f>
        <v>516.29623595564215</v>
      </c>
      <c r="X1174" s="2">
        <f>IF(T1174="OVER",$J1174,$K1174)</f>
        <v>-516.29623595564215</v>
      </c>
      <c r="Y1174" s="9">
        <f t="shared" si="158"/>
        <v>-8807.2389229036326</v>
      </c>
      <c r="Z1174" s="9">
        <f t="shared" si="158"/>
        <v>9714.9455943113262</v>
      </c>
      <c r="AA1174" s="9">
        <f t="shared" si="158"/>
        <v>78866.641877029178</v>
      </c>
      <c r="AB1174" s="9">
        <f t="shared" si="155"/>
        <v>33158.855943158844</v>
      </c>
    </row>
    <row r="1175" spans="1:28" x14ac:dyDescent="0.3">
      <c r="A1175" s="1">
        <v>46122</v>
      </c>
      <c r="B1175" s="2">
        <v>196.65</v>
      </c>
      <c r="C1175" s="2">
        <v>679.46</v>
      </c>
      <c r="D1175" s="9">
        <f>B1175-B1174</f>
        <v>-1.4300000000000068</v>
      </c>
      <c r="E1175" s="9">
        <f>C1175-C1174</f>
        <v>-0.44999999999993179</v>
      </c>
      <c r="F1175" s="3">
        <f>F$1/B1175</f>
        <v>508.51767098906686</v>
      </c>
      <c r="G1175" s="3">
        <f>F$1/C1175</f>
        <v>147.17569834868866</v>
      </c>
      <c r="H1175" s="2">
        <f>D1175*F1174</f>
        <v>-721.93053311793551</v>
      </c>
      <c r="I1175" s="2">
        <f>E1175*G1174</f>
        <v>-66.185230398130912</v>
      </c>
      <c r="J1175" s="2">
        <f>I1175-H1175</f>
        <v>655.74530271980461</v>
      </c>
      <c r="K1175" s="2">
        <f t="shared" si="153"/>
        <v>-655.74530271980461</v>
      </c>
      <c r="L1175" s="3">
        <f>C1175/B1175</f>
        <v>3.4551741673023137</v>
      </c>
      <c r="M1175" s="3">
        <f t="shared" si="156"/>
        <v>3.4020616865282109</v>
      </c>
      <c r="N1175" s="3">
        <f t="shared" ref="N1175:N1238" si="160">AVERAGE(L1156:L1175)</f>
        <v>3.4068514432720116</v>
      </c>
      <c r="O1175" s="3">
        <f t="shared" si="152"/>
        <v>3.4064458424958031</v>
      </c>
      <c r="P1175" s="3">
        <f t="shared" si="154"/>
        <v>3.4741637540942589</v>
      </c>
      <c r="Q1175" s="4" t="str">
        <f t="shared" si="159"/>
        <v>OVER</v>
      </c>
      <c r="R1175" s="4" t="str">
        <f t="shared" si="159"/>
        <v>OVER</v>
      </c>
      <c r="S1175" s="4" t="str">
        <f t="shared" si="157"/>
        <v>OVER</v>
      </c>
      <c r="T1175" s="4" t="str">
        <f t="shared" si="157"/>
        <v>UNDER</v>
      </c>
      <c r="U1175" s="2">
        <f>IF(Q1175="OVER",$J1175,$K1175)</f>
        <v>655.74530271980461</v>
      </c>
      <c r="V1175" s="2">
        <f>IF(R1175="OVER",$J1175,$K1175)</f>
        <v>655.74530271980461</v>
      </c>
      <c r="W1175" s="2">
        <f>IF(S1175="OVER",$J1175,$K1175)</f>
        <v>655.74530271980461</v>
      </c>
      <c r="X1175" s="2">
        <f>IF(T1175="OVER",$J1175,$K1175)</f>
        <v>-655.74530271980461</v>
      </c>
      <c r="Y1175" s="9">
        <f t="shared" si="158"/>
        <v>-8151.4936201838282</v>
      </c>
      <c r="Z1175" s="9">
        <f t="shared" si="158"/>
        <v>10370.690897031131</v>
      </c>
      <c r="AA1175" s="9">
        <f t="shared" si="158"/>
        <v>79522.387179748985</v>
      </c>
      <c r="AB1175" s="9">
        <f t="shared" si="155"/>
        <v>32503.110640439038</v>
      </c>
    </row>
    <row r="1176" spans="1:28" x14ac:dyDescent="0.3">
      <c r="A1176" s="1">
        <v>46125</v>
      </c>
      <c r="B1176" s="2">
        <v>198.83</v>
      </c>
      <c r="C1176" s="2">
        <v>686.1</v>
      </c>
      <c r="D1176" s="9">
        <f>B1176-B1175</f>
        <v>2.1800000000000068</v>
      </c>
      <c r="E1176" s="9">
        <f>C1176-C1175</f>
        <v>6.6399999999999864</v>
      </c>
      <c r="F1176" s="3">
        <f>F$1/B1176</f>
        <v>502.94221193984811</v>
      </c>
      <c r="G1176" s="3">
        <f>F$1/C1176</f>
        <v>145.75134819997083</v>
      </c>
      <c r="H1176" s="2">
        <f>D1176*F1175</f>
        <v>1108.5685227561692</v>
      </c>
      <c r="I1176" s="2">
        <f>E1176*G1175</f>
        <v>977.24663703529063</v>
      </c>
      <c r="J1176" s="2">
        <f>I1176-H1176</f>
        <v>-131.32188572087853</v>
      </c>
      <c r="K1176" s="2">
        <f t="shared" si="153"/>
        <v>131.32188572087853</v>
      </c>
      <c r="L1176" s="3">
        <f>C1176/B1176</f>
        <v>3.4506865161192977</v>
      </c>
      <c r="M1176" s="3">
        <f t="shared" si="156"/>
        <v>3.4106716731714473</v>
      </c>
      <c r="N1176" s="3">
        <f t="shared" si="160"/>
        <v>3.4082690886315108</v>
      </c>
      <c r="O1176" s="3">
        <f t="shared" si="152"/>
        <v>3.4055381543213126</v>
      </c>
      <c r="P1176" s="3">
        <f t="shared" si="154"/>
        <v>3.4744471508966797</v>
      </c>
      <c r="Q1176" s="4" t="str">
        <f t="shared" si="159"/>
        <v>OVER</v>
      </c>
      <c r="R1176" s="4" t="str">
        <f t="shared" si="159"/>
        <v>OVER</v>
      </c>
      <c r="S1176" s="4" t="str">
        <f t="shared" si="157"/>
        <v>OVER</v>
      </c>
      <c r="T1176" s="4" t="str">
        <f t="shared" si="157"/>
        <v>UNDER</v>
      </c>
      <c r="U1176" s="2">
        <f>IF(Q1176="OVER",$J1176,$K1176)</f>
        <v>-131.32188572087853</v>
      </c>
      <c r="V1176" s="2">
        <f>IF(R1176="OVER",$J1176,$K1176)</f>
        <v>-131.32188572087853</v>
      </c>
      <c r="W1176" s="2">
        <f>IF(S1176="OVER",$J1176,$K1176)</f>
        <v>-131.32188572087853</v>
      </c>
      <c r="X1176" s="2">
        <f>IF(T1176="OVER",$J1176,$K1176)</f>
        <v>131.32188572087853</v>
      </c>
      <c r="Y1176" s="9">
        <f t="shared" si="158"/>
        <v>-8282.8155059047058</v>
      </c>
      <c r="Z1176" s="9">
        <f t="shared" si="158"/>
        <v>10239.369011310253</v>
      </c>
      <c r="AA1176" s="9">
        <f t="shared" si="158"/>
        <v>79391.0652940281</v>
      </c>
      <c r="AB1176" s="9">
        <f t="shared" si="155"/>
        <v>32634.432526159915</v>
      </c>
    </row>
    <row r="1177" spans="1:28" x14ac:dyDescent="0.3">
      <c r="A1177" s="1">
        <v>46126</v>
      </c>
      <c r="B1177" s="2">
        <v>199.66</v>
      </c>
      <c r="C1177" s="2">
        <v>694.46</v>
      </c>
      <c r="D1177" s="9">
        <f>B1177-B1176</f>
        <v>0.82999999999998408</v>
      </c>
      <c r="E1177" s="9">
        <f>C1177-C1176</f>
        <v>8.3600000000000136</v>
      </c>
      <c r="F1177" s="3">
        <f>F$1/B1177</f>
        <v>500.85144746068318</v>
      </c>
      <c r="G1177" s="3">
        <f>F$1/C1177</f>
        <v>143.99677447225181</v>
      </c>
      <c r="H1177" s="2">
        <f>D1177*F1176</f>
        <v>417.4420359100659</v>
      </c>
      <c r="I1177" s="2">
        <f>E1177*G1176</f>
        <v>1218.4812709517582</v>
      </c>
      <c r="J1177" s="2">
        <f>I1177-H1177</f>
        <v>801.03923504169234</v>
      </c>
      <c r="K1177" s="2">
        <f t="shared" si="153"/>
        <v>-801.03923504169234</v>
      </c>
      <c r="L1177" s="3">
        <f>C1177/B1177</f>
        <v>3.4782129620354607</v>
      </c>
      <c r="M1177" s="3">
        <f t="shared" si="156"/>
        <v>3.4224638312881104</v>
      </c>
      <c r="N1177" s="3">
        <f t="shared" si="160"/>
        <v>3.4105983867127661</v>
      </c>
      <c r="O1177" s="3">
        <f t="shared" si="152"/>
        <v>3.4052346833520057</v>
      </c>
      <c r="P1177" s="3">
        <f t="shared" si="154"/>
        <v>3.4748635167111308</v>
      </c>
      <c r="Q1177" s="4" t="str">
        <f t="shared" si="159"/>
        <v>OVER</v>
      </c>
      <c r="R1177" s="4" t="str">
        <f t="shared" si="159"/>
        <v>OVER</v>
      </c>
      <c r="S1177" s="4" t="str">
        <f t="shared" si="157"/>
        <v>OVER</v>
      </c>
      <c r="T1177" s="4" t="str">
        <f t="shared" si="157"/>
        <v>OVER</v>
      </c>
      <c r="U1177" s="2">
        <f>IF(Q1177="OVER",$J1177,$K1177)</f>
        <v>801.03923504169234</v>
      </c>
      <c r="V1177" s="2">
        <f>IF(R1177="OVER",$J1177,$K1177)</f>
        <v>801.03923504169234</v>
      </c>
      <c r="W1177" s="2">
        <f>IF(S1177="OVER",$J1177,$K1177)</f>
        <v>801.03923504169234</v>
      </c>
      <c r="X1177" s="2">
        <f>IF(T1177="OVER",$J1177,$K1177)</f>
        <v>801.03923504169234</v>
      </c>
      <c r="Y1177" s="9">
        <f t="shared" si="158"/>
        <v>-7481.7762708630135</v>
      </c>
      <c r="Z1177" s="9">
        <f t="shared" si="158"/>
        <v>11040.408246351944</v>
      </c>
      <c r="AA1177" s="9">
        <f t="shared" si="158"/>
        <v>80192.104529069795</v>
      </c>
      <c r="AB1177" s="9">
        <f t="shared" si="155"/>
        <v>33435.47176120161</v>
      </c>
    </row>
    <row r="1178" spans="1:28" x14ac:dyDescent="0.3">
      <c r="A1178" s="1">
        <v>46127</v>
      </c>
      <c r="B1178" s="2">
        <v>199.73</v>
      </c>
      <c r="C1178" s="2">
        <v>699.94</v>
      </c>
      <c r="D1178" s="9">
        <f>B1178-B1177</f>
        <v>6.9999999999993179E-2</v>
      </c>
      <c r="E1178" s="9">
        <f>C1178-C1177</f>
        <v>5.4800000000000182</v>
      </c>
      <c r="F1178" s="3">
        <f>F$1/B1178</f>
        <v>500.6759124818505</v>
      </c>
      <c r="G1178" s="3">
        <f>F$1/C1178</f>
        <v>142.86938880475469</v>
      </c>
      <c r="H1178" s="2">
        <f>D1178*F1177</f>
        <v>35.059601322244404</v>
      </c>
      <c r="I1178" s="2">
        <f>E1178*G1177</f>
        <v>789.10232410794254</v>
      </c>
      <c r="J1178" s="2">
        <f>I1178-H1178</f>
        <v>754.04272278569817</v>
      </c>
      <c r="K1178" s="2">
        <f t="shared" si="153"/>
        <v>-754.04272278569817</v>
      </c>
      <c r="L1178" s="3">
        <f>C1178/B1178</f>
        <v>3.5044309818254646</v>
      </c>
      <c r="M1178" s="3">
        <f t="shared" si="156"/>
        <v>3.4340469878283058</v>
      </c>
      <c r="N1178" s="3">
        <f t="shared" si="160"/>
        <v>3.4147436797469126</v>
      </c>
      <c r="O1178" s="3">
        <f t="shared" si="152"/>
        <v>3.4054679539176957</v>
      </c>
      <c r="P1178" s="3">
        <f t="shared" si="154"/>
        <v>3.4753888779887689</v>
      </c>
      <c r="Q1178" s="4" t="str">
        <f t="shared" si="159"/>
        <v>OVER</v>
      </c>
      <c r="R1178" s="4" t="str">
        <f t="shared" si="159"/>
        <v>OVER</v>
      </c>
      <c r="S1178" s="4" t="str">
        <f t="shared" si="157"/>
        <v>OVER</v>
      </c>
      <c r="T1178" s="4" t="str">
        <f t="shared" si="157"/>
        <v>OVER</v>
      </c>
      <c r="U1178" s="2">
        <f>IF(Q1178="OVER",$J1178,$K1178)</f>
        <v>754.04272278569817</v>
      </c>
      <c r="V1178" s="2">
        <f>IF(R1178="OVER",$J1178,$K1178)</f>
        <v>754.04272278569817</v>
      </c>
      <c r="W1178" s="2">
        <f>IF(S1178="OVER",$J1178,$K1178)</f>
        <v>754.04272278569817</v>
      </c>
      <c r="X1178" s="2">
        <f>IF(T1178="OVER",$J1178,$K1178)</f>
        <v>754.04272278569817</v>
      </c>
      <c r="Y1178" s="9">
        <f t="shared" si="158"/>
        <v>-6727.7335480773154</v>
      </c>
      <c r="Z1178" s="9">
        <f t="shared" si="158"/>
        <v>11794.450969137642</v>
      </c>
      <c r="AA1178" s="9">
        <f t="shared" si="158"/>
        <v>80946.147251855495</v>
      </c>
      <c r="AB1178" s="9">
        <f t="shared" si="155"/>
        <v>34189.51448398731</v>
      </c>
    </row>
    <row r="1179" spans="1:28" x14ac:dyDescent="0.3">
      <c r="A1179" s="1">
        <v>46128</v>
      </c>
      <c r="B1179" s="2">
        <v>200.64</v>
      </c>
      <c r="C1179" s="2">
        <v>701.66</v>
      </c>
      <c r="D1179" s="9">
        <f>B1179-B1178</f>
        <v>0.90999999999999659</v>
      </c>
      <c r="E1179" s="9">
        <f>C1179-C1178</f>
        <v>1.7199999999999136</v>
      </c>
      <c r="F1179" s="3">
        <f>F$1/B1179</f>
        <v>498.40510366826157</v>
      </c>
      <c r="G1179" s="3">
        <f>F$1/C1179</f>
        <v>142.5191688282074</v>
      </c>
      <c r="H1179" s="2">
        <f>D1179*F1178</f>
        <v>455.61508035848226</v>
      </c>
      <c r="I1179" s="2">
        <f>E1179*G1178</f>
        <v>245.73534874416572</v>
      </c>
      <c r="J1179" s="2">
        <f>I1179-H1179</f>
        <v>-209.87973161431654</v>
      </c>
      <c r="K1179" s="2">
        <f t="shared" si="153"/>
        <v>209.87973161431654</v>
      </c>
      <c r="L1179" s="3">
        <f>C1179/B1179</f>
        <v>3.497109250398724</v>
      </c>
      <c r="M1179" s="3">
        <f t="shared" si="156"/>
        <v>3.4434442118190463</v>
      </c>
      <c r="N1179" s="3">
        <f t="shared" si="160"/>
        <v>3.4186604954482198</v>
      </c>
      <c r="O1179" s="3">
        <f t="shared" si="152"/>
        <v>3.4059605745403156</v>
      </c>
      <c r="P1179" s="3">
        <f t="shared" si="154"/>
        <v>3.4758762400215475</v>
      </c>
      <c r="Q1179" s="4" t="str">
        <f t="shared" si="159"/>
        <v>OVER</v>
      </c>
      <c r="R1179" s="4" t="str">
        <f t="shared" si="159"/>
        <v>OVER</v>
      </c>
      <c r="S1179" s="4" t="str">
        <f t="shared" si="157"/>
        <v>OVER</v>
      </c>
      <c r="T1179" s="4" t="str">
        <f t="shared" si="157"/>
        <v>OVER</v>
      </c>
      <c r="U1179" s="2">
        <f>IF(Q1179="OVER",$J1179,$K1179)</f>
        <v>-209.87973161431654</v>
      </c>
      <c r="V1179" s="2">
        <f>IF(R1179="OVER",$J1179,$K1179)</f>
        <v>-209.87973161431654</v>
      </c>
      <c r="W1179" s="2">
        <f>IF(S1179="OVER",$J1179,$K1179)</f>
        <v>-209.87973161431654</v>
      </c>
      <c r="X1179" s="2">
        <f>IF(T1179="OVER",$J1179,$K1179)</f>
        <v>-209.87973161431654</v>
      </c>
      <c r="Y1179" s="9">
        <f t="shared" si="158"/>
        <v>-6937.6132796916318</v>
      </c>
      <c r="Z1179" s="9">
        <f t="shared" si="158"/>
        <v>11584.571237523325</v>
      </c>
      <c r="AA1179" s="9">
        <f t="shared" si="158"/>
        <v>80736.267520241177</v>
      </c>
      <c r="AB1179" s="9">
        <f t="shared" si="155"/>
        <v>33979.634752372993</v>
      </c>
    </row>
    <row r="1180" spans="1:28" x14ac:dyDescent="0.3">
      <c r="A1180" s="1">
        <v>46129</v>
      </c>
      <c r="B1180" s="2">
        <v>203.16</v>
      </c>
      <c r="C1180" s="2">
        <v>710.14</v>
      </c>
      <c r="D1180" s="9">
        <f>B1180-B1179</f>
        <v>2.5200000000000102</v>
      </c>
      <c r="E1180" s="9">
        <f>C1180-C1179</f>
        <v>8.4800000000000182</v>
      </c>
      <c r="F1180" s="3">
        <f>F$1/B1180</f>
        <v>492.22287851939359</v>
      </c>
      <c r="G1180" s="3">
        <f>F$1/C1180</f>
        <v>140.81730363027009</v>
      </c>
      <c r="H1180" s="2">
        <f>D1180*F1179</f>
        <v>1255.9808612440243</v>
      </c>
      <c r="I1180" s="2">
        <f>E1180*G1179</f>
        <v>1208.5625516632012</v>
      </c>
      <c r="J1180" s="2">
        <f>I1180-H1180</f>
        <v>-47.418309580823006</v>
      </c>
      <c r="K1180" s="2">
        <f t="shared" si="153"/>
        <v>47.418309580823006</v>
      </c>
      <c r="L1180" s="3">
        <f>C1180/B1180</f>
        <v>3.4954715495176214</v>
      </c>
      <c r="M1180" s="3">
        <f t="shared" si="156"/>
        <v>3.4533414625810521</v>
      </c>
      <c r="N1180" s="3">
        <f t="shared" si="160"/>
        <v>3.422784372944792</v>
      </c>
      <c r="O1180" s="3">
        <f t="shared" si="152"/>
        <v>3.4073537798691604</v>
      </c>
      <c r="P1180" s="3">
        <f t="shared" si="154"/>
        <v>3.4765577637559737</v>
      </c>
      <c r="Q1180" s="4" t="str">
        <f t="shared" si="159"/>
        <v>OVER</v>
      </c>
      <c r="R1180" s="4" t="str">
        <f t="shared" si="159"/>
        <v>OVER</v>
      </c>
      <c r="S1180" s="4" t="str">
        <f t="shared" si="157"/>
        <v>OVER</v>
      </c>
      <c r="T1180" s="4" t="str">
        <f t="shared" si="157"/>
        <v>OVER</v>
      </c>
      <c r="U1180" s="2">
        <f>IF(Q1180="OVER",$J1180,$K1180)</f>
        <v>-47.418309580823006</v>
      </c>
      <c r="V1180" s="2">
        <f>IF(R1180="OVER",$J1180,$K1180)</f>
        <v>-47.418309580823006</v>
      </c>
      <c r="W1180" s="2">
        <f>IF(S1180="OVER",$J1180,$K1180)</f>
        <v>-47.418309580823006</v>
      </c>
      <c r="X1180" s="2">
        <f>IF(T1180="OVER",$J1180,$K1180)</f>
        <v>-47.418309580823006</v>
      </c>
      <c r="Y1180" s="9">
        <f t="shared" si="158"/>
        <v>-6985.0315892724548</v>
      </c>
      <c r="Z1180" s="9">
        <f t="shared" si="158"/>
        <v>11537.152927942501</v>
      </c>
      <c r="AA1180" s="9">
        <f t="shared" si="158"/>
        <v>80688.849210660352</v>
      </c>
      <c r="AB1180" s="9">
        <f t="shared" si="155"/>
        <v>33932.216442792167</v>
      </c>
    </row>
    <row r="1181" spans="1:28" x14ac:dyDescent="0.3">
      <c r="A1181" s="1">
        <v>46132</v>
      </c>
      <c r="B1181" s="2">
        <v>203.8</v>
      </c>
      <c r="C1181" s="2">
        <v>708.72</v>
      </c>
      <c r="D1181" s="9">
        <f>B1181-B1180</f>
        <v>0.64000000000001478</v>
      </c>
      <c r="E1181" s="9">
        <f>C1181-C1180</f>
        <v>-1.4199999999999591</v>
      </c>
      <c r="F1181" s="3">
        <f>F$1/B1181</f>
        <v>490.67713444553482</v>
      </c>
      <c r="G1181" s="3">
        <f>F$1/C1181</f>
        <v>141.0994468901682</v>
      </c>
      <c r="H1181" s="2">
        <f>D1181*F1180</f>
        <v>315.02264225241919</v>
      </c>
      <c r="I1181" s="2">
        <f>E1181*G1180</f>
        <v>-199.96057115497777</v>
      </c>
      <c r="J1181" s="2">
        <f>I1181-H1181</f>
        <v>-514.98321340739699</v>
      </c>
      <c r="K1181" s="2">
        <f t="shared" si="153"/>
        <v>514.98321340739699</v>
      </c>
      <c r="L1181" s="3">
        <f>C1181/B1181</f>
        <v>3.4775269872423946</v>
      </c>
      <c r="M1181" s="3">
        <f t="shared" si="156"/>
        <v>3.461299400579219</v>
      </c>
      <c r="N1181" s="3">
        <f t="shared" si="160"/>
        <v>3.4264145022313137</v>
      </c>
      <c r="O1181" s="3">
        <f t="shared" si="152"/>
        <v>3.4086508949564736</v>
      </c>
      <c r="P1181" s="3">
        <f t="shared" si="154"/>
        <v>3.477111875440789</v>
      </c>
      <c r="Q1181" s="4" t="str">
        <f t="shared" si="159"/>
        <v>OVER</v>
      </c>
      <c r="R1181" s="4" t="str">
        <f t="shared" si="159"/>
        <v>OVER</v>
      </c>
      <c r="S1181" s="4" t="str">
        <f t="shared" si="157"/>
        <v>OVER</v>
      </c>
      <c r="T1181" s="4" t="str">
        <f t="shared" si="157"/>
        <v>OVER</v>
      </c>
      <c r="U1181" s="2">
        <f>IF(Q1181="OVER",$J1181,$K1181)</f>
        <v>-514.98321340739699</v>
      </c>
      <c r="V1181" s="2">
        <f>IF(R1181="OVER",$J1181,$K1181)</f>
        <v>-514.98321340739699</v>
      </c>
      <c r="W1181" s="2">
        <f>IF(S1181="OVER",$J1181,$K1181)</f>
        <v>-514.98321340739699</v>
      </c>
      <c r="X1181" s="2">
        <f>IF(T1181="OVER",$J1181,$K1181)</f>
        <v>-514.98321340739699</v>
      </c>
      <c r="Y1181" s="9">
        <f t="shared" si="158"/>
        <v>-7500.0148026798515</v>
      </c>
      <c r="Z1181" s="9">
        <f t="shared" si="158"/>
        <v>11022.169714535105</v>
      </c>
      <c r="AA1181" s="9">
        <f t="shared" si="158"/>
        <v>80173.865997252957</v>
      </c>
      <c r="AB1181" s="9">
        <f t="shared" si="155"/>
        <v>33417.233229384772</v>
      </c>
    </row>
    <row r="1182" spans="1:28" x14ac:dyDescent="0.3">
      <c r="A1182" s="1">
        <v>46133</v>
      </c>
      <c r="B1182" s="2">
        <v>202.55</v>
      </c>
      <c r="C1182" s="2">
        <v>704.08</v>
      </c>
      <c r="D1182" s="9">
        <f>B1182-B1181</f>
        <v>-1.25</v>
      </c>
      <c r="E1182" s="9">
        <f>C1182-C1181</f>
        <v>-4.6399999999999864</v>
      </c>
      <c r="F1182" s="3">
        <f>F$1/B1182</f>
        <v>493.70525796099724</v>
      </c>
      <c r="G1182" s="3">
        <f>F$1/C1182</f>
        <v>142.02931485058517</v>
      </c>
      <c r="H1182" s="2">
        <f>D1182*F1181</f>
        <v>-613.34641805691854</v>
      </c>
      <c r="I1182" s="2">
        <f>E1182*G1181</f>
        <v>-654.70143357037853</v>
      </c>
      <c r="J1182" s="2">
        <f>I1182-H1182</f>
        <v>-41.355015513459989</v>
      </c>
      <c r="K1182" s="2">
        <f t="shared" si="153"/>
        <v>41.355015513459989</v>
      </c>
      <c r="L1182" s="3">
        <f>C1182/B1182</f>
        <v>3.4760799802517899</v>
      </c>
      <c r="M1182" s="3">
        <f t="shared" si="156"/>
        <v>3.4682076208381054</v>
      </c>
      <c r="N1182" s="3">
        <f t="shared" si="160"/>
        <v>3.4292706166385507</v>
      </c>
      <c r="O1182" s="3">
        <f t="shared" si="152"/>
        <v>3.4098821751706265</v>
      </c>
      <c r="P1182" s="3">
        <f t="shared" si="154"/>
        <v>3.4776076225717709</v>
      </c>
      <c r="Q1182" s="4" t="str">
        <f t="shared" si="159"/>
        <v>OVER</v>
      </c>
      <c r="R1182" s="4" t="str">
        <f t="shared" si="159"/>
        <v>OVER</v>
      </c>
      <c r="S1182" s="4" t="str">
        <f t="shared" si="157"/>
        <v>OVER</v>
      </c>
      <c r="T1182" s="4" t="str">
        <f t="shared" si="157"/>
        <v>UNDER</v>
      </c>
      <c r="U1182" s="2">
        <f>IF(Q1182="OVER",$J1182,$K1182)</f>
        <v>-41.355015513459989</v>
      </c>
      <c r="V1182" s="2">
        <f>IF(R1182="OVER",$J1182,$K1182)</f>
        <v>-41.355015513459989</v>
      </c>
      <c r="W1182" s="2">
        <f>IF(S1182="OVER",$J1182,$K1182)</f>
        <v>-41.355015513459989</v>
      </c>
      <c r="X1182" s="2">
        <f>IF(T1182="OVER",$J1182,$K1182)</f>
        <v>41.355015513459989</v>
      </c>
      <c r="Y1182" s="9">
        <f t="shared" si="158"/>
        <v>-7541.3698181933114</v>
      </c>
      <c r="Z1182" s="9">
        <f t="shared" si="158"/>
        <v>10980.814699021645</v>
      </c>
      <c r="AA1182" s="9">
        <f t="shared" si="158"/>
        <v>80132.510981739499</v>
      </c>
      <c r="AB1182" s="9">
        <f t="shared" si="155"/>
        <v>33458.58824489823</v>
      </c>
    </row>
    <row r="1183" spans="1:28" x14ac:dyDescent="0.3">
      <c r="A1183" s="1">
        <v>46134</v>
      </c>
      <c r="B1183" s="2">
        <v>202.46</v>
      </c>
      <c r="C1183" s="2">
        <v>711.21</v>
      </c>
      <c r="D1183" s="9">
        <f>B1183-B1182</f>
        <v>-9.0000000000003411E-2</v>
      </c>
      <c r="E1183" s="9">
        <f>C1183-C1182</f>
        <v>7.1299999999999955</v>
      </c>
      <c r="F1183" s="3">
        <f>F$1/B1183</f>
        <v>493.92472587177713</v>
      </c>
      <c r="G1183" s="3">
        <f>F$1/C1183</f>
        <v>140.60544705501891</v>
      </c>
      <c r="H1183" s="2">
        <f>D1183*F1182</f>
        <v>-44.433473216491436</v>
      </c>
      <c r="I1183" s="2">
        <f>E1183*G1182</f>
        <v>1012.6690148846716</v>
      </c>
      <c r="J1183" s="2">
        <f>I1183-H1183</f>
        <v>1057.1024881011631</v>
      </c>
      <c r="K1183" s="2">
        <f t="shared" si="153"/>
        <v>-1057.1024881011631</v>
      </c>
      <c r="L1183" s="3">
        <f>C1183/B1183</f>
        <v>3.5128420428726663</v>
      </c>
      <c r="M1183" s="3">
        <f t="shared" si="156"/>
        <v>3.4780036456951833</v>
      </c>
      <c r="N1183" s="3">
        <f t="shared" si="160"/>
        <v>3.4347428563394993</v>
      </c>
      <c r="O1183" s="3">
        <f t="shared" si="152"/>
        <v>3.4115601050684989</v>
      </c>
      <c r="P1183" s="3">
        <f t="shared" si="154"/>
        <v>3.4782779841198304</v>
      </c>
      <c r="Q1183" s="4" t="str">
        <f t="shared" si="159"/>
        <v>OVER</v>
      </c>
      <c r="R1183" s="4" t="str">
        <f t="shared" si="159"/>
        <v>OVER</v>
      </c>
      <c r="S1183" s="4" t="str">
        <f t="shared" si="157"/>
        <v>OVER</v>
      </c>
      <c r="T1183" s="4" t="str">
        <f t="shared" si="157"/>
        <v>OVER</v>
      </c>
      <c r="U1183" s="2">
        <f>IF(Q1183="OVER",$J1183,$K1183)</f>
        <v>1057.1024881011631</v>
      </c>
      <c r="V1183" s="2">
        <f>IF(R1183="OVER",$J1183,$K1183)</f>
        <v>1057.1024881011631</v>
      </c>
      <c r="W1183" s="2">
        <f>IF(S1183="OVER",$J1183,$K1183)</f>
        <v>1057.1024881011631</v>
      </c>
      <c r="X1183" s="2">
        <f>IF(T1183="OVER",$J1183,$K1183)</f>
        <v>1057.1024881011631</v>
      </c>
      <c r="Y1183" s="9">
        <f t="shared" si="158"/>
        <v>-6484.2673300921488</v>
      </c>
      <c r="Z1183" s="9">
        <f t="shared" si="158"/>
        <v>12037.917187122808</v>
      </c>
      <c r="AA1183" s="9">
        <f t="shared" si="158"/>
        <v>81189.613469840668</v>
      </c>
      <c r="AB1183" s="9">
        <f t="shared" si="155"/>
        <v>34515.690732999392</v>
      </c>
    </row>
    <row r="1184" spans="1:28" x14ac:dyDescent="0.3">
      <c r="A1184" s="1">
        <v>46135</v>
      </c>
      <c r="B1184" s="2">
        <v>202.45</v>
      </c>
      <c r="C1184" s="2">
        <v>708.45</v>
      </c>
      <c r="D1184" s="9">
        <f>B1184-B1183</f>
        <v>-1.0000000000019327E-2</v>
      </c>
      <c r="E1184" s="9">
        <f>C1184-C1183</f>
        <v>-2.7599999999999909</v>
      </c>
      <c r="F1184" s="3">
        <f>F$1/B1184</f>
        <v>493.94912324030628</v>
      </c>
      <c r="G1184" s="3">
        <f>F$1/C1184</f>
        <v>141.15322182228809</v>
      </c>
      <c r="H1184" s="2">
        <f>D1184*F1183</f>
        <v>-4.9392472587273168</v>
      </c>
      <c r="I1184" s="2">
        <f>E1184*G1183</f>
        <v>-388.07103387185094</v>
      </c>
      <c r="J1184" s="2">
        <f>I1184-H1184</f>
        <v>-383.13178661312361</v>
      </c>
      <c r="K1184" s="2">
        <f t="shared" si="153"/>
        <v>383.13178661312361</v>
      </c>
      <c r="L1184" s="3">
        <f>C1184/B1184</f>
        <v>3.4993825635959501</v>
      </c>
      <c r="M1184" s="3">
        <f t="shared" si="156"/>
        <v>3.4846917001161679</v>
      </c>
      <c r="N1184" s="3">
        <f t="shared" si="160"/>
        <v>3.4394190107054512</v>
      </c>
      <c r="O1184" s="3">
        <f t="shared" si="152"/>
        <v>3.4133921679603092</v>
      </c>
      <c r="P1184" s="3">
        <f t="shared" si="154"/>
        <v>3.4789324773027106</v>
      </c>
      <c r="Q1184" s="4" t="str">
        <f t="shared" si="159"/>
        <v>OVER</v>
      </c>
      <c r="R1184" s="4" t="str">
        <f t="shared" si="159"/>
        <v>OVER</v>
      </c>
      <c r="S1184" s="4" t="str">
        <f t="shared" si="157"/>
        <v>OVER</v>
      </c>
      <c r="T1184" s="4" t="str">
        <f t="shared" si="157"/>
        <v>OVER</v>
      </c>
      <c r="U1184" s="2">
        <f>IF(Q1184="OVER",$J1184,$K1184)</f>
        <v>-383.13178661312361</v>
      </c>
      <c r="V1184" s="2">
        <f>IF(R1184="OVER",$J1184,$K1184)</f>
        <v>-383.13178661312361</v>
      </c>
      <c r="W1184" s="2">
        <f>IF(S1184="OVER",$J1184,$K1184)</f>
        <v>-383.13178661312361</v>
      </c>
      <c r="X1184" s="2">
        <f>IF(T1184="OVER",$J1184,$K1184)</f>
        <v>-383.13178661312361</v>
      </c>
      <c r="Y1184" s="9">
        <f t="shared" si="158"/>
        <v>-6867.3991167052727</v>
      </c>
      <c r="Z1184" s="9">
        <f t="shared" si="158"/>
        <v>11654.785400509685</v>
      </c>
      <c r="AA1184" s="9">
        <f t="shared" si="158"/>
        <v>80806.481683227539</v>
      </c>
      <c r="AB1184" s="9">
        <f t="shared" si="155"/>
        <v>34132.558946386271</v>
      </c>
    </row>
    <row r="1185" spans="1:28" x14ac:dyDescent="0.3">
      <c r="A1185" s="1">
        <v>46136</v>
      </c>
      <c r="B1185" s="2">
        <v>202.03</v>
      </c>
      <c r="C1185" s="2">
        <v>713.94</v>
      </c>
      <c r="D1185" s="9">
        <f>B1185-B1184</f>
        <v>-0.41999999999998749</v>
      </c>
      <c r="E1185" s="9">
        <f>C1185-C1184</f>
        <v>5.4900000000000091</v>
      </c>
      <c r="F1185" s="3">
        <f>F$1/B1185</f>
        <v>494.97599366430728</v>
      </c>
      <c r="G1185" s="3">
        <f>F$1/C1185</f>
        <v>140.06779281172086</v>
      </c>
      <c r="H1185" s="2">
        <f>D1185*F1184</f>
        <v>-207.45863176092246</v>
      </c>
      <c r="I1185" s="2">
        <f>E1185*G1184</f>
        <v>774.93118780436293</v>
      </c>
      <c r="J1185" s="2">
        <f>I1185-H1185</f>
        <v>982.38981956528539</v>
      </c>
      <c r="K1185" s="2">
        <f t="shared" si="153"/>
        <v>-982.38981956528539</v>
      </c>
      <c r="L1185" s="3">
        <f>C1185/B1185</f>
        <v>3.5338316091669557</v>
      </c>
      <c r="M1185" s="3">
        <f t="shared" si="156"/>
        <v>3.4925574443026326</v>
      </c>
      <c r="N1185" s="3">
        <f t="shared" si="160"/>
        <v>3.4473095654154213</v>
      </c>
      <c r="O1185" s="3">
        <f t="shared" si="152"/>
        <v>3.416049533457322</v>
      </c>
      <c r="P1185" s="3">
        <f t="shared" si="154"/>
        <v>3.4797086679943146</v>
      </c>
      <c r="Q1185" s="4" t="str">
        <f t="shared" si="159"/>
        <v>OVER</v>
      </c>
      <c r="R1185" s="4" t="str">
        <f t="shared" si="159"/>
        <v>OVER</v>
      </c>
      <c r="S1185" s="4" t="str">
        <f t="shared" si="157"/>
        <v>OVER</v>
      </c>
      <c r="T1185" s="4" t="str">
        <f t="shared" si="157"/>
        <v>OVER</v>
      </c>
      <c r="U1185" s="2">
        <f>IF(Q1185="OVER",$J1185,$K1185)</f>
        <v>982.38981956528539</v>
      </c>
      <c r="V1185" s="2">
        <f>IF(R1185="OVER",$J1185,$K1185)</f>
        <v>982.38981956528539</v>
      </c>
      <c r="W1185" s="2">
        <f>IF(S1185="OVER",$J1185,$K1185)</f>
        <v>982.38981956528539</v>
      </c>
      <c r="X1185" s="2">
        <f>IF(T1185="OVER",$J1185,$K1185)</f>
        <v>982.38981956528539</v>
      </c>
      <c r="Y1185" s="9">
        <f t="shared" si="158"/>
        <v>-5885.0092971399872</v>
      </c>
      <c r="Z1185" s="9">
        <f t="shared" si="158"/>
        <v>12637.175220074971</v>
      </c>
      <c r="AA1185" s="9">
        <f t="shared" si="158"/>
        <v>81788.871502792827</v>
      </c>
      <c r="AB1185" s="9">
        <f t="shared" si="155"/>
        <v>35114.948765951558</v>
      </c>
    </row>
    <row r="1186" spans="1:28" x14ac:dyDescent="0.3">
      <c r="A1186" s="1">
        <v>46139</v>
      </c>
      <c r="B1186" s="2">
        <v>201.79</v>
      </c>
      <c r="C1186" s="2">
        <v>715.17</v>
      </c>
      <c r="D1186" s="9">
        <f>B1186-B1185</f>
        <v>-0.24000000000000909</v>
      </c>
      <c r="E1186" s="9">
        <f>C1186-C1185</f>
        <v>1.2299999999999045</v>
      </c>
      <c r="F1186" s="3">
        <f>F$1/B1186</f>
        <v>495.56469597105905</v>
      </c>
      <c r="G1186" s="3">
        <f>F$1/C1186</f>
        <v>139.82689430485061</v>
      </c>
      <c r="H1186" s="2">
        <f>D1186*F1185</f>
        <v>-118.79423847943825</v>
      </c>
      <c r="I1186" s="2">
        <f>E1186*G1185</f>
        <v>172.28338515840329</v>
      </c>
      <c r="J1186" s="2">
        <f>I1186-H1186</f>
        <v>291.07762363784155</v>
      </c>
      <c r="K1186" s="2">
        <f t="shared" si="153"/>
        <v>-291.07762363784155</v>
      </c>
      <c r="L1186" s="3">
        <f>C1186/B1186</f>
        <v>3.5441300361762229</v>
      </c>
      <c r="M1186" s="3">
        <f t="shared" si="156"/>
        <v>3.5019017963083252</v>
      </c>
      <c r="N1186" s="3">
        <f t="shared" si="160"/>
        <v>3.4562867347398862</v>
      </c>
      <c r="O1186" s="3">
        <f t="shared" si="152"/>
        <v>3.4190731770614677</v>
      </c>
      <c r="P1186" s="3">
        <f t="shared" si="154"/>
        <v>3.4805862780201733</v>
      </c>
      <c r="Q1186" s="4" t="str">
        <f t="shared" si="159"/>
        <v>OVER</v>
      </c>
      <c r="R1186" s="4" t="str">
        <f t="shared" si="159"/>
        <v>OVER</v>
      </c>
      <c r="S1186" s="4" t="str">
        <f t="shared" si="157"/>
        <v>OVER</v>
      </c>
      <c r="T1186" s="4" t="str">
        <f t="shared" si="157"/>
        <v>OVER</v>
      </c>
      <c r="U1186" s="2">
        <f>IF(Q1186="OVER",$J1186,$K1186)</f>
        <v>291.07762363784155</v>
      </c>
      <c r="V1186" s="2">
        <f>IF(R1186="OVER",$J1186,$K1186)</f>
        <v>291.07762363784155</v>
      </c>
      <c r="W1186" s="2">
        <f>IF(S1186="OVER",$J1186,$K1186)</f>
        <v>291.07762363784155</v>
      </c>
      <c r="X1186" s="2">
        <f>IF(T1186="OVER",$J1186,$K1186)</f>
        <v>291.07762363784155</v>
      </c>
      <c r="Y1186" s="9">
        <f t="shared" si="158"/>
        <v>-5593.9316735021457</v>
      </c>
      <c r="Z1186" s="9">
        <f t="shared" si="158"/>
        <v>12928.252843712813</v>
      </c>
      <c r="AA1186" s="9">
        <f t="shared" si="158"/>
        <v>82079.949126430671</v>
      </c>
      <c r="AB1186" s="9">
        <f t="shared" si="155"/>
        <v>35406.026389589402</v>
      </c>
    </row>
    <row r="1187" spans="1:28" x14ac:dyDescent="0.3">
      <c r="A1187" s="1">
        <v>46140</v>
      </c>
      <c r="B1187" s="2">
        <v>200.76</v>
      </c>
      <c r="C1187" s="2">
        <v>711.69</v>
      </c>
      <c r="D1187" s="9">
        <f>B1187-B1186</f>
        <v>-1.0300000000000011</v>
      </c>
      <c r="E1187" s="9">
        <f>C1187-C1186</f>
        <v>-3.4799999999999045</v>
      </c>
      <c r="F1187" s="3">
        <f>F$1/B1187</f>
        <v>498.10719266786214</v>
      </c>
      <c r="G1187" s="3">
        <f>F$1/C1187</f>
        <v>140.51061557700683</v>
      </c>
      <c r="H1187" s="2">
        <f>D1187*F1186</f>
        <v>-510.43163685019141</v>
      </c>
      <c r="I1187" s="2">
        <f>E1187*G1186</f>
        <v>-486.5975921808668</v>
      </c>
      <c r="J1187" s="2">
        <f>I1187-H1187</f>
        <v>23.834044669324612</v>
      </c>
      <c r="K1187" s="2">
        <f t="shared" si="153"/>
        <v>-23.834044669324612</v>
      </c>
      <c r="L1187" s="3">
        <f>C1187/B1187</f>
        <v>3.5449790794979084</v>
      </c>
      <c r="M1187" s="3">
        <f t="shared" si="156"/>
        <v>3.5085784080545701</v>
      </c>
      <c r="N1187" s="3">
        <f t="shared" si="160"/>
        <v>3.4655211196713394</v>
      </c>
      <c r="O1187" s="3">
        <f t="shared" si="152"/>
        <v>3.422762229741287</v>
      </c>
      <c r="P1187" s="3">
        <f t="shared" si="154"/>
        <v>3.4814035712053211</v>
      </c>
      <c r="Q1187" s="4" t="str">
        <f t="shared" si="159"/>
        <v>OVER</v>
      </c>
      <c r="R1187" s="4" t="str">
        <f t="shared" si="159"/>
        <v>OVER</v>
      </c>
      <c r="S1187" s="4" t="str">
        <f t="shared" si="157"/>
        <v>OVER</v>
      </c>
      <c r="T1187" s="4" t="str">
        <f t="shared" si="157"/>
        <v>OVER</v>
      </c>
      <c r="U1187" s="2">
        <f>IF(Q1187="OVER",$J1187,$K1187)</f>
        <v>23.834044669324612</v>
      </c>
      <c r="V1187" s="2">
        <f>IF(R1187="OVER",$J1187,$K1187)</f>
        <v>23.834044669324612</v>
      </c>
      <c r="W1187" s="2">
        <f>IF(S1187="OVER",$J1187,$K1187)</f>
        <v>23.834044669324612</v>
      </c>
      <c r="X1187" s="2">
        <f>IF(T1187="OVER",$J1187,$K1187)</f>
        <v>23.834044669324612</v>
      </c>
      <c r="Y1187" s="9">
        <f t="shared" si="158"/>
        <v>-5570.0976288328211</v>
      </c>
      <c r="Z1187" s="9">
        <f t="shared" si="158"/>
        <v>12952.086888382139</v>
      </c>
      <c r="AA1187" s="9">
        <f t="shared" si="158"/>
        <v>82103.783171099989</v>
      </c>
      <c r="AB1187" s="9">
        <f t="shared" si="155"/>
        <v>35429.860434258728</v>
      </c>
    </row>
    <row r="1188" spans="1:28" x14ac:dyDescent="0.3">
      <c r="A1188" s="1">
        <v>46141</v>
      </c>
      <c r="B1188" s="2">
        <v>200.41</v>
      </c>
      <c r="C1188" s="2">
        <v>711.58</v>
      </c>
      <c r="D1188" s="9">
        <f>B1188-B1187</f>
        <v>-0.34999999999999432</v>
      </c>
      <c r="E1188" s="9">
        <f>C1188-C1187</f>
        <v>-0.11000000000001364</v>
      </c>
      <c r="F1188" s="3">
        <f>F$1/B1188</f>
        <v>498.97709695124996</v>
      </c>
      <c r="G1188" s="3">
        <f>F$1/C1188</f>
        <v>140.53233649062648</v>
      </c>
      <c r="H1188" s="2">
        <f>D1188*F1187</f>
        <v>-174.33751743374893</v>
      </c>
      <c r="I1188" s="2">
        <f>E1188*G1187</f>
        <v>-15.456167713472668</v>
      </c>
      <c r="J1188" s="2">
        <f>I1188-H1188</f>
        <v>158.88134972027626</v>
      </c>
      <c r="K1188" s="2">
        <f t="shared" si="153"/>
        <v>-158.88134972027626</v>
      </c>
      <c r="L1188" s="3">
        <f>C1188/B1188</f>
        <v>3.5506212264857044</v>
      </c>
      <c r="M1188" s="3">
        <f t="shared" si="156"/>
        <v>3.5131974325205939</v>
      </c>
      <c r="N1188" s="3">
        <f t="shared" si="160"/>
        <v>3.4736222101744496</v>
      </c>
      <c r="O1188" s="3">
        <f t="shared" si="152"/>
        <v>3.4263393392403869</v>
      </c>
      <c r="P1188" s="3">
        <f t="shared" si="154"/>
        <v>3.4822342462668439</v>
      </c>
      <c r="Q1188" s="4" t="str">
        <f t="shared" si="159"/>
        <v>OVER</v>
      </c>
      <c r="R1188" s="4" t="str">
        <f t="shared" si="159"/>
        <v>OVER</v>
      </c>
      <c r="S1188" s="4" t="str">
        <f t="shared" si="157"/>
        <v>OVER</v>
      </c>
      <c r="T1188" s="4" t="str">
        <f t="shared" si="157"/>
        <v>OVER</v>
      </c>
      <c r="U1188" s="2">
        <f>IF(Q1188="OVER",$J1188,$K1188)</f>
        <v>158.88134972027626</v>
      </c>
      <c r="V1188" s="2">
        <f>IF(R1188="OVER",$J1188,$K1188)</f>
        <v>158.88134972027626</v>
      </c>
      <c r="W1188" s="2">
        <f>IF(S1188="OVER",$J1188,$K1188)</f>
        <v>158.88134972027626</v>
      </c>
      <c r="X1188" s="2">
        <f>IF(T1188="OVER",$J1188,$K1188)</f>
        <v>158.88134972027626</v>
      </c>
      <c r="Y1188" s="9">
        <f t="shared" si="158"/>
        <v>-5411.2162791125447</v>
      </c>
      <c r="Z1188" s="9">
        <f t="shared" si="158"/>
        <v>13110.968238102414</v>
      </c>
      <c r="AA1188" s="9">
        <f t="shared" si="158"/>
        <v>82262.664520820268</v>
      </c>
      <c r="AB1188" s="9">
        <f t="shared" si="155"/>
        <v>35588.741783979007</v>
      </c>
    </row>
    <row r="1189" spans="1:28" x14ac:dyDescent="0.3">
      <c r="A1189" s="1">
        <v>46142</v>
      </c>
      <c r="B1189" s="2">
        <v>203.44</v>
      </c>
      <c r="C1189" s="2">
        <v>718.66</v>
      </c>
      <c r="D1189" s="9">
        <f>B1189-B1188</f>
        <v>3.0300000000000011</v>
      </c>
      <c r="E1189" s="9">
        <f>C1189-C1188</f>
        <v>7.0799999999999272</v>
      </c>
      <c r="F1189" s="3">
        <f>F$1/B1189</f>
        <v>491.54541879669682</v>
      </c>
      <c r="G1189" s="3">
        <f>F$1/C1189</f>
        <v>139.14785851445748</v>
      </c>
      <c r="H1189" s="2">
        <f>D1189*F1188</f>
        <v>1511.900603762288</v>
      </c>
      <c r="I1189" s="2">
        <f>E1189*G1188</f>
        <v>994.96894235362527</v>
      </c>
      <c r="J1189" s="2">
        <f>I1189-H1189</f>
        <v>-516.93166140866276</v>
      </c>
      <c r="K1189" s="2">
        <f t="shared" si="153"/>
        <v>516.93166140866276</v>
      </c>
      <c r="L1189" s="3">
        <f>C1189/B1189</f>
        <v>3.5325403067243411</v>
      </c>
      <c r="M1189" s="3">
        <f t="shared" si="156"/>
        <v>3.5167405381531558</v>
      </c>
      <c r="N1189" s="3">
        <f t="shared" si="160"/>
        <v>3.4800923749861008</v>
      </c>
      <c r="O1189" s="3">
        <f t="shared" si="152"/>
        <v>3.4295646897576408</v>
      </c>
      <c r="P1189" s="3">
        <f t="shared" si="154"/>
        <v>3.4828098838070569</v>
      </c>
      <c r="Q1189" s="4" t="str">
        <f t="shared" si="159"/>
        <v>OVER</v>
      </c>
      <c r="R1189" s="4" t="str">
        <f t="shared" si="159"/>
        <v>OVER</v>
      </c>
      <c r="S1189" s="4" t="str">
        <f t="shared" si="157"/>
        <v>OVER</v>
      </c>
      <c r="T1189" s="4" t="str">
        <f t="shared" si="157"/>
        <v>OVER</v>
      </c>
      <c r="U1189" s="2">
        <f>IF(Q1189="OVER",$J1189,$K1189)</f>
        <v>-516.93166140866276</v>
      </c>
      <c r="V1189" s="2">
        <f>IF(R1189="OVER",$J1189,$K1189)</f>
        <v>-516.93166140866276</v>
      </c>
      <c r="W1189" s="2">
        <f>IF(S1189="OVER",$J1189,$K1189)</f>
        <v>-516.93166140866276</v>
      </c>
      <c r="X1189" s="2">
        <f>IF(T1189="OVER",$J1189,$K1189)</f>
        <v>-516.93166140866276</v>
      </c>
      <c r="Y1189" s="9">
        <f t="shared" si="158"/>
        <v>-5928.1479405212076</v>
      </c>
      <c r="Z1189" s="9">
        <f t="shared" si="158"/>
        <v>12594.036576693752</v>
      </c>
      <c r="AA1189" s="9">
        <f t="shared" si="158"/>
        <v>81745.732859411612</v>
      </c>
      <c r="AB1189" s="9">
        <f t="shared" si="155"/>
        <v>35071.810122570343</v>
      </c>
    </row>
    <row r="1190" spans="1:28" x14ac:dyDescent="0.3">
      <c r="A1190" s="1">
        <v>46143</v>
      </c>
      <c r="B1190" s="2">
        <v>202.82</v>
      </c>
      <c r="C1190" s="2">
        <v>720.65</v>
      </c>
      <c r="D1190" s="9">
        <f>B1190-B1189</f>
        <v>-0.62000000000000455</v>
      </c>
      <c r="E1190" s="9">
        <f>C1190-C1189</f>
        <v>1.9900000000000091</v>
      </c>
      <c r="F1190" s="3">
        <f>F$1/B1190</f>
        <v>493.04802287742825</v>
      </c>
      <c r="G1190" s="3">
        <f>F$1/C1190</f>
        <v>138.76361617983764</v>
      </c>
      <c r="H1190" s="2">
        <f>D1190*F1189</f>
        <v>-304.75815965395424</v>
      </c>
      <c r="I1190" s="2">
        <f>E1190*G1189</f>
        <v>276.90423844377165</v>
      </c>
      <c r="J1190" s="2">
        <f>I1190-H1190</f>
        <v>581.66239809772583</v>
      </c>
      <c r="K1190" s="2">
        <f t="shared" si="153"/>
        <v>-581.66239809772583</v>
      </c>
      <c r="L1190" s="3">
        <f>C1190/B1190</f>
        <v>3.5531505768661868</v>
      </c>
      <c r="M1190" s="3">
        <f t="shared" si="156"/>
        <v>3.5225084408880121</v>
      </c>
      <c r="N1190" s="3">
        <f t="shared" si="160"/>
        <v>3.4879249517345317</v>
      </c>
      <c r="O1190" s="3">
        <f t="shared" si="152"/>
        <v>3.4332377239394463</v>
      </c>
      <c r="P1190" s="3">
        <f t="shared" si="154"/>
        <v>3.4834980485977125</v>
      </c>
      <c r="Q1190" s="4" t="str">
        <f t="shared" si="159"/>
        <v>OVER</v>
      </c>
      <c r="R1190" s="4" t="str">
        <f t="shared" si="159"/>
        <v>OVER</v>
      </c>
      <c r="S1190" s="4" t="str">
        <f t="shared" si="157"/>
        <v>OVER</v>
      </c>
      <c r="T1190" s="4" t="str">
        <f t="shared" si="157"/>
        <v>OVER</v>
      </c>
      <c r="U1190" s="2">
        <f>IF(Q1190="OVER",$J1190,$K1190)</f>
        <v>581.66239809772583</v>
      </c>
      <c r="V1190" s="2">
        <f>IF(R1190="OVER",$J1190,$K1190)</f>
        <v>581.66239809772583</v>
      </c>
      <c r="W1190" s="2">
        <f>IF(S1190="OVER",$J1190,$K1190)</f>
        <v>581.66239809772583</v>
      </c>
      <c r="X1190" s="2">
        <f>IF(T1190="OVER",$J1190,$K1190)</f>
        <v>581.66239809772583</v>
      </c>
      <c r="Y1190" s="9">
        <f t="shared" si="158"/>
        <v>-5346.485542423482</v>
      </c>
      <c r="Z1190" s="9">
        <f t="shared" si="158"/>
        <v>13175.698974791478</v>
      </c>
      <c r="AA1190" s="9">
        <f t="shared" si="158"/>
        <v>82327.395257509343</v>
      </c>
      <c r="AB1190" s="9">
        <f t="shared" si="155"/>
        <v>35653.472520668067</v>
      </c>
    </row>
    <row r="1191" spans="1:28" x14ac:dyDescent="0.3">
      <c r="A1191" s="1">
        <v>46146</v>
      </c>
      <c r="B1191" s="2">
        <v>201.64</v>
      </c>
      <c r="C1191" s="2">
        <v>718.01</v>
      </c>
      <c r="D1191" s="9">
        <f>B1191-B1190</f>
        <v>-1.1800000000000068</v>
      </c>
      <c r="E1191" s="9">
        <f>C1191-C1190</f>
        <v>-2.6399999999999864</v>
      </c>
      <c r="F1191" s="3">
        <f>F$1/B1191</f>
        <v>495.93334655822258</v>
      </c>
      <c r="G1191" s="3">
        <f>F$1/C1191</f>
        <v>139.2738262698291</v>
      </c>
      <c r="H1191" s="2">
        <f>D1191*F1190</f>
        <v>-581.7966669953687</v>
      </c>
      <c r="I1191" s="2">
        <f>E1191*G1190</f>
        <v>-366.33594671476948</v>
      </c>
      <c r="J1191" s="2">
        <f>I1191-H1191</f>
        <v>215.46072028059922</v>
      </c>
      <c r="K1191" s="2">
        <f t="shared" si="153"/>
        <v>-215.46072028059922</v>
      </c>
      <c r="L1191" s="3">
        <f>C1191/B1191</f>
        <v>3.5608510216226943</v>
      </c>
      <c r="M1191" s="3">
        <f t="shared" si="156"/>
        <v>3.5308408443260424</v>
      </c>
      <c r="N1191" s="3">
        <f t="shared" si="160"/>
        <v>3.4960701224526303</v>
      </c>
      <c r="O1191" s="3">
        <f t="shared" si="152"/>
        <v>3.436893374388069</v>
      </c>
      <c r="P1191" s="3">
        <f t="shared" si="154"/>
        <v>3.4842591558089482</v>
      </c>
      <c r="Q1191" s="4" t="str">
        <f t="shared" si="159"/>
        <v>OVER</v>
      </c>
      <c r="R1191" s="4" t="str">
        <f t="shared" si="159"/>
        <v>OVER</v>
      </c>
      <c r="S1191" s="4" t="str">
        <f t="shared" si="157"/>
        <v>OVER</v>
      </c>
      <c r="T1191" s="4" t="str">
        <f t="shared" si="157"/>
        <v>OVER</v>
      </c>
      <c r="U1191" s="2">
        <f>IF(Q1191="OVER",$J1191,$K1191)</f>
        <v>215.46072028059922</v>
      </c>
      <c r="V1191" s="2">
        <f>IF(R1191="OVER",$J1191,$K1191)</f>
        <v>215.46072028059922</v>
      </c>
      <c r="W1191" s="2">
        <f>IF(S1191="OVER",$J1191,$K1191)</f>
        <v>215.46072028059922</v>
      </c>
      <c r="X1191" s="2">
        <f>IF(T1191="OVER",$J1191,$K1191)</f>
        <v>215.46072028059922</v>
      </c>
      <c r="Y1191" s="9">
        <f t="shared" si="158"/>
        <v>-5131.0248221428828</v>
      </c>
      <c r="Z1191" s="9">
        <f t="shared" si="158"/>
        <v>13391.159695072078</v>
      </c>
      <c r="AA1191" s="9">
        <f t="shared" si="158"/>
        <v>82542.855977789935</v>
      </c>
      <c r="AB1191" s="9">
        <f t="shared" si="155"/>
        <v>35868.933240948667</v>
      </c>
    </row>
    <row r="1192" spans="1:28" x14ac:dyDescent="0.3">
      <c r="A1192" s="1">
        <v>46147</v>
      </c>
      <c r="B1192" s="2">
        <v>203.24</v>
      </c>
      <c r="C1192" s="2">
        <v>723.77</v>
      </c>
      <c r="D1192" s="9">
        <f>B1192-B1191</f>
        <v>1.6000000000000227</v>
      </c>
      <c r="E1192" s="9">
        <f>C1192-C1191</f>
        <v>5.7599999999999909</v>
      </c>
      <c r="F1192" s="3">
        <f>F$1/B1192</f>
        <v>492.02912812438495</v>
      </c>
      <c r="G1192" s="3">
        <f>F$1/C1192</f>
        <v>138.16543929701425</v>
      </c>
      <c r="H1192" s="2">
        <f>D1192*F1191</f>
        <v>793.49335449316743</v>
      </c>
      <c r="I1192" s="2">
        <f>E1192*G1191</f>
        <v>802.21723931421434</v>
      </c>
      <c r="J1192" s="2">
        <f>I1192-H1192</f>
        <v>8.7238848210469087</v>
      </c>
      <c r="K1192" s="2">
        <f t="shared" si="153"/>
        <v>-8.7238848210469087</v>
      </c>
      <c r="L1192" s="3">
        <f>C1192/B1192</f>
        <v>3.5611592206258607</v>
      </c>
      <c r="M1192" s="3">
        <f t="shared" si="156"/>
        <v>3.5393487683634488</v>
      </c>
      <c r="N1192" s="3">
        <f t="shared" si="160"/>
        <v>3.5037781946007769</v>
      </c>
      <c r="O1192" s="3">
        <f t="shared" si="152"/>
        <v>3.4405029843641235</v>
      </c>
      <c r="P1192" s="3">
        <f t="shared" si="154"/>
        <v>3.485027814329277</v>
      </c>
      <c r="Q1192" s="4" t="str">
        <f t="shared" si="159"/>
        <v>OVER</v>
      </c>
      <c r="R1192" s="4" t="str">
        <f t="shared" si="159"/>
        <v>OVER</v>
      </c>
      <c r="S1192" s="4" t="str">
        <f t="shared" si="157"/>
        <v>OVER</v>
      </c>
      <c r="T1192" s="4" t="str">
        <f t="shared" si="157"/>
        <v>OVER</v>
      </c>
      <c r="U1192" s="2">
        <f>IF(Q1192="OVER",$J1192,$K1192)</f>
        <v>8.7238848210469087</v>
      </c>
      <c r="V1192" s="2">
        <f>IF(R1192="OVER",$J1192,$K1192)</f>
        <v>8.7238848210469087</v>
      </c>
      <c r="W1192" s="2">
        <f>IF(S1192="OVER",$J1192,$K1192)</f>
        <v>8.7238848210469087</v>
      </c>
      <c r="X1192" s="2">
        <f>IF(T1192="OVER",$J1192,$K1192)</f>
        <v>8.7238848210469087</v>
      </c>
      <c r="Y1192" s="9">
        <f t="shared" si="158"/>
        <v>-5122.3009373218356</v>
      </c>
      <c r="Z1192" s="9">
        <f t="shared" si="158"/>
        <v>13399.883579893125</v>
      </c>
      <c r="AA1192" s="9">
        <f t="shared" si="158"/>
        <v>82551.579862610975</v>
      </c>
      <c r="AB1192" s="9">
        <f t="shared" si="155"/>
        <v>35877.657125769714</v>
      </c>
    </row>
    <row r="1193" spans="1:28" x14ac:dyDescent="0.3">
      <c r="A1193" s="1">
        <v>46148</v>
      </c>
      <c r="B1193" s="2">
        <v>204.85</v>
      </c>
      <c r="C1193" s="2">
        <v>733.83</v>
      </c>
      <c r="D1193" s="9">
        <f>B1193-B1192</f>
        <v>1.6099999999999852</v>
      </c>
      <c r="E1193" s="9">
        <f>C1193-C1192</f>
        <v>10.060000000000059</v>
      </c>
      <c r="F1193" s="3">
        <f>F$1/B1193</f>
        <v>488.16206980717601</v>
      </c>
      <c r="G1193" s="3">
        <f>F$1/C1193</f>
        <v>136.27134349917554</v>
      </c>
      <c r="H1193" s="2">
        <f>D1193*F1192</f>
        <v>792.16689628025256</v>
      </c>
      <c r="I1193" s="2">
        <f>E1193*G1192</f>
        <v>1389.9443193279715</v>
      </c>
      <c r="J1193" s="2">
        <f>I1193-H1193</f>
        <v>597.77742304771891</v>
      </c>
      <c r="K1193" s="2">
        <f t="shared" si="153"/>
        <v>-597.77742304771891</v>
      </c>
      <c r="L1193" s="3">
        <f>C1193/B1193</f>
        <v>3.5822797168659997</v>
      </c>
      <c r="M1193" s="3">
        <f t="shared" si="156"/>
        <v>3.5462925357627824</v>
      </c>
      <c r="N1193" s="3">
        <f t="shared" si="160"/>
        <v>3.5121480907289824</v>
      </c>
      <c r="O1193" s="3">
        <f t="shared" si="152"/>
        <v>3.4445824723414713</v>
      </c>
      <c r="P1193" s="3">
        <f t="shared" si="154"/>
        <v>3.4858111824042091</v>
      </c>
      <c r="Q1193" s="4" t="str">
        <f t="shared" si="159"/>
        <v>OVER</v>
      </c>
      <c r="R1193" s="4" t="str">
        <f t="shared" si="159"/>
        <v>OVER</v>
      </c>
      <c r="S1193" s="4" t="str">
        <f t="shared" si="157"/>
        <v>OVER</v>
      </c>
      <c r="T1193" s="4" t="str">
        <f t="shared" si="157"/>
        <v>OVER</v>
      </c>
      <c r="U1193" s="2">
        <f>IF(Q1193="OVER",$J1193,$K1193)</f>
        <v>597.77742304771891</v>
      </c>
      <c r="V1193" s="2">
        <f>IF(R1193="OVER",$J1193,$K1193)</f>
        <v>597.77742304771891</v>
      </c>
      <c r="W1193" s="2">
        <f>IF(S1193="OVER",$J1193,$K1193)</f>
        <v>597.77742304771891</v>
      </c>
      <c r="X1193" s="2">
        <f>IF(T1193="OVER",$J1193,$K1193)</f>
        <v>597.77742304771891</v>
      </c>
      <c r="Y1193" s="9">
        <f t="shared" si="158"/>
        <v>-4524.5235142741167</v>
      </c>
      <c r="Z1193" s="9">
        <f t="shared" si="158"/>
        <v>13997.661002940844</v>
      </c>
      <c r="AA1193" s="9">
        <f t="shared" si="158"/>
        <v>83149.357285658698</v>
      </c>
      <c r="AB1193" s="9">
        <f t="shared" si="155"/>
        <v>36475.434548817429</v>
      </c>
    </row>
    <row r="1194" spans="1:28" x14ac:dyDescent="0.3">
      <c r="A1194" s="1">
        <v>46149</v>
      </c>
      <c r="B1194" s="2">
        <v>203.54</v>
      </c>
      <c r="C1194" s="2">
        <v>731.58</v>
      </c>
      <c r="D1194" s="9">
        <f>B1194-B1193</f>
        <v>-1.3100000000000023</v>
      </c>
      <c r="E1194" s="9">
        <f>C1194-C1193</f>
        <v>-2.25</v>
      </c>
      <c r="F1194" s="3">
        <f>F$1/B1194</f>
        <v>491.30392060528646</v>
      </c>
      <c r="G1194" s="3">
        <f>F$1/C1194</f>
        <v>136.69045080510674</v>
      </c>
      <c r="H1194" s="2">
        <f>D1194*F1193</f>
        <v>-639.49231144740168</v>
      </c>
      <c r="I1194" s="2">
        <f>E1194*G1193</f>
        <v>-306.61052287314499</v>
      </c>
      <c r="J1194" s="2">
        <f>I1194-H1194</f>
        <v>332.88178857425669</v>
      </c>
      <c r="K1194" s="2">
        <f t="shared" si="153"/>
        <v>-332.88178857425669</v>
      </c>
      <c r="L1194" s="3">
        <f>C1194/B1194</f>
        <v>3.5942812223641547</v>
      </c>
      <c r="M1194" s="3">
        <f t="shared" si="156"/>
        <v>3.5557824016396031</v>
      </c>
      <c r="N1194" s="3">
        <f t="shared" si="160"/>
        <v>3.5202370508778857</v>
      </c>
      <c r="O1194" s="3">
        <f t="shared" si="152"/>
        <v>3.4483720166237082</v>
      </c>
      <c r="P1194" s="3">
        <f t="shared" si="154"/>
        <v>3.4868677464051046</v>
      </c>
      <c r="Q1194" s="4" t="str">
        <f t="shared" si="159"/>
        <v>OVER</v>
      </c>
      <c r="R1194" s="4" t="str">
        <f t="shared" si="159"/>
        <v>OVER</v>
      </c>
      <c r="S1194" s="4" t="str">
        <f t="shared" si="157"/>
        <v>OVER</v>
      </c>
      <c r="T1194" s="4" t="str">
        <f t="shared" si="157"/>
        <v>OVER</v>
      </c>
      <c r="U1194" s="2">
        <f>IF(Q1194="OVER",$J1194,$K1194)</f>
        <v>332.88178857425669</v>
      </c>
      <c r="V1194" s="2">
        <f>IF(R1194="OVER",$J1194,$K1194)</f>
        <v>332.88178857425669</v>
      </c>
      <c r="W1194" s="2">
        <f>IF(S1194="OVER",$J1194,$K1194)</f>
        <v>332.88178857425669</v>
      </c>
      <c r="X1194" s="2">
        <f>IF(T1194="OVER",$J1194,$K1194)</f>
        <v>332.88178857425669</v>
      </c>
      <c r="Y1194" s="9">
        <f t="shared" si="158"/>
        <v>-4191.6417256998602</v>
      </c>
      <c r="Z1194" s="9">
        <f t="shared" si="158"/>
        <v>14330.542791515101</v>
      </c>
      <c r="AA1194" s="9">
        <f t="shared" si="158"/>
        <v>83482.239074232959</v>
      </c>
      <c r="AB1194" s="9">
        <f t="shared" si="155"/>
        <v>36808.316337391683</v>
      </c>
    </row>
    <row r="1195" spans="1:28" x14ac:dyDescent="0.3">
      <c r="A1195" s="1">
        <v>46150</v>
      </c>
      <c r="B1195" s="2">
        <v>204.1</v>
      </c>
      <c r="C1195" s="2">
        <v>737.62</v>
      </c>
      <c r="D1195" s="9">
        <f>B1195-B1194</f>
        <v>0.56000000000000227</v>
      </c>
      <c r="E1195" s="9">
        <f>C1195-C1194</f>
        <v>6.0399999999999636</v>
      </c>
      <c r="F1195" s="3">
        <f>F$1/B1195</f>
        <v>489.95590396864282</v>
      </c>
      <c r="G1195" s="3">
        <f>F$1/C1195</f>
        <v>135.57116130256773</v>
      </c>
      <c r="H1195" s="2">
        <f>D1195*F1194</f>
        <v>275.13019553896152</v>
      </c>
      <c r="I1195" s="2">
        <f>E1195*G1194</f>
        <v>825.61032286283967</v>
      </c>
      <c r="J1195" s="2">
        <f>I1195-H1195</f>
        <v>550.48012732387815</v>
      </c>
      <c r="K1195" s="2">
        <f t="shared" si="153"/>
        <v>-550.48012732387815</v>
      </c>
      <c r="L1195" s="3">
        <f>C1195/B1195</f>
        <v>3.6140127388535035</v>
      </c>
      <c r="M1195" s="3">
        <f t="shared" si="156"/>
        <v>3.5638005146082579</v>
      </c>
      <c r="N1195" s="3">
        <f t="shared" si="160"/>
        <v>3.5281789794554448</v>
      </c>
      <c r="O1195" s="3">
        <f t="shared" si="152"/>
        <v>3.4533148025393507</v>
      </c>
      <c r="P1195" s="3">
        <f t="shared" si="154"/>
        <v>3.4880192271617414</v>
      </c>
      <c r="Q1195" s="4" t="str">
        <f t="shared" si="159"/>
        <v>OVER</v>
      </c>
      <c r="R1195" s="4" t="str">
        <f t="shared" si="159"/>
        <v>OVER</v>
      </c>
      <c r="S1195" s="4" t="str">
        <f t="shared" si="157"/>
        <v>OVER</v>
      </c>
      <c r="T1195" s="4" t="str">
        <f t="shared" si="157"/>
        <v>OVER</v>
      </c>
      <c r="U1195" s="2">
        <f>IF(Q1195="OVER",$J1195,$K1195)</f>
        <v>550.48012732387815</v>
      </c>
      <c r="V1195" s="2">
        <f>IF(R1195="OVER",$J1195,$K1195)</f>
        <v>550.48012732387815</v>
      </c>
      <c r="W1195" s="2">
        <f>IF(S1195="OVER",$J1195,$K1195)</f>
        <v>550.48012732387815</v>
      </c>
      <c r="X1195" s="2">
        <f>IF(T1195="OVER",$J1195,$K1195)</f>
        <v>550.48012732387815</v>
      </c>
      <c r="Y1195" s="9">
        <f t="shared" si="158"/>
        <v>-3641.1615983759821</v>
      </c>
      <c r="Z1195" s="9">
        <f t="shared" si="158"/>
        <v>14881.022918838979</v>
      </c>
      <c r="AA1195" s="9">
        <f t="shared" si="158"/>
        <v>84032.719201556843</v>
      </c>
      <c r="AB1195" s="9">
        <f t="shared" si="155"/>
        <v>37358.79646471556</v>
      </c>
    </row>
    <row r="1196" spans="1:28" x14ac:dyDescent="0.3">
      <c r="A1196" s="1">
        <v>46153</v>
      </c>
      <c r="B1196" s="2">
        <v>203.99</v>
      </c>
      <c r="C1196" s="2">
        <v>739.3</v>
      </c>
      <c r="D1196" s="9">
        <f>B1196-B1195</f>
        <v>-0.10999999999998522</v>
      </c>
      <c r="E1196" s="9">
        <f>C1196-C1195</f>
        <v>1.67999999999995</v>
      </c>
      <c r="F1196" s="3">
        <f>F$1/B1196</f>
        <v>490.22010882886411</v>
      </c>
      <c r="G1196" s="3">
        <f>F$1/C1196</f>
        <v>135.26308670363858</v>
      </c>
      <c r="H1196" s="2">
        <f>D1196*F1195</f>
        <v>-53.89514943654347</v>
      </c>
      <c r="I1196" s="2">
        <f>E1196*G1195</f>
        <v>227.75955098830701</v>
      </c>
      <c r="J1196" s="2">
        <f>I1196-H1196</f>
        <v>281.65470042485049</v>
      </c>
      <c r="K1196" s="2">
        <f t="shared" si="153"/>
        <v>-281.65470042485049</v>
      </c>
      <c r="L1196" s="3">
        <f>C1196/B1196</f>
        <v>3.6241972645717921</v>
      </c>
      <c r="M1196" s="3">
        <f t="shared" si="156"/>
        <v>3.5718072374478149</v>
      </c>
      <c r="N1196" s="3">
        <f t="shared" si="160"/>
        <v>3.5368545168780701</v>
      </c>
      <c r="O1196" s="3">
        <f t="shared" si="152"/>
        <v>3.4588630987114031</v>
      </c>
      <c r="P1196" s="3">
        <f t="shared" si="154"/>
        <v>3.4891616768470146</v>
      </c>
      <c r="Q1196" s="4" t="str">
        <f t="shared" si="159"/>
        <v>OVER</v>
      </c>
      <c r="R1196" s="4" t="str">
        <f t="shared" si="159"/>
        <v>OVER</v>
      </c>
      <c r="S1196" s="4" t="str">
        <f t="shared" si="157"/>
        <v>OVER</v>
      </c>
      <c r="T1196" s="4" t="str">
        <f t="shared" si="157"/>
        <v>OVER</v>
      </c>
      <c r="U1196" s="2">
        <f>IF(Q1196="OVER",$J1196,$K1196)</f>
        <v>281.65470042485049</v>
      </c>
      <c r="V1196" s="2">
        <f>IF(R1196="OVER",$J1196,$K1196)</f>
        <v>281.65470042485049</v>
      </c>
      <c r="W1196" s="2">
        <f>IF(S1196="OVER",$J1196,$K1196)</f>
        <v>281.65470042485049</v>
      </c>
      <c r="X1196" s="2">
        <f>IF(T1196="OVER",$J1196,$K1196)</f>
        <v>281.65470042485049</v>
      </c>
      <c r="Y1196" s="9">
        <f t="shared" si="158"/>
        <v>-3359.5068979511316</v>
      </c>
      <c r="Z1196" s="9">
        <f t="shared" si="158"/>
        <v>15162.677619263828</v>
      </c>
      <c r="AA1196" s="9">
        <f t="shared" si="158"/>
        <v>84314.3739019817</v>
      </c>
      <c r="AB1196" s="9">
        <f t="shared" si="155"/>
        <v>37640.45116514041</v>
      </c>
    </row>
    <row r="1197" spans="1:28" x14ac:dyDescent="0.3">
      <c r="A1197" s="1">
        <v>46154</v>
      </c>
      <c r="B1197" s="2">
        <v>203.81</v>
      </c>
      <c r="C1197" s="2">
        <v>738.18</v>
      </c>
      <c r="D1197" s="9">
        <f>B1197-B1196</f>
        <v>-0.18000000000000682</v>
      </c>
      <c r="E1197" s="9">
        <f>C1197-C1196</f>
        <v>-1.1200000000000045</v>
      </c>
      <c r="F1197" s="3">
        <f>F$1/B1197</f>
        <v>490.65305922182426</v>
      </c>
      <c r="G1197" s="3">
        <f>F$1/C1197</f>
        <v>135.46831396136446</v>
      </c>
      <c r="H1197" s="2">
        <f>D1197*F1196</f>
        <v>-88.239619589198881</v>
      </c>
      <c r="I1197" s="2">
        <f>E1197*G1196</f>
        <v>-151.49465710807581</v>
      </c>
      <c r="J1197" s="2">
        <f>I1197-H1197</f>
        <v>-63.255037518876932</v>
      </c>
      <c r="K1197" s="2">
        <f t="shared" si="153"/>
        <v>63.255037518876932</v>
      </c>
      <c r="L1197" s="3">
        <f>C1197/B1197</f>
        <v>3.621902752563662</v>
      </c>
      <c r="M1197" s="3">
        <f t="shared" si="156"/>
        <v>3.5794996047543903</v>
      </c>
      <c r="N1197" s="3">
        <f t="shared" si="160"/>
        <v>3.5440390064044798</v>
      </c>
      <c r="O1197" s="3">
        <f t="shared" si="152"/>
        <v>3.4642030551263794</v>
      </c>
      <c r="P1197" s="3">
        <f t="shared" si="154"/>
        <v>3.4903026719926702</v>
      </c>
      <c r="Q1197" s="4" t="str">
        <f t="shared" si="159"/>
        <v>OVER</v>
      </c>
      <c r="R1197" s="4" t="str">
        <f t="shared" si="159"/>
        <v>OVER</v>
      </c>
      <c r="S1197" s="4" t="str">
        <f t="shared" si="157"/>
        <v>OVER</v>
      </c>
      <c r="T1197" s="4" t="str">
        <f t="shared" si="157"/>
        <v>OVER</v>
      </c>
      <c r="U1197" s="2">
        <f>IF(Q1197="OVER",$J1197,$K1197)</f>
        <v>-63.255037518876932</v>
      </c>
      <c r="V1197" s="2">
        <f>IF(R1197="OVER",$J1197,$K1197)</f>
        <v>-63.255037518876932</v>
      </c>
      <c r="W1197" s="2">
        <f>IF(S1197="OVER",$J1197,$K1197)</f>
        <v>-63.255037518876932</v>
      </c>
      <c r="X1197" s="2">
        <f>IF(T1197="OVER",$J1197,$K1197)</f>
        <v>-63.255037518876932</v>
      </c>
      <c r="Y1197" s="9">
        <f t="shared" si="158"/>
        <v>-3422.7619354700087</v>
      </c>
      <c r="Z1197" s="9">
        <f t="shared" si="158"/>
        <v>15099.422581744951</v>
      </c>
      <c r="AA1197" s="9">
        <f t="shared" si="158"/>
        <v>84251.118864462827</v>
      </c>
      <c r="AB1197" s="9">
        <f t="shared" si="155"/>
        <v>37577.19612762153</v>
      </c>
    </row>
    <row r="1198" spans="1:28" x14ac:dyDescent="0.3">
      <c r="A1198" s="1">
        <v>46155</v>
      </c>
      <c r="B1198" s="2">
        <v>202.92</v>
      </c>
      <c r="C1198" s="2">
        <v>742.31</v>
      </c>
      <c r="D1198" s="9">
        <f>B1198-B1197</f>
        <v>-0.89000000000001478</v>
      </c>
      <c r="E1198" s="9">
        <f>C1198-C1197</f>
        <v>4.1299999999999955</v>
      </c>
      <c r="F1198" s="3">
        <f>F$1/B1198</f>
        <v>492.80504632367439</v>
      </c>
      <c r="G1198" s="3">
        <f>F$1/C1198</f>
        <v>134.7146071048484</v>
      </c>
      <c r="H1198" s="2">
        <f>D1198*F1197</f>
        <v>-436.68122270743083</v>
      </c>
      <c r="I1198" s="2">
        <f>E1198*G1197</f>
        <v>559.48413666043461</v>
      </c>
      <c r="J1198" s="2">
        <f>I1198-H1198</f>
        <v>996.16535936786545</v>
      </c>
      <c r="K1198" s="2">
        <f t="shared" si="153"/>
        <v>-996.16535936786545</v>
      </c>
      <c r="L1198" s="3">
        <f>C1198/B1198</f>
        <v>3.658141139365267</v>
      </c>
      <c r="M1198" s="3">
        <f t="shared" si="156"/>
        <v>3.5902515960423464</v>
      </c>
      <c r="N1198" s="3">
        <f t="shared" si="160"/>
        <v>3.55172451428147</v>
      </c>
      <c r="O1198" s="3">
        <f t="shared" si="152"/>
        <v>3.4700331384045793</v>
      </c>
      <c r="P1198" s="3">
        <f t="shared" si="154"/>
        <v>3.4915282185425669</v>
      </c>
      <c r="Q1198" s="4" t="str">
        <f t="shared" si="159"/>
        <v>OVER</v>
      </c>
      <c r="R1198" s="4" t="str">
        <f t="shared" si="159"/>
        <v>OVER</v>
      </c>
      <c r="S1198" s="4" t="str">
        <f t="shared" si="157"/>
        <v>OVER</v>
      </c>
      <c r="T1198" s="4" t="str">
        <f t="shared" si="157"/>
        <v>OVER</v>
      </c>
      <c r="U1198" s="2">
        <f>IF(Q1198="OVER",$J1198,$K1198)</f>
        <v>996.16535936786545</v>
      </c>
      <c r="V1198" s="2">
        <f>IF(R1198="OVER",$J1198,$K1198)</f>
        <v>996.16535936786545</v>
      </c>
      <c r="W1198" s="2">
        <f>IF(S1198="OVER",$J1198,$K1198)</f>
        <v>996.16535936786545</v>
      </c>
      <c r="X1198" s="2">
        <f>IF(T1198="OVER",$J1198,$K1198)</f>
        <v>996.16535936786545</v>
      </c>
      <c r="Y1198" s="9">
        <f t="shared" si="158"/>
        <v>-2426.5965761021434</v>
      </c>
      <c r="Z1198" s="9">
        <f t="shared" si="158"/>
        <v>16095.587941112817</v>
      </c>
      <c r="AA1198" s="9">
        <f t="shared" si="158"/>
        <v>85247.284223830691</v>
      </c>
      <c r="AB1198" s="9">
        <f t="shared" si="155"/>
        <v>38573.361486989394</v>
      </c>
    </row>
    <row r="1199" spans="1:28" x14ac:dyDescent="0.3">
      <c r="A1199" s="1">
        <v>46156</v>
      </c>
      <c r="B1199" s="2">
        <v>203.66</v>
      </c>
      <c r="C1199" s="2">
        <v>748.17</v>
      </c>
      <c r="D1199" s="9">
        <f>B1199-B1198</f>
        <v>0.74000000000000909</v>
      </c>
      <c r="E1199" s="9">
        <f>C1199-C1198</f>
        <v>5.8600000000000136</v>
      </c>
      <c r="F1199" s="3">
        <f>F$1/B1199</f>
        <v>491.01443582441323</v>
      </c>
      <c r="G1199" s="3">
        <f>F$1/C1199</f>
        <v>133.65946242164216</v>
      </c>
      <c r="H1199" s="2">
        <f>D1199*F1198</f>
        <v>364.67573427952351</v>
      </c>
      <c r="I1199" s="2">
        <f>E1199*G1198</f>
        <v>789.42759763441347</v>
      </c>
      <c r="J1199" s="2">
        <f>I1199-H1199</f>
        <v>424.75186335488996</v>
      </c>
      <c r="K1199" s="2">
        <f t="shared" si="153"/>
        <v>-424.75186335488996</v>
      </c>
      <c r="L1199" s="3">
        <f>C1199/B1199</f>
        <v>3.6736227045075123</v>
      </c>
      <c r="M1199" s="3">
        <f t="shared" si="156"/>
        <v>3.6043598358206639</v>
      </c>
      <c r="N1199" s="3">
        <f t="shared" si="160"/>
        <v>3.5605501869869096</v>
      </c>
      <c r="O1199" s="3">
        <f t="shared" si="152"/>
        <v>3.4759685034316901</v>
      </c>
      <c r="P1199" s="3">
        <f t="shared" si="154"/>
        <v>3.4928679720157829</v>
      </c>
      <c r="Q1199" s="4" t="str">
        <f t="shared" si="159"/>
        <v>OVER</v>
      </c>
      <c r="R1199" s="4" t="str">
        <f t="shared" si="159"/>
        <v>OVER</v>
      </c>
      <c r="S1199" s="4" t="str">
        <f t="shared" si="157"/>
        <v>OVER</v>
      </c>
      <c r="T1199" s="4" t="str">
        <f t="shared" si="157"/>
        <v>OVER</v>
      </c>
      <c r="U1199" s="2">
        <f>IF(Q1199="OVER",$J1199,$K1199)</f>
        <v>424.75186335488996</v>
      </c>
      <c r="V1199" s="2">
        <f>IF(R1199="OVER",$J1199,$K1199)</f>
        <v>424.75186335488996</v>
      </c>
      <c r="W1199" s="2">
        <f>IF(S1199="OVER",$J1199,$K1199)</f>
        <v>424.75186335488996</v>
      </c>
      <c r="X1199" s="2">
        <f>IF(T1199="OVER",$J1199,$K1199)</f>
        <v>424.75186335488996</v>
      </c>
      <c r="Y1199" s="9">
        <f t="shared" si="158"/>
        <v>-2001.8447127472534</v>
      </c>
      <c r="Z1199" s="9">
        <f t="shared" si="158"/>
        <v>16520.339804467709</v>
      </c>
      <c r="AA1199" s="9">
        <f t="shared" si="158"/>
        <v>85672.036087185581</v>
      </c>
      <c r="AB1199" s="9">
        <f t="shared" si="155"/>
        <v>38998.113350344283</v>
      </c>
    </row>
    <row r="1200" spans="1:28" x14ac:dyDescent="0.3">
      <c r="A1200" s="1">
        <v>46157</v>
      </c>
      <c r="B1200" s="2">
        <v>201.56</v>
      </c>
      <c r="C1200" s="2">
        <v>739.17</v>
      </c>
      <c r="D1200" s="9">
        <f>B1200-B1199</f>
        <v>-2.0999999999999943</v>
      </c>
      <c r="E1200" s="9">
        <f>C1200-C1199</f>
        <v>-9</v>
      </c>
      <c r="F1200" s="3">
        <f>F$1/B1200</f>
        <v>496.13018456042863</v>
      </c>
      <c r="G1200" s="3">
        <f>F$1/C1200</f>
        <v>135.2868758201767</v>
      </c>
      <c r="H1200" s="2">
        <f>D1200*F1199</f>
        <v>-1031.1303152312651</v>
      </c>
      <c r="I1200" s="2">
        <f>E1200*G1199</f>
        <v>-1202.9351617947796</v>
      </c>
      <c r="J1200" s="2">
        <f>I1200-H1200</f>
        <v>-171.8048465635145</v>
      </c>
      <c r="K1200" s="2">
        <f t="shared" si="153"/>
        <v>171.8048465635145</v>
      </c>
      <c r="L1200" s="3">
        <f>C1200/B1200</f>
        <v>3.6672454852153202</v>
      </c>
      <c r="M1200" s="3">
        <f t="shared" si="156"/>
        <v>3.6157693266555762</v>
      </c>
      <c r="N1200" s="3">
        <f t="shared" si="160"/>
        <v>3.5691388837717937</v>
      </c>
      <c r="O1200" s="3">
        <f t="shared" si="152"/>
        <v>3.4813658714984181</v>
      </c>
      <c r="P1200" s="3">
        <f t="shared" si="154"/>
        <v>3.4940862413153746</v>
      </c>
      <c r="Q1200" s="4" t="str">
        <f t="shared" si="159"/>
        <v>OVER</v>
      </c>
      <c r="R1200" s="4" t="str">
        <f t="shared" si="159"/>
        <v>OVER</v>
      </c>
      <c r="S1200" s="4" t="str">
        <f t="shared" si="157"/>
        <v>OVER</v>
      </c>
      <c r="T1200" s="4" t="str">
        <f t="shared" si="157"/>
        <v>OVER</v>
      </c>
      <c r="U1200" s="2">
        <f>IF(Q1200="OVER",$J1200,$K1200)</f>
        <v>-171.8048465635145</v>
      </c>
      <c r="V1200" s="2">
        <f>IF(R1200="OVER",$J1200,$K1200)</f>
        <v>-171.8048465635145</v>
      </c>
      <c r="W1200" s="2">
        <f>IF(S1200="OVER",$J1200,$K1200)</f>
        <v>-171.8048465635145</v>
      </c>
      <c r="X1200" s="2">
        <f>IF(T1200="OVER",$J1200,$K1200)</f>
        <v>-171.8048465635145</v>
      </c>
      <c r="Y1200" s="9">
        <f t="shared" si="158"/>
        <v>-2173.6495593107679</v>
      </c>
      <c r="Z1200" s="9">
        <f t="shared" si="158"/>
        <v>16348.534957904194</v>
      </c>
      <c r="AA1200" s="9">
        <f t="shared" si="158"/>
        <v>85500.231240622074</v>
      </c>
      <c r="AB1200" s="9">
        <f t="shared" si="155"/>
        <v>38826.308503780769</v>
      </c>
    </row>
    <row r="1201" spans="1:28" x14ac:dyDescent="0.3">
      <c r="A1201" s="1">
        <v>46160</v>
      </c>
      <c r="B1201" s="2">
        <v>202.8</v>
      </c>
      <c r="C1201" s="2">
        <v>738.65</v>
      </c>
      <c r="D1201" s="9">
        <f>B1201-B1200</f>
        <v>1.2400000000000091</v>
      </c>
      <c r="E1201" s="9">
        <f>C1201-C1200</f>
        <v>-0.51999999999998181</v>
      </c>
      <c r="F1201" s="3">
        <f>F$1/B1201</f>
        <v>493.09664694280076</v>
      </c>
      <c r="G1201" s="3">
        <f>F$1/C1201</f>
        <v>135.38211602247344</v>
      </c>
      <c r="H1201" s="2">
        <f>D1201*F1200</f>
        <v>615.20142885493601</v>
      </c>
      <c r="I1201" s="2">
        <f>E1201*G1200</f>
        <v>-70.349175426489424</v>
      </c>
      <c r="J1201" s="2">
        <f>I1201-H1201</f>
        <v>-685.55060428142542</v>
      </c>
      <c r="K1201" s="2">
        <f t="shared" si="153"/>
        <v>685.55060428142542</v>
      </c>
      <c r="L1201" s="3">
        <f>C1201/B1201</f>
        <v>3.6422583826429977</v>
      </c>
      <c r="M1201" s="3">
        <f t="shared" si="156"/>
        <v>3.6239100627576071</v>
      </c>
      <c r="N1201" s="3">
        <f t="shared" si="160"/>
        <v>3.5773754535418241</v>
      </c>
      <c r="O1201" s="3">
        <f t="shared" si="152"/>
        <v>3.486345280887337</v>
      </c>
      <c r="P1201" s="3">
        <f t="shared" si="154"/>
        <v>3.4950868378084521</v>
      </c>
      <c r="Q1201" s="4" t="str">
        <f t="shared" si="159"/>
        <v>OVER</v>
      </c>
      <c r="R1201" s="4" t="str">
        <f t="shared" si="159"/>
        <v>OVER</v>
      </c>
      <c r="S1201" s="4" t="str">
        <f t="shared" si="157"/>
        <v>OVER</v>
      </c>
      <c r="T1201" s="4" t="str">
        <f t="shared" si="157"/>
        <v>OVER</v>
      </c>
      <c r="U1201" s="2">
        <f>IF(Q1201="OVER",$J1201,$K1201)</f>
        <v>-685.55060428142542</v>
      </c>
      <c r="V1201" s="2">
        <f>IF(R1201="OVER",$J1201,$K1201)</f>
        <v>-685.55060428142542</v>
      </c>
      <c r="W1201" s="2">
        <f>IF(S1201="OVER",$J1201,$K1201)</f>
        <v>-685.55060428142542</v>
      </c>
      <c r="X1201" s="2">
        <f>IF(T1201="OVER",$J1201,$K1201)</f>
        <v>-685.55060428142542</v>
      </c>
      <c r="Y1201" s="9">
        <f t="shared" si="158"/>
        <v>-2859.2001635921933</v>
      </c>
      <c r="Z1201" s="9">
        <f t="shared" si="158"/>
        <v>15662.984353622769</v>
      </c>
      <c r="AA1201" s="9">
        <f t="shared" si="158"/>
        <v>84814.68063634065</v>
      </c>
      <c r="AB1201" s="9">
        <f t="shared" si="155"/>
        <v>38140.757899499346</v>
      </c>
    </row>
    <row r="1202" spans="1:28" x14ac:dyDescent="0.3">
      <c r="A1202" s="1">
        <v>46161</v>
      </c>
      <c r="B1202" s="2">
        <v>201.62</v>
      </c>
      <c r="C1202" s="2">
        <v>733.73</v>
      </c>
      <c r="D1202" s="9">
        <f>B1202-B1201</f>
        <v>-1.1800000000000068</v>
      </c>
      <c r="E1202" s="9">
        <f>C1202-C1201</f>
        <v>-4.9199999999999591</v>
      </c>
      <c r="F1202" s="3">
        <f>F$1/B1202</f>
        <v>495.9825414145422</v>
      </c>
      <c r="G1202" s="3">
        <f>F$1/C1202</f>
        <v>136.28991590912187</v>
      </c>
      <c r="H1202" s="2">
        <f>D1202*F1201</f>
        <v>-581.85404339250829</v>
      </c>
      <c r="I1202" s="2">
        <f>E1202*G1201</f>
        <v>-666.08001083056377</v>
      </c>
      <c r="J1202" s="2">
        <f>I1202-H1202</f>
        <v>-84.225967438055477</v>
      </c>
      <c r="K1202" s="2">
        <f t="shared" si="153"/>
        <v>84.225967438055477</v>
      </c>
      <c r="L1202" s="3">
        <f>C1202/B1202</f>
        <v>3.6391727011209207</v>
      </c>
      <c r="M1202" s="3">
        <f t="shared" si="156"/>
        <v>3.6317114108071129</v>
      </c>
      <c r="N1202" s="3">
        <f t="shared" si="160"/>
        <v>3.5855300895852813</v>
      </c>
      <c r="O1202" s="3">
        <f t="shared" si="152"/>
        <v>3.4908614106683986</v>
      </c>
      <c r="P1202" s="3">
        <f t="shared" si="154"/>
        <v>3.4961610886240364</v>
      </c>
      <c r="Q1202" s="4" t="str">
        <f t="shared" si="159"/>
        <v>OVER</v>
      </c>
      <c r="R1202" s="4" t="str">
        <f t="shared" si="159"/>
        <v>OVER</v>
      </c>
      <c r="S1202" s="4" t="str">
        <f t="shared" si="157"/>
        <v>OVER</v>
      </c>
      <c r="T1202" s="4" t="str">
        <f t="shared" si="157"/>
        <v>OVER</v>
      </c>
      <c r="U1202" s="2">
        <f>IF(Q1202="OVER",$J1202,$K1202)</f>
        <v>-84.225967438055477</v>
      </c>
      <c r="V1202" s="2">
        <f>IF(R1202="OVER",$J1202,$K1202)</f>
        <v>-84.225967438055477</v>
      </c>
      <c r="W1202" s="2">
        <f>IF(S1202="OVER",$J1202,$K1202)</f>
        <v>-84.225967438055477</v>
      </c>
      <c r="X1202" s="2">
        <f>IF(T1202="OVER",$J1202,$K1202)</f>
        <v>-84.225967438055477</v>
      </c>
      <c r="Y1202" s="9">
        <f t="shared" si="158"/>
        <v>-2943.4261310302491</v>
      </c>
      <c r="Z1202" s="9">
        <f t="shared" si="158"/>
        <v>15578.758386184714</v>
      </c>
      <c r="AA1202" s="9">
        <f t="shared" si="158"/>
        <v>84730.454668902588</v>
      </c>
      <c r="AB1202" s="9">
        <f t="shared" si="155"/>
        <v>38056.531932061291</v>
      </c>
    </row>
    <row r="1203" spans="1:28" x14ac:dyDescent="0.3">
      <c r="A1203" s="1">
        <v>46162</v>
      </c>
      <c r="B1203" s="2">
        <v>203.83</v>
      </c>
      <c r="C1203" s="2">
        <v>741.25</v>
      </c>
      <c r="D1203" s="9">
        <f>B1203-B1202</f>
        <v>2.210000000000008</v>
      </c>
      <c r="E1203" s="9">
        <f>C1203-C1202</f>
        <v>7.5199999999999818</v>
      </c>
      <c r="F1203" s="3">
        <f>F$1/B1203</f>
        <v>490.60491586125693</v>
      </c>
      <c r="G1203" s="3">
        <f>F$1/C1203</f>
        <v>134.90725126475547</v>
      </c>
      <c r="H1203" s="2">
        <f>D1203*F1202</f>
        <v>1096.1214165261422</v>
      </c>
      <c r="I1203" s="2">
        <f>E1203*G1202</f>
        <v>1024.900167636594</v>
      </c>
      <c r="J1203" s="2">
        <f>I1203-H1203</f>
        <v>-71.221248889548178</v>
      </c>
      <c r="K1203" s="2">
        <f t="shared" si="153"/>
        <v>71.221248889548178</v>
      </c>
      <c r="L1203" s="3">
        <f>C1203/B1203</f>
        <v>3.6366089388215666</v>
      </c>
      <c r="M1203" s="3">
        <f t="shared" si="156"/>
        <v>3.63714433300267</v>
      </c>
      <c r="N1203" s="3">
        <f t="shared" si="160"/>
        <v>3.5917184343827264</v>
      </c>
      <c r="O1203" s="3">
        <f t="shared" si="152"/>
        <v>3.4949210410217488</v>
      </c>
      <c r="P1203" s="3">
        <f t="shared" si="154"/>
        <v>3.49717224301452</v>
      </c>
      <c r="Q1203" s="4" t="str">
        <f t="shared" si="159"/>
        <v>OVER</v>
      </c>
      <c r="R1203" s="4" t="str">
        <f t="shared" si="159"/>
        <v>OVER</v>
      </c>
      <c r="S1203" s="4" t="str">
        <f t="shared" si="157"/>
        <v>OVER</v>
      </c>
      <c r="T1203" s="4" t="str">
        <f t="shared" si="157"/>
        <v>OVER</v>
      </c>
      <c r="U1203" s="2">
        <f>IF(Q1203="OVER",$J1203,$K1203)</f>
        <v>-71.221248889548178</v>
      </c>
      <c r="V1203" s="2">
        <f>IF(R1203="OVER",$J1203,$K1203)</f>
        <v>-71.221248889548178</v>
      </c>
      <c r="W1203" s="2">
        <f>IF(S1203="OVER",$J1203,$K1203)</f>
        <v>-71.221248889548178</v>
      </c>
      <c r="X1203" s="2">
        <f>IF(T1203="OVER",$J1203,$K1203)</f>
        <v>-71.221248889548178</v>
      </c>
      <c r="Y1203" s="9">
        <f t="shared" si="158"/>
        <v>-3014.6473799197975</v>
      </c>
      <c r="Z1203" s="9">
        <f t="shared" si="158"/>
        <v>15507.537137295167</v>
      </c>
      <c r="AA1203" s="9">
        <f t="shared" si="158"/>
        <v>84659.233420013043</v>
      </c>
      <c r="AB1203" s="9">
        <f t="shared" si="155"/>
        <v>37985.310683171745</v>
      </c>
    </row>
    <row r="1204" spans="1:28" x14ac:dyDescent="0.3">
      <c r="A1204" s="1">
        <v>46163</v>
      </c>
      <c r="B1204" s="2">
        <v>204.71</v>
      </c>
      <c r="C1204" s="2">
        <v>742.72</v>
      </c>
      <c r="D1204" s="9">
        <f>B1204-B1203</f>
        <v>0.87999999999999545</v>
      </c>
      <c r="E1204" s="9">
        <f>C1204-C1203</f>
        <v>1.4700000000000273</v>
      </c>
      <c r="F1204" s="3">
        <f>F$1/B1204</f>
        <v>488.49592105905913</v>
      </c>
      <c r="G1204" s="3">
        <f>F$1/C1204</f>
        <v>134.64024127531235</v>
      </c>
      <c r="H1204" s="2">
        <f>D1204*F1203</f>
        <v>431.73232595790387</v>
      </c>
      <c r="I1204" s="2">
        <f>E1204*G1203</f>
        <v>198.31365935919422</v>
      </c>
      <c r="J1204" s="2">
        <f>I1204-H1204</f>
        <v>-233.41866659870965</v>
      </c>
      <c r="K1204" s="2">
        <f t="shared" si="153"/>
        <v>233.41866659870965</v>
      </c>
      <c r="L1204" s="3">
        <f>C1204/B1204</f>
        <v>3.6281569048898441</v>
      </c>
      <c r="M1204" s="3">
        <f t="shared" si="156"/>
        <v>3.6405319012552382</v>
      </c>
      <c r="N1204" s="3">
        <f t="shared" si="160"/>
        <v>3.5981571514474218</v>
      </c>
      <c r="O1204" s="3">
        <f t="shared" si="152"/>
        <v>3.4986710336751754</v>
      </c>
      <c r="P1204" s="3">
        <f t="shared" si="154"/>
        <v>3.498180654537387</v>
      </c>
      <c r="Q1204" s="4" t="str">
        <f t="shared" si="159"/>
        <v>UNDER</v>
      </c>
      <c r="R1204" s="4" t="str">
        <f t="shared" si="159"/>
        <v>OVER</v>
      </c>
      <c r="S1204" s="4" t="str">
        <f t="shared" si="157"/>
        <v>OVER</v>
      </c>
      <c r="T1204" s="4" t="str">
        <f t="shared" si="157"/>
        <v>OVER</v>
      </c>
      <c r="U1204" s="2">
        <f>IF(Q1204="OVER",$J1204,$K1204)</f>
        <v>233.41866659870965</v>
      </c>
      <c r="V1204" s="2">
        <f>IF(R1204="OVER",$J1204,$K1204)</f>
        <v>-233.41866659870965</v>
      </c>
      <c r="W1204" s="2">
        <f>IF(S1204="OVER",$J1204,$K1204)</f>
        <v>-233.41866659870965</v>
      </c>
      <c r="X1204" s="2">
        <f>IF(T1204="OVER",$J1204,$K1204)</f>
        <v>-233.41866659870965</v>
      </c>
      <c r="Y1204" s="9">
        <f t="shared" si="158"/>
        <v>-2781.228713321088</v>
      </c>
      <c r="Z1204" s="9">
        <f t="shared" si="158"/>
        <v>15274.118470696458</v>
      </c>
      <c r="AA1204" s="9">
        <f t="shared" si="158"/>
        <v>84425.814753414335</v>
      </c>
      <c r="AB1204" s="9">
        <f t="shared" si="155"/>
        <v>37751.892016573038</v>
      </c>
    </row>
    <row r="1205" spans="1:28" x14ac:dyDescent="0.3">
      <c r="A1205" s="1">
        <v>46164</v>
      </c>
      <c r="B1205" s="2">
        <v>206.58</v>
      </c>
      <c r="C1205" s="2">
        <v>745.64</v>
      </c>
      <c r="D1205" s="9">
        <f>B1205-B1204</f>
        <v>1.8700000000000045</v>
      </c>
      <c r="E1205" s="9">
        <f>C1205-C1204</f>
        <v>2.9199999999999591</v>
      </c>
      <c r="F1205" s="3">
        <f>F$1/B1205</f>
        <v>484.07396650208148</v>
      </c>
      <c r="G1205" s="3">
        <f>F$1/C1205</f>
        <v>134.11297677163242</v>
      </c>
      <c r="H1205" s="2">
        <f>D1205*F1204</f>
        <v>913.48737238044282</v>
      </c>
      <c r="I1205" s="2">
        <f>E1205*G1204</f>
        <v>393.14950452390656</v>
      </c>
      <c r="J1205" s="2">
        <f>I1205-H1205</f>
        <v>-520.33786785653626</v>
      </c>
      <c r="K1205" s="2">
        <f t="shared" si="153"/>
        <v>520.33786785653626</v>
      </c>
      <c r="L1205" s="3">
        <f>C1205/B1205</f>
        <v>3.6094491238261202</v>
      </c>
      <c r="M1205" s="3">
        <f t="shared" si="156"/>
        <v>3.6400755397524995</v>
      </c>
      <c r="N1205" s="3">
        <f t="shared" si="160"/>
        <v>3.6019380271803798</v>
      </c>
      <c r="O1205" s="3">
        <f t="shared" ref="O1205:O1257" si="161">AVERAGE(L1156:L1205)</f>
        <v>3.5020272770414822</v>
      </c>
      <c r="P1205" s="3">
        <f t="shared" si="154"/>
        <v>3.4989255923800768</v>
      </c>
      <c r="Q1205" s="4" t="str">
        <f t="shared" si="159"/>
        <v>UNDER</v>
      </c>
      <c r="R1205" s="4" t="str">
        <f t="shared" si="159"/>
        <v>OVER</v>
      </c>
      <c r="S1205" s="4" t="str">
        <f t="shared" si="157"/>
        <v>OVER</v>
      </c>
      <c r="T1205" s="4" t="str">
        <f t="shared" si="157"/>
        <v>OVER</v>
      </c>
      <c r="U1205" s="2">
        <f>IF(Q1205="OVER",$J1205,$K1205)</f>
        <v>520.33786785653626</v>
      </c>
      <c r="V1205" s="2">
        <f>IF(R1205="OVER",$J1205,$K1205)</f>
        <v>-520.33786785653626</v>
      </c>
      <c r="W1205" s="2">
        <f>IF(S1205="OVER",$J1205,$K1205)</f>
        <v>-520.33786785653626</v>
      </c>
      <c r="X1205" s="2">
        <f>IF(T1205="OVER",$J1205,$K1205)</f>
        <v>-520.33786785653626</v>
      </c>
      <c r="Y1205" s="9">
        <f t="shared" si="158"/>
        <v>-2260.8908454645516</v>
      </c>
      <c r="Z1205" s="9">
        <f t="shared" si="158"/>
        <v>14753.780602839921</v>
      </c>
      <c r="AA1205" s="9">
        <f t="shared" si="158"/>
        <v>83905.4768855578</v>
      </c>
      <c r="AB1205" s="9">
        <f t="shared" si="155"/>
        <v>37231.554148716503</v>
      </c>
    </row>
    <row r="1206" spans="1:28" x14ac:dyDescent="0.3">
      <c r="A1206" s="1">
        <v>46168</v>
      </c>
      <c r="B1206" s="2">
        <v>207.64</v>
      </c>
      <c r="C1206" s="2">
        <v>750.59</v>
      </c>
      <c r="D1206" s="9">
        <f>B1206-B1205</f>
        <v>1.0599999999999739</v>
      </c>
      <c r="E1206" s="9">
        <f>C1206-C1205</f>
        <v>4.9500000000000455</v>
      </c>
      <c r="F1206" s="3">
        <f>F$1/B1206</f>
        <v>481.60277403197847</v>
      </c>
      <c r="G1206" s="3">
        <f>F$1/C1206</f>
        <v>133.22852689217814</v>
      </c>
      <c r="H1206" s="2">
        <f>D1206*F1205</f>
        <v>513.11840449219369</v>
      </c>
      <c r="I1206" s="2">
        <f>E1206*G1205</f>
        <v>663.85923501958655</v>
      </c>
      <c r="J1206" s="2">
        <f>I1206-H1206</f>
        <v>150.74083052739286</v>
      </c>
      <c r="K1206" s="2">
        <f t="shared" si="153"/>
        <v>-150.74083052739286</v>
      </c>
      <c r="L1206" s="3">
        <f>C1206/B1206</f>
        <v>3.614862261606627</v>
      </c>
      <c r="M1206" s="3">
        <f t="shared" si="156"/>
        <v>3.6391420394559839</v>
      </c>
      <c r="N1206" s="3">
        <f t="shared" si="160"/>
        <v>3.6054746384518999</v>
      </c>
      <c r="O1206" s="3">
        <f t="shared" si="161"/>
        <v>3.5058778500950285</v>
      </c>
      <c r="P1206" s="3">
        <f t="shared" si="154"/>
        <v>3.4997016820738827</v>
      </c>
      <c r="Q1206" s="4" t="str">
        <f t="shared" si="159"/>
        <v>UNDER</v>
      </c>
      <c r="R1206" s="4" t="str">
        <f t="shared" si="159"/>
        <v>OVER</v>
      </c>
      <c r="S1206" s="4" t="str">
        <f t="shared" si="157"/>
        <v>OVER</v>
      </c>
      <c r="T1206" s="4" t="str">
        <f t="shared" si="157"/>
        <v>OVER</v>
      </c>
      <c r="U1206" s="2">
        <f>IF(Q1206="OVER",$J1206,$K1206)</f>
        <v>-150.74083052739286</v>
      </c>
      <c r="V1206" s="2">
        <f>IF(R1206="OVER",$J1206,$K1206)</f>
        <v>150.74083052739286</v>
      </c>
      <c r="W1206" s="2">
        <f>IF(S1206="OVER",$J1206,$K1206)</f>
        <v>150.74083052739286</v>
      </c>
      <c r="X1206" s="2">
        <f>IF(T1206="OVER",$J1206,$K1206)</f>
        <v>150.74083052739286</v>
      </c>
      <c r="Y1206" s="9">
        <f t="shared" si="158"/>
        <v>-2411.6316759919446</v>
      </c>
      <c r="Z1206" s="9">
        <f t="shared" si="158"/>
        <v>14904.521433367314</v>
      </c>
      <c r="AA1206" s="9">
        <f t="shared" si="158"/>
        <v>84056.217716085186</v>
      </c>
      <c r="AB1206" s="9">
        <f t="shared" si="155"/>
        <v>37382.294979243896</v>
      </c>
    </row>
    <row r="1207" spans="1:28" x14ac:dyDescent="0.3">
      <c r="A1207" s="1">
        <v>46169</v>
      </c>
      <c r="B1207" s="2">
        <v>207.49</v>
      </c>
      <c r="C1207" s="2">
        <v>750.46</v>
      </c>
      <c r="D1207" s="9">
        <f>B1207-B1206</f>
        <v>-0.14999999999997726</v>
      </c>
      <c r="E1207" s="9">
        <f>C1207-C1206</f>
        <v>-0.12999999999999545</v>
      </c>
      <c r="F1207" s="3">
        <f>F$1/B1207</f>
        <v>481.9509373945732</v>
      </c>
      <c r="G1207" s="3">
        <f>F$1/C1207</f>
        <v>133.25160568184845</v>
      </c>
      <c r="H1207" s="2">
        <f>D1207*F1206</f>
        <v>-72.240416104785822</v>
      </c>
      <c r="I1207" s="2">
        <f>E1207*G1206</f>
        <v>-17.319708495982553</v>
      </c>
      <c r="J1207" s="2">
        <f>I1207-H1207</f>
        <v>54.920707608803269</v>
      </c>
      <c r="K1207" s="2">
        <f t="shared" si="153"/>
        <v>-54.920707608803269</v>
      </c>
      <c r="L1207" s="3">
        <f>C1207/B1207</f>
        <v>3.6168490047713142</v>
      </c>
      <c r="M1207" s="3">
        <f t="shared" si="156"/>
        <v>3.6386366646767501</v>
      </c>
      <c r="N1207" s="3">
        <f t="shared" si="160"/>
        <v>3.60906813471557</v>
      </c>
      <c r="O1207" s="3">
        <f t="shared" si="161"/>
        <v>3.509582290182248</v>
      </c>
      <c r="P1207" s="3">
        <f t="shared" si="154"/>
        <v>3.5003842447730729</v>
      </c>
      <c r="Q1207" s="4" t="str">
        <f t="shared" si="159"/>
        <v>UNDER</v>
      </c>
      <c r="R1207" s="4" t="str">
        <f t="shared" si="159"/>
        <v>OVER</v>
      </c>
      <c r="S1207" s="4" t="str">
        <f t="shared" si="157"/>
        <v>OVER</v>
      </c>
      <c r="T1207" s="4" t="str">
        <f t="shared" si="157"/>
        <v>OVER</v>
      </c>
      <c r="U1207" s="2">
        <f>IF(Q1207="OVER",$J1207,$K1207)</f>
        <v>-54.920707608803269</v>
      </c>
      <c r="V1207" s="2">
        <f>IF(R1207="OVER",$J1207,$K1207)</f>
        <v>54.920707608803269</v>
      </c>
      <c r="W1207" s="2">
        <f>IF(S1207="OVER",$J1207,$K1207)</f>
        <v>54.920707608803269</v>
      </c>
      <c r="X1207" s="2">
        <f>IF(T1207="OVER",$J1207,$K1207)</f>
        <v>54.920707608803269</v>
      </c>
      <c r="Y1207" s="9">
        <f t="shared" si="158"/>
        <v>-2466.5523836007478</v>
      </c>
      <c r="Z1207" s="9">
        <f t="shared" si="158"/>
        <v>14959.442140976118</v>
      </c>
      <c r="AA1207" s="9">
        <f t="shared" si="158"/>
        <v>84111.138423693992</v>
      </c>
      <c r="AB1207" s="9">
        <f t="shared" si="155"/>
        <v>37437.215686852702</v>
      </c>
    </row>
    <row r="1208" spans="1:28" x14ac:dyDescent="0.3">
      <c r="A1208" s="1">
        <v>46170</v>
      </c>
      <c r="B1208" s="2">
        <v>208.25</v>
      </c>
      <c r="C1208" s="2">
        <v>754.6</v>
      </c>
      <c r="D1208" s="9">
        <f>B1208-B1207</f>
        <v>0.75999999999999091</v>
      </c>
      <c r="E1208" s="9">
        <f>C1208-C1207</f>
        <v>4.1399999999999864</v>
      </c>
      <c r="F1208" s="3">
        <f>F$1/B1208</f>
        <v>480.19207683073228</v>
      </c>
      <c r="G1208" s="3">
        <f>F$1/C1208</f>
        <v>132.52054068380599</v>
      </c>
      <c r="H1208" s="2">
        <f>D1208*F1207</f>
        <v>366.28271241987125</v>
      </c>
      <c r="I1208" s="2">
        <f>E1208*G1207</f>
        <v>551.66164752285079</v>
      </c>
      <c r="J1208" s="2">
        <f>I1208-H1208</f>
        <v>185.37893510297954</v>
      </c>
      <c r="K1208" s="2">
        <f t="shared" si="153"/>
        <v>-185.37893510297954</v>
      </c>
      <c r="L1208" s="3">
        <f>C1208/B1208</f>
        <v>3.6235294117647059</v>
      </c>
      <c r="M1208" s="3">
        <f t="shared" si="156"/>
        <v>3.6351754919166934</v>
      </c>
      <c r="N1208" s="3">
        <f t="shared" si="160"/>
        <v>3.6127135439795195</v>
      </c>
      <c r="O1208" s="3">
        <f t="shared" si="161"/>
        <v>3.5136223759946916</v>
      </c>
      <c r="P1208" s="3">
        <f t="shared" si="154"/>
        <v>3.5010870599773658</v>
      </c>
      <c r="Q1208" s="4" t="str">
        <f t="shared" si="159"/>
        <v>UNDER</v>
      </c>
      <c r="R1208" s="4" t="str">
        <f t="shared" si="159"/>
        <v>OVER</v>
      </c>
      <c r="S1208" s="4" t="str">
        <f t="shared" si="157"/>
        <v>OVER</v>
      </c>
      <c r="T1208" s="4" t="str">
        <f t="shared" si="157"/>
        <v>OVER</v>
      </c>
      <c r="U1208" s="2">
        <f>IF(Q1208="OVER",$J1208,$K1208)</f>
        <v>-185.37893510297954</v>
      </c>
      <c r="V1208" s="2">
        <f>IF(R1208="OVER",$J1208,$K1208)</f>
        <v>185.37893510297954</v>
      </c>
      <c r="W1208" s="2">
        <f>IF(S1208="OVER",$J1208,$K1208)</f>
        <v>185.37893510297954</v>
      </c>
      <c r="X1208" s="2">
        <f>IF(T1208="OVER",$J1208,$K1208)</f>
        <v>185.37893510297954</v>
      </c>
      <c r="Y1208" s="9">
        <f t="shared" si="158"/>
        <v>-2651.9313187037274</v>
      </c>
      <c r="Z1208" s="9">
        <f t="shared" si="158"/>
        <v>15144.821076079097</v>
      </c>
      <c r="AA1208" s="9">
        <f t="shared" si="158"/>
        <v>84296.517358796977</v>
      </c>
      <c r="AB1208" s="9">
        <f t="shared" si="155"/>
        <v>37622.594621955679</v>
      </c>
    </row>
    <row r="1209" spans="1:28" x14ac:dyDescent="0.3">
      <c r="A1209" s="1">
        <v>46171</v>
      </c>
      <c r="B1209" s="2">
        <v>208.83</v>
      </c>
      <c r="C1209" s="2">
        <v>756.48</v>
      </c>
      <c r="D1209" s="9">
        <f>B1209-B1208</f>
        <v>0.58000000000001251</v>
      </c>
      <c r="E1209" s="9">
        <f>C1209-C1208</f>
        <v>1.8799999999999955</v>
      </c>
      <c r="F1209" s="3">
        <f>F$1/B1209</f>
        <v>478.85840157065553</v>
      </c>
      <c r="G1209" s="3">
        <f>F$1/C1209</f>
        <v>132.19120135363789</v>
      </c>
      <c r="H1209" s="2">
        <f>D1209*F1208</f>
        <v>278.51140456183072</v>
      </c>
      <c r="I1209" s="2">
        <f>E1209*G1208</f>
        <v>249.13861648555465</v>
      </c>
      <c r="J1209" s="2">
        <f>I1209-H1209</f>
        <v>-29.372788076276066</v>
      </c>
      <c r="K1209" s="2">
        <f t="shared" si="153"/>
        <v>29.372788076276066</v>
      </c>
      <c r="L1209" s="3">
        <f>C1209/B1209</f>
        <v>3.622468036201695</v>
      </c>
      <c r="M1209" s="3">
        <f t="shared" si="156"/>
        <v>3.6300600250861117</v>
      </c>
      <c r="N1209" s="3">
        <f t="shared" si="160"/>
        <v>3.6172099304533871</v>
      </c>
      <c r="O1209" s="3">
        <f t="shared" si="161"/>
        <v>3.5176962779912735</v>
      </c>
      <c r="P1209" s="3">
        <f t="shared" si="154"/>
        <v>3.5018200058912039</v>
      </c>
      <c r="Q1209" s="4" t="str">
        <f t="shared" si="159"/>
        <v>UNDER</v>
      </c>
      <c r="R1209" s="4" t="str">
        <f t="shared" si="159"/>
        <v>OVER</v>
      </c>
      <c r="S1209" s="4" t="str">
        <f t="shared" si="157"/>
        <v>OVER</v>
      </c>
      <c r="T1209" s="4" t="str">
        <f t="shared" si="157"/>
        <v>OVER</v>
      </c>
      <c r="U1209" s="2">
        <f>IF(Q1209="OVER",$J1209,$K1209)</f>
        <v>29.372788076276066</v>
      </c>
      <c r="V1209" s="2">
        <f>IF(R1209="OVER",$J1209,$K1209)</f>
        <v>-29.372788076276066</v>
      </c>
      <c r="W1209" s="2">
        <f>IF(S1209="OVER",$J1209,$K1209)</f>
        <v>-29.372788076276066</v>
      </c>
      <c r="X1209" s="2">
        <f>IF(T1209="OVER",$J1209,$K1209)</f>
        <v>-29.372788076276066</v>
      </c>
      <c r="Y1209" s="9">
        <f t="shared" si="158"/>
        <v>-2622.5585306274511</v>
      </c>
      <c r="Z1209" s="9">
        <f t="shared" si="158"/>
        <v>15115.448288002821</v>
      </c>
      <c r="AA1209" s="9">
        <f t="shared" si="158"/>
        <v>84267.144570720702</v>
      </c>
      <c r="AB1209" s="9">
        <f t="shared" si="155"/>
        <v>37593.221833879405</v>
      </c>
    </row>
    <row r="1210" spans="1:28" x14ac:dyDescent="0.3">
      <c r="A1210" s="1">
        <v>46174</v>
      </c>
      <c r="B1210" s="2">
        <v>209.21</v>
      </c>
      <c r="C1210" s="2">
        <v>758.54</v>
      </c>
      <c r="D1210" s="9">
        <f>B1210-B1209</f>
        <v>0.37999999999999545</v>
      </c>
      <c r="E1210" s="9">
        <f>C1210-C1209</f>
        <v>2.0599999999999454</v>
      </c>
      <c r="F1210" s="3">
        <f>F$1/B1210</f>
        <v>477.98862387075184</v>
      </c>
      <c r="G1210" s="3">
        <f>F$1/C1210</f>
        <v>131.832203970786</v>
      </c>
      <c r="H1210" s="2">
        <f>D1210*F1209</f>
        <v>181.96619259684692</v>
      </c>
      <c r="I1210" s="2">
        <f>E1210*G1209</f>
        <v>272.31387478848683</v>
      </c>
      <c r="J1210" s="2">
        <f>I1210-H1210</f>
        <v>90.347682191639905</v>
      </c>
      <c r="K1210" s="2">
        <f t="shared" si="153"/>
        <v>-90.347682191639905</v>
      </c>
      <c r="L1210" s="3">
        <f>C1210/B1210</f>
        <v>3.6257349075092011</v>
      </c>
      <c r="M1210" s="3">
        <f t="shared" si="156"/>
        <v>3.6259089673154987</v>
      </c>
      <c r="N1210" s="3">
        <f t="shared" si="160"/>
        <v>3.6208391469855372</v>
      </c>
      <c r="O1210" s="3">
        <f t="shared" si="161"/>
        <v>3.5219510961497345</v>
      </c>
      <c r="P1210" s="3">
        <f t="shared" si="154"/>
        <v>3.5027552816871474</v>
      </c>
      <c r="Q1210" s="4" t="str">
        <f t="shared" si="159"/>
        <v>UNDER</v>
      </c>
      <c r="R1210" s="4" t="str">
        <f t="shared" si="159"/>
        <v>OVER</v>
      </c>
      <c r="S1210" s="4" t="str">
        <f t="shared" si="157"/>
        <v>OVER</v>
      </c>
      <c r="T1210" s="4" t="str">
        <f t="shared" si="157"/>
        <v>OVER</v>
      </c>
      <c r="U1210" s="2">
        <f>IF(Q1210="OVER",$J1210,$K1210)</f>
        <v>-90.347682191639905</v>
      </c>
      <c r="V1210" s="2">
        <f>IF(R1210="OVER",$J1210,$K1210)</f>
        <v>90.347682191639905</v>
      </c>
      <c r="W1210" s="2">
        <f>IF(S1210="OVER",$J1210,$K1210)</f>
        <v>90.347682191639905</v>
      </c>
      <c r="X1210" s="2">
        <f>IF(T1210="OVER",$J1210,$K1210)</f>
        <v>90.347682191639905</v>
      </c>
      <c r="Y1210" s="9">
        <f t="shared" si="158"/>
        <v>-2712.9062128190908</v>
      </c>
      <c r="Z1210" s="9">
        <f t="shared" si="158"/>
        <v>15205.79597019446</v>
      </c>
      <c r="AA1210" s="9">
        <f t="shared" si="158"/>
        <v>84357.492252912343</v>
      </c>
      <c r="AB1210" s="9">
        <f t="shared" si="155"/>
        <v>37683.569516071046</v>
      </c>
    </row>
    <row r="1211" spans="1:28" x14ac:dyDescent="0.3">
      <c r="A1211" s="1">
        <v>46175</v>
      </c>
      <c r="B1211" s="2">
        <v>210.04</v>
      </c>
      <c r="C1211" s="2">
        <v>759.57</v>
      </c>
      <c r="D1211" s="9">
        <f>B1211-B1210</f>
        <v>0.82999999999998408</v>
      </c>
      <c r="E1211" s="9">
        <f>C1211-C1210</f>
        <v>1.0300000000000864</v>
      </c>
      <c r="F1211" s="3">
        <f>F$1/B1211</f>
        <v>476.09979051609218</v>
      </c>
      <c r="G1211" s="3">
        <f>F$1/C1211</f>
        <v>131.65343549639928</v>
      </c>
      <c r="H1211" s="2">
        <f>D1211*F1210</f>
        <v>396.73055781271643</v>
      </c>
      <c r="I1211" s="2">
        <f>E1211*G1210</f>
        <v>135.78717008992098</v>
      </c>
      <c r="J1211" s="2">
        <f>I1211-H1211</f>
        <v>-260.94338772279548</v>
      </c>
      <c r="K1211" s="2">
        <f t="shared" si="153"/>
        <v>260.94338772279548</v>
      </c>
      <c r="L1211" s="3">
        <f>C1211/B1211</f>
        <v>3.6163111788230817</v>
      </c>
      <c r="M1211" s="3">
        <f t="shared" si="156"/>
        <v>3.623314246933508</v>
      </c>
      <c r="N1211" s="3">
        <f t="shared" si="160"/>
        <v>3.6236121548455573</v>
      </c>
      <c r="O1211" s="3">
        <f t="shared" si="161"/>
        <v>3.5261788316959568</v>
      </c>
      <c r="P1211" s="3">
        <f t="shared" si="154"/>
        <v>3.5035292484872316</v>
      </c>
      <c r="Q1211" s="4" t="str">
        <f t="shared" si="159"/>
        <v>UNDER</v>
      </c>
      <c r="R1211" s="4" t="str">
        <f t="shared" si="159"/>
        <v>OVER</v>
      </c>
      <c r="S1211" s="4" t="str">
        <f t="shared" si="157"/>
        <v>OVER</v>
      </c>
      <c r="T1211" s="4" t="str">
        <f t="shared" si="157"/>
        <v>OVER</v>
      </c>
      <c r="U1211" s="2">
        <f>IF(Q1211="OVER",$J1211,$K1211)</f>
        <v>260.94338772279548</v>
      </c>
      <c r="V1211" s="2">
        <f>IF(R1211="OVER",$J1211,$K1211)</f>
        <v>-260.94338772279548</v>
      </c>
      <c r="W1211" s="2">
        <f>IF(S1211="OVER",$J1211,$K1211)</f>
        <v>-260.94338772279548</v>
      </c>
      <c r="X1211" s="2">
        <f>IF(T1211="OVER",$J1211,$K1211)</f>
        <v>-260.94338772279548</v>
      </c>
      <c r="Y1211" s="9">
        <f t="shared" si="158"/>
        <v>-2451.9628250962951</v>
      </c>
      <c r="Z1211" s="9">
        <f t="shared" si="158"/>
        <v>14944.852582471665</v>
      </c>
      <c r="AA1211" s="9">
        <f t="shared" si="158"/>
        <v>84096.548865189543</v>
      </c>
      <c r="AB1211" s="9">
        <f t="shared" si="155"/>
        <v>37422.626128348253</v>
      </c>
    </row>
    <row r="1212" spans="1:28" x14ac:dyDescent="0.3">
      <c r="A1212" s="1">
        <v>46176</v>
      </c>
      <c r="B1212" s="2">
        <v>209.25</v>
      </c>
      <c r="C1212" s="2">
        <v>754.24</v>
      </c>
      <c r="D1212" s="9">
        <f>B1212-B1211</f>
        <v>-0.78999999999999204</v>
      </c>
      <c r="E1212" s="9">
        <f>C1212-C1211</f>
        <v>-5.3300000000000409</v>
      </c>
      <c r="F1212" s="3">
        <f>F$1/B1212</f>
        <v>477.89725209080046</v>
      </c>
      <c r="G1212" s="3">
        <f>F$1/C1212</f>
        <v>132.58379295714892</v>
      </c>
      <c r="H1212" s="2">
        <f>D1212*F1211</f>
        <v>-376.11883450770904</v>
      </c>
      <c r="I1212" s="2">
        <f>E1212*G1211</f>
        <v>-701.71281119581352</v>
      </c>
      <c r="J1212" s="2">
        <f>I1212-H1212</f>
        <v>-325.59397668810448</v>
      </c>
      <c r="K1212" s="2">
        <f t="shared" si="153"/>
        <v>325.59397668810448</v>
      </c>
      <c r="L1212" s="3">
        <f>C1212/B1212</f>
        <v>3.6044922341696535</v>
      </c>
      <c r="M1212" s="3">
        <f t="shared" si="156"/>
        <v>3.6198462002383813</v>
      </c>
      <c r="N1212" s="3">
        <f t="shared" si="160"/>
        <v>3.6257788055227467</v>
      </c>
      <c r="O1212" s="3">
        <f t="shared" si="161"/>
        <v>3.5298895225372089</v>
      </c>
      <c r="P1212" s="3">
        <f t="shared" si="154"/>
        <v>3.5042419065804951</v>
      </c>
      <c r="Q1212" s="4" t="str">
        <f t="shared" si="159"/>
        <v>UNDER</v>
      </c>
      <c r="R1212" s="4" t="str">
        <f t="shared" si="159"/>
        <v>UNDER</v>
      </c>
      <c r="S1212" s="4" t="str">
        <f t="shared" si="157"/>
        <v>OVER</v>
      </c>
      <c r="T1212" s="4" t="str">
        <f t="shared" si="157"/>
        <v>OVER</v>
      </c>
      <c r="U1212" s="2">
        <f>IF(Q1212="OVER",$J1212,$K1212)</f>
        <v>325.59397668810448</v>
      </c>
      <c r="V1212" s="2">
        <f>IF(R1212="OVER",$J1212,$K1212)</f>
        <v>325.59397668810448</v>
      </c>
      <c r="W1212" s="2">
        <f>IF(S1212="OVER",$J1212,$K1212)</f>
        <v>-325.59397668810448</v>
      </c>
      <c r="X1212" s="2">
        <f>IF(T1212="OVER",$J1212,$K1212)</f>
        <v>-325.59397668810448</v>
      </c>
      <c r="Y1212" s="9">
        <f t="shared" si="158"/>
        <v>-2126.3688484081904</v>
      </c>
      <c r="Z1212" s="9">
        <f t="shared" si="158"/>
        <v>15270.446559159769</v>
      </c>
      <c r="AA1212" s="9">
        <f t="shared" si="158"/>
        <v>83770.954888501437</v>
      </c>
      <c r="AB1212" s="9">
        <f t="shared" si="155"/>
        <v>37097.032151660147</v>
      </c>
    </row>
    <row r="1213" spans="1:28" x14ac:dyDescent="0.3">
      <c r="A1213" s="1">
        <v>46177</v>
      </c>
      <c r="B1213" s="2">
        <v>210.83</v>
      </c>
      <c r="C1213" s="2">
        <v>757.09</v>
      </c>
      <c r="D1213" s="9">
        <f>B1213-B1212</f>
        <v>1.5800000000000125</v>
      </c>
      <c r="E1213" s="9">
        <f>C1213-C1212</f>
        <v>2.8500000000000227</v>
      </c>
      <c r="F1213" s="3">
        <f>F$1/B1213</f>
        <v>474.31579945927996</v>
      </c>
      <c r="G1213" s="3">
        <f>F$1/C1213</f>
        <v>132.08469270496241</v>
      </c>
      <c r="H1213" s="2">
        <f>D1213*F1212</f>
        <v>755.07765830347068</v>
      </c>
      <c r="I1213" s="2">
        <f>E1213*G1212</f>
        <v>377.86380992787741</v>
      </c>
      <c r="J1213" s="2">
        <f>I1213-H1213</f>
        <v>-377.21384837559327</v>
      </c>
      <c r="K1213" s="2">
        <f t="shared" si="153"/>
        <v>377.21384837559327</v>
      </c>
      <c r="L1213" s="3">
        <f>C1213/B1213</f>
        <v>3.590997486126263</v>
      </c>
      <c r="M1213" s="3">
        <f t="shared" si="156"/>
        <v>3.6152850549688509</v>
      </c>
      <c r="N1213" s="3">
        <f t="shared" si="160"/>
        <v>3.62621469398576</v>
      </c>
      <c r="O1213" s="3">
        <f t="shared" si="161"/>
        <v>3.53364152728266</v>
      </c>
      <c r="P1213" s="3">
        <f t="shared" si="154"/>
        <v>3.5048871318757269</v>
      </c>
      <c r="Q1213" s="4" t="str">
        <f t="shared" si="159"/>
        <v>UNDER</v>
      </c>
      <c r="R1213" s="4" t="str">
        <f t="shared" si="159"/>
        <v>UNDER</v>
      </c>
      <c r="S1213" s="4" t="str">
        <f t="shared" si="157"/>
        <v>OVER</v>
      </c>
      <c r="T1213" s="4" t="str">
        <f t="shared" si="157"/>
        <v>OVER</v>
      </c>
      <c r="U1213" s="2">
        <f>IF(Q1213="OVER",$J1213,$K1213)</f>
        <v>377.21384837559327</v>
      </c>
      <c r="V1213" s="2">
        <f>IF(R1213="OVER",$J1213,$K1213)</f>
        <v>377.21384837559327</v>
      </c>
      <c r="W1213" s="2">
        <f>IF(S1213="OVER",$J1213,$K1213)</f>
        <v>-377.21384837559327</v>
      </c>
      <c r="X1213" s="2">
        <f>IF(T1213="OVER",$J1213,$K1213)</f>
        <v>-377.21384837559327</v>
      </c>
      <c r="Y1213" s="9">
        <f t="shared" si="158"/>
        <v>-1749.1550000325972</v>
      </c>
      <c r="Z1213" s="9">
        <f t="shared" si="158"/>
        <v>15647.660407535363</v>
      </c>
      <c r="AA1213" s="9">
        <f t="shared" si="158"/>
        <v>83393.741040125838</v>
      </c>
      <c r="AB1213" s="9">
        <f t="shared" si="155"/>
        <v>36719.818303284555</v>
      </c>
    </row>
    <row r="1214" spans="1:28" x14ac:dyDescent="0.3">
      <c r="A1214" s="1">
        <v>46178</v>
      </c>
      <c r="B1214" s="2">
        <v>207.83</v>
      </c>
      <c r="C1214" s="2">
        <v>737.55</v>
      </c>
      <c r="D1214" s="9">
        <f>B1214-B1213</f>
        <v>-3</v>
      </c>
      <c r="E1214" s="9">
        <f>C1214-C1213</f>
        <v>-19.540000000000077</v>
      </c>
      <c r="F1214" s="3">
        <f>F$1/B1214</f>
        <v>481.16248857239088</v>
      </c>
      <c r="G1214" s="3">
        <f>F$1/C1214</f>
        <v>135.58402820147788</v>
      </c>
      <c r="H1214" s="2">
        <f>D1214*F1213</f>
        <v>-1422.9473983778398</v>
      </c>
      <c r="I1214" s="2">
        <f>E1214*G1213</f>
        <v>-2580.9348954549755</v>
      </c>
      <c r="J1214" s="2">
        <f>I1214-H1214</f>
        <v>-1157.9874970771357</v>
      </c>
      <c r="K1214" s="2">
        <f t="shared" si="153"/>
        <v>1157.9874970771357</v>
      </c>
      <c r="L1214" s="3">
        <f>C1214/B1214</f>
        <v>3.5488139344656688</v>
      </c>
      <c r="M1214" s="3">
        <f t="shared" si="156"/>
        <v>3.6073507579264339</v>
      </c>
      <c r="N1214" s="3">
        <f t="shared" si="160"/>
        <v>3.6239413295908358</v>
      </c>
      <c r="O1214" s="3">
        <f t="shared" si="161"/>
        <v>3.5365006164464345</v>
      </c>
      <c r="P1214" s="3">
        <f t="shared" si="154"/>
        <v>3.5054955756441508</v>
      </c>
      <c r="Q1214" s="4" t="str">
        <f t="shared" si="159"/>
        <v>UNDER</v>
      </c>
      <c r="R1214" s="4" t="str">
        <f t="shared" si="159"/>
        <v>UNDER</v>
      </c>
      <c r="S1214" s="4" t="str">
        <f t="shared" si="157"/>
        <v>OVER</v>
      </c>
      <c r="T1214" s="4" t="str">
        <f t="shared" si="157"/>
        <v>OVER</v>
      </c>
      <c r="U1214" s="2">
        <f>IF(Q1214="OVER",$J1214,$K1214)</f>
        <v>1157.9874970771357</v>
      </c>
      <c r="V1214" s="2">
        <f>IF(R1214="OVER",$J1214,$K1214)</f>
        <v>1157.9874970771357</v>
      </c>
      <c r="W1214" s="2">
        <f>IF(S1214="OVER",$J1214,$K1214)</f>
        <v>-1157.9874970771357</v>
      </c>
      <c r="X1214" s="2">
        <f>IF(T1214="OVER",$J1214,$K1214)</f>
        <v>-1157.9874970771357</v>
      </c>
      <c r="Y1214" s="9">
        <f t="shared" si="158"/>
        <v>-591.16750295546149</v>
      </c>
      <c r="Z1214" s="9">
        <f t="shared" si="158"/>
        <v>16805.647904612499</v>
      </c>
      <c r="AA1214" s="9">
        <f t="shared" si="158"/>
        <v>82235.753543048704</v>
      </c>
      <c r="AB1214" s="9">
        <f t="shared" si="155"/>
        <v>35561.830806207421</v>
      </c>
    </row>
    <row r="1215" spans="1:28" x14ac:dyDescent="0.3">
      <c r="A1215" s="1">
        <v>46181</v>
      </c>
      <c r="B1215" s="2">
        <v>207.61</v>
      </c>
      <c r="C1215" s="2">
        <v>739.22</v>
      </c>
      <c r="D1215" s="9">
        <f>B1215-B1214</f>
        <v>-0.21999999999999886</v>
      </c>
      <c r="E1215" s="9">
        <f>C1215-C1214</f>
        <v>1.6700000000000728</v>
      </c>
      <c r="F1215" s="3">
        <f>F$1/B1215</f>
        <v>481.67236645633636</v>
      </c>
      <c r="G1215" s="3">
        <f>F$1/C1215</f>
        <v>135.27772516977353</v>
      </c>
      <c r="H1215" s="2">
        <f>D1215*F1214</f>
        <v>-105.85574748592545</v>
      </c>
      <c r="I1215" s="2">
        <f>E1215*G1214</f>
        <v>226.42532709647793</v>
      </c>
      <c r="J1215" s="2">
        <f>I1215-H1215</f>
        <v>332.28107458240339</v>
      </c>
      <c r="K1215" s="2">
        <f t="shared" si="153"/>
        <v>-332.28107458240339</v>
      </c>
      <c r="L1215" s="3">
        <f>C1215/B1215</f>
        <v>3.5606184673185299</v>
      </c>
      <c r="M1215" s="3">
        <f t="shared" si="156"/>
        <v>3.602467692275674</v>
      </c>
      <c r="N1215" s="3">
        <f t="shared" si="160"/>
        <v>3.621271616014087</v>
      </c>
      <c r="O1215" s="3">
        <f t="shared" si="161"/>
        <v>3.5401925754934549</v>
      </c>
      <c r="P1215" s="3">
        <f t="shared" si="154"/>
        <v>3.5061929956667819</v>
      </c>
      <c r="Q1215" s="4" t="str">
        <f t="shared" si="159"/>
        <v>UNDER</v>
      </c>
      <c r="R1215" s="4" t="str">
        <f t="shared" si="159"/>
        <v>UNDER</v>
      </c>
      <c r="S1215" s="4" t="str">
        <f t="shared" si="157"/>
        <v>OVER</v>
      </c>
      <c r="T1215" s="4" t="str">
        <f t="shared" si="157"/>
        <v>OVER</v>
      </c>
      <c r="U1215" s="2">
        <f>IF(Q1215="OVER",$J1215,$K1215)</f>
        <v>-332.28107458240339</v>
      </c>
      <c r="V1215" s="2">
        <f>IF(R1215="OVER",$J1215,$K1215)</f>
        <v>-332.28107458240339</v>
      </c>
      <c r="W1215" s="2">
        <f>IF(S1215="OVER",$J1215,$K1215)</f>
        <v>332.28107458240339</v>
      </c>
      <c r="X1215" s="2">
        <f>IF(T1215="OVER",$J1215,$K1215)</f>
        <v>332.28107458240339</v>
      </c>
      <c r="Y1215" s="9">
        <f t="shared" si="158"/>
        <v>-923.44857753786482</v>
      </c>
      <c r="Z1215" s="9">
        <f t="shared" si="158"/>
        <v>16473.366830030096</v>
      </c>
      <c r="AA1215" s="9">
        <f t="shared" si="158"/>
        <v>82568.034617631114</v>
      </c>
      <c r="AB1215" s="9">
        <f t="shared" si="155"/>
        <v>35894.111880789824</v>
      </c>
    </row>
    <row r="1216" spans="1:28" x14ac:dyDescent="0.3">
      <c r="A1216" s="1">
        <v>46182</v>
      </c>
      <c r="B1216" s="2">
        <v>209.19</v>
      </c>
      <c r="C1216" s="2">
        <v>737.05</v>
      </c>
      <c r="D1216" s="9">
        <f>B1216-B1215</f>
        <v>1.5799999999999841</v>
      </c>
      <c r="E1216" s="9">
        <f>C1216-C1215</f>
        <v>-2.1700000000000728</v>
      </c>
      <c r="F1216" s="3">
        <f>F$1/B1216</f>
        <v>478.03432286438169</v>
      </c>
      <c r="G1216" s="3">
        <f>F$1/C1216</f>
        <v>135.67600569839226</v>
      </c>
      <c r="H1216" s="2">
        <f>D1216*F1215</f>
        <v>761.04233900100382</v>
      </c>
      <c r="I1216" s="2">
        <f>E1216*G1215</f>
        <v>-293.55266361841842</v>
      </c>
      <c r="J1216" s="2">
        <f>I1216-H1216</f>
        <v>-1054.5950026194223</v>
      </c>
      <c r="K1216" s="2">
        <f t="shared" si="153"/>
        <v>1054.5950026194223</v>
      </c>
      <c r="L1216" s="3">
        <f>C1216/B1216</f>
        <v>3.523351976671925</v>
      </c>
      <c r="M1216" s="3">
        <f t="shared" si="156"/>
        <v>3.593316663782204</v>
      </c>
      <c r="N1216" s="3">
        <f t="shared" si="160"/>
        <v>3.6162293516190935</v>
      </c>
      <c r="O1216" s="3">
        <f t="shared" si="161"/>
        <v>3.5433678820331549</v>
      </c>
      <c r="P1216" s="3">
        <f t="shared" si="154"/>
        <v>3.5067131288755844</v>
      </c>
      <c r="Q1216" s="4" t="str">
        <f t="shared" si="159"/>
        <v>UNDER</v>
      </c>
      <c r="R1216" s="4" t="str">
        <f t="shared" si="159"/>
        <v>UNDER</v>
      </c>
      <c r="S1216" s="4" t="str">
        <f t="shared" si="157"/>
        <v>UNDER</v>
      </c>
      <c r="T1216" s="4" t="str">
        <f t="shared" si="157"/>
        <v>OVER</v>
      </c>
      <c r="U1216" s="2">
        <f>IF(Q1216="OVER",$J1216,$K1216)</f>
        <v>1054.5950026194223</v>
      </c>
      <c r="V1216" s="2">
        <f>IF(R1216="OVER",$J1216,$K1216)</f>
        <v>1054.5950026194223</v>
      </c>
      <c r="W1216" s="2">
        <f>IF(S1216="OVER",$J1216,$K1216)</f>
        <v>1054.5950026194223</v>
      </c>
      <c r="X1216" s="2">
        <f>IF(T1216="OVER",$J1216,$K1216)</f>
        <v>-1054.5950026194223</v>
      </c>
      <c r="Y1216" s="9">
        <f t="shared" si="158"/>
        <v>131.14642508155748</v>
      </c>
      <c r="Z1216" s="9">
        <f t="shared" si="158"/>
        <v>17527.961832649518</v>
      </c>
      <c r="AA1216" s="9">
        <f t="shared" si="158"/>
        <v>83622.629620250533</v>
      </c>
      <c r="AB1216" s="9">
        <f t="shared" si="155"/>
        <v>34839.516878170398</v>
      </c>
    </row>
    <row r="1217" spans="1:28" x14ac:dyDescent="0.3">
      <c r="A1217" s="1">
        <v>46183</v>
      </c>
      <c r="B1217" s="2">
        <v>206.53</v>
      </c>
      <c r="C1217" s="2">
        <v>725.43</v>
      </c>
      <c r="D1217" s="9">
        <f>B1217-B1216</f>
        <v>-2.6599999999999966</v>
      </c>
      <c r="E1217" s="9">
        <f>C1217-C1216</f>
        <v>-11.620000000000005</v>
      </c>
      <c r="F1217" s="3">
        <f>F$1/B1217</f>
        <v>484.1911586694427</v>
      </c>
      <c r="G1217" s="3">
        <f>F$1/C1217</f>
        <v>137.84927560205671</v>
      </c>
      <c r="H1217" s="2">
        <f>D1217*F1216</f>
        <v>-1271.5712988192536</v>
      </c>
      <c r="I1217" s="2">
        <f>E1217*G1216</f>
        <v>-1576.5551862153186</v>
      </c>
      <c r="J1217" s="2">
        <f>I1217-H1217</f>
        <v>-304.98388739606503</v>
      </c>
      <c r="K1217" s="2">
        <f t="shared" si="153"/>
        <v>304.98388739606503</v>
      </c>
      <c r="L1217" s="3">
        <f>C1217/B1217</f>
        <v>3.512467922335738</v>
      </c>
      <c r="M1217" s="3">
        <f t="shared" si="156"/>
        <v>3.5828785555386462</v>
      </c>
      <c r="N1217" s="3">
        <f t="shared" si="160"/>
        <v>3.6107576101076981</v>
      </c>
      <c r="O1217" s="3">
        <f t="shared" si="161"/>
        <v>3.5464114128624931</v>
      </c>
      <c r="P1217" s="3">
        <f t="shared" si="154"/>
        <v>3.5072479208594194</v>
      </c>
      <c r="Q1217" s="4" t="str">
        <f t="shared" si="159"/>
        <v>UNDER</v>
      </c>
      <c r="R1217" s="4" t="str">
        <f t="shared" si="159"/>
        <v>UNDER</v>
      </c>
      <c r="S1217" s="4" t="str">
        <f t="shared" si="157"/>
        <v>UNDER</v>
      </c>
      <c r="T1217" s="4" t="str">
        <f t="shared" si="157"/>
        <v>OVER</v>
      </c>
      <c r="U1217" s="2">
        <f>IF(Q1217="OVER",$J1217,$K1217)</f>
        <v>304.98388739606503</v>
      </c>
      <c r="V1217" s="2">
        <f>IF(R1217="OVER",$J1217,$K1217)</f>
        <v>304.98388739606503</v>
      </c>
      <c r="W1217" s="2">
        <f>IF(S1217="OVER",$J1217,$K1217)</f>
        <v>304.98388739606503</v>
      </c>
      <c r="X1217" s="2">
        <f>IF(T1217="OVER",$J1217,$K1217)</f>
        <v>-304.98388739606503</v>
      </c>
      <c r="Y1217" s="9">
        <f t="shared" si="158"/>
        <v>436.13031247762251</v>
      </c>
      <c r="Z1217" s="9">
        <f t="shared" si="158"/>
        <v>17832.945720045584</v>
      </c>
      <c r="AA1217" s="9">
        <f t="shared" si="158"/>
        <v>83927.613507646602</v>
      </c>
      <c r="AB1217" s="9">
        <f t="shared" si="155"/>
        <v>34534.532990774336</v>
      </c>
    </row>
    <row r="1218" spans="1:28" x14ac:dyDescent="0.3">
      <c r="A1218" s="1">
        <v>46184</v>
      </c>
      <c r="B1218" s="2">
        <v>209.75</v>
      </c>
      <c r="C1218" s="2">
        <v>737.76</v>
      </c>
      <c r="D1218" s="9">
        <f>B1218-B1217</f>
        <v>3.2199999999999989</v>
      </c>
      <c r="E1218" s="9">
        <f>C1218-C1217</f>
        <v>12.330000000000041</v>
      </c>
      <c r="F1218" s="3">
        <f>F$1/B1218</f>
        <v>476.75804529201429</v>
      </c>
      <c r="G1218" s="3">
        <f>F$1/C1218</f>
        <v>135.54543482975492</v>
      </c>
      <c r="H1218" s="2">
        <f>D1218*F1217</f>
        <v>1559.095530915605</v>
      </c>
      <c r="I1218" s="2">
        <f>E1218*G1217</f>
        <v>1699.6815681733649</v>
      </c>
      <c r="J1218" s="2">
        <f>I1218-H1218</f>
        <v>140.58603725775993</v>
      </c>
      <c r="K1218" s="2">
        <f t="shared" si="153"/>
        <v>-140.58603725775993</v>
      </c>
      <c r="L1218" s="3">
        <f>C1218/B1218</f>
        <v>3.5173301549463645</v>
      </c>
      <c r="M1218" s="3">
        <f t="shared" si="156"/>
        <v>3.5722586298568126</v>
      </c>
      <c r="N1218" s="3">
        <f t="shared" si="160"/>
        <v>3.6037170608867526</v>
      </c>
      <c r="O1218" s="3">
        <f t="shared" si="161"/>
        <v>3.5489860276329499</v>
      </c>
      <c r="P1218" s="3">
        <f t="shared" si="154"/>
        <v>3.5077512383008185</v>
      </c>
      <c r="Q1218" s="4" t="str">
        <f t="shared" si="159"/>
        <v>UNDER</v>
      </c>
      <c r="R1218" s="4" t="str">
        <f t="shared" si="159"/>
        <v>UNDER</v>
      </c>
      <c r="S1218" s="4" t="str">
        <f t="shared" si="157"/>
        <v>UNDER</v>
      </c>
      <c r="T1218" s="4" t="str">
        <f t="shared" si="157"/>
        <v>OVER</v>
      </c>
      <c r="U1218" s="2">
        <f>IF(Q1218="OVER",$J1218,$K1218)</f>
        <v>-140.58603725775993</v>
      </c>
      <c r="V1218" s="2">
        <f>IF(R1218="OVER",$J1218,$K1218)</f>
        <v>-140.58603725775993</v>
      </c>
      <c r="W1218" s="2">
        <f>IF(S1218="OVER",$J1218,$K1218)</f>
        <v>-140.58603725775993</v>
      </c>
      <c r="X1218" s="2">
        <f>IF(T1218="OVER",$J1218,$K1218)</f>
        <v>140.58603725775993</v>
      </c>
      <c r="Y1218" s="9">
        <f t="shared" si="158"/>
        <v>295.54427521986258</v>
      </c>
      <c r="Z1218" s="9">
        <f t="shared" si="158"/>
        <v>17692.359682787825</v>
      </c>
      <c r="AA1218" s="9">
        <f t="shared" si="158"/>
        <v>83787.027470388843</v>
      </c>
      <c r="AB1218" s="9">
        <f t="shared" si="155"/>
        <v>34675.119028032095</v>
      </c>
    </row>
    <row r="1219" spans="1:28" x14ac:dyDescent="0.3">
      <c r="A1219" s="1">
        <v>46185</v>
      </c>
      <c r="B1219" s="2">
        <v>211.65</v>
      </c>
      <c r="C1219" s="2">
        <v>741.75</v>
      </c>
      <c r="D1219" s="9">
        <f>B1219-B1218</f>
        <v>1.9000000000000057</v>
      </c>
      <c r="E1219" s="9">
        <f>C1219-C1218</f>
        <v>3.9900000000000091</v>
      </c>
      <c r="F1219" s="3">
        <f>F$1/B1219</f>
        <v>472.47814788566029</v>
      </c>
      <c r="G1219" s="3">
        <f>F$1/C1219</f>
        <v>134.81631277384562</v>
      </c>
      <c r="H1219" s="2">
        <f>D1219*F1218</f>
        <v>905.8402860548299</v>
      </c>
      <c r="I1219" s="2">
        <f>E1219*G1218</f>
        <v>540.82628497072335</v>
      </c>
      <c r="J1219" s="2">
        <f>I1219-H1219</f>
        <v>-365.01400108410655</v>
      </c>
      <c r="K1219" s="2">
        <f t="shared" si="153"/>
        <v>365.01400108410655</v>
      </c>
      <c r="L1219" s="3">
        <f>C1219/B1219</f>
        <v>3.5046066619418852</v>
      </c>
      <c r="M1219" s="3">
        <f t="shared" si="156"/>
        <v>3.5604724924308306</v>
      </c>
      <c r="N1219" s="3">
        <f t="shared" si="160"/>
        <v>3.5952662587584712</v>
      </c>
      <c r="O1219" s="3">
        <f t="shared" si="161"/>
        <v>3.5510154206619622</v>
      </c>
      <c r="P1219" s="3">
        <f t="shared" si="154"/>
        <v>3.5081312626292873</v>
      </c>
      <c r="Q1219" s="4" t="str">
        <f t="shared" si="159"/>
        <v>UNDER</v>
      </c>
      <c r="R1219" s="4" t="str">
        <f t="shared" si="159"/>
        <v>UNDER</v>
      </c>
      <c r="S1219" s="4" t="str">
        <f t="shared" si="157"/>
        <v>UNDER</v>
      </c>
      <c r="T1219" s="4" t="str">
        <f t="shared" si="157"/>
        <v>UNDER</v>
      </c>
      <c r="U1219" s="2">
        <f>IF(Q1219="OVER",$J1219,$K1219)</f>
        <v>365.01400108410655</v>
      </c>
      <c r="V1219" s="2">
        <f>IF(R1219="OVER",$J1219,$K1219)</f>
        <v>365.01400108410655</v>
      </c>
      <c r="W1219" s="2">
        <f>IF(S1219="OVER",$J1219,$K1219)</f>
        <v>365.01400108410655</v>
      </c>
      <c r="X1219" s="2">
        <f>IF(T1219="OVER",$J1219,$K1219)</f>
        <v>365.01400108410655</v>
      </c>
      <c r="Y1219" s="9">
        <f t="shared" si="158"/>
        <v>660.55827630396914</v>
      </c>
      <c r="Z1219" s="9">
        <f t="shared" si="158"/>
        <v>18057.373683871931</v>
      </c>
      <c r="AA1219" s="9">
        <f t="shared" si="158"/>
        <v>84152.041471472956</v>
      </c>
      <c r="AB1219" s="9">
        <f t="shared" si="155"/>
        <v>35040.133029116201</v>
      </c>
    </row>
    <row r="1220" spans="1:28" x14ac:dyDescent="0.3">
      <c r="A1220" s="1">
        <v>46188</v>
      </c>
      <c r="B1220" s="2">
        <v>212.88</v>
      </c>
      <c r="C1220" s="2">
        <v>754.83</v>
      </c>
      <c r="D1220" s="9">
        <f>B1220-B1219</f>
        <v>1.2299999999999898</v>
      </c>
      <c r="E1220" s="9">
        <f>C1220-C1219</f>
        <v>13.080000000000041</v>
      </c>
      <c r="F1220" s="3">
        <f>F$1/B1220</f>
        <v>469.74821495678316</v>
      </c>
      <c r="G1220" s="3">
        <f>F$1/C1220</f>
        <v>132.48016109587587</v>
      </c>
      <c r="H1220" s="2">
        <f>D1220*F1219</f>
        <v>581.14812189935731</v>
      </c>
      <c r="I1220" s="2">
        <f>E1220*G1219</f>
        <v>1763.3973710819064</v>
      </c>
      <c r="J1220" s="2">
        <f>I1220-H1220</f>
        <v>1182.2492491825492</v>
      </c>
      <c r="K1220" s="2">
        <f t="shared" si="153"/>
        <v>-1182.2492491825492</v>
      </c>
      <c r="L1220" s="3">
        <f>C1220/B1220</f>
        <v>3.5458004509582866</v>
      </c>
      <c r="M1220" s="3">
        <f t="shared" si="156"/>
        <v>3.5524790467757397</v>
      </c>
      <c r="N1220" s="3">
        <f t="shared" si="160"/>
        <v>3.5891940070456192</v>
      </c>
      <c r="O1220" s="3">
        <f t="shared" si="161"/>
        <v>3.5540014488431768</v>
      </c>
      <c r="P1220" s="3">
        <f t="shared" si="154"/>
        <v>3.5087400636661807</v>
      </c>
      <c r="Q1220" s="4" t="str">
        <f t="shared" si="159"/>
        <v>UNDER</v>
      </c>
      <c r="R1220" s="4" t="str">
        <f t="shared" si="159"/>
        <v>UNDER</v>
      </c>
      <c r="S1220" s="4" t="str">
        <f t="shared" si="157"/>
        <v>UNDER</v>
      </c>
      <c r="T1220" s="4" t="str">
        <f t="shared" si="157"/>
        <v>OVER</v>
      </c>
      <c r="U1220" s="2">
        <f>IF(Q1220="OVER",$J1220,$K1220)</f>
        <v>-1182.2492491825492</v>
      </c>
      <c r="V1220" s="2">
        <f>IF(R1220="OVER",$J1220,$K1220)</f>
        <v>-1182.2492491825492</v>
      </c>
      <c r="W1220" s="2">
        <f>IF(S1220="OVER",$J1220,$K1220)</f>
        <v>-1182.2492491825492</v>
      </c>
      <c r="X1220" s="2">
        <f>IF(T1220="OVER",$J1220,$K1220)</f>
        <v>1182.2492491825492</v>
      </c>
      <c r="Y1220" s="9">
        <f t="shared" si="158"/>
        <v>-521.69097287858006</v>
      </c>
      <c r="Z1220" s="9">
        <f t="shared" si="158"/>
        <v>16875.12443468938</v>
      </c>
      <c r="AA1220" s="9">
        <f t="shared" si="158"/>
        <v>82969.792222290402</v>
      </c>
      <c r="AB1220" s="9">
        <f t="shared" si="155"/>
        <v>36222.382278298748</v>
      </c>
    </row>
    <row r="1221" spans="1:28" x14ac:dyDescent="0.3">
      <c r="A1221" s="1">
        <v>46189</v>
      </c>
      <c r="B1221" s="2">
        <v>212.17</v>
      </c>
      <c r="C1221" s="2">
        <v>750.33</v>
      </c>
      <c r="D1221" s="9">
        <f>B1221-B1220</f>
        <v>-0.71000000000000796</v>
      </c>
      <c r="E1221" s="9">
        <f>C1221-C1220</f>
        <v>-4.5</v>
      </c>
      <c r="F1221" s="3">
        <f>F$1/B1221</f>
        <v>471.32016778997973</v>
      </c>
      <c r="G1221" s="3">
        <f>F$1/C1221</f>
        <v>133.27469246864712</v>
      </c>
      <c r="H1221" s="2">
        <f>D1221*F1220</f>
        <v>-333.52123261931979</v>
      </c>
      <c r="I1221" s="2">
        <f>E1221*G1220</f>
        <v>-596.16072493144145</v>
      </c>
      <c r="J1221" s="2">
        <f>I1221-H1221</f>
        <v>-262.63949231212166</v>
      </c>
      <c r="K1221" s="2">
        <f t="shared" ref="K1221:K1257" si="162">H1221-I1221</f>
        <v>262.63949231212166</v>
      </c>
      <c r="L1221" s="3">
        <f>C1221/B1221</f>
        <v>3.5364566149785555</v>
      </c>
      <c r="M1221" s="3">
        <f t="shared" si="156"/>
        <v>3.5444935903912871</v>
      </c>
      <c r="N1221" s="3">
        <f t="shared" si="160"/>
        <v>3.5839039186623971</v>
      </c>
      <c r="O1221" s="3">
        <f t="shared" si="161"/>
        <v>3.5567716289975326</v>
      </c>
      <c r="P1221" s="3">
        <f t="shared" si="154"/>
        <v>3.5092333236429596</v>
      </c>
      <c r="Q1221" s="4" t="str">
        <f t="shared" si="159"/>
        <v>UNDER</v>
      </c>
      <c r="R1221" s="4" t="str">
        <f t="shared" si="159"/>
        <v>UNDER</v>
      </c>
      <c r="S1221" s="4" t="str">
        <f t="shared" si="157"/>
        <v>UNDER</v>
      </c>
      <c r="T1221" s="4" t="str">
        <f t="shared" si="157"/>
        <v>OVER</v>
      </c>
      <c r="U1221" s="2">
        <f>IF(Q1221="OVER",$J1221,$K1221)</f>
        <v>262.63949231212166</v>
      </c>
      <c r="V1221" s="2">
        <f>IF(R1221="OVER",$J1221,$K1221)</f>
        <v>262.63949231212166</v>
      </c>
      <c r="W1221" s="2">
        <f>IF(S1221="OVER",$J1221,$K1221)</f>
        <v>262.63949231212166</v>
      </c>
      <c r="X1221" s="2">
        <f>IF(T1221="OVER",$J1221,$K1221)</f>
        <v>-262.63949231212166</v>
      </c>
      <c r="Y1221" s="9">
        <f t="shared" si="158"/>
        <v>-259.05148056645839</v>
      </c>
      <c r="Z1221" s="9">
        <f t="shared" si="158"/>
        <v>17137.763927001502</v>
      </c>
      <c r="AA1221" s="9">
        <f t="shared" si="158"/>
        <v>83232.431714602528</v>
      </c>
      <c r="AB1221" s="9">
        <f t="shared" si="155"/>
        <v>35959.742785986629</v>
      </c>
    </row>
    <row r="1222" spans="1:28" x14ac:dyDescent="0.3">
      <c r="A1222" s="1">
        <v>46190</v>
      </c>
      <c r="B1222" s="2">
        <v>208.99</v>
      </c>
      <c r="C1222" s="2">
        <v>740.96</v>
      </c>
      <c r="D1222" s="9">
        <f>B1222-B1221</f>
        <v>-3.1799999999999784</v>
      </c>
      <c r="E1222" s="9">
        <f>C1222-C1221</f>
        <v>-9.3700000000000045</v>
      </c>
      <c r="F1222" s="3">
        <f>F$1/B1222</f>
        <v>478.49179386573519</v>
      </c>
      <c r="G1222" s="3">
        <f>F$1/C1222</f>
        <v>134.9600518246599</v>
      </c>
      <c r="H1222" s="2">
        <f>D1222*F1221</f>
        <v>-1498.7981335721254</v>
      </c>
      <c r="I1222" s="2">
        <f>E1222*G1221</f>
        <v>-1248.7838684312242</v>
      </c>
      <c r="J1222" s="2">
        <f>I1222-H1222</f>
        <v>250.01426514090122</v>
      </c>
      <c r="K1222" s="2">
        <f t="shared" si="162"/>
        <v>-250.01426514090122</v>
      </c>
      <c r="L1222" s="3">
        <f>C1222/B1222</f>
        <v>3.5454327958275518</v>
      </c>
      <c r="M1222" s="3">
        <f t="shared" si="156"/>
        <v>3.5385876465570769</v>
      </c>
      <c r="N1222" s="3">
        <f t="shared" si="160"/>
        <v>3.5792169233977291</v>
      </c>
      <c r="O1222" s="3">
        <f t="shared" si="161"/>
        <v>3.5595403293608259</v>
      </c>
      <c r="P1222" s="3">
        <f t="shared" si="154"/>
        <v>3.5098612934751356</v>
      </c>
      <c r="Q1222" s="4" t="str">
        <f t="shared" si="159"/>
        <v>UNDER</v>
      </c>
      <c r="R1222" s="4" t="str">
        <f t="shared" si="159"/>
        <v>UNDER</v>
      </c>
      <c r="S1222" s="4" t="str">
        <f t="shared" si="157"/>
        <v>UNDER</v>
      </c>
      <c r="T1222" s="4" t="str">
        <f t="shared" si="157"/>
        <v>OVER</v>
      </c>
      <c r="U1222" s="2">
        <f>IF(Q1222="OVER",$J1222,$K1222)</f>
        <v>-250.01426514090122</v>
      </c>
      <c r="V1222" s="2">
        <f>IF(R1222="OVER",$J1222,$K1222)</f>
        <v>-250.01426514090122</v>
      </c>
      <c r="W1222" s="2">
        <f>IF(S1222="OVER",$J1222,$K1222)</f>
        <v>-250.01426514090122</v>
      </c>
      <c r="X1222" s="2">
        <f>IF(T1222="OVER",$J1222,$K1222)</f>
        <v>250.01426514090122</v>
      </c>
      <c r="Y1222" s="9">
        <f t="shared" si="158"/>
        <v>-509.06574570735961</v>
      </c>
      <c r="Z1222" s="9">
        <f t="shared" si="158"/>
        <v>16887.749661860602</v>
      </c>
      <c r="AA1222" s="9">
        <f t="shared" si="158"/>
        <v>82982.417449461631</v>
      </c>
      <c r="AB1222" s="9">
        <f t="shared" si="155"/>
        <v>36209.757051127533</v>
      </c>
    </row>
    <row r="1223" spans="1:28" x14ac:dyDescent="0.3">
      <c r="A1223" s="1">
        <v>46191</v>
      </c>
      <c r="B1223" s="2">
        <v>209.96</v>
      </c>
      <c r="C1223" s="2">
        <v>746.74</v>
      </c>
      <c r="D1223" s="9">
        <f>B1223-B1222</f>
        <v>0.96999999999999886</v>
      </c>
      <c r="E1223" s="9">
        <f>C1223-C1222</f>
        <v>5.7799999999999727</v>
      </c>
      <c r="F1223" s="3">
        <f>F$1/B1223</f>
        <v>476.28119641836537</v>
      </c>
      <c r="G1223" s="3">
        <f>F$1/C1223</f>
        <v>133.91541902134611</v>
      </c>
      <c r="H1223" s="2">
        <f>D1223*F1222</f>
        <v>464.13704004976262</v>
      </c>
      <c r="I1223" s="2">
        <f>E1223*G1222</f>
        <v>780.06909954653054</v>
      </c>
      <c r="J1223" s="2">
        <f>I1223-H1223</f>
        <v>315.93205949676792</v>
      </c>
      <c r="K1223" s="2">
        <f t="shared" si="162"/>
        <v>-315.93205949676792</v>
      </c>
      <c r="L1223" s="3">
        <f>C1223/B1223</f>
        <v>3.5565822061345016</v>
      </c>
      <c r="M1223" s="3">
        <f t="shared" si="156"/>
        <v>3.5351461185579005</v>
      </c>
      <c r="N1223" s="3">
        <f t="shared" si="160"/>
        <v>3.5752155867633761</v>
      </c>
      <c r="O1223" s="3">
        <f t="shared" si="161"/>
        <v>3.5623743375974777</v>
      </c>
      <c r="P1223" s="3">
        <f t="shared" si="154"/>
        <v>3.5105365787910636</v>
      </c>
      <c r="Q1223" s="4" t="str">
        <f t="shared" si="159"/>
        <v>OVER</v>
      </c>
      <c r="R1223" s="4" t="str">
        <f t="shared" si="159"/>
        <v>UNDER</v>
      </c>
      <c r="S1223" s="4" t="str">
        <f t="shared" si="157"/>
        <v>UNDER</v>
      </c>
      <c r="T1223" s="4" t="str">
        <f t="shared" si="157"/>
        <v>OVER</v>
      </c>
      <c r="U1223" s="2">
        <f>IF(Q1223="OVER",$J1223,$K1223)</f>
        <v>315.93205949676792</v>
      </c>
      <c r="V1223" s="2">
        <f>IF(R1223="OVER",$J1223,$K1223)</f>
        <v>-315.93205949676792</v>
      </c>
      <c r="W1223" s="2">
        <f>IF(S1223="OVER",$J1223,$K1223)</f>
        <v>-315.93205949676792</v>
      </c>
      <c r="X1223" s="2">
        <f>IF(T1223="OVER",$J1223,$K1223)</f>
        <v>315.93205949676792</v>
      </c>
      <c r="Y1223" s="9">
        <f t="shared" si="158"/>
        <v>-193.13368621059169</v>
      </c>
      <c r="Z1223" s="9">
        <f t="shared" si="158"/>
        <v>16571.817602363833</v>
      </c>
      <c r="AA1223" s="9">
        <f t="shared" si="158"/>
        <v>82666.485389964859</v>
      </c>
      <c r="AB1223" s="9">
        <f t="shared" si="155"/>
        <v>36525.689110624298</v>
      </c>
    </row>
    <row r="1224" spans="1:28" x14ac:dyDescent="0.3">
      <c r="A1224" s="1">
        <v>46195</v>
      </c>
      <c r="B1224" s="2">
        <v>209.61</v>
      </c>
      <c r="C1224" s="2">
        <v>744.39</v>
      </c>
      <c r="D1224" s="9">
        <f>B1224-B1223</f>
        <v>-0.34999999999999432</v>
      </c>
      <c r="E1224" s="9">
        <f>C1224-C1223</f>
        <v>-2.3500000000000227</v>
      </c>
      <c r="F1224" s="3">
        <f>F$1/B1224</f>
        <v>477.07647535900003</v>
      </c>
      <c r="G1224" s="3">
        <f>F$1/C1224</f>
        <v>134.33818294173753</v>
      </c>
      <c r="H1224" s="2">
        <f>D1224*F1223</f>
        <v>-166.69841874642518</v>
      </c>
      <c r="I1224" s="2">
        <f>E1224*G1223</f>
        <v>-314.70123470016642</v>
      </c>
      <c r="J1224" s="2">
        <f>I1224-H1224</f>
        <v>-148.00281595374125</v>
      </c>
      <c r="K1224" s="2">
        <f t="shared" si="162"/>
        <v>148.00281595374125</v>
      </c>
      <c r="L1224" s="3">
        <f>C1224/B1224</f>
        <v>3.55130957492486</v>
      </c>
      <c r="M1224" s="3">
        <f t="shared" si="156"/>
        <v>3.5353956826038191</v>
      </c>
      <c r="N1224" s="3">
        <f t="shared" si="160"/>
        <v>3.5713732202651274</v>
      </c>
      <c r="O1224" s="3">
        <f t="shared" si="161"/>
        <v>3.5647504887082535</v>
      </c>
      <c r="P1224" s="3">
        <f t="shared" si="154"/>
        <v>3.5110660874877824</v>
      </c>
      <c r="Q1224" s="4" t="str">
        <f t="shared" si="159"/>
        <v>OVER</v>
      </c>
      <c r="R1224" s="4" t="str">
        <f t="shared" si="159"/>
        <v>UNDER</v>
      </c>
      <c r="S1224" s="4" t="str">
        <f t="shared" si="157"/>
        <v>UNDER</v>
      </c>
      <c r="T1224" s="4" t="str">
        <f t="shared" si="157"/>
        <v>OVER</v>
      </c>
      <c r="U1224" s="2">
        <f>IF(Q1224="OVER",$J1224,$K1224)</f>
        <v>-148.00281595374125</v>
      </c>
      <c r="V1224" s="2">
        <f>IF(R1224="OVER",$J1224,$K1224)</f>
        <v>148.00281595374125</v>
      </c>
      <c r="W1224" s="2">
        <f>IF(S1224="OVER",$J1224,$K1224)</f>
        <v>148.00281595374125</v>
      </c>
      <c r="X1224" s="2">
        <f>IF(T1224="OVER",$J1224,$K1224)</f>
        <v>-148.00281595374125</v>
      </c>
      <c r="Y1224" s="9">
        <f t="shared" si="158"/>
        <v>-341.13650216433291</v>
      </c>
      <c r="Z1224" s="9">
        <f t="shared" si="158"/>
        <v>16719.820418317573</v>
      </c>
      <c r="AA1224" s="9">
        <f t="shared" si="158"/>
        <v>82814.488205918606</v>
      </c>
      <c r="AB1224" s="9">
        <f t="shared" si="155"/>
        <v>36377.686294670559</v>
      </c>
    </row>
    <row r="1225" spans="1:28" x14ac:dyDescent="0.3">
      <c r="A1225" s="1">
        <v>46196</v>
      </c>
      <c r="B1225" s="2">
        <v>208.89</v>
      </c>
      <c r="C1225" s="2">
        <v>733.58</v>
      </c>
      <c r="D1225" s="9">
        <f>B1225-B1224</f>
        <v>-0.72000000000002728</v>
      </c>
      <c r="E1225" s="9">
        <f>C1225-C1224</f>
        <v>-10.809999999999945</v>
      </c>
      <c r="F1225" s="3">
        <f>F$1/B1225</f>
        <v>478.72085786777734</v>
      </c>
      <c r="G1225" s="3">
        <f>F$1/C1225</f>
        <v>136.317784018103</v>
      </c>
      <c r="H1225" s="2">
        <f>D1225*F1224</f>
        <v>-343.49506225849302</v>
      </c>
      <c r="I1225" s="2">
        <f>E1225*G1224</f>
        <v>-1452.1957576001753</v>
      </c>
      <c r="J1225" s="2">
        <f>I1225-H1225</f>
        <v>-1108.7006953416821</v>
      </c>
      <c r="K1225" s="2">
        <f t="shared" si="162"/>
        <v>1108.7006953416821</v>
      </c>
      <c r="L1225" s="3">
        <f>C1225/B1225</f>
        <v>3.5118004691464413</v>
      </c>
      <c r="M1225" s="3">
        <f t="shared" si="156"/>
        <v>3.5305138827866109</v>
      </c>
      <c r="N1225" s="3">
        <f t="shared" si="160"/>
        <v>3.566490787531142</v>
      </c>
      <c r="O1225" s="3">
        <f t="shared" si="161"/>
        <v>3.5658830147451352</v>
      </c>
      <c r="P1225" s="3">
        <f t="shared" si="154"/>
        <v>3.5113814387868678</v>
      </c>
      <c r="Q1225" s="4" t="str">
        <f t="shared" si="159"/>
        <v>OVER</v>
      </c>
      <c r="R1225" s="4" t="str">
        <f t="shared" si="159"/>
        <v>UNDER</v>
      </c>
      <c r="S1225" s="4" t="str">
        <f t="shared" si="157"/>
        <v>UNDER</v>
      </c>
      <c r="T1225" s="4" t="str">
        <f t="shared" si="157"/>
        <v>OVER</v>
      </c>
      <c r="U1225" s="2">
        <f>IF(Q1225="OVER",$J1225,$K1225)</f>
        <v>-1108.7006953416821</v>
      </c>
      <c r="V1225" s="2">
        <f>IF(R1225="OVER",$J1225,$K1225)</f>
        <v>1108.7006953416821</v>
      </c>
      <c r="W1225" s="2">
        <f>IF(S1225="OVER",$J1225,$K1225)</f>
        <v>1108.7006953416821</v>
      </c>
      <c r="X1225" s="2">
        <f>IF(T1225="OVER",$J1225,$K1225)</f>
        <v>-1108.7006953416821</v>
      </c>
      <c r="Y1225" s="9">
        <f t="shared" si="158"/>
        <v>-1449.8371975060149</v>
      </c>
      <c r="Z1225" s="9">
        <f t="shared" si="158"/>
        <v>17828.521113659255</v>
      </c>
      <c r="AA1225" s="9">
        <f t="shared" si="158"/>
        <v>83923.188901260291</v>
      </c>
      <c r="AB1225" s="9">
        <f t="shared" si="155"/>
        <v>35268.98559932888</v>
      </c>
    </row>
    <row r="1226" spans="1:28" x14ac:dyDescent="0.3">
      <c r="A1226" s="1">
        <v>46197</v>
      </c>
      <c r="B1226" s="2">
        <v>210.38</v>
      </c>
      <c r="C1226" s="2">
        <v>733.24</v>
      </c>
      <c r="D1226" s="9">
        <f>B1226-B1225</f>
        <v>1.4900000000000091</v>
      </c>
      <c r="E1226" s="9">
        <f>C1226-C1225</f>
        <v>-0.34000000000003183</v>
      </c>
      <c r="F1226" s="3">
        <f>F$1/B1226</f>
        <v>475.33035459644452</v>
      </c>
      <c r="G1226" s="3">
        <f>F$1/C1226</f>
        <v>136.38099394468387</v>
      </c>
      <c r="H1226" s="2">
        <f>D1226*F1225</f>
        <v>713.29407822299254</v>
      </c>
      <c r="I1226" s="2">
        <f>E1226*G1225</f>
        <v>-46.348046566159361</v>
      </c>
      <c r="J1226" s="2">
        <f>I1226-H1226</f>
        <v>-759.64212478915192</v>
      </c>
      <c r="K1226" s="2">
        <f t="shared" si="162"/>
        <v>759.64212478915192</v>
      </c>
      <c r="L1226" s="3">
        <f>C1226/B1226</f>
        <v>3.4853122920429698</v>
      </c>
      <c r="M1226" s="3">
        <f t="shared" si="156"/>
        <v>3.5267099143237148</v>
      </c>
      <c r="N1226" s="3">
        <f t="shared" si="160"/>
        <v>3.5600132890529594</v>
      </c>
      <c r="O1226" s="3">
        <f t="shared" si="161"/>
        <v>3.5665755302636093</v>
      </c>
      <c r="P1226" s="3">
        <f t="shared" si="154"/>
        <v>3.5116343640764183</v>
      </c>
      <c r="Q1226" s="4" t="str">
        <f t="shared" si="159"/>
        <v>UNDER</v>
      </c>
      <c r="R1226" s="4" t="str">
        <f t="shared" si="159"/>
        <v>UNDER</v>
      </c>
      <c r="S1226" s="4" t="str">
        <f t="shared" si="157"/>
        <v>UNDER</v>
      </c>
      <c r="T1226" s="4" t="str">
        <f t="shared" si="157"/>
        <v>UNDER</v>
      </c>
      <c r="U1226" s="2">
        <f>IF(Q1226="OVER",$J1226,$K1226)</f>
        <v>759.64212478915192</v>
      </c>
      <c r="V1226" s="2">
        <f>IF(R1226="OVER",$J1226,$K1226)</f>
        <v>759.64212478915192</v>
      </c>
      <c r="W1226" s="2">
        <f>IF(S1226="OVER",$J1226,$K1226)</f>
        <v>759.64212478915192</v>
      </c>
      <c r="X1226" s="2">
        <f>IF(T1226="OVER",$J1226,$K1226)</f>
        <v>759.64212478915192</v>
      </c>
      <c r="Y1226" s="9">
        <f t="shared" si="158"/>
        <v>-690.19507271686302</v>
      </c>
      <c r="Z1226" s="9">
        <f t="shared" si="158"/>
        <v>18588.163238448407</v>
      </c>
      <c r="AA1226" s="9">
        <f t="shared" si="158"/>
        <v>84682.831026049447</v>
      </c>
      <c r="AB1226" s="9">
        <f t="shared" si="155"/>
        <v>36028.627724118029</v>
      </c>
    </row>
    <row r="1227" spans="1:28" x14ac:dyDescent="0.3">
      <c r="A1227" s="1">
        <v>46198</v>
      </c>
      <c r="B1227" s="2">
        <v>211.75</v>
      </c>
      <c r="C1227" s="2">
        <v>734.3</v>
      </c>
      <c r="D1227" s="9">
        <f>B1227-B1226</f>
        <v>1.3700000000000045</v>
      </c>
      <c r="E1227" s="9">
        <f>C1227-C1226</f>
        <v>1.0599999999999454</v>
      </c>
      <c r="F1227" s="3">
        <f>F$1/B1227</f>
        <v>472.25501770956316</v>
      </c>
      <c r="G1227" s="3">
        <f>F$1/C1227</f>
        <v>136.18412093149939</v>
      </c>
      <c r="H1227" s="2">
        <f>D1227*F1226</f>
        <v>651.20258579713118</v>
      </c>
      <c r="I1227" s="2">
        <f>E1227*G1226</f>
        <v>144.56385358135745</v>
      </c>
      <c r="J1227" s="2">
        <f>I1227-H1227</f>
        <v>-506.63873221577376</v>
      </c>
      <c r="K1227" s="2">
        <f t="shared" si="162"/>
        <v>506.63873221577376</v>
      </c>
      <c r="L1227" s="3">
        <f>C1227/B1227</f>
        <v>3.467768595041322</v>
      </c>
      <c r="M1227" s="3">
        <f t="shared" si="156"/>
        <v>3.5222399815942738</v>
      </c>
      <c r="N1227" s="3">
        <f t="shared" si="160"/>
        <v>3.5525592685664593</v>
      </c>
      <c r="O1227" s="3">
        <f t="shared" si="161"/>
        <v>3.5663666429237266</v>
      </c>
      <c r="P1227" s="3">
        <f t="shared" ref="P1227:P1257" si="163">AVERAGE(L1028:L1227)</f>
        <v>3.5117436675115532</v>
      </c>
      <c r="Q1227" s="4" t="str">
        <f t="shared" si="159"/>
        <v>UNDER</v>
      </c>
      <c r="R1227" s="4" t="str">
        <f t="shared" si="159"/>
        <v>UNDER</v>
      </c>
      <c r="S1227" s="4" t="str">
        <f t="shared" si="157"/>
        <v>UNDER</v>
      </c>
      <c r="T1227" s="4" t="str">
        <f t="shared" si="157"/>
        <v>UNDER</v>
      </c>
      <c r="U1227" s="2">
        <f>IF(Q1227="OVER",$J1227,$K1227)</f>
        <v>506.63873221577376</v>
      </c>
      <c r="V1227" s="2">
        <f>IF(R1227="OVER",$J1227,$K1227)</f>
        <v>506.63873221577376</v>
      </c>
      <c r="W1227" s="2">
        <f>IF(S1227="OVER",$J1227,$K1227)</f>
        <v>506.63873221577376</v>
      </c>
      <c r="X1227" s="2">
        <f>IF(T1227="OVER",$J1227,$K1227)</f>
        <v>506.63873221577376</v>
      </c>
      <c r="Y1227" s="9">
        <f t="shared" si="158"/>
        <v>-183.55634050108927</v>
      </c>
      <c r="Z1227" s="9">
        <f t="shared" si="158"/>
        <v>19094.801970664183</v>
      </c>
      <c r="AA1227" s="9">
        <f t="shared" si="158"/>
        <v>85189.469758265215</v>
      </c>
      <c r="AB1227" s="9">
        <f t="shared" si="155"/>
        <v>36535.266456333804</v>
      </c>
    </row>
    <row r="1228" spans="1:28" x14ac:dyDescent="0.3">
      <c r="A1228" s="1">
        <v>46199</v>
      </c>
      <c r="B1228" s="2">
        <v>210.31</v>
      </c>
      <c r="C1228" s="2">
        <v>728.99</v>
      </c>
      <c r="D1228" s="9">
        <f>B1228-B1227</f>
        <v>-1.4399999999999977</v>
      </c>
      <c r="E1228" s="9">
        <f>C1228-C1227</f>
        <v>-5.3099999999999454</v>
      </c>
      <c r="F1228" s="3">
        <f>F$1/B1228</f>
        <v>475.48856450002376</v>
      </c>
      <c r="G1228" s="3">
        <f>F$1/C1228</f>
        <v>137.17609295052057</v>
      </c>
      <c r="H1228" s="2">
        <f>D1228*F1227</f>
        <v>-680.04722550176984</v>
      </c>
      <c r="I1228" s="2">
        <f>E1228*G1227</f>
        <v>-723.13768214625429</v>
      </c>
      <c r="J1228" s="2">
        <f>I1228-H1228</f>
        <v>-43.090456644484448</v>
      </c>
      <c r="K1228" s="2">
        <f t="shared" si="162"/>
        <v>43.090456644484448</v>
      </c>
      <c r="L1228" s="3">
        <f>C1228/B1228</f>
        <v>3.4662640863487235</v>
      </c>
      <c r="M1228" s="3">
        <f t="shared" si="156"/>
        <v>3.5171333747345095</v>
      </c>
      <c r="N1228" s="3">
        <f t="shared" si="160"/>
        <v>3.5446960022956615</v>
      </c>
      <c r="O1228" s="3">
        <f t="shared" si="161"/>
        <v>3.5656033050141915</v>
      </c>
      <c r="P1228" s="3">
        <f t="shared" si="163"/>
        <v>3.5117522560696619</v>
      </c>
      <c r="Q1228" s="4" t="str">
        <f t="shared" si="159"/>
        <v>UNDER</v>
      </c>
      <c r="R1228" s="4" t="str">
        <f t="shared" si="159"/>
        <v>UNDER</v>
      </c>
      <c r="S1228" s="4" t="str">
        <f t="shared" si="157"/>
        <v>UNDER</v>
      </c>
      <c r="T1228" s="4" t="str">
        <f t="shared" si="157"/>
        <v>UNDER</v>
      </c>
      <c r="U1228" s="2">
        <f>IF(Q1228="OVER",$J1228,$K1228)</f>
        <v>43.090456644484448</v>
      </c>
      <c r="V1228" s="2">
        <f>IF(R1228="OVER",$J1228,$K1228)</f>
        <v>43.090456644484448</v>
      </c>
      <c r="W1228" s="2">
        <f>IF(S1228="OVER",$J1228,$K1228)</f>
        <v>43.090456644484448</v>
      </c>
      <c r="X1228" s="2">
        <f>IF(T1228="OVER",$J1228,$K1228)</f>
        <v>43.090456644484448</v>
      </c>
      <c r="Y1228" s="9">
        <f t="shared" si="158"/>
        <v>-140.46588385660482</v>
      </c>
      <c r="Z1228" s="9">
        <f t="shared" si="158"/>
        <v>19137.892427308667</v>
      </c>
      <c r="AA1228" s="9">
        <f t="shared" si="158"/>
        <v>85232.560214909696</v>
      </c>
      <c r="AB1228" s="9">
        <f t="shared" si="158"/>
        <v>36578.356912978292</v>
      </c>
    </row>
    <row r="1229" spans="1:28" x14ac:dyDescent="0.3">
      <c r="A1229" s="1">
        <v>46202</v>
      </c>
      <c r="B1229" s="2">
        <v>213.05</v>
      </c>
      <c r="C1229" s="2">
        <v>741</v>
      </c>
      <c r="D1229" s="9">
        <f>B1229-B1228</f>
        <v>2.7400000000000091</v>
      </c>
      <c r="E1229" s="9">
        <f>C1229-C1228</f>
        <v>12.009999999999991</v>
      </c>
      <c r="F1229" s="3">
        <f>F$1/B1229</f>
        <v>469.37338652898376</v>
      </c>
      <c r="G1229" s="3">
        <f>F$1/C1229</f>
        <v>134.95276653171391</v>
      </c>
      <c r="H1229" s="2">
        <f>D1229*F1228</f>
        <v>1302.8386667300695</v>
      </c>
      <c r="I1229" s="2">
        <f>E1229*G1228</f>
        <v>1647.4848763357509</v>
      </c>
      <c r="J1229" s="2">
        <f>I1229-H1229</f>
        <v>344.64620960568141</v>
      </c>
      <c r="K1229" s="2">
        <f t="shared" si="162"/>
        <v>-344.64620960568141</v>
      </c>
      <c r="L1229" s="3">
        <f>C1229/B1229</f>
        <v>3.47805679417977</v>
      </c>
      <c r="M1229" s="3">
        <f t="shared" ref="M1229:M1257" si="164">AVERAGE(L1220:L1229)</f>
        <v>3.5144783879582979</v>
      </c>
      <c r="N1229" s="3">
        <f t="shared" si="160"/>
        <v>3.5374754401945645</v>
      </c>
      <c r="O1229" s="3">
        <f t="shared" si="161"/>
        <v>3.5652222558898128</v>
      </c>
      <c r="P1229" s="3">
        <f t="shared" si="163"/>
        <v>3.5117521283511413</v>
      </c>
      <c r="Q1229" s="4" t="str">
        <f t="shared" si="159"/>
        <v>UNDER</v>
      </c>
      <c r="R1229" s="4" t="str">
        <f t="shared" si="159"/>
        <v>UNDER</v>
      </c>
      <c r="S1229" s="4" t="str">
        <f t="shared" ref="S1229:T1257" si="165">IF($L1229&gt;O1229,"OVER","UNDER")</f>
        <v>UNDER</v>
      </c>
      <c r="T1229" s="4" t="str">
        <f t="shared" si="165"/>
        <v>UNDER</v>
      </c>
      <c r="U1229" s="2">
        <f>IF(Q1229="OVER",$J1229,$K1229)</f>
        <v>-344.64620960568141</v>
      </c>
      <c r="V1229" s="2">
        <f>IF(R1229="OVER",$J1229,$K1229)</f>
        <v>-344.64620960568141</v>
      </c>
      <c r="W1229" s="2">
        <f>IF(S1229="OVER",$J1229,$K1229)</f>
        <v>-344.64620960568141</v>
      </c>
      <c r="X1229" s="2">
        <f>IF(T1229="OVER",$J1229,$K1229)</f>
        <v>-344.64620960568141</v>
      </c>
      <c r="Y1229" s="9">
        <f t="shared" ref="Y1229:AB1257" si="166">Y1228+U1229</f>
        <v>-485.11209346228623</v>
      </c>
      <c r="Z1229" s="9">
        <f t="shared" si="166"/>
        <v>18793.246217702985</v>
      </c>
      <c r="AA1229" s="9">
        <f t="shared" si="166"/>
        <v>84887.914005304017</v>
      </c>
      <c r="AB1229" s="9">
        <f t="shared" si="166"/>
        <v>36233.710703372613</v>
      </c>
    </row>
    <row r="1230" spans="1:28" x14ac:dyDescent="0.3">
      <c r="A1230" s="1">
        <v>46203</v>
      </c>
      <c r="B1230" s="2">
        <v>212.77</v>
      </c>
      <c r="C1230" s="2">
        <v>746.77</v>
      </c>
      <c r="D1230" s="9">
        <f>B1230-B1229</f>
        <v>-0.28000000000000114</v>
      </c>
      <c r="E1230" s="9">
        <f>C1230-C1229</f>
        <v>5.7699999999999818</v>
      </c>
      <c r="F1230" s="3">
        <f>F$1/B1230</f>
        <v>469.99107016966673</v>
      </c>
      <c r="G1230" s="3">
        <f>F$1/C1230</f>
        <v>133.91003923564151</v>
      </c>
      <c r="H1230" s="2">
        <f>D1230*F1229</f>
        <v>-131.42454822811598</v>
      </c>
      <c r="I1230" s="2">
        <f>E1230*G1229</f>
        <v>778.67746288798674</v>
      </c>
      <c r="J1230" s="2">
        <f>I1230-H1230</f>
        <v>910.10201111610274</v>
      </c>
      <c r="K1230" s="2">
        <f t="shared" si="162"/>
        <v>-910.10201111610274</v>
      </c>
      <c r="L1230" s="3">
        <f>C1230/B1230</f>
        <v>3.5097523147060201</v>
      </c>
      <c r="M1230" s="3">
        <f t="shared" si="164"/>
        <v>3.510873574333071</v>
      </c>
      <c r="N1230" s="3">
        <f t="shared" si="160"/>
        <v>3.5316763105544053</v>
      </c>
      <c r="O1230" s="3">
        <f t="shared" si="161"/>
        <v>3.5655078711935806</v>
      </c>
      <c r="P1230" s="3">
        <f t="shared" si="163"/>
        <v>3.5120248430587022</v>
      </c>
      <c r="Q1230" s="4" t="str">
        <f t="shared" ref="Q1230:R1257" si="167">IF($L1229&gt;M1229,"OVER","UNDER")</f>
        <v>UNDER</v>
      </c>
      <c r="R1230" s="4" t="str">
        <f t="shared" si="167"/>
        <v>UNDER</v>
      </c>
      <c r="S1230" s="4" t="str">
        <f t="shared" si="165"/>
        <v>UNDER</v>
      </c>
      <c r="T1230" s="4" t="str">
        <f t="shared" si="165"/>
        <v>UNDER</v>
      </c>
      <c r="U1230" s="2">
        <f>IF(Q1230="OVER",$J1230,$K1230)</f>
        <v>-910.10201111610274</v>
      </c>
      <c r="V1230" s="2">
        <f>IF(R1230="OVER",$J1230,$K1230)</f>
        <v>-910.10201111610274</v>
      </c>
      <c r="W1230" s="2">
        <f>IF(S1230="OVER",$J1230,$K1230)</f>
        <v>-910.10201111610274</v>
      </c>
      <c r="X1230" s="2">
        <f>IF(T1230="OVER",$J1230,$K1230)</f>
        <v>-910.10201111610274</v>
      </c>
      <c r="Y1230" s="9">
        <f t="shared" si="166"/>
        <v>-1395.214104578389</v>
      </c>
      <c r="Z1230" s="9">
        <f t="shared" si="166"/>
        <v>17883.144206586883</v>
      </c>
      <c r="AA1230" s="9">
        <f t="shared" si="166"/>
        <v>83977.811994187912</v>
      </c>
      <c r="AB1230" s="9">
        <f t="shared" si="166"/>
        <v>35323.608692256508</v>
      </c>
    </row>
    <row r="1231" spans="1:28" x14ac:dyDescent="0.3">
      <c r="A1231" s="1">
        <v>46204</v>
      </c>
      <c r="B1231" s="2">
        <v>213.41</v>
      </c>
      <c r="C1231" s="2">
        <v>745.76</v>
      </c>
      <c r="D1231" s="9">
        <f>B1231-B1230</f>
        <v>0.63999999999998636</v>
      </c>
      <c r="E1231" s="9">
        <f>C1231-C1230</f>
        <v>-1.0099999999999909</v>
      </c>
      <c r="F1231" s="3">
        <f>F$1/B1231</f>
        <v>468.58160348624716</v>
      </c>
      <c r="G1231" s="3">
        <f>F$1/C1231</f>
        <v>134.09139669598798</v>
      </c>
      <c r="H1231" s="2">
        <f>D1231*F1230</f>
        <v>300.79428490858027</v>
      </c>
      <c r="I1231" s="2">
        <f>E1231*G1230</f>
        <v>-135.2491396279967</v>
      </c>
      <c r="J1231" s="2">
        <f>I1231-H1231</f>
        <v>-436.04342453657694</v>
      </c>
      <c r="K1231" s="2">
        <f t="shared" si="162"/>
        <v>436.04342453657694</v>
      </c>
      <c r="L1231" s="3">
        <f>C1231/B1231</f>
        <v>3.4944941661590367</v>
      </c>
      <c r="M1231" s="3">
        <f t="shared" si="164"/>
        <v>3.5066773294511195</v>
      </c>
      <c r="N1231" s="3">
        <f t="shared" si="160"/>
        <v>3.5255854599212038</v>
      </c>
      <c r="O1231" s="3">
        <f t="shared" si="161"/>
        <v>3.5658472147719134</v>
      </c>
      <c r="P1231" s="3">
        <f t="shared" si="163"/>
        <v>3.5121018333645186</v>
      </c>
      <c r="Q1231" s="4" t="str">
        <f t="shared" si="167"/>
        <v>UNDER</v>
      </c>
      <c r="R1231" s="4" t="str">
        <f t="shared" si="167"/>
        <v>UNDER</v>
      </c>
      <c r="S1231" s="4" t="str">
        <f t="shared" si="165"/>
        <v>UNDER</v>
      </c>
      <c r="T1231" s="4" t="str">
        <f t="shared" si="165"/>
        <v>UNDER</v>
      </c>
      <c r="U1231" s="2">
        <f>IF(Q1231="OVER",$J1231,$K1231)</f>
        <v>436.04342453657694</v>
      </c>
      <c r="V1231" s="2">
        <f>IF(R1231="OVER",$J1231,$K1231)</f>
        <v>436.04342453657694</v>
      </c>
      <c r="W1231" s="2">
        <f>IF(S1231="OVER",$J1231,$K1231)</f>
        <v>436.04342453657694</v>
      </c>
      <c r="X1231" s="2">
        <f>IF(T1231="OVER",$J1231,$K1231)</f>
        <v>436.04342453657694</v>
      </c>
      <c r="Y1231" s="9">
        <f t="shared" si="166"/>
        <v>-959.17068004181203</v>
      </c>
      <c r="Z1231" s="9">
        <f t="shared" si="166"/>
        <v>18319.187631123459</v>
      </c>
      <c r="AA1231" s="9">
        <f t="shared" si="166"/>
        <v>84413.855418724488</v>
      </c>
      <c r="AB1231" s="9">
        <f t="shared" si="166"/>
        <v>35759.652116793084</v>
      </c>
    </row>
    <row r="1232" spans="1:28" x14ac:dyDescent="0.3">
      <c r="A1232" s="1">
        <v>46205</v>
      </c>
      <c r="B1232" s="2">
        <v>214.91</v>
      </c>
      <c r="C1232" s="2">
        <v>744.78</v>
      </c>
      <c r="D1232" s="9">
        <f>B1232-B1231</f>
        <v>1.5</v>
      </c>
      <c r="E1232" s="9">
        <f>C1232-C1231</f>
        <v>-0.98000000000001819</v>
      </c>
      <c r="F1232" s="3">
        <f>F$1/B1232</f>
        <v>465.31106044390674</v>
      </c>
      <c r="G1232" s="3">
        <f>F$1/C1232</f>
        <v>134.26783748220953</v>
      </c>
      <c r="H1232" s="2">
        <f>D1232*F1231</f>
        <v>702.87240522937077</v>
      </c>
      <c r="I1232" s="2">
        <f>E1232*G1231</f>
        <v>-131.40956876207065</v>
      </c>
      <c r="J1232" s="2">
        <f>I1232-H1232</f>
        <v>-834.28197399144142</v>
      </c>
      <c r="K1232" s="2">
        <f t="shared" si="162"/>
        <v>834.28197399144142</v>
      </c>
      <c r="L1232" s="3">
        <f>C1232/B1232</f>
        <v>3.4655437159741287</v>
      </c>
      <c r="M1232" s="3">
        <f t="shared" si="164"/>
        <v>3.4986884214657779</v>
      </c>
      <c r="N1232" s="3">
        <f t="shared" si="160"/>
        <v>3.5186380340114276</v>
      </c>
      <c r="O1232" s="3">
        <f t="shared" si="161"/>
        <v>3.5656364894863604</v>
      </c>
      <c r="P1232" s="3">
        <f t="shared" si="163"/>
        <v>3.5119108645669836</v>
      </c>
      <c r="Q1232" s="4" t="str">
        <f t="shared" si="167"/>
        <v>UNDER</v>
      </c>
      <c r="R1232" s="4" t="str">
        <f t="shared" si="167"/>
        <v>UNDER</v>
      </c>
      <c r="S1232" s="4" t="str">
        <f t="shared" si="165"/>
        <v>UNDER</v>
      </c>
      <c r="T1232" s="4" t="str">
        <f t="shared" si="165"/>
        <v>UNDER</v>
      </c>
      <c r="U1232" s="2">
        <f>IF(Q1232="OVER",$J1232,$K1232)</f>
        <v>834.28197399144142</v>
      </c>
      <c r="V1232" s="2">
        <f>IF(R1232="OVER",$J1232,$K1232)</f>
        <v>834.28197399144142</v>
      </c>
      <c r="W1232" s="2">
        <f>IF(S1232="OVER",$J1232,$K1232)</f>
        <v>834.28197399144142</v>
      </c>
      <c r="X1232" s="2">
        <f>IF(T1232="OVER",$J1232,$K1232)</f>
        <v>834.28197399144142</v>
      </c>
      <c r="Y1232" s="9">
        <f t="shared" si="166"/>
        <v>-124.88870605037062</v>
      </c>
      <c r="Z1232" s="9">
        <f t="shared" si="166"/>
        <v>19153.4696051149</v>
      </c>
      <c r="AA1232" s="9">
        <f t="shared" si="166"/>
        <v>85248.137392715929</v>
      </c>
      <c r="AB1232" s="9">
        <f t="shared" si="166"/>
        <v>36593.934090784525</v>
      </c>
    </row>
    <row r="1233" spans="1:28" x14ac:dyDescent="0.3">
      <c r="A1233" s="1">
        <v>46209</v>
      </c>
      <c r="B1233" s="2">
        <v>215</v>
      </c>
      <c r="C1233" s="2">
        <v>751.28</v>
      </c>
      <c r="D1233" s="9">
        <f>B1233-B1232</f>
        <v>9.0000000000003411E-2</v>
      </c>
      <c r="E1233" s="9">
        <f>C1233-C1232</f>
        <v>6.5</v>
      </c>
      <c r="F1233" s="3">
        <f>F$1/B1233</f>
        <v>465.11627906976742</v>
      </c>
      <c r="G1233" s="3">
        <f>F$1/C1233</f>
        <v>133.10616547758494</v>
      </c>
      <c r="H1233" s="2">
        <f>D1233*F1232</f>
        <v>41.877995439953196</v>
      </c>
      <c r="I1233" s="2">
        <f>E1233*G1232</f>
        <v>872.74094363436188</v>
      </c>
      <c r="J1233" s="2">
        <f>I1233-H1233</f>
        <v>830.86294819440866</v>
      </c>
      <c r="K1233" s="2">
        <f t="shared" si="162"/>
        <v>-830.86294819440866</v>
      </c>
      <c r="L1233" s="3">
        <f>C1233/B1233</f>
        <v>3.4943255813953487</v>
      </c>
      <c r="M1233" s="3">
        <f t="shared" si="164"/>
        <v>3.492462758991862</v>
      </c>
      <c r="N1233" s="3">
        <f t="shared" si="160"/>
        <v>3.5138044387748812</v>
      </c>
      <c r="O1233" s="3">
        <f t="shared" si="161"/>
        <v>3.5652661602568139</v>
      </c>
      <c r="P1233" s="3">
        <f t="shared" si="163"/>
        <v>3.5118414304423875</v>
      </c>
      <c r="Q1233" s="4" t="str">
        <f t="shared" si="167"/>
        <v>UNDER</v>
      </c>
      <c r="R1233" s="4" t="str">
        <f t="shared" si="167"/>
        <v>UNDER</v>
      </c>
      <c r="S1233" s="4" t="str">
        <f t="shared" si="165"/>
        <v>UNDER</v>
      </c>
      <c r="T1233" s="4" t="str">
        <f t="shared" si="165"/>
        <v>UNDER</v>
      </c>
      <c r="U1233" s="2">
        <f>IF(Q1233="OVER",$J1233,$K1233)</f>
        <v>-830.86294819440866</v>
      </c>
      <c r="V1233" s="2">
        <f>IF(R1233="OVER",$J1233,$K1233)</f>
        <v>-830.86294819440866</v>
      </c>
      <c r="W1233" s="2">
        <f>IF(S1233="OVER",$J1233,$K1233)</f>
        <v>-830.86294819440866</v>
      </c>
      <c r="X1233" s="2">
        <f>IF(T1233="OVER",$J1233,$K1233)</f>
        <v>-830.86294819440866</v>
      </c>
      <c r="Y1233" s="9">
        <f t="shared" si="166"/>
        <v>-955.75165424477927</v>
      </c>
      <c r="Z1233" s="9">
        <f t="shared" si="166"/>
        <v>18322.606656920492</v>
      </c>
      <c r="AA1233" s="9">
        <f t="shared" si="166"/>
        <v>84417.274444521521</v>
      </c>
      <c r="AB1233" s="9">
        <f t="shared" si="166"/>
        <v>35763.071142590117</v>
      </c>
    </row>
    <row r="1234" spans="1:28" x14ac:dyDescent="0.3">
      <c r="A1234" s="1">
        <v>46210</v>
      </c>
      <c r="B1234" s="2">
        <v>214.73</v>
      </c>
      <c r="C1234" s="2">
        <v>747.71</v>
      </c>
      <c r="D1234" s="9">
        <f>B1234-B1233</f>
        <v>-0.27000000000001023</v>
      </c>
      <c r="E1234" s="9">
        <f>C1234-C1233</f>
        <v>-3.5699999999999363</v>
      </c>
      <c r="F1234" s="3">
        <f>F$1/B1234</f>
        <v>465.70111302566016</v>
      </c>
      <c r="G1234" s="3">
        <f>F$1/C1234</f>
        <v>133.74169129742813</v>
      </c>
      <c r="H1234" s="2">
        <f>D1234*F1233</f>
        <v>-125.58139534884197</v>
      </c>
      <c r="I1234" s="2">
        <f>E1234*G1233</f>
        <v>-475.18901075496973</v>
      </c>
      <c r="J1234" s="2">
        <f>I1234-H1234</f>
        <v>-349.60761540612776</v>
      </c>
      <c r="K1234" s="2">
        <f t="shared" si="162"/>
        <v>349.60761540612776</v>
      </c>
      <c r="L1234" s="3">
        <f>C1234/B1234</f>
        <v>3.4820937922041635</v>
      </c>
      <c r="M1234" s="3">
        <f t="shared" si="164"/>
        <v>3.4855411807197925</v>
      </c>
      <c r="N1234" s="3">
        <f t="shared" si="160"/>
        <v>3.5104684316618062</v>
      </c>
      <c r="O1234" s="3">
        <f t="shared" si="161"/>
        <v>3.5649203848289779</v>
      </c>
      <c r="P1234" s="3">
        <f t="shared" si="163"/>
        <v>3.5117493769669998</v>
      </c>
      <c r="Q1234" s="4" t="str">
        <f t="shared" si="167"/>
        <v>OVER</v>
      </c>
      <c r="R1234" s="4" t="str">
        <f t="shared" si="167"/>
        <v>UNDER</v>
      </c>
      <c r="S1234" s="4" t="str">
        <f t="shared" si="165"/>
        <v>UNDER</v>
      </c>
      <c r="T1234" s="4" t="str">
        <f t="shared" si="165"/>
        <v>UNDER</v>
      </c>
      <c r="U1234" s="2">
        <f>IF(Q1234="OVER",$J1234,$K1234)</f>
        <v>-349.60761540612776</v>
      </c>
      <c r="V1234" s="2">
        <f>IF(R1234="OVER",$J1234,$K1234)</f>
        <v>349.60761540612776</v>
      </c>
      <c r="W1234" s="2">
        <f>IF(S1234="OVER",$J1234,$K1234)</f>
        <v>349.60761540612776</v>
      </c>
      <c r="X1234" s="2">
        <f>IF(T1234="OVER",$J1234,$K1234)</f>
        <v>349.60761540612776</v>
      </c>
      <c r="Y1234" s="9">
        <f t="shared" si="166"/>
        <v>-1305.359269650907</v>
      </c>
      <c r="Z1234" s="9">
        <f t="shared" si="166"/>
        <v>18672.214272326619</v>
      </c>
      <c r="AA1234" s="9">
        <f t="shared" si="166"/>
        <v>84766.882059927651</v>
      </c>
      <c r="AB1234" s="9">
        <f t="shared" si="166"/>
        <v>36112.678757996247</v>
      </c>
    </row>
    <row r="1235" spans="1:28" x14ac:dyDescent="0.3">
      <c r="A1235" s="1">
        <v>46211</v>
      </c>
      <c r="B1235" s="2">
        <v>212.2</v>
      </c>
      <c r="C1235" s="2">
        <v>745.4</v>
      </c>
      <c r="D1235" s="9">
        <f>B1235-B1234</f>
        <v>-2.5300000000000011</v>
      </c>
      <c r="E1235" s="9">
        <f>C1235-C1234</f>
        <v>-2.3100000000000591</v>
      </c>
      <c r="F1235" s="3">
        <f>F$1/B1235</f>
        <v>471.25353440150803</v>
      </c>
      <c r="G1235" s="3">
        <f>F$1/C1235</f>
        <v>134.15615776764153</v>
      </c>
      <c r="H1235" s="2">
        <f>D1235*F1234</f>
        <v>-1178.2238159549208</v>
      </c>
      <c r="I1235" s="2">
        <f>E1235*G1234</f>
        <v>-308.94330689706692</v>
      </c>
      <c r="J1235" s="2">
        <f>I1235-H1235</f>
        <v>869.28050905785392</v>
      </c>
      <c r="K1235" s="2">
        <f t="shared" si="162"/>
        <v>-869.28050905785392</v>
      </c>
      <c r="L1235" s="3">
        <f>C1235/B1235</f>
        <v>3.512723845428841</v>
      </c>
      <c r="M1235" s="3">
        <f t="shared" si="164"/>
        <v>3.4856335183480325</v>
      </c>
      <c r="N1235" s="3">
        <f t="shared" si="160"/>
        <v>3.5080737005673215</v>
      </c>
      <c r="O1235" s="3">
        <f t="shared" si="161"/>
        <v>3.5644982295542151</v>
      </c>
      <c r="P1235" s="3">
        <f t="shared" si="163"/>
        <v>3.5118428052054345</v>
      </c>
      <c r="Q1235" s="4" t="str">
        <f t="shared" si="167"/>
        <v>UNDER</v>
      </c>
      <c r="R1235" s="4" t="str">
        <f t="shared" si="167"/>
        <v>UNDER</v>
      </c>
      <c r="S1235" s="4" t="str">
        <f t="shared" si="165"/>
        <v>UNDER</v>
      </c>
      <c r="T1235" s="4" t="str">
        <f t="shared" si="165"/>
        <v>OVER</v>
      </c>
      <c r="U1235" s="2">
        <f>IF(Q1235="OVER",$J1235,$K1235)</f>
        <v>-869.28050905785392</v>
      </c>
      <c r="V1235" s="2">
        <f>IF(R1235="OVER",$J1235,$K1235)</f>
        <v>-869.28050905785392</v>
      </c>
      <c r="W1235" s="2">
        <f>IF(S1235="OVER",$J1235,$K1235)</f>
        <v>-869.28050905785392</v>
      </c>
      <c r="X1235" s="2">
        <f>IF(T1235="OVER",$J1235,$K1235)</f>
        <v>869.28050905785392</v>
      </c>
      <c r="Y1235" s="9">
        <f t="shared" si="166"/>
        <v>-2174.6397787087608</v>
      </c>
      <c r="Z1235" s="9">
        <f t="shared" si="166"/>
        <v>17802.933763268764</v>
      </c>
      <c r="AA1235" s="9">
        <f t="shared" si="166"/>
        <v>83897.601550869804</v>
      </c>
      <c r="AB1235" s="9">
        <f t="shared" si="166"/>
        <v>36981.959267054102</v>
      </c>
    </row>
    <row r="1236" spans="1:28" x14ac:dyDescent="0.3">
      <c r="A1236" s="1">
        <v>46212</v>
      </c>
      <c r="B1236" s="2">
        <v>213.5</v>
      </c>
      <c r="C1236" s="2">
        <v>751.71</v>
      </c>
      <c r="D1236" s="9">
        <f>B1236-B1235</f>
        <v>1.3000000000000114</v>
      </c>
      <c r="E1236" s="9">
        <f>C1236-C1235</f>
        <v>6.3100000000000591</v>
      </c>
      <c r="F1236" s="3">
        <f>F$1/B1236</f>
        <v>468.38407494145201</v>
      </c>
      <c r="G1236" s="3">
        <f>F$1/C1236</f>
        <v>133.03002487661465</v>
      </c>
      <c r="H1236" s="2">
        <f>D1236*F1235</f>
        <v>612.62959472196576</v>
      </c>
      <c r="I1236" s="2">
        <f>E1236*G1235</f>
        <v>846.52535551382596</v>
      </c>
      <c r="J1236" s="2">
        <f>I1236-H1236</f>
        <v>233.8957607918602</v>
      </c>
      <c r="K1236" s="2">
        <f t="shared" si="162"/>
        <v>-233.8957607918602</v>
      </c>
      <c r="L1236" s="3">
        <f>C1236/B1236</f>
        <v>3.5208899297423888</v>
      </c>
      <c r="M1236" s="3">
        <f t="shared" si="164"/>
        <v>3.4891912821179742</v>
      </c>
      <c r="N1236" s="3">
        <f t="shared" si="160"/>
        <v>3.5079505982208445</v>
      </c>
      <c r="O1236" s="3">
        <f t="shared" si="161"/>
        <v>3.5640334274255383</v>
      </c>
      <c r="P1236" s="3">
        <f t="shared" si="163"/>
        <v>3.5119085412554982</v>
      </c>
      <c r="Q1236" s="4" t="str">
        <f t="shared" si="167"/>
        <v>OVER</v>
      </c>
      <c r="R1236" s="4" t="str">
        <f t="shared" si="167"/>
        <v>OVER</v>
      </c>
      <c r="S1236" s="4" t="str">
        <f t="shared" si="165"/>
        <v>UNDER</v>
      </c>
      <c r="T1236" s="4" t="str">
        <f t="shared" si="165"/>
        <v>OVER</v>
      </c>
      <c r="U1236" s="2">
        <f>IF(Q1236="OVER",$J1236,$K1236)</f>
        <v>233.8957607918602</v>
      </c>
      <c r="V1236" s="2">
        <f>IF(R1236="OVER",$J1236,$K1236)</f>
        <v>233.8957607918602</v>
      </c>
      <c r="W1236" s="2">
        <f>IF(S1236="OVER",$J1236,$K1236)</f>
        <v>-233.8957607918602</v>
      </c>
      <c r="X1236" s="2">
        <f>IF(T1236="OVER",$J1236,$K1236)</f>
        <v>233.8957607918602</v>
      </c>
      <c r="Y1236" s="9">
        <f t="shared" si="166"/>
        <v>-1940.7440179169007</v>
      </c>
      <c r="Z1236" s="9">
        <f t="shared" si="166"/>
        <v>18036.829524060624</v>
      </c>
      <c r="AA1236" s="9">
        <f t="shared" si="166"/>
        <v>83663.705790077947</v>
      </c>
      <c r="AB1236" s="9">
        <f t="shared" si="166"/>
        <v>37215.855027845966</v>
      </c>
    </row>
    <row r="1237" spans="1:28" x14ac:dyDescent="0.3">
      <c r="A1237" s="1">
        <v>46213</v>
      </c>
      <c r="B1237" s="2">
        <v>214.3</v>
      </c>
      <c r="C1237" s="2">
        <v>754.95</v>
      </c>
      <c r="D1237" s="9">
        <f>B1237-B1236</f>
        <v>0.80000000000001137</v>
      </c>
      <c r="E1237" s="9">
        <f>C1237-C1236</f>
        <v>3.2400000000000091</v>
      </c>
      <c r="F1237" s="3">
        <f>F$1/B1237</f>
        <v>466.63555762949136</v>
      </c>
      <c r="G1237" s="3">
        <f>F$1/C1237</f>
        <v>132.45910325187097</v>
      </c>
      <c r="H1237" s="2">
        <f>D1237*F1236</f>
        <v>374.70725995316695</v>
      </c>
      <c r="I1237" s="2">
        <f>E1237*G1236</f>
        <v>431.01728060023265</v>
      </c>
      <c r="J1237" s="2">
        <f>I1237-H1237</f>
        <v>56.310020647065699</v>
      </c>
      <c r="K1237" s="2">
        <f t="shared" si="162"/>
        <v>-56.310020647065699</v>
      </c>
      <c r="L1237" s="3">
        <f>C1237/B1237</f>
        <v>3.5228651423238451</v>
      </c>
      <c r="M1237" s="3">
        <f t="shared" si="164"/>
        <v>3.4947009368462267</v>
      </c>
      <c r="N1237" s="3">
        <f t="shared" si="160"/>
        <v>3.5084704592202507</v>
      </c>
      <c r="O1237" s="3">
        <f t="shared" si="161"/>
        <v>3.5635911486820566</v>
      </c>
      <c r="P1237" s="3">
        <f t="shared" si="163"/>
        <v>3.511832926389868</v>
      </c>
      <c r="Q1237" s="4" t="str">
        <f t="shared" si="167"/>
        <v>OVER</v>
      </c>
      <c r="R1237" s="4" t="str">
        <f t="shared" si="167"/>
        <v>OVER</v>
      </c>
      <c r="S1237" s="4" t="str">
        <f t="shared" si="165"/>
        <v>UNDER</v>
      </c>
      <c r="T1237" s="4" t="str">
        <f t="shared" si="165"/>
        <v>OVER</v>
      </c>
      <c r="U1237" s="2">
        <f>IF(Q1237="OVER",$J1237,$K1237)</f>
        <v>56.310020647065699</v>
      </c>
      <c r="V1237" s="2">
        <f>IF(R1237="OVER",$J1237,$K1237)</f>
        <v>56.310020647065699</v>
      </c>
      <c r="W1237" s="2">
        <f>IF(S1237="OVER",$J1237,$K1237)</f>
        <v>-56.310020647065699</v>
      </c>
      <c r="X1237" s="2">
        <f>IF(T1237="OVER",$J1237,$K1237)</f>
        <v>56.310020647065699</v>
      </c>
      <c r="Y1237" s="9">
        <f t="shared" si="166"/>
        <v>-1884.4339972698349</v>
      </c>
      <c r="Z1237" s="9">
        <f t="shared" si="166"/>
        <v>18093.13954470769</v>
      </c>
      <c r="AA1237" s="9">
        <f t="shared" si="166"/>
        <v>83607.395769430877</v>
      </c>
      <c r="AB1237" s="9">
        <f t="shared" si="166"/>
        <v>37272.165048493029</v>
      </c>
    </row>
    <row r="1238" spans="1:28" x14ac:dyDescent="0.3">
      <c r="A1238" s="1">
        <v>46216</v>
      </c>
      <c r="B1238" s="2">
        <v>214.23</v>
      </c>
      <c r="C1238" s="2">
        <v>749.17</v>
      </c>
      <c r="D1238" s="9">
        <f>B1238-B1237</f>
        <v>-7.00000000000216E-2</v>
      </c>
      <c r="E1238" s="9">
        <f>C1238-C1237</f>
        <v>-5.7800000000000864</v>
      </c>
      <c r="F1238" s="3">
        <f>F$1/B1238</f>
        <v>466.78803155487094</v>
      </c>
      <c r="G1238" s="3">
        <f>F$1/C1238</f>
        <v>133.48105236461686</v>
      </c>
      <c r="H1238" s="2">
        <f>D1238*F1237</f>
        <v>-32.664489034074478</v>
      </c>
      <c r="I1238" s="2">
        <f>E1238*G1237</f>
        <v>-765.61361679582569</v>
      </c>
      <c r="J1238" s="2">
        <f>I1238-H1238</f>
        <v>-732.94912776175124</v>
      </c>
      <c r="K1238" s="2">
        <f t="shared" si="162"/>
        <v>732.94912776175124</v>
      </c>
      <c r="L1238" s="3">
        <f>C1238/B1238</f>
        <v>3.4970358959996264</v>
      </c>
      <c r="M1238" s="3">
        <f t="shared" si="164"/>
        <v>3.497778117811317</v>
      </c>
      <c r="N1238" s="3">
        <f t="shared" si="160"/>
        <v>3.507455746272913</v>
      </c>
      <c r="O1238" s="3">
        <f t="shared" si="161"/>
        <v>3.5625194420723356</v>
      </c>
      <c r="P1238" s="3">
        <f t="shared" si="163"/>
        <v>3.5117459051385849</v>
      </c>
      <c r="Q1238" s="4" t="str">
        <f t="shared" si="167"/>
        <v>OVER</v>
      </c>
      <c r="R1238" s="4" t="str">
        <f t="shared" si="167"/>
        <v>OVER</v>
      </c>
      <c r="S1238" s="4" t="str">
        <f t="shared" si="165"/>
        <v>UNDER</v>
      </c>
      <c r="T1238" s="4" t="str">
        <f t="shared" si="165"/>
        <v>UNDER</v>
      </c>
      <c r="U1238" s="2">
        <f>IF(Q1238="OVER",$J1238,$K1238)</f>
        <v>-732.94912776175124</v>
      </c>
      <c r="V1238" s="2">
        <f>IF(R1238="OVER",$J1238,$K1238)</f>
        <v>-732.94912776175124</v>
      </c>
      <c r="W1238" s="2">
        <f>IF(S1238="OVER",$J1238,$K1238)</f>
        <v>732.94912776175124</v>
      </c>
      <c r="X1238" s="2">
        <f>IF(T1238="OVER",$J1238,$K1238)</f>
        <v>732.94912776175124</v>
      </c>
      <c r="Y1238" s="9">
        <f t="shared" si="166"/>
        <v>-2617.3831250315861</v>
      </c>
      <c r="Z1238" s="9">
        <f t="shared" si="166"/>
        <v>17360.190416945938</v>
      </c>
      <c r="AA1238" s="9">
        <f t="shared" si="166"/>
        <v>84340.344897192626</v>
      </c>
      <c r="AB1238" s="9">
        <f t="shared" si="166"/>
        <v>38005.114176254778</v>
      </c>
    </row>
    <row r="1239" spans="1:28" x14ac:dyDescent="0.3">
      <c r="A1239" s="1">
        <v>46217</v>
      </c>
      <c r="B1239" s="2">
        <v>213.45</v>
      </c>
      <c r="C1239" s="2">
        <v>751.83</v>
      </c>
      <c r="D1239" s="9">
        <f>B1239-B1238</f>
        <v>-0.78000000000000114</v>
      </c>
      <c r="E1239" s="9">
        <f>C1239-C1238</f>
        <v>2.6600000000000819</v>
      </c>
      <c r="F1239" s="3">
        <f>F$1/B1239</f>
        <v>468.49379245724998</v>
      </c>
      <c r="G1239" s="3">
        <f>F$1/C1239</f>
        <v>133.00879188114334</v>
      </c>
      <c r="H1239" s="2">
        <f>D1239*F1238</f>
        <v>-364.09466461279987</v>
      </c>
      <c r="I1239" s="2">
        <f>E1239*G1238</f>
        <v>355.05959928989176</v>
      </c>
      <c r="J1239" s="2">
        <f>I1239-H1239</f>
        <v>719.15426390269158</v>
      </c>
      <c r="K1239" s="2">
        <f t="shared" si="162"/>
        <v>-719.15426390269158</v>
      </c>
      <c r="L1239" s="3">
        <f>C1239/B1239</f>
        <v>3.5222768798313426</v>
      </c>
      <c r="M1239" s="3">
        <f t="shared" si="164"/>
        <v>3.5022001263764744</v>
      </c>
      <c r="N1239" s="3">
        <f t="shared" ref="N1239:N1257" si="168">AVERAGE(L1220:L1239)</f>
        <v>3.5083392571673864</v>
      </c>
      <c r="O1239" s="3">
        <f t="shared" si="161"/>
        <v>3.5623141735344759</v>
      </c>
      <c r="P1239" s="3">
        <f t="shared" si="163"/>
        <v>3.5118000579023247</v>
      </c>
      <c r="Q1239" s="4" t="str">
        <f t="shared" si="167"/>
        <v>UNDER</v>
      </c>
      <c r="R1239" s="4" t="str">
        <f t="shared" si="167"/>
        <v>UNDER</v>
      </c>
      <c r="S1239" s="4" t="str">
        <f t="shared" si="165"/>
        <v>UNDER</v>
      </c>
      <c r="T1239" s="4" t="str">
        <f t="shared" si="165"/>
        <v>OVER</v>
      </c>
      <c r="U1239" s="2">
        <f>IF(Q1239="OVER",$J1239,$K1239)</f>
        <v>-719.15426390269158</v>
      </c>
      <c r="V1239" s="2">
        <f>IF(R1239="OVER",$J1239,$K1239)</f>
        <v>-719.15426390269158</v>
      </c>
      <c r="W1239" s="2">
        <f>IF(S1239="OVER",$J1239,$K1239)</f>
        <v>-719.15426390269158</v>
      </c>
      <c r="X1239" s="2">
        <f>IF(T1239="OVER",$J1239,$K1239)</f>
        <v>719.15426390269158</v>
      </c>
      <c r="Y1239" s="9">
        <f t="shared" si="166"/>
        <v>-3336.5373889342777</v>
      </c>
      <c r="Z1239" s="9">
        <f t="shared" si="166"/>
        <v>16641.036153043246</v>
      </c>
      <c r="AA1239" s="9">
        <f t="shared" si="166"/>
        <v>83621.190633289938</v>
      </c>
      <c r="AB1239" s="9">
        <f t="shared" si="166"/>
        <v>38724.268440157466</v>
      </c>
    </row>
    <row r="1240" spans="1:28" x14ac:dyDescent="0.3">
      <c r="A1240" s="1">
        <v>46218</v>
      </c>
      <c r="B1240" s="2">
        <v>212.97</v>
      </c>
      <c r="C1240" s="2">
        <v>754.81</v>
      </c>
      <c r="D1240" s="9">
        <f>B1240-B1239</f>
        <v>-0.47999999999998977</v>
      </c>
      <c r="E1240" s="9">
        <f>C1240-C1239</f>
        <v>2.9799999999999045</v>
      </c>
      <c r="F1240" s="3">
        <f>F$1/B1240</f>
        <v>469.54970183593935</v>
      </c>
      <c r="G1240" s="3">
        <f>F$1/C1240</f>
        <v>132.48367138750149</v>
      </c>
      <c r="H1240" s="2">
        <f>D1240*F1239</f>
        <v>-224.8770203794752</v>
      </c>
      <c r="I1240" s="2">
        <f>E1240*G1239</f>
        <v>396.36619980579445</v>
      </c>
      <c r="J1240" s="2">
        <f>I1240-H1240</f>
        <v>621.24322018526959</v>
      </c>
      <c r="K1240" s="2">
        <f t="shared" si="162"/>
        <v>-621.24322018526959</v>
      </c>
      <c r="L1240" s="3">
        <f>C1240/B1240</f>
        <v>3.5442081044278533</v>
      </c>
      <c r="M1240" s="3">
        <f t="shared" si="164"/>
        <v>3.5056457053486576</v>
      </c>
      <c r="N1240" s="3">
        <f t="shared" si="168"/>
        <v>3.5082596398408641</v>
      </c>
      <c r="O1240" s="3">
        <f t="shared" si="161"/>
        <v>3.5621353240857081</v>
      </c>
      <c r="P1240" s="3">
        <f t="shared" si="163"/>
        <v>3.5118997937972147</v>
      </c>
      <c r="Q1240" s="4" t="str">
        <f t="shared" si="167"/>
        <v>OVER</v>
      </c>
      <c r="R1240" s="4" t="str">
        <f t="shared" si="167"/>
        <v>OVER</v>
      </c>
      <c r="S1240" s="4" t="str">
        <f t="shared" si="165"/>
        <v>UNDER</v>
      </c>
      <c r="T1240" s="4" t="str">
        <f t="shared" si="165"/>
        <v>OVER</v>
      </c>
      <c r="U1240" s="2">
        <f>IF(Q1240="OVER",$J1240,$K1240)</f>
        <v>621.24322018526959</v>
      </c>
      <c r="V1240" s="2">
        <f>IF(R1240="OVER",$J1240,$K1240)</f>
        <v>621.24322018526959</v>
      </c>
      <c r="W1240" s="2">
        <f>IF(S1240="OVER",$J1240,$K1240)</f>
        <v>-621.24322018526959</v>
      </c>
      <c r="X1240" s="2">
        <f>IF(T1240="OVER",$J1240,$K1240)</f>
        <v>621.24322018526959</v>
      </c>
      <c r="Y1240" s="9">
        <f t="shared" si="166"/>
        <v>-2715.2941687490083</v>
      </c>
      <c r="Z1240" s="9">
        <f t="shared" si="166"/>
        <v>17262.279373228514</v>
      </c>
      <c r="AA1240" s="9">
        <f t="shared" si="166"/>
        <v>82999.947413104674</v>
      </c>
      <c r="AB1240" s="9">
        <f t="shared" si="166"/>
        <v>39345.511660342738</v>
      </c>
    </row>
    <row r="1241" spans="1:28" x14ac:dyDescent="0.3">
      <c r="A1241" s="1">
        <v>46219</v>
      </c>
      <c r="B1241" s="2">
        <v>215.06</v>
      </c>
      <c r="C1241" s="2">
        <v>750.72</v>
      </c>
      <c r="D1241" s="9">
        <f>B1241-B1240</f>
        <v>2.0900000000000034</v>
      </c>
      <c r="E1241" s="9">
        <f>C1241-C1240</f>
        <v>-4.0899999999999181</v>
      </c>
      <c r="F1241" s="3">
        <f>F$1/B1241</f>
        <v>464.98651539105367</v>
      </c>
      <c r="G1241" s="3">
        <f>F$1/C1241</f>
        <v>133.20545609548168</v>
      </c>
      <c r="H1241" s="2">
        <f>D1241*F1240</f>
        <v>981.35887683711485</v>
      </c>
      <c r="I1241" s="2">
        <f>E1241*G1240</f>
        <v>-541.85821597487029</v>
      </c>
      <c r="J1241" s="2">
        <f>I1241-H1241</f>
        <v>-1523.2170928119851</v>
      </c>
      <c r="K1241" s="2">
        <f t="shared" si="162"/>
        <v>1523.2170928119851</v>
      </c>
      <c r="L1241" s="3">
        <f>C1241/B1241</f>
        <v>3.4907467683437181</v>
      </c>
      <c r="M1241" s="3">
        <f t="shared" si="164"/>
        <v>3.5052709655671253</v>
      </c>
      <c r="N1241" s="3">
        <f t="shared" si="168"/>
        <v>3.5059741475091224</v>
      </c>
      <c r="O1241" s="3">
        <f t="shared" si="161"/>
        <v>3.5607332390201289</v>
      </c>
      <c r="P1241" s="3">
        <f t="shared" si="163"/>
        <v>3.511805137120823</v>
      </c>
      <c r="Q1241" s="4" t="str">
        <f t="shared" si="167"/>
        <v>OVER</v>
      </c>
      <c r="R1241" s="4" t="str">
        <f t="shared" si="167"/>
        <v>OVER</v>
      </c>
      <c r="S1241" s="4" t="str">
        <f t="shared" si="165"/>
        <v>UNDER</v>
      </c>
      <c r="T1241" s="4" t="str">
        <f t="shared" si="165"/>
        <v>UNDER</v>
      </c>
      <c r="U1241" s="2">
        <f>IF(Q1241="OVER",$J1241,$K1241)</f>
        <v>-1523.2170928119851</v>
      </c>
      <c r="V1241" s="2">
        <f>IF(R1241="OVER",$J1241,$K1241)</f>
        <v>-1523.2170928119851</v>
      </c>
      <c r="W1241" s="2">
        <f>IF(S1241="OVER",$J1241,$K1241)</f>
        <v>1523.2170928119851</v>
      </c>
      <c r="X1241" s="2">
        <f>IF(T1241="OVER",$J1241,$K1241)</f>
        <v>1523.2170928119851</v>
      </c>
      <c r="Y1241" s="9">
        <f t="shared" si="166"/>
        <v>-4238.5112615609933</v>
      </c>
      <c r="Z1241" s="9">
        <f t="shared" si="166"/>
        <v>15739.062280416529</v>
      </c>
      <c r="AA1241" s="9">
        <f t="shared" si="166"/>
        <v>84523.164505916662</v>
      </c>
      <c r="AB1241" s="9">
        <f t="shared" si="166"/>
        <v>40868.728753154726</v>
      </c>
    </row>
    <row r="1242" spans="1:28" x14ac:dyDescent="0.3">
      <c r="A1242" s="1">
        <v>46220</v>
      </c>
      <c r="B1242" s="2">
        <v>213.37</v>
      </c>
      <c r="C1242" s="2">
        <v>743.29</v>
      </c>
      <c r="D1242" s="9">
        <f>B1242-B1241</f>
        <v>-1.6899999999999977</v>
      </c>
      <c r="E1242" s="9">
        <f>C1242-C1241</f>
        <v>-7.4300000000000637</v>
      </c>
      <c r="F1242" s="3">
        <f>F$1/B1242</f>
        <v>468.66944743872148</v>
      </c>
      <c r="G1242" s="3">
        <f>F$1/C1242</f>
        <v>134.53699094566051</v>
      </c>
      <c r="H1242" s="2">
        <f>D1242*F1241</f>
        <v>-785.82721101087964</v>
      </c>
      <c r="I1242" s="2">
        <f>E1242*G1241</f>
        <v>-989.71653878943732</v>
      </c>
      <c r="J1242" s="2">
        <f>I1242-H1242</f>
        <v>-203.88932777855769</v>
      </c>
      <c r="K1242" s="2">
        <f t="shared" si="162"/>
        <v>203.88932777855769</v>
      </c>
      <c r="L1242" s="3">
        <f>C1242/B1242</f>
        <v>3.4835731358672724</v>
      </c>
      <c r="M1242" s="3">
        <f t="shared" si="164"/>
        <v>3.5070739075564399</v>
      </c>
      <c r="N1242" s="3">
        <f t="shared" si="168"/>
        <v>3.5028811645111082</v>
      </c>
      <c r="O1242" s="3">
        <f t="shared" si="161"/>
        <v>3.5591815173249568</v>
      </c>
      <c r="P1242" s="3">
        <f t="shared" si="163"/>
        <v>3.5116838907494188</v>
      </c>
      <c r="Q1242" s="4" t="str">
        <f t="shared" si="167"/>
        <v>UNDER</v>
      </c>
      <c r="R1242" s="4" t="str">
        <f t="shared" si="167"/>
        <v>UNDER</v>
      </c>
      <c r="S1242" s="4" t="str">
        <f t="shared" si="165"/>
        <v>UNDER</v>
      </c>
      <c r="T1242" s="4" t="str">
        <f t="shared" si="165"/>
        <v>UNDER</v>
      </c>
      <c r="U1242" s="2">
        <f>IF(Q1242="OVER",$J1242,$K1242)</f>
        <v>203.88932777855769</v>
      </c>
      <c r="V1242" s="2">
        <f>IF(R1242="OVER",$J1242,$K1242)</f>
        <v>203.88932777855769</v>
      </c>
      <c r="W1242" s="2">
        <f>IF(S1242="OVER",$J1242,$K1242)</f>
        <v>203.88932777855769</v>
      </c>
      <c r="X1242" s="2">
        <f>IF(T1242="OVER",$J1242,$K1242)</f>
        <v>203.88932777855769</v>
      </c>
      <c r="Y1242" s="9">
        <f t="shared" si="166"/>
        <v>-4034.6219337824355</v>
      </c>
      <c r="Z1242" s="9">
        <f t="shared" si="166"/>
        <v>15942.951608195086</v>
      </c>
      <c r="AA1242" s="9">
        <f t="shared" si="166"/>
        <v>84727.053833695216</v>
      </c>
      <c r="AB1242" s="9">
        <f t="shared" si="166"/>
        <v>41072.618080933287</v>
      </c>
    </row>
    <row r="1243" spans="1:28" x14ac:dyDescent="0.3">
      <c r="A1243" s="1">
        <v>46223</v>
      </c>
      <c r="B1243" s="2">
        <v>212.42</v>
      </c>
      <c r="C1243" s="2">
        <v>742.09</v>
      </c>
      <c r="D1243" s="9">
        <f>B1243-B1242</f>
        <v>-0.95000000000001705</v>
      </c>
      <c r="E1243" s="9">
        <f>C1243-C1242</f>
        <v>-1.1999999999999318</v>
      </c>
      <c r="F1243" s="3">
        <f>F$1/B1243</f>
        <v>470.76546464551365</v>
      </c>
      <c r="G1243" s="3">
        <f>F$1/C1243</f>
        <v>134.75454459701652</v>
      </c>
      <c r="H1243" s="2">
        <f>D1243*F1242</f>
        <v>-445.2359750667934</v>
      </c>
      <c r="I1243" s="2">
        <f>E1243*G1242</f>
        <v>-161.44438913478342</v>
      </c>
      <c r="J1243" s="2">
        <f>I1243-H1243</f>
        <v>283.79158593200998</v>
      </c>
      <c r="K1243" s="2">
        <f t="shared" si="162"/>
        <v>-283.79158593200998</v>
      </c>
      <c r="L1243" s="3">
        <f>C1243/B1243</f>
        <v>3.4935034365878921</v>
      </c>
      <c r="M1243" s="3">
        <f t="shared" si="164"/>
        <v>3.5069916930756939</v>
      </c>
      <c r="N1243" s="3">
        <f t="shared" si="168"/>
        <v>3.4997272260337775</v>
      </c>
      <c r="O1243" s="3">
        <f t="shared" si="161"/>
        <v>3.5574059917193948</v>
      </c>
      <c r="P1243" s="3">
        <f t="shared" si="163"/>
        <v>3.5115926309160166</v>
      </c>
      <c r="Q1243" s="4" t="str">
        <f t="shared" si="167"/>
        <v>UNDER</v>
      </c>
      <c r="R1243" s="4" t="str">
        <f t="shared" si="167"/>
        <v>UNDER</v>
      </c>
      <c r="S1243" s="4" t="str">
        <f t="shared" si="165"/>
        <v>UNDER</v>
      </c>
      <c r="T1243" s="4" t="str">
        <f t="shared" si="165"/>
        <v>UNDER</v>
      </c>
      <c r="U1243" s="2">
        <f>IF(Q1243="OVER",$J1243,$K1243)</f>
        <v>-283.79158593200998</v>
      </c>
      <c r="V1243" s="2">
        <f>IF(R1243="OVER",$J1243,$K1243)</f>
        <v>-283.79158593200998</v>
      </c>
      <c r="W1243" s="2">
        <f>IF(S1243="OVER",$J1243,$K1243)</f>
        <v>-283.79158593200998</v>
      </c>
      <c r="X1243" s="2">
        <f>IF(T1243="OVER",$J1243,$K1243)</f>
        <v>-283.79158593200998</v>
      </c>
      <c r="Y1243" s="9">
        <f t="shared" si="166"/>
        <v>-4318.4135197144451</v>
      </c>
      <c r="Z1243" s="9">
        <f t="shared" si="166"/>
        <v>15659.160022263077</v>
      </c>
      <c r="AA1243" s="9">
        <f t="shared" si="166"/>
        <v>84443.26224776321</v>
      </c>
      <c r="AB1243" s="9">
        <f t="shared" si="166"/>
        <v>40788.826495001274</v>
      </c>
    </row>
    <row r="1244" spans="1:28" x14ac:dyDescent="0.3">
      <c r="A1244" s="1">
        <v>46224</v>
      </c>
      <c r="B1244" s="2">
        <v>212.76</v>
      </c>
      <c r="C1244" s="2">
        <v>748.28</v>
      </c>
      <c r="D1244" s="9">
        <f>B1244-B1243</f>
        <v>0.34000000000000341</v>
      </c>
      <c r="E1244" s="9">
        <f>C1244-C1243</f>
        <v>6.1899999999999409</v>
      </c>
      <c r="F1244" s="3">
        <f>F$1/B1244</f>
        <v>470.01316036849033</v>
      </c>
      <c r="G1244" s="3">
        <f>F$1/C1244</f>
        <v>133.63981397337895</v>
      </c>
      <c r="H1244" s="2">
        <f>D1244*F1243</f>
        <v>160.06025797947623</v>
      </c>
      <c r="I1244" s="2">
        <f>E1244*G1243</f>
        <v>834.1306310555243</v>
      </c>
      <c r="J1244" s="2">
        <f>I1244-H1244</f>
        <v>674.0703730760481</v>
      </c>
      <c r="K1244" s="2">
        <f t="shared" si="162"/>
        <v>-674.0703730760481</v>
      </c>
      <c r="L1244" s="3">
        <f>C1244/B1244</f>
        <v>3.5170144764053393</v>
      </c>
      <c r="M1244" s="3">
        <f t="shared" si="164"/>
        <v>3.5104837614958115</v>
      </c>
      <c r="N1244" s="3">
        <f t="shared" si="168"/>
        <v>3.4980124711078018</v>
      </c>
      <c r="O1244" s="3">
        <f t="shared" si="161"/>
        <v>3.5558606568002182</v>
      </c>
      <c r="P1244" s="3">
        <f t="shared" si="163"/>
        <v>3.5115989413982907</v>
      </c>
      <c r="Q1244" s="4" t="str">
        <f t="shared" si="167"/>
        <v>UNDER</v>
      </c>
      <c r="R1244" s="4" t="str">
        <f t="shared" si="167"/>
        <v>UNDER</v>
      </c>
      <c r="S1244" s="4" t="str">
        <f t="shared" si="165"/>
        <v>UNDER</v>
      </c>
      <c r="T1244" s="4" t="str">
        <f t="shared" si="165"/>
        <v>OVER</v>
      </c>
      <c r="U1244" s="2">
        <f>IF(Q1244="OVER",$J1244,$K1244)</f>
        <v>-674.0703730760481</v>
      </c>
      <c r="V1244" s="2">
        <f>IF(R1244="OVER",$J1244,$K1244)</f>
        <v>-674.0703730760481</v>
      </c>
      <c r="W1244" s="2">
        <f>IF(S1244="OVER",$J1244,$K1244)</f>
        <v>-674.0703730760481</v>
      </c>
      <c r="X1244" s="2">
        <f>IF(T1244="OVER",$J1244,$K1244)</f>
        <v>674.0703730760481</v>
      </c>
      <c r="Y1244" s="9">
        <f t="shared" si="166"/>
        <v>-4992.483892790493</v>
      </c>
      <c r="Z1244" s="9">
        <f t="shared" si="166"/>
        <v>14985.089649187028</v>
      </c>
      <c r="AA1244" s="9">
        <f t="shared" si="166"/>
        <v>83769.191874687167</v>
      </c>
      <c r="AB1244" s="9">
        <f t="shared" si="166"/>
        <v>41462.896868077325</v>
      </c>
    </row>
    <row r="1245" spans="1:28" x14ac:dyDescent="0.3">
      <c r="A1245" s="1">
        <v>46225</v>
      </c>
      <c r="B1245" s="2">
        <v>212.7</v>
      </c>
      <c r="C1245" s="2">
        <v>747.41</v>
      </c>
      <c r="D1245" s="9">
        <f>B1245-B1244</f>
        <v>-6.0000000000002274E-2</v>
      </c>
      <c r="E1245" s="9">
        <f>C1245-C1244</f>
        <v>-0.87000000000000455</v>
      </c>
      <c r="F1245" s="3">
        <f>F$1/B1245</f>
        <v>470.14574518100613</v>
      </c>
      <c r="G1245" s="3">
        <f>F$1/C1245</f>
        <v>133.79537335598937</v>
      </c>
      <c r="H1245" s="2">
        <f>D1245*F1244</f>
        <v>-28.200789622110488</v>
      </c>
      <c r="I1245" s="2">
        <f>E1245*G1244</f>
        <v>-116.26663815684029</v>
      </c>
      <c r="J1245" s="2">
        <f>I1245-H1245</f>
        <v>-88.065848534729795</v>
      </c>
      <c r="K1245" s="2">
        <f t="shared" si="162"/>
        <v>88.065848534729795</v>
      </c>
      <c r="L1245" s="3">
        <f>C1245/B1245</f>
        <v>3.5139163140573579</v>
      </c>
      <c r="M1245" s="3">
        <f t="shared" si="164"/>
        <v>3.5106030083586632</v>
      </c>
      <c r="N1245" s="3">
        <f t="shared" si="168"/>
        <v>3.4981182633533479</v>
      </c>
      <c r="O1245" s="3">
        <f t="shared" si="161"/>
        <v>3.5538587283042955</v>
      </c>
      <c r="P1245" s="3">
        <f t="shared" si="163"/>
        <v>3.5116110667821987</v>
      </c>
      <c r="Q1245" s="4" t="str">
        <f t="shared" si="167"/>
        <v>OVER</v>
      </c>
      <c r="R1245" s="4" t="str">
        <f t="shared" si="167"/>
        <v>OVER</v>
      </c>
      <c r="S1245" s="4" t="str">
        <f t="shared" si="165"/>
        <v>UNDER</v>
      </c>
      <c r="T1245" s="4" t="str">
        <f t="shared" si="165"/>
        <v>OVER</v>
      </c>
      <c r="U1245" s="2">
        <f>IF(Q1245="OVER",$J1245,$K1245)</f>
        <v>-88.065848534729795</v>
      </c>
      <c r="V1245" s="2">
        <f>IF(R1245="OVER",$J1245,$K1245)</f>
        <v>-88.065848534729795</v>
      </c>
      <c r="W1245" s="2">
        <f>IF(S1245="OVER",$J1245,$K1245)</f>
        <v>88.065848534729795</v>
      </c>
      <c r="X1245" s="2">
        <f>IF(T1245="OVER",$J1245,$K1245)</f>
        <v>-88.065848534729795</v>
      </c>
      <c r="Y1245" s="9">
        <f t="shared" si="166"/>
        <v>-5080.5497413252224</v>
      </c>
      <c r="Z1245" s="9">
        <f t="shared" si="166"/>
        <v>14897.023800652298</v>
      </c>
      <c r="AA1245" s="9">
        <f t="shared" si="166"/>
        <v>83857.25772322189</v>
      </c>
      <c r="AB1245" s="9">
        <f t="shared" si="166"/>
        <v>41374.831019542595</v>
      </c>
    </row>
    <row r="1246" spans="1:28" x14ac:dyDescent="0.3">
      <c r="A1246" s="1">
        <v>46226</v>
      </c>
      <c r="B1246" s="2">
        <v>211.92</v>
      </c>
      <c r="C1246" s="2">
        <v>738.18</v>
      </c>
      <c r="D1246" s="9">
        <f>B1246-B1245</f>
        <v>-0.78000000000000114</v>
      </c>
      <c r="E1246" s="9">
        <f>C1246-C1245</f>
        <v>-9.2300000000000182</v>
      </c>
      <c r="F1246" s="3">
        <f>F$1/B1246</f>
        <v>471.87617969044925</v>
      </c>
      <c r="G1246" s="3">
        <f>F$1/C1246</f>
        <v>135.46831396136446</v>
      </c>
      <c r="H1246" s="2">
        <f>D1246*F1245</f>
        <v>-366.71368124118533</v>
      </c>
      <c r="I1246" s="2">
        <f>E1246*G1245</f>
        <v>-1234.9312960757843</v>
      </c>
      <c r="J1246" s="2">
        <f>I1246-H1246</f>
        <v>-868.21761483459898</v>
      </c>
      <c r="K1246" s="2">
        <f t="shared" si="162"/>
        <v>868.21761483459898</v>
      </c>
      <c r="L1246" s="3">
        <f>C1246/B1246</f>
        <v>3.483295583238958</v>
      </c>
      <c r="M1246" s="3">
        <f t="shared" si="164"/>
        <v>3.5068435737083208</v>
      </c>
      <c r="N1246" s="3">
        <f t="shared" si="168"/>
        <v>3.4980174279131475</v>
      </c>
      <c r="O1246" s="3">
        <f t="shared" si="161"/>
        <v>3.5510406946776398</v>
      </c>
      <c r="P1246" s="3">
        <f t="shared" si="163"/>
        <v>3.5115318584238846</v>
      </c>
      <c r="Q1246" s="4" t="str">
        <f t="shared" si="167"/>
        <v>OVER</v>
      </c>
      <c r="R1246" s="4" t="str">
        <f t="shared" si="167"/>
        <v>OVER</v>
      </c>
      <c r="S1246" s="4" t="str">
        <f t="shared" si="165"/>
        <v>UNDER</v>
      </c>
      <c r="T1246" s="4" t="str">
        <f t="shared" si="165"/>
        <v>UNDER</v>
      </c>
      <c r="U1246" s="2">
        <f>IF(Q1246="OVER",$J1246,$K1246)</f>
        <v>-868.21761483459898</v>
      </c>
      <c r="V1246" s="2">
        <f>IF(R1246="OVER",$J1246,$K1246)</f>
        <v>-868.21761483459898</v>
      </c>
      <c r="W1246" s="2">
        <f>IF(S1246="OVER",$J1246,$K1246)</f>
        <v>868.21761483459898</v>
      </c>
      <c r="X1246" s="2">
        <f>IF(T1246="OVER",$J1246,$K1246)</f>
        <v>868.21761483459898</v>
      </c>
      <c r="Y1246" s="9">
        <f t="shared" si="166"/>
        <v>-5948.7673561598212</v>
      </c>
      <c r="Z1246" s="9">
        <f t="shared" si="166"/>
        <v>14028.806185817699</v>
      </c>
      <c r="AA1246" s="9">
        <f t="shared" si="166"/>
        <v>84725.475338056494</v>
      </c>
      <c r="AB1246" s="9">
        <f t="shared" si="166"/>
        <v>42243.048634377192</v>
      </c>
    </row>
    <row r="1247" spans="1:28" x14ac:dyDescent="0.3">
      <c r="A1247" s="1">
        <v>46227</v>
      </c>
      <c r="B1247" s="2">
        <v>213.57</v>
      </c>
      <c r="C1247" s="2">
        <v>738.93</v>
      </c>
      <c r="D1247" s="9">
        <f>B1247-B1246</f>
        <v>1.6500000000000057</v>
      </c>
      <c r="E1247" s="9">
        <f>C1247-C1246</f>
        <v>0.75</v>
      </c>
      <c r="F1247" s="3">
        <f>F$1/B1247</f>
        <v>468.23055672613197</v>
      </c>
      <c r="G1247" s="3">
        <f>F$1/C1247</f>
        <v>135.3308161801524</v>
      </c>
      <c r="H1247" s="2">
        <f>D1247*F1246</f>
        <v>778.59569648924389</v>
      </c>
      <c r="I1247" s="2">
        <f>E1247*G1246</f>
        <v>101.60123547102334</v>
      </c>
      <c r="J1247" s="2">
        <f>I1247-H1247</f>
        <v>-676.99446101822059</v>
      </c>
      <c r="K1247" s="2">
        <f t="shared" si="162"/>
        <v>676.99446101822059</v>
      </c>
      <c r="L1247" s="3">
        <f>C1247/B1247</f>
        <v>3.4598960528164069</v>
      </c>
      <c r="M1247" s="3">
        <f t="shared" si="164"/>
        <v>3.5005466647575765</v>
      </c>
      <c r="N1247" s="3">
        <f t="shared" si="168"/>
        <v>3.4976238008019016</v>
      </c>
      <c r="O1247" s="3">
        <f t="shared" si="161"/>
        <v>3.5478005606826946</v>
      </c>
      <c r="P1247" s="3">
        <f t="shared" si="163"/>
        <v>3.5112673970592194</v>
      </c>
      <c r="Q1247" s="4" t="str">
        <f t="shared" si="167"/>
        <v>UNDER</v>
      </c>
      <c r="R1247" s="4" t="str">
        <f t="shared" si="167"/>
        <v>UNDER</v>
      </c>
      <c r="S1247" s="4" t="str">
        <f t="shared" si="165"/>
        <v>UNDER</v>
      </c>
      <c r="T1247" s="4" t="str">
        <f t="shared" si="165"/>
        <v>UNDER</v>
      </c>
      <c r="U1247" s="2">
        <f>IF(Q1247="OVER",$J1247,$K1247)</f>
        <v>676.99446101822059</v>
      </c>
      <c r="V1247" s="2">
        <f>IF(R1247="OVER",$J1247,$K1247)</f>
        <v>676.99446101822059</v>
      </c>
      <c r="W1247" s="2">
        <f>IF(S1247="OVER",$J1247,$K1247)</f>
        <v>676.99446101822059</v>
      </c>
      <c r="X1247" s="2">
        <f>IF(T1247="OVER",$J1247,$K1247)</f>
        <v>676.99446101822059</v>
      </c>
      <c r="Y1247" s="9">
        <f t="shared" si="166"/>
        <v>-5271.7728951416011</v>
      </c>
      <c r="Z1247" s="9">
        <f t="shared" si="166"/>
        <v>14705.80064683592</v>
      </c>
      <c r="AA1247" s="9">
        <f t="shared" si="166"/>
        <v>85402.469799074708</v>
      </c>
      <c r="AB1247" s="9">
        <f t="shared" si="166"/>
        <v>42920.043095395413</v>
      </c>
    </row>
    <row r="1248" spans="1:28" x14ac:dyDescent="0.3">
      <c r="A1248" s="1">
        <v>46230</v>
      </c>
      <c r="B1248" s="2">
        <v>215.18</v>
      </c>
      <c r="C1248" s="2">
        <v>739.09</v>
      </c>
      <c r="D1248" s="9">
        <f>B1248-B1247</f>
        <v>1.6100000000000136</v>
      </c>
      <c r="E1248" s="9">
        <f>C1248-C1247</f>
        <v>0.16000000000008185</v>
      </c>
      <c r="F1248" s="3">
        <f>F$1/B1248</f>
        <v>464.72720513058835</v>
      </c>
      <c r="G1248" s="3">
        <f>F$1/C1248</f>
        <v>135.30151943606327</v>
      </c>
      <c r="H1248" s="2">
        <f>D1248*F1247</f>
        <v>753.8511963290789</v>
      </c>
      <c r="I1248" s="2">
        <f>E1248*G1247</f>
        <v>21.65293058883546</v>
      </c>
      <c r="J1248" s="2">
        <f>I1248-H1248</f>
        <v>-732.19826574024341</v>
      </c>
      <c r="K1248" s="2">
        <f t="shared" si="162"/>
        <v>732.19826574024341</v>
      </c>
      <c r="L1248" s="3">
        <f>C1248/B1248</f>
        <v>3.4347523003996656</v>
      </c>
      <c r="M1248" s="3">
        <f t="shared" si="164"/>
        <v>3.4943183051975808</v>
      </c>
      <c r="N1248" s="3">
        <f t="shared" si="168"/>
        <v>3.4960482115044487</v>
      </c>
      <c r="O1248" s="3">
        <f t="shared" si="161"/>
        <v>3.5433327839033826</v>
      </c>
      <c r="P1248" s="3">
        <f t="shared" si="163"/>
        <v>3.5108651144319816</v>
      </c>
      <c r="Q1248" s="4" t="str">
        <f t="shared" si="167"/>
        <v>UNDER</v>
      </c>
      <c r="R1248" s="4" t="str">
        <f t="shared" si="167"/>
        <v>UNDER</v>
      </c>
      <c r="S1248" s="4" t="str">
        <f t="shared" si="165"/>
        <v>UNDER</v>
      </c>
      <c r="T1248" s="4" t="str">
        <f t="shared" si="165"/>
        <v>UNDER</v>
      </c>
      <c r="U1248" s="2">
        <f>IF(Q1248="OVER",$J1248,$K1248)</f>
        <v>732.19826574024341</v>
      </c>
      <c r="V1248" s="2">
        <f>IF(R1248="OVER",$J1248,$K1248)</f>
        <v>732.19826574024341</v>
      </c>
      <c r="W1248" s="2">
        <f>IF(S1248="OVER",$J1248,$K1248)</f>
        <v>732.19826574024341</v>
      </c>
      <c r="X1248" s="2">
        <f>IF(T1248="OVER",$J1248,$K1248)</f>
        <v>732.19826574024341</v>
      </c>
      <c r="Y1248" s="9">
        <f t="shared" si="166"/>
        <v>-4539.5746294013579</v>
      </c>
      <c r="Z1248" s="9">
        <f t="shared" si="166"/>
        <v>15437.998912576164</v>
      </c>
      <c r="AA1248" s="9">
        <f t="shared" si="166"/>
        <v>86134.668064814949</v>
      </c>
      <c r="AB1248" s="9">
        <f t="shared" si="166"/>
        <v>43652.241361135653</v>
      </c>
    </row>
    <row r="1249" spans="1:28" x14ac:dyDescent="0.3">
      <c r="A1249" s="1">
        <v>46231</v>
      </c>
      <c r="B1249" s="2">
        <v>217.69</v>
      </c>
      <c r="C1249" s="2">
        <v>740.86</v>
      </c>
      <c r="D1249" s="9">
        <f>B1249-B1248</f>
        <v>2.5099999999999909</v>
      </c>
      <c r="E1249" s="9">
        <f>C1249-C1248</f>
        <v>1.7699999999999818</v>
      </c>
      <c r="F1249" s="3">
        <f>F$1/B1249</f>
        <v>459.3688272313841</v>
      </c>
      <c r="G1249" s="3">
        <f>F$1/C1249</f>
        <v>134.97826849877168</v>
      </c>
      <c r="H1249" s="2">
        <f>D1249*F1248</f>
        <v>1166.4652848777725</v>
      </c>
      <c r="I1249" s="2">
        <f>E1249*G1248</f>
        <v>239.48368940182954</v>
      </c>
      <c r="J1249" s="2">
        <f>I1249-H1249</f>
        <v>-926.98159547594298</v>
      </c>
      <c r="K1249" s="2">
        <f t="shared" si="162"/>
        <v>926.98159547594298</v>
      </c>
      <c r="L1249" s="3">
        <f>C1249/B1249</f>
        <v>3.4032798934264323</v>
      </c>
      <c r="M1249" s="3">
        <f t="shared" si="164"/>
        <v>3.4824186065570899</v>
      </c>
      <c r="N1249" s="3">
        <f t="shared" si="168"/>
        <v>3.4923093664667819</v>
      </c>
      <c r="O1249" s="3">
        <f t="shared" si="161"/>
        <v>3.5379259276817616</v>
      </c>
      <c r="P1249" s="3">
        <f t="shared" si="163"/>
        <v>3.5102580651898929</v>
      </c>
      <c r="Q1249" s="4" t="str">
        <f t="shared" si="167"/>
        <v>UNDER</v>
      </c>
      <c r="R1249" s="4" t="str">
        <f t="shared" si="167"/>
        <v>UNDER</v>
      </c>
      <c r="S1249" s="4" t="str">
        <f t="shared" si="165"/>
        <v>UNDER</v>
      </c>
      <c r="T1249" s="4" t="str">
        <f t="shared" si="165"/>
        <v>UNDER</v>
      </c>
      <c r="U1249" s="2">
        <f>IF(Q1249="OVER",$J1249,$K1249)</f>
        <v>926.98159547594298</v>
      </c>
      <c r="V1249" s="2">
        <f>IF(R1249="OVER",$J1249,$K1249)</f>
        <v>926.98159547594298</v>
      </c>
      <c r="W1249" s="2">
        <f>IF(S1249="OVER",$J1249,$K1249)</f>
        <v>926.98159547594298</v>
      </c>
      <c r="X1249" s="2">
        <f>IF(T1249="OVER",$J1249,$K1249)</f>
        <v>926.98159547594298</v>
      </c>
      <c r="Y1249" s="9">
        <f t="shared" si="166"/>
        <v>-3612.5930339254151</v>
      </c>
      <c r="Z1249" s="9">
        <f t="shared" si="166"/>
        <v>16364.980508052107</v>
      </c>
      <c r="AA1249" s="9">
        <f t="shared" si="166"/>
        <v>87061.649660290888</v>
      </c>
      <c r="AB1249" s="9">
        <f t="shared" si="166"/>
        <v>44579.222956611593</v>
      </c>
    </row>
    <row r="1250" spans="1:28" x14ac:dyDescent="0.3">
      <c r="A1250" s="1">
        <v>46232</v>
      </c>
      <c r="B1250" s="2">
        <v>215.73</v>
      </c>
      <c r="C1250" s="2">
        <v>729.46</v>
      </c>
      <c r="D1250" s="9">
        <f>B1250-B1249</f>
        <v>-1.960000000000008</v>
      </c>
      <c r="E1250" s="9">
        <f>C1250-C1249</f>
        <v>-11.399999999999977</v>
      </c>
      <c r="F1250" s="3">
        <f>F$1/B1250</f>
        <v>463.54239095165258</v>
      </c>
      <c r="G1250" s="3">
        <f>F$1/C1250</f>
        <v>137.0877087160365</v>
      </c>
      <c r="H1250" s="2">
        <f>D1250*F1249</f>
        <v>-900.36290137351648</v>
      </c>
      <c r="I1250" s="2">
        <f>E1250*G1249</f>
        <v>-1538.752260885994</v>
      </c>
      <c r="J1250" s="2">
        <f>I1250-H1250</f>
        <v>-638.38935951247754</v>
      </c>
      <c r="K1250" s="2">
        <f t="shared" si="162"/>
        <v>638.38935951247754</v>
      </c>
      <c r="L1250" s="3">
        <f>C1250/B1250</f>
        <v>3.3813563250359246</v>
      </c>
      <c r="M1250" s="3">
        <f t="shared" si="164"/>
        <v>3.4661334286178969</v>
      </c>
      <c r="N1250" s="3">
        <f t="shared" si="168"/>
        <v>3.485889566983277</v>
      </c>
      <c r="O1250" s="3">
        <f t="shared" si="161"/>
        <v>3.5322081444781737</v>
      </c>
      <c r="P1250" s="3">
        <f t="shared" si="163"/>
        <v>3.5094458542600266</v>
      </c>
      <c r="Q1250" s="4" t="str">
        <f t="shared" si="167"/>
        <v>UNDER</v>
      </c>
      <c r="R1250" s="4" t="str">
        <f t="shared" si="167"/>
        <v>UNDER</v>
      </c>
      <c r="S1250" s="4" t="str">
        <f t="shared" si="165"/>
        <v>UNDER</v>
      </c>
      <c r="T1250" s="4" t="str">
        <f t="shared" si="165"/>
        <v>UNDER</v>
      </c>
      <c r="U1250" s="2">
        <f>IF(Q1250="OVER",$J1250,$K1250)</f>
        <v>638.38935951247754</v>
      </c>
      <c r="V1250" s="2">
        <f>IF(R1250="OVER",$J1250,$K1250)</f>
        <v>638.38935951247754</v>
      </c>
      <c r="W1250" s="2">
        <f>IF(S1250="OVER",$J1250,$K1250)</f>
        <v>638.38935951247754</v>
      </c>
      <c r="X1250" s="2">
        <f>IF(T1250="OVER",$J1250,$K1250)</f>
        <v>638.38935951247754</v>
      </c>
      <c r="Y1250" s="9">
        <f t="shared" si="166"/>
        <v>-2974.2036744129373</v>
      </c>
      <c r="Z1250" s="9">
        <f t="shared" si="166"/>
        <v>17003.369867564586</v>
      </c>
      <c r="AA1250" s="9">
        <f t="shared" si="166"/>
        <v>87700.039019803371</v>
      </c>
      <c r="AB1250" s="9">
        <f t="shared" si="166"/>
        <v>45217.612316124068</v>
      </c>
    </row>
    <row r="1251" spans="1:28" x14ac:dyDescent="0.3">
      <c r="A1251" s="1">
        <v>46233</v>
      </c>
      <c r="B1251" s="2">
        <v>215.38</v>
      </c>
      <c r="C1251" s="2">
        <v>741.69</v>
      </c>
      <c r="D1251" s="9">
        <f>B1251-B1250</f>
        <v>-0.34999999999999432</v>
      </c>
      <c r="E1251" s="9">
        <f>C1251-C1250</f>
        <v>12.230000000000018</v>
      </c>
      <c r="F1251" s="3">
        <f>F$1/B1251</f>
        <v>464.29566347850312</v>
      </c>
      <c r="G1251" s="3">
        <f>F$1/C1251</f>
        <v>134.82721891895534</v>
      </c>
      <c r="H1251" s="2">
        <f>D1251*F1250</f>
        <v>-162.23983683307577</v>
      </c>
      <c r="I1251" s="2">
        <f>E1251*G1250</f>
        <v>1676.5826775971288</v>
      </c>
      <c r="J1251" s="2">
        <f>I1251-H1251</f>
        <v>1838.8225144302046</v>
      </c>
      <c r="K1251" s="2">
        <f t="shared" si="162"/>
        <v>-1838.8225144302046</v>
      </c>
      <c r="L1251" s="3">
        <f>C1251/B1251</f>
        <v>3.4436345064537099</v>
      </c>
      <c r="M1251" s="3">
        <f t="shared" si="164"/>
        <v>3.4614222024288965</v>
      </c>
      <c r="N1251" s="3">
        <f t="shared" si="168"/>
        <v>3.48334658399801</v>
      </c>
      <c r="O1251" s="3">
        <f t="shared" si="161"/>
        <v>3.5282356669543886</v>
      </c>
      <c r="P1251" s="3">
        <f t="shared" si="163"/>
        <v>3.5090262783048281</v>
      </c>
      <c r="Q1251" s="4" t="str">
        <f t="shared" si="167"/>
        <v>UNDER</v>
      </c>
      <c r="R1251" s="4" t="str">
        <f t="shared" si="167"/>
        <v>UNDER</v>
      </c>
      <c r="S1251" s="4" t="str">
        <f t="shared" si="165"/>
        <v>UNDER</v>
      </c>
      <c r="T1251" s="4" t="str">
        <f t="shared" si="165"/>
        <v>UNDER</v>
      </c>
      <c r="U1251" s="2">
        <f>IF(Q1251="OVER",$J1251,$K1251)</f>
        <v>-1838.8225144302046</v>
      </c>
      <c r="V1251" s="2">
        <f>IF(R1251="OVER",$J1251,$K1251)</f>
        <v>-1838.8225144302046</v>
      </c>
      <c r="W1251" s="2">
        <f>IF(S1251="OVER",$J1251,$K1251)</f>
        <v>-1838.8225144302046</v>
      </c>
      <c r="X1251" s="2">
        <f>IF(T1251="OVER",$J1251,$K1251)</f>
        <v>-1838.8225144302046</v>
      </c>
      <c r="Y1251" s="9">
        <f t="shared" si="166"/>
        <v>-4813.0261888431414</v>
      </c>
      <c r="Z1251" s="9">
        <f t="shared" si="166"/>
        <v>15164.547353134381</v>
      </c>
      <c r="AA1251" s="9">
        <f t="shared" si="166"/>
        <v>85861.216505373173</v>
      </c>
      <c r="AB1251" s="9">
        <f t="shared" si="166"/>
        <v>43378.789801693863</v>
      </c>
    </row>
    <row r="1252" spans="1:28" x14ac:dyDescent="0.3">
      <c r="A1252" s="1">
        <v>46234</v>
      </c>
      <c r="B1252" s="2">
        <v>215.01</v>
      </c>
      <c r="C1252" s="2">
        <v>747.03</v>
      </c>
      <c r="D1252" s="9">
        <f>B1252-B1251</f>
        <v>-0.37000000000000455</v>
      </c>
      <c r="E1252" s="9">
        <f>C1252-C1251</f>
        <v>5.3399999999999181</v>
      </c>
      <c r="F1252" s="3">
        <f>F$1/B1252</f>
        <v>465.09464676061583</v>
      </c>
      <c r="G1252" s="3">
        <f>F$1/C1252</f>
        <v>133.86343252613685</v>
      </c>
      <c r="H1252" s="2">
        <f>D1252*F1251</f>
        <v>-171.78939548704827</v>
      </c>
      <c r="I1252" s="2">
        <f>E1252*G1251</f>
        <v>719.97734902721049</v>
      </c>
      <c r="J1252" s="2">
        <f>I1252-H1252</f>
        <v>891.76674451425879</v>
      </c>
      <c r="K1252" s="2">
        <f t="shared" si="162"/>
        <v>-891.76674451425879</v>
      </c>
      <c r="L1252" s="3">
        <f>C1252/B1252</f>
        <v>3.4743965396958281</v>
      </c>
      <c r="M1252" s="3">
        <f t="shared" si="164"/>
        <v>3.4605045428117513</v>
      </c>
      <c r="N1252" s="3">
        <f t="shared" si="168"/>
        <v>3.4837892251840947</v>
      </c>
      <c r="O1252" s="3">
        <f t="shared" si="161"/>
        <v>3.5249401437258867</v>
      </c>
      <c r="P1252" s="3">
        <f t="shared" si="163"/>
        <v>3.5086623311937633</v>
      </c>
      <c r="Q1252" s="4" t="str">
        <f t="shared" si="167"/>
        <v>UNDER</v>
      </c>
      <c r="R1252" s="4" t="str">
        <f t="shared" si="167"/>
        <v>UNDER</v>
      </c>
      <c r="S1252" s="4" t="str">
        <f t="shared" si="165"/>
        <v>UNDER</v>
      </c>
      <c r="T1252" s="4" t="str">
        <f t="shared" si="165"/>
        <v>UNDER</v>
      </c>
      <c r="U1252" s="2">
        <f>IF(Q1252="OVER",$J1252,$K1252)</f>
        <v>-891.76674451425879</v>
      </c>
      <c r="V1252" s="2">
        <f>IF(R1252="OVER",$J1252,$K1252)</f>
        <v>-891.76674451425879</v>
      </c>
      <c r="W1252" s="2">
        <f>IF(S1252="OVER",$J1252,$K1252)</f>
        <v>-891.76674451425879</v>
      </c>
      <c r="X1252" s="2">
        <f>IF(T1252="OVER",$J1252,$K1252)</f>
        <v>-891.76674451425879</v>
      </c>
      <c r="Y1252" s="9">
        <f t="shared" si="166"/>
        <v>-5704.7929333574002</v>
      </c>
      <c r="Z1252" s="9">
        <f t="shared" si="166"/>
        <v>14272.780608620124</v>
      </c>
      <c r="AA1252" s="9">
        <f t="shared" si="166"/>
        <v>84969.449760858915</v>
      </c>
      <c r="AB1252" s="9">
        <f t="shared" si="166"/>
        <v>42487.023057179606</v>
      </c>
    </row>
    <row r="1253" spans="1:28" x14ac:dyDescent="0.3">
      <c r="A1253" s="1">
        <v>46237</v>
      </c>
      <c r="B1253" s="2">
        <v>217.11</v>
      </c>
      <c r="C1253" s="2">
        <v>757.67</v>
      </c>
      <c r="D1253" s="9">
        <f>B1253-B1252</f>
        <v>2.1000000000000227</v>
      </c>
      <c r="E1253" s="9">
        <f>C1253-C1252</f>
        <v>10.639999999999986</v>
      </c>
      <c r="F1253" s="3">
        <f>F$1/B1253</f>
        <v>460.59601123854264</v>
      </c>
      <c r="G1253" s="3">
        <f>F$1/C1253</f>
        <v>131.98358124249344</v>
      </c>
      <c r="H1253" s="2">
        <f>D1253*F1252</f>
        <v>976.69875819730385</v>
      </c>
      <c r="I1253" s="2">
        <f>E1253*G1252</f>
        <v>1424.3069220780942</v>
      </c>
      <c r="J1253" s="2">
        <f>I1253-H1253</f>
        <v>447.60816388079036</v>
      </c>
      <c r="K1253" s="2">
        <f t="shared" si="162"/>
        <v>-447.60816388079036</v>
      </c>
      <c r="L1253" s="3">
        <f>C1253/B1253</f>
        <v>3.489797798351066</v>
      </c>
      <c r="M1253" s="3">
        <f t="shared" si="164"/>
        <v>3.4601339789880683</v>
      </c>
      <c r="N1253" s="3">
        <f t="shared" si="168"/>
        <v>3.4835628360318807</v>
      </c>
      <c r="O1253" s="3">
        <f t="shared" si="161"/>
        <v>3.5220039209164771</v>
      </c>
      <c r="P1253" s="3">
        <f t="shared" si="163"/>
        <v>3.5085427416319033</v>
      </c>
      <c r="Q1253" s="4" t="str">
        <f t="shared" si="167"/>
        <v>OVER</v>
      </c>
      <c r="R1253" s="4" t="str">
        <f t="shared" si="167"/>
        <v>UNDER</v>
      </c>
      <c r="S1253" s="4" t="str">
        <f t="shared" si="165"/>
        <v>UNDER</v>
      </c>
      <c r="T1253" s="4" t="str">
        <f t="shared" si="165"/>
        <v>UNDER</v>
      </c>
      <c r="U1253" s="2">
        <f>IF(Q1253="OVER",$J1253,$K1253)</f>
        <v>447.60816388079036</v>
      </c>
      <c r="V1253" s="2">
        <f>IF(R1253="OVER",$J1253,$K1253)</f>
        <v>-447.60816388079036</v>
      </c>
      <c r="W1253" s="2">
        <f>IF(S1253="OVER",$J1253,$K1253)</f>
        <v>-447.60816388079036</v>
      </c>
      <c r="X1253" s="2">
        <f>IF(T1253="OVER",$J1253,$K1253)</f>
        <v>-447.60816388079036</v>
      </c>
      <c r="Y1253" s="9">
        <f t="shared" si="166"/>
        <v>-5257.1847694766102</v>
      </c>
      <c r="Z1253" s="9">
        <f t="shared" si="166"/>
        <v>13825.172444739334</v>
      </c>
      <c r="AA1253" s="9">
        <f t="shared" si="166"/>
        <v>84521.84159697812</v>
      </c>
      <c r="AB1253" s="9">
        <f t="shared" si="166"/>
        <v>42039.414893298817</v>
      </c>
    </row>
    <row r="1254" spans="1:28" x14ac:dyDescent="0.3">
      <c r="A1254" s="1">
        <v>46238</v>
      </c>
      <c r="B1254" s="2">
        <v>220.23</v>
      </c>
      <c r="C1254" s="2">
        <v>771.33</v>
      </c>
      <c r="D1254" s="9">
        <f>B1254-B1253</f>
        <v>3.1199999999999761</v>
      </c>
      <c r="E1254" s="9">
        <f>C1254-C1253</f>
        <v>13.660000000000082</v>
      </c>
      <c r="F1254" s="3">
        <f>F$1/B1254</f>
        <v>454.07074422194978</v>
      </c>
      <c r="G1254" s="3">
        <f>F$1/C1254</f>
        <v>129.64619553239208</v>
      </c>
      <c r="H1254" s="2">
        <f>D1254*F1253</f>
        <v>1437.059555064242</v>
      </c>
      <c r="I1254" s="2">
        <f>E1254*G1253</f>
        <v>1802.8957197724712</v>
      </c>
      <c r="J1254" s="2">
        <f>I1254-H1254</f>
        <v>365.83616470822926</v>
      </c>
      <c r="K1254" s="2">
        <f t="shared" si="162"/>
        <v>-365.83616470822926</v>
      </c>
      <c r="L1254" s="3">
        <f>C1254/B1254</f>
        <v>3.5023838714071656</v>
      </c>
      <c r="M1254" s="3">
        <f t="shared" si="164"/>
        <v>3.4586709184882514</v>
      </c>
      <c r="N1254" s="3">
        <f t="shared" si="168"/>
        <v>3.4845773399920303</v>
      </c>
      <c r="O1254" s="3">
        <f t="shared" si="161"/>
        <v>3.5194884602468233</v>
      </c>
      <c r="P1254" s="3">
        <f t="shared" si="163"/>
        <v>3.5084435940045591</v>
      </c>
      <c r="Q1254" s="4" t="str">
        <f t="shared" si="167"/>
        <v>OVER</v>
      </c>
      <c r="R1254" s="4" t="str">
        <f t="shared" si="167"/>
        <v>OVER</v>
      </c>
      <c r="S1254" s="4" t="str">
        <f t="shared" si="165"/>
        <v>UNDER</v>
      </c>
      <c r="T1254" s="4" t="str">
        <f t="shared" si="165"/>
        <v>UNDER</v>
      </c>
      <c r="U1254" s="2">
        <f>IF(Q1254="OVER",$J1254,$K1254)</f>
        <v>365.83616470822926</v>
      </c>
      <c r="V1254" s="2">
        <f>IF(R1254="OVER",$J1254,$K1254)</f>
        <v>365.83616470822926</v>
      </c>
      <c r="W1254" s="2">
        <f>IF(S1254="OVER",$J1254,$K1254)</f>
        <v>-365.83616470822926</v>
      </c>
      <c r="X1254" s="2">
        <f>IF(T1254="OVER",$J1254,$K1254)</f>
        <v>-365.83616470822926</v>
      </c>
      <c r="Y1254" s="9">
        <f t="shared" si="166"/>
        <v>-4891.3486047683809</v>
      </c>
      <c r="Z1254" s="9">
        <f t="shared" si="166"/>
        <v>14191.008609447563</v>
      </c>
      <c r="AA1254" s="9">
        <f t="shared" si="166"/>
        <v>84156.005432269885</v>
      </c>
      <c r="AB1254" s="9">
        <f t="shared" si="166"/>
        <v>41673.57872859059</v>
      </c>
    </row>
    <row r="1255" spans="1:28" x14ac:dyDescent="0.3">
      <c r="A1255" s="1">
        <v>46239</v>
      </c>
      <c r="B1255" s="2">
        <v>219.73</v>
      </c>
      <c r="C1255" s="2">
        <v>769.79</v>
      </c>
      <c r="D1255" s="9">
        <f>B1255-B1254</f>
        <v>-0.5</v>
      </c>
      <c r="E1255" s="9">
        <f>C1255-C1254</f>
        <v>-1.5400000000000773</v>
      </c>
      <c r="F1255" s="3">
        <f>F$1/B1255</f>
        <v>455.10399126200338</v>
      </c>
      <c r="G1255" s="3">
        <f>F$1/C1255</f>
        <v>129.90555865885503</v>
      </c>
      <c r="H1255" s="2">
        <f>D1255*F1254</f>
        <v>-227.03537211097489</v>
      </c>
      <c r="I1255" s="2">
        <f>E1255*G1254</f>
        <v>-199.65514111989384</v>
      </c>
      <c r="J1255" s="2">
        <f>I1255-H1255</f>
        <v>27.380230991081049</v>
      </c>
      <c r="K1255" s="2">
        <f t="shared" si="162"/>
        <v>-27.380230991081049</v>
      </c>
      <c r="L1255" s="3">
        <f>C1255/B1255</f>
        <v>3.5033450143357756</v>
      </c>
      <c r="M1255" s="3">
        <f t="shared" si="164"/>
        <v>3.4576137885160931</v>
      </c>
      <c r="N1255" s="3">
        <f t="shared" si="168"/>
        <v>3.4841083984373773</v>
      </c>
      <c r="O1255" s="3">
        <f t="shared" si="161"/>
        <v>3.5173663780570155</v>
      </c>
      <c r="P1255" s="3">
        <f t="shared" si="163"/>
        <v>3.5083018137838189</v>
      </c>
      <c r="Q1255" s="4" t="str">
        <f t="shared" si="167"/>
        <v>OVER</v>
      </c>
      <c r="R1255" s="4" t="str">
        <f t="shared" si="167"/>
        <v>OVER</v>
      </c>
      <c r="S1255" s="4" t="str">
        <f t="shared" si="165"/>
        <v>UNDER</v>
      </c>
      <c r="T1255" s="4" t="str">
        <f t="shared" si="165"/>
        <v>UNDER</v>
      </c>
      <c r="U1255" s="2">
        <f>IF(Q1255="OVER",$J1255,$K1255)</f>
        <v>27.380230991081049</v>
      </c>
      <c r="V1255" s="2">
        <f>IF(R1255="OVER",$J1255,$K1255)</f>
        <v>27.380230991081049</v>
      </c>
      <c r="W1255" s="2">
        <f>IF(S1255="OVER",$J1255,$K1255)</f>
        <v>-27.380230991081049</v>
      </c>
      <c r="X1255" s="2">
        <f>IF(T1255="OVER",$J1255,$K1255)</f>
        <v>-27.380230991081049</v>
      </c>
      <c r="Y1255" s="9">
        <f t="shared" si="166"/>
        <v>-4863.9683737773003</v>
      </c>
      <c r="Z1255" s="9">
        <f t="shared" si="166"/>
        <v>14218.388840438643</v>
      </c>
      <c r="AA1255" s="9">
        <f t="shared" si="166"/>
        <v>84128.625201278803</v>
      </c>
      <c r="AB1255" s="9">
        <f t="shared" si="166"/>
        <v>41646.198497599507</v>
      </c>
    </row>
    <row r="1256" spans="1:28" x14ac:dyDescent="0.3">
      <c r="A1256" s="1">
        <v>46240</v>
      </c>
      <c r="B1256" s="2">
        <v>218.58</v>
      </c>
      <c r="C1256" s="2">
        <v>768.56</v>
      </c>
      <c r="D1256" s="9">
        <f>B1256-B1255</f>
        <v>-1.1499999999999773</v>
      </c>
      <c r="E1256" s="9">
        <f>C1256-C1255</f>
        <v>-1.2300000000000182</v>
      </c>
      <c r="F1256" s="3">
        <f>F$1/B1256</f>
        <v>457.49839875560434</v>
      </c>
      <c r="G1256" s="3">
        <f>F$1/C1256</f>
        <v>130.11345893619236</v>
      </c>
      <c r="H1256" s="2">
        <f>D1256*F1255</f>
        <v>-523.36958995129351</v>
      </c>
      <c r="I1256" s="2">
        <f>E1256*G1255</f>
        <v>-159.78383715039405</v>
      </c>
      <c r="J1256" s="2">
        <f>I1256-H1256</f>
        <v>363.58575280089946</v>
      </c>
      <c r="K1256" s="2">
        <f t="shared" si="162"/>
        <v>-363.58575280089946</v>
      </c>
      <c r="L1256" s="3">
        <f>C1256/B1256</f>
        <v>3.5161496934760725</v>
      </c>
      <c r="M1256" s="3">
        <f t="shared" si="164"/>
        <v>3.4608991995398042</v>
      </c>
      <c r="N1256" s="3">
        <f t="shared" si="168"/>
        <v>3.4838713866240618</v>
      </c>
      <c r="O1256" s="3">
        <f t="shared" si="161"/>
        <v>3.5153921266944046</v>
      </c>
      <c r="P1256" s="3">
        <f t="shared" si="163"/>
        <v>3.5082135552834837</v>
      </c>
      <c r="Q1256" s="4" t="str">
        <f t="shared" si="167"/>
        <v>OVER</v>
      </c>
      <c r="R1256" s="4" t="str">
        <f t="shared" si="167"/>
        <v>OVER</v>
      </c>
      <c r="S1256" s="4" t="str">
        <f t="shared" si="165"/>
        <v>OVER</v>
      </c>
      <c r="T1256" s="4" t="str">
        <f t="shared" si="165"/>
        <v>OVER</v>
      </c>
      <c r="U1256" s="2">
        <f>IF(Q1256="OVER",$J1256,$K1256)</f>
        <v>363.58575280089946</v>
      </c>
      <c r="V1256" s="2">
        <f>IF(R1256="OVER",$J1256,$K1256)</f>
        <v>363.58575280089946</v>
      </c>
      <c r="W1256" s="2">
        <f>IF(S1256="OVER",$J1256,$K1256)</f>
        <v>363.58575280089946</v>
      </c>
      <c r="X1256" s="2">
        <f>IF(T1256="OVER",$J1256,$K1256)</f>
        <v>363.58575280089946</v>
      </c>
      <c r="Y1256" s="9">
        <f t="shared" si="166"/>
        <v>-4500.3826209764011</v>
      </c>
      <c r="Z1256" s="9">
        <f t="shared" si="166"/>
        <v>14581.974593239544</v>
      </c>
      <c r="AA1256" s="9">
        <f t="shared" si="166"/>
        <v>84492.210954079696</v>
      </c>
      <c r="AB1256" s="9">
        <f t="shared" si="166"/>
        <v>42009.784250400407</v>
      </c>
    </row>
    <row r="1257" spans="1:28" x14ac:dyDescent="0.3">
      <c r="A1257" s="1">
        <v>46241</v>
      </c>
      <c r="B1257" s="2">
        <v>220.09</v>
      </c>
      <c r="C1257" s="2">
        <v>773.26</v>
      </c>
      <c r="D1257" s="9">
        <f>B1257-B1256</f>
        <v>1.5099999999999909</v>
      </c>
      <c r="E1257" s="9">
        <f>C1257-C1256</f>
        <v>4.7000000000000455</v>
      </c>
      <c r="F1257" s="3">
        <f>F$1/B1257</f>
        <v>454.35958017174789</v>
      </c>
      <c r="G1257" s="3">
        <f>F$1/C1257</f>
        <v>129.32260817836175</v>
      </c>
      <c r="H1257" s="2">
        <f>D1257*F1256</f>
        <v>690.82258212095837</v>
      </c>
      <c r="I1257" s="2">
        <f>E1257*G1256</f>
        <v>611.53325700010998</v>
      </c>
      <c r="J1257" s="2">
        <f>I1257-H1257</f>
        <v>-79.289325120848389</v>
      </c>
      <c r="K1257" s="2">
        <f t="shared" si="162"/>
        <v>79.289325120848389</v>
      </c>
      <c r="L1257" s="3">
        <f>C1257/B1257</f>
        <v>3.5133808896360579</v>
      </c>
      <c r="M1257" s="3">
        <f t="shared" si="164"/>
        <v>3.4662476832217699</v>
      </c>
      <c r="N1257" s="3">
        <f t="shared" si="168"/>
        <v>3.4833971739896734</v>
      </c>
      <c r="O1257" s="3">
        <f t="shared" si="161"/>
        <v>3.5133227643916998</v>
      </c>
      <c r="P1257" s="3">
        <f t="shared" si="163"/>
        <v>3.5081044367710028</v>
      </c>
      <c r="Q1257" s="4" t="str">
        <f t="shared" si="167"/>
        <v>OVER</v>
      </c>
      <c r="R1257" s="4" t="str">
        <f t="shared" si="167"/>
        <v>OVER</v>
      </c>
      <c r="S1257" s="4" t="str">
        <f t="shared" si="165"/>
        <v>OVER</v>
      </c>
      <c r="T1257" s="4" t="str">
        <f t="shared" si="165"/>
        <v>OVER</v>
      </c>
      <c r="U1257" s="2">
        <f>IF(Q1257="OVER",$J1257,$K1257)</f>
        <v>-79.289325120848389</v>
      </c>
      <c r="V1257" s="2">
        <f>IF(R1257="OVER",$J1257,$K1257)</f>
        <v>-79.289325120848389</v>
      </c>
      <c r="W1257" s="2">
        <f>IF(S1257="OVER",$J1257,$K1257)</f>
        <v>-79.289325120848389</v>
      </c>
      <c r="X1257" s="2">
        <f>IF(T1257="OVER",$J1257,$K1257)</f>
        <v>-79.289325120848389</v>
      </c>
      <c r="Y1257" s="9">
        <f t="shared" si="166"/>
        <v>-4579.671946097249</v>
      </c>
      <c r="Z1257" s="9">
        <f t="shared" si="166"/>
        <v>14502.685268118696</v>
      </c>
      <c r="AA1257" s="9">
        <f t="shared" si="166"/>
        <v>84412.921628958851</v>
      </c>
      <c r="AB1257" s="9">
        <f t="shared" si="166"/>
        <v>41930.494925279556</v>
      </c>
    </row>
  </sheetData>
  <mergeCells count="6">
    <mergeCell ref="F1:G1"/>
    <mergeCell ref="H1:I1"/>
    <mergeCell ref="M1:P1"/>
    <mergeCell ref="Q1:T1"/>
    <mergeCell ref="J1:K1"/>
    <mergeCell ref="Y1:A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 vs 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2026-08-09T21:56:44Z</dcterms:created>
  <dcterms:modified xsi:type="dcterms:W3CDTF">2026-08-10T01:36:24Z</dcterms:modified>
</cp:coreProperties>
</file>