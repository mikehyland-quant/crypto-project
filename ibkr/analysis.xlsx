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ibkr\"/>
    </mc:Choice>
  </mc:AlternateContent>
  <xr:revisionPtr revIDLastSave="0" documentId="13_ncr:9_{C670E9CF-5E92-4119-91C9-12282B87028F}" xr6:coauthVersionLast="47" xr6:coauthVersionMax="47" xr10:uidLastSave="{00000000-0000-0000-0000-000000000000}"/>
  <bookViews>
    <workbookView xWindow="384" yWindow="384" windowWidth="22320" windowHeight="10620" xr2:uid="{B89DF77E-CFD7-4E3A-852C-A1444E914603}"/>
  </bookViews>
  <sheets>
    <sheet name="underlying_data_june_trades" sheetId="1" r:id="rId1"/>
  </sheets>
  <calcPr calcId="0"/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" i="1"/>
  <c r="R13" i="1"/>
  <c r="R20" i="1"/>
  <c r="R21" i="1"/>
  <c r="R22" i="1"/>
  <c r="R27" i="1"/>
  <c r="R28" i="1"/>
  <c r="R29" i="1"/>
  <c r="R30" i="1"/>
  <c r="Q4" i="1"/>
  <c r="Z4" i="1" s="1"/>
  <c r="S4" i="1"/>
  <c r="AA4" i="1" s="1"/>
  <c r="Q5" i="1"/>
  <c r="Z5" i="1" s="1"/>
  <c r="S5" i="1"/>
  <c r="AA5" i="1" s="1"/>
  <c r="Q6" i="1"/>
  <c r="Z6" i="1" s="1"/>
  <c r="S6" i="1"/>
  <c r="AA6" i="1" s="1"/>
  <c r="Q7" i="1"/>
  <c r="Z7" i="1" s="1"/>
  <c r="S7" i="1"/>
  <c r="AA7" i="1" s="1"/>
  <c r="Q8" i="1"/>
  <c r="Z8" i="1" s="1"/>
  <c r="S8" i="1"/>
  <c r="AA8" i="1" s="1"/>
  <c r="Q9" i="1"/>
  <c r="Z9" i="1" s="1"/>
  <c r="S9" i="1"/>
  <c r="AA9" i="1" s="1"/>
  <c r="Q10" i="1"/>
  <c r="Z10" i="1" s="1"/>
  <c r="S10" i="1"/>
  <c r="AA10" i="1" s="1"/>
  <c r="Q11" i="1"/>
  <c r="Z11" i="1" s="1"/>
  <c r="S11" i="1"/>
  <c r="AA11" i="1" s="1"/>
  <c r="Q12" i="1"/>
  <c r="Z12" i="1" s="1"/>
  <c r="S12" i="1"/>
  <c r="AA12" i="1" s="1"/>
  <c r="Q13" i="1"/>
  <c r="Z13" i="1" s="1"/>
  <c r="S13" i="1"/>
  <c r="AA13" i="1" s="1"/>
  <c r="Q14" i="1"/>
  <c r="Z14" i="1" s="1"/>
  <c r="S14" i="1"/>
  <c r="AA14" i="1" s="1"/>
  <c r="Q15" i="1"/>
  <c r="Z15" i="1" s="1"/>
  <c r="S15" i="1"/>
  <c r="AA15" i="1" s="1"/>
  <c r="Q16" i="1"/>
  <c r="Z16" i="1" s="1"/>
  <c r="S16" i="1"/>
  <c r="AA16" i="1" s="1"/>
  <c r="Q17" i="1"/>
  <c r="Z17" i="1" s="1"/>
  <c r="S17" i="1"/>
  <c r="AA17" i="1" s="1"/>
  <c r="Q18" i="1"/>
  <c r="Z18" i="1" s="1"/>
  <c r="S18" i="1"/>
  <c r="AA18" i="1" s="1"/>
  <c r="Q19" i="1"/>
  <c r="Z19" i="1" s="1"/>
  <c r="S19" i="1"/>
  <c r="AA19" i="1" s="1"/>
  <c r="Q20" i="1"/>
  <c r="Z20" i="1" s="1"/>
  <c r="S20" i="1"/>
  <c r="AA20" i="1" s="1"/>
  <c r="Q21" i="1"/>
  <c r="Z21" i="1" s="1"/>
  <c r="S21" i="1"/>
  <c r="AA21" i="1" s="1"/>
  <c r="Q22" i="1"/>
  <c r="Z22" i="1" s="1"/>
  <c r="S22" i="1"/>
  <c r="AA22" i="1" s="1"/>
  <c r="Q23" i="1"/>
  <c r="Z23" i="1" s="1"/>
  <c r="S23" i="1"/>
  <c r="AA23" i="1" s="1"/>
  <c r="Q24" i="1"/>
  <c r="Z24" i="1" s="1"/>
  <c r="S24" i="1"/>
  <c r="AA24" i="1" s="1"/>
  <c r="Q25" i="1"/>
  <c r="Z25" i="1" s="1"/>
  <c r="S25" i="1"/>
  <c r="AA25" i="1" s="1"/>
  <c r="Q26" i="1"/>
  <c r="Z26" i="1" s="1"/>
  <c r="S26" i="1"/>
  <c r="AA26" i="1" s="1"/>
  <c r="Q27" i="1"/>
  <c r="Z27" i="1" s="1"/>
  <c r="S27" i="1"/>
  <c r="AA27" i="1" s="1"/>
  <c r="Q28" i="1"/>
  <c r="Z28" i="1" s="1"/>
  <c r="S28" i="1"/>
  <c r="AA28" i="1" s="1"/>
  <c r="Q29" i="1"/>
  <c r="Z29" i="1" s="1"/>
  <c r="S29" i="1"/>
  <c r="AA29" i="1" s="1"/>
  <c r="Q30" i="1"/>
  <c r="Z30" i="1" s="1"/>
  <c r="S30" i="1"/>
  <c r="AA30" i="1" s="1"/>
  <c r="Q31" i="1"/>
  <c r="Z31" i="1" s="1"/>
  <c r="S31" i="1"/>
  <c r="AA31" i="1" s="1"/>
  <c r="S3" i="1"/>
  <c r="AA3" i="1" s="1"/>
  <c r="Q3" i="1"/>
  <c r="Z3" i="1" s="1"/>
  <c r="R8" i="1" l="1"/>
  <c r="R6" i="1"/>
  <c r="R16" i="1"/>
  <c r="R15" i="1"/>
  <c r="R14" i="1"/>
  <c r="R7" i="1"/>
  <c r="R19" i="1"/>
  <c r="R5" i="1"/>
  <c r="R3" i="1"/>
  <c r="R18" i="1"/>
  <c r="R4" i="1"/>
  <c r="R31" i="1"/>
  <c r="R17" i="1"/>
  <c r="R26" i="1"/>
  <c r="R12" i="1"/>
  <c r="R25" i="1"/>
  <c r="R11" i="1"/>
  <c r="R24" i="1"/>
  <c r="R10" i="1"/>
  <c r="R23" i="1"/>
  <c r="R9" i="1"/>
  <c r="X26" i="1"/>
  <c r="X20" i="1"/>
  <c r="X31" i="1"/>
  <c r="X28" i="1"/>
  <c r="X27" i="1"/>
  <c r="X13" i="1"/>
  <c r="X12" i="1"/>
  <c r="X10" i="1"/>
  <c r="X17" i="1"/>
  <c r="X14" i="1"/>
  <c r="X6" i="1"/>
  <c r="X30" i="1"/>
  <c r="X16" i="1"/>
  <c r="X29" i="1"/>
  <c r="X15" i="1"/>
  <c r="X25" i="1"/>
  <c r="X11" i="1"/>
  <c r="X24" i="1"/>
  <c r="X23" i="1"/>
  <c r="X9" i="1"/>
  <c r="X22" i="1"/>
  <c r="X8" i="1"/>
  <c r="V3" i="1"/>
  <c r="X21" i="1"/>
  <c r="X7" i="1"/>
  <c r="X19" i="1"/>
  <c r="X5" i="1"/>
  <c r="X3" i="1"/>
  <c r="X18" i="1"/>
  <c r="X4" i="1"/>
  <c r="V31" i="1"/>
  <c r="V10" i="1"/>
  <c r="V24" i="1"/>
  <c r="V17" i="1"/>
  <c r="V28" i="1"/>
  <c r="V21" i="1"/>
  <c r="V14" i="1"/>
  <c r="V7" i="1"/>
  <c r="V27" i="1"/>
  <c r="V20" i="1"/>
  <c r="V13" i="1"/>
  <c r="V6" i="1"/>
  <c r="V26" i="1"/>
  <c r="V19" i="1"/>
  <c r="V12" i="1"/>
  <c r="V5" i="1"/>
  <c r="V25" i="1"/>
  <c r="V18" i="1"/>
  <c r="V11" i="1"/>
  <c r="V4" i="1"/>
  <c r="V30" i="1"/>
  <c r="V23" i="1"/>
  <c r="V16" i="1"/>
  <c r="V9" i="1"/>
  <c r="V29" i="1"/>
  <c r="V22" i="1"/>
  <c r="V15" i="1"/>
  <c r="V8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N17" i="1" s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N31" i="1" s="1"/>
  <c r="L3" i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" i="1"/>
  <c r="O3" i="1" s="1"/>
  <c r="N16" i="1" l="1"/>
  <c r="N7" i="1"/>
  <c r="N30" i="1"/>
  <c r="N21" i="1"/>
  <c r="N19" i="1"/>
  <c r="N6" i="1"/>
  <c r="N5" i="1"/>
  <c r="N29" i="1"/>
  <c r="N28" i="1"/>
  <c r="N27" i="1"/>
  <c r="N25" i="1"/>
  <c r="N11" i="1"/>
  <c r="N20" i="1"/>
  <c r="N4" i="1"/>
  <c r="N15" i="1"/>
  <c r="N13" i="1"/>
  <c r="N12" i="1"/>
  <c r="N24" i="1"/>
  <c r="N10" i="1"/>
  <c r="N18" i="1"/>
  <c r="N14" i="1"/>
  <c r="N26" i="1"/>
  <c r="N23" i="1"/>
  <c r="N9" i="1"/>
  <c r="N3" i="1"/>
  <c r="N22" i="1"/>
  <c r="N8" i="1"/>
</calcChain>
</file>

<file path=xl/sharedStrings.xml><?xml version="1.0" encoding="utf-8"?>
<sst xmlns="http://schemas.openxmlformats.org/spreadsheetml/2006/main" count="21" uniqueCount="17">
  <si>
    <t>date</t>
  </si>
  <si>
    <t>close</t>
  </si>
  <si>
    <t>volume</t>
  </si>
  <si>
    <t>average</t>
  </si>
  <si>
    <t>barCount</t>
  </si>
  <si>
    <t>35/360</t>
  </si>
  <si>
    <t>June</t>
  </si>
  <si>
    <t>July</t>
  </si>
  <si>
    <t>Years</t>
  </si>
  <si>
    <t>Rate</t>
  </si>
  <si>
    <t>Spread</t>
  </si>
  <si>
    <t>R/T Comm</t>
  </si>
  <si>
    <t>June Strike</t>
  </si>
  <si>
    <t>July Strike</t>
  </si>
  <si>
    <t>Suggested</t>
  </si>
  <si>
    <t>Jun - Jul Strikes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</si>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</sst>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8" formatCode="[$-409]dd\-mmm\-yy;@"/>
    <numFmt numFmtId="170" formatCode="_(* #,##0_);_(* \(#,##0\);_(* &quot;-&quot;??_);_(@_)"/>
    <numFmt numFmtId="172" formatCode="_(&quot;$&quot;* #,##0.000_);_(&quot;$&quot;* \(#,##0.0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44" fontId="0" fillId="0" borderId="0" xfId="2" applyFont="1"/>
    <xf numFmtId="165" fontId="16" fillId="0" borderId="0" xfId="2" applyNumberFormat="1" applyFont="1"/>
    <xf numFmtId="168" fontId="0" fillId="0" borderId="0" xfId="0" applyNumberFormat="1"/>
    <xf numFmtId="165" fontId="16" fillId="0" borderId="0" xfId="2" applyNumberFormat="1" applyFont="1" applyAlignment="1">
      <alignment horizontal="center"/>
    </xf>
    <xf numFmtId="165" fontId="16" fillId="0" borderId="0" xfId="2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70" fontId="0" fillId="0" borderId="0" xfId="1" applyNumberFormat="1" applyFont="1"/>
    <xf numFmtId="10" fontId="0" fillId="0" borderId="0" xfId="3" applyNumberFormat="1" applyFont="1"/>
    <xf numFmtId="168" fontId="18" fillId="0" borderId="0" xfId="0" applyNumberFormat="1" applyFont="1" applyAlignment="1">
      <alignment horizontal="right"/>
    </xf>
    <xf numFmtId="165" fontId="18" fillId="0" borderId="0" xfId="2" applyNumberFormat="1" applyFont="1" applyAlignment="1">
      <alignment horizontal="right"/>
    </xf>
    <xf numFmtId="170" fontId="18" fillId="0" borderId="0" xfId="1" applyNumberFormat="1" applyFont="1" applyAlignment="1">
      <alignment horizontal="right"/>
    </xf>
    <xf numFmtId="44" fontId="18" fillId="0" borderId="0" xfId="2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quotePrefix="1" applyFont="1" applyAlignment="1">
      <alignment horizontal="right"/>
    </xf>
    <xf numFmtId="165" fontId="0" fillId="0" borderId="0" xfId="0" applyNumberFormat="1"/>
    <xf numFmtId="44" fontId="0" fillId="0" borderId="0" xfId="0" applyNumberFormat="1"/>
    <xf numFmtId="10" fontId="18" fillId="0" borderId="0" xfId="3" applyNumberFormat="1" applyFont="1" applyAlignment="1">
      <alignment horizontal="right"/>
    </xf>
    <xf numFmtId="6" fontId="18" fillId="0" borderId="0" xfId="3" applyNumberFormat="1" applyFont="1" applyAlignment="1">
      <alignment horizontal="right"/>
    </xf>
    <xf numFmtId="172" fontId="0" fillId="0" borderId="0" xfId="0" applyNumberForma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underlying_data_june_trades!$A$3:$A$31</c:f>
              <c:numCache>
                <c:formatCode>[$-409]dd\-mmm\-yy;@</c:formatCode>
                <c:ptCount val="29"/>
                <c:pt idx="0">
                  <c:v>46139</c:v>
                </c:pt>
                <c:pt idx="1">
                  <c:v>46140</c:v>
                </c:pt>
                <c:pt idx="2">
                  <c:v>46141</c:v>
                </c:pt>
                <c:pt idx="3">
                  <c:v>46142</c:v>
                </c:pt>
                <c:pt idx="4">
                  <c:v>46143</c:v>
                </c:pt>
                <c:pt idx="5">
                  <c:v>46146</c:v>
                </c:pt>
                <c:pt idx="6">
                  <c:v>46147</c:v>
                </c:pt>
                <c:pt idx="7">
                  <c:v>46148</c:v>
                </c:pt>
                <c:pt idx="8">
                  <c:v>46149</c:v>
                </c:pt>
                <c:pt idx="9">
                  <c:v>46150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46160</c:v>
                </c:pt>
                <c:pt idx="16">
                  <c:v>46161</c:v>
                </c:pt>
                <c:pt idx="17">
                  <c:v>46162</c:v>
                </c:pt>
                <c:pt idx="18">
                  <c:v>46163</c:v>
                </c:pt>
                <c:pt idx="19">
                  <c:v>46164</c:v>
                </c:pt>
                <c:pt idx="20">
                  <c:v>46168</c:v>
                </c:pt>
                <c:pt idx="21">
                  <c:v>46169</c:v>
                </c:pt>
                <c:pt idx="22">
                  <c:v>46170</c:v>
                </c:pt>
                <c:pt idx="23">
                  <c:v>46171</c:v>
                </c:pt>
                <c:pt idx="24">
                  <c:v>46174</c:v>
                </c:pt>
                <c:pt idx="25">
                  <c:v>46175</c:v>
                </c:pt>
                <c:pt idx="26">
                  <c:v>46176</c:v>
                </c:pt>
                <c:pt idx="27">
                  <c:v>46177</c:v>
                </c:pt>
                <c:pt idx="28">
                  <c:v>46178</c:v>
                </c:pt>
              </c:numCache>
            </c:numRef>
          </c:cat>
          <c:val>
            <c:numRef>
              <c:f>underlying_data_june_trades!$N$3:$N$31</c:f>
              <c:numCache>
                <c:formatCode>0.00%</c:formatCode>
                <c:ptCount val="29"/>
                <c:pt idx="0">
                  <c:v>4.9099655344010916E-2</c:v>
                </c:pt>
                <c:pt idx="1">
                  <c:v>4.9437701814942656E-2</c:v>
                </c:pt>
                <c:pt idx="2">
                  <c:v>5.0691849877025325E-2</c:v>
                </c:pt>
                <c:pt idx="3">
                  <c:v>4.9386377961514218E-2</c:v>
                </c:pt>
                <c:pt idx="4">
                  <c:v>4.8759785818125997E-2</c:v>
                </c:pt>
                <c:pt idx="5">
                  <c:v>4.9695596771909954E-2</c:v>
                </c:pt>
                <c:pt idx="6">
                  <c:v>4.8750423180756779E-2</c:v>
                </c:pt>
                <c:pt idx="7">
                  <c:v>4.7621948566206863E-2</c:v>
                </c:pt>
                <c:pt idx="8">
                  <c:v>4.908279623202777E-2</c:v>
                </c:pt>
                <c:pt idx="9">
                  <c:v>4.9058473736372649E-2</c:v>
                </c:pt>
                <c:pt idx="10">
                  <c:v>4.6739083394642313E-2</c:v>
                </c:pt>
                <c:pt idx="11">
                  <c:v>4.8687526894940679E-2</c:v>
                </c:pt>
                <c:pt idx="12">
                  <c:v>4.9453637215110827E-2</c:v>
                </c:pt>
                <c:pt idx="13">
                  <c:v>4.8940749971677799E-2</c:v>
                </c:pt>
                <c:pt idx="14">
                  <c:v>4.9145874872015952E-2</c:v>
                </c:pt>
                <c:pt idx="15">
                  <c:v>4.8633793824544518E-2</c:v>
                </c:pt>
                <c:pt idx="16">
                  <c:v>5.0005093111335414E-2</c:v>
                </c:pt>
                <c:pt idx="17">
                  <c:v>4.7463399895624467E-2</c:v>
                </c:pt>
                <c:pt idx="18">
                  <c:v>4.8128782953473684E-2</c:v>
                </c:pt>
                <c:pt idx="19">
                  <c:v>5.2057315630340474E-2</c:v>
                </c:pt>
                <c:pt idx="20">
                  <c:v>5.1300320627003917E-2</c:v>
                </c:pt>
                <c:pt idx="21">
                  <c:v>4.9259773085767497E-2</c:v>
                </c:pt>
                <c:pt idx="22">
                  <c:v>5.2392595179881242E-2</c:v>
                </c:pt>
                <c:pt idx="23">
                  <c:v>5.1627406711175279E-2</c:v>
                </c:pt>
                <c:pt idx="24">
                  <c:v>5.0184707604377224E-2</c:v>
                </c:pt>
                <c:pt idx="25">
                  <c:v>5.1890241963689548E-2</c:v>
                </c:pt>
                <c:pt idx="26">
                  <c:v>5.1753994271338172E-2</c:v>
                </c:pt>
                <c:pt idx="27">
                  <c:v>5.1593832924658224E-2</c:v>
                </c:pt>
                <c:pt idx="28">
                  <c:v>5.18407478665266E-2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F-4079-AD7D-9DEFEDB31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085264"/>
        <c:axId val="798089584"/>
      </c:lineChart>
      <c:dateAx>
        <c:axId val="798085264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89584"/>
        <c:crosses val="autoZero"/>
        <c:auto val="1"/>
        <c:lblOffset val="100"/>
        <c:baseTimeUnit val="days"/>
      </c:dateAx>
      <c:valAx>
        <c:axId val="79808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08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5</xdr:row>
      <xdr:rowOff>30480</xdr:rowOff>
    </xdr:from>
    <xdr:to>
      <xdr:col>10</xdr:col>
      <xdr:colOff>53340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CC1E7-EA76-6781-8E1D-58E8EE5B5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780-C47D-46B2-976A-CFEDA28B63FF}">
  <dimension ref="A1:AK31"/>
  <sheetViews>
    <sheetView tabSelected="1" topLeftCell="G1" workbookViewId="0">
      <selection activeCell="T10" sqref="T10"/>
    </sheetView>
  </sheetViews>
  <sheetFormatPr defaultRowHeight="14.4" x14ac:dyDescent="0.3"/>
  <cols>
    <col min="1" max="1" width="9.33203125" style="3" bestFit="1" customWidth="1"/>
    <col min="2" max="2" width="11.44140625" style="2" bestFit="1" customWidth="1"/>
    <col min="3" max="3" width="10.21875" style="8" bestFit="1" customWidth="1"/>
    <col min="4" max="4" width="11.21875" style="1" bestFit="1" customWidth="1"/>
    <col min="5" max="5" width="10.21875" style="8" bestFit="1" customWidth="1"/>
    <col min="7" max="7" width="11.44140625" style="2" bestFit="1" customWidth="1"/>
    <col min="8" max="8" width="10.21875" style="8" bestFit="1" customWidth="1"/>
    <col min="9" max="9" width="11.21875" style="1" bestFit="1" customWidth="1"/>
    <col min="10" max="10" width="10.21875" style="8" bestFit="1" customWidth="1"/>
    <col min="11" max="11" width="10.21875" style="8" customWidth="1"/>
    <col min="14" max="14" width="8.88671875" style="9"/>
    <col min="15" max="15" width="9.5546875" style="9" bestFit="1" customWidth="1"/>
    <col min="22" max="22" width="15.109375" customWidth="1"/>
    <col min="26" max="26" width="10" bestFit="1" customWidth="1"/>
    <col min="27" max="27" width="9.44140625" bestFit="1" customWidth="1"/>
  </cols>
  <sheetData>
    <row r="1" spans="1:37" x14ac:dyDescent="0.3">
      <c r="B1" s="5" t="s">
        <v>6</v>
      </c>
      <c r="C1" s="5"/>
      <c r="D1" s="5"/>
      <c r="E1" s="5"/>
      <c r="G1" s="5" t="s">
        <v>7</v>
      </c>
      <c r="H1" s="5"/>
      <c r="I1" s="5"/>
      <c r="J1" s="5"/>
      <c r="K1" s="4"/>
      <c r="M1" s="6" t="s">
        <v>8</v>
      </c>
      <c r="O1" s="19">
        <v>20</v>
      </c>
      <c r="AF1" s="7" t="s">
        <v>14</v>
      </c>
      <c r="AG1" s="7"/>
      <c r="AH1" s="7"/>
      <c r="AI1" s="7"/>
      <c r="AJ1" s="7"/>
      <c r="AK1" s="7"/>
    </row>
    <row r="2" spans="1:37" s="14" customFormat="1" x14ac:dyDescent="0.3">
      <c r="A2" s="10" t="s">
        <v>0</v>
      </c>
      <c r="B2" s="11" t="s">
        <v>1</v>
      </c>
      <c r="C2" s="12" t="s">
        <v>2</v>
      </c>
      <c r="D2" s="13" t="s">
        <v>3</v>
      </c>
      <c r="E2" s="12" t="s">
        <v>4</v>
      </c>
      <c r="G2" s="11" t="s">
        <v>1</v>
      </c>
      <c r="H2" s="12" t="s">
        <v>2</v>
      </c>
      <c r="I2" s="13" t="s">
        <v>3</v>
      </c>
      <c r="J2" s="12" t="s">
        <v>4</v>
      </c>
      <c r="K2" s="12"/>
      <c r="L2" s="14" t="s">
        <v>10</v>
      </c>
      <c r="M2" s="15" t="s">
        <v>5</v>
      </c>
      <c r="N2" s="18" t="s">
        <v>9</v>
      </c>
      <c r="O2" s="14" t="s">
        <v>11</v>
      </c>
      <c r="Q2" s="14">
        <v>1765.0956000000001</v>
      </c>
      <c r="R2" s="14" t="s">
        <v>16</v>
      </c>
      <c r="S2" s="14">
        <v>1765.5191</v>
      </c>
      <c r="V2" s="14" t="s">
        <v>15</v>
      </c>
      <c r="X2" s="13">
        <v>0.5</v>
      </c>
      <c r="Z2" s="14" t="s">
        <v>12</v>
      </c>
      <c r="AA2" s="14" t="s">
        <v>13</v>
      </c>
    </row>
    <row r="3" spans="1:37" x14ac:dyDescent="0.3">
      <c r="A3" s="3">
        <v>46139</v>
      </c>
      <c r="B3" s="2">
        <v>77510</v>
      </c>
      <c r="C3" s="8">
        <v>379</v>
      </c>
      <c r="D3" s="1">
        <v>78915.5</v>
      </c>
      <c r="E3" s="8">
        <v>355</v>
      </c>
      <c r="G3" s="2">
        <v>77880</v>
      </c>
      <c r="H3" s="8">
        <v>9</v>
      </c>
      <c r="I3" s="1">
        <v>80014.5</v>
      </c>
      <c r="J3" s="8">
        <v>9</v>
      </c>
      <c r="L3" s="16">
        <f>G3-B3</f>
        <v>370</v>
      </c>
      <c r="M3">
        <f>35/360</f>
        <v>9.7222222222222224E-2</v>
      </c>
      <c r="N3" s="9">
        <f>L3/B3/M3</f>
        <v>4.9099655344010916E-2</v>
      </c>
      <c r="O3" s="9">
        <f>O$1/B3/M3</f>
        <v>2.6540354240005897E-3</v>
      </c>
      <c r="Q3" s="17">
        <f>B3/Q$2</f>
        <v>43.91263566687266</v>
      </c>
      <c r="R3" s="17">
        <f>Q3*G3/B3</f>
        <v>44.122256040975913</v>
      </c>
      <c r="S3" s="17">
        <f>G3/S$2</f>
        <v>44.111672312126217</v>
      </c>
      <c r="T3" s="20">
        <f>R3-S3</f>
        <v>1.0583728849695717E-2</v>
      </c>
      <c r="V3" s="17">
        <f>Z3-AA3</f>
        <v>0</v>
      </c>
      <c r="X3" s="17">
        <f>X$2*S3/Q3-X$2</f>
        <v>2.2662798785693106E-3</v>
      </c>
      <c r="Z3" s="17">
        <f>ROUND(Q3,0)</f>
        <v>44</v>
      </c>
      <c r="AA3" s="17">
        <f>ROUND(S3,0)</f>
        <v>44</v>
      </c>
    </row>
    <row r="4" spans="1:37" x14ac:dyDescent="0.3">
      <c r="A4" s="3">
        <v>46140</v>
      </c>
      <c r="B4" s="2">
        <v>76980</v>
      </c>
      <c r="C4" s="8">
        <v>266</v>
      </c>
      <c r="D4" s="1">
        <v>76750</v>
      </c>
      <c r="E4" s="8">
        <v>254</v>
      </c>
      <c r="G4" s="2">
        <v>77350</v>
      </c>
      <c r="H4" s="8">
        <v>12</v>
      </c>
      <c r="I4" s="1">
        <v>77196.5</v>
      </c>
      <c r="J4" s="8">
        <v>12</v>
      </c>
      <c r="L4" s="16">
        <f>G4-B4</f>
        <v>370</v>
      </c>
      <c r="M4">
        <f t="shared" ref="M4:M31" si="0">35/360</f>
        <v>9.7222222222222224E-2</v>
      </c>
      <c r="N4" s="9">
        <f>L4/B4/M4</f>
        <v>4.9437701814942656E-2</v>
      </c>
      <c r="O4" s="9">
        <f>O$1/B4/M4</f>
        <v>2.6723082062131169E-3</v>
      </c>
      <c r="Q4" s="17">
        <f t="shared" ref="Q4:Q31" si="1">B4/Q$2</f>
        <v>43.612368644508543</v>
      </c>
      <c r="R4" s="17">
        <f t="shared" ref="R4:R31" si="2">Q4*G4/B4</f>
        <v>43.821989018611795</v>
      </c>
      <c r="S4" s="17">
        <f>G4/S$2</f>
        <v>43.811477315651814</v>
      </c>
      <c r="T4" s="20">
        <f t="shared" ref="T4:T31" si="3">R4-S4</f>
        <v>1.0511702959981051E-2</v>
      </c>
      <c r="V4" s="17">
        <f>Z4-AA4</f>
        <v>0</v>
      </c>
      <c r="X4" s="17">
        <f>X$2*S4/Q4-X$2</f>
        <v>2.2827087513433986E-3</v>
      </c>
      <c r="Z4" s="17">
        <f>ROUND(Q4,0)</f>
        <v>44</v>
      </c>
      <c r="AA4" s="17">
        <f>ROUND(S4,0)</f>
        <v>44</v>
      </c>
    </row>
    <row r="5" spans="1:37" x14ac:dyDescent="0.3">
      <c r="A5" s="3">
        <v>46141</v>
      </c>
      <c r="B5" s="2">
        <v>76090</v>
      </c>
      <c r="C5" s="8">
        <v>310</v>
      </c>
      <c r="D5" s="1">
        <v>77300.5</v>
      </c>
      <c r="E5" s="8">
        <v>286</v>
      </c>
      <c r="G5" s="2">
        <v>76465</v>
      </c>
      <c r="H5" s="8">
        <v>8</v>
      </c>
      <c r="I5" s="1">
        <v>77249.5</v>
      </c>
      <c r="J5" s="8">
        <v>6</v>
      </c>
      <c r="L5" s="16">
        <f>G5-B5</f>
        <v>375</v>
      </c>
      <c r="M5">
        <f t="shared" si="0"/>
        <v>9.7222222222222224E-2</v>
      </c>
      <c r="N5" s="9">
        <f>L5/B5/M5</f>
        <v>5.0691849877025325E-2</v>
      </c>
      <c r="O5" s="9">
        <f>O$1/B5/M5</f>
        <v>2.7035653267746839E-3</v>
      </c>
      <c r="Q5" s="17">
        <f t="shared" si="1"/>
        <v>43.108146663557484</v>
      </c>
      <c r="R5" s="17">
        <f t="shared" si="2"/>
        <v>43.320599745418882</v>
      </c>
      <c r="S5" s="17">
        <f>G5/S$2</f>
        <v>43.310208312104919</v>
      </c>
      <c r="T5" s="20">
        <f t="shared" si="3"/>
        <v>1.039143331396275E-2</v>
      </c>
      <c r="V5" s="17">
        <f>Z5-AA5</f>
        <v>0</v>
      </c>
      <c r="X5" s="17">
        <f>X$2*S5/Q5-X$2</f>
        <v>2.3436596581668523E-3</v>
      </c>
      <c r="Z5" s="17">
        <f>ROUND(Q5,0)</f>
        <v>43</v>
      </c>
      <c r="AA5" s="17">
        <f>ROUND(S5,0)</f>
        <v>43</v>
      </c>
    </row>
    <row r="6" spans="1:37" x14ac:dyDescent="0.3">
      <c r="A6" s="3">
        <v>46142</v>
      </c>
      <c r="B6" s="2">
        <v>77060</v>
      </c>
      <c r="C6" s="8">
        <v>160</v>
      </c>
      <c r="D6" s="1">
        <v>76726</v>
      </c>
      <c r="E6" s="8">
        <v>147</v>
      </c>
      <c r="G6" s="2">
        <v>77430</v>
      </c>
      <c r="H6" s="8">
        <v>4</v>
      </c>
      <c r="I6" s="1">
        <v>77535</v>
      </c>
      <c r="J6" s="8">
        <v>4</v>
      </c>
      <c r="L6" s="16">
        <f>G6-B6</f>
        <v>370</v>
      </c>
      <c r="M6">
        <f t="shared" si="0"/>
        <v>9.7222222222222224E-2</v>
      </c>
      <c r="N6" s="9">
        <f>L6/B6/M6</f>
        <v>4.9386377961514218E-2</v>
      </c>
      <c r="O6" s="9">
        <f>O$1/B6/M6</f>
        <v>2.6695339438656332E-3</v>
      </c>
      <c r="Q6" s="17">
        <f t="shared" si="1"/>
        <v>43.657691968638979</v>
      </c>
      <c r="R6" s="17">
        <f t="shared" si="2"/>
        <v>43.867312342742231</v>
      </c>
      <c r="S6" s="17">
        <f>G6/S$2</f>
        <v>43.856789767949834</v>
      </c>
      <c r="T6" s="20">
        <f t="shared" si="3"/>
        <v>1.0522574792396711E-2</v>
      </c>
      <c r="V6" s="17">
        <f>Z6-AA6</f>
        <v>0</v>
      </c>
      <c r="X6" s="17">
        <f>X$2*S6/Q6-X$2</f>
        <v>2.2802144402626068E-3</v>
      </c>
      <c r="Z6" s="17">
        <f>ROUND(Q6,0)</f>
        <v>44</v>
      </c>
      <c r="AA6" s="17">
        <f>ROUND(S6,0)</f>
        <v>44</v>
      </c>
    </row>
    <row r="7" spans="1:37" x14ac:dyDescent="0.3">
      <c r="A7" s="3">
        <v>46143</v>
      </c>
      <c r="B7" s="2">
        <v>79105</v>
      </c>
      <c r="C7" s="8">
        <v>306</v>
      </c>
      <c r="D7" s="1">
        <v>78801.5</v>
      </c>
      <c r="E7" s="8">
        <v>283</v>
      </c>
      <c r="G7" s="2">
        <v>79480</v>
      </c>
      <c r="H7" s="8">
        <v>6</v>
      </c>
      <c r="I7" s="1">
        <v>78509</v>
      </c>
      <c r="J7" s="8">
        <v>6</v>
      </c>
      <c r="L7" s="16">
        <f>G7-B7</f>
        <v>375</v>
      </c>
      <c r="M7">
        <f t="shared" si="0"/>
        <v>9.7222222222222224E-2</v>
      </c>
      <c r="N7" s="9">
        <f>L7/B7/M7</f>
        <v>4.8759785818125997E-2</v>
      </c>
      <c r="O7" s="9">
        <f>O$1/B7/M7</f>
        <v>2.6005219103000534E-3</v>
      </c>
      <c r="Q7" s="17">
        <f t="shared" si="1"/>
        <v>44.816269441723151</v>
      </c>
      <c r="R7" s="17">
        <f t="shared" si="2"/>
        <v>45.028722523584555</v>
      </c>
      <c r="S7" s="17">
        <f>G7/S$2</f>
        <v>45.017921358086696</v>
      </c>
      <c r="T7" s="20">
        <f t="shared" si="3"/>
        <v>1.0801165497859699E-2</v>
      </c>
      <c r="V7" s="17">
        <f>Z7-AA7</f>
        <v>0</v>
      </c>
      <c r="X7" s="17">
        <f>X$2*S7/Q7-X$2</f>
        <v>2.2497624063261279E-3</v>
      </c>
      <c r="Z7" s="17">
        <f>ROUND(Q7,0)</f>
        <v>45</v>
      </c>
      <c r="AA7" s="17">
        <f>ROUND(S7,0)</f>
        <v>45</v>
      </c>
    </row>
    <row r="8" spans="1:37" x14ac:dyDescent="0.3">
      <c r="A8" s="3">
        <v>46146</v>
      </c>
      <c r="B8" s="2">
        <v>80720</v>
      </c>
      <c r="C8" s="8">
        <v>520</v>
      </c>
      <c r="D8" s="1">
        <v>80279.5</v>
      </c>
      <c r="E8" s="8">
        <v>474</v>
      </c>
      <c r="G8" s="2">
        <v>81110</v>
      </c>
      <c r="H8" s="8">
        <v>11</v>
      </c>
      <c r="I8" s="1">
        <v>80708.5</v>
      </c>
      <c r="J8" s="8">
        <v>11</v>
      </c>
      <c r="L8" s="16">
        <f>G8-B8</f>
        <v>390</v>
      </c>
      <c r="M8">
        <f t="shared" si="0"/>
        <v>9.7222222222222224E-2</v>
      </c>
      <c r="N8" s="9">
        <f>L8/B8/M8</f>
        <v>4.9695596771909954E-2</v>
      </c>
      <c r="O8" s="9">
        <f>O$1/B8/M8</f>
        <v>2.5484921421492284E-3</v>
      </c>
      <c r="Q8" s="17">
        <f t="shared" si="1"/>
        <v>45.731234047606257</v>
      </c>
      <c r="R8" s="17">
        <f t="shared" si="2"/>
        <v>45.952185252742112</v>
      </c>
      <c r="S8" s="17">
        <f>G8/S$2</f>
        <v>45.941162573658929</v>
      </c>
      <c r="T8" s="20">
        <f t="shared" si="3"/>
        <v>1.1022679083183107E-2</v>
      </c>
      <c r="V8" s="17">
        <f>Z8-AA8</f>
        <v>0</v>
      </c>
      <c r="X8" s="17">
        <f>X$2*S8/Q8-X$2</f>
        <v>2.2952423045716763E-3</v>
      </c>
      <c r="Z8" s="17">
        <f>ROUND(Q8,0)</f>
        <v>46</v>
      </c>
      <c r="AA8" s="17">
        <f>ROUND(S8,0)</f>
        <v>46</v>
      </c>
    </row>
    <row r="9" spans="1:37" x14ac:dyDescent="0.3">
      <c r="A9" s="3">
        <v>46147</v>
      </c>
      <c r="B9" s="2">
        <v>82285</v>
      </c>
      <c r="C9" s="8">
        <v>198</v>
      </c>
      <c r="D9" s="1">
        <v>81924.5</v>
      </c>
      <c r="E9" s="8">
        <v>187</v>
      </c>
      <c r="G9" s="2">
        <v>82675</v>
      </c>
      <c r="H9" s="8">
        <v>6</v>
      </c>
      <c r="I9" s="1">
        <v>82176.5</v>
      </c>
      <c r="J9" s="8">
        <v>6</v>
      </c>
      <c r="L9" s="16">
        <f>G9-B9</f>
        <v>390</v>
      </c>
      <c r="M9">
        <f t="shared" si="0"/>
        <v>9.7222222222222224E-2</v>
      </c>
      <c r="N9" s="9">
        <f>L9/B9/M9</f>
        <v>4.8750423180756779E-2</v>
      </c>
      <c r="O9" s="9">
        <f>O$1/B9/M9</f>
        <v>2.5000217015772705E-3</v>
      </c>
      <c r="Q9" s="17">
        <f t="shared" si="1"/>
        <v>46.617871575907841</v>
      </c>
      <c r="R9" s="17">
        <f t="shared" si="2"/>
        <v>46.838822781043696</v>
      </c>
      <c r="S9" s="17">
        <f>G9/S$2</f>
        <v>46.827587421739025</v>
      </c>
      <c r="T9" s="20">
        <f t="shared" si="3"/>
        <v>1.1235359304670567E-2</v>
      </c>
      <c r="V9" s="17">
        <f>Z9-AA9</f>
        <v>0</v>
      </c>
      <c r="X9" s="17">
        <f>X$2*S9/Q9-X$2</f>
        <v>2.2493073872935643E-3</v>
      </c>
      <c r="Z9" s="17">
        <f>ROUND(Q9,0)</f>
        <v>47</v>
      </c>
      <c r="AA9" s="17">
        <f>ROUND(S9,0)</f>
        <v>47</v>
      </c>
    </row>
    <row r="10" spans="1:37" x14ac:dyDescent="0.3">
      <c r="A10" s="3">
        <v>46148</v>
      </c>
      <c r="B10" s="2">
        <v>82075</v>
      </c>
      <c r="C10" s="8">
        <v>335</v>
      </c>
      <c r="D10" s="1">
        <v>82439.5</v>
      </c>
      <c r="E10" s="8">
        <v>307</v>
      </c>
      <c r="G10" s="2">
        <v>82455</v>
      </c>
      <c r="H10" s="8">
        <v>3</v>
      </c>
      <c r="I10" s="1">
        <v>83321.5</v>
      </c>
      <c r="J10" s="8">
        <v>3</v>
      </c>
      <c r="L10" s="16">
        <f>G10-B10</f>
        <v>380</v>
      </c>
      <c r="M10">
        <f t="shared" si="0"/>
        <v>9.7222222222222224E-2</v>
      </c>
      <c r="N10" s="9">
        <f>L10/B10/M10</f>
        <v>4.7621948566206863E-2</v>
      </c>
      <c r="O10" s="9">
        <f>O$1/B10/M10</f>
        <v>2.5064183455898348E-3</v>
      </c>
      <c r="Q10" s="17">
        <f t="shared" si="1"/>
        <v>46.498897850065454</v>
      </c>
      <c r="R10" s="17">
        <f t="shared" si="2"/>
        <v>46.714183639685011</v>
      </c>
      <c r="S10" s="17">
        <f>G10/S$2</f>
        <v>46.702978177919455</v>
      </c>
      <c r="T10" s="20">
        <f t="shared" si="3"/>
        <v>1.1205461765555924E-2</v>
      </c>
      <c r="V10" s="17">
        <f>Z10-AA10</f>
        <v>-1</v>
      </c>
      <c r="X10" s="17">
        <f>X$2*S10/Q10-X$2</f>
        <v>2.1944641409786803E-3</v>
      </c>
      <c r="Z10" s="17">
        <f>ROUND(Q10,0)</f>
        <v>46</v>
      </c>
      <c r="AA10" s="17">
        <f>ROUND(S10,0)</f>
        <v>47</v>
      </c>
    </row>
    <row r="11" spans="1:37" x14ac:dyDescent="0.3">
      <c r="A11" s="3">
        <v>46149</v>
      </c>
      <c r="B11" s="2">
        <v>80680</v>
      </c>
      <c r="C11" s="8">
        <v>412</v>
      </c>
      <c r="D11" s="1">
        <v>80776</v>
      </c>
      <c r="E11" s="8">
        <v>363</v>
      </c>
      <c r="G11" s="2">
        <v>81065</v>
      </c>
      <c r="H11" s="8">
        <v>4</v>
      </c>
      <c r="I11" s="1">
        <v>80940</v>
      </c>
      <c r="J11" s="8">
        <v>4</v>
      </c>
      <c r="L11" s="16">
        <f>G11-B11</f>
        <v>385</v>
      </c>
      <c r="M11">
        <f t="shared" si="0"/>
        <v>9.7222222222222224E-2</v>
      </c>
      <c r="N11" s="9">
        <f>L11/B11/M11</f>
        <v>4.908279623202777E-2</v>
      </c>
      <c r="O11" s="9">
        <f>O$1/B11/M11</f>
        <v>2.5497556484170266E-3</v>
      </c>
      <c r="Q11" s="17">
        <f t="shared" si="1"/>
        <v>45.708572385541039</v>
      </c>
      <c r="R11" s="17">
        <f t="shared" si="2"/>
        <v>45.926690882918749</v>
      </c>
      <c r="S11" s="17">
        <f>G11/S$2</f>
        <v>45.91567431924129</v>
      </c>
      <c r="T11" s="20">
        <f t="shared" si="3"/>
        <v>1.101656367745818E-2</v>
      </c>
      <c r="V11" s="17">
        <f>Z11-AA11</f>
        <v>0</v>
      </c>
      <c r="X11" s="17">
        <f>X$2*S11/Q11-X$2</f>
        <v>2.2654605349888834E-3</v>
      </c>
      <c r="Z11" s="17">
        <f>ROUND(Q11,0)</f>
        <v>46</v>
      </c>
      <c r="AA11" s="17">
        <f>ROUND(S11,0)</f>
        <v>46</v>
      </c>
    </row>
    <row r="12" spans="1:37" x14ac:dyDescent="0.3">
      <c r="A12" s="3">
        <v>46150</v>
      </c>
      <c r="B12" s="2">
        <v>80720</v>
      </c>
      <c r="C12" s="8">
        <v>381</v>
      </c>
      <c r="D12" s="1">
        <v>80397</v>
      </c>
      <c r="E12" s="8">
        <v>359</v>
      </c>
      <c r="G12" s="2">
        <v>81105</v>
      </c>
      <c r="H12" s="8">
        <v>30</v>
      </c>
      <c r="I12" s="1">
        <v>80695</v>
      </c>
      <c r="J12" s="8">
        <v>29</v>
      </c>
      <c r="L12" s="16">
        <f>G12-B12</f>
        <v>385</v>
      </c>
      <c r="M12">
        <f t="shared" si="0"/>
        <v>9.7222222222222224E-2</v>
      </c>
      <c r="N12" s="9">
        <f>L12/B12/M12</f>
        <v>4.9058473736372649E-2</v>
      </c>
      <c r="O12" s="9">
        <f>O$1/B12/M12</f>
        <v>2.5484921421492284E-3</v>
      </c>
      <c r="Q12" s="17">
        <f t="shared" si="1"/>
        <v>45.731234047606257</v>
      </c>
      <c r="R12" s="17">
        <f t="shared" si="2"/>
        <v>45.949352544983967</v>
      </c>
      <c r="S12" s="17">
        <f>G12/S$2</f>
        <v>45.938330545390308</v>
      </c>
      <c r="T12" s="20">
        <f t="shared" si="3"/>
        <v>1.1021999593658904E-2</v>
      </c>
      <c r="V12" s="17">
        <f>Z12-AA12</f>
        <v>0</v>
      </c>
      <c r="X12" s="17">
        <f>X$2*S12/Q12-X$2</f>
        <v>2.2642784750621647E-3</v>
      </c>
      <c r="Z12" s="17">
        <f>ROUND(Q12,0)</f>
        <v>46</v>
      </c>
      <c r="AA12" s="17">
        <f>ROUND(S12,0)</f>
        <v>46</v>
      </c>
    </row>
    <row r="13" spans="1:37" x14ac:dyDescent="0.3">
      <c r="A13" s="3">
        <v>46153</v>
      </c>
      <c r="B13" s="2">
        <v>82525</v>
      </c>
      <c r="C13" s="8">
        <v>968</v>
      </c>
      <c r="D13" s="1">
        <v>82059.5</v>
      </c>
      <c r="E13" s="8">
        <v>928</v>
      </c>
      <c r="G13" s="2">
        <v>82900</v>
      </c>
      <c r="H13" s="8">
        <v>13</v>
      </c>
      <c r="I13" s="1">
        <v>82764</v>
      </c>
      <c r="J13" s="8">
        <v>13</v>
      </c>
      <c r="L13" s="16">
        <f>G13-B13</f>
        <v>375</v>
      </c>
      <c r="M13">
        <f t="shared" si="0"/>
        <v>9.7222222222222224E-2</v>
      </c>
      <c r="N13" s="9">
        <f>L13/B13/M13</f>
        <v>4.6739083394642313E-2</v>
      </c>
      <c r="O13" s="9">
        <f>O$1/B13/M13</f>
        <v>2.4927511143809237E-3</v>
      </c>
      <c r="Q13" s="17">
        <f t="shared" si="1"/>
        <v>46.753841548299135</v>
      </c>
      <c r="R13" s="17">
        <f t="shared" si="2"/>
        <v>46.966294630160533</v>
      </c>
      <c r="S13" s="17">
        <f>G13/S$2</f>
        <v>46.955028693827217</v>
      </c>
      <c r="T13" s="20">
        <f t="shared" si="3"/>
        <v>1.1265936333316517E-2</v>
      </c>
      <c r="V13" s="17">
        <f>Z13-AA13</f>
        <v>0</v>
      </c>
      <c r="X13" s="17">
        <f>X$2*S13/Q13-X$2</f>
        <v>2.1515573786621278E-3</v>
      </c>
      <c r="Z13" s="17">
        <f>ROUND(Q13,0)</f>
        <v>47</v>
      </c>
      <c r="AA13" s="17">
        <f>ROUND(S13,0)</f>
        <v>47</v>
      </c>
    </row>
    <row r="14" spans="1:37" x14ac:dyDescent="0.3">
      <c r="A14" s="3">
        <v>46154</v>
      </c>
      <c r="B14" s="2">
        <v>81335</v>
      </c>
      <c r="C14" s="8">
        <v>383</v>
      </c>
      <c r="D14" s="1">
        <v>81142</v>
      </c>
      <c r="E14" s="8">
        <v>343</v>
      </c>
      <c r="G14" s="2">
        <v>81720</v>
      </c>
      <c r="H14" s="8">
        <v>5</v>
      </c>
      <c r="I14" s="1">
        <v>82140</v>
      </c>
      <c r="J14" s="8">
        <v>5</v>
      </c>
      <c r="L14" s="16">
        <f>G14-B14</f>
        <v>385</v>
      </c>
      <c r="M14">
        <f t="shared" si="0"/>
        <v>9.7222222222222224E-2</v>
      </c>
      <c r="N14" s="9">
        <f>L14/B14/M14</f>
        <v>4.8687526894940679E-2</v>
      </c>
      <c r="O14" s="9">
        <f>O$1/B14/M14</f>
        <v>2.5292221763605549E-3</v>
      </c>
      <c r="Q14" s="17">
        <f t="shared" si="1"/>
        <v>46.079657101858956</v>
      </c>
      <c r="R14" s="17">
        <f t="shared" si="2"/>
        <v>46.297775599236665</v>
      </c>
      <c r="S14" s="17">
        <f>G14/S$2</f>
        <v>46.286670022431366</v>
      </c>
      <c r="T14" s="20">
        <f t="shared" si="3"/>
        <v>1.1105576805299222E-2</v>
      </c>
      <c r="V14" s="17">
        <f>Z14-AA14</f>
        <v>0</v>
      </c>
      <c r="X14" s="17">
        <f>X$2*S14/Q14-X$2</f>
        <v>2.2462506623563971E-3</v>
      </c>
      <c r="Z14" s="17">
        <f>ROUND(Q14,0)</f>
        <v>46</v>
      </c>
      <c r="AA14" s="17">
        <f>ROUND(S14,0)</f>
        <v>46</v>
      </c>
    </row>
    <row r="15" spans="1:37" x14ac:dyDescent="0.3">
      <c r="A15" s="3">
        <v>46155</v>
      </c>
      <c r="B15" s="2">
        <v>80075</v>
      </c>
      <c r="C15" s="8">
        <v>843</v>
      </c>
      <c r="D15" s="1">
        <v>80222</v>
      </c>
      <c r="E15" s="8">
        <v>765</v>
      </c>
      <c r="G15" s="2">
        <v>80460</v>
      </c>
      <c r="H15" s="8">
        <v>4</v>
      </c>
      <c r="I15" s="1">
        <v>80462.5</v>
      </c>
      <c r="J15" s="8">
        <v>4</v>
      </c>
      <c r="L15" s="16">
        <f>G15-B15</f>
        <v>385</v>
      </c>
      <c r="M15">
        <f t="shared" si="0"/>
        <v>9.7222222222222224E-2</v>
      </c>
      <c r="N15" s="9">
        <f>L15/B15/M15</f>
        <v>4.9453637215110827E-2</v>
      </c>
      <c r="O15" s="9">
        <f>O$1/B15/M15</f>
        <v>2.5690201150706925E-3</v>
      </c>
      <c r="Q15" s="17">
        <f t="shared" si="1"/>
        <v>45.365814746804645</v>
      </c>
      <c r="R15" s="17">
        <f t="shared" si="2"/>
        <v>45.583933244182354</v>
      </c>
      <c r="S15" s="17">
        <f>G15/S$2</f>
        <v>45.572998898737488</v>
      </c>
      <c r="T15" s="20">
        <f t="shared" si="3"/>
        <v>1.0934345444866267E-2</v>
      </c>
      <c r="V15" s="17">
        <f>Z15-AA15</f>
        <v>-1</v>
      </c>
      <c r="X15" s="17">
        <f>X$2*S15/Q15-X$2</f>
        <v>2.2834832030370622E-3</v>
      </c>
      <c r="Z15" s="17">
        <f>ROUND(Q15,0)</f>
        <v>45</v>
      </c>
      <c r="AA15" s="17">
        <f>ROUND(S15,0)</f>
        <v>46</v>
      </c>
    </row>
    <row r="16" spans="1:37" x14ac:dyDescent="0.3">
      <c r="A16" s="3">
        <v>46156</v>
      </c>
      <c r="B16" s="2">
        <v>81965</v>
      </c>
      <c r="C16" s="8">
        <v>951</v>
      </c>
      <c r="D16" s="1">
        <v>81435.5</v>
      </c>
      <c r="E16" s="8">
        <v>888</v>
      </c>
      <c r="G16" s="2">
        <v>82355</v>
      </c>
      <c r="H16" s="8">
        <v>3</v>
      </c>
      <c r="I16" s="1">
        <v>82271.5</v>
      </c>
      <c r="J16" s="8">
        <v>3</v>
      </c>
      <c r="L16" s="16">
        <f>G16-B16</f>
        <v>390</v>
      </c>
      <c r="M16">
        <f t="shared" si="0"/>
        <v>9.7222222222222224E-2</v>
      </c>
      <c r="N16" s="9">
        <f>L16/B16/M16</f>
        <v>4.8940749971677799E-2</v>
      </c>
      <c r="O16" s="9">
        <f>O$1/B16/M16</f>
        <v>2.5097820498296312E-3</v>
      </c>
      <c r="Q16" s="17">
        <f t="shared" si="1"/>
        <v>46.436578279386111</v>
      </c>
      <c r="R16" s="17">
        <f t="shared" si="2"/>
        <v>46.657529484521966</v>
      </c>
      <c r="S16" s="17">
        <f>G16/S$2</f>
        <v>46.64633761254693</v>
      </c>
      <c r="T16" s="20">
        <f t="shared" si="3"/>
        <v>1.1191871975036349E-2</v>
      </c>
      <c r="V16" s="17">
        <f>Z16-AA16</f>
        <v>-1</v>
      </c>
      <c r="X16" s="17">
        <f>X$2*S16/Q16-X$2</f>
        <v>2.2585571647720792E-3</v>
      </c>
      <c r="Z16" s="17">
        <f>ROUND(Q16,0)</f>
        <v>46</v>
      </c>
      <c r="AA16" s="17">
        <f>ROUND(S16,0)</f>
        <v>47</v>
      </c>
    </row>
    <row r="17" spans="1:27" x14ac:dyDescent="0.3">
      <c r="A17" s="3">
        <v>46157</v>
      </c>
      <c r="B17" s="2">
        <v>79530</v>
      </c>
      <c r="C17" s="8">
        <v>1112</v>
      </c>
      <c r="D17" s="1">
        <v>80000</v>
      </c>
      <c r="E17" s="8">
        <v>1052</v>
      </c>
      <c r="G17" s="2">
        <v>79910</v>
      </c>
      <c r="H17" s="8">
        <v>17</v>
      </c>
      <c r="I17" s="1">
        <v>80051</v>
      </c>
      <c r="J17" s="8">
        <v>17</v>
      </c>
      <c r="L17" s="16">
        <f>G17-B17</f>
        <v>380</v>
      </c>
      <c r="M17">
        <f t="shared" si="0"/>
        <v>9.7222222222222224E-2</v>
      </c>
      <c r="N17" s="9">
        <f>L17/B17/M17</f>
        <v>4.9145874872015952E-2</v>
      </c>
      <c r="O17" s="9">
        <f>O$1/B17/M17</f>
        <v>2.5866249932639971E-3</v>
      </c>
      <c r="Q17" s="17">
        <f t="shared" si="1"/>
        <v>45.057049601166078</v>
      </c>
      <c r="R17" s="17">
        <f t="shared" si="2"/>
        <v>45.272335390785628</v>
      </c>
      <c r="S17" s="17">
        <f>G17/S$2</f>
        <v>45.261475789188573</v>
      </c>
      <c r="T17" s="20">
        <f t="shared" si="3"/>
        <v>1.0859601597054791E-2</v>
      </c>
      <c r="V17" s="17">
        <f>Z17-AA17</f>
        <v>0</v>
      </c>
      <c r="X17" s="17">
        <f>X$2*S17/Q17-X$2</f>
        <v>2.2685261222386011E-3</v>
      </c>
      <c r="Z17" s="17">
        <f>ROUND(Q17,0)</f>
        <v>45</v>
      </c>
      <c r="AA17" s="17">
        <f>ROUND(S17,0)</f>
        <v>45</v>
      </c>
    </row>
    <row r="18" spans="1:27" x14ac:dyDescent="0.3">
      <c r="A18" s="3">
        <v>46160</v>
      </c>
      <c r="B18" s="2">
        <v>77195</v>
      </c>
      <c r="C18" s="8">
        <v>961</v>
      </c>
      <c r="D18" s="1">
        <v>77353.5</v>
      </c>
      <c r="E18" s="8">
        <v>879</v>
      </c>
      <c r="G18" s="2">
        <v>77560</v>
      </c>
      <c r="H18" s="8">
        <v>1</v>
      </c>
      <c r="I18" s="1">
        <v>79605</v>
      </c>
      <c r="J18" s="8">
        <v>1</v>
      </c>
      <c r="L18" s="16">
        <f>G18-B18</f>
        <v>365</v>
      </c>
      <c r="M18">
        <f t="shared" si="0"/>
        <v>9.7222222222222224E-2</v>
      </c>
      <c r="N18" s="9">
        <f>L18/B18/M18</f>
        <v>4.8633793824544518E-2</v>
      </c>
      <c r="O18" s="9">
        <f>O$1/B18/M18</f>
        <v>2.6648654150435353E-3</v>
      </c>
      <c r="Q18" s="17">
        <f t="shared" si="1"/>
        <v>43.734175078109082</v>
      </c>
      <c r="R18" s="17">
        <f t="shared" si="2"/>
        <v>43.940962744454183</v>
      </c>
      <c r="S18" s="17">
        <f>G18/S$2</f>
        <v>43.930422502934121</v>
      </c>
      <c r="T18" s="20">
        <f t="shared" si="3"/>
        <v>1.05402415200615E-2</v>
      </c>
      <c r="V18" s="17">
        <f>Z18-AA18</f>
        <v>0</v>
      </c>
      <c r="X18" s="17">
        <f>X$2*S18/Q18-X$2</f>
        <v>2.24363926465454E-3</v>
      </c>
      <c r="Z18" s="17">
        <f>ROUND(Q18,0)</f>
        <v>44</v>
      </c>
      <c r="AA18" s="17">
        <f>ROUND(S18,0)</f>
        <v>44</v>
      </c>
    </row>
    <row r="19" spans="1:27" x14ac:dyDescent="0.3">
      <c r="A19" s="3">
        <v>46161</v>
      </c>
      <c r="B19" s="2">
        <v>77135</v>
      </c>
      <c r="C19" s="8">
        <v>356</v>
      </c>
      <c r="D19" s="1">
        <v>77142.5</v>
      </c>
      <c r="E19" s="8">
        <v>338</v>
      </c>
      <c r="G19" s="2">
        <v>77510</v>
      </c>
      <c r="H19" s="8">
        <v>1</v>
      </c>
      <c r="I19" s="1">
        <v>77685</v>
      </c>
      <c r="J19" s="8">
        <v>1</v>
      </c>
      <c r="L19" s="16">
        <f>G19-B19</f>
        <v>375</v>
      </c>
      <c r="M19">
        <f t="shared" si="0"/>
        <v>9.7222222222222224E-2</v>
      </c>
      <c r="N19" s="9">
        <f>L19/B19/M19</f>
        <v>5.0005093111335414E-2</v>
      </c>
      <c r="O19" s="9">
        <f>O$1/B19/M19</f>
        <v>2.6669382992712222E-3</v>
      </c>
      <c r="Q19" s="17">
        <f t="shared" si="1"/>
        <v>43.700182585011255</v>
      </c>
      <c r="R19" s="17">
        <f t="shared" si="2"/>
        <v>43.912635666872653</v>
      </c>
      <c r="S19" s="17">
        <f>G19/S$2</f>
        <v>43.902102220247862</v>
      </c>
      <c r="T19" s="20">
        <f t="shared" si="3"/>
        <v>1.0533446624791054E-2</v>
      </c>
      <c r="V19" s="17">
        <f>Z19-AA19</f>
        <v>0</v>
      </c>
      <c r="X19" s="17">
        <f>X$2*S19/Q19-X$2</f>
        <v>2.3102836566392115E-3</v>
      </c>
      <c r="Z19" s="17">
        <f>ROUND(Q19,0)</f>
        <v>44</v>
      </c>
      <c r="AA19" s="17">
        <f>ROUND(S19,0)</f>
        <v>44</v>
      </c>
    </row>
    <row r="20" spans="1:27" x14ac:dyDescent="0.3">
      <c r="A20" s="3">
        <v>46162</v>
      </c>
      <c r="B20" s="2">
        <v>78015</v>
      </c>
      <c r="C20" s="8">
        <v>596</v>
      </c>
      <c r="D20" s="1">
        <v>77767.5</v>
      </c>
      <c r="E20" s="8">
        <v>524</v>
      </c>
      <c r="G20" s="2">
        <v>78375</v>
      </c>
      <c r="H20" s="8">
        <v>2</v>
      </c>
      <c r="I20" s="1">
        <v>77877.5</v>
      </c>
      <c r="J20" s="8">
        <v>2</v>
      </c>
      <c r="L20" s="16">
        <f>G20-B20</f>
        <v>360</v>
      </c>
      <c r="M20">
        <f t="shared" si="0"/>
        <v>9.7222222222222224E-2</v>
      </c>
      <c r="N20" s="9">
        <f>L20/B20/M20</f>
        <v>4.7463399895624467E-2</v>
      </c>
      <c r="O20" s="9">
        <f>O$1/B20/M20</f>
        <v>2.6368555497569149E-3</v>
      </c>
      <c r="Q20" s="17">
        <f t="shared" si="1"/>
        <v>44.198739150446016</v>
      </c>
      <c r="R20" s="17">
        <f t="shared" si="2"/>
        <v>44.402694109032964</v>
      </c>
      <c r="S20" s="17">
        <f>G20/S$2</f>
        <v>44.392043110720245</v>
      </c>
      <c r="T20" s="20">
        <f t="shared" si="3"/>
        <v>1.0650998312719651E-2</v>
      </c>
      <c r="V20" s="17">
        <f>Z20-AA20</f>
        <v>0</v>
      </c>
      <c r="X20" s="17">
        <f>X$2*S20/Q20-X$2</f>
        <v>2.1867587626905882E-3</v>
      </c>
      <c r="Z20" s="17">
        <f>ROUND(Q20,0)</f>
        <v>44</v>
      </c>
      <c r="AA20" s="17">
        <f>ROUND(S20,0)</f>
        <v>44</v>
      </c>
    </row>
    <row r="21" spans="1:27" x14ac:dyDescent="0.3">
      <c r="A21" s="3">
        <v>46163</v>
      </c>
      <c r="B21" s="2">
        <v>78005</v>
      </c>
      <c r="C21" s="8">
        <v>741</v>
      </c>
      <c r="D21" s="1">
        <v>77910</v>
      </c>
      <c r="E21" s="8">
        <v>674</v>
      </c>
      <c r="G21" s="2">
        <v>78370</v>
      </c>
      <c r="H21" s="8">
        <v>3</v>
      </c>
      <c r="I21" s="1">
        <v>78650</v>
      </c>
      <c r="J21" s="8">
        <v>3</v>
      </c>
      <c r="L21" s="16">
        <f>G21-B21</f>
        <v>365</v>
      </c>
      <c r="M21">
        <f t="shared" si="0"/>
        <v>9.7222222222222224E-2</v>
      </c>
      <c r="N21" s="9">
        <f>L21/B21/M21</f>
        <v>4.8128782953473684E-2</v>
      </c>
      <c r="O21" s="9">
        <f>O$1/B21/M21</f>
        <v>2.6371935864917084E-3</v>
      </c>
      <c r="Q21" s="17">
        <f t="shared" si="1"/>
        <v>44.193073734929712</v>
      </c>
      <c r="R21" s="17">
        <f t="shared" si="2"/>
        <v>44.399861401274812</v>
      </c>
      <c r="S21" s="17">
        <f>G21/S$2</f>
        <v>44.389211082451617</v>
      </c>
      <c r="T21" s="20">
        <f t="shared" si="3"/>
        <v>1.0650318823195448E-2</v>
      </c>
      <c r="V21" s="17">
        <f>Z21-AA21</f>
        <v>0</v>
      </c>
      <c r="X21" s="17">
        <f>X$2*S21/Q21-X$2</f>
        <v>2.2190960137592475E-3</v>
      </c>
      <c r="Z21" s="17">
        <f>ROUND(Q21,0)</f>
        <v>44</v>
      </c>
      <c r="AA21" s="17">
        <f>ROUND(S21,0)</f>
        <v>44</v>
      </c>
    </row>
    <row r="22" spans="1:27" x14ac:dyDescent="0.3">
      <c r="A22" s="3">
        <v>46164</v>
      </c>
      <c r="B22" s="2">
        <v>76070</v>
      </c>
      <c r="C22" s="8">
        <v>802</v>
      </c>
      <c r="D22" s="1">
        <v>76928</v>
      </c>
      <c r="E22" s="8">
        <v>726</v>
      </c>
      <c r="G22" s="2">
        <v>76455</v>
      </c>
      <c r="H22" s="8">
        <v>2</v>
      </c>
      <c r="I22" s="1">
        <v>78370</v>
      </c>
      <c r="J22" s="8">
        <v>2</v>
      </c>
      <c r="L22" s="16">
        <f>G22-B22</f>
        <v>385</v>
      </c>
      <c r="M22">
        <f t="shared" si="0"/>
        <v>9.7222222222222224E-2</v>
      </c>
      <c r="N22" s="9">
        <f>L22/B22/M22</f>
        <v>5.2057315630340474E-2</v>
      </c>
      <c r="O22" s="9">
        <f>O$1/B22/M22</f>
        <v>2.7042761366410637E-3</v>
      </c>
      <c r="Q22" s="17">
        <f t="shared" si="1"/>
        <v>43.096815832524875</v>
      </c>
      <c r="R22" s="17">
        <f t="shared" si="2"/>
        <v>43.314934329902577</v>
      </c>
      <c r="S22" s="17">
        <f>G22/S$2</f>
        <v>43.30454425556767</v>
      </c>
      <c r="T22" s="20">
        <f t="shared" si="3"/>
        <v>1.039007433490724E-2</v>
      </c>
      <c r="V22" s="17">
        <f>Z22-AA22</f>
        <v>0</v>
      </c>
      <c r="X22" s="17">
        <f>X$2*S22/Q22-X$2</f>
        <v>2.4100205436293765E-3</v>
      </c>
      <c r="Z22" s="17">
        <f>ROUND(Q22,0)</f>
        <v>43</v>
      </c>
      <c r="AA22" s="17">
        <f>ROUND(S22,0)</f>
        <v>43</v>
      </c>
    </row>
    <row r="23" spans="1:27" x14ac:dyDescent="0.3">
      <c r="A23" s="3">
        <v>46168</v>
      </c>
      <c r="B23" s="2">
        <v>76190</v>
      </c>
      <c r="C23" s="8">
        <v>3360</v>
      </c>
      <c r="D23" s="1">
        <v>76996.5</v>
      </c>
      <c r="E23" s="8">
        <v>3024</v>
      </c>
      <c r="G23" s="2">
        <v>76570</v>
      </c>
      <c r="H23" s="8">
        <v>16</v>
      </c>
      <c r="I23" s="1">
        <v>77633.5</v>
      </c>
      <c r="J23" s="8">
        <v>16</v>
      </c>
      <c r="L23" s="16">
        <f>G23-B23</f>
        <v>380</v>
      </c>
      <c r="M23">
        <f t="shared" si="0"/>
        <v>9.7222222222222224E-2</v>
      </c>
      <c r="N23" s="9">
        <f>L23/B23/M23</f>
        <v>5.1300320627003917E-2</v>
      </c>
      <c r="O23" s="9">
        <f>O$1/B23/M23</f>
        <v>2.7000168751054694E-3</v>
      </c>
      <c r="Q23" s="17">
        <f t="shared" si="1"/>
        <v>43.164800818720522</v>
      </c>
      <c r="R23" s="17">
        <f t="shared" si="2"/>
        <v>43.380086608340079</v>
      </c>
      <c r="S23" s="17">
        <f>G23/S$2</f>
        <v>43.36968090574608</v>
      </c>
      <c r="T23" s="20">
        <f t="shared" si="3"/>
        <v>1.0405702593999422E-2</v>
      </c>
      <c r="V23" s="17">
        <f>Z23-AA23</f>
        <v>0</v>
      </c>
      <c r="X23" s="17">
        <f>X$2*S23/Q23-X$2</f>
        <v>2.3732310023391046E-3</v>
      </c>
      <c r="Z23" s="17">
        <f>ROUND(Q23,0)</f>
        <v>43</v>
      </c>
      <c r="AA23" s="17">
        <f>ROUND(S23,0)</f>
        <v>43</v>
      </c>
    </row>
    <row r="24" spans="1:27" x14ac:dyDescent="0.3">
      <c r="A24" s="3">
        <v>46169</v>
      </c>
      <c r="B24" s="2">
        <v>75170</v>
      </c>
      <c r="C24" s="8">
        <v>3176</v>
      </c>
      <c r="D24" s="1">
        <v>75433.5</v>
      </c>
      <c r="E24" s="8">
        <v>2934</v>
      </c>
      <c r="G24" s="2">
        <v>75530</v>
      </c>
      <c r="H24" s="8">
        <v>11</v>
      </c>
      <c r="I24" s="1">
        <v>75844.5</v>
      </c>
      <c r="J24" s="8">
        <v>10</v>
      </c>
      <c r="L24" s="16">
        <f>G24-B24</f>
        <v>360</v>
      </c>
      <c r="M24">
        <f t="shared" si="0"/>
        <v>9.7222222222222224E-2</v>
      </c>
      <c r="N24" s="9">
        <f>L24/B24/M24</f>
        <v>4.9259773085767497E-2</v>
      </c>
      <c r="O24" s="9">
        <f>O$1/B24/M24</f>
        <v>2.7366540603204165E-3</v>
      </c>
      <c r="Q24" s="17">
        <f t="shared" si="1"/>
        <v>42.586928436057512</v>
      </c>
      <c r="R24" s="17">
        <f t="shared" si="2"/>
        <v>42.790883394644453</v>
      </c>
      <c r="S24" s="17">
        <f>G24/S$2</f>
        <v>42.780619025871765</v>
      </c>
      <c r="T24" s="20">
        <f t="shared" si="3"/>
        <v>1.0264368772688215E-2</v>
      </c>
      <c r="V24" s="17">
        <f>Z24-AA24</f>
        <v>0</v>
      </c>
      <c r="X24" s="17">
        <f>X$2*S24/Q24-X$2</f>
        <v>2.274061512854475E-3</v>
      </c>
      <c r="Z24" s="17">
        <f>ROUND(Q24,0)</f>
        <v>43</v>
      </c>
      <c r="AA24" s="17">
        <f>ROUND(S24,0)</f>
        <v>43</v>
      </c>
    </row>
    <row r="25" spans="1:27" x14ac:dyDescent="0.3">
      <c r="A25" s="3">
        <v>46170</v>
      </c>
      <c r="B25" s="2">
        <v>73620</v>
      </c>
      <c r="C25" s="8">
        <v>5437</v>
      </c>
      <c r="D25" s="1">
        <v>73519.5</v>
      </c>
      <c r="E25" s="8">
        <v>4703</v>
      </c>
      <c r="G25" s="2">
        <v>73995</v>
      </c>
      <c r="H25" s="8">
        <v>180</v>
      </c>
      <c r="I25" s="1">
        <v>73742.5</v>
      </c>
      <c r="J25" s="8">
        <v>149</v>
      </c>
      <c r="L25" s="16">
        <f>G25-B25</f>
        <v>375</v>
      </c>
      <c r="M25">
        <f t="shared" si="0"/>
        <v>9.7222222222222224E-2</v>
      </c>
      <c r="N25" s="9">
        <f>L25/B25/M25</f>
        <v>5.2392595179881242E-2</v>
      </c>
      <c r="O25" s="9">
        <f>O$1/B25/M25</f>
        <v>2.7942717429269995E-3</v>
      </c>
      <c r="Q25" s="17">
        <f t="shared" si="1"/>
        <v>41.708789031030385</v>
      </c>
      <c r="R25" s="17">
        <f t="shared" si="2"/>
        <v>41.921242112891782</v>
      </c>
      <c r="S25" s="17">
        <f>G25/S$2</f>
        <v>41.911186347403437</v>
      </c>
      <c r="T25" s="20">
        <f t="shared" si="3"/>
        <v>1.0055765488345969E-2</v>
      </c>
      <c r="V25" s="17">
        <f>Z25-AA25</f>
        <v>0</v>
      </c>
      <c r="X25" s="17">
        <f>X$2*S25/Q25-X$2</f>
        <v>2.4263149455439059E-3</v>
      </c>
      <c r="Z25" s="17">
        <f>ROUND(Q25,0)</f>
        <v>42</v>
      </c>
      <c r="AA25" s="17">
        <f>ROUND(S25,0)</f>
        <v>42</v>
      </c>
    </row>
    <row r="26" spans="1:27" x14ac:dyDescent="0.3">
      <c r="A26" s="3">
        <v>46171</v>
      </c>
      <c r="B26" s="2">
        <v>73715</v>
      </c>
      <c r="C26" s="8">
        <v>6418</v>
      </c>
      <c r="D26" s="1">
        <v>73702</v>
      </c>
      <c r="E26" s="8">
        <v>5505</v>
      </c>
      <c r="G26" s="2">
        <v>74085</v>
      </c>
      <c r="H26" s="8">
        <v>108</v>
      </c>
      <c r="I26" s="1">
        <v>74018</v>
      </c>
      <c r="J26" s="8">
        <v>94</v>
      </c>
      <c r="L26" s="16">
        <f>G26-B26</f>
        <v>370</v>
      </c>
      <c r="M26">
        <f t="shared" si="0"/>
        <v>9.7222222222222224E-2</v>
      </c>
      <c r="N26" s="9">
        <f>L26/B26/M26</f>
        <v>5.1627406711175279E-2</v>
      </c>
      <c r="O26" s="9">
        <f>O$1/B26/M26</f>
        <v>2.7906706330365016E-3</v>
      </c>
      <c r="Q26" s="17">
        <f t="shared" si="1"/>
        <v>41.762610478435271</v>
      </c>
      <c r="R26" s="17">
        <f t="shared" si="2"/>
        <v>41.972230852538523</v>
      </c>
      <c r="S26" s="17">
        <f>G26/S$2</f>
        <v>41.962162856238713</v>
      </c>
      <c r="T26" s="20">
        <f t="shared" si="3"/>
        <v>1.0067996299810034E-2</v>
      </c>
      <c r="V26" s="17">
        <f>Z26-AA26</f>
        <v>0</v>
      </c>
      <c r="X26" s="17">
        <f>X$2*S26/Q26-X$2</f>
        <v>2.3891272063378821E-3</v>
      </c>
      <c r="Z26" s="17">
        <f>ROUND(Q26,0)</f>
        <v>42</v>
      </c>
      <c r="AA26" s="17">
        <f>ROUND(S26,0)</f>
        <v>42</v>
      </c>
    </row>
    <row r="27" spans="1:27" x14ac:dyDescent="0.3">
      <c r="A27" s="3">
        <v>46174</v>
      </c>
      <c r="B27" s="2">
        <v>71735</v>
      </c>
      <c r="C27" s="8">
        <v>7987</v>
      </c>
      <c r="D27" s="1">
        <v>72240</v>
      </c>
      <c r="E27" s="8">
        <v>6922</v>
      </c>
      <c r="G27" s="2">
        <v>72085</v>
      </c>
      <c r="H27" s="8">
        <v>241</v>
      </c>
      <c r="I27" s="1">
        <v>72733</v>
      </c>
      <c r="J27" s="8">
        <v>228</v>
      </c>
      <c r="L27" s="16">
        <f>G27-B27</f>
        <v>350</v>
      </c>
      <c r="M27">
        <f t="shared" si="0"/>
        <v>9.7222222222222224E-2</v>
      </c>
      <c r="N27" s="9">
        <f>L27/B27/M27</f>
        <v>5.0184707604377224E-2</v>
      </c>
      <c r="O27" s="9">
        <f>O$1/B27/M27</f>
        <v>2.8676975773929839E-3</v>
      </c>
      <c r="Q27" s="17">
        <f t="shared" si="1"/>
        <v>40.640858206207071</v>
      </c>
      <c r="R27" s="17">
        <f t="shared" si="2"/>
        <v>40.839147749277714</v>
      </c>
      <c r="S27" s="17">
        <f>G27/S$2</f>
        <v>40.829351548788118</v>
      </c>
      <c r="T27" s="20">
        <f t="shared" si="3"/>
        <v>9.7962004895961741E-3</v>
      </c>
      <c r="V27" s="17">
        <f>Z27-AA27</f>
        <v>0</v>
      </c>
      <c r="X27" s="17">
        <f>X$2*S27/Q27-X$2</f>
        <v>2.3190128223259387E-3</v>
      </c>
      <c r="Z27" s="17">
        <f>ROUND(Q27,0)</f>
        <v>41</v>
      </c>
      <c r="AA27" s="17">
        <f>ROUND(S27,0)</f>
        <v>41</v>
      </c>
    </row>
    <row r="28" spans="1:27" x14ac:dyDescent="0.3">
      <c r="A28" s="3">
        <v>46175</v>
      </c>
      <c r="B28" s="2">
        <v>67395</v>
      </c>
      <c r="C28" s="8">
        <v>8998</v>
      </c>
      <c r="D28" s="1">
        <v>68358</v>
      </c>
      <c r="E28" s="8">
        <v>7698</v>
      </c>
      <c r="G28" s="2">
        <v>67735</v>
      </c>
      <c r="H28" s="8">
        <v>343</v>
      </c>
      <c r="I28" s="1">
        <v>68821.5</v>
      </c>
      <c r="J28" s="8">
        <v>334</v>
      </c>
      <c r="L28" s="16">
        <f>G28-B28</f>
        <v>340</v>
      </c>
      <c r="M28">
        <f t="shared" si="0"/>
        <v>9.7222222222222224E-2</v>
      </c>
      <c r="N28" s="9">
        <f>L28/B28/M28</f>
        <v>5.1890241963689548E-2</v>
      </c>
      <c r="O28" s="9">
        <f>O$1/B28/M28</f>
        <v>3.0523671743346793E-3</v>
      </c>
      <c r="Q28" s="17">
        <f t="shared" si="1"/>
        <v>38.182067872131114</v>
      </c>
      <c r="R28" s="17">
        <f t="shared" si="2"/>
        <v>38.374691999685453</v>
      </c>
      <c r="S28" s="17">
        <f>G28/S$2</f>
        <v>38.365486955083071</v>
      </c>
      <c r="T28" s="20">
        <f t="shared" si="3"/>
        <v>9.2050446023819177E-3</v>
      </c>
      <c r="V28" s="17">
        <f>Z28-AA28</f>
        <v>0</v>
      </c>
      <c r="X28" s="17">
        <f>X$2*S28/Q28-X$2</f>
        <v>2.4019008552157439E-3</v>
      </c>
      <c r="Z28" s="17">
        <f>ROUND(Q28,0)</f>
        <v>38</v>
      </c>
      <c r="AA28" s="17">
        <f>ROUND(S28,0)</f>
        <v>38</v>
      </c>
    </row>
    <row r="29" spans="1:27" x14ac:dyDescent="0.3">
      <c r="A29" s="3">
        <v>46176</v>
      </c>
      <c r="B29" s="2">
        <v>65585</v>
      </c>
      <c r="C29" s="8">
        <v>8987</v>
      </c>
      <c r="D29" s="1">
        <v>66521</v>
      </c>
      <c r="E29" s="8">
        <v>7658</v>
      </c>
      <c r="G29" s="2">
        <v>65915</v>
      </c>
      <c r="H29" s="8">
        <v>332</v>
      </c>
      <c r="I29" s="1">
        <v>66781</v>
      </c>
      <c r="J29" s="8">
        <v>301</v>
      </c>
      <c r="L29" s="16">
        <f>G29-B29</f>
        <v>330</v>
      </c>
      <c r="M29">
        <f t="shared" si="0"/>
        <v>9.7222222222222224E-2</v>
      </c>
      <c r="N29" s="9">
        <f>L29/B29/M29</f>
        <v>5.1753994271338172E-2</v>
      </c>
      <c r="O29" s="9">
        <f>O$1/B29/M29</f>
        <v>3.1366057134144349E-3</v>
      </c>
      <c r="Q29" s="17">
        <f t="shared" si="1"/>
        <v>37.156627663680084</v>
      </c>
      <c r="R29" s="17">
        <f t="shared" si="2"/>
        <v>37.343586375718118</v>
      </c>
      <c r="S29" s="17">
        <f>G29/S$2</f>
        <v>37.334628665303029</v>
      </c>
      <c r="T29" s="20">
        <f t="shared" si="3"/>
        <v>8.9577104150890818E-3</v>
      </c>
      <c r="V29" s="17">
        <f>Z29-AA29</f>
        <v>0</v>
      </c>
      <c r="X29" s="17">
        <f>X$2*S29/Q29-X$2</f>
        <v>2.3952792922181665E-3</v>
      </c>
      <c r="Z29" s="17">
        <f>ROUND(Q29,0)</f>
        <v>37</v>
      </c>
      <c r="AA29" s="17">
        <f>ROUND(S29,0)</f>
        <v>37</v>
      </c>
    </row>
    <row r="30" spans="1:27" x14ac:dyDescent="0.3">
      <c r="A30" s="3">
        <v>46177</v>
      </c>
      <c r="B30" s="2">
        <v>63795</v>
      </c>
      <c r="C30" s="8">
        <v>12748</v>
      </c>
      <c r="D30" s="1">
        <v>63687</v>
      </c>
      <c r="E30" s="8">
        <v>10868</v>
      </c>
      <c r="G30" s="2">
        <v>64115</v>
      </c>
      <c r="H30" s="8">
        <v>509</v>
      </c>
      <c r="I30" s="1">
        <v>63937</v>
      </c>
      <c r="J30" s="8">
        <v>476</v>
      </c>
      <c r="L30" s="16">
        <f>G30-B30</f>
        <v>320</v>
      </c>
      <c r="M30">
        <f t="shared" si="0"/>
        <v>9.7222222222222224E-2</v>
      </c>
      <c r="N30" s="9">
        <f>L30/B30/M30</f>
        <v>5.1593832924658224E-2</v>
      </c>
      <c r="O30" s="9">
        <f>O$1/B30/M30</f>
        <v>3.224614557791139E-3</v>
      </c>
      <c r="Q30" s="17">
        <f t="shared" si="1"/>
        <v>36.142518286261662</v>
      </c>
      <c r="R30" s="17">
        <f t="shared" si="2"/>
        <v>36.323811582783392</v>
      </c>
      <c r="S30" s="17">
        <f>G30/S$2</f>
        <v>36.315098488597492</v>
      </c>
      <c r="T30" s="20">
        <f t="shared" si="3"/>
        <v>8.7130941859001609E-3</v>
      </c>
      <c r="V30" s="17">
        <f>Z30-AA30</f>
        <v>0</v>
      </c>
      <c r="X30" s="17">
        <f>X$2*S30/Q30-X$2</f>
        <v>2.3874955387576113E-3</v>
      </c>
      <c r="Z30" s="17">
        <f>ROUND(Q30,0)</f>
        <v>36</v>
      </c>
      <c r="AA30" s="17">
        <f>ROUND(S30,0)</f>
        <v>36</v>
      </c>
    </row>
    <row r="31" spans="1:27" x14ac:dyDescent="0.3">
      <c r="A31" s="3">
        <v>46178</v>
      </c>
      <c r="B31" s="2">
        <v>60515</v>
      </c>
      <c r="C31" s="8">
        <v>15490</v>
      </c>
      <c r="D31" s="1">
        <v>61421.5</v>
      </c>
      <c r="E31" s="8">
        <v>13130</v>
      </c>
      <c r="G31" s="2">
        <v>60820</v>
      </c>
      <c r="H31" s="8">
        <v>931</v>
      </c>
      <c r="I31" s="1">
        <v>62047.5</v>
      </c>
      <c r="J31" s="8">
        <v>838</v>
      </c>
      <c r="L31" s="16">
        <f>G31-B31</f>
        <v>305</v>
      </c>
      <c r="M31">
        <f t="shared" si="0"/>
        <v>9.7222222222222224E-2</v>
      </c>
      <c r="N31" s="9">
        <f>L31/B31/M31</f>
        <v>5.18407478665266E-2</v>
      </c>
      <c r="O31" s="9">
        <f>O$1/B31/M31</f>
        <v>3.3993933027230555E-3</v>
      </c>
      <c r="Q31" s="17">
        <f t="shared" si="1"/>
        <v>34.284261996913934</v>
      </c>
      <c r="R31" s="17">
        <f t="shared" si="2"/>
        <v>34.457057170161207</v>
      </c>
      <c r="S31" s="17">
        <f>G31/S$2</f>
        <v>34.44879185957263</v>
      </c>
      <c r="T31" s="20">
        <f t="shared" si="3"/>
        <v>8.2653105885768241E-3</v>
      </c>
      <c r="V31" s="17">
        <f>Z31-AA31</f>
        <v>0</v>
      </c>
      <c r="X31" s="17">
        <f>X$2*S31/Q31-X$2</f>
        <v>2.3994954692841963E-3</v>
      </c>
      <c r="Z31" s="17">
        <f>ROUND(Q31,0)</f>
        <v>34</v>
      </c>
      <c r="AA31" s="17">
        <f>ROUND(S31,0)</f>
        <v>34</v>
      </c>
    </row>
  </sheetData>
  <mergeCells count="3">
    <mergeCell ref="B1:E1"/>
    <mergeCell ref="G1:J1"/>
    <mergeCell ref="AF1:AK1"/>
  </mergeCells>
  <conditionalFormatting sqref="N1:N1048576">
    <cfRule type="top10" dxfId="5" priority="3" bottom="1" rank="1"/>
    <cfRule type="top10" dxfId="4" priority="4" rank="1"/>
  </conditionalFormatting>
  <conditionalFormatting sqref="O3:O1048576 O1">
    <cfRule type="top10" dxfId="3" priority="1" bottom="1" rank="1"/>
  </conditionalFormatting>
  <conditionalFormatting sqref="O3:O100">
    <cfRule type="top10" dxfId="2" priority="2" rank="1"/>
  </conditionalFormatting>
  <conditionalFormatting sqref="L3:L31">
    <cfRule type="top10" dxfId="1" priority="7" bottom="1" rank="1"/>
    <cfRule type="top10" dxfId="0" priority="8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underlying_data_june_trades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2026-06-07T21:15:35Z</dcterms:created>
  <dcterms:modified xsi:type="dcterms:W3CDTF">2026-06-07T21:44:25Z</dcterms:modified>
</cp:coreProperties>
</file>